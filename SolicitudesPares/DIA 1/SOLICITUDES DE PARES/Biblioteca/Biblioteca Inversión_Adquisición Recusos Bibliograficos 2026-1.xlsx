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17"/>
  <workbookPr/>
  <mc:AlternateContent xmlns:mc="http://schemas.openxmlformats.org/markup-compatibility/2006">
    <mc:Choice Requires="x15">
      <x15ac:absPath xmlns:x15ac="http://schemas.microsoft.com/office/spreadsheetml/2010/11/ac" url="C:\Users\norcl\OneDrive\Documentos\2026\Udistrital\ACREDITACION\1.4. BIBLIOTECA ADQUISICIONES\"/>
    </mc:Choice>
  </mc:AlternateContent>
  <xr:revisionPtr revIDLastSave="928" documentId="11_FBFD06C015F3A58AAB2B72CB1C6B5A252DDF7D4F" xr6:coauthVersionLast="47" xr6:coauthVersionMax="47" xr10:uidLastSave="{9AB592E6-42CA-4562-811D-A56E2E3E62D3}"/>
  <bookViews>
    <workbookView xWindow="0" yWindow="0" windowWidth="20490" windowHeight="7620" tabRatio="923" activeTab="6" xr2:uid="{00000000-000D-0000-FFFF-FFFF00000000}"/>
  </bookViews>
  <sheets>
    <sheet name="Contenido" sheetId="5" r:id="rId1"/>
    <sheet name="A. Inversion " sheetId="9" r:id="rId2"/>
    <sheet name="B. Proyección_inversión" sheetId="10" r:id="rId3"/>
    <sheet name="C. Adquisición_biblioteca" sheetId="7" r:id="rId4"/>
    <sheet name="D. Adquisición_suscripción BD" sheetId="1" r:id="rId5"/>
    <sheet name="E. Adquisición_Impresa" sheetId="2" r:id="rId6"/>
    <sheet name="F.Adquisión_suscripción_Proyect" sheetId="13" r:id="rId7"/>
  </sheets>
  <definedNames>
    <definedName name="_xlnm._FilterDatabase" localSheetId="5" hidden="1">'E. Adquisición_Impresa'!$A$20:$P$97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3" roundtripDataSignature="AMtx7mj4wu2iymBS1kb05+OmcVqr0qg/Gw=="/>
    </ext>
  </extLst>
</workbook>
</file>

<file path=xl/calcChain.xml><?xml version="1.0" encoding="utf-8"?>
<calcChain xmlns="http://schemas.openxmlformats.org/spreadsheetml/2006/main">
  <c r="J8" i="2" l="1"/>
  <c r="I9" i="2"/>
  <c r="I8" i="2"/>
  <c r="O9" i="7"/>
  <c r="O8" i="7"/>
  <c r="J21" i="2"/>
  <c r="D8" i="2"/>
  <c r="E8" i="2"/>
  <c r="F8" i="2"/>
  <c r="G8" i="2"/>
  <c r="H8" i="2"/>
  <c r="C8" i="2"/>
  <c r="D9" i="2"/>
  <c r="E9" i="2"/>
  <c r="F9" i="2"/>
  <c r="G9" i="2"/>
  <c r="H9" i="2"/>
  <c r="D10" i="2"/>
  <c r="E10" i="2"/>
  <c r="F10" i="2"/>
  <c r="G10" i="2"/>
  <c r="H10" i="2"/>
  <c r="I10" i="2"/>
  <c r="D11" i="2"/>
  <c r="E11" i="2"/>
  <c r="F11" i="2"/>
  <c r="G11" i="2"/>
  <c r="H11" i="2"/>
  <c r="I11" i="2"/>
  <c r="D12" i="2"/>
  <c r="E12" i="2"/>
  <c r="F12" i="2"/>
  <c r="G12" i="2"/>
  <c r="H12" i="2"/>
  <c r="I12" i="2"/>
  <c r="D13" i="2"/>
  <c r="E13" i="2"/>
  <c r="F13" i="2"/>
  <c r="G13" i="2"/>
  <c r="H13" i="2"/>
  <c r="I13" i="2"/>
  <c r="D14" i="2"/>
  <c r="E14" i="2"/>
  <c r="F14" i="2"/>
  <c r="G14" i="2"/>
  <c r="H14" i="2"/>
  <c r="I14" i="2"/>
  <c r="D15" i="2"/>
  <c r="E15" i="2"/>
  <c r="F15" i="2"/>
  <c r="G15" i="2"/>
  <c r="H15" i="2"/>
  <c r="I15" i="2"/>
  <c r="C15" i="2"/>
  <c r="J15" i="2" s="1"/>
  <c r="C14" i="2"/>
  <c r="J14" i="2" s="1"/>
  <c r="C13" i="2"/>
  <c r="J13" i="2" s="1"/>
  <c r="C12" i="2"/>
  <c r="J12" i="2" s="1"/>
  <c r="C11" i="2"/>
  <c r="J11" i="2" s="1"/>
  <c r="C10" i="2"/>
  <c r="J10" i="2" s="1"/>
  <c r="C9" i="2"/>
  <c r="J9" i="2" s="1"/>
  <c r="J62" i="2"/>
  <c r="J26" i="2"/>
  <c r="J22" i="2"/>
  <c r="J23" i="2"/>
  <c r="J96" i="2"/>
  <c r="J27" i="2"/>
  <c r="J53" i="2"/>
  <c r="J24" i="2"/>
  <c r="J28" i="2"/>
  <c r="J54" i="2"/>
  <c r="J29" i="2"/>
  <c r="J30" i="2"/>
  <c r="J55" i="2"/>
  <c r="J56" i="2"/>
  <c r="J63" i="2"/>
  <c r="J57" i="2"/>
  <c r="J72" i="2"/>
  <c r="J73" i="2"/>
  <c r="J74" i="2"/>
  <c r="J75" i="2"/>
  <c r="J58" i="2"/>
  <c r="J76" i="2"/>
  <c r="J77" i="2"/>
  <c r="J78" i="2"/>
  <c r="J64" i="2"/>
  <c r="J59" i="2"/>
  <c r="J79" i="2"/>
  <c r="J80" i="2"/>
  <c r="J65" i="2"/>
  <c r="J81" i="2"/>
  <c r="J82" i="2"/>
  <c r="J83" i="2"/>
  <c r="J71" i="2"/>
  <c r="J31" i="2"/>
  <c r="J32" i="2"/>
  <c r="J33" i="2"/>
  <c r="J34" i="2"/>
  <c r="J35" i="2"/>
  <c r="J36" i="2"/>
  <c r="J37" i="2"/>
  <c r="J38" i="2"/>
  <c r="J39" i="2"/>
  <c r="J40" i="2"/>
  <c r="J41" i="2"/>
  <c r="J25" i="2"/>
  <c r="J42" i="2"/>
  <c r="J43" i="2"/>
  <c r="J44" i="2"/>
  <c r="J45" i="2"/>
  <c r="J51" i="2"/>
  <c r="J66" i="2"/>
  <c r="J97" i="2"/>
  <c r="J84" i="2"/>
  <c r="J85" i="2"/>
  <c r="J86" i="2"/>
  <c r="J87" i="2"/>
  <c r="J88" i="2"/>
  <c r="J89" i="2"/>
  <c r="J90" i="2"/>
  <c r="J91" i="2"/>
  <c r="J92" i="2"/>
  <c r="J67" i="2"/>
  <c r="J68" i="2"/>
  <c r="J52" i="2"/>
  <c r="J93" i="2"/>
  <c r="J46" i="2"/>
  <c r="J47" i="2"/>
  <c r="J48" i="2"/>
  <c r="J49" i="2"/>
  <c r="J50" i="2"/>
  <c r="J69" i="2"/>
  <c r="J70" i="2"/>
  <c r="J94" i="2"/>
  <c r="J95" i="2"/>
  <c r="J60" i="2"/>
  <c r="J61" i="2"/>
  <c r="N14" i="7"/>
  <c r="O14" i="7" s="1"/>
  <c r="N22" i="7"/>
  <c r="O22" i="7" s="1"/>
  <c r="O10" i="7"/>
  <c r="O13" i="7"/>
  <c r="O17" i="7"/>
  <c r="O18" i="7"/>
  <c r="O19" i="7"/>
  <c r="O20" i="7"/>
  <c r="O21" i="7"/>
  <c r="N16" i="7"/>
  <c r="O16" i="7" s="1"/>
  <c r="N8" i="7"/>
  <c r="N12" i="7"/>
  <c r="O12" i="7" s="1"/>
  <c r="N15" i="7"/>
  <c r="O15" i="7" s="1"/>
  <c r="N11" i="7"/>
  <c r="C16" i="2" l="1"/>
  <c r="O11" i="7"/>
  <c r="N23" i="7"/>
  <c r="O23" i="7"/>
  <c r="D16" i="2" l="1"/>
  <c r="F23" i="7"/>
  <c r="E23" i="7"/>
  <c r="D16" i="9"/>
  <c r="D14" i="9"/>
  <c r="E16" i="2" l="1"/>
  <c r="F16" i="2" l="1"/>
  <c r="G16" i="2" l="1"/>
  <c r="H16" i="2" l="1"/>
  <c r="I16" i="2"/>
  <c r="J16" i="2" l="1"/>
  <c r="K16" i="2"/>
  <c r="L8" i="2"/>
  <c r="I17" i="2"/>
  <c r="H17" i="2"/>
  <c r="K22" i="2" l="1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21" i="2"/>
  <c r="L16" i="2"/>
  <c r="L9" i="2"/>
  <c r="L15" i="2"/>
  <c r="L13" i="2"/>
  <c r="L14" i="2"/>
  <c r="L10" i="2"/>
  <c r="L11" i="2"/>
  <c r="L12" i="2"/>
  <c r="J17" i="2"/>
  <c r="C17" i="2"/>
  <c r="D17" i="2"/>
  <c r="E17" i="2"/>
  <c r="F17" i="2"/>
  <c r="G17" i="2"/>
</calcChain>
</file>

<file path=xl/sharedStrings.xml><?xml version="1.0" encoding="utf-8"?>
<sst xmlns="http://schemas.openxmlformats.org/spreadsheetml/2006/main" count="6691" uniqueCount="571">
  <si>
    <t>UNIDAD DE BIBLIOTECA</t>
  </si>
  <si>
    <t>BIBLIOTECA INVERSIÓN Y ADQUISICIÓN RECURSOS BIBLIOGRÁFICOS</t>
  </si>
  <si>
    <t>Contenido</t>
  </si>
  <si>
    <t>Ir a la fecha que requiera información. Dar clic</t>
  </si>
  <si>
    <t>Universidad Distrital Francisco José de Caldas 
Proceso Reacreditación programas ante CNA
Cuadros maestros seguimiento (Determinados por el Comité Institucional de Autoevaluación)
Factor 4 Característica 24
INVERSIÓN REALIZADA EN RECURSOS BIBLIOGRÁFICOS</t>
  </si>
  <si>
    <t>Año</t>
  </si>
  <si>
    <t>Semestre</t>
  </si>
  <si>
    <t>Monto ($)</t>
  </si>
  <si>
    <t>Proceso</t>
  </si>
  <si>
    <t>Observaciones</t>
  </si>
  <si>
    <t>Lista de ejemplares</t>
  </si>
  <si>
    <t>I</t>
  </si>
  <si>
    <t xml:space="preserve">1. Consortia
</t>
  </si>
  <si>
    <t>1.1 Contratar la suscripción o compra de recursos bibliograficos digitales o impresos</t>
  </si>
  <si>
    <t xml:space="preserve">1. Consortia: 453.424
</t>
  </si>
  <si>
    <t>$ 1.738.316.829</t>
  </si>
  <si>
    <t xml:space="preserve">1. Consortia
2. EBSCO HOST
3. Ambientalex. info
4. Naxos Music
5. Digitalia Publishing
6. eCollection- Icontec
7. Digital Content 7/24
</t>
  </si>
  <si>
    <t>1. Consortia: 384.297
2. EBSCO HOST: 185.430
3. Ambientalex. info:  3.000 documentos entre journals, normas 
4. Naxos Music:  con cerca de +2’000.000 millones.
5. Digitalia Publishing: 7.0526 + 1.827 Digitalia Films
6. eCollection- Icontec: Rango de 501 a 1000
7. Digital Content 7/24: 238 libros electronicos</t>
  </si>
  <si>
    <t>III</t>
  </si>
  <si>
    <t>$ 4.500.000</t>
  </si>
  <si>
    <t>1. Dewey</t>
  </si>
  <si>
    <t>1. Dewey: Relacion de los numeros de clasificacion, con acceso para 9 usuarios simultaneos</t>
  </si>
  <si>
    <t xml:space="preserve">I </t>
  </si>
  <si>
    <t xml:space="preserve">1. Ambientalex.info
2. Naxos Music </t>
  </si>
  <si>
    <t>1.1 Contratar la suscripción a bases de datos, publicaciones seriadas y
periódicas</t>
  </si>
  <si>
    <t>1. AMBIENTALEX.INFO 3.000 documentos entre journals, normas 
2. NAXOS MUSIC LIBRARY con cerca de +2’000.000 millones.
   NAXOS MUSIC LIBRARY JAZZ e +250.000 pistas (de cerca de 22.000 álbumes y 32.000 artistas) 
   NAXOS SHEET MUSIC es 40.000 partituras</t>
  </si>
  <si>
    <t>II</t>
  </si>
  <si>
    <t xml:space="preserve">1. Consortia 
2. Ebsco host 
3. E Collection ICONTEC 
</t>
  </si>
  <si>
    <t>1. CONSORTIA 384.297
2. Ebsco Host  185.430
3. ICONTEC rango de 4000 a 5000</t>
  </si>
  <si>
    <t xml:space="preserve">1. Pasa la Pagina </t>
  </si>
  <si>
    <t>1.1. Contratar la suscripción a bases de datos bibliográficas especializadas o multidisciplinaria</t>
  </si>
  <si>
    <t xml:space="preserve">1. PasaLaPágina presenta un kiosco digital  con más de 310 revistas nacionales e internacionales, como: National Geographic, P&amp;M, Arcadia, Portafolio, Forbes (Colombia, Centro América y México), Axxis, MUY (Historia, Interesante), Roling Stone, Habitar, AD entre otras; todas ellas idénticas a la edición impresa. </t>
  </si>
  <si>
    <t xml:space="preserve">1.EUREKA
2.Mc Graw Hill 
3.EBSCO e-Books
4.Digital Content
5.Digitalia publishing
6. ECOE </t>
  </si>
  <si>
    <t>1.2 Adquirir material bibliográfico (libros) en todos los formatos para la
dotación de unidades de información y el fortalecimiento de las áreas
del conocimiento</t>
  </si>
  <si>
    <t xml:space="preserve">1. EUREKA 8 ebooks Enfermeria 
2. Mc Graw Hill 12 ebooks enfermeria 
3. EBSCO EBOOKS 17 ebooks Enfermeria 
4. Digital 7/24     9 ebooks enfermeria 
5. Digitalia Publishing 64.193 ebooks multidisciplinarios 
6. ECOE 31  ebooks multidisciplinarios 
</t>
  </si>
  <si>
    <t>TOTAL 2024</t>
  </si>
  <si>
    <t>Toda la Vigencia</t>
  </si>
  <si>
    <t xml:space="preserve">1. Consortia
2. Ambientalex.info
3. Naxos Music </t>
  </si>
  <si>
    <t>Contratar la suscripción a bases de datos, publicaciones seriadas y periódicas</t>
  </si>
  <si>
    <t xml:space="preserve">
-Springer (12.568) [2.328 SpringerLink, 47 Revistas Palgrave all,21 Revistas Adis All, 37 Revistas Academic journals, 10.135 eBooks Colección Nature].
-Sage (6.556) [ 1.126 Premier Journals Collection, 5.430 eBooks año 2023].
-Science Direct (2.321), Taylor &amp; Francis (1.231); Oxford University (469 Journals)
-Ambientalex .info (79.079) [Inf tecnolò 4.546;  guìas 838, normatividad 7.414; jurisprudencia 47.842; còdigos 18;  noticias 18.197; Derecho pùblico 224]
-Naxos Music Library  (2.000.000)</t>
  </si>
  <si>
    <t>Adquirir Material Bibliográfico impreso, e-books a perpetuidad</t>
  </si>
  <si>
    <t>Total 2023</t>
  </si>
  <si>
    <t xml:space="preserve">*Consortia
*Education Collection
*Digitalia Hispanica
*IOP Science
</t>
  </si>
  <si>
    <t>* Consorcio Colombia: 24.754 libros y 8,347 revistas (Elsevier, OUP, Sage, Springer, T&amp;F)
* Education Collection - contenidos científicos (Proquest Colombia S.A.S) mas de 1.000 revistas a texto completo con 18.000 disertaciones
* Digitalia Hispanica - Films Library  - Libros y revistas Electrónicos 50.000 e-documentos en español y en texto completo (Digitalia Hispanica) 1.452 títulos en streaming ( Digitalia Films LIbrary)
Elsevier = Sciencia Direct - Journals Freedom - Collection - Scopus
OUP = Oxford University 
Sage = Sage Premier - Journals / 
Sage Knowledge
T&amp;F =  Taylor &amp; Francis - Science &amp; Technology</t>
  </si>
  <si>
    <t xml:space="preserve">
</t>
  </si>
  <si>
    <t xml:space="preserve">Total 2022 </t>
  </si>
  <si>
    <t>Suscripción de los recursos electrónicos a traves del Consorcio Colombia Consortia/ASCUN</t>
  </si>
  <si>
    <t>Elsevier revistas freedom Colletion=2257
Oxford= revistas 469 
sage premier= revistas 1104
Springer Nature= Revistar 47
Springer Link: Revistas 2152
Taylos &amp; Francys = Revistas 2225
SAGE libros=5207
Springer Libros=29502</t>
  </si>
  <si>
    <t>Suscripción a Bases de Datos de Contenido Electrónico -en ejecución</t>
  </si>
  <si>
    <t>Adquisición Material bibliográfico impreso, E-books a perpetuidad (suscripción periodicos digitales y suscripción Ebooks-Digitalia)</t>
  </si>
  <si>
    <t>Alpha Cloud=152
Mc Graw Hill=197
 Biblioteca Virtual E-Books 7/24 Digital Content  ( Ebboks de diferentes editoriales)= 276 títulos</t>
  </si>
  <si>
    <t>Total 2021</t>
  </si>
  <si>
    <t>Adquisición Material bibliográfico impreso, E-books a perpetuidad /(Suscripción de Bibliotecas Digitales)</t>
  </si>
  <si>
    <t>Listado de libros se verifica en el OPAC. Catalogo Udistrital
Aplica para toda la Comunidad Académica en el Campus o fuera de él. Acceso por medio de la Plataforma Biblioteca http://biblioteca.udistrital.edu.co/F?RN=891476629
Listado de bases de datos - recursos electrónicos se consultas el BDIGITAL Udistrital
El acceso es con documento de identidad de cada estudiante o docente registrado y con su clave respectiva.</t>
  </si>
  <si>
    <t>TOTAL 2020</t>
  </si>
  <si>
    <t>TOTAL 2019</t>
  </si>
  <si>
    <t>Material bibliográfico impreso, E-books a perpetuidad</t>
  </si>
  <si>
    <t>Suscripciones periodicas y publicaciones Seriadas (Periodicos impresos por Biblioteca y 1 digital)</t>
  </si>
  <si>
    <t>TOTAL 2018</t>
  </si>
  <si>
    <t>Inversión Material Impreso. - Otrosi</t>
  </si>
  <si>
    <t>Recursos Electrónicos Subscripción. Bases de datos.</t>
  </si>
  <si>
    <t>TOTAL 2017</t>
  </si>
  <si>
    <t>Inversión Material Impreso. En Ejecución</t>
  </si>
  <si>
    <t>TOTAL 2016</t>
  </si>
  <si>
    <t>Inversión Material Impreso.</t>
  </si>
  <si>
    <t>TOTAL 2015</t>
  </si>
  <si>
    <t>TOTAL 2014</t>
  </si>
  <si>
    <t>TOTAL 2013</t>
  </si>
  <si>
    <t>TOTAL 2012</t>
  </si>
  <si>
    <t>Nota. Datos generales del Sistema de Biblioteca. Aplica a todas las Facultades. Fecha actualización 30/12/2025</t>
  </si>
  <si>
    <t>UNIVERSIDAD DISTRITAL FRANCISCO JOSÉ DE CALDAS</t>
  </si>
  <si>
    <t>ADQUISICIONES (Factor 4 Característica 24)</t>
  </si>
  <si>
    <t xml:space="preserve">PROYECCIÓN DE INVERSIÓN DE RECURSOS PARA FUTURAS VIGENCIAS </t>
  </si>
  <si>
    <t>RECURSOS</t>
  </si>
  <si>
    <t>Bases de datos suscritas</t>
  </si>
  <si>
    <t>X</t>
  </si>
  <si>
    <t>Libros electrónicos</t>
  </si>
  <si>
    <t>Recursos físicos /impresos</t>
  </si>
  <si>
    <t>Soporte y mantenimiento sistemas de información</t>
  </si>
  <si>
    <t>Adquisición de Equipos para labores de biblioteca</t>
  </si>
  <si>
    <t>AÑO</t>
  </si>
  <si>
    <t>Entidad</t>
  </si>
  <si>
    <t>Objeto del acuerdo, convenio o contrato</t>
  </si>
  <si>
    <t>Número de beneficiarios</t>
  </si>
  <si>
    <t>Año en el cual se iniciara la gestión</t>
  </si>
  <si>
    <t>Periodo estimado de la duración del acuerdo, convenio y/o contrato</t>
  </si>
  <si>
    <t>Impacto esperado al suscribir este acuerdo, convenio y/o contrato</t>
  </si>
  <si>
    <t>Convenio Consortia</t>
  </si>
  <si>
    <t>Usuario Autorizado" para poder tener acceso y uso a las bases de datos de artículos, fragmentos, resúmenes, apartes de capítulos, demás documentos y publicaciones denominados PRODUCTOS</t>
  </si>
  <si>
    <t>Comunidad Académica</t>
  </si>
  <si>
    <t>Un año</t>
  </si>
  <si>
    <t>Fortalecimiento a la investigación</t>
  </si>
  <si>
    <t>Contrato</t>
  </si>
  <si>
    <t>Ordenes de Servicios Suscripción Bases de Datos y Bibliotecas digitales
Servicios de Descubrimiento</t>
  </si>
  <si>
    <t xml:space="preserve">Fortalecimiento a los procesos de investigación y autoaprendizaje  </t>
  </si>
  <si>
    <t>Soporte mantenimiento Citrix</t>
  </si>
  <si>
    <t>Soporte escritorios virtuales</t>
  </si>
  <si>
    <t>Soporte y mantenimiento Repositorio institucional RIUD</t>
  </si>
  <si>
    <t xml:space="preserve">Divulgación de producción academica </t>
  </si>
  <si>
    <t xml:space="preserve">Divulgación de la colección a traves del catalogo en linea </t>
  </si>
  <si>
    <t>Suscripción Herramienta Estadísticas</t>
  </si>
  <si>
    <t xml:space="preserve">Permite identificar el uso de los recursos electrónicos </t>
  </si>
  <si>
    <t>Adquisición de RFID para Ensueño</t>
  </si>
  <si>
    <t>8 meses</t>
  </si>
  <si>
    <t>Adquisición de Equipos Computadores</t>
  </si>
  <si>
    <t>Disponibilidad de equipos tecnológicos actualizados</t>
  </si>
  <si>
    <t>Convenio Interadministrativo Universidad nacional</t>
  </si>
  <si>
    <t>Adquisición de material Bibliográfico impreso</t>
  </si>
  <si>
    <t>seis (6) meses</t>
  </si>
  <si>
    <t>Fortalecimiento de las colecciones del Sistema Bibliotecas</t>
  </si>
  <si>
    <t xml:space="preserve">Herramienta que permite recuperar la información unificando las colecciones en un solo sitio  </t>
  </si>
  <si>
    <t>Divulgación de la memoria institucional</t>
  </si>
  <si>
    <t xml:space="preserve">Divulgación de la colección a traves del catalogo en línea </t>
  </si>
  <si>
    <t>Adquisición Sistema de Seguridad Biblioteca ingeniería</t>
  </si>
  <si>
    <t>Acuerdo Consortia</t>
  </si>
  <si>
    <t xml:space="preserve">Permite mantener en buen funcionamiento el servicios del Sistema de Bibliotecas </t>
  </si>
  <si>
    <t xml:space="preserve">Actualizar las colecciones del Sistema de Bibliotecas </t>
  </si>
  <si>
    <t>Soporte y mantenimiento Repositorios</t>
  </si>
  <si>
    <t>Adquisición de equipos computadores</t>
  </si>
  <si>
    <t xml:space="preserve">Actualización de parque tecnologico </t>
  </si>
  <si>
    <t xml:space="preserve">Permite identificar el uso de los recursos electronicos </t>
  </si>
  <si>
    <t>Preservación de colecciones bibliográficas impresas - desinfección especializada</t>
  </si>
  <si>
    <t>Preservación de colecciones</t>
  </si>
  <si>
    <t>Conservación de colecciones - digitalización</t>
  </si>
  <si>
    <t>Conservación de colecciones</t>
  </si>
  <si>
    <t>Preservación de colecciones-adquisición de papelería especializada.</t>
  </si>
  <si>
    <t xml:space="preserve">Autopréstamo y Autodevolución </t>
  </si>
  <si>
    <t>Servicio para el usuario en autopréstamo y autodevolución</t>
  </si>
  <si>
    <t>ID_BIBLIOTECA</t>
  </si>
  <si>
    <t>NOMBRE_BIBLIOTECA</t>
  </si>
  <si>
    <t>SEDE_BIBLIOTECA</t>
  </si>
  <si>
    <t>NUM_VOLUMENES_PROPIOS IMPRESO</t>
  </si>
  <si>
    <t>NUM_TITULOS_PUBLIC_PERIODICAS</t>
  </si>
  <si>
    <t>NUM_BASE_DATOS_ESPECIALIZADAS</t>
  </si>
  <si>
    <t>TIENE_ALIANZA_OTRAS_BIBLIOTECA</t>
  </si>
  <si>
    <t>TIENE_BIBLIOTECA_DIGITAL</t>
  </si>
  <si>
    <t>NUM_REFERENCIAS_ELECTRONICAS</t>
  </si>
  <si>
    <t>NUM_LIBROS_ELECTRONICOS</t>
  </si>
  <si>
    <t>NUM_TITULOS_ADQUIRIDOS</t>
  </si>
  <si>
    <t>NUM_VOLUMENES_ADQUIRIDOS</t>
  </si>
  <si>
    <t>NUM_TITULOS_PROPIOS DIGITALES</t>
  </si>
  <si>
    <t>Bibloteca Antonio Nariño</t>
  </si>
  <si>
    <t>Sede Asab - Facultad de Artes ASAB</t>
  </si>
  <si>
    <t>S</t>
  </si>
  <si>
    <t>Biblioteca Camilo Torres</t>
  </si>
  <si>
    <t>Sede Macarena A  - Facultad Ciencias y Educación</t>
  </si>
  <si>
    <t> </t>
  </si>
  <si>
    <t>Biblioteca Heliodoro Sánchez</t>
  </si>
  <si>
    <t>Sede Ciudadela Universitaria El Porvenir</t>
  </si>
  <si>
    <t>Biblioteca Facultad Ingeniería</t>
  </si>
  <si>
    <t>Sede la 40 - Facultad de Ingeniería</t>
  </si>
  <si>
    <t>Biblioteca Facultad Medio Ambiente</t>
  </si>
  <si>
    <t>Sede Vivero - Facultad de Medio Ambiente y Recursos Naturales</t>
  </si>
  <si>
    <t>Biblioteca Jairo Aníbal Niño</t>
  </si>
  <si>
    <t>Sede Macarena B - Facultad de Ciencias y Educación</t>
  </si>
  <si>
    <t>Biblioteca Ramon D' Luyz Nieto</t>
  </si>
  <si>
    <t>Sede - Aduanilla de Paiba</t>
  </si>
  <si>
    <t>Biblioteca Ricardo Pirajan Cantillo</t>
  </si>
  <si>
    <t>Sede Tecnologíca.- Edifico Lectus - Facultad Tecnológica</t>
  </si>
  <si>
    <t>Biblioteca sede posgrados</t>
  </si>
  <si>
    <t>Sede Posgrados - Facultad Ciencias y Educación</t>
  </si>
  <si>
    <t>**10</t>
  </si>
  <si>
    <t>Unidad de Biblioteca</t>
  </si>
  <si>
    <t>Sede Aduanilla de Paiba</t>
  </si>
  <si>
    <t>No aplica</t>
  </si>
  <si>
    <t>Biblioteca Ciencias, Matemáticas y Naturales</t>
  </si>
  <si>
    <t>Sede ECCI</t>
  </si>
  <si>
    <t>Centro de documentación de Artes</t>
  </si>
  <si>
    <t>Centro de documentación Sociales</t>
  </si>
  <si>
    <t>Sede Macarena A - Facultad de Ciecias y Educación</t>
  </si>
  <si>
    <t>Instituto de Lenguas de la Universidad</t>
  </si>
  <si>
    <t>Sede Instituto de lenguas ILUD</t>
  </si>
  <si>
    <t>Herbario</t>
  </si>
  <si>
    <t>Sede Vivero - Facultad de Medio Ambiente</t>
  </si>
  <si>
    <t>TOTAL SISTEMA BIBLIOTECAS</t>
  </si>
  <si>
    <r>
      <rPr>
        <sz val="10"/>
        <color rgb="FF000000"/>
        <rFont val="Arial Narrow"/>
      </rPr>
      <t>Datos propios de Sistema de Bibliotecas.</t>
    </r>
    <r>
      <rPr>
        <sz val="10"/>
        <color rgb="FFFF0000"/>
        <rFont val="Arial Narrow"/>
      </rPr>
      <t xml:space="preserve"> Fecha 30/12/2025
</t>
    </r>
    <r>
      <rPr>
        <sz val="10"/>
        <color rgb="FF000000"/>
        <rFont val="Arial Narrow"/>
      </rPr>
      <t>* NUM_BASE_DATOS_ESPECIALIZADA: Son bases de datos multidisciplinar por tanto se pueden utilizar desde cualquier usuario de facultad. El número no se puede sumar para totalizar es igual para todos.
**Unidad de Biblioteca: Es la dependencia que integra todas las Bibliotecas y Unidades de Información. No aplica el diligenciamiento de datos ya que seria igual a la sumatoria de los datos de todas las bibliotecas. 
***NUM_REFERENCIAS_ELECTRONICAS: Se interpreta como el total de recursos bibliográficos disponibles en línea: libros, revistas, informes, mapas, diccionarios, multimedia, periódicos, normas entre otros.
****NUM_TITULOS_PROPIOS: se refiere al título (único) de la obra que se cita adquiridos por compra por Unidad de Biblioteca.</t>
    </r>
  </si>
  <si>
    <t>ADQUISICIÓN POR SUSCRIPCIÓN</t>
  </si>
  <si>
    <t>Consulta BDIGITAL en:</t>
  </si>
  <si>
    <t>https://bibliotecas.udistrital.edu.co/ud/bdigital2/subjects/index.php</t>
  </si>
  <si>
    <t>Consulta estadísticas ELOGIM:</t>
  </si>
  <si>
    <t>https://udistrital.elogim.com/</t>
  </si>
  <si>
    <t>RECURSO</t>
  </si>
  <si>
    <t>Recurso adquirido por suscripción 2018</t>
  </si>
  <si>
    <t>Recurso adquirido por suscripción
2019</t>
  </si>
  <si>
    <t>Recurso adquirido por suscripción
2020</t>
  </si>
  <si>
    <t>Recurso adquirido por suscripción
2021</t>
  </si>
  <si>
    <t>Recurso adquirido por suscripción
2022</t>
  </si>
  <si>
    <t>Recurso adquirido por suscripción
2023</t>
  </si>
  <si>
    <t>Recurso adquirido por suscripción
2024</t>
  </si>
  <si>
    <t>Recurso adquirido por suscripción
2025</t>
  </si>
  <si>
    <t>Recurso adquirido por suscripción
2026</t>
  </si>
  <si>
    <t>CONSORTIA</t>
  </si>
  <si>
    <t>SCIENCE DIRECT (Elsevier)</t>
  </si>
  <si>
    <t>x</t>
  </si>
  <si>
    <t>SCOPUS (Elsevier) (**Usos)</t>
  </si>
  <si>
    <t>OXFORD UNIVERSTY</t>
  </si>
  <si>
    <t>TAYLOR &amp; FRANCIS GROUP</t>
  </si>
  <si>
    <t>SPRINGER LINK</t>
  </si>
  <si>
    <t>SPRINGER EBOOKS (*descargas)</t>
  </si>
  <si>
    <t>SPRINGER NATURE (descargas)</t>
  </si>
  <si>
    <t>SAGE JOURNALS</t>
  </si>
  <si>
    <t>SAGE KNOWLEDGE Ebooks</t>
  </si>
  <si>
    <t>INFOLINK</t>
  </si>
  <si>
    <t>PASA LA PAGINA</t>
  </si>
  <si>
    <t>Naxos Music Library</t>
  </si>
  <si>
    <t>Naxos Sheet Music</t>
  </si>
  <si>
    <t>NEW BANKS</t>
  </si>
  <si>
    <t>PUBLICIENCIA</t>
  </si>
  <si>
    <t>ACM</t>
  </si>
  <si>
    <t>ENVIRONMENTAL</t>
  </si>
  <si>
    <t>FORESTRY</t>
  </si>
  <si>
    <t>E-Global Services</t>
  </si>
  <si>
    <t>AMBIENTALEX</t>
  </si>
  <si>
    <t>ICONTEC</t>
  </si>
  <si>
    <t>E-NORMAS</t>
  </si>
  <si>
    <t>PROQUEST</t>
  </si>
  <si>
    <t>ERIC PLUS</t>
  </si>
  <si>
    <t>EDUCATION COLLECTION</t>
  </si>
  <si>
    <t>DOT LIB</t>
  </si>
  <si>
    <t>SPRINGER</t>
  </si>
  <si>
    <t>JSTOR</t>
  </si>
  <si>
    <t>ITMS GROUP</t>
  </si>
  <si>
    <t>SCIENCE MAGAZINE</t>
  </si>
  <si>
    <t>IOP</t>
  </si>
  <si>
    <t xml:space="preserve">Iop Science </t>
  </si>
  <si>
    <t>PEARSON</t>
  </si>
  <si>
    <t>BIBLIOTECA VIRTUAL PEARSON</t>
  </si>
  <si>
    <t>MAGISTERIO</t>
  </si>
  <si>
    <t xml:space="preserve">BIBLIOTECA VIRTUAL MAGISTERIO  </t>
  </si>
  <si>
    <t>CENGAGE</t>
  </si>
  <si>
    <t>ACADEMIC ONE FILE</t>
  </si>
  <si>
    <t>INFORME ACADEMICO</t>
  </si>
  <si>
    <t>BRITANNICA</t>
  </si>
  <si>
    <t>Britannica Image Quest</t>
  </si>
  <si>
    <t xml:space="preserve">Britannica Academic </t>
  </si>
  <si>
    <t>Britannica Moderna</t>
  </si>
  <si>
    <t>Digitalia</t>
  </si>
  <si>
    <t>Digitalia - Digitalia Hispanica</t>
  </si>
  <si>
    <t>Thomson Reuters</t>
  </si>
  <si>
    <t>Web of Science</t>
  </si>
  <si>
    <t>EBSCO (**usos)</t>
  </si>
  <si>
    <t>IEEE</t>
  </si>
  <si>
    <t>Academic Search Complete</t>
  </si>
  <si>
    <t>Business Source Complete</t>
  </si>
  <si>
    <t>Fuente Académica Plus</t>
  </si>
  <si>
    <t>Environment Complete</t>
  </si>
  <si>
    <t>SPORTDISCUSS With Full Text</t>
  </si>
  <si>
    <t>International Bibliography of Theatre &amp; Dance with Full Text</t>
  </si>
  <si>
    <t>ART SOURCE</t>
  </si>
  <si>
    <t>MUSIC INDEX</t>
  </si>
  <si>
    <t>Engineering Source</t>
  </si>
  <si>
    <t>APPLIED SCIENCE AND TECHNOLOGY SOURCE</t>
  </si>
  <si>
    <t>SCIENCE FULL TEXT</t>
  </si>
  <si>
    <t>EDUCATION SOURCE</t>
  </si>
  <si>
    <t>Green file</t>
  </si>
  <si>
    <t>RILM</t>
  </si>
  <si>
    <t>Biological &amp; Agricultural Index Plus Art &amp; Architecture
Source</t>
  </si>
  <si>
    <t>BIOLOGY ABSTRACTS</t>
  </si>
  <si>
    <t>History of Science, Technology and Medicine</t>
  </si>
  <si>
    <t>eBook Academic Collection</t>
  </si>
  <si>
    <t>Humanities Interna-tional Complete-Humanidades</t>
  </si>
  <si>
    <t>MasterFILE</t>
  </si>
  <si>
    <t>Library, Information Science &amp; Technology</t>
  </si>
  <si>
    <t>Abstracts</t>
  </si>
  <si>
    <t>MasterFILE Reference eBook Collection</t>
  </si>
  <si>
    <t>Regional Businees News</t>
  </si>
  <si>
    <t>MC GRAW HILL</t>
  </si>
  <si>
    <t>McGraw-Hill Interamericana</t>
  </si>
  <si>
    <t>ALFAOMEGA</t>
  </si>
  <si>
    <t>alfaomega Icloud - Alpha Editorial Cloud</t>
  </si>
  <si>
    <t>ELSEVIER</t>
  </si>
  <si>
    <t>REAXYS</t>
  </si>
  <si>
    <t>USA LIBROS / Digitalia Publishing</t>
  </si>
  <si>
    <t xml:space="preserve"> Digitalia Hispanica </t>
  </si>
  <si>
    <t>Digitallia Films</t>
  </si>
  <si>
    <t>EBOOKS 7/24</t>
  </si>
  <si>
    <t>Cengage 61</t>
  </si>
  <si>
    <t>Diaz de Santos 32</t>
  </si>
  <si>
    <t>Ediciones de la U 123</t>
  </si>
  <si>
    <t>IC Editorial 53</t>
  </si>
  <si>
    <t>Pearson Educación 141</t>
  </si>
  <si>
    <t>Editorial Brujas</t>
  </si>
  <si>
    <t>Narcea</t>
  </si>
  <si>
    <t>Paraninfo</t>
  </si>
  <si>
    <t>ECOE</t>
  </si>
  <si>
    <t>Manual Moderno</t>
  </si>
  <si>
    <t>Corporacion para investigaciones Biologicas</t>
  </si>
  <si>
    <t>Editorial UNRN</t>
  </si>
  <si>
    <t>Alfagrama</t>
  </si>
  <si>
    <t>Reverte</t>
  </si>
  <si>
    <t>Alfaomega</t>
  </si>
  <si>
    <t>Dextra</t>
  </si>
  <si>
    <t>Siglo del Hombre 70</t>
  </si>
  <si>
    <t>SOCIEDAD COLOMBIANA DE MATEMATICAS</t>
  </si>
  <si>
    <t>MATHSCINET</t>
  </si>
  <si>
    <t>EDITORIAL MEDICA PANAMERICANA</t>
  </si>
  <si>
    <t>Eureka</t>
  </si>
  <si>
    <t>EJEMPLARES ADQUIRIDOS POR COMPRA POR PROYECTO CURRICULAR Y DISPONIBLES EN LA BIBLIOTECA</t>
  </si>
  <si>
    <t>Consulta Catalogo en línea LOCATE:</t>
  </si>
  <si>
    <t>https://research.ebsco.com/c/2gsfcu/search</t>
  </si>
  <si>
    <t>FACULTAD</t>
  </si>
  <si>
    <t>TOTAL EJEMPLARES</t>
  </si>
  <si>
    <t>Porcentaje de Adquisición por Compra</t>
  </si>
  <si>
    <t>FACULTAD ARTES</t>
  </si>
  <si>
    <t>FACULTAD CIENCIAS Y EDUCACIÓN</t>
  </si>
  <si>
    <t>FACULTAD DE INGENIERIA</t>
  </si>
  <si>
    <t>FACULTAD DE MEDIO AMBIENTE Y RECURSOS NATURALES</t>
  </si>
  <si>
    <t>FACULTAD TECNOLOGICA</t>
  </si>
  <si>
    <t>FACULTAD CIENCIAS, MATEMÁTICAS Y NATURALES</t>
  </si>
  <si>
    <t>FACULTAD DE LA SALUD</t>
  </si>
  <si>
    <t>UNIDAD BIBLIOTECA</t>
  </si>
  <si>
    <t>TOTAL</t>
  </si>
  <si>
    <t>Porcentaje de Adquisición por Suscripción</t>
  </si>
  <si>
    <t>PROYECTO CURRICULAR</t>
  </si>
  <si>
    <t>ARTE DANZARIO</t>
  </si>
  <si>
    <t>ARTES ESCENICAS</t>
  </si>
  <si>
    <t>ARTES MUSICALES</t>
  </si>
  <si>
    <t>DOCTORADO EN ESTUDIOS ARTISTICOS</t>
  </si>
  <si>
    <t>MAESTRIA ESTUDIOS ARTISTICOS</t>
  </si>
  <si>
    <t>ARCHIVISTICA Y GESTION DE LA INFORMACION DIGITAL</t>
  </si>
  <si>
    <t>COMUNICACION SOCIAL Y PERIODISMO</t>
  </si>
  <si>
    <t>DOCTORADO EN ESTUDIOS SOCIALES</t>
  </si>
  <si>
    <t>ESPECIALIZACION DES HUMANO ENF EN PROC AFE</t>
  </si>
  <si>
    <t>ESPECIALIZACION INFANCIA CULT Y DESA</t>
  </si>
  <si>
    <t>LICENCIATURA  BIOLOGIA</t>
  </si>
  <si>
    <t>LICENCIATURA ESPECIALIZACIONANOL-INGENIERIALES</t>
  </si>
  <si>
    <t>LICENCIATURA FISICA</t>
  </si>
  <si>
    <t>LICENCIATURA MATEMATICAS</t>
  </si>
  <si>
    <t>LICENCIATURA PEDA INFANTIL</t>
  </si>
  <si>
    <t>LICENCIATURA QUIMICA</t>
  </si>
  <si>
    <t>LICENCIATURAENCIATURA EN EDUCACION BASICA   CIEN SOCIALES</t>
  </si>
  <si>
    <t>LICENCIATURAENCIATURA EN EDUCACION BASICA EDU ARTISTICA</t>
  </si>
  <si>
    <t>LICENCIATURAENCIATURA EN EDUCACION BASICA   INGENIERIALES</t>
  </si>
  <si>
    <t>MAESTRIA COMUNICACIÓN EDUCACIÓN</t>
  </si>
  <si>
    <t>MAESTRIA EDU EN TECNOLOGIA</t>
  </si>
  <si>
    <t>MAESTRIA INF CULT Y DESARROLLO</t>
  </si>
  <si>
    <t>MAESTRIA INV SOCIAL INTERDISCIPLI</t>
  </si>
  <si>
    <t>MAESTRIA LINGENIERIAUISTICA</t>
  </si>
  <si>
    <t>MAESTRIA PED DE LA LENGUA MATERNA</t>
  </si>
  <si>
    <t>LICENCIATRA EN CIENCIAS SOCIALES</t>
  </si>
  <si>
    <t>LICENCIATURA EN EDUCACION BASICA CON ENFASIS EN INGLES</t>
  </si>
  <si>
    <t>LICENCIATURA EN EDUCACION INFANTIL</t>
  </si>
  <si>
    <t>LICENCIATURA EN HUMANIDADES Y LENGUA CASTELLANA</t>
  </si>
  <si>
    <t>LICENCIATURA EN LENGUAS EXTRANJERAS CON ENFASIS EN INGLES</t>
  </si>
  <si>
    <t>MATEMATICAS</t>
  </si>
  <si>
    <t>FISICA</t>
  </si>
  <si>
    <t>DIP HIGIENE Y SALUD OCUPACIO</t>
  </si>
  <si>
    <t>ESPECIALIZACION  HIGIENE Y SALUD OCUPACIO</t>
  </si>
  <si>
    <t>ESPECIALIZACION PROYECTOS INFORMATICOS</t>
  </si>
  <si>
    <t>GESTION DE RIESGOS II</t>
  </si>
  <si>
    <t>INGENIERIA CATASTRAL Y GEODESIA</t>
  </si>
  <si>
    <t>INGENIERIA DE SISTEMAS</t>
  </si>
  <si>
    <t>INGENIERIA INDUSTRIAL</t>
  </si>
  <si>
    <t>ENFERMERIA</t>
  </si>
  <si>
    <t>ADMINISTRACION AMBIENTAL</t>
  </si>
  <si>
    <t>ADMINISTRACION DEPORTIVA</t>
  </si>
  <si>
    <t>INGENIERIA AMBIENTAL</t>
  </si>
  <si>
    <t>INGENIERIA FORESTAL</t>
  </si>
  <si>
    <t>INGENIERIA SANITARIA</t>
  </si>
  <si>
    <t>SANEAMIENTO AMBIENTAL</t>
  </si>
  <si>
    <t>TECNOLOGIA TOPOGRAFIA</t>
  </si>
  <si>
    <t>ESPECIALIZACION EN DISEÑO DE VIAS URBANAS, TRANSITO Y TRANSPORTE</t>
  </si>
  <si>
    <t xml:space="preserve">MAESTRIA EN INFRAESTRUCTURA VIAL </t>
  </si>
  <si>
    <t>TECNOLOGIA EN GESTION AMBIENTAL Y SERVICIOS PUBLICOS</t>
  </si>
  <si>
    <t>INGENIERIA TOPOGRAFICA</t>
  </si>
  <si>
    <t>INGENIERIA CIVIL</t>
  </si>
  <si>
    <t>INGENIERIA CONTROL</t>
  </si>
  <si>
    <t>INGENIERIA DE PRODUCCION</t>
  </si>
  <si>
    <t>INGENIERIA DE PRODUCCION (PROPEDEU)</t>
  </si>
  <si>
    <t>INGENIERIA ELECTRICA</t>
  </si>
  <si>
    <t>INGENIERIA ELECTRICA ( PROPE)</t>
  </si>
  <si>
    <t>INGENIERIA ELECTRONICA</t>
  </si>
  <si>
    <t>INGENIERIA MECANICA ( PROPE)</t>
  </si>
  <si>
    <t>INGENIERIA MECANICA (NOCTURNO)</t>
  </si>
  <si>
    <t>INGENIERIA TELECOMES</t>
  </si>
  <si>
    <t>INGENIERIA TELEMATICA</t>
  </si>
  <si>
    <t>INGENIERIA TELEMATICA ( PROPE)</t>
  </si>
  <si>
    <t>TECNOLOGIA CONSTRUC CIVILES</t>
  </si>
  <si>
    <t>TECNOLOGIA CONSTRUC CIVILES (PROPE</t>
  </si>
  <si>
    <t>TECNOLOGIA ELECTRICIDAD</t>
  </si>
  <si>
    <t>TECNOLOGIA ELECTRONICA</t>
  </si>
  <si>
    <t>TECNOLOGIA ELECTRONICA ( PROPE)</t>
  </si>
  <si>
    <t>TECNOLOGIA INDUSTRIAL</t>
  </si>
  <si>
    <t>TECNOLOGIA MECANICA</t>
  </si>
  <si>
    <t>TECNOLOGIA SIST DE DATOS</t>
  </si>
  <si>
    <t>TECNOLOGIA SIST DE DATOS ( PROPE)</t>
  </si>
  <si>
    <t>INGENIERIA EN  CONTROL Y AUTOMATIZACION</t>
  </si>
  <si>
    <t>TECNOLOGIA EN GESTION DE LA PRODUCCION INDUSTRIAL</t>
  </si>
  <si>
    <t>TECNOLOGIA EN MECANICA INDUSTRIAL</t>
  </si>
  <si>
    <t>BIBLIOTECA</t>
  </si>
  <si>
    <t>Sin asignación de proyecto curricular</t>
  </si>
  <si>
    <t>SERVICIOS CRAI+10: RECURSOS ADQUIRIDOS_SUSCRIPCIÓN BASES DE DATOS  POR PROYECTO CURRICULAR Y DISPONIBLES EN LA BIBLIOTECA</t>
  </si>
  <si>
    <t>Base de datos</t>
  </si>
  <si>
    <t>Academic Search Complete (EBSCO)</t>
  </si>
  <si>
    <t>AGRIS</t>
  </si>
  <si>
    <t>Ambientalex</t>
  </si>
  <si>
    <t>Applied Science &amp; Technology Full Text (H.W. Wilson) (EBSCO)</t>
  </si>
  <si>
    <t>Art &amp; Architecture Source (EBSCO)</t>
  </si>
  <si>
    <t>ArXiv</t>
  </si>
  <si>
    <t>Banco de Imágenes de Bogotá</t>
  </si>
  <si>
    <t>Biblioteca Digital Mundial</t>
  </si>
  <si>
    <t>Biblioteca Jurídica Virtual – ASTREA</t>
  </si>
  <si>
    <t>BioOne </t>
  </si>
  <si>
    <t>Business Source Complete (EBSCO)</t>
  </si>
  <si>
    <t>CAS SciFinder Discovery Platform</t>
  </si>
  <si>
    <t>CINEP</t>
  </si>
  <si>
    <t>CLACSO</t>
  </si>
  <si>
    <t>Dialnet</t>
  </si>
  <si>
    <t>Digitalia Films Library</t>
  </si>
  <si>
    <t>Digitalia Hispanica</t>
  </si>
  <si>
    <t>DOAJ</t>
  </si>
  <si>
    <t>E-books 7/24</t>
  </si>
  <si>
    <t>E-collection (icontec)</t>
  </si>
  <si>
    <t>E-Revistas</t>
  </si>
  <si>
    <t>EBook Collection (EBSCOhost)</t>
  </si>
  <si>
    <t>Education Source (EBSCO)</t>
  </si>
  <si>
    <t>El Cofre</t>
  </si>
  <si>
    <t>Encyclopedia Britanica</t>
  </si>
  <si>
    <t>Environment Complete (EBSCO)</t>
  </si>
  <si>
    <t>Eprints In Library And Information Science</t>
  </si>
  <si>
    <t>ERIC</t>
  </si>
  <si>
    <t>EUREKA</t>
  </si>
  <si>
    <t>F1000Investigación</t>
  </si>
  <si>
    <t>agris fao</t>
  </si>
  <si>
    <t>Freebooks4doctors</t>
  </si>
  <si>
    <t>Fuente Académica Plus (EBSCO)</t>
  </si>
  <si>
    <t>GreenFILE (EBSCO)</t>
  </si>
  <si>
    <t>Herbario Forestal UDBC</t>
  </si>
  <si>
    <t>Highwire</t>
  </si>
  <si>
    <t>History of Science, Technology and Medicine (EBSCO)</t>
  </si>
  <si>
    <t>International Bibliography of Theatre &amp; Dance with Full Text (EBSCO)</t>
  </si>
  <si>
    <t>IOP Science</t>
  </si>
  <si>
    <t>IPNI</t>
  </si>
  <si>
    <t>Jstor OS</t>
  </si>
  <si>
    <t>Latindex</t>
  </si>
  <si>
    <t>Library, Information Science &amp; Technology Abstracts (EBSCO)</t>
  </si>
  <si>
    <t>MasterFILE Elite (EBSCO)</t>
  </si>
  <si>
    <t>MasterFILE Reference eBook Collection (EBSCO)</t>
  </si>
  <si>
    <t>Mathscinet</t>
  </si>
  <si>
    <t>Mendeley</t>
  </si>
  <si>
    <t>MIAR</t>
  </si>
  <si>
    <t>Nature</t>
  </si>
  <si>
    <t>Naxos Music Jazz</t>
  </si>
  <si>
    <t>Newspaper Source (EBSCO)</t>
  </si>
  <si>
    <t>O'Reilly</t>
  </si>
  <si>
    <t>Oxford Learner´s Dictionaries</t>
  </si>
  <si>
    <t>Oxford University Press</t>
  </si>
  <si>
    <t>Pasa la página</t>
  </si>
  <si>
    <t>Plants of the World Online</t>
  </si>
  <si>
    <t>Pub-med</t>
  </si>
  <si>
    <t>Publindex</t>
  </si>
  <si>
    <t>Real Academia Española</t>
  </si>
  <si>
    <t>Reaxys</t>
  </si>
  <si>
    <t>Redalyc</t>
  </si>
  <si>
    <t>REDIB (Red Iberoamericana de Innovación y Conocimiento Científico)</t>
  </si>
  <si>
    <t>Regional Business News (EBSCO)</t>
  </si>
  <si>
    <t>Revistas UNAM</t>
  </si>
  <si>
    <t>Revistas Universidad Distrital</t>
  </si>
  <si>
    <t>SAGE Books</t>
  </si>
  <si>
    <t>SAGE Publishing</t>
  </si>
  <si>
    <t>SCIELO</t>
  </si>
  <si>
    <t>Science Direct</t>
  </si>
  <si>
    <t>Scimago Institutions Rankin</t>
  </si>
  <si>
    <t>Scopus</t>
  </si>
  <si>
    <t>SIDALC (Servicios de Información Agropecuaria en las Américas)</t>
  </si>
  <si>
    <t>SJR (Scimago Journal Ranking)</t>
  </si>
  <si>
    <t>SPORTDiscus with Full Text (EBSCO)</t>
  </si>
  <si>
    <t>Springer Books</t>
  </si>
  <si>
    <t>Springer Link</t>
  </si>
  <si>
    <t>Taylor &amp; Francis</t>
  </si>
  <si>
    <t>Viref - Biblioteca Virtual de Educación Física</t>
  </si>
  <si>
    <t>VirtualPro</t>
  </si>
  <si>
    <t>Web Of Science</t>
  </si>
  <si>
    <t>zbMATH</t>
  </si>
  <si>
    <t>Zotero</t>
  </si>
  <si>
    <t>Facultad de Artes ASAB</t>
  </si>
  <si>
    <t xml:space="preserve">x </t>
  </si>
  <si>
    <t>Arte Danzario</t>
  </si>
  <si>
    <t>Artes Escénicas</t>
  </si>
  <si>
    <t>Artes Musicales</t>
  </si>
  <si>
    <t>Artes Plásticas y Visuales</t>
  </si>
  <si>
    <t xml:space="preserve"> Maestría en Estudios Artísticos SNIES - 90946</t>
  </si>
  <si>
    <t>Doctorado en Estudios Artísticos SNIES - 107698</t>
  </si>
  <si>
    <t>Facultad de Ciencias Matemáticas y Naturales</t>
  </si>
  <si>
    <t>Biología</t>
  </si>
  <si>
    <t>Física</t>
  </si>
  <si>
    <t>Matemáticas</t>
  </si>
  <si>
    <t>Química</t>
  </si>
  <si>
    <t>Facultad de Ciencias y Educación</t>
  </si>
  <si>
    <t>Archivística y Gestión de la Información Digital</t>
  </si>
  <si>
    <t>Comunicación Social y Periodismo</t>
  </si>
  <si>
    <t>Licenciatura en Biología</t>
  </si>
  <si>
    <t>Licenciatura en Ciencias Sociales</t>
  </si>
  <si>
    <t>Licenciatura en Educación Artística</t>
  </si>
  <si>
    <t>Licenciatura en Educación Infantil</t>
  </si>
  <si>
    <t>Licenciatura en Física</t>
  </si>
  <si>
    <t>Licenciatura en Humanidades y Lengua Castellana</t>
  </si>
  <si>
    <t>Licenciatura en Lenguas Extranjeras con Énfasis en inglés</t>
  </si>
  <si>
    <t>Licenciatura en Matemáticas</t>
  </si>
  <si>
    <t>Licenciatura en Química</t>
  </si>
  <si>
    <t xml:space="preserve"> Especialización en Desarrollo Humano con Énfasis en Procesos Afectivos y Creatividad SNIES - 11328</t>
  </si>
  <si>
    <t>Especialización en Educación en Tecnología SNIES - 11228</t>
  </si>
  <si>
    <t xml:space="preserve"> Especialización en Educación en Tecnología (Modalidad virtual) SNIES - 116205</t>
  </si>
  <si>
    <t>Especialización en Educación y Gestión Ambiental SNIES - 14212</t>
  </si>
  <si>
    <t>Especialización en Gerencia de Proyectos Educativos Institucionales SNIES - 11232</t>
  </si>
  <si>
    <t>Especialización en Infancia, Cultura y Desarrollo SNIES - 4855</t>
  </si>
  <si>
    <t>Maestría en Ciencias de la Información y las Comunicaciones SNIES - 116070</t>
  </si>
  <si>
    <t xml:space="preserve"> Maestría en Ciencias de la Información y las Comunicaciones SNIES - 17528</t>
  </si>
  <si>
    <t>Maestría en Comunicación-Educación SNIES - 54469</t>
  </si>
  <si>
    <t>Maestría en Desarrollo Humano y Educación Socioafectiva SNIES - 109564</t>
  </si>
  <si>
    <t xml:space="preserve"> Doctorado en Estudios Sociales SNIES - 105000</t>
  </si>
  <si>
    <t>Doctorado Interinstitucional en Educación SNIES - 51867</t>
  </si>
  <si>
    <t>Facultad de Ingeniería</t>
  </si>
  <si>
    <t>Ingeniería Catastral y Geodesia</t>
  </si>
  <si>
    <t>Ingeniería de Sistemas</t>
  </si>
  <si>
    <t>Ingeniería Eléctrica</t>
  </si>
  <si>
    <t>Ingeniería Electrónica</t>
  </si>
  <si>
    <t>Ingeniería Industrial</t>
  </si>
  <si>
    <t>Especialización en Avalúos SNIES - 16159</t>
  </si>
  <si>
    <t>Especialización en Bioingeniería SNIES - 2917</t>
  </si>
  <si>
    <t xml:space="preserve"> Especialización en Gestión de Proyectos de Ingeniería SNIES - 19194</t>
  </si>
  <si>
    <t xml:space="preserve"> Especialización en Higiene, Seguridad y Salud en el Trabajo SNIES - 103778</t>
  </si>
  <si>
    <t>Especialización en Informática y Automática Industrial SNIES - 90819</t>
  </si>
  <si>
    <t>Especialización en Ingeniería de Software SNIES - 3559</t>
  </si>
  <si>
    <t>Especialización en Proyectos Informáticos SNIES - 15956</t>
  </si>
  <si>
    <t>Especialización en Sistemas de Información Geográfica SNIES - 3558</t>
  </si>
  <si>
    <t>Especialización en Telecomunicaciones Móviles SNIES - 3556</t>
  </si>
  <si>
    <t xml:space="preserve"> Especialización en Teleinformática SNIES - 19560</t>
  </si>
  <si>
    <t>Maestría en Ciencias de la Información y las Comunicaciones SNIES - 17528</t>
  </si>
  <si>
    <t>Maestría en Gerencia Integral de Proyectos SNIES - 110626</t>
  </si>
  <si>
    <t xml:space="preserve"> Maestría en Ingeniería SNIES - 106143</t>
  </si>
  <si>
    <t xml:space="preserve"> Maestría en Ingeniería Industrial SNIES - 17486</t>
  </si>
  <si>
    <t>Maestría en Telecomunicaciones Móviles SNIES - 104399</t>
  </si>
  <si>
    <t>Doctorado en Ingeniería SNIES - 101686</t>
  </si>
  <si>
    <t>Facultad del Medio Ambiente y Recursos Naturales</t>
  </si>
  <si>
    <t>Administración Ambiental</t>
  </si>
  <si>
    <t>Administración deportiva</t>
  </si>
  <si>
    <t>Ingeniería Ambiental</t>
  </si>
  <si>
    <t>Ingeniería Forestal</t>
  </si>
  <si>
    <t>Ingeniería Sanitaria</t>
  </si>
  <si>
    <t>Ingeniería Topográfica</t>
  </si>
  <si>
    <t>Tecnología en Gestión Ambiental y Servicios Públicos</t>
  </si>
  <si>
    <t>Tecnología en Levantamientos Topográficos</t>
  </si>
  <si>
    <t>Tecnología en Saneamiento Ambiental</t>
  </si>
  <si>
    <t>Especialización en Ambiente y Desarrollo Local SNIES - 19163</t>
  </si>
  <si>
    <t>Especialización en Diseño de Vías Urbanas, Tránsito y Transporte SNIES - 16186</t>
  </si>
  <si>
    <t>Especialización en Gerencia de Recursos Naturales SNIES - 6546</t>
  </si>
  <si>
    <t>Maestría en Desarrollo Sustentable y Gestión Ambiental SNIES - 54327</t>
  </si>
  <si>
    <t>Maestría en Infraestructura Vial SNIES - 110625</t>
  </si>
  <si>
    <t>Maestría en Manejo, Uso y Conservación del Bosque SNIES - 91075</t>
  </si>
  <si>
    <t>Doctorado en Ambiente e Ingeniería Sustentable SNIES - 116131</t>
  </si>
  <si>
    <t>Facultad Tecnológica</t>
  </si>
  <si>
    <t>Ingeniería Civil (por ciclos propedéuticos)</t>
  </si>
  <si>
    <t>Ingeniería de Producción (por ciclos propedéuticos)</t>
  </si>
  <si>
    <t>Ingeniería Eléctrica (por ciclos propedéuticos)</t>
  </si>
  <si>
    <t>Ingeniería en Control y Automatización (por ciclos propedéuticos)</t>
  </si>
  <si>
    <t>Ingeniería en Telecomunicaciones (Por ciclos propedéuticos)</t>
  </si>
  <si>
    <t>Ingeniería en Telemática (Por ciclos propedéuticos)</t>
  </si>
  <si>
    <t>Ingeniería Mecánica (Por ciclos propedéuticos)</t>
  </si>
  <si>
    <t>Tecnología en Construcciones Civiles (Por ciclos propedéuticos)</t>
  </si>
  <si>
    <t>Tecnología en Electricidad de Media y Baja Tensión (Por ciclos propedéuticos)</t>
  </si>
  <si>
    <t>Tecnología en Electrónica Industrial (Por ciclos propedéuticos)</t>
  </si>
  <si>
    <t>Tecnología en Gestión de la Producción Industrial (Por ciclos propedéuticos)</t>
  </si>
  <si>
    <t>Tecnología en Mecánica Industrial (Por ciclos propedéuticos)</t>
  </si>
  <si>
    <t>Tecnología en Sistematización de Datos (Por ciclos propedéuticos)</t>
  </si>
  <si>
    <t xml:space="preserve"> Especialización en Gerencia de la Construcción SNIES - 108685</t>
  </si>
  <si>
    <t xml:space="preserve"> Especialización en Interventoría y Supervisión de Obras de Construcción SNIES - 108921</t>
  </si>
  <si>
    <t>Maestría en Gestión y Seguridad de la Información SNIES - 110811</t>
  </si>
  <si>
    <t>Maestría en Ingeniería Civil SNIES - 106247</t>
  </si>
  <si>
    <t>Facultad de Ciencias de la Salud</t>
  </si>
  <si>
    <t>Enfermeria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</si>
</sst>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64" formatCode="&quot;$&quot;\ #,##0;[Red]\-&quot;$&quot;\ #,##0"/>
    <numFmt numFmtId="165" formatCode="0.0%"/>
    <numFmt numFmtId="166" formatCode="_(* #,##0_);_(* \(#,##0\);_(* &quot;-&quot;??_);_(@_)"/>
    <numFmt numFmtId="167" formatCode="_-[$$-409]* #,##0.00_ ;_-[$$-409]* \-#,##0.00\ ;_-[$$-409]* &quot;-&quot;??_ ;_-@_ "/>
    <numFmt numFmtId="168" formatCode="[$$-240A]#,##0"/>
    <numFmt numFmtId="169" formatCode="_-* #,##0\ _€_-;\-* #,##0\ _€_-;_-* &quot;-&quot;??\ _€_-;_-@"/>
    <numFmt numFmtId="170" formatCode="[$$-240A]\ #,##0.00"/>
  </numFmts>
  <fonts count="4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1"/>
      <color theme="1"/>
      <name val="Calibri"/>
      <family val="2"/>
    </font>
    <font>
      <sz val="10"/>
      <color rgb="FF000000"/>
      <name val="Arial Narrow"/>
      <family val="2"/>
    </font>
    <font>
      <b/>
      <sz val="14"/>
      <color theme="1"/>
      <name val="Arial Narrow"/>
      <family val="2"/>
    </font>
    <font>
      <sz val="14"/>
      <color theme="1"/>
      <name val="Arial Narrow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 Narrow"/>
      <family val="2"/>
    </font>
    <font>
      <sz val="11"/>
      <color theme="1"/>
      <name val="Arial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Arial"/>
      <family val="2"/>
    </font>
    <font>
      <sz val="8"/>
      <color theme="1"/>
      <name val="Calibri"/>
      <family val="2"/>
    </font>
    <font>
      <sz val="10"/>
      <name val="Calibri"/>
      <family val="2"/>
    </font>
    <font>
      <sz val="9"/>
      <color theme="1"/>
      <name val="&quot;Arial Narrow&quot;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Arial Narrow"/>
      <family val="2"/>
    </font>
    <font>
      <b/>
      <sz val="10"/>
      <color rgb="FF000000"/>
      <name val="Arial Narrow"/>
      <family val="2"/>
    </font>
    <font>
      <sz val="10"/>
      <name val="Arial Narrow"/>
      <family val="2"/>
    </font>
    <font>
      <sz val="10"/>
      <color rgb="FF980000"/>
      <name val="Arial Narrow"/>
      <family val="2"/>
    </font>
    <font>
      <sz val="12"/>
      <color rgb="FFFFFFFF"/>
      <name val="Calibri"/>
      <family val="2"/>
    </font>
    <font>
      <b/>
      <sz val="10"/>
      <name val="Arial Narrow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Arial Narrow"/>
      <family val="2"/>
    </font>
    <font>
      <sz val="9"/>
      <color rgb="FF000000"/>
      <name val="Tahoma"/>
      <family val="2"/>
    </font>
    <font>
      <sz val="9"/>
      <color rgb="FF000000"/>
      <name val="Arial Narrow"/>
      <family val="2"/>
    </font>
    <font>
      <sz val="10"/>
      <color rgb="FF000000"/>
      <name val="Arial Narrow"/>
    </font>
    <font>
      <sz val="10"/>
      <color rgb="FFFF0000"/>
      <name val="Arial Narrow"/>
    </font>
    <font>
      <sz val="10"/>
      <color theme="1"/>
      <name val="Arial Narrow"/>
    </font>
    <font>
      <sz val="11"/>
      <color rgb="FF242424"/>
      <name val="Aptos Narrow"/>
      <charset val="1"/>
    </font>
    <font>
      <sz val="10"/>
      <color rgb="FF000000"/>
      <name val="Calibri"/>
    </font>
    <font>
      <sz val="9"/>
      <color theme="1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D8D8D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BE4D5"/>
        <bgColor rgb="FFFBE4D5"/>
      </patternFill>
    </fill>
    <fill>
      <patternFill patternType="solid">
        <fgColor rgb="FFFDE9D9"/>
        <bgColor rgb="FFFDE9D9"/>
      </patternFill>
    </fill>
    <fill>
      <patternFill patternType="solid">
        <fgColor rgb="FFCCCCCC"/>
        <bgColor rgb="FFCCCCCC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rgb="FFDBE5F1"/>
      </patternFill>
    </fill>
    <fill>
      <patternFill patternType="solid">
        <fgColor theme="0" tint="-0.249977111117893"/>
        <bgColor rgb="FFB8CCE4"/>
      </patternFill>
    </fill>
    <fill>
      <patternFill patternType="solid">
        <fgColor rgb="FFFFFFFF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D9D9D9"/>
        <bgColor rgb="FFB8CCE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2" fillId="0" borderId="4"/>
    <xf numFmtId="41" fontId="2" fillId="0" borderId="4" applyFont="0" applyFill="0" applyBorder="0" applyAlignment="0" applyProtection="0"/>
    <xf numFmtId="0" fontId="9" fillId="0" borderId="4" applyNumberFormat="0" applyFill="0" applyBorder="0" applyAlignment="0" applyProtection="0"/>
    <xf numFmtId="0" fontId="9" fillId="0" borderId="4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337">
    <xf numFmtId="0" fontId="0" fillId="0" borderId="0" xfId="0"/>
    <xf numFmtId="0" fontId="3" fillId="0" borderId="0" xfId="0" applyFont="1"/>
    <xf numFmtId="166" fontId="3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3" fillId="2" borderId="4" xfId="0" applyFont="1" applyFill="1" applyBorder="1"/>
    <xf numFmtId="0" fontId="0" fillId="0" borderId="4" xfId="0" applyBorder="1"/>
    <xf numFmtId="0" fontId="4" fillId="2" borderId="4" xfId="0" applyFont="1" applyFill="1" applyBorder="1" applyAlignment="1">
      <alignment horizontal="center" wrapText="1"/>
    </xf>
    <xf numFmtId="0" fontId="3" fillId="0" borderId="4" xfId="1" applyFont="1"/>
    <xf numFmtId="0" fontId="7" fillId="7" borderId="4" xfId="1" applyFont="1" applyFill="1" applyAlignment="1">
      <alignment horizontal="center"/>
    </xf>
    <xf numFmtId="0" fontId="8" fillId="7" borderId="4" xfId="1" applyFont="1" applyFill="1"/>
    <xf numFmtId="0" fontId="3" fillId="7" borderId="4" xfId="1" applyFont="1" applyFill="1"/>
    <xf numFmtId="0" fontId="4" fillId="0" borderId="4" xfId="1" applyFont="1"/>
    <xf numFmtId="1" fontId="3" fillId="0" borderId="4" xfId="2" applyNumberFormat="1" applyFont="1" applyBorder="1"/>
    <xf numFmtId="0" fontId="10" fillId="0" borderId="4" xfId="3" applyFont="1"/>
    <xf numFmtId="0" fontId="11" fillId="0" borderId="4" xfId="1" applyFont="1"/>
    <xf numFmtId="0" fontId="2" fillId="0" borderId="4" xfId="1"/>
    <xf numFmtId="0" fontId="11" fillId="0" borderId="4" xfId="1" applyFont="1" applyAlignment="1">
      <alignment vertical="top"/>
    </xf>
    <xf numFmtId="0" fontId="3" fillId="0" borderId="4" xfId="1" applyFont="1" applyAlignment="1">
      <alignment horizontal="left" wrapText="1"/>
    </xf>
    <xf numFmtId="0" fontId="12" fillId="3" borderId="1" xfId="1" applyFont="1" applyFill="1" applyBorder="1" applyAlignment="1">
      <alignment horizontal="center" vertical="center" wrapText="1"/>
    </xf>
    <xf numFmtId="0" fontId="12" fillId="9" borderId="3" xfId="1" applyFont="1" applyFill="1" applyBorder="1" applyAlignment="1">
      <alignment horizontal="center" vertical="center" wrapText="1"/>
    </xf>
    <xf numFmtId="167" fontId="13" fillId="0" borderId="1" xfId="1" applyNumberFormat="1" applyFont="1" applyBorder="1" applyAlignment="1">
      <alignment horizontal="right" vertical="center" wrapText="1"/>
    </xf>
    <xf numFmtId="0" fontId="13" fillId="9" borderId="1" xfId="1" applyFont="1" applyFill="1" applyBorder="1" applyAlignment="1">
      <alignment horizontal="left" vertical="center" wrapText="1"/>
    </xf>
    <xf numFmtId="0" fontId="12" fillId="3" borderId="3" xfId="1" applyFont="1" applyFill="1" applyBorder="1" applyAlignment="1">
      <alignment horizontal="center" vertical="center" wrapText="1"/>
    </xf>
    <xf numFmtId="0" fontId="12" fillId="3" borderId="1" xfId="1" applyFont="1" applyFill="1" applyBorder="1" applyAlignment="1">
      <alignment horizontal="left" vertical="center" wrapText="1"/>
    </xf>
    <xf numFmtId="0" fontId="13" fillId="0" borderId="1" xfId="1" applyFont="1" applyBorder="1" applyAlignment="1">
      <alignment horizontal="left" vertical="center" wrapText="1"/>
    </xf>
    <xf numFmtId="0" fontId="14" fillId="7" borderId="1" xfId="1" applyFont="1" applyFill="1" applyBorder="1" applyAlignment="1">
      <alignment horizontal="left" vertical="center" wrapText="1"/>
    </xf>
    <xf numFmtId="164" fontId="13" fillId="0" borderId="1" xfId="1" applyNumberFormat="1" applyFont="1" applyBorder="1" applyAlignment="1">
      <alignment horizontal="left" vertical="center" wrapText="1"/>
    </xf>
    <xf numFmtId="0" fontId="13" fillId="0" borderId="1" xfId="1" applyFont="1" applyBorder="1" applyAlignment="1">
      <alignment horizontal="left" vertical="top" wrapText="1"/>
    </xf>
    <xf numFmtId="0" fontId="12" fillId="7" borderId="1" xfId="1" applyFont="1" applyFill="1" applyBorder="1" applyAlignment="1">
      <alignment horizontal="left" vertical="center" wrapText="1"/>
    </xf>
    <xf numFmtId="0" fontId="12" fillId="10" borderId="14" xfId="1" applyFont="1" applyFill="1" applyBorder="1" applyAlignment="1">
      <alignment horizontal="center" vertical="center" wrapText="1"/>
    </xf>
    <xf numFmtId="0" fontId="12" fillId="11" borderId="1" xfId="1" applyFont="1" applyFill="1" applyBorder="1" applyAlignment="1">
      <alignment horizontal="center" wrapText="1"/>
    </xf>
    <xf numFmtId="164" fontId="13" fillId="11" borderId="1" xfId="1" applyNumberFormat="1" applyFont="1" applyFill="1" applyBorder="1" applyAlignment="1">
      <alignment horizontal="right" wrapText="1"/>
    </xf>
    <xf numFmtId="0" fontId="15" fillId="11" borderId="1" xfId="1" applyFont="1" applyFill="1" applyBorder="1" applyAlignment="1">
      <alignment horizontal="left"/>
    </xf>
    <xf numFmtId="0" fontId="15" fillId="11" borderId="1" xfId="1" applyFont="1" applyFill="1" applyBorder="1" applyAlignment="1">
      <alignment horizontal="left" vertical="top" wrapText="1"/>
    </xf>
    <xf numFmtId="0" fontId="15" fillId="11" borderId="1" xfId="1" applyFont="1" applyFill="1" applyBorder="1" applyAlignment="1">
      <alignment horizontal="left" vertical="top"/>
    </xf>
    <xf numFmtId="0" fontId="13" fillId="12" borderId="1" xfId="1" applyFont="1" applyFill="1" applyBorder="1" applyAlignment="1">
      <alignment horizontal="center" vertical="center" wrapText="1"/>
    </xf>
    <xf numFmtId="164" fontId="13" fillId="0" borderId="1" xfId="1" applyNumberFormat="1" applyFont="1" applyBorder="1" applyAlignment="1">
      <alignment horizontal="right" vertical="center" wrapText="1"/>
    </xf>
    <xf numFmtId="0" fontId="16" fillId="0" borderId="4" xfId="1" applyFont="1" applyAlignment="1">
      <alignment vertical="top" wrapText="1"/>
    </xf>
    <xf numFmtId="0" fontId="12" fillId="13" borderId="1" xfId="1" applyFont="1" applyFill="1" applyBorder="1" applyAlignment="1">
      <alignment horizontal="center" vertical="center" wrapText="1"/>
    </xf>
    <xf numFmtId="3" fontId="13" fillId="0" borderId="1" xfId="1" applyNumberFormat="1" applyFont="1" applyBorder="1" applyAlignment="1">
      <alignment horizontal="left" vertical="center" wrapText="1"/>
    </xf>
    <xf numFmtId="0" fontId="11" fillId="4" borderId="4" xfId="1" applyFont="1" applyFill="1"/>
    <xf numFmtId="164" fontId="13" fillId="14" borderId="1" xfId="1" applyNumberFormat="1" applyFont="1" applyFill="1" applyBorder="1" applyAlignment="1">
      <alignment horizontal="right" vertical="center" wrapText="1"/>
    </xf>
    <xf numFmtId="0" fontId="15" fillId="14" borderId="1" xfId="1" applyFont="1" applyFill="1" applyBorder="1" applyAlignment="1">
      <alignment horizontal="left" vertical="center"/>
    </xf>
    <xf numFmtId="0" fontId="15" fillId="14" borderId="1" xfId="1" applyFont="1" applyFill="1" applyBorder="1" applyAlignment="1">
      <alignment horizontal="left" vertical="center" wrapText="1"/>
    </xf>
    <xf numFmtId="168" fontId="11" fillId="4" borderId="4" xfId="1" applyNumberFormat="1" applyFont="1" applyFill="1"/>
    <xf numFmtId="169" fontId="11" fillId="4" borderId="4" xfId="1" applyNumberFormat="1" applyFont="1" applyFill="1"/>
    <xf numFmtId="164" fontId="12" fillId="0" borderId="1" xfId="1" applyNumberFormat="1" applyFont="1" applyBorder="1" applyAlignment="1">
      <alignment horizontal="right" vertical="center" wrapText="1"/>
    </xf>
    <xf numFmtId="164" fontId="12" fillId="3" borderId="1" xfId="1" applyNumberFormat="1" applyFont="1" applyFill="1" applyBorder="1" applyAlignment="1">
      <alignment horizontal="right" vertical="center" wrapText="1"/>
    </xf>
    <xf numFmtId="0" fontId="15" fillId="3" borderId="1" xfId="1" applyFont="1" applyFill="1" applyBorder="1" applyAlignment="1">
      <alignment horizontal="left" vertical="center"/>
    </xf>
    <xf numFmtId="0" fontId="15" fillId="3" borderId="1" xfId="1" applyFont="1" applyFill="1" applyBorder="1" applyAlignment="1">
      <alignment horizontal="left" vertical="center" wrapText="1"/>
    </xf>
    <xf numFmtId="3" fontId="13" fillId="4" borderId="1" xfId="1" applyNumberFormat="1" applyFont="1" applyFill="1" applyBorder="1" applyAlignment="1">
      <alignment horizontal="left" vertical="center" wrapText="1"/>
    </xf>
    <xf numFmtId="0" fontId="13" fillId="4" borderId="1" xfId="1" applyFont="1" applyFill="1" applyBorder="1" applyAlignment="1">
      <alignment horizontal="left" vertical="center" wrapText="1"/>
    </xf>
    <xf numFmtId="0" fontId="12" fillId="3" borderId="1" xfId="1" applyFont="1" applyFill="1" applyBorder="1" applyAlignment="1">
      <alignment vertical="center" wrapText="1"/>
    </xf>
    <xf numFmtId="0" fontId="11" fillId="4" borderId="4" xfId="1" applyFont="1" applyFill="1" applyAlignment="1">
      <alignment wrapText="1"/>
    </xf>
    <xf numFmtId="0" fontId="11" fillId="4" borderId="4" xfId="1" applyFont="1" applyFill="1" applyAlignment="1">
      <alignment vertical="top"/>
    </xf>
    <xf numFmtId="0" fontId="18" fillId="0" borderId="4" xfId="1" applyFont="1"/>
    <xf numFmtId="0" fontId="19" fillId="0" borderId="4" xfId="1" applyFont="1"/>
    <xf numFmtId="0" fontId="19" fillId="4" borderId="4" xfId="1" applyFont="1" applyFill="1"/>
    <xf numFmtId="0" fontId="19" fillId="4" borderId="4" xfId="1" applyFont="1" applyFill="1" applyAlignment="1">
      <alignment wrapText="1"/>
    </xf>
    <xf numFmtId="0" fontId="19" fillId="4" borderId="4" xfId="1" applyFont="1" applyFill="1" applyAlignment="1">
      <alignment vertical="top"/>
    </xf>
    <xf numFmtId="0" fontId="20" fillId="0" borderId="4" xfId="1" applyFont="1"/>
    <xf numFmtId="0" fontId="11" fillId="0" borderId="4" xfId="1" applyFont="1" applyAlignment="1">
      <alignment wrapText="1"/>
    </xf>
    <xf numFmtId="0" fontId="6" fillId="0" borderId="1" xfId="1" applyFont="1" applyBorder="1" applyAlignment="1">
      <alignment wrapText="1"/>
    </xf>
    <xf numFmtId="0" fontId="6" fillId="0" borderId="11" xfId="1" applyFont="1" applyBorder="1" applyAlignment="1">
      <alignment vertical="center" wrapText="1"/>
    </xf>
    <xf numFmtId="0" fontId="6" fillId="7" borderId="1" xfId="1" applyFont="1" applyFill="1" applyBorder="1" applyAlignment="1">
      <alignment wrapText="1"/>
    </xf>
    <xf numFmtId="0" fontId="3" fillId="0" borderId="1" xfId="1" applyFont="1" applyBorder="1" applyAlignment="1">
      <alignment horizontal="left" wrapText="1"/>
    </xf>
    <xf numFmtId="166" fontId="3" fillId="0" borderId="1" xfId="1" applyNumberFormat="1" applyFont="1" applyBorder="1" applyAlignment="1">
      <alignment horizontal="center" vertical="center" wrapText="1"/>
    </xf>
    <xf numFmtId="0" fontId="3" fillId="0" borderId="3" xfId="1" applyFont="1" applyBorder="1" applyAlignment="1">
      <alignment horizontal="left" wrapText="1"/>
    </xf>
    <xf numFmtId="166" fontId="3" fillId="0" borderId="3" xfId="1" applyNumberFormat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left" vertical="center" wrapText="1"/>
    </xf>
    <xf numFmtId="0" fontId="3" fillId="0" borderId="4" xfId="1" applyFont="1" applyAlignment="1">
      <alignment vertical="center"/>
    </xf>
    <xf numFmtId="0" fontId="3" fillId="0" borderId="3" xfId="1" applyFont="1" applyBorder="1"/>
    <xf numFmtId="0" fontId="3" fillId="0" borderId="3" xfId="1" applyFont="1" applyBorder="1" applyAlignment="1">
      <alignment horizontal="center" vertical="center" wrapText="1"/>
    </xf>
    <xf numFmtId="0" fontId="3" fillId="0" borderId="3" xfId="1" applyFont="1" applyBorder="1" applyAlignment="1">
      <alignment wrapText="1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wrapText="1"/>
    </xf>
    <xf numFmtId="0" fontId="3" fillId="0" borderId="13" xfId="1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10" fillId="0" borderId="4" xfId="3" applyFont="1" applyAlignment="1">
      <alignment vertical="center"/>
    </xf>
    <xf numFmtId="0" fontId="4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/>
    </xf>
    <xf numFmtId="0" fontId="4" fillId="2" borderId="4" xfId="0" applyFont="1" applyFill="1" applyBorder="1" applyAlignment="1">
      <alignment horizontal="left" vertical="center" wrapText="1"/>
    </xf>
    <xf numFmtId="3" fontId="4" fillId="2" borderId="4" xfId="0" applyNumberFormat="1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vertical="center" wrapText="1"/>
    </xf>
    <xf numFmtId="0" fontId="4" fillId="16" borderId="1" xfId="0" applyFont="1" applyFill="1" applyBorder="1" applyAlignment="1">
      <alignment horizontal="left" vertical="center"/>
    </xf>
    <xf numFmtId="0" fontId="4" fillId="16" borderId="1" xfId="0" applyFont="1" applyFill="1" applyBorder="1" applyAlignment="1">
      <alignment horizontal="center" vertical="center"/>
    </xf>
    <xf numFmtId="1" fontId="4" fillId="16" borderId="1" xfId="0" applyNumberFormat="1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left" vertical="center"/>
    </xf>
    <xf numFmtId="0" fontId="23" fillId="5" borderId="1" xfId="0" applyFont="1" applyFill="1" applyBorder="1" applyAlignment="1">
      <alignment horizontal="left" vertical="center" wrapText="1"/>
    </xf>
    <xf numFmtId="166" fontId="3" fillId="0" borderId="11" xfId="0" applyNumberFormat="1" applyFont="1" applyBorder="1" applyAlignment="1">
      <alignment horizontal="center" vertical="center" wrapText="1"/>
    </xf>
    <xf numFmtId="166" fontId="6" fillId="0" borderId="11" xfId="0" applyNumberFormat="1" applyFont="1" applyBorder="1" applyAlignment="1">
      <alignment horizontal="center" vertical="center"/>
    </xf>
    <xf numFmtId="166" fontId="6" fillId="4" borderId="1" xfId="0" applyNumberFormat="1" applyFont="1" applyFill="1" applyBorder="1" applyAlignment="1">
      <alignment horizontal="center" vertical="center"/>
    </xf>
    <xf numFmtId="3" fontId="3" fillId="2" borderId="11" xfId="0" applyNumberFormat="1" applyFont="1" applyFill="1" applyBorder="1" applyAlignment="1">
      <alignment horizontal="center" vertical="center"/>
    </xf>
    <xf numFmtId="3" fontId="3" fillId="2" borderId="5" xfId="0" applyNumberFormat="1" applyFont="1" applyFill="1" applyBorder="1" applyAlignment="1">
      <alignment horizontal="center" vertical="center"/>
    </xf>
    <xf numFmtId="3" fontId="3" fillId="7" borderId="5" xfId="0" applyNumberFormat="1" applyFont="1" applyFill="1" applyBorder="1" applyAlignment="1">
      <alignment horizontal="center" vertical="center"/>
    </xf>
    <xf numFmtId="3" fontId="6" fillId="7" borderId="5" xfId="0" applyNumberFormat="1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wrapText="1"/>
    </xf>
    <xf numFmtId="0" fontId="3" fillId="0" borderId="18" xfId="0" applyFont="1" applyBorder="1" applyAlignment="1">
      <alignment horizontal="center" vertical="center" wrapText="1"/>
    </xf>
    <xf numFmtId="0" fontId="23" fillId="5" borderId="1" xfId="0" applyFont="1" applyFill="1" applyBorder="1" applyAlignment="1">
      <alignment vertical="center" wrapText="1"/>
    </xf>
    <xf numFmtId="0" fontId="3" fillId="2" borderId="18" xfId="0" applyFont="1" applyFill="1" applyBorder="1" applyAlignment="1">
      <alignment horizontal="center" vertical="center" wrapText="1"/>
    </xf>
    <xf numFmtId="166" fontId="3" fillId="2" borderId="1" xfId="0" applyNumberFormat="1" applyFont="1" applyFill="1" applyBorder="1" applyAlignment="1">
      <alignment horizontal="center" vertical="center"/>
    </xf>
    <xf numFmtId="166" fontId="3" fillId="4" borderId="19" xfId="0" applyNumberFormat="1" applyFont="1" applyFill="1" applyBorder="1" applyAlignment="1">
      <alignment horizontal="center" vertical="center"/>
    </xf>
    <xf numFmtId="166" fontId="6" fillId="4" borderId="11" xfId="0" applyNumberFormat="1" applyFont="1" applyFill="1" applyBorder="1" applyAlignment="1">
      <alignment horizontal="center" vertical="center"/>
    </xf>
    <xf numFmtId="166" fontId="6" fillId="4" borderId="18" xfId="0" applyNumberFormat="1" applyFont="1" applyFill="1" applyBorder="1" applyAlignment="1">
      <alignment horizontal="center" vertical="center"/>
    </xf>
    <xf numFmtId="166" fontId="6" fillId="4" borderId="2" xfId="0" applyNumberFormat="1" applyFont="1" applyFill="1" applyBorder="1" applyAlignment="1">
      <alignment horizontal="center" vertical="center"/>
    </xf>
    <xf numFmtId="166" fontId="3" fillId="4" borderId="1" xfId="0" applyNumberFormat="1" applyFont="1" applyFill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6" fontId="3" fillId="4" borderId="11" xfId="0" applyNumberFormat="1" applyFont="1" applyFill="1" applyBorder="1" applyAlignment="1">
      <alignment horizontal="center" vertical="center" wrapText="1"/>
    </xf>
    <xf numFmtId="3" fontId="3" fillId="4" borderId="11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23" fillId="5" borderId="1" xfId="0" applyFont="1" applyFill="1" applyBorder="1" applyAlignment="1">
      <alignment horizontal="left"/>
    </xf>
    <xf numFmtId="0" fontId="23" fillId="0" borderId="1" xfId="0" applyFont="1" applyBorder="1" applyAlignment="1">
      <alignment horizontal="left" vertical="center" wrapText="1"/>
    </xf>
    <xf numFmtId="0" fontId="23" fillId="2" borderId="1" xfId="0" applyFont="1" applyFill="1" applyBorder="1" applyAlignment="1">
      <alignment horizontal="left" vertical="center" wrapText="1"/>
    </xf>
    <xf numFmtId="166" fontId="3" fillId="0" borderId="16" xfId="0" applyNumberFormat="1" applyFont="1" applyBorder="1" applyAlignment="1">
      <alignment horizontal="center" vertical="center" wrapText="1"/>
    </xf>
    <xf numFmtId="166" fontId="3" fillId="0" borderId="3" xfId="0" applyNumberFormat="1" applyFont="1" applyBorder="1" applyAlignment="1">
      <alignment horizontal="center" vertical="center"/>
    </xf>
    <xf numFmtId="3" fontId="24" fillId="2" borderId="11" xfId="0" applyNumberFormat="1" applyFont="1" applyFill="1" applyBorder="1" applyAlignment="1">
      <alignment horizontal="center" vertical="center"/>
    </xf>
    <xf numFmtId="166" fontId="6" fillId="4" borderId="13" xfId="0" applyNumberFormat="1" applyFont="1" applyFill="1" applyBorder="1" applyAlignment="1">
      <alignment horizontal="center" vertical="center"/>
    </xf>
    <xf numFmtId="0" fontId="6" fillId="0" borderId="11" xfId="0" applyFont="1" applyBorder="1" applyAlignment="1">
      <alignment horizontal="left"/>
    </xf>
    <xf numFmtId="0" fontId="23" fillId="0" borderId="2" xfId="0" applyFont="1" applyBorder="1"/>
    <xf numFmtId="3" fontId="3" fillId="7" borderId="5" xfId="0" applyNumberFormat="1" applyFont="1" applyFill="1" applyBorder="1" applyAlignment="1">
      <alignment horizontal="left" vertical="center"/>
    </xf>
    <xf numFmtId="0" fontId="3" fillId="4" borderId="11" xfId="0" applyFont="1" applyFill="1" applyBorder="1" applyAlignment="1">
      <alignment horizontal="left" vertical="center"/>
    </xf>
    <xf numFmtId="0" fontId="23" fillId="0" borderId="1" xfId="0" applyFont="1" applyBorder="1"/>
    <xf numFmtId="0" fontId="23" fillId="0" borderId="16" xfId="0" applyFont="1" applyBorder="1" applyAlignment="1">
      <alignment horizontal="left"/>
    </xf>
    <xf numFmtId="0" fontId="23" fillId="0" borderId="3" xfId="0" applyFont="1" applyBorder="1"/>
    <xf numFmtId="166" fontId="3" fillId="2" borderId="3" xfId="0" applyNumberFormat="1" applyFont="1" applyFill="1" applyBorder="1" applyAlignment="1">
      <alignment horizontal="center" vertical="center"/>
    </xf>
    <xf numFmtId="3" fontId="3" fillId="2" borderId="16" xfId="0" applyNumberFormat="1" applyFont="1" applyFill="1" applyBorder="1" applyAlignment="1">
      <alignment horizontal="center" vertical="center"/>
    </xf>
    <xf numFmtId="3" fontId="3" fillId="2" borderId="20" xfId="0" applyNumberFormat="1" applyFont="1" applyFill="1" applyBorder="1" applyAlignment="1">
      <alignment horizontal="center" vertical="center"/>
    </xf>
    <xf numFmtId="3" fontId="3" fillId="7" borderId="21" xfId="0" applyNumberFormat="1" applyFont="1" applyFill="1" applyBorder="1" applyAlignment="1">
      <alignment horizontal="center" vertical="center"/>
    </xf>
    <xf numFmtId="0" fontId="23" fillId="0" borderId="16" xfId="0" applyFont="1" applyBorder="1" applyAlignment="1">
      <alignment horizontal="left" wrapText="1"/>
    </xf>
    <xf numFmtId="3" fontId="3" fillId="7" borderId="2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wrapText="1"/>
    </xf>
    <xf numFmtId="0" fontId="4" fillId="2" borderId="4" xfId="1" applyFont="1" applyFill="1" applyAlignment="1">
      <alignment vertical="center" wrapText="1"/>
    </xf>
    <xf numFmtId="0" fontId="5" fillId="0" borderId="4" xfId="1" applyFont="1" applyAlignment="1">
      <alignment vertical="top" wrapText="1"/>
    </xf>
    <xf numFmtId="0" fontId="4" fillId="17" borderId="1" xfId="1" applyFont="1" applyFill="1" applyBorder="1" applyAlignment="1">
      <alignment horizontal="center" vertical="center" wrapText="1"/>
    </xf>
    <xf numFmtId="0" fontId="22" fillId="11" borderId="1" xfId="1" applyFont="1" applyFill="1" applyBorder="1" applyAlignment="1">
      <alignment horizontal="center" vertical="center" wrapText="1"/>
    </xf>
    <xf numFmtId="0" fontId="22" fillId="11" borderId="11" xfId="1" applyFont="1" applyFill="1" applyBorder="1" applyAlignment="1">
      <alignment horizontal="center" vertical="center" wrapText="1"/>
    </xf>
    <xf numFmtId="0" fontId="3" fillId="0" borderId="4" xfId="1" applyFont="1" applyAlignment="1">
      <alignment wrapText="1"/>
    </xf>
    <xf numFmtId="0" fontId="6" fillId="0" borderId="4" xfId="1" applyFont="1"/>
    <xf numFmtId="0" fontId="6" fillId="7" borderId="4" xfId="1" applyFont="1" applyFill="1"/>
    <xf numFmtId="0" fontId="1" fillId="7" borderId="0" xfId="0" applyFont="1" applyFill="1" applyAlignment="1">
      <alignment horizontal="center" vertical="center" wrapText="1"/>
    </xf>
    <xf numFmtId="3" fontId="23" fillId="0" borderId="5" xfId="0" applyNumberFormat="1" applyFont="1" applyBorder="1"/>
    <xf numFmtId="0" fontId="23" fillId="18" borderId="7" xfId="0" applyFont="1" applyFill="1" applyBorder="1"/>
    <xf numFmtId="0" fontId="12" fillId="7" borderId="3" xfId="1" applyFont="1" applyFill="1" applyBorder="1" applyAlignment="1">
      <alignment horizontal="center" vertical="center" wrapText="1"/>
    </xf>
    <xf numFmtId="0" fontId="25" fillId="19" borderId="1" xfId="0" applyFont="1" applyFill="1" applyBorder="1" applyAlignment="1">
      <alignment wrapText="1"/>
    </xf>
    <xf numFmtId="0" fontId="25" fillId="19" borderId="13" xfId="0" applyFont="1" applyFill="1" applyBorder="1" applyAlignment="1">
      <alignment wrapText="1"/>
    </xf>
    <xf numFmtId="0" fontId="6" fillId="0" borderId="2" xfId="0" applyFont="1" applyBorder="1"/>
    <xf numFmtId="0" fontId="6" fillId="0" borderId="24" xfId="0" applyFont="1" applyBorder="1"/>
    <xf numFmtId="0" fontId="23" fillId="0" borderId="24" xfId="0" applyFont="1" applyBorder="1"/>
    <xf numFmtId="3" fontId="23" fillId="0" borderId="24" xfId="0" applyNumberFormat="1" applyFont="1" applyBorder="1"/>
    <xf numFmtId="3" fontId="6" fillId="0" borderId="24" xfId="0" applyNumberFormat="1" applyFont="1" applyBorder="1"/>
    <xf numFmtId="0" fontId="23" fillId="18" borderId="24" xfId="0" applyFont="1" applyFill="1" applyBorder="1"/>
    <xf numFmtId="3" fontId="23" fillId="18" borderId="24" xfId="0" applyNumberFormat="1" applyFont="1" applyFill="1" applyBorder="1"/>
    <xf numFmtId="0" fontId="6" fillId="18" borderId="24" xfId="0" applyFont="1" applyFill="1" applyBorder="1"/>
    <xf numFmtId="0" fontId="6" fillId="18" borderId="2" xfId="0" applyFont="1" applyFill="1" applyBorder="1"/>
    <xf numFmtId="3" fontId="26" fillId="18" borderId="5" xfId="0" applyNumberFormat="1" applyFont="1" applyFill="1" applyBorder="1"/>
    <xf numFmtId="0" fontId="26" fillId="18" borderId="6" xfId="0" applyFont="1" applyFill="1" applyBorder="1"/>
    <xf numFmtId="3" fontId="26" fillId="18" borderId="6" xfId="0" applyNumberFormat="1" applyFont="1" applyFill="1" applyBorder="1"/>
    <xf numFmtId="3" fontId="26" fillId="18" borderId="8" xfId="0" applyNumberFormat="1" applyFont="1" applyFill="1" applyBorder="1"/>
    <xf numFmtId="0" fontId="3" fillId="0" borderId="1" xfId="0" applyFont="1" applyBorder="1"/>
    <xf numFmtId="3" fontId="6" fillId="7" borderId="23" xfId="0" applyNumberFormat="1" applyFont="1" applyFill="1" applyBorder="1" applyAlignment="1">
      <alignment horizontal="center" vertical="center"/>
    </xf>
    <xf numFmtId="0" fontId="3" fillId="0" borderId="4" xfId="0" applyFont="1" applyBorder="1"/>
    <xf numFmtId="0" fontId="13" fillId="7" borderId="1" xfId="1" applyFont="1" applyFill="1" applyBorder="1" applyAlignment="1">
      <alignment horizontal="center" vertical="center" wrapText="1"/>
    </xf>
    <xf numFmtId="3" fontId="13" fillId="7" borderId="1" xfId="1" applyNumberFormat="1" applyFont="1" applyFill="1" applyBorder="1" applyAlignment="1">
      <alignment horizontal="center" vertical="center" wrapText="1"/>
    </xf>
    <xf numFmtId="0" fontId="13" fillId="7" borderId="1" xfId="1" applyFont="1" applyFill="1" applyBorder="1" applyAlignment="1">
      <alignment horizontal="left" vertical="center" wrapText="1"/>
    </xf>
    <xf numFmtId="3" fontId="3" fillId="7" borderId="1" xfId="0" applyNumberFormat="1" applyFont="1" applyFill="1" applyBorder="1" applyAlignment="1">
      <alignment horizontal="center" vertical="center"/>
    </xf>
    <xf numFmtId="3" fontId="3" fillId="7" borderId="23" xfId="0" applyNumberFormat="1" applyFont="1" applyFill="1" applyBorder="1" applyAlignment="1">
      <alignment horizontal="left" vertical="center"/>
    </xf>
    <xf numFmtId="3" fontId="3" fillId="7" borderId="6" xfId="0" applyNumberFormat="1" applyFont="1" applyFill="1" applyBorder="1" applyAlignment="1">
      <alignment horizontal="center" vertical="center"/>
    </xf>
    <xf numFmtId="3" fontId="3" fillId="7" borderId="20" xfId="0" applyNumberFormat="1" applyFont="1" applyFill="1" applyBorder="1" applyAlignment="1">
      <alignment horizontal="center" vertical="center"/>
    </xf>
    <xf numFmtId="166" fontId="3" fillId="2" borderId="2" xfId="0" applyNumberFormat="1" applyFont="1" applyFill="1" applyBorder="1" applyAlignment="1">
      <alignment horizontal="center" vertical="center"/>
    </xf>
    <xf numFmtId="3" fontId="3" fillId="2" borderId="18" xfId="0" applyNumberFormat="1" applyFont="1" applyFill="1" applyBorder="1" applyAlignment="1">
      <alignment horizontal="center" vertical="center"/>
    </xf>
    <xf numFmtId="0" fontId="27" fillId="0" borderId="0" xfId="0" applyFont="1"/>
    <xf numFmtId="0" fontId="27" fillId="2" borderId="4" xfId="0" applyFont="1" applyFill="1" applyBorder="1" applyAlignment="1">
      <alignment vertical="center" wrapText="1"/>
    </xf>
    <xf numFmtId="0" fontId="28" fillId="2" borderId="4" xfId="0" applyFont="1" applyFill="1" applyBorder="1" applyAlignment="1">
      <alignment wrapText="1"/>
    </xf>
    <xf numFmtId="0" fontId="27" fillId="2" borderId="4" xfId="0" applyFont="1" applyFill="1" applyBorder="1"/>
    <xf numFmtId="0" fontId="29" fillId="0" borderId="6" xfId="0" applyFont="1" applyBorder="1"/>
    <xf numFmtId="0" fontId="29" fillId="4" borderId="6" xfId="0" applyFont="1" applyFill="1" applyBorder="1"/>
    <xf numFmtId="0" fontId="29" fillId="0" borderId="9" xfId="0" applyFont="1" applyBorder="1"/>
    <xf numFmtId="1" fontId="27" fillId="0" borderId="13" xfId="0" applyNumberFormat="1" applyFont="1" applyBorder="1"/>
    <xf numFmtId="10" fontId="27" fillId="0" borderId="1" xfId="0" applyNumberFormat="1" applyFont="1" applyBorder="1"/>
    <xf numFmtId="0" fontId="27" fillId="0" borderId="4" xfId="0" applyFont="1" applyBorder="1"/>
    <xf numFmtId="0" fontId="29" fillId="0" borderId="8" xfId="0" applyFont="1" applyBorder="1"/>
    <xf numFmtId="0" fontId="29" fillId="4" borderId="8" xfId="0" applyFont="1" applyFill="1" applyBorder="1"/>
    <xf numFmtId="0" fontId="29" fillId="0" borderId="10" xfId="0" applyFont="1" applyBorder="1"/>
    <xf numFmtId="0" fontId="30" fillId="4" borderId="8" xfId="0" applyFont="1" applyFill="1" applyBorder="1"/>
    <xf numFmtId="0" fontId="28" fillId="6" borderId="1" xfId="0" applyFont="1" applyFill="1" applyBorder="1" applyAlignment="1">
      <alignment horizontal="center" vertical="center" wrapText="1"/>
    </xf>
    <xf numFmtId="0" fontId="28" fillId="6" borderId="11" xfId="0" applyFont="1" applyFill="1" applyBorder="1" applyAlignment="1">
      <alignment horizontal="center" vertical="center" wrapText="1"/>
    </xf>
    <xf numFmtId="0" fontId="28" fillId="6" borderId="12" xfId="0" applyFont="1" applyFill="1" applyBorder="1" applyAlignment="1">
      <alignment horizontal="center" vertical="center" wrapText="1"/>
    </xf>
    <xf numFmtId="165" fontId="28" fillId="6" borderId="3" xfId="0" applyNumberFormat="1" applyFont="1" applyFill="1" applyBorder="1" applyAlignment="1">
      <alignment horizontal="center" vertical="center" wrapText="1"/>
    </xf>
    <xf numFmtId="0" fontId="6" fillId="0" borderId="3" xfId="1" applyFont="1" applyBorder="1" applyAlignment="1">
      <alignment wrapText="1"/>
    </xf>
    <xf numFmtId="0" fontId="6" fillId="0" borderId="16" xfId="1" applyFont="1" applyBorder="1" applyAlignment="1">
      <alignment vertical="center" wrapText="1"/>
    </xf>
    <xf numFmtId="0" fontId="3" fillId="0" borderId="3" xfId="1" applyFont="1" applyBorder="1" applyAlignment="1">
      <alignment horizontal="center" vertical="center"/>
    </xf>
    <xf numFmtId="0" fontId="6" fillId="7" borderId="5" xfId="1" applyFont="1" applyFill="1" applyBorder="1" applyAlignment="1">
      <alignment wrapText="1"/>
    </xf>
    <xf numFmtId="0" fontId="6" fillId="7" borderId="5" xfId="1" applyFont="1" applyFill="1" applyBorder="1" applyAlignment="1">
      <alignment vertical="center" wrapText="1"/>
    </xf>
    <xf numFmtId="0" fontId="3" fillId="7" borderId="5" xfId="1" applyFont="1" applyFill="1" applyBorder="1" applyAlignment="1">
      <alignment horizontal="center" vertical="center"/>
    </xf>
    <xf numFmtId="0" fontId="3" fillId="7" borderId="5" xfId="1" applyFont="1" applyFill="1" applyBorder="1" applyAlignment="1">
      <alignment vertical="center"/>
    </xf>
    <xf numFmtId="0" fontId="3" fillId="7" borderId="5" xfId="1" applyFont="1" applyFill="1" applyBorder="1"/>
    <xf numFmtId="3" fontId="23" fillId="7" borderId="7" xfId="0" applyNumberFormat="1" applyFont="1" applyFill="1" applyBorder="1"/>
    <xf numFmtId="0" fontId="23" fillId="7" borderId="7" xfId="0" applyFont="1" applyFill="1" applyBorder="1"/>
    <xf numFmtId="0" fontId="23" fillId="20" borderId="7" xfId="0" applyFont="1" applyFill="1" applyBorder="1"/>
    <xf numFmtId="0" fontId="27" fillId="2" borderId="4" xfId="0" applyFont="1" applyFill="1" applyBorder="1" applyAlignment="1">
      <alignment horizontal="right"/>
    </xf>
    <xf numFmtId="0" fontId="9" fillId="0" borderId="0" xfId="5"/>
    <xf numFmtId="0" fontId="31" fillId="21" borderId="1" xfId="0" applyFont="1" applyFill="1" applyBorder="1" applyAlignment="1">
      <alignment horizontal="left" vertical="center" wrapText="1"/>
    </xf>
    <xf numFmtId="0" fontId="31" fillId="0" borderId="1" xfId="0" applyFont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wrapText="1"/>
    </xf>
    <xf numFmtId="0" fontId="31" fillId="22" borderId="1" xfId="0" applyFont="1" applyFill="1" applyBorder="1" applyAlignment="1">
      <alignment vertical="center"/>
    </xf>
    <xf numFmtId="0" fontId="6" fillId="0" borderId="1" xfId="4" applyFont="1" applyFill="1" applyBorder="1" applyAlignment="1">
      <alignment wrapText="1"/>
    </xf>
    <xf numFmtId="0" fontId="31" fillId="0" borderId="1" xfId="0" applyFont="1" applyBorder="1" applyAlignment="1">
      <alignment vertical="center"/>
    </xf>
    <xf numFmtId="0" fontId="31" fillId="0" borderId="1" xfId="0" applyFont="1" applyBorder="1" applyAlignment="1">
      <alignment horizontal="center" vertical="center"/>
    </xf>
    <xf numFmtId="0" fontId="6" fillId="5" borderId="1" xfId="4" applyFont="1" applyFill="1" applyBorder="1" applyAlignment="1">
      <alignment wrapText="1"/>
    </xf>
    <xf numFmtId="0" fontId="31" fillId="22" borderId="1" xfId="0" applyFont="1" applyFill="1" applyBorder="1" applyAlignment="1">
      <alignment horizontal="center" vertical="center"/>
    </xf>
    <xf numFmtId="0" fontId="31" fillId="0" borderId="1" xfId="0" applyFont="1" applyBorder="1"/>
    <xf numFmtId="0" fontId="31" fillId="22" borderId="1" xfId="0" applyFont="1" applyFill="1" applyBorder="1"/>
    <xf numFmtId="0" fontId="32" fillId="23" borderId="5" xfId="0" applyFont="1" applyFill="1" applyBorder="1" applyAlignment="1">
      <alignment wrapText="1"/>
    </xf>
    <xf numFmtId="0" fontId="32" fillId="23" borderId="6" xfId="0" applyFont="1" applyFill="1" applyBorder="1" applyAlignment="1">
      <alignment wrapText="1"/>
    </xf>
    <xf numFmtId="0" fontId="34" fillId="0" borderId="8" xfId="0" applyFont="1" applyBorder="1"/>
    <xf numFmtId="9" fontId="32" fillId="23" borderId="8" xfId="0" applyNumberFormat="1" applyFont="1" applyFill="1" applyBorder="1" applyAlignment="1">
      <alignment wrapText="1"/>
    </xf>
    <xf numFmtId="0" fontId="32" fillId="3" borderId="7" xfId="0" applyFont="1" applyFill="1" applyBorder="1" applyAlignment="1">
      <alignment wrapText="1"/>
    </xf>
    <xf numFmtId="3" fontId="32" fillId="3" borderId="8" xfId="0" applyNumberFormat="1" applyFont="1" applyFill="1" applyBorder="1" applyAlignment="1">
      <alignment wrapText="1"/>
    </xf>
    <xf numFmtId="9" fontId="32" fillId="3" borderId="8" xfId="0" applyNumberFormat="1" applyFont="1" applyFill="1" applyBorder="1" applyAlignment="1">
      <alignment wrapText="1"/>
    </xf>
    <xf numFmtId="0" fontId="34" fillId="0" borderId="8" xfId="0" applyFont="1" applyBorder="1" applyAlignment="1">
      <alignment horizontal="center"/>
    </xf>
    <xf numFmtId="0" fontId="0" fillId="0" borderId="1" xfId="0" applyBorder="1"/>
    <xf numFmtId="0" fontId="28" fillId="6" borderId="13" xfId="0" applyFont="1" applyFill="1" applyBorder="1" applyAlignment="1">
      <alignment horizontal="center" vertical="center" wrapText="1"/>
    </xf>
    <xf numFmtId="0" fontId="27" fillId="0" borderId="1" xfId="0" applyFont="1" applyBorder="1"/>
    <xf numFmtId="0" fontId="28" fillId="6" borderId="23" xfId="0" applyFont="1" applyFill="1" applyBorder="1" applyAlignment="1">
      <alignment horizontal="center" vertical="center" wrapText="1"/>
    </xf>
    <xf numFmtId="0" fontId="29" fillId="0" borderId="23" xfId="0" applyFont="1" applyBorder="1"/>
    <xf numFmtId="0" fontId="3" fillId="0" borderId="4" xfId="0" applyFont="1" applyBorder="1" applyAlignment="1">
      <alignment horizontal="center" vertical="center"/>
    </xf>
    <xf numFmtId="0" fontId="22" fillId="8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9" fontId="32" fillId="23" borderId="20" xfId="0" applyNumberFormat="1" applyFont="1" applyFill="1" applyBorder="1" applyAlignment="1">
      <alignment horizontal="center" vertical="center" wrapText="1"/>
    </xf>
    <xf numFmtId="9" fontId="32" fillId="23" borderId="7" xfId="0" applyNumberFormat="1" applyFont="1" applyFill="1" applyBorder="1" applyAlignment="1">
      <alignment horizontal="center" vertical="center" wrapText="1"/>
    </xf>
    <xf numFmtId="1" fontId="4" fillId="16" borderId="16" xfId="0" applyNumberFormat="1" applyFont="1" applyFill="1" applyBorder="1" applyAlignment="1">
      <alignment horizontal="center" vertical="center" wrapText="1"/>
    </xf>
    <xf numFmtId="0" fontId="3" fillId="0" borderId="11" xfId="0" applyFont="1" applyBorder="1"/>
    <xf numFmtId="0" fontId="27" fillId="0" borderId="11" xfId="0" applyFont="1" applyBorder="1"/>
    <xf numFmtId="0" fontId="3" fillId="0" borderId="4" xfId="1" applyFont="1" applyAlignment="1">
      <alignment horizontal="center" vertical="center"/>
    </xf>
    <xf numFmtId="0" fontId="3" fillId="0" borderId="1" xfId="1" applyFont="1" applyBorder="1"/>
    <xf numFmtId="0" fontId="3" fillId="7" borderId="1" xfId="1" applyFont="1" applyFill="1" applyBorder="1" applyAlignment="1">
      <alignment horizontal="center" vertical="center"/>
    </xf>
    <xf numFmtId="0" fontId="3" fillId="7" borderId="1" xfId="1" applyFont="1" applyFill="1" applyBorder="1"/>
    <xf numFmtId="0" fontId="3" fillId="0" borderId="11" xfId="1" applyFont="1" applyBorder="1" applyAlignment="1">
      <alignment horizontal="center" vertical="center"/>
    </xf>
    <xf numFmtId="0" fontId="3" fillId="0" borderId="16" xfId="1" applyFont="1" applyBorder="1" applyAlignment="1">
      <alignment horizontal="center" vertical="center"/>
    </xf>
    <xf numFmtId="0" fontId="3" fillId="7" borderId="23" xfId="1" applyFont="1" applyFill="1" applyBorder="1"/>
    <xf numFmtId="0" fontId="4" fillId="7" borderId="4" xfId="1" applyFont="1" applyFill="1" applyAlignment="1">
      <alignment horizontal="center" vertical="center" wrapText="1"/>
    </xf>
    <xf numFmtId="0" fontId="0" fillId="0" borderId="7" xfId="0" applyBorder="1"/>
    <xf numFmtId="0" fontId="33" fillId="18" borderId="1" xfId="0" applyFont="1" applyFill="1" applyBorder="1" applyAlignment="1">
      <alignment wrapText="1"/>
    </xf>
    <xf numFmtId="0" fontId="34" fillId="0" borderId="1" xfId="0" applyFont="1" applyBorder="1"/>
    <xf numFmtId="0" fontId="38" fillId="0" borderId="4" xfId="0" applyFont="1" applyBorder="1"/>
    <xf numFmtId="0" fontId="32" fillId="23" borderId="25" xfId="0" applyFont="1" applyFill="1" applyBorder="1" applyAlignment="1">
      <alignment wrapText="1"/>
    </xf>
    <xf numFmtId="0" fontId="3" fillId="0" borderId="3" xfId="0" applyFont="1" applyBorder="1" applyAlignment="1">
      <alignment horizontal="center" vertical="center"/>
    </xf>
    <xf numFmtId="0" fontId="23" fillId="5" borderId="13" xfId="0" applyFont="1" applyFill="1" applyBorder="1"/>
    <xf numFmtId="0" fontId="23" fillId="5" borderId="24" xfId="0" applyFont="1" applyFill="1" applyBorder="1"/>
    <xf numFmtId="170" fontId="13" fillId="7" borderId="1" xfId="1" applyNumberFormat="1" applyFont="1" applyFill="1" applyBorder="1" applyAlignment="1">
      <alignment horizontal="center" vertical="center" wrapText="1"/>
    </xf>
    <xf numFmtId="0" fontId="39" fillId="7" borderId="1" xfId="1" applyFont="1" applyFill="1" applyBorder="1" applyAlignment="1">
      <alignment horizontal="left" vertical="center" wrapText="1"/>
    </xf>
    <xf numFmtId="0" fontId="40" fillId="7" borderId="1" xfId="1" applyFont="1" applyFill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center" vertical="top" wrapText="1"/>
    </xf>
    <xf numFmtId="0" fontId="23" fillId="0" borderId="1" xfId="0" applyFont="1" applyBorder="1" applyAlignment="1">
      <alignment horizontal="center" vertical="top"/>
    </xf>
    <xf numFmtId="0" fontId="23" fillId="0" borderId="11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0" fontId="23" fillId="0" borderId="18" xfId="0" applyFont="1" applyBorder="1" applyAlignment="1">
      <alignment horizontal="left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6" fillId="0" borderId="17" xfId="0" applyNumberFormat="1" applyFont="1" applyBorder="1" applyAlignment="1">
      <alignment horizontal="center" vertical="center"/>
    </xf>
    <xf numFmtId="166" fontId="6" fillId="4" borderId="3" xfId="0" applyNumberFormat="1" applyFont="1" applyFill="1" applyBorder="1" applyAlignment="1">
      <alignment horizontal="center" vertical="center"/>
    </xf>
    <xf numFmtId="166" fontId="3" fillId="4" borderId="2" xfId="0" applyNumberFormat="1" applyFont="1" applyFill="1" applyBorder="1" applyAlignment="1">
      <alignment horizontal="center" vertical="center"/>
    </xf>
    <xf numFmtId="3" fontId="3" fillId="2" borderId="7" xfId="0" applyNumberFormat="1" applyFont="1" applyFill="1" applyBorder="1" applyAlignment="1">
      <alignment horizontal="center" vertical="center"/>
    </xf>
    <xf numFmtId="3" fontId="3" fillId="7" borderId="7" xfId="0" applyNumberFormat="1" applyFont="1" applyFill="1" applyBorder="1" applyAlignment="1">
      <alignment horizontal="center" vertical="center"/>
    </xf>
    <xf numFmtId="3" fontId="3" fillId="7" borderId="22" xfId="0" applyNumberFormat="1" applyFont="1" applyFill="1" applyBorder="1" applyAlignment="1">
      <alignment horizontal="center" vertical="center"/>
    </xf>
    <xf numFmtId="0" fontId="3" fillId="7" borderId="21" xfId="1" applyFont="1" applyFill="1" applyBorder="1" applyAlignment="1">
      <alignment horizontal="center" vertical="center"/>
    </xf>
    <xf numFmtId="0" fontId="3" fillId="7" borderId="23" xfId="1" applyFont="1" applyFill="1" applyBorder="1" applyAlignment="1">
      <alignment vertical="center"/>
    </xf>
    <xf numFmtId="0" fontId="3" fillId="0" borderId="13" xfId="1" applyFont="1" applyBorder="1"/>
    <xf numFmtId="0" fontId="3" fillId="7" borderId="20" xfId="1" applyFont="1" applyFill="1" applyBorder="1"/>
    <xf numFmtId="0" fontId="3" fillId="7" borderId="21" xfId="1" applyFont="1" applyFill="1" applyBorder="1"/>
    <xf numFmtId="0" fontId="3" fillId="0" borderId="1" xfId="1" applyFont="1" applyBorder="1" applyAlignment="1">
      <alignment horizontal="center" vertical="center" wrapText="1"/>
    </xf>
    <xf numFmtId="0" fontId="3" fillId="7" borderId="3" xfId="1" applyFont="1" applyFill="1" applyBorder="1" applyAlignment="1">
      <alignment horizontal="center" vertical="center" wrapText="1"/>
    </xf>
    <xf numFmtId="0" fontId="3" fillId="7" borderId="1" xfId="1" applyFont="1" applyFill="1" applyBorder="1" applyAlignment="1">
      <alignment horizontal="center" vertical="center" wrapText="1"/>
    </xf>
    <xf numFmtId="0" fontId="25" fillId="19" borderId="13" xfId="0" applyFont="1" applyFill="1" applyBorder="1" applyAlignment="1">
      <alignment horizontal="center" vertical="center" wrapText="1"/>
    </xf>
    <xf numFmtId="0" fontId="25" fillId="19" borderId="5" xfId="0" applyFont="1" applyFill="1" applyBorder="1" applyAlignment="1">
      <alignment horizontal="center" wrapText="1"/>
    </xf>
    <xf numFmtId="0" fontId="25" fillId="19" borderId="3" xfId="0" applyFont="1" applyFill="1" applyBorder="1" applyAlignment="1">
      <alignment horizontal="center" wrapText="1"/>
    </xf>
    <xf numFmtId="0" fontId="3" fillId="0" borderId="1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3" fontId="3" fillId="7" borderId="4" xfId="0" applyNumberFormat="1" applyFont="1" applyFill="1" applyBorder="1" applyAlignment="1">
      <alignment horizontal="left" vertical="center"/>
    </xf>
    <xf numFmtId="3" fontId="3" fillId="7" borderId="2" xfId="0" applyNumberFormat="1" applyFont="1" applyFill="1" applyBorder="1" applyAlignment="1">
      <alignment horizontal="center" vertical="center"/>
    </xf>
    <xf numFmtId="3" fontId="3" fillId="7" borderId="18" xfId="0" applyNumberFormat="1" applyFont="1" applyFill="1" applyBorder="1" applyAlignment="1">
      <alignment horizontal="center" vertical="center"/>
    </xf>
    <xf numFmtId="0" fontId="31" fillId="21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/>
    </xf>
    <xf numFmtId="0" fontId="31" fillId="22" borderId="1" xfId="0" applyFont="1" applyFill="1" applyBorder="1" applyAlignment="1">
      <alignment horizontal="center"/>
    </xf>
    <xf numFmtId="0" fontId="31" fillId="0" borderId="1" xfId="0" applyFont="1" applyBorder="1" applyAlignment="1">
      <alignment horizontal="center" vertical="center" wrapText="1"/>
    </xf>
    <xf numFmtId="0" fontId="12" fillId="6" borderId="3" xfId="1" applyFont="1" applyFill="1" applyBorder="1" applyAlignment="1">
      <alignment horizontal="center" vertical="center" wrapText="1"/>
    </xf>
    <xf numFmtId="0" fontId="3" fillId="0" borderId="4" xfId="1" applyFont="1" applyAlignment="1">
      <alignment horizontal="center"/>
    </xf>
    <xf numFmtId="0" fontId="7" fillId="8" borderId="4" xfId="1" applyFont="1" applyFill="1" applyAlignment="1">
      <alignment horizontal="center"/>
    </xf>
    <xf numFmtId="0" fontId="12" fillId="13" borderId="3" xfId="1" applyFont="1" applyFill="1" applyBorder="1" applyAlignment="1">
      <alignment horizontal="center" vertical="center" wrapText="1"/>
    </xf>
    <xf numFmtId="0" fontId="17" fillId="0" borderId="14" xfId="1" applyFont="1" applyBorder="1" applyAlignment="1">
      <alignment vertical="center"/>
    </xf>
    <xf numFmtId="0" fontId="17" fillId="0" borderId="2" xfId="1" applyFont="1" applyBorder="1" applyAlignment="1">
      <alignment vertical="center"/>
    </xf>
    <xf numFmtId="0" fontId="5" fillId="0" borderId="4" xfId="1" applyFont="1" applyAlignment="1">
      <alignment horizontal="center" vertical="top" wrapText="1"/>
    </xf>
    <xf numFmtId="0" fontId="12" fillId="3" borderId="3" xfId="1" applyFont="1" applyFill="1" applyBorder="1" applyAlignment="1">
      <alignment horizontal="center" vertical="center" wrapText="1"/>
    </xf>
    <xf numFmtId="0" fontId="12" fillId="3" borderId="14" xfId="1" applyFont="1" applyFill="1" applyBorder="1" applyAlignment="1">
      <alignment horizontal="center" vertical="center" wrapText="1"/>
    </xf>
    <xf numFmtId="0" fontId="12" fillId="3" borderId="2" xfId="1" applyFont="1" applyFill="1" applyBorder="1" applyAlignment="1">
      <alignment horizontal="center" vertical="center" wrapText="1"/>
    </xf>
    <xf numFmtId="0" fontId="12" fillId="10" borderId="3" xfId="1" applyFont="1" applyFill="1" applyBorder="1" applyAlignment="1">
      <alignment horizontal="center" vertical="center" wrapText="1"/>
    </xf>
    <xf numFmtId="0" fontId="12" fillId="10" borderId="14" xfId="1" applyFont="1" applyFill="1" applyBorder="1" applyAlignment="1">
      <alignment horizontal="center" vertical="center" wrapText="1"/>
    </xf>
    <xf numFmtId="0" fontId="14" fillId="10" borderId="3" xfId="1" applyFont="1" applyFill="1" applyBorder="1" applyAlignment="1">
      <alignment horizontal="center" vertical="center" wrapText="1"/>
    </xf>
    <xf numFmtId="0" fontId="14" fillId="10" borderId="14" xfId="1" applyFont="1" applyFill="1" applyBorder="1" applyAlignment="1">
      <alignment horizontal="center" vertical="center" wrapText="1"/>
    </xf>
    <xf numFmtId="0" fontId="12" fillId="12" borderId="3" xfId="1" applyFont="1" applyFill="1" applyBorder="1" applyAlignment="1">
      <alignment horizontal="center" vertical="center" wrapText="1"/>
    </xf>
    <xf numFmtId="0" fontId="13" fillId="0" borderId="3" xfId="1" applyFont="1" applyBorder="1" applyAlignment="1">
      <alignment horizontal="left" vertical="center" wrapText="1"/>
    </xf>
    <xf numFmtId="0" fontId="17" fillId="0" borderId="14" xfId="1" applyFont="1" applyBorder="1" applyAlignment="1">
      <alignment horizontal="left" vertical="center"/>
    </xf>
    <xf numFmtId="0" fontId="17" fillId="0" borderId="2" xfId="1" applyFont="1" applyBorder="1" applyAlignment="1">
      <alignment horizontal="left" vertical="center"/>
    </xf>
    <xf numFmtId="0" fontId="4" fillId="2" borderId="4" xfId="1" applyFont="1" applyFill="1" applyAlignment="1">
      <alignment horizontal="center" vertical="center" wrapText="1"/>
    </xf>
    <xf numFmtId="0" fontId="3" fillId="15" borderId="4" xfId="1" applyFont="1" applyFill="1" applyAlignment="1">
      <alignment vertical="center"/>
    </xf>
    <xf numFmtId="0" fontId="3" fillId="15" borderId="15" xfId="1" applyFont="1" applyFill="1" applyBorder="1" applyAlignment="1">
      <alignment vertical="center"/>
    </xf>
    <xf numFmtId="0" fontId="37" fillId="0" borderId="4" xfId="1" applyFont="1" applyAlignment="1">
      <alignment horizontal="left" vertical="center" wrapText="1"/>
    </xf>
    <xf numFmtId="0" fontId="3" fillId="0" borderId="4" xfId="1" applyFont="1" applyAlignment="1">
      <alignment horizontal="left" vertical="center"/>
    </xf>
    <xf numFmtId="0" fontId="3" fillId="4" borderId="16" xfId="0" applyFont="1" applyFill="1" applyBorder="1" applyAlignment="1">
      <alignment horizontal="left" vertical="center"/>
    </xf>
    <xf numFmtId="0" fontId="3" fillId="4" borderId="18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21" fillId="2" borderId="4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7" borderId="0" xfId="0" applyFont="1" applyFill="1" applyAlignment="1">
      <alignment horizontal="center" vertical="center" wrapText="1"/>
    </xf>
    <xf numFmtId="0" fontId="27" fillId="2" borderId="4" xfId="0" applyFont="1" applyFill="1" applyBorder="1" applyAlignment="1">
      <alignment horizontal="center" vertical="center" wrapText="1"/>
    </xf>
    <xf numFmtId="0" fontId="28" fillId="2" borderId="4" xfId="0" applyFont="1" applyFill="1" applyBorder="1" applyAlignment="1">
      <alignment horizontal="center" wrapText="1"/>
    </xf>
    <xf numFmtId="3" fontId="32" fillId="3" borderId="20" xfId="0" applyNumberFormat="1" applyFont="1" applyFill="1" applyBorder="1" applyAlignment="1">
      <alignment horizontal="center" vertical="center" wrapText="1"/>
    </xf>
    <xf numFmtId="3" fontId="32" fillId="3" borderId="7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wrapText="1"/>
    </xf>
    <xf numFmtId="1" fontId="4" fillId="6" borderId="1" xfId="0" applyNumberFormat="1" applyFont="1" applyFill="1" applyBorder="1" applyAlignment="1">
      <alignment horizontal="center" vertical="center" wrapText="1"/>
    </xf>
  </cellXfs>
  <cellStyles count="6">
    <cellStyle name="Hipervínculo" xfId="5" builtinId="8"/>
    <cellStyle name="Hipervínculo 2" xfId="3" xr:uid="{00000000-0005-0000-0000-000001000000}"/>
    <cellStyle name="Hyperlink" xfId="4" xr:uid="{00000000-0005-0000-0000-000002000000}"/>
    <cellStyle name="Millares [0] 2" xfId="2" xr:uid="{00000000-0005-0000-0000-000003000000}"/>
    <cellStyle name="Normal" xfId="0" builtinId="0"/>
    <cellStyle name="Normal 3" xfId="1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C. Adquisici&#243;n_biblioteca'!A1"/><Relationship Id="rId2" Type="http://schemas.openxmlformats.org/officeDocument/2006/relationships/hyperlink" Target="#'A. Inversion '!A1"/><Relationship Id="rId1" Type="http://schemas.openxmlformats.org/officeDocument/2006/relationships/image" Target="../media/image1.png"/><Relationship Id="rId6" Type="http://schemas.openxmlformats.org/officeDocument/2006/relationships/hyperlink" Target="#'E. Adquisici&#243;n_Impresa'!A1"/><Relationship Id="rId5" Type="http://schemas.openxmlformats.org/officeDocument/2006/relationships/hyperlink" Target="#'D. Adquisici&#243;n_suscripci&#243;n BD'!A1"/><Relationship Id="rId4" Type="http://schemas.openxmlformats.org/officeDocument/2006/relationships/hyperlink" Target="#'B. Proyecci&#243;n_inversi&#243;n'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Contenido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Contenido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Contenido!A1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#Contenido!A1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#Contenido!A1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#Contenido!A1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180975</xdr:colOff>
      <xdr:row>0</xdr:row>
      <xdr:rowOff>180975</xdr:rowOff>
    </xdr:from>
    <xdr:to>
      <xdr:col>2</xdr:col>
      <xdr:colOff>2209800</xdr:colOff>
      <xdr:row>3</xdr:row>
      <xdr:rowOff>152061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180975"/>
          <a:ext cx="2028825" cy="514011"/>
        </a:xfrm>
        <a:prstGeom prst="rect">
          <a:avLst/>
        </a:prstGeom>
      </xdr:spPr>
    </xdr:pic>
    <xdr:clientData/>
  </xdr:twoCellAnchor>
  <xdr:twoCellAnchor>
    <xdr:from>
      <xdr:col>2</xdr:col>
      <xdr:colOff>2166448</xdr:colOff>
      <xdr:row>7</xdr:row>
      <xdr:rowOff>46870</xdr:rowOff>
    </xdr:from>
    <xdr:to>
      <xdr:col>4</xdr:col>
      <xdr:colOff>130266</xdr:colOff>
      <xdr:row>14</xdr:row>
      <xdr:rowOff>19609</xdr:rowOff>
    </xdr:to>
    <xdr:sp macro="" textlink="">
      <xdr:nvSpPr>
        <xdr:cNvPr id="4" name="Flecha a la derecha con banda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595073" y="1332745"/>
          <a:ext cx="3238287" cy="1139552"/>
        </a:xfrm>
        <a:prstGeom prst="stripedRightArrow">
          <a:avLst/>
        </a:prstGeom>
        <a:solidFill>
          <a:schemeClr val="accent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ysClr val="windowText" lastClr="000000"/>
              </a:solidFill>
              <a:latin typeface="Arial Narrow" panose="020B0606020202030204" pitchFamily="34" charset="0"/>
            </a:rPr>
            <a:t>A</a:t>
          </a:r>
          <a:r>
            <a:rPr lang="en-US" sz="900" b="1">
              <a:solidFill>
                <a:sysClr val="windowText" lastClr="000000"/>
              </a:solidFill>
              <a:latin typeface="Arial Narrow" panose="020B0606020202030204" pitchFamily="34" charset="0"/>
            </a:rPr>
            <a:t>.</a:t>
          </a:r>
          <a:r>
            <a:rPr lang="en-US" sz="900" b="1" baseline="0">
              <a:solidFill>
                <a:sysClr val="windowText" lastClr="000000"/>
              </a:solidFill>
              <a:latin typeface="Arial Narrow" panose="020B0606020202030204" pitchFamily="34" charset="0"/>
            </a:rPr>
            <a:t> </a:t>
          </a:r>
          <a:r>
            <a:rPr lang="en-US" sz="1050" b="1" baseline="0">
              <a:solidFill>
                <a:sysClr val="windowText" lastClr="000000"/>
              </a:solidFill>
              <a:latin typeface="Arial Narrow" panose="020B0606020202030204" pitchFamily="34" charset="0"/>
            </a:rPr>
            <a:t>INVERSIÓN BIBLIOGRÁFICA</a:t>
          </a:r>
          <a:endParaRPr lang="en-US" sz="900" b="1">
            <a:solidFill>
              <a:sysClr val="windowText" lastClr="000000"/>
            </a:solidFill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1</xdr:col>
      <xdr:colOff>222072</xdr:colOff>
      <xdr:row>15</xdr:row>
      <xdr:rowOff>56030</xdr:rowOff>
    </xdr:from>
    <xdr:to>
      <xdr:col>3</xdr:col>
      <xdr:colOff>685659</xdr:colOff>
      <xdr:row>23</xdr:row>
      <xdr:rowOff>33619</xdr:rowOff>
    </xdr:to>
    <xdr:sp macro="" textlink="">
      <xdr:nvSpPr>
        <xdr:cNvPr id="5" name="Flecha a la derecha con banda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88760" y="2675405"/>
          <a:ext cx="3023430" cy="1311089"/>
        </a:xfrm>
        <a:prstGeom prst="stripedRightArrow">
          <a:avLst/>
        </a:prstGeom>
        <a:solidFill>
          <a:schemeClr val="accent3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ysClr val="windowText" lastClr="000000"/>
              </a:solidFill>
              <a:latin typeface="Arial Narrow" panose="020B0606020202030204" pitchFamily="34" charset="0"/>
            </a:rPr>
            <a:t>C</a:t>
          </a:r>
          <a:r>
            <a:rPr lang="en-US" sz="900" b="1">
              <a:solidFill>
                <a:sysClr val="windowText" lastClr="000000"/>
              </a:solidFill>
              <a:latin typeface="Arial Narrow" panose="020B0606020202030204" pitchFamily="34" charset="0"/>
            </a:rPr>
            <a:t>. </a:t>
          </a:r>
          <a:r>
            <a:rPr lang="en-US" sz="1050" b="1">
              <a:solidFill>
                <a:sysClr val="windowText" lastClr="000000"/>
              </a:solidFill>
              <a:latin typeface="Arial Narrow" panose="020B0606020202030204" pitchFamily="34" charset="0"/>
            </a:rPr>
            <a:t>ADQUISICIÓN</a:t>
          </a:r>
          <a:r>
            <a:rPr lang="en-US" sz="1050" b="1" baseline="0">
              <a:solidFill>
                <a:sysClr val="windowText" lastClr="000000"/>
              </a:solidFill>
              <a:latin typeface="Arial Narrow" panose="020B0606020202030204" pitchFamily="34" charset="0"/>
            </a:rPr>
            <a:t> BIBLIOTECA RECURSOS IMPRESOS Y DIGITALES</a:t>
          </a:r>
          <a:endParaRPr lang="en-US" sz="1050" b="1">
            <a:solidFill>
              <a:sysClr val="windowText" lastClr="000000"/>
            </a:solidFill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4</xdr:col>
      <xdr:colOff>792049</xdr:colOff>
      <xdr:row>7</xdr:row>
      <xdr:rowOff>15813</xdr:rowOff>
    </xdr:from>
    <xdr:to>
      <xdr:col>9</xdr:col>
      <xdr:colOff>21012</xdr:colOff>
      <xdr:row>14</xdr:row>
      <xdr:rowOff>6303</xdr:rowOff>
    </xdr:to>
    <xdr:sp macro="" textlink="">
      <xdr:nvSpPr>
        <xdr:cNvPr id="6" name="Flecha a la derecha con banda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6495143" y="1301688"/>
          <a:ext cx="3527119" cy="1157303"/>
        </a:xfrm>
        <a:prstGeom prst="stripedRightArrow">
          <a:avLst/>
        </a:prstGeom>
        <a:solidFill>
          <a:schemeClr val="accent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ysClr val="windowText" lastClr="000000"/>
              </a:solidFill>
              <a:latin typeface="Arial Narrow" panose="020B0606020202030204" pitchFamily="34" charset="0"/>
            </a:rPr>
            <a:t>B</a:t>
          </a:r>
          <a:r>
            <a:rPr lang="en-US" sz="900" b="1">
              <a:solidFill>
                <a:sysClr val="windowText" lastClr="000000"/>
              </a:solidFill>
              <a:latin typeface="Arial Narrow" panose="020B0606020202030204" pitchFamily="34" charset="0"/>
            </a:rPr>
            <a:t>. </a:t>
          </a:r>
          <a:r>
            <a:rPr lang="en-US" sz="1050" b="1">
              <a:solidFill>
                <a:sysClr val="windowText" lastClr="000000"/>
              </a:solidFill>
              <a:latin typeface="Arial Narrow" panose="020B0606020202030204" pitchFamily="34" charset="0"/>
            </a:rPr>
            <a:t>PROYECCIONES INVERSIÓN</a:t>
          </a:r>
          <a:r>
            <a:rPr lang="en-US" sz="1050" b="1" baseline="0">
              <a:solidFill>
                <a:sysClr val="windowText" lastClr="000000"/>
              </a:solidFill>
              <a:latin typeface="Arial Narrow" panose="020B0606020202030204" pitchFamily="34" charset="0"/>
            </a:rPr>
            <a:t> BIBLIOGRÁFICA </a:t>
          </a:r>
          <a:endParaRPr lang="en-US" sz="900" b="1">
            <a:solidFill>
              <a:sysClr val="windowText" lastClr="000000"/>
            </a:solidFill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3</xdr:col>
      <xdr:colOff>1262707</xdr:colOff>
      <xdr:row>15</xdr:row>
      <xdr:rowOff>94550</xdr:rowOff>
    </xdr:from>
    <xdr:to>
      <xdr:col>5</xdr:col>
      <xdr:colOff>289252</xdr:colOff>
      <xdr:row>24</xdr:row>
      <xdr:rowOff>150580</xdr:rowOff>
    </xdr:to>
    <xdr:sp macro="" textlink="">
      <xdr:nvSpPr>
        <xdr:cNvPr id="7" name="Flecha a la derecha con banda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3989238" y="2713925"/>
          <a:ext cx="3253264" cy="1556218"/>
        </a:xfrm>
        <a:prstGeom prst="stripedRightArrow">
          <a:avLst/>
        </a:prstGeom>
        <a:solidFill>
          <a:schemeClr val="accent3"/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solidFill>
                <a:sysClr val="windowText" lastClr="000000"/>
              </a:solidFill>
              <a:latin typeface="Arial Narrow" panose="020B0606020202030204" pitchFamily="34" charset="0"/>
            </a:rPr>
            <a:t>D</a:t>
          </a:r>
          <a:r>
            <a:rPr lang="en-US" sz="900" b="1">
              <a:solidFill>
                <a:sysClr val="windowText" lastClr="000000"/>
              </a:solidFill>
              <a:latin typeface="Arial Narrow" panose="020B0606020202030204" pitchFamily="34" charset="0"/>
            </a:rPr>
            <a:t>. </a:t>
          </a:r>
          <a:r>
            <a:rPr lang="en-US" sz="1050" b="1">
              <a:solidFill>
                <a:sysClr val="windowText" lastClr="000000"/>
              </a:solidFill>
              <a:latin typeface="Arial Narrow" panose="020B0606020202030204" pitchFamily="34" charset="0"/>
            </a:rPr>
            <a:t>RECURSOS</a:t>
          </a:r>
          <a:r>
            <a:rPr lang="en-US" sz="1050" b="1" baseline="0">
              <a:solidFill>
                <a:sysClr val="windowText" lastClr="000000"/>
              </a:solidFill>
              <a:latin typeface="Arial Narrow" panose="020B0606020202030204" pitchFamily="34" charset="0"/>
            </a:rPr>
            <a:t> BIBLIOGRÁFICOS ADQUIRIDOS POR SUSCRIPCIÓN_BASE DE DATOS</a:t>
          </a:r>
          <a:endParaRPr lang="en-US" sz="1050" b="1">
            <a:solidFill>
              <a:sysClr val="windowText" lastClr="000000"/>
            </a:solidFill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6</xdr:col>
      <xdr:colOff>93514</xdr:colOff>
      <xdr:row>15</xdr:row>
      <xdr:rowOff>139793</xdr:rowOff>
    </xdr:from>
    <xdr:to>
      <xdr:col>10</xdr:col>
      <xdr:colOff>298778</xdr:colOff>
      <xdr:row>25</xdr:row>
      <xdr:rowOff>29136</xdr:rowOff>
    </xdr:to>
    <xdr:sp macro="" textlink="">
      <xdr:nvSpPr>
        <xdr:cNvPr id="12" name="Flecha a la derecha con bandas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7808764" y="2759168"/>
          <a:ext cx="3253264" cy="1556218"/>
        </a:xfrm>
        <a:prstGeom prst="stripedRightArrow">
          <a:avLst/>
        </a:prstGeom>
        <a:solidFill>
          <a:schemeClr val="accent3"/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solidFill>
                <a:sysClr val="windowText" lastClr="000000"/>
              </a:solidFill>
              <a:latin typeface="Arial Narrow" panose="020B0606020202030204" pitchFamily="34" charset="0"/>
            </a:rPr>
            <a:t>E</a:t>
          </a:r>
          <a:r>
            <a:rPr lang="en-US" sz="900" b="1">
              <a:solidFill>
                <a:sysClr val="windowText" lastClr="000000"/>
              </a:solidFill>
              <a:latin typeface="Arial Narrow" panose="020B0606020202030204" pitchFamily="34" charset="0"/>
            </a:rPr>
            <a:t>. </a:t>
          </a:r>
          <a:r>
            <a:rPr lang="en-US" sz="1050" b="1">
              <a:solidFill>
                <a:sysClr val="windowText" lastClr="000000"/>
              </a:solidFill>
              <a:latin typeface="Arial Narrow" panose="020B0606020202030204" pitchFamily="34" charset="0"/>
            </a:rPr>
            <a:t>RECURSOS</a:t>
          </a:r>
          <a:r>
            <a:rPr lang="en-US" sz="1050" b="1" baseline="0">
              <a:solidFill>
                <a:sysClr val="windowText" lastClr="000000"/>
              </a:solidFill>
              <a:latin typeface="Arial Narrow" panose="020B0606020202030204" pitchFamily="34" charset="0"/>
            </a:rPr>
            <a:t> BIBLIOGRÁFICOS ADQUIRIDOS IMPRESOS</a:t>
          </a:r>
          <a:endParaRPr lang="en-US" sz="1050" b="1">
            <a:solidFill>
              <a:sysClr val="windowText" lastClr="000000"/>
            </a:solidFill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3</xdr:col>
      <xdr:colOff>2127102</xdr:colOff>
      <xdr:row>23</xdr:row>
      <xdr:rowOff>137412</xdr:rowOff>
    </xdr:from>
    <xdr:to>
      <xdr:col>6</xdr:col>
      <xdr:colOff>391647</xdr:colOff>
      <xdr:row>32</xdr:row>
      <xdr:rowOff>26755</xdr:rowOff>
    </xdr:to>
    <xdr:sp macro="" textlink="">
      <xdr:nvSpPr>
        <xdr:cNvPr id="13" name="Flecha a la derecha con bandas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4853633" y="4090287"/>
          <a:ext cx="3253264" cy="1556218"/>
        </a:xfrm>
        <a:prstGeom prst="stripedRightArrow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solidFill>
                <a:sysClr val="windowText" lastClr="000000"/>
              </a:solidFill>
              <a:latin typeface="Arial Narrow" panose="020B0606020202030204" pitchFamily="34" charset="0"/>
            </a:rPr>
            <a:t>F</a:t>
          </a:r>
          <a:r>
            <a:rPr lang="en-US" sz="900" b="1">
              <a:solidFill>
                <a:sysClr val="windowText" lastClr="000000"/>
              </a:solidFill>
              <a:latin typeface="Arial Narrow" panose="020B0606020202030204" pitchFamily="34" charset="0"/>
            </a:rPr>
            <a:t>. </a:t>
          </a:r>
          <a:r>
            <a:rPr lang="en-US" sz="1050" b="1">
              <a:solidFill>
                <a:sysClr val="windowText" lastClr="000000"/>
              </a:solidFill>
              <a:latin typeface="Arial Narrow" panose="020B0606020202030204" pitchFamily="34" charset="0"/>
            </a:rPr>
            <a:t>RECURSOS</a:t>
          </a:r>
          <a:r>
            <a:rPr lang="en-US" sz="1050" b="1" baseline="0">
              <a:solidFill>
                <a:sysClr val="windowText" lastClr="000000"/>
              </a:solidFill>
              <a:latin typeface="Arial Narrow" panose="020B0606020202030204" pitchFamily="34" charset="0"/>
            </a:rPr>
            <a:t> BIBLIOGRÁFICOS ADQUIRIDOS SUSCRIPCIÓN PERTINENTES POR PROYECTO CURRICULAR</a:t>
          </a:r>
          <a:endParaRPr lang="en-US" sz="1050" b="1">
            <a:solidFill>
              <a:sysClr val="windowText" lastClr="000000"/>
            </a:solidFill>
            <a:latin typeface="Arial Narrow" panose="020B060602020203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0</xdr:row>
      <xdr:rowOff>19050</xdr:rowOff>
    </xdr:from>
    <xdr:to>
      <xdr:col>3</xdr:col>
      <xdr:colOff>371475</xdr:colOff>
      <xdr:row>0</xdr:row>
      <xdr:rowOff>533400</xdr:rowOff>
    </xdr:to>
    <xdr:sp macro="" textlink="">
      <xdr:nvSpPr>
        <xdr:cNvPr id="2" name="Flech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04850" y="19050"/>
          <a:ext cx="1543050" cy="514350"/>
        </a:xfrm>
        <a:prstGeom prst="leftArrow">
          <a:avLst/>
        </a:prstGeom>
        <a:solidFill>
          <a:schemeClr val="accent2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INICIO</a:t>
          </a:r>
        </a:p>
      </xdr:txBody>
    </xdr:sp>
    <xdr:clientData/>
  </xdr:twoCellAnchor>
  <xdr:twoCellAnchor editAs="oneCell">
    <xdr:from>
      <xdr:col>3</xdr:col>
      <xdr:colOff>523875</xdr:colOff>
      <xdr:row>0</xdr:row>
      <xdr:rowOff>66675</xdr:rowOff>
    </xdr:from>
    <xdr:to>
      <xdr:col>4</xdr:col>
      <xdr:colOff>1171574</xdr:colOff>
      <xdr:row>0</xdr:row>
      <xdr:rowOff>476250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0300" y="66675"/>
          <a:ext cx="1952624" cy="4095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0</xdr:row>
      <xdr:rowOff>104775</xdr:rowOff>
    </xdr:from>
    <xdr:to>
      <xdr:col>2</xdr:col>
      <xdr:colOff>342900</xdr:colOff>
      <xdr:row>3</xdr:row>
      <xdr:rowOff>47625</xdr:rowOff>
    </xdr:to>
    <xdr:sp macro="" textlink="">
      <xdr:nvSpPr>
        <xdr:cNvPr id="2" name="Flech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990600" y="104775"/>
          <a:ext cx="1543050" cy="514350"/>
        </a:xfrm>
        <a:prstGeom prst="leftArrow">
          <a:avLst/>
        </a:prstGeom>
        <a:ln>
          <a:solidFill>
            <a:schemeClr val="accent2"/>
          </a:solidFill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INICIO</a:t>
          </a:r>
        </a:p>
      </xdr:txBody>
    </xdr:sp>
    <xdr:clientData/>
  </xdr:twoCellAnchor>
  <xdr:twoCellAnchor editAs="oneCell">
    <xdr:from>
      <xdr:col>2</xdr:col>
      <xdr:colOff>495300</xdr:colOff>
      <xdr:row>0</xdr:row>
      <xdr:rowOff>152400</xdr:rowOff>
    </xdr:from>
    <xdr:to>
      <xdr:col>2</xdr:col>
      <xdr:colOff>2447924</xdr:colOff>
      <xdr:row>2</xdr:row>
      <xdr:rowOff>180975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050" y="152400"/>
          <a:ext cx="1952624" cy="4095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1</xdr:row>
      <xdr:rowOff>57150</xdr:rowOff>
    </xdr:from>
    <xdr:to>
      <xdr:col>2</xdr:col>
      <xdr:colOff>2409824</xdr:colOff>
      <xdr:row>3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5475" y="247650"/>
          <a:ext cx="1952624" cy="40957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2</xdr:col>
      <xdr:colOff>352425</xdr:colOff>
      <xdr:row>3</xdr:row>
      <xdr:rowOff>161925</xdr:rowOff>
    </xdr:to>
    <xdr:sp macro="" textlink="">
      <xdr:nvSpPr>
        <xdr:cNvPr id="3" name="Flecha izquierda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3000000}"/>
            </a:ext>
            <a:ext uri="{147F2762-F138-4A5C-976F-8EAC2B608ADB}">
              <a16:predDERef xmlns:a16="http://schemas.microsoft.com/office/drawing/2014/main" pred="{00000000-0008-0000-0300-000002000000}"/>
            </a:ext>
          </a:extLst>
        </xdr:cNvPr>
        <xdr:cNvSpPr/>
      </xdr:nvSpPr>
      <xdr:spPr>
        <a:xfrm>
          <a:off x="247650" y="190500"/>
          <a:ext cx="1543050" cy="542925"/>
        </a:xfrm>
        <a:prstGeom prst="leftArrow">
          <a:avLst/>
        </a:prstGeom>
        <a:ln>
          <a:solidFill>
            <a:schemeClr val="accent2"/>
          </a:solidFill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3375931</xdr:colOff>
      <xdr:row>1</xdr:row>
      <xdr:rowOff>29936</xdr:rowOff>
    </xdr:from>
    <xdr:to>
      <xdr:col>3</xdr:col>
      <xdr:colOff>2422071</xdr:colOff>
      <xdr:row>4</xdr:row>
      <xdr:rowOff>21288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9931" y="193222"/>
          <a:ext cx="2488747" cy="52203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2</xdr:col>
      <xdr:colOff>781050</xdr:colOff>
      <xdr:row>3</xdr:row>
      <xdr:rowOff>114300</xdr:rowOff>
    </xdr:to>
    <xdr:sp macro="" textlink="">
      <xdr:nvSpPr>
        <xdr:cNvPr id="4" name="Flecha izquierda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81867A1-599C-4828-82A2-C2A1E2467AF6}"/>
            </a:ext>
            <a:ext uri="{147F2762-F138-4A5C-976F-8EAC2B608ADB}">
              <a16:predDERef xmlns:a16="http://schemas.microsoft.com/office/drawing/2014/main" pred="{00000000-0008-0000-0400-000002000000}"/>
            </a:ext>
          </a:extLst>
        </xdr:cNvPr>
        <xdr:cNvSpPr/>
      </xdr:nvSpPr>
      <xdr:spPr>
        <a:xfrm>
          <a:off x="762000" y="161925"/>
          <a:ext cx="1543050" cy="485775"/>
        </a:xfrm>
        <a:prstGeom prst="leftArrow">
          <a:avLst/>
        </a:prstGeom>
        <a:ln>
          <a:solidFill>
            <a:schemeClr val="accent2"/>
          </a:solidFill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2051236</xdr:colOff>
      <xdr:row>0</xdr:row>
      <xdr:rowOff>90768</xdr:rowOff>
    </xdr:from>
    <xdr:to>
      <xdr:col>2</xdr:col>
      <xdr:colOff>403411</xdr:colOff>
      <xdr:row>2</xdr:row>
      <xdr:rowOff>63314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3589" y="90768"/>
          <a:ext cx="2173381" cy="409575"/>
        </a:xfrm>
        <a:prstGeom prst="rect">
          <a:avLst/>
        </a:prstGeom>
      </xdr:spPr>
    </xdr:pic>
    <xdr:clientData/>
  </xdr:twoCellAnchor>
  <xdr:twoCellAnchor>
    <xdr:from>
      <xdr:col>1</xdr:col>
      <xdr:colOff>33617</xdr:colOff>
      <xdr:row>0</xdr:row>
      <xdr:rowOff>0</xdr:rowOff>
    </xdr:from>
    <xdr:to>
      <xdr:col>1</xdr:col>
      <xdr:colOff>1576667</xdr:colOff>
      <xdr:row>2</xdr:row>
      <xdr:rowOff>105896</xdr:rowOff>
    </xdr:to>
    <xdr:sp macro="" textlink="">
      <xdr:nvSpPr>
        <xdr:cNvPr id="3" name="Flecha izquierda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3000000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705970" y="0"/>
          <a:ext cx="1543050" cy="542925"/>
        </a:xfrm>
        <a:prstGeom prst="leftArrow">
          <a:avLst/>
        </a:prstGeom>
        <a:solidFill>
          <a:schemeClr val="accent2"/>
        </a:solidFill>
        <a:ln>
          <a:solidFill>
            <a:schemeClr val="accent2"/>
          </a:solidFill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57150</xdr:rowOff>
    </xdr:from>
    <xdr:to>
      <xdr:col>4</xdr:col>
      <xdr:colOff>428624</xdr:colOff>
      <xdr:row>3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3725" y="219075"/>
          <a:ext cx="1952624" cy="409575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1</xdr:row>
      <xdr:rowOff>0</xdr:rowOff>
    </xdr:from>
    <xdr:to>
      <xdr:col>1</xdr:col>
      <xdr:colOff>1733551</xdr:colOff>
      <xdr:row>4</xdr:row>
      <xdr:rowOff>28575</xdr:rowOff>
    </xdr:to>
    <xdr:sp macro="" textlink="">
      <xdr:nvSpPr>
        <xdr:cNvPr id="3" name="Flecha izquierda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3000000}"/>
            </a:ext>
            <a:ext uri="{147F2762-F138-4A5C-976F-8EAC2B608ADB}">
              <a16:predDERef xmlns:a16="http://schemas.microsoft.com/office/drawing/2014/main" pred="{00000000-0008-0000-0600-000002000000}"/>
            </a:ext>
          </a:extLst>
        </xdr:cNvPr>
        <xdr:cNvSpPr/>
      </xdr:nvSpPr>
      <xdr:spPr>
        <a:xfrm>
          <a:off x="762001" y="161925"/>
          <a:ext cx="1733550" cy="542925"/>
        </a:xfrm>
        <a:prstGeom prst="leftArrow">
          <a:avLst/>
        </a:prstGeom>
        <a:solidFill>
          <a:schemeClr val="accent2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https://research.ebsco.com/c/2gsfcu/search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udistrital.edu.co/admisiones/index.php/oferta/programas/licenciatura-en-educacion-artistica" TargetMode="External"/><Relationship Id="rId18" Type="http://schemas.openxmlformats.org/officeDocument/2006/relationships/hyperlink" Target="https://www.udistrital.edu.co/admisiones/index.php/oferta/programas/licenciatura-en-matematicas" TargetMode="External"/><Relationship Id="rId26" Type="http://schemas.openxmlformats.org/officeDocument/2006/relationships/hyperlink" Target="https://www.udistrital.edu.co/admisiones/index.php/oferta/programas/administracion-deportiva" TargetMode="External"/><Relationship Id="rId39" Type="http://schemas.openxmlformats.org/officeDocument/2006/relationships/hyperlink" Target="https://www.udistrital.edu.co/admisiones/index.php/oferta/programas/ingenieria-en-telematica-por-ciclos-propedeuticos" TargetMode="External"/><Relationship Id="rId21" Type="http://schemas.openxmlformats.org/officeDocument/2006/relationships/hyperlink" Target="https://www.udistrital.edu.co/admisiones/index.php/oferta/programas/ingenieria-de-sistemas" TargetMode="External"/><Relationship Id="rId34" Type="http://schemas.openxmlformats.org/officeDocument/2006/relationships/hyperlink" Target="https://www.udistrital.edu.co/admisiones/index.php/oferta/programas/ingenieria-civil-por-ciclos-propedeuticos" TargetMode="External"/><Relationship Id="rId42" Type="http://schemas.openxmlformats.org/officeDocument/2006/relationships/hyperlink" Target="https://www.udistrital.edu.co/admisiones/index.php/oferta/programas/tecnologia-en-electricidad-de-media-y-baja-tension-por-ciclos-propedeuticos" TargetMode="External"/><Relationship Id="rId47" Type="http://schemas.openxmlformats.org/officeDocument/2006/relationships/hyperlink" Target="https://login.bdigital.udistrital.edu.co/login?url=https://www.oreilly.com/library-access/" TargetMode="External"/><Relationship Id="rId7" Type="http://schemas.openxmlformats.org/officeDocument/2006/relationships/hyperlink" Target="https://www.udistrital.edu.co/admisiones/index.php/oferta/programas/matematicas" TargetMode="External"/><Relationship Id="rId2" Type="http://schemas.openxmlformats.org/officeDocument/2006/relationships/hyperlink" Target="https://www.udistrital.edu.co/admisiones/index.php/oferta/programas/artes-escenicas" TargetMode="External"/><Relationship Id="rId16" Type="http://schemas.openxmlformats.org/officeDocument/2006/relationships/hyperlink" Target="https://www.udistrital.edu.co/admisiones/index.php/oferta/programas/licenciatura-en-humanidades-y-lengua-castellana" TargetMode="External"/><Relationship Id="rId29" Type="http://schemas.openxmlformats.org/officeDocument/2006/relationships/hyperlink" Target="https://www.udistrital.edu.co/admisiones/index.php/oferta/programas/ingenieria-sanitaria" TargetMode="External"/><Relationship Id="rId1" Type="http://schemas.openxmlformats.org/officeDocument/2006/relationships/hyperlink" Target="https://www.udistrital.edu.co/admisiones/index.php/oferta/programas/arte-danzario" TargetMode="External"/><Relationship Id="rId6" Type="http://schemas.openxmlformats.org/officeDocument/2006/relationships/hyperlink" Target="https://www.udistrital.edu.co/admisiones/index.php/oferta/programas/fisica" TargetMode="External"/><Relationship Id="rId11" Type="http://schemas.openxmlformats.org/officeDocument/2006/relationships/hyperlink" Target="https://www.udistrital.edu.co/admisiones/index.php/oferta/programas/licenciatura-en-biologia" TargetMode="External"/><Relationship Id="rId24" Type="http://schemas.openxmlformats.org/officeDocument/2006/relationships/hyperlink" Target="https://www.udistrital.edu.co/admisiones/index.php/oferta/programas/ingenieria-industrial" TargetMode="External"/><Relationship Id="rId32" Type="http://schemas.openxmlformats.org/officeDocument/2006/relationships/hyperlink" Target="https://www.udistrital.edu.co/admisiones/index.php/oferta/programas/tecnologia-en-levantamientos-topograficos" TargetMode="External"/><Relationship Id="rId37" Type="http://schemas.openxmlformats.org/officeDocument/2006/relationships/hyperlink" Target="https://www.udistrital.edu.co/admisiones/index.php/oferta/programas/ingenieria-en-control-y-automatizacion-por-ciclos-propedeuticos" TargetMode="External"/><Relationship Id="rId40" Type="http://schemas.openxmlformats.org/officeDocument/2006/relationships/hyperlink" Target="https://www.udistrital.edu.co/admisiones/index.php/oferta/programas/ingenieria-mecanica-por-ciclos-propedeuticos" TargetMode="External"/><Relationship Id="rId45" Type="http://schemas.openxmlformats.org/officeDocument/2006/relationships/hyperlink" Target="https://www.udistrital.edu.co/admisiones/index.php/oferta/programas/tecnologia-en-mecanica-industrial-por-ciclos-propedeuticos" TargetMode="External"/><Relationship Id="rId5" Type="http://schemas.openxmlformats.org/officeDocument/2006/relationships/hyperlink" Target="https://www.udistrital.edu.co/admisiones/index.php/oferta/programas/biologia" TargetMode="External"/><Relationship Id="rId15" Type="http://schemas.openxmlformats.org/officeDocument/2006/relationships/hyperlink" Target="https://www.udistrital.edu.co/admisiones/index.php/oferta/programas/licenciatura-en-fisica" TargetMode="External"/><Relationship Id="rId23" Type="http://schemas.openxmlformats.org/officeDocument/2006/relationships/hyperlink" Target="https://www.udistrital.edu.co/admisiones/index.php/oferta/programas/ingenieria-electronica" TargetMode="External"/><Relationship Id="rId28" Type="http://schemas.openxmlformats.org/officeDocument/2006/relationships/hyperlink" Target="https://www.udistrital.edu.co/admisiones/index.php/oferta/programas/ingenieria-forestal" TargetMode="External"/><Relationship Id="rId36" Type="http://schemas.openxmlformats.org/officeDocument/2006/relationships/hyperlink" Target="https://www.udistrital.edu.co/admisiones/index.php/oferta/programas/ingenieria-electrica-por-ciclos-propedeuticos" TargetMode="External"/><Relationship Id="rId10" Type="http://schemas.openxmlformats.org/officeDocument/2006/relationships/hyperlink" Target="https://www.udistrital.edu.co/admisiones/index.php/oferta/programas/comunicacion-social-y-periodismo" TargetMode="External"/><Relationship Id="rId19" Type="http://schemas.openxmlformats.org/officeDocument/2006/relationships/hyperlink" Target="https://www.udistrital.edu.co/admisiones/index.php/oferta/programas/licenciatura-en-quimica" TargetMode="External"/><Relationship Id="rId31" Type="http://schemas.openxmlformats.org/officeDocument/2006/relationships/hyperlink" Target="https://www.udistrital.edu.co/admisiones/index.php/oferta/programas/tecnologia-en-gestion-ambiental-y-servicios-publicos" TargetMode="External"/><Relationship Id="rId44" Type="http://schemas.openxmlformats.org/officeDocument/2006/relationships/hyperlink" Target="https://www.udistrital.edu.co/admisiones/index.php/oferta/programas/tecnologia-en-gestion-de-la-produccion-industrial-por-ciclos-propedeuticos" TargetMode="External"/><Relationship Id="rId4" Type="http://schemas.openxmlformats.org/officeDocument/2006/relationships/hyperlink" Target="https://www.udistrital.edu.co/admisiones/index.php/oferta/programas/artes-plasticas-y-visuales" TargetMode="External"/><Relationship Id="rId9" Type="http://schemas.openxmlformats.org/officeDocument/2006/relationships/hyperlink" Target="https://www.udistrital.edu.co/admisiones/index.php/oferta/programas/archivistica-y-gestion-de-la-informacion-digital" TargetMode="External"/><Relationship Id="rId14" Type="http://schemas.openxmlformats.org/officeDocument/2006/relationships/hyperlink" Target="https://www.udistrital.edu.co/admisiones/index.php/oferta/programas/licenciatura-en-educacion-infantil" TargetMode="External"/><Relationship Id="rId22" Type="http://schemas.openxmlformats.org/officeDocument/2006/relationships/hyperlink" Target="https://www.udistrital.edu.co/admisiones/index.php/oferta/programas/ingenieria-electrica" TargetMode="External"/><Relationship Id="rId27" Type="http://schemas.openxmlformats.org/officeDocument/2006/relationships/hyperlink" Target="https://www.udistrital.edu.co/admisiones/index.php/oferta/programas/ingenieria-ambiental" TargetMode="External"/><Relationship Id="rId30" Type="http://schemas.openxmlformats.org/officeDocument/2006/relationships/hyperlink" Target="https://www.udistrital.edu.co/admisiones/index.php/oferta/programas/ingenieria-topografica" TargetMode="External"/><Relationship Id="rId35" Type="http://schemas.openxmlformats.org/officeDocument/2006/relationships/hyperlink" Target="https://www.udistrital.edu.co/admisiones/index.php/oferta/programas/ingenieria-de-produccion-por-ciclos-propedeuticos" TargetMode="External"/><Relationship Id="rId43" Type="http://schemas.openxmlformats.org/officeDocument/2006/relationships/hyperlink" Target="https://www.udistrital.edu.co/admisiones/index.php/oferta/programas/tecnologia-en-electronica-industrial-por-ciclos-propedeuticos" TargetMode="External"/><Relationship Id="rId48" Type="http://schemas.openxmlformats.org/officeDocument/2006/relationships/drawing" Target="../drawings/drawing7.xml"/><Relationship Id="rId8" Type="http://schemas.openxmlformats.org/officeDocument/2006/relationships/hyperlink" Target="https://www.udistrital.edu.co/admisiones/index.php/oferta/programas/quimica" TargetMode="External"/><Relationship Id="rId3" Type="http://schemas.openxmlformats.org/officeDocument/2006/relationships/hyperlink" Target="https://www.udistrital.edu.co/admisiones/index.php/oferta/programas/artes-musicales" TargetMode="External"/><Relationship Id="rId12" Type="http://schemas.openxmlformats.org/officeDocument/2006/relationships/hyperlink" Target="https://www.udistrital.edu.co/admisiones/index.php/oferta/programas/licenciatura-en-ciencias-sociales" TargetMode="External"/><Relationship Id="rId17" Type="http://schemas.openxmlformats.org/officeDocument/2006/relationships/hyperlink" Target="https://www.udistrital.edu.co/admisiones/index.php/oferta/programas/licenciatura-en-lenguas-extranjeras-con-enfasis-en-ingles" TargetMode="External"/><Relationship Id="rId25" Type="http://schemas.openxmlformats.org/officeDocument/2006/relationships/hyperlink" Target="https://www.udistrital.edu.co/admisiones/index.php/oferta/programas/administracion-ambiental" TargetMode="External"/><Relationship Id="rId33" Type="http://schemas.openxmlformats.org/officeDocument/2006/relationships/hyperlink" Target="https://www.udistrital.edu.co/admisiones/index.php/oferta/programas/tecnologia-en-saneamiento-ambiental" TargetMode="External"/><Relationship Id="rId38" Type="http://schemas.openxmlformats.org/officeDocument/2006/relationships/hyperlink" Target="https://www.udistrital.edu.co/admisiones/index.php/oferta/programas/ingenieria-en-telecomunicaciones-por-ciclos-propedeuticos" TargetMode="External"/><Relationship Id="rId46" Type="http://schemas.openxmlformats.org/officeDocument/2006/relationships/hyperlink" Target="https://www.udistrital.edu.co/admisiones/index.php/oferta/programas/tecnologia-en-sistematizacion-de-datos-por-ciclos-propedeuticos" TargetMode="External"/><Relationship Id="rId20" Type="http://schemas.openxmlformats.org/officeDocument/2006/relationships/hyperlink" Target="https://www.udistrital.edu.co/admisiones/index.php/oferta/programas/ingenieria-catastral-y-geodesia" TargetMode="External"/><Relationship Id="rId41" Type="http://schemas.openxmlformats.org/officeDocument/2006/relationships/hyperlink" Target="https://www.udistrital.edu.co/admisiones/index.php/oferta/programas/tecnologia-en-construcciones-civiles-por-ciclos-propedeutic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XFC37"/>
  <sheetViews>
    <sheetView showGridLines="0" zoomScale="80" zoomScaleNormal="80" workbookViewId="0"/>
  </sheetViews>
  <sheetFormatPr defaultColWidth="0" defaultRowHeight="15" customHeight="1" zeroHeight="1"/>
  <cols>
    <col min="1" max="1" width="2.42578125" style="7" customWidth="1"/>
    <col min="2" max="2" width="3.85546875" style="7" customWidth="1"/>
    <col min="3" max="3" width="34.42578125" style="7" customWidth="1"/>
    <col min="4" max="4" width="44.7109375" style="7" customWidth="1"/>
    <col min="5" max="5" width="18.7109375" style="7" customWidth="1"/>
    <col min="6" max="12" width="11.42578125" style="7" customWidth="1"/>
    <col min="13" max="16381" width="11.42578125" style="7" hidden="1" customWidth="1"/>
    <col min="16382" max="16382" width="6" style="7" hidden="1" customWidth="1"/>
    <col min="16383" max="16383" width="12.140625" style="7" hidden="1" customWidth="1"/>
    <col min="16384" max="16384" width="3" style="7" hidden="1" customWidth="1"/>
  </cols>
  <sheetData>
    <row r="1" spans="3:11" ht="15" customHeight="1"/>
    <row r="2" spans="3:11" ht="18">
      <c r="C2" s="292"/>
      <c r="D2" s="293" t="s">
        <v>0</v>
      </c>
      <c r="E2" s="293"/>
      <c r="F2" s="293"/>
      <c r="G2" s="293"/>
      <c r="H2" s="293"/>
      <c r="I2" s="293"/>
      <c r="J2" s="293"/>
      <c r="K2" s="293"/>
    </row>
    <row r="3" spans="3:11" s="10" customFormat="1" ht="9.75" customHeight="1">
      <c r="C3" s="292"/>
      <c r="D3" s="8"/>
      <c r="E3" s="8"/>
      <c r="F3" s="8"/>
      <c r="G3" s="8"/>
      <c r="H3" s="8"/>
      <c r="I3" s="9"/>
      <c r="J3" s="9"/>
      <c r="K3" s="9"/>
    </row>
    <row r="4" spans="3:11" ht="18">
      <c r="C4" s="292"/>
      <c r="D4" s="293" t="s">
        <v>1</v>
      </c>
      <c r="E4" s="293"/>
      <c r="F4" s="293"/>
      <c r="G4" s="293"/>
      <c r="H4" s="293"/>
      <c r="I4" s="293"/>
      <c r="J4" s="293"/>
      <c r="K4" s="293"/>
    </row>
    <row r="5" spans="3:11" ht="15" customHeight="1"/>
    <row r="6" spans="3:11" ht="12.75">
      <c r="C6" s="11" t="s">
        <v>2</v>
      </c>
      <c r="E6" s="12"/>
    </row>
    <row r="7" spans="3:11" ht="12.75">
      <c r="C7" s="7" t="s">
        <v>3</v>
      </c>
    </row>
    <row r="8" spans="3:11" ht="12.75"/>
    <row r="9" spans="3:11" ht="12.75">
      <c r="C9" s="11"/>
    </row>
    <row r="10" spans="3:11" ht="12.75">
      <c r="C10" s="11"/>
    </row>
    <row r="11" spans="3:11" ht="12.75">
      <c r="C11" s="11"/>
      <c r="D11" s="11"/>
      <c r="E11" s="11"/>
    </row>
    <row r="12" spans="3:11" ht="12.75">
      <c r="C12" s="11"/>
    </row>
    <row r="13" spans="3:11" ht="12.75">
      <c r="C13" s="11"/>
    </row>
    <row r="14" spans="3:11" ht="12.75">
      <c r="C14" s="11"/>
    </row>
    <row r="15" spans="3:11" ht="12.75">
      <c r="C15" s="11"/>
    </row>
    <row r="16" spans="3:11" ht="12.75">
      <c r="C16" s="11"/>
    </row>
    <row r="17" spans="3:3" ht="12.75">
      <c r="C17" s="11"/>
    </row>
    <row r="18" spans="3:3" ht="12.75">
      <c r="C18" s="11"/>
    </row>
    <row r="19" spans="3:3" ht="12.75">
      <c r="C19" s="13"/>
    </row>
    <row r="20" spans="3:3" ht="12.75">
      <c r="C20" s="13"/>
    </row>
    <row r="21" spans="3:3" ht="12.75">
      <c r="C21" s="13"/>
    </row>
    <row r="22" spans="3:3" ht="12.75">
      <c r="C22" s="13"/>
    </row>
    <row r="23" spans="3:3" ht="12.75">
      <c r="C23" s="13"/>
    </row>
    <row r="24" spans="3:3" ht="12.75">
      <c r="C24" s="13"/>
    </row>
    <row r="25" spans="3:3" ht="12.75">
      <c r="C25" s="13"/>
    </row>
    <row r="26" spans="3:3" ht="15" customHeight="1"/>
    <row r="27" spans="3:3" ht="15" customHeight="1"/>
    <row r="28" spans="3:3" ht="15" customHeight="1"/>
    <row r="29" spans="3:3" ht="15" customHeight="1"/>
    <row r="30" spans="3:3" ht="15" customHeight="1"/>
    <row r="31" spans="3:3" ht="15" customHeight="1"/>
    <row r="32" spans="3:3" ht="15" customHeight="1"/>
    <row r="33" ht="15" customHeight="1"/>
    <row r="34" ht="15" customHeight="1"/>
    <row r="35" ht="15" customHeight="1"/>
    <row r="36" ht="15" customHeight="1"/>
    <row r="37" ht="15" customHeight="1"/>
  </sheetData>
  <mergeCells count="3">
    <mergeCell ref="C2:C4"/>
    <mergeCell ref="D2:K2"/>
    <mergeCell ref="D4:K4"/>
  </mergeCells>
  <pageMargins left="0.7" right="0.7" top="0.75" bottom="0.75" header="0.3" footer="0.3"/>
  <pageSetup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Z1017"/>
  <sheetViews>
    <sheetView showGridLines="0" zoomScaleNormal="100" workbookViewId="0">
      <selection activeCell="C4" sqref="C4"/>
    </sheetView>
  </sheetViews>
  <sheetFormatPr defaultColWidth="14.42578125" defaultRowHeight="15" customHeight="1"/>
  <cols>
    <col min="1" max="1" width="9.28515625" style="15" customWidth="1"/>
    <col min="2" max="2" width="7.5703125" style="15" customWidth="1"/>
    <col min="3" max="3" width="11.28515625" style="15" customWidth="1"/>
    <col min="4" max="4" width="19.5703125" style="15" customWidth="1"/>
    <col min="5" max="5" width="27.140625" style="15" customWidth="1"/>
    <col min="6" max="6" width="45.7109375" style="15" customWidth="1"/>
    <col min="7" max="7" width="67.42578125" style="15" customWidth="1"/>
    <col min="8" max="8" width="31.28515625" style="15" customWidth="1"/>
    <col min="9" max="26" width="10" style="15" customWidth="1"/>
    <col min="27" max="16384" width="14.42578125" style="15"/>
  </cols>
  <sheetData>
    <row r="1" spans="2:26" ht="79.5" customHeight="1">
      <c r="B1" s="14"/>
      <c r="C1" s="135"/>
      <c r="F1" s="297" t="s">
        <v>4</v>
      </c>
      <c r="G1" s="297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2:26" ht="12.75" customHeight="1">
      <c r="B2" s="14"/>
      <c r="C2" s="17"/>
      <c r="D2" s="17"/>
      <c r="E2" s="17"/>
      <c r="F2" s="17"/>
      <c r="G2" s="16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2:26" ht="30" customHeight="1">
      <c r="B3" s="18" t="s">
        <v>5</v>
      </c>
      <c r="C3" s="18" t="s">
        <v>6</v>
      </c>
      <c r="D3" s="18" t="s">
        <v>7</v>
      </c>
      <c r="E3" s="18" t="s">
        <v>8</v>
      </c>
      <c r="F3" s="18" t="s">
        <v>9</v>
      </c>
      <c r="G3" s="18" t="s">
        <v>10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2:26" ht="92.25" customHeight="1">
      <c r="B4" s="291">
        <v>2026</v>
      </c>
      <c r="C4" s="145" t="s">
        <v>11</v>
      </c>
      <c r="D4" s="253">
        <v>992862000</v>
      </c>
      <c r="E4" s="255" t="s">
        <v>12</v>
      </c>
      <c r="F4" s="164" t="s">
        <v>13</v>
      </c>
      <c r="G4" s="254" t="s">
        <v>14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2:26" ht="123.75" customHeight="1">
      <c r="B5" s="298">
        <v>2025</v>
      </c>
      <c r="C5" s="145" t="s">
        <v>11</v>
      </c>
      <c r="D5" s="164" t="s">
        <v>15</v>
      </c>
      <c r="E5" s="164" t="s">
        <v>16</v>
      </c>
      <c r="F5" s="166" t="s">
        <v>13</v>
      </c>
      <c r="G5" s="166" t="s">
        <v>17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2:26" ht="30" customHeight="1">
      <c r="B6" s="300"/>
      <c r="C6" s="145" t="s">
        <v>18</v>
      </c>
      <c r="D6" s="165" t="s">
        <v>19</v>
      </c>
      <c r="E6" s="164" t="s">
        <v>20</v>
      </c>
      <c r="F6" s="166" t="s">
        <v>13</v>
      </c>
      <c r="G6" s="166" t="s">
        <v>21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2:26" ht="69" customHeight="1">
      <c r="B7" s="298">
        <v>2024</v>
      </c>
      <c r="C7" s="19" t="s">
        <v>22</v>
      </c>
      <c r="D7" s="20">
        <v>59716000</v>
      </c>
      <c r="E7" s="21" t="s">
        <v>23</v>
      </c>
      <c r="F7" s="21" t="s">
        <v>24</v>
      </c>
      <c r="G7" s="21" t="s">
        <v>25</v>
      </c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2:26" ht="60.75" customHeight="1">
      <c r="B8" s="299"/>
      <c r="C8" s="19" t="s">
        <v>26</v>
      </c>
      <c r="D8" s="20">
        <v>1183529300</v>
      </c>
      <c r="E8" s="21" t="s">
        <v>27</v>
      </c>
      <c r="F8" s="21" t="s">
        <v>24</v>
      </c>
      <c r="G8" s="21" t="s">
        <v>28</v>
      </c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2:26" ht="60.75" customHeight="1">
      <c r="B9" s="299"/>
      <c r="C9" s="19" t="s">
        <v>26</v>
      </c>
      <c r="D9" s="20">
        <v>10182000</v>
      </c>
      <c r="E9" s="21" t="s">
        <v>29</v>
      </c>
      <c r="F9" s="21" t="s">
        <v>30</v>
      </c>
      <c r="G9" s="21" t="s">
        <v>31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2:26" ht="99.75" customHeight="1">
      <c r="B10" s="299"/>
      <c r="C10" s="19" t="s">
        <v>26</v>
      </c>
      <c r="D10" s="20">
        <v>99825750</v>
      </c>
      <c r="E10" s="21" t="s">
        <v>32</v>
      </c>
      <c r="F10" s="21" t="s">
        <v>33</v>
      </c>
      <c r="G10" s="21" t="s">
        <v>34</v>
      </c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2:26" ht="30" customHeight="1">
      <c r="B11" s="300"/>
      <c r="C11" s="22" t="s">
        <v>35</v>
      </c>
      <c r="D11" s="18"/>
      <c r="E11" s="23"/>
      <c r="F11" s="23"/>
      <c r="G11" s="23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2:26" ht="186" customHeight="1">
      <c r="B12" s="301">
        <v>2023</v>
      </c>
      <c r="C12" s="303" t="s">
        <v>36</v>
      </c>
      <c r="D12" s="20">
        <v>1246943550</v>
      </c>
      <c r="E12" s="24" t="s">
        <v>37</v>
      </c>
      <c r="F12" s="24" t="s">
        <v>38</v>
      </c>
      <c r="G12" s="25" t="s">
        <v>39</v>
      </c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2:26" ht="49.5" customHeight="1">
      <c r="B13" s="302"/>
      <c r="C13" s="304"/>
      <c r="D13" s="20">
        <v>63372258</v>
      </c>
      <c r="E13" s="26"/>
      <c r="F13" s="27" t="s">
        <v>40</v>
      </c>
      <c r="G13" s="28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2:26" ht="12.75" customHeight="1">
      <c r="B14" s="29"/>
      <c r="C14" s="30" t="s">
        <v>41</v>
      </c>
      <c r="D14" s="31">
        <f>+SUM(D12:D13)</f>
        <v>1310315808</v>
      </c>
      <c r="E14" s="32"/>
      <c r="F14" s="33"/>
      <c r="G14" s="3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2:26" ht="156" customHeight="1">
      <c r="B15" s="305">
        <v>2022</v>
      </c>
      <c r="C15" s="35" t="s">
        <v>36</v>
      </c>
      <c r="D15" s="36">
        <v>1125235525</v>
      </c>
      <c r="E15" s="24" t="s">
        <v>42</v>
      </c>
      <c r="F15" s="27" t="s">
        <v>38</v>
      </c>
      <c r="G15" s="27" t="s">
        <v>43</v>
      </c>
      <c r="H15" s="37" t="s">
        <v>44</v>
      </c>
      <c r="I15" s="37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2:26" ht="12.75" customHeight="1">
      <c r="B16" s="296"/>
      <c r="C16" s="30" t="s">
        <v>45</v>
      </c>
      <c r="D16" s="31">
        <f>+D15</f>
        <v>1125235525</v>
      </c>
      <c r="E16" s="32"/>
      <c r="F16" s="33"/>
      <c r="G16" s="3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2:26" ht="116.25" customHeight="1">
      <c r="B17" s="294">
        <v>2021</v>
      </c>
      <c r="C17" s="38" t="s">
        <v>11</v>
      </c>
      <c r="D17" s="36">
        <v>738619249</v>
      </c>
      <c r="E17" s="39">
        <v>42963</v>
      </c>
      <c r="F17" s="24" t="s">
        <v>46</v>
      </c>
      <c r="G17" s="24" t="s">
        <v>47</v>
      </c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2:26" ht="36.75" customHeight="1">
      <c r="B18" s="295"/>
      <c r="C18" s="38" t="s">
        <v>26</v>
      </c>
      <c r="D18" s="36">
        <v>840662751</v>
      </c>
      <c r="E18" s="39">
        <v>15298946</v>
      </c>
      <c r="F18" s="24" t="s">
        <v>48</v>
      </c>
      <c r="G18" s="2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2:26" ht="56.25" customHeight="1">
      <c r="B19" s="296"/>
      <c r="C19" s="38" t="s">
        <v>26</v>
      </c>
      <c r="D19" s="36">
        <v>129902900</v>
      </c>
      <c r="E19" s="24">
        <v>3</v>
      </c>
      <c r="F19" s="24" t="s">
        <v>49</v>
      </c>
      <c r="G19" s="24" t="s">
        <v>50</v>
      </c>
      <c r="H19" s="40"/>
      <c r="I19" s="40"/>
      <c r="J19" s="40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2:26" ht="12.75" customHeight="1">
      <c r="B20" s="38"/>
      <c r="C20" s="18" t="s">
        <v>51</v>
      </c>
      <c r="D20" s="41">
        <v>1709184900</v>
      </c>
      <c r="E20" s="42"/>
      <c r="F20" s="43"/>
      <c r="G20" s="24"/>
      <c r="H20" s="40"/>
      <c r="I20" s="40"/>
      <c r="J20" s="40"/>
      <c r="K20" s="40"/>
      <c r="L20" s="40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2:26" ht="37.5" customHeight="1">
      <c r="B21" s="294">
        <v>2020</v>
      </c>
      <c r="C21" s="38" t="s">
        <v>26</v>
      </c>
      <c r="D21" s="36">
        <v>99289865</v>
      </c>
      <c r="E21" s="24">
        <v>814</v>
      </c>
      <c r="F21" s="24" t="s">
        <v>52</v>
      </c>
      <c r="G21" s="306" t="s">
        <v>53</v>
      </c>
      <c r="H21" s="40"/>
      <c r="I21" s="40"/>
      <c r="J21" s="44"/>
      <c r="K21" s="45"/>
      <c r="L21" s="40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2:26" ht="23.25" customHeight="1">
      <c r="B22" s="295"/>
      <c r="C22" s="38" t="s">
        <v>26</v>
      </c>
      <c r="D22" s="46">
        <v>799137697</v>
      </c>
      <c r="E22" s="24">
        <v>7</v>
      </c>
      <c r="F22" s="24" t="s">
        <v>48</v>
      </c>
      <c r="G22" s="307"/>
      <c r="H22" s="40"/>
      <c r="I22" s="40"/>
      <c r="J22" s="44"/>
      <c r="K22" s="45"/>
      <c r="L22" s="40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2:26" ht="12.75" customHeight="1">
      <c r="B23" s="296"/>
      <c r="C23" s="18" t="s">
        <v>54</v>
      </c>
      <c r="D23" s="47">
        <v>898427562</v>
      </c>
      <c r="E23" s="48"/>
      <c r="F23" s="49"/>
      <c r="G23" s="307"/>
      <c r="H23" s="40"/>
      <c r="I23" s="40"/>
      <c r="J23" s="44"/>
      <c r="K23" s="45"/>
      <c r="L23" s="40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2:26" ht="39" customHeight="1">
      <c r="B24" s="294">
        <v>2019</v>
      </c>
      <c r="C24" s="38" t="s">
        <v>11</v>
      </c>
      <c r="D24" s="36">
        <v>48759400</v>
      </c>
      <c r="E24" s="50">
        <v>35482</v>
      </c>
      <c r="F24" s="24" t="s">
        <v>49</v>
      </c>
      <c r="G24" s="307"/>
      <c r="H24" s="40"/>
      <c r="I24" s="40"/>
      <c r="J24" s="40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2:26" ht="27" customHeight="1">
      <c r="B25" s="295"/>
      <c r="C25" s="38" t="s">
        <v>11</v>
      </c>
      <c r="D25" s="36">
        <v>620986101</v>
      </c>
      <c r="E25" s="51">
        <v>8</v>
      </c>
      <c r="F25" s="24" t="s">
        <v>48</v>
      </c>
      <c r="G25" s="307"/>
      <c r="H25" s="40"/>
      <c r="I25" s="40"/>
      <c r="J25" s="40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2:26" ht="12.75" customHeight="1">
      <c r="B26" s="296"/>
      <c r="C26" s="18" t="s">
        <v>55</v>
      </c>
      <c r="D26" s="47">
        <v>669745501</v>
      </c>
      <c r="E26" s="48"/>
      <c r="F26" s="49"/>
      <c r="G26" s="307"/>
      <c r="H26" s="40"/>
      <c r="I26" s="40"/>
      <c r="J26" s="40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2:26" ht="32.25" customHeight="1">
      <c r="B27" s="294">
        <v>2018</v>
      </c>
      <c r="C27" s="38" t="s">
        <v>11</v>
      </c>
      <c r="D27" s="36">
        <v>355272541</v>
      </c>
      <c r="E27" s="39">
        <v>2642</v>
      </c>
      <c r="F27" s="24" t="s">
        <v>56</v>
      </c>
      <c r="G27" s="307"/>
      <c r="H27" s="40"/>
      <c r="I27" s="40"/>
      <c r="J27" s="40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2:26" ht="32.25" customHeight="1">
      <c r="B28" s="295"/>
      <c r="C28" s="38" t="s">
        <v>11</v>
      </c>
      <c r="D28" s="36">
        <v>1470922143</v>
      </c>
      <c r="E28" s="24">
        <v>25</v>
      </c>
      <c r="F28" s="24" t="s">
        <v>48</v>
      </c>
      <c r="G28" s="307"/>
      <c r="H28" s="40"/>
      <c r="I28" s="40"/>
      <c r="J28" s="40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2:26" ht="32.25" customHeight="1">
      <c r="B29" s="295"/>
      <c r="C29" s="38" t="s">
        <v>11</v>
      </c>
      <c r="D29" s="36">
        <v>100000000</v>
      </c>
      <c r="E29" s="24">
        <v>5</v>
      </c>
      <c r="F29" s="24" t="s">
        <v>57</v>
      </c>
      <c r="G29" s="307"/>
      <c r="H29" s="40"/>
      <c r="I29" s="40"/>
      <c r="J29" s="40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2:26" ht="12.75" customHeight="1">
      <c r="B30" s="296"/>
      <c r="C30" s="18" t="s">
        <v>58</v>
      </c>
      <c r="D30" s="47">
        <v>1926194684</v>
      </c>
      <c r="E30" s="48"/>
      <c r="F30" s="49"/>
      <c r="G30" s="307"/>
      <c r="H30" s="40"/>
      <c r="I30" s="40"/>
      <c r="J30" s="40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2:26" ht="27.75" customHeight="1">
      <c r="B31" s="294">
        <v>2017</v>
      </c>
      <c r="C31" s="38" t="s">
        <v>11</v>
      </c>
      <c r="D31" s="36">
        <v>180000000</v>
      </c>
      <c r="E31" s="24">
        <v>311</v>
      </c>
      <c r="F31" s="24" t="s">
        <v>59</v>
      </c>
      <c r="G31" s="307"/>
      <c r="H31" s="40"/>
      <c r="I31" s="40"/>
      <c r="J31" s="40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2:26" ht="27.75" customHeight="1">
      <c r="B32" s="295"/>
      <c r="C32" s="38" t="s">
        <v>18</v>
      </c>
      <c r="D32" s="36">
        <v>550380609</v>
      </c>
      <c r="E32" s="24">
        <v>12</v>
      </c>
      <c r="F32" s="24" t="s">
        <v>60</v>
      </c>
      <c r="G32" s="307"/>
      <c r="H32" s="40"/>
      <c r="I32" s="40"/>
      <c r="J32" s="40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2:26" ht="12.75" customHeight="1">
      <c r="B33" s="296"/>
      <c r="C33" s="18" t="s">
        <v>61</v>
      </c>
      <c r="D33" s="47">
        <v>730380609</v>
      </c>
      <c r="E33" s="48"/>
      <c r="F33" s="49"/>
      <c r="G33" s="307"/>
      <c r="H33" s="40"/>
      <c r="I33" s="40"/>
      <c r="J33" s="40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2:26" ht="17.25" customHeight="1">
      <c r="B34" s="294">
        <v>2016</v>
      </c>
      <c r="C34" s="38" t="s">
        <v>18</v>
      </c>
      <c r="D34" s="36">
        <v>500000000</v>
      </c>
      <c r="E34" s="39">
        <v>3654</v>
      </c>
      <c r="F34" s="24" t="s">
        <v>62</v>
      </c>
      <c r="G34" s="307"/>
      <c r="H34" s="40"/>
      <c r="I34" s="40"/>
      <c r="J34" s="40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2:26" ht="15.75" customHeight="1">
      <c r="B35" s="295"/>
      <c r="C35" s="38" t="s">
        <v>11</v>
      </c>
      <c r="D35" s="36">
        <v>1231642357</v>
      </c>
      <c r="E35" s="24">
        <v>21</v>
      </c>
      <c r="F35" s="24" t="s">
        <v>60</v>
      </c>
      <c r="G35" s="307"/>
      <c r="H35" s="40"/>
      <c r="I35" s="40"/>
      <c r="J35" s="40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2:26" ht="12.75" customHeight="1">
      <c r="B36" s="296"/>
      <c r="C36" s="18" t="s">
        <v>63</v>
      </c>
      <c r="D36" s="47">
        <v>1731642357</v>
      </c>
      <c r="E36" s="48"/>
      <c r="F36" s="49"/>
      <c r="G36" s="307"/>
      <c r="H36" s="40"/>
      <c r="I36" s="40"/>
      <c r="J36" s="40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2:26" ht="28.5" customHeight="1">
      <c r="B37" s="294">
        <v>2015</v>
      </c>
      <c r="C37" s="38" t="s">
        <v>18</v>
      </c>
      <c r="D37" s="36">
        <v>222041100</v>
      </c>
      <c r="E37" s="39">
        <v>1436</v>
      </c>
      <c r="F37" s="24" t="s">
        <v>64</v>
      </c>
      <c r="G37" s="307"/>
      <c r="H37" s="40"/>
      <c r="I37" s="40"/>
      <c r="J37" s="40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2:26" ht="28.5" customHeight="1">
      <c r="B38" s="295"/>
      <c r="C38" s="38" t="s">
        <v>11</v>
      </c>
      <c r="D38" s="36">
        <v>1056698174</v>
      </c>
      <c r="E38" s="24">
        <v>21</v>
      </c>
      <c r="F38" s="24" t="s">
        <v>60</v>
      </c>
      <c r="G38" s="307"/>
      <c r="H38" s="40"/>
      <c r="I38" s="40"/>
      <c r="J38" s="40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2:26" ht="12.75" customHeight="1">
      <c r="B39" s="296"/>
      <c r="C39" s="18" t="s">
        <v>65</v>
      </c>
      <c r="D39" s="47">
        <v>1278739274</v>
      </c>
      <c r="E39" s="48"/>
      <c r="F39" s="49"/>
      <c r="G39" s="307"/>
      <c r="H39" s="40"/>
      <c r="I39" s="40"/>
      <c r="J39" s="40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2:26" ht="25.5" customHeight="1">
      <c r="B40" s="294">
        <v>2014</v>
      </c>
      <c r="C40" s="38" t="s">
        <v>18</v>
      </c>
      <c r="D40" s="36">
        <v>819500000</v>
      </c>
      <c r="E40" s="39">
        <v>5246</v>
      </c>
      <c r="F40" s="24" t="s">
        <v>64</v>
      </c>
      <c r="G40" s="307"/>
      <c r="H40" s="40"/>
      <c r="I40" s="40"/>
      <c r="J40" s="40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2:26" ht="25.5" customHeight="1">
      <c r="B41" s="295"/>
      <c r="C41" s="38" t="s">
        <v>11</v>
      </c>
      <c r="D41" s="36">
        <v>421819549</v>
      </c>
      <c r="E41" s="24">
        <v>22</v>
      </c>
      <c r="F41" s="24" t="s">
        <v>60</v>
      </c>
      <c r="G41" s="307"/>
      <c r="H41" s="40"/>
      <c r="I41" s="40"/>
      <c r="J41" s="40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2:26" ht="12.75" customHeight="1">
      <c r="B42" s="296"/>
      <c r="C42" s="18" t="s">
        <v>66</v>
      </c>
      <c r="D42" s="47">
        <v>1241319549</v>
      </c>
      <c r="E42" s="48"/>
      <c r="F42" s="49"/>
      <c r="G42" s="307"/>
      <c r="H42" s="40"/>
      <c r="I42" s="40"/>
      <c r="J42" s="40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2:26" ht="26.25" customHeight="1">
      <c r="B43" s="294">
        <v>2013</v>
      </c>
      <c r="C43" s="38" t="s">
        <v>18</v>
      </c>
      <c r="D43" s="36">
        <v>169912104</v>
      </c>
      <c r="E43" s="39">
        <v>2022</v>
      </c>
      <c r="F43" s="24" t="s">
        <v>64</v>
      </c>
      <c r="G43" s="307"/>
      <c r="H43" s="40"/>
      <c r="I43" s="40"/>
      <c r="J43" s="40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2:26" ht="26.25" customHeight="1">
      <c r="B44" s="295"/>
      <c r="C44" s="38" t="s">
        <v>11</v>
      </c>
      <c r="D44" s="36">
        <v>906244310</v>
      </c>
      <c r="E44" s="24">
        <v>16</v>
      </c>
      <c r="F44" s="24" t="s">
        <v>60</v>
      </c>
      <c r="G44" s="307"/>
      <c r="H44" s="40"/>
      <c r="I44" s="40"/>
      <c r="J44" s="40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2:26" ht="12.75" customHeight="1">
      <c r="B45" s="296"/>
      <c r="C45" s="18" t="s">
        <v>67</v>
      </c>
      <c r="D45" s="47">
        <v>1076156414</v>
      </c>
      <c r="E45" s="48"/>
      <c r="F45" s="49"/>
      <c r="G45" s="307"/>
      <c r="H45" s="40"/>
      <c r="I45" s="40"/>
      <c r="J45" s="40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2:26" ht="27" customHeight="1">
      <c r="B46" s="294">
        <v>2012</v>
      </c>
      <c r="C46" s="38" t="s">
        <v>18</v>
      </c>
      <c r="D46" s="36">
        <v>500000000</v>
      </c>
      <c r="E46" s="39">
        <v>2083</v>
      </c>
      <c r="F46" s="24" t="s">
        <v>64</v>
      </c>
      <c r="G46" s="307"/>
      <c r="H46" s="40"/>
      <c r="I46" s="40"/>
      <c r="J46" s="40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2:26" ht="27" customHeight="1">
      <c r="B47" s="295"/>
      <c r="C47" s="38" t="s">
        <v>11</v>
      </c>
      <c r="D47" s="36">
        <v>187555600</v>
      </c>
      <c r="E47" s="24">
        <v>11</v>
      </c>
      <c r="F47" s="24" t="s">
        <v>60</v>
      </c>
      <c r="G47" s="307"/>
      <c r="H47" s="40"/>
      <c r="I47" s="40"/>
      <c r="J47" s="40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2:26" ht="12.75" customHeight="1">
      <c r="B48" s="296"/>
      <c r="C48" s="52" t="s">
        <v>68</v>
      </c>
      <c r="D48" s="47">
        <v>687555600</v>
      </c>
      <c r="E48" s="48"/>
      <c r="F48" s="23"/>
      <c r="G48" s="308"/>
      <c r="H48" s="40"/>
      <c r="I48" s="40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2:26" ht="12.75" customHeight="1">
      <c r="B49" s="14"/>
      <c r="C49" s="14"/>
      <c r="D49" s="40"/>
      <c r="E49" s="40"/>
      <c r="F49" s="53"/>
      <c r="G49" s="54"/>
      <c r="H49" s="40"/>
      <c r="I49" s="40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2:26" s="60" customFormat="1" ht="12.75" customHeight="1">
      <c r="B50" s="55" t="s">
        <v>69</v>
      </c>
      <c r="C50" s="56"/>
      <c r="D50" s="57"/>
      <c r="E50" s="57"/>
      <c r="F50" s="58"/>
      <c r="G50" s="59"/>
      <c r="H50" s="57"/>
      <c r="I50" s="57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spans="2:26" ht="12.75" customHeight="1">
      <c r="B51" s="14"/>
      <c r="C51" s="14"/>
      <c r="D51" s="40"/>
      <c r="E51" s="40"/>
      <c r="F51" s="53"/>
      <c r="G51" s="54"/>
      <c r="H51" s="40"/>
      <c r="I51" s="40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2:26" ht="12.75" customHeight="1">
      <c r="B52" s="14"/>
      <c r="C52" s="14"/>
      <c r="D52" s="40"/>
      <c r="E52" s="40"/>
      <c r="F52" s="53"/>
      <c r="G52" s="54"/>
      <c r="H52" s="40"/>
      <c r="I52" s="40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2:26" ht="12.75" customHeight="1">
      <c r="B53" s="14"/>
      <c r="C53" s="14"/>
      <c r="D53" s="14"/>
      <c r="E53" s="14"/>
      <c r="F53" s="61"/>
      <c r="G53" s="16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2:26" ht="12.75" customHeight="1">
      <c r="B54" s="14"/>
      <c r="C54" s="14"/>
      <c r="D54" s="14"/>
      <c r="E54" s="14"/>
      <c r="F54" s="61"/>
      <c r="G54" s="16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2:26" ht="12.75" customHeight="1">
      <c r="B55" s="14"/>
      <c r="C55" s="14"/>
      <c r="D55" s="14"/>
      <c r="E55" s="14"/>
      <c r="F55" s="61"/>
      <c r="G55" s="16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2:26" ht="12.75" customHeight="1">
      <c r="B56" s="14"/>
      <c r="C56" s="14"/>
      <c r="D56" s="14"/>
      <c r="E56" s="14"/>
      <c r="F56" s="61"/>
      <c r="G56" s="16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2:26" ht="12.75" customHeight="1">
      <c r="B57" s="14"/>
      <c r="C57" s="14"/>
      <c r="D57" s="14"/>
      <c r="E57" s="14"/>
      <c r="F57" s="61"/>
      <c r="G57" s="16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2:26" ht="12.75" customHeight="1">
      <c r="B58" s="14"/>
      <c r="C58" s="14"/>
      <c r="D58" s="14"/>
      <c r="E58" s="14"/>
      <c r="F58" s="61"/>
      <c r="G58" s="16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2:26" ht="12.75" customHeight="1">
      <c r="B59" s="14"/>
      <c r="C59" s="40"/>
      <c r="D59" s="40"/>
      <c r="E59" s="40"/>
      <c r="F59" s="61"/>
      <c r="G59" s="16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2:26" ht="12.75" customHeight="1">
      <c r="B60" s="14"/>
      <c r="C60" s="14"/>
      <c r="D60" s="14"/>
      <c r="E60" s="14"/>
      <c r="F60" s="61"/>
      <c r="G60" s="16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2:26" ht="12.75" customHeight="1">
      <c r="B61" s="14"/>
      <c r="C61" s="14"/>
      <c r="D61" s="14"/>
      <c r="E61" s="14"/>
      <c r="F61" s="61"/>
      <c r="G61" s="16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2:26" ht="12.75" customHeight="1">
      <c r="B62" s="14"/>
      <c r="C62" s="14"/>
      <c r="D62" s="14"/>
      <c r="E62" s="14"/>
      <c r="F62" s="61"/>
      <c r="G62" s="16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2:26" ht="12.75" customHeight="1">
      <c r="B63" s="14"/>
      <c r="C63" s="14"/>
      <c r="D63" s="14"/>
      <c r="E63" s="14"/>
      <c r="F63" s="61"/>
      <c r="G63" s="16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2:26" ht="12.75" customHeight="1">
      <c r="B64" s="14"/>
      <c r="C64" s="14"/>
      <c r="D64" s="14"/>
      <c r="E64" s="14"/>
      <c r="F64" s="61"/>
      <c r="G64" s="16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2:26" ht="12.75" customHeight="1">
      <c r="B65" s="14"/>
      <c r="C65" s="14"/>
      <c r="D65" s="14"/>
      <c r="E65" s="14"/>
      <c r="F65" s="61"/>
      <c r="G65" s="16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2:26" ht="12.75" customHeight="1">
      <c r="B66" s="14"/>
      <c r="C66" s="14"/>
      <c r="D66" s="14"/>
      <c r="E66" s="14"/>
      <c r="F66" s="61"/>
      <c r="G66" s="16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2:26" ht="12.75" customHeight="1">
      <c r="B67" s="14"/>
      <c r="C67" s="14"/>
      <c r="D67" s="14"/>
      <c r="E67" s="14"/>
      <c r="F67" s="61"/>
      <c r="G67" s="16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2:26" ht="12.75" customHeight="1">
      <c r="B68" s="14"/>
      <c r="C68" s="14"/>
      <c r="D68" s="14"/>
      <c r="E68" s="14"/>
      <c r="F68" s="61"/>
      <c r="G68" s="16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2:26" ht="12.75" customHeight="1">
      <c r="B69" s="14"/>
      <c r="C69" s="14"/>
      <c r="D69" s="14"/>
      <c r="E69" s="14"/>
      <c r="F69" s="61"/>
      <c r="G69" s="16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2:26" ht="12.75" customHeight="1">
      <c r="B70" s="14"/>
      <c r="C70" s="14"/>
      <c r="D70" s="14"/>
      <c r="E70" s="14"/>
      <c r="F70" s="61"/>
      <c r="G70" s="16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2:26" ht="12.75" customHeight="1">
      <c r="B71" s="14"/>
      <c r="C71" s="14"/>
      <c r="D71" s="14"/>
      <c r="E71" s="14"/>
      <c r="F71" s="61"/>
      <c r="G71" s="16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2:26" ht="12.75" customHeight="1">
      <c r="B72" s="14"/>
      <c r="C72" s="14"/>
      <c r="D72" s="14"/>
      <c r="E72" s="14"/>
      <c r="F72" s="61"/>
      <c r="G72" s="16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2:26" ht="12.75" customHeight="1">
      <c r="B73" s="14"/>
      <c r="C73" s="14"/>
      <c r="D73" s="14"/>
      <c r="E73" s="14"/>
      <c r="F73" s="61"/>
      <c r="G73" s="16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2:26" ht="12.75" customHeight="1">
      <c r="B74" s="14"/>
      <c r="C74" s="14"/>
      <c r="D74" s="14"/>
      <c r="E74" s="14"/>
      <c r="F74" s="61"/>
      <c r="G74" s="16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2:26" ht="12.75" customHeight="1">
      <c r="B75" s="14"/>
      <c r="C75" s="14"/>
      <c r="D75" s="14"/>
      <c r="E75" s="14"/>
      <c r="F75" s="61"/>
      <c r="G75" s="16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2:26" ht="12.75" customHeight="1">
      <c r="B76" s="14"/>
      <c r="C76" s="14"/>
      <c r="D76" s="14"/>
      <c r="E76" s="14"/>
      <c r="F76" s="61"/>
      <c r="G76" s="16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2:26" ht="12.75" customHeight="1">
      <c r="B77" s="14"/>
      <c r="C77" s="14"/>
      <c r="D77" s="14"/>
      <c r="E77" s="14"/>
      <c r="F77" s="61"/>
      <c r="G77" s="16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2:26" ht="12.75" customHeight="1">
      <c r="B78" s="14"/>
      <c r="C78" s="14"/>
      <c r="D78" s="14"/>
      <c r="E78" s="14"/>
      <c r="F78" s="61"/>
      <c r="G78" s="16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2:26" ht="12.75" customHeight="1">
      <c r="B79" s="14"/>
      <c r="C79" s="14"/>
      <c r="D79" s="14"/>
      <c r="E79" s="14"/>
      <c r="F79" s="61"/>
      <c r="G79" s="16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2:26" ht="12.75" customHeight="1">
      <c r="B80" s="14"/>
      <c r="C80" s="14"/>
      <c r="D80" s="14"/>
      <c r="E80" s="14"/>
      <c r="F80" s="61"/>
      <c r="G80" s="16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2:26" ht="12.75" customHeight="1">
      <c r="B81" s="14"/>
      <c r="C81" s="14"/>
      <c r="D81" s="14"/>
      <c r="E81" s="14"/>
      <c r="F81" s="61"/>
      <c r="G81" s="16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2:26" ht="12.75" customHeight="1">
      <c r="B82" s="14"/>
      <c r="C82" s="14"/>
      <c r="D82" s="14"/>
      <c r="E82" s="14"/>
      <c r="F82" s="61"/>
      <c r="G82" s="16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2:26" ht="12.75" customHeight="1">
      <c r="B83" s="14"/>
      <c r="C83" s="14"/>
      <c r="D83" s="14"/>
      <c r="E83" s="14"/>
      <c r="F83" s="61"/>
      <c r="G83" s="16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2:26" ht="12.75" customHeight="1">
      <c r="B84" s="14"/>
      <c r="C84" s="14"/>
      <c r="D84" s="14"/>
      <c r="E84" s="14"/>
      <c r="F84" s="61"/>
      <c r="G84" s="16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2:26" ht="12.75" customHeight="1">
      <c r="B85" s="14"/>
      <c r="C85" s="14"/>
      <c r="D85" s="14"/>
      <c r="E85" s="14"/>
      <c r="F85" s="61"/>
      <c r="G85" s="16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2:26" ht="12.75" customHeight="1">
      <c r="B86" s="14"/>
      <c r="C86" s="14"/>
      <c r="D86" s="14"/>
      <c r="E86" s="14"/>
      <c r="F86" s="61"/>
      <c r="G86" s="16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2:26" ht="12.75" customHeight="1">
      <c r="B87" s="14"/>
      <c r="C87" s="14"/>
      <c r="D87" s="14"/>
      <c r="E87" s="14"/>
      <c r="F87" s="61"/>
      <c r="G87" s="16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2:26" ht="12.75" customHeight="1">
      <c r="B88" s="14"/>
      <c r="C88" s="14"/>
      <c r="D88" s="14"/>
      <c r="E88" s="14"/>
      <c r="F88" s="61"/>
      <c r="G88" s="16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2:26" ht="12.75" customHeight="1">
      <c r="B89" s="14"/>
      <c r="C89" s="14"/>
      <c r="D89" s="14"/>
      <c r="E89" s="14"/>
      <c r="F89" s="61"/>
      <c r="G89" s="16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2:26" ht="12.75" customHeight="1">
      <c r="B90" s="14"/>
      <c r="C90" s="14"/>
      <c r="D90" s="14"/>
      <c r="E90" s="14"/>
      <c r="F90" s="61"/>
      <c r="G90" s="16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2:26" ht="12.75" customHeight="1">
      <c r="B91" s="14"/>
      <c r="C91" s="14"/>
      <c r="D91" s="14"/>
      <c r="E91" s="14"/>
      <c r="F91" s="61"/>
      <c r="G91" s="16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2:26" ht="12.75" customHeight="1">
      <c r="B92" s="14"/>
      <c r="C92" s="14"/>
      <c r="D92" s="14"/>
      <c r="E92" s="14"/>
      <c r="F92" s="61"/>
      <c r="G92" s="16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2:26" ht="12.75" customHeight="1">
      <c r="B93" s="14"/>
      <c r="C93" s="14"/>
      <c r="D93" s="14"/>
      <c r="E93" s="14"/>
      <c r="F93" s="61"/>
      <c r="G93" s="16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2:26" ht="12.75" customHeight="1">
      <c r="B94" s="14"/>
      <c r="C94" s="14"/>
      <c r="D94" s="14"/>
      <c r="E94" s="14"/>
      <c r="F94" s="61"/>
      <c r="G94" s="16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2:26" ht="12.75" customHeight="1">
      <c r="B95" s="14"/>
      <c r="C95" s="14"/>
      <c r="D95" s="14"/>
      <c r="E95" s="14"/>
      <c r="F95" s="61"/>
      <c r="G95" s="16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2:26" ht="12.75" customHeight="1">
      <c r="B96" s="14"/>
      <c r="C96" s="14"/>
      <c r="D96" s="14"/>
      <c r="E96" s="14"/>
      <c r="F96" s="61"/>
      <c r="G96" s="16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2:26" ht="12.75" customHeight="1">
      <c r="B97" s="14"/>
      <c r="C97" s="14"/>
      <c r="D97" s="14"/>
      <c r="E97" s="14"/>
      <c r="F97" s="61"/>
      <c r="G97" s="16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2:26" ht="12.75" customHeight="1">
      <c r="B98" s="14"/>
      <c r="C98" s="14"/>
      <c r="D98" s="14"/>
      <c r="E98" s="14"/>
      <c r="F98" s="61"/>
      <c r="G98" s="16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2:26" ht="12.75" customHeight="1">
      <c r="B99" s="14"/>
      <c r="C99" s="14"/>
      <c r="D99" s="14"/>
      <c r="E99" s="14"/>
      <c r="F99" s="61"/>
      <c r="G99" s="16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2:26" ht="12.75" customHeight="1">
      <c r="B100" s="14"/>
      <c r="C100" s="14"/>
      <c r="D100" s="14"/>
      <c r="E100" s="14"/>
      <c r="F100" s="61"/>
      <c r="G100" s="16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2:26" ht="12.75" customHeight="1">
      <c r="B101" s="14"/>
      <c r="C101" s="14"/>
      <c r="D101" s="14"/>
      <c r="E101" s="14"/>
      <c r="F101" s="61"/>
      <c r="G101" s="16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2:26" ht="12.75" customHeight="1">
      <c r="B102" s="14"/>
      <c r="C102" s="14"/>
      <c r="D102" s="14"/>
      <c r="E102" s="14"/>
      <c r="F102" s="61"/>
      <c r="G102" s="16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2:26" ht="12.75" customHeight="1">
      <c r="B103" s="14"/>
      <c r="C103" s="14"/>
      <c r="D103" s="14"/>
      <c r="E103" s="14"/>
      <c r="F103" s="61"/>
      <c r="G103" s="16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2:26" ht="12.75" customHeight="1">
      <c r="B104" s="14"/>
      <c r="C104" s="14"/>
      <c r="D104" s="14"/>
      <c r="E104" s="14"/>
      <c r="F104" s="61"/>
      <c r="G104" s="16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2:26" ht="12.75" customHeight="1">
      <c r="B105" s="14"/>
      <c r="C105" s="14"/>
      <c r="D105" s="14"/>
      <c r="E105" s="14"/>
      <c r="F105" s="61"/>
      <c r="G105" s="16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2:26" ht="12.75" customHeight="1">
      <c r="B106" s="14"/>
      <c r="C106" s="14"/>
      <c r="D106" s="14"/>
      <c r="E106" s="14"/>
      <c r="F106" s="61"/>
      <c r="G106" s="16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2:26" ht="12.75" customHeight="1">
      <c r="B107" s="14"/>
      <c r="C107" s="14"/>
      <c r="D107" s="14"/>
      <c r="E107" s="14"/>
      <c r="F107" s="61"/>
      <c r="G107" s="16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2:26" ht="12.75" customHeight="1">
      <c r="B108" s="14"/>
      <c r="C108" s="14"/>
      <c r="D108" s="14"/>
      <c r="E108" s="14"/>
      <c r="F108" s="61"/>
      <c r="G108" s="16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2:26" ht="12.75" customHeight="1">
      <c r="B109" s="14"/>
      <c r="C109" s="14"/>
      <c r="D109" s="14"/>
      <c r="E109" s="14"/>
      <c r="F109" s="61"/>
      <c r="G109" s="16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2:26" ht="12.75" customHeight="1">
      <c r="B110" s="14"/>
      <c r="C110" s="14"/>
      <c r="D110" s="14"/>
      <c r="E110" s="14"/>
      <c r="F110" s="61"/>
      <c r="G110" s="16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2:26" ht="12.75" customHeight="1">
      <c r="B111" s="14"/>
      <c r="C111" s="14"/>
      <c r="D111" s="14"/>
      <c r="E111" s="14"/>
      <c r="F111" s="61"/>
      <c r="G111" s="16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2:26" ht="12.75" customHeight="1">
      <c r="B112" s="14"/>
      <c r="C112" s="14"/>
      <c r="D112" s="14"/>
      <c r="E112" s="14"/>
      <c r="F112" s="61"/>
      <c r="G112" s="16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2:26" ht="12.75" customHeight="1">
      <c r="B113" s="14"/>
      <c r="C113" s="14"/>
      <c r="D113" s="14"/>
      <c r="E113" s="14"/>
      <c r="F113" s="61"/>
      <c r="G113" s="16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2:26" ht="12.75" customHeight="1">
      <c r="B114" s="14"/>
      <c r="C114" s="14"/>
      <c r="D114" s="14"/>
      <c r="E114" s="14"/>
      <c r="F114" s="61"/>
      <c r="G114" s="16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2:26" ht="12.75" customHeight="1">
      <c r="B115" s="14"/>
      <c r="C115" s="14"/>
      <c r="D115" s="14"/>
      <c r="E115" s="14"/>
      <c r="F115" s="61"/>
      <c r="G115" s="16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2:26" ht="12.75" customHeight="1">
      <c r="B116" s="14"/>
      <c r="C116" s="14"/>
      <c r="D116" s="14"/>
      <c r="E116" s="14"/>
      <c r="F116" s="61"/>
      <c r="G116" s="16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2:26" ht="12.75" customHeight="1">
      <c r="B117" s="14"/>
      <c r="C117" s="14"/>
      <c r="D117" s="14"/>
      <c r="E117" s="14"/>
      <c r="F117" s="61"/>
      <c r="G117" s="16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2:26" ht="12.75" customHeight="1">
      <c r="B118" s="14"/>
      <c r="C118" s="14"/>
      <c r="D118" s="14"/>
      <c r="E118" s="14"/>
      <c r="F118" s="61"/>
      <c r="G118" s="16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2:26" ht="12.75" customHeight="1">
      <c r="B119" s="14"/>
      <c r="C119" s="14"/>
      <c r="D119" s="14"/>
      <c r="E119" s="14"/>
      <c r="F119" s="61"/>
      <c r="G119" s="16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2:26" ht="12.75" customHeight="1">
      <c r="B120" s="14"/>
      <c r="C120" s="14"/>
      <c r="D120" s="14"/>
      <c r="E120" s="14"/>
      <c r="F120" s="61"/>
      <c r="G120" s="16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2:26" ht="12.75" customHeight="1">
      <c r="B121" s="14"/>
      <c r="C121" s="14"/>
      <c r="D121" s="14"/>
      <c r="E121" s="14"/>
      <c r="F121" s="61"/>
      <c r="G121" s="16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2:26" ht="12.75" customHeight="1">
      <c r="B122" s="14"/>
      <c r="C122" s="14"/>
      <c r="D122" s="14"/>
      <c r="E122" s="14"/>
      <c r="F122" s="61"/>
      <c r="G122" s="16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2:26" ht="12.75" customHeight="1">
      <c r="B123" s="14"/>
      <c r="C123" s="14"/>
      <c r="D123" s="14"/>
      <c r="E123" s="14"/>
      <c r="F123" s="61"/>
      <c r="G123" s="16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2:26" ht="12.75" customHeight="1">
      <c r="B124" s="14"/>
      <c r="C124" s="14"/>
      <c r="D124" s="14"/>
      <c r="E124" s="14"/>
      <c r="F124" s="61"/>
      <c r="G124" s="16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2:26" ht="12.75" customHeight="1">
      <c r="B125" s="14"/>
      <c r="C125" s="14"/>
      <c r="D125" s="14"/>
      <c r="E125" s="14"/>
      <c r="F125" s="61"/>
      <c r="G125" s="16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2:26" ht="12.75" customHeight="1">
      <c r="B126" s="14"/>
      <c r="C126" s="14"/>
      <c r="D126" s="14"/>
      <c r="E126" s="14"/>
      <c r="F126" s="61"/>
      <c r="G126" s="16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2:26" ht="12.75" customHeight="1">
      <c r="B127" s="14"/>
      <c r="C127" s="14"/>
      <c r="D127" s="14"/>
      <c r="E127" s="14"/>
      <c r="F127" s="61"/>
      <c r="G127" s="16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2:26" ht="12.75" customHeight="1">
      <c r="B128" s="14"/>
      <c r="C128" s="14"/>
      <c r="D128" s="14"/>
      <c r="E128" s="14"/>
      <c r="F128" s="61"/>
      <c r="G128" s="16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2:26" ht="12.75" customHeight="1">
      <c r="B129" s="14"/>
      <c r="C129" s="14"/>
      <c r="D129" s="14"/>
      <c r="E129" s="14"/>
      <c r="F129" s="61"/>
      <c r="G129" s="16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2:26" ht="12.75" customHeight="1">
      <c r="B130" s="14"/>
      <c r="C130" s="14"/>
      <c r="D130" s="14"/>
      <c r="E130" s="14"/>
      <c r="F130" s="61"/>
      <c r="G130" s="16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2:26" ht="12.75" customHeight="1">
      <c r="B131" s="14"/>
      <c r="C131" s="14"/>
      <c r="D131" s="14"/>
      <c r="E131" s="14"/>
      <c r="F131" s="61"/>
      <c r="G131" s="16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2:26" ht="12.75" customHeight="1">
      <c r="B132" s="14"/>
      <c r="C132" s="14"/>
      <c r="D132" s="14"/>
      <c r="E132" s="14"/>
      <c r="F132" s="61"/>
      <c r="G132" s="16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2:26" ht="12.75" customHeight="1">
      <c r="B133" s="14"/>
      <c r="C133" s="14"/>
      <c r="D133" s="14"/>
      <c r="E133" s="14"/>
      <c r="F133" s="61"/>
      <c r="G133" s="16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2:26" ht="12.75" customHeight="1">
      <c r="B134" s="14"/>
      <c r="C134" s="14"/>
      <c r="D134" s="14"/>
      <c r="E134" s="14"/>
      <c r="F134" s="61"/>
      <c r="G134" s="16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2:26" ht="12.75" customHeight="1">
      <c r="B135" s="14"/>
      <c r="C135" s="14"/>
      <c r="D135" s="14"/>
      <c r="E135" s="14"/>
      <c r="F135" s="61"/>
      <c r="G135" s="16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2:26" ht="12.75" customHeight="1">
      <c r="B136" s="14"/>
      <c r="C136" s="14"/>
      <c r="D136" s="14"/>
      <c r="E136" s="14"/>
      <c r="F136" s="61"/>
      <c r="G136" s="16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2:26" ht="12.75" customHeight="1">
      <c r="B137" s="14"/>
      <c r="C137" s="14"/>
      <c r="D137" s="14"/>
      <c r="E137" s="14"/>
      <c r="F137" s="61"/>
      <c r="G137" s="16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2:26" ht="12.75" customHeight="1">
      <c r="B138" s="14"/>
      <c r="C138" s="14"/>
      <c r="D138" s="14"/>
      <c r="E138" s="14"/>
      <c r="F138" s="61"/>
      <c r="G138" s="16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2:26" ht="12.75" customHeight="1">
      <c r="B139" s="14"/>
      <c r="C139" s="14"/>
      <c r="D139" s="14"/>
      <c r="E139" s="14"/>
      <c r="F139" s="61"/>
      <c r="G139" s="16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2:26" ht="12.75" customHeight="1">
      <c r="B140" s="14"/>
      <c r="C140" s="14"/>
      <c r="D140" s="14"/>
      <c r="E140" s="14"/>
      <c r="F140" s="61"/>
      <c r="G140" s="16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2:26" ht="12.75" customHeight="1">
      <c r="B141" s="14"/>
      <c r="C141" s="14"/>
      <c r="D141" s="14"/>
      <c r="E141" s="14"/>
      <c r="F141" s="61"/>
      <c r="G141" s="16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2:26" ht="12.75" customHeight="1">
      <c r="B142" s="14"/>
      <c r="C142" s="14"/>
      <c r="D142" s="14"/>
      <c r="E142" s="14"/>
      <c r="F142" s="61"/>
      <c r="G142" s="16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2:26" ht="12.75" customHeight="1">
      <c r="B143" s="14"/>
      <c r="C143" s="14"/>
      <c r="D143" s="14"/>
      <c r="E143" s="14"/>
      <c r="F143" s="61"/>
      <c r="G143" s="16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2:26" ht="12.75" customHeight="1">
      <c r="B144" s="14"/>
      <c r="C144" s="14"/>
      <c r="D144" s="14"/>
      <c r="E144" s="14"/>
      <c r="F144" s="61"/>
      <c r="G144" s="16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2:26" ht="12.75" customHeight="1">
      <c r="B145" s="14"/>
      <c r="C145" s="14"/>
      <c r="D145" s="14"/>
      <c r="E145" s="14"/>
      <c r="F145" s="61"/>
      <c r="G145" s="16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2:26" ht="12.75" customHeight="1">
      <c r="B146" s="14"/>
      <c r="C146" s="14"/>
      <c r="D146" s="14"/>
      <c r="E146" s="14"/>
      <c r="F146" s="61"/>
      <c r="G146" s="16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2:26" ht="12.75" customHeight="1">
      <c r="B147" s="14"/>
      <c r="C147" s="14"/>
      <c r="D147" s="14"/>
      <c r="E147" s="14"/>
      <c r="F147" s="61"/>
      <c r="G147" s="16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2:26" ht="12.75" customHeight="1">
      <c r="B148" s="14"/>
      <c r="C148" s="14"/>
      <c r="D148" s="14"/>
      <c r="E148" s="14"/>
      <c r="F148" s="61"/>
      <c r="G148" s="16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2:26" ht="12.75" customHeight="1">
      <c r="B149" s="14"/>
      <c r="C149" s="14"/>
      <c r="D149" s="14"/>
      <c r="E149" s="14"/>
      <c r="F149" s="61"/>
      <c r="G149" s="16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2:26" ht="12.75" customHeight="1">
      <c r="B150" s="14"/>
      <c r="C150" s="14"/>
      <c r="D150" s="14"/>
      <c r="E150" s="14"/>
      <c r="F150" s="61"/>
      <c r="G150" s="16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2:26" ht="12.75" customHeight="1">
      <c r="B151" s="14"/>
      <c r="C151" s="14"/>
      <c r="D151" s="14"/>
      <c r="E151" s="14"/>
      <c r="F151" s="61"/>
      <c r="G151" s="16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2:26" ht="12.75" customHeight="1">
      <c r="B152" s="14"/>
      <c r="C152" s="14"/>
      <c r="D152" s="14"/>
      <c r="E152" s="14"/>
      <c r="F152" s="61"/>
      <c r="G152" s="16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2:26" ht="12.75" customHeight="1">
      <c r="B153" s="14"/>
      <c r="C153" s="14"/>
      <c r="D153" s="14"/>
      <c r="E153" s="14"/>
      <c r="F153" s="61"/>
      <c r="G153" s="16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2:26" ht="12.75" customHeight="1">
      <c r="B154" s="14"/>
      <c r="C154" s="14"/>
      <c r="D154" s="14"/>
      <c r="E154" s="14"/>
      <c r="F154" s="61"/>
      <c r="G154" s="16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2:26" ht="12.75" customHeight="1">
      <c r="B155" s="14"/>
      <c r="C155" s="14"/>
      <c r="D155" s="14"/>
      <c r="E155" s="14"/>
      <c r="F155" s="61"/>
      <c r="G155" s="16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2:26" ht="12.75" customHeight="1">
      <c r="B156" s="14"/>
      <c r="C156" s="14"/>
      <c r="D156" s="14"/>
      <c r="E156" s="14"/>
      <c r="F156" s="61"/>
      <c r="G156" s="16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2:26" ht="12.75" customHeight="1">
      <c r="B157" s="14"/>
      <c r="C157" s="14"/>
      <c r="D157" s="14"/>
      <c r="E157" s="14"/>
      <c r="F157" s="61"/>
      <c r="G157" s="16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2:26" ht="12.75" customHeight="1">
      <c r="B158" s="14"/>
      <c r="C158" s="14"/>
      <c r="D158" s="14"/>
      <c r="E158" s="14"/>
      <c r="F158" s="61"/>
      <c r="G158" s="16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2:26" ht="12.75" customHeight="1">
      <c r="B159" s="14"/>
      <c r="C159" s="14"/>
      <c r="D159" s="14"/>
      <c r="E159" s="14"/>
      <c r="F159" s="61"/>
      <c r="G159" s="16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2:26" ht="12.75" customHeight="1">
      <c r="B160" s="14"/>
      <c r="C160" s="14"/>
      <c r="D160" s="14"/>
      <c r="E160" s="14"/>
      <c r="F160" s="61"/>
      <c r="G160" s="16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2:26" ht="12.75" customHeight="1">
      <c r="B161" s="14"/>
      <c r="C161" s="14"/>
      <c r="D161" s="14"/>
      <c r="E161" s="14"/>
      <c r="F161" s="61"/>
      <c r="G161" s="16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2:26" ht="12.75" customHeight="1">
      <c r="B162" s="14"/>
      <c r="C162" s="14"/>
      <c r="D162" s="14"/>
      <c r="E162" s="14"/>
      <c r="F162" s="61"/>
      <c r="G162" s="16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2:26" ht="12.75" customHeight="1">
      <c r="B163" s="14"/>
      <c r="C163" s="14"/>
      <c r="D163" s="14"/>
      <c r="E163" s="14"/>
      <c r="F163" s="61"/>
      <c r="G163" s="16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2:26" ht="12.75" customHeight="1">
      <c r="B164" s="14"/>
      <c r="C164" s="14"/>
      <c r="D164" s="14"/>
      <c r="E164" s="14"/>
      <c r="F164" s="61"/>
      <c r="G164" s="16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2:26" ht="12.75" customHeight="1">
      <c r="B165" s="14"/>
      <c r="C165" s="14"/>
      <c r="D165" s="14"/>
      <c r="E165" s="14"/>
      <c r="F165" s="61"/>
      <c r="G165" s="16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2:26" ht="12.75" customHeight="1">
      <c r="B166" s="14"/>
      <c r="C166" s="14"/>
      <c r="D166" s="14"/>
      <c r="E166" s="14"/>
      <c r="F166" s="61"/>
      <c r="G166" s="16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2:26" ht="12.75" customHeight="1">
      <c r="B167" s="14"/>
      <c r="C167" s="14"/>
      <c r="D167" s="14"/>
      <c r="E167" s="14"/>
      <c r="F167" s="61"/>
      <c r="G167" s="16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2:26" ht="12.75" customHeight="1">
      <c r="B168" s="14"/>
      <c r="C168" s="14"/>
      <c r="D168" s="14"/>
      <c r="E168" s="14"/>
      <c r="F168" s="61"/>
      <c r="G168" s="16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2:26" ht="12.75" customHeight="1">
      <c r="B169" s="14"/>
      <c r="C169" s="14"/>
      <c r="D169" s="14"/>
      <c r="E169" s="14"/>
      <c r="F169" s="61"/>
      <c r="G169" s="16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2:26" ht="12.75" customHeight="1">
      <c r="B170" s="14"/>
      <c r="C170" s="14"/>
      <c r="D170" s="14"/>
      <c r="E170" s="14"/>
      <c r="F170" s="61"/>
      <c r="G170" s="16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2:26" ht="12.75" customHeight="1">
      <c r="B171" s="14"/>
      <c r="C171" s="14"/>
      <c r="D171" s="14"/>
      <c r="E171" s="14"/>
      <c r="F171" s="61"/>
      <c r="G171" s="16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2:26" ht="12.75" customHeight="1">
      <c r="B172" s="14"/>
      <c r="C172" s="14"/>
      <c r="D172" s="14"/>
      <c r="E172" s="14"/>
      <c r="F172" s="61"/>
      <c r="G172" s="16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2:26" ht="12.75" customHeight="1">
      <c r="B173" s="14"/>
      <c r="C173" s="14"/>
      <c r="D173" s="14"/>
      <c r="E173" s="14"/>
      <c r="F173" s="61"/>
      <c r="G173" s="16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2:26" ht="12.75" customHeight="1">
      <c r="B174" s="14"/>
      <c r="C174" s="14"/>
      <c r="D174" s="14"/>
      <c r="E174" s="14"/>
      <c r="F174" s="61"/>
      <c r="G174" s="16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2:26" ht="12.75" customHeight="1">
      <c r="B175" s="14"/>
      <c r="C175" s="14"/>
      <c r="D175" s="14"/>
      <c r="E175" s="14"/>
      <c r="F175" s="61"/>
      <c r="G175" s="16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2:26" ht="12.75" customHeight="1">
      <c r="B176" s="14"/>
      <c r="C176" s="14"/>
      <c r="D176" s="14"/>
      <c r="E176" s="14"/>
      <c r="F176" s="61"/>
      <c r="G176" s="16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2:26" ht="12.75" customHeight="1">
      <c r="B177" s="14"/>
      <c r="C177" s="14"/>
      <c r="D177" s="14"/>
      <c r="E177" s="14"/>
      <c r="F177" s="61"/>
      <c r="G177" s="16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2:26" ht="12.75" customHeight="1">
      <c r="B178" s="14"/>
      <c r="C178" s="14"/>
      <c r="D178" s="14"/>
      <c r="E178" s="14"/>
      <c r="F178" s="61"/>
      <c r="G178" s="16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2:26" ht="12.75" customHeight="1">
      <c r="B179" s="14"/>
      <c r="C179" s="14"/>
      <c r="D179" s="14"/>
      <c r="E179" s="14"/>
      <c r="F179" s="61"/>
      <c r="G179" s="16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2:26" ht="12.75" customHeight="1">
      <c r="B180" s="14"/>
      <c r="C180" s="14"/>
      <c r="D180" s="14"/>
      <c r="E180" s="14"/>
      <c r="F180" s="61"/>
      <c r="G180" s="16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2:26" ht="12.75" customHeight="1">
      <c r="B181" s="14"/>
      <c r="C181" s="14"/>
      <c r="D181" s="14"/>
      <c r="E181" s="14"/>
      <c r="F181" s="61"/>
      <c r="G181" s="16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2:26" ht="12.75" customHeight="1">
      <c r="B182" s="14"/>
      <c r="C182" s="14"/>
      <c r="D182" s="14"/>
      <c r="E182" s="14"/>
      <c r="F182" s="61"/>
      <c r="G182" s="16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2:26" ht="12.75" customHeight="1">
      <c r="B183" s="14"/>
      <c r="C183" s="14"/>
      <c r="D183" s="14"/>
      <c r="E183" s="14"/>
      <c r="F183" s="61"/>
      <c r="G183" s="16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2:26" ht="12.75" customHeight="1">
      <c r="B184" s="14"/>
      <c r="C184" s="14"/>
      <c r="D184" s="14"/>
      <c r="E184" s="14"/>
      <c r="F184" s="61"/>
      <c r="G184" s="16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2:26" ht="12.75" customHeight="1">
      <c r="B185" s="14"/>
      <c r="C185" s="14"/>
      <c r="D185" s="14"/>
      <c r="E185" s="14"/>
      <c r="F185" s="61"/>
      <c r="G185" s="16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2:26" ht="12.75" customHeight="1">
      <c r="B186" s="14"/>
      <c r="C186" s="14"/>
      <c r="D186" s="14"/>
      <c r="E186" s="14"/>
      <c r="F186" s="61"/>
      <c r="G186" s="16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2:26" ht="12.75" customHeight="1">
      <c r="B187" s="14"/>
      <c r="C187" s="14"/>
      <c r="D187" s="14"/>
      <c r="E187" s="14"/>
      <c r="F187" s="61"/>
      <c r="G187" s="16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2:26" ht="12.75" customHeight="1">
      <c r="B188" s="14"/>
      <c r="C188" s="14"/>
      <c r="D188" s="14"/>
      <c r="E188" s="14"/>
      <c r="F188" s="61"/>
      <c r="G188" s="16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2:26" ht="12.75" customHeight="1">
      <c r="B189" s="14"/>
      <c r="C189" s="14"/>
      <c r="D189" s="14"/>
      <c r="E189" s="14"/>
      <c r="F189" s="61"/>
      <c r="G189" s="16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2:26" ht="12.75" customHeight="1">
      <c r="B190" s="14"/>
      <c r="C190" s="14"/>
      <c r="D190" s="14"/>
      <c r="E190" s="14"/>
      <c r="F190" s="61"/>
      <c r="G190" s="16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2:26" ht="12.75" customHeight="1">
      <c r="B191" s="14"/>
      <c r="C191" s="14"/>
      <c r="D191" s="14"/>
      <c r="E191" s="14"/>
      <c r="F191" s="61"/>
      <c r="G191" s="16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2:26" ht="12.75" customHeight="1">
      <c r="B192" s="14"/>
      <c r="C192" s="14"/>
      <c r="D192" s="14"/>
      <c r="E192" s="14"/>
      <c r="F192" s="61"/>
      <c r="G192" s="16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2:26" ht="12.75" customHeight="1">
      <c r="B193" s="14"/>
      <c r="C193" s="14"/>
      <c r="D193" s="14"/>
      <c r="E193" s="14"/>
      <c r="F193" s="61"/>
      <c r="G193" s="16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2:26" ht="12.75" customHeight="1">
      <c r="B194" s="14"/>
      <c r="C194" s="14"/>
      <c r="D194" s="14"/>
      <c r="E194" s="14"/>
      <c r="F194" s="61"/>
      <c r="G194" s="16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2:26" ht="12.75" customHeight="1">
      <c r="B195" s="14"/>
      <c r="C195" s="14"/>
      <c r="D195" s="14"/>
      <c r="E195" s="14"/>
      <c r="F195" s="61"/>
      <c r="G195" s="16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2:26" ht="12.75" customHeight="1">
      <c r="B196" s="14"/>
      <c r="C196" s="14"/>
      <c r="D196" s="14"/>
      <c r="E196" s="14"/>
      <c r="F196" s="61"/>
      <c r="G196" s="16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2:26" ht="12.75" customHeight="1">
      <c r="B197" s="14"/>
      <c r="C197" s="14"/>
      <c r="D197" s="14"/>
      <c r="E197" s="14"/>
      <c r="F197" s="61"/>
      <c r="G197" s="16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2:26" ht="12.75" customHeight="1">
      <c r="B198" s="14"/>
      <c r="C198" s="14"/>
      <c r="D198" s="14"/>
      <c r="E198" s="14"/>
      <c r="F198" s="61"/>
      <c r="G198" s="16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2:26" ht="12.75" customHeight="1">
      <c r="B199" s="14"/>
      <c r="C199" s="14"/>
      <c r="D199" s="14"/>
      <c r="E199" s="14"/>
      <c r="F199" s="61"/>
      <c r="G199" s="16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2:26" ht="12.75" customHeight="1">
      <c r="B200" s="14"/>
      <c r="C200" s="14"/>
      <c r="D200" s="14"/>
      <c r="E200" s="14"/>
      <c r="F200" s="61"/>
      <c r="G200" s="16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2:26" ht="12.75" customHeight="1">
      <c r="B201" s="14"/>
      <c r="C201" s="14"/>
      <c r="D201" s="14"/>
      <c r="E201" s="14"/>
      <c r="F201" s="61"/>
      <c r="G201" s="16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2:26" ht="12.75" customHeight="1">
      <c r="B202" s="14"/>
      <c r="C202" s="14"/>
      <c r="D202" s="14"/>
      <c r="E202" s="14"/>
      <c r="F202" s="61"/>
      <c r="G202" s="16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2:26" ht="12.75" customHeight="1">
      <c r="B203" s="14"/>
      <c r="C203" s="14"/>
      <c r="D203" s="14"/>
      <c r="E203" s="14"/>
      <c r="F203" s="61"/>
      <c r="G203" s="16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2:26" ht="12.75" customHeight="1">
      <c r="B204" s="14"/>
      <c r="C204" s="14"/>
      <c r="D204" s="14"/>
      <c r="E204" s="14"/>
      <c r="F204" s="61"/>
      <c r="G204" s="16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2:26" ht="12.75" customHeight="1">
      <c r="B205" s="14"/>
      <c r="C205" s="14"/>
      <c r="D205" s="14"/>
      <c r="E205" s="14"/>
      <c r="F205" s="61"/>
      <c r="G205" s="16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2:26" ht="12.75" customHeight="1">
      <c r="B206" s="14"/>
      <c r="C206" s="14"/>
      <c r="D206" s="14"/>
      <c r="E206" s="14"/>
      <c r="F206" s="61"/>
      <c r="G206" s="16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2:26" ht="12.75" customHeight="1">
      <c r="B207" s="14"/>
      <c r="C207" s="14"/>
      <c r="D207" s="14"/>
      <c r="E207" s="14"/>
      <c r="F207" s="61"/>
      <c r="G207" s="16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2:26" ht="12.75" customHeight="1">
      <c r="B208" s="14"/>
      <c r="C208" s="14"/>
      <c r="D208" s="14"/>
      <c r="E208" s="14"/>
      <c r="F208" s="61"/>
      <c r="G208" s="16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2:26" ht="12.75" customHeight="1">
      <c r="B209" s="14"/>
      <c r="C209" s="14"/>
      <c r="D209" s="14"/>
      <c r="E209" s="14"/>
      <c r="F209" s="61"/>
      <c r="G209" s="16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2:26" ht="12.75" customHeight="1">
      <c r="B210" s="14"/>
      <c r="C210" s="14"/>
      <c r="D210" s="14"/>
      <c r="E210" s="14"/>
      <c r="F210" s="61"/>
      <c r="G210" s="16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2:26" ht="12.75" customHeight="1">
      <c r="B211" s="14"/>
      <c r="C211" s="14"/>
      <c r="D211" s="14"/>
      <c r="E211" s="14"/>
      <c r="F211" s="61"/>
      <c r="G211" s="16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2:26" ht="12.75" customHeight="1">
      <c r="B212" s="14"/>
      <c r="C212" s="14"/>
      <c r="D212" s="14"/>
      <c r="E212" s="14"/>
      <c r="F212" s="61"/>
      <c r="G212" s="16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2:26" ht="12.75" customHeight="1">
      <c r="B213" s="14"/>
      <c r="C213" s="14"/>
      <c r="D213" s="14"/>
      <c r="E213" s="14"/>
      <c r="F213" s="61"/>
      <c r="G213" s="16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2:26" ht="12.75" customHeight="1">
      <c r="B214" s="14"/>
      <c r="C214" s="14"/>
      <c r="D214" s="14"/>
      <c r="E214" s="14"/>
      <c r="F214" s="61"/>
      <c r="G214" s="16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2:26" ht="12.75" customHeight="1">
      <c r="B215" s="14"/>
      <c r="C215" s="14"/>
      <c r="D215" s="14"/>
      <c r="E215" s="14"/>
      <c r="F215" s="61"/>
      <c r="G215" s="16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2:26" ht="12.75" customHeight="1">
      <c r="B216" s="14"/>
      <c r="C216" s="14"/>
      <c r="D216" s="14"/>
      <c r="E216" s="14"/>
      <c r="F216" s="61"/>
      <c r="G216" s="16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2:26" ht="12.75" customHeight="1">
      <c r="B217" s="14"/>
      <c r="C217" s="14"/>
      <c r="D217" s="14"/>
      <c r="E217" s="14"/>
      <c r="F217" s="61"/>
      <c r="G217" s="16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2:26" ht="12.75" customHeight="1">
      <c r="B218" s="14"/>
      <c r="C218" s="14"/>
      <c r="D218" s="14"/>
      <c r="E218" s="14"/>
      <c r="F218" s="61"/>
      <c r="G218" s="16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2:26" ht="12.75" customHeight="1">
      <c r="B219" s="14"/>
      <c r="C219" s="14"/>
      <c r="D219" s="14"/>
      <c r="E219" s="14"/>
      <c r="F219" s="61"/>
      <c r="G219" s="16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2:26" ht="12.75" customHeight="1">
      <c r="B220" s="14"/>
      <c r="C220" s="14"/>
      <c r="D220" s="14"/>
      <c r="E220" s="14"/>
      <c r="F220" s="61"/>
      <c r="G220" s="16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2:26" ht="12.75" customHeight="1">
      <c r="B221" s="14"/>
      <c r="C221" s="14"/>
      <c r="D221" s="14"/>
      <c r="E221" s="14"/>
      <c r="F221" s="61"/>
      <c r="G221" s="16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2:26" ht="12.75" customHeight="1">
      <c r="B222" s="14"/>
      <c r="C222" s="14"/>
      <c r="D222" s="14"/>
      <c r="E222" s="14"/>
      <c r="F222" s="61"/>
      <c r="G222" s="16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2:26" ht="12.75" customHeight="1">
      <c r="B223" s="14"/>
      <c r="C223" s="14"/>
      <c r="D223" s="14"/>
      <c r="E223" s="14"/>
      <c r="F223" s="61"/>
      <c r="G223" s="16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2:26" ht="12.75" customHeight="1">
      <c r="B224" s="14"/>
      <c r="C224" s="14"/>
      <c r="D224" s="14"/>
      <c r="E224" s="14"/>
      <c r="F224" s="61"/>
      <c r="G224" s="16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2:26" ht="12.75" customHeight="1">
      <c r="B225" s="14"/>
      <c r="C225" s="14"/>
      <c r="D225" s="14"/>
      <c r="E225" s="14"/>
      <c r="F225" s="61"/>
      <c r="G225" s="16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2:26" ht="12.75" customHeight="1">
      <c r="B226" s="14"/>
      <c r="C226" s="14"/>
      <c r="D226" s="14"/>
      <c r="E226" s="14"/>
      <c r="F226" s="61"/>
      <c r="G226" s="16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2:26" ht="12.75" customHeight="1">
      <c r="B227" s="14"/>
      <c r="C227" s="14"/>
      <c r="D227" s="14"/>
      <c r="E227" s="14"/>
      <c r="F227" s="61"/>
      <c r="G227" s="16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2:26" ht="12.75" customHeight="1">
      <c r="B228" s="14"/>
      <c r="C228" s="14"/>
      <c r="D228" s="14"/>
      <c r="E228" s="14"/>
      <c r="F228" s="61"/>
      <c r="G228" s="16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2:26" ht="12.75" customHeight="1">
      <c r="B229" s="14"/>
      <c r="C229" s="14"/>
      <c r="D229" s="14"/>
      <c r="E229" s="14"/>
      <c r="F229" s="61"/>
      <c r="G229" s="16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2:26" ht="12.75" customHeight="1">
      <c r="B230" s="14"/>
      <c r="C230" s="14"/>
      <c r="D230" s="14"/>
      <c r="E230" s="14"/>
      <c r="F230" s="61"/>
      <c r="G230" s="16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2:26" ht="12.75" customHeight="1">
      <c r="B231" s="14"/>
      <c r="C231" s="14"/>
      <c r="D231" s="14"/>
      <c r="E231" s="14"/>
      <c r="F231" s="61"/>
      <c r="G231" s="16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2:26" ht="12.75" customHeight="1">
      <c r="B232" s="14"/>
      <c r="C232" s="14"/>
      <c r="D232" s="14"/>
      <c r="E232" s="14"/>
      <c r="F232" s="61"/>
      <c r="G232" s="16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2:26" ht="12.75" customHeight="1">
      <c r="B233" s="14"/>
      <c r="C233" s="14"/>
      <c r="D233" s="14"/>
      <c r="E233" s="14"/>
      <c r="F233" s="61"/>
      <c r="G233" s="16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2:26" ht="12.75" customHeight="1">
      <c r="B234" s="14"/>
      <c r="C234" s="14"/>
      <c r="D234" s="14"/>
      <c r="E234" s="14"/>
      <c r="F234" s="61"/>
      <c r="G234" s="16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2:26" ht="12.75" customHeight="1">
      <c r="B235" s="14"/>
      <c r="C235" s="14"/>
      <c r="D235" s="14"/>
      <c r="E235" s="14"/>
      <c r="F235" s="61"/>
      <c r="G235" s="16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2:26" ht="12.75" customHeight="1">
      <c r="B236" s="14"/>
      <c r="C236" s="14"/>
      <c r="D236" s="14"/>
      <c r="E236" s="14"/>
      <c r="F236" s="61"/>
      <c r="G236" s="16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2:26" ht="12.75" customHeight="1">
      <c r="B237" s="14"/>
      <c r="C237" s="14"/>
      <c r="D237" s="14"/>
      <c r="E237" s="14"/>
      <c r="F237" s="61"/>
      <c r="G237" s="16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2:26" ht="12.75" customHeight="1">
      <c r="B238" s="14"/>
      <c r="C238" s="14"/>
      <c r="D238" s="14"/>
      <c r="E238" s="14"/>
      <c r="F238" s="61"/>
      <c r="G238" s="16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2:26" ht="12.75" customHeight="1">
      <c r="B239" s="14"/>
      <c r="C239" s="14"/>
      <c r="D239" s="14"/>
      <c r="E239" s="14"/>
      <c r="F239" s="61"/>
      <c r="G239" s="16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2:26" ht="12.75" customHeight="1">
      <c r="B240" s="14"/>
      <c r="C240" s="14"/>
      <c r="D240" s="14"/>
      <c r="E240" s="14"/>
      <c r="F240" s="61"/>
      <c r="G240" s="16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2:26" ht="12.75" customHeight="1">
      <c r="B241" s="14"/>
      <c r="C241" s="14"/>
      <c r="D241" s="14"/>
      <c r="E241" s="14"/>
      <c r="F241" s="61"/>
      <c r="G241" s="16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2:26" ht="12.75" customHeight="1">
      <c r="B242" s="14"/>
      <c r="C242" s="14"/>
      <c r="D242" s="14"/>
      <c r="E242" s="14"/>
      <c r="F242" s="61"/>
      <c r="G242" s="16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2:26" ht="12.75" customHeight="1">
      <c r="B243" s="14"/>
      <c r="C243" s="14"/>
      <c r="D243" s="14"/>
      <c r="E243" s="14"/>
      <c r="F243" s="61"/>
      <c r="G243" s="16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2:26" ht="12.75" customHeight="1">
      <c r="B244" s="14"/>
      <c r="C244" s="14"/>
      <c r="D244" s="14"/>
      <c r="E244" s="14"/>
      <c r="F244" s="61"/>
      <c r="G244" s="16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2:26" ht="12.75" customHeight="1">
      <c r="B245" s="14"/>
      <c r="C245" s="14"/>
      <c r="D245" s="14"/>
      <c r="E245" s="14"/>
      <c r="F245" s="61"/>
      <c r="G245" s="16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2:26" ht="12.75" customHeight="1">
      <c r="B246" s="14"/>
      <c r="C246" s="14"/>
      <c r="D246" s="14"/>
      <c r="E246" s="14"/>
      <c r="F246" s="61"/>
      <c r="G246" s="16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2:26" ht="12.75" customHeight="1">
      <c r="B247" s="14"/>
      <c r="C247" s="14"/>
      <c r="D247" s="14"/>
      <c r="E247" s="14"/>
      <c r="F247" s="61"/>
      <c r="G247" s="16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2:26" ht="12.75" customHeight="1">
      <c r="B248" s="14"/>
      <c r="C248" s="14"/>
      <c r="D248" s="14"/>
      <c r="E248" s="14"/>
      <c r="F248" s="61"/>
      <c r="G248" s="16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2:26" ht="12.75" customHeight="1">
      <c r="B249" s="14"/>
      <c r="C249" s="14"/>
      <c r="D249" s="14"/>
      <c r="E249" s="14"/>
      <c r="F249" s="61"/>
      <c r="G249" s="16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2:26" ht="12.75" customHeight="1">
      <c r="B250" s="14"/>
      <c r="C250" s="14"/>
      <c r="D250" s="14"/>
      <c r="E250" s="14"/>
      <c r="F250" s="61"/>
      <c r="G250" s="16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2:26" ht="12.75" customHeight="1">
      <c r="B251" s="14"/>
      <c r="C251" s="14"/>
      <c r="D251" s="14"/>
      <c r="E251" s="14"/>
      <c r="F251" s="61"/>
      <c r="G251" s="16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2:26" ht="12.75" customHeight="1">
      <c r="B252" s="14"/>
      <c r="C252" s="14"/>
      <c r="D252" s="14"/>
      <c r="E252" s="14"/>
      <c r="F252" s="61"/>
      <c r="G252" s="16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2:26" ht="12.75" customHeight="1">
      <c r="B253" s="14"/>
      <c r="C253" s="14"/>
      <c r="D253" s="14"/>
      <c r="E253" s="14"/>
      <c r="F253" s="61"/>
      <c r="G253" s="16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2:26" ht="12.75" customHeight="1">
      <c r="B254" s="14"/>
      <c r="C254" s="14"/>
      <c r="D254" s="14"/>
      <c r="E254" s="14"/>
      <c r="F254" s="61"/>
      <c r="G254" s="16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2:26" ht="12.75" customHeight="1">
      <c r="B255" s="14"/>
      <c r="C255" s="14"/>
      <c r="D255" s="14"/>
      <c r="E255" s="14"/>
      <c r="F255" s="61"/>
      <c r="G255" s="16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2:26" ht="12.75" customHeight="1">
      <c r="B256" s="14"/>
      <c r="C256" s="14"/>
      <c r="D256" s="14"/>
      <c r="E256" s="14"/>
      <c r="F256" s="61"/>
      <c r="G256" s="16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2:26" ht="12.75" customHeight="1">
      <c r="B257" s="14"/>
      <c r="C257" s="14"/>
      <c r="D257" s="14"/>
      <c r="E257" s="14"/>
      <c r="F257" s="61"/>
      <c r="G257" s="16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2:26" ht="12.75" customHeight="1">
      <c r="B258" s="14"/>
      <c r="C258" s="14"/>
      <c r="D258" s="14"/>
      <c r="E258" s="14"/>
      <c r="F258" s="61"/>
      <c r="G258" s="16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2:26" ht="12.75" customHeight="1">
      <c r="B259" s="14"/>
      <c r="C259" s="14"/>
      <c r="D259" s="14"/>
      <c r="E259" s="14"/>
      <c r="F259" s="61"/>
      <c r="G259" s="16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2:26" ht="12.75" customHeight="1">
      <c r="B260" s="14"/>
      <c r="C260" s="14"/>
      <c r="D260" s="14"/>
      <c r="E260" s="14"/>
      <c r="F260" s="61"/>
      <c r="G260" s="16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2:26" ht="12.75" customHeight="1">
      <c r="B261" s="14"/>
      <c r="C261" s="14"/>
      <c r="D261" s="14"/>
      <c r="E261" s="14"/>
      <c r="F261" s="61"/>
      <c r="G261" s="16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2:26" ht="12.75" customHeight="1">
      <c r="B262" s="14"/>
      <c r="C262" s="14"/>
      <c r="D262" s="14"/>
      <c r="E262" s="14"/>
      <c r="F262" s="61"/>
      <c r="G262" s="16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2:26" ht="12.75" customHeight="1">
      <c r="B263" s="14"/>
      <c r="C263" s="14"/>
      <c r="D263" s="14"/>
      <c r="E263" s="14"/>
      <c r="F263" s="61"/>
      <c r="G263" s="16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2:26" ht="12.75" customHeight="1">
      <c r="B264" s="14"/>
      <c r="C264" s="14"/>
      <c r="D264" s="14"/>
      <c r="E264" s="14"/>
      <c r="F264" s="61"/>
      <c r="G264" s="16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2:26" ht="12.75" customHeight="1">
      <c r="B265" s="14"/>
      <c r="C265" s="14"/>
      <c r="D265" s="14"/>
      <c r="E265" s="14"/>
      <c r="F265" s="61"/>
      <c r="G265" s="16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2:26" ht="12.75" customHeight="1">
      <c r="B266" s="14"/>
      <c r="C266" s="14"/>
      <c r="D266" s="14"/>
      <c r="E266" s="14"/>
      <c r="F266" s="61"/>
      <c r="G266" s="16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2:26" ht="12.75" customHeight="1">
      <c r="B267" s="14"/>
      <c r="C267" s="14"/>
      <c r="D267" s="14"/>
      <c r="E267" s="14"/>
      <c r="F267" s="61"/>
      <c r="G267" s="16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2:26" ht="12.75" customHeight="1">
      <c r="B268" s="14"/>
      <c r="C268" s="14"/>
      <c r="D268" s="14"/>
      <c r="E268" s="14"/>
      <c r="F268" s="61"/>
      <c r="G268" s="16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2:26" ht="12.75" customHeight="1">
      <c r="B269" s="14"/>
      <c r="C269" s="14"/>
      <c r="D269" s="14"/>
      <c r="E269" s="14"/>
      <c r="F269" s="61"/>
      <c r="G269" s="16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2:26" ht="12.75" customHeight="1">
      <c r="B270" s="14"/>
      <c r="C270" s="14"/>
      <c r="D270" s="14"/>
      <c r="E270" s="14"/>
      <c r="F270" s="61"/>
      <c r="G270" s="16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2:26" ht="12.75" customHeight="1">
      <c r="B271" s="14"/>
      <c r="C271" s="14"/>
      <c r="D271" s="14"/>
      <c r="E271" s="14"/>
      <c r="F271" s="61"/>
      <c r="G271" s="16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2:26" ht="12.75" customHeight="1">
      <c r="B272" s="14"/>
      <c r="C272" s="14"/>
      <c r="D272" s="14"/>
      <c r="E272" s="14"/>
      <c r="F272" s="61"/>
      <c r="G272" s="16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2:26" ht="12.75" customHeight="1">
      <c r="B273" s="14"/>
      <c r="C273" s="14"/>
      <c r="D273" s="14"/>
      <c r="E273" s="14"/>
      <c r="F273" s="61"/>
      <c r="G273" s="16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2:26" ht="12.75" customHeight="1">
      <c r="B274" s="14"/>
      <c r="C274" s="14"/>
      <c r="D274" s="14"/>
      <c r="E274" s="14"/>
      <c r="F274" s="61"/>
      <c r="G274" s="16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2:26" ht="12.75" customHeight="1">
      <c r="B275" s="14"/>
      <c r="C275" s="14"/>
      <c r="D275" s="14"/>
      <c r="E275" s="14"/>
      <c r="F275" s="61"/>
      <c r="G275" s="16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2:26" ht="12.75" customHeight="1">
      <c r="B276" s="14"/>
      <c r="C276" s="14"/>
      <c r="D276" s="14"/>
      <c r="E276" s="14"/>
      <c r="F276" s="61"/>
      <c r="G276" s="16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2:26" ht="12.75" customHeight="1">
      <c r="B277" s="14"/>
      <c r="C277" s="14"/>
      <c r="D277" s="14"/>
      <c r="E277" s="14"/>
      <c r="F277" s="61"/>
      <c r="G277" s="16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2:26" ht="12.75" customHeight="1">
      <c r="B278" s="14"/>
      <c r="C278" s="14"/>
      <c r="D278" s="14"/>
      <c r="E278" s="14"/>
      <c r="F278" s="61"/>
      <c r="G278" s="16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2:26" ht="12.75" customHeight="1">
      <c r="B279" s="14"/>
      <c r="C279" s="14"/>
      <c r="D279" s="14"/>
      <c r="E279" s="14"/>
      <c r="F279" s="61"/>
      <c r="G279" s="16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2:26" ht="12.75" customHeight="1">
      <c r="B280" s="14"/>
      <c r="C280" s="14"/>
      <c r="D280" s="14"/>
      <c r="E280" s="14"/>
      <c r="F280" s="61"/>
      <c r="G280" s="16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2:26" ht="12.75" customHeight="1">
      <c r="B281" s="14"/>
      <c r="C281" s="14"/>
      <c r="D281" s="14"/>
      <c r="E281" s="14"/>
      <c r="F281" s="61"/>
      <c r="G281" s="16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2:26" ht="12.75" customHeight="1">
      <c r="B282" s="14"/>
      <c r="C282" s="14"/>
      <c r="D282" s="14"/>
      <c r="E282" s="14"/>
      <c r="F282" s="61"/>
      <c r="G282" s="16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2:26" ht="12.75" customHeight="1">
      <c r="B283" s="14"/>
      <c r="C283" s="14"/>
      <c r="D283" s="14"/>
      <c r="E283" s="14"/>
      <c r="F283" s="61"/>
      <c r="G283" s="16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2:26" ht="12.75" customHeight="1">
      <c r="B284" s="14"/>
      <c r="C284" s="14"/>
      <c r="D284" s="14"/>
      <c r="E284" s="14"/>
      <c r="F284" s="61"/>
      <c r="G284" s="16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2:26" ht="12.75" customHeight="1">
      <c r="B285" s="14"/>
      <c r="C285" s="14"/>
      <c r="D285" s="14"/>
      <c r="E285" s="14"/>
      <c r="F285" s="61"/>
      <c r="G285" s="16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2:26" ht="12.75" customHeight="1">
      <c r="B286" s="14"/>
      <c r="C286" s="14"/>
      <c r="D286" s="14"/>
      <c r="E286" s="14"/>
      <c r="F286" s="61"/>
      <c r="G286" s="16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2:26" ht="12.75" customHeight="1">
      <c r="B287" s="14"/>
      <c r="C287" s="14"/>
      <c r="D287" s="14"/>
      <c r="E287" s="14"/>
      <c r="F287" s="61"/>
      <c r="G287" s="16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2:26" ht="12.75" customHeight="1">
      <c r="B288" s="14"/>
      <c r="C288" s="14"/>
      <c r="D288" s="14"/>
      <c r="E288" s="14"/>
      <c r="F288" s="61"/>
      <c r="G288" s="16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2:26" ht="12.75" customHeight="1">
      <c r="B289" s="14"/>
      <c r="C289" s="14"/>
      <c r="D289" s="14"/>
      <c r="E289" s="14"/>
      <c r="F289" s="61"/>
      <c r="G289" s="16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2:26" ht="12.75" customHeight="1">
      <c r="B290" s="14"/>
      <c r="C290" s="14"/>
      <c r="D290" s="14"/>
      <c r="E290" s="14"/>
      <c r="F290" s="61"/>
      <c r="G290" s="16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2:26" ht="12.75" customHeight="1">
      <c r="B291" s="14"/>
      <c r="C291" s="14"/>
      <c r="D291" s="14"/>
      <c r="E291" s="14"/>
      <c r="F291" s="61"/>
      <c r="G291" s="16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2:26" ht="12.75" customHeight="1">
      <c r="B292" s="14"/>
      <c r="C292" s="14"/>
      <c r="D292" s="14"/>
      <c r="E292" s="14"/>
      <c r="F292" s="61"/>
      <c r="G292" s="16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2:26" ht="12.75" customHeight="1">
      <c r="B293" s="14"/>
      <c r="C293" s="14"/>
      <c r="D293" s="14"/>
      <c r="E293" s="14"/>
      <c r="F293" s="61"/>
      <c r="G293" s="16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2:26" ht="12.75" customHeight="1">
      <c r="B294" s="14"/>
      <c r="C294" s="14"/>
      <c r="D294" s="14"/>
      <c r="E294" s="14"/>
      <c r="F294" s="61"/>
      <c r="G294" s="16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2:26" ht="12.75" customHeight="1">
      <c r="B295" s="14"/>
      <c r="C295" s="14"/>
      <c r="D295" s="14"/>
      <c r="E295" s="14"/>
      <c r="F295" s="61"/>
      <c r="G295" s="16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2:26" ht="12.75" customHeight="1">
      <c r="B296" s="14"/>
      <c r="C296" s="14"/>
      <c r="D296" s="14"/>
      <c r="E296" s="14"/>
      <c r="F296" s="61"/>
      <c r="G296" s="16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2:26" ht="12.75" customHeight="1">
      <c r="B297" s="14"/>
      <c r="C297" s="14"/>
      <c r="D297" s="14"/>
      <c r="E297" s="14"/>
      <c r="F297" s="61"/>
      <c r="G297" s="16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2:26" ht="12.75" customHeight="1">
      <c r="B298" s="14"/>
      <c r="C298" s="14"/>
      <c r="D298" s="14"/>
      <c r="E298" s="14"/>
      <c r="F298" s="61"/>
      <c r="G298" s="16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2:26" ht="12.75" customHeight="1">
      <c r="B299" s="14"/>
      <c r="C299" s="14"/>
      <c r="D299" s="14"/>
      <c r="E299" s="14"/>
      <c r="F299" s="61"/>
      <c r="G299" s="16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2:26" ht="12.75" customHeight="1">
      <c r="B300" s="14"/>
      <c r="C300" s="14"/>
      <c r="D300" s="14"/>
      <c r="E300" s="14"/>
      <c r="F300" s="61"/>
      <c r="G300" s="16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2:26" ht="12.75" customHeight="1">
      <c r="B301" s="14"/>
      <c r="C301" s="14"/>
      <c r="D301" s="14"/>
      <c r="E301" s="14"/>
      <c r="F301" s="61"/>
      <c r="G301" s="16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2:26" ht="12.75" customHeight="1">
      <c r="B302" s="14"/>
      <c r="C302" s="14"/>
      <c r="D302" s="14"/>
      <c r="E302" s="14"/>
      <c r="F302" s="61"/>
      <c r="G302" s="16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2:26" ht="12.75" customHeight="1">
      <c r="B303" s="14"/>
      <c r="C303" s="14"/>
      <c r="D303" s="14"/>
      <c r="E303" s="14"/>
      <c r="F303" s="61"/>
      <c r="G303" s="16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2:26" ht="12.75" customHeight="1">
      <c r="B304" s="14"/>
      <c r="C304" s="14"/>
      <c r="D304" s="14"/>
      <c r="E304" s="14"/>
      <c r="F304" s="61"/>
      <c r="G304" s="16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2:26" ht="12.75" customHeight="1">
      <c r="B305" s="14"/>
      <c r="C305" s="14"/>
      <c r="D305" s="14"/>
      <c r="E305" s="14"/>
      <c r="F305" s="61"/>
      <c r="G305" s="16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2:26" ht="12.75" customHeight="1">
      <c r="B306" s="14"/>
      <c r="C306" s="14"/>
      <c r="D306" s="14"/>
      <c r="E306" s="14"/>
      <c r="F306" s="61"/>
      <c r="G306" s="16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2:26" ht="12.75" customHeight="1">
      <c r="B307" s="14"/>
      <c r="C307" s="14"/>
      <c r="D307" s="14"/>
      <c r="E307" s="14"/>
      <c r="F307" s="61"/>
      <c r="G307" s="16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2:26" ht="12.75" customHeight="1">
      <c r="B308" s="14"/>
      <c r="C308" s="14"/>
      <c r="D308" s="14"/>
      <c r="E308" s="14"/>
      <c r="F308" s="61"/>
      <c r="G308" s="16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2:26" ht="12.75" customHeight="1">
      <c r="B309" s="14"/>
      <c r="C309" s="14"/>
      <c r="D309" s="14"/>
      <c r="E309" s="14"/>
      <c r="F309" s="61"/>
      <c r="G309" s="16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2:26" ht="12.75" customHeight="1">
      <c r="B310" s="14"/>
      <c r="C310" s="14"/>
      <c r="D310" s="14"/>
      <c r="E310" s="14"/>
      <c r="F310" s="61"/>
      <c r="G310" s="16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2:26" ht="12.75" customHeight="1">
      <c r="B311" s="14"/>
      <c r="C311" s="14"/>
      <c r="D311" s="14"/>
      <c r="E311" s="14"/>
      <c r="F311" s="61"/>
      <c r="G311" s="16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2:26" ht="12.75" customHeight="1">
      <c r="B312" s="14"/>
      <c r="C312" s="14"/>
      <c r="D312" s="14"/>
      <c r="E312" s="14"/>
      <c r="F312" s="61"/>
      <c r="G312" s="16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2:26" ht="12.75" customHeight="1">
      <c r="B313" s="14"/>
      <c r="C313" s="14"/>
      <c r="D313" s="14"/>
      <c r="E313" s="14"/>
      <c r="F313" s="61"/>
      <c r="G313" s="16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2:26" ht="12.75" customHeight="1">
      <c r="B314" s="14"/>
      <c r="C314" s="14"/>
      <c r="D314" s="14"/>
      <c r="E314" s="14"/>
      <c r="F314" s="61"/>
      <c r="G314" s="16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2:26" ht="12.75" customHeight="1">
      <c r="B315" s="14"/>
      <c r="C315" s="14"/>
      <c r="D315" s="14"/>
      <c r="E315" s="14"/>
      <c r="F315" s="61"/>
      <c r="G315" s="16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2:26" ht="12.75" customHeight="1">
      <c r="B316" s="14"/>
      <c r="C316" s="14"/>
      <c r="D316" s="14"/>
      <c r="E316" s="14"/>
      <c r="F316" s="61"/>
      <c r="G316" s="16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2:26" ht="12.75" customHeight="1">
      <c r="B317" s="14"/>
      <c r="C317" s="14"/>
      <c r="D317" s="14"/>
      <c r="E317" s="14"/>
      <c r="F317" s="61"/>
      <c r="G317" s="16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2:26" ht="12.75" customHeight="1">
      <c r="B318" s="14"/>
      <c r="C318" s="14"/>
      <c r="D318" s="14"/>
      <c r="E318" s="14"/>
      <c r="F318" s="61"/>
      <c r="G318" s="16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2:26" ht="12.75" customHeight="1">
      <c r="B319" s="14"/>
      <c r="C319" s="14"/>
      <c r="D319" s="14"/>
      <c r="E319" s="14"/>
      <c r="F319" s="61"/>
      <c r="G319" s="16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2:26" ht="12.75" customHeight="1">
      <c r="B320" s="14"/>
      <c r="C320" s="14"/>
      <c r="D320" s="14"/>
      <c r="E320" s="14"/>
      <c r="F320" s="61"/>
      <c r="G320" s="16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2:26" ht="12.75" customHeight="1">
      <c r="B321" s="14"/>
      <c r="C321" s="14"/>
      <c r="D321" s="14"/>
      <c r="E321" s="14"/>
      <c r="F321" s="61"/>
      <c r="G321" s="16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2:26" ht="12.75" customHeight="1">
      <c r="B322" s="14"/>
      <c r="C322" s="14"/>
      <c r="D322" s="14"/>
      <c r="E322" s="14"/>
      <c r="F322" s="61"/>
      <c r="G322" s="16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2:26" ht="12.75" customHeight="1">
      <c r="B323" s="14"/>
      <c r="C323" s="14"/>
      <c r="D323" s="14"/>
      <c r="E323" s="14"/>
      <c r="F323" s="61"/>
      <c r="G323" s="16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2:26" ht="12.75" customHeight="1">
      <c r="B324" s="14"/>
      <c r="C324" s="14"/>
      <c r="D324" s="14"/>
      <c r="E324" s="14"/>
      <c r="F324" s="61"/>
      <c r="G324" s="16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2:26" ht="12.75" customHeight="1">
      <c r="B325" s="14"/>
      <c r="C325" s="14"/>
      <c r="D325" s="14"/>
      <c r="E325" s="14"/>
      <c r="F325" s="61"/>
      <c r="G325" s="16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2:26" ht="12.75" customHeight="1">
      <c r="B326" s="14"/>
      <c r="C326" s="14"/>
      <c r="D326" s="14"/>
      <c r="E326" s="14"/>
      <c r="F326" s="61"/>
      <c r="G326" s="16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2:26" ht="12.75" customHeight="1">
      <c r="B327" s="14"/>
      <c r="C327" s="14"/>
      <c r="D327" s="14"/>
      <c r="E327" s="14"/>
      <c r="F327" s="61"/>
      <c r="G327" s="16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2:26" ht="12.75" customHeight="1">
      <c r="B328" s="14"/>
      <c r="C328" s="14"/>
      <c r="D328" s="14"/>
      <c r="E328" s="14"/>
      <c r="F328" s="61"/>
      <c r="G328" s="16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2:26" ht="12.75" customHeight="1">
      <c r="B329" s="14"/>
      <c r="C329" s="14"/>
      <c r="D329" s="14"/>
      <c r="E329" s="14"/>
      <c r="F329" s="61"/>
      <c r="G329" s="16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2:26" ht="12.75" customHeight="1">
      <c r="B330" s="14"/>
      <c r="C330" s="14"/>
      <c r="D330" s="14"/>
      <c r="E330" s="14"/>
      <c r="F330" s="61"/>
      <c r="G330" s="16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2:26" ht="12.75" customHeight="1">
      <c r="B331" s="14"/>
      <c r="C331" s="14"/>
      <c r="D331" s="14"/>
      <c r="E331" s="14"/>
      <c r="F331" s="61"/>
      <c r="G331" s="16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2:26" ht="12.75" customHeight="1">
      <c r="B332" s="14"/>
      <c r="C332" s="14"/>
      <c r="D332" s="14"/>
      <c r="E332" s="14"/>
      <c r="F332" s="61"/>
      <c r="G332" s="16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2:26" ht="12.75" customHeight="1">
      <c r="B333" s="14"/>
      <c r="C333" s="14"/>
      <c r="D333" s="14"/>
      <c r="E333" s="14"/>
      <c r="F333" s="61"/>
      <c r="G333" s="16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2:26" ht="12.75" customHeight="1">
      <c r="B334" s="14"/>
      <c r="C334" s="14"/>
      <c r="D334" s="14"/>
      <c r="E334" s="14"/>
      <c r="F334" s="61"/>
      <c r="G334" s="16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2:26" ht="12.75" customHeight="1">
      <c r="B335" s="14"/>
      <c r="C335" s="14"/>
      <c r="D335" s="14"/>
      <c r="E335" s="14"/>
      <c r="F335" s="61"/>
      <c r="G335" s="16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2:26" ht="12.75" customHeight="1">
      <c r="B336" s="14"/>
      <c r="C336" s="14"/>
      <c r="D336" s="14"/>
      <c r="E336" s="14"/>
      <c r="F336" s="61"/>
      <c r="G336" s="16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2:26" ht="12.75" customHeight="1">
      <c r="B337" s="14"/>
      <c r="C337" s="14"/>
      <c r="D337" s="14"/>
      <c r="E337" s="14"/>
      <c r="F337" s="61"/>
      <c r="G337" s="16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2:26" ht="12.75" customHeight="1">
      <c r="B338" s="14"/>
      <c r="C338" s="14"/>
      <c r="D338" s="14"/>
      <c r="E338" s="14"/>
      <c r="F338" s="61"/>
      <c r="G338" s="16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2:26" ht="12.75" customHeight="1">
      <c r="B339" s="14"/>
      <c r="C339" s="14"/>
      <c r="D339" s="14"/>
      <c r="E339" s="14"/>
      <c r="F339" s="61"/>
      <c r="G339" s="16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2:26" ht="12.75" customHeight="1">
      <c r="B340" s="14"/>
      <c r="C340" s="14"/>
      <c r="D340" s="14"/>
      <c r="E340" s="14"/>
      <c r="F340" s="61"/>
      <c r="G340" s="16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2:26" ht="12.75" customHeight="1">
      <c r="B341" s="14"/>
      <c r="C341" s="14"/>
      <c r="D341" s="14"/>
      <c r="E341" s="14"/>
      <c r="F341" s="61"/>
      <c r="G341" s="16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2:26" ht="12.75" customHeight="1">
      <c r="B342" s="14"/>
      <c r="C342" s="14"/>
      <c r="D342" s="14"/>
      <c r="E342" s="14"/>
      <c r="F342" s="61"/>
      <c r="G342" s="16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2:26" ht="12.75" customHeight="1">
      <c r="B343" s="14"/>
      <c r="C343" s="14"/>
      <c r="D343" s="14"/>
      <c r="E343" s="14"/>
      <c r="F343" s="61"/>
      <c r="G343" s="16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2:26" ht="12.75" customHeight="1">
      <c r="B344" s="14"/>
      <c r="C344" s="14"/>
      <c r="D344" s="14"/>
      <c r="E344" s="14"/>
      <c r="F344" s="61"/>
      <c r="G344" s="16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2:26" ht="12.75" customHeight="1">
      <c r="B345" s="14"/>
      <c r="C345" s="14"/>
      <c r="D345" s="14"/>
      <c r="E345" s="14"/>
      <c r="F345" s="61"/>
      <c r="G345" s="16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2:26" ht="12.75" customHeight="1">
      <c r="B346" s="14"/>
      <c r="C346" s="14"/>
      <c r="D346" s="14"/>
      <c r="E346" s="14"/>
      <c r="F346" s="61"/>
      <c r="G346" s="16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2:26" ht="12.75" customHeight="1">
      <c r="B347" s="14"/>
      <c r="C347" s="14"/>
      <c r="D347" s="14"/>
      <c r="E347" s="14"/>
      <c r="F347" s="61"/>
      <c r="G347" s="16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2:26" ht="12.75" customHeight="1">
      <c r="B348" s="14"/>
      <c r="C348" s="14"/>
      <c r="D348" s="14"/>
      <c r="E348" s="14"/>
      <c r="F348" s="61"/>
      <c r="G348" s="16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2:26" ht="12.75" customHeight="1">
      <c r="B349" s="14"/>
      <c r="C349" s="14"/>
      <c r="D349" s="14"/>
      <c r="E349" s="14"/>
      <c r="F349" s="61"/>
      <c r="G349" s="16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2:26" ht="12.75" customHeight="1">
      <c r="B350" s="14"/>
      <c r="C350" s="14"/>
      <c r="D350" s="14"/>
      <c r="E350" s="14"/>
      <c r="F350" s="61"/>
      <c r="G350" s="16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2:26" ht="12.75" customHeight="1">
      <c r="B351" s="14"/>
      <c r="C351" s="14"/>
      <c r="D351" s="14"/>
      <c r="E351" s="14"/>
      <c r="F351" s="61"/>
      <c r="G351" s="16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2:26" ht="12.75" customHeight="1">
      <c r="B352" s="14"/>
      <c r="C352" s="14"/>
      <c r="D352" s="14"/>
      <c r="E352" s="14"/>
      <c r="F352" s="61"/>
      <c r="G352" s="16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2:26" ht="12.75" customHeight="1">
      <c r="B353" s="14"/>
      <c r="C353" s="14"/>
      <c r="D353" s="14"/>
      <c r="E353" s="14"/>
      <c r="F353" s="61"/>
      <c r="G353" s="16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2:26" ht="12.75" customHeight="1">
      <c r="B354" s="14"/>
      <c r="C354" s="14"/>
      <c r="D354" s="14"/>
      <c r="E354" s="14"/>
      <c r="F354" s="61"/>
      <c r="G354" s="16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2:26" ht="12.75" customHeight="1">
      <c r="B355" s="14"/>
      <c r="C355" s="14"/>
      <c r="D355" s="14"/>
      <c r="E355" s="14"/>
      <c r="F355" s="61"/>
      <c r="G355" s="16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2:26" ht="12.75" customHeight="1">
      <c r="B356" s="14"/>
      <c r="C356" s="14"/>
      <c r="D356" s="14"/>
      <c r="E356" s="14"/>
      <c r="F356" s="61"/>
      <c r="G356" s="16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2:26" ht="12.75" customHeight="1">
      <c r="B357" s="14"/>
      <c r="C357" s="14"/>
      <c r="D357" s="14"/>
      <c r="E357" s="14"/>
      <c r="F357" s="61"/>
      <c r="G357" s="16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2:26" ht="12.75" customHeight="1">
      <c r="B358" s="14"/>
      <c r="C358" s="14"/>
      <c r="D358" s="14"/>
      <c r="E358" s="14"/>
      <c r="F358" s="61"/>
      <c r="G358" s="16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2:26" ht="12.75" customHeight="1">
      <c r="B359" s="14"/>
      <c r="C359" s="14"/>
      <c r="D359" s="14"/>
      <c r="E359" s="14"/>
      <c r="F359" s="61"/>
      <c r="G359" s="16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2:26" ht="12.75" customHeight="1">
      <c r="B360" s="14"/>
      <c r="C360" s="14"/>
      <c r="D360" s="14"/>
      <c r="E360" s="14"/>
      <c r="F360" s="61"/>
      <c r="G360" s="16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2:26" ht="12.75" customHeight="1">
      <c r="B361" s="14"/>
      <c r="C361" s="14"/>
      <c r="D361" s="14"/>
      <c r="E361" s="14"/>
      <c r="F361" s="61"/>
      <c r="G361" s="16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2:26" ht="12.75" customHeight="1">
      <c r="B362" s="14"/>
      <c r="C362" s="14"/>
      <c r="D362" s="14"/>
      <c r="E362" s="14"/>
      <c r="F362" s="61"/>
      <c r="G362" s="16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2:26" ht="12.75" customHeight="1">
      <c r="B363" s="14"/>
      <c r="C363" s="14"/>
      <c r="D363" s="14"/>
      <c r="E363" s="14"/>
      <c r="F363" s="61"/>
      <c r="G363" s="16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2:26" ht="12.75" customHeight="1">
      <c r="B364" s="14"/>
      <c r="C364" s="14"/>
      <c r="D364" s="14"/>
      <c r="E364" s="14"/>
      <c r="F364" s="61"/>
      <c r="G364" s="16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2:26" ht="12.75" customHeight="1">
      <c r="B365" s="14"/>
      <c r="C365" s="14"/>
      <c r="D365" s="14"/>
      <c r="E365" s="14"/>
      <c r="F365" s="61"/>
      <c r="G365" s="16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2:26" ht="12.75" customHeight="1">
      <c r="B366" s="14"/>
      <c r="C366" s="14"/>
      <c r="D366" s="14"/>
      <c r="E366" s="14"/>
      <c r="F366" s="61"/>
      <c r="G366" s="16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2:26" ht="12.75" customHeight="1">
      <c r="B367" s="14"/>
      <c r="C367" s="14"/>
      <c r="D367" s="14"/>
      <c r="E367" s="14"/>
      <c r="F367" s="61"/>
      <c r="G367" s="16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2:26" ht="12.75" customHeight="1">
      <c r="B368" s="14"/>
      <c r="C368" s="14"/>
      <c r="D368" s="14"/>
      <c r="E368" s="14"/>
      <c r="F368" s="61"/>
      <c r="G368" s="16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2:26" ht="12.75" customHeight="1">
      <c r="B369" s="14"/>
      <c r="C369" s="14"/>
      <c r="D369" s="14"/>
      <c r="E369" s="14"/>
      <c r="F369" s="61"/>
      <c r="G369" s="16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2:26" ht="12.75" customHeight="1">
      <c r="B370" s="14"/>
      <c r="C370" s="14"/>
      <c r="D370" s="14"/>
      <c r="E370" s="14"/>
      <c r="F370" s="61"/>
      <c r="G370" s="16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2:26" ht="12.75" customHeight="1">
      <c r="B371" s="14"/>
      <c r="C371" s="14"/>
      <c r="D371" s="14"/>
      <c r="E371" s="14"/>
      <c r="F371" s="61"/>
      <c r="G371" s="16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2:26" ht="12.75" customHeight="1">
      <c r="B372" s="14"/>
      <c r="C372" s="14"/>
      <c r="D372" s="14"/>
      <c r="E372" s="14"/>
      <c r="F372" s="61"/>
      <c r="G372" s="16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2:26" ht="12.75" customHeight="1">
      <c r="B373" s="14"/>
      <c r="C373" s="14"/>
      <c r="D373" s="14"/>
      <c r="E373" s="14"/>
      <c r="F373" s="61"/>
      <c r="G373" s="16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2:26" ht="12.75" customHeight="1">
      <c r="B374" s="14"/>
      <c r="C374" s="14"/>
      <c r="D374" s="14"/>
      <c r="E374" s="14"/>
      <c r="F374" s="61"/>
      <c r="G374" s="16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2:26" ht="12.75" customHeight="1">
      <c r="B375" s="14"/>
      <c r="C375" s="14"/>
      <c r="D375" s="14"/>
      <c r="E375" s="14"/>
      <c r="F375" s="61"/>
      <c r="G375" s="16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2:26" ht="12.75" customHeight="1">
      <c r="B376" s="14"/>
      <c r="C376" s="14"/>
      <c r="D376" s="14"/>
      <c r="E376" s="14"/>
      <c r="F376" s="61"/>
      <c r="G376" s="16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2:26" ht="12.75" customHeight="1">
      <c r="B377" s="14"/>
      <c r="C377" s="14"/>
      <c r="D377" s="14"/>
      <c r="E377" s="14"/>
      <c r="F377" s="61"/>
      <c r="G377" s="16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2:26" ht="12.75" customHeight="1">
      <c r="B378" s="14"/>
      <c r="C378" s="14"/>
      <c r="D378" s="14"/>
      <c r="E378" s="14"/>
      <c r="F378" s="61"/>
      <c r="G378" s="16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2:26" ht="12.75" customHeight="1">
      <c r="B379" s="14"/>
      <c r="C379" s="14"/>
      <c r="D379" s="14"/>
      <c r="E379" s="14"/>
      <c r="F379" s="61"/>
      <c r="G379" s="16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2:26" ht="12.75" customHeight="1">
      <c r="B380" s="14"/>
      <c r="C380" s="14"/>
      <c r="D380" s="14"/>
      <c r="E380" s="14"/>
      <c r="F380" s="61"/>
      <c r="G380" s="16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2:26" ht="12.75" customHeight="1">
      <c r="B381" s="14"/>
      <c r="C381" s="14"/>
      <c r="D381" s="14"/>
      <c r="E381" s="14"/>
      <c r="F381" s="61"/>
      <c r="G381" s="16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2:26" ht="12.75" customHeight="1">
      <c r="B382" s="14"/>
      <c r="C382" s="14"/>
      <c r="D382" s="14"/>
      <c r="E382" s="14"/>
      <c r="F382" s="61"/>
      <c r="G382" s="16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2:26" ht="12.75" customHeight="1">
      <c r="B383" s="14"/>
      <c r="C383" s="14"/>
      <c r="D383" s="14"/>
      <c r="E383" s="14"/>
      <c r="F383" s="61"/>
      <c r="G383" s="16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2:26" ht="12.75" customHeight="1">
      <c r="B384" s="14"/>
      <c r="C384" s="14"/>
      <c r="D384" s="14"/>
      <c r="E384" s="14"/>
      <c r="F384" s="61"/>
      <c r="G384" s="16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2:26" ht="12.75" customHeight="1">
      <c r="B385" s="14"/>
      <c r="C385" s="14"/>
      <c r="D385" s="14"/>
      <c r="E385" s="14"/>
      <c r="F385" s="61"/>
      <c r="G385" s="16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2:26" ht="12.75" customHeight="1">
      <c r="B386" s="14"/>
      <c r="C386" s="14"/>
      <c r="D386" s="14"/>
      <c r="E386" s="14"/>
      <c r="F386" s="61"/>
      <c r="G386" s="16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2:26" ht="12.75" customHeight="1">
      <c r="B387" s="14"/>
      <c r="C387" s="14"/>
      <c r="D387" s="14"/>
      <c r="E387" s="14"/>
      <c r="F387" s="61"/>
      <c r="G387" s="16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2:26" ht="12.75" customHeight="1">
      <c r="B388" s="14"/>
      <c r="C388" s="14"/>
      <c r="D388" s="14"/>
      <c r="E388" s="14"/>
      <c r="F388" s="61"/>
      <c r="G388" s="16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2:26" ht="12.75" customHeight="1">
      <c r="B389" s="14"/>
      <c r="C389" s="14"/>
      <c r="D389" s="14"/>
      <c r="E389" s="14"/>
      <c r="F389" s="61"/>
      <c r="G389" s="16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2:26" ht="12.75" customHeight="1">
      <c r="B390" s="14"/>
      <c r="C390" s="14"/>
      <c r="D390" s="14"/>
      <c r="E390" s="14"/>
      <c r="F390" s="61"/>
      <c r="G390" s="16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2:26" ht="12.75" customHeight="1">
      <c r="B391" s="14"/>
      <c r="C391" s="14"/>
      <c r="D391" s="14"/>
      <c r="E391" s="14"/>
      <c r="F391" s="61"/>
      <c r="G391" s="16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2:26" ht="12.75" customHeight="1">
      <c r="B392" s="14"/>
      <c r="C392" s="14"/>
      <c r="D392" s="14"/>
      <c r="E392" s="14"/>
      <c r="F392" s="61"/>
      <c r="G392" s="16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2:26" ht="12.75" customHeight="1">
      <c r="B393" s="14"/>
      <c r="C393" s="14"/>
      <c r="D393" s="14"/>
      <c r="E393" s="14"/>
      <c r="F393" s="61"/>
      <c r="G393" s="16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2:26" ht="12.75" customHeight="1">
      <c r="B394" s="14"/>
      <c r="C394" s="14"/>
      <c r="D394" s="14"/>
      <c r="E394" s="14"/>
      <c r="F394" s="61"/>
      <c r="G394" s="16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2:26" ht="12.75" customHeight="1">
      <c r="B395" s="14"/>
      <c r="C395" s="14"/>
      <c r="D395" s="14"/>
      <c r="E395" s="14"/>
      <c r="F395" s="61"/>
      <c r="G395" s="16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2:26" ht="12.75" customHeight="1">
      <c r="B396" s="14"/>
      <c r="C396" s="14"/>
      <c r="D396" s="14"/>
      <c r="E396" s="14"/>
      <c r="F396" s="61"/>
      <c r="G396" s="16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2:26" ht="12.75" customHeight="1">
      <c r="B397" s="14"/>
      <c r="C397" s="14"/>
      <c r="D397" s="14"/>
      <c r="E397" s="14"/>
      <c r="F397" s="61"/>
      <c r="G397" s="16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2:26" ht="12.75" customHeight="1">
      <c r="B398" s="14"/>
      <c r="C398" s="14"/>
      <c r="D398" s="14"/>
      <c r="E398" s="14"/>
      <c r="F398" s="61"/>
      <c r="G398" s="16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2:26" ht="12.75" customHeight="1">
      <c r="B399" s="14"/>
      <c r="C399" s="14"/>
      <c r="D399" s="14"/>
      <c r="E399" s="14"/>
      <c r="F399" s="61"/>
      <c r="G399" s="16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2:26" ht="12.75" customHeight="1">
      <c r="B400" s="14"/>
      <c r="C400" s="14"/>
      <c r="D400" s="14"/>
      <c r="E400" s="14"/>
      <c r="F400" s="61"/>
      <c r="G400" s="16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2:26" ht="12.75" customHeight="1">
      <c r="B401" s="14"/>
      <c r="C401" s="14"/>
      <c r="D401" s="14"/>
      <c r="E401" s="14"/>
      <c r="F401" s="61"/>
      <c r="G401" s="16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2:26" ht="12.75" customHeight="1">
      <c r="B402" s="14"/>
      <c r="C402" s="14"/>
      <c r="D402" s="14"/>
      <c r="E402" s="14"/>
      <c r="F402" s="61"/>
      <c r="G402" s="16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2:26" ht="12.75" customHeight="1">
      <c r="B403" s="14"/>
      <c r="C403" s="14"/>
      <c r="D403" s="14"/>
      <c r="E403" s="14"/>
      <c r="F403" s="61"/>
      <c r="G403" s="16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2:26" ht="12.75" customHeight="1">
      <c r="B404" s="14"/>
      <c r="C404" s="14"/>
      <c r="D404" s="14"/>
      <c r="E404" s="14"/>
      <c r="F404" s="61"/>
      <c r="G404" s="16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2:26" ht="12.75" customHeight="1">
      <c r="B405" s="14"/>
      <c r="C405" s="14"/>
      <c r="D405" s="14"/>
      <c r="E405" s="14"/>
      <c r="F405" s="61"/>
      <c r="G405" s="16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2:26" ht="12.75" customHeight="1">
      <c r="B406" s="14"/>
      <c r="C406" s="14"/>
      <c r="D406" s="14"/>
      <c r="E406" s="14"/>
      <c r="F406" s="61"/>
      <c r="G406" s="16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2:26" ht="12.75" customHeight="1">
      <c r="B407" s="14"/>
      <c r="C407" s="14"/>
      <c r="D407" s="14"/>
      <c r="E407" s="14"/>
      <c r="F407" s="61"/>
      <c r="G407" s="16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2:26" ht="12.75" customHeight="1">
      <c r="B408" s="14"/>
      <c r="C408" s="14"/>
      <c r="D408" s="14"/>
      <c r="E408" s="14"/>
      <c r="F408" s="61"/>
      <c r="G408" s="16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2:26" ht="12.75" customHeight="1">
      <c r="B409" s="14"/>
      <c r="C409" s="14"/>
      <c r="D409" s="14"/>
      <c r="E409" s="14"/>
      <c r="F409" s="61"/>
      <c r="G409" s="16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2:26" ht="12.75" customHeight="1">
      <c r="B410" s="14"/>
      <c r="C410" s="14"/>
      <c r="D410" s="14"/>
      <c r="E410" s="14"/>
      <c r="F410" s="61"/>
      <c r="G410" s="16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2:26" ht="12.75" customHeight="1">
      <c r="B411" s="14"/>
      <c r="C411" s="14"/>
      <c r="D411" s="14"/>
      <c r="E411" s="14"/>
      <c r="F411" s="61"/>
      <c r="G411" s="16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2:26" ht="12.75" customHeight="1">
      <c r="B412" s="14"/>
      <c r="C412" s="14"/>
      <c r="D412" s="14"/>
      <c r="E412" s="14"/>
      <c r="F412" s="61"/>
      <c r="G412" s="16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2:26" ht="12.75" customHeight="1">
      <c r="B413" s="14"/>
      <c r="C413" s="14"/>
      <c r="D413" s="14"/>
      <c r="E413" s="14"/>
      <c r="F413" s="61"/>
      <c r="G413" s="16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2:26" ht="12.75" customHeight="1">
      <c r="B414" s="14"/>
      <c r="C414" s="14"/>
      <c r="D414" s="14"/>
      <c r="E414" s="14"/>
      <c r="F414" s="61"/>
      <c r="G414" s="16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2:26" ht="12.75" customHeight="1">
      <c r="B415" s="14"/>
      <c r="C415" s="14"/>
      <c r="D415" s="14"/>
      <c r="E415" s="14"/>
      <c r="F415" s="61"/>
      <c r="G415" s="16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2:26" ht="12.75" customHeight="1">
      <c r="B416" s="14"/>
      <c r="C416" s="14"/>
      <c r="D416" s="14"/>
      <c r="E416" s="14"/>
      <c r="F416" s="61"/>
      <c r="G416" s="16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2:26" ht="12.75" customHeight="1">
      <c r="B417" s="14"/>
      <c r="C417" s="14"/>
      <c r="D417" s="14"/>
      <c r="E417" s="14"/>
      <c r="F417" s="61"/>
      <c r="G417" s="16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2:26" ht="12.75" customHeight="1">
      <c r="B418" s="14"/>
      <c r="C418" s="14"/>
      <c r="D418" s="14"/>
      <c r="E418" s="14"/>
      <c r="F418" s="61"/>
      <c r="G418" s="16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2:26" ht="12.75" customHeight="1">
      <c r="B419" s="14"/>
      <c r="C419" s="14"/>
      <c r="D419" s="14"/>
      <c r="E419" s="14"/>
      <c r="F419" s="61"/>
      <c r="G419" s="16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2:26" ht="12.75" customHeight="1">
      <c r="B420" s="14"/>
      <c r="C420" s="14"/>
      <c r="D420" s="14"/>
      <c r="E420" s="14"/>
      <c r="F420" s="61"/>
      <c r="G420" s="16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2:26" ht="12.75" customHeight="1">
      <c r="B421" s="14"/>
      <c r="C421" s="14"/>
      <c r="D421" s="14"/>
      <c r="E421" s="14"/>
      <c r="F421" s="61"/>
      <c r="G421" s="16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2:26" ht="12.75" customHeight="1">
      <c r="B422" s="14"/>
      <c r="C422" s="14"/>
      <c r="D422" s="14"/>
      <c r="E422" s="14"/>
      <c r="F422" s="61"/>
      <c r="G422" s="16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2:26" ht="12.75" customHeight="1">
      <c r="B423" s="14"/>
      <c r="C423" s="14"/>
      <c r="D423" s="14"/>
      <c r="E423" s="14"/>
      <c r="F423" s="61"/>
      <c r="G423" s="16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2:26" ht="12.75" customHeight="1">
      <c r="B424" s="14"/>
      <c r="C424" s="14"/>
      <c r="D424" s="14"/>
      <c r="E424" s="14"/>
      <c r="F424" s="61"/>
      <c r="G424" s="16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2:26" ht="12.75" customHeight="1">
      <c r="B425" s="14"/>
      <c r="C425" s="14"/>
      <c r="D425" s="14"/>
      <c r="E425" s="14"/>
      <c r="F425" s="61"/>
      <c r="G425" s="16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2:26" ht="12.75" customHeight="1">
      <c r="B426" s="14"/>
      <c r="C426" s="14"/>
      <c r="D426" s="14"/>
      <c r="E426" s="14"/>
      <c r="F426" s="61"/>
      <c r="G426" s="16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2:26" ht="12.75" customHeight="1">
      <c r="B427" s="14"/>
      <c r="C427" s="14"/>
      <c r="D427" s="14"/>
      <c r="E427" s="14"/>
      <c r="F427" s="61"/>
      <c r="G427" s="16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2:26" ht="12.75" customHeight="1">
      <c r="B428" s="14"/>
      <c r="C428" s="14"/>
      <c r="D428" s="14"/>
      <c r="E428" s="14"/>
      <c r="F428" s="61"/>
      <c r="G428" s="16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2:26" ht="12.75" customHeight="1">
      <c r="B429" s="14"/>
      <c r="C429" s="14"/>
      <c r="D429" s="14"/>
      <c r="E429" s="14"/>
      <c r="F429" s="61"/>
      <c r="G429" s="16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2:26" ht="12.75" customHeight="1">
      <c r="B430" s="14"/>
      <c r="C430" s="14"/>
      <c r="D430" s="14"/>
      <c r="E430" s="14"/>
      <c r="F430" s="61"/>
      <c r="G430" s="16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2:26" ht="12.75" customHeight="1">
      <c r="B431" s="14"/>
      <c r="C431" s="14"/>
      <c r="D431" s="14"/>
      <c r="E431" s="14"/>
      <c r="F431" s="61"/>
      <c r="G431" s="16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2:26" ht="12.75" customHeight="1">
      <c r="B432" s="14"/>
      <c r="C432" s="14"/>
      <c r="D432" s="14"/>
      <c r="E432" s="14"/>
      <c r="F432" s="61"/>
      <c r="G432" s="16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2:26" ht="12.75" customHeight="1">
      <c r="B433" s="14"/>
      <c r="C433" s="14"/>
      <c r="D433" s="14"/>
      <c r="E433" s="14"/>
      <c r="F433" s="61"/>
      <c r="G433" s="16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2:26" ht="12.75" customHeight="1">
      <c r="B434" s="14"/>
      <c r="C434" s="14"/>
      <c r="D434" s="14"/>
      <c r="E434" s="14"/>
      <c r="F434" s="61"/>
      <c r="G434" s="16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2:26" ht="12.75" customHeight="1">
      <c r="B435" s="14"/>
      <c r="C435" s="14"/>
      <c r="D435" s="14"/>
      <c r="E435" s="14"/>
      <c r="F435" s="61"/>
      <c r="G435" s="16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2:26" ht="12.75" customHeight="1">
      <c r="B436" s="14"/>
      <c r="C436" s="14"/>
      <c r="D436" s="14"/>
      <c r="E436" s="14"/>
      <c r="F436" s="61"/>
      <c r="G436" s="16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2:26" ht="12.75" customHeight="1">
      <c r="B437" s="14"/>
      <c r="C437" s="14"/>
      <c r="D437" s="14"/>
      <c r="E437" s="14"/>
      <c r="F437" s="61"/>
      <c r="G437" s="16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2:26" ht="12.75" customHeight="1">
      <c r="B438" s="14"/>
      <c r="C438" s="14"/>
      <c r="D438" s="14"/>
      <c r="E438" s="14"/>
      <c r="F438" s="61"/>
      <c r="G438" s="16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2:26" ht="12.75" customHeight="1">
      <c r="B439" s="14"/>
      <c r="C439" s="14"/>
      <c r="D439" s="14"/>
      <c r="E439" s="14"/>
      <c r="F439" s="61"/>
      <c r="G439" s="16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2:26" ht="12.75" customHeight="1">
      <c r="B440" s="14"/>
      <c r="C440" s="14"/>
      <c r="D440" s="14"/>
      <c r="E440" s="14"/>
      <c r="F440" s="61"/>
      <c r="G440" s="16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2:26" ht="12.75" customHeight="1">
      <c r="B441" s="14"/>
      <c r="C441" s="14"/>
      <c r="D441" s="14"/>
      <c r="E441" s="14"/>
      <c r="F441" s="61"/>
      <c r="G441" s="16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2:26" ht="12.75" customHeight="1">
      <c r="B442" s="14"/>
      <c r="C442" s="14"/>
      <c r="D442" s="14"/>
      <c r="E442" s="14"/>
      <c r="F442" s="61"/>
      <c r="G442" s="16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2:26" ht="12.75" customHeight="1">
      <c r="B443" s="14"/>
      <c r="C443" s="14"/>
      <c r="D443" s="14"/>
      <c r="E443" s="14"/>
      <c r="F443" s="61"/>
      <c r="G443" s="16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2:26" ht="12.75" customHeight="1">
      <c r="B444" s="14"/>
      <c r="C444" s="14"/>
      <c r="D444" s="14"/>
      <c r="E444" s="14"/>
      <c r="F444" s="61"/>
      <c r="G444" s="16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2:26" ht="12.75" customHeight="1">
      <c r="B445" s="14"/>
      <c r="C445" s="14"/>
      <c r="D445" s="14"/>
      <c r="E445" s="14"/>
      <c r="F445" s="61"/>
      <c r="G445" s="16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2:26" ht="12.75" customHeight="1">
      <c r="B446" s="14"/>
      <c r="C446" s="14"/>
      <c r="D446" s="14"/>
      <c r="E446" s="14"/>
      <c r="F446" s="61"/>
      <c r="G446" s="16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2:26" ht="12.75" customHeight="1">
      <c r="B447" s="14"/>
      <c r="C447" s="14"/>
      <c r="D447" s="14"/>
      <c r="E447" s="14"/>
      <c r="F447" s="61"/>
      <c r="G447" s="16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2:26" ht="12.75" customHeight="1">
      <c r="B448" s="14"/>
      <c r="C448" s="14"/>
      <c r="D448" s="14"/>
      <c r="E448" s="14"/>
      <c r="F448" s="61"/>
      <c r="G448" s="16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2:26" ht="12.75" customHeight="1">
      <c r="B449" s="14"/>
      <c r="C449" s="14"/>
      <c r="D449" s="14"/>
      <c r="E449" s="14"/>
      <c r="F449" s="61"/>
      <c r="G449" s="16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2:26" ht="12.75" customHeight="1">
      <c r="B450" s="14"/>
      <c r="C450" s="14"/>
      <c r="D450" s="14"/>
      <c r="E450" s="14"/>
      <c r="F450" s="61"/>
      <c r="G450" s="16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2:26" ht="12.75" customHeight="1">
      <c r="B451" s="14"/>
      <c r="C451" s="14"/>
      <c r="D451" s="14"/>
      <c r="E451" s="14"/>
      <c r="F451" s="61"/>
      <c r="G451" s="16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2:26" ht="12.75" customHeight="1">
      <c r="B452" s="14"/>
      <c r="C452" s="14"/>
      <c r="D452" s="14"/>
      <c r="E452" s="14"/>
      <c r="F452" s="61"/>
      <c r="G452" s="16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2:26" ht="12.75" customHeight="1">
      <c r="B453" s="14"/>
      <c r="C453" s="14"/>
      <c r="D453" s="14"/>
      <c r="E453" s="14"/>
      <c r="F453" s="61"/>
      <c r="G453" s="16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2:26" ht="12.75" customHeight="1">
      <c r="B454" s="14"/>
      <c r="C454" s="14"/>
      <c r="D454" s="14"/>
      <c r="E454" s="14"/>
      <c r="F454" s="61"/>
      <c r="G454" s="16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2:26" ht="12.75" customHeight="1">
      <c r="B455" s="14"/>
      <c r="C455" s="14"/>
      <c r="D455" s="14"/>
      <c r="E455" s="14"/>
      <c r="F455" s="61"/>
      <c r="G455" s="16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2:26" ht="12.75" customHeight="1">
      <c r="B456" s="14"/>
      <c r="C456" s="14"/>
      <c r="D456" s="14"/>
      <c r="E456" s="14"/>
      <c r="F456" s="61"/>
      <c r="G456" s="16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2:26" ht="12.75" customHeight="1">
      <c r="B457" s="14"/>
      <c r="C457" s="14"/>
      <c r="D457" s="14"/>
      <c r="E457" s="14"/>
      <c r="F457" s="61"/>
      <c r="G457" s="16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2:26" ht="12.75" customHeight="1">
      <c r="B458" s="14"/>
      <c r="C458" s="14"/>
      <c r="D458" s="14"/>
      <c r="E458" s="14"/>
      <c r="F458" s="61"/>
      <c r="G458" s="16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2:26" ht="12.75" customHeight="1">
      <c r="B459" s="14"/>
      <c r="C459" s="14"/>
      <c r="D459" s="14"/>
      <c r="E459" s="14"/>
      <c r="F459" s="61"/>
      <c r="G459" s="16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2:26" ht="12.75" customHeight="1">
      <c r="B460" s="14"/>
      <c r="C460" s="14"/>
      <c r="D460" s="14"/>
      <c r="E460" s="14"/>
      <c r="F460" s="61"/>
      <c r="G460" s="16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2:26" ht="12.75" customHeight="1">
      <c r="B461" s="14"/>
      <c r="C461" s="14"/>
      <c r="D461" s="14"/>
      <c r="E461" s="14"/>
      <c r="F461" s="61"/>
      <c r="G461" s="16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2:26" ht="12.75" customHeight="1">
      <c r="B462" s="14"/>
      <c r="C462" s="14"/>
      <c r="D462" s="14"/>
      <c r="E462" s="14"/>
      <c r="F462" s="61"/>
      <c r="G462" s="16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2:26" ht="12.75" customHeight="1">
      <c r="B463" s="14"/>
      <c r="C463" s="14"/>
      <c r="D463" s="14"/>
      <c r="E463" s="14"/>
      <c r="F463" s="61"/>
      <c r="G463" s="16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2:26" ht="12.75" customHeight="1">
      <c r="B464" s="14"/>
      <c r="C464" s="14"/>
      <c r="D464" s="14"/>
      <c r="E464" s="14"/>
      <c r="F464" s="61"/>
      <c r="G464" s="16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2:26" ht="12.75" customHeight="1">
      <c r="B465" s="14"/>
      <c r="C465" s="14"/>
      <c r="D465" s="14"/>
      <c r="E465" s="14"/>
      <c r="F465" s="61"/>
      <c r="G465" s="16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2:26" ht="12.75" customHeight="1">
      <c r="B466" s="14"/>
      <c r="C466" s="14"/>
      <c r="D466" s="14"/>
      <c r="E466" s="14"/>
      <c r="F466" s="61"/>
      <c r="G466" s="16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2:26" ht="12.75" customHeight="1">
      <c r="B467" s="14"/>
      <c r="C467" s="14"/>
      <c r="D467" s="14"/>
      <c r="E467" s="14"/>
      <c r="F467" s="61"/>
      <c r="G467" s="16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2:26" ht="12.75" customHeight="1">
      <c r="B468" s="14"/>
      <c r="C468" s="14"/>
      <c r="D468" s="14"/>
      <c r="E468" s="14"/>
      <c r="F468" s="61"/>
      <c r="G468" s="16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2:26" ht="12.75" customHeight="1">
      <c r="B469" s="14"/>
      <c r="C469" s="14"/>
      <c r="D469" s="14"/>
      <c r="E469" s="14"/>
      <c r="F469" s="61"/>
      <c r="G469" s="16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2:26" ht="12.75" customHeight="1">
      <c r="B470" s="14"/>
      <c r="C470" s="14"/>
      <c r="D470" s="14"/>
      <c r="E470" s="14"/>
      <c r="F470" s="61"/>
      <c r="G470" s="16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2:26" ht="12.75" customHeight="1">
      <c r="B471" s="14"/>
      <c r="C471" s="14"/>
      <c r="D471" s="14"/>
      <c r="E471" s="14"/>
      <c r="F471" s="61"/>
      <c r="G471" s="16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2:26" ht="12.75" customHeight="1">
      <c r="B472" s="14"/>
      <c r="C472" s="14"/>
      <c r="D472" s="14"/>
      <c r="E472" s="14"/>
      <c r="F472" s="61"/>
      <c r="G472" s="16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2:26" ht="12.75" customHeight="1">
      <c r="B473" s="14"/>
      <c r="C473" s="14"/>
      <c r="D473" s="14"/>
      <c r="E473" s="14"/>
      <c r="F473" s="61"/>
      <c r="G473" s="16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2:26" ht="12.75" customHeight="1">
      <c r="B474" s="14"/>
      <c r="C474" s="14"/>
      <c r="D474" s="14"/>
      <c r="E474" s="14"/>
      <c r="F474" s="61"/>
      <c r="G474" s="16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2:26" ht="12.75" customHeight="1">
      <c r="B475" s="14"/>
      <c r="C475" s="14"/>
      <c r="D475" s="14"/>
      <c r="E475" s="14"/>
      <c r="F475" s="61"/>
      <c r="G475" s="16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2:26" ht="12.75" customHeight="1">
      <c r="B476" s="14"/>
      <c r="C476" s="14"/>
      <c r="D476" s="14"/>
      <c r="E476" s="14"/>
      <c r="F476" s="61"/>
      <c r="G476" s="16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2:26" ht="12.75" customHeight="1">
      <c r="B477" s="14"/>
      <c r="C477" s="14"/>
      <c r="D477" s="14"/>
      <c r="E477" s="14"/>
      <c r="F477" s="61"/>
      <c r="G477" s="16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2:26" ht="12.75" customHeight="1">
      <c r="B478" s="14"/>
      <c r="C478" s="14"/>
      <c r="D478" s="14"/>
      <c r="E478" s="14"/>
      <c r="F478" s="61"/>
      <c r="G478" s="16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2:26" ht="12.75" customHeight="1">
      <c r="B479" s="14"/>
      <c r="C479" s="14"/>
      <c r="D479" s="14"/>
      <c r="E479" s="14"/>
      <c r="F479" s="61"/>
      <c r="G479" s="16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2:26" ht="12.75" customHeight="1">
      <c r="B480" s="14"/>
      <c r="C480" s="14"/>
      <c r="D480" s="14"/>
      <c r="E480" s="14"/>
      <c r="F480" s="61"/>
      <c r="G480" s="16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2:26" ht="12.75" customHeight="1">
      <c r="B481" s="14"/>
      <c r="C481" s="14"/>
      <c r="D481" s="14"/>
      <c r="E481" s="14"/>
      <c r="F481" s="61"/>
      <c r="G481" s="16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2:26" ht="12.75" customHeight="1">
      <c r="B482" s="14"/>
      <c r="C482" s="14"/>
      <c r="D482" s="14"/>
      <c r="E482" s="14"/>
      <c r="F482" s="61"/>
      <c r="G482" s="16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2:26" ht="12.75" customHeight="1">
      <c r="B483" s="14"/>
      <c r="C483" s="14"/>
      <c r="D483" s="14"/>
      <c r="E483" s="14"/>
      <c r="F483" s="61"/>
      <c r="G483" s="16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2:26" ht="12.75" customHeight="1">
      <c r="B484" s="14"/>
      <c r="C484" s="14"/>
      <c r="D484" s="14"/>
      <c r="E484" s="14"/>
      <c r="F484" s="61"/>
      <c r="G484" s="16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2:26" ht="12.75" customHeight="1">
      <c r="B485" s="14"/>
      <c r="C485" s="14"/>
      <c r="D485" s="14"/>
      <c r="E485" s="14"/>
      <c r="F485" s="61"/>
      <c r="G485" s="16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2:26" ht="12.75" customHeight="1">
      <c r="B486" s="14"/>
      <c r="C486" s="14"/>
      <c r="D486" s="14"/>
      <c r="E486" s="14"/>
      <c r="F486" s="61"/>
      <c r="G486" s="16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2:26" ht="12.75" customHeight="1">
      <c r="B487" s="14"/>
      <c r="C487" s="14"/>
      <c r="D487" s="14"/>
      <c r="E487" s="14"/>
      <c r="F487" s="61"/>
      <c r="G487" s="16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2:26" ht="12.75" customHeight="1">
      <c r="B488" s="14"/>
      <c r="C488" s="14"/>
      <c r="D488" s="14"/>
      <c r="E488" s="14"/>
      <c r="F488" s="61"/>
      <c r="G488" s="16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2:26" ht="12.75" customHeight="1">
      <c r="B489" s="14"/>
      <c r="C489" s="14"/>
      <c r="D489" s="14"/>
      <c r="E489" s="14"/>
      <c r="F489" s="61"/>
      <c r="G489" s="16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2:26" ht="12.75" customHeight="1">
      <c r="B490" s="14"/>
      <c r="C490" s="14"/>
      <c r="D490" s="14"/>
      <c r="E490" s="14"/>
      <c r="F490" s="61"/>
      <c r="G490" s="16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2:26" ht="12.75" customHeight="1">
      <c r="B491" s="14"/>
      <c r="C491" s="14"/>
      <c r="D491" s="14"/>
      <c r="E491" s="14"/>
      <c r="F491" s="61"/>
      <c r="G491" s="16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2:26" ht="12.75" customHeight="1">
      <c r="B492" s="14"/>
      <c r="C492" s="14"/>
      <c r="D492" s="14"/>
      <c r="E492" s="14"/>
      <c r="F492" s="61"/>
      <c r="G492" s="16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2:26" ht="12.75" customHeight="1">
      <c r="B493" s="14"/>
      <c r="C493" s="14"/>
      <c r="D493" s="14"/>
      <c r="E493" s="14"/>
      <c r="F493" s="61"/>
      <c r="G493" s="16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2:26" ht="12.75" customHeight="1">
      <c r="B494" s="14"/>
      <c r="C494" s="14"/>
      <c r="D494" s="14"/>
      <c r="E494" s="14"/>
      <c r="F494" s="61"/>
      <c r="G494" s="16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2:26" ht="12.75" customHeight="1">
      <c r="B495" s="14"/>
      <c r="C495" s="14"/>
      <c r="D495" s="14"/>
      <c r="E495" s="14"/>
      <c r="F495" s="61"/>
      <c r="G495" s="16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2:26" ht="12.75" customHeight="1">
      <c r="B496" s="14"/>
      <c r="C496" s="14"/>
      <c r="D496" s="14"/>
      <c r="E496" s="14"/>
      <c r="F496" s="61"/>
      <c r="G496" s="16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2:26" ht="12.75" customHeight="1">
      <c r="B497" s="14"/>
      <c r="C497" s="14"/>
      <c r="D497" s="14"/>
      <c r="E497" s="14"/>
      <c r="F497" s="61"/>
      <c r="G497" s="16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2:26" ht="12.75" customHeight="1">
      <c r="B498" s="14"/>
      <c r="C498" s="14"/>
      <c r="D498" s="14"/>
      <c r="E498" s="14"/>
      <c r="F498" s="61"/>
      <c r="G498" s="16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2:26" ht="12.75" customHeight="1">
      <c r="B499" s="14"/>
      <c r="C499" s="14"/>
      <c r="D499" s="14"/>
      <c r="E499" s="14"/>
      <c r="F499" s="61"/>
      <c r="G499" s="16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2:26" ht="12.75" customHeight="1">
      <c r="B500" s="14"/>
      <c r="C500" s="14"/>
      <c r="D500" s="14"/>
      <c r="E500" s="14"/>
      <c r="F500" s="61"/>
      <c r="G500" s="16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2:26" ht="12.75" customHeight="1">
      <c r="B501" s="14"/>
      <c r="C501" s="14"/>
      <c r="D501" s="14"/>
      <c r="E501" s="14"/>
      <c r="F501" s="61"/>
      <c r="G501" s="16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2:26" ht="12.75" customHeight="1">
      <c r="B502" s="14"/>
      <c r="C502" s="14"/>
      <c r="D502" s="14"/>
      <c r="E502" s="14"/>
      <c r="F502" s="61"/>
      <c r="G502" s="16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2:26" ht="12.75" customHeight="1">
      <c r="B503" s="14"/>
      <c r="C503" s="14"/>
      <c r="D503" s="14"/>
      <c r="E503" s="14"/>
      <c r="F503" s="61"/>
      <c r="G503" s="16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2:26" ht="12.75" customHeight="1">
      <c r="B504" s="14"/>
      <c r="C504" s="14"/>
      <c r="D504" s="14"/>
      <c r="E504" s="14"/>
      <c r="F504" s="61"/>
      <c r="G504" s="16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2:26" ht="12.75" customHeight="1">
      <c r="B505" s="14"/>
      <c r="C505" s="14"/>
      <c r="D505" s="14"/>
      <c r="E505" s="14"/>
      <c r="F505" s="61"/>
      <c r="G505" s="16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2:26" ht="12.75" customHeight="1">
      <c r="B506" s="14"/>
      <c r="C506" s="14"/>
      <c r="D506" s="14"/>
      <c r="E506" s="14"/>
      <c r="F506" s="61"/>
      <c r="G506" s="16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2:26" ht="12.75" customHeight="1">
      <c r="B507" s="14"/>
      <c r="C507" s="14"/>
      <c r="D507" s="14"/>
      <c r="E507" s="14"/>
      <c r="F507" s="61"/>
      <c r="G507" s="16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2:26" ht="12.75" customHeight="1">
      <c r="B508" s="14"/>
      <c r="C508" s="14"/>
      <c r="D508" s="14"/>
      <c r="E508" s="14"/>
      <c r="F508" s="61"/>
      <c r="G508" s="16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2:26" ht="12.75" customHeight="1">
      <c r="B509" s="14"/>
      <c r="C509" s="14"/>
      <c r="D509" s="14"/>
      <c r="E509" s="14"/>
      <c r="F509" s="61"/>
      <c r="G509" s="16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2:26" ht="12.75" customHeight="1">
      <c r="B510" s="14"/>
      <c r="C510" s="14"/>
      <c r="D510" s="14"/>
      <c r="E510" s="14"/>
      <c r="F510" s="61"/>
      <c r="G510" s="16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2:26" ht="12.75" customHeight="1">
      <c r="B511" s="14"/>
      <c r="C511" s="14"/>
      <c r="D511" s="14"/>
      <c r="E511" s="14"/>
      <c r="F511" s="61"/>
      <c r="G511" s="16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2:26" ht="12.75" customHeight="1">
      <c r="B512" s="14"/>
      <c r="C512" s="14"/>
      <c r="D512" s="14"/>
      <c r="E512" s="14"/>
      <c r="F512" s="61"/>
      <c r="G512" s="16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2:26" ht="12.75" customHeight="1">
      <c r="B513" s="14"/>
      <c r="C513" s="14"/>
      <c r="D513" s="14"/>
      <c r="E513" s="14"/>
      <c r="F513" s="61"/>
      <c r="G513" s="16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2:26" ht="12.75" customHeight="1">
      <c r="B514" s="14"/>
      <c r="C514" s="14"/>
      <c r="D514" s="14"/>
      <c r="E514" s="14"/>
      <c r="F514" s="61"/>
      <c r="G514" s="16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2:26" ht="12.75" customHeight="1">
      <c r="B515" s="14"/>
      <c r="C515" s="14"/>
      <c r="D515" s="14"/>
      <c r="E515" s="14"/>
      <c r="F515" s="61"/>
      <c r="G515" s="16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2:26" ht="12.75" customHeight="1">
      <c r="B516" s="14"/>
      <c r="C516" s="14"/>
      <c r="D516" s="14"/>
      <c r="E516" s="14"/>
      <c r="F516" s="61"/>
      <c r="G516" s="16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2:26" ht="12.75" customHeight="1">
      <c r="B517" s="14"/>
      <c r="C517" s="14"/>
      <c r="D517" s="14"/>
      <c r="E517" s="14"/>
      <c r="F517" s="61"/>
      <c r="G517" s="16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2:26" ht="12.75" customHeight="1">
      <c r="B518" s="14"/>
      <c r="C518" s="14"/>
      <c r="D518" s="14"/>
      <c r="E518" s="14"/>
      <c r="F518" s="61"/>
      <c r="G518" s="16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2:26" ht="12.75" customHeight="1">
      <c r="B519" s="14"/>
      <c r="C519" s="14"/>
      <c r="D519" s="14"/>
      <c r="E519" s="14"/>
      <c r="F519" s="61"/>
      <c r="G519" s="16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2:26" ht="12.75" customHeight="1">
      <c r="B520" s="14"/>
      <c r="C520" s="14"/>
      <c r="D520" s="14"/>
      <c r="E520" s="14"/>
      <c r="F520" s="61"/>
      <c r="G520" s="16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2:26" ht="12.75" customHeight="1">
      <c r="B521" s="14"/>
      <c r="C521" s="14"/>
      <c r="D521" s="14"/>
      <c r="E521" s="14"/>
      <c r="F521" s="61"/>
      <c r="G521" s="16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2:26" ht="12.75" customHeight="1">
      <c r="B522" s="14"/>
      <c r="C522" s="14"/>
      <c r="D522" s="14"/>
      <c r="E522" s="14"/>
      <c r="F522" s="61"/>
      <c r="G522" s="16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2:26" ht="12.75" customHeight="1">
      <c r="B523" s="14"/>
      <c r="C523" s="14"/>
      <c r="D523" s="14"/>
      <c r="E523" s="14"/>
      <c r="F523" s="61"/>
      <c r="G523" s="16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2:26" ht="12.75" customHeight="1">
      <c r="B524" s="14"/>
      <c r="C524" s="14"/>
      <c r="D524" s="14"/>
      <c r="E524" s="14"/>
      <c r="F524" s="61"/>
      <c r="G524" s="16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2:26" ht="12.75" customHeight="1">
      <c r="B525" s="14"/>
      <c r="C525" s="14"/>
      <c r="D525" s="14"/>
      <c r="E525" s="14"/>
      <c r="F525" s="61"/>
      <c r="G525" s="16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2:26" ht="12.75" customHeight="1">
      <c r="B526" s="14"/>
      <c r="C526" s="14"/>
      <c r="D526" s="14"/>
      <c r="E526" s="14"/>
      <c r="F526" s="61"/>
      <c r="G526" s="16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2:26" ht="12.75" customHeight="1">
      <c r="B527" s="14"/>
      <c r="C527" s="14"/>
      <c r="D527" s="14"/>
      <c r="E527" s="14"/>
      <c r="F527" s="61"/>
      <c r="G527" s="16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2:26" ht="12.75" customHeight="1">
      <c r="B528" s="14"/>
      <c r="C528" s="14"/>
      <c r="D528" s="14"/>
      <c r="E528" s="14"/>
      <c r="F528" s="61"/>
      <c r="G528" s="16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2:26" ht="12.75" customHeight="1">
      <c r="B529" s="14"/>
      <c r="C529" s="14"/>
      <c r="D529" s="14"/>
      <c r="E529" s="14"/>
      <c r="F529" s="61"/>
      <c r="G529" s="16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2:26" ht="12.75" customHeight="1">
      <c r="B530" s="14"/>
      <c r="C530" s="14"/>
      <c r="D530" s="14"/>
      <c r="E530" s="14"/>
      <c r="F530" s="61"/>
      <c r="G530" s="16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2:26" ht="12.75" customHeight="1">
      <c r="B531" s="14"/>
      <c r="C531" s="14"/>
      <c r="D531" s="14"/>
      <c r="E531" s="14"/>
      <c r="F531" s="61"/>
      <c r="G531" s="16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2:26" ht="12.75" customHeight="1">
      <c r="B532" s="14"/>
      <c r="C532" s="14"/>
      <c r="D532" s="14"/>
      <c r="E532" s="14"/>
      <c r="F532" s="61"/>
      <c r="G532" s="16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2:26" ht="12.75" customHeight="1">
      <c r="B533" s="14"/>
      <c r="C533" s="14"/>
      <c r="D533" s="14"/>
      <c r="E533" s="14"/>
      <c r="F533" s="61"/>
      <c r="G533" s="16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2:26" ht="12.75" customHeight="1">
      <c r="B534" s="14"/>
      <c r="C534" s="14"/>
      <c r="D534" s="14"/>
      <c r="E534" s="14"/>
      <c r="F534" s="61"/>
      <c r="G534" s="16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2:26" ht="12.75" customHeight="1">
      <c r="B535" s="14"/>
      <c r="C535" s="14"/>
      <c r="D535" s="14"/>
      <c r="E535" s="14"/>
      <c r="F535" s="61"/>
      <c r="G535" s="16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2:26" ht="12.75" customHeight="1">
      <c r="B536" s="14"/>
      <c r="C536" s="14"/>
      <c r="D536" s="14"/>
      <c r="E536" s="14"/>
      <c r="F536" s="61"/>
      <c r="G536" s="16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2:26" ht="12.75" customHeight="1">
      <c r="B537" s="14"/>
      <c r="C537" s="14"/>
      <c r="D537" s="14"/>
      <c r="E537" s="14"/>
      <c r="F537" s="61"/>
      <c r="G537" s="16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2:26" ht="12.75" customHeight="1">
      <c r="B538" s="14"/>
      <c r="C538" s="14"/>
      <c r="D538" s="14"/>
      <c r="E538" s="14"/>
      <c r="F538" s="61"/>
      <c r="G538" s="16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2:26" ht="12.75" customHeight="1">
      <c r="B539" s="14"/>
      <c r="C539" s="14"/>
      <c r="D539" s="14"/>
      <c r="E539" s="14"/>
      <c r="F539" s="61"/>
      <c r="G539" s="16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2:26" ht="12.75" customHeight="1">
      <c r="B540" s="14"/>
      <c r="C540" s="14"/>
      <c r="D540" s="14"/>
      <c r="E540" s="14"/>
      <c r="F540" s="61"/>
      <c r="G540" s="16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2:26" ht="12.75" customHeight="1">
      <c r="B541" s="14"/>
      <c r="C541" s="14"/>
      <c r="D541" s="14"/>
      <c r="E541" s="14"/>
      <c r="F541" s="61"/>
      <c r="G541" s="16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2:26" ht="12.75" customHeight="1">
      <c r="B542" s="14"/>
      <c r="C542" s="14"/>
      <c r="D542" s="14"/>
      <c r="E542" s="14"/>
      <c r="F542" s="61"/>
      <c r="G542" s="16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2:26" ht="12.75" customHeight="1">
      <c r="B543" s="14"/>
      <c r="C543" s="14"/>
      <c r="D543" s="14"/>
      <c r="E543" s="14"/>
      <c r="F543" s="61"/>
      <c r="G543" s="16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2:26" ht="12.75" customHeight="1">
      <c r="B544" s="14"/>
      <c r="C544" s="14"/>
      <c r="D544" s="14"/>
      <c r="E544" s="14"/>
      <c r="F544" s="61"/>
      <c r="G544" s="16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2:26" ht="12.75" customHeight="1">
      <c r="B545" s="14"/>
      <c r="C545" s="14"/>
      <c r="D545" s="14"/>
      <c r="E545" s="14"/>
      <c r="F545" s="61"/>
      <c r="G545" s="16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2:26" ht="12.75" customHeight="1">
      <c r="B546" s="14"/>
      <c r="C546" s="14"/>
      <c r="D546" s="14"/>
      <c r="E546" s="14"/>
      <c r="F546" s="61"/>
      <c r="G546" s="16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2:26" ht="12.75" customHeight="1">
      <c r="B547" s="14"/>
      <c r="C547" s="14"/>
      <c r="D547" s="14"/>
      <c r="E547" s="14"/>
      <c r="F547" s="61"/>
      <c r="G547" s="16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2:26" ht="12.75" customHeight="1">
      <c r="B548" s="14"/>
      <c r="C548" s="14"/>
      <c r="D548" s="14"/>
      <c r="E548" s="14"/>
      <c r="F548" s="61"/>
      <c r="G548" s="16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2:26" ht="12.75" customHeight="1">
      <c r="B549" s="14"/>
      <c r="C549" s="14"/>
      <c r="D549" s="14"/>
      <c r="E549" s="14"/>
      <c r="F549" s="61"/>
      <c r="G549" s="16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2:26" ht="12.75" customHeight="1">
      <c r="B550" s="14"/>
      <c r="C550" s="14"/>
      <c r="D550" s="14"/>
      <c r="E550" s="14"/>
      <c r="F550" s="61"/>
      <c r="G550" s="16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2:26" ht="12.75" customHeight="1">
      <c r="B551" s="14"/>
      <c r="C551" s="14"/>
      <c r="D551" s="14"/>
      <c r="E551" s="14"/>
      <c r="F551" s="61"/>
      <c r="G551" s="16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2:26" ht="12.75" customHeight="1">
      <c r="B552" s="14"/>
      <c r="C552" s="14"/>
      <c r="D552" s="14"/>
      <c r="E552" s="14"/>
      <c r="F552" s="61"/>
      <c r="G552" s="16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2:26" ht="12.75" customHeight="1">
      <c r="B553" s="14"/>
      <c r="C553" s="14"/>
      <c r="D553" s="14"/>
      <c r="E553" s="14"/>
      <c r="F553" s="61"/>
      <c r="G553" s="16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2:26" ht="12.75" customHeight="1">
      <c r="B554" s="14"/>
      <c r="C554" s="14"/>
      <c r="D554" s="14"/>
      <c r="E554" s="14"/>
      <c r="F554" s="61"/>
      <c r="G554" s="16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2:26" ht="12.75" customHeight="1">
      <c r="B555" s="14"/>
      <c r="C555" s="14"/>
      <c r="D555" s="14"/>
      <c r="E555" s="14"/>
      <c r="F555" s="61"/>
      <c r="G555" s="16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2:26" ht="12.75" customHeight="1">
      <c r="B556" s="14"/>
      <c r="C556" s="14"/>
      <c r="D556" s="14"/>
      <c r="E556" s="14"/>
      <c r="F556" s="61"/>
      <c r="G556" s="16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2:26" ht="12.75" customHeight="1">
      <c r="B557" s="14"/>
      <c r="C557" s="14"/>
      <c r="D557" s="14"/>
      <c r="E557" s="14"/>
      <c r="F557" s="61"/>
      <c r="G557" s="16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2:26" ht="12.75" customHeight="1">
      <c r="B558" s="14"/>
      <c r="C558" s="14"/>
      <c r="D558" s="14"/>
      <c r="E558" s="14"/>
      <c r="F558" s="61"/>
      <c r="G558" s="16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2:26" ht="12.75" customHeight="1">
      <c r="B559" s="14"/>
      <c r="C559" s="14"/>
      <c r="D559" s="14"/>
      <c r="E559" s="14"/>
      <c r="F559" s="61"/>
      <c r="G559" s="16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2:26" ht="12.75" customHeight="1">
      <c r="B560" s="14"/>
      <c r="C560" s="14"/>
      <c r="D560" s="14"/>
      <c r="E560" s="14"/>
      <c r="F560" s="61"/>
      <c r="G560" s="16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2:26" ht="12.75" customHeight="1">
      <c r="B561" s="14"/>
      <c r="C561" s="14"/>
      <c r="D561" s="14"/>
      <c r="E561" s="14"/>
      <c r="F561" s="61"/>
      <c r="G561" s="16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2:26" ht="12.75" customHeight="1">
      <c r="B562" s="14"/>
      <c r="C562" s="14"/>
      <c r="D562" s="14"/>
      <c r="E562" s="14"/>
      <c r="F562" s="61"/>
      <c r="G562" s="16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2:26" ht="12.75" customHeight="1">
      <c r="B563" s="14"/>
      <c r="C563" s="14"/>
      <c r="D563" s="14"/>
      <c r="E563" s="14"/>
      <c r="F563" s="61"/>
      <c r="G563" s="16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2:26" ht="12.75" customHeight="1">
      <c r="B564" s="14"/>
      <c r="C564" s="14"/>
      <c r="D564" s="14"/>
      <c r="E564" s="14"/>
      <c r="F564" s="61"/>
      <c r="G564" s="16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2:26" ht="12.75" customHeight="1">
      <c r="B565" s="14"/>
      <c r="C565" s="14"/>
      <c r="D565" s="14"/>
      <c r="E565" s="14"/>
      <c r="F565" s="61"/>
      <c r="G565" s="16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2:26" ht="12.75" customHeight="1">
      <c r="B566" s="14"/>
      <c r="C566" s="14"/>
      <c r="D566" s="14"/>
      <c r="E566" s="14"/>
      <c r="F566" s="61"/>
      <c r="G566" s="16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2:26" ht="12.75" customHeight="1">
      <c r="B567" s="14"/>
      <c r="C567" s="14"/>
      <c r="D567" s="14"/>
      <c r="E567" s="14"/>
      <c r="F567" s="61"/>
      <c r="G567" s="16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2:26" ht="12.75" customHeight="1">
      <c r="B568" s="14"/>
      <c r="C568" s="14"/>
      <c r="D568" s="14"/>
      <c r="E568" s="14"/>
      <c r="F568" s="61"/>
      <c r="G568" s="16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2:26" ht="12.75" customHeight="1">
      <c r="B569" s="14"/>
      <c r="C569" s="14"/>
      <c r="D569" s="14"/>
      <c r="E569" s="14"/>
      <c r="F569" s="61"/>
      <c r="G569" s="16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2:26" ht="12.75" customHeight="1">
      <c r="B570" s="14"/>
      <c r="C570" s="14"/>
      <c r="D570" s="14"/>
      <c r="E570" s="14"/>
      <c r="F570" s="61"/>
      <c r="G570" s="16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2:26" ht="12.75" customHeight="1">
      <c r="B571" s="14"/>
      <c r="C571" s="14"/>
      <c r="D571" s="14"/>
      <c r="E571" s="14"/>
      <c r="F571" s="61"/>
      <c r="G571" s="16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2:26" ht="12.75" customHeight="1">
      <c r="B572" s="14"/>
      <c r="C572" s="14"/>
      <c r="D572" s="14"/>
      <c r="E572" s="14"/>
      <c r="F572" s="61"/>
      <c r="G572" s="16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2:26" ht="12.75" customHeight="1">
      <c r="B573" s="14"/>
      <c r="C573" s="14"/>
      <c r="D573" s="14"/>
      <c r="E573" s="14"/>
      <c r="F573" s="61"/>
      <c r="G573" s="16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2:26" ht="12.75" customHeight="1">
      <c r="B574" s="14"/>
      <c r="C574" s="14"/>
      <c r="D574" s="14"/>
      <c r="E574" s="14"/>
      <c r="F574" s="61"/>
      <c r="G574" s="16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2:26" ht="12.75" customHeight="1">
      <c r="B575" s="14"/>
      <c r="C575" s="14"/>
      <c r="D575" s="14"/>
      <c r="E575" s="14"/>
      <c r="F575" s="61"/>
      <c r="G575" s="16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2:26" ht="12.75" customHeight="1">
      <c r="B576" s="14"/>
      <c r="C576" s="14"/>
      <c r="D576" s="14"/>
      <c r="E576" s="14"/>
      <c r="F576" s="61"/>
      <c r="G576" s="16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2:26" ht="12.75" customHeight="1">
      <c r="B577" s="14"/>
      <c r="C577" s="14"/>
      <c r="D577" s="14"/>
      <c r="E577" s="14"/>
      <c r="F577" s="61"/>
      <c r="G577" s="16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2:26" ht="12.75" customHeight="1">
      <c r="B578" s="14"/>
      <c r="C578" s="14"/>
      <c r="D578" s="14"/>
      <c r="E578" s="14"/>
      <c r="F578" s="61"/>
      <c r="G578" s="16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2:26" ht="12.75" customHeight="1">
      <c r="B579" s="14"/>
      <c r="C579" s="14"/>
      <c r="D579" s="14"/>
      <c r="E579" s="14"/>
      <c r="F579" s="61"/>
      <c r="G579" s="16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2:26" ht="12.75" customHeight="1">
      <c r="B580" s="14"/>
      <c r="C580" s="14"/>
      <c r="D580" s="14"/>
      <c r="E580" s="14"/>
      <c r="F580" s="61"/>
      <c r="G580" s="16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2:26" ht="12.75" customHeight="1">
      <c r="B581" s="14"/>
      <c r="C581" s="14"/>
      <c r="D581" s="14"/>
      <c r="E581" s="14"/>
      <c r="F581" s="61"/>
      <c r="G581" s="16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2:26" ht="12.75" customHeight="1">
      <c r="B582" s="14"/>
      <c r="C582" s="14"/>
      <c r="D582" s="14"/>
      <c r="E582" s="14"/>
      <c r="F582" s="61"/>
      <c r="G582" s="16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2:26" ht="12.75" customHeight="1">
      <c r="B583" s="14"/>
      <c r="C583" s="14"/>
      <c r="D583" s="14"/>
      <c r="E583" s="14"/>
      <c r="F583" s="61"/>
      <c r="G583" s="16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2:26" ht="12.75" customHeight="1">
      <c r="B584" s="14"/>
      <c r="C584" s="14"/>
      <c r="D584" s="14"/>
      <c r="E584" s="14"/>
      <c r="F584" s="61"/>
      <c r="G584" s="16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2:26" ht="12.75" customHeight="1">
      <c r="B585" s="14"/>
      <c r="C585" s="14"/>
      <c r="D585" s="14"/>
      <c r="E585" s="14"/>
      <c r="F585" s="61"/>
      <c r="G585" s="16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2:26" ht="12.75" customHeight="1">
      <c r="B586" s="14"/>
      <c r="C586" s="14"/>
      <c r="D586" s="14"/>
      <c r="E586" s="14"/>
      <c r="F586" s="61"/>
      <c r="G586" s="16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2:26" ht="12.75" customHeight="1">
      <c r="B587" s="14"/>
      <c r="C587" s="14"/>
      <c r="D587" s="14"/>
      <c r="E587" s="14"/>
      <c r="F587" s="61"/>
      <c r="G587" s="16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2:26" ht="12.75" customHeight="1">
      <c r="B588" s="14"/>
      <c r="C588" s="14"/>
      <c r="D588" s="14"/>
      <c r="E588" s="14"/>
      <c r="F588" s="61"/>
      <c r="G588" s="16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2:26" ht="12.75" customHeight="1">
      <c r="B589" s="14"/>
      <c r="C589" s="14"/>
      <c r="D589" s="14"/>
      <c r="E589" s="14"/>
      <c r="F589" s="61"/>
      <c r="G589" s="16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2:26" ht="12.75" customHeight="1">
      <c r="B590" s="14"/>
      <c r="C590" s="14"/>
      <c r="D590" s="14"/>
      <c r="E590" s="14"/>
      <c r="F590" s="61"/>
      <c r="G590" s="16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2:26" ht="12.75" customHeight="1">
      <c r="B591" s="14"/>
      <c r="C591" s="14"/>
      <c r="D591" s="14"/>
      <c r="E591" s="14"/>
      <c r="F591" s="61"/>
      <c r="G591" s="16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2:26" ht="12.75" customHeight="1">
      <c r="B592" s="14"/>
      <c r="C592" s="14"/>
      <c r="D592" s="14"/>
      <c r="E592" s="14"/>
      <c r="F592" s="61"/>
      <c r="G592" s="16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2:26" ht="12.75" customHeight="1">
      <c r="B593" s="14"/>
      <c r="C593" s="14"/>
      <c r="D593" s="14"/>
      <c r="E593" s="14"/>
      <c r="F593" s="61"/>
      <c r="G593" s="16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2:26" ht="12.75" customHeight="1">
      <c r="B594" s="14"/>
      <c r="C594" s="14"/>
      <c r="D594" s="14"/>
      <c r="E594" s="14"/>
      <c r="F594" s="61"/>
      <c r="G594" s="16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2:26" ht="12.75" customHeight="1">
      <c r="B595" s="14"/>
      <c r="C595" s="14"/>
      <c r="D595" s="14"/>
      <c r="E595" s="14"/>
      <c r="F595" s="61"/>
      <c r="G595" s="16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2:26" ht="12.75" customHeight="1">
      <c r="B596" s="14"/>
      <c r="C596" s="14"/>
      <c r="D596" s="14"/>
      <c r="E596" s="14"/>
      <c r="F596" s="61"/>
      <c r="G596" s="16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2:26" ht="12.75" customHeight="1">
      <c r="B597" s="14"/>
      <c r="C597" s="14"/>
      <c r="D597" s="14"/>
      <c r="E597" s="14"/>
      <c r="F597" s="61"/>
      <c r="G597" s="16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2:26" ht="12.75" customHeight="1">
      <c r="B598" s="14"/>
      <c r="C598" s="14"/>
      <c r="D598" s="14"/>
      <c r="E598" s="14"/>
      <c r="F598" s="61"/>
      <c r="G598" s="16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2:26" ht="12.75" customHeight="1">
      <c r="B599" s="14"/>
      <c r="C599" s="14"/>
      <c r="D599" s="14"/>
      <c r="E599" s="14"/>
      <c r="F599" s="61"/>
      <c r="G599" s="16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2:26" ht="12.75" customHeight="1">
      <c r="B600" s="14"/>
      <c r="C600" s="14"/>
      <c r="D600" s="14"/>
      <c r="E600" s="14"/>
      <c r="F600" s="61"/>
      <c r="G600" s="16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2:26" ht="12.75" customHeight="1">
      <c r="B601" s="14"/>
      <c r="C601" s="14"/>
      <c r="D601" s="14"/>
      <c r="E601" s="14"/>
      <c r="F601" s="61"/>
      <c r="G601" s="16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2:26" ht="12.75" customHeight="1">
      <c r="B602" s="14"/>
      <c r="C602" s="14"/>
      <c r="D602" s="14"/>
      <c r="E602" s="14"/>
      <c r="F602" s="61"/>
      <c r="G602" s="16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2:26" ht="12.75" customHeight="1">
      <c r="B603" s="14"/>
      <c r="C603" s="14"/>
      <c r="D603" s="14"/>
      <c r="E603" s="14"/>
      <c r="F603" s="61"/>
      <c r="G603" s="16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2:26" ht="12.75" customHeight="1">
      <c r="B604" s="14"/>
      <c r="C604" s="14"/>
      <c r="D604" s="14"/>
      <c r="E604" s="14"/>
      <c r="F604" s="61"/>
      <c r="G604" s="16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2:26" ht="12.75" customHeight="1">
      <c r="B605" s="14"/>
      <c r="C605" s="14"/>
      <c r="D605" s="14"/>
      <c r="E605" s="14"/>
      <c r="F605" s="61"/>
      <c r="G605" s="16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2:26" ht="12.75" customHeight="1">
      <c r="B606" s="14"/>
      <c r="C606" s="14"/>
      <c r="D606" s="14"/>
      <c r="E606" s="14"/>
      <c r="F606" s="61"/>
      <c r="G606" s="16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2:26" ht="12.75" customHeight="1">
      <c r="B607" s="14"/>
      <c r="C607" s="14"/>
      <c r="D607" s="14"/>
      <c r="E607" s="14"/>
      <c r="F607" s="61"/>
      <c r="G607" s="16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2:26" ht="12.75" customHeight="1">
      <c r="B608" s="14"/>
      <c r="C608" s="14"/>
      <c r="D608" s="14"/>
      <c r="E608" s="14"/>
      <c r="F608" s="61"/>
      <c r="G608" s="16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2:26" ht="12.75" customHeight="1">
      <c r="B609" s="14"/>
      <c r="C609" s="14"/>
      <c r="D609" s="14"/>
      <c r="E609" s="14"/>
      <c r="F609" s="61"/>
      <c r="G609" s="16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2:26" ht="12.75" customHeight="1">
      <c r="B610" s="14"/>
      <c r="C610" s="14"/>
      <c r="D610" s="14"/>
      <c r="E610" s="14"/>
      <c r="F610" s="61"/>
      <c r="G610" s="16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2:26" ht="12.75" customHeight="1">
      <c r="B611" s="14"/>
      <c r="C611" s="14"/>
      <c r="D611" s="14"/>
      <c r="E611" s="14"/>
      <c r="F611" s="61"/>
      <c r="G611" s="16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2:26" ht="12.75" customHeight="1">
      <c r="B612" s="14"/>
      <c r="C612" s="14"/>
      <c r="D612" s="14"/>
      <c r="E612" s="14"/>
      <c r="F612" s="61"/>
      <c r="G612" s="16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2:26" ht="12.75" customHeight="1">
      <c r="B613" s="14"/>
      <c r="C613" s="14"/>
      <c r="D613" s="14"/>
      <c r="E613" s="14"/>
      <c r="F613" s="61"/>
      <c r="G613" s="16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2:26" ht="12.75" customHeight="1">
      <c r="B614" s="14"/>
      <c r="C614" s="14"/>
      <c r="D614" s="14"/>
      <c r="E614" s="14"/>
      <c r="F614" s="61"/>
      <c r="G614" s="16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2:26" ht="12.75" customHeight="1">
      <c r="B615" s="14"/>
      <c r="C615" s="14"/>
      <c r="D615" s="14"/>
      <c r="E615" s="14"/>
      <c r="F615" s="61"/>
      <c r="G615" s="16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2:26" ht="12.75" customHeight="1">
      <c r="B616" s="14"/>
      <c r="C616" s="14"/>
      <c r="D616" s="14"/>
      <c r="E616" s="14"/>
      <c r="F616" s="61"/>
      <c r="G616" s="16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2:26" ht="12.75" customHeight="1">
      <c r="B617" s="14"/>
      <c r="C617" s="14"/>
      <c r="D617" s="14"/>
      <c r="E617" s="14"/>
      <c r="F617" s="61"/>
      <c r="G617" s="16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2:26" ht="12.75" customHeight="1">
      <c r="B618" s="14"/>
      <c r="C618" s="14"/>
      <c r="D618" s="14"/>
      <c r="E618" s="14"/>
      <c r="F618" s="61"/>
      <c r="G618" s="16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2:26" ht="12.75" customHeight="1">
      <c r="B619" s="14"/>
      <c r="C619" s="14"/>
      <c r="D619" s="14"/>
      <c r="E619" s="14"/>
      <c r="F619" s="61"/>
      <c r="G619" s="16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2:26" ht="12.75" customHeight="1">
      <c r="B620" s="14"/>
      <c r="C620" s="14"/>
      <c r="D620" s="14"/>
      <c r="E620" s="14"/>
      <c r="F620" s="61"/>
      <c r="G620" s="16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2:26" ht="12.75" customHeight="1">
      <c r="B621" s="14"/>
      <c r="C621" s="14"/>
      <c r="D621" s="14"/>
      <c r="E621" s="14"/>
      <c r="F621" s="61"/>
      <c r="G621" s="16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2:26" ht="12.75" customHeight="1">
      <c r="B622" s="14"/>
      <c r="C622" s="14"/>
      <c r="D622" s="14"/>
      <c r="E622" s="14"/>
      <c r="F622" s="61"/>
      <c r="G622" s="16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2:26" ht="12.75" customHeight="1">
      <c r="B623" s="14"/>
      <c r="C623" s="14"/>
      <c r="D623" s="14"/>
      <c r="E623" s="14"/>
      <c r="F623" s="61"/>
      <c r="G623" s="16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2:26" ht="12.75" customHeight="1">
      <c r="B624" s="14"/>
      <c r="C624" s="14"/>
      <c r="D624" s="14"/>
      <c r="E624" s="14"/>
      <c r="F624" s="61"/>
      <c r="G624" s="16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2:26" ht="12.75" customHeight="1">
      <c r="B625" s="14"/>
      <c r="C625" s="14"/>
      <c r="D625" s="14"/>
      <c r="E625" s="14"/>
      <c r="F625" s="61"/>
      <c r="G625" s="16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2:26" ht="12.75" customHeight="1">
      <c r="B626" s="14"/>
      <c r="C626" s="14"/>
      <c r="D626" s="14"/>
      <c r="E626" s="14"/>
      <c r="F626" s="61"/>
      <c r="G626" s="16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2:26" ht="12.75" customHeight="1">
      <c r="B627" s="14"/>
      <c r="C627" s="14"/>
      <c r="D627" s="14"/>
      <c r="E627" s="14"/>
      <c r="F627" s="61"/>
      <c r="G627" s="16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2:26" ht="12.75" customHeight="1">
      <c r="B628" s="14"/>
      <c r="C628" s="14"/>
      <c r="D628" s="14"/>
      <c r="E628" s="14"/>
      <c r="F628" s="61"/>
      <c r="G628" s="16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2:26" ht="12.75" customHeight="1">
      <c r="B629" s="14"/>
      <c r="C629" s="14"/>
      <c r="D629" s="14"/>
      <c r="E629" s="14"/>
      <c r="F629" s="61"/>
      <c r="G629" s="16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2:26" ht="12.75" customHeight="1">
      <c r="B630" s="14"/>
      <c r="C630" s="14"/>
      <c r="D630" s="14"/>
      <c r="E630" s="14"/>
      <c r="F630" s="61"/>
      <c r="G630" s="16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2:26" ht="12.75" customHeight="1">
      <c r="B631" s="14"/>
      <c r="C631" s="14"/>
      <c r="D631" s="14"/>
      <c r="E631" s="14"/>
      <c r="F631" s="61"/>
      <c r="G631" s="16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2:26" ht="12.75" customHeight="1">
      <c r="B632" s="14"/>
      <c r="C632" s="14"/>
      <c r="D632" s="14"/>
      <c r="E632" s="14"/>
      <c r="F632" s="61"/>
      <c r="G632" s="16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2:26" ht="12.75" customHeight="1">
      <c r="B633" s="14"/>
      <c r="C633" s="14"/>
      <c r="D633" s="14"/>
      <c r="E633" s="14"/>
      <c r="F633" s="61"/>
      <c r="G633" s="16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2:26" ht="12.75" customHeight="1">
      <c r="B634" s="14"/>
      <c r="C634" s="14"/>
      <c r="D634" s="14"/>
      <c r="E634" s="14"/>
      <c r="F634" s="61"/>
      <c r="G634" s="16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2:26" ht="12.75" customHeight="1">
      <c r="B635" s="14"/>
      <c r="C635" s="14"/>
      <c r="D635" s="14"/>
      <c r="E635" s="14"/>
      <c r="F635" s="61"/>
      <c r="G635" s="16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2:26" ht="12.75" customHeight="1">
      <c r="B636" s="14"/>
      <c r="C636" s="14"/>
      <c r="D636" s="14"/>
      <c r="E636" s="14"/>
      <c r="F636" s="61"/>
      <c r="G636" s="16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2:26" ht="12.75" customHeight="1">
      <c r="B637" s="14"/>
      <c r="C637" s="14"/>
      <c r="D637" s="14"/>
      <c r="E637" s="14"/>
      <c r="F637" s="61"/>
      <c r="G637" s="16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2:26" ht="12.75" customHeight="1">
      <c r="B638" s="14"/>
      <c r="C638" s="14"/>
      <c r="D638" s="14"/>
      <c r="E638" s="14"/>
      <c r="F638" s="61"/>
      <c r="G638" s="16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2:26" ht="12.75" customHeight="1">
      <c r="B639" s="14"/>
      <c r="C639" s="14"/>
      <c r="D639" s="14"/>
      <c r="E639" s="14"/>
      <c r="F639" s="61"/>
      <c r="G639" s="16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2:26" ht="12.75" customHeight="1">
      <c r="B640" s="14"/>
      <c r="C640" s="14"/>
      <c r="D640" s="14"/>
      <c r="E640" s="14"/>
      <c r="F640" s="61"/>
      <c r="G640" s="16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2:26" ht="12.75" customHeight="1">
      <c r="B641" s="14"/>
      <c r="C641" s="14"/>
      <c r="D641" s="14"/>
      <c r="E641" s="14"/>
      <c r="F641" s="61"/>
      <c r="G641" s="16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2:26" ht="12.75" customHeight="1">
      <c r="B642" s="14"/>
      <c r="C642" s="14"/>
      <c r="D642" s="14"/>
      <c r="E642" s="14"/>
      <c r="F642" s="61"/>
      <c r="G642" s="16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2:26" ht="12.75" customHeight="1">
      <c r="B643" s="14"/>
      <c r="C643" s="14"/>
      <c r="D643" s="14"/>
      <c r="E643" s="14"/>
      <c r="F643" s="61"/>
      <c r="G643" s="16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2:26" ht="12.75" customHeight="1">
      <c r="B644" s="14"/>
      <c r="C644" s="14"/>
      <c r="D644" s="14"/>
      <c r="E644" s="14"/>
      <c r="F644" s="61"/>
      <c r="G644" s="16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2:26" ht="12.75" customHeight="1">
      <c r="B645" s="14"/>
      <c r="C645" s="14"/>
      <c r="D645" s="14"/>
      <c r="E645" s="14"/>
      <c r="F645" s="61"/>
      <c r="G645" s="16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2:26" ht="12.75" customHeight="1">
      <c r="B646" s="14"/>
      <c r="C646" s="14"/>
      <c r="D646" s="14"/>
      <c r="E646" s="14"/>
      <c r="F646" s="61"/>
      <c r="G646" s="16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2:26" ht="12.75" customHeight="1">
      <c r="B647" s="14"/>
      <c r="C647" s="14"/>
      <c r="D647" s="14"/>
      <c r="E647" s="14"/>
      <c r="F647" s="61"/>
      <c r="G647" s="16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2:26" ht="12.75" customHeight="1">
      <c r="B648" s="14"/>
      <c r="C648" s="14"/>
      <c r="D648" s="14"/>
      <c r="E648" s="14"/>
      <c r="F648" s="61"/>
      <c r="G648" s="16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2:26" ht="12.75" customHeight="1">
      <c r="B649" s="14"/>
      <c r="C649" s="14"/>
      <c r="D649" s="14"/>
      <c r="E649" s="14"/>
      <c r="F649" s="61"/>
      <c r="G649" s="16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2:26" ht="12.75" customHeight="1">
      <c r="B650" s="14"/>
      <c r="C650" s="14"/>
      <c r="D650" s="14"/>
      <c r="E650" s="14"/>
      <c r="F650" s="61"/>
      <c r="G650" s="16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2:26" ht="12.75" customHeight="1">
      <c r="B651" s="14"/>
      <c r="C651" s="14"/>
      <c r="D651" s="14"/>
      <c r="E651" s="14"/>
      <c r="F651" s="61"/>
      <c r="G651" s="16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2:26" ht="12.75" customHeight="1">
      <c r="B652" s="14"/>
      <c r="C652" s="14"/>
      <c r="D652" s="14"/>
      <c r="E652" s="14"/>
      <c r="F652" s="61"/>
      <c r="G652" s="16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2:26" ht="12.75" customHeight="1">
      <c r="B653" s="14"/>
      <c r="C653" s="14"/>
      <c r="D653" s="14"/>
      <c r="E653" s="14"/>
      <c r="F653" s="61"/>
      <c r="G653" s="16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2:26" ht="12.75" customHeight="1">
      <c r="B654" s="14"/>
      <c r="C654" s="14"/>
      <c r="D654" s="14"/>
      <c r="E654" s="14"/>
      <c r="F654" s="61"/>
      <c r="G654" s="16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2:26" ht="12.75" customHeight="1">
      <c r="B655" s="14"/>
      <c r="C655" s="14"/>
      <c r="D655" s="14"/>
      <c r="E655" s="14"/>
      <c r="F655" s="61"/>
      <c r="G655" s="16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2:26" ht="12.75" customHeight="1">
      <c r="B656" s="14"/>
      <c r="C656" s="14"/>
      <c r="D656" s="14"/>
      <c r="E656" s="14"/>
      <c r="F656" s="61"/>
      <c r="G656" s="16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2:26" ht="12.75" customHeight="1">
      <c r="B657" s="14"/>
      <c r="C657" s="14"/>
      <c r="D657" s="14"/>
      <c r="E657" s="14"/>
      <c r="F657" s="61"/>
      <c r="G657" s="16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2:26" ht="12.75" customHeight="1">
      <c r="B658" s="14"/>
      <c r="C658" s="14"/>
      <c r="D658" s="14"/>
      <c r="E658" s="14"/>
      <c r="F658" s="61"/>
      <c r="G658" s="16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2:26" ht="12.75" customHeight="1">
      <c r="B659" s="14"/>
      <c r="C659" s="14"/>
      <c r="D659" s="14"/>
      <c r="E659" s="14"/>
      <c r="F659" s="61"/>
      <c r="G659" s="16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2:26" ht="12.75" customHeight="1">
      <c r="B660" s="14"/>
      <c r="C660" s="14"/>
      <c r="D660" s="14"/>
      <c r="E660" s="14"/>
      <c r="F660" s="61"/>
      <c r="G660" s="16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2:26" ht="12.75" customHeight="1">
      <c r="B661" s="14"/>
      <c r="C661" s="14"/>
      <c r="D661" s="14"/>
      <c r="E661" s="14"/>
      <c r="F661" s="61"/>
      <c r="G661" s="16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2:26" ht="12.75" customHeight="1">
      <c r="B662" s="14"/>
      <c r="C662" s="14"/>
      <c r="D662" s="14"/>
      <c r="E662" s="14"/>
      <c r="F662" s="61"/>
      <c r="G662" s="16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2:26" ht="12.75" customHeight="1">
      <c r="B663" s="14"/>
      <c r="C663" s="14"/>
      <c r="D663" s="14"/>
      <c r="E663" s="14"/>
      <c r="F663" s="61"/>
      <c r="G663" s="16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2:26" ht="12.75" customHeight="1">
      <c r="B664" s="14"/>
      <c r="C664" s="14"/>
      <c r="D664" s="14"/>
      <c r="E664" s="14"/>
      <c r="F664" s="61"/>
      <c r="G664" s="16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2:26" ht="12.75" customHeight="1">
      <c r="B665" s="14"/>
      <c r="C665" s="14"/>
      <c r="D665" s="14"/>
      <c r="E665" s="14"/>
      <c r="F665" s="61"/>
      <c r="G665" s="16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2:26" ht="12.75" customHeight="1">
      <c r="B666" s="14"/>
      <c r="C666" s="14"/>
      <c r="D666" s="14"/>
      <c r="E666" s="14"/>
      <c r="F666" s="61"/>
      <c r="G666" s="16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2:26" ht="12.75" customHeight="1">
      <c r="B667" s="14"/>
      <c r="C667" s="14"/>
      <c r="D667" s="14"/>
      <c r="E667" s="14"/>
      <c r="F667" s="61"/>
      <c r="G667" s="16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2:26" ht="12.75" customHeight="1">
      <c r="B668" s="14"/>
      <c r="C668" s="14"/>
      <c r="D668" s="14"/>
      <c r="E668" s="14"/>
      <c r="F668" s="61"/>
      <c r="G668" s="16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2:26" ht="12.75" customHeight="1">
      <c r="B669" s="14"/>
      <c r="C669" s="14"/>
      <c r="D669" s="14"/>
      <c r="E669" s="14"/>
      <c r="F669" s="61"/>
      <c r="G669" s="16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2:26" ht="12.75" customHeight="1">
      <c r="B670" s="14"/>
      <c r="C670" s="14"/>
      <c r="D670" s="14"/>
      <c r="E670" s="14"/>
      <c r="F670" s="61"/>
      <c r="G670" s="16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2:26" ht="12.75" customHeight="1">
      <c r="B671" s="14"/>
      <c r="C671" s="14"/>
      <c r="D671" s="14"/>
      <c r="E671" s="14"/>
      <c r="F671" s="61"/>
      <c r="G671" s="16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2:26" ht="12.75" customHeight="1">
      <c r="B672" s="14"/>
      <c r="C672" s="14"/>
      <c r="D672" s="14"/>
      <c r="E672" s="14"/>
      <c r="F672" s="61"/>
      <c r="G672" s="16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2:26" ht="12.75" customHeight="1">
      <c r="B673" s="14"/>
      <c r="C673" s="14"/>
      <c r="D673" s="14"/>
      <c r="E673" s="14"/>
      <c r="F673" s="61"/>
      <c r="G673" s="16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2:26" ht="12.75" customHeight="1">
      <c r="B674" s="14"/>
      <c r="C674" s="14"/>
      <c r="D674" s="14"/>
      <c r="E674" s="14"/>
      <c r="F674" s="61"/>
      <c r="G674" s="16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2:26" ht="12.75" customHeight="1">
      <c r="B675" s="14"/>
      <c r="C675" s="14"/>
      <c r="D675" s="14"/>
      <c r="E675" s="14"/>
      <c r="F675" s="61"/>
      <c r="G675" s="16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2:26" ht="12.75" customHeight="1">
      <c r="B676" s="14"/>
      <c r="C676" s="14"/>
      <c r="D676" s="14"/>
      <c r="E676" s="14"/>
      <c r="F676" s="61"/>
      <c r="G676" s="16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2:26" ht="12.75" customHeight="1">
      <c r="B677" s="14"/>
      <c r="C677" s="14"/>
      <c r="D677" s="14"/>
      <c r="E677" s="14"/>
      <c r="F677" s="61"/>
      <c r="G677" s="16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2:26" ht="12.75" customHeight="1">
      <c r="B678" s="14"/>
      <c r="C678" s="14"/>
      <c r="D678" s="14"/>
      <c r="E678" s="14"/>
      <c r="F678" s="61"/>
      <c r="G678" s="16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2:26" ht="12.75" customHeight="1">
      <c r="B679" s="14"/>
      <c r="C679" s="14"/>
      <c r="D679" s="14"/>
      <c r="E679" s="14"/>
      <c r="F679" s="61"/>
      <c r="G679" s="16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2:26" ht="12.75" customHeight="1">
      <c r="B680" s="14"/>
      <c r="C680" s="14"/>
      <c r="D680" s="14"/>
      <c r="E680" s="14"/>
      <c r="F680" s="61"/>
      <c r="G680" s="16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2:26" ht="12.75" customHeight="1">
      <c r="B681" s="14"/>
      <c r="C681" s="14"/>
      <c r="D681" s="14"/>
      <c r="E681" s="14"/>
      <c r="F681" s="61"/>
      <c r="G681" s="16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2:26" ht="12.75" customHeight="1">
      <c r="B682" s="14"/>
      <c r="C682" s="14"/>
      <c r="D682" s="14"/>
      <c r="E682" s="14"/>
      <c r="F682" s="61"/>
      <c r="G682" s="16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2:26" ht="12.75" customHeight="1">
      <c r="B683" s="14"/>
      <c r="C683" s="14"/>
      <c r="D683" s="14"/>
      <c r="E683" s="14"/>
      <c r="F683" s="61"/>
      <c r="G683" s="16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2:26" ht="12.75" customHeight="1">
      <c r="B684" s="14"/>
      <c r="C684" s="14"/>
      <c r="D684" s="14"/>
      <c r="E684" s="14"/>
      <c r="F684" s="61"/>
      <c r="G684" s="16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2:26" ht="12.75" customHeight="1">
      <c r="B685" s="14"/>
      <c r="C685" s="14"/>
      <c r="D685" s="14"/>
      <c r="E685" s="14"/>
      <c r="F685" s="61"/>
      <c r="G685" s="16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2:26" ht="12.75" customHeight="1">
      <c r="B686" s="14"/>
      <c r="C686" s="14"/>
      <c r="D686" s="14"/>
      <c r="E686" s="14"/>
      <c r="F686" s="61"/>
      <c r="G686" s="16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2:26" ht="12.75" customHeight="1">
      <c r="B687" s="14"/>
      <c r="C687" s="14"/>
      <c r="D687" s="14"/>
      <c r="E687" s="14"/>
      <c r="F687" s="61"/>
      <c r="G687" s="16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2:26" ht="12.75" customHeight="1">
      <c r="B688" s="14"/>
      <c r="C688" s="14"/>
      <c r="D688" s="14"/>
      <c r="E688" s="14"/>
      <c r="F688" s="61"/>
      <c r="G688" s="16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2:26" ht="12.75" customHeight="1">
      <c r="B689" s="14"/>
      <c r="C689" s="14"/>
      <c r="D689" s="14"/>
      <c r="E689" s="14"/>
      <c r="F689" s="61"/>
      <c r="G689" s="16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2:26" ht="12.75" customHeight="1">
      <c r="B690" s="14"/>
      <c r="C690" s="14"/>
      <c r="D690" s="14"/>
      <c r="E690" s="14"/>
      <c r="F690" s="61"/>
      <c r="G690" s="16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2:26" ht="12.75" customHeight="1">
      <c r="B691" s="14"/>
      <c r="C691" s="14"/>
      <c r="D691" s="14"/>
      <c r="E691" s="14"/>
      <c r="F691" s="61"/>
      <c r="G691" s="16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2:26" ht="12.75" customHeight="1">
      <c r="B692" s="14"/>
      <c r="C692" s="14"/>
      <c r="D692" s="14"/>
      <c r="E692" s="14"/>
      <c r="F692" s="61"/>
      <c r="G692" s="16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2:26" ht="12.75" customHeight="1">
      <c r="B693" s="14"/>
      <c r="C693" s="14"/>
      <c r="D693" s="14"/>
      <c r="E693" s="14"/>
      <c r="F693" s="61"/>
      <c r="G693" s="16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2:26" ht="12.75" customHeight="1">
      <c r="B694" s="14"/>
      <c r="C694" s="14"/>
      <c r="D694" s="14"/>
      <c r="E694" s="14"/>
      <c r="F694" s="61"/>
      <c r="G694" s="16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2:26" ht="12.75" customHeight="1">
      <c r="B695" s="14"/>
      <c r="C695" s="14"/>
      <c r="D695" s="14"/>
      <c r="E695" s="14"/>
      <c r="F695" s="61"/>
      <c r="G695" s="16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2:26" ht="12.75" customHeight="1">
      <c r="B696" s="14"/>
      <c r="C696" s="14"/>
      <c r="D696" s="14"/>
      <c r="E696" s="14"/>
      <c r="F696" s="61"/>
      <c r="G696" s="16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2:26" ht="12.75" customHeight="1">
      <c r="B697" s="14"/>
      <c r="C697" s="14"/>
      <c r="D697" s="14"/>
      <c r="E697" s="14"/>
      <c r="F697" s="61"/>
      <c r="G697" s="16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2:26" ht="12.75" customHeight="1">
      <c r="B698" s="14"/>
      <c r="C698" s="14"/>
      <c r="D698" s="14"/>
      <c r="E698" s="14"/>
      <c r="F698" s="61"/>
      <c r="G698" s="16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2:26" ht="12.75" customHeight="1">
      <c r="B699" s="14"/>
      <c r="C699" s="14"/>
      <c r="D699" s="14"/>
      <c r="E699" s="14"/>
      <c r="F699" s="61"/>
      <c r="G699" s="16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2:26" ht="12.75" customHeight="1">
      <c r="B700" s="14"/>
      <c r="C700" s="14"/>
      <c r="D700" s="14"/>
      <c r="E700" s="14"/>
      <c r="F700" s="61"/>
      <c r="G700" s="16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2:26" ht="12.75" customHeight="1">
      <c r="B701" s="14"/>
      <c r="C701" s="14"/>
      <c r="D701" s="14"/>
      <c r="E701" s="14"/>
      <c r="F701" s="61"/>
      <c r="G701" s="16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2:26" ht="12.75" customHeight="1">
      <c r="B702" s="14"/>
      <c r="C702" s="14"/>
      <c r="D702" s="14"/>
      <c r="E702" s="14"/>
      <c r="F702" s="61"/>
      <c r="G702" s="16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2:26" ht="12.75" customHeight="1">
      <c r="B703" s="14"/>
      <c r="C703" s="14"/>
      <c r="D703" s="14"/>
      <c r="E703" s="14"/>
      <c r="F703" s="61"/>
      <c r="G703" s="16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2:26" ht="12.75" customHeight="1">
      <c r="B704" s="14"/>
      <c r="C704" s="14"/>
      <c r="D704" s="14"/>
      <c r="E704" s="14"/>
      <c r="F704" s="61"/>
      <c r="G704" s="16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2:26" ht="12.75" customHeight="1">
      <c r="B705" s="14"/>
      <c r="C705" s="14"/>
      <c r="D705" s="14"/>
      <c r="E705" s="14"/>
      <c r="F705" s="61"/>
      <c r="G705" s="16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2:26" ht="12.75" customHeight="1">
      <c r="B706" s="14"/>
      <c r="C706" s="14"/>
      <c r="D706" s="14"/>
      <c r="E706" s="14"/>
      <c r="F706" s="61"/>
      <c r="G706" s="16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2:26" ht="12.75" customHeight="1">
      <c r="B707" s="14"/>
      <c r="C707" s="14"/>
      <c r="D707" s="14"/>
      <c r="E707" s="14"/>
      <c r="F707" s="61"/>
      <c r="G707" s="16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2:26" ht="12.75" customHeight="1">
      <c r="B708" s="14"/>
      <c r="C708" s="14"/>
      <c r="D708" s="14"/>
      <c r="E708" s="14"/>
      <c r="F708" s="61"/>
      <c r="G708" s="16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2:26" ht="12.75" customHeight="1">
      <c r="B709" s="14"/>
      <c r="C709" s="14"/>
      <c r="D709" s="14"/>
      <c r="E709" s="14"/>
      <c r="F709" s="61"/>
      <c r="G709" s="16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2:26" ht="12.75" customHeight="1">
      <c r="B710" s="14"/>
      <c r="C710" s="14"/>
      <c r="D710" s="14"/>
      <c r="E710" s="14"/>
      <c r="F710" s="61"/>
      <c r="G710" s="16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2:26" ht="12.75" customHeight="1">
      <c r="B711" s="14"/>
      <c r="C711" s="14"/>
      <c r="D711" s="14"/>
      <c r="E711" s="14"/>
      <c r="F711" s="61"/>
      <c r="G711" s="16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2:26" ht="12.75" customHeight="1">
      <c r="B712" s="14"/>
      <c r="C712" s="14"/>
      <c r="D712" s="14"/>
      <c r="E712" s="14"/>
      <c r="F712" s="61"/>
      <c r="G712" s="16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2:26" ht="12.75" customHeight="1">
      <c r="B713" s="14"/>
      <c r="C713" s="14"/>
      <c r="D713" s="14"/>
      <c r="E713" s="14"/>
      <c r="F713" s="61"/>
      <c r="G713" s="16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2:26" ht="12.75" customHeight="1">
      <c r="B714" s="14"/>
      <c r="C714" s="14"/>
      <c r="D714" s="14"/>
      <c r="E714" s="14"/>
      <c r="F714" s="61"/>
      <c r="G714" s="16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2:26" ht="12.75" customHeight="1">
      <c r="B715" s="14"/>
      <c r="C715" s="14"/>
      <c r="D715" s="14"/>
      <c r="E715" s="14"/>
      <c r="F715" s="61"/>
      <c r="G715" s="16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2:26" ht="12.75" customHeight="1">
      <c r="B716" s="14"/>
      <c r="C716" s="14"/>
      <c r="D716" s="14"/>
      <c r="E716" s="14"/>
      <c r="F716" s="61"/>
      <c r="G716" s="16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2:26" ht="12.75" customHeight="1">
      <c r="B717" s="14"/>
      <c r="C717" s="14"/>
      <c r="D717" s="14"/>
      <c r="E717" s="14"/>
      <c r="F717" s="61"/>
      <c r="G717" s="16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2:26" ht="12.75" customHeight="1">
      <c r="B718" s="14"/>
      <c r="C718" s="14"/>
      <c r="D718" s="14"/>
      <c r="E718" s="14"/>
      <c r="F718" s="61"/>
      <c r="G718" s="16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2:26" ht="12.75" customHeight="1">
      <c r="B719" s="14"/>
      <c r="C719" s="14"/>
      <c r="D719" s="14"/>
      <c r="E719" s="14"/>
      <c r="F719" s="61"/>
      <c r="G719" s="16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2:26" ht="12.75" customHeight="1">
      <c r="B720" s="14"/>
      <c r="C720" s="14"/>
      <c r="D720" s="14"/>
      <c r="E720" s="14"/>
      <c r="F720" s="61"/>
      <c r="G720" s="16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2:26" ht="12.75" customHeight="1">
      <c r="B721" s="14"/>
      <c r="C721" s="14"/>
      <c r="D721" s="14"/>
      <c r="E721" s="14"/>
      <c r="F721" s="61"/>
      <c r="G721" s="16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2:26" ht="12.75" customHeight="1">
      <c r="B722" s="14"/>
      <c r="C722" s="14"/>
      <c r="D722" s="14"/>
      <c r="E722" s="14"/>
      <c r="F722" s="61"/>
      <c r="G722" s="16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2:26" ht="12.75" customHeight="1">
      <c r="B723" s="14"/>
      <c r="C723" s="14"/>
      <c r="D723" s="14"/>
      <c r="E723" s="14"/>
      <c r="F723" s="61"/>
      <c r="G723" s="16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2:26" ht="12.75" customHeight="1">
      <c r="B724" s="14"/>
      <c r="C724" s="14"/>
      <c r="D724" s="14"/>
      <c r="E724" s="14"/>
      <c r="F724" s="61"/>
      <c r="G724" s="16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2:26" ht="12.75" customHeight="1">
      <c r="B725" s="14"/>
      <c r="C725" s="14"/>
      <c r="D725" s="14"/>
      <c r="E725" s="14"/>
      <c r="F725" s="61"/>
      <c r="G725" s="16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2:26" ht="12.75" customHeight="1">
      <c r="B726" s="14"/>
      <c r="C726" s="14"/>
      <c r="D726" s="14"/>
      <c r="E726" s="14"/>
      <c r="F726" s="61"/>
      <c r="G726" s="16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2:26" ht="12.75" customHeight="1">
      <c r="B727" s="14"/>
      <c r="C727" s="14"/>
      <c r="D727" s="14"/>
      <c r="E727" s="14"/>
      <c r="F727" s="61"/>
      <c r="G727" s="16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2:26" ht="12.75" customHeight="1">
      <c r="B728" s="14"/>
      <c r="C728" s="14"/>
      <c r="D728" s="14"/>
      <c r="E728" s="14"/>
      <c r="F728" s="61"/>
      <c r="G728" s="16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2:26" ht="12.75" customHeight="1">
      <c r="B729" s="14"/>
      <c r="C729" s="14"/>
      <c r="D729" s="14"/>
      <c r="E729" s="14"/>
      <c r="F729" s="61"/>
      <c r="G729" s="16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2:26" ht="12.75" customHeight="1">
      <c r="B730" s="14"/>
      <c r="C730" s="14"/>
      <c r="D730" s="14"/>
      <c r="E730" s="14"/>
      <c r="F730" s="61"/>
      <c r="G730" s="16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2:26" ht="12.75" customHeight="1">
      <c r="B731" s="14"/>
      <c r="C731" s="14"/>
      <c r="D731" s="14"/>
      <c r="E731" s="14"/>
      <c r="F731" s="61"/>
      <c r="G731" s="16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2:26" ht="12.75" customHeight="1">
      <c r="B732" s="14"/>
      <c r="C732" s="14"/>
      <c r="D732" s="14"/>
      <c r="E732" s="14"/>
      <c r="F732" s="61"/>
      <c r="G732" s="16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2:26" ht="12.75" customHeight="1">
      <c r="B733" s="14"/>
      <c r="C733" s="14"/>
      <c r="D733" s="14"/>
      <c r="E733" s="14"/>
      <c r="F733" s="61"/>
      <c r="G733" s="16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2:26" ht="12.75" customHeight="1">
      <c r="B734" s="14"/>
      <c r="C734" s="14"/>
      <c r="D734" s="14"/>
      <c r="E734" s="14"/>
      <c r="F734" s="61"/>
      <c r="G734" s="16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2:26" ht="12.75" customHeight="1">
      <c r="B735" s="14"/>
      <c r="C735" s="14"/>
      <c r="D735" s="14"/>
      <c r="E735" s="14"/>
      <c r="F735" s="61"/>
      <c r="G735" s="16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2:26" ht="12.75" customHeight="1">
      <c r="B736" s="14"/>
      <c r="C736" s="14"/>
      <c r="D736" s="14"/>
      <c r="E736" s="14"/>
      <c r="F736" s="61"/>
      <c r="G736" s="16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2:26" ht="12.75" customHeight="1">
      <c r="B737" s="14"/>
      <c r="C737" s="14"/>
      <c r="D737" s="14"/>
      <c r="E737" s="14"/>
      <c r="F737" s="61"/>
      <c r="G737" s="16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2:26" ht="12.75" customHeight="1">
      <c r="B738" s="14"/>
      <c r="C738" s="14"/>
      <c r="D738" s="14"/>
      <c r="E738" s="14"/>
      <c r="F738" s="61"/>
      <c r="G738" s="16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2:26" ht="12.75" customHeight="1">
      <c r="B739" s="14"/>
      <c r="C739" s="14"/>
      <c r="D739" s="14"/>
      <c r="E739" s="14"/>
      <c r="F739" s="61"/>
      <c r="G739" s="16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2:26" ht="12.75" customHeight="1">
      <c r="B740" s="14"/>
      <c r="C740" s="14"/>
      <c r="D740" s="14"/>
      <c r="E740" s="14"/>
      <c r="F740" s="61"/>
      <c r="G740" s="16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2:26" ht="12.75" customHeight="1">
      <c r="B741" s="14"/>
      <c r="C741" s="14"/>
      <c r="D741" s="14"/>
      <c r="E741" s="14"/>
      <c r="F741" s="61"/>
      <c r="G741" s="16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2:26" ht="12.75" customHeight="1">
      <c r="B742" s="14"/>
      <c r="C742" s="14"/>
      <c r="D742" s="14"/>
      <c r="E742" s="14"/>
      <c r="F742" s="61"/>
      <c r="G742" s="16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2:26" ht="12.75" customHeight="1">
      <c r="B743" s="14"/>
      <c r="C743" s="14"/>
      <c r="D743" s="14"/>
      <c r="E743" s="14"/>
      <c r="F743" s="61"/>
      <c r="G743" s="16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2:26" ht="12.75" customHeight="1">
      <c r="B744" s="14"/>
      <c r="C744" s="14"/>
      <c r="D744" s="14"/>
      <c r="E744" s="14"/>
      <c r="F744" s="61"/>
      <c r="G744" s="16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2:26" ht="12.75" customHeight="1">
      <c r="B745" s="14"/>
      <c r="C745" s="14"/>
      <c r="D745" s="14"/>
      <c r="E745" s="14"/>
      <c r="F745" s="61"/>
      <c r="G745" s="16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2:26" ht="12.75" customHeight="1">
      <c r="B746" s="14"/>
      <c r="C746" s="14"/>
      <c r="D746" s="14"/>
      <c r="E746" s="14"/>
      <c r="F746" s="61"/>
      <c r="G746" s="16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2:26" ht="12.75" customHeight="1">
      <c r="B747" s="14"/>
      <c r="C747" s="14"/>
      <c r="D747" s="14"/>
      <c r="E747" s="14"/>
      <c r="F747" s="61"/>
      <c r="G747" s="16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2:26" ht="12.75" customHeight="1">
      <c r="B748" s="14"/>
      <c r="C748" s="14"/>
      <c r="D748" s="14"/>
      <c r="E748" s="14"/>
      <c r="F748" s="61"/>
      <c r="G748" s="16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2:26" ht="12.75" customHeight="1">
      <c r="B749" s="14"/>
      <c r="C749" s="14"/>
      <c r="D749" s="14"/>
      <c r="E749" s="14"/>
      <c r="F749" s="61"/>
      <c r="G749" s="16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2:26" ht="12.75" customHeight="1">
      <c r="B750" s="14"/>
      <c r="C750" s="14"/>
      <c r="D750" s="14"/>
      <c r="E750" s="14"/>
      <c r="F750" s="61"/>
      <c r="G750" s="16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2:26" ht="12.75" customHeight="1">
      <c r="B751" s="14"/>
      <c r="C751" s="14"/>
      <c r="D751" s="14"/>
      <c r="E751" s="14"/>
      <c r="F751" s="61"/>
      <c r="G751" s="16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2:26" ht="12.75" customHeight="1">
      <c r="B752" s="14"/>
      <c r="C752" s="14"/>
      <c r="D752" s="14"/>
      <c r="E752" s="14"/>
      <c r="F752" s="61"/>
      <c r="G752" s="16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2:26" ht="12.75" customHeight="1">
      <c r="B753" s="14"/>
      <c r="C753" s="14"/>
      <c r="D753" s="14"/>
      <c r="E753" s="14"/>
      <c r="F753" s="61"/>
      <c r="G753" s="16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2:26" ht="12.75" customHeight="1">
      <c r="B754" s="14"/>
      <c r="C754" s="14"/>
      <c r="D754" s="14"/>
      <c r="E754" s="14"/>
      <c r="F754" s="61"/>
      <c r="G754" s="16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2:26" ht="12.75" customHeight="1">
      <c r="B755" s="14"/>
      <c r="C755" s="14"/>
      <c r="D755" s="14"/>
      <c r="E755" s="14"/>
      <c r="F755" s="61"/>
      <c r="G755" s="16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2:26" ht="12.75" customHeight="1">
      <c r="B756" s="14"/>
      <c r="C756" s="14"/>
      <c r="D756" s="14"/>
      <c r="E756" s="14"/>
      <c r="F756" s="61"/>
      <c r="G756" s="16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2:26" ht="12.75" customHeight="1">
      <c r="B757" s="14"/>
      <c r="C757" s="14"/>
      <c r="D757" s="14"/>
      <c r="E757" s="14"/>
      <c r="F757" s="61"/>
      <c r="G757" s="16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2:26" ht="12.75" customHeight="1">
      <c r="B758" s="14"/>
      <c r="C758" s="14"/>
      <c r="D758" s="14"/>
      <c r="E758" s="14"/>
      <c r="F758" s="61"/>
      <c r="G758" s="16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2:26" ht="12.75" customHeight="1">
      <c r="B759" s="14"/>
      <c r="C759" s="14"/>
      <c r="D759" s="14"/>
      <c r="E759" s="14"/>
      <c r="F759" s="61"/>
      <c r="G759" s="16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2:26" ht="12.75" customHeight="1">
      <c r="B760" s="14"/>
      <c r="C760" s="14"/>
      <c r="D760" s="14"/>
      <c r="E760" s="14"/>
      <c r="F760" s="61"/>
      <c r="G760" s="16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2:26" ht="12.75" customHeight="1">
      <c r="B761" s="14"/>
      <c r="C761" s="14"/>
      <c r="D761" s="14"/>
      <c r="E761" s="14"/>
      <c r="F761" s="61"/>
      <c r="G761" s="16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2:26" ht="12.75" customHeight="1">
      <c r="B762" s="14"/>
      <c r="C762" s="14"/>
      <c r="D762" s="14"/>
      <c r="E762" s="14"/>
      <c r="F762" s="61"/>
      <c r="G762" s="16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2:26" ht="12.75" customHeight="1">
      <c r="B763" s="14"/>
      <c r="C763" s="14"/>
      <c r="D763" s="14"/>
      <c r="E763" s="14"/>
      <c r="F763" s="61"/>
      <c r="G763" s="16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2:26" ht="12.75" customHeight="1">
      <c r="B764" s="14"/>
      <c r="C764" s="14"/>
      <c r="D764" s="14"/>
      <c r="E764" s="14"/>
      <c r="F764" s="61"/>
      <c r="G764" s="16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2:26" ht="12.75" customHeight="1">
      <c r="B765" s="14"/>
      <c r="C765" s="14"/>
      <c r="D765" s="14"/>
      <c r="E765" s="14"/>
      <c r="F765" s="61"/>
      <c r="G765" s="16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2:26" ht="12.75" customHeight="1">
      <c r="B766" s="14"/>
      <c r="C766" s="14"/>
      <c r="D766" s="14"/>
      <c r="E766" s="14"/>
      <c r="F766" s="61"/>
      <c r="G766" s="16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2:26" ht="12.75" customHeight="1">
      <c r="B767" s="14"/>
      <c r="C767" s="14"/>
      <c r="D767" s="14"/>
      <c r="E767" s="14"/>
      <c r="F767" s="61"/>
      <c r="G767" s="16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2:26" ht="12.75" customHeight="1">
      <c r="B768" s="14"/>
      <c r="C768" s="14"/>
      <c r="D768" s="14"/>
      <c r="E768" s="14"/>
      <c r="F768" s="61"/>
      <c r="G768" s="16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2:26" ht="12.75" customHeight="1">
      <c r="B769" s="14"/>
      <c r="C769" s="14"/>
      <c r="D769" s="14"/>
      <c r="E769" s="14"/>
      <c r="F769" s="61"/>
      <c r="G769" s="16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2:26" ht="12.75" customHeight="1">
      <c r="B770" s="14"/>
      <c r="C770" s="14"/>
      <c r="D770" s="14"/>
      <c r="E770" s="14"/>
      <c r="F770" s="61"/>
      <c r="G770" s="16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2:26" ht="12.75" customHeight="1">
      <c r="B771" s="14"/>
      <c r="C771" s="14"/>
      <c r="D771" s="14"/>
      <c r="E771" s="14"/>
      <c r="F771" s="61"/>
      <c r="G771" s="16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2:26" ht="12.75" customHeight="1">
      <c r="B772" s="14"/>
      <c r="C772" s="14"/>
      <c r="D772" s="14"/>
      <c r="E772" s="14"/>
      <c r="F772" s="61"/>
      <c r="G772" s="16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2:26" ht="12.75" customHeight="1">
      <c r="B773" s="14"/>
      <c r="C773" s="14"/>
      <c r="D773" s="14"/>
      <c r="E773" s="14"/>
      <c r="F773" s="61"/>
      <c r="G773" s="16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2:26" ht="12.75" customHeight="1">
      <c r="B774" s="14"/>
      <c r="C774" s="14"/>
      <c r="D774" s="14"/>
      <c r="E774" s="14"/>
      <c r="F774" s="61"/>
      <c r="G774" s="16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2:26" ht="12.75" customHeight="1">
      <c r="B775" s="14"/>
      <c r="C775" s="14"/>
      <c r="D775" s="14"/>
      <c r="E775" s="14"/>
      <c r="F775" s="61"/>
      <c r="G775" s="16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2:26" ht="12.75" customHeight="1">
      <c r="B776" s="14"/>
      <c r="C776" s="14"/>
      <c r="D776" s="14"/>
      <c r="E776" s="14"/>
      <c r="F776" s="61"/>
      <c r="G776" s="16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2:26" ht="12.75" customHeight="1">
      <c r="B777" s="14"/>
      <c r="C777" s="14"/>
      <c r="D777" s="14"/>
      <c r="E777" s="14"/>
      <c r="F777" s="61"/>
      <c r="G777" s="16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2:26" ht="12.75" customHeight="1">
      <c r="B778" s="14"/>
      <c r="C778" s="14"/>
      <c r="D778" s="14"/>
      <c r="E778" s="14"/>
      <c r="F778" s="61"/>
      <c r="G778" s="16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2:26" ht="12.75" customHeight="1">
      <c r="B779" s="14"/>
      <c r="C779" s="14"/>
      <c r="D779" s="14"/>
      <c r="E779" s="14"/>
      <c r="F779" s="61"/>
      <c r="G779" s="16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2:26" ht="12.75" customHeight="1">
      <c r="B780" s="14"/>
      <c r="C780" s="14"/>
      <c r="D780" s="14"/>
      <c r="E780" s="14"/>
      <c r="F780" s="61"/>
      <c r="G780" s="16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2:26" ht="12.75" customHeight="1">
      <c r="B781" s="14"/>
      <c r="C781" s="14"/>
      <c r="D781" s="14"/>
      <c r="E781" s="14"/>
      <c r="F781" s="61"/>
      <c r="G781" s="16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2:26" ht="12.75" customHeight="1">
      <c r="B782" s="14"/>
      <c r="C782" s="14"/>
      <c r="D782" s="14"/>
      <c r="E782" s="14"/>
      <c r="F782" s="61"/>
      <c r="G782" s="16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2:26" ht="12.75" customHeight="1">
      <c r="B783" s="14"/>
      <c r="C783" s="14"/>
      <c r="D783" s="14"/>
      <c r="E783" s="14"/>
      <c r="F783" s="61"/>
      <c r="G783" s="16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2:26" ht="12.75" customHeight="1">
      <c r="B784" s="14"/>
      <c r="C784" s="14"/>
      <c r="D784" s="14"/>
      <c r="E784" s="14"/>
      <c r="F784" s="61"/>
      <c r="G784" s="16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2:26" ht="12.75" customHeight="1">
      <c r="B785" s="14"/>
      <c r="C785" s="14"/>
      <c r="D785" s="14"/>
      <c r="E785" s="14"/>
      <c r="F785" s="61"/>
      <c r="G785" s="16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2:26" ht="12.75" customHeight="1">
      <c r="B786" s="14"/>
      <c r="C786" s="14"/>
      <c r="D786" s="14"/>
      <c r="E786" s="14"/>
      <c r="F786" s="61"/>
      <c r="G786" s="16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2:26" ht="12.75" customHeight="1">
      <c r="B787" s="14"/>
      <c r="C787" s="14"/>
      <c r="D787" s="14"/>
      <c r="E787" s="14"/>
      <c r="F787" s="61"/>
      <c r="G787" s="16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2:26" ht="12.75" customHeight="1">
      <c r="B788" s="14"/>
      <c r="C788" s="14"/>
      <c r="D788" s="14"/>
      <c r="E788" s="14"/>
      <c r="F788" s="61"/>
      <c r="G788" s="16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2:26" ht="12.75" customHeight="1">
      <c r="B789" s="14"/>
      <c r="C789" s="14"/>
      <c r="D789" s="14"/>
      <c r="E789" s="14"/>
      <c r="F789" s="61"/>
      <c r="G789" s="16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2:26" ht="12.75" customHeight="1">
      <c r="B790" s="14"/>
      <c r="C790" s="14"/>
      <c r="D790" s="14"/>
      <c r="E790" s="14"/>
      <c r="F790" s="61"/>
      <c r="G790" s="16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2:26" ht="12.75" customHeight="1">
      <c r="B791" s="14"/>
      <c r="C791" s="14"/>
      <c r="D791" s="14"/>
      <c r="E791" s="14"/>
      <c r="F791" s="61"/>
      <c r="G791" s="16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2:26" ht="12.75" customHeight="1">
      <c r="B792" s="14"/>
      <c r="C792" s="14"/>
      <c r="D792" s="14"/>
      <c r="E792" s="14"/>
      <c r="F792" s="61"/>
      <c r="G792" s="16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2:26" ht="12.75" customHeight="1">
      <c r="B793" s="14"/>
      <c r="C793" s="14"/>
      <c r="D793" s="14"/>
      <c r="E793" s="14"/>
      <c r="F793" s="61"/>
      <c r="G793" s="16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2:26" ht="12.75" customHeight="1">
      <c r="B794" s="14"/>
      <c r="C794" s="14"/>
      <c r="D794" s="14"/>
      <c r="E794" s="14"/>
      <c r="F794" s="61"/>
      <c r="G794" s="16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2:26" ht="12.75" customHeight="1">
      <c r="B795" s="14"/>
      <c r="C795" s="14"/>
      <c r="D795" s="14"/>
      <c r="E795" s="14"/>
      <c r="F795" s="61"/>
      <c r="G795" s="16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2:26" ht="12.75" customHeight="1">
      <c r="B796" s="14"/>
      <c r="C796" s="14"/>
      <c r="D796" s="14"/>
      <c r="E796" s="14"/>
      <c r="F796" s="61"/>
      <c r="G796" s="16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2:26" ht="12.75" customHeight="1">
      <c r="B797" s="14"/>
      <c r="C797" s="14"/>
      <c r="D797" s="14"/>
      <c r="E797" s="14"/>
      <c r="F797" s="61"/>
      <c r="G797" s="16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2:26" ht="12.75" customHeight="1">
      <c r="B798" s="14"/>
      <c r="C798" s="14"/>
      <c r="D798" s="14"/>
      <c r="E798" s="14"/>
      <c r="F798" s="61"/>
      <c r="G798" s="16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2:26" ht="12.75" customHeight="1">
      <c r="B799" s="14"/>
      <c r="C799" s="14"/>
      <c r="D799" s="14"/>
      <c r="E799" s="14"/>
      <c r="F799" s="61"/>
      <c r="G799" s="16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2:26" ht="12.75" customHeight="1">
      <c r="B800" s="14"/>
      <c r="C800" s="14"/>
      <c r="D800" s="14"/>
      <c r="E800" s="14"/>
      <c r="F800" s="61"/>
      <c r="G800" s="16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2:26" ht="12.75" customHeight="1">
      <c r="B801" s="14"/>
      <c r="C801" s="14"/>
      <c r="D801" s="14"/>
      <c r="E801" s="14"/>
      <c r="F801" s="61"/>
      <c r="G801" s="16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2:26" ht="12.75" customHeight="1">
      <c r="B802" s="14"/>
      <c r="C802" s="14"/>
      <c r="D802" s="14"/>
      <c r="E802" s="14"/>
      <c r="F802" s="61"/>
      <c r="G802" s="16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2:26" ht="12.75" customHeight="1">
      <c r="B803" s="14"/>
      <c r="C803" s="14"/>
      <c r="D803" s="14"/>
      <c r="E803" s="14"/>
      <c r="F803" s="61"/>
      <c r="G803" s="16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2:26" ht="12.75" customHeight="1">
      <c r="B804" s="14"/>
      <c r="C804" s="14"/>
      <c r="D804" s="14"/>
      <c r="E804" s="14"/>
      <c r="F804" s="61"/>
      <c r="G804" s="16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2:26" ht="12.75" customHeight="1">
      <c r="B805" s="14"/>
      <c r="C805" s="14"/>
      <c r="D805" s="14"/>
      <c r="E805" s="14"/>
      <c r="F805" s="61"/>
      <c r="G805" s="16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2:26" ht="12.75" customHeight="1">
      <c r="B806" s="14"/>
      <c r="C806" s="14"/>
      <c r="D806" s="14"/>
      <c r="E806" s="14"/>
      <c r="F806" s="61"/>
      <c r="G806" s="16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2:26" ht="12.75" customHeight="1">
      <c r="B807" s="14"/>
      <c r="C807" s="14"/>
      <c r="D807" s="14"/>
      <c r="E807" s="14"/>
      <c r="F807" s="61"/>
      <c r="G807" s="16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2:26" ht="12.75" customHeight="1">
      <c r="B808" s="14"/>
      <c r="C808" s="14"/>
      <c r="D808" s="14"/>
      <c r="E808" s="14"/>
      <c r="F808" s="61"/>
      <c r="G808" s="16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2:26" ht="12.75" customHeight="1">
      <c r="B809" s="14"/>
      <c r="C809" s="14"/>
      <c r="D809" s="14"/>
      <c r="E809" s="14"/>
      <c r="F809" s="61"/>
      <c r="G809" s="16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2:26" ht="12.75" customHeight="1">
      <c r="B810" s="14"/>
      <c r="C810" s="14"/>
      <c r="D810" s="14"/>
      <c r="E810" s="14"/>
      <c r="F810" s="61"/>
      <c r="G810" s="16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2:26" ht="12.75" customHeight="1">
      <c r="B811" s="14"/>
      <c r="C811" s="14"/>
      <c r="D811" s="14"/>
      <c r="E811" s="14"/>
      <c r="F811" s="61"/>
      <c r="G811" s="16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2:26" ht="12.75" customHeight="1">
      <c r="B812" s="14"/>
      <c r="C812" s="14"/>
      <c r="D812" s="14"/>
      <c r="E812" s="14"/>
      <c r="F812" s="61"/>
      <c r="G812" s="16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2:26" ht="12.75" customHeight="1">
      <c r="B813" s="14"/>
      <c r="C813" s="14"/>
      <c r="D813" s="14"/>
      <c r="E813" s="14"/>
      <c r="F813" s="61"/>
      <c r="G813" s="16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2:26" ht="12.75" customHeight="1">
      <c r="B814" s="14"/>
      <c r="C814" s="14"/>
      <c r="D814" s="14"/>
      <c r="E814" s="14"/>
      <c r="F814" s="61"/>
      <c r="G814" s="16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2:26" ht="12.75" customHeight="1">
      <c r="B815" s="14"/>
      <c r="C815" s="14"/>
      <c r="D815" s="14"/>
      <c r="E815" s="14"/>
      <c r="F815" s="61"/>
      <c r="G815" s="16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2:26" ht="12.75" customHeight="1">
      <c r="B816" s="14"/>
      <c r="C816" s="14"/>
      <c r="D816" s="14"/>
      <c r="E816" s="14"/>
      <c r="F816" s="61"/>
      <c r="G816" s="16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2:26" ht="12.75" customHeight="1">
      <c r="B817" s="14"/>
      <c r="C817" s="14"/>
      <c r="D817" s="14"/>
      <c r="E817" s="14"/>
      <c r="F817" s="61"/>
      <c r="G817" s="16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2:26" ht="12.75" customHeight="1">
      <c r="B818" s="14"/>
      <c r="C818" s="14"/>
      <c r="D818" s="14"/>
      <c r="E818" s="14"/>
      <c r="F818" s="61"/>
      <c r="G818" s="16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2:26" ht="12.75" customHeight="1">
      <c r="B819" s="14"/>
      <c r="C819" s="14"/>
      <c r="D819" s="14"/>
      <c r="E819" s="14"/>
      <c r="F819" s="61"/>
      <c r="G819" s="16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2:26" ht="12.75" customHeight="1">
      <c r="B820" s="14"/>
      <c r="C820" s="14"/>
      <c r="D820" s="14"/>
      <c r="E820" s="14"/>
      <c r="F820" s="61"/>
      <c r="G820" s="16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2:26" ht="12.75" customHeight="1">
      <c r="B821" s="14"/>
      <c r="C821" s="14"/>
      <c r="D821" s="14"/>
      <c r="E821" s="14"/>
      <c r="F821" s="61"/>
      <c r="G821" s="16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2:26" ht="12.75" customHeight="1">
      <c r="B822" s="14"/>
      <c r="C822" s="14"/>
      <c r="D822" s="14"/>
      <c r="E822" s="14"/>
      <c r="F822" s="61"/>
      <c r="G822" s="16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2:26" ht="12.75" customHeight="1">
      <c r="B823" s="14"/>
      <c r="C823" s="14"/>
      <c r="D823" s="14"/>
      <c r="E823" s="14"/>
      <c r="F823" s="61"/>
      <c r="G823" s="16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2:26" ht="12.75" customHeight="1">
      <c r="B824" s="14"/>
      <c r="C824" s="14"/>
      <c r="D824" s="14"/>
      <c r="E824" s="14"/>
      <c r="F824" s="61"/>
      <c r="G824" s="16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2:26" ht="12.75" customHeight="1">
      <c r="B825" s="14"/>
      <c r="C825" s="14"/>
      <c r="D825" s="14"/>
      <c r="E825" s="14"/>
      <c r="F825" s="61"/>
      <c r="G825" s="16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2:26" ht="12.75" customHeight="1">
      <c r="B826" s="14"/>
      <c r="C826" s="14"/>
      <c r="D826" s="14"/>
      <c r="E826" s="14"/>
      <c r="F826" s="61"/>
      <c r="G826" s="16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2:26" ht="12.75" customHeight="1">
      <c r="B827" s="14"/>
      <c r="C827" s="14"/>
      <c r="D827" s="14"/>
      <c r="E827" s="14"/>
      <c r="F827" s="61"/>
      <c r="G827" s="16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2:26" ht="12.75" customHeight="1">
      <c r="B828" s="14"/>
      <c r="C828" s="14"/>
      <c r="D828" s="14"/>
      <c r="E828" s="14"/>
      <c r="F828" s="61"/>
      <c r="G828" s="16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2:26" ht="12.75" customHeight="1">
      <c r="B829" s="14"/>
      <c r="C829" s="14"/>
      <c r="D829" s="14"/>
      <c r="E829" s="14"/>
      <c r="F829" s="61"/>
      <c r="G829" s="16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2:26" ht="12.75" customHeight="1">
      <c r="B830" s="14"/>
      <c r="C830" s="14"/>
      <c r="D830" s="14"/>
      <c r="E830" s="14"/>
      <c r="F830" s="61"/>
      <c r="G830" s="16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2:26" ht="12.75" customHeight="1">
      <c r="B831" s="14"/>
      <c r="C831" s="14"/>
      <c r="D831" s="14"/>
      <c r="E831" s="14"/>
      <c r="F831" s="61"/>
      <c r="G831" s="16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2:26" ht="12.75" customHeight="1">
      <c r="B832" s="14"/>
      <c r="C832" s="14"/>
      <c r="D832" s="14"/>
      <c r="E832" s="14"/>
      <c r="F832" s="61"/>
      <c r="G832" s="16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2:26" ht="12.75" customHeight="1">
      <c r="B833" s="14"/>
      <c r="C833" s="14"/>
      <c r="D833" s="14"/>
      <c r="E833" s="14"/>
      <c r="F833" s="61"/>
      <c r="G833" s="16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2:26" ht="12.75" customHeight="1">
      <c r="B834" s="14"/>
      <c r="C834" s="14"/>
      <c r="D834" s="14"/>
      <c r="E834" s="14"/>
      <c r="F834" s="61"/>
      <c r="G834" s="16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2:26" ht="12.75" customHeight="1">
      <c r="B835" s="14"/>
      <c r="C835" s="14"/>
      <c r="D835" s="14"/>
      <c r="E835" s="14"/>
      <c r="F835" s="61"/>
      <c r="G835" s="16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2:26" ht="12.75" customHeight="1">
      <c r="B836" s="14"/>
      <c r="C836" s="14"/>
      <c r="D836" s="14"/>
      <c r="E836" s="14"/>
      <c r="F836" s="61"/>
      <c r="G836" s="16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2:26" ht="12.75" customHeight="1">
      <c r="B837" s="14"/>
      <c r="C837" s="14"/>
      <c r="D837" s="14"/>
      <c r="E837" s="14"/>
      <c r="F837" s="61"/>
      <c r="G837" s="16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2:26" ht="12.75" customHeight="1">
      <c r="B838" s="14"/>
      <c r="C838" s="14"/>
      <c r="D838" s="14"/>
      <c r="E838" s="14"/>
      <c r="F838" s="61"/>
      <c r="G838" s="16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2:26" ht="12.75" customHeight="1">
      <c r="B839" s="14"/>
      <c r="C839" s="14"/>
      <c r="D839" s="14"/>
      <c r="E839" s="14"/>
      <c r="F839" s="61"/>
      <c r="G839" s="16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2:26" ht="12.75" customHeight="1">
      <c r="B840" s="14"/>
      <c r="C840" s="14"/>
      <c r="D840" s="14"/>
      <c r="E840" s="14"/>
      <c r="F840" s="61"/>
      <c r="G840" s="16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2:26" ht="12.75" customHeight="1">
      <c r="B841" s="14"/>
      <c r="C841" s="14"/>
      <c r="D841" s="14"/>
      <c r="E841" s="14"/>
      <c r="F841" s="61"/>
      <c r="G841" s="16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2:26" ht="12.75" customHeight="1">
      <c r="B842" s="14"/>
      <c r="C842" s="14"/>
      <c r="D842" s="14"/>
      <c r="E842" s="14"/>
      <c r="F842" s="61"/>
      <c r="G842" s="16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2:26" ht="12.75" customHeight="1">
      <c r="B843" s="14"/>
      <c r="C843" s="14"/>
      <c r="D843" s="14"/>
      <c r="E843" s="14"/>
      <c r="F843" s="61"/>
      <c r="G843" s="16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2:26" ht="12.75" customHeight="1">
      <c r="B844" s="14"/>
      <c r="C844" s="14"/>
      <c r="D844" s="14"/>
      <c r="E844" s="14"/>
      <c r="F844" s="61"/>
      <c r="G844" s="16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2:26" ht="12.75" customHeight="1">
      <c r="B845" s="14"/>
      <c r="C845" s="14"/>
      <c r="D845" s="14"/>
      <c r="E845" s="14"/>
      <c r="F845" s="61"/>
      <c r="G845" s="16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2:26" ht="12.75" customHeight="1">
      <c r="B846" s="14"/>
      <c r="C846" s="14"/>
      <c r="D846" s="14"/>
      <c r="E846" s="14"/>
      <c r="F846" s="61"/>
      <c r="G846" s="16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2:26" ht="12.75" customHeight="1">
      <c r="B847" s="14"/>
      <c r="C847" s="14"/>
      <c r="D847" s="14"/>
      <c r="E847" s="14"/>
      <c r="F847" s="61"/>
      <c r="G847" s="16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2:26" ht="12.75" customHeight="1">
      <c r="B848" s="14"/>
      <c r="C848" s="14"/>
      <c r="D848" s="14"/>
      <c r="E848" s="14"/>
      <c r="F848" s="61"/>
      <c r="G848" s="16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2:26" ht="12.75" customHeight="1">
      <c r="B849" s="14"/>
      <c r="C849" s="14"/>
      <c r="D849" s="14"/>
      <c r="E849" s="14"/>
      <c r="F849" s="61"/>
      <c r="G849" s="16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2:26" ht="12.75" customHeight="1">
      <c r="B850" s="14"/>
      <c r="C850" s="14"/>
      <c r="D850" s="14"/>
      <c r="E850" s="14"/>
      <c r="F850" s="61"/>
      <c r="G850" s="16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2:26" ht="12.75" customHeight="1">
      <c r="B851" s="14"/>
      <c r="C851" s="14"/>
      <c r="D851" s="14"/>
      <c r="E851" s="14"/>
      <c r="F851" s="61"/>
      <c r="G851" s="16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2:26" ht="12.75" customHeight="1">
      <c r="B852" s="14"/>
      <c r="C852" s="14"/>
      <c r="D852" s="14"/>
      <c r="E852" s="14"/>
      <c r="F852" s="61"/>
      <c r="G852" s="16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2:26" ht="12.75" customHeight="1">
      <c r="B853" s="14"/>
      <c r="C853" s="14"/>
      <c r="D853" s="14"/>
      <c r="E853" s="14"/>
      <c r="F853" s="61"/>
      <c r="G853" s="16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2:26" ht="12.75" customHeight="1">
      <c r="B854" s="14"/>
      <c r="C854" s="14"/>
      <c r="D854" s="14"/>
      <c r="E854" s="14"/>
      <c r="F854" s="61"/>
      <c r="G854" s="16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2:26" ht="12.75" customHeight="1">
      <c r="B855" s="14"/>
      <c r="C855" s="14"/>
      <c r="D855" s="14"/>
      <c r="E855" s="14"/>
      <c r="F855" s="61"/>
      <c r="G855" s="16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2:26" ht="12.75" customHeight="1">
      <c r="B856" s="14"/>
      <c r="C856" s="14"/>
      <c r="D856" s="14"/>
      <c r="E856" s="14"/>
      <c r="F856" s="61"/>
      <c r="G856" s="16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2:26" ht="12.75" customHeight="1">
      <c r="B857" s="14"/>
      <c r="C857" s="14"/>
      <c r="D857" s="14"/>
      <c r="E857" s="14"/>
      <c r="F857" s="61"/>
      <c r="G857" s="16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2:26" ht="12.75" customHeight="1">
      <c r="B858" s="14"/>
      <c r="C858" s="14"/>
      <c r="D858" s="14"/>
      <c r="E858" s="14"/>
      <c r="F858" s="61"/>
      <c r="G858" s="16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2:26" ht="12.75" customHeight="1">
      <c r="B859" s="14"/>
      <c r="C859" s="14"/>
      <c r="D859" s="14"/>
      <c r="E859" s="14"/>
      <c r="F859" s="61"/>
      <c r="G859" s="16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2:26" ht="12.75" customHeight="1">
      <c r="B860" s="14"/>
      <c r="C860" s="14"/>
      <c r="D860" s="14"/>
      <c r="E860" s="14"/>
      <c r="F860" s="61"/>
      <c r="G860" s="16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2:26" ht="12.75" customHeight="1">
      <c r="B861" s="14"/>
      <c r="C861" s="14"/>
      <c r="D861" s="14"/>
      <c r="E861" s="14"/>
      <c r="F861" s="61"/>
      <c r="G861" s="16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2:26" ht="12.75" customHeight="1">
      <c r="B862" s="14"/>
      <c r="C862" s="14"/>
      <c r="D862" s="14"/>
      <c r="E862" s="14"/>
      <c r="F862" s="61"/>
      <c r="G862" s="16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2:26" ht="12.75" customHeight="1">
      <c r="B863" s="14"/>
      <c r="C863" s="14"/>
      <c r="D863" s="14"/>
      <c r="E863" s="14"/>
      <c r="F863" s="61"/>
      <c r="G863" s="16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2:26" ht="12.75" customHeight="1">
      <c r="B864" s="14"/>
      <c r="C864" s="14"/>
      <c r="D864" s="14"/>
      <c r="E864" s="14"/>
      <c r="F864" s="61"/>
      <c r="G864" s="16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2:26" ht="12.75" customHeight="1">
      <c r="B865" s="14"/>
      <c r="C865" s="14"/>
      <c r="D865" s="14"/>
      <c r="E865" s="14"/>
      <c r="F865" s="61"/>
      <c r="G865" s="16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2:26" ht="12.75" customHeight="1">
      <c r="B866" s="14"/>
      <c r="C866" s="14"/>
      <c r="D866" s="14"/>
      <c r="E866" s="14"/>
      <c r="F866" s="61"/>
      <c r="G866" s="16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2:26" ht="12.75" customHeight="1">
      <c r="B867" s="14"/>
      <c r="C867" s="14"/>
      <c r="D867" s="14"/>
      <c r="E867" s="14"/>
      <c r="F867" s="61"/>
      <c r="G867" s="16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2:26" ht="12.75" customHeight="1">
      <c r="B868" s="14"/>
      <c r="C868" s="14"/>
      <c r="D868" s="14"/>
      <c r="E868" s="14"/>
      <c r="F868" s="61"/>
      <c r="G868" s="16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2:26" ht="12.75" customHeight="1">
      <c r="B869" s="14"/>
      <c r="C869" s="14"/>
      <c r="D869" s="14"/>
      <c r="E869" s="14"/>
      <c r="F869" s="61"/>
      <c r="G869" s="16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2:26" ht="12.75" customHeight="1">
      <c r="B870" s="14"/>
      <c r="C870" s="14"/>
      <c r="D870" s="14"/>
      <c r="E870" s="14"/>
      <c r="F870" s="61"/>
      <c r="G870" s="16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2:26" ht="12.75" customHeight="1">
      <c r="B871" s="14"/>
      <c r="C871" s="14"/>
      <c r="D871" s="14"/>
      <c r="E871" s="14"/>
      <c r="F871" s="61"/>
      <c r="G871" s="16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2:26" ht="12.75" customHeight="1">
      <c r="B872" s="14"/>
      <c r="C872" s="14"/>
      <c r="D872" s="14"/>
      <c r="E872" s="14"/>
      <c r="F872" s="61"/>
      <c r="G872" s="16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2:26" ht="12.75" customHeight="1">
      <c r="B873" s="14"/>
      <c r="C873" s="14"/>
      <c r="D873" s="14"/>
      <c r="E873" s="14"/>
      <c r="F873" s="61"/>
      <c r="G873" s="16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2:26" ht="12.75" customHeight="1">
      <c r="B874" s="14"/>
      <c r="C874" s="14"/>
      <c r="D874" s="14"/>
      <c r="E874" s="14"/>
      <c r="F874" s="61"/>
      <c r="G874" s="16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2:26" ht="12.75" customHeight="1">
      <c r="B875" s="14"/>
      <c r="C875" s="14"/>
      <c r="D875" s="14"/>
      <c r="E875" s="14"/>
      <c r="F875" s="61"/>
      <c r="G875" s="16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2:26" ht="12.75" customHeight="1">
      <c r="B876" s="14"/>
      <c r="C876" s="14"/>
      <c r="D876" s="14"/>
      <c r="E876" s="14"/>
      <c r="F876" s="61"/>
      <c r="G876" s="16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2:26" ht="12.75" customHeight="1">
      <c r="B877" s="14"/>
      <c r="C877" s="14"/>
      <c r="D877" s="14"/>
      <c r="E877" s="14"/>
      <c r="F877" s="61"/>
      <c r="G877" s="16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2:26" ht="12.75" customHeight="1">
      <c r="B878" s="14"/>
      <c r="C878" s="14"/>
      <c r="D878" s="14"/>
      <c r="E878" s="14"/>
      <c r="F878" s="61"/>
      <c r="G878" s="16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2:26" ht="12.75" customHeight="1">
      <c r="B879" s="14"/>
      <c r="C879" s="14"/>
      <c r="D879" s="14"/>
      <c r="E879" s="14"/>
      <c r="F879" s="61"/>
      <c r="G879" s="16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2:26" ht="12.75" customHeight="1">
      <c r="B880" s="14"/>
      <c r="C880" s="14"/>
      <c r="D880" s="14"/>
      <c r="E880" s="14"/>
      <c r="F880" s="61"/>
      <c r="G880" s="16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2:26" ht="12.75" customHeight="1">
      <c r="B881" s="14"/>
      <c r="C881" s="14"/>
      <c r="D881" s="14"/>
      <c r="E881" s="14"/>
      <c r="F881" s="61"/>
      <c r="G881" s="16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2:26" ht="12.75" customHeight="1">
      <c r="B882" s="14"/>
      <c r="C882" s="14"/>
      <c r="D882" s="14"/>
      <c r="E882" s="14"/>
      <c r="F882" s="61"/>
      <c r="G882" s="16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2:26" ht="12.75" customHeight="1">
      <c r="B883" s="14"/>
      <c r="C883" s="14"/>
      <c r="D883" s="14"/>
      <c r="E883" s="14"/>
      <c r="F883" s="61"/>
      <c r="G883" s="16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2:26" ht="12.75" customHeight="1">
      <c r="B884" s="14"/>
      <c r="C884" s="14"/>
      <c r="D884" s="14"/>
      <c r="E884" s="14"/>
      <c r="F884" s="61"/>
      <c r="G884" s="16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2:26" ht="12.75" customHeight="1">
      <c r="B885" s="14"/>
      <c r="C885" s="14"/>
      <c r="D885" s="14"/>
      <c r="E885" s="14"/>
      <c r="F885" s="61"/>
      <c r="G885" s="16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2:26" ht="12.75" customHeight="1">
      <c r="B886" s="14"/>
      <c r="C886" s="14"/>
      <c r="D886" s="14"/>
      <c r="E886" s="14"/>
      <c r="F886" s="61"/>
      <c r="G886" s="16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2:26" ht="12.75" customHeight="1">
      <c r="B887" s="14"/>
      <c r="C887" s="14"/>
      <c r="D887" s="14"/>
      <c r="E887" s="14"/>
      <c r="F887" s="61"/>
      <c r="G887" s="16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2:26" ht="12.75" customHeight="1">
      <c r="B888" s="14"/>
      <c r="C888" s="14"/>
      <c r="D888" s="14"/>
      <c r="E888" s="14"/>
      <c r="F888" s="61"/>
      <c r="G888" s="16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2:26" ht="12.75" customHeight="1">
      <c r="B889" s="14"/>
      <c r="C889" s="14"/>
      <c r="D889" s="14"/>
      <c r="E889" s="14"/>
      <c r="F889" s="61"/>
      <c r="G889" s="16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2:26" ht="12.75" customHeight="1">
      <c r="B890" s="14"/>
      <c r="C890" s="14"/>
      <c r="D890" s="14"/>
      <c r="E890" s="14"/>
      <c r="F890" s="61"/>
      <c r="G890" s="16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2:26" ht="12.75" customHeight="1">
      <c r="B891" s="14"/>
      <c r="C891" s="14"/>
      <c r="D891" s="14"/>
      <c r="E891" s="14"/>
      <c r="F891" s="61"/>
      <c r="G891" s="16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2:26" ht="12.75" customHeight="1">
      <c r="B892" s="14"/>
      <c r="C892" s="14"/>
      <c r="D892" s="14"/>
      <c r="E892" s="14"/>
      <c r="F892" s="61"/>
      <c r="G892" s="16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2:26" ht="12.75" customHeight="1">
      <c r="B893" s="14"/>
      <c r="C893" s="14"/>
      <c r="D893" s="14"/>
      <c r="E893" s="14"/>
      <c r="F893" s="61"/>
      <c r="G893" s="16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2:26" ht="12.75" customHeight="1">
      <c r="B894" s="14"/>
      <c r="C894" s="14"/>
      <c r="D894" s="14"/>
      <c r="E894" s="14"/>
      <c r="F894" s="61"/>
      <c r="G894" s="16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2:26" ht="12.75" customHeight="1">
      <c r="B895" s="14"/>
      <c r="C895" s="14"/>
      <c r="D895" s="14"/>
      <c r="E895" s="14"/>
      <c r="F895" s="61"/>
      <c r="G895" s="16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2:26" ht="12.75" customHeight="1">
      <c r="B896" s="14"/>
      <c r="C896" s="14"/>
      <c r="D896" s="14"/>
      <c r="E896" s="14"/>
      <c r="F896" s="61"/>
      <c r="G896" s="16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2:26" ht="12.75" customHeight="1">
      <c r="B897" s="14"/>
      <c r="C897" s="14"/>
      <c r="D897" s="14"/>
      <c r="E897" s="14"/>
      <c r="F897" s="61"/>
      <c r="G897" s="16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2:26" ht="12.75" customHeight="1">
      <c r="B898" s="14"/>
      <c r="C898" s="14"/>
      <c r="D898" s="14"/>
      <c r="E898" s="14"/>
      <c r="F898" s="61"/>
      <c r="G898" s="16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2:26" ht="12.75" customHeight="1">
      <c r="B899" s="14"/>
      <c r="C899" s="14"/>
      <c r="D899" s="14"/>
      <c r="E899" s="14"/>
      <c r="F899" s="61"/>
      <c r="G899" s="16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2:26" ht="12.75" customHeight="1">
      <c r="B900" s="14"/>
      <c r="C900" s="14"/>
      <c r="D900" s="14"/>
      <c r="E900" s="14"/>
      <c r="F900" s="61"/>
      <c r="G900" s="16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2:26" ht="12.75" customHeight="1">
      <c r="B901" s="14"/>
      <c r="C901" s="14"/>
      <c r="D901" s="14"/>
      <c r="E901" s="14"/>
      <c r="F901" s="61"/>
      <c r="G901" s="16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2:26" ht="12.75" customHeight="1">
      <c r="B902" s="14"/>
      <c r="C902" s="14"/>
      <c r="D902" s="14"/>
      <c r="E902" s="14"/>
      <c r="F902" s="61"/>
      <c r="G902" s="16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2:26" ht="12.75" customHeight="1">
      <c r="B903" s="14"/>
      <c r="C903" s="14"/>
      <c r="D903" s="14"/>
      <c r="E903" s="14"/>
      <c r="F903" s="61"/>
      <c r="G903" s="16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2:26" ht="12.75" customHeight="1">
      <c r="B904" s="14"/>
      <c r="C904" s="14"/>
      <c r="D904" s="14"/>
      <c r="E904" s="14"/>
      <c r="F904" s="61"/>
      <c r="G904" s="16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2:26" ht="12.75" customHeight="1">
      <c r="B905" s="14"/>
      <c r="C905" s="14"/>
      <c r="D905" s="14"/>
      <c r="E905" s="14"/>
      <c r="F905" s="61"/>
      <c r="G905" s="16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2:26" ht="12.75" customHeight="1">
      <c r="B906" s="14"/>
      <c r="C906" s="14"/>
      <c r="D906" s="14"/>
      <c r="E906" s="14"/>
      <c r="F906" s="61"/>
      <c r="G906" s="16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2:26" ht="12.75" customHeight="1">
      <c r="B907" s="14"/>
      <c r="C907" s="14"/>
      <c r="D907" s="14"/>
      <c r="E907" s="14"/>
      <c r="F907" s="61"/>
      <c r="G907" s="16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2:26" ht="12.75" customHeight="1">
      <c r="B908" s="14"/>
      <c r="C908" s="14"/>
      <c r="D908" s="14"/>
      <c r="E908" s="14"/>
      <c r="F908" s="61"/>
      <c r="G908" s="16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2:26" ht="12.75" customHeight="1">
      <c r="B909" s="14"/>
      <c r="C909" s="14"/>
      <c r="D909" s="14"/>
      <c r="E909" s="14"/>
      <c r="F909" s="61"/>
      <c r="G909" s="16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2:26" ht="12.75" customHeight="1">
      <c r="B910" s="14"/>
      <c r="C910" s="14"/>
      <c r="D910" s="14"/>
      <c r="E910" s="14"/>
      <c r="F910" s="61"/>
      <c r="G910" s="16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2:26" ht="12.75" customHeight="1">
      <c r="B911" s="14"/>
      <c r="C911" s="14"/>
      <c r="D911" s="14"/>
      <c r="E911" s="14"/>
      <c r="F911" s="61"/>
      <c r="G911" s="16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2:26" ht="12.75" customHeight="1">
      <c r="B912" s="14"/>
      <c r="C912" s="14"/>
      <c r="D912" s="14"/>
      <c r="E912" s="14"/>
      <c r="F912" s="61"/>
      <c r="G912" s="16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2:26" ht="12.75" customHeight="1">
      <c r="B913" s="14"/>
      <c r="C913" s="14"/>
      <c r="D913" s="14"/>
      <c r="E913" s="14"/>
      <c r="F913" s="61"/>
      <c r="G913" s="16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2:26" ht="12.75" customHeight="1">
      <c r="B914" s="14"/>
      <c r="C914" s="14"/>
      <c r="D914" s="14"/>
      <c r="E914" s="14"/>
      <c r="F914" s="61"/>
      <c r="G914" s="16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2:26" ht="12.75" customHeight="1">
      <c r="B915" s="14"/>
      <c r="C915" s="14"/>
      <c r="D915" s="14"/>
      <c r="E915" s="14"/>
      <c r="F915" s="61"/>
      <c r="G915" s="16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2:26" ht="12.75" customHeight="1">
      <c r="B916" s="14"/>
      <c r="C916" s="14"/>
      <c r="D916" s="14"/>
      <c r="E916" s="14"/>
      <c r="F916" s="61"/>
      <c r="G916" s="16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2:26" ht="12.75" customHeight="1">
      <c r="B917" s="14"/>
      <c r="C917" s="14"/>
      <c r="D917" s="14"/>
      <c r="E917" s="14"/>
      <c r="F917" s="61"/>
      <c r="G917" s="16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2:26" ht="12.75" customHeight="1">
      <c r="B918" s="14"/>
      <c r="C918" s="14"/>
      <c r="D918" s="14"/>
      <c r="E918" s="14"/>
      <c r="F918" s="61"/>
      <c r="G918" s="16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2:26" ht="12.75" customHeight="1">
      <c r="B919" s="14"/>
      <c r="C919" s="14"/>
      <c r="D919" s="14"/>
      <c r="E919" s="14"/>
      <c r="F919" s="61"/>
      <c r="G919" s="16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2:26" ht="12.75" customHeight="1">
      <c r="B920" s="14"/>
      <c r="C920" s="14"/>
      <c r="D920" s="14"/>
      <c r="E920" s="14"/>
      <c r="F920" s="61"/>
      <c r="G920" s="16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2:26" ht="12.75" customHeight="1">
      <c r="B921" s="14"/>
      <c r="C921" s="14"/>
      <c r="D921" s="14"/>
      <c r="E921" s="14"/>
      <c r="F921" s="61"/>
      <c r="G921" s="16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2:26" ht="12.75" customHeight="1">
      <c r="B922" s="14"/>
      <c r="C922" s="14"/>
      <c r="D922" s="14"/>
      <c r="E922" s="14"/>
      <c r="F922" s="61"/>
      <c r="G922" s="16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2:26" ht="12.75" customHeight="1">
      <c r="B923" s="14"/>
      <c r="C923" s="14"/>
      <c r="D923" s="14"/>
      <c r="E923" s="14"/>
      <c r="F923" s="61"/>
      <c r="G923" s="16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2:26" ht="12.75" customHeight="1">
      <c r="B924" s="14"/>
      <c r="C924" s="14"/>
      <c r="D924" s="14"/>
      <c r="E924" s="14"/>
      <c r="F924" s="61"/>
      <c r="G924" s="16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2:26" ht="12.75" customHeight="1">
      <c r="B925" s="14"/>
      <c r="C925" s="14"/>
      <c r="D925" s="14"/>
      <c r="E925" s="14"/>
      <c r="F925" s="61"/>
      <c r="G925" s="16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2:26" ht="12.75" customHeight="1">
      <c r="B926" s="14"/>
      <c r="C926" s="14"/>
      <c r="D926" s="14"/>
      <c r="E926" s="14"/>
      <c r="F926" s="61"/>
      <c r="G926" s="16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2:26" ht="12.75" customHeight="1">
      <c r="B927" s="14"/>
      <c r="C927" s="14"/>
      <c r="D927" s="14"/>
      <c r="E927" s="14"/>
      <c r="F927" s="61"/>
      <c r="G927" s="16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2:26" ht="12.75" customHeight="1">
      <c r="B928" s="14"/>
      <c r="C928" s="14"/>
      <c r="D928" s="14"/>
      <c r="E928" s="14"/>
      <c r="F928" s="61"/>
      <c r="G928" s="16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2:26" ht="12.75" customHeight="1">
      <c r="B929" s="14"/>
      <c r="C929" s="14"/>
      <c r="D929" s="14"/>
      <c r="E929" s="14"/>
      <c r="F929" s="61"/>
      <c r="G929" s="16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2:26" ht="12.75" customHeight="1">
      <c r="B930" s="14"/>
      <c r="C930" s="14"/>
      <c r="D930" s="14"/>
      <c r="E930" s="14"/>
      <c r="F930" s="61"/>
      <c r="G930" s="16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2:26" ht="12.75" customHeight="1">
      <c r="B931" s="14"/>
      <c r="C931" s="14"/>
      <c r="D931" s="14"/>
      <c r="E931" s="14"/>
      <c r="F931" s="61"/>
      <c r="G931" s="16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2:26" ht="12.75" customHeight="1">
      <c r="B932" s="14"/>
      <c r="C932" s="14"/>
      <c r="D932" s="14"/>
      <c r="E932" s="14"/>
      <c r="F932" s="61"/>
      <c r="G932" s="16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2:26" ht="12.75" customHeight="1">
      <c r="B933" s="14"/>
      <c r="C933" s="14"/>
      <c r="D933" s="14"/>
      <c r="E933" s="14"/>
      <c r="F933" s="61"/>
      <c r="G933" s="16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2:26" ht="12.75" customHeight="1">
      <c r="B934" s="14"/>
      <c r="C934" s="14"/>
      <c r="D934" s="14"/>
      <c r="E934" s="14"/>
      <c r="F934" s="61"/>
      <c r="G934" s="16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2:26" ht="12.75" customHeight="1">
      <c r="B935" s="14"/>
      <c r="C935" s="14"/>
      <c r="D935" s="14"/>
      <c r="E935" s="14"/>
      <c r="F935" s="61"/>
      <c r="G935" s="16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2:26" ht="12.75" customHeight="1">
      <c r="B936" s="14"/>
      <c r="C936" s="14"/>
      <c r="D936" s="14"/>
      <c r="E936" s="14"/>
      <c r="F936" s="61"/>
      <c r="G936" s="16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2:26" ht="12.75" customHeight="1">
      <c r="B937" s="14"/>
      <c r="C937" s="14"/>
      <c r="D937" s="14"/>
      <c r="E937" s="14"/>
      <c r="F937" s="61"/>
      <c r="G937" s="16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2:26" ht="12.75" customHeight="1">
      <c r="B938" s="14"/>
      <c r="C938" s="14"/>
      <c r="D938" s="14"/>
      <c r="E938" s="14"/>
      <c r="F938" s="61"/>
      <c r="G938" s="16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2:26" ht="12.75" customHeight="1">
      <c r="B939" s="14"/>
      <c r="C939" s="14"/>
      <c r="D939" s="14"/>
      <c r="E939" s="14"/>
      <c r="F939" s="61"/>
      <c r="G939" s="16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2:26" ht="12.75" customHeight="1">
      <c r="B940" s="14"/>
      <c r="C940" s="14"/>
      <c r="D940" s="14"/>
      <c r="E940" s="14"/>
      <c r="F940" s="61"/>
      <c r="G940" s="16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2:26" ht="12.75" customHeight="1">
      <c r="B941" s="14"/>
      <c r="C941" s="14"/>
      <c r="D941" s="14"/>
      <c r="E941" s="14"/>
      <c r="F941" s="61"/>
      <c r="G941" s="16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2:26" ht="12.75" customHeight="1">
      <c r="B942" s="14"/>
      <c r="C942" s="14"/>
      <c r="D942" s="14"/>
      <c r="E942" s="14"/>
      <c r="F942" s="61"/>
      <c r="G942" s="16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2:26" ht="12.75" customHeight="1">
      <c r="B943" s="14"/>
      <c r="C943" s="14"/>
      <c r="D943" s="14"/>
      <c r="E943" s="14"/>
      <c r="F943" s="61"/>
      <c r="G943" s="16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2:26" ht="12.75" customHeight="1">
      <c r="B944" s="14"/>
      <c r="C944" s="14"/>
      <c r="D944" s="14"/>
      <c r="E944" s="14"/>
      <c r="F944" s="61"/>
      <c r="G944" s="16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2:26" ht="12.75" customHeight="1">
      <c r="B945" s="14"/>
      <c r="C945" s="14"/>
      <c r="D945" s="14"/>
      <c r="E945" s="14"/>
      <c r="F945" s="61"/>
      <c r="G945" s="16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2:26" ht="12.75" customHeight="1">
      <c r="B946" s="14"/>
      <c r="C946" s="14"/>
      <c r="D946" s="14"/>
      <c r="E946" s="14"/>
      <c r="F946" s="61"/>
      <c r="G946" s="16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2:26" ht="12.75" customHeight="1">
      <c r="B947" s="14"/>
      <c r="C947" s="14"/>
      <c r="D947" s="14"/>
      <c r="E947" s="14"/>
      <c r="F947" s="61"/>
      <c r="G947" s="16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2:26" ht="12.75" customHeight="1">
      <c r="B948" s="14"/>
      <c r="C948" s="14"/>
      <c r="D948" s="14"/>
      <c r="E948" s="14"/>
      <c r="F948" s="61"/>
      <c r="G948" s="16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2:26" ht="12.75" customHeight="1">
      <c r="B949" s="14"/>
      <c r="C949" s="14"/>
      <c r="D949" s="14"/>
      <c r="E949" s="14"/>
      <c r="F949" s="61"/>
      <c r="G949" s="16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2:26" ht="12.75" customHeight="1">
      <c r="B950" s="14"/>
      <c r="C950" s="14"/>
      <c r="D950" s="14"/>
      <c r="E950" s="14"/>
      <c r="F950" s="61"/>
      <c r="G950" s="16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2:26" ht="12.75" customHeight="1">
      <c r="B951" s="14"/>
      <c r="C951" s="14"/>
      <c r="D951" s="14"/>
      <c r="E951" s="14"/>
      <c r="F951" s="61"/>
      <c r="G951" s="16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2:26" ht="12.75" customHeight="1">
      <c r="B952" s="14"/>
      <c r="C952" s="14"/>
      <c r="D952" s="14"/>
      <c r="E952" s="14"/>
      <c r="F952" s="61"/>
      <c r="G952" s="16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2:26" ht="12.75" customHeight="1">
      <c r="B953" s="14"/>
      <c r="C953" s="14"/>
      <c r="D953" s="14"/>
      <c r="E953" s="14"/>
      <c r="F953" s="61"/>
      <c r="G953" s="16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2:26" ht="12.75" customHeight="1">
      <c r="B954" s="14"/>
      <c r="C954" s="14"/>
      <c r="D954" s="14"/>
      <c r="E954" s="14"/>
      <c r="F954" s="61"/>
      <c r="G954" s="16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2:26" ht="12.75" customHeight="1">
      <c r="B955" s="14"/>
      <c r="C955" s="14"/>
      <c r="D955" s="14"/>
      <c r="E955" s="14"/>
      <c r="F955" s="61"/>
      <c r="G955" s="16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2:26" ht="12.75" customHeight="1">
      <c r="B956" s="14"/>
      <c r="C956" s="14"/>
      <c r="D956" s="14"/>
      <c r="E956" s="14"/>
      <c r="F956" s="61"/>
      <c r="G956" s="16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2:26" ht="12.75" customHeight="1">
      <c r="B957" s="14"/>
      <c r="C957" s="14"/>
      <c r="D957" s="14"/>
      <c r="E957" s="14"/>
      <c r="F957" s="61"/>
      <c r="G957" s="16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2:26" ht="12.75" customHeight="1">
      <c r="B958" s="14"/>
      <c r="C958" s="14"/>
      <c r="D958" s="14"/>
      <c r="E958" s="14"/>
      <c r="F958" s="61"/>
      <c r="G958" s="16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2:26" ht="12.75" customHeight="1">
      <c r="B959" s="14"/>
      <c r="C959" s="14"/>
      <c r="D959" s="14"/>
      <c r="E959" s="14"/>
      <c r="F959" s="61"/>
      <c r="G959" s="16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2:26" ht="12.75" customHeight="1">
      <c r="B960" s="14"/>
      <c r="C960" s="14"/>
      <c r="D960" s="14"/>
      <c r="E960" s="14"/>
      <c r="F960" s="61"/>
      <c r="G960" s="16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2:26" ht="12.75" customHeight="1">
      <c r="B961" s="14"/>
      <c r="C961" s="14"/>
      <c r="D961" s="14"/>
      <c r="E961" s="14"/>
      <c r="F961" s="61"/>
      <c r="G961" s="16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2:26" ht="12.75" customHeight="1">
      <c r="B962" s="14"/>
      <c r="C962" s="14"/>
      <c r="D962" s="14"/>
      <c r="E962" s="14"/>
      <c r="F962" s="61"/>
      <c r="G962" s="16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2:26" ht="12.75" customHeight="1">
      <c r="B963" s="14"/>
      <c r="C963" s="14"/>
      <c r="D963" s="14"/>
      <c r="E963" s="14"/>
      <c r="F963" s="61"/>
      <c r="G963" s="16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2:26" ht="12.75" customHeight="1">
      <c r="B964" s="14"/>
      <c r="C964" s="14"/>
      <c r="D964" s="14"/>
      <c r="E964" s="14"/>
      <c r="F964" s="61"/>
      <c r="G964" s="16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2:26" ht="12.75" customHeight="1">
      <c r="B965" s="14"/>
      <c r="C965" s="14"/>
      <c r="D965" s="14"/>
      <c r="E965" s="14"/>
      <c r="F965" s="61"/>
      <c r="G965" s="16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2:26" ht="12.75" customHeight="1">
      <c r="B966" s="14"/>
      <c r="C966" s="14"/>
      <c r="D966" s="14"/>
      <c r="E966" s="14"/>
      <c r="F966" s="61"/>
      <c r="G966" s="16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2:26" ht="12.75" customHeight="1">
      <c r="B967" s="14"/>
      <c r="C967" s="14"/>
      <c r="D967" s="14"/>
      <c r="E967" s="14"/>
      <c r="F967" s="61"/>
      <c r="G967" s="16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2:26" ht="12.75" customHeight="1">
      <c r="B968" s="14"/>
      <c r="C968" s="14"/>
      <c r="D968" s="14"/>
      <c r="E968" s="14"/>
      <c r="F968" s="61"/>
      <c r="G968" s="16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2:26" ht="12.75" customHeight="1">
      <c r="B969" s="14"/>
      <c r="C969" s="14"/>
      <c r="D969" s="14"/>
      <c r="E969" s="14"/>
      <c r="F969" s="61"/>
      <c r="G969" s="16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2:26" ht="12.75" customHeight="1">
      <c r="B970" s="14"/>
      <c r="C970" s="14"/>
      <c r="D970" s="14"/>
      <c r="E970" s="14"/>
      <c r="F970" s="61"/>
      <c r="G970" s="16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2:26" ht="12.75" customHeight="1">
      <c r="B971" s="14"/>
      <c r="C971" s="14"/>
      <c r="D971" s="14"/>
      <c r="E971" s="14"/>
      <c r="F971" s="61"/>
      <c r="G971" s="16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2:26" ht="12.75" customHeight="1">
      <c r="B972" s="14"/>
      <c r="C972" s="14"/>
      <c r="D972" s="14"/>
      <c r="E972" s="14"/>
      <c r="F972" s="61"/>
      <c r="G972" s="16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2:26" ht="12.75" customHeight="1">
      <c r="B973" s="14"/>
      <c r="C973" s="14"/>
      <c r="D973" s="14"/>
      <c r="E973" s="14"/>
      <c r="F973" s="61"/>
      <c r="G973" s="16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2:26" ht="12.75" customHeight="1">
      <c r="B974" s="14"/>
      <c r="C974" s="14"/>
      <c r="D974" s="14"/>
      <c r="E974" s="14"/>
      <c r="F974" s="61"/>
      <c r="G974" s="16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2:26" ht="12.75" customHeight="1">
      <c r="B975" s="14"/>
      <c r="C975" s="14"/>
      <c r="D975" s="14"/>
      <c r="E975" s="14"/>
      <c r="F975" s="61"/>
      <c r="G975" s="16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2:26" ht="12.75" customHeight="1">
      <c r="B976" s="14"/>
      <c r="C976" s="14"/>
      <c r="D976" s="14"/>
      <c r="E976" s="14"/>
      <c r="F976" s="61"/>
      <c r="G976" s="16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2:26" ht="12.75" customHeight="1">
      <c r="B977" s="14"/>
      <c r="C977" s="14"/>
      <c r="D977" s="14"/>
      <c r="E977" s="14"/>
      <c r="F977" s="61"/>
      <c r="G977" s="16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2:26" ht="12.75" customHeight="1">
      <c r="B978" s="14"/>
      <c r="C978" s="14"/>
      <c r="D978" s="14"/>
      <c r="E978" s="14"/>
      <c r="F978" s="61"/>
      <c r="G978" s="16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2:26" ht="12.75" customHeight="1">
      <c r="B979" s="14"/>
      <c r="C979" s="14"/>
      <c r="D979" s="14"/>
      <c r="E979" s="14"/>
      <c r="F979" s="61"/>
      <c r="G979" s="16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2:26" ht="12.75" customHeight="1">
      <c r="B980" s="14"/>
      <c r="C980" s="14"/>
      <c r="D980" s="14"/>
      <c r="E980" s="14"/>
      <c r="F980" s="61"/>
      <c r="G980" s="16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2:26" ht="12.75" customHeight="1">
      <c r="B981" s="14"/>
      <c r="C981" s="14"/>
      <c r="D981" s="14"/>
      <c r="E981" s="14"/>
      <c r="F981" s="61"/>
      <c r="G981" s="16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2:26" ht="12.75" customHeight="1">
      <c r="B982" s="14"/>
      <c r="C982" s="14"/>
      <c r="D982" s="14"/>
      <c r="E982" s="14"/>
      <c r="F982" s="61"/>
      <c r="G982" s="16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2:26" ht="12.75" customHeight="1">
      <c r="B983" s="14"/>
      <c r="C983" s="14"/>
      <c r="D983" s="14"/>
      <c r="E983" s="14"/>
      <c r="F983" s="61"/>
      <c r="G983" s="16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2:26" ht="12.75" customHeight="1">
      <c r="B984" s="14"/>
      <c r="C984" s="14"/>
      <c r="D984" s="14"/>
      <c r="E984" s="14"/>
      <c r="F984" s="61"/>
      <c r="G984" s="16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2:26" ht="12.75" customHeight="1">
      <c r="B985" s="14"/>
      <c r="C985" s="14"/>
      <c r="D985" s="14"/>
      <c r="E985" s="14"/>
      <c r="F985" s="61"/>
      <c r="G985" s="16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2:26" ht="12.75" customHeight="1">
      <c r="B986" s="14"/>
      <c r="C986" s="14"/>
      <c r="D986" s="14"/>
      <c r="E986" s="14"/>
      <c r="F986" s="61"/>
      <c r="G986" s="16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2:26" ht="12.75" customHeight="1">
      <c r="B987" s="14"/>
      <c r="C987" s="14"/>
      <c r="D987" s="14"/>
      <c r="E987" s="14"/>
      <c r="F987" s="61"/>
      <c r="G987" s="16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2:26" ht="12.75" customHeight="1">
      <c r="B988" s="14"/>
      <c r="C988" s="14"/>
      <c r="D988" s="14"/>
      <c r="E988" s="14"/>
      <c r="F988" s="61"/>
      <c r="G988" s="16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2:26" ht="12.75" customHeight="1">
      <c r="B989" s="14"/>
      <c r="C989" s="14"/>
      <c r="D989" s="14"/>
      <c r="E989" s="14"/>
      <c r="F989" s="61"/>
      <c r="G989" s="16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2:26" ht="12.75" customHeight="1">
      <c r="B990" s="14"/>
      <c r="C990" s="14"/>
      <c r="D990" s="14"/>
      <c r="E990" s="14"/>
      <c r="F990" s="61"/>
      <c r="G990" s="16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2:26" ht="12.75" customHeight="1">
      <c r="B991" s="14"/>
      <c r="C991" s="14"/>
      <c r="D991" s="14"/>
      <c r="E991" s="14"/>
      <c r="F991" s="61"/>
      <c r="G991" s="16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2:26" ht="12.75" customHeight="1">
      <c r="B992" s="14"/>
      <c r="C992" s="14"/>
      <c r="D992" s="14"/>
      <c r="E992" s="14"/>
      <c r="F992" s="61"/>
      <c r="G992" s="16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2:26" ht="12.75" customHeight="1">
      <c r="B993" s="14"/>
      <c r="C993" s="14"/>
      <c r="D993" s="14"/>
      <c r="E993" s="14"/>
      <c r="F993" s="61"/>
      <c r="G993" s="16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2:26" ht="12.75" customHeight="1">
      <c r="B994" s="14"/>
      <c r="C994" s="14"/>
      <c r="D994" s="14"/>
      <c r="E994" s="14"/>
      <c r="F994" s="61"/>
      <c r="G994" s="16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2:26" ht="12.75" customHeight="1">
      <c r="B995" s="14"/>
      <c r="C995" s="14"/>
      <c r="D995" s="14"/>
      <c r="E995" s="14"/>
      <c r="F995" s="61"/>
      <c r="G995" s="16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2:26" ht="12.75" customHeight="1">
      <c r="B996" s="14"/>
      <c r="C996" s="14"/>
      <c r="D996" s="14"/>
      <c r="E996" s="14"/>
      <c r="F996" s="61"/>
      <c r="G996" s="16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2:26" ht="12.75" customHeight="1">
      <c r="B997" s="14"/>
      <c r="C997" s="14"/>
      <c r="D997" s="14"/>
      <c r="E997" s="14"/>
      <c r="F997" s="61"/>
      <c r="G997" s="16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2:26" ht="12.75" customHeight="1">
      <c r="B998" s="14"/>
      <c r="C998" s="14"/>
      <c r="D998" s="14"/>
      <c r="E998" s="14"/>
      <c r="F998" s="61"/>
      <c r="G998" s="16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2:26" ht="12.75" customHeight="1">
      <c r="B999" s="14"/>
      <c r="C999" s="14"/>
      <c r="D999" s="14"/>
      <c r="E999" s="14"/>
      <c r="F999" s="61"/>
      <c r="G999" s="16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2:26" ht="12.75" customHeight="1">
      <c r="B1000" s="14"/>
      <c r="C1000" s="14"/>
      <c r="D1000" s="14"/>
      <c r="E1000" s="14"/>
      <c r="F1000" s="61"/>
      <c r="G1000" s="16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 spans="2:26" ht="12.75" customHeight="1">
      <c r="B1001" s="14"/>
      <c r="C1001" s="14"/>
      <c r="D1001" s="14"/>
      <c r="E1001" s="14"/>
      <c r="F1001" s="61"/>
      <c r="G1001" s="16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 spans="2:26" ht="12.75" customHeight="1">
      <c r="B1002" s="14"/>
      <c r="C1002" s="14"/>
      <c r="D1002" s="14"/>
      <c r="E1002" s="14"/>
      <c r="F1002" s="61"/>
      <c r="G1002" s="16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 spans="2:26" ht="12.75" customHeight="1">
      <c r="B1003" s="14"/>
      <c r="C1003" s="14"/>
      <c r="D1003" s="14"/>
      <c r="E1003" s="14"/>
      <c r="F1003" s="61"/>
      <c r="G1003" s="16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 spans="2:26" ht="12.75" customHeight="1">
      <c r="B1004" s="14"/>
      <c r="C1004" s="14"/>
      <c r="D1004" s="14"/>
      <c r="E1004" s="14"/>
      <c r="F1004" s="61"/>
      <c r="G1004" s="16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 spans="2:26" ht="12.75" customHeight="1">
      <c r="B1005" s="14"/>
      <c r="C1005" s="14"/>
      <c r="D1005" s="14"/>
      <c r="E1005" s="14"/>
      <c r="F1005" s="61"/>
      <c r="G1005" s="16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 spans="2:26" ht="12.75" customHeight="1">
      <c r="B1006" s="14"/>
      <c r="C1006" s="14"/>
      <c r="D1006" s="14"/>
      <c r="E1006" s="14"/>
      <c r="F1006" s="61"/>
      <c r="G1006" s="16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 spans="2:26" ht="12.75" customHeight="1">
      <c r="B1007" s="14"/>
      <c r="C1007" s="14"/>
      <c r="D1007" s="14"/>
      <c r="E1007" s="14"/>
      <c r="F1007" s="61"/>
      <c r="G1007" s="16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 spans="2:26" ht="12.75" customHeight="1">
      <c r="B1008" s="14"/>
      <c r="C1008" s="14"/>
      <c r="D1008" s="14"/>
      <c r="E1008" s="14"/>
      <c r="F1008" s="61"/>
      <c r="G1008" s="16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 spans="2:26" ht="12.75" customHeight="1">
      <c r="B1009" s="14"/>
      <c r="C1009" s="14"/>
      <c r="D1009" s="14"/>
      <c r="E1009" s="14"/>
      <c r="F1009" s="61"/>
      <c r="G1009" s="16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 spans="2:26" ht="12.75" customHeight="1">
      <c r="B1010" s="14"/>
      <c r="C1010" s="14"/>
      <c r="D1010" s="14"/>
      <c r="E1010" s="14"/>
      <c r="F1010" s="61"/>
      <c r="G1010" s="16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  <row r="1011" spans="2:26" ht="12.75" customHeight="1">
      <c r="B1011" s="14"/>
      <c r="C1011" s="14"/>
      <c r="D1011" s="14"/>
      <c r="E1011" s="14"/>
      <c r="F1011" s="61"/>
      <c r="G1011" s="16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</row>
    <row r="1012" spans="2:26" ht="12.75" customHeight="1">
      <c r="B1012" s="14"/>
      <c r="C1012" s="14"/>
      <c r="D1012" s="14"/>
      <c r="E1012" s="14"/>
      <c r="F1012" s="61"/>
      <c r="G1012" s="16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</row>
    <row r="1013" spans="2:26" ht="12.75" customHeight="1">
      <c r="B1013" s="14"/>
      <c r="C1013" s="14"/>
      <c r="D1013" s="14"/>
      <c r="E1013" s="14"/>
      <c r="F1013" s="61"/>
      <c r="G1013" s="16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</row>
    <row r="1014" spans="2:26" ht="12.75" customHeight="1">
      <c r="B1014" s="14"/>
      <c r="C1014" s="14"/>
      <c r="D1014" s="14"/>
      <c r="E1014" s="14"/>
      <c r="F1014" s="61"/>
      <c r="G1014" s="16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</row>
    <row r="1015" spans="2:26" ht="12.75" customHeight="1">
      <c r="B1015" s="14"/>
      <c r="C1015" s="14"/>
      <c r="D1015" s="14"/>
      <c r="E1015" s="14"/>
      <c r="F1015" s="61"/>
      <c r="G1015" s="16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</row>
    <row r="1016" spans="2:26" ht="12.75" customHeight="1">
      <c r="B1016" s="14"/>
      <c r="C1016" s="14"/>
      <c r="D1016" s="14"/>
      <c r="E1016" s="14"/>
      <c r="F1016" s="61"/>
      <c r="G1016" s="16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</row>
    <row r="1017" spans="2:26" ht="12.75" customHeight="1">
      <c r="B1017" s="14"/>
      <c r="C1017" s="14"/>
      <c r="D1017" s="14"/>
      <c r="E1017" s="14"/>
      <c r="F1017" s="61"/>
      <c r="G1017" s="16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</row>
  </sheetData>
  <mergeCells count="17">
    <mergeCell ref="B21:B23"/>
    <mergeCell ref="G21:G48"/>
    <mergeCell ref="B24:B26"/>
    <mergeCell ref="B27:B30"/>
    <mergeCell ref="B31:B33"/>
    <mergeCell ref="B34:B36"/>
    <mergeCell ref="B37:B39"/>
    <mergeCell ref="B40:B42"/>
    <mergeCell ref="B43:B45"/>
    <mergeCell ref="B46:B48"/>
    <mergeCell ref="B17:B19"/>
    <mergeCell ref="F1:G1"/>
    <mergeCell ref="B7:B11"/>
    <mergeCell ref="B12:B13"/>
    <mergeCell ref="C12:C13"/>
    <mergeCell ref="B15:B16"/>
    <mergeCell ref="B5:B6"/>
  </mergeCells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964"/>
  <sheetViews>
    <sheetView showGridLines="0" workbookViewId="0">
      <selection activeCell="B15" sqref="B15"/>
    </sheetView>
  </sheetViews>
  <sheetFormatPr defaultColWidth="14.42578125" defaultRowHeight="15" customHeight="1"/>
  <cols>
    <col min="1" max="1" width="14.42578125" style="7"/>
    <col min="2" max="2" width="18.42578125" style="7" customWidth="1"/>
    <col min="3" max="3" width="48.140625" style="7" customWidth="1"/>
    <col min="4" max="4" width="17.5703125" style="7" customWidth="1"/>
    <col min="5" max="5" width="14.42578125" style="7"/>
    <col min="6" max="6" width="20.85546875" style="7" customWidth="1"/>
    <col min="7" max="7" width="45" style="7" customWidth="1"/>
    <col min="8" max="12" width="8.5703125" style="7" customWidth="1"/>
    <col min="13" max="16384" width="14.42578125" style="7"/>
  </cols>
  <sheetData>
    <row r="1" spans="1:15" ht="15" customHeight="1">
      <c r="B1" s="134"/>
      <c r="C1" s="134"/>
      <c r="D1" s="309" t="s">
        <v>70</v>
      </c>
      <c r="E1" s="309"/>
      <c r="F1" s="309"/>
      <c r="G1" s="309"/>
      <c r="H1" s="134"/>
    </row>
    <row r="2" spans="1:15" ht="15" customHeight="1">
      <c r="B2" s="134"/>
      <c r="C2" s="134"/>
      <c r="D2" s="309" t="s">
        <v>71</v>
      </c>
      <c r="E2" s="309"/>
      <c r="F2" s="309"/>
      <c r="G2" s="309"/>
      <c r="H2" s="134"/>
    </row>
    <row r="3" spans="1:15" ht="15" customHeight="1">
      <c r="B3" s="134"/>
      <c r="C3" s="134"/>
      <c r="D3" s="309" t="s">
        <v>72</v>
      </c>
      <c r="E3" s="309"/>
      <c r="F3" s="309"/>
      <c r="G3" s="309"/>
      <c r="H3" s="134"/>
    </row>
    <row r="4" spans="1:15" ht="12.75">
      <c r="G4" s="70"/>
    </row>
    <row r="5" spans="1:15" ht="13.5">
      <c r="C5" s="136" t="s">
        <v>73</v>
      </c>
      <c r="D5" s="136">
        <v>2022</v>
      </c>
      <c r="E5" s="136">
        <v>2023</v>
      </c>
      <c r="F5" s="136">
        <v>2024</v>
      </c>
      <c r="G5" s="136">
        <v>2025</v>
      </c>
      <c r="H5" s="136">
        <v>2026</v>
      </c>
      <c r="I5" s="136">
        <v>2027</v>
      </c>
      <c r="J5" s="136">
        <v>2028</v>
      </c>
      <c r="K5" s="136">
        <v>2029</v>
      </c>
      <c r="L5" s="244"/>
    </row>
    <row r="6" spans="1:15" ht="13.5">
      <c r="C6" s="65" t="s">
        <v>74</v>
      </c>
      <c r="D6" s="66" t="s">
        <v>75</v>
      </c>
      <c r="E6" s="66" t="s">
        <v>75</v>
      </c>
      <c r="F6" s="66" t="s">
        <v>75</v>
      </c>
      <c r="G6" s="66" t="s">
        <v>75</v>
      </c>
      <c r="H6" s="66" t="s">
        <v>75</v>
      </c>
      <c r="I6" s="66" t="s">
        <v>75</v>
      </c>
      <c r="J6" s="66" t="s">
        <v>75</v>
      </c>
      <c r="K6" s="66" t="s">
        <v>75</v>
      </c>
    </row>
    <row r="7" spans="1:15" ht="13.5">
      <c r="C7" s="67" t="s">
        <v>76</v>
      </c>
      <c r="D7" s="68" t="s">
        <v>75</v>
      </c>
      <c r="E7" s="68" t="s">
        <v>75</v>
      </c>
      <c r="F7" s="68" t="s">
        <v>75</v>
      </c>
      <c r="G7" s="68" t="s">
        <v>75</v>
      </c>
      <c r="H7" s="68" t="s">
        <v>75</v>
      </c>
      <c r="I7" s="68" t="s">
        <v>75</v>
      </c>
      <c r="J7" s="68" t="s">
        <v>75</v>
      </c>
      <c r="K7" s="68" t="s">
        <v>75</v>
      </c>
    </row>
    <row r="8" spans="1:15" ht="13.5">
      <c r="C8" s="71" t="s">
        <v>77</v>
      </c>
      <c r="D8" s="72"/>
      <c r="E8" s="72" t="s">
        <v>75</v>
      </c>
      <c r="F8" s="72" t="s">
        <v>75</v>
      </c>
      <c r="G8" s="72" t="s">
        <v>75</v>
      </c>
      <c r="H8" s="72"/>
      <c r="I8" s="72" t="s">
        <v>75</v>
      </c>
      <c r="J8" s="72"/>
      <c r="K8" s="72" t="s">
        <v>75</v>
      </c>
    </row>
    <row r="9" spans="1:15" ht="13.5">
      <c r="C9" s="73" t="s">
        <v>78</v>
      </c>
      <c r="D9" s="74" t="s">
        <v>75</v>
      </c>
      <c r="E9" s="74" t="s">
        <v>75</v>
      </c>
      <c r="F9" s="74" t="s">
        <v>75</v>
      </c>
      <c r="G9" s="74" t="s">
        <v>75</v>
      </c>
      <c r="H9" s="74" t="s">
        <v>75</v>
      </c>
      <c r="I9" s="74" t="s">
        <v>75</v>
      </c>
      <c r="J9" s="74" t="s">
        <v>75</v>
      </c>
      <c r="K9" s="74" t="s">
        <v>75</v>
      </c>
    </row>
    <row r="10" spans="1:15" ht="13.5">
      <c r="A10" s="11"/>
      <c r="C10" s="75" t="s">
        <v>79</v>
      </c>
      <c r="D10" s="76" t="s">
        <v>75</v>
      </c>
      <c r="E10" s="74" t="s">
        <v>75</v>
      </c>
      <c r="F10" s="74" t="s">
        <v>75</v>
      </c>
      <c r="G10" s="74"/>
      <c r="H10" s="74"/>
      <c r="I10" s="74"/>
      <c r="J10" s="74"/>
      <c r="K10" s="74"/>
    </row>
    <row r="11" spans="1:15" ht="12.75">
      <c r="A11" s="11"/>
      <c r="C11" s="139"/>
      <c r="D11" s="237"/>
      <c r="E11" s="237"/>
      <c r="F11" s="237"/>
      <c r="G11" s="237"/>
      <c r="H11" s="237"/>
      <c r="I11" s="237"/>
      <c r="J11" s="237"/>
      <c r="K11" s="237"/>
    </row>
    <row r="12" spans="1:15" ht="12.75">
      <c r="A12" s="11"/>
      <c r="C12" s="139"/>
      <c r="D12" s="237"/>
      <c r="E12" s="237"/>
      <c r="F12" s="237"/>
      <c r="G12" s="237"/>
      <c r="H12" s="237"/>
      <c r="I12" s="237"/>
      <c r="J12" s="237"/>
      <c r="K12" s="237"/>
    </row>
    <row r="13" spans="1:15" ht="12.75">
      <c r="G13" s="70"/>
    </row>
    <row r="14" spans="1:15" s="70" customFormat="1" ht="63" customHeight="1">
      <c r="A14" s="137" t="s">
        <v>80</v>
      </c>
      <c r="B14" s="137" t="s">
        <v>81</v>
      </c>
      <c r="C14" s="137" t="s">
        <v>82</v>
      </c>
      <c r="D14" s="137" t="s">
        <v>83</v>
      </c>
      <c r="E14" s="137" t="s">
        <v>84</v>
      </c>
      <c r="F14" s="137" t="s">
        <v>85</v>
      </c>
      <c r="G14" s="138" t="s">
        <v>86</v>
      </c>
      <c r="H14" s="137">
        <v>2022</v>
      </c>
      <c r="I14" s="137">
        <v>2023</v>
      </c>
      <c r="J14" s="137">
        <v>2024</v>
      </c>
      <c r="K14" s="138">
        <v>2025</v>
      </c>
      <c r="L14" s="138">
        <v>2026</v>
      </c>
      <c r="M14" s="138">
        <v>2027</v>
      </c>
      <c r="N14" s="138">
        <v>2028</v>
      </c>
      <c r="O14" s="138">
        <v>2029</v>
      </c>
    </row>
    <row r="15" spans="1:15" ht="47.25" customHeight="1">
      <c r="A15" s="62">
        <v>2022</v>
      </c>
      <c r="B15" s="62" t="s">
        <v>87</v>
      </c>
      <c r="C15" s="62" t="s">
        <v>88</v>
      </c>
      <c r="D15" s="62" t="s">
        <v>89</v>
      </c>
      <c r="E15" s="62">
        <v>2022</v>
      </c>
      <c r="F15" s="62" t="s">
        <v>90</v>
      </c>
      <c r="G15" s="63" t="s">
        <v>91</v>
      </c>
      <c r="H15" s="74" t="s">
        <v>75</v>
      </c>
      <c r="I15" s="74"/>
      <c r="J15" s="74"/>
      <c r="K15" s="241"/>
      <c r="L15" s="74"/>
      <c r="M15" s="74"/>
      <c r="N15" s="74"/>
      <c r="O15" s="74"/>
    </row>
    <row r="16" spans="1:15" ht="45" customHeight="1">
      <c r="A16" s="62">
        <v>2022</v>
      </c>
      <c r="B16" s="62" t="s">
        <v>92</v>
      </c>
      <c r="C16" s="62" t="s">
        <v>93</v>
      </c>
      <c r="D16" s="62" t="s">
        <v>89</v>
      </c>
      <c r="E16" s="62">
        <v>2022</v>
      </c>
      <c r="F16" s="62" t="s">
        <v>90</v>
      </c>
      <c r="G16" s="63" t="s">
        <v>94</v>
      </c>
      <c r="H16" s="74" t="s">
        <v>75</v>
      </c>
      <c r="I16" s="74"/>
      <c r="J16" s="74"/>
      <c r="K16" s="241"/>
      <c r="L16" s="74"/>
      <c r="M16" s="74"/>
      <c r="N16" s="74"/>
      <c r="O16" s="74"/>
    </row>
    <row r="17" spans="1:15" ht="12.75">
      <c r="A17" s="62">
        <v>2022</v>
      </c>
      <c r="B17" s="62" t="s">
        <v>92</v>
      </c>
      <c r="C17" s="62" t="s">
        <v>95</v>
      </c>
      <c r="D17" s="62" t="s">
        <v>89</v>
      </c>
      <c r="E17" s="62">
        <v>2022</v>
      </c>
      <c r="F17" s="62" t="s">
        <v>90</v>
      </c>
      <c r="G17" s="63" t="s">
        <v>96</v>
      </c>
      <c r="H17" s="74" t="s">
        <v>75</v>
      </c>
      <c r="I17" s="74"/>
      <c r="J17" s="74"/>
      <c r="K17" s="241"/>
      <c r="L17" s="74"/>
      <c r="M17" s="238"/>
      <c r="N17" s="238"/>
      <c r="O17" s="238"/>
    </row>
    <row r="18" spans="1:15" ht="15" customHeight="1">
      <c r="A18" s="62">
        <v>2022</v>
      </c>
      <c r="B18" s="62" t="s">
        <v>92</v>
      </c>
      <c r="C18" s="62" t="s">
        <v>97</v>
      </c>
      <c r="D18" s="62" t="s">
        <v>89</v>
      </c>
      <c r="E18" s="62">
        <v>2022</v>
      </c>
      <c r="F18" s="62" t="s">
        <v>90</v>
      </c>
      <c r="G18" s="63" t="s">
        <v>98</v>
      </c>
      <c r="H18" s="74" t="s">
        <v>75</v>
      </c>
      <c r="I18" s="74"/>
      <c r="J18" s="74"/>
      <c r="K18" s="241"/>
      <c r="L18" s="74"/>
      <c r="M18" s="74"/>
      <c r="N18" s="74"/>
      <c r="O18" s="74"/>
    </row>
    <row r="19" spans="1:15" ht="29.25" customHeight="1">
      <c r="A19" s="62">
        <v>2022</v>
      </c>
      <c r="B19" s="62" t="s">
        <v>92</v>
      </c>
      <c r="C19" s="62" t="s">
        <v>78</v>
      </c>
      <c r="D19" s="62" t="s">
        <v>89</v>
      </c>
      <c r="E19" s="62">
        <v>2022</v>
      </c>
      <c r="F19" s="62" t="s">
        <v>90</v>
      </c>
      <c r="G19" s="63" t="s">
        <v>99</v>
      </c>
      <c r="H19" s="74" t="s">
        <v>75</v>
      </c>
      <c r="I19" s="74"/>
      <c r="J19" s="74"/>
      <c r="K19" s="241"/>
      <c r="L19" s="74"/>
      <c r="M19" s="74"/>
      <c r="N19" s="74"/>
      <c r="O19" s="74"/>
    </row>
    <row r="20" spans="1:15" ht="25.5" customHeight="1">
      <c r="A20" s="62">
        <v>2022</v>
      </c>
      <c r="B20" s="62" t="s">
        <v>92</v>
      </c>
      <c r="C20" s="62" t="s">
        <v>100</v>
      </c>
      <c r="D20" s="62" t="s">
        <v>89</v>
      </c>
      <c r="E20" s="62">
        <v>2022</v>
      </c>
      <c r="F20" s="62" t="s">
        <v>90</v>
      </c>
      <c r="G20" s="63" t="s">
        <v>101</v>
      </c>
      <c r="H20" s="74" t="s">
        <v>75</v>
      </c>
      <c r="I20" s="74"/>
      <c r="J20" s="74"/>
      <c r="K20" s="241"/>
      <c r="L20" s="74"/>
      <c r="M20" s="74"/>
      <c r="N20" s="74"/>
      <c r="O20" s="74"/>
    </row>
    <row r="21" spans="1:15" ht="15" customHeight="1">
      <c r="A21" s="62">
        <v>2022</v>
      </c>
      <c r="B21" s="62" t="s">
        <v>92</v>
      </c>
      <c r="C21" s="62" t="s">
        <v>102</v>
      </c>
      <c r="D21" s="62" t="s">
        <v>89</v>
      </c>
      <c r="E21" s="62">
        <v>2022</v>
      </c>
      <c r="F21" s="62" t="s">
        <v>103</v>
      </c>
      <c r="G21" s="69"/>
      <c r="H21" s="74" t="s">
        <v>75</v>
      </c>
      <c r="I21" s="74"/>
      <c r="J21" s="74"/>
      <c r="K21" s="241"/>
      <c r="L21" s="74"/>
      <c r="M21" s="74"/>
      <c r="N21" s="74"/>
      <c r="O21" s="74"/>
    </row>
    <row r="22" spans="1:15" ht="32.25" customHeight="1">
      <c r="A22" s="62">
        <v>2022</v>
      </c>
      <c r="B22" s="62" t="s">
        <v>92</v>
      </c>
      <c r="C22" s="62" t="s">
        <v>104</v>
      </c>
      <c r="D22" s="62" t="s">
        <v>89</v>
      </c>
      <c r="E22" s="62">
        <v>2022</v>
      </c>
      <c r="F22" s="62" t="s">
        <v>103</v>
      </c>
      <c r="G22" s="63" t="s">
        <v>105</v>
      </c>
      <c r="H22" s="74" t="s">
        <v>75</v>
      </c>
      <c r="I22" s="74"/>
      <c r="J22" s="74"/>
      <c r="K22" s="241"/>
      <c r="L22" s="74"/>
      <c r="M22" s="74"/>
      <c r="N22" s="74"/>
      <c r="O22" s="74"/>
    </row>
    <row r="23" spans="1:15" ht="45" customHeight="1">
      <c r="A23" s="62">
        <v>2023</v>
      </c>
      <c r="B23" s="62" t="s">
        <v>106</v>
      </c>
      <c r="C23" s="62" t="s">
        <v>107</v>
      </c>
      <c r="D23" s="62" t="s">
        <v>89</v>
      </c>
      <c r="E23" s="62">
        <v>2023</v>
      </c>
      <c r="F23" s="62" t="s">
        <v>108</v>
      </c>
      <c r="G23" s="63" t="s">
        <v>109</v>
      </c>
      <c r="H23" s="74"/>
      <c r="I23" s="74" t="s">
        <v>75</v>
      </c>
      <c r="J23" s="74"/>
      <c r="K23" s="241"/>
      <c r="L23" s="74"/>
      <c r="M23" s="74"/>
      <c r="N23" s="74"/>
      <c r="O23" s="74"/>
    </row>
    <row r="24" spans="1:15" ht="48.75" customHeight="1">
      <c r="A24" s="62">
        <v>2023</v>
      </c>
      <c r="B24" s="62" t="s">
        <v>87</v>
      </c>
      <c r="C24" s="62" t="s">
        <v>88</v>
      </c>
      <c r="D24" s="62" t="s">
        <v>89</v>
      </c>
      <c r="E24" s="62">
        <v>2023</v>
      </c>
      <c r="F24" s="62" t="s">
        <v>90</v>
      </c>
      <c r="G24" s="63" t="s">
        <v>91</v>
      </c>
      <c r="H24" s="74"/>
      <c r="I24" s="74" t="s">
        <v>75</v>
      </c>
      <c r="J24" s="74"/>
      <c r="K24" s="241"/>
      <c r="L24" s="74"/>
      <c r="M24" s="238"/>
      <c r="N24" s="238"/>
      <c r="O24" s="238"/>
    </row>
    <row r="25" spans="1:15" ht="48.75" customHeight="1">
      <c r="A25" s="62">
        <v>2023</v>
      </c>
      <c r="B25" s="62" t="s">
        <v>92</v>
      </c>
      <c r="C25" s="62" t="s">
        <v>93</v>
      </c>
      <c r="D25" s="62" t="s">
        <v>89</v>
      </c>
      <c r="E25" s="62">
        <v>2023</v>
      </c>
      <c r="F25" s="62" t="s">
        <v>90</v>
      </c>
      <c r="G25" s="63" t="s">
        <v>110</v>
      </c>
      <c r="H25" s="74"/>
      <c r="I25" s="74" t="s">
        <v>75</v>
      </c>
      <c r="J25" s="74"/>
      <c r="K25" s="241"/>
      <c r="L25" s="74"/>
      <c r="M25" s="238"/>
      <c r="N25" s="238"/>
      <c r="O25" s="238"/>
    </row>
    <row r="26" spans="1:15" ht="15" customHeight="1">
      <c r="A26" s="62">
        <v>2023</v>
      </c>
      <c r="B26" s="62" t="s">
        <v>92</v>
      </c>
      <c r="C26" s="62" t="s">
        <v>97</v>
      </c>
      <c r="D26" s="62" t="s">
        <v>89</v>
      </c>
      <c r="E26" s="62">
        <v>2023</v>
      </c>
      <c r="F26" s="62" t="s">
        <v>90</v>
      </c>
      <c r="G26" s="63" t="s">
        <v>111</v>
      </c>
      <c r="H26" s="74"/>
      <c r="I26" s="74" t="s">
        <v>75</v>
      </c>
      <c r="J26" s="74"/>
      <c r="K26" s="241"/>
      <c r="L26" s="74"/>
      <c r="M26" s="238"/>
      <c r="N26" s="238"/>
      <c r="O26" s="238"/>
    </row>
    <row r="27" spans="1:15" ht="15" customHeight="1">
      <c r="A27" s="62">
        <v>2023</v>
      </c>
      <c r="B27" s="62" t="s">
        <v>92</v>
      </c>
      <c r="C27" s="62" t="s">
        <v>78</v>
      </c>
      <c r="D27" s="62" t="s">
        <v>89</v>
      </c>
      <c r="E27" s="62">
        <v>2023</v>
      </c>
      <c r="F27" s="62" t="s">
        <v>90</v>
      </c>
      <c r="G27" s="63" t="s">
        <v>112</v>
      </c>
      <c r="H27" s="74"/>
      <c r="I27" s="74" t="s">
        <v>75</v>
      </c>
      <c r="J27" s="74"/>
      <c r="K27" s="241"/>
      <c r="L27" s="74"/>
      <c r="M27" s="238"/>
      <c r="N27" s="238"/>
      <c r="O27" s="238"/>
    </row>
    <row r="28" spans="1:15" ht="15" customHeight="1">
      <c r="A28" s="62">
        <v>2023</v>
      </c>
      <c r="B28" s="62" t="s">
        <v>92</v>
      </c>
      <c r="C28" s="62" t="s">
        <v>100</v>
      </c>
      <c r="D28" s="62" t="s">
        <v>89</v>
      </c>
      <c r="E28" s="62">
        <v>2023</v>
      </c>
      <c r="F28" s="62" t="s">
        <v>90</v>
      </c>
      <c r="G28" s="63" t="s">
        <v>101</v>
      </c>
      <c r="H28" s="74"/>
      <c r="I28" s="74" t="s">
        <v>75</v>
      </c>
      <c r="J28" s="74"/>
      <c r="K28" s="241"/>
      <c r="L28" s="74"/>
      <c r="M28" s="238"/>
      <c r="N28" s="238"/>
      <c r="O28" s="238"/>
    </row>
    <row r="29" spans="1:15" ht="15" customHeight="1">
      <c r="A29" s="62">
        <v>2023</v>
      </c>
      <c r="B29" s="62" t="s">
        <v>92</v>
      </c>
      <c r="C29" s="62" t="s">
        <v>113</v>
      </c>
      <c r="D29" s="62" t="s">
        <v>89</v>
      </c>
      <c r="E29" s="62">
        <v>2023</v>
      </c>
      <c r="F29" s="62" t="s">
        <v>103</v>
      </c>
      <c r="G29" s="69"/>
      <c r="H29" s="74"/>
      <c r="I29" s="74" t="s">
        <v>75</v>
      </c>
      <c r="J29" s="74"/>
      <c r="K29" s="241"/>
      <c r="L29" s="74"/>
      <c r="M29" s="238"/>
      <c r="N29" s="238"/>
      <c r="O29" s="238"/>
    </row>
    <row r="30" spans="1:15" ht="12.75">
      <c r="A30" s="62">
        <v>2023</v>
      </c>
      <c r="B30" s="62" t="s">
        <v>92</v>
      </c>
      <c r="C30" s="62" t="s">
        <v>95</v>
      </c>
      <c r="D30" s="62" t="s">
        <v>89</v>
      </c>
      <c r="E30" s="62">
        <v>2023</v>
      </c>
      <c r="F30" s="62" t="s">
        <v>90</v>
      </c>
      <c r="G30" s="63" t="s">
        <v>96</v>
      </c>
      <c r="H30" s="74"/>
      <c r="I30" s="74" t="s">
        <v>75</v>
      </c>
      <c r="J30" s="74"/>
      <c r="K30" s="241"/>
      <c r="L30" s="74"/>
      <c r="M30" s="238"/>
      <c r="N30" s="238"/>
      <c r="O30" s="238"/>
    </row>
    <row r="31" spans="1:15" ht="15" customHeight="1">
      <c r="A31" s="62">
        <v>2024</v>
      </c>
      <c r="B31" s="62" t="s">
        <v>106</v>
      </c>
      <c r="C31" s="62" t="s">
        <v>107</v>
      </c>
      <c r="D31" s="62" t="s">
        <v>89</v>
      </c>
      <c r="E31" s="62">
        <v>2024</v>
      </c>
      <c r="F31" s="62" t="s">
        <v>108</v>
      </c>
      <c r="G31" s="63" t="s">
        <v>109</v>
      </c>
      <c r="H31" s="74"/>
      <c r="I31" s="74"/>
      <c r="J31" s="74" t="s">
        <v>75</v>
      </c>
      <c r="K31" s="241"/>
      <c r="L31" s="74"/>
      <c r="M31" s="238"/>
      <c r="N31" s="238"/>
      <c r="O31" s="238"/>
    </row>
    <row r="32" spans="1:15" ht="26.25" customHeight="1">
      <c r="A32" s="62">
        <v>2024</v>
      </c>
      <c r="B32" s="62" t="s">
        <v>92</v>
      </c>
      <c r="C32" s="62" t="s">
        <v>93</v>
      </c>
      <c r="D32" s="62" t="s">
        <v>89</v>
      </c>
      <c r="E32" s="62">
        <v>2024</v>
      </c>
      <c r="F32" s="62" t="s">
        <v>90</v>
      </c>
      <c r="G32" s="63" t="s">
        <v>110</v>
      </c>
      <c r="H32" s="74"/>
      <c r="I32" s="74"/>
      <c r="J32" s="74" t="s">
        <v>75</v>
      </c>
      <c r="K32" s="241"/>
      <c r="L32" s="74"/>
      <c r="M32" s="238"/>
      <c r="N32" s="238"/>
      <c r="O32" s="238"/>
    </row>
    <row r="33" spans="1:15" ht="15" customHeight="1">
      <c r="A33" s="62">
        <v>2024</v>
      </c>
      <c r="B33" s="62" t="s">
        <v>92</v>
      </c>
      <c r="C33" s="62" t="s">
        <v>97</v>
      </c>
      <c r="D33" s="62" t="s">
        <v>89</v>
      </c>
      <c r="E33" s="62">
        <v>2024</v>
      </c>
      <c r="F33" s="62" t="s">
        <v>90</v>
      </c>
      <c r="G33" s="63" t="s">
        <v>111</v>
      </c>
      <c r="H33" s="74"/>
      <c r="I33" s="74"/>
      <c r="J33" s="74" t="s">
        <v>75</v>
      </c>
      <c r="K33" s="241"/>
      <c r="L33" s="74"/>
      <c r="M33" s="238"/>
      <c r="N33" s="238"/>
      <c r="O33" s="238"/>
    </row>
    <row r="34" spans="1:15" ht="15" customHeight="1">
      <c r="A34" s="62">
        <v>2024</v>
      </c>
      <c r="B34" s="62" t="s">
        <v>92</v>
      </c>
      <c r="C34" s="62" t="s">
        <v>78</v>
      </c>
      <c r="D34" s="62" t="s">
        <v>89</v>
      </c>
      <c r="E34" s="62">
        <v>2024</v>
      </c>
      <c r="F34" s="62" t="s">
        <v>90</v>
      </c>
      <c r="G34" s="63" t="s">
        <v>112</v>
      </c>
      <c r="H34" s="74"/>
      <c r="I34" s="74"/>
      <c r="J34" s="74" t="s">
        <v>75</v>
      </c>
      <c r="K34" s="241"/>
      <c r="L34" s="74"/>
      <c r="M34" s="238"/>
      <c r="N34" s="238"/>
      <c r="O34" s="238"/>
    </row>
    <row r="35" spans="1:15" ht="15" customHeight="1">
      <c r="A35" s="62">
        <v>2024</v>
      </c>
      <c r="B35" s="62" t="s">
        <v>92</v>
      </c>
      <c r="C35" s="62" t="s">
        <v>100</v>
      </c>
      <c r="D35" s="62" t="s">
        <v>89</v>
      </c>
      <c r="E35" s="62">
        <v>2024</v>
      </c>
      <c r="F35" s="62" t="s">
        <v>90</v>
      </c>
      <c r="G35" s="63" t="s">
        <v>101</v>
      </c>
      <c r="H35" s="74"/>
      <c r="I35" s="74"/>
      <c r="J35" s="74" t="s">
        <v>75</v>
      </c>
      <c r="K35" s="241"/>
      <c r="L35" s="74"/>
      <c r="M35" s="238"/>
      <c r="N35" s="238"/>
      <c r="O35" s="238"/>
    </row>
    <row r="36" spans="1:15" ht="48" customHeight="1">
      <c r="A36" s="62">
        <v>2024</v>
      </c>
      <c r="B36" s="62" t="s">
        <v>114</v>
      </c>
      <c r="C36" s="62" t="s">
        <v>88</v>
      </c>
      <c r="D36" s="62" t="s">
        <v>89</v>
      </c>
      <c r="E36" s="62">
        <v>2024</v>
      </c>
      <c r="F36" s="62" t="s">
        <v>90</v>
      </c>
      <c r="G36" s="63" t="s">
        <v>91</v>
      </c>
      <c r="H36" s="74"/>
      <c r="I36" s="74"/>
      <c r="J36" s="74" t="s">
        <v>75</v>
      </c>
      <c r="K36" s="241"/>
      <c r="L36" s="74"/>
      <c r="M36" s="238"/>
      <c r="N36" s="238"/>
      <c r="O36" s="238"/>
    </row>
    <row r="37" spans="1:15" ht="25.5">
      <c r="A37" s="62">
        <v>2025</v>
      </c>
      <c r="B37" s="62" t="s">
        <v>92</v>
      </c>
      <c r="C37" s="62" t="s">
        <v>95</v>
      </c>
      <c r="D37" s="62" t="s">
        <v>89</v>
      </c>
      <c r="E37" s="62">
        <v>2025</v>
      </c>
      <c r="F37" s="62" t="s">
        <v>90</v>
      </c>
      <c r="G37" s="63" t="s">
        <v>115</v>
      </c>
      <c r="H37" s="74"/>
      <c r="I37" s="74"/>
      <c r="J37" s="74"/>
      <c r="K37" s="241"/>
      <c r="L37" s="74"/>
      <c r="M37" s="238"/>
      <c r="N37" s="238"/>
      <c r="O37" s="238"/>
    </row>
    <row r="38" spans="1:15" ht="27" customHeight="1">
      <c r="A38" s="62">
        <v>2025</v>
      </c>
      <c r="B38" s="62" t="s">
        <v>106</v>
      </c>
      <c r="C38" s="62" t="s">
        <v>107</v>
      </c>
      <c r="D38" s="62" t="s">
        <v>89</v>
      </c>
      <c r="E38" s="62">
        <v>2025</v>
      </c>
      <c r="F38" s="62" t="s">
        <v>108</v>
      </c>
      <c r="G38" s="63" t="s">
        <v>116</v>
      </c>
      <c r="H38" s="74"/>
      <c r="I38" s="74"/>
      <c r="J38" s="74"/>
      <c r="K38" s="241" t="s">
        <v>75</v>
      </c>
      <c r="L38" s="74"/>
      <c r="M38" s="238"/>
      <c r="N38" s="238"/>
      <c r="O38" s="238"/>
    </row>
    <row r="39" spans="1:15" ht="27" customHeight="1">
      <c r="A39" s="62">
        <v>2025</v>
      </c>
      <c r="B39" s="62" t="s">
        <v>92</v>
      </c>
      <c r="C39" s="62" t="s">
        <v>93</v>
      </c>
      <c r="D39" s="62" t="s">
        <v>89</v>
      </c>
      <c r="E39" s="62">
        <v>2025</v>
      </c>
      <c r="F39" s="62" t="s">
        <v>90</v>
      </c>
      <c r="G39" s="63" t="s">
        <v>110</v>
      </c>
      <c r="H39" s="74"/>
      <c r="I39" s="74"/>
      <c r="J39" s="74"/>
      <c r="K39" s="241" t="s">
        <v>75</v>
      </c>
      <c r="L39" s="74"/>
      <c r="M39" s="238"/>
      <c r="N39" s="238"/>
      <c r="O39" s="238"/>
    </row>
    <row r="40" spans="1:15" ht="15" customHeight="1">
      <c r="A40" s="62">
        <v>2025</v>
      </c>
      <c r="B40" s="62" t="s">
        <v>92</v>
      </c>
      <c r="C40" s="62" t="s">
        <v>117</v>
      </c>
      <c r="D40" s="62" t="s">
        <v>89</v>
      </c>
      <c r="E40" s="62">
        <v>2025</v>
      </c>
      <c r="F40" s="62" t="s">
        <v>90</v>
      </c>
      <c r="G40" s="63" t="s">
        <v>111</v>
      </c>
      <c r="H40" s="74"/>
      <c r="I40" s="74"/>
      <c r="J40" s="74"/>
      <c r="K40" s="241" t="s">
        <v>75</v>
      </c>
      <c r="L40" s="74"/>
      <c r="M40" s="238"/>
      <c r="N40" s="238"/>
      <c r="O40" s="238"/>
    </row>
    <row r="41" spans="1:15" ht="15" customHeight="1">
      <c r="A41" s="62">
        <v>2025</v>
      </c>
      <c r="B41" s="62" t="s">
        <v>92</v>
      </c>
      <c r="C41" s="62" t="s">
        <v>78</v>
      </c>
      <c r="D41" s="62" t="s">
        <v>89</v>
      </c>
      <c r="E41" s="62">
        <v>2025</v>
      </c>
      <c r="F41" s="62" t="s">
        <v>90</v>
      </c>
      <c r="G41" s="63" t="s">
        <v>99</v>
      </c>
      <c r="H41" s="74"/>
      <c r="I41" s="74"/>
      <c r="J41" s="74"/>
      <c r="K41" s="241" t="s">
        <v>75</v>
      </c>
      <c r="L41" s="74" t="s">
        <v>75</v>
      </c>
      <c r="M41" s="238"/>
      <c r="N41" s="238"/>
      <c r="O41" s="238"/>
    </row>
    <row r="42" spans="1:15" ht="15" customHeight="1">
      <c r="A42" s="62">
        <v>2025</v>
      </c>
      <c r="B42" s="62" t="s">
        <v>92</v>
      </c>
      <c r="C42" s="62" t="s">
        <v>100</v>
      </c>
      <c r="D42" s="62" t="s">
        <v>89</v>
      </c>
      <c r="E42" s="62">
        <v>2025</v>
      </c>
      <c r="F42" s="62" t="s">
        <v>90</v>
      </c>
      <c r="G42" s="63" t="s">
        <v>101</v>
      </c>
      <c r="H42" s="74"/>
      <c r="I42" s="74"/>
      <c r="J42" s="74"/>
      <c r="K42" s="241" t="s">
        <v>75</v>
      </c>
      <c r="L42" s="74" t="s">
        <v>75</v>
      </c>
      <c r="M42" s="238"/>
      <c r="N42" s="238"/>
      <c r="O42" s="238"/>
    </row>
    <row r="43" spans="1:15" ht="15" customHeight="1">
      <c r="A43" s="62">
        <v>2025</v>
      </c>
      <c r="B43" s="62" t="s">
        <v>92</v>
      </c>
      <c r="C43" s="62" t="s">
        <v>118</v>
      </c>
      <c r="D43" s="62" t="s">
        <v>89</v>
      </c>
      <c r="E43" s="62">
        <v>2025</v>
      </c>
      <c r="F43" s="62" t="s">
        <v>103</v>
      </c>
      <c r="G43" s="63" t="s">
        <v>119</v>
      </c>
      <c r="H43" s="74"/>
      <c r="I43" s="74"/>
      <c r="J43" s="74"/>
      <c r="K43" s="241" t="s">
        <v>75</v>
      </c>
      <c r="L43" s="74"/>
      <c r="M43" s="238"/>
      <c r="N43" s="238"/>
      <c r="O43" s="238"/>
    </row>
    <row r="44" spans="1:15" ht="54.75">
      <c r="A44" s="62">
        <v>2022</v>
      </c>
      <c r="B44" s="62" t="s">
        <v>87</v>
      </c>
      <c r="C44" s="62" t="s">
        <v>88</v>
      </c>
      <c r="D44" s="62" t="s">
        <v>89</v>
      </c>
      <c r="E44" s="62">
        <v>2026</v>
      </c>
      <c r="F44" s="62" t="s">
        <v>90</v>
      </c>
      <c r="G44" s="63" t="s">
        <v>91</v>
      </c>
      <c r="H44" s="74"/>
      <c r="I44" s="74"/>
      <c r="J44" s="74"/>
      <c r="K44" s="241"/>
      <c r="L44" s="74" t="s">
        <v>75</v>
      </c>
      <c r="M44" s="74" t="s">
        <v>75</v>
      </c>
      <c r="N44" s="74" t="s">
        <v>75</v>
      </c>
      <c r="O44" s="74" t="s">
        <v>75</v>
      </c>
    </row>
    <row r="45" spans="1:15" ht="25.5" customHeight="1">
      <c r="A45" s="62">
        <v>2026</v>
      </c>
      <c r="B45" s="62" t="s">
        <v>92</v>
      </c>
      <c r="C45" s="64" t="s">
        <v>95</v>
      </c>
      <c r="D45" s="62" t="s">
        <v>89</v>
      </c>
      <c r="E45" s="62">
        <v>2026</v>
      </c>
      <c r="F45" s="62" t="s">
        <v>90</v>
      </c>
      <c r="G45" s="63" t="s">
        <v>115</v>
      </c>
      <c r="H45" s="74"/>
      <c r="I45" s="74"/>
      <c r="J45" s="74"/>
      <c r="K45" s="241"/>
      <c r="L45" s="74"/>
      <c r="M45" s="238"/>
      <c r="N45" s="238"/>
      <c r="O45" s="238"/>
    </row>
    <row r="46" spans="1:15" ht="26.25" customHeight="1">
      <c r="A46" s="62">
        <v>2026</v>
      </c>
      <c r="B46" s="62" t="s">
        <v>106</v>
      </c>
      <c r="C46" s="62" t="s">
        <v>107</v>
      </c>
      <c r="D46" s="62" t="s">
        <v>89</v>
      </c>
      <c r="E46" s="62">
        <v>2026</v>
      </c>
      <c r="F46" s="62" t="s">
        <v>108</v>
      </c>
      <c r="G46" s="63" t="s">
        <v>116</v>
      </c>
      <c r="H46" s="74"/>
      <c r="I46" s="74"/>
      <c r="J46" s="74"/>
      <c r="K46" s="241"/>
      <c r="L46" s="273"/>
      <c r="M46" s="273" t="s">
        <v>75</v>
      </c>
      <c r="N46" s="273"/>
      <c r="O46" s="273" t="s">
        <v>75</v>
      </c>
    </row>
    <row r="47" spans="1:15" ht="41.25">
      <c r="A47" s="62">
        <v>2026</v>
      </c>
      <c r="B47" s="62" t="s">
        <v>92</v>
      </c>
      <c r="C47" s="62" t="s">
        <v>93</v>
      </c>
      <c r="D47" s="62" t="s">
        <v>89</v>
      </c>
      <c r="E47" s="62">
        <v>2026</v>
      </c>
      <c r="F47" s="62" t="s">
        <v>90</v>
      </c>
      <c r="G47" s="63" t="s">
        <v>110</v>
      </c>
      <c r="H47" s="74"/>
      <c r="I47" s="74"/>
      <c r="J47" s="74"/>
      <c r="K47" s="241"/>
      <c r="L47" s="273" t="s">
        <v>75</v>
      </c>
      <c r="M47" s="273" t="s">
        <v>75</v>
      </c>
      <c r="N47" s="273" t="s">
        <v>75</v>
      </c>
      <c r="O47" s="273" t="s">
        <v>75</v>
      </c>
    </row>
    <row r="48" spans="1:15" ht="27.75">
      <c r="A48" s="62">
        <v>2026</v>
      </c>
      <c r="B48" s="62" t="s">
        <v>92</v>
      </c>
      <c r="C48" s="62" t="s">
        <v>117</v>
      </c>
      <c r="D48" s="62" t="s">
        <v>89</v>
      </c>
      <c r="E48" s="62">
        <v>2026</v>
      </c>
      <c r="F48" s="62" t="s">
        <v>90</v>
      </c>
      <c r="G48" s="63" t="s">
        <v>111</v>
      </c>
      <c r="H48" s="193"/>
      <c r="I48" s="193"/>
      <c r="J48" s="193"/>
      <c r="K48" s="242"/>
      <c r="L48" s="273" t="s">
        <v>75</v>
      </c>
      <c r="M48" s="273" t="s">
        <v>75</v>
      </c>
      <c r="N48" s="273" t="s">
        <v>75</v>
      </c>
      <c r="O48" s="273" t="s">
        <v>75</v>
      </c>
    </row>
    <row r="49" spans="1:15" ht="27.75">
      <c r="A49" s="191">
        <v>2026</v>
      </c>
      <c r="B49" s="191" t="s">
        <v>92</v>
      </c>
      <c r="C49" s="191" t="s">
        <v>78</v>
      </c>
      <c r="D49" s="62" t="s">
        <v>89</v>
      </c>
      <c r="E49" s="191">
        <v>2026</v>
      </c>
      <c r="F49" s="191" t="s">
        <v>90</v>
      </c>
      <c r="G49" s="192" t="s">
        <v>99</v>
      </c>
      <c r="H49" s="196"/>
      <c r="I49" s="196"/>
      <c r="J49" s="196"/>
      <c r="K49" s="268"/>
      <c r="L49" s="274" t="s">
        <v>75</v>
      </c>
      <c r="M49" s="72" t="s">
        <v>75</v>
      </c>
      <c r="N49" s="72" t="s">
        <v>75</v>
      </c>
      <c r="O49" s="72" t="s">
        <v>75</v>
      </c>
    </row>
    <row r="50" spans="1:15" ht="27.75">
      <c r="A50" s="194">
        <v>2026</v>
      </c>
      <c r="B50" s="194" t="s">
        <v>92</v>
      </c>
      <c r="C50" s="194" t="s">
        <v>100</v>
      </c>
      <c r="D50" s="62" t="s">
        <v>89</v>
      </c>
      <c r="E50" s="194">
        <v>2026</v>
      </c>
      <c r="F50" s="194" t="s">
        <v>90</v>
      </c>
      <c r="G50" s="195" t="s">
        <v>120</v>
      </c>
      <c r="H50" s="198"/>
      <c r="I50" s="198"/>
      <c r="J50" s="243"/>
      <c r="K50" s="239" t="s">
        <v>75</v>
      </c>
      <c r="L50" s="275" t="s">
        <v>75</v>
      </c>
      <c r="M50" s="273" t="s">
        <v>75</v>
      </c>
      <c r="N50" s="273" t="s">
        <v>75</v>
      </c>
      <c r="O50" s="273" t="s">
        <v>75</v>
      </c>
    </row>
    <row r="51" spans="1:15" ht="27.75">
      <c r="A51" s="194">
        <v>2026</v>
      </c>
      <c r="B51" s="194" t="s">
        <v>92</v>
      </c>
      <c r="C51" s="194" t="s">
        <v>121</v>
      </c>
      <c r="D51" s="62" t="s">
        <v>89</v>
      </c>
      <c r="E51" s="194">
        <v>2026</v>
      </c>
      <c r="F51" s="194" t="s">
        <v>90</v>
      </c>
      <c r="G51" s="197" t="s">
        <v>122</v>
      </c>
      <c r="H51" s="198"/>
      <c r="I51" s="198"/>
      <c r="J51" s="243"/>
      <c r="K51" s="239" t="s">
        <v>75</v>
      </c>
      <c r="L51" s="275" t="s">
        <v>75</v>
      </c>
      <c r="M51" s="273" t="s">
        <v>75</v>
      </c>
      <c r="N51" s="273" t="s">
        <v>75</v>
      </c>
      <c r="O51" s="273" t="s">
        <v>75</v>
      </c>
    </row>
    <row r="52" spans="1:15" ht="27.75">
      <c r="A52" s="194">
        <v>2026</v>
      </c>
      <c r="B52" s="194" t="s">
        <v>92</v>
      </c>
      <c r="C52" s="194" t="s">
        <v>123</v>
      </c>
      <c r="D52" s="62" t="s">
        <v>89</v>
      </c>
      <c r="E52" s="194">
        <v>2026</v>
      </c>
      <c r="F52" s="194" t="s">
        <v>90</v>
      </c>
      <c r="G52" s="197" t="s">
        <v>124</v>
      </c>
      <c r="H52" s="198"/>
      <c r="I52" s="198"/>
      <c r="J52" s="243"/>
      <c r="K52" s="239" t="s">
        <v>75</v>
      </c>
      <c r="L52" s="275"/>
      <c r="M52" s="273" t="s">
        <v>75</v>
      </c>
      <c r="N52" s="273"/>
      <c r="O52" s="273" t="s">
        <v>75</v>
      </c>
    </row>
    <row r="53" spans="1:15" ht="27.75">
      <c r="A53" s="194">
        <v>2026</v>
      </c>
      <c r="B53" s="194" t="s">
        <v>92</v>
      </c>
      <c r="C53" s="194" t="s">
        <v>125</v>
      </c>
      <c r="D53" s="62" t="s">
        <v>89</v>
      </c>
      <c r="E53" s="194">
        <v>2026</v>
      </c>
      <c r="F53" s="194" t="s">
        <v>90</v>
      </c>
      <c r="G53" s="197" t="s">
        <v>122</v>
      </c>
      <c r="H53" s="271"/>
      <c r="I53" s="271"/>
      <c r="J53" s="272"/>
      <c r="K53" s="240"/>
      <c r="L53" s="275" t="s">
        <v>75</v>
      </c>
      <c r="M53" s="273" t="s">
        <v>75</v>
      </c>
      <c r="N53" s="273" t="s">
        <v>75</v>
      </c>
      <c r="O53" s="273" t="s">
        <v>75</v>
      </c>
    </row>
    <row r="54" spans="1:15" ht="27.75">
      <c r="A54" s="194">
        <v>2026</v>
      </c>
      <c r="B54" s="194" t="s">
        <v>92</v>
      </c>
      <c r="C54" s="194" t="s">
        <v>126</v>
      </c>
      <c r="D54" s="62" t="s">
        <v>89</v>
      </c>
      <c r="E54" s="194">
        <v>2026</v>
      </c>
      <c r="F54" s="194" t="s">
        <v>90</v>
      </c>
      <c r="G54" s="269" t="s">
        <v>127</v>
      </c>
      <c r="H54" s="240"/>
      <c r="I54" s="270"/>
      <c r="J54" s="238"/>
      <c r="K54" s="270"/>
      <c r="L54" s="273"/>
      <c r="M54" s="273"/>
      <c r="N54" s="273"/>
      <c r="O54" s="273" t="s">
        <v>75</v>
      </c>
    </row>
    <row r="55" spans="1:15" ht="12.75">
      <c r="G55" s="70"/>
    </row>
    <row r="56" spans="1:15" ht="12.75">
      <c r="G56" s="70"/>
    </row>
    <row r="57" spans="1:15" ht="12.75">
      <c r="G57" s="70"/>
    </row>
    <row r="58" spans="1:15" ht="12.75">
      <c r="G58" s="70"/>
    </row>
    <row r="59" spans="1:15" ht="12.75">
      <c r="G59" s="70"/>
    </row>
    <row r="60" spans="1:15" ht="12.75">
      <c r="G60" s="70"/>
    </row>
    <row r="61" spans="1:15" ht="12.75">
      <c r="G61" s="70"/>
    </row>
    <row r="62" spans="1:15" ht="12.75">
      <c r="G62" s="70"/>
    </row>
    <row r="63" spans="1:15" ht="12.75">
      <c r="G63" s="70"/>
    </row>
    <row r="64" spans="1:15" ht="12.75">
      <c r="G64" s="70"/>
    </row>
    <row r="65" spans="7:7" ht="12.75">
      <c r="G65" s="70"/>
    </row>
    <row r="66" spans="7:7" ht="12.75">
      <c r="G66" s="70"/>
    </row>
    <row r="67" spans="7:7" ht="12.75">
      <c r="G67" s="70"/>
    </row>
    <row r="68" spans="7:7" ht="12.75">
      <c r="G68" s="70"/>
    </row>
    <row r="69" spans="7:7" ht="12.75">
      <c r="G69" s="70"/>
    </row>
    <row r="70" spans="7:7" ht="12.75">
      <c r="G70" s="70"/>
    </row>
    <row r="71" spans="7:7" ht="12.75">
      <c r="G71" s="70"/>
    </row>
    <row r="72" spans="7:7" ht="12.75">
      <c r="G72" s="70"/>
    </row>
    <row r="73" spans="7:7" ht="12.75">
      <c r="G73" s="70"/>
    </row>
    <row r="74" spans="7:7" ht="12.75">
      <c r="G74" s="70"/>
    </row>
    <row r="75" spans="7:7" ht="12.75">
      <c r="G75" s="70"/>
    </row>
    <row r="76" spans="7:7" ht="12.75">
      <c r="G76" s="70"/>
    </row>
    <row r="77" spans="7:7" ht="12.75">
      <c r="G77" s="70"/>
    </row>
    <row r="78" spans="7:7" ht="12.75">
      <c r="G78" s="70"/>
    </row>
    <row r="79" spans="7:7" ht="12.75">
      <c r="G79" s="70"/>
    </row>
    <row r="80" spans="7:7" ht="12.75">
      <c r="G80" s="70"/>
    </row>
    <row r="81" spans="7:7" ht="12.75">
      <c r="G81" s="70"/>
    </row>
    <row r="82" spans="7:7" ht="12.75">
      <c r="G82" s="70"/>
    </row>
    <row r="83" spans="7:7" ht="12.75">
      <c r="G83" s="70"/>
    </row>
    <row r="84" spans="7:7" ht="12.75">
      <c r="G84" s="70"/>
    </row>
    <row r="85" spans="7:7" ht="12.75">
      <c r="G85" s="70"/>
    </row>
    <row r="86" spans="7:7" ht="12.75">
      <c r="G86" s="70"/>
    </row>
    <row r="87" spans="7:7" ht="12.75">
      <c r="G87" s="70"/>
    </row>
    <row r="88" spans="7:7" ht="12.75">
      <c r="G88" s="70"/>
    </row>
    <row r="89" spans="7:7" ht="12.75">
      <c r="G89" s="70"/>
    </row>
    <row r="90" spans="7:7" ht="12.75">
      <c r="G90" s="70"/>
    </row>
    <row r="91" spans="7:7" ht="12.75">
      <c r="G91" s="70"/>
    </row>
    <row r="92" spans="7:7" ht="12.75">
      <c r="G92" s="70"/>
    </row>
    <row r="93" spans="7:7" ht="12.75">
      <c r="G93" s="70"/>
    </row>
    <row r="94" spans="7:7" ht="12.75">
      <c r="G94" s="70"/>
    </row>
    <row r="95" spans="7:7" ht="12.75">
      <c r="G95" s="70"/>
    </row>
    <row r="96" spans="7:7" ht="12.75">
      <c r="G96" s="70"/>
    </row>
    <row r="97" spans="7:7" ht="12.75">
      <c r="G97" s="70"/>
    </row>
    <row r="98" spans="7:7" ht="12.75">
      <c r="G98" s="70"/>
    </row>
    <row r="99" spans="7:7" ht="12.75">
      <c r="G99" s="70"/>
    </row>
    <row r="100" spans="7:7" ht="12.75">
      <c r="G100" s="70"/>
    </row>
    <row r="101" spans="7:7" ht="12.75">
      <c r="G101" s="70"/>
    </row>
    <row r="102" spans="7:7" ht="12.75">
      <c r="G102" s="70"/>
    </row>
    <row r="103" spans="7:7" ht="12.75">
      <c r="G103" s="70"/>
    </row>
    <row r="104" spans="7:7" ht="12.75">
      <c r="G104" s="70"/>
    </row>
    <row r="105" spans="7:7" ht="12.75">
      <c r="G105" s="70"/>
    </row>
    <row r="106" spans="7:7" ht="12.75">
      <c r="G106" s="70"/>
    </row>
    <row r="107" spans="7:7" ht="12.75">
      <c r="G107" s="70"/>
    </row>
    <row r="108" spans="7:7" ht="12.75">
      <c r="G108" s="70"/>
    </row>
    <row r="109" spans="7:7" ht="12.75">
      <c r="G109" s="70"/>
    </row>
    <row r="110" spans="7:7" ht="12.75">
      <c r="G110" s="70"/>
    </row>
    <row r="111" spans="7:7" ht="12.75">
      <c r="G111" s="70"/>
    </row>
    <row r="112" spans="7:7" ht="12.75">
      <c r="G112" s="70"/>
    </row>
    <row r="113" spans="7:7" ht="12.75">
      <c r="G113" s="70"/>
    </row>
    <row r="114" spans="7:7" ht="12.75">
      <c r="G114" s="70"/>
    </row>
    <row r="115" spans="7:7" ht="12.75">
      <c r="G115" s="70"/>
    </row>
    <row r="116" spans="7:7" ht="12.75">
      <c r="G116" s="70"/>
    </row>
    <row r="117" spans="7:7" ht="12.75">
      <c r="G117" s="70"/>
    </row>
    <row r="118" spans="7:7" ht="12.75">
      <c r="G118" s="70"/>
    </row>
    <row r="119" spans="7:7" ht="12.75">
      <c r="G119" s="70"/>
    </row>
    <row r="120" spans="7:7" ht="12.75">
      <c r="G120" s="70"/>
    </row>
    <row r="121" spans="7:7" ht="12.75">
      <c r="G121" s="70"/>
    </row>
    <row r="122" spans="7:7" ht="12.75">
      <c r="G122" s="70"/>
    </row>
    <row r="123" spans="7:7" ht="12.75">
      <c r="G123" s="70"/>
    </row>
    <row r="124" spans="7:7" ht="12.75">
      <c r="G124" s="70"/>
    </row>
    <row r="125" spans="7:7" ht="12.75">
      <c r="G125" s="70"/>
    </row>
    <row r="126" spans="7:7" ht="12.75">
      <c r="G126" s="70"/>
    </row>
    <row r="127" spans="7:7" ht="12.75">
      <c r="G127" s="70"/>
    </row>
    <row r="128" spans="7:7" ht="12.75">
      <c r="G128" s="70"/>
    </row>
    <row r="129" spans="7:7" ht="12.75">
      <c r="G129" s="70"/>
    </row>
    <row r="130" spans="7:7" ht="12.75">
      <c r="G130" s="70"/>
    </row>
    <row r="131" spans="7:7" ht="12.75">
      <c r="G131" s="70"/>
    </row>
    <row r="132" spans="7:7" ht="12.75">
      <c r="G132" s="70"/>
    </row>
    <row r="133" spans="7:7" ht="12.75">
      <c r="G133" s="70"/>
    </row>
    <row r="134" spans="7:7" ht="12.75">
      <c r="G134" s="70"/>
    </row>
    <row r="135" spans="7:7" ht="12.75">
      <c r="G135" s="70"/>
    </row>
    <row r="136" spans="7:7" ht="12.75">
      <c r="G136" s="70"/>
    </row>
    <row r="137" spans="7:7" ht="12.75">
      <c r="G137" s="70"/>
    </row>
    <row r="138" spans="7:7" ht="12.75">
      <c r="G138" s="70"/>
    </row>
    <row r="139" spans="7:7" ht="12.75">
      <c r="G139" s="70"/>
    </row>
    <row r="140" spans="7:7" ht="12.75">
      <c r="G140" s="70"/>
    </row>
    <row r="141" spans="7:7" ht="12.75">
      <c r="G141" s="70"/>
    </row>
    <row r="142" spans="7:7" ht="12.75">
      <c r="G142" s="70"/>
    </row>
    <row r="143" spans="7:7" ht="12.75">
      <c r="G143" s="70"/>
    </row>
    <row r="144" spans="7:7" ht="12.75">
      <c r="G144" s="70"/>
    </row>
    <row r="145" spans="7:7" ht="12.75">
      <c r="G145" s="70"/>
    </row>
    <row r="146" spans="7:7" ht="12.75">
      <c r="G146" s="70"/>
    </row>
    <row r="147" spans="7:7" ht="12.75">
      <c r="G147" s="70"/>
    </row>
    <row r="148" spans="7:7" ht="12.75">
      <c r="G148" s="70"/>
    </row>
    <row r="149" spans="7:7" ht="12.75">
      <c r="G149" s="70"/>
    </row>
    <row r="150" spans="7:7" ht="12.75">
      <c r="G150" s="70"/>
    </row>
    <row r="151" spans="7:7" ht="12.75">
      <c r="G151" s="70"/>
    </row>
    <row r="152" spans="7:7" ht="12.75">
      <c r="G152" s="70"/>
    </row>
    <row r="153" spans="7:7" ht="12.75">
      <c r="G153" s="70"/>
    </row>
    <row r="154" spans="7:7" ht="12.75">
      <c r="G154" s="70"/>
    </row>
    <row r="155" spans="7:7" ht="12.75">
      <c r="G155" s="70"/>
    </row>
    <row r="156" spans="7:7" ht="12.75">
      <c r="G156" s="70"/>
    </row>
    <row r="157" spans="7:7" ht="12.75">
      <c r="G157" s="70"/>
    </row>
    <row r="158" spans="7:7" ht="12.75">
      <c r="G158" s="70"/>
    </row>
    <row r="159" spans="7:7" ht="12.75">
      <c r="G159" s="70"/>
    </row>
    <row r="160" spans="7:7" ht="12.75">
      <c r="G160" s="70"/>
    </row>
    <row r="161" spans="7:7" ht="12.75">
      <c r="G161" s="70"/>
    </row>
    <row r="162" spans="7:7" ht="12.75">
      <c r="G162" s="70"/>
    </row>
    <row r="163" spans="7:7" ht="12.75">
      <c r="G163" s="70"/>
    </row>
    <row r="164" spans="7:7" ht="12.75">
      <c r="G164" s="70"/>
    </row>
    <row r="165" spans="7:7" ht="12.75">
      <c r="G165" s="70"/>
    </row>
    <row r="166" spans="7:7" ht="12.75">
      <c r="G166" s="70"/>
    </row>
    <row r="167" spans="7:7" ht="12.75">
      <c r="G167" s="70"/>
    </row>
    <row r="168" spans="7:7" ht="12.75">
      <c r="G168" s="70"/>
    </row>
    <row r="169" spans="7:7" ht="12.75">
      <c r="G169" s="70"/>
    </row>
    <row r="170" spans="7:7" ht="12.75">
      <c r="G170" s="70"/>
    </row>
    <row r="171" spans="7:7" ht="12.75">
      <c r="G171" s="70"/>
    </row>
    <row r="172" spans="7:7" ht="12.75">
      <c r="G172" s="70"/>
    </row>
    <row r="173" spans="7:7" ht="12.75">
      <c r="G173" s="70"/>
    </row>
    <row r="174" spans="7:7" ht="12.75">
      <c r="G174" s="70"/>
    </row>
    <row r="175" spans="7:7" ht="12.75">
      <c r="G175" s="70"/>
    </row>
    <row r="176" spans="7:7" ht="12.75">
      <c r="G176" s="70"/>
    </row>
    <row r="177" spans="7:7" ht="12.75">
      <c r="G177" s="70"/>
    </row>
    <row r="178" spans="7:7" ht="12.75">
      <c r="G178" s="70"/>
    </row>
    <row r="179" spans="7:7" ht="12.75">
      <c r="G179" s="70"/>
    </row>
    <row r="180" spans="7:7" ht="12.75">
      <c r="G180" s="70"/>
    </row>
    <row r="181" spans="7:7" ht="12.75">
      <c r="G181" s="70"/>
    </row>
    <row r="182" spans="7:7" ht="12.75">
      <c r="G182" s="70"/>
    </row>
    <row r="183" spans="7:7" ht="12.75">
      <c r="G183" s="70"/>
    </row>
    <row r="184" spans="7:7" ht="12.75">
      <c r="G184" s="70"/>
    </row>
    <row r="185" spans="7:7" ht="12.75">
      <c r="G185" s="70"/>
    </row>
    <row r="186" spans="7:7" ht="12.75">
      <c r="G186" s="70"/>
    </row>
    <row r="187" spans="7:7" ht="12.75">
      <c r="G187" s="70"/>
    </row>
    <row r="188" spans="7:7" ht="12.75">
      <c r="G188" s="70"/>
    </row>
    <row r="189" spans="7:7" ht="12.75">
      <c r="G189" s="70"/>
    </row>
    <row r="190" spans="7:7" ht="12.75">
      <c r="G190" s="70"/>
    </row>
    <row r="191" spans="7:7" ht="12.75">
      <c r="G191" s="70"/>
    </row>
    <row r="192" spans="7:7" ht="12.75">
      <c r="G192" s="70"/>
    </row>
    <row r="193" spans="7:7" ht="12.75">
      <c r="G193" s="70"/>
    </row>
    <row r="194" spans="7:7" ht="12.75">
      <c r="G194" s="70"/>
    </row>
    <row r="195" spans="7:7" ht="12.75">
      <c r="G195" s="70"/>
    </row>
    <row r="196" spans="7:7" ht="12.75">
      <c r="G196" s="70"/>
    </row>
    <row r="197" spans="7:7" ht="12.75">
      <c r="G197" s="70"/>
    </row>
    <row r="198" spans="7:7" ht="12.75">
      <c r="G198" s="70"/>
    </row>
    <row r="199" spans="7:7" ht="12.75">
      <c r="G199" s="70"/>
    </row>
    <row r="200" spans="7:7" ht="12.75">
      <c r="G200" s="70"/>
    </row>
    <row r="201" spans="7:7" ht="12.75">
      <c r="G201" s="70"/>
    </row>
    <row r="202" spans="7:7" ht="12.75">
      <c r="G202" s="70"/>
    </row>
    <row r="203" spans="7:7" ht="12.75">
      <c r="G203" s="70"/>
    </row>
    <row r="204" spans="7:7" ht="12.75">
      <c r="G204" s="70"/>
    </row>
    <row r="205" spans="7:7" ht="12.75">
      <c r="G205" s="70"/>
    </row>
    <row r="206" spans="7:7" ht="12.75">
      <c r="G206" s="70"/>
    </row>
    <row r="207" spans="7:7" ht="12.75">
      <c r="G207" s="70"/>
    </row>
    <row r="208" spans="7:7" ht="12.75">
      <c r="G208" s="70"/>
    </row>
    <row r="209" spans="7:7" ht="12.75">
      <c r="G209" s="70"/>
    </row>
    <row r="210" spans="7:7" ht="12.75">
      <c r="G210" s="70"/>
    </row>
    <row r="211" spans="7:7" ht="12.75">
      <c r="G211" s="70"/>
    </row>
    <row r="212" spans="7:7" ht="12.75">
      <c r="G212" s="70"/>
    </row>
    <row r="213" spans="7:7" ht="12.75">
      <c r="G213" s="70"/>
    </row>
    <row r="214" spans="7:7" ht="12.75">
      <c r="G214" s="70"/>
    </row>
    <row r="215" spans="7:7" ht="12.75">
      <c r="G215" s="70"/>
    </row>
    <row r="216" spans="7:7" ht="12.75">
      <c r="G216" s="70"/>
    </row>
    <row r="217" spans="7:7" ht="12.75">
      <c r="G217" s="70"/>
    </row>
    <row r="218" spans="7:7" ht="12.75">
      <c r="G218" s="70"/>
    </row>
    <row r="219" spans="7:7" ht="12.75">
      <c r="G219" s="70"/>
    </row>
    <row r="220" spans="7:7" ht="12.75">
      <c r="G220" s="70"/>
    </row>
    <row r="221" spans="7:7" ht="12.75">
      <c r="G221" s="70"/>
    </row>
    <row r="222" spans="7:7" ht="12.75">
      <c r="G222" s="70"/>
    </row>
    <row r="223" spans="7:7" ht="12.75">
      <c r="G223" s="70"/>
    </row>
    <row r="224" spans="7:7" ht="12.75">
      <c r="G224" s="70"/>
    </row>
    <row r="225" spans="7:7" ht="12.75">
      <c r="G225" s="70"/>
    </row>
    <row r="226" spans="7:7" ht="12.75">
      <c r="G226" s="70"/>
    </row>
    <row r="227" spans="7:7" ht="12.75">
      <c r="G227" s="70"/>
    </row>
    <row r="228" spans="7:7" ht="12.75">
      <c r="G228" s="70"/>
    </row>
    <row r="229" spans="7:7" ht="12.75">
      <c r="G229" s="70"/>
    </row>
    <row r="230" spans="7:7" ht="12.75">
      <c r="G230" s="70"/>
    </row>
    <row r="231" spans="7:7" ht="12.75">
      <c r="G231" s="70"/>
    </row>
    <row r="232" spans="7:7" ht="12.75">
      <c r="G232" s="70"/>
    </row>
    <row r="233" spans="7:7" ht="12.75">
      <c r="G233" s="70"/>
    </row>
    <row r="234" spans="7:7" ht="12.75">
      <c r="G234" s="70"/>
    </row>
    <row r="235" spans="7:7" ht="12.75">
      <c r="G235" s="70"/>
    </row>
    <row r="236" spans="7:7" ht="12.75">
      <c r="G236" s="70"/>
    </row>
    <row r="237" spans="7:7" ht="12.75">
      <c r="G237" s="70"/>
    </row>
    <row r="238" spans="7:7" ht="12.75">
      <c r="G238" s="70"/>
    </row>
    <row r="239" spans="7:7" ht="12.75">
      <c r="G239" s="70"/>
    </row>
    <row r="240" spans="7:7" ht="12.75">
      <c r="G240" s="70"/>
    </row>
    <row r="241" spans="7:7" ht="12.75">
      <c r="G241" s="70"/>
    </row>
    <row r="242" spans="7:7" ht="12.75">
      <c r="G242" s="70"/>
    </row>
    <row r="243" spans="7:7" ht="12.75">
      <c r="G243" s="70"/>
    </row>
    <row r="244" spans="7:7" ht="12.75">
      <c r="G244" s="70"/>
    </row>
    <row r="245" spans="7:7" ht="12.75">
      <c r="G245" s="70"/>
    </row>
    <row r="246" spans="7:7" ht="12.75">
      <c r="G246" s="70"/>
    </row>
    <row r="247" spans="7:7" ht="12.75">
      <c r="G247" s="70"/>
    </row>
    <row r="248" spans="7:7" ht="12.75">
      <c r="G248" s="70"/>
    </row>
    <row r="249" spans="7:7" ht="12.75">
      <c r="G249" s="70"/>
    </row>
    <row r="250" spans="7:7" ht="12.75">
      <c r="G250" s="70"/>
    </row>
    <row r="251" spans="7:7" ht="12.75">
      <c r="G251" s="70"/>
    </row>
    <row r="252" spans="7:7" ht="12.75">
      <c r="G252" s="70"/>
    </row>
    <row r="253" spans="7:7" ht="12.75">
      <c r="G253" s="70"/>
    </row>
    <row r="254" spans="7:7" ht="12.75">
      <c r="G254" s="70"/>
    </row>
    <row r="255" spans="7:7" ht="12.75">
      <c r="G255" s="70"/>
    </row>
    <row r="256" spans="7:7" ht="12.75">
      <c r="G256" s="70"/>
    </row>
    <row r="257" spans="7:7" ht="12.75">
      <c r="G257" s="70"/>
    </row>
    <row r="258" spans="7:7" ht="12.75">
      <c r="G258" s="70"/>
    </row>
    <row r="259" spans="7:7" ht="12.75">
      <c r="G259" s="70"/>
    </row>
    <row r="260" spans="7:7" ht="12.75">
      <c r="G260" s="70"/>
    </row>
    <row r="261" spans="7:7" ht="12.75">
      <c r="G261" s="70"/>
    </row>
    <row r="262" spans="7:7" ht="12.75">
      <c r="G262" s="70"/>
    </row>
    <row r="263" spans="7:7" ht="12.75">
      <c r="G263" s="70"/>
    </row>
    <row r="264" spans="7:7" ht="12.75">
      <c r="G264" s="70"/>
    </row>
    <row r="265" spans="7:7" ht="12.75">
      <c r="G265" s="70"/>
    </row>
    <row r="266" spans="7:7" ht="12.75">
      <c r="G266" s="70"/>
    </row>
    <row r="267" spans="7:7" ht="12.75">
      <c r="G267" s="70"/>
    </row>
    <row r="268" spans="7:7" ht="12.75">
      <c r="G268" s="70"/>
    </row>
    <row r="269" spans="7:7" ht="12.75">
      <c r="G269" s="70"/>
    </row>
    <row r="270" spans="7:7" ht="12.75">
      <c r="G270" s="70"/>
    </row>
    <row r="271" spans="7:7" ht="12.75">
      <c r="G271" s="70"/>
    </row>
    <row r="272" spans="7:7" ht="12.75">
      <c r="G272" s="70"/>
    </row>
    <row r="273" spans="7:7" ht="12.75">
      <c r="G273" s="70"/>
    </row>
    <row r="274" spans="7:7" ht="12.75">
      <c r="G274" s="70"/>
    </row>
    <row r="275" spans="7:7" ht="12.75">
      <c r="G275" s="70"/>
    </row>
    <row r="276" spans="7:7" ht="12.75">
      <c r="G276" s="70"/>
    </row>
    <row r="277" spans="7:7" ht="12.75">
      <c r="G277" s="70"/>
    </row>
    <row r="278" spans="7:7" ht="12.75">
      <c r="G278" s="70"/>
    </row>
    <row r="279" spans="7:7" ht="12.75">
      <c r="G279" s="70"/>
    </row>
    <row r="280" spans="7:7" ht="12.75">
      <c r="G280" s="70"/>
    </row>
    <row r="281" spans="7:7" ht="12.75">
      <c r="G281" s="70"/>
    </row>
    <row r="282" spans="7:7" ht="12.75">
      <c r="G282" s="70"/>
    </row>
    <row r="283" spans="7:7" ht="12.75">
      <c r="G283" s="70"/>
    </row>
    <row r="284" spans="7:7" ht="12.75">
      <c r="G284" s="70"/>
    </row>
    <row r="285" spans="7:7" ht="12.75">
      <c r="G285" s="70"/>
    </row>
    <row r="286" spans="7:7" ht="12.75">
      <c r="G286" s="70"/>
    </row>
    <row r="287" spans="7:7" ht="12.75">
      <c r="G287" s="70"/>
    </row>
    <row r="288" spans="7:7" ht="12.75">
      <c r="G288" s="70"/>
    </row>
    <row r="289" spans="7:7" ht="12.75">
      <c r="G289" s="70"/>
    </row>
    <row r="290" spans="7:7" ht="12.75">
      <c r="G290" s="70"/>
    </row>
    <row r="291" spans="7:7" ht="12.75">
      <c r="G291" s="70"/>
    </row>
    <row r="292" spans="7:7" ht="12.75">
      <c r="G292" s="70"/>
    </row>
    <row r="293" spans="7:7" ht="12.75">
      <c r="G293" s="70"/>
    </row>
    <row r="294" spans="7:7" ht="12.75">
      <c r="G294" s="70"/>
    </row>
    <row r="295" spans="7:7" ht="12.75">
      <c r="G295" s="70"/>
    </row>
    <row r="296" spans="7:7" ht="12.75">
      <c r="G296" s="70"/>
    </row>
    <row r="297" spans="7:7" ht="12.75">
      <c r="G297" s="70"/>
    </row>
    <row r="298" spans="7:7" ht="12.75">
      <c r="G298" s="70"/>
    </row>
    <row r="299" spans="7:7" ht="12.75">
      <c r="G299" s="70"/>
    </row>
    <row r="300" spans="7:7" ht="12.75">
      <c r="G300" s="70"/>
    </row>
    <row r="301" spans="7:7" ht="12.75">
      <c r="G301" s="70"/>
    </row>
    <row r="302" spans="7:7" ht="12.75">
      <c r="G302" s="70"/>
    </row>
    <row r="303" spans="7:7" ht="12.75">
      <c r="G303" s="70"/>
    </row>
    <row r="304" spans="7:7" ht="12.75">
      <c r="G304" s="70"/>
    </row>
    <row r="305" spans="7:7" ht="12.75">
      <c r="G305" s="70"/>
    </row>
    <row r="306" spans="7:7" ht="12.75">
      <c r="G306" s="70"/>
    </row>
    <row r="307" spans="7:7" ht="12.75">
      <c r="G307" s="70"/>
    </row>
    <row r="308" spans="7:7" ht="12.75">
      <c r="G308" s="70"/>
    </row>
    <row r="309" spans="7:7" ht="12.75">
      <c r="G309" s="70"/>
    </row>
    <row r="310" spans="7:7" ht="12.75">
      <c r="G310" s="70"/>
    </row>
    <row r="311" spans="7:7" ht="12.75">
      <c r="G311" s="70"/>
    </row>
    <row r="312" spans="7:7" ht="12.75">
      <c r="G312" s="70"/>
    </row>
    <row r="313" spans="7:7" ht="12.75">
      <c r="G313" s="70"/>
    </row>
    <row r="314" spans="7:7" ht="12.75">
      <c r="G314" s="70"/>
    </row>
    <row r="315" spans="7:7" ht="12.75">
      <c r="G315" s="70"/>
    </row>
    <row r="316" spans="7:7" ht="12.75">
      <c r="G316" s="70"/>
    </row>
    <row r="317" spans="7:7" ht="12.75">
      <c r="G317" s="70"/>
    </row>
    <row r="318" spans="7:7" ht="12.75">
      <c r="G318" s="70"/>
    </row>
    <row r="319" spans="7:7" ht="12.75">
      <c r="G319" s="70"/>
    </row>
    <row r="320" spans="7:7" ht="12.75">
      <c r="G320" s="70"/>
    </row>
    <row r="321" spans="7:7" ht="12.75">
      <c r="G321" s="70"/>
    </row>
    <row r="322" spans="7:7" ht="12.75">
      <c r="G322" s="70"/>
    </row>
    <row r="323" spans="7:7" ht="12.75">
      <c r="G323" s="70"/>
    </row>
    <row r="324" spans="7:7" ht="12.75">
      <c r="G324" s="70"/>
    </row>
    <row r="325" spans="7:7" ht="12.75">
      <c r="G325" s="70"/>
    </row>
    <row r="326" spans="7:7" ht="12.75">
      <c r="G326" s="70"/>
    </row>
    <row r="327" spans="7:7" ht="12.75">
      <c r="G327" s="70"/>
    </row>
    <row r="328" spans="7:7" ht="12.75">
      <c r="G328" s="70"/>
    </row>
    <row r="329" spans="7:7" ht="12.75">
      <c r="G329" s="70"/>
    </row>
    <row r="330" spans="7:7" ht="12.75">
      <c r="G330" s="70"/>
    </row>
    <row r="331" spans="7:7" ht="12.75">
      <c r="G331" s="70"/>
    </row>
    <row r="332" spans="7:7" ht="12.75">
      <c r="G332" s="70"/>
    </row>
    <row r="333" spans="7:7" ht="12.75">
      <c r="G333" s="70"/>
    </row>
    <row r="334" spans="7:7" ht="12.75">
      <c r="G334" s="70"/>
    </row>
    <row r="335" spans="7:7" ht="12.75">
      <c r="G335" s="70"/>
    </row>
    <row r="336" spans="7:7" ht="12.75">
      <c r="G336" s="70"/>
    </row>
    <row r="337" spans="7:7" ht="12.75">
      <c r="G337" s="70"/>
    </row>
    <row r="338" spans="7:7" ht="12.75">
      <c r="G338" s="70"/>
    </row>
    <row r="339" spans="7:7" ht="12.75">
      <c r="G339" s="70"/>
    </row>
    <row r="340" spans="7:7" ht="12.75">
      <c r="G340" s="70"/>
    </row>
    <row r="341" spans="7:7" ht="12.75">
      <c r="G341" s="70"/>
    </row>
    <row r="342" spans="7:7" ht="12.75">
      <c r="G342" s="70"/>
    </row>
    <row r="343" spans="7:7" ht="12.75">
      <c r="G343" s="70"/>
    </row>
    <row r="344" spans="7:7" ht="12.75">
      <c r="G344" s="70"/>
    </row>
    <row r="345" spans="7:7" ht="12.75">
      <c r="G345" s="70"/>
    </row>
    <row r="346" spans="7:7" ht="12.75">
      <c r="G346" s="70"/>
    </row>
    <row r="347" spans="7:7" ht="12.75">
      <c r="G347" s="70"/>
    </row>
    <row r="348" spans="7:7" ht="12.75">
      <c r="G348" s="70"/>
    </row>
    <row r="349" spans="7:7" ht="12.75">
      <c r="G349" s="70"/>
    </row>
    <row r="350" spans="7:7" ht="12.75">
      <c r="G350" s="70"/>
    </row>
    <row r="351" spans="7:7" ht="12.75">
      <c r="G351" s="70"/>
    </row>
    <row r="352" spans="7:7" ht="12.75">
      <c r="G352" s="70"/>
    </row>
    <row r="353" spans="7:7" ht="12.75">
      <c r="G353" s="70"/>
    </row>
    <row r="354" spans="7:7" ht="12.75">
      <c r="G354" s="70"/>
    </row>
    <row r="355" spans="7:7" ht="12.75">
      <c r="G355" s="70"/>
    </row>
    <row r="356" spans="7:7" ht="12.75">
      <c r="G356" s="70"/>
    </row>
    <row r="357" spans="7:7" ht="12.75">
      <c r="G357" s="70"/>
    </row>
    <row r="358" spans="7:7" ht="12.75">
      <c r="G358" s="70"/>
    </row>
    <row r="359" spans="7:7" ht="12.75">
      <c r="G359" s="70"/>
    </row>
    <row r="360" spans="7:7" ht="12.75">
      <c r="G360" s="70"/>
    </row>
    <row r="361" spans="7:7" ht="12.75">
      <c r="G361" s="70"/>
    </row>
    <row r="362" spans="7:7" ht="12.75">
      <c r="G362" s="70"/>
    </row>
    <row r="363" spans="7:7" ht="12.75">
      <c r="G363" s="70"/>
    </row>
    <row r="364" spans="7:7" ht="12.75">
      <c r="G364" s="70"/>
    </row>
    <row r="365" spans="7:7" ht="12.75">
      <c r="G365" s="70"/>
    </row>
    <row r="366" spans="7:7" ht="12.75">
      <c r="G366" s="70"/>
    </row>
    <row r="367" spans="7:7" ht="12.75">
      <c r="G367" s="70"/>
    </row>
    <row r="368" spans="7:7" ht="12.75">
      <c r="G368" s="70"/>
    </row>
    <row r="369" spans="7:7" ht="12.75">
      <c r="G369" s="70"/>
    </row>
    <row r="370" spans="7:7" ht="12.75">
      <c r="G370" s="70"/>
    </row>
    <row r="371" spans="7:7" ht="12.75">
      <c r="G371" s="70"/>
    </row>
    <row r="372" spans="7:7" ht="12.75">
      <c r="G372" s="70"/>
    </row>
    <row r="373" spans="7:7" ht="12.75">
      <c r="G373" s="70"/>
    </row>
    <row r="374" spans="7:7" ht="12.75">
      <c r="G374" s="70"/>
    </row>
    <row r="375" spans="7:7" ht="12.75">
      <c r="G375" s="70"/>
    </row>
    <row r="376" spans="7:7" ht="12.75">
      <c r="G376" s="70"/>
    </row>
    <row r="377" spans="7:7" ht="12.75">
      <c r="G377" s="70"/>
    </row>
    <row r="378" spans="7:7" ht="12.75">
      <c r="G378" s="70"/>
    </row>
    <row r="379" spans="7:7" ht="12.75">
      <c r="G379" s="70"/>
    </row>
    <row r="380" spans="7:7" ht="12.75">
      <c r="G380" s="70"/>
    </row>
    <row r="381" spans="7:7" ht="12.75">
      <c r="G381" s="70"/>
    </row>
    <row r="382" spans="7:7" ht="12.75">
      <c r="G382" s="70"/>
    </row>
    <row r="383" spans="7:7" ht="12.75">
      <c r="G383" s="70"/>
    </row>
    <row r="384" spans="7:7" ht="12.75">
      <c r="G384" s="70"/>
    </row>
    <row r="385" spans="7:7" ht="12.75">
      <c r="G385" s="70"/>
    </row>
    <row r="386" spans="7:7" ht="12.75">
      <c r="G386" s="70"/>
    </row>
    <row r="387" spans="7:7" ht="12.75">
      <c r="G387" s="70"/>
    </row>
    <row r="388" spans="7:7" ht="12.75">
      <c r="G388" s="70"/>
    </row>
    <row r="389" spans="7:7" ht="12.75">
      <c r="G389" s="70"/>
    </row>
    <row r="390" spans="7:7" ht="12.75">
      <c r="G390" s="70"/>
    </row>
    <row r="391" spans="7:7" ht="12.75">
      <c r="G391" s="70"/>
    </row>
    <row r="392" spans="7:7" ht="12.75">
      <c r="G392" s="70"/>
    </row>
    <row r="393" spans="7:7" ht="12.75">
      <c r="G393" s="70"/>
    </row>
    <row r="394" spans="7:7" ht="12.75">
      <c r="G394" s="70"/>
    </row>
    <row r="395" spans="7:7" ht="12.75">
      <c r="G395" s="70"/>
    </row>
    <row r="396" spans="7:7" ht="12.75">
      <c r="G396" s="70"/>
    </row>
    <row r="397" spans="7:7" ht="12.75">
      <c r="G397" s="70"/>
    </row>
    <row r="398" spans="7:7" ht="12.75">
      <c r="G398" s="70"/>
    </row>
    <row r="399" spans="7:7" ht="12.75">
      <c r="G399" s="70"/>
    </row>
    <row r="400" spans="7:7" ht="12.75">
      <c r="G400" s="70"/>
    </row>
    <row r="401" spans="7:7" ht="12.75">
      <c r="G401" s="70"/>
    </row>
    <row r="402" spans="7:7" ht="12.75">
      <c r="G402" s="70"/>
    </row>
    <row r="403" spans="7:7" ht="12.75">
      <c r="G403" s="70"/>
    </row>
    <row r="404" spans="7:7" ht="12.75">
      <c r="G404" s="70"/>
    </row>
    <row r="405" spans="7:7" ht="12.75">
      <c r="G405" s="70"/>
    </row>
    <row r="406" spans="7:7" ht="12.75">
      <c r="G406" s="70"/>
    </row>
    <row r="407" spans="7:7" ht="12.75">
      <c r="G407" s="70"/>
    </row>
    <row r="408" spans="7:7" ht="12.75">
      <c r="G408" s="70"/>
    </row>
    <row r="409" spans="7:7" ht="12.75">
      <c r="G409" s="70"/>
    </row>
    <row r="410" spans="7:7" ht="12.75">
      <c r="G410" s="70"/>
    </row>
    <row r="411" spans="7:7" ht="12.75">
      <c r="G411" s="70"/>
    </row>
    <row r="412" spans="7:7" ht="12.75">
      <c r="G412" s="70"/>
    </row>
    <row r="413" spans="7:7" ht="12.75">
      <c r="G413" s="70"/>
    </row>
    <row r="414" spans="7:7" ht="12.75">
      <c r="G414" s="70"/>
    </row>
    <row r="415" spans="7:7" ht="12.75">
      <c r="G415" s="70"/>
    </row>
    <row r="416" spans="7:7" ht="12.75">
      <c r="G416" s="70"/>
    </row>
    <row r="417" spans="7:7" ht="12.75">
      <c r="G417" s="70"/>
    </row>
    <row r="418" spans="7:7" ht="12.75">
      <c r="G418" s="70"/>
    </row>
    <row r="419" spans="7:7" ht="12.75">
      <c r="G419" s="70"/>
    </row>
    <row r="420" spans="7:7" ht="12.75">
      <c r="G420" s="70"/>
    </row>
    <row r="421" spans="7:7" ht="12.75">
      <c r="G421" s="70"/>
    </row>
    <row r="422" spans="7:7" ht="12.75">
      <c r="G422" s="70"/>
    </row>
    <row r="423" spans="7:7" ht="12.75">
      <c r="G423" s="70"/>
    </row>
    <row r="424" spans="7:7" ht="12.75">
      <c r="G424" s="70"/>
    </row>
    <row r="425" spans="7:7" ht="12.75">
      <c r="G425" s="70"/>
    </row>
    <row r="426" spans="7:7" ht="12.75">
      <c r="G426" s="70"/>
    </row>
    <row r="427" spans="7:7" ht="12.75">
      <c r="G427" s="70"/>
    </row>
    <row r="428" spans="7:7" ht="12.75">
      <c r="G428" s="70"/>
    </row>
    <row r="429" spans="7:7" ht="12.75">
      <c r="G429" s="70"/>
    </row>
    <row r="430" spans="7:7" ht="12.75">
      <c r="G430" s="70"/>
    </row>
    <row r="431" spans="7:7" ht="12.75">
      <c r="G431" s="70"/>
    </row>
    <row r="432" spans="7:7" ht="12.75">
      <c r="G432" s="70"/>
    </row>
    <row r="433" spans="7:7" ht="12.75">
      <c r="G433" s="70"/>
    </row>
    <row r="434" spans="7:7" ht="12.75">
      <c r="G434" s="70"/>
    </row>
    <row r="435" spans="7:7" ht="12.75">
      <c r="G435" s="70"/>
    </row>
    <row r="436" spans="7:7" ht="12.75">
      <c r="G436" s="70"/>
    </row>
    <row r="437" spans="7:7" ht="12.75">
      <c r="G437" s="70"/>
    </row>
    <row r="438" spans="7:7" ht="12.75">
      <c r="G438" s="70"/>
    </row>
    <row r="439" spans="7:7" ht="12.75">
      <c r="G439" s="70"/>
    </row>
    <row r="440" spans="7:7" ht="12.75">
      <c r="G440" s="70"/>
    </row>
    <row r="441" spans="7:7" ht="12.75">
      <c r="G441" s="70"/>
    </row>
    <row r="442" spans="7:7" ht="12.75">
      <c r="G442" s="70"/>
    </row>
    <row r="443" spans="7:7" ht="12.75">
      <c r="G443" s="70"/>
    </row>
    <row r="444" spans="7:7" ht="12.75">
      <c r="G444" s="70"/>
    </row>
    <row r="445" spans="7:7" ht="12.75">
      <c r="G445" s="70"/>
    </row>
    <row r="446" spans="7:7" ht="12.75">
      <c r="G446" s="70"/>
    </row>
    <row r="447" spans="7:7" ht="12.75">
      <c r="G447" s="70"/>
    </row>
    <row r="448" spans="7:7" ht="12.75">
      <c r="G448" s="70"/>
    </row>
    <row r="449" spans="7:7" ht="12.75">
      <c r="G449" s="70"/>
    </row>
    <row r="450" spans="7:7" ht="12.75">
      <c r="G450" s="70"/>
    </row>
    <row r="451" spans="7:7" ht="12.75">
      <c r="G451" s="70"/>
    </row>
    <row r="452" spans="7:7" ht="12.75">
      <c r="G452" s="70"/>
    </row>
    <row r="453" spans="7:7" ht="12.75">
      <c r="G453" s="70"/>
    </row>
    <row r="454" spans="7:7" ht="12.75">
      <c r="G454" s="70"/>
    </row>
    <row r="455" spans="7:7" ht="12.75">
      <c r="G455" s="70"/>
    </row>
    <row r="456" spans="7:7" ht="12.75">
      <c r="G456" s="70"/>
    </row>
    <row r="457" spans="7:7" ht="12.75">
      <c r="G457" s="70"/>
    </row>
    <row r="458" spans="7:7" ht="12.75">
      <c r="G458" s="70"/>
    </row>
    <row r="459" spans="7:7" ht="12.75">
      <c r="G459" s="70"/>
    </row>
    <row r="460" spans="7:7" ht="12.75">
      <c r="G460" s="70"/>
    </row>
    <row r="461" spans="7:7" ht="12.75">
      <c r="G461" s="70"/>
    </row>
    <row r="462" spans="7:7" ht="12.75">
      <c r="G462" s="70"/>
    </row>
    <row r="463" spans="7:7" ht="12.75">
      <c r="G463" s="70"/>
    </row>
    <row r="464" spans="7:7" ht="12.75">
      <c r="G464" s="70"/>
    </row>
    <row r="465" spans="7:7" ht="12.75">
      <c r="G465" s="70"/>
    </row>
    <row r="466" spans="7:7" ht="12.75">
      <c r="G466" s="70"/>
    </row>
    <row r="467" spans="7:7" ht="12.75">
      <c r="G467" s="70"/>
    </row>
    <row r="468" spans="7:7" ht="12.75">
      <c r="G468" s="70"/>
    </row>
    <row r="469" spans="7:7" ht="12.75">
      <c r="G469" s="70"/>
    </row>
    <row r="470" spans="7:7" ht="12.75">
      <c r="G470" s="70"/>
    </row>
    <row r="471" spans="7:7" ht="12.75">
      <c r="G471" s="70"/>
    </row>
    <row r="472" spans="7:7" ht="12.75">
      <c r="G472" s="70"/>
    </row>
    <row r="473" spans="7:7" ht="12.75">
      <c r="G473" s="70"/>
    </row>
    <row r="474" spans="7:7" ht="12.75">
      <c r="G474" s="70"/>
    </row>
    <row r="475" spans="7:7" ht="12.75">
      <c r="G475" s="70"/>
    </row>
    <row r="476" spans="7:7" ht="12.75">
      <c r="G476" s="70"/>
    </row>
    <row r="477" spans="7:7" ht="12.75">
      <c r="G477" s="70"/>
    </row>
    <row r="478" spans="7:7" ht="12.75">
      <c r="G478" s="70"/>
    </row>
    <row r="479" spans="7:7" ht="12.75">
      <c r="G479" s="70"/>
    </row>
    <row r="480" spans="7:7" ht="12.75">
      <c r="G480" s="70"/>
    </row>
    <row r="481" spans="7:7" ht="12.75">
      <c r="G481" s="70"/>
    </row>
    <row r="482" spans="7:7" ht="12.75">
      <c r="G482" s="70"/>
    </row>
    <row r="483" spans="7:7" ht="12.75">
      <c r="G483" s="70"/>
    </row>
    <row r="484" spans="7:7" ht="12.75">
      <c r="G484" s="70"/>
    </row>
    <row r="485" spans="7:7" ht="12.75">
      <c r="G485" s="70"/>
    </row>
    <row r="486" spans="7:7" ht="12.75">
      <c r="G486" s="70"/>
    </row>
    <row r="487" spans="7:7" ht="12.75">
      <c r="G487" s="70"/>
    </row>
    <row r="488" spans="7:7" ht="12.75">
      <c r="G488" s="70"/>
    </row>
    <row r="489" spans="7:7" ht="12.75">
      <c r="G489" s="70"/>
    </row>
    <row r="490" spans="7:7" ht="12.75">
      <c r="G490" s="70"/>
    </row>
    <row r="491" spans="7:7" ht="12.75">
      <c r="G491" s="70"/>
    </row>
    <row r="492" spans="7:7" ht="12.75">
      <c r="G492" s="70"/>
    </row>
    <row r="493" spans="7:7" ht="12.75">
      <c r="G493" s="70"/>
    </row>
    <row r="494" spans="7:7" ht="12.75">
      <c r="G494" s="70"/>
    </row>
    <row r="495" spans="7:7" ht="12.75">
      <c r="G495" s="70"/>
    </row>
    <row r="496" spans="7:7" ht="12.75">
      <c r="G496" s="70"/>
    </row>
    <row r="497" spans="7:7" ht="12.75">
      <c r="G497" s="70"/>
    </row>
    <row r="498" spans="7:7" ht="12.75">
      <c r="G498" s="70"/>
    </row>
    <row r="499" spans="7:7" ht="12.75">
      <c r="G499" s="70"/>
    </row>
    <row r="500" spans="7:7" ht="12.75">
      <c r="G500" s="70"/>
    </row>
    <row r="501" spans="7:7" ht="12.75">
      <c r="G501" s="70"/>
    </row>
    <row r="502" spans="7:7" ht="12.75">
      <c r="G502" s="70"/>
    </row>
    <row r="503" spans="7:7" ht="12.75">
      <c r="G503" s="70"/>
    </row>
    <row r="504" spans="7:7" ht="12.75">
      <c r="G504" s="70"/>
    </row>
    <row r="505" spans="7:7" ht="12.75">
      <c r="G505" s="70"/>
    </row>
    <row r="506" spans="7:7" ht="12.75">
      <c r="G506" s="70"/>
    </row>
    <row r="507" spans="7:7" ht="12.75">
      <c r="G507" s="70"/>
    </row>
    <row r="508" spans="7:7" ht="12.75">
      <c r="G508" s="70"/>
    </row>
    <row r="509" spans="7:7" ht="12.75">
      <c r="G509" s="70"/>
    </row>
    <row r="510" spans="7:7" ht="12.75">
      <c r="G510" s="70"/>
    </row>
    <row r="511" spans="7:7" ht="12.75">
      <c r="G511" s="70"/>
    </row>
    <row r="512" spans="7:7" ht="12.75">
      <c r="G512" s="70"/>
    </row>
    <row r="513" spans="7:7" ht="12.75">
      <c r="G513" s="70"/>
    </row>
    <row r="514" spans="7:7" ht="12.75">
      <c r="G514" s="70"/>
    </row>
    <row r="515" spans="7:7" ht="12.75">
      <c r="G515" s="70"/>
    </row>
    <row r="516" spans="7:7" ht="12.75">
      <c r="G516" s="70"/>
    </row>
    <row r="517" spans="7:7" ht="12.75">
      <c r="G517" s="70"/>
    </row>
    <row r="518" spans="7:7" ht="12.75">
      <c r="G518" s="70"/>
    </row>
    <row r="519" spans="7:7" ht="12.75">
      <c r="G519" s="70"/>
    </row>
    <row r="520" spans="7:7" ht="12.75">
      <c r="G520" s="70"/>
    </row>
    <row r="521" spans="7:7" ht="12.75">
      <c r="G521" s="70"/>
    </row>
    <row r="522" spans="7:7" ht="12.75">
      <c r="G522" s="70"/>
    </row>
    <row r="523" spans="7:7" ht="12.75">
      <c r="G523" s="70"/>
    </row>
    <row r="524" spans="7:7" ht="12.75">
      <c r="G524" s="70"/>
    </row>
    <row r="525" spans="7:7" ht="12.75">
      <c r="G525" s="70"/>
    </row>
    <row r="526" spans="7:7" ht="12.75">
      <c r="G526" s="70"/>
    </row>
    <row r="527" spans="7:7" ht="12.75">
      <c r="G527" s="70"/>
    </row>
    <row r="528" spans="7:7" ht="12.75">
      <c r="G528" s="70"/>
    </row>
    <row r="529" spans="7:7" ht="12.75">
      <c r="G529" s="70"/>
    </row>
    <row r="530" spans="7:7" ht="12.75">
      <c r="G530" s="70"/>
    </row>
    <row r="531" spans="7:7" ht="12.75">
      <c r="G531" s="70"/>
    </row>
    <row r="532" spans="7:7" ht="12.75">
      <c r="G532" s="70"/>
    </row>
    <row r="533" spans="7:7" ht="12.75">
      <c r="G533" s="70"/>
    </row>
    <row r="534" spans="7:7" ht="12.75">
      <c r="G534" s="70"/>
    </row>
    <row r="535" spans="7:7" ht="12.75">
      <c r="G535" s="70"/>
    </row>
    <row r="536" spans="7:7" ht="12.75">
      <c r="G536" s="70"/>
    </row>
    <row r="537" spans="7:7" ht="12.75">
      <c r="G537" s="70"/>
    </row>
    <row r="538" spans="7:7" ht="12.75">
      <c r="G538" s="70"/>
    </row>
    <row r="539" spans="7:7" ht="12.75">
      <c r="G539" s="70"/>
    </row>
    <row r="540" spans="7:7" ht="12.75">
      <c r="G540" s="70"/>
    </row>
    <row r="541" spans="7:7" ht="12.75">
      <c r="G541" s="70"/>
    </row>
    <row r="542" spans="7:7" ht="12.75">
      <c r="G542" s="70"/>
    </row>
    <row r="543" spans="7:7" ht="12.75">
      <c r="G543" s="70"/>
    </row>
    <row r="544" spans="7:7" ht="12.75">
      <c r="G544" s="70"/>
    </row>
    <row r="545" spans="7:7" ht="12.75">
      <c r="G545" s="70"/>
    </row>
    <row r="546" spans="7:7" ht="12.75">
      <c r="G546" s="70"/>
    </row>
    <row r="547" spans="7:7" ht="12.75">
      <c r="G547" s="70"/>
    </row>
    <row r="548" spans="7:7" ht="12.75">
      <c r="G548" s="70"/>
    </row>
    <row r="549" spans="7:7" ht="12.75">
      <c r="G549" s="70"/>
    </row>
    <row r="550" spans="7:7" ht="12.75">
      <c r="G550" s="70"/>
    </row>
    <row r="551" spans="7:7" ht="12.75">
      <c r="G551" s="70"/>
    </row>
    <row r="552" spans="7:7" ht="12.75">
      <c r="G552" s="70"/>
    </row>
    <row r="553" spans="7:7" ht="12.75">
      <c r="G553" s="70"/>
    </row>
    <row r="554" spans="7:7" ht="12.75">
      <c r="G554" s="70"/>
    </row>
    <row r="555" spans="7:7" ht="12.75">
      <c r="G555" s="70"/>
    </row>
    <row r="556" spans="7:7" ht="12.75">
      <c r="G556" s="70"/>
    </row>
    <row r="557" spans="7:7" ht="12.75">
      <c r="G557" s="70"/>
    </row>
    <row r="558" spans="7:7" ht="12.75">
      <c r="G558" s="70"/>
    </row>
    <row r="559" spans="7:7" ht="12.75">
      <c r="G559" s="70"/>
    </row>
    <row r="560" spans="7:7" ht="12.75">
      <c r="G560" s="70"/>
    </row>
    <row r="561" spans="7:7" ht="12.75">
      <c r="G561" s="70"/>
    </row>
    <row r="562" spans="7:7" ht="12.75">
      <c r="G562" s="70"/>
    </row>
    <row r="563" spans="7:7" ht="12.75">
      <c r="G563" s="70"/>
    </row>
    <row r="564" spans="7:7" ht="12.75">
      <c r="G564" s="70"/>
    </row>
    <row r="565" spans="7:7" ht="12.75">
      <c r="G565" s="70"/>
    </row>
    <row r="566" spans="7:7" ht="12.75">
      <c r="G566" s="70"/>
    </row>
    <row r="567" spans="7:7" ht="12.75">
      <c r="G567" s="70"/>
    </row>
    <row r="568" spans="7:7" ht="12.75">
      <c r="G568" s="70"/>
    </row>
    <row r="569" spans="7:7" ht="12.75">
      <c r="G569" s="70"/>
    </row>
    <row r="570" spans="7:7" ht="12.75">
      <c r="G570" s="70"/>
    </row>
    <row r="571" spans="7:7" ht="12.75">
      <c r="G571" s="70"/>
    </row>
    <row r="572" spans="7:7" ht="12.75">
      <c r="G572" s="70"/>
    </row>
    <row r="573" spans="7:7" ht="12.75">
      <c r="G573" s="70"/>
    </row>
    <row r="574" spans="7:7" ht="12.75">
      <c r="G574" s="70"/>
    </row>
    <row r="575" spans="7:7" ht="12.75">
      <c r="G575" s="70"/>
    </row>
    <row r="576" spans="7:7" ht="12.75">
      <c r="G576" s="70"/>
    </row>
    <row r="577" spans="7:7" ht="12.75">
      <c r="G577" s="70"/>
    </row>
    <row r="578" spans="7:7" ht="12.75">
      <c r="G578" s="70"/>
    </row>
    <row r="579" spans="7:7" ht="12.75">
      <c r="G579" s="70"/>
    </row>
    <row r="580" spans="7:7" ht="12.75">
      <c r="G580" s="70"/>
    </row>
    <row r="581" spans="7:7" ht="12.75">
      <c r="G581" s="70"/>
    </row>
    <row r="582" spans="7:7" ht="12.75">
      <c r="G582" s="70"/>
    </row>
    <row r="583" spans="7:7" ht="12.75">
      <c r="G583" s="70"/>
    </row>
    <row r="584" spans="7:7" ht="12.75">
      <c r="G584" s="70"/>
    </row>
    <row r="585" spans="7:7" ht="12.75">
      <c r="G585" s="70"/>
    </row>
    <row r="586" spans="7:7" ht="12.75">
      <c r="G586" s="70"/>
    </row>
    <row r="587" spans="7:7" ht="12.75">
      <c r="G587" s="70"/>
    </row>
    <row r="588" spans="7:7" ht="12.75">
      <c r="G588" s="70"/>
    </row>
    <row r="589" spans="7:7" ht="12.75">
      <c r="G589" s="70"/>
    </row>
    <row r="590" spans="7:7" ht="12.75">
      <c r="G590" s="70"/>
    </row>
    <row r="591" spans="7:7" ht="12.75">
      <c r="G591" s="70"/>
    </row>
    <row r="592" spans="7:7" ht="12.75">
      <c r="G592" s="70"/>
    </row>
    <row r="593" spans="7:7" ht="12.75">
      <c r="G593" s="70"/>
    </row>
    <row r="594" spans="7:7" ht="12.75">
      <c r="G594" s="70"/>
    </row>
    <row r="595" spans="7:7" ht="12.75">
      <c r="G595" s="70"/>
    </row>
    <row r="596" spans="7:7" ht="12.75">
      <c r="G596" s="70"/>
    </row>
    <row r="597" spans="7:7" ht="12.75">
      <c r="G597" s="70"/>
    </row>
    <row r="598" spans="7:7" ht="12.75">
      <c r="G598" s="70"/>
    </row>
    <row r="599" spans="7:7" ht="12.75">
      <c r="G599" s="70"/>
    </row>
    <row r="600" spans="7:7" ht="12.75">
      <c r="G600" s="70"/>
    </row>
    <row r="601" spans="7:7" ht="12.75">
      <c r="G601" s="70"/>
    </row>
    <row r="602" spans="7:7" ht="12.75">
      <c r="G602" s="70"/>
    </row>
    <row r="603" spans="7:7" ht="12.75">
      <c r="G603" s="70"/>
    </row>
    <row r="604" spans="7:7" ht="12.75">
      <c r="G604" s="70"/>
    </row>
    <row r="605" spans="7:7" ht="12.75">
      <c r="G605" s="70"/>
    </row>
    <row r="606" spans="7:7" ht="12.75">
      <c r="G606" s="70"/>
    </row>
    <row r="607" spans="7:7" ht="12.75">
      <c r="G607" s="70"/>
    </row>
    <row r="608" spans="7:7" ht="12.75">
      <c r="G608" s="70"/>
    </row>
    <row r="609" spans="7:7" ht="12.75">
      <c r="G609" s="70"/>
    </row>
    <row r="610" spans="7:7" ht="12.75">
      <c r="G610" s="70"/>
    </row>
    <row r="611" spans="7:7" ht="12.75">
      <c r="G611" s="70"/>
    </row>
    <row r="612" spans="7:7" ht="12.75">
      <c r="G612" s="70"/>
    </row>
    <row r="613" spans="7:7" ht="12.75">
      <c r="G613" s="70"/>
    </row>
    <row r="614" spans="7:7" ht="12.75">
      <c r="G614" s="70"/>
    </row>
    <row r="615" spans="7:7" ht="12.75">
      <c r="G615" s="70"/>
    </row>
    <row r="616" spans="7:7" ht="12.75">
      <c r="G616" s="70"/>
    </row>
    <row r="617" spans="7:7" ht="12.75">
      <c r="G617" s="70"/>
    </row>
    <row r="618" spans="7:7" ht="12.75">
      <c r="G618" s="70"/>
    </row>
    <row r="619" spans="7:7" ht="12.75">
      <c r="G619" s="70"/>
    </row>
    <row r="620" spans="7:7" ht="12.75">
      <c r="G620" s="70"/>
    </row>
    <row r="621" spans="7:7" ht="12.75">
      <c r="G621" s="70"/>
    </row>
    <row r="622" spans="7:7" ht="12.75">
      <c r="G622" s="70"/>
    </row>
    <row r="623" spans="7:7" ht="12.75">
      <c r="G623" s="70"/>
    </row>
    <row r="624" spans="7:7" ht="12.75">
      <c r="G624" s="70"/>
    </row>
    <row r="625" spans="7:7" ht="12.75">
      <c r="G625" s="70"/>
    </row>
    <row r="626" spans="7:7" ht="12.75">
      <c r="G626" s="70"/>
    </row>
    <row r="627" spans="7:7" ht="12.75">
      <c r="G627" s="70"/>
    </row>
    <row r="628" spans="7:7" ht="12.75">
      <c r="G628" s="70"/>
    </row>
    <row r="629" spans="7:7" ht="12.75">
      <c r="G629" s="70"/>
    </row>
    <row r="630" spans="7:7" ht="12.75">
      <c r="G630" s="70"/>
    </row>
    <row r="631" spans="7:7" ht="12.75">
      <c r="G631" s="70"/>
    </row>
    <row r="632" spans="7:7" ht="12.75">
      <c r="G632" s="70"/>
    </row>
    <row r="633" spans="7:7" ht="12.75">
      <c r="G633" s="70"/>
    </row>
    <row r="634" spans="7:7" ht="12.75">
      <c r="G634" s="70"/>
    </row>
    <row r="635" spans="7:7" ht="12.75">
      <c r="G635" s="70"/>
    </row>
    <row r="636" spans="7:7" ht="12.75">
      <c r="G636" s="70"/>
    </row>
    <row r="637" spans="7:7" ht="12.75">
      <c r="G637" s="70"/>
    </row>
    <row r="638" spans="7:7" ht="12.75">
      <c r="G638" s="70"/>
    </row>
    <row r="639" spans="7:7" ht="12.75">
      <c r="G639" s="70"/>
    </row>
    <row r="640" spans="7:7" ht="12.75">
      <c r="G640" s="70"/>
    </row>
    <row r="641" spans="7:7" ht="12.75">
      <c r="G641" s="70"/>
    </row>
    <row r="642" spans="7:7" ht="12.75">
      <c r="G642" s="70"/>
    </row>
    <row r="643" spans="7:7" ht="12.75">
      <c r="G643" s="70"/>
    </row>
    <row r="644" spans="7:7" ht="12.75">
      <c r="G644" s="70"/>
    </row>
    <row r="645" spans="7:7" ht="12.75">
      <c r="G645" s="70"/>
    </row>
    <row r="646" spans="7:7" ht="12.75">
      <c r="G646" s="70"/>
    </row>
    <row r="647" spans="7:7" ht="12.75">
      <c r="G647" s="70"/>
    </row>
    <row r="648" spans="7:7" ht="12.75">
      <c r="G648" s="70"/>
    </row>
    <row r="649" spans="7:7" ht="12.75">
      <c r="G649" s="70"/>
    </row>
    <row r="650" spans="7:7" ht="12.75">
      <c r="G650" s="70"/>
    </row>
    <row r="651" spans="7:7" ht="12.75">
      <c r="G651" s="70"/>
    </row>
    <row r="652" spans="7:7" ht="12.75">
      <c r="G652" s="70"/>
    </row>
    <row r="653" spans="7:7" ht="12.75">
      <c r="G653" s="70"/>
    </row>
    <row r="654" spans="7:7" ht="12.75">
      <c r="G654" s="70"/>
    </row>
    <row r="655" spans="7:7" ht="12.75">
      <c r="G655" s="70"/>
    </row>
    <row r="656" spans="7:7" ht="12.75">
      <c r="G656" s="70"/>
    </row>
    <row r="657" spans="7:7" ht="12.75">
      <c r="G657" s="70"/>
    </row>
    <row r="658" spans="7:7" ht="12.75">
      <c r="G658" s="70"/>
    </row>
    <row r="659" spans="7:7" ht="12.75">
      <c r="G659" s="70"/>
    </row>
    <row r="660" spans="7:7" ht="12.75">
      <c r="G660" s="70"/>
    </row>
    <row r="661" spans="7:7" ht="12.75">
      <c r="G661" s="70"/>
    </row>
    <row r="662" spans="7:7" ht="12.75">
      <c r="G662" s="70"/>
    </row>
    <row r="663" spans="7:7" ht="12.75">
      <c r="G663" s="70"/>
    </row>
    <row r="664" spans="7:7" ht="12.75">
      <c r="G664" s="70"/>
    </row>
    <row r="665" spans="7:7" ht="12.75">
      <c r="G665" s="70"/>
    </row>
    <row r="666" spans="7:7" ht="12.75">
      <c r="G666" s="70"/>
    </row>
    <row r="667" spans="7:7" ht="12.75">
      <c r="G667" s="70"/>
    </row>
    <row r="668" spans="7:7" ht="12.75">
      <c r="G668" s="70"/>
    </row>
    <row r="669" spans="7:7" ht="12.75">
      <c r="G669" s="70"/>
    </row>
    <row r="670" spans="7:7" ht="12.75">
      <c r="G670" s="70"/>
    </row>
    <row r="671" spans="7:7" ht="12.75">
      <c r="G671" s="70"/>
    </row>
    <row r="672" spans="7:7" ht="12.75">
      <c r="G672" s="70"/>
    </row>
    <row r="673" spans="7:7" ht="12.75">
      <c r="G673" s="70"/>
    </row>
    <row r="674" spans="7:7" ht="12.75">
      <c r="G674" s="70"/>
    </row>
    <row r="675" spans="7:7" ht="12.75">
      <c r="G675" s="70"/>
    </row>
    <row r="676" spans="7:7" ht="12.75">
      <c r="G676" s="70"/>
    </row>
    <row r="677" spans="7:7" ht="12.75">
      <c r="G677" s="70"/>
    </row>
    <row r="678" spans="7:7" ht="12.75">
      <c r="G678" s="70"/>
    </row>
    <row r="679" spans="7:7" ht="12.75">
      <c r="G679" s="70"/>
    </row>
    <row r="680" spans="7:7" ht="12.75">
      <c r="G680" s="70"/>
    </row>
    <row r="681" spans="7:7" ht="12.75">
      <c r="G681" s="70"/>
    </row>
    <row r="682" spans="7:7" ht="12.75">
      <c r="G682" s="70"/>
    </row>
    <row r="683" spans="7:7" ht="12.75">
      <c r="G683" s="70"/>
    </row>
    <row r="684" spans="7:7" ht="12.75">
      <c r="G684" s="70"/>
    </row>
    <row r="685" spans="7:7" ht="12.75">
      <c r="G685" s="70"/>
    </row>
    <row r="686" spans="7:7" ht="12.75">
      <c r="G686" s="70"/>
    </row>
    <row r="687" spans="7:7" ht="12.75">
      <c r="G687" s="70"/>
    </row>
    <row r="688" spans="7:7" ht="12.75">
      <c r="G688" s="70"/>
    </row>
    <row r="689" spans="7:7" ht="12.75">
      <c r="G689" s="70"/>
    </row>
    <row r="690" spans="7:7" ht="12.75">
      <c r="G690" s="70"/>
    </row>
    <row r="691" spans="7:7" ht="12.75">
      <c r="G691" s="70"/>
    </row>
    <row r="692" spans="7:7" ht="12.75">
      <c r="G692" s="70"/>
    </row>
    <row r="693" spans="7:7" ht="12.75">
      <c r="G693" s="70"/>
    </row>
    <row r="694" spans="7:7" ht="12.75">
      <c r="G694" s="70"/>
    </row>
    <row r="695" spans="7:7" ht="12.75">
      <c r="G695" s="70"/>
    </row>
    <row r="696" spans="7:7" ht="12.75">
      <c r="G696" s="70"/>
    </row>
    <row r="697" spans="7:7" ht="12.75">
      <c r="G697" s="70"/>
    </row>
    <row r="698" spans="7:7" ht="12.75">
      <c r="G698" s="70"/>
    </row>
    <row r="699" spans="7:7" ht="12.75">
      <c r="G699" s="70"/>
    </row>
    <row r="700" spans="7:7" ht="12.75">
      <c r="G700" s="70"/>
    </row>
    <row r="701" spans="7:7" ht="12.75">
      <c r="G701" s="70"/>
    </row>
    <row r="702" spans="7:7" ht="12.75">
      <c r="G702" s="70"/>
    </row>
    <row r="703" spans="7:7" ht="12.75">
      <c r="G703" s="70"/>
    </row>
    <row r="704" spans="7:7" ht="12.75">
      <c r="G704" s="70"/>
    </row>
    <row r="705" spans="7:7" ht="12.75">
      <c r="G705" s="70"/>
    </row>
    <row r="706" spans="7:7" ht="12.75">
      <c r="G706" s="70"/>
    </row>
    <row r="707" spans="7:7" ht="12.75">
      <c r="G707" s="70"/>
    </row>
    <row r="708" spans="7:7" ht="12.75">
      <c r="G708" s="70"/>
    </row>
    <row r="709" spans="7:7" ht="12.75">
      <c r="G709" s="70"/>
    </row>
    <row r="710" spans="7:7" ht="12.75">
      <c r="G710" s="70"/>
    </row>
    <row r="711" spans="7:7" ht="12.75">
      <c r="G711" s="70"/>
    </row>
    <row r="712" spans="7:7" ht="12.75">
      <c r="G712" s="70"/>
    </row>
    <row r="713" spans="7:7" ht="12.75">
      <c r="G713" s="70"/>
    </row>
    <row r="714" spans="7:7" ht="12.75">
      <c r="G714" s="70"/>
    </row>
    <row r="715" spans="7:7" ht="12.75">
      <c r="G715" s="70"/>
    </row>
    <row r="716" spans="7:7" ht="12.75">
      <c r="G716" s="70"/>
    </row>
    <row r="717" spans="7:7" ht="12.75">
      <c r="G717" s="70"/>
    </row>
    <row r="718" spans="7:7" ht="12.75">
      <c r="G718" s="70"/>
    </row>
    <row r="719" spans="7:7" ht="12.75">
      <c r="G719" s="70"/>
    </row>
    <row r="720" spans="7:7" ht="12.75">
      <c r="G720" s="70"/>
    </row>
    <row r="721" spans="7:7" ht="12.75">
      <c r="G721" s="70"/>
    </row>
    <row r="722" spans="7:7" ht="12.75">
      <c r="G722" s="70"/>
    </row>
    <row r="723" spans="7:7" ht="12.75">
      <c r="G723" s="70"/>
    </row>
    <row r="724" spans="7:7" ht="12.75">
      <c r="G724" s="70"/>
    </row>
    <row r="725" spans="7:7" ht="12.75">
      <c r="G725" s="70"/>
    </row>
    <row r="726" spans="7:7" ht="12.75">
      <c r="G726" s="70"/>
    </row>
    <row r="727" spans="7:7" ht="12.75">
      <c r="G727" s="70"/>
    </row>
    <row r="728" spans="7:7" ht="12.75">
      <c r="G728" s="70"/>
    </row>
    <row r="729" spans="7:7" ht="12.75">
      <c r="G729" s="70"/>
    </row>
    <row r="730" spans="7:7" ht="12.75">
      <c r="G730" s="70"/>
    </row>
    <row r="731" spans="7:7" ht="12.75">
      <c r="G731" s="70"/>
    </row>
    <row r="732" spans="7:7" ht="12.75">
      <c r="G732" s="70"/>
    </row>
    <row r="733" spans="7:7" ht="12.75">
      <c r="G733" s="70"/>
    </row>
    <row r="734" spans="7:7" ht="12.75">
      <c r="G734" s="70"/>
    </row>
    <row r="735" spans="7:7" ht="12.75">
      <c r="G735" s="70"/>
    </row>
    <row r="736" spans="7:7" ht="12.75">
      <c r="G736" s="70"/>
    </row>
    <row r="737" spans="7:7" ht="12.75">
      <c r="G737" s="70"/>
    </row>
    <row r="738" spans="7:7" ht="12.75">
      <c r="G738" s="70"/>
    </row>
    <row r="739" spans="7:7" ht="12.75">
      <c r="G739" s="70"/>
    </row>
    <row r="740" spans="7:7" ht="12.75">
      <c r="G740" s="70"/>
    </row>
    <row r="741" spans="7:7" ht="12.75">
      <c r="G741" s="70"/>
    </row>
    <row r="742" spans="7:7" ht="12.75">
      <c r="G742" s="70"/>
    </row>
    <row r="743" spans="7:7" ht="12.75">
      <c r="G743" s="70"/>
    </row>
    <row r="744" spans="7:7" ht="12.75">
      <c r="G744" s="70"/>
    </row>
    <row r="745" spans="7:7" ht="12.75">
      <c r="G745" s="70"/>
    </row>
    <row r="746" spans="7:7" ht="12.75">
      <c r="G746" s="70"/>
    </row>
    <row r="747" spans="7:7" ht="12.75">
      <c r="G747" s="70"/>
    </row>
    <row r="748" spans="7:7" ht="12.75">
      <c r="G748" s="70"/>
    </row>
    <row r="749" spans="7:7" ht="12.75">
      <c r="G749" s="70"/>
    </row>
    <row r="750" spans="7:7" ht="12.75">
      <c r="G750" s="70"/>
    </row>
    <row r="751" spans="7:7" ht="12.75">
      <c r="G751" s="70"/>
    </row>
    <row r="752" spans="7:7" ht="12.75">
      <c r="G752" s="70"/>
    </row>
    <row r="753" spans="7:7" ht="12.75">
      <c r="G753" s="70"/>
    </row>
    <row r="754" spans="7:7" ht="12.75">
      <c r="G754" s="70"/>
    </row>
    <row r="755" spans="7:7" ht="12.75">
      <c r="G755" s="70"/>
    </row>
    <row r="756" spans="7:7" ht="12.75">
      <c r="G756" s="70"/>
    </row>
    <row r="757" spans="7:7" ht="12.75">
      <c r="G757" s="70"/>
    </row>
    <row r="758" spans="7:7" ht="12.75">
      <c r="G758" s="70"/>
    </row>
    <row r="759" spans="7:7" ht="12.75">
      <c r="G759" s="70"/>
    </row>
    <row r="760" spans="7:7" ht="12.75">
      <c r="G760" s="70"/>
    </row>
    <row r="761" spans="7:7" ht="12.75">
      <c r="G761" s="70"/>
    </row>
    <row r="762" spans="7:7" ht="12.75">
      <c r="G762" s="70"/>
    </row>
    <row r="763" spans="7:7" ht="12.75">
      <c r="G763" s="70"/>
    </row>
    <row r="764" spans="7:7" ht="12.75">
      <c r="G764" s="70"/>
    </row>
    <row r="765" spans="7:7" ht="12.75">
      <c r="G765" s="70"/>
    </row>
    <row r="766" spans="7:7" ht="12.75">
      <c r="G766" s="70"/>
    </row>
    <row r="767" spans="7:7" ht="12.75">
      <c r="G767" s="70"/>
    </row>
    <row r="768" spans="7:7" ht="12.75">
      <c r="G768" s="70"/>
    </row>
    <row r="769" spans="7:7" ht="12.75">
      <c r="G769" s="70"/>
    </row>
    <row r="770" spans="7:7" ht="12.75">
      <c r="G770" s="70"/>
    </row>
    <row r="771" spans="7:7" ht="12.75">
      <c r="G771" s="70"/>
    </row>
    <row r="772" spans="7:7" ht="12.75">
      <c r="G772" s="70"/>
    </row>
    <row r="773" spans="7:7" ht="12.75">
      <c r="G773" s="70"/>
    </row>
    <row r="774" spans="7:7" ht="12.75">
      <c r="G774" s="70"/>
    </row>
    <row r="775" spans="7:7" ht="12.75">
      <c r="G775" s="70"/>
    </row>
    <row r="776" spans="7:7" ht="12.75">
      <c r="G776" s="70"/>
    </row>
    <row r="777" spans="7:7" ht="12.75">
      <c r="G777" s="70"/>
    </row>
    <row r="778" spans="7:7" ht="12.75">
      <c r="G778" s="70"/>
    </row>
    <row r="779" spans="7:7" ht="12.75">
      <c r="G779" s="70"/>
    </row>
    <row r="780" spans="7:7" ht="12.75">
      <c r="G780" s="70"/>
    </row>
    <row r="781" spans="7:7" ht="12.75">
      <c r="G781" s="70"/>
    </row>
    <row r="782" spans="7:7" ht="12.75">
      <c r="G782" s="70"/>
    </row>
    <row r="783" spans="7:7" ht="12.75">
      <c r="G783" s="70"/>
    </row>
    <row r="784" spans="7:7" ht="12.75">
      <c r="G784" s="70"/>
    </row>
    <row r="785" spans="7:7" ht="12.75">
      <c r="G785" s="70"/>
    </row>
    <row r="786" spans="7:7" ht="12.75">
      <c r="G786" s="70"/>
    </row>
    <row r="787" spans="7:7" ht="12.75">
      <c r="G787" s="70"/>
    </row>
    <row r="788" spans="7:7" ht="12.75">
      <c r="G788" s="70"/>
    </row>
    <row r="789" spans="7:7" ht="12.75">
      <c r="G789" s="70"/>
    </row>
    <row r="790" spans="7:7" ht="12.75">
      <c r="G790" s="70"/>
    </row>
    <row r="791" spans="7:7" ht="12.75">
      <c r="G791" s="70"/>
    </row>
    <row r="792" spans="7:7" ht="12.75">
      <c r="G792" s="70"/>
    </row>
    <row r="793" spans="7:7" ht="12.75">
      <c r="G793" s="70"/>
    </row>
    <row r="794" spans="7:7" ht="12.75">
      <c r="G794" s="70"/>
    </row>
    <row r="795" spans="7:7" ht="12.75">
      <c r="G795" s="70"/>
    </row>
    <row r="796" spans="7:7" ht="12.75">
      <c r="G796" s="70"/>
    </row>
    <row r="797" spans="7:7" ht="12.75">
      <c r="G797" s="70"/>
    </row>
    <row r="798" spans="7:7" ht="12.75">
      <c r="G798" s="70"/>
    </row>
    <row r="799" spans="7:7" ht="12.75">
      <c r="G799" s="70"/>
    </row>
    <row r="800" spans="7:7" ht="12.75">
      <c r="G800" s="70"/>
    </row>
    <row r="801" spans="7:7" ht="12.75">
      <c r="G801" s="70"/>
    </row>
    <row r="802" spans="7:7" ht="12.75">
      <c r="G802" s="70"/>
    </row>
    <row r="803" spans="7:7" ht="12.75">
      <c r="G803" s="70"/>
    </row>
    <row r="804" spans="7:7" ht="12.75">
      <c r="G804" s="70"/>
    </row>
    <row r="805" spans="7:7" ht="12.75">
      <c r="G805" s="70"/>
    </row>
    <row r="806" spans="7:7" ht="12.75">
      <c r="G806" s="70"/>
    </row>
    <row r="807" spans="7:7" ht="12.75">
      <c r="G807" s="70"/>
    </row>
    <row r="808" spans="7:7" ht="12.75">
      <c r="G808" s="70"/>
    </row>
    <row r="809" spans="7:7" ht="12.75">
      <c r="G809" s="70"/>
    </row>
    <row r="810" spans="7:7" ht="12.75">
      <c r="G810" s="70"/>
    </row>
    <row r="811" spans="7:7" ht="12.75">
      <c r="G811" s="70"/>
    </row>
    <row r="812" spans="7:7" ht="12.75">
      <c r="G812" s="70"/>
    </row>
    <row r="813" spans="7:7" ht="12.75">
      <c r="G813" s="70"/>
    </row>
    <row r="814" spans="7:7" ht="12.75">
      <c r="G814" s="70"/>
    </row>
    <row r="815" spans="7:7" ht="12.75">
      <c r="G815" s="70"/>
    </row>
    <row r="816" spans="7:7" ht="12.75">
      <c r="G816" s="70"/>
    </row>
    <row r="817" spans="7:7" ht="12.75">
      <c r="G817" s="70"/>
    </row>
    <row r="818" spans="7:7" ht="12.75">
      <c r="G818" s="70"/>
    </row>
    <row r="819" spans="7:7" ht="12.75">
      <c r="G819" s="70"/>
    </row>
    <row r="820" spans="7:7" ht="12.75">
      <c r="G820" s="70"/>
    </row>
    <row r="821" spans="7:7" ht="12.75">
      <c r="G821" s="70"/>
    </row>
    <row r="822" spans="7:7" ht="12.75">
      <c r="G822" s="70"/>
    </row>
    <row r="823" spans="7:7" ht="12.75">
      <c r="G823" s="70"/>
    </row>
    <row r="824" spans="7:7" ht="12.75">
      <c r="G824" s="70"/>
    </row>
    <row r="825" spans="7:7" ht="12.75">
      <c r="G825" s="70"/>
    </row>
    <row r="826" spans="7:7" ht="12.75">
      <c r="G826" s="70"/>
    </row>
    <row r="827" spans="7:7" ht="12.75">
      <c r="G827" s="70"/>
    </row>
    <row r="828" spans="7:7" ht="12.75">
      <c r="G828" s="70"/>
    </row>
    <row r="829" spans="7:7" ht="12.75">
      <c r="G829" s="70"/>
    </row>
    <row r="830" spans="7:7" ht="12.75">
      <c r="G830" s="70"/>
    </row>
    <row r="831" spans="7:7" ht="12.75">
      <c r="G831" s="70"/>
    </row>
    <row r="832" spans="7:7" ht="12.75">
      <c r="G832" s="70"/>
    </row>
    <row r="833" spans="7:7" ht="12.75">
      <c r="G833" s="70"/>
    </row>
    <row r="834" spans="7:7" ht="12.75">
      <c r="G834" s="70"/>
    </row>
    <row r="835" spans="7:7" ht="12.75">
      <c r="G835" s="70"/>
    </row>
    <row r="836" spans="7:7" ht="12.75">
      <c r="G836" s="70"/>
    </row>
    <row r="837" spans="7:7" ht="12.75">
      <c r="G837" s="70"/>
    </row>
    <row r="838" spans="7:7" ht="12.75">
      <c r="G838" s="70"/>
    </row>
    <row r="839" spans="7:7" ht="12.75">
      <c r="G839" s="70"/>
    </row>
    <row r="840" spans="7:7" ht="12.75">
      <c r="G840" s="70"/>
    </row>
    <row r="841" spans="7:7" ht="12.75">
      <c r="G841" s="70"/>
    </row>
    <row r="842" spans="7:7" ht="12.75">
      <c r="G842" s="70"/>
    </row>
    <row r="843" spans="7:7" ht="12.75">
      <c r="G843" s="70"/>
    </row>
    <row r="844" spans="7:7" ht="12.75">
      <c r="G844" s="70"/>
    </row>
    <row r="845" spans="7:7" ht="12.75">
      <c r="G845" s="70"/>
    </row>
    <row r="846" spans="7:7" ht="12.75">
      <c r="G846" s="70"/>
    </row>
    <row r="847" spans="7:7" ht="12.75">
      <c r="G847" s="70"/>
    </row>
    <row r="848" spans="7:7" ht="12.75">
      <c r="G848" s="70"/>
    </row>
    <row r="849" spans="7:7" ht="12.75">
      <c r="G849" s="70"/>
    </row>
    <row r="850" spans="7:7" ht="12.75">
      <c r="G850" s="70"/>
    </row>
    <row r="851" spans="7:7" ht="12.75">
      <c r="G851" s="70"/>
    </row>
    <row r="852" spans="7:7" ht="12.75">
      <c r="G852" s="70"/>
    </row>
    <row r="853" spans="7:7" ht="12.75">
      <c r="G853" s="70"/>
    </row>
    <row r="854" spans="7:7" ht="12.75">
      <c r="G854" s="70"/>
    </row>
    <row r="855" spans="7:7" ht="12.75">
      <c r="G855" s="70"/>
    </row>
    <row r="856" spans="7:7" ht="12.75">
      <c r="G856" s="70"/>
    </row>
    <row r="857" spans="7:7" ht="12.75">
      <c r="G857" s="70"/>
    </row>
    <row r="858" spans="7:7" ht="12.75">
      <c r="G858" s="70"/>
    </row>
    <row r="859" spans="7:7" ht="12.75">
      <c r="G859" s="70"/>
    </row>
    <row r="860" spans="7:7" ht="12.75">
      <c r="G860" s="70"/>
    </row>
    <row r="861" spans="7:7" ht="12.75">
      <c r="G861" s="70"/>
    </row>
    <row r="862" spans="7:7" ht="12.75">
      <c r="G862" s="70"/>
    </row>
    <row r="863" spans="7:7" ht="12.75">
      <c r="G863" s="70"/>
    </row>
    <row r="864" spans="7:7" ht="12.75">
      <c r="G864" s="70"/>
    </row>
    <row r="865" spans="7:7" ht="12.75">
      <c r="G865" s="70"/>
    </row>
    <row r="866" spans="7:7" ht="12.75">
      <c r="G866" s="70"/>
    </row>
    <row r="867" spans="7:7" ht="12.75">
      <c r="G867" s="70"/>
    </row>
    <row r="868" spans="7:7" ht="12.75">
      <c r="G868" s="70"/>
    </row>
    <row r="869" spans="7:7" ht="12.75">
      <c r="G869" s="70"/>
    </row>
    <row r="870" spans="7:7" ht="12.75">
      <c r="G870" s="70"/>
    </row>
    <row r="871" spans="7:7" ht="12.75">
      <c r="G871" s="70"/>
    </row>
    <row r="872" spans="7:7" ht="12.75">
      <c r="G872" s="70"/>
    </row>
    <row r="873" spans="7:7" ht="12.75">
      <c r="G873" s="70"/>
    </row>
    <row r="874" spans="7:7" ht="12.75">
      <c r="G874" s="70"/>
    </row>
    <row r="875" spans="7:7" ht="12.75">
      <c r="G875" s="70"/>
    </row>
    <row r="876" spans="7:7" ht="12.75">
      <c r="G876" s="70"/>
    </row>
    <row r="877" spans="7:7" ht="12.75">
      <c r="G877" s="70"/>
    </row>
    <row r="878" spans="7:7" ht="12.75">
      <c r="G878" s="70"/>
    </row>
    <row r="879" spans="7:7" ht="12.75">
      <c r="G879" s="70"/>
    </row>
    <row r="880" spans="7:7" ht="12.75">
      <c r="G880" s="70"/>
    </row>
    <row r="881" spans="7:7" ht="12.75">
      <c r="G881" s="70"/>
    </row>
    <row r="882" spans="7:7" ht="12.75">
      <c r="G882" s="70"/>
    </row>
    <row r="883" spans="7:7" ht="12.75">
      <c r="G883" s="70"/>
    </row>
    <row r="884" spans="7:7" ht="12.75">
      <c r="G884" s="70"/>
    </row>
    <row r="885" spans="7:7" ht="12.75">
      <c r="G885" s="70"/>
    </row>
    <row r="886" spans="7:7" ht="12.75">
      <c r="G886" s="70"/>
    </row>
    <row r="887" spans="7:7" ht="12.75">
      <c r="G887" s="70"/>
    </row>
    <row r="888" spans="7:7" ht="12.75">
      <c r="G888" s="70"/>
    </row>
    <row r="889" spans="7:7" ht="12.75">
      <c r="G889" s="70"/>
    </row>
    <row r="890" spans="7:7" ht="12.75">
      <c r="G890" s="70"/>
    </row>
    <row r="891" spans="7:7" ht="12.75">
      <c r="G891" s="70"/>
    </row>
    <row r="892" spans="7:7" ht="12.75">
      <c r="G892" s="70"/>
    </row>
    <row r="893" spans="7:7" ht="12.75">
      <c r="G893" s="70"/>
    </row>
    <row r="894" spans="7:7" ht="12.75">
      <c r="G894" s="70"/>
    </row>
    <row r="895" spans="7:7" ht="12.75">
      <c r="G895" s="70"/>
    </row>
    <row r="896" spans="7:7" ht="12.75">
      <c r="G896" s="70"/>
    </row>
    <row r="897" spans="7:7" ht="12.75">
      <c r="G897" s="70"/>
    </row>
    <row r="898" spans="7:7" ht="12.75">
      <c r="G898" s="70"/>
    </row>
    <row r="899" spans="7:7" ht="12.75">
      <c r="G899" s="70"/>
    </row>
    <row r="900" spans="7:7" ht="12.75">
      <c r="G900" s="70"/>
    </row>
    <row r="901" spans="7:7" ht="12.75">
      <c r="G901" s="70"/>
    </row>
    <row r="902" spans="7:7" ht="12.75">
      <c r="G902" s="70"/>
    </row>
    <row r="903" spans="7:7" ht="12.75">
      <c r="G903" s="70"/>
    </row>
    <row r="904" spans="7:7" ht="12.75">
      <c r="G904" s="70"/>
    </row>
    <row r="905" spans="7:7" ht="12.75">
      <c r="G905" s="70"/>
    </row>
    <row r="906" spans="7:7" ht="12.75">
      <c r="G906" s="70"/>
    </row>
    <row r="907" spans="7:7" ht="12.75">
      <c r="G907" s="70"/>
    </row>
    <row r="908" spans="7:7" ht="12.75">
      <c r="G908" s="70"/>
    </row>
    <row r="909" spans="7:7" ht="12.75">
      <c r="G909" s="70"/>
    </row>
    <row r="910" spans="7:7" ht="12.75">
      <c r="G910" s="70"/>
    </row>
    <row r="911" spans="7:7" ht="12.75">
      <c r="G911" s="70"/>
    </row>
    <row r="912" spans="7:7" ht="12.75">
      <c r="G912" s="70"/>
    </row>
    <row r="913" spans="7:7" ht="12.75">
      <c r="G913" s="70"/>
    </row>
    <row r="914" spans="7:7" ht="12.75">
      <c r="G914" s="70"/>
    </row>
    <row r="915" spans="7:7" ht="12.75">
      <c r="G915" s="70"/>
    </row>
    <row r="916" spans="7:7" ht="12.75">
      <c r="G916" s="70"/>
    </row>
    <row r="917" spans="7:7" ht="12.75">
      <c r="G917" s="70"/>
    </row>
    <row r="918" spans="7:7" ht="12.75">
      <c r="G918" s="70"/>
    </row>
    <row r="919" spans="7:7" ht="12.75">
      <c r="G919" s="70"/>
    </row>
    <row r="920" spans="7:7" ht="12.75">
      <c r="G920" s="70"/>
    </row>
    <row r="921" spans="7:7" ht="12.75">
      <c r="G921" s="70"/>
    </row>
    <row r="922" spans="7:7" ht="12.75">
      <c r="G922" s="70"/>
    </row>
    <row r="923" spans="7:7" ht="12.75">
      <c r="G923" s="70"/>
    </row>
    <row r="924" spans="7:7" ht="12.75">
      <c r="G924" s="70"/>
    </row>
    <row r="925" spans="7:7" ht="12.75">
      <c r="G925" s="70"/>
    </row>
    <row r="926" spans="7:7" ht="12.75">
      <c r="G926" s="70"/>
    </row>
    <row r="927" spans="7:7" ht="12.75">
      <c r="G927" s="70"/>
    </row>
    <row r="928" spans="7:7" ht="12.75">
      <c r="G928" s="70"/>
    </row>
    <row r="929" spans="7:7" ht="12.75">
      <c r="G929" s="70"/>
    </row>
    <row r="930" spans="7:7" ht="12.75">
      <c r="G930" s="70"/>
    </row>
    <row r="931" spans="7:7" ht="12.75">
      <c r="G931" s="70"/>
    </row>
    <row r="932" spans="7:7" ht="12.75">
      <c r="G932" s="70"/>
    </row>
    <row r="933" spans="7:7" ht="12.75">
      <c r="G933" s="70"/>
    </row>
    <row r="934" spans="7:7" ht="12.75">
      <c r="G934" s="70"/>
    </row>
    <row r="935" spans="7:7" ht="12.75">
      <c r="G935" s="70"/>
    </row>
    <row r="936" spans="7:7" ht="12.75">
      <c r="G936" s="70"/>
    </row>
    <row r="937" spans="7:7" ht="12.75">
      <c r="G937" s="70"/>
    </row>
    <row r="938" spans="7:7" ht="12.75">
      <c r="G938" s="70"/>
    </row>
    <row r="939" spans="7:7" ht="12.75">
      <c r="G939" s="70"/>
    </row>
    <row r="940" spans="7:7" ht="12.75">
      <c r="G940" s="70"/>
    </row>
    <row r="941" spans="7:7" ht="12.75">
      <c r="G941" s="70"/>
    </row>
    <row r="942" spans="7:7" ht="12.75">
      <c r="G942" s="70"/>
    </row>
    <row r="943" spans="7:7" ht="12.75">
      <c r="G943" s="70"/>
    </row>
    <row r="944" spans="7:7" ht="12.75">
      <c r="G944" s="70"/>
    </row>
    <row r="945" spans="7:7" ht="12.75">
      <c r="G945" s="70"/>
    </row>
    <row r="946" spans="7:7" ht="12.75">
      <c r="G946" s="70"/>
    </row>
    <row r="947" spans="7:7" ht="12.75">
      <c r="G947" s="70"/>
    </row>
    <row r="948" spans="7:7" ht="12.75">
      <c r="G948" s="70"/>
    </row>
    <row r="949" spans="7:7" ht="12.75">
      <c r="G949" s="70"/>
    </row>
    <row r="950" spans="7:7" ht="12.75">
      <c r="G950" s="70"/>
    </row>
    <row r="951" spans="7:7" ht="12.75">
      <c r="G951" s="70"/>
    </row>
    <row r="952" spans="7:7" ht="12.75">
      <c r="G952" s="70"/>
    </row>
    <row r="953" spans="7:7" ht="12.75">
      <c r="G953" s="70"/>
    </row>
    <row r="954" spans="7:7" ht="12.75">
      <c r="G954" s="70"/>
    </row>
    <row r="955" spans="7:7" ht="12.75">
      <c r="G955" s="70"/>
    </row>
    <row r="956" spans="7:7" ht="12.75">
      <c r="G956" s="70"/>
    </row>
    <row r="957" spans="7:7" ht="12.75">
      <c r="G957" s="70"/>
    </row>
    <row r="958" spans="7:7" ht="12.75">
      <c r="G958" s="70"/>
    </row>
    <row r="959" spans="7:7" ht="12.75">
      <c r="G959" s="70"/>
    </row>
    <row r="960" spans="7:7" ht="12.75">
      <c r="G960" s="70"/>
    </row>
    <row r="961" spans="7:7" ht="12.75">
      <c r="G961" s="70"/>
    </row>
    <row r="962" spans="7:7" ht="12.75">
      <c r="G962" s="70"/>
    </row>
    <row r="963" spans="7:7" ht="12.75">
      <c r="G963" s="70"/>
    </row>
    <row r="964" spans="7:7" ht="15" customHeight="1">
      <c r="G964" s="70"/>
    </row>
  </sheetData>
  <mergeCells count="3">
    <mergeCell ref="D1:G1"/>
    <mergeCell ref="D2:G2"/>
    <mergeCell ref="D3:G3"/>
  </mergeCells>
  <pageMargins left="0.7" right="0.7" top="0.75" bottom="0.75" header="0" footer="0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6:O24"/>
  <sheetViews>
    <sheetView showGridLines="0" workbookViewId="0">
      <selection activeCell="P11" sqref="P11"/>
    </sheetView>
  </sheetViews>
  <sheetFormatPr defaultColWidth="10.28515625" defaultRowHeight="12.75"/>
  <cols>
    <col min="1" max="1" width="3.7109375" style="7" customWidth="1"/>
    <col min="2" max="2" width="17.85546875" style="70" customWidth="1"/>
    <col min="3" max="3" width="42.28515625" style="70" customWidth="1"/>
    <col min="4" max="4" width="56" style="70" customWidth="1"/>
    <col min="5" max="7" width="15.5703125" style="70" customWidth="1"/>
    <col min="8" max="13" width="17" style="70" customWidth="1"/>
    <col min="14" max="14" width="13.5703125" style="70" customWidth="1"/>
    <col min="15" max="15" width="13.5703125" style="7" customWidth="1"/>
    <col min="16" max="16384" width="10.28515625" style="7"/>
  </cols>
  <sheetData>
    <row r="6" spans="2:15">
      <c r="B6" s="310" t="s">
        <v>0</v>
      </c>
      <c r="C6" s="310"/>
      <c r="D6" s="310"/>
      <c r="E6" s="310"/>
      <c r="F6" s="310"/>
      <c r="G6" s="310"/>
      <c r="H6" s="310"/>
      <c r="I6" s="310"/>
      <c r="J6" s="310"/>
      <c r="K6" s="310"/>
      <c r="L6" s="310"/>
      <c r="M6" s="310"/>
      <c r="N6" s="311"/>
    </row>
    <row r="7" spans="2:15" s="139" customFormat="1" ht="45" customHeight="1">
      <c r="B7" s="146" t="s">
        <v>128</v>
      </c>
      <c r="C7" s="147" t="s">
        <v>129</v>
      </c>
      <c r="D7" s="147" t="s">
        <v>130</v>
      </c>
      <c r="E7" s="276" t="s">
        <v>131</v>
      </c>
      <c r="F7" s="276" t="s">
        <v>132</v>
      </c>
      <c r="G7" s="276" t="s">
        <v>133</v>
      </c>
      <c r="H7" s="276" t="s">
        <v>134</v>
      </c>
      <c r="I7" s="276" t="s">
        <v>135</v>
      </c>
      <c r="J7" s="276" t="s">
        <v>136</v>
      </c>
      <c r="K7" s="276" t="s">
        <v>137</v>
      </c>
      <c r="L7" s="276" t="s">
        <v>138</v>
      </c>
      <c r="M7" s="276" t="s">
        <v>139</v>
      </c>
      <c r="N7" s="277" t="s">
        <v>140</v>
      </c>
      <c r="O7" s="278" t="s">
        <v>140</v>
      </c>
    </row>
    <row r="8" spans="2:15" s="140" customFormat="1">
      <c r="B8" s="148">
        <v>1</v>
      </c>
      <c r="C8" s="149" t="s">
        <v>141</v>
      </c>
      <c r="D8" s="149" t="s">
        <v>142</v>
      </c>
      <c r="E8" s="151">
        <v>15151</v>
      </c>
      <c r="F8" s="152">
        <v>1219</v>
      </c>
      <c r="G8" s="149">
        <v>87</v>
      </c>
      <c r="H8" s="149" t="s">
        <v>143</v>
      </c>
      <c r="I8" s="149" t="s">
        <v>143</v>
      </c>
      <c r="J8" s="154">
        <v>372896</v>
      </c>
      <c r="K8" s="154">
        <v>372896</v>
      </c>
      <c r="L8" s="153">
        <v>0</v>
      </c>
      <c r="M8" s="153">
        <v>0</v>
      </c>
      <c r="N8" s="199">
        <f>242+3031+9+21</f>
        <v>3303</v>
      </c>
      <c r="O8" s="143">
        <f>+N8</f>
        <v>3303</v>
      </c>
    </row>
    <row r="9" spans="2:15" s="140" customFormat="1">
      <c r="B9" s="148">
        <v>2</v>
      </c>
      <c r="C9" s="149" t="s">
        <v>144</v>
      </c>
      <c r="D9" s="149" t="s">
        <v>145</v>
      </c>
      <c r="E9" s="151">
        <v>35518</v>
      </c>
      <c r="F9" s="149" t="s">
        <v>146</v>
      </c>
      <c r="G9" s="149">
        <v>87</v>
      </c>
      <c r="H9" s="149" t="s">
        <v>143</v>
      </c>
      <c r="I9" s="149" t="s">
        <v>143</v>
      </c>
      <c r="J9" s="154">
        <v>372896</v>
      </c>
      <c r="K9" s="154">
        <v>372896</v>
      </c>
      <c r="L9" s="153">
        <v>0</v>
      </c>
      <c r="M9" s="153">
        <v>0</v>
      </c>
      <c r="N9" s="199">
        <v>5794</v>
      </c>
      <c r="O9" s="143">
        <f>+N9</f>
        <v>5794</v>
      </c>
    </row>
    <row r="10" spans="2:15" s="140" customFormat="1">
      <c r="B10" s="148">
        <v>3</v>
      </c>
      <c r="C10" s="149" t="s">
        <v>147</v>
      </c>
      <c r="D10" s="149" t="s">
        <v>148</v>
      </c>
      <c r="E10" s="151">
        <v>34222</v>
      </c>
      <c r="F10" s="149" t="s">
        <v>146</v>
      </c>
      <c r="G10" s="149">
        <v>87</v>
      </c>
      <c r="H10" s="149" t="s">
        <v>143</v>
      </c>
      <c r="I10" s="149" t="s">
        <v>143</v>
      </c>
      <c r="J10" s="154">
        <v>372896</v>
      </c>
      <c r="K10" s="154">
        <v>372896</v>
      </c>
      <c r="L10" s="153">
        <v>0</v>
      </c>
      <c r="M10" s="153">
        <v>0</v>
      </c>
      <c r="N10" s="200">
        <v>303</v>
      </c>
      <c r="O10" s="143">
        <f t="shared" ref="O9:O22" si="0">+N10</f>
        <v>303</v>
      </c>
    </row>
    <row r="11" spans="2:15" s="140" customFormat="1">
      <c r="B11" s="148">
        <v>4</v>
      </c>
      <c r="C11" s="149" t="s">
        <v>149</v>
      </c>
      <c r="D11" s="149" t="s">
        <v>150</v>
      </c>
      <c r="E11" s="151">
        <v>15885</v>
      </c>
      <c r="F11" s="152">
        <v>1727</v>
      </c>
      <c r="G11" s="149">
        <v>87</v>
      </c>
      <c r="H11" s="149" t="s">
        <v>143</v>
      </c>
      <c r="I11" s="149" t="s">
        <v>143</v>
      </c>
      <c r="J11" s="154">
        <v>372896</v>
      </c>
      <c r="K11" s="154">
        <v>372896</v>
      </c>
      <c r="L11" s="153">
        <v>0</v>
      </c>
      <c r="M11" s="153">
        <v>0</v>
      </c>
      <c r="N11" s="199">
        <f>590+5403</f>
        <v>5993</v>
      </c>
      <c r="O11" s="143">
        <f t="shared" si="0"/>
        <v>5993</v>
      </c>
    </row>
    <row r="12" spans="2:15" s="140" customFormat="1">
      <c r="B12" s="148">
        <v>5</v>
      </c>
      <c r="C12" s="149" t="s">
        <v>151</v>
      </c>
      <c r="D12" s="149" t="s">
        <v>152</v>
      </c>
      <c r="E12" s="151">
        <v>22096</v>
      </c>
      <c r="F12" s="152">
        <v>6098</v>
      </c>
      <c r="G12" s="149">
        <v>87</v>
      </c>
      <c r="H12" s="149" t="s">
        <v>143</v>
      </c>
      <c r="I12" s="149" t="s">
        <v>143</v>
      </c>
      <c r="J12" s="154">
        <v>372896</v>
      </c>
      <c r="K12" s="154">
        <v>372896</v>
      </c>
      <c r="L12" s="153">
        <v>0</v>
      </c>
      <c r="M12" s="153">
        <v>0</v>
      </c>
      <c r="N12" s="199">
        <f>122+4550</f>
        <v>4672</v>
      </c>
      <c r="O12" s="143">
        <f t="shared" si="0"/>
        <v>4672</v>
      </c>
    </row>
    <row r="13" spans="2:15" s="140" customFormat="1">
      <c r="B13" s="148">
        <v>6</v>
      </c>
      <c r="C13" s="149" t="s">
        <v>153</v>
      </c>
      <c r="D13" s="149" t="s">
        <v>154</v>
      </c>
      <c r="E13" s="151">
        <v>6929</v>
      </c>
      <c r="F13" s="149" t="s">
        <v>146</v>
      </c>
      <c r="G13" s="149">
        <v>87</v>
      </c>
      <c r="H13" s="149" t="s">
        <v>143</v>
      </c>
      <c r="I13" s="149" t="s">
        <v>143</v>
      </c>
      <c r="J13" s="154">
        <v>372896</v>
      </c>
      <c r="K13" s="154">
        <v>372896</v>
      </c>
      <c r="L13" s="153">
        <v>0</v>
      </c>
      <c r="M13" s="153">
        <v>0</v>
      </c>
      <c r="N13" s="200">
        <v>7628</v>
      </c>
      <c r="O13" s="143">
        <f t="shared" si="0"/>
        <v>7628</v>
      </c>
    </row>
    <row r="14" spans="2:15" s="140" customFormat="1">
      <c r="B14" s="148">
        <v>7</v>
      </c>
      <c r="C14" s="149" t="s">
        <v>155</v>
      </c>
      <c r="D14" s="149" t="s">
        <v>156</v>
      </c>
      <c r="E14" s="151">
        <v>38091</v>
      </c>
      <c r="F14" s="152">
        <v>19365</v>
      </c>
      <c r="G14" s="149">
        <v>87</v>
      </c>
      <c r="H14" s="149" t="s">
        <v>143</v>
      </c>
      <c r="I14" s="149" t="s">
        <v>143</v>
      </c>
      <c r="J14" s="154">
        <v>372896</v>
      </c>
      <c r="K14" s="154">
        <v>372896</v>
      </c>
      <c r="L14" s="153">
        <v>0</v>
      </c>
      <c r="M14" s="153">
        <v>0</v>
      </c>
      <c r="N14" s="200">
        <f>13+759+13+28+7+6444</f>
        <v>7264</v>
      </c>
      <c r="O14" s="143">
        <f t="shared" si="0"/>
        <v>7264</v>
      </c>
    </row>
    <row r="15" spans="2:15" s="140" customFormat="1">
      <c r="B15" s="148">
        <v>8</v>
      </c>
      <c r="C15" s="149" t="s">
        <v>157</v>
      </c>
      <c r="D15" s="149" t="s">
        <v>158</v>
      </c>
      <c r="E15" s="151">
        <v>17546</v>
      </c>
      <c r="F15" s="152">
        <v>3820</v>
      </c>
      <c r="G15" s="149">
        <v>87</v>
      </c>
      <c r="H15" s="149" t="s">
        <v>143</v>
      </c>
      <c r="I15" s="149" t="s">
        <v>143</v>
      </c>
      <c r="J15" s="154">
        <v>372896</v>
      </c>
      <c r="K15" s="154">
        <v>372896</v>
      </c>
      <c r="L15" s="153">
        <v>0</v>
      </c>
      <c r="M15" s="153">
        <v>0</v>
      </c>
      <c r="N15" s="199">
        <f>37+4377</f>
        <v>4414</v>
      </c>
      <c r="O15" s="143">
        <f t="shared" si="0"/>
        <v>4414</v>
      </c>
    </row>
    <row r="16" spans="2:15" s="140" customFormat="1">
      <c r="B16" s="148">
        <v>9</v>
      </c>
      <c r="C16" s="149" t="s">
        <v>159</v>
      </c>
      <c r="D16" s="149" t="s">
        <v>160</v>
      </c>
      <c r="E16" s="151">
        <v>11464</v>
      </c>
      <c r="F16" s="152">
        <v>2100</v>
      </c>
      <c r="G16" s="149">
        <v>87</v>
      </c>
      <c r="H16" s="149" t="s">
        <v>143</v>
      </c>
      <c r="I16" s="149" t="s">
        <v>143</v>
      </c>
      <c r="J16" s="154">
        <v>372896</v>
      </c>
      <c r="K16" s="154">
        <v>372896</v>
      </c>
      <c r="L16" s="153">
        <v>0</v>
      </c>
      <c r="M16" s="153">
        <v>0</v>
      </c>
      <c r="N16" s="200">
        <f>68+2594</f>
        <v>2662</v>
      </c>
      <c r="O16" s="143">
        <f t="shared" si="0"/>
        <v>2662</v>
      </c>
    </row>
    <row r="17" spans="2:15" s="140" customFormat="1">
      <c r="B17" s="148" t="s">
        <v>161</v>
      </c>
      <c r="C17" s="149" t="s">
        <v>162</v>
      </c>
      <c r="D17" s="149" t="s">
        <v>163</v>
      </c>
      <c r="E17" s="150" t="s">
        <v>164</v>
      </c>
      <c r="F17" s="149" t="s">
        <v>164</v>
      </c>
      <c r="G17" s="149" t="s">
        <v>164</v>
      </c>
      <c r="H17" s="149" t="s">
        <v>164</v>
      </c>
      <c r="I17" s="149" t="s">
        <v>164</v>
      </c>
      <c r="J17" s="149" t="s">
        <v>164</v>
      </c>
      <c r="K17" s="149" t="s">
        <v>164</v>
      </c>
      <c r="L17" s="153">
        <v>0</v>
      </c>
      <c r="M17" s="153">
        <v>0</v>
      </c>
      <c r="N17" s="200" t="s">
        <v>146</v>
      </c>
      <c r="O17" s="143" t="str">
        <f t="shared" si="0"/>
        <v> </v>
      </c>
    </row>
    <row r="18" spans="2:15" s="141" customFormat="1">
      <c r="B18" s="148" t="s">
        <v>146</v>
      </c>
      <c r="C18" s="149" t="s">
        <v>165</v>
      </c>
      <c r="D18" s="149" t="s">
        <v>166</v>
      </c>
      <c r="E18" s="150" t="s">
        <v>146</v>
      </c>
      <c r="F18" s="149" t="s">
        <v>146</v>
      </c>
      <c r="G18" s="149">
        <v>87</v>
      </c>
      <c r="H18" s="149" t="s">
        <v>146</v>
      </c>
      <c r="I18" s="149" t="s">
        <v>146</v>
      </c>
      <c r="J18" s="153" t="s">
        <v>146</v>
      </c>
      <c r="K18" s="153" t="s">
        <v>146</v>
      </c>
      <c r="L18" s="153" t="s">
        <v>146</v>
      </c>
      <c r="M18" s="153" t="s">
        <v>146</v>
      </c>
      <c r="N18" s="200">
        <v>317</v>
      </c>
      <c r="O18" s="143">
        <f t="shared" si="0"/>
        <v>317</v>
      </c>
    </row>
    <row r="19" spans="2:15" s="141" customFormat="1">
      <c r="B19" s="148">
        <v>11</v>
      </c>
      <c r="C19" s="155" t="s">
        <v>167</v>
      </c>
      <c r="D19" s="149" t="s">
        <v>142</v>
      </c>
      <c r="E19" s="154">
        <v>40835</v>
      </c>
      <c r="F19" s="155" t="s">
        <v>146</v>
      </c>
      <c r="G19" s="149">
        <v>87</v>
      </c>
      <c r="H19" s="155" t="s">
        <v>143</v>
      </c>
      <c r="I19" s="155" t="s">
        <v>143</v>
      </c>
      <c r="J19" s="154">
        <v>372896</v>
      </c>
      <c r="K19" s="154">
        <v>372896</v>
      </c>
      <c r="L19" s="153">
        <v>0</v>
      </c>
      <c r="M19" s="153">
        <v>0</v>
      </c>
      <c r="N19" s="201">
        <v>197</v>
      </c>
      <c r="O19" s="143">
        <f t="shared" si="0"/>
        <v>197</v>
      </c>
    </row>
    <row r="20" spans="2:15" s="141" customFormat="1">
      <c r="B20" s="148">
        <v>12</v>
      </c>
      <c r="C20" s="155" t="s">
        <v>168</v>
      </c>
      <c r="D20" s="149" t="s">
        <v>169</v>
      </c>
      <c r="E20" s="154">
        <v>13410</v>
      </c>
      <c r="F20" s="155">
        <v>16</v>
      </c>
      <c r="G20" s="149">
        <v>87</v>
      </c>
      <c r="H20" s="155" t="s">
        <v>143</v>
      </c>
      <c r="I20" s="155" t="s">
        <v>143</v>
      </c>
      <c r="J20" s="154">
        <v>372896</v>
      </c>
      <c r="K20" s="154">
        <v>372896</v>
      </c>
      <c r="L20" s="153">
        <v>0</v>
      </c>
      <c r="M20" s="153">
        <v>0</v>
      </c>
      <c r="N20" s="201" t="s">
        <v>146</v>
      </c>
      <c r="O20" s="143" t="str">
        <f t="shared" si="0"/>
        <v> </v>
      </c>
    </row>
    <row r="21" spans="2:15" s="141" customFormat="1">
      <c r="B21" s="148">
        <v>13</v>
      </c>
      <c r="C21" s="155" t="s">
        <v>170</v>
      </c>
      <c r="D21" s="155" t="s">
        <v>171</v>
      </c>
      <c r="E21" s="153">
        <v>3760</v>
      </c>
      <c r="F21" s="155" t="s">
        <v>146</v>
      </c>
      <c r="G21" s="149">
        <v>87</v>
      </c>
      <c r="H21" s="155" t="s">
        <v>143</v>
      </c>
      <c r="I21" s="155" t="s">
        <v>143</v>
      </c>
      <c r="J21" s="154">
        <v>372896</v>
      </c>
      <c r="K21" s="154">
        <v>372896</v>
      </c>
      <c r="L21" s="153">
        <v>0</v>
      </c>
      <c r="M21" s="153">
        <v>0</v>
      </c>
      <c r="N21" s="201" t="s">
        <v>146</v>
      </c>
      <c r="O21" s="143" t="str">
        <f t="shared" si="0"/>
        <v> </v>
      </c>
    </row>
    <row r="22" spans="2:15" s="140" customFormat="1">
      <c r="B22" s="148">
        <v>14</v>
      </c>
      <c r="C22" s="155" t="s">
        <v>172</v>
      </c>
      <c r="D22" s="155" t="s">
        <v>173</v>
      </c>
      <c r="E22" s="153">
        <v>1246</v>
      </c>
      <c r="F22" s="155" t="s">
        <v>146</v>
      </c>
      <c r="G22" s="149">
        <v>87</v>
      </c>
      <c r="H22" s="155" t="s">
        <v>143</v>
      </c>
      <c r="I22" s="155" t="s">
        <v>143</v>
      </c>
      <c r="J22" s="154">
        <v>372896</v>
      </c>
      <c r="K22" s="154">
        <v>372896</v>
      </c>
      <c r="L22" s="153">
        <v>0</v>
      </c>
      <c r="M22" s="153">
        <v>0</v>
      </c>
      <c r="N22" s="144">
        <f>48945</f>
        <v>48945</v>
      </c>
      <c r="O22" s="143">
        <f t="shared" si="0"/>
        <v>48945</v>
      </c>
    </row>
    <row r="23" spans="2:15">
      <c r="B23" s="156" t="s">
        <v>174</v>
      </c>
      <c r="C23" s="155" t="s">
        <v>146</v>
      </c>
      <c r="D23" s="155">
        <v>14</v>
      </c>
      <c r="E23" s="157">
        <f>+SUM(E8:E22)</f>
        <v>256153</v>
      </c>
      <c r="F23" s="157">
        <f>+SUM(F8:F22)</f>
        <v>34345</v>
      </c>
      <c r="G23" s="158">
        <v>87</v>
      </c>
      <c r="H23" s="158">
        <v>0</v>
      </c>
      <c r="I23" s="158">
        <v>0</v>
      </c>
      <c r="J23" s="159">
        <v>372896</v>
      </c>
      <c r="K23" s="159">
        <v>372896</v>
      </c>
      <c r="L23" s="158">
        <v>0</v>
      </c>
      <c r="M23" s="158">
        <v>0</v>
      </c>
      <c r="N23" s="160">
        <f>+SUM(N8:N22)</f>
        <v>91492</v>
      </c>
      <c r="O23" s="160">
        <f>+SUM(O8:O22)</f>
        <v>91492</v>
      </c>
    </row>
    <row r="24" spans="2:15" ht="65.25" customHeight="1">
      <c r="B24" s="312" t="s">
        <v>175</v>
      </c>
      <c r="C24" s="313"/>
      <c r="D24" s="313"/>
      <c r="E24" s="313"/>
      <c r="F24" s="313"/>
      <c r="G24" s="313"/>
      <c r="H24" s="313"/>
    </row>
  </sheetData>
  <mergeCells count="2">
    <mergeCell ref="B6:N6"/>
    <mergeCell ref="B24:H2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N833"/>
  <sheetViews>
    <sheetView showGridLines="0" topLeftCell="C1" zoomScale="70" zoomScaleNormal="70" workbookViewId="0">
      <selection activeCell="M9" sqref="M9"/>
    </sheetView>
  </sheetViews>
  <sheetFormatPr defaultColWidth="14.42578125" defaultRowHeight="15" customHeight="1"/>
  <cols>
    <col min="1" max="2" width="11.42578125" style="1" customWidth="1"/>
    <col min="3" max="3" width="51.7109375" style="1" customWidth="1"/>
    <col min="4" max="4" width="38.28515625" style="1" customWidth="1"/>
    <col min="5" max="5" width="17.28515625" style="1" customWidth="1"/>
    <col min="6" max="6" width="18.5703125" style="1" customWidth="1"/>
    <col min="7" max="7" width="15.5703125" style="1" customWidth="1"/>
    <col min="8" max="8" width="12" style="1" customWidth="1"/>
    <col min="9" max="9" width="21.140625" style="1" customWidth="1"/>
    <col min="10" max="10" width="19.85546875" style="1" customWidth="1"/>
    <col min="11" max="11" width="18" style="1" customWidth="1"/>
    <col min="12" max="12" width="15" style="1" customWidth="1"/>
    <col min="13" max="13" width="16.28515625" style="1" customWidth="1"/>
    <col min="14" max="23" width="10" style="1" customWidth="1"/>
    <col min="24" max="16384" width="14.42578125" style="1"/>
  </cols>
  <sheetData>
    <row r="1" spans="3:14" ht="12.75" customHeight="1">
      <c r="C1" s="83"/>
      <c r="D1" s="83"/>
      <c r="E1" s="83"/>
      <c r="F1" s="83"/>
      <c r="G1" s="83"/>
      <c r="H1" s="83"/>
    </row>
    <row r="2" spans="3:14" ht="12.75" customHeight="1">
      <c r="C2" s="83"/>
      <c r="D2" s="83"/>
      <c r="E2" s="321" t="s">
        <v>70</v>
      </c>
      <c r="F2" s="321"/>
      <c r="G2" s="321"/>
      <c r="H2" s="321"/>
      <c r="I2" s="321"/>
      <c r="J2" s="321"/>
      <c r="K2" s="321"/>
    </row>
    <row r="3" spans="3:14" ht="16.5" customHeight="1">
      <c r="C3" s="133"/>
      <c r="D3" s="133"/>
      <c r="E3" s="321" t="s">
        <v>71</v>
      </c>
      <c r="F3" s="321"/>
      <c r="G3" s="321"/>
      <c r="H3" s="321"/>
      <c r="I3" s="321"/>
      <c r="J3" s="321"/>
      <c r="K3" s="321"/>
    </row>
    <row r="4" spans="3:14" ht="12.75" customHeight="1">
      <c r="E4" s="322" t="s">
        <v>176</v>
      </c>
      <c r="F4" s="322"/>
      <c r="G4" s="322"/>
      <c r="H4" s="322"/>
      <c r="I4" s="322"/>
      <c r="J4" s="322"/>
      <c r="K4" s="322"/>
    </row>
    <row r="5" spans="3:14" ht="12.75" customHeight="1">
      <c r="E5" s="6"/>
      <c r="F5" s="6"/>
      <c r="G5" s="6"/>
      <c r="H5" s="6"/>
      <c r="I5" s="6"/>
      <c r="J5" s="6"/>
      <c r="K5" s="6"/>
    </row>
    <row r="6" spans="3:14" ht="12.75" customHeight="1">
      <c r="C6" s="77" t="s">
        <v>177</v>
      </c>
      <c r="D6" s="78" t="s">
        <v>178</v>
      </c>
      <c r="E6" s="79"/>
      <c r="F6" s="79"/>
      <c r="G6" s="79"/>
      <c r="H6" s="79"/>
      <c r="I6" s="79"/>
      <c r="J6" s="79"/>
      <c r="K6" s="79"/>
    </row>
    <row r="7" spans="3:14" ht="12.75" customHeight="1">
      <c r="C7" s="80" t="s">
        <v>179</v>
      </c>
      <c r="D7" s="78" t="s">
        <v>180</v>
      </c>
      <c r="E7" s="81"/>
      <c r="F7" s="81"/>
      <c r="G7" s="81"/>
      <c r="H7" s="82"/>
      <c r="I7" s="81"/>
      <c r="J7" s="83"/>
      <c r="K7" s="83"/>
    </row>
    <row r="8" spans="3:14" ht="12.75" customHeight="1">
      <c r="C8" s="80"/>
      <c r="D8" s="78"/>
      <c r="E8" s="81"/>
      <c r="F8" s="81"/>
      <c r="G8" s="81"/>
      <c r="H8" s="82"/>
      <c r="I8" s="81"/>
      <c r="J8" s="83"/>
      <c r="K8" s="83"/>
      <c r="M8" s="163"/>
    </row>
    <row r="9" spans="3:14" ht="52.5" customHeight="1">
      <c r="C9" s="84" t="s">
        <v>181</v>
      </c>
      <c r="D9" s="85" t="s">
        <v>73</v>
      </c>
      <c r="E9" s="86" t="s">
        <v>182</v>
      </c>
      <c r="F9" s="86" t="s">
        <v>183</v>
      </c>
      <c r="G9" s="86" t="s">
        <v>184</v>
      </c>
      <c r="H9" s="86" t="s">
        <v>185</v>
      </c>
      <c r="I9" s="86" t="s">
        <v>186</v>
      </c>
      <c r="J9" s="86" t="s">
        <v>187</v>
      </c>
      <c r="K9" s="86" t="s">
        <v>188</v>
      </c>
      <c r="L9" s="234" t="s">
        <v>189</v>
      </c>
      <c r="M9" s="336" t="s">
        <v>190</v>
      </c>
      <c r="N9" s="163"/>
    </row>
    <row r="10" spans="3:14" ht="15.75" customHeight="1">
      <c r="C10" s="326" t="s">
        <v>191</v>
      </c>
      <c r="D10" s="88" t="s">
        <v>192</v>
      </c>
      <c r="E10" s="89" t="s">
        <v>193</v>
      </c>
      <c r="F10" s="90" t="s">
        <v>193</v>
      </c>
      <c r="G10" s="91" t="s">
        <v>193</v>
      </c>
      <c r="H10" s="92" t="s">
        <v>193</v>
      </c>
      <c r="I10" s="93" t="s">
        <v>193</v>
      </c>
      <c r="J10" s="94" t="s">
        <v>193</v>
      </c>
      <c r="K10" s="131" t="s">
        <v>193</v>
      </c>
      <c r="L10" s="279" t="s">
        <v>193</v>
      </c>
      <c r="M10" s="280" t="s">
        <v>193</v>
      </c>
      <c r="N10" s="163"/>
    </row>
    <row r="11" spans="3:14" ht="15.75" customHeight="1">
      <c r="C11" s="327"/>
      <c r="D11" s="88" t="s">
        <v>194</v>
      </c>
      <c r="E11" s="89" t="s">
        <v>193</v>
      </c>
      <c r="F11" s="90" t="s">
        <v>193</v>
      </c>
      <c r="G11" s="91" t="s">
        <v>193</v>
      </c>
      <c r="H11" s="92" t="s">
        <v>193</v>
      </c>
      <c r="I11" s="93" t="s">
        <v>193</v>
      </c>
      <c r="J11" s="95" t="s">
        <v>193</v>
      </c>
      <c r="K11" s="162" t="s">
        <v>193</v>
      </c>
      <c r="L11" s="279" t="s">
        <v>193</v>
      </c>
      <c r="M11" s="280" t="s">
        <v>193</v>
      </c>
      <c r="N11" s="163"/>
    </row>
    <row r="12" spans="3:14" ht="15.75" customHeight="1">
      <c r="C12" s="327"/>
      <c r="D12" s="96" t="s">
        <v>195</v>
      </c>
      <c r="E12" s="97"/>
      <c r="F12" s="2" t="s">
        <v>193</v>
      </c>
      <c r="G12" s="91" t="s">
        <v>193</v>
      </c>
      <c r="H12" s="92" t="s">
        <v>193</v>
      </c>
      <c r="I12" s="93" t="s">
        <v>193</v>
      </c>
      <c r="J12" s="94" t="s">
        <v>193</v>
      </c>
      <c r="K12" s="131" t="s">
        <v>193</v>
      </c>
      <c r="L12" s="279" t="s">
        <v>193</v>
      </c>
      <c r="M12" s="280" t="s">
        <v>193</v>
      </c>
      <c r="N12" s="163"/>
    </row>
    <row r="13" spans="3:14" ht="15.75" customHeight="1">
      <c r="C13" s="327"/>
      <c r="D13" s="96" t="s">
        <v>196</v>
      </c>
      <c r="E13" s="97"/>
      <c r="F13" s="2" t="s">
        <v>193</v>
      </c>
      <c r="G13" s="91" t="s">
        <v>193</v>
      </c>
      <c r="H13" s="92" t="s">
        <v>193</v>
      </c>
      <c r="I13" s="93" t="s">
        <v>193</v>
      </c>
      <c r="J13" s="94" t="s">
        <v>193</v>
      </c>
      <c r="K13" s="131" t="s">
        <v>193</v>
      </c>
      <c r="L13" s="279" t="s">
        <v>193</v>
      </c>
      <c r="M13" s="280" t="s">
        <v>193</v>
      </c>
      <c r="N13" s="163"/>
    </row>
    <row r="14" spans="3:14" ht="15.75" customHeight="1">
      <c r="C14" s="327"/>
      <c r="D14" s="96" t="s">
        <v>197</v>
      </c>
      <c r="E14" s="97"/>
      <c r="F14" s="2" t="s">
        <v>193</v>
      </c>
      <c r="G14" s="91" t="s">
        <v>193</v>
      </c>
      <c r="H14" s="92" t="s">
        <v>193</v>
      </c>
      <c r="I14" s="93" t="s">
        <v>193</v>
      </c>
      <c r="J14" s="94" t="s">
        <v>193</v>
      </c>
      <c r="K14" s="131" t="s">
        <v>193</v>
      </c>
      <c r="L14" s="279" t="s">
        <v>193</v>
      </c>
      <c r="M14" s="280" t="s">
        <v>193</v>
      </c>
      <c r="N14" s="163"/>
    </row>
    <row r="15" spans="3:14" ht="15.75" customHeight="1">
      <c r="C15" s="327"/>
      <c r="D15" s="96" t="s">
        <v>198</v>
      </c>
      <c r="E15" s="97"/>
      <c r="F15" s="2"/>
      <c r="G15" s="91"/>
      <c r="H15" s="92"/>
      <c r="I15" s="93" t="s">
        <v>193</v>
      </c>
      <c r="J15" s="94" t="s">
        <v>193</v>
      </c>
      <c r="K15" s="131" t="s">
        <v>193</v>
      </c>
      <c r="L15" s="279" t="s">
        <v>193</v>
      </c>
      <c r="M15" s="280" t="s">
        <v>193</v>
      </c>
      <c r="N15" s="163"/>
    </row>
    <row r="16" spans="3:14" ht="15.75" customHeight="1">
      <c r="C16" s="327"/>
      <c r="D16" s="98" t="s">
        <v>199</v>
      </c>
      <c r="E16" s="99"/>
      <c r="F16" s="100" t="s">
        <v>193</v>
      </c>
      <c r="G16" s="91" t="s">
        <v>193</v>
      </c>
      <c r="H16" s="92" t="s">
        <v>193</v>
      </c>
      <c r="I16" s="93" t="s">
        <v>193</v>
      </c>
      <c r="J16" s="94" t="s">
        <v>193</v>
      </c>
      <c r="K16" s="131" t="s">
        <v>193</v>
      </c>
      <c r="L16" s="279" t="s">
        <v>193</v>
      </c>
      <c r="M16" s="280" t="s">
        <v>193</v>
      </c>
      <c r="N16" s="163"/>
    </row>
    <row r="17" spans="2:14" ht="15.75" customHeight="1">
      <c r="C17" s="327"/>
      <c r="D17" s="96" t="s">
        <v>200</v>
      </c>
      <c r="E17" s="97"/>
      <c r="F17" s="2" t="s">
        <v>193</v>
      </c>
      <c r="G17" s="91" t="s">
        <v>193</v>
      </c>
      <c r="H17" s="92" t="s">
        <v>193</v>
      </c>
      <c r="I17" s="93" t="s">
        <v>193</v>
      </c>
      <c r="J17" s="94" t="s">
        <v>193</v>
      </c>
      <c r="K17" s="131" t="s">
        <v>193</v>
      </c>
      <c r="L17" s="279" t="s">
        <v>193</v>
      </c>
      <c r="M17" s="280" t="s">
        <v>193</v>
      </c>
      <c r="N17" s="163"/>
    </row>
    <row r="18" spans="2:14" ht="15.75" customHeight="1">
      <c r="C18" s="327"/>
      <c r="D18" s="98" t="s">
        <v>201</v>
      </c>
      <c r="E18" s="99"/>
      <c r="F18" s="100"/>
      <c r="G18" s="91" t="s">
        <v>193</v>
      </c>
      <c r="H18" s="92" t="s">
        <v>193</v>
      </c>
      <c r="I18" s="93" t="s">
        <v>193</v>
      </c>
      <c r="J18" s="94" t="s">
        <v>193</v>
      </c>
      <c r="K18" s="131" t="s">
        <v>193</v>
      </c>
      <c r="L18" s="279" t="s">
        <v>193</v>
      </c>
      <c r="M18" s="280" t="s">
        <v>193</v>
      </c>
      <c r="N18" s="163"/>
    </row>
    <row r="19" spans="2:14" ht="15.75" customHeight="1">
      <c r="B19" s="163"/>
      <c r="C19" s="326" t="s">
        <v>202</v>
      </c>
      <c r="D19" s="251" t="s">
        <v>203</v>
      </c>
      <c r="E19" s="101"/>
      <c r="F19" s="102"/>
      <c r="G19" s="91"/>
      <c r="H19" s="92"/>
      <c r="I19" s="93"/>
      <c r="J19" s="94"/>
      <c r="K19" s="131" t="s">
        <v>193</v>
      </c>
      <c r="L19" s="279" t="s">
        <v>193</v>
      </c>
      <c r="M19" s="280" t="s">
        <v>193</v>
      </c>
      <c r="N19" s="163"/>
    </row>
    <row r="20" spans="2:14" ht="15.75" customHeight="1">
      <c r="C20" s="327"/>
      <c r="D20" s="88" t="s">
        <v>204</v>
      </c>
      <c r="E20" s="109" t="s">
        <v>193</v>
      </c>
      <c r="F20" s="102" t="s">
        <v>193</v>
      </c>
      <c r="G20" s="91" t="s">
        <v>193</v>
      </c>
      <c r="H20" s="110" t="s">
        <v>193</v>
      </c>
      <c r="I20" s="93" t="s">
        <v>193</v>
      </c>
      <c r="J20" s="94" t="s">
        <v>193</v>
      </c>
      <c r="K20" s="131" t="s">
        <v>193</v>
      </c>
      <c r="L20" s="279" t="s">
        <v>193</v>
      </c>
      <c r="M20" s="280" t="s">
        <v>193</v>
      </c>
      <c r="N20" s="163"/>
    </row>
    <row r="21" spans="2:14" ht="15.75" customHeight="1">
      <c r="C21" s="327"/>
      <c r="D21" s="88" t="s">
        <v>205</v>
      </c>
      <c r="E21" s="109" t="s">
        <v>193</v>
      </c>
      <c r="F21" s="102" t="s">
        <v>193</v>
      </c>
      <c r="G21" s="91" t="s">
        <v>193</v>
      </c>
      <c r="H21" s="110" t="s">
        <v>193</v>
      </c>
      <c r="I21" s="93" t="s">
        <v>193</v>
      </c>
      <c r="J21" s="94" t="s">
        <v>193</v>
      </c>
      <c r="K21" s="131" t="s">
        <v>193</v>
      </c>
      <c r="L21" s="279" t="s">
        <v>193</v>
      </c>
      <c r="M21" s="280" t="s">
        <v>193</v>
      </c>
      <c r="N21" s="163"/>
    </row>
    <row r="22" spans="2:14" ht="15.75" customHeight="1">
      <c r="B22" s="163"/>
      <c r="C22" s="328"/>
      <c r="D22" s="252" t="s">
        <v>206</v>
      </c>
      <c r="E22" s="101"/>
      <c r="F22" s="103"/>
      <c r="G22" s="104"/>
      <c r="H22" s="92"/>
      <c r="I22" s="93"/>
      <c r="J22" s="94"/>
      <c r="K22" s="131" t="s">
        <v>146</v>
      </c>
      <c r="L22" s="235"/>
      <c r="M22" s="161"/>
      <c r="N22" s="163"/>
    </row>
    <row r="23" spans="2:14" ht="15.75" customHeight="1">
      <c r="C23" s="324" t="s">
        <v>207</v>
      </c>
      <c r="D23" s="88" t="s">
        <v>208</v>
      </c>
      <c r="E23" s="89"/>
      <c r="F23" s="2"/>
      <c r="G23" s="105"/>
      <c r="H23" s="92"/>
      <c r="I23" s="93"/>
      <c r="J23" s="94"/>
      <c r="K23" s="131" t="s">
        <v>146</v>
      </c>
      <c r="L23" s="235"/>
      <c r="M23" s="161"/>
      <c r="N23" s="163"/>
    </row>
    <row r="24" spans="2:14" ht="15.75" customHeight="1">
      <c r="C24" s="324"/>
      <c r="D24" s="88" t="s">
        <v>209</v>
      </c>
      <c r="E24" s="89" t="s">
        <v>193</v>
      </c>
      <c r="F24" s="2"/>
      <c r="G24" s="105"/>
      <c r="H24" s="92"/>
      <c r="I24" s="93"/>
      <c r="J24" s="94"/>
      <c r="K24" s="131" t="s">
        <v>146</v>
      </c>
      <c r="L24" s="235"/>
      <c r="M24" s="161"/>
      <c r="N24" s="163"/>
    </row>
    <row r="25" spans="2:14" ht="15.75" customHeight="1">
      <c r="C25" s="325"/>
      <c r="D25" s="88" t="s">
        <v>210</v>
      </c>
      <c r="E25" s="106" t="s">
        <v>193</v>
      </c>
      <c r="F25" s="107"/>
      <c r="G25" s="108"/>
      <c r="H25" s="92"/>
      <c r="I25" s="93"/>
      <c r="J25" s="94"/>
      <c r="K25" s="131" t="s">
        <v>146</v>
      </c>
      <c r="L25" s="235"/>
      <c r="M25" s="161"/>
      <c r="N25" s="163"/>
    </row>
    <row r="26" spans="2:14" ht="15.75" customHeight="1">
      <c r="C26" s="111" t="s">
        <v>211</v>
      </c>
      <c r="D26" s="88" t="s">
        <v>212</v>
      </c>
      <c r="E26" s="89" t="s">
        <v>193</v>
      </c>
      <c r="F26" s="2" t="s">
        <v>193</v>
      </c>
      <c r="G26" s="105" t="s">
        <v>193</v>
      </c>
      <c r="H26" s="92" t="s">
        <v>193</v>
      </c>
      <c r="I26" s="93" t="s">
        <v>193</v>
      </c>
      <c r="J26" s="94" t="s">
        <v>193</v>
      </c>
      <c r="K26" s="131" t="s">
        <v>193</v>
      </c>
      <c r="L26" s="279" t="s">
        <v>193</v>
      </c>
      <c r="M26" s="107" t="s">
        <v>193</v>
      </c>
      <c r="N26" s="163"/>
    </row>
    <row r="27" spans="2:14" ht="15.75" customHeight="1">
      <c r="C27" s="111" t="s">
        <v>213</v>
      </c>
      <c r="D27" s="112" t="s">
        <v>214</v>
      </c>
      <c r="E27" s="89" t="s">
        <v>193</v>
      </c>
      <c r="F27" s="2"/>
      <c r="G27" s="105"/>
      <c r="H27" s="92"/>
      <c r="I27" s="93"/>
      <c r="J27" s="94"/>
      <c r="K27" s="131" t="s">
        <v>193</v>
      </c>
      <c r="L27" s="279" t="s">
        <v>193</v>
      </c>
      <c r="M27" s="107" t="s">
        <v>193</v>
      </c>
      <c r="N27" s="163"/>
    </row>
    <row r="28" spans="2:14" ht="15.75" customHeight="1">
      <c r="C28" s="323" t="s">
        <v>215</v>
      </c>
      <c r="D28" s="112" t="s">
        <v>216</v>
      </c>
      <c r="E28" s="89" t="s">
        <v>193</v>
      </c>
      <c r="F28" s="2"/>
      <c r="G28" s="105"/>
      <c r="H28" s="92" t="s">
        <v>193</v>
      </c>
      <c r="I28" s="93" t="s">
        <v>193</v>
      </c>
      <c r="J28" s="94"/>
      <c r="K28" s="131" t="s">
        <v>146</v>
      </c>
      <c r="L28" s="235"/>
      <c r="M28" s="161"/>
      <c r="N28" s="163"/>
    </row>
    <row r="29" spans="2:14" ht="15.75" customHeight="1">
      <c r="C29" s="325"/>
      <c r="D29" s="112" t="s">
        <v>217</v>
      </c>
      <c r="E29" s="89"/>
      <c r="F29" s="2"/>
      <c r="G29" s="91" t="s">
        <v>193</v>
      </c>
      <c r="H29" s="92" t="s">
        <v>193</v>
      </c>
      <c r="I29" s="93" t="s">
        <v>193</v>
      </c>
      <c r="J29" s="94" t="s">
        <v>193</v>
      </c>
      <c r="K29" s="131" t="s">
        <v>193</v>
      </c>
      <c r="L29" s="235"/>
      <c r="M29" s="161"/>
      <c r="N29" s="163"/>
    </row>
    <row r="30" spans="2:14" ht="15.75" customHeight="1">
      <c r="C30" s="318" t="s">
        <v>218</v>
      </c>
      <c r="D30" s="113" t="s">
        <v>219</v>
      </c>
      <c r="E30" s="89" t="s">
        <v>193</v>
      </c>
      <c r="F30" s="2"/>
      <c r="G30" s="105"/>
      <c r="H30" s="92"/>
      <c r="I30" s="93"/>
      <c r="J30" s="94"/>
      <c r="K30" s="131" t="s">
        <v>146</v>
      </c>
      <c r="L30" s="235"/>
      <c r="M30" s="161"/>
      <c r="N30" s="163"/>
    </row>
    <row r="31" spans="2:14" ht="15.75" customHeight="1">
      <c r="C31" s="320"/>
      <c r="D31" s="113" t="s">
        <v>220</v>
      </c>
      <c r="E31" s="89" t="s">
        <v>193</v>
      </c>
      <c r="F31" s="2"/>
      <c r="G31" s="105"/>
      <c r="H31" s="92"/>
      <c r="I31" s="93"/>
      <c r="J31" s="94"/>
      <c r="K31" s="131" t="s">
        <v>146</v>
      </c>
      <c r="L31" s="279" t="s">
        <v>193</v>
      </c>
      <c r="M31" s="107" t="s">
        <v>193</v>
      </c>
      <c r="N31" s="163"/>
    </row>
    <row r="32" spans="2:14" ht="15.75" customHeight="1">
      <c r="C32" s="111" t="s">
        <v>221</v>
      </c>
      <c r="D32" s="113" t="s">
        <v>222</v>
      </c>
      <c r="E32" s="89" t="s">
        <v>193</v>
      </c>
      <c r="F32" s="2"/>
      <c r="G32" s="105"/>
      <c r="H32" s="92"/>
      <c r="I32" s="93"/>
      <c r="J32" s="94"/>
      <c r="K32" s="131"/>
      <c r="L32" s="235"/>
      <c r="M32" s="161"/>
      <c r="N32" s="163"/>
    </row>
    <row r="33" spans="3:14" ht="15.75" customHeight="1">
      <c r="C33" s="111" t="s">
        <v>223</v>
      </c>
      <c r="D33" s="114" t="s">
        <v>224</v>
      </c>
      <c r="E33" s="89" t="s">
        <v>193</v>
      </c>
      <c r="F33" s="2" t="s">
        <v>193</v>
      </c>
      <c r="G33" s="105"/>
      <c r="H33" s="92"/>
      <c r="I33" s="93" t="s">
        <v>193</v>
      </c>
      <c r="J33" s="94" t="s">
        <v>193</v>
      </c>
      <c r="K33" s="131" t="s">
        <v>193</v>
      </c>
      <c r="L33" s="279" t="s">
        <v>193</v>
      </c>
      <c r="M33" s="107" t="s">
        <v>193</v>
      </c>
      <c r="N33" s="163"/>
    </row>
    <row r="34" spans="3:14" ht="15.75" customHeight="1">
      <c r="C34" s="111" t="s">
        <v>225</v>
      </c>
      <c r="D34" s="113" t="s">
        <v>226</v>
      </c>
      <c r="E34" s="89" t="s">
        <v>193</v>
      </c>
      <c r="F34" s="2"/>
      <c r="G34" s="105"/>
      <c r="H34" s="92"/>
      <c r="I34" s="93"/>
      <c r="J34" s="94"/>
      <c r="K34" s="131"/>
      <c r="L34" s="279"/>
      <c r="M34" s="107"/>
      <c r="N34" s="163"/>
    </row>
    <row r="35" spans="3:14" ht="15.75" customHeight="1">
      <c r="C35" s="111" t="s">
        <v>227</v>
      </c>
      <c r="D35" s="113" t="s">
        <v>228</v>
      </c>
      <c r="E35" s="89" t="s">
        <v>193</v>
      </c>
      <c r="F35" s="2" t="s">
        <v>193</v>
      </c>
      <c r="G35" s="91" t="s">
        <v>193</v>
      </c>
      <c r="H35" s="92"/>
      <c r="I35" s="93"/>
      <c r="J35" s="94"/>
      <c r="K35" s="131"/>
      <c r="L35" s="279"/>
      <c r="M35" s="107" t="s">
        <v>193</v>
      </c>
      <c r="N35" s="163"/>
    </row>
    <row r="36" spans="3:14" ht="15.75" customHeight="1">
      <c r="C36" s="318" t="s">
        <v>229</v>
      </c>
      <c r="D36" s="113" t="s">
        <v>230</v>
      </c>
      <c r="E36" s="89" t="s">
        <v>193</v>
      </c>
      <c r="F36" s="2" t="s">
        <v>193</v>
      </c>
      <c r="G36" s="105"/>
      <c r="H36" s="92"/>
      <c r="I36" s="93"/>
      <c r="J36" s="94"/>
      <c r="K36" s="131"/>
      <c r="L36" s="235"/>
      <c r="M36" s="161"/>
      <c r="N36" s="163"/>
    </row>
    <row r="37" spans="3:14" ht="15.75" customHeight="1">
      <c r="C37" s="320"/>
      <c r="D37" s="113" t="s">
        <v>231</v>
      </c>
      <c r="E37" s="89" t="s">
        <v>193</v>
      </c>
      <c r="F37" s="2"/>
      <c r="G37" s="105"/>
      <c r="H37" s="92"/>
      <c r="I37" s="93"/>
      <c r="J37" s="94"/>
      <c r="K37" s="131"/>
      <c r="L37" s="235"/>
      <c r="M37" s="161"/>
      <c r="N37" s="163"/>
    </row>
    <row r="38" spans="3:14" ht="15.75" customHeight="1">
      <c r="C38" s="323" t="s">
        <v>232</v>
      </c>
      <c r="D38" s="113" t="s">
        <v>233</v>
      </c>
      <c r="E38" s="89" t="s">
        <v>193</v>
      </c>
      <c r="F38" s="2" t="s">
        <v>193</v>
      </c>
      <c r="G38" s="91" t="s">
        <v>193</v>
      </c>
      <c r="H38" s="92"/>
      <c r="I38" s="93"/>
      <c r="J38" s="94"/>
      <c r="K38" s="131"/>
      <c r="L38" s="235"/>
      <c r="M38" s="161"/>
      <c r="N38" s="163"/>
    </row>
    <row r="39" spans="3:14" ht="15.75" customHeight="1">
      <c r="C39" s="324"/>
      <c r="D39" s="113" t="s">
        <v>234</v>
      </c>
      <c r="E39" s="89" t="s">
        <v>193</v>
      </c>
      <c r="F39" s="2" t="s">
        <v>193</v>
      </c>
      <c r="G39" s="104" t="s">
        <v>193</v>
      </c>
      <c r="H39" s="92"/>
      <c r="I39" s="93"/>
      <c r="J39" s="94"/>
      <c r="K39" s="131"/>
      <c r="L39" s="235"/>
      <c r="M39" s="161"/>
      <c r="N39" s="163"/>
    </row>
    <row r="40" spans="3:14" ht="15.75" customHeight="1">
      <c r="C40" s="325"/>
      <c r="D40" s="113" t="s">
        <v>235</v>
      </c>
      <c r="E40" s="89" t="s">
        <v>193</v>
      </c>
      <c r="F40" s="2" t="s">
        <v>193</v>
      </c>
      <c r="G40" s="104" t="s">
        <v>193</v>
      </c>
      <c r="H40" s="92"/>
      <c r="I40" s="93"/>
      <c r="J40" s="94"/>
      <c r="K40" s="131"/>
      <c r="L40" s="235"/>
      <c r="M40" s="161"/>
      <c r="N40" s="163"/>
    </row>
    <row r="41" spans="3:14" ht="15.75" customHeight="1">
      <c r="C41" s="87" t="s">
        <v>236</v>
      </c>
      <c r="D41" s="113" t="s">
        <v>237</v>
      </c>
      <c r="E41" s="115" t="s">
        <v>193</v>
      </c>
      <c r="F41" s="116"/>
      <c r="G41" s="91" t="s">
        <v>193</v>
      </c>
      <c r="H41" s="117" t="s">
        <v>193</v>
      </c>
      <c r="I41" s="93" t="s">
        <v>193</v>
      </c>
      <c r="J41" s="94" t="s">
        <v>193</v>
      </c>
      <c r="K41" s="131" t="s">
        <v>193</v>
      </c>
      <c r="L41" s="279" t="s">
        <v>193</v>
      </c>
      <c r="M41" s="107" t="s">
        <v>193</v>
      </c>
      <c r="N41" s="163"/>
    </row>
    <row r="42" spans="3:14" ht="15.75" customHeight="1">
      <c r="C42" s="111" t="s">
        <v>238</v>
      </c>
      <c r="D42" s="113" t="s">
        <v>239</v>
      </c>
      <c r="E42" s="106" t="s">
        <v>193</v>
      </c>
      <c r="F42" s="2" t="s">
        <v>193</v>
      </c>
      <c r="G42" s="118" t="s">
        <v>193</v>
      </c>
      <c r="H42" s="92"/>
      <c r="I42" s="93" t="s">
        <v>193</v>
      </c>
      <c r="J42" s="94"/>
      <c r="K42" s="131"/>
      <c r="L42" s="279" t="s">
        <v>193</v>
      </c>
      <c r="M42" s="107" t="s">
        <v>193</v>
      </c>
      <c r="N42" s="163"/>
    </row>
    <row r="43" spans="3:14" ht="15.75" customHeight="1">
      <c r="C43" s="318" t="s">
        <v>240</v>
      </c>
      <c r="D43" s="113" t="s">
        <v>241</v>
      </c>
      <c r="E43" s="261"/>
      <c r="F43" s="262" t="s">
        <v>193</v>
      </c>
      <c r="G43" s="263"/>
      <c r="H43" s="127"/>
      <c r="I43" s="128" t="s">
        <v>193</v>
      </c>
      <c r="J43" s="170" t="s">
        <v>193</v>
      </c>
      <c r="K43" s="129" t="s">
        <v>193</v>
      </c>
      <c r="L43" s="281" t="s">
        <v>193</v>
      </c>
      <c r="M43" s="280" t="s">
        <v>193</v>
      </c>
      <c r="N43" s="163"/>
    </row>
    <row r="44" spans="3:14" ht="15.75" customHeight="1">
      <c r="C44" s="319"/>
      <c r="D44" s="258" t="s">
        <v>242</v>
      </c>
      <c r="E44" s="256" t="s">
        <v>193</v>
      </c>
      <c r="F44" s="256" t="s">
        <v>193</v>
      </c>
      <c r="G44" s="256" t="s">
        <v>193</v>
      </c>
      <c r="H44" s="256" t="s">
        <v>193</v>
      </c>
      <c r="I44" s="256" t="s">
        <v>193</v>
      </c>
      <c r="J44" s="256"/>
      <c r="K44" s="256"/>
      <c r="L44" s="282" t="s">
        <v>193</v>
      </c>
      <c r="M44" s="280" t="s">
        <v>193</v>
      </c>
      <c r="N44" s="163"/>
    </row>
    <row r="45" spans="3:14" ht="15.75" customHeight="1">
      <c r="C45" s="319"/>
      <c r="D45" s="258" t="s">
        <v>243</v>
      </c>
      <c r="E45" s="256" t="s">
        <v>193</v>
      </c>
      <c r="F45" s="256" t="s">
        <v>193</v>
      </c>
      <c r="G45" s="256" t="s">
        <v>193</v>
      </c>
      <c r="H45" s="256" t="s">
        <v>193</v>
      </c>
      <c r="I45" s="256" t="s">
        <v>193</v>
      </c>
      <c r="J45" s="256"/>
      <c r="K45" s="256"/>
      <c r="L45" s="282" t="s">
        <v>193</v>
      </c>
      <c r="M45" s="280" t="s">
        <v>193</v>
      </c>
      <c r="N45" s="163"/>
    </row>
    <row r="46" spans="3:14" ht="15.75" customHeight="1">
      <c r="C46" s="319"/>
      <c r="D46" s="258" t="s">
        <v>244</v>
      </c>
      <c r="E46" s="256" t="s">
        <v>193</v>
      </c>
      <c r="F46" s="256" t="s">
        <v>193</v>
      </c>
      <c r="G46" s="256" t="s">
        <v>193</v>
      </c>
      <c r="H46" s="256" t="s">
        <v>193</v>
      </c>
      <c r="I46" s="256" t="s">
        <v>193</v>
      </c>
      <c r="J46" s="256"/>
      <c r="K46" s="256"/>
      <c r="L46" s="282" t="s">
        <v>193</v>
      </c>
      <c r="M46" s="280" t="s">
        <v>193</v>
      </c>
      <c r="N46" s="163"/>
    </row>
    <row r="47" spans="3:14" ht="15.75" customHeight="1">
      <c r="C47" s="319"/>
      <c r="D47" s="258" t="s">
        <v>245</v>
      </c>
      <c r="E47" s="256" t="s">
        <v>193</v>
      </c>
      <c r="F47" s="256" t="s">
        <v>193</v>
      </c>
      <c r="G47" s="256" t="s">
        <v>193</v>
      </c>
      <c r="H47" s="256" t="s">
        <v>193</v>
      </c>
      <c r="I47" s="256" t="s">
        <v>193</v>
      </c>
      <c r="J47" s="256"/>
      <c r="K47" s="256"/>
      <c r="L47" s="282" t="s">
        <v>193</v>
      </c>
      <c r="M47" s="280" t="s">
        <v>193</v>
      </c>
      <c r="N47" s="163"/>
    </row>
    <row r="48" spans="3:14" ht="15.75" customHeight="1">
      <c r="C48" s="319"/>
      <c r="D48" s="258" t="s">
        <v>246</v>
      </c>
      <c r="E48" s="256" t="s">
        <v>193</v>
      </c>
      <c r="F48" s="256" t="s">
        <v>193</v>
      </c>
      <c r="G48" s="256" t="s">
        <v>193</v>
      </c>
      <c r="H48" s="256" t="s">
        <v>193</v>
      </c>
      <c r="I48" s="256" t="s">
        <v>193</v>
      </c>
      <c r="J48" s="256"/>
      <c r="K48" s="256"/>
      <c r="L48" s="282" t="s">
        <v>193</v>
      </c>
      <c r="M48" s="280" t="s">
        <v>193</v>
      </c>
      <c r="N48" s="163"/>
    </row>
    <row r="49" spans="3:14" ht="27" customHeight="1">
      <c r="C49" s="319"/>
      <c r="D49" s="258" t="s">
        <v>247</v>
      </c>
      <c r="E49" s="256" t="s">
        <v>193</v>
      </c>
      <c r="F49" s="256" t="s">
        <v>193</v>
      </c>
      <c r="G49" s="256" t="s">
        <v>193</v>
      </c>
      <c r="H49" s="256" t="s">
        <v>193</v>
      </c>
      <c r="I49" s="256" t="s">
        <v>193</v>
      </c>
      <c r="J49" s="256"/>
      <c r="K49" s="256"/>
      <c r="L49" s="282" t="s">
        <v>193</v>
      </c>
      <c r="M49" s="280" t="s">
        <v>193</v>
      </c>
      <c r="N49" s="163"/>
    </row>
    <row r="50" spans="3:14" ht="15.75" customHeight="1">
      <c r="C50" s="319"/>
      <c r="D50" s="258" t="s">
        <v>248</v>
      </c>
      <c r="E50" s="256" t="s">
        <v>193</v>
      </c>
      <c r="F50" s="256" t="s">
        <v>193</v>
      </c>
      <c r="G50" s="256" t="s">
        <v>193</v>
      </c>
      <c r="H50" s="256" t="s">
        <v>193</v>
      </c>
      <c r="I50" s="256" t="s">
        <v>193</v>
      </c>
      <c r="J50" s="256"/>
      <c r="K50" s="256"/>
      <c r="L50" s="282"/>
      <c r="M50" s="280"/>
      <c r="N50" s="163"/>
    </row>
    <row r="51" spans="3:14" ht="15.75" customHeight="1">
      <c r="C51" s="319"/>
      <c r="D51" s="258" t="s">
        <v>249</v>
      </c>
      <c r="E51" s="256" t="s">
        <v>193</v>
      </c>
      <c r="F51" s="256" t="s">
        <v>193</v>
      </c>
      <c r="G51" s="256" t="s">
        <v>193</v>
      </c>
      <c r="H51" s="256" t="s">
        <v>193</v>
      </c>
      <c r="I51" s="256" t="s">
        <v>193</v>
      </c>
      <c r="J51" s="256"/>
      <c r="K51" s="256"/>
      <c r="L51" s="282"/>
      <c r="M51" s="280"/>
      <c r="N51" s="163"/>
    </row>
    <row r="52" spans="3:14" ht="15.75" customHeight="1">
      <c r="C52" s="319"/>
      <c r="D52" s="258" t="s">
        <v>250</v>
      </c>
      <c r="E52" s="256" t="s">
        <v>193</v>
      </c>
      <c r="F52" s="256" t="s">
        <v>193</v>
      </c>
      <c r="G52" s="256" t="s">
        <v>193</v>
      </c>
      <c r="H52" s="256" t="s">
        <v>193</v>
      </c>
      <c r="I52" s="256" t="s">
        <v>193</v>
      </c>
      <c r="J52" s="256"/>
      <c r="K52" s="256"/>
      <c r="L52" s="282"/>
      <c r="M52" s="280"/>
      <c r="N52" s="163"/>
    </row>
    <row r="53" spans="3:14" ht="15.75" customHeight="1">
      <c r="C53" s="319"/>
      <c r="D53" s="258" t="s">
        <v>251</v>
      </c>
      <c r="E53" s="257" t="s">
        <v>193</v>
      </c>
      <c r="F53" s="257" t="s">
        <v>193</v>
      </c>
      <c r="G53" s="257" t="s">
        <v>193</v>
      </c>
      <c r="H53" s="257" t="s">
        <v>193</v>
      </c>
      <c r="I53" s="257" t="s">
        <v>193</v>
      </c>
      <c r="J53" s="257"/>
      <c r="K53" s="257"/>
      <c r="L53" s="282" t="s">
        <v>193</v>
      </c>
      <c r="M53" s="280" t="s">
        <v>193</v>
      </c>
      <c r="N53" s="163"/>
    </row>
    <row r="54" spans="3:14" ht="15.75" customHeight="1">
      <c r="C54" s="319"/>
      <c r="D54" s="258" t="s">
        <v>252</v>
      </c>
      <c r="E54" s="257" t="s">
        <v>193</v>
      </c>
      <c r="F54" s="257" t="s">
        <v>193</v>
      </c>
      <c r="G54" s="257" t="s">
        <v>193</v>
      </c>
      <c r="H54" s="257" t="s">
        <v>193</v>
      </c>
      <c r="I54" s="257" t="s">
        <v>193</v>
      </c>
      <c r="J54" s="257"/>
      <c r="K54" s="257"/>
      <c r="L54" s="282"/>
      <c r="M54" s="280"/>
      <c r="N54" s="163"/>
    </row>
    <row r="55" spans="3:14" ht="15.75" customHeight="1">
      <c r="C55" s="319"/>
      <c r="D55" s="258" t="s">
        <v>253</v>
      </c>
      <c r="E55" s="257" t="s">
        <v>193</v>
      </c>
      <c r="F55" s="257" t="s">
        <v>193</v>
      </c>
      <c r="G55" s="257" t="s">
        <v>193</v>
      </c>
      <c r="H55" s="257" t="s">
        <v>193</v>
      </c>
      <c r="I55" s="257" t="s">
        <v>193</v>
      </c>
      <c r="J55" s="257"/>
      <c r="K55" s="257"/>
      <c r="L55" s="282" t="s">
        <v>193</v>
      </c>
      <c r="M55" s="280" t="s">
        <v>193</v>
      </c>
      <c r="N55" s="163"/>
    </row>
    <row r="56" spans="3:14" ht="15.75" customHeight="1">
      <c r="C56" s="319"/>
      <c r="D56" s="258" t="s">
        <v>254</v>
      </c>
      <c r="E56" s="257" t="s">
        <v>193</v>
      </c>
      <c r="F56" s="257" t="s">
        <v>193</v>
      </c>
      <c r="G56" s="257" t="s">
        <v>193</v>
      </c>
      <c r="H56" s="257" t="s">
        <v>193</v>
      </c>
      <c r="I56" s="257" t="s">
        <v>193</v>
      </c>
      <c r="J56" s="257"/>
      <c r="K56" s="257"/>
      <c r="L56" s="282" t="s">
        <v>193</v>
      </c>
      <c r="M56" s="280" t="s">
        <v>193</v>
      </c>
      <c r="N56" s="163"/>
    </row>
    <row r="57" spans="3:14" ht="15.75" customHeight="1">
      <c r="C57" s="319"/>
      <c r="D57" s="258" t="s">
        <v>255</v>
      </c>
      <c r="E57" s="257" t="s">
        <v>193</v>
      </c>
      <c r="F57" s="257" t="s">
        <v>193</v>
      </c>
      <c r="G57" s="257" t="s">
        <v>193</v>
      </c>
      <c r="H57" s="257" t="s">
        <v>193</v>
      </c>
      <c r="I57" s="257" t="s">
        <v>193</v>
      </c>
      <c r="J57" s="257"/>
      <c r="K57" s="257"/>
      <c r="L57" s="282"/>
      <c r="M57" s="280"/>
      <c r="N57" s="163"/>
    </row>
    <row r="58" spans="3:14" ht="24" customHeight="1">
      <c r="C58" s="319"/>
      <c r="D58" s="258" t="s">
        <v>256</v>
      </c>
      <c r="E58" s="257"/>
      <c r="F58" s="257"/>
      <c r="G58" s="257"/>
      <c r="H58" s="257"/>
      <c r="I58" s="257"/>
      <c r="J58" s="257"/>
      <c r="K58" s="257"/>
      <c r="L58" s="282" t="s">
        <v>193</v>
      </c>
      <c r="M58" s="280" t="s">
        <v>193</v>
      </c>
      <c r="N58" s="163"/>
    </row>
    <row r="59" spans="3:14" ht="15.75" customHeight="1">
      <c r="C59" s="319"/>
      <c r="D59" s="258" t="s">
        <v>257</v>
      </c>
      <c r="E59" s="257" t="s">
        <v>193</v>
      </c>
      <c r="F59" s="257" t="s">
        <v>193</v>
      </c>
      <c r="G59" s="257" t="s">
        <v>193</v>
      </c>
      <c r="H59" s="257" t="s">
        <v>193</v>
      </c>
      <c r="I59" s="257" t="s">
        <v>193</v>
      </c>
      <c r="J59" s="257"/>
      <c r="K59" s="257"/>
      <c r="L59" s="282"/>
      <c r="M59" s="280"/>
      <c r="N59" s="163"/>
    </row>
    <row r="60" spans="3:14" ht="15.75" customHeight="1">
      <c r="C60" s="319"/>
      <c r="D60" s="258" t="s">
        <v>258</v>
      </c>
      <c r="E60" s="257" t="s">
        <v>193</v>
      </c>
      <c r="F60" s="257" t="s">
        <v>193</v>
      </c>
      <c r="G60" s="257" t="s">
        <v>193</v>
      </c>
      <c r="H60" s="257" t="s">
        <v>193</v>
      </c>
      <c r="I60" s="257" t="s">
        <v>193</v>
      </c>
      <c r="J60" s="257"/>
      <c r="K60" s="257"/>
      <c r="L60" s="282" t="s">
        <v>193</v>
      </c>
      <c r="M60" s="280" t="s">
        <v>193</v>
      </c>
      <c r="N60" s="163"/>
    </row>
    <row r="61" spans="3:14" ht="15.75" customHeight="1">
      <c r="C61" s="319"/>
      <c r="D61" s="258" t="s">
        <v>259</v>
      </c>
      <c r="E61" s="257" t="s">
        <v>193</v>
      </c>
      <c r="F61" s="257" t="s">
        <v>193</v>
      </c>
      <c r="G61" s="257" t="s">
        <v>193</v>
      </c>
      <c r="H61" s="257" t="s">
        <v>193</v>
      </c>
      <c r="I61" s="257" t="s">
        <v>193</v>
      </c>
      <c r="J61" s="257"/>
      <c r="K61" s="257"/>
      <c r="L61" s="282" t="s">
        <v>193</v>
      </c>
      <c r="M61" s="280" t="s">
        <v>193</v>
      </c>
      <c r="N61" s="163"/>
    </row>
    <row r="62" spans="3:14" ht="15.75" customHeight="1">
      <c r="C62" s="319"/>
      <c r="D62" s="258" t="s">
        <v>260</v>
      </c>
      <c r="E62" s="257" t="s">
        <v>193</v>
      </c>
      <c r="F62" s="257" t="s">
        <v>193</v>
      </c>
      <c r="G62" s="257" t="s">
        <v>193</v>
      </c>
      <c r="H62" s="257" t="s">
        <v>193</v>
      </c>
      <c r="I62" s="257" t="s">
        <v>193</v>
      </c>
      <c r="J62" s="257"/>
      <c r="K62" s="257"/>
      <c r="L62" s="282"/>
      <c r="M62" s="280"/>
      <c r="N62" s="163"/>
    </row>
    <row r="63" spans="3:14" ht="15.75" customHeight="1">
      <c r="C63" s="319"/>
      <c r="D63" s="259" t="s">
        <v>261</v>
      </c>
      <c r="E63" s="257" t="s">
        <v>193</v>
      </c>
      <c r="F63" s="257" t="s">
        <v>193</v>
      </c>
      <c r="G63" s="257" t="s">
        <v>193</v>
      </c>
      <c r="H63" s="257" t="s">
        <v>193</v>
      </c>
      <c r="I63" s="257" t="s">
        <v>193</v>
      </c>
      <c r="J63" s="257"/>
      <c r="K63" s="257"/>
      <c r="L63" s="282" t="s">
        <v>193</v>
      </c>
      <c r="M63" s="280" t="s">
        <v>193</v>
      </c>
      <c r="N63" s="163"/>
    </row>
    <row r="64" spans="3:14" ht="15.75" customHeight="1">
      <c r="C64" s="319"/>
      <c r="D64" s="259" t="s">
        <v>262</v>
      </c>
      <c r="E64" s="257"/>
      <c r="F64" s="257"/>
      <c r="G64" s="257"/>
      <c r="H64" s="257"/>
      <c r="I64" s="257"/>
      <c r="J64" s="257"/>
      <c r="K64" s="257"/>
      <c r="L64" s="282" t="s">
        <v>193</v>
      </c>
      <c r="M64" s="280" t="s">
        <v>193</v>
      </c>
      <c r="N64" s="163"/>
    </row>
    <row r="65" spans="3:14" ht="15.75" customHeight="1">
      <c r="C65" s="319"/>
      <c r="D65" s="259" t="s">
        <v>263</v>
      </c>
      <c r="E65" s="257" t="s">
        <v>193</v>
      </c>
      <c r="F65" s="257" t="s">
        <v>193</v>
      </c>
      <c r="G65" s="257" t="s">
        <v>193</v>
      </c>
      <c r="H65" s="257" t="s">
        <v>193</v>
      </c>
      <c r="I65" s="257" t="s">
        <v>193</v>
      </c>
      <c r="J65" s="257"/>
      <c r="K65" s="257"/>
      <c r="L65" s="282" t="s">
        <v>193</v>
      </c>
      <c r="M65" s="280" t="s">
        <v>193</v>
      </c>
      <c r="N65" s="163"/>
    </row>
    <row r="66" spans="3:14" ht="18" customHeight="1">
      <c r="C66" s="319"/>
      <c r="D66" s="259" t="s">
        <v>264</v>
      </c>
      <c r="E66" s="257"/>
      <c r="F66" s="257"/>
      <c r="G66" s="257"/>
      <c r="H66" s="257"/>
      <c r="I66" s="257"/>
      <c r="J66" s="257"/>
      <c r="K66" s="257"/>
      <c r="L66" s="282" t="s">
        <v>193</v>
      </c>
      <c r="M66" s="280" t="s">
        <v>193</v>
      </c>
      <c r="N66" s="163"/>
    </row>
    <row r="67" spans="3:14" ht="15.75" customHeight="1">
      <c r="C67" s="320"/>
      <c r="D67" s="260" t="s">
        <v>265</v>
      </c>
      <c r="E67" s="257" t="s">
        <v>193</v>
      </c>
      <c r="F67" s="257" t="s">
        <v>193</v>
      </c>
      <c r="G67" s="257" t="s">
        <v>193</v>
      </c>
      <c r="H67" s="257" t="s">
        <v>193</v>
      </c>
      <c r="I67" s="257" t="s">
        <v>193</v>
      </c>
      <c r="J67" s="257"/>
      <c r="K67" s="257"/>
      <c r="L67" s="282" t="s">
        <v>193</v>
      </c>
      <c r="M67" s="280" t="s">
        <v>193</v>
      </c>
      <c r="N67" s="163"/>
    </row>
    <row r="68" spans="3:14" ht="15.75" customHeight="1">
      <c r="C68" s="119" t="s">
        <v>266</v>
      </c>
      <c r="D68" s="120" t="s">
        <v>267</v>
      </c>
      <c r="E68" s="101"/>
      <c r="F68" s="103"/>
      <c r="G68" s="264" t="s">
        <v>193</v>
      </c>
      <c r="H68" s="172" t="s">
        <v>193</v>
      </c>
      <c r="I68" s="265"/>
      <c r="J68" s="266"/>
      <c r="K68" s="267" t="s">
        <v>193</v>
      </c>
      <c r="L68" s="281" t="s">
        <v>193</v>
      </c>
      <c r="M68" s="280" t="s">
        <v>193</v>
      </c>
      <c r="N68" s="163"/>
    </row>
    <row r="69" spans="3:14" ht="15.75" customHeight="1">
      <c r="C69" s="119" t="s">
        <v>268</v>
      </c>
      <c r="D69" s="121" t="s">
        <v>269</v>
      </c>
      <c r="E69" s="94"/>
      <c r="F69" s="94"/>
      <c r="G69" s="94"/>
      <c r="H69" s="94" t="s">
        <v>193</v>
      </c>
      <c r="I69" s="94" t="s">
        <v>193</v>
      </c>
      <c r="J69" s="94"/>
      <c r="K69" s="131"/>
      <c r="L69" s="281"/>
      <c r="M69" s="280"/>
      <c r="N69" s="163"/>
    </row>
    <row r="70" spans="3:14" ht="15.75" customHeight="1">
      <c r="C70" s="122" t="s">
        <v>270</v>
      </c>
      <c r="D70" s="121" t="s">
        <v>271</v>
      </c>
      <c r="E70" s="94"/>
      <c r="F70" s="94"/>
      <c r="G70" s="94"/>
      <c r="H70" s="94" t="s">
        <v>193</v>
      </c>
      <c r="I70" s="94" t="s">
        <v>193</v>
      </c>
      <c r="J70" s="94"/>
      <c r="K70" s="131" t="s">
        <v>193</v>
      </c>
      <c r="L70" s="281" t="s">
        <v>193</v>
      </c>
      <c r="M70" s="280" t="s">
        <v>193</v>
      </c>
      <c r="N70" s="163"/>
    </row>
    <row r="71" spans="3:14" ht="15.75" customHeight="1">
      <c r="C71" s="314" t="s">
        <v>272</v>
      </c>
      <c r="D71" s="121" t="s">
        <v>273</v>
      </c>
      <c r="E71" s="94"/>
      <c r="F71" s="94"/>
      <c r="G71" s="94"/>
      <c r="H71" s="94" t="s">
        <v>193</v>
      </c>
      <c r="I71" s="94" t="s">
        <v>193</v>
      </c>
      <c r="J71" s="94" t="s">
        <v>193</v>
      </c>
      <c r="K71" s="131" t="s">
        <v>193</v>
      </c>
      <c r="L71" s="281" t="s">
        <v>193</v>
      </c>
      <c r="M71" s="280" t="s">
        <v>193</v>
      </c>
      <c r="N71" s="163"/>
    </row>
    <row r="72" spans="3:14" ht="15.75" customHeight="1">
      <c r="C72" s="315"/>
      <c r="D72" s="121" t="s">
        <v>274</v>
      </c>
      <c r="E72" s="94"/>
      <c r="F72" s="94"/>
      <c r="G72" s="94"/>
      <c r="H72" s="94" t="s">
        <v>193</v>
      </c>
      <c r="I72" s="94" t="s">
        <v>193</v>
      </c>
      <c r="J72" s="94" t="s">
        <v>193</v>
      </c>
      <c r="K72" s="131" t="s">
        <v>193</v>
      </c>
      <c r="L72" s="279" t="s">
        <v>193</v>
      </c>
      <c r="M72" s="250" t="s">
        <v>193</v>
      </c>
      <c r="N72" s="163"/>
    </row>
    <row r="73" spans="3:14" ht="15.75" customHeight="1">
      <c r="C73" s="316" t="s">
        <v>275</v>
      </c>
      <c r="D73" s="121" t="s">
        <v>276</v>
      </c>
      <c r="E73" s="94"/>
      <c r="F73" s="94"/>
      <c r="G73" s="94"/>
      <c r="H73" s="94" t="s">
        <v>193</v>
      </c>
      <c r="I73" s="94" t="s">
        <v>193</v>
      </c>
      <c r="J73" s="94" t="s">
        <v>193</v>
      </c>
      <c r="K73" s="131" t="s">
        <v>146</v>
      </c>
      <c r="L73" s="281" t="s">
        <v>193</v>
      </c>
      <c r="M73" s="280" t="s">
        <v>193</v>
      </c>
      <c r="N73" s="163"/>
    </row>
    <row r="74" spans="3:14" ht="15.75" customHeight="1">
      <c r="C74" s="317"/>
      <c r="D74" s="121" t="s">
        <v>277</v>
      </c>
      <c r="E74" s="94"/>
      <c r="F74" s="94"/>
      <c r="G74" s="94"/>
      <c r="H74" s="94" t="s">
        <v>193</v>
      </c>
      <c r="I74" s="94" t="s">
        <v>193</v>
      </c>
      <c r="J74" s="94" t="s">
        <v>193</v>
      </c>
      <c r="K74" s="131" t="s">
        <v>193</v>
      </c>
      <c r="L74" s="281" t="s">
        <v>193</v>
      </c>
      <c r="M74" s="280" t="s">
        <v>193</v>
      </c>
      <c r="N74" s="163"/>
    </row>
    <row r="75" spans="3:14" ht="15.75" customHeight="1">
      <c r="C75" s="317"/>
      <c r="D75" s="121" t="s">
        <v>278</v>
      </c>
      <c r="E75" s="94"/>
      <c r="F75" s="94"/>
      <c r="G75" s="94"/>
      <c r="H75" s="94" t="s">
        <v>193</v>
      </c>
      <c r="I75" s="94" t="s">
        <v>193</v>
      </c>
      <c r="J75" s="94" t="s">
        <v>193</v>
      </c>
      <c r="K75" s="131" t="s">
        <v>193</v>
      </c>
      <c r="L75" s="281" t="s">
        <v>193</v>
      </c>
      <c r="M75" s="280" t="s">
        <v>193</v>
      </c>
      <c r="N75" s="163"/>
    </row>
    <row r="76" spans="3:14" ht="15.75" customHeight="1">
      <c r="C76" s="317"/>
      <c r="D76" s="121" t="s">
        <v>279</v>
      </c>
      <c r="E76" s="94"/>
      <c r="F76" s="94"/>
      <c r="G76" s="94"/>
      <c r="H76" s="94" t="s">
        <v>193</v>
      </c>
      <c r="I76" s="94" t="s">
        <v>193</v>
      </c>
      <c r="J76" s="94" t="s">
        <v>193</v>
      </c>
      <c r="K76" s="131"/>
      <c r="L76" s="281"/>
      <c r="M76" s="280"/>
      <c r="N76" s="163"/>
    </row>
    <row r="77" spans="3:14" ht="15.75" customHeight="1">
      <c r="C77" s="317"/>
      <c r="D77" s="121" t="s">
        <v>280</v>
      </c>
      <c r="E77" s="94"/>
      <c r="F77" s="94"/>
      <c r="G77" s="94"/>
      <c r="H77" s="94" t="s">
        <v>193</v>
      </c>
      <c r="I77" s="94" t="s">
        <v>193</v>
      </c>
      <c r="J77" s="94" t="s">
        <v>193</v>
      </c>
      <c r="K77" s="131" t="s">
        <v>193</v>
      </c>
      <c r="L77" s="281" t="s">
        <v>193</v>
      </c>
      <c r="M77" s="280" t="s">
        <v>193</v>
      </c>
      <c r="N77" s="163"/>
    </row>
    <row r="78" spans="3:14" ht="15.75" customHeight="1">
      <c r="C78" s="317"/>
      <c r="D78" s="121" t="s">
        <v>281</v>
      </c>
      <c r="E78" s="94"/>
      <c r="F78" s="94"/>
      <c r="G78" s="94"/>
      <c r="H78" s="94"/>
      <c r="I78" s="94" t="s">
        <v>193</v>
      </c>
      <c r="J78" s="94" t="s">
        <v>193</v>
      </c>
      <c r="K78" s="131" t="s">
        <v>146</v>
      </c>
      <c r="L78" s="281"/>
      <c r="M78" s="280"/>
      <c r="N78" s="163"/>
    </row>
    <row r="79" spans="3:14" ht="15.75" customHeight="1">
      <c r="C79" s="317"/>
      <c r="D79" s="121" t="s">
        <v>282</v>
      </c>
      <c r="E79" s="94"/>
      <c r="F79" s="94"/>
      <c r="G79" s="94"/>
      <c r="H79" s="94"/>
      <c r="I79" s="94" t="s">
        <v>193</v>
      </c>
      <c r="J79" s="94" t="s">
        <v>193</v>
      </c>
      <c r="K79" s="131" t="s">
        <v>146</v>
      </c>
      <c r="L79" s="281"/>
      <c r="M79" s="280"/>
      <c r="N79" s="163"/>
    </row>
    <row r="80" spans="3:14" ht="15.75" customHeight="1">
      <c r="C80" s="317"/>
      <c r="D80" s="121" t="s">
        <v>283</v>
      </c>
      <c r="E80" s="94"/>
      <c r="F80" s="94"/>
      <c r="G80" s="94"/>
      <c r="H80" s="94"/>
      <c r="I80" s="94" t="s">
        <v>193</v>
      </c>
      <c r="J80" s="94" t="s">
        <v>193</v>
      </c>
      <c r="K80" s="131" t="s">
        <v>146</v>
      </c>
      <c r="L80" s="281" t="s">
        <v>193</v>
      </c>
      <c r="M80" s="280" t="s">
        <v>193</v>
      </c>
      <c r="N80" s="163"/>
    </row>
    <row r="81" spans="3:14" ht="15.75" customHeight="1">
      <c r="C81" s="317"/>
      <c r="D81" s="121" t="s">
        <v>284</v>
      </c>
      <c r="E81" s="94"/>
      <c r="F81" s="94"/>
      <c r="G81" s="94"/>
      <c r="H81" s="94"/>
      <c r="I81" s="94"/>
      <c r="J81" s="94"/>
      <c r="K81" s="131" t="s">
        <v>193</v>
      </c>
      <c r="L81" s="281" t="s">
        <v>193</v>
      </c>
      <c r="M81" s="280" t="s">
        <v>193</v>
      </c>
      <c r="N81" s="163"/>
    </row>
    <row r="82" spans="3:14" ht="15.75" customHeight="1">
      <c r="C82" s="317"/>
      <c r="D82" s="121" t="s">
        <v>285</v>
      </c>
      <c r="E82" s="170"/>
      <c r="F82" s="170"/>
      <c r="G82" s="170"/>
      <c r="H82" s="170"/>
      <c r="I82" s="94"/>
      <c r="J82" s="94"/>
      <c r="K82" s="131" t="s">
        <v>193</v>
      </c>
      <c r="L82" s="281" t="s">
        <v>193</v>
      </c>
      <c r="M82" s="280" t="s">
        <v>193</v>
      </c>
      <c r="N82" s="163"/>
    </row>
    <row r="83" spans="3:14" ht="15.75" customHeight="1">
      <c r="C83" s="317"/>
      <c r="D83" s="168" t="s">
        <v>286</v>
      </c>
      <c r="E83" s="167"/>
      <c r="F83" s="167"/>
      <c r="G83" s="167"/>
      <c r="H83" s="167"/>
      <c r="I83" s="169"/>
      <c r="J83" s="94"/>
      <c r="K83" s="131"/>
      <c r="L83" s="281" t="s">
        <v>193</v>
      </c>
      <c r="M83" s="280" t="s">
        <v>193</v>
      </c>
      <c r="N83" s="163"/>
    </row>
    <row r="84" spans="3:14" ht="15.75" customHeight="1">
      <c r="C84" s="317"/>
      <c r="D84" s="168" t="s">
        <v>287</v>
      </c>
      <c r="E84" s="167"/>
      <c r="F84" s="167"/>
      <c r="G84" s="167"/>
      <c r="H84" s="167"/>
      <c r="I84" s="169"/>
      <c r="J84" s="94"/>
      <c r="K84" s="131"/>
      <c r="L84" s="281" t="s">
        <v>193</v>
      </c>
      <c r="M84" s="280" t="s">
        <v>193</v>
      </c>
      <c r="N84" s="163"/>
    </row>
    <row r="85" spans="3:14" ht="15.75" customHeight="1">
      <c r="C85" s="317"/>
      <c r="D85" s="168" t="s">
        <v>288</v>
      </c>
      <c r="E85" s="167"/>
      <c r="F85" s="167"/>
      <c r="G85" s="167"/>
      <c r="H85" s="167"/>
      <c r="I85" s="169"/>
      <c r="J85" s="94"/>
      <c r="K85" s="131"/>
      <c r="L85" s="281" t="s">
        <v>193</v>
      </c>
      <c r="M85" s="280" t="s">
        <v>193</v>
      </c>
      <c r="N85" s="163"/>
    </row>
    <row r="86" spans="3:14" ht="15.75" customHeight="1">
      <c r="C86" s="317"/>
      <c r="D86" s="168" t="s">
        <v>289</v>
      </c>
      <c r="E86" s="167"/>
      <c r="F86" s="167"/>
      <c r="G86" s="167"/>
      <c r="H86" s="167"/>
      <c r="I86" s="169"/>
      <c r="J86" s="94"/>
      <c r="K86" s="131"/>
      <c r="L86" s="281" t="s">
        <v>193</v>
      </c>
      <c r="M86" s="280" t="s">
        <v>193</v>
      </c>
      <c r="N86" s="163"/>
    </row>
    <row r="87" spans="3:14" ht="15.75" customHeight="1">
      <c r="C87" s="317"/>
      <c r="D87" s="283" t="s">
        <v>290</v>
      </c>
      <c r="E87" s="284"/>
      <c r="F87" s="284"/>
      <c r="G87" s="284"/>
      <c r="H87" s="285"/>
      <c r="I87" s="169"/>
      <c r="J87" s="94"/>
      <c r="K87" s="131"/>
      <c r="L87" s="281"/>
      <c r="M87" s="280" t="s">
        <v>193</v>
      </c>
      <c r="N87" s="163"/>
    </row>
    <row r="88" spans="3:14" ht="15.75" customHeight="1">
      <c r="C88" s="317"/>
      <c r="D88" s="283" t="s">
        <v>291</v>
      </c>
      <c r="E88" s="284"/>
      <c r="F88" s="284"/>
      <c r="G88" s="284"/>
      <c r="H88" s="285"/>
      <c r="I88" s="169"/>
      <c r="J88" s="94"/>
      <c r="K88" s="131"/>
      <c r="L88" s="281"/>
      <c r="M88" s="280" t="s">
        <v>193</v>
      </c>
      <c r="N88" s="163"/>
    </row>
    <row r="89" spans="3:14" ht="15.75" customHeight="1">
      <c r="C89" s="317"/>
      <c r="D89" s="123" t="s">
        <v>292</v>
      </c>
      <c r="E89" s="171"/>
      <c r="F89" s="171"/>
      <c r="G89" s="171"/>
      <c r="H89" s="172" t="s">
        <v>193</v>
      </c>
      <c r="I89" s="93" t="s">
        <v>193</v>
      </c>
      <c r="J89" s="94" t="s">
        <v>193</v>
      </c>
      <c r="K89" s="131" t="s">
        <v>146</v>
      </c>
      <c r="L89" s="281"/>
      <c r="M89" s="280"/>
      <c r="N89" s="163"/>
    </row>
    <row r="90" spans="3:14" ht="15.75" customHeight="1">
      <c r="C90" s="124" t="s">
        <v>293</v>
      </c>
      <c r="D90" s="125" t="s">
        <v>294</v>
      </c>
      <c r="E90" s="126"/>
      <c r="F90" s="126"/>
      <c r="G90" s="126"/>
      <c r="H90" s="127"/>
      <c r="I90" s="128"/>
      <c r="J90" s="129"/>
      <c r="K90" s="129" t="s">
        <v>193</v>
      </c>
      <c r="L90" s="279" t="s">
        <v>193</v>
      </c>
      <c r="M90" s="107" t="s">
        <v>193</v>
      </c>
      <c r="N90" s="163"/>
    </row>
    <row r="91" spans="3:14" ht="15.75" customHeight="1">
      <c r="C91" s="130" t="s">
        <v>295</v>
      </c>
      <c r="D91" s="123" t="s">
        <v>296</v>
      </c>
      <c r="E91" s="100"/>
      <c r="F91" s="100"/>
      <c r="G91" s="100"/>
      <c r="H91" s="92"/>
      <c r="I91" s="93"/>
      <c r="J91" s="131"/>
      <c r="K91" s="131" t="s">
        <v>193</v>
      </c>
      <c r="L91" s="279" t="s">
        <v>193</v>
      </c>
      <c r="M91" s="107" t="s">
        <v>193</v>
      </c>
      <c r="N91" s="163"/>
    </row>
    <row r="92" spans="3:14" ht="15.75" customHeight="1">
      <c r="E92" s="4"/>
      <c r="F92" s="4"/>
      <c r="G92" s="4"/>
      <c r="L92" s="163"/>
      <c r="M92" s="163"/>
    </row>
    <row r="93" spans="3:14" ht="15.75" customHeight="1">
      <c r="E93" s="4"/>
      <c r="F93" s="4"/>
      <c r="G93" s="4"/>
    </row>
    <row r="94" spans="3:14" ht="15.75" customHeight="1">
      <c r="E94" s="4"/>
      <c r="F94" s="4"/>
      <c r="G94" s="4"/>
    </row>
    <row r="95" spans="3:14" ht="15.75" customHeight="1">
      <c r="E95" s="4"/>
      <c r="F95" s="4"/>
      <c r="G95" s="4"/>
    </row>
    <row r="96" spans="3:14" ht="15.75" customHeight="1">
      <c r="E96" s="4"/>
      <c r="F96" s="4"/>
      <c r="G96" s="4"/>
    </row>
    <row r="97" spans="5:7" ht="15.75" customHeight="1">
      <c r="E97" s="4"/>
      <c r="F97" s="4"/>
      <c r="G97" s="4"/>
    </row>
    <row r="98" spans="5:7" ht="15.75" customHeight="1">
      <c r="E98" s="4"/>
      <c r="F98" s="4"/>
      <c r="G98" s="4"/>
    </row>
    <row r="99" spans="5:7" ht="15.75" customHeight="1">
      <c r="E99" s="4"/>
      <c r="F99" s="4"/>
      <c r="G99" s="4"/>
    </row>
    <row r="100" spans="5:7" ht="15.75" customHeight="1">
      <c r="E100" s="4"/>
      <c r="F100" s="4"/>
      <c r="G100" s="4"/>
    </row>
    <row r="101" spans="5:7" ht="15.75" customHeight="1">
      <c r="E101" s="4"/>
      <c r="F101" s="4"/>
      <c r="G101" s="4"/>
    </row>
    <row r="102" spans="5:7" ht="15.75" customHeight="1">
      <c r="E102" s="4"/>
      <c r="F102" s="4"/>
      <c r="G102" s="4"/>
    </row>
    <row r="103" spans="5:7" ht="15.75" customHeight="1">
      <c r="E103" s="4"/>
      <c r="F103" s="4"/>
      <c r="G103" s="4"/>
    </row>
    <row r="104" spans="5:7" ht="15.75" customHeight="1">
      <c r="E104" s="4"/>
      <c r="F104" s="4"/>
      <c r="G104" s="4"/>
    </row>
    <row r="105" spans="5:7" ht="15.75" customHeight="1">
      <c r="E105" s="4"/>
      <c r="F105" s="4"/>
      <c r="G105" s="4"/>
    </row>
    <row r="106" spans="5:7" ht="15.75" customHeight="1">
      <c r="E106" s="4"/>
      <c r="F106" s="4"/>
      <c r="G106" s="4"/>
    </row>
    <row r="107" spans="5:7" ht="15.75" customHeight="1">
      <c r="E107" s="4"/>
      <c r="F107" s="4"/>
      <c r="G107" s="4"/>
    </row>
    <row r="108" spans="5:7" ht="15.75" customHeight="1">
      <c r="E108" s="4"/>
      <c r="F108" s="4"/>
      <c r="G108" s="4"/>
    </row>
    <row r="109" spans="5:7" ht="15.75" customHeight="1">
      <c r="E109" s="4"/>
      <c r="F109" s="4"/>
      <c r="G109" s="4"/>
    </row>
    <row r="110" spans="5:7" ht="15.75" customHeight="1">
      <c r="E110" s="4"/>
      <c r="F110" s="4"/>
      <c r="G110" s="4"/>
    </row>
    <row r="111" spans="5:7" ht="15.75" customHeight="1">
      <c r="E111" s="4"/>
      <c r="F111" s="4"/>
      <c r="G111" s="4"/>
    </row>
    <row r="112" spans="5:7" ht="15.75" customHeight="1">
      <c r="E112" s="4"/>
      <c r="F112" s="4"/>
      <c r="G112" s="4"/>
    </row>
    <row r="113" spans="5:7" ht="15.75" customHeight="1">
      <c r="E113" s="4"/>
      <c r="F113" s="4"/>
      <c r="G113" s="4"/>
    </row>
    <row r="114" spans="5:7" ht="15.75" customHeight="1">
      <c r="E114" s="4"/>
      <c r="F114" s="4"/>
      <c r="G114" s="4"/>
    </row>
    <row r="115" spans="5:7" ht="15.75" customHeight="1">
      <c r="E115" s="4"/>
      <c r="F115" s="4"/>
      <c r="G115" s="4"/>
    </row>
    <row r="116" spans="5:7" ht="15.75" customHeight="1">
      <c r="E116" s="4"/>
      <c r="F116" s="4"/>
      <c r="G116" s="4"/>
    </row>
    <row r="117" spans="5:7" ht="15.75" customHeight="1">
      <c r="E117" s="4"/>
      <c r="F117" s="4"/>
      <c r="G117" s="4"/>
    </row>
    <row r="118" spans="5:7" ht="15.75" customHeight="1">
      <c r="E118" s="4"/>
      <c r="F118" s="4"/>
      <c r="G118" s="4"/>
    </row>
    <row r="119" spans="5:7" ht="15.75" customHeight="1">
      <c r="E119" s="4"/>
      <c r="F119" s="4"/>
      <c r="G119" s="4"/>
    </row>
    <row r="120" spans="5:7" ht="15.75" customHeight="1">
      <c r="E120" s="4"/>
      <c r="F120" s="4"/>
      <c r="G120" s="4"/>
    </row>
    <row r="121" spans="5:7" ht="15.75" customHeight="1">
      <c r="E121" s="4"/>
      <c r="F121" s="4"/>
      <c r="G121" s="4"/>
    </row>
    <row r="122" spans="5:7" ht="15.75" customHeight="1">
      <c r="E122" s="4"/>
      <c r="F122" s="4"/>
      <c r="G122" s="4"/>
    </row>
    <row r="123" spans="5:7" ht="15.75" customHeight="1">
      <c r="E123" s="4"/>
      <c r="F123" s="4"/>
      <c r="G123" s="4"/>
    </row>
    <row r="124" spans="5:7" ht="15.75" customHeight="1">
      <c r="E124" s="4"/>
      <c r="F124" s="4"/>
      <c r="G124" s="4"/>
    </row>
    <row r="125" spans="5:7" ht="15.75" customHeight="1">
      <c r="E125" s="4"/>
      <c r="F125" s="4"/>
      <c r="G125" s="4"/>
    </row>
    <row r="126" spans="5:7" ht="15.75" customHeight="1">
      <c r="E126" s="4"/>
      <c r="F126" s="4"/>
      <c r="G126" s="4"/>
    </row>
    <row r="127" spans="5:7" ht="15.75" customHeight="1">
      <c r="E127" s="4"/>
      <c r="F127" s="4"/>
      <c r="G127" s="4"/>
    </row>
    <row r="128" spans="5:7" ht="15.75" customHeight="1">
      <c r="E128" s="4"/>
      <c r="F128" s="4"/>
      <c r="G128" s="4"/>
    </row>
    <row r="129" spans="5:7" ht="15.75" customHeight="1">
      <c r="E129" s="4"/>
      <c r="F129" s="4"/>
      <c r="G129" s="4"/>
    </row>
    <row r="130" spans="5:7" ht="15.75" customHeight="1">
      <c r="E130" s="4"/>
      <c r="F130" s="4"/>
      <c r="G130" s="4"/>
    </row>
    <row r="131" spans="5:7" ht="15.75" customHeight="1">
      <c r="E131" s="4"/>
      <c r="F131" s="4"/>
      <c r="G131" s="4"/>
    </row>
    <row r="132" spans="5:7" ht="15.75" customHeight="1">
      <c r="E132" s="4"/>
      <c r="F132" s="4"/>
      <c r="G132" s="4"/>
    </row>
    <row r="133" spans="5:7" ht="15.75" customHeight="1">
      <c r="E133" s="4"/>
      <c r="F133" s="4"/>
      <c r="G133" s="4"/>
    </row>
    <row r="134" spans="5:7" ht="15.75" customHeight="1">
      <c r="E134" s="4"/>
      <c r="F134" s="4"/>
      <c r="G134" s="4"/>
    </row>
    <row r="135" spans="5:7" ht="15.75" customHeight="1">
      <c r="E135" s="4"/>
      <c r="F135" s="4"/>
      <c r="G135" s="4"/>
    </row>
    <row r="136" spans="5:7" ht="15.75" customHeight="1">
      <c r="E136" s="4"/>
      <c r="F136" s="4"/>
      <c r="G136" s="4"/>
    </row>
    <row r="137" spans="5:7" ht="15.75" customHeight="1">
      <c r="E137" s="4"/>
      <c r="F137" s="4"/>
      <c r="G137" s="4"/>
    </row>
    <row r="138" spans="5:7" ht="15.75" customHeight="1">
      <c r="E138" s="4"/>
      <c r="F138" s="4"/>
      <c r="G138" s="4"/>
    </row>
    <row r="139" spans="5:7" ht="15.75" customHeight="1">
      <c r="E139" s="4"/>
      <c r="F139" s="4"/>
      <c r="G139" s="4"/>
    </row>
    <row r="140" spans="5:7" ht="15.75" customHeight="1">
      <c r="E140" s="4"/>
      <c r="F140" s="4"/>
      <c r="G140" s="4"/>
    </row>
    <row r="141" spans="5:7" ht="15.75" customHeight="1">
      <c r="E141" s="4"/>
      <c r="F141" s="4"/>
      <c r="G141" s="4"/>
    </row>
    <row r="142" spans="5:7" ht="15.75" customHeight="1">
      <c r="E142" s="4"/>
      <c r="F142" s="4"/>
      <c r="G142" s="4"/>
    </row>
    <row r="143" spans="5:7" ht="15.75" customHeight="1">
      <c r="E143" s="4"/>
      <c r="F143" s="4"/>
      <c r="G143" s="4"/>
    </row>
    <row r="144" spans="5:7" ht="15.75" customHeight="1">
      <c r="E144" s="4"/>
      <c r="F144" s="4"/>
      <c r="G144" s="4"/>
    </row>
    <row r="145" spans="5:7" ht="15.75" customHeight="1">
      <c r="E145" s="4"/>
      <c r="F145" s="4"/>
      <c r="G145" s="4"/>
    </row>
    <row r="146" spans="5:7" ht="15.75" customHeight="1">
      <c r="E146" s="4"/>
      <c r="F146" s="4"/>
      <c r="G146" s="4"/>
    </row>
    <row r="147" spans="5:7" ht="15.75" customHeight="1">
      <c r="E147" s="4"/>
      <c r="F147" s="4"/>
      <c r="G147" s="4"/>
    </row>
    <row r="148" spans="5:7" ht="12.75" customHeight="1">
      <c r="E148" s="4"/>
      <c r="F148" s="4"/>
      <c r="G148" s="4"/>
    </row>
    <row r="149" spans="5:7" ht="12.75" customHeight="1">
      <c r="E149" s="4"/>
      <c r="F149" s="4"/>
      <c r="G149" s="4"/>
    </row>
    <row r="150" spans="5:7" ht="12.75" customHeight="1">
      <c r="E150" s="4"/>
      <c r="F150" s="4"/>
      <c r="G150" s="4"/>
    </row>
    <row r="151" spans="5:7" ht="12.75" customHeight="1">
      <c r="E151" s="4"/>
      <c r="F151" s="4"/>
      <c r="G151" s="4"/>
    </row>
    <row r="152" spans="5:7" ht="12.75" customHeight="1">
      <c r="E152" s="4"/>
      <c r="F152" s="4"/>
      <c r="G152" s="4"/>
    </row>
    <row r="153" spans="5:7" ht="12.75" customHeight="1">
      <c r="E153" s="4"/>
      <c r="F153" s="4"/>
      <c r="G153" s="4"/>
    </row>
    <row r="154" spans="5:7" ht="12.75" customHeight="1">
      <c r="E154" s="4"/>
      <c r="F154" s="4"/>
      <c r="G154" s="4"/>
    </row>
    <row r="155" spans="5:7" ht="12.75" customHeight="1">
      <c r="E155" s="4"/>
      <c r="F155" s="4"/>
      <c r="G155" s="4"/>
    </row>
    <row r="156" spans="5:7" ht="12.75" customHeight="1">
      <c r="E156" s="4"/>
      <c r="F156" s="4"/>
      <c r="G156" s="4"/>
    </row>
    <row r="157" spans="5:7" ht="12.75" customHeight="1">
      <c r="E157" s="4"/>
      <c r="F157" s="4"/>
      <c r="G157" s="4"/>
    </row>
    <row r="158" spans="5:7" ht="12.75" customHeight="1">
      <c r="E158" s="4"/>
      <c r="F158" s="4"/>
      <c r="G158" s="4"/>
    </row>
    <row r="159" spans="5:7" ht="12.75" customHeight="1">
      <c r="E159" s="4"/>
      <c r="F159" s="4"/>
      <c r="G159" s="4"/>
    </row>
    <row r="160" spans="5:7" ht="12.75" customHeight="1">
      <c r="E160" s="4"/>
      <c r="F160" s="4"/>
      <c r="G160" s="4"/>
    </row>
    <row r="161" spans="5:7" ht="12.75" customHeight="1">
      <c r="E161" s="4"/>
      <c r="F161" s="4"/>
      <c r="G161" s="4"/>
    </row>
    <row r="162" spans="5:7" ht="12.75" customHeight="1">
      <c r="E162" s="4"/>
      <c r="F162" s="4"/>
      <c r="G162" s="4"/>
    </row>
    <row r="163" spans="5:7" ht="12.75" customHeight="1">
      <c r="E163" s="4"/>
      <c r="F163" s="4"/>
      <c r="G163" s="4"/>
    </row>
    <row r="164" spans="5:7" ht="12.75" customHeight="1">
      <c r="E164" s="4"/>
      <c r="F164" s="4"/>
      <c r="G164" s="4"/>
    </row>
    <row r="165" spans="5:7" ht="12.75" customHeight="1">
      <c r="E165" s="4"/>
      <c r="F165" s="4"/>
      <c r="G165" s="4"/>
    </row>
    <row r="166" spans="5:7" ht="12.75" customHeight="1">
      <c r="E166" s="4"/>
      <c r="F166" s="4"/>
      <c r="G166" s="4"/>
    </row>
    <row r="167" spans="5:7" ht="12.75" customHeight="1">
      <c r="E167" s="4"/>
      <c r="F167" s="4"/>
      <c r="G167" s="4"/>
    </row>
    <row r="168" spans="5:7" ht="12.75" customHeight="1">
      <c r="E168" s="4"/>
      <c r="F168" s="4"/>
      <c r="G168" s="4"/>
    </row>
    <row r="169" spans="5:7" ht="12.75" customHeight="1">
      <c r="E169" s="4"/>
      <c r="F169" s="4"/>
      <c r="G169" s="4"/>
    </row>
    <row r="170" spans="5:7" ht="12.75" customHeight="1">
      <c r="E170" s="4"/>
      <c r="F170" s="4"/>
      <c r="G170" s="4"/>
    </row>
    <row r="171" spans="5:7" ht="12.75" customHeight="1">
      <c r="E171" s="4"/>
      <c r="F171" s="4"/>
      <c r="G171" s="4"/>
    </row>
    <row r="172" spans="5:7" ht="12.75" customHeight="1">
      <c r="E172" s="4"/>
      <c r="F172" s="4"/>
      <c r="G172" s="4"/>
    </row>
    <row r="173" spans="5:7" ht="12.75" customHeight="1">
      <c r="E173" s="4"/>
      <c r="F173" s="4"/>
      <c r="G173" s="4"/>
    </row>
    <row r="174" spans="5:7" ht="12.75" customHeight="1">
      <c r="E174" s="4"/>
      <c r="F174" s="4"/>
      <c r="G174" s="4"/>
    </row>
    <row r="175" spans="5:7" ht="12.75" customHeight="1">
      <c r="E175" s="4"/>
      <c r="F175" s="4"/>
      <c r="G175" s="4"/>
    </row>
    <row r="176" spans="5:7" ht="12.75" customHeight="1">
      <c r="E176" s="4"/>
      <c r="F176" s="4"/>
      <c r="G176" s="4"/>
    </row>
    <row r="177" spans="5:7" ht="12.75" customHeight="1">
      <c r="E177" s="4"/>
      <c r="F177" s="4"/>
      <c r="G177" s="4"/>
    </row>
    <row r="178" spans="5:7" ht="12.75" customHeight="1">
      <c r="E178" s="4"/>
      <c r="F178" s="4"/>
      <c r="G178" s="4"/>
    </row>
    <row r="179" spans="5:7" ht="12.75" customHeight="1">
      <c r="E179" s="4"/>
      <c r="F179" s="4"/>
      <c r="G179" s="4"/>
    </row>
    <row r="180" spans="5:7" ht="12.75" customHeight="1">
      <c r="E180" s="4"/>
      <c r="F180" s="4"/>
      <c r="G180" s="4"/>
    </row>
    <row r="181" spans="5:7" ht="12.75" customHeight="1">
      <c r="E181" s="4"/>
      <c r="F181" s="4"/>
      <c r="G181" s="4"/>
    </row>
    <row r="182" spans="5:7" ht="12.75" customHeight="1">
      <c r="E182" s="4"/>
      <c r="F182" s="4"/>
      <c r="G182" s="4"/>
    </row>
    <row r="183" spans="5:7" ht="12.75" customHeight="1">
      <c r="E183" s="4"/>
      <c r="F183" s="4"/>
      <c r="G183" s="4"/>
    </row>
    <row r="184" spans="5:7" ht="12.75" customHeight="1">
      <c r="E184" s="4"/>
      <c r="F184" s="4"/>
      <c r="G184" s="4"/>
    </row>
    <row r="185" spans="5:7" ht="12.75" customHeight="1">
      <c r="E185" s="4"/>
      <c r="F185" s="4"/>
      <c r="G185" s="4"/>
    </row>
    <row r="186" spans="5:7" ht="12.75" customHeight="1">
      <c r="E186" s="4"/>
      <c r="F186" s="4"/>
      <c r="G186" s="4"/>
    </row>
    <row r="187" spans="5:7" ht="12.75" customHeight="1">
      <c r="E187" s="4"/>
      <c r="F187" s="4"/>
      <c r="G187" s="4"/>
    </row>
    <row r="188" spans="5:7" ht="12.75" customHeight="1">
      <c r="E188" s="4"/>
      <c r="F188" s="4"/>
      <c r="G188" s="4"/>
    </row>
    <row r="189" spans="5:7" ht="12.75" customHeight="1">
      <c r="E189" s="4"/>
      <c r="F189" s="4"/>
      <c r="G189" s="4"/>
    </row>
    <row r="190" spans="5:7" ht="12.75" customHeight="1">
      <c r="E190" s="4"/>
      <c r="F190" s="4"/>
      <c r="G190" s="4"/>
    </row>
    <row r="191" spans="5:7" ht="12.75" customHeight="1">
      <c r="E191" s="4"/>
      <c r="F191" s="4"/>
      <c r="G191" s="4"/>
    </row>
    <row r="192" spans="5:7" ht="12.75" customHeight="1">
      <c r="E192" s="4"/>
      <c r="F192" s="4"/>
      <c r="G192" s="4"/>
    </row>
    <row r="193" spans="5:7" ht="12.75" customHeight="1">
      <c r="E193" s="4"/>
      <c r="F193" s="4"/>
      <c r="G193" s="4"/>
    </row>
    <row r="194" spans="5:7" ht="12.75" customHeight="1">
      <c r="E194" s="4"/>
      <c r="F194" s="4"/>
      <c r="G194" s="4"/>
    </row>
    <row r="195" spans="5:7" ht="12.75" customHeight="1">
      <c r="E195" s="4"/>
      <c r="F195" s="4"/>
      <c r="G195" s="4"/>
    </row>
    <row r="196" spans="5:7" ht="12.75" customHeight="1">
      <c r="E196" s="4"/>
      <c r="F196" s="4"/>
      <c r="G196" s="4"/>
    </row>
    <row r="197" spans="5:7" ht="12.75" customHeight="1">
      <c r="E197" s="4"/>
      <c r="F197" s="4"/>
      <c r="G197" s="4"/>
    </row>
    <row r="198" spans="5:7" ht="12.75" customHeight="1">
      <c r="E198" s="4"/>
      <c r="F198" s="4"/>
      <c r="G198" s="4"/>
    </row>
    <row r="199" spans="5:7" ht="12.75" customHeight="1">
      <c r="E199" s="4"/>
      <c r="F199" s="4"/>
      <c r="G199" s="4"/>
    </row>
    <row r="200" spans="5:7" ht="12.75" customHeight="1">
      <c r="E200" s="4"/>
      <c r="F200" s="4"/>
      <c r="G200" s="4"/>
    </row>
    <row r="201" spans="5:7" ht="12.75" customHeight="1">
      <c r="E201" s="4"/>
      <c r="F201" s="4"/>
      <c r="G201" s="4"/>
    </row>
    <row r="202" spans="5:7" ht="12.75" customHeight="1">
      <c r="E202" s="4"/>
      <c r="F202" s="4"/>
      <c r="G202" s="4"/>
    </row>
    <row r="203" spans="5:7" ht="12.75" customHeight="1">
      <c r="E203" s="4"/>
      <c r="F203" s="4"/>
      <c r="G203" s="4"/>
    </row>
    <row r="204" spans="5:7" ht="12.75" customHeight="1">
      <c r="E204" s="4"/>
      <c r="F204" s="4"/>
      <c r="G204" s="4"/>
    </row>
    <row r="205" spans="5:7" ht="12.75" customHeight="1">
      <c r="E205" s="4"/>
      <c r="F205" s="4"/>
      <c r="G205" s="4"/>
    </row>
    <row r="206" spans="5:7" ht="12.75" customHeight="1">
      <c r="E206" s="4"/>
      <c r="F206" s="4"/>
      <c r="G206" s="4"/>
    </row>
    <row r="207" spans="5:7" ht="12.75" customHeight="1">
      <c r="E207" s="4"/>
      <c r="F207" s="4"/>
      <c r="G207" s="4"/>
    </row>
    <row r="208" spans="5:7" ht="12.75" customHeight="1">
      <c r="E208" s="4"/>
      <c r="F208" s="4"/>
      <c r="G208" s="4"/>
    </row>
    <row r="209" spans="5:7" ht="12.75" customHeight="1">
      <c r="E209" s="4"/>
      <c r="F209" s="4"/>
      <c r="G209" s="4"/>
    </row>
    <row r="210" spans="5:7" ht="12.75" customHeight="1">
      <c r="E210" s="4"/>
      <c r="F210" s="4"/>
      <c r="G210" s="4"/>
    </row>
    <row r="211" spans="5:7" ht="12.75" customHeight="1">
      <c r="E211" s="4"/>
      <c r="F211" s="4"/>
      <c r="G211" s="4"/>
    </row>
    <row r="212" spans="5:7" ht="12.75" customHeight="1">
      <c r="E212" s="4"/>
      <c r="F212" s="4"/>
      <c r="G212" s="4"/>
    </row>
    <row r="213" spans="5:7" ht="12.75" customHeight="1">
      <c r="E213" s="4"/>
      <c r="F213" s="4"/>
      <c r="G213" s="4"/>
    </row>
    <row r="214" spans="5:7" ht="12.75" customHeight="1">
      <c r="E214" s="4"/>
      <c r="F214" s="4"/>
      <c r="G214" s="4"/>
    </row>
    <row r="215" spans="5:7" ht="12.75" customHeight="1">
      <c r="E215" s="4"/>
      <c r="F215" s="4"/>
      <c r="G215" s="4"/>
    </row>
    <row r="216" spans="5:7" ht="12.75" customHeight="1">
      <c r="E216" s="4"/>
      <c r="F216" s="4"/>
      <c r="G216" s="4"/>
    </row>
    <row r="217" spans="5:7" ht="12.75" customHeight="1">
      <c r="E217" s="4"/>
      <c r="F217" s="4"/>
      <c r="G217" s="4"/>
    </row>
    <row r="218" spans="5:7" ht="12.75" customHeight="1">
      <c r="E218" s="4"/>
      <c r="F218" s="4"/>
      <c r="G218" s="4"/>
    </row>
    <row r="219" spans="5:7" ht="12.75" customHeight="1">
      <c r="E219" s="4"/>
      <c r="F219" s="4"/>
      <c r="G219" s="4"/>
    </row>
    <row r="220" spans="5:7" ht="12.75" customHeight="1">
      <c r="E220" s="4"/>
      <c r="F220" s="4"/>
      <c r="G220" s="4"/>
    </row>
    <row r="221" spans="5:7" ht="12.75" customHeight="1">
      <c r="E221" s="4"/>
      <c r="F221" s="4"/>
      <c r="G221" s="4"/>
    </row>
    <row r="222" spans="5:7" ht="12.75" customHeight="1">
      <c r="E222" s="4"/>
      <c r="F222" s="4"/>
      <c r="G222" s="4"/>
    </row>
    <row r="223" spans="5:7" ht="12.75" customHeight="1">
      <c r="E223" s="4"/>
      <c r="F223" s="4"/>
      <c r="G223" s="4"/>
    </row>
    <row r="224" spans="5:7" ht="12.75" customHeight="1">
      <c r="E224" s="4"/>
      <c r="F224" s="4"/>
      <c r="G224" s="4"/>
    </row>
    <row r="225" spans="5:7" ht="12.75" customHeight="1">
      <c r="E225" s="4"/>
      <c r="F225" s="4"/>
      <c r="G225" s="4"/>
    </row>
    <row r="226" spans="5:7" ht="12.75" customHeight="1">
      <c r="E226" s="4"/>
      <c r="F226" s="4"/>
      <c r="G226" s="4"/>
    </row>
    <row r="227" spans="5:7" ht="12.75" customHeight="1">
      <c r="E227" s="4"/>
      <c r="F227" s="4"/>
      <c r="G227" s="4"/>
    </row>
    <row r="228" spans="5:7" ht="12.75" customHeight="1">
      <c r="E228" s="4"/>
      <c r="F228" s="4"/>
      <c r="G228" s="4"/>
    </row>
    <row r="229" spans="5:7" ht="12.75" customHeight="1">
      <c r="E229" s="4"/>
      <c r="F229" s="4"/>
      <c r="G229" s="4"/>
    </row>
    <row r="230" spans="5:7" ht="12.75" customHeight="1">
      <c r="E230" s="4"/>
      <c r="F230" s="4"/>
      <c r="G230" s="4"/>
    </row>
    <row r="231" spans="5:7" ht="12.75" customHeight="1">
      <c r="E231" s="4"/>
      <c r="F231" s="4"/>
      <c r="G231" s="4"/>
    </row>
    <row r="232" spans="5:7" ht="12.75" customHeight="1">
      <c r="E232" s="4"/>
      <c r="F232" s="4"/>
      <c r="G232" s="4"/>
    </row>
    <row r="233" spans="5:7" ht="12.75" customHeight="1">
      <c r="E233" s="4"/>
      <c r="F233" s="4"/>
      <c r="G233" s="4"/>
    </row>
    <row r="234" spans="5:7" ht="12.75" customHeight="1">
      <c r="E234" s="4"/>
      <c r="F234" s="4"/>
      <c r="G234" s="4"/>
    </row>
    <row r="235" spans="5:7" ht="12.75" customHeight="1">
      <c r="E235" s="4"/>
      <c r="F235" s="4"/>
      <c r="G235" s="4"/>
    </row>
    <row r="236" spans="5:7" ht="12.75" customHeight="1">
      <c r="E236" s="4"/>
      <c r="F236" s="4"/>
      <c r="G236" s="4"/>
    </row>
    <row r="237" spans="5:7" ht="12.75" customHeight="1">
      <c r="E237" s="4"/>
      <c r="F237" s="4"/>
      <c r="G237" s="4"/>
    </row>
    <row r="238" spans="5:7" ht="12.75" customHeight="1">
      <c r="E238" s="4"/>
      <c r="F238" s="4"/>
      <c r="G238" s="4"/>
    </row>
    <row r="239" spans="5:7" ht="12.75" customHeight="1">
      <c r="E239" s="4"/>
      <c r="F239" s="4"/>
      <c r="G239" s="4"/>
    </row>
    <row r="240" spans="5:7" ht="12.75" customHeight="1">
      <c r="E240" s="4"/>
      <c r="F240" s="4"/>
      <c r="G240" s="4"/>
    </row>
    <row r="241" spans="5:7" ht="12.75" customHeight="1">
      <c r="E241" s="4"/>
      <c r="F241" s="4"/>
      <c r="G241" s="4"/>
    </row>
    <row r="242" spans="5:7" ht="12.75" customHeight="1">
      <c r="E242" s="4"/>
      <c r="F242" s="4"/>
      <c r="G242" s="4"/>
    </row>
    <row r="243" spans="5:7" ht="12.75" customHeight="1">
      <c r="E243" s="4"/>
      <c r="F243" s="4"/>
      <c r="G243" s="4"/>
    </row>
    <row r="244" spans="5:7" ht="12.75" customHeight="1">
      <c r="E244" s="4"/>
      <c r="F244" s="4"/>
      <c r="G244" s="4"/>
    </row>
    <row r="245" spans="5:7" ht="12.75" customHeight="1">
      <c r="E245" s="4"/>
      <c r="F245" s="4"/>
      <c r="G245" s="4"/>
    </row>
    <row r="246" spans="5:7" ht="12.75" customHeight="1">
      <c r="E246" s="4"/>
      <c r="F246" s="4"/>
      <c r="G246" s="4"/>
    </row>
    <row r="247" spans="5:7" ht="12.75" customHeight="1">
      <c r="E247" s="4"/>
      <c r="F247" s="4"/>
      <c r="G247" s="4"/>
    </row>
    <row r="248" spans="5:7" ht="12.75" customHeight="1">
      <c r="E248" s="4"/>
      <c r="F248" s="4"/>
      <c r="G248" s="4"/>
    </row>
    <row r="249" spans="5:7" ht="12.75" customHeight="1">
      <c r="E249" s="4"/>
      <c r="F249" s="4"/>
      <c r="G249" s="4"/>
    </row>
    <row r="250" spans="5:7" ht="12.75" customHeight="1">
      <c r="E250" s="4"/>
      <c r="F250" s="4"/>
      <c r="G250" s="4"/>
    </row>
    <row r="251" spans="5:7" ht="12.75" customHeight="1">
      <c r="E251" s="4"/>
      <c r="F251" s="4"/>
      <c r="G251" s="4"/>
    </row>
    <row r="252" spans="5:7" ht="12.75" customHeight="1">
      <c r="E252" s="4"/>
      <c r="F252" s="4"/>
      <c r="G252" s="4"/>
    </row>
    <row r="253" spans="5:7" ht="12.75" customHeight="1">
      <c r="E253" s="4"/>
      <c r="F253" s="4"/>
      <c r="G253" s="4"/>
    </row>
    <row r="254" spans="5:7" ht="12.75" customHeight="1">
      <c r="E254" s="4"/>
      <c r="F254" s="4"/>
      <c r="G254" s="4"/>
    </row>
    <row r="255" spans="5:7" ht="12.75" customHeight="1">
      <c r="E255" s="4"/>
      <c r="F255" s="4"/>
      <c r="G255" s="4"/>
    </row>
    <row r="256" spans="5:7" ht="12.75" customHeight="1">
      <c r="E256" s="4"/>
      <c r="F256" s="4"/>
      <c r="G256" s="4"/>
    </row>
    <row r="257" spans="5:7" ht="12.75" customHeight="1">
      <c r="E257" s="4"/>
      <c r="F257" s="4"/>
      <c r="G257" s="4"/>
    </row>
    <row r="258" spans="5:7" ht="12.75" customHeight="1">
      <c r="E258" s="4"/>
      <c r="F258" s="4"/>
      <c r="G258" s="4"/>
    </row>
    <row r="259" spans="5:7" ht="12.75" customHeight="1">
      <c r="E259" s="4"/>
      <c r="F259" s="4"/>
      <c r="G259" s="4"/>
    </row>
    <row r="260" spans="5:7" ht="12.75" customHeight="1">
      <c r="E260" s="4"/>
      <c r="F260" s="4"/>
      <c r="G260" s="4"/>
    </row>
    <row r="261" spans="5:7" ht="12.75" customHeight="1">
      <c r="E261" s="4"/>
      <c r="F261" s="4"/>
      <c r="G261" s="4"/>
    </row>
    <row r="262" spans="5:7" ht="12.75" customHeight="1">
      <c r="E262" s="4"/>
      <c r="F262" s="4"/>
      <c r="G262" s="4"/>
    </row>
    <row r="263" spans="5:7" ht="12.75" customHeight="1">
      <c r="E263" s="4"/>
      <c r="F263" s="4"/>
      <c r="G263" s="4"/>
    </row>
    <row r="264" spans="5:7" ht="12.75" customHeight="1">
      <c r="E264" s="4"/>
      <c r="F264" s="4"/>
      <c r="G264" s="4"/>
    </row>
    <row r="265" spans="5:7" ht="12.75" customHeight="1">
      <c r="E265" s="4"/>
      <c r="F265" s="4"/>
      <c r="G265" s="4"/>
    </row>
    <row r="266" spans="5:7" ht="12.75" customHeight="1">
      <c r="E266" s="4"/>
      <c r="F266" s="4"/>
      <c r="G266" s="4"/>
    </row>
    <row r="267" spans="5:7" ht="12.75" customHeight="1">
      <c r="E267" s="4"/>
      <c r="F267" s="4"/>
      <c r="G267" s="4"/>
    </row>
    <row r="268" spans="5:7" ht="12.75" customHeight="1">
      <c r="E268" s="4"/>
      <c r="F268" s="4"/>
      <c r="G268" s="4"/>
    </row>
    <row r="269" spans="5:7" ht="12.75" customHeight="1">
      <c r="E269" s="4"/>
      <c r="F269" s="4"/>
      <c r="G269" s="4"/>
    </row>
    <row r="270" spans="5:7" ht="12.75" customHeight="1">
      <c r="E270" s="4"/>
      <c r="F270" s="4"/>
      <c r="G270" s="4"/>
    </row>
    <row r="271" spans="5:7" ht="12.75" customHeight="1">
      <c r="E271" s="4"/>
      <c r="F271" s="4"/>
      <c r="G271" s="4"/>
    </row>
    <row r="272" spans="5:7" ht="12.75" customHeight="1">
      <c r="E272" s="4"/>
      <c r="F272" s="4"/>
      <c r="G272" s="4"/>
    </row>
    <row r="273" spans="5:7" ht="12.75" customHeight="1">
      <c r="E273" s="4"/>
      <c r="F273" s="4"/>
      <c r="G273" s="4"/>
    </row>
    <row r="274" spans="5:7" ht="12.75" customHeight="1">
      <c r="E274" s="4"/>
      <c r="F274" s="4"/>
      <c r="G274" s="4"/>
    </row>
    <row r="275" spans="5:7" ht="12.75" customHeight="1">
      <c r="E275" s="4"/>
      <c r="F275" s="4"/>
      <c r="G275" s="4"/>
    </row>
    <row r="276" spans="5:7" ht="12.75" customHeight="1">
      <c r="E276" s="4"/>
      <c r="F276" s="4"/>
      <c r="G276" s="4"/>
    </row>
    <row r="277" spans="5:7" ht="12.75" customHeight="1">
      <c r="E277" s="4"/>
      <c r="F277" s="4"/>
      <c r="G277" s="4"/>
    </row>
    <row r="278" spans="5:7" ht="12.75" customHeight="1">
      <c r="E278" s="4"/>
      <c r="F278" s="4"/>
      <c r="G278" s="4"/>
    </row>
    <row r="279" spans="5:7" ht="12.75" customHeight="1">
      <c r="E279" s="4"/>
      <c r="F279" s="4"/>
      <c r="G279" s="4"/>
    </row>
    <row r="280" spans="5:7" ht="12.75" customHeight="1">
      <c r="E280" s="4"/>
      <c r="F280" s="4"/>
      <c r="G280" s="4"/>
    </row>
    <row r="281" spans="5:7" ht="12.75" customHeight="1">
      <c r="E281" s="4"/>
      <c r="F281" s="4"/>
      <c r="G281" s="4"/>
    </row>
    <row r="282" spans="5:7" ht="12.75" customHeight="1">
      <c r="E282" s="4"/>
      <c r="F282" s="4"/>
      <c r="G282" s="4"/>
    </row>
    <row r="283" spans="5:7" ht="12.75" customHeight="1">
      <c r="E283" s="4"/>
      <c r="F283" s="4"/>
      <c r="G283" s="4"/>
    </row>
    <row r="284" spans="5:7" ht="12.75" customHeight="1">
      <c r="E284" s="4"/>
      <c r="F284" s="4"/>
      <c r="G284" s="4"/>
    </row>
    <row r="285" spans="5:7" ht="12.75" customHeight="1">
      <c r="E285" s="4"/>
      <c r="F285" s="4"/>
      <c r="G285" s="4"/>
    </row>
    <row r="286" spans="5:7" ht="12.75" customHeight="1">
      <c r="E286" s="4"/>
      <c r="F286" s="4"/>
      <c r="G286" s="4"/>
    </row>
    <row r="287" spans="5:7" ht="12.75" customHeight="1">
      <c r="E287" s="4"/>
      <c r="F287" s="4"/>
      <c r="G287" s="4"/>
    </row>
    <row r="288" spans="5:7" ht="12.75" customHeight="1">
      <c r="E288" s="4"/>
      <c r="F288" s="4"/>
      <c r="G288" s="4"/>
    </row>
    <row r="289" spans="5:7" ht="12.75" customHeight="1">
      <c r="E289" s="4"/>
      <c r="F289" s="4"/>
      <c r="G289" s="4"/>
    </row>
    <row r="290" spans="5:7" ht="12.75" customHeight="1">
      <c r="E290" s="4"/>
      <c r="F290" s="4"/>
      <c r="G290" s="4"/>
    </row>
    <row r="291" spans="5:7" ht="12.75" customHeight="1">
      <c r="E291" s="4"/>
      <c r="F291" s="4"/>
      <c r="G291" s="4"/>
    </row>
    <row r="292" spans="5:7" ht="12.75" customHeight="1">
      <c r="E292" s="4"/>
      <c r="F292" s="4"/>
      <c r="G292" s="4"/>
    </row>
    <row r="293" spans="5:7" ht="12.75" customHeight="1">
      <c r="E293" s="4"/>
      <c r="F293" s="4"/>
      <c r="G293" s="4"/>
    </row>
    <row r="294" spans="5:7" ht="12.75" customHeight="1">
      <c r="E294" s="4"/>
      <c r="F294" s="4"/>
      <c r="G294" s="4"/>
    </row>
    <row r="295" spans="5:7" ht="12.75" customHeight="1">
      <c r="E295" s="4"/>
      <c r="F295" s="4"/>
      <c r="G295" s="4"/>
    </row>
    <row r="296" spans="5:7" ht="12.75" customHeight="1">
      <c r="E296" s="4"/>
      <c r="F296" s="4"/>
      <c r="G296" s="4"/>
    </row>
    <row r="297" spans="5:7" ht="12.75" customHeight="1">
      <c r="E297" s="4"/>
      <c r="F297" s="4"/>
      <c r="G297" s="4"/>
    </row>
    <row r="298" spans="5:7" ht="12.75" customHeight="1">
      <c r="E298" s="4"/>
      <c r="F298" s="4"/>
      <c r="G298" s="4"/>
    </row>
    <row r="299" spans="5:7" ht="12.75" customHeight="1">
      <c r="E299" s="4"/>
      <c r="F299" s="4"/>
      <c r="G299" s="4"/>
    </row>
    <row r="300" spans="5:7" ht="12.75" customHeight="1">
      <c r="E300" s="4"/>
      <c r="F300" s="4"/>
      <c r="G300" s="4"/>
    </row>
    <row r="301" spans="5:7" ht="12.75" customHeight="1">
      <c r="E301" s="4"/>
      <c r="F301" s="4"/>
      <c r="G301" s="4"/>
    </row>
    <row r="302" spans="5:7" ht="12.75" customHeight="1">
      <c r="E302" s="4"/>
      <c r="F302" s="4"/>
      <c r="G302" s="4"/>
    </row>
    <row r="303" spans="5:7" ht="12.75" customHeight="1">
      <c r="E303" s="4"/>
      <c r="F303" s="4"/>
      <c r="G303" s="4"/>
    </row>
    <row r="304" spans="5:7" ht="12.75" customHeight="1">
      <c r="E304" s="4"/>
      <c r="F304" s="4"/>
      <c r="G304" s="4"/>
    </row>
    <row r="305" spans="5:7" ht="12.75" customHeight="1">
      <c r="E305" s="4"/>
      <c r="F305" s="4"/>
      <c r="G305" s="4"/>
    </row>
    <row r="306" spans="5:7" ht="12.75" customHeight="1">
      <c r="E306" s="4"/>
      <c r="F306" s="4"/>
      <c r="G306" s="4"/>
    </row>
    <row r="307" spans="5:7" ht="12.75" customHeight="1">
      <c r="E307" s="4"/>
      <c r="F307" s="4"/>
      <c r="G307" s="4"/>
    </row>
    <row r="308" spans="5:7" ht="12.75" customHeight="1">
      <c r="E308" s="4"/>
      <c r="F308" s="4"/>
      <c r="G308" s="4"/>
    </row>
    <row r="309" spans="5:7" ht="12.75" customHeight="1">
      <c r="E309" s="4"/>
      <c r="F309" s="4"/>
      <c r="G309" s="4"/>
    </row>
    <row r="310" spans="5:7" ht="12.75" customHeight="1">
      <c r="E310" s="4"/>
      <c r="F310" s="4"/>
      <c r="G310" s="4"/>
    </row>
    <row r="311" spans="5:7" ht="12.75" customHeight="1">
      <c r="E311" s="4"/>
      <c r="F311" s="4"/>
      <c r="G311" s="4"/>
    </row>
    <row r="312" spans="5:7" ht="12.75" customHeight="1">
      <c r="E312" s="4"/>
      <c r="F312" s="4"/>
      <c r="G312" s="4"/>
    </row>
    <row r="313" spans="5:7" ht="12.75" customHeight="1">
      <c r="E313" s="4"/>
      <c r="F313" s="4"/>
      <c r="G313" s="4"/>
    </row>
    <row r="314" spans="5:7" ht="12.75" customHeight="1">
      <c r="E314" s="4"/>
      <c r="F314" s="4"/>
      <c r="G314" s="4"/>
    </row>
    <row r="315" spans="5:7" ht="12.75" customHeight="1">
      <c r="E315" s="4"/>
      <c r="F315" s="4"/>
      <c r="G315" s="4"/>
    </row>
    <row r="316" spans="5:7" ht="12.75" customHeight="1">
      <c r="E316" s="4"/>
      <c r="F316" s="4"/>
      <c r="G316" s="4"/>
    </row>
    <row r="317" spans="5:7" ht="12.75" customHeight="1">
      <c r="E317" s="4"/>
      <c r="F317" s="4"/>
      <c r="G317" s="4"/>
    </row>
    <row r="318" spans="5:7" ht="12.75" customHeight="1">
      <c r="E318" s="4"/>
      <c r="F318" s="4"/>
      <c r="G318" s="4"/>
    </row>
    <row r="319" spans="5:7" ht="12.75" customHeight="1">
      <c r="E319" s="4"/>
      <c r="F319" s="4"/>
      <c r="G319" s="4"/>
    </row>
    <row r="320" spans="5:7" ht="12.75" customHeight="1">
      <c r="E320" s="4"/>
      <c r="F320" s="4"/>
      <c r="G320" s="4"/>
    </row>
    <row r="321" spans="5:7" ht="12.75" customHeight="1">
      <c r="E321" s="4"/>
      <c r="F321" s="4"/>
      <c r="G321" s="4"/>
    </row>
    <row r="322" spans="5:7" ht="12.75" customHeight="1">
      <c r="E322" s="4"/>
      <c r="F322" s="4"/>
      <c r="G322" s="4"/>
    </row>
    <row r="323" spans="5:7" ht="12.75" customHeight="1">
      <c r="E323" s="4"/>
      <c r="F323" s="4"/>
      <c r="G323" s="4"/>
    </row>
    <row r="324" spans="5:7" ht="12.75" customHeight="1">
      <c r="E324" s="4"/>
      <c r="F324" s="4"/>
      <c r="G324" s="4"/>
    </row>
    <row r="325" spans="5:7" ht="12.75" customHeight="1">
      <c r="E325" s="4"/>
      <c r="F325" s="4"/>
      <c r="G325" s="4"/>
    </row>
    <row r="326" spans="5:7" ht="12.75" customHeight="1">
      <c r="E326" s="4"/>
      <c r="F326" s="4"/>
      <c r="G326" s="4"/>
    </row>
    <row r="327" spans="5:7" ht="12.75" customHeight="1">
      <c r="E327" s="4"/>
      <c r="F327" s="4"/>
      <c r="G327" s="4"/>
    </row>
    <row r="328" spans="5:7" ht="12.75" customHeight="1">
      <c r="E328" s="4"/>
      <c r="F328" s="4"/>
      <c r="G328" s="4"/>
    </row>
    <row r="329" spans="5:7" ht="12.75" customHeight="1">
      <c r="E329" s="4"/>
      <c r="F329" s="4"/>
      <c r="G329" s="4"/>
    </row>
    <row r="330" spans="5:7" ht="12.75" customHeight="1">
      <c r="E330" s="4"/>
      <c r="F330" s="4"/>
      <c r="G330" s="4"/>
    </row>
    <row r="331" spans="5:7" ht="12.75" customHeight="1">
      <c r="E331" s="4"/>
      <c r="F331" s="4"/>
      <c r="G331" s="4"/>
    </row>
    <row r="332" spans="5:7" ht="12.75" customHeight="1">
      <c r="E332" s="4"/>
      <c r="F332" s="4"/>
      <c r="G332" s="4"/>
    </row>
    <row r="333" spans="5:7" ht="12.75" customHeight="1">
      <c r="E333" s="4"/>
      <c r="F333" s="4"/>
      <c r="G333" s="4"/>
    </row>
    <row r="334" spans="5:7" ht="12.75" customHeight="1">
      <c r="E334" s="4"/>
      <c r="F334" s="4"/>
      <c r="G334" s="4"/>
    </row>
    <row r="335" spans="5:7" ht="12.75" customHeight="1">
      <c r="E335" s="4"/>
      <c r="F335" s="4"/>
      <c r="G335" s="4"/>
    </row>
    <row r="336" spans="5:7" ht="12.75" customHeight="1">
      <c r="E336" s="4"/>
      <c r="F336" s="4"/>
      <c r="G336" s="4"/>
    </row>
    <row r="337" spans="5:7" ht="12.75" customHeight="1">
      <c r="E337" s="4"/>
      <c r="F337" s="4"/>
      <c r="G337" s="4"/>
    </row>
    <row r="338" spans="5:7" ht="12.75" customHeight="1">
      <c r="E338" s="4"/>
      <c r="F338" s="4"/>
      <c r="G338" s="4"/>
    </row>
    <row r="339" spans="5:7" ht="12.75" customHeight="1">
      <c r="E339" s="4"/>
      <c r="F339" s="4"/>
      <c r="G339" s="4"/>
    </row>
    <row r="340" spans="5:7" ht="12.75" customHeight="1">
      <c r="E340" s="4"/>
      <c r="F340" s="4"/>
      <c r="G340" s="4"/>
    </row>
    <row r="341" spans="5:7" ht="12.75" customHeight="1">
      <c r="E341" s="4"/>
      <c r="F341" s="4"/>
      <c r="G341" s="4"/>
    </row>
    <row r="342" spans="5:7" ht="12.75" customHeight="1">
      <c r="E342" s="4"/>
      <c r="F342" s="4"/>
      <c r="G342" s="4"/>
    </row>
    <row r="343" spans="5:7" ht="12.75" customHeight="1">
      <c r="E343" s="4"/>
      <c r="F343" s="4"/>
      <c r="G343" s="4"/>
    </row>
    <row r="344" spans="5:7" ht="12.75" customHeight="1">
      <c r="E344" s="4"/>
      <c r="F344" s="4"/>
      <c r="G344" s="4"/>
    </row>
    <row r="345" spans="5:7" ht="12.75" customHeight="1">
      <c r="E345" s="4"/>
      <c r="F345" s="4"/>
      <c r="G345" s="4"/>
    </row>
    <row r="346" spans="5:7" ht="12.75" customHeight="1">
      <c r="E346" s="4"/>
      <c r="F346" s="4"/>
      <c r="G346" s="4"/>
    </row>
    <row r="347" spans="5:7" ht="12.75" customHeight="1">
      <c r="E347" s="4"/>
      <c r="F347" s="4"/>
      <c r="G347" s="4"/>
    </row>
    <row r="348" spans="5:7" ht="12.75" customHeight="1">
      <c r="E348" s="4"/>
      <c r="F348" s="4"/>
      <c r="G348" s="4"/>
    </row>
    <row r="349" spans="5:7" ht="12.75" customHeight="1">
      <c r="E349" s="4"/>
      <c r="F349" s="4"/>
      <c r="G349" s="4"/>
    </row>
    <row r="350" spans="5:7" ht="12.75" customHeight="1">
      <c r="E350" s="4"/>
      <c r="F350" s="4"/>
      <c r="G350" s="4"/>
    </row>
    <row r="351" spans="5:7" ht="12.75" customHeight="1">
      <c r="E351" s="4"/>
      <c r="F351" s="4"/>
      <c r="G351" s="4"/>
    </row>
    <row r="352" spans="5:7" ht="12.75" customHeight="1">
      <c r="E352" s="4"/>
      <c r="F352" s="4"/>
      <c r="G352" s="4"/>
    </row>
    <row r="353" spans="5:7" ht="12.75" customHeight="1">
      <c r="E353" s="4"/>
      <c r="F353" s="4"/>
      <c r="G353" s="4"/>
    </row>
    <row r="354" spans="5:7" ht="12.75" customHeight="1">
      <c r="E354" s="4"/>
      <c r="F354" s="4"/>
      <c r="G354" s="4"/>
    </row>
    <row r="355" spans="5:7" ht="12.75" customHeight="1">
      <c r="E355" s="4"/>
      <c r="F355" s="4"/>
      <c r="G355" s="4"/>
    </row>
    <row r="356" spans="5:7" ht="12.75" customHeight="1">
      <c r="E356" s="4"/>
      <c r="F356" s="4"/>
      <c r="G356" s="4"/>
    </row>
    <row r="357" spans="5:7" ht="12.75" customHeight="1">
      <c r="E357" s="4"/>
      <c r="F357" s="4"/>
      <c r="G357" s="4"/>
    </row>
    <row r="358" spans="5:7" ht="12.75" customHeight="1">
      <c r="E358" s="4"/>
      <c r="F358" s="4"/>
      <c r="G358" s="4"/>
    </row>
    <row r="359" spans="5:7" ht="12.75" customHeight="1">
      <c r="E359" s="4"/>
      <c r="F359" s="4"/>
      <c r="G359" s="4"/>
    </row>
    <row r="360" spans="5:7" ht="12.75" customHeight="1">
      <c r="E360" s="4"/>
      <c r="F360" s="4"/>
      <c r="G360" s="4"/>
    </row>
    <row r="361" spans="5:7" ht="12.75" customHeight="1">
      <c r="E361" s="4"/>
      <c r="F361" s="4"/>
      <c r="G361" s="4"/>
    </row>
    <row r="362" spans="5:7" ht="12.75" customHeight="1">
      <c r="E362" s="4"/>
      <c r="F362" s="4"/>
      <c r="G362" s="4"/>
    </row>
    <row r="363" spans="5:7" ht="12.75" customHeight="1">
      <c r="E363" s="4"/>
      <c r="F363" s="4"/>
      <c r="G363" s="4"/>
    </row>
    <row r="364" spans="5:7" ht="12.75" customHeight="1">
      <c r="E364" s="4"/>
      <c r="F364" s="4"/>
      <c r="G364" s="4"/>
    </row>
    <row r="365" spans="5:7" ht="12.75" customHeight="1">
      <c r="E365" s="4"/>
      <c r="F365" s="4"/>
      <c r="G365" s="4"/>
    </row>
    <row r="366" spans="5:7" ht="12.75" customHeight="1">
      <c r="E366" s="4"/>
      <c r="F366" s="4"/>
      <c r="G366" s="4"/>
    </row>
    <row r="367" spans="5:7" ht="12.75" customHeight="1">
      <c r="E367" s="4"/>
      <c r="F367" s="4"/>
      <c r="G367" s="4"/>
    </row>
    <row r="368" spans="5:7" ht="12.75" customHeight="1">
      <c r="E368" s="4"/>
      <c r="F368" s="4"/>
      <c r="G368" s="4"/>
    </row>
    <row r="369" spans="5:7" ht="12.75" customHeight="1">
      <c r="E369" s="4"/>
      <c r="F369" s="4"/>
      <c r="G369" s="4"/>
    </row>
    <row r="370" spans="5:7" ht="12.75" customHeight="1">
      <c r="E370" s="4"/>
      <c r="F370" s="4"/>
      <c r="G370" s="4"/>
    </row>
    <row r="371" spans="5:7" ht="12.75" customHeight="1">
      <c r="E371" s="4"/>
      <c r="F371" s="4"/>
      <c r="G371" s="4"/>
    </row>
    <row r="372" spans="5:7" ht="12.75" customHeight="1">
      <c r="E372" s="4"/>
      <c r="F372" s="4"/>
      <c r="G372" s="4"/>
    </row>
    <row r="373" spans="5:7" ht="12.75" customHeight="1">
      <c r="E373" s="4"/>
      <c r="F373" s="4"/>
      <c r="G373" s="4"/>
    </row>
    <row r="374" spans="5:7" ht="12.75" customHeight="1">
      <c r="E374" s="4"/>
      <c r="F374" s="4"/>
      <c r="G374" s="4"/>
    </row>
    <row r="375" spans="5:7" ht="12.75" customHeight="1">
      <c r="E375" s="4"/>
      <c r="F375" s="4"/>
      <c r="G375" s="4"/>
    </row>
    <row r="376" spans="5:7" ht="12.75" customHeight="1">
      <c r="E376" s="4"/>
      <c r="F376" s="4"/>
      <c r="G376" s="4"/>
    </row>
    <row r="377" spans="5:7" ht="12.75" customHeight="1">
      <c r="E377" s="4"/>
      <c r="F377" s="4"/>
      <c r="G377" s="4"/>
    </row>
    <row r="378" spans="5:7" ht="12.75" customHeight="1">
      <c r="E378" s="4"/>
      <c r="F378" s="4"/>
      <c r="G378" s="4"/>
    </row>
    <row r="379" spans="5:7" ht="12.75" customHeight="1">
      <c r="E379" s="4"/>
      <c r="F379" s="4"/>
      <c r="G379" s="4"/>
    </row>
    <row r="380" spans="5:7" ht="12.75" customHeight="1">
      <c r="E380" s="4"/>
      <c r="F380" s="4"/>
      <c r="G380" s="4"/>
    </row>
    <row r="381" spans="5:7" ht="12.75" customHeight="1">
      <c r="E381" s="4"/>
      <c r="F381" s="4"/>
      <c r="G381" s="4"/>
    </row>
    <row r="382" spans="5:7" ht="12.75" customHeight="1">
      <c r="E382" s="4"/>
      <c r="F382" s="4"/>
      <c r="G382" s="4"/>
    </row>
    <row r="383" spans="5:7" ht="12.75" customHeight="1">
      <c r="E383" s="4"/>
      <c r="F383" s="4"/>
      <c r="G383" s="4"/>
    </row>
    <row r="384" spans="5:7" ht="12.75" customHeight="1">
      <c r="E384" s="4"/>
      <c r="F384" s="4"/>
      <c r="G384" s="4"/>
    </row>
    <row r="385" spans="5:7" ht="12.75" customHeight="1">
      <c r="E385" s="4"/>
      <c r="F385" s="4"/>
      <c r="G385" s="4"/>
    </row>
    <row r="386" spans="5:7" ht="12.75" customHeight="1">
      <c r="E386" s="4"/>
      <c r="F386" s="4"/>
      <c r="G386" s="4"/>
    </row>
    <row r="387" spans="5:7" ht="12.75" customHeight="1">
      <c r="E387" s="4"/>
      <c r="F387" s="4"/>
      <c r="G387" s="4"/>
    </row>
    <row r="388" spans="5:7" ht="12.75" customHeight="1">
      <c r="E388" s="4"/>
      <c r="F388" s="4"/>
      <c r="G388" s="4"/>
    </row>
    <row r="389" spans="5:7" ht="12.75" customHeight="1">
      <c r="E389" s="4"/>
      <c r="F389" s="4"/>
      <c r="G389" s="4"/>
    </row>
    <row r="390" spans="5:7" ht="12.75" customHeight="1">
      <c r="E390" s="4"/>
      <c r="F390" s="4"/>
      <c r="G390" s="4"/>
    </row>
    <row r="391" spans="5:7" ht="12.75" customHeight="1">
      <c r="E391" s="4"/>
      <c r="F391" s="4"/>
      <c r="G391" s="4"/>
    </row>
    <row r="392" spans="5:7" ht="12.75" customHeight="1">
      <c r="E392" s="4"/>
      <c r="F392" s="4"/>
      <c r="G392" s="4"/>
    </row>
    <row r="393" spans="5:7" ht="12.75" customHeight="1">
      <c r="E393" s="4"/>
      <c r="F393" s="4"/>
      <c r="G393" s="4"/>
    </row>
    <row r="394" spans="5:7" ht="12.75" customHeight="1">
      <c r="E394" s="4"/>
      <c r="F394" s="4"/>
      <c r="G394" s="4"/>
    </row>
    <row r="395" spans="5:7" ht="12.75" customHeight="1">
      <c r="E395" s="4"/>
      <c r="F395" s="4"/>
      <c r="G395" s="4"/>
    </row>
    <row r="396" spans="5:7" ht="12.75" customHeight="1">
      <c r="E396" s="4"/>
      <c r="F396" s="4"/>
      <c r="G396" s="4"/>
    </row>
    <row r="397" spans="5:7" ht="12.75" customHeight="1">
      <c r="E397" s="4"/>
      <c r="F397" s="4"/>
      <c r="G397" s="4"/>
    </row>
    <row r="398" spans="5:7" ht="12.75" customHeight="1">
      <c r="E398" s="4"/>
      <c r="F398" s="4"/>
      <c r="G398" s="4"/>
    </row>
    <row r="399" spans="5:7" ht="12.75" customHeight="1">
      <c r="E399" s="4"/>
      <c r="F399" s="4"/>
      <c r="G399" s="4"/>
    </row>
    <row r="400" spans="5:7" ht="12.75" customHeight="1">
      <c r="E400" s="4"/>
      <c r="F400" s="4"/>
      <c r="G400" s="4"/>
    </row>
    <row r="401" spans="5:7" ht="12.75" customHeight="1">
      <c r="E401" s="4"/>
      <c r="F401" s="4"/>
      <c r="G401" s="4"/>
    </row>
    <row r="402" spans="5:7" ht="12.75" customHeight="1">
      <c r="E402" s="4"/>
      <c r="F402" s="4"/>
      <c r="G402" s="4"/>
    </row>
    <row r="403" spans="5:7" ht="12.75" customHeight="1">
      <c r="E403" s="4"/>
      <c r="F403" s="4"/>
      <c r="G403" s="4"/>
    </row>
    <row r="404" spans="5:7" ht="12.75" customHeight="1">
      <c r="E404" s="4"/>
      <c r="F404" s="4"/>
      <c r="G404" s="4"/>
    </row>
    <row r="405" spans="5:7" ht="12.75" customHeight="1">
      <c r="E405" s="4"/>
      <c r="F405" s="4"/>
      <c r="G405" s="4"/>
    </row>
    <row r="406" spans="5:7" ht="12.75" customHeight="1">
      <c r="E406" s="4"/>
      <c r="F406" s="4"/>
      <c r="G406" s="4"/>
    </row>
    <row r="407" spans="5:7" ht="12.75" customHeight="1">
      <c r="E407" s="4"/>
      <c r="F407" s="4"/>
      <c r="G407" s="4"/>
    </row>
    <row r="408" spans="5:7" ht="12.75" customHeight="1">
      <c r="E408" s="4"/>
      <c r="F408" s="4"/>
      <c r="G408" s="4"/>
    </row>
    <row r="409" spans="5:7" ht="12.75" customHeight="1">
      <c r="E409" s="4"/>
      <c r="F409" s="4"/>
      <c r="G409" s="4"/>
    </row>
    <row r="410" spans="5:7" ht="12.75" customHeight="1">
      <c r="E410" s="4"/>
      <c r="F410" s="4"/>
      <c r="G410" s="4"/>
    </row>
    <row r="411" spans="5:7" ht="12.75" customHeight="1">
      <c r="E411" s="4"/>
      <c r="F411" s="4"/>
      <c r="G411" s="4"/>
    </row>
    <row r="412" spans="5:7" ht="12.75" customHeight="1">
      <c r="E412" s="4"/>
      <c r="F412" s="4"/>
      <c r="G412" s="4"/>
    </row>
    <row r="413" spans="5:7" ht="12.75" customHeight="1">
      <c r="E413" s="4"/>
      <c r="F413" s="4"/>
      <c r="G413" s="4"/>
    </row>
    <row r="414" spans="5:7" ht="12.75" customHeight="1">
      <c r="E414" s="4"/>
      <c r="F414" s="4"/>
      <c r="G414" s="4"/>
    </row>
    <row r="415" spans="5:7" ht="12.75" customHeight="1">
      <c r="E415" s="4"/>
      <c r="F415" s="4"/>
      <c r="G415" s="4"/>
    </row>
    <row r="416" spans="5:7" ht="12.75" customHeight="1">
      <c r="E416" s="4"/>
      <c r="F416" s="4"/>
      <c r="G416" s="4"/>
    </row>
    <row r="417" spans="5:7" ht="12.75" customHeight="1">
      <c r="E417" s="4"/>
      <c r="F417" s="4"/>
      <c r="G417" s="4"/>
    </row>
    <row r="418" spans="5:7" ht="12.75" customHeight="1">
      <c r="E418" s="4"/>
      <c r="F418" s="4"/>
      <c r="G418" s="4"/>
    </row>
    <row r="419" spans="5:7" ht="12.75" customHeight="1">
      <c r="E419" s="4"/>
      <c r="F419" s="4"/>
      <c r="G419" s="4"/>
    </row>
    <row r="420" spans="5:7" ht="12.75" customHeight="1">
      <c r="E420" s="4"/>
      <c r="F420" s="4"/>
      <c r="G420" s="4"/>
    </row>
    <row r="421" spans="5:7" ht="12.75" customHeight="1">
      <c r="E421" s="4"/>
      <c r="F421" s="4"/>
      <c r="G421" s="4"/>
    </row>
    <row r="422" spans="5:7" ht="12.75" customHeight="1">
      <c r="E422" s="4"/>
      <c r="F422" s="4"/>
      <c r="G422" s="4"/>
    </row>
    <row r="423" spans="5:7" ht="12.75" customHeight="1">
      <c r="E423" s="4"/>
      <c r="F423" s="4"/>
      <c r="G423" s="4"/>
    </row>
    <row r="424" spans="5:7" ht="12.75" customHeight="1">
      <c r="E424" s="4"/>
      <c r="F424" s="4"/>
      <c r="G424" s="4"/>
    </row>
    <row r="425" spans="5:7" ht="12.75" customHeight="1">
      <c r="E425" s="4"/>
      <c r="F425" s="4"/>
      <c r="G425" s="4"/>
    </row>
    <row r="426" spans="5:7" ht="12.75" customHeight="1">
      <c r="E426" s="4"/>
      <c r="F426" s="4"/>
      <c r="G426" s="4"/>
    </row>
    <row r="427" spans="5:7" ht="12.75" customHeight="1">
      <c r="E427" s="4"/>
      <c r="F427" s="4"/>
      <c r="G427" s="4"/>
    </row>
    <row r="428" spans="5:7" ht="12.75" customHeight="1">
      <c r="E428" s="4"/>
      <c r="F428" s="4"/>
      <c r="G428" s="4"/>
    </row>
    <row r="429" spans="5:7" ht="12.75" customHeight="1">
      <c r="E429" s="4"/>
      <c r="F429" s="4"/>
      <c r="G429" s="4"/>
    </row>
    <row r="430" spans="5:7" ht="12.75" customHeight="1">
      <c r="E430" s="4"/>
      <c r="F430" s="4"/>
      <c r="G430" s="4"/>
    </row>
    <row r="431" spans="5:7" ht="12.75" customHeight="1">
      <c r="E431" s="4"/>
      <c r="F431" s="4"/>
      <c r="G431" s="4"/>
    </row>
    <row r="432" spans="5:7" ht="12.75" customHeight="1">
      <c r="E432" s="4"/>
      <c r="F432" s="4"/>
      <c r="G432" s="4"/>
    </row>
    <row r="433" spans="5:7" ht="12.75" customHeight="1">
      <c r="E433" s="4"/>
      <c r="F433" s="4"/>
      <c r="G433" s="4"/>
    </row>
    <row r="434" spans="5:7" ht="12.75" customHeight="1">
      <c r="E434" s="4"/>
      <c r="F434" s="4"/>
      <c r="G434" s="4"/>
    </row>
    <row r="435" spans="5:7" ht="12.75" customHeight="1">
      <c r="E435" s="4"/>
      <c r="F435" s="4"/>
      <c r="G435" s="4"/>
    </row>
    <row r="436" spans="5:7" ht="12.75" customHeight="1">
      <c r="E436" s="4"/>
      <c r="F436" s="4"/>
      <c r="G436" s="4"/>
    </row>
    <row r="437" spans="5:7" ht="12.75" customHeight="1">
      <c r="E437" s="4"/>
      <c r="F437" s="4"/>
      <c r="G437" s="4"/>
    </row>
    <row r="438" spans="5:7" ht="12.75" customHeight="1">
      <c r="E438" s="4"/>
      <c r="F438" s="4"/>
      <c r="G438" s="4"/>
    </row>
    <row r="439" spans="5:7" ht="12.75" customHeight="1">
      <c r="E439" s="4"/>
      <c r="F439" s="4"/>
      <c r="G439" s="4"/>
    </row>
    <row r="440" spans="5:7" ht="12.75" customHeight="1">
      <c r="E440" s="4"/>
      <c r="F440" s="4"/>
      <c r="G440" s="4"/>
    </row>
    <row r="441" spans="5:7" ht="12.75" customHeight="1">
      <c r="E441" s="4"/>
      <c r="F441" s="4"/>
      <c r="G441" s="4"/>
    </row>
    <row r="442" spans="5:7" ht="12.75" customHeight="1">
      <c r="E442" s="4"/>
      <c r="F442" s="4"/>
      <c r="G442" s="4"/>
    </row>
    <row r="443" spans="5:7" ht="12.75" customHeight="1">
      <c r="E443" s="4"/>
      <c r="F443" s="4"/>
      <c r="G443" s="4"/>
    </row>
    <row r="444" spans="5:7" ht="12.75" customHeight="1">
      <c r="E444" s="4"/>
      <c r="F444" s="4"/>
      <c r="G444" s="4"/>
    </row>
    <row r="445" spans="5:7" ht="12.75" customHeight="1">
      <c r="E445" s="4"/>
      <c r="F445" s="4"/>
      <c r="G445" s="4"/>
    </row>
    <row r="446" spans="5:7" ht="12.75" customHeight="1">
      <c r="E446" s="4"/>
      <c r="F446" s="4"/>
      <c r="G446" s="4"/>
    </row>
    <row r="447" spans="5:7" ht="12.75" customHeight="1">
      <c r="E447" s="4"/>
      <c r="F447" s="4"/>
      <c r="G447" s="4"/>
    </row>
    <row r="448" spans="5:7" ht="12.75" customHeight="1">
      <c r="E448" s="4"/>
      <c r="F448" s="4"/>
      <c r="G448" s="4"/>
    </row>
    <row r="449" spans="5:7" ht="12.75" customHeight="1">
      <c r="E449" s="4"/>
      <c r="F449" s="4"/>
      <c r="G449" s="4"/>
    </row>
    <row r="450" spans="5:7" ht="12.75" customHeight="1">
      <c r="E450" s="4"/>
      <c r="F450" s="4"/>
      <c r="G450" s="4"/>
    </row>
    <row r="451" spans="5:7" ht="12.75" customHeight="1">
      <c r="E451" s="4"/>
      <c r="F451" s="4"/>
      <c r="G451" s="4"/>
    </row>
    <row r="452" spans="5:7" ht="12.75" customHeight="1">
      <c r="E452" s="4"/>
      <c r="F452" s="4"/>
      <c r="G452" s="4"/>
    </row>
    <row r="453" spans="5:7" ht="12.75" customHeight="1">
      <c r="E453" s="4"/>
      <c r="F453" s="4"/>
      <c r="G453" s="4"/>
    </row>
    <row r="454" spans="5:7" ht="12.75" customHeight="1">
      <c r="E454" s="4"/>
      <c r="F454" s="4"/>
      <c r="G454" s="4"/>
    </row>
    <row r="455" spans="5:7" ht="12.75" customHeight="1">
      <c r="E455" s="4"/>
      <c r="F455" s="4"/>
      <c r="G455" s="4"/>
    </row>
    <row r="456" spans="5:7" ht="12.75" customHeight="1">
      <c r="E456" s="4"/>
      <c r="F456" s="4"/>
      <c r="G456" s="4"/>
    </row>
    <row r="457" spans="5:7" ht="12.75" customHeight="1">
      <c r="E457" s="4"/>
      <c r="F457" s="4"/>
      <c r="G457" s="4"/>
    </row>
    <row r="458" spans="5:7" ht="12.75" customHeight="1">
      <c r="E458" s="4"/>
      <c r="F458" s="4"/>
      <c r="G458" s="4"/>
    </row>
    <row r="459" spans="5:7" ht="12.75" customHeight="1">
      <c r="E459" s="4"/>
      <c r="F459" s="4"/>
      <c r="G459" s="4"/>
    </row>
    <row r="460" spans="5:7" ht="12.75" customHeight="1">
      <c r="E460" s="4"/>
      <c r="F460" s="4"/>
      <c r="G460" s="4"/>
    </row>
    <row r="461" spans="5:7" ht="12.75" customHeight="1">
      <c r="E461" s="4"/>
      <c r="F461" s="4"/>
      <c r="G461" s="4"/>
    </row>
    <row r="462" spans="5:7" ht="12.75" customHeight="1">
      <c r="E462" s="4"/>
      <c r="F462" s="4"/>
      <c r="G462" s="4"/>
    </row>
    <row r="463" spans="5:7" ht="12.75" customHeight="1">
      <c r="E463" s="4"/>
      <c r="F463" s="4"/>
      <c r="G463" s="4"/>
    </row>
    <row r="464" spans="5:7" ht="12.75" customHeight="1">
      <c r="E464" s="4"/>
      <c r="F464" s="4"/>
      <c r="G464" s="4"/>
    </row>
    <row r="465" spans="5:7" ht="12.75" customHeight="1">
      <c r="E465" s="4"/>
      <c r="F465" s="4"/>
      <c r="G465" s="4"/>
    </row>
    <row r="466" spans="5:7" ht="12.75" customHeight="1">
      <c r="E466" s="4"/>
      <c r="F466" s="4"/>
      <c r="G466" s="4"/>
    </row>
    <row r="467" spans="5:7" ht="12.75" customHeight="1">
      <c r="E467" s="4"/>
      <c r="F467" s="4"/>
      <c r="G467" s="4"/>
    </row>
    <row r="468" spans="5:7" ht="12.75" customHeight="1">
      <c r="E468" s="4"/>
      <c r="F468" s="4"/>
      <c r="G468" s="4"/>
    </row>
    <row r="469" spans="5:7" ht="12.75" customHeight="1">
      <c r="E469" s="4"/>
      <c r="F469" s="4"/>
      <c r="G469" s="4"/>
    </row>
    <row r="470" spans="5:7" ht="12.75" customHeight="1">
      <c r="E470" s="4"/>
      <c r="F470" s="4"/>
      <c r="G470" s="4"/>
    </row>
    <row r="471" spans="5:7" ht="12.75" customHeight="1">
      <c r="E471" s="4"/>
      <c r="F471" s="4"/>
      <c r="G471" s="4"/>
    </row>
    <row r="472" spans="5:7" ht="12.75" customHeight="1">
      <c r="E472" s="4"/>
      <c r="F472" s="4"/>
      <c r="G472" s="4"/>
    </row>
    <row r="473" spans="5:7" ht="12.75" customHeight="1">
      <c r="E473" s="4"/>
      <c r="F473" s="4"/>
      <c r="G473" s="4"/>
    </row>
    <row r="474" spans="5:7" ht="12.75" customHeight="1">
      <c r="E474" s="4"/>
      <c r="F474" s="4"/>
      <c r="G474" s="4"/>
    </row>
    <row r="475" spans="5:7" ht="12.75" customHeight="1">
      <c r="E475" s="4"/>
      <c r="F475" s="4"/>
      <c r="G475" s="4"/>
    </row>
    <row r="476" spans="5:7" ht="12.75" customHeight="1">
      <c r="E476" s="4"/>
      <c r="F476" s="4"/>
      <c r="G476" s="4"/>
    </row>
    <row r="477" spans="5:7" ht="12.75" customHeight="1">
      <c r="E477" s="4"/>
      <c r="F477" s="4"/>
      <c r="G477" s="4"/>
    </row>
    <row r="478" spans="5:7" ht="12.75" customHeight="1">
      <c r="E478" s="4"/>
      <c r="F478" s="4"/>
      <c r="G478" s="4"/>
    </row>
    <row r="479" spans="5:7" ht="12.75" customHeight="1">
      <c r="E479" s="4"/>
      <c r="F479" s="4"/>
      <c r="G479" s="4"/>
    </row>
    <row r="480" spans="5:7" ht="12.75" customHeight="1">
      <c r="E480" s="4"/>
      <c r="F480" s="4"/>
      <c r="G480" s="4"/>
    </row>
    <row r="481" spans="5:7" ht="12.75" customHeight="1">
      <c r="E481" s="4"/>
      <c r="F481" s="4"/>
      <c r="G481" s="4"/>
    </row>
    <row r="482" spans="5:7" ht="12.75" customHeight="1">
      <c r="E482" s="4"/>
      <c r="F482" s="4"/>
      <c r="G482" s="4"/>
    </row>
    <row r="483" spans="5:7" ht="12.75" customHeight="1">
      <c r="E483" s="4"/>
      <c r="F483" s="4"/>
      <c r="G483" s="4"/>
    </row>
    <row r="484" spans="5:7" ht="12.75" customHeight="1">
      <c r="E484" s="4"/>
      <c r="F484" s="4"/>
      <c r="G484" s="4"/>
    </row>
    <row r="485" spans="5:7" ht="12.75" customHeight="1">
      <c r="E485" s="4"/>
      <c r="F485" s="4"/>
      <c r="G485" s="4"/>
    </row>
    <row r="486" spans="5:7" ht="12.75" customHeight="1">
      <c r="E486" s="4"/>
      <c r="F486" s="4"/>
      <c r="G486" s="4"/>
    </row>
    <row r="487" spans="5:7" ht="12.75" customHeight="1">
      <c r="E487" s="4"/>
      <c r="F487" s="4"/>
      <c r="G487" s="4"/>
    </row>
    <row r="488" spans="5:7" ht="12.75" customHeight="1">
      <c r="E488" s="4"/>
      <c r="F488" s="4"/>
      <c r="G488" s="4"/>
    </row>
    <row r="489" spans="5:7" ht="12.75" customHeight="1">
      <c r="E489" s="4"/>
      <c r="F489" s="4"/>
      <c r="G489" s="4"/>
    </row>
    <row r="490" spans="5:7" ht="12.75" customHeight="1">
      <c r="E490" s="4"/>
      <c r="F490" s="4"/>
      <c r="G490" s="4"/>
    </row>
    <row r="491" spans="5:7" ht="12.75" customHeight="1">
      <c r="E491" s="4"/>
      <c r="F491" s="4"/>
      <c r="G491" s="4"/>
    </row>
    <row r="492" spans="5:7" ht="12.75" customHeight="1">
      <c r="E492" s="4"/>
      <c r="F492" s="4"/>
      <c r="G492" s="4"/>
    </row>
    <row r="493" spans="5:7" ht="12.75" customHeight="1">
      <c r="E493" s="4"/>
      <c r="F493" s="4"/>
      <c r="G493" s="4"/>
    </row>
    <row r="494" spans="5:7" ht="12.75" customHeight="1">
      <c r="E494" s="4"/>
      <c r="F494" s="4"/>
      <c r="G494" s="4"/>
    </row>
    <row r="495" spans="5:7" ht="12.75" customHeight="1">
      <c r="E495" s="4"/>
      <c r="F495" s="4"/>
      <c r="G495" s="4"/>
    </row>
    <row r="496" spans="5:7" ht="12.75" customHeight="1">
      <c r="E496" s="4"/>
      <c r="F496" s="4"/>
      <c r="G496" s="4"/>
    </row>
    <row r="497" spans="5:7" ht="12.75" customHeight="1">
      <c r="E497" s="4"/>
      <c r="F497" s="4"/>
      <c r="G497" s="4"/>
    </row>
    <row r="498" spans="5:7" ht="12.75" customHeight="1">
      <c r="E498" s="4"/>
      <c r="F498" s="4"/>
      <c r="G498" s="4"/>
    </row>
    <row r="499" spans="5:7" ht="12.75" customHeight="1">
      <c r="E499" s="4"/>
      <c r="F499" s="4"/>
      <c r="G499" s="4"/>
    </row>
    <row r="500" spans="5:7" ht="12.75" customHeight="1">
      <c r="E500" s="4"/>
      <c r="F500" s="4"/>
      <c r="G500" s="4"/>
    </row>
    <row r="501" spans="5:7" ht="12.75" customHeight="1">
      <c r="E501" s="4"/>
      <c r="F501" s="4"/>
      <c r="G501" s="4"/>
    </row>
    <row r="502" spans="5:7" ht="12.75" customHeight="1">
      <c r="E502" s="4"/>
      <c r="F502" s="4"/>
      <c r="G502" s="4"/>
    </row>
    <row r="503" spans="5:7" ht="12.75" customHeight="1">
      <c r="E503" s="4"/>
      <c r="F503" s="4"/>
      <c r="G503" s="4"/>
    </row>
    <row r="504" spans="5:7" ht="12.75" customHeight="1">
      <c r="E504" s="4"/>
      <c r="F504" s="4"/>
      <c r="G504" s="4"/>
    </row>
    <row r="505" spans="5:7" ht="12.75" customHeight="1">
      <c r="E505" s="4"/>
      <c r="F505" s="4"/>
      <c r="G505" s="4"/>
    </row>
    <row r="506" spans="5:7" ht="12.75" customHeight="1">
      <c r="E506" s="4"/>
      <c r="F506" s="4"/>
      <c r="G506" s="4"/>
    </row>
    <row r="507" spans="5:7" ht="12.75" customHeight="1">
      <c r="E507" s="4"/>
      <c r="F507" s="4"/>
      <c r="G507" s="4"/>
    </row>
    <row r="508" spans="5:7" ht="12.75" customHeight="1">
      <c r="E508" s="4"/>
      <c r="F508" s="4"/>
      <c r="G508" s="4"/>
    </row>
    <row r="509" spans="5:7" ht="12.75" customHeight="1">
      <c r="E509" s="4"/>
      <c r="F509" s="4"/>
      <c r="G509" s="4"/>
    </row>
    <row r="510" spans="5:7" ht="12.75" customHeight="1">
      <c r="E510" s="4"/>
      <c r="F510" s="4"/>
      <c r="G510" s="4"/>
    </row>
    <row r="511" spans="5:7" ht="12.75" customHeight="1">
      <c r="E511" s="4"/>
      <c r="F511" s="4"/>
      <c r="G511" s="4"/>
    </row>
    <row r="512" spans="5:7" ht="12.75" customHeight="1">
      <c r="E512" s="4"/>
      <c r="F512" s="4"/>
      <c r="G512" s="4"/>
    </row>
    <row r="513" spans="5:7" ht="12.75" customHeight="1">
      <c r="E513" s="4"/>
      <c r="F513" s="4"/>
      <c r="G513" s="4"/>
    </row>
    <row r="514" spans="5:7" ht="12.75" customHeight="1">
      <c r="E514" s="4"/>
      <c r="F514" s="4"/>
      <c r="G514" s="4"/>
    </row>
    <row r="515" spans="5:7" ht="12.75" customHeight="1">
      <c r="E515" s="4"/>
      <c r="F515" s="4"/>
      <c r="G515" s="4"/>
    </row>
    <row r="516" spans="5:7" ht="12.75" customHeight="1">
      <c r="E516" s="4"/>
      <c r="F516" s="4"/>
      <c r="G516" s="4"/>
    </row>
    <row r="517" spans="5:7" ht="12.75" customHeight="1">
      <c r="E517" s="4"/>
      <c r="F517" s="4"/>
      <c r="G517" s="4"/>
    </row>
    <row r="518" spans="5:7" ht="12.75" customHeight="1">
      <c r="E518" s="4"/>
      <c r="F518" s="4"/>
      <c r="G518" s="4"/>
    </row>
    <row r="519" spans="5:7" ht="12.75" customHeight="1">
      <c r="E519" s="4"/>
      <c r="F519" s="4"/>
      <c r="G519" s="4"/>
    </row>
    <row r="520" spans="5:7" ht="12.75" customHeight="1">
      <c r="E520" s="4"/>
      <c r="F520" s="4"/>
      <c r="G520" s="4"/>
    </row>
    <row r="521" spans="5:7" ht="12.75" customHeight="1">
      <c r="E521" s="4"/>
      <c r="F521" s="4"/>
      <c r="G521" s="4"/>
    </row>
    <row r="522" spans="5:7" ht="12.75" customHeight="1">
      <c r="E522" s="4"/>
      <c r="F522" s="4"/>
      <c r="G522" s="4"/>
    </row>
    <row r="523" spans="5:7" ht="12.75" customHeight="1">
      <c r="E523" s="4"/>
      <c r="F523" s="4"/>
      <c r="G523" s="4"/>
    </row>
    <row r="524" spans="5:7" ht="12.75" customHeight="1">
      <c r="E524" s="4"/>
      <c r="F524" s="4"/>
      <c r="G524" s="4"/>
    </row>
    <row r="525" spans="5:7" ht="12.75" customHeight="1">
      <c r="E525" s="4"/>
      <c r="F525" s="4"/>
      <c r="G525" s="4"/>
    </row>
    <row r="526" spans="5:7" ht="12.75" customHeight="1">
      <c r="E526" s="4"/>
      <c r="F526" s="4"/>
      <c r="G526" s="4"/>
    </row>
    <row r="527" spans="5:7" ht="12.75" customHeight="1">
      <c r="E527" s="4"/>
      <c r="F527" s="4"/>
      <c r="G527" s="4"/>
    </row>
    <row r="528" spans="5:7" ht="12.75" customHeight="1">
      <c r="E528" s="4"/>
      <c r="F528" s="4"/>
      <c r="G528" s="4"/>
    </row>
    <row r="529" spans="5:7" ht="12.75" customHeight="1">
      <c r="E529" s="4"/>
      <c r="F529" s="4"/>
      <c r="G529" s="4"/>
    </row>
    <row r="530" spans="5:7" ht="12.75" customHeight="1">
      <c r="E530" s="4"/>
      <c r="F530" s="4"/>
      <c r="G530" s="4"/>
    </row>
    <row r="531" spans="5:7" ht="12.75" customHeight="1">
      <c r="E531" s="4"/>
      <c r="F531" s="4"/>
      <c r="G531" s="4"/>
    </row>
    <row r="532" spans="5:7" ht="12.75" customHeight="1">
      <c r="E532" s="4"/>
      <c r="F532" s="4"/>
      <c r="G532" s="4"/>
    </row>
    <row r="533" spans="5:7" ht="12.75" customHeight="1">
      <c r="E533" s="4"/>
      <c r="F533" s="4"/>
      <c r="G533" s="4"/>
    </row>
    <row r="534" spans="5:7" ht="12.75" customHeight="1">
      <c r="E534" s="4"/>
      <c r="F534" s="4"/>
      <c r="G534" s="4"/>
    </row>
    <row r="535" spans="5:7" ht="12.75" customHeight="1">
      <c r="E535" s="4"/>
      <c r="F535" s="4"/>
      <c r="G535" s="4"/>
    </row>
    <row r="536" spans="5:7" ht="12.75" customHeight="1">
      <c r="E536" s="4"/>
      <c r="F536" s="4"/>
      <c r="G536" s="4"/>
    </row>
    <row r="537" spans="5:7" ht="12.75" customHeight="1">
      <c r="E537" s="4"/>
      <c r="F537" s="4"/>
      <c r="G537" s="4"/>
    </row>
    <row r="538" spans="5:7" ht="12.75" customHeight="1">
      <c r="E538" s="4"/>
      <c r="F538" s="4"/>
      <c r="G538" s="4"/>
    </row>
    <row r="539" spans="5:7" ht="12.75" customHeight="1">
      <c r="E539" s="4"/>
      <c r="F539" s="4"/>
      <c r="G539" s="4"/>
    </row>
    <row r="540" spans="5:7" ht="12.75" customHeight="1">
      <c r="E540" s="4"/>
      <c r="F540" s="4"/>
      <c r="G540" s="4"/>
    </row>
    <row r="541" spans="5:7" ht="12.75" customHeight="1">
      <c r="E541" s="4"/>
      <c r="F541" s="4"/>
      <c r="G541" s="4"/>
    </row>
    <row r="542" spans="5:7" ht="12.75" customHeight="1">
      <c r="E542" s="4"/>
      <c r="F542" s="4"/>
      <c r="G542" s="4"/>
    </row>
    <row r="543" spans="5:7" ht="12.75" customHeight="1">
      <c r="E543" s="4"/>
      <c r="F543" s="4"/>
      <c r="G543" s="4"/>
    </row>
    <row r="544" spans="5:7" ht="12.75" customHeight="1">
      <c r="E544" s="4"/>
      <c r="F544" s="4"/>
      <c r="G544" s="4"/>
    </row>
    <row r="545" spans="5:7" ht="12.75" customHeight="1">
      <c r="E545" s="4"/>
      <c r="F545" s="4"/>
      <c r="G545" s="4"/>
    </row>
    <row r="546" spans="5:7" ht="12.75" customHeight="1">
      <c r="E546" s="4"/>
      <c r="F546" s="4"/>
      <c r="G546" s="4"/>
    </row>
    <row r="547" spans="5:7" ht="12.75" customHeight="1">
      <c r="E547" s="4"/>
      <c r="F547" s="4"/>
      <c r="G547" s="4"/>
    </row>
    <row r="548" spans="5:7" ht="12.75" customHeight="1">
      <c r="E548" s="4"/>
      <c r="F548" s="4"/>
      <c r="G548" s="4"/>
    </row>
    <row r="549" spans="5:7" ht="12.75" customHeight="1">
      <c r="E549" s="4"/>
      <c r="F549" s="4"/>
      <c r="G549" s="4"/>
    </row>
    <row r="550" spans="5:7" ht="12.75" customHeight="1">
      <c r="E550" s="4"/>
      <c r="F550" s="4"/>
      <c r="G550" s="4"/>
    </row>
    <row r="551" spans="5:7" ht="12.75" customHeight="1">
      <c r="E551" s="4"/>
      <c r="F551" s="4"/>
      <c r="G551" s="4"/>
    </row>
    <row r="552" spans="5:7" ht="12.75" customHeight="1">
      <c r="E552" s="4"/>
      <c r="F552" s="4"/>
      <c r="G552" s="4"/>
    </row>
    <row r="553" spans="5:7" ht="12.75" customHeight="1">
      <c r="E553" s="4"/>
      <c r="F553" s="4"/>
      <c r="G553" s="4"/>
    </row>
    <row r="554" spans="5:7" ht="12.75" customHeight="1">
      <c r="E554" s="4"/>
      <c r="F554" s="4"/>
      <c r="G554" s="4"/>
    </row>
    <row r="555" spans="5:7" ht="12.75" customHeight="1">
      <c r="E555" s="4"/>
      <c r="F555" s="4"/>
      <c r="G555" s="4"/>
    </row>
    <row r="556" spans="5:7" ht="12.75" customHeight="1">
      <c r="E556" s="4"/>
      <c r="F556" s="4"/>
      <c r="G556" s="4"/>
    </row>
    <row r="557" spans="5:7" ht="12.75" customHeight="1">
      <c r="E557" s="4"/>
      <c r="F557" s="4"/>
      <c r="G557" s="4"/>
    </row>
    <row r="558" spans="5:7" ht="12.75" customHeight="1">
      <c r="E558" s="4"/>
      <c r="F558" s="4"/>
      <c r="G558" s="4"/>
    </row>
    <row r="559" spans="5:7" ht="12.75" customHeight="1">
      <c r="E559" s="4"/>
      <c r="F559" s="4"/>
      <c r="G559" s="4"/>
    </row>
    <row r="560" spans="5:7" ht="12.75" customHeight="1">
      <c r="E560" s="4"/>
      <c r="F560" s="4"/>
      <c r="G560" s="4"/>
    </row>
    <row r="561" spans="5:7" ht="12.75" customHeight="1">
      <c r="E561" s="4"/>
      <c r="F561" s="4"/>
      <c r="G561" s="4"/>
    </row>
    <row r="562" spans="5:7" ht="12.75" customHeight="1">
      <c r="E562" s="4"/>
      <c r="F562" s="4"/>
      <c r="G562" s="4"/>
    </row>
    <row r="563" spans="5:7" ht="12.75" customHeight="1">
      <c r="E563" s="4"/>
      <c r="F563" s="4"/>
      <c r="G563" s="4"/>
    </row>
    <row r="564" spans="5:7" ht="12.75" customHeight="1">
      <c r="E564" s="4"/>
      <c r="F564" s="4"/>
      <c r="G564" s="4"/>
    </row>
    <row r="565" spans="5:7" ht="12.75" customHeight="1">
      <c r="E565" s="4"/>
      <c r="F565" s="4"/>
      <c r="G565" s="4"/>
    </row>
    <row r="566" spans="5:7" ht="12.75" customHeight="1">
      <c r="E566" s="4"/>
      <c r="F566" s="4"/>
      <c r="G566" s="4"/>
    </row>
    <row r="567" spans="5:7" ht="12.75" customHeight="1">
      <c r="E567" s="4"/>
      <c r="F567" s="4"/>
      <c r="G567" s="4"/>
    </row>
    <row r="568" spans="5:7" ht="12.75" customHeight="1">
      <c r="E568" s="4"/>
      <c r="F568" s="4"/>
      <c r="G568" s="4"/>
    </row>
    <row r="569" spans="5:7" ht="12.75" customHeight="1">
      <c r="E569" s="4"/>
      <c r="F569" s="4"/>
      <c r="G569" s="4"/>
    </row>
    <row r="570" spans="5:7" ht="12.75" customHeight="1">
      <c r="E570" s="4"/>
      <c r="F570" s="4"/>
      <c r="G570" s="4"/>
    </row>
    <row r="571" spans="5:7" ht="12.75" customHeight="1">
      <c r="E571" s="4"/>
      <c r="F571" s="4"/>
      <c r="G571" s="4"/>
    </row>
    <row r="572" spans="5:7" ht="12.75" customHeight="1">
      <c r="E572" s="4"/>
      <c r="F572" s="4"/>
      <c r="G572" s="4"/>
    </row>
    <row r="573" spans="5:7" ht="12.75" customHeight="1">
      <c r="E573" s="4"/>
      <c r="F573" s="4"/>
      <c r="G573" s="4"/>
    </row>
    <row r="574" spans="5:7" ht="12.75" customHeight="1">
      <c r="E574" s="4"/>
      <c r="F574" s="4"/>
      <c r="G574" s="4"/>
    </row>
    <row r="575" spans="5:7" ht="12.75" customHeight="1">
      <c r="E575" s="4"/>
      <c r="F575" s="4"/>
      <c r="G575" s="4"/>
    </row>
    <row r="576" spans="5:7" ht="12.75" customHeight="1">
      <c r="E576" s="4"/>
      <c r="F576" s="4"/>
      <c r="G576" s="4"/>
    </row>
    <row r="577" spans="5:7" ht="12.75" customHeight="1">
      <c r="E577" s="4"/>
      <c r="F577" s="4"/>
      <c r="G577" s="4"/>
    </row>
    <row r="578" spans="5:7" ht="12.75" customHeight="1">
      <c r="E578" s="4"/>
      <c r="F578" s="4"/>
      <c r="G578" s="4"/>
    </row>
    <row r="579" spans="5:7" ht="12.75" customHeight="1">
      <c r="E579" s="4"/>
      <c r="F579" s="4"/>
      <c r="G579" s="4"/>
    </row>
    <row r="580" spans="5:7" ht="12.75" customHeight="1">
      <c r="E580" s="4"/>
      <c r="F580" s="4"/>
      <c r="G580" s="4"/>
    </row>
    <row r="581" spans="5:7" ht="12.75" customHeight="1">
      <c r="E581" s="4"/>
      <c r="F581" s="4"/>
      <c r="G581" s="4"/>
    </row>
    <row r="582" spans="5:7" ht="12.75" customHeight="1">
      <c r="E582" s="4"/>
      <c r="F582" s="4"/>
      <c r="G582" s="4"/>
    </row>
    <row r="583" spans="5:7" ht="12.75" customHeight="1">
      <c r="E583" s="4"/>
      <c r="F583" s="4"/>
      <c r="G583" s="4"/>
    </row>
    <row r="584" spans="5:7" ht="12.75" customHeight="1">
      <c r="E584" s="4"/>
      <c r="F584" s="4"/>
      <c r="G584" s="4"/>
    </row>
    <row r="585" spans="5:7" ht="12.75" customHeight="1">
      <c r="E585" s="4"/>
      <c r="F585" s="4"/>
      <c r="G585" s="4"/>
    </row>
    <row r="586" spans="5:7" ht="12.75" customHeight="1">
      <c r="E586" s="4"/>
      <c r="F586" s="4"/>
      <c r="G586" s="4"/>
    </row>
    <row r="587" spans="5:7" ht="12.75" customHeight="1">
      <c r="E587" s="4"/>
      <c r="F587" s="4"/>
      <c r="G587" s="4"/>
    </row>
    <row r="588" spans="5:7" ht="12.75" customHeight="1">
      <c r="E588" s="4"/>
      <c r="F588" s="4"/>
      <c r="G588" s="4"/>
    </row>
    <row r="589" spans="5:7" ht="12.75" customHeight="1">
      <c r="E589" s="4"/>
      <c r="F589" s="4"/>
      <c r="G589" s="4"/>
    </row>
    <row r="590" spans="5:7" ht="12.75" customHeight="1">
      <c r="E590" s="4"/>
      <c r="F590" s="4"/>
      <c r="G590" s="4"/>
    </row>
    <row r="591" spans="5:7" ht="12.75" customHeight="1">
      <c r="E591" s="4"/>
      <c r="F591" s="4"/>
      <c r="G591" s="4"/>
    </row>
    <row r="592" spans="5:7" ht="12.75" customHeight="1">
      <c r="E592" s="4"/>
      <c r="F592" s="4"/>
      <c r="G592" s="4"/>
    </row>
    <row r="593" spans="5:7" ht="12.75" customHeight="1">
      <c r="E593" s="4"/>
      <c r="F593" s="4"/>
      <c r="G593" s="4"/>
    </row>
    <row r="594" spans="5:7" ht="12.75" customHeight="1">
      <c r="E594" s="4"/>
      <c r="F594" s="4"/>
      <c r="G594" s="4"/>
    </row>
    <row r="595" spans="5:7" ht="12.75" customHeight="1">
      <c r="E595" s="4"/>
      <c r="F595" s="4"/>
      <c r="G595" s="4"/>
    </row>
    <row r="596" spans="5:7" ht="12.75" customHeight="1">
      <c r="E596" s="4"/>
      <c r="F596" s="4"/>
      <c r="G596" s="4"/>
    </row>
    <row r="597" spans="5:7" ht="12.75" customHeight="1">
      <c r="E597" s="4"/>
      <c r="F597" s="4"/>
      <c r="G597" s="4"/>
    </row>
    <row r="598" spans="5:7" ht="12.75" customHeight="1">
      <c r="E598" s="4"/>
      <c r="F598" s="4"/>
      <c r="G598" s="4"/>
    </row>
    <row r="599" spans="5:7" ht="12.75" customHeight="1">
      <c r="E599" s="4"/>
      <c r="F599" s="4"/>
      <c r="G599" s="4"/>
    </row>
    <row r="600" spans="5:7" ht="12.75" customHeight="1">
      <c r="E600" s="4"/>
      <c r="F600" s="4"/>
      <c r="G600" s="4"/>
    </row>
    <row r="601" spans="5:7" ht="12.75" customHeight="1">
      <c r="E601" s="4"/>
      <c r="F601" s="4"/>
      <c r="G601" s="4"/>
    </row>
    <row r="602" spans="5:7" ht="12.75" customHeight="1">
      <c r="E602" s="4"/>
      <c r="F602" s="4"/>
      <c r="G602" s="4"/>
    </row>
    <row r="603" spans="5:7" ht="12.75" customHeight="1">
      <c r="E603" s="4"/>
      <c r="F603" s="4"/>
      <c r="G603" s="4"/>
    </row>
    <row r="604" spans="5:7" ht="12.75" customHeight="1">
      <c r="E604" s="4"/>
      <c r="F604" s="4"/>
      <c r="G604" s="4"/>
    </row>
    <row r="605" spans="5:7" ht="12.75" customHeight="1">
      <c r="E605" s="4"/>
      <c r="F605" s="4"/>
      <c r="G605" s="4"/>
    </row>
    <row r="606" spans="5:7" ht="12.75" customHeight="1">
      <c r="E606" s="4"/>
      <c r="F606" s="4"/>
      <c r="G606" s="4"/>
    </row>
    <row r="607" spans="5:7" ht="12.75" customHeight="1">
      <c r="E607" s="4"/>
      <c r="F607" s="4"/>
      <c r="G607" s="4"/>
    </row>
    <row r="608" spans="5:7" ht="12.75" customHeight="1">
      <c r="E608" s="4"/>
      <c r="F608" s="4"/>
      <c r="G608" s="4"/>
    </row>
    <row r="609" spans="5:7" ht="12.75" customHeight="1">
      <c r="E609" s="4"/>
      <c r="F609" s="4"/>
      <c r="G609" s="4"/>
    </row>
    <row r="610" spans="5:7" ht="12.75" customHeight="1">
      <c r="E610" s="4"/>
      <c r="F610" s="4"/>
      <c r="G610" s="4"/>
    </row>
    <row r="611" spans="5:7" ht="12.75" customHeight="1">
      <c r="E611" s="4"/>
      <c r="F611" s="4"/>
      <c r="G611" s="4"/>
    </row>
    <row r="612" spans="5:7" ht="12.75" customHeight="1">
      <c r="E612" s="4"/>
      <c r="F612" s="4"/>
      <c r="G612" s="4"/>
    </row>
    <row r="613" spans="5:7" ht="12.75" customHeight="1">
      <c r="E613" s="4"/>
      <c r="F613" s="4"/>
      <c r="G613" s="4"/>
    </row>
    <row r="614" spans="5:7" ht="12.75" customHeight="1">
      <c r="E614" s="4"/>
      <c r="F614" s="4"/>
      <c r="G614" s="4"/>
    </row>
    <row r="615" spans="5:7" ht="12.75" customHeight="1">
      <c r="E615" s="4"/>
      <c r="F615" s="4"/>
      <c r="G615" s="4"/>
    </row>
    <row r="616" spans="5:7" ht="12.75" customHeight="1">
      <c r="E616" s="4"/>
      <c r="F616" s="4"/>
      <c r="G616" s="4"/>
    </row>
    <row r="617" spans="5:7" ht="12.75" customHeight="1">
      <c r="E617" s="4"/>
      <c r="F617" s="4"/>
      <c r="G617" s="4"/>
    </row>
    <row r="618" spans="5:7" ht="12.75" customHeight="1">
      <c r="E618" s="4"/>
      <c r="F618" s="4"/>
      <c r="G618" s="4"/>
    </row>
    <row r="619" spans="5:7" ht="12.75" customHeight="1">
      <c r="E619" s="4"/>
      <c r="F619" s="4"/>
      <c r="G619" s="4"/>
    </row>
    <row r="620" spans="5:7" ht="12.75" customHeight="1">
      <c r="E620" s="4"/>
      <c r="F620" s="4"/>
      <c r="G620" s="4"/>
    </row>
    <row r="621" spans="5:7" ht="12.75" customHeight="1">
      <c r="E621" s="4"/>
      <c r="F621" s="4"/>
      <c r="G621" s="4"/>
    </row>
    <row r="622" spans="5:7" ht="12.75" customHeight="1">
      <c r="E622" s="4"/>
      <c r="F622" s="4"/>
      <c r="G622" s="4"/>
    </row>
    <row r="623" spans="5:7" ht="12.75" customHeight="1">
      <c r="E623" s="4"/>
      <c r="F623" s="4"/>
      <c r="G623" s="4"/>
    </row>
    <row r="624" spans="5:7" ht="12.75" customHeight="1">
      <c r="E624" s="4"/>
      <c r="F624" s="4"/>
      <c r="G624" s="4"/>
    </row>
    <row r="625" spans="5:7" ht="12.75" customHeight="1">
      <c r="E625" s="4"/>
      <c r="F625" s="4"/>
      <c r="G625" s="4"/>
    </row>
    <row r="626" spans="5:7" ht="12.75" customHeight="1">
      <c r="E626" s="4"/>
      <c r="F626" s="4"/>
      <c r="G626" s="4"/>
    </row>
    <row r="627" spans="5:7" ht="12.75" customHeight="1">
      <c r="E627" s="4"/>
      <c r="F627" s="4"/>
      <c r="G627" s="4"/>
    </row>
    <row r="628" spans="5:7" ht="12.75" customHeight="1">
      <c r="E628" s="4"/>
      <c r="F628" s="4"/>
      <c r="G628" s="4"/>
    </row>
    <row r="629" spans="5:7" ht="12.75" customHeight="1">
      <c r="E629" s="4"/>
      <c r="F629" s="4"/>
      <c r="G629" s="4"/>
    </row>
    <row r="630" spans="5:7" ht="12.75" customHeight="1">
      <c r="E630" s="4"/>
      <c r="F630" s="4"/>
      <c r="G630" s="4"/>
    </row>
    <row r="631" spans="5:7" ht="12.75" customHeight="1">
      <c r="E631" s="4"/>
      <c r="F631" s="4"/>
      <c r="G631" s="4"/>
    </row>
    <row r="632" spans="5:7" ht="12.75" customHeight="1">
      <c r="E632" s="4"/>
      <c r="F632" s="4"/>
      <c r="G632" s="4"/>
    </row>
    <row r="633" spans="5:7" ht="12.75" customHeight="1">
      <c r="E633" s="4"/>
      <c r="F633" s="4"/>
      <c r="G633" s="4"/>
    </row>
    <row r="634" spans="5:7" ht="12.75" customHeight="1">
      <c r="E634" s="4"/>
      <c r="F634" s="4"/>
      <c r="G634" s="4"/>
    </row>
    <row r="635" spans="5:7" ht="12.75" customHeight="1">
      <c r="E635" s="4"/>
      <c r="F635" s="4"/>
      <c r="G635" s="4"/>
    </row>
    <row r="636" spans="5:7" ht="12.75" customHeight="1">
      <c r="E636" s="4"/>
      <c r="F636" s="4"/>
      <c r="G636" s="4"/>
    </row>
    <row r="637" spans="5:7" ht="12.75" customHeight="1">
      <c r="E637" s="4"/>
      <c r="F637" s="4"/>
      <c r="G637" s="4"/>
    </row>
    <row r="638" spans="5:7" ht="12.75" customHeight="1">
      <c r="E638" s="4"/>
      <c r="F638" s="4"/>
      <c r="G638" s="4"/>
    </row>
    <row r="639" spans="5:7" ht="12.75" customHeight="1">
      <c r="E639" s="4"/>
      <c r="F639" s="4"/>
      <c r="G639" s="4"/>
    </row>
    <row r="640" spans="5:7" ht="12.75" customHeight="1">
      <c r="E640" s="4"/>
      <c r="F640" s="4"/>
      <c r="G640" s="4"/>
    </row>
    <row r="641" spans="5:7" ht="12.75" customHeight="1">
      <c r="E641" s="4"/>
      <c r="F641" s="4"/>
      <c r="G641" s="4"/>
    </row>
    <row r="642" spans="5:7" ht="12.75" customHeight="1">
      <c r="E642" s="4"/>
      <c r="F642" s="4"/>
      <c r="G642" s="4"/>
    </row>
    <row r="643" spans="5:7" ht="12.75" customHeight="1">
      <c r="E643" s="4"/>
      <c r="F643" s="4"/>
      <c r="G643" s="4"/>
    </row>
    <row r="644" spans="5:7" ht="12.75" customHeight="1">
      <c r="E644" s="4"/>
      <c r="F644" s="4"/>
      <c r="G644" s="4"/>
    </row>
    <row r="645" spans="5:7" ht="12.75" customHeight="1">
      <c r="E645" s="4"/>
      <c r="F645" s="4"/>
      <c r="G645" s="4"/>
    </row>
    <row r="646" spans="5:7" ht="12.75" customHeight="1">
      <c r="E646" s="4"/>
      <c r="F646" s="4"/>
      <c r="G646" s="4"/>
    </row>
    <row r="647" spans="5:7" ht="12.75" customHeight="1">
      <c r="E647" s="4"/>
      <c r="F647" s="4"/>
      <c r="G647" s="4"/>
    </row>
    <row r="648" spans="5:7" ht="12.75" customHeight="1">
      <c r="E648" s="4"/>
      <c r="F648" s="4"/>
      <c r="G648" s="4"/>
    </row>
    <row r="649" spans="5:7" ht="12.75" customHeight="1">
      <c r="E649" s="4"/>
      <c r="F649" s="4"/>
      <c r="G649" s="4"/>
    </row>
    <row r="650" spans="5:7" ht="12.75" customHeight="1">
      <c r="E650" s="4"/>
      <c r="F650" s="4"/>
      <c r="G650" s="4"/>
    </row>
    <row r="651" spans="5:7" ht="12.75" customHeight="1">
      <c r="E651" s="4"/>
      <c r="F651" s="4"/>
      <c r="G651" s="4"/>
    </row>
    <row r="652" spans="5:7" ht="12.75" customHeight="1">
      <c r="E652" s="4"/>
      <c r="F652" s="4"/>
      <c r="G652" s="4"/>
    </row>
    <row r="653" spans="5:7" ht="12.75" customHeight="1">
      <c r="E653" s="4"/>
      <c r="F653" s="4"/>
      <c r="G653" s="4"/>
    </row>
    <row r="654" spans="5:7" ht="12.75" customHeight="1">
      <c r="E654" s="4"/>
      <c r="F654" s="4"/>
      <c r="G654" s="4"/>
    </row>
    <row r="655" spans="5:7" ht="12.75" customHeight="1">
      <c r="E655" s="4"/>
      <c r="F655" s="4"/>
      <c r="G655" s="4"/>
    </row>
    <row r="656" spans="5:7" ht="12.75" customHeight="1">
      <c r="E656" s="4"/>
      <c r="F656" s="4"/>
      <c r="G656" s="4"/>
    </row>
    <row r="657" spans="5:7" ht="12.75" customHeight="1">
      <c r="E657" s="4"/>
      <c r="F657" s="4"/>
      <c r="G657" s="4"/>
    </row>
    <row r="658" spans="5:7" ht="12.75" customHeight="1">
      <c r="E658" s="4"/>
      <c r="F658" s="4"/>
      <c r="G658" s="4"/>
    </row>
    <row r="659" spans="5:7" ht="12.75" customHeight="1">
      <c r="E659" s="4"/>
      <c r="F659" s="4"/>
      <c r="G659" s="4"/>
    </row>
    <row r="660" spans="5:7" ht="12.75" customHeight="1">
      <c r="E660" s="4"/>
      <c r="F660" s="4"/>
      <c r="G660" s="4"/>
    </row>
    <row r="661" spans="5:7" ht="12.75" customHeight="1">
      <c r="E661" s="4"/>
      <c r="F661" s="4"/>
      <c r="G661" s="4"/>
    </row>
    <row r="662" spans="5:7" ht="12.75" customHeight="1">
      <c r="E662" s="4"/>
      <c r="F662" s="4"/>
      <c r="G662" s="4"/>
    </row>
    <row r="663" spans="5:7" ht="12.75" customHeight="1">
      <c r="E663" s="4"/>
      <c r="F663" s="4"/>
      <c r="G663" s="4"/>
    </row>
    <row r="664" spans="5:7" ht="12.75" customHeight="1">
      <c r="E664" s="4"/>
      <c r="F664" s="4"/>
      <c r="G664" s="4"/>
    </row>
    <row r="665" spans="5:7" ht="12.75" customHeight="1">
      <c r="E665" s="4"/>
      <c r="F665" s="4"/>
      <c r="G665" s="4"/>
    </row>
    <row r="666" spans="5:7" ht="12.75" customHeight="1">
      <c r="E666" s="4"/>
      <c r="F666" s="4"/>
      <c r="G666" s="4"/>
    </row>
    <row r="667" spans="5:7" ht="12.75" customHeight="1">
      <c r="E667" s="4"/>
      <c r="F667" s="4"/>
      <c r="G667" s="4"/>
    </row>
    <row r="668" spans="5:7" ht="12.75" customHeight="1">
      <c r="E668" s="4"/>
      <c r="F668" s="4"/>
      <c r="G668" s="4"/>
    </row>
    <row r="669" spans="5:7" ht="12.75" customHeight="1">
      <c r="E669" s="4"/>
      <c r="F669" s="4"/>
      <c r="G669" s="4"/>
    </row>
    <row r="670" spans="5:7" ht="12.75" customHeight="1">
      <c r="E670" s="4"/>
      <c r="F670" s="4"/>
      <c r="G670" s="4"/>
    </row>
    <row r="671" spans="5:7" ht="12.75" customHeight="1">
      <c r="E671" s="4"/>
      <c r="F671" s="4"/>
      <c r="G671" s="4"/>
    </row>
    <row r="672" spans="5:7" ht="12.75" customHeight="1">
      <c r="E672" s="4"/>
      <c r="F672" s="4"/>
      <c r="G672" s="4"/>
    </row>
    <row r="673" spans="5:7" ht="12.75" customHeight="1">
      <c r="E673" s="4"/>
      <c r="F673" s="4"/>
      <c r="G673" s="4"/>
    </row>
    <row r="674" spans="5:7" ht="12.75" customHeight="1">
      <c r="E674" s="4"/>
      <c r="F674" s="4"/>
      <c r="G674" s="4"/>
    </row>
    <row r="675" spans="5:7" ht="12.75" customHeight="1">
      <c r="E675" s="4"/>
      <c r="F675" s="4"/>
      <c r="G675" s="4"/>
    </row>
    <row r="676" spans="5:7" ht="12.75" customHeight="1">
      <c r="E676" s="4"/>
      <c r="F676" s="4"/>
      <c r="G676" s="4"/>
    </row>
    <row r="677" spans="5:7" ht="12.75" customHeight="1">
      <c r="E677" s="4"/>
      <c r="F677" s="4"/>
      <c r="G677" s="4"/>
    </row>
    <row r="678" spans="5:7" ht="12.75" customHeight="1">
      <c r="E678" s="4"/>
      <c r="F678" s="4"/>
      <c r="G678" s="4"/>
    </row>
    <row r="679" spans="5:7" ht="12.75" customHeight="1">
      <c r="E679" s="4"/>
      <c r="F679" s="4"/>
      <c r="G679" s="4"/>
    </row>
    <row r="680" spans="5:7" ht="12.75" customHeight="1">
      <c r="E680" s="4"/>
      <c r="F680" s="4"/>
      <c r="G680" s="4"/>
    </row>
    <row r="681" spans="5:7" ht="12.75" customHeight="1">
      <c r="E681" s="4"/>
      <c r="F681" s="4"/>
      <c r="G681" s="4"/>
    </row>
    <row r="682" spans="5:7" ht="12.75" customHeight="1">
      <c r="E682" s="4"/>
      <c r="F682" s="4"/>
      <c r="G682" s="4"/>
    </row>
    <row r="683" spans="5:7" ht="12.75" customHeight="1">
      <c r="E683" s="4"/>
      <c r="F683" s="4"/>
      <c r="G683" s="4"/>
    </row>
    <row r="684" spans="5:7" ht="12.75" customHeight="1">
      <c r="E684" s="4"/>
      <c r="F684" s="4"/>
      <c r="G684" s="4"/>
    </row>
    <row r="685" spans="5:7" ht="12.75" customHeight="1">
      <c r="E685" s="4"/>
      <c r="F685" s="4"/>
      <c r="G685" s="4"/>
    </row>
    <row r="686" spans="5:7" ht="12.75" customHeight="1">
      <c r="E686" s="4"/>
      <c r="F686" s="4"/>
      <c r="G686" s="4"/>
    </row>
    <row r="687" spans="5:7" ht="12.75" customHeight="1">
      <c r="E687" s="4"/>
      <c r="F687" s="4"/>
      <c r="G687" s="4"/>
    </row>
    <row r="688" spans="5:7" ht="12.75" customHeight="1">
      <c r="E688" s="4"/>
      <c r="F688" s="4"/>
      <c r="G688" s="4"/>
    </row>
    <row r="689" spans="5:7" ht="12.75" customHeight="1">
      <c r="E689" s="4"/>
      <c r="F689" s="4"/>
      <c r="G689" s="4"/>
    </row>
    <row r="690" spans="5:7" ht="12.75" customHeight="1">
      <c r="E690" s="4"/>
      <c r="F690" s="4"/>
      <c r="G690" s="4"/>
    </row>
    <row r="691" spans="5:7" ht="12.75" customHeight="1">
      <c r="E691" s="4"/>
      <c r="F691" s="4"/>
      <c r="G691" s="4"/>
    </row>
    <row r="692" spans="5:7" ht="12.75" customHeight="1">
      <c r="E692" s="4"/>
      <c r="F692" s="4"/>
      <c r="G692" s="4"/>
    </row>
    <row r="693" spans="5:7" ht="12.75" customHeight="1">
      <c r="E693" s="4"/>
      <c r="F693" s="4"/>
      <c r="G693" s="4"/>
    </row>
    <row r="694" spans="5:7" ht="12.75" customHeight="1">
      <c r="E694" s="4"/>
      <c r="F694" s="4"/>
      <c r="G694" s="4"/>
    </row>
    <row r="695" spans="5:7" ht="12.75" customHeight="1">
      <c r="E695" s="4"/>
      <c r="F695" s="4"/>
      <c r="G695" s="4"/>
    </row>
    <row r="696" spans="5:7" ht="12.75" customHeight="1">
      <c r="E696" s="4"/>
      <c r="F696" s="4"/>
      <c r="G696" s="4"/>
    </row>
    <row r="697" spans="5:7" ht="12.75" customHeight="1">
      <c r="E697" s="4"/>
      <c r="F697" s="4"/>
      <c r="G697" s="4"/>
    </row>
    <row r="698" spans="5:7" ht="12.75" customHeight="1">
      <c r="E698" s="4"/>
      <c r="F698" s="4"/>
      <c r="G698" s="4"/>
    </row>
    <row r="699" spans="5:7" ht="12.75" customHeight="1">
      <c r="E699" s="4"/>
      <c r="F699" s="4"/>
      <c r="G699" s="4"/>
    </row>
    <row r="700" spans="5:7" ht="12.75" customHeight="1">
      <c r="E700" s="4"/>
      <c r="F700" s="4"/>
      <c r="G700" s="4"/>
    </row>
    <row r="701" spans="5:7" ht="12.75" customHeight="1">
      <c r="E701" s="4"/>
      <c r="F701" s="4"/>
      <c r="G701" s="4"/>
    </row>
    <row r="702" spans="5:7" ht="12.75" customHeight="1">
      <c r="E702" s="4"/>
      <c r="F702" s="4"/>
      <c r="G702" s="4"/>
    </row>
    <row r="703" spans="5:7" ht="12.75" customHeight="1">
      <c r="E703" s="4"/>
      <c r="F703" s="4"/>
      <c r="G703" s="4"/>
    </row>
    <row r="704" spans="5:7" ht="12.75" customHeight="1">
      <c r="E704" s="4"/>
      <c r="F704" s="4"/>
      <c r="G704" s="4"/>
    </row>
    <row r="705" spans="5:7" ht="12.75" customHeight="1">
      <c r="E705" s="4"/>
      <c r="F705" s="4"/>
      <c r="G705" s="4"/>
    </row>
    <row r="706" spans="5:7" ht="12.75" customHeight="1">
      <c r="E706" s="4"/>
      <c r="F706" s="4"/>
      <c r="G706" s="4"/>
    </row>
    <row r="707" spans="5:7" ht="12.75" customHeight="1">
      <c r="E707" s="4"/>
      <c r="F707" s="4"/>
      <c r="G707" s="4"/>
    </row>
    <row r="708" spans="5:7" ht="12.75" customHeight="1">
      <c r="E708" s="4"/>
      <c r="F708" s="4"/>
      <c r="G708" s="4"/>
    </row>
    <row r="709" spans="5:7" ht="12.75" customHeight="1">
      <c r="E709" s="4"/>
      <c r="F709" s="4"/>
      <c r="G709" s="4"/>
    </row>
    <row r="710" spans="5:7" ht="12.75" customHeight="1">
      <c r="E710" s="4"/>
      <c r="F710" s="4"/>
      <c r="G710" s="4"/>
    </row>
    <row r="711" spans="5:7" ht="12.75" customHeight="1">
      <c r="E711" s="4"/>
      <c r="F711" s="4"/>
      <c r="G711" s="4"/>
    </row>
    <row r="712" spans="5:7" ht="12.75" customHeight="1">
      <c r="E712" s="4"/>
      <c r="F712" s="4"/>
      <c r="G712" s="4"/>
    </row>
    <row r="713" spans="5:7" ht="12.75" customHeight="1">
      <c r="E713" s="4"/>
      <c r="F713" s="4"/>
      <c r="G713" s="4"/>
    </row>
    <row r="714" spans="5:7" ht="12.75" customHeight="1">
      <c r="E714" s="4"/>
      <c r="F714" s="4"/>
      <c r="G714" s="4"/>
    </row>
    <row r="715" spans="5:7" ht="12.75" customHeight="1">
      <c r="E715" s="4"/>
      <c r="F715" s="4"/>
      <c r="G715" s="4"/>
    </row>
    <row r="716" spans="5:7" ht="12.75" customHeight="1">
      <c r="E716" s="4"/>
      <c r="F716" s="4"/>
      <c r="G716" s="4"/>
    </row>
    <row r="717" spans="5:7" ht="12.75" customHeight="1">
      <c r="E717" s="4"/>
      <c r="F717" s="4"/>
      <c r="G717" s="4"/>
    </row>
    <row r="718" spans="5:7" ht="12.75" customHeight="1">
      <c r="E718" s="4"/>
      <c r="F718" s="4"/>
      <c r="G718" s="4"/>
    </row>
    <row r="719" spans="5:7" ht="12.75" customHeight="1">
      <c r="E719" s="4"/>
      <c r="F719" s="4"/>
      <c r="G719" s="4"/>
    </row>
    <row r="720" spans="5:7" ht="12.75" customHeight="1">
      <c r="E720" s="4"/>
      <c r="F720" s="4"/>
      <c r="G720" s="4"/>
    </row>
    <row r="721" spans="5:7" ht="12.75" customHeight="1">
      <c r="E721" s="4"/>
      <c r="F721" s="4"/>
      <c r="G721" s="4"/>
    </row>
    <row r="722" spans="5:7" ht="12.75" customHeight="1">
      <c r="E722" s="4"/>
      <c r="F722" s="4"/>
      <c r="G722" s="4"/>
    </row>
    <row r="723" spans="5:7" ht="12.75" customHeight="1">
      <c r="E723" s="4"/>
      <c r="F723" s="4"/>
      <c r="G723" s="4"/>
    </row>
    <row r="724" spans="5:7" ht="12.75" customHeight="1">
      <c r="E724" s="4"/>
      <c r="F724" s="4"/>
      <c r="G724" s="4"/>
    </row>
    <row r="725" spans="5:7" ht="12.75" customHeight="1">
      <c r="E725" s="4"/>
      <c r="F725" s="4"/>
      <c r="G725" s="4"/>
    </row>
    <row r="726" spans="5:7" ht="12.75" customHeight="1">
      <c r="E726" s="4"/>
      <c r="F726" s="4"/>
      <c r="G726" s="4"/>
    </row>
    <row r="727" spans="5:7" ht="12.75" customHeight="1">
      <c r="E727" s="4"/>
      <c r="F727" s="4"/>
      <c r="G727" s="4"/>
    </row>
    <row r="728" spans="5:7" ht="12.75" customHeight="1">
      <c r="E728" s="4"/>
      <c r="F728" s="4"/>
      <c r="G728" s="4"/>
    </row>
    <row r="729" spans="5:7" ht="12.75" customHeight="1">
      <c r="E729" s="4"/>
      <c r="F729" s="4"/>
      <c r="G729" s="4"/>
    </row>
    <row r="730" spans="5:7" ht="12.75" customHeight="1">
      <c r="E730" s="4"/>
      <c r="F730" s="4"/>
      <c r="G730" s="4"/>
    </row>
    <row r="731" spans="5:7" ht="12.75" customHeight="1">
      <c r="E731" s="4"/>
      <c r="F731" s="4"/>
      <c r="G731" s="4"/>
    </row>
    <row r="732" spans="5:7" ht="12.75" customHeight="1">
      <c r="E732" s="4"/>
      <c r="F732" s="4"/>
      <c r="G732" s="4"/>
    </row>
    <row r="733" spans="5:7" ht="12.75" customHeight="1">
      <c r="E733" s="4"/>
      <c r="F733" s="4"/>
      <c r="G733" s="4"/>
    </row>
    <row r="734" spans="5:7" ht="12.75" customHeight="1">
      <c r="E734" s="4"/>
      <c r="F734" s="4"/>
      <c r="G734" s="4"/>
    </row>
    <row r="735" spans="5:7" ht="12.75" customHeight="1">
      <c r="E735" s="4"/>
      <c r="F735" s="4"/>
      <c r="G735" s="4"/>
    </row>
    <row r="736" spans="5:7" ht="12.75" customHeight="1">
      <c r="E736" s="4"/>
      <c r="F736" s="4"/>
      <c r="G736" s="4"/>
    </row>
    <row r="737" spans="5:7" ht="12.75" customHeight="1">
      <c r="E737" s="4"/>
      <c r="F737" s="4"/>
      <c r="G737" s="4"/>
    </row>
    <row r="738" spans="5:7" ht="12.75" customHeight="1">
      <c r="E738" s="4"/>
      <c r="F738" s="4"/>
      <c r="G738" s="4"/>
    </row>
    <row r="739" spans="5:7" ht="12.75" customHeight="1">
      <c r="E739" s="4"/>
      <c r="F739" s="4"/>
      <c r="G739" s="4"/>
    </row>
    <row r="740" spans="5:7" ht="12.75" customHeight="1">
      <c r="E740" s="4"/>
      <c r="F740" s="4"/>
      <c r="G740" s="4"/>
    </row>
    <row r="741" spans="5:7" ht="12.75" customHeight="1">
      <c r="E741" s="4"/>
      <c r="F741" s="4"/>
      <c r="G741" s="4"/>
    </row>
    <row r="742" spans="5:7" ht="12.75" customHeight="1">
      <c r="E742" s="4"/>
      <c r="F742" s="4"/>
      <c r="G742" s="4"/>
    </row>
    <row r="743" spans="5:7" ht="12.75" customHeight="1">
      <c r="E743" s="4"/>
      <c r="F743" s="4"/>
      <c r="G743" s="4"/>
    </row>
    <row r="744" spans="5:7" ht="12.75" customHeight="1">
      <c r="E744" s="4"/>
      <c r="F744" s="4"/>
      <c r="G744" s="4"/>
    </row>
    <row r="745" spans="5:7" ht="12.75" customHeight="1">
      <c r="E745" s="4"/>
      <c r="F745" s="4"/>
      <c r="G745" s="4"/>
    </row>
    <row r="746" spans="5:7" ht="12.75" customHeight="1">
      <c r="E746" s="4"/>
      <c r="F746" s="4"/>
      <c r="G746" s="4"/>
    </row>
    <row r="747" spans="5:7" ht="12.75" customHeight="1">
      <c r="E747" s="4"/>
      <c r="F747" s="4"/>
      <c r="G747" s="4"/>
    </row>
    <row r="748" spans="5:7" ht="12.75" customHeight="1">
      <c r="E748" s="4"/>
      <c r="F748" s="4"/>
      <c r="G748" s="4"/>
    </row>
    <row r="749" spans="5:7" ht="12.75" customHeight="1">
      <c r="E749" s="4"/>
      <c r="F749" s="4"/>
      <c r="G749" s="4"/>
    </row>
    <row r="750" spans="5:7" ht="12.75" customHeight="1">
      <c r="E750" s="4"/>
      <c r="F750" s="4"/>
      <c r="G750" s="4"/>
    </row>
    <row r="751" spans="5:7" ht="12.75" customHeight="1">
      <c r="E751" s="4"/>
      <c r="F751" s="4"/>
      <c r="G751" s="4"/>
    </row>
    <row r="752" spans="5:7" ht="12.75" customHeight="1">
      <c r="E752" s="4"/>
      <c r="F752" s="4"/>
      <c r="G752" s="4"/>
    </row>
    <row r="753" spans="5:7" ht="12.75" customHeight="1">
      <c r="E753" s="4"/>
      <c r="F753" s="4"/>
      <c r="G753" s="4"/>
    </row>
    <row r="754" spans="5:7" ht="12.75" customHeight="1">
      <c r="E754" s="4"/>
      <c r="F754" s="4"/>
      <c r="G754" s="4"/>
    </row>
    <row r="755" spans="5:7" ht="12.75" customHeight="1">
      <c r="E755" s="4"/>
      <c r="F755" s="4"/>
      <c r="G755" s="4"/>
    </row>
    <row r="756" spans="5:7" ht="12.75" customHeight="1">
      <c r="E756" s="4"/>
      <c r="F756" s="4"/>
      <c r="G756" s="4"/>
    </row>
    <row r="757" spans="5:7" ht="12.75" customHeight="1">
      <c r="E757" s="4"/>
      <c r="F757" s="4"/>
      <c r="G757" s="4"/>
    </row>
    <row r="758" spans="5:7" ht="12.75" customHeight="1">
      <c r="E758" s="4"/>
      <c r="F758" s="4"/>
      <c r="G758" s="4"/>
    </row>
    <row r="759" spans="5:7" ht="12.75" customHeight="1">
      <c r="E759" s="4"/>
      <c r="F759" s="4"/>
      <c r="G759" s="4"/>
    </row>
    <row r="760" spans="5:7" ht="12.75" customHeight="1">
      <c r="E760" s="4"/>
      <c r="F760" s="4"/>
      <c r="G760" s="4"/>
    </row>
    <row r="761" spans="5:7" ht="12.75" customHeight="1">
      <c r="E761" s="4"/>
      <c r="F761" s="4"/>
      <c r="G761" s="4"/>
    </row>
    <row r="762" spans="5:7" ht="12.75" customHeight="1">
      <c r="E762" s="4"/>
      <c r="F762" s="4"/>
      <c r="G762" s="4"/>
    </row>
    <row r="763" spans="5:7" ht="12.75" customHeight="1">
      <c r="E763" s="4"/>
      <c r="F763" s="4"/>
      <c r="G763" s="4"/>
    </row>
    <row r="764" spans="5:7" ht="12.75" customHeight="1">
      <c r="E764" s="4"/>
      <c r="F764" s="4"/>
      <c r="G764" s="4"/>
    </row>
    <row r="765" spans="5:7" ht="12.75" customHeight="1">
      <c r="E765" s="4"/>
      <c r="F765" s="4"/>
      <c r="G765" s="4"/>
    </row>
    <row r="766" spans="5:7" ht="12.75" customHeight="1">
      <c r="E766" s="4"/>
      <c r="F766" s="4"/>
      <c r="G766" s="4"/>
    </row>
    <row r="767" spans="5:7" ht="12.75" customHeight="1">
      <c r="E767" s="4"/>
      <c r="F767" s="4"/>
      <c r="G767" s="4"/>
    </row>
    <row r="768" spans="5:7" ht="12.75" customHeight="1">
      <c r="E768" s="4"/>
      <c r="F768" s="4"/>
      <c r="G768" s="4"/>
    </row>
    <row r="769" spans="5:7" ht="12.75" customHeight="1">
      <c r="E769" s="4"/>
      <c r="F769" s="4"/>
      <c r="G769" s="4"/>
    </row>
    <row r="770" spans="5:7" ht="12.75" customHeight="1">
      <c r="E770" s="4"/>
      <c r="F770" s="4"/>
      <c r="G770" s="4"/>
    </row>
    <row r="771" spans="5:7" ht="12.75" customHeight="1">
      <c r="E771" s="4"/>
      <c r="F771" s="4"/>
      <c r="G771" s="4"/>
    </row>
    <row r="772" spans="5:7" ht="12.75" customHeight="1">
      <c r="E772" s="4"/>
      <c r="F772" s="4"/>
      <c r="G772" s="4"/>
    </row>
    <row r="773" spans="5:7" ht="12.75" customHeight="1">
      <c r="E773" s="4"/>
      <c r="F773" s="4"/>
      <c r="G773" s="4"/>
    </row>
    <row r="774" spans="5:7" ht="12.75" customHeight="1">
      <c r="E774" s="4"/>
      <c r="F774" s="4"/>
      <c r="G774" s="4"/>
    </row>
    <row r="775" spans="5:7" ht="12.75" customHeight="1">
      <c r="E775" s="4"/>
      <c r="F775" s="4"/>
      <c r="G775" s="4"/>
    </row>
    <row r="776" spans="5:7" ht="12.75" customHeight="1">
      <c r="E776" s="4"/>
      <c r="F776" s="4"/>
      <c r="G776" s="4"/>
    </row>
    <row r="777" spans="5:7" ht="12.75" customHeight="1">
      <c r="E777" s="4"/>
      <c r="F777" s="4"/>
      <c r="G777" s="4"/>
    </row>
    <row r="778" spans="5:7" ht="12.75" customHeight="1">
      <c r="E778" s="4"/>
      <c r="F778" s="4"/>
      <c r="G778" s="4"/>
    </row>
    <row r="779" spans="5:7" ht="12.75" customHeight="1">
      <c r="E779" s="4"/>
      <c r="F779" s="4"/>
      <c r="G779" s="4"/>
    </row>
    <row r="780" spans="5:7" ht="12.75" customHeight="1">
      <c r="E780" s="4"/>
      <c r="F780" s="4"/>
      <c r="G780" s="4"/>
    </row>
    <row r="781" spans="5:7" ht="12.75" customHeight="1">
      <c r="E781" s="4"/>
      <c r="F781" s="4"/>
      <c r="G781" s="4"/>
    </row>
    <row r="782" spans="5:7" ht="12.75" customHeight="1">
      <c r="E782" s="4"/>
      <c r="F782" s="4"/>
      <c r="G782" s="4"/>
    </row>
    <row r="783" spans="5:7" ht="12.75" customHeight="1">
      <c r="E783" s="4"/>
      <c r="F783" s="4"/>
      <c r="G783" s="4"/>
    </row>
    <row r="784" spans="5:7" ht="12.75" customHeight="1">
      <c r="E784" s="4"/>
      <c r="F784" s="4"/>
      <c r="G784" s="4"/>
    </row>
    <row r="785" spans="5:7" ht="12.75" customHeight="1">
      <c r="E785" s="4"/>
      <c r="F785" s="4"/>
      <c r="G785" s="4"/>
    </row>
    <row r="786" spans="5:7" ht="12.75" customHeight="1">
      <c r="E786" s="4"/>
      <c r="F786" s="4"/>
      <c r="G786" s="4"/>
    </row>
    <row r="787" spans="5:7" ht="12.75" customHeight="1">
      <c r="E787" s="4"/>
      <c r="F787" s="4"/>
      <c r="G787" s="4"/>
    </row>
    <row r="788" spans="5:7" ht="12.75" customHeight="1">
      <c r="E788" s="4"/>
      <c r="F788" s="4"/>
      <c r="G788" s="4"/>
    </row>
    <row r="789" spans="5:7" ht="12.75" customHeight="1">
      <c r="E789" s="4"/>
      <c r="F789" s="4"/>
      <c r="G789" s="4"/>
    </row>
    <row r="790" spans="5:7" ht="12.75" customHeight="1">
      <c r="E790" s="4"/>
      <c r="F790" s="4"/>
      <c r="G790" s="4"/>
    </row>
    <row r="791" spans="5:7" ht="12.75" customHeight="1">
      <c r="E791" s="4"/>
      <c r="F791" s="4"/>
      <c r="G791" s="4"/>
    </row>
    <row r="792" spans="5:7" ht="12.75" customHeight="1">
      <c r="E792" s="4"/>
      <c r="F792" s="4"/>
      <c r="G792" s="4"/>
    </row>
    <row r="793" spans="5:7" ht="12.75" customHeight="1">
      <c r="E793" s="4"/>
      <c r="F793" s="4"/>
      <c r="G793" s="4"/>
    </row>
    <row r="794" spans="5:7" ht="12.75" customHeight="1">
      <c r="E794" s="4"/>
      <c r="F794" s="4"/>
      <c r="G794" s="4"/>
    </row>
    <row r="795" spans="5:7" ht="12.75" customHeight="1">
      <c r="E795" s="4"/>
      <c r="F795" s="4"/>
      <c r="G795" s="4"/>
    </row>
    <row r="796" spans="5:7" ht="12.75" customHeight="1">
      <c r="E796" s="4"/>
      <c r="F796" s="4"/>
      <c r="G796" s="4"/>
    </row>
    <row r="797" spans="5:7" ht="12.75" customHeight="1">
      <c r="E797" s="4"/>
      <c r="F797" s="4"/>
      <c r="G797" s="4"/>
    </row>
    <row r="798" spans="5:7" ht="12.75" customHeight="1">
      <c r="E798" s="4"/>
      <c r="F798" s="4"/>
      <c r="G798" s="4"/>
    </row>
    <row r="799" spans="5:7" ht="12.75" customHeight="1">
      <c r="E799" s="4"/>
      <c r="F799" s="4"/>
      <c r="G799" s="4"/>
    </row>
    <row r="800" spans="5:7" ht="12.75" customHeight="1">
      <c r="E800" s="4"/>
      <c r="F800" s="4"/>
      <c r="G800" s="4"/>
    </row>
    <row r="801" spans="5:7" ht="12.75" customHeight="1">
      <c r="E801" s="4"/>
      <c r="F801" s="4"/>
      <c r="G801" s="4"/>
    </row>
    <row r="802" spans="5:7" ht="12.75" customHeight="1">
      <c r="E802" s="4"/>
      <c r="F802" s="4"/>
      <c r="G802" s="4"/>
    </row>
    <row r="803" spans="5:7" ht="12.75" customHeight="1">
      <c r="E803" s="4"/>
      <c r="F803" s="4"/>
      <c r="G803" s="4"/>
    </row>
    <row r="804" spans="5:7" ht="12.75" customHeight="1">
      <c r="E804" s="4"/>
      <c r="F804" s="4"/>
      <c r="G804" s="4"/>
    </row>
    <row r="805" spans="5:7" ht="12.75" customHeight="1">
      <c r="E805" s="4"/>
      <c r="F805" s="4"/>
      <c r="G805" s="4"/>
    </row>
    <row r="806" spans="5:7" ht="12.75" customHeight="1">
      <c r="E806" s="4"/>
      <c r="F806" s="4"/>
      <c r="G806" s="4"/>
    </row>
    <row r="807" spans="5:7" ht="12.75" customHeight="1">
      <c r="E807" s="4"/>
      <c r="F807" s="4"/>
      <c r="G807" s="4"/>
    </row>
    <row r="808" spans="5:7" ht="12.75" customHeight="1">
      <c r="E808" s="4"/>
      <c r="F808" s="4"/>
      <c r="G808" s="4"/>
    </row>
    <row r="809" spans="5:7" ht="12.75" customHeight="1">
      <c r="E809" s="4"/>
      <c r="F809" s="4"/>
      <c r="G809" s="4"/>
    </row>
    <row r="810" spans="5:7" ht="12.75" customHeight="1">
      <c r="E810" s="4"/>
      <c r="F810" s="4"/>
      <c r="G810" s="4"/>
    </row>
    <row r="811" spans="5:7" ht="12.75" customHeight="1">
      <c r="E811" s="4"/>
      <c r="F811" s="4"/>
      <c r="G811" s="4"/>
    </row>
    <row r="812" spans="5:7" ht="12.75" customHeight="1">
      <c r="E812" s="4"/>
      <c r="F812" s="4"/>
      <c r="G812" s="4"/>
    </row>
    <row r="813" spans="5:7" ht="12.75" customHeight="1">
      <c r="E813" s="4"/>
      <c r="F813" s="4"/>
      <c r="G813" s="4"/>
    </row>
    <row r="814" spans="5:7" ht="12.75" customHeight="1">
      <c r="E814" s="4"/>
      <c r="F814" s="4"/>
      <c r="G814" s="4"/>
    </row>
    <row r="815" spans="5:7" ht="12.75" customHeight="1">
      <c r="E815" s="4"/>
      <c r="F815" s="4"/>
      <c r="G815" s="4"/>
    </row>
    <row r="816" spans="5:7" ht="12.75" customHeight="1">
      <c r="E816" s="4"/>
      <c r="F816" s="4"/>
      <c r="G816" s="4"/>
    </row>
    <row r="817" spans="5:7" ht="12.75" customHeight="1">
      <c r="E817" s="4"/>
      <c r="F817" s="4"/>
      <c r="G817" s="4"/>
    </row>
    <row r="818" spans="5:7" ht="12.75" customHeight="1">
      <c r="E818" s="4"/>
      <c r="F818" s="4"/>
      <c r="G818" s="4"/>
    </row>
    <row r="819" spans="5:7" ht="12.75" customHeight="1">
      <c r="E819" s="4"/>
      <c r="F819" s="4"/>
      <c r="G819" s="4"/>
    </row>
    <row r="820" spans="5:7" ht="12.75" customHeight="1">
      <c r="E820" s="4"/>
      <c r="F820" s="4"/>
      <c r="G820" s="4"/>
    </row>
    <row r="821" spans="5:7" ht="12.75" customHeight="1">
      <c r="E821" s="4"/>
      <c r="F821" s="4"/>
      <c r="G821" s="4"/>
    </row>
    <row r="822" spans="5:7" ht="12.75" customHeight="1">
      <c r="E822" s="4"/>
      <c r="F822" s="4"/>
      <c r="G822" s="4"/>
    </row>
    <row r="823" spans="5:7" ht="12.75" customHeight="1">
      <c r="E823" s="4"/>
      <c r="F823" s="4"/>
      <c r="G823" s="4"/>
    </row>
    <row r="824" spans="5:7" ht="12.75" customHeight="1">
      <c r="E824" s="4"/>
      <c r="F824" s="4"/>
      <c r="G824" s="4"/>
    </row>
    <row r="825" spans="5:7" ht="12.75" customHeight="1">
      <c r="E825" s="4"/>
      <c r="F825" s="4"/>
      <c r="G825" s="4"/>
    </row>
    <row r="826" spans="5:7" ht="12.75" customHeight="1">
      <c r="E826" s="4"/>
      <c r="F826" s="4"/>
      <c r="G826" s="4"/>
    </row>
    <row r="827" spans="5:7" ht="12.75" customHeight="1">
      <c r="E827" s="4"/>
      <c r="F827" s="4"/>
      <c r="G827" s="4"/>
    </row>
    <row r="828" spans="5:7" ht="12.75" customHeight="1">
      <c r="E828" s="4"/>
      <c r="F828" s="4"/>
      <c r="G828" s="4"/>
    </row>
    <row r="829" spans="5:7" ht="12.75" customHeight="1">
      <c r="E829" s="4"/>
      <c r="F829" s="4"/>
      <c r="G829" s="4"/>
    </row>
    <row r="830" spans="5:7" ht="12.75" customHeight="1">
      <c r="E830" s="4"/>
      <c r="F830" s="4"/>
      <c r="G830" s="4"/>
    </row>
    <row r="831" spans="5:7" ht="12.75" customHeight="1">
      <c r="E831" s="4"/>
      <c r="F831" s="4"/>
      <c r="G831" s="4"/>
    </row>
    <row r="832" spans="5:7" ht="12.75" customHeight="1">
      <c r="E832" s="4"/>
      <c r="F832" s="4"/>
      <c r="G832" s="4"/>
    </row>
    <row r="833" spans="5:7" ht="12.75" customHeight="1">
      <c r="E833" s="4"/>
      <c r="F833" s="4"/>
      <c r="G833" s="4"/>
    </row>
  </sheetData>
  <mergeCells count="13">
    <mergeCell ref="C71:C72"/>
    <mergeCell ref="C73:C89"/>
    <mergeCell ref="C43:C67"/>
    <mergeCell ref="E2:K2"/>
    <mergeCell ref="E3:K3"/>
    <mergeCell ref="E4:K4"/>
    <mergeCell ref="C36:C37"/>
    <mergeCell ref="C38:C40"/>
    <mergeCell ref="C23:C25"/>
    <mergeCell ref="C28:C29"/>
    <mergeCell ref="C30:C31"/>
    <mergeCell ref="C10:C18"/>
    <mergeCell ref="C19:C22"/>
  </mergeCells>
  <pageMargins left="0.7" right="0.7" top="0.75" bottom="0.75" header="0" footer="0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987"/>
  <sheetViews>
    <sheetView showGridLines="0" zoomScale="85" zoomScaleNormal="85" workbookViewId="0">
      <selection activeCell="J9" sqref="J9"/>
    </sheetView>
  </sheetViews>
  <sheetFormatPr defaultColWidth="14.42578125" defaultRowHeight="15" customHeight="1"/>
  <cols>
    <col min="1" max="1" width="46.85546875" customWidth="1"/>
    <col min="2" max="2" width="57.28515625" style="173" customWidth="1"/>
    <col min="3" max="7" width="10" style="173" customWidth="1"/>
    <col min="8" max="8" width="13.140625" style="173" customWidth="1"/>
    <col min="9" max="9" width="14.28515625" style="173" customWidth="1"/>
    <col min="10" max="10" width="15" style="173" customWidth="1"/>
    <col min="11" max="11" width="13.7109375" customWidth="1"/>
    <col min="12" max="21" width="10" customWidth="1"/>
  </cols>
  <sheetData>
    <row r="1" spans="1:16">
      <c r="A1" s="3"/>
    </row>
    <row r="2" spans="1:16" ht="19.5" customHeight="1">
      <c r="C2" s="330" t="s">
        <v>70</v>
      </c>
      <c r="D2" s="330"/>
      <c r="E2" s="330"/>
      <c r="F2" s="330"/>
      <c r="G2" s="330"/>
      <c r="H2" s="330"/>
      <c r="I2" s="330"/>
      <c r="J2" s="174"/>
      <c r="K2" s="132"/>
      <c r="L2" s="132"/>
      <c r="M2" s="132"/>
    </row>
    <row r="3" spans="1:16" ht="13.5" customHeight="1">
      <c r="C3" s="330" t="s">
        <v>71</v>
      </c>
      <c r="D3" s="330"/>
      <c r="E3" s="330"/>
      <c r="F3" s="330"/>
      <c r="G3" s="330"/>
      <c r="H3" s="330"/>
      <c r="I3" s="330"/>
      <c r="J3" s="174"/>
      <c r="K3" s="132"/>
      <c r="L3" s="132"/>
    </row>
    <row r="4" spans="1:16" ht="29.25" customHeight="1">
      <c r="C4" s="331" t="s">
        <v>297</v>
      </c>
      <c r="D4" s="331"/>
      <c r="E4" s="331"/>
      <c r="F4" s="331"/>
      <c r="G4" s="331"/>
      <c r="H4" s="331"/>
      <c r="I4" s="331"/>
      <c r="J4" s="175"/>
      <c r="K4" s="133"/>
      <c r="L4" s="133"/>
      <c r="M4" s="133"/>
    </row>
    <row r="5" spans="1:16" ht="29.25" customHeight="1">
      <c r="B5" s="202" t="s">
        <v>298</v>
      </c>
      <c r="C5" s="203" t="s">
        <v>299</v>
      </c>
      <c r="L5" s="329"/>
      <c r="M5" s="329"/>
      <c r="N5" s="329"/>
      <c r="O5" s="329"/>
      <c r="P5" s="329"/>
    </row>
    <row r="6" spans="1:16" ht="17.25" customHeight="1">
      <c r="B6" s="176"/>
      <c r="L6" s="142"/>
      <c r="M6" s="142"/>
      <c r="N6" s="142"/>
      <c r="O6" s="142"/>
      <c r="P6" s="142"/>
    </row>
    <row r="7" spans="1:16" ht="24.75" customHeight="1">
      <c r="B7" s="216" t="s">
        <v>300</v>
      </c>
      <c r="C7" s="249">
        <v>2018</v>
      </c>
      <c r="D7" s="217">
        <v>2019</v>
      </c>
      <c r="E7" s="217">
        <v>2022</v>
      </c>
      <c r="F7" s="217">
        <v>2023</v>
      </c>
      <c r="G7" s="217">
        <v>2024</v>
      </c>
      <c r="H7" s="217">
        <v>2025</v>
      </c>
      <c r="I7" s="217">
        <v>2026</v>
      </c>
      <c r="J7" s="217" t="s">
        <v>301</v>
      </c>
      <c r="L7" s="217" t="s">
        <v>302</v>
      </c>
      <c r="M7" s="142"/>
      <c r="N7" s="142"/>
      <c r="O7" s="142"/>
      <c r="P7" s="142"/>
    </row>
    <row r="8" spans="1:16" ht="17.25" customHeight="1">
      <c r="B8" s="248" t="s">
        <v>303</v>
      </c>
      <c r="C8" s="247">
        <f>+SUMIFS(C21:C97,$A$21:$A$97,$B$8)</f>
        <v>184</v>
      </c>
      <c r="D8" s="247">
        <f t="shared" ref="D8:I8" si="0">+SUMIFS(D21:D97,$A$21:$A$97,$B$8)</f>
        <v>0</v>
      </c>
      <c r="E8" s="247">
        <f t="shared" si="0"/>
        <v>0</v>
      </c>
      <c r="F8" s="247">
        <f t="shared" si="0"/>
        <v>4</v>
      </c>
      <c r="G8" s="247">
        <f t="shared" si="0"/>
        <v>0</v>
      </c>
      <c r="H8" s="247">
        <f t="shared" si="0"/>
        <v>8</v>
      </c>
      <c r="I8" s="247">
        <f>+SUMIFS(I21:I97,$A$21:$A$97,$B$8)</f>
        <v>0</v>
      </c>
      <c r="J8" s="223">
        <f>+SUM(C8:I8)</f>
        <v>196</v>
      </c>
      <c r="L8" s="219">
        <f>+J8/$K$16</f>
        <v>4.7746650426309378E-2</v>
      </c>
      <c r="M8" s="142"/>
      <c r="N8" s="142"/>
      <c r="O8" s="142"/>
      <c r="P8" s="142"/>
    </row>
    <row r="9" spans="1:16" ht="17.25" customHeight="1">
      <c r="B9" s="224" t="s">
        <v>304</v>
      </c>
      <c r="C9" s="218">
        <f>+SUMIFS(C21:C97,$A$21:$A$97,$B$9)</f>
        <v>688</v>
      </c>
      <c r="D9" s="218">
        <f t="shared" ref="D9:I9" si="1">+SUMIFS(D21:D97,$A$21:$A$97,$B$9)</f>
        <v>0</v>
      </c>
      <c r="E9" s="218">
        <f t="shared" si="1"/>
        <v>0</v>
      </c>
      <c r="F9" s="218">
        <f t="shared" si="1"/>
        <v>108</v>
      </c>
      <c r="G9" s="218">
        <f t="shared" si="1"/>
        <v>0</v>
      </c>
      <c r="H9" s="218">
        <f t="shared" si="1"/>
        <v>21</v>
      </c>
      <c r="I9" s="218">
        <f>+SUMIFS(I21:I97,$A$21:$A$97,$B$9)</f>
        <v>0</v>
      </c>
      <c r="J9" s="223">
        <f t="shared" ref="J9:J15" si="2">+SUM(C9:I9)</f>
        <v>817</v>
      </c>
      <c r="L9" s="219">
        <f>+J9/$K$16</f>
        <v>0.19902557856272837</v>
      </c>
      <c r="M9" s="142"/>
      <c r="N9" s="142"/>
      <c r="O9" s="142"/>
      <c r="P9" s="142"/>
    </row>
    <row r="10" spans="1:16" ht="17.25" customHeight="1">
      <c r="B10" s="224" t="s">
        <v>305</v>
      </c>
      <c r="C10" s="218">
        <f>+SUMIFS(C21:C97,$A$21:$A$97,$B$10)</f>
        <v>68</v>
      </c>
      <c r="D10" s="218">
        <f t="shared" ref="D10:I10" si="3">+SUMIFS(D21:D97,$A$21:$A$97,$B$10)</f>
        <v>0</v>
      </c>
      <c r="E10" s="218">
        <f t="shared" si="3"/>
        <v>0</v>
      </c>
      <c r="F10" s="218">
        <f t="shared" si="3"/>
        <v>4</v>
      </c>
      <c r="G10" s="218">
        <f t="shared" si="3"/>
        <v>0</v>
      </c>
      <c r="H10" s="218">
        <f t="shared" si="3"/>
        <v>1</v>
      </c>
      <c r="I10" s="218">
        <f t="shared" si="3"/>
        <v>0</v>
      </c>
      <c r="J10" s="223">
        <f t="shared" si="2"/>
        <v>73</v>
      </c>
      <c r="L10" s="219">
        <f>+J10/$K$16</f>
        <v>1.7783191230207065E-2</v>
      </c>
      <c r="M10" s="142"/>
      <c r="N10" s="142"/>
      <c r="O10" s="142"/>
      <c r="P10" s="142"/>
    </row>
    <row r="11" spans="1:16" ht="17.25" customHeight="1">
      <c r="B11" s="246" t="s">
        <v>306</v>
      </c>
      <c r="C11" s="218">
        <f>+SUMIFS(C21:C97,$A$21:$A$97,$B$11)</f>
        <v>82</v>
      </c>
      <c r="D11" s="218">
        <f t="shared" ref="D11:I11" si="4">+SUMIFS(D21:D97,$A$21:$A$97,$B$11)</f>
        <v>0</v>
      </c>
      <c r="E11" s="218">
        <f t="shared" si="4"/>
        <v>0</v>
      </c>
      <c r="F11" s="218">
        <f t="shared" si="4"/>
        <v>113</v>
      </c>
      <c r="G11" s="218">
        <f t="shared" si="4"/>
        <v>0</v>
      </c>
      <c r="H11" s="218">
        <f t="shared" si="4"/>
        <v>10</v>
      </c>
      <c r="I11" s="218">
        <f t="shared" si="4"/>
        <v>0</v>
      </c>
      <c r="J11" s="223">
        <f t="shared" si="2"/>
        <v>205</v>
      </c>
      <c r="L11" s="219">
        <f>+J11/$K$16</f>
        <v>4.9939098660170524E-2</v>
      </c>
      <c r="M11" s="142"/>
      <c r="N11" s="142"/>
      <c r="O11" s="142"/>
      <c r="P11" s="142"/>
    </row>
    <row r="12" spans="1:16" ht="17.25" customHeight="1">
      <c r="B12" s="224" t="s">
        <v>307</v>
      </c>
      <c r="C12" s="218">
        <f>+SUMIFS(C21:C97,$A$21:$A$97,$B$12)</f>
        <v>320</v>
      </c>
      <c r="D12" s="218">
        <f t="shared" ref="D12:I12" si="5">+SUMIFS(D21:D97,$A$21:$A$97,$B$12)</f>
        <v>0</v>
      </c>
      <c r="E12" s="218">
        <f t="shared" si="5"/>
        <v>0</v>
      </c>
      <c r="F12" s="218">
        <f t="shared" si="5"/>
        <v>45</v>
      </c>
      <c r="G12" s="218">
        <f t="shared" si="5"/>
        <v>0</v>
      </c>
      <c r="H12" s="218">
        <f t="shared" si="5"/>
        <v>6</v>
      </c>
      <c r="I12" s="218">
        <f t="shared" si="5"/>
        <v>0</v>
      </c>
      <c r="J12" s="223">
        <f t="shared" si="2"/>
        <v>371</v>
      </c>
      <c r="L12" s="219">
        <f>+J12/$K$16</f>
        <v>9.0377588306942758E-2</v>
      </c>
      <c r="M12" s="142"/>
      <c r="N12" s="142"/>
      <c r="O12" s="142"/>
      <c r="P12" s="142"/>
    </row>
    <row r="13" spans="1:16" ht="17.25" customHeight="1">
      <c r="B13" s="245" t="s">
        <v>308</v>
      </c>
      <c r="C13" s="218">
        <f>+SUMIFS(C21:C97,$A$21:$A$97,$B$13)</f>
        <v>0</v>
      </c>
      <c r="D13" s="218">
        <f t="shared" ref="D13:I13" si="6">+SUMIFS(D21:D97,$A$21:$A$97,$B$13)</f>
        <v>0</v>
      </c>
      <c r="E13" s="218">
        <f t="shared" si="6"/>
        <v>0</v>
      </c>
      <c r="F13" s="218">
        <f t="shared" si="6"/>
        <v>9</v>
      </c>
      <c r="G13" s="218">
        <f t="shared" si="6"/>
        <v>0</v>
      </c>
      <c r="H13" s="218">
        <f t="shared" si="6"/>
        <v>0</v>
      </c>
      <c r="I13" s="218">
        <f t="shared" si="6"/>
        <v>0</v>
      </c>
      <c r="J13" s="223">
        <f t="shared" si="2"/>
        <v>9</v>
      </c>
      <c r="L13" s="219">
        <f>+J13/$K$16</f>
        <v>2.1924482338611449E-3</v>
      </c>
      <c r="M13" s="142"/>
      <c r="N13" s="142"/>
      <c r="O13" s="142"/>
      <c r="P13" s="142"/>
    </row>
    <row r="14" spans="1:16" ht="17.25" customHeight="1">
      <c r="B14" s="224" t="s">
        <v>309</v>
      </c>
      <c r="C14" s="218">
        <f>+SUMIFS(C21:C97,$A$21:$A$97,$B$14)</f>
        <v>0</v>
      </c>
      <c r="D14" s="218">
        <f t="shared" ref="D14:I14" si="7">+SUMIFS(D21:D97,$A$21:$A$97,$B$14)</f>
        <v>0</v>
      </c>
      <c r="E14" s="218">
        <f t="shared" si="7"/>
        <v>0</v>
      </c>
      <c r="F14" s="218">
        <f t="shared" si="7"/>
        <v>0</v>
      </c>
      <c r="G14" s="218">
        <f t="shared" si="7"/>
        <v>76</v>
      </c>
      <c r="H14" s="218">
        <f t="shared" si="7"/>
        <v>120</v>
      </c>
      <c r="I14" s="218">
        <f t="shared" si="7"/>
        <v>0</v>
      </c>
      <c r="J14" s="223">
        <f t="shared" si="2"/>
        <v>196</v>
      </c>
      <c r="L14" s="219">
        <f>+J14/$K$16</f>
        <v>4.7746650426309378E-2</v>
      </c>
      <c r="M14" s="142"/>
      <c r="N14" s="142"/>
      <c r="O14" s="142"/>
      <c r="P14" s="142"/>
    </row>
    <row r="15" spans="1:16" ht="17.25" customHeight="1">
      <c r="B15" s="224" t="s">
        <v>310</v>
      </c>
      <c r="C15" s="218">
        <f>+SUMIFS(C21:C97,$A$21:$A$97,$B$15)</f>
        <v>1158</v>
      </c>
      <c r="D15" s="218">
        <f t="shared" ref="D15:I15" si="8">+SUMIFS(D21:D97,$A$21:$A$97,$B$15)</f>
        <v>0</v>
      </c>
      <c r="E15" s="218">
        <f t="shared" si="8"/>
        <v>0</v>
      </c>
      <c r="F15" s="218">
        <f t="shared" si="8"/>
        <v>78</v>
      </c>
      <c r="G15" s="218">
        <f t="shared" si="8"/>
        <v>0</v>
      </c>
      <c r="H15" s="218">
        <f t="shared" si="8"/>
        <v>1002</v>
      </c>
      <c r="I15" s="218">
        <f t="shared" si="8"/>
        <v>0</v>
      </c>
      <c r="J15" s="223">
        <f t="shared" si="2"/>
        <v>2238</v>
      </c>
      <c r="L15" s="219">
        <f>+J15/$K$16</f>
        <v>0.54518879415347132</v>
      </c>
      <c r="M15" s="142"/>
      <c r="N15" s="142"/>
      <c r="O15" s="142"/>
      <c r="P15" s="142"/>
    </row>
    <row r="16" spans="1:16" ht="16.5" customHeight="1">
      <c r="B16" s="220" t="s">
        <v>311</v>
      </c>
      <c r="C16" s="221">
        <f>+SUM(C8:C15)</f>
        <v>2500</v>
      </c>
      <c r="D16" s="221">
        <f t="shared" ref="D16:J16" si="9">+SUM(D8:D15)</f>
        <v>0</v>
      </c>
      <c r="E16" s="221">
        <f t="shared" si="9"/>
        <v>0</v>
      </c>
      <c r="F16" s="221">
        <f>+SUM(F8:F15)</f>
        <v>361</v>
      </c>
      <c r="G16" s="221">
        <f t="shared" si="9"/>
        <v>76</v>
      </c>
      <c r="H16" s="221">
        <f t="shared" si="9"/>
        <v>1168</v>
      </c>
      <c r="I16" s="221">
        <f t="shared" si="9"/>
        <v>0</v>
      </c>
      <c r="J16" s="221">
        <f t="shared" si="9"/>
        <v>4105</v>
      </c>
      <c r="K16" s="332">
        <f>+SUM(J8:J15)</f>
        <v>4105</v>
      </c>
      <c r="L16" s="232">
        <f>+K16/$K$16</f>
        <v>1</v>
      </c>
      <c r="M16" s="142"/>
      <c r="N16" s="142"/>
      <c r="O16" s="142"/>
      <c r="P16" s="142"/>
    </row>
    <row r="17" spans="1:16" ht="29.25" customHeight="1">
      <c r="B17" s="220" t="s">
        <v>312</v>
      </c>
      <c r="C17" s="222">
        <f>+C16/$J$16</f>
        <v>0.60901339829476253</v>
      </c>
      <c r="D17" s="222">
        <f t="shared" ref="D17:J17" si="10">+D16/$J$16</f>
        <v>0</v>
      </c>
      <c r="E17" s="222">
        <f t="shared" si="10"/>
        <v>0</v>
      </c>
      <c r="F17" s="222">
        <f t="shared" si="10"/>
        <v>8.7941534713763703E-2</v>
      </c>
      <c r="G17" s="222">
        <f t="shared" si="10"/>
        <v>1.8514007308160781E-2</v>
      </c>
      <c r="H17" s="222">
        <f t="shared" si="10"/>
        <v>0.28453105968331305</v>
      </c>
      <c r="I17" s="222">
        <f t="shared" si="10"/>
        <v>0</v>
      </c>
      <c r="J17" s="222">
        <f t="shared" si="10"/>
        <v>1</v>
      </c>
      <c r="K17" s="333"/>
      <c r="L17" s="233"/>
      <c r="M17" s="142"/>
      <c r="N17" s="142"/>
      <c r="O17" s="142"/>
      <c r="P17" s="142"/>
    </row>
    <row r="18" spans="1:16">
      <c r="B18" s="176"/>
    </row>
    <row r="19" spans="1:16">
      <c r="A19" s="5"/>
      <c r="B19" s="176"/>
      <c r="H19" s="182"/>
      <c r="I19" s="182"/>
    </row>
    <row r="20" spans="1:16" ht="38.25" customHeight="1">
      <c r="A20" s="187" t="s">
        <v>300</v>
      </c>
      <c r="B20" s="225" t="s">
        <v>313</v>
      </c>
      <c r="C20" s="187">
        <v>2018</v>
      </c>
      <c r="D20" s="187">
        <v>2019</v>
      </c>
      <c r="E20" s="187">
        <v>2022</v>
      </c>
      <c r="F20" s="188">
        <v>2023</v>
      </c>
      <c r="G20" s="227">
        <v>2024</v>
      </c>
      <c r="H20" s="188">
        <v>2025</v>
      </c>
      <c r="I20" s="188">
        <v>2026</v>
      </c>
      <c r="J20" s="189" t="s">
        <v>311</v>
      </c>
      <c r="K20" s="190" t="s">
        <v>302</v>
      </c>
    </row>
    <row r="21" spans="1:16">
      <c r="A21" s="245" t="s">
        <v>303</v>
      </c>
      <c r="B21" s="177" t="s">
        <v>314</v>
      </c>
      <c r="C21" s="177">
        <v>0</v>
      </c>
      <c r="D21" s="178" t="s">
        <v>146</v>
      </c>
      <c r="E21" s="178" t="s">
        <v>146</v>
      </c>
      <c r="F21" s="179">
        <v>2</v>
      </c>
      <c r="G21" s="228"/>
      <c r="H21" s="236">
        <v>6</v>
      </c>
      <c r="I21" s="226"/>
      <c r="J21" s="180">
        <f>+SUM(C21:I21)</f>
        <v>8</v>
      </c>
      <c r="K21" s="181">
        <f>+J21/$K$16</f>
        <v>1.94884287454324E-3</v>
      </c>
    </row>
    <row r="22" spans="1:16">
      <c r="A22" s="245" t="s">
        <v>303</v>
      </c>
      <c r="B22" s="183" t="s">
        <v>315</v>
      </c>
      <c r="C22" s="183">
        <v>2</v>
      </c>
      <c r="D22" s="184" t="s">
        <v>146</v>
      </c>
      <c r="E22" s="184" t="s">
        <v>146</v>
      </c>
      <c r="F22" s="185">
        <v>1</v>
      </c>
      <c r="G22" s="228"/>
      <c r="H22" s="236">
        <v>1</v>
      </c>
      <c r="I22" s="226"/>
      <c r="J22" s="180">
        <f>+SUM(C22:I22)</f>
        <v>4</v>
      </c>
      <c r="K22" s="181">
        <f t="shared" ref="K22:K85" si="11">+J22/$K$16</f>
        <v>9.7442143727162001E-4</v>
      </c>
    </row>
    <row r="23" spans="1:16">
      <c r="A23" s="245" t="s">
        <v>303</v>
      </c>
      <c r="B23" s="183" t="s">
        <v>316</v>
      </c>
      <c r="C23" s="183">
        <v>1</v>
      </c>
      <c r="D23" s="184" t="s">
        <v>146</v>
      </c>
      <c r="E23" s="184" t="s">
        <v>146</v>
      </c>
      <c r="F23" s="185" t="s">
        <v>146</v>
      </c>
      <c r="G23" s="228"/>
      <c r="H23" s="236"/>
      <c r="I23" s="226"/>
      <c r="J23" s="180">
        <f>+SUM(C23:I23)</f>
        <v>1</v>
      </c>
      <c r="K23" s="181">
        <f t="shared" si="11"/>
        <v>2.43605359317905E-4</v>
      </c>
    </row>
    <row r="24" spans="1:16">
      <c r="A24" s="245" t="s">
        <v>303</v>
      </c>
      <c r="B24" s="183" t="s">
        <v>317</v>
      </c>
      <c r="C24" s="183">
        <v>171</v>
      </c>
      <c r="D24" s="184" t="s">
        <v>146</v>
      </c>
      <c r="E24" s="184" t="s">
        <v>146</v>
      </c>
      <c r="F24" s="185">
        <v>1</v>
      </c>
      <c r="G24" s="228"/>
      <c r="H24" s="236"/>
      <c r="I24" s="226"/>
      <c r="J24" s="180">
        <f>+SUM(C24:I24)</f>
        <v>172</v>
      </c>
      <c r="K24" s="181">
        <f t="shared" si="11"/>
        <v>4.1900121802679657E-2</v>
      </c>
    </row>
    <row r="25" spans="1:16">
      <c r="A25" s="245" t="s">
        <v>303</v>
      </c>
      <c r="B25" s="183" t="s">
        <v>318</v>
      </c>
      <c r="C25" s="183">
        <v>10</v>
      </c>
      <c r="D25" s="184" t="s">
        <v>146</v>
      </c>
      <c r="E25" s="184" t="s">
        <v>146</v>
      </c>
      <c r="F25" s="185" t="s">
        <v>146</v>
      </c>
      <c r="G25" s="228"/>
      <c r="H25" s="236">
        <v>1</v>
      </c>
      <c r="I25" s="226"/>
      <c r="J25" s="180">
        <f>+SUM(C25:I25)</f>
        <v>11</v>
      </c>
      <c r="K25" s="181">
        <f t="shared" si="11"/>
        <v>2.6796589524969551E-3</v>
      </c>
    </row>
    <row r="26" spans="1:16">
      <c r="A26" s="224" t="s">
        <v>304</v>
      </c>
      <c r="B26" s="183" t="s">
        <v>319</v>
      </c>
      <c r="C26" s="183">
        <v>90</v>
      </c>
      <c r="D26" s="184" t="s">
        <v>146</v>
      </c>
      <c r="E26" s="184" t="s">
        <v>146</v>
      </c>
      <c r="F26" s="185">
        <v>10</v>
      </c>
      <c r="G26" s="228"/>
      <c r="H26" s="236">
        <v>12</v>
      </c>
      <c r="I26" s="226"/>
      <c r="J26" s="180">
        <f>+SUM(C26:I26)</f>
        <v>112</v>
      </c>
      <c r="K26" s="181">
        <f t="shared" si="11"/>
        <v>2.7283800243605359E-2</v>
      </c>
    </row>
    <row r="27" spans="1:16">
      <c r="A27" s="224" t="s">
        <v>304</v>
      </c>
      <c r="B27" s="183" t="s">
        <v>320</v>
      </c>
      <c r="C27" s="183">
        <v>148</v>
      </c>
      <c r="D27" s="184" t="s">
        <v>146</v>
      </c>
      <c r="E27" s="184" t="s">
        <v>146</v>
      </c>
      <c r="F27" s="185">
        <v>15</v>
      </c>
      <c r="G27" s="228"/>
      <c r="H27" s="236"/>
      <c r="I27" s="226"/>
      <c r="J27" s="180">
        <f>+SUM(C27:I27)</f>
        <v>163</v>
      </c>
      <c r="K27" s="181">
        <f t="shared" si="11"/>
        <v>3.9707673568818512E-2</v>
      </c>
    </row>
    <row r="28" spans="1:16">
      <c r="A28" s="224" t="s">
        <v>304</v>
      </c>
      <c r="B28" s="183" t="s">
        <v>321</v>
      </c>
      <c r="C28" s="183">
        <v>146</v>
      </c>
      <c r="D28" s="184" t="s">
        <v>146</v>
      </c>
      <c r="E28" s="184" t="s">
        <v>146</v>
      </c>
      <c r="F28" s="185">
        <v>4</v>
      </c>
      <c r="G28" s="228"/>
      <c r="H28" s="236"/>
      <c r="I28" s="226"/>
      <c r="J28" s="180">
        <f>+SUM(C28:I28)</f>
        <v>150</v>
      </c>
      <c r="K28" s="181">
        <f t="shared" si="11"/>
        <v>3.6540803897685749E-2</v>
      </c>
    </row>
    <row r="29" spans="1:16">
      <c r="A29" s="224" t="s">
        <v>304</v>
      </c>
      <c r="B29" s="183" t="s">
        <v>322</v>
      </c>
      <c r="C29" s="183">
        <v>9</v>
      </c>
      <c r="D29" s="184" t="s">
        <v>146</v>
      </c>
      <c r="E29" s="184" t="s">
        <v>146</v>
      </c>
      <c r="F29" s="185" t="s">
        <v>146</v>
      </c>
      <c r="G29" s="228"/>
      <c r="H29" s="236"/>
      <c r="I29" s="226"/>
      <c r="J29" s="180">
        <f>+SUM(C29:I29)</f>
        <v>9</v>
      </c>
      <c r="K29" s="181">
        <f t="shared" si="11"/>
        <v>2.1924482338611449E-3</v>
      </c>
    </row>
    <row r="30" spans="1:16">
      <c r="A30" s="224" t="s">
        <v>304</v>
      </c>
      <c r="B30" s="183" t="s">
        <v>323</v>
      </c>
      <c r="C30" s="183">
        <v>1</v>
      </c>
      <c r="D30" s="184" t="s">
        <v>146</v>
      </c>
      <c r="E30" s="184" t="s">
        <v>146</v>
      </c>
      <c r="F30" s="185" t="s">
        <v>146</v>
      </c>
      <c r="G30" s="228"/>
      <c r="H30" s="236"/>
      <c r="I30" s="226"/>
      <c r="J30" s="180">
        <f>+SUM(C30:I30)</f>
        <v>1</v>
      </c>
      <c r="K30" s="181">
        <f t="shared" si="11"/>
        <v>2.43605359317905E-4</v>
      </c>
    </row>
    <row r="31" spans="1:16">
      <c r="A31" s="224" t="s">
        <v>304</v>
      </c>
      <c r="B31" s="183" t="s">
        <v>324</v>
      </c>
      <c r="C31" s="183">
        <v>0</v>
      </c>
      <c r="D31" s="184" t="s">
        <v>146</v>
      </c>
      <c r="E31" s="184" t="s">
        <v>146</v>
      </c>
      <c r="F31" s="185">
        <v>1</v>
      </c>
      <c r="G31" s="228"/>
      <c r="H31" s="236"/>
      <c r="I31" s="226"/>
      <c r="J31" s="180">
        <f>+SUM(C31:I31)</f>
        <v>1</v>
      </c>
      <c r="K31" s="181">
        <f t="shared" si="11"/>
        <v>2.43605359317905E-4</v>
      </c>
    </row>
    <row r="32" spans="1:16" ht="15.75" customHeight="1">
      <c r="A32" s="224" t="s">
        <v>304</v>
      </c>
      <c r="B32" s="183" t="s">
        <v>325</v>
      </c>
      <c r="C32" s="183">
        <v>2</v>
      </c>
      <c r="D32" s="184" t="s">
        <v>146</v>
      </c>
      <c r="E32" s="184" t="s">
        <v>146</v>
      </c>
      <c r="F32" s="185" t="s">
        <v>146</v>
      </c>
      <c r="G32" s="228"/>
      <c r="H32" s="236"/>
      <c r="I32" s="226"/>
      <c r="J32" s="180">
        <f>+SUM(C32:I32)</f>
        <v>2</v>
      </c>
      <c r="K32" s="181">
        <f t="shared" si="11"/>
        <v>4.8721071863581E-4</v>
      </c>
    </row>
    <row r="33" spans="1:11" ht="15.75" customHeight="1">
      <c r="A33" s="224" t="s">
        <v>304</v>
      </c>
      <c r="B33" s="183" t="s">
        <v>326</v>
      </c>
      <c r="C33" s="183">
        <v>65</v>
      </c>
      <c r="D33" s="184" t="s">
        <v>146</v>
      </c>
      <c r="E33" s="184" t="s">
        <v>146</v>
      </c>
      <c r="F33" s="185" t="s">
        <v>146</v>
      </c>
      <c r="G33" s="228"/>
      <c r="H33" s="236">
        <v>9</v>
      </c>
      <c r="I33" s="226"/>
      <c r="J33" s="180">
        <f>+SUM(C33:I33)</f>
        <v>74</v>
      </c>
      <c r="K33" s="181">
        <f t="shared" si="11"/>
        <v>1.8026796589524968E-2</v>
      </c>
    </row>
    <row r="34" spans="1:11" ht="15.75" customHeight="1">
      <c r="A34" s="224" t="s">
        <v>304</v>
      </c>
      <c r="B34" s="183" t="s">
        <v>327</v>
      </c>
      <c r="C34" s="183">
        <v>0</v>
      </c>
      <c r="D34" s="184" t="s">
        <v>146</v>
      </c>
      <c r="E34" s="184" t="s">
        <v>146</v>
      </c>
      <c r="F34" s="185">
        <v>2</v>
      </c>
      <c r="G34" s="228"/>
      <c r="H34" s="236"/>
      <c r="I34" s="226"/>
      <c r="J34" s="180">
        <f>+SUM(C34:I34)</f>
        <v>2</v>
      </c>
      <c r="K34" s="181">
        <f t="shared" si="11"/>
        <v>4.8721071863581E-4</v>
      </c>
    </row>
    <row r="35" spans="1:11" ht="15.75" customHeight="1">
      <c r="A35" s="224" t="s">
        <v>304</v>
      </c>
      <c r="B35" s="183" t="s">
        <v>328</v>
      </c>
      <c r="C35" s="183">
        <v>116</v>
      </c>
      <c r="D35" s="184" t="s">
        <v>146</v>
      </c>
      <c r="E35" s="184" t="s">
        <v>146</v>
      </c>
      <c r="F35" s="185" t="s">
        <v>146</v>
      </c>
      <c r="G35" s="228"/>
      <c r="H35" s="236"/>
      <c r="I35" s="226"/>
      <c r="J35" s="180">
        <f>+SUM(C35:I35)</f>
        <v>116</v>
      </c>
      <c r="K35" s="181">
        <f t="shared" si="11"/>
        <v>2.825822168087698E-2</v>
      </c>
    </row>
    <row r="36" spans="1:11" ht="15.75" customHeight="1">
      <c r="A36" s="224" t="s">
        <v>304</v>
      </c>
      <c r="B36" s="183" t="s">
        <v>329</v>
      </c>
      <c r="C36" s="183">
        <v>0</v>
      </c>
      <c r="D36" s="184" t="s">
        <v>146</v>
      </c>
      <c r="E36" s="184" t="s">
        <v>146</v>
      </c>
      <c r="F36" s="185">
        <v>25</v>
      </c>
      <c r="G36" s="228"/>
      <c r="H36" s="236"/>
      <c r="I36" s="226"/>
      <c r="J36" s="180">
        <f>+SUM(C36:I36)</f>
        <v>25</v>
      </c>
      <c r="K36" s="181">
        <f t="shared" si="11"/>
        <v>6.0901339829476245E-3</v>
      </c>
    </row>
    <row r="37" spans="1:11" ht="15.75" customHeight="1">
      <c r="A37" s="245" t="s">
        <v>304</v>
      </c>
      <c r="B37" s="183" t="s">
        <v>330</v>
      </c>
      <c r="C37" s="183">
        <v>1</v>
      </c>
      <c r="D37" s="184" t="s">
        <v>146</v>
      </c>
      <c r="E37" s="184" t="s">
        <v>146</v>
      </c>
      <c r="F37" s="185" t="s">
        <v>146</v>
      </c>
      <c r="G37" s="228"/>
      <c r="H37" s="236"/>
      <c r="I37" s="226"/>
      <c r="J37" s="180">
        <f>+SUM(C37:I37)</f>
        <v>1</v>
      </c>
      <c r="K37" s="181">
        <f t="shared" si="11"/>
        <v>2.43605359317905E-4</v>
      </c>
    </row>
    <row r="38" spans="1:11" ht="15.75" customHeight="1">
      <c r="A38" s="224" t="s">
        <v>304</v>
      </c>
      <c r="B38" s="183" t="s">
        <v>331</v>
      </c>
      <c r="C38" s="183">
        <v>0</v>
      </c>
      <c r="D38" s="184" t="s">
        <v>146</v>
      </c>
      <c r="E38" s="184" t="s">
        <v>146</v>
      </c>
      <c r="F38" s="185">
        <v>2</v>
      </c>
      <c r="G38" s="228"/>
      <c r="H38" s="236"/>
      <c r="I38" s="226"/>
      <c r="J38" s="180">
        <f>+SUM(C38:I38)</f>
        <v>2</v>
      </c>
      <c r="K38" s="181">
        <f t="shared" si="11"/>
        <v>4.8721071863581E-4</v>
      </c>
    </row>
    <row r="39" spans="1:11" ht="15.75" customHeight="1">
      <c r="A39" s="224" t="s">
        <v>304</v>
      </c>
      <c r="B39" s="183" t="s">
        <v>332</v>
      </c>
      <c r="C39" s="183">
        <v>4</v>
      </c>
      <c r="D39" s="184" t="s">
        <v>146</v>
      </c>
      <c r="E39" s="184" t="s">
        <v>146</v>
      </c>
      <c r="F39" s="185" t="s">
        <v>146</v>
      </c>
      <c r="G39" s="228"/>
      <c r="H39" s="236"/>
      <c r="I39" s="226"/>
      <c r="J39" s="180">
        <f>+SUM(C39:I39)</f>
        <v>4</v>
      </c>
      <c r="K39" s="181">
        <f t="shared" si="11"/>
        <v>9.7442143727162001E-4</v>
      </c>
    </row>
    <row r="40" spans="1:11" ht="15.75" customHeight="1">
      <c r="A40" s="224" t="s">
        <v>304</v>
      </c>
      <c r="B40" s="183" t="s">
        <v>333</v>
      </c>
      <c r="C40" s="183">
        <v>4</v>
      </c>
      <c r="D40" s="184" t="s">
        <v>146</v>
      </c>
      <c r="E40" s="184" t="s">
        <v>146</v>
      </c>
      <c r="F40" s="185" t="s">
        <v>146</v>
      </c>
      <c r="G40" s="228"/>
      <c r="H40" s="236"/>
      <c r="I40" s="226"/>
      <c r="J40" s="180">
        <f>+SUM(C40:I40)</f>
        <v>4</v>
      </c>
      <c r="K40" s="181">
        <f t="shared" si="11"/>
        <v>9.7442143727162001E-4</v>
      </c>
    </row>
    <row r="41" spans="1:11" ht="15.75" customHeight="1">
      <c r="A41" s="224" t="s">
        <v>304</v>
      </c>
      <c r="B41" s="183" t="s">
        <v>334</v>
      </c>
      <c r="C41" s="183">
        <v>5</v>
      </c>
      <c r="D41" s="184" t="s">
        <v>146</v>
      </c>
      <c r="E41" s="184" t="s">
        <v>146</v>
      </c>
      <c r="F41" s="185">
        <v>5</v>
      </c>
      <c r="G41" s="228"/>
      <c r="H41" s="236"/>
      <c r="I41" s="226"/>
      <c r="J41" s="180">
        <f>+SUM(C41:I41)</f>
        <v>10</v>
      </c>
      <c r="K41" s="181">
        <f t="shared" si="11"/>
        <v>2.4360535931790498E-3</v>
      </c>
    </row>
    <row r="42" spans="1:11" ht="15.75" customHeight="1">
      <c r="A42" s="224" t="s">
        <v>304</v>
      </c>
      <c r="B42" s="183" t="s">
        <v>335</v>
      </c>
      <c r="C42" s="183">
        <v>4</v>
      </c>
      <c r="D42" s="184" t="s">
        <v>146</v>
      </c>
      <c r="E42" s="184" t="s">
        <v>146</v>
      </c>
      <c r="F42" s="185" t="s">
        <v>146</v>
      </c>
      <c r="G42" s="228"/>
      <c r="H42" s="236"/>
      <c r="I42" s="226"/>
      <c r="J42" s="180">
        <f>+SUM(C42:I42)</f>
        <v>4</v>
      </c>
      <c r="K42" s="181">
        <f t="shared" si="11"/>
        <v>9.7442143727162001E-4</v>
      </c>
    </row>
    <row r="43" spans="1:11" ht="15.75" customHeight="1">
      <c r="A43" s="224" t="s">
        <v>304</v>
      </c>
      <c r="B43" s="183" t="s">
        <v>336</v>
      </c>
      <c r="C43" s="183">
        <v>44</v>
      </c>
      <c r="D43" s="184" t="s">
        <v>146</v>
      </c>
      <c r="E43" s="184" t="s">
        <v>146</v>
      </c>
      <c r="F43" s="185" t="s">
        <v>146</v>
      </c>
      <c r="G43" s="228"/>
      <c r="H43" s="236"/>
      <c r="I43" s="226"/>
      <c r="J43" s="180">
        <f>+SUM(C43:I43)</f>
        <v>44</v>
      </c>
      <c r="K43" s="181">
        <f t="shared" si="11"/>
        <v>1.0718635809987821E-2</v>
      </c>
    </row>
    <row r="44" spans="1:11" ht="15.75" customHeight="1">
      <c r="A44" s="224" t="s">
        <v>304</v>
      </c>
      <c r="B44" s="183" t="s">
        <v>337</v>
      </c>
      <c r="C44" s="183">
        <v>40</v>
      </c>
      <c r="D44" s="184" t="s">
        <v>146</v>
      </c>
      <c r="E44" s="184" t="s">
        <v>146</v>
      </c>
      <c r="F44" s="185" t="s">
        <v>146</v>
      </c>
      <c r="G44" s="228"/>
      <c r="H44" s="236"/>
      <c r="I44" s="226"/>
      <c r="J44" s="180">
        <f>+SUM(C44:I44)</f>
        <v>40</v>
      </c>
      <c r="K44" s="181">
        <f t="shared" si="11"/>
        <v>9.7442143727161992E-3</v>
      </c>
    </row>
    <row r="45" spans="1:11" ht="15.75" customHeight="1">
      <c r="A45" s="224" t="s">
        <v>304</v>
      </c>
      <c r="B45" s="183" t="s">
        <v>338</v>
      </c>
      <c r="C45" s="183">
        <v>9</v>
      </c>
      <c r="D45" s="184" t="s">
        <v>146</v>
      </c>
      <c r="E45" s="184" t="s">
        <v>146</v>
      </c>
      <c r="F45" s="185">
        <v>1</v>
      </c>
      <c r="G45" s="228"/>
      <c r="H45" s="236"/>
      <c r="I45" s="226"/>
      <c r="J45" s="180">
        <f>+SUM(C45:I45)</f>
        <v>10</v>
      </c>
      <c r="K45" s="181">
        <f t="shared" si="11"/>
        <v>2.4360535931790498E-3</v>
      </c>
    </row>
    <row r="46" spans="1:11" ht="15.75" customHeight="1">
      <c r="A46" s="224" t="s">
        <v>304</v>
      </c>
      <c r="B46" s="183" t="s">
        <v>339</v>
      </c>
      <c r="C46" s="183" t="s">
        <v>146</v>
      </c>
      <c r="D46" s="183" t="s">
        <v>146</v>
      </c>
      <c r="E46" s="183" t="s">
        <v>146</v>
      </c>
      <c r="F46" s="185">
        <v>4</v>
      </c>
      <c r="G46" s="228"/>
      <c r="H46" s="236"/>
      <c r="I46" s="226"/>
      <c r="J46" s="180">
        <f>+SUM(C46:I46)</f>
        <v>4</v>
      </c>
      <c r="K46" s="181">
        <f t="shared" si="11"/>
        <v>9.7442143727162001E-4</v>
      </c>
    </row>
    <row r="47" spans="1:11" ht="15.75" customHeight="1">
      <c r="A47" s="245" t="s">
        <v>304</v>
      </c>
      <c r="B47" s="183" t="s">
        <v>340</v>
      </c>
      <c r="C47" s="183" t="s">
        <v>146</v>
      </c>
      <c r="D47" s="183" t="s">
        <v>146</v>
      </c>
      <c r="E47" s="183" t="s">
        <v>146</v>
      </c>
      <c r="F47" s="185">
        <v>12</v>
      </c>
      <c r="G47" s="228"/>
      <c r="H47" s="236"/>
      <c r="I47" s="226"/>
      <c r="J47" s="180">
        <f>+SUM(C47:I47)</f>
        <v>12</v>
      </c>
      <c r="K47" s="181">
        <f t="shared" si="11"/>
        <v>2.92326431181486E-3</v>
      </c>
    </row>
    <row r="48" spans="1:11" ht="15.75" customHeight="1">
      <c r="A48" s="224" t="s">
        <v>304</v>
      </c>
      <c r="B48" s="183" t="s">
        <v>341</v>
      </c>
      <c r="C48" s="183" t="s">
        <v>146</v>
      </c>
      <c r="D48" s="183" t="s">
        <v>146</v>
      </c>
      <c r="E48" s="183" t="s">
        <v>146</v>
      </c>
      <c r="F48" s="185">
        <v>1</v>
      </c>
      <c r="G48" s="228"/>
      <c r="H48" s="236"/>
      <c r="I48" s="226"/>
      <c r="J48" s="180">
        <f>+SUM(C48:I48)</f>
        <v>1</v>
      </c>
      <c r="K48" s="181">
        <f t="shared" si="11"/>
        <v>2.43605359317905E-4</v>
      </c>
    </row>
    <row r="49" spans="1:11" ht="15.75" customHeight="1">
      <c r="A49" s="224" t="s">
        <v>304</v>
      </c>
      <c r="B49" s="183" t="s">
        <v>342</v>
      </c>
      <c r="C49" s="183" t="s">
        <v>146</v>
      </c>
      <c r="D49" s="183" t="s">
        <v>146</v>
      </c>
      <c r="E49" s="183" t="s">
        <v>146</v>
      </c>
      <c r="F49" s="185">
        <v>22</v>
      </c>
      <c r="G49" s="228"/>
      <c r="H49" s="236"/>
      <c r="I49" s="226"/>
      <c r="J49" s="180">
        <f>+SUM(C49:I49)</f>
        <v>22</v>
      </c>
      <c r="K49" s="181">
        <f t="shared" si="11"/>
        <v>5.3593179049939103E-3</v>
      </c>
    </row>
    <row r="50" spans="1:11" ht="15.75" customHeight="1">
      <c r="A50" s="224" t="s">
        <v>304</v>
      </c>
      <c r="B50" s="183" t="s">
        <v>343</v>
      </c>
      <c r="C50" s="183" t="s">
        <v>146</v>
      </c>
      <c r="D50" s="183" t="s">
        <v>146</v>
      </c>
      <c r="E50" s="183" t="s">
        <v>146</v>
      </c>
      <c r="F50" s="185">
        <v>4</v>
      </c>
      <c r="G50" s="228"/>
      <c r="H50" s="236"/>
      <c r="I50" s="226"/>
      <c r="J50" s="180">
        <f>+SUM(C50:I50)</f>
        <v>4</v>
      </c>
      <c r="K50" s="181">
        <f t="shared" si="11"/>
        <v>9.7442143727162001E-4</v>
      </c>
    </row>
    <row r="51" spans="1:11" ht="15.75" customHeight="1">
      <c r="A51" s="245" t="s">
        <v>308</v>
      </c>
      <c r="B51" s="183" t="s">
        <v>344</v>
      </c>
      <c r="C51" s="183">
        <v>0</v>
      </c>
      <c r="D51" s="184" t="s">
        <v>146</v>
      </c>
      <c r="E51" s="184" t="s">
        <v>146</v>
      </c>
      <c r="F51" s="185">
        <v>1</v>
      </c>
      <c r="G51" s="228"/>
      <c r="H51" s="236"/>
      <c r="I51" s="226"/>
      <c r="J51" s="180">
        <f>+SUM(C51:I51)</f>
        <v>1</v>
      </c>
      <c r="K51" s="181">
        <f t="shared" si="11"/>
        <v>2.43605359317905E-4</v>
      </c>
    </row>
    <row r="52" spans="1:11" ht="15.75" customHeight="1">
      <c r="A52" s="245" t="s">
        <v>308</v>
      </c>
      <c r="B52" s="183" t="s">
        <v>345</v>
      </c>
      <c r="C52" s="183" t="s">
        <v>146</v>
      </c>
      <c r="D52" s="183" t="s">
        <v>146</v>
      </c>
      <c r="E52" s="183" t="s">
        <v>146</v>
      </c>
      <c r="F52" s="185">
        <v>8</v>
      </c>
      <c r="G52" s="228"/>
      <c r="H52" s="236"/>
      <c r="I52" s="226"/>
      <c r="J52" s="180">
        <f>+SUM(C52:I52)</f>
        <v>8</v>
      </c>
      <c r="K52" s="181">
        <f t="shared" si="11"/>
        <v>1.94884287454324E-3</v>
      </c>
    </row>
    <row r="53" spans="1:11" ht="15.75" customHeight="1">
      <c r="A53" s="224" t="s">
        <v>305</v>
      </c>
      <c r="B53" s="183" t="s">
        <v>346</v>
      </c>
      <c r="C53" s="183">
        <v>1</v>
      </c>
      <c r="D53" s="184" t="s">
        <v>146</v>
      </c>
      <c r="E53" s="184" t="s">
        <v>146</v>
      </c>
      <c r="F53" s="185" t="s">
        <v>146</v>
      </c>
      <c r="G53" s="228"/>
      <c r="H53" s="236"/>
      <c r="I53" s="226"/>
      <c r="J53" s="180">
        <f>+SUM(C53:I53)</f>
        <v>1</v>
      </c>
      <c r="K53" s="181">
        <f t="shared" si="11"/>
        <v>2.43605359317905E-4</v>
      </c>
    </row>
    <row r="54" spans="1:11" ht="15.75" customHeight="1">
      <c r="A54" s="224" t="s">
        <v>305</v>
      </c>
      <c r="B54" s="183" t="s">
        <v>347</v>
      </c>
      <c r="C54" s="183">
        <v>8</v>
      </c>
      <c r="D54" s="184" t="s">
        <v>146</v>
      </c>
      <c r="E54" s="184" t="s">
        <v>146</v>
      </c>
      <c r="F54" s="185" t="s">
        <v>146</v>
      </c>
      <c r="G54" s="228"/>
      <c r="H54" s="236"/>
      <c r="I54" s="226"/>
      <c r="J54" s="180">
        <f>+SUM(C54:I54)</f>
        <v>8</v>
      </c>
      <c r="K54" s="181">
        <f t="shared" si="11"/>
        <v>1.94884287454324E-3</v>
      </c>
    </row>
    <row r="55" spans="1:11" ht="15.75" customHeight="1">
      <c r="A55" s="224" t="s">
        <v>305</v>
      </c>
      <c r="B55" s="183" t="s">
        <v>348</v>
      </c>
      <c r="C55" s="183">
        <v>1</v>
      </c>
      <c r="D55" s="184" t="s">
        <v>146</v>
      </c>
      <c r="E55" s="184" t="s">
        <v>146</v>
      </c>
      <c r="F55" s="185" t="s">
        <v>146</v>
      </c>
      <c r="G55" s="228"/>
      <c r="H55" s="236"/>
      <c r="I55" s="226"/>
      <c r="J55" s="180">
        <f>+SUM(C55:I55)</f>
        <v>1</v>
      </c>
      <c r="K55" s="181">
        <f t="shared" si="11"/>
        <v>2.43605359317905E-4</v>
      </c>
    </row>
    <row r="56" spans="1:11" ht="15.75" customHeight="1">
      <c r="A56" s="224" t="s">
        <v>305</v>
      </c>
      <c r="B56" s="183" t="s">
        <v>349</v>
      </c>
      <c r="C56" s="183">
        <v>18</v>
      </c>
      <c r="D56" s="184" t="s">
        <v>146</v>
      </c>
      <c r="E56" s="184" t="s">
        <v>146</v>
      </c>
      <c r="F56" s="185" t="s">
        <v>146</v>
      </c>
      <c r="G56" s="228"/>
      <c r="H56" s="236"/>
      <c r="I56" s="226"/>
      <c r="J56" s="180">
        <f>+SUM(C56:I56)</f>
        <v>18</v>
      </c>
      <c r="K56" s="181">
        <f t="shared" si="11"/>
        <v>4.3848964677222898E-3</v>
      </c>
    </row>
    <row r="57" spans="1:11" ht="15.75" customHeight="1">
      <c r="A57" s="224" t="s">
        <v>305</v>
      </c>
      <c r="B57" s="183" t="s">
        <v>350</v>
      </c>
      <c r="C57" s="183">
        <v>9</v>
      </c>
      <c r="D57" s="184" t="s">
        <v>146</v>
      </c>
      <c r="E57" s="184" t="s">
        <v>146</v>
      </c>
      <c r="F57" s="185" t="s">
        <v>146</v>
      </c>
      <c r="G57" s="228"/>
      <c r="H57" s="236"/>
      <c r="I57" s="226"/>
      <c r="J57" s="180">
        <f>+SUM(C57:I57)</f>
        <v>9</v>
      </c>
      <c r="K57" s="181">
        <f t="shared" si="11"/>
        <v>2.1924482338611449E-3</v>
      </c>
    </row>
    <row r="58" spans="1:11" ht="15.75" customHeight="1">
      <c r="A58" s="224" t="s">
        <v>305</v>
      </c>
      <c r="B58" s="183" t="s">
        <v>351</v>
      </c>
      <c r="C58" s="183">
        <v>13</v>
      </c>
      <c r="D58" s="184" t="s">
        <v>146</v>
      </c>
      <c r="E58" s="184" t="s">
        <v>146</v>
      </c>
      <c r="F58" s="185">
        <v>2</v>
      </c>
      <c r="G58" s="228"/>
      <c r="H58" s="236"/>
      <c r="I58" s="226"/>
      <c r="J58" s="180">
        <f>+SUM(C58:I58)</f>
        <v>15</v>
      </c>
      <c r="K58" s="181">
        <f t="shared" si="11"/>
        <v>3.6540803897685747E-3</v>
      </c>
    </row>
    <row r="59" spans="1:11" ht="15.75" customHeight="1">
      <c r="A59" s="224" t="s">
        <v>305</v>
      </c>
      <c r="B59" s="183" t="s">
        <v>352</v>
      </c>
      <c r="C59" s="183">
        <v>18</v>
      </c>
      <c r="D59" s="184" t="s">
        <v>146</v>
      </c>
      <c r="E59" s="184" t="s">
        <v>146</v>
      </c>
      <c r="F59" s="185">
        <v>2</v>
      </c>
      <c r="G59" s="228"/>
      <c r="H59" s="236">
        <v>1</v>
      </c>
      <c r="I59" s="226"/>
      <c r="J59" s="180">
        <f>+SUM(C59:I59)</f>
        <v>21</v>
      </c>
      <c r="K59" s="181">
        <f t="shared" si="11"/>
        <v>5.1157125456760049E-3</v>
      </c>
    </row>
    <row r="60" spans="1:11" ht="15.75" customHeight="1">
      <c r="A60" s="224" t="s">
        <v>309</v>
      </c>
      <c r="B60" s="183" t="s">
        <v>353</v>
      </c>
      <c r="C60" s="183"/>
      <c r="D60" s="183"/>
      <c r="E60" s="183"/>
      <c r="F60" s="185"/>
      <c r="G60" s="228">
        <v>76</v>
      </c>
      <c r="H60" s="236">
        <v>120</v>
      </c>
      <c r="I60" s="226"/>
      <c r="J60" s="180">
        <f>+SUM(C60:I60)</f>
        <v>196</v>
      </c>
      <c r="K60" s="181">
        <f t="shared" si="11"/>
        <v>4.7746650426309378E-2</v>
      </c>
    </row>
    <row r="61" spans="1:11" ht="15.75" customHeight="1">
      <c r="A61" s="246" t="s">
        <v>306</v>
      </c>
      <c r="B61" s="183" t="s">
        <v>354</v>
      </c>
      <c r="C61" s="183">
        <v>26</v>
      </c>
      <c r="D61" s="184" t="s">
        <v>146</v>
      </c>
      <c r="E61" s="184" t="s">
        <v>146</v>
      </c>
      <c r="F61" s="185">
        <v>7</v>
      </c>
      <c r="G61" s="228"/>
      <c r="H61" s="236">
        <v>3</v>
      </c>
      <c r="I61" s="226"/>
      <c r="J61" s="180">
        <f>+SUM(C61:I61)</f>
        <v>36</v>
      </c>
      <c r="K61" s="181">
        <f t="shared" si="11"/>
        <v>8.7697929354445796E-3</v>
      </c>
    </row>
    <row r="62" spans="1:11" ht="15.75" customHeight="1">
      <c r="A62" s="246" t="s">
        <v>306</v>
      </c>
      <c r="B62" s="183" t="s">
        <v>355</v>
      </c>
      <c r="C62" s="183">
        <v>3</v>
      </c>
      <c r="D62" s="184" t="s">
        <v>146</v>
      </c>
      <c r="E62" s="184" t="s">
        <v>146</v>
      </c>
      <c r="F62" s="185">
        <v>1</v>
      </c>
      <c r="G62" s="228"/>
      <c r="H62" s="236"/>
      <c r="I62" s="226"/>
      <c r="J62" s="180">
        <f>+SUM(C62:I62)</f>
        <v>4</v>
      </c>
      <c r="K62" s="181">
        <f t="shared" si="11"/>
        <v>9.7442143727162001E-4</v>
      </c>
    </row>
    <row r="63" spans="1:11" ht="15.75" customHeight="1">
      <c r="A63" s="246" t="s">
        <v>306</v>
      </c>
      <c r="B63" s="183" t="s">
        <v>356</v>
      </c>
      <c r="C63" s="183">
        <v>6</v>
      </c>
      <c r="D63" s="184" t="s">
        <v>146</v>
      </c>
      <c r="E63" s="184" t="s">
        <v>146</v>
      </c>
      <c r="F63" s="185">
        <v>15</v>
      </c>
      <c r="G63" s="228"/>
      <c r="H63" s="236"/>
      <c r="I63" s="226"/>
      <c r="J63" s="180">
        <f>+SUM(C63:I63)</f>
        <v>21</v>
      </c>
      <c r="K63" s="181">
        <f t="shared" si="11"/>
        <v>5.1157125456760049E-3</v>
      </c>
    </row>
    <row r="64" spans="1:11" ht="15.75" customHeight="1">
      <c r="A64" s="246" t="s">
        <v>306</v>
      </c>
      <c r="B64" s="183" t="s">
        <v>357</v>
      </c>
      <c r="C64" s="183">
        <v>4</v>
      </c>
      <c r="D64" s="184" t="s">
        <v>146</v>
      </c>
      <c r="E64" s="184" t="s">
        <v>146</v>
      </c>
      <c r="F64" s="185">
        <v>13</v>
      </c>
      <c r="G64" s="228"/>
      <c r="H64" s="236"/>
      <c r="I64" s="226"/>
      <c r="J64" s="180">
        <f>+SUM(C64:I64)</f>
        <v>17</v>
      </c>
      <c r="K64" s="181">
        <f t="shared" si="11"/>
        <v>4.1412911084043845E-3</v>
      </c>
    </row>
    <row r="65" spans="1:11" ht="15.75" customHeight="1">
      <c r="A65" s="246" t="s">
        <v>306</v>
      </c>
      <c r="B65" s="183" t="s">
        <v>358</v>
      </c>
      <c r="C65" s="183">
        <v>37</v>
      </c>
      <c r="D65" s="184" t="s">
        <v>146</v>
      </c>
      <c r="E65" s="184" t="s">
        <v>146</v>
      </c>
      <c r="F65" s="185">
        <v>8</v>
      </c>
      <c r="G65" s="228"/>
      <c r="H65" s="236"/>
      <c r="I65" s="226"/>
      <c r="J65" s="180">
        <f>+SUM(C65:I65)</f>
        <v>45</v>
      </c>
      <c r="K65" s="181">
        <f t="shared" si="11"/>
        <v>1.0962241169305725E-2</v>
      </c>
    </row>
    <row r="66" spans="1:11" ht="15.75" customHeight="1">
      <c r="A66" s="246" t="s">
        <v>306</v>
      </c>
      <c r="B66" s="183" t="s">
        <v>359</v>
      </c>
      <c r="C66" s="183">
        <v>4</v>
      </c>
      <c r="D66" s="184" t="s">
        <v>146</v>
      </c>
      <c r="E66" s="184" t="s">
        <v>146</v>
      </c>
      <c r="F66" s="185" t="s">
        <v>146</v>
      </c>
      <c r="G66" s="228"/>
      <c r="H66" s="236"/>
      <c r="I66" s="226"/>
      <c r="J66" s="180">
        <f>+SUM(C66:I66)</f>
        <v>4</v>
      </c>
      <c r="K66" s="181">
        <f t="shared" si="11"/>
        <v>9.7442143727162001E-4</v>
      </c>
    </row>
    <row r="67" spans="1:11" ht="15.75" customHeight="1">
      <c r="A67" s="246" t="s">
        <v>306</v>
      </c>
      <c r="B67" s="183" t="s">
        <v>360</v>
      </c>
      <c r="C67" s="183">
        <v>2</v>
      </c>
      <c r="D67" s="184" t="s">
        <v>146</v>
      </c>
      <c r="E67" s="184" t="s">
        <v>146</v>
      </c>
      <c r="F67" s="185" t="s">
        <v>146</v>
      </c>
      <c r="G67" s="228"/>
      <c r="H67" s="236"/>
      <c r="I67" s="226"/>
      <c r="J67" s="180">
        <f>+SUM(C67:I67)</f>
        <v>2</v>
      </c>
      <c r="K67" s="181">
        <f t="shared" si="11"/>
        <v>4.8721071863581E-4</v>
      </c>
    </row>
    <row r="68" spans="1:11" ht="15.75" customHeight="1">
      <c r="A68" s="246" t="s">
        <v>306</v>
      </c>
      <c r="B68" s="183" t="s">
        <v>361</v>
      </c>
      <c r="C68" s="183" t="s">
        <v>146</v>
      </c>
      <c r="D68" s="183" t="s">
        <v>146</v>
      </c>
      <c r="E68" s="183" t="s">
        <v>146</v>
      </c>
      <c r="F68" s="185">
        <v>21</v>
      </c>
      <c r="G68" s="228"/>
      <c r="H68" s="236">
        <v>1</v>
      </c>
      <c r="I68" s="226"/>
      <c r="J68" s="180">
        <f>+SUM(C68:I68)</f>
        <v>22</v>
      </c>
      <c r="K68" s="181">
        <f t="shared" si="11"/>
        <v>5.3593179049939103E-3</v>
      </c>
    </row>
    <row r="69" spans="1:11" ht="15.75" customHeight="1">
      <c r="A69" s="246" t="s">
        <v>306</v>
      </c>
      <c r="B69" s="183" t="s">
        <v>362</v>
      </c>
      <c r="C69" s="183" t="s">
        <v>146</v>
      </c>
      <c r="D69" s="183" t="s">
        <v>146</v>
      </c>
      <c r="E69" s="183" t="s">
        <v>146</v>
      </c>
      <c r="F69" s="185">
        <v>5</v>
      </c>
      <c r="G69" s="228"/>
      <c r="H69" s="236">
        <v>3</v>
      </c>
      <c r="I69" s="226"/>
      <c r="J69" s="180">
        <f>+SUM(C69:I69)</f>
        <v>8</v>
      </c>
      <c r="K69" s="181">
        <f t="shared" si="11"/>
        <v>1.94884287454324E-3</v>
      </c>
    </row>
    <row r="70" spans="1:11" ht="15.75" customHeight="1">
      <c r="A70" s="246" t="s">
        <v>306</v>
      </c>
      <c r="B70" s="183" t="s">
        <v>363</v>
      </c>
      <c r="C70" s="183" t="s">
        <v>146</v>
      </c>
      <c r="D70" s="183" t="s">
        <v>146</v>
      </c>
      <c r="E70" s="183" t="s">
        <v>146</v>
      </c>
      <c r="F70" s="185">
        <v>8</v>
      </c>
      <c r="G70" s="228"/>
      <c r="H70" s="236"/>
      <c r="I70" s="226"/>
      <c r="J70" s="180">
        <f>+SUM(C70:I70)</f>
        <v>8</v>
      </c>
      <c r="K70" s="181">
        <f t="shared" si="11"/>
        <v>1.94884287454324E-3</v>
      </c>
    </row>
    <row r="71" spans="1:11" ht="15.75" customHeight="1">
      <c r="A71" s="246" t="s">
        <v>306</v>
      </c>
      <c r="B71" s="183" t="s">
        <v>364</v>
      </c>
      <c r="C71" s="183">
        <v>0</v>
      </c>
      <c r="D71" s="184" t="s">
        <v>146</v>
      </c>
      <c r="E71" s="184" t="s">
        <v>146</v>
      </c>
      <c r="F71" s="185">
        <v>35</v>
      </c>
      <c r="G71" s="228"/>
      <c r="H71" s="236">
        <v>3</v>
      </c>
      <c r="I71" s="226"/>
      <c r="J71" s="180">
        <f>+SUM(C71:I71)</f>
        <v>38</v>
      </c>
      <c r="K71" s="181">
        <f t="shared" si="11"/>
        <v>9.2570036540803903E-3</v>
      </c>
    </row>
    <row r="72" spans="1:11" ht="15.75" customHeight="1">
      <c r="A72" s="224" t="s">
        <v>307</v>
      </c>
      <c r="B72" s="183" t="s">
        <v>365</v>
      </c>
      <c r="C72" s="183">
        <v>7</v>
      </c>
      <c r="D72" s="184" t="s">
        <v>146</v>
      </c>
      <c r="E72" s="184" t="s">
        <v>146</v>
      </c>
      <c r="F72" s="185">
        <v>3</v>
      </c>
      <c r="G72" s="228"/>
      <c r="H72" s="236">
        <v>6</v>
      </c>
      <c r="I72" s="226"/>
      <c r="J72" s="180">
        <f>+SUM(C72:I72)</f>
        <v>16</v>
      </c>
      <c r="K72" s="181">
        <f t="shared" si="11"/>
        <v>3.89768574908648E-3</v>
      </c>
    </row>
    <row r="73" spans="1:11" ht="15.75" customHeight="1">
      <c r="A73" s="245" t="s">
        <v>307</v>
      </c>
      <c r="B73" s="183" t="s">
        <v>366</v>
      </c>
      <c r="C73" s="183">
        <v>3</v>
      </c>
      <c r="D73" s="184" t="s">
        <v>146</v>
      </c>
      <c r="E73" s="184" t="s">
        <v>146</v>
      </c>
      <c r="F73" s="185" t="s">
        <v>146</v>
      </c>
      <c r="G73" s="228"/>
      <c r="H73" s="236"/>
      <c r="I73" s="226"/>
      <c r="J73" s="180">
        <f>+SUM(C73:I73)</f>
        <v>3</v>
      </c>
      <c r="K73" s="181">
        <f t="shared" si="11"/>
        <v>7.3081607795371501E-4</v>
      </c>
    </row>
    <row r="74" spans="1:11" ht="15.75" customHeight="1">
      <c r="A74" s="224" t="s">
        <v>307</v>
      </c>
      <c r="B74" s="183" t="s">
        <v>367</v>
      </c>
      <c r="C74" s="183">
        <v>10</v>
      </c>
      <c r="D74" s="184" t="s">
        <v>146</v>
      </c>
      <c r="E74" s="184" t="s">
        <v>146</v>
      </c>
      <c r="F74" s="185">
        <v>7</v>
      </c>
      <c r="G74" s="228"/>
      <c r="H74" s="236"/>
      <c r="I74" s="226"/>
      <c r="J74" s="180">
        <f>+SUM(C74:I74)</f>
        <v>17</v>
      </c>
      <c r="K74" s="181">
        <f t="shared" si="11"/>
        <v>4.1412911084043845E-3</v>
      </c>
    </row>
    <row r="75" spans="1:11" ht="15.75" customHeight="1">
      <c r="A75" s="224" t="s">
        <v>307</v>
      </c>
      <c r="B75" s="183" t="s">
        <v>368</v>
      </c>
      <c r="C75" s="183">
        <v>12</v>
      </c>
      <c r="D75" s="184" t="s">
        <v>146</v>
      </c>
      <c r="E75" s="184" t="s">
        <v>146</v>
      </c>
      <c r="F75" s="185" t="s">
        <v>146</v>
      </c>
      <c r="G75" s="228"/>
      <c r="H75" s="236"/>
      <c r="I75" s="226"/>
      <c r="J75" s="180">
        <f>+SUM(C75:I75)</f>
        <v>12</v>
      </c>
      <c r="K75" s="181">
        <f t="shared" si="11"/>
        <v>2.92326431181486E-3</v>
      </c>
    </row>
    <row r="76" spans="1:11" ht="15.75" customHeight="1">
      <c r="A76" s="224" t="s">
        <v>307</v>
      </c>
      <c r="B76" s="183" t="s">
        <v>369</v>
      </c>
      <c r="C76" s="183">
        <v>32</v>
      </c>
      <c r="D76" s="184" t="s">
        <v>146</v>
      </c>
      <c r="E76" s="184" t="s">
        <v>146</v>
      </c>
      <c r="F76" s="185">
        <v>1</v>
      </c>
      <c r="G76" s="228"/>
      <c r="H76" s="236"/>
      <c r="I76" s="226"/>
      <c r="J76" s="180">
        <f>+SUM(C76:I76)</f>
        <v>33</v>
      </c>
      <c r="K76" s="181">
        <f t="shared" si="11"/>
        <v>8.0389768574908645E-3</v>
      </c>
    </row>
    <row r="77" spans="1:11" ht="15.75" customHeight="1">
      <c r="A77" s="224" t="s">
        <v>307</v>
      </c>
      <c r="B77" s="183" t="s">
        <v>370</v>
      </c>
      <c r="C77" s="183">
        <v>12</v>
      </c>
      <c r="D77" s="184" t="s">
        <v>146</v>
      </c>
      <c r="E77" s="184" t="s">
        <v>146</v>
      </c>
      <c r="F77" s="185" t="s">
        <v>146</v>
      </c>
      <c r="G77" s="228"/>
      <c r="H77" s="236"/>
      <c r="I77" s="226"/>
      <c r="J77" s="180">
        <f>+SUM(C77:I77)</f>
        <v>12</v>
      </c>
      <c r="K77" s="181">
        <f t="shared" si="11"/>
        <v>2.92326431181486E-3</v>
      </c>
    </row>
    <row r="78" spans="1:11" ht="15.75" customHeight="1">
      <c r="A78" s="224" t="s">
        <v>307</v>
      </c>
      <c r="B78" s="183" t="s">
        <v>371</v>
      </c>
      <c r="C78" s="183">
        <v>40</v>
      </c>
      <c r="D78" s="184" t="s">
        <v>146</v>
      </c>
      <c r="E78" s="184" t="s">
        <v>146</v>
      </c>
      <c r="F78" s="185">
        <v>1</v>
      </c>
      <c r="G78" s="228"/>
      <c r="H78" s="236"/>
      <c r="I78" s="226"/>
      <c r="J78" s="180">
        <f>+SUM(C78:I78)</f>
        <v>41</v>
      </c>
      <c r="K78" s="181">
        <f t="shared" si="11"/>
        <v>9.9878197320341054E-3</v>
      </c>
    </row>
    <row r="79" spans="1:11" ht="15.75" customHeight="1">
      <c r="A79" s="224" t="s">
        <v>307</v>
      </c>
      <c r="B79" s="183" t="s">
        <v>372</v>
      </c>
      <c r="C79" s="183">
        <v>1</v>
      </c>
      <c r="D79" s="184" t="s">
        <v>146</v>
      </c>
      <c r="E79" s="184" t="s">
        <v>146</v>
      </c>
      <c r="F79" s="185" t="s">
        <v>146</v>
      </c>
      <c r="G79" s="228"/>
      <c r="H79" s="236"/>
      <c r="I79" s="226"/>
      <c r="J79" s="180">
        <f>+SUM(C79:I79)</f>
        <v>1</v>
      </c>
      <c r="K79" s="181">
        <f t="shared" si="11"/>
        <v>2.43605359317905E-4</v>
      </c>
    </row>
    <row r="80" spans="1:11" ht="15.75" customHeight="1">
      <c r="A80" s="224" t="s">
        <v>307</v>
      </c>
      <c r="B80" s="183" t="s">
        <v>373</v>
      </c>
      <c r="C80" s="183">
        <v>6</v>
      </c>
      <c r="D80" s="184" t="s">
        <v>146</v>
      </c>
      <c r="E80" s="184" t="s">
        <v>146</v>
      </c>
      <c r="F80" s="185" t="s">
        <v>146</v>
      </c>
      <c r="G80" s="228"/>
      <c r="H80" s="236"/>
      <c r="I80" s="226"/>
      <c r="J80" s="180">
        <f>+SUM(C80:I80)</f>
        <v>6</v>
      </c>
      <c r="K80" s="181">
        <f t="shared" si="11"/>
        <v>1.46163215590743E-3</v>
      </c>
    </row>
    <row r="81" spans="1:11" ht="15.75" customHeight="1">
      <c r="A81" s="224" t="s">
        <v>307</v>
      </c>
      <c r="B81" s="183" t="s">
        <v>374</v>
      </c>
      <c r="C81" s="183">
        <v>2</v>
      </c>
      <c r="D81" s="184" t="s">
        <v>146</v>
      </c>
      <c r="E81" s="184" t="s">
        <v>146</v>
      </c>
      <c r="F81" s="185" t="s">
        <v>146</v>
      </c>
      <c r="G81" s="228"/>
      <c r="H81" s="236"/>
      <c r="I81" s="226"/>
      <c r="J81" s="180">
        <f>+SUM(C81:I81)</f>
        <v>2</v>
      </c>
      <c r="K81" s="181">
        <f t="shared" si="11"/>
        <v>4.8721071863581E-4</v>
      </c>
    </row>
    <row r="82" spans="1:11" ht="15.75" customHeight="1">
      <c r="A82" s="224" t="s">
        <v>307</v>
      </c>
      <c r="B82" s="183" t="s">
        <v>375</v>
      </c>
      <c r="C82" s="183">
        <v>46</v>
      </c>
      <c r="D82" s="184" t="s">
        <v>146</v>
      </c>
      <c r="E82" s="184" t="s">
        <v>146</v>
      </c>
      <c r="F82" s="185" t="s">
        <v>146</v>
      </c>
      <c r="G82" s="228"/>
      <c r="H82" s="236"/>
      <c r="I82" s="226"/>
      <c r="J82" s="180">
        <f>+SUM(C82:I82)</f>
        <v>46</v>
      </c>
      <c r="K82" s="181">
        <f t="shared" si="11"/>
        <v>1.1205846528623629E-2</v>
      </c>
    </row>
    <row r="83" spans="1:11" ht="15.75" customHeight="1">
      <c r="A83" s="224" t="s">
        <v>307</v>
      </c>
      <c r="B83" s="183" t="s">
        <v>376</v>
      </c>
      <c r="C83" s="183">
        <v>2</v>
      </c>
      <c r="D83" s="184" t="s">
        <v>146</v>
      </c>
      <c r="E83" s="184" t="s">
        <v>146</v>
      </c>
      <c r="F83" s="185" t="s">
        <v>146</v>
      </c>
      <c r="G83" s="228"/>
      <c r="H83" s="236"/>
      <c r="I83" s="226"/>
      <c r="J83" s="180">
        <f>+SUM(C83:I83)</f>
        <v>2</v>
      </c>
      <c r="K83" s="181">
        <f t="shared" si="11"/>
        <v>4.8721071863581E-4</v>
      </c>
    </row>
    <row r="84" spans="1:11" ht="15.75" customHeight="1">
      <c r="A84" s="245" t="s">
        <v>307</v>
      </c>
      <c r="B84" s="183" t="s">
        <v>377</v>
      </c>
      <c r="C84" s="183">
        <v>8</v>
      </c>
      <c r="D84" s="184" t="s">
        <v>146</v>
      </c>
      <c r="E84" s="184" t="s">
        <v>146</v>
      </c>
      <c r="F84" s="185">
        <v>7</v>
      </c>
      <c r="G84" s="228"/>
      <c r="H84" s="236"/>
      <c r="I84" s="226"/>
      <c r="J84" s="180">
        <f>+SUM(C84:I84)</f>
        <v>15</v>
      </c>
      <c r="K84" s="181">
        <f t="shared" si="11"/>
        <v>3.6540803897685747E-3</v>
      </c>
    </row>
    <row r="85" spans="1:11" ht="15.75" customHeight="1">
      <c r="A85" s="245" t="s">
        <v>307</v>
      </c>
      <c r="B85" s="183" t="s">
        <v>378</v>
      </c>
      <c r="C85" s="183">
        <v>8</v>
      </c>
      <c r="D85" s="184" t="s">
        <v>146</v>
      </c>
      <c r="E85" s="184" t="s">
        <v>146</v>
      </c>
      <c r="F85" s="185" t="s">
        <v>146</v>
      </c>
      <c r="G85" s="228"/>
      <c r="H85" s="236"/>
      <c r="I85" s="226"/>
      <c r="J85" s="180">
        <f>+SUM(C85:I85)</f>
        <v>8</v>
      </c>
      <c r="K85" s="181">
        <f t="shared" si="11"/>
        <v>1.94884287454324E-3</v>
      </c>
    </row>
    <row r="86" spans="1:11" ht="15.75" customHeight="1">
      <c r="A86" s="224" t="s">
        <v>307</v>
      </c>
      <c r="B86" s="183" t="s">
        <v>379</v>
      </c>
      <c r="C86" s="183">
        <v>4</v>
      </c>
      <c r="D86" s="184" t="s">
        <v>146</v>
      </c>
      <c r="E86" s="184" t="s">
        <v>146</v>
      </c>
      <c r="F86" s="185">
        <v>3</v>
      </c>
      <c r="G86" s="228"/>
      <c r="H86" s="236"/>
      <c r="I86" s="226"/>
      <c r="J86" s="180">
        <f>+SUM(C86:I86)</f>
        <v>7</v>
      </c>
      <c r="K86" s="181">
        <f t="shared" ref="K86:K97" si="12">+J86/$K$16</f>
        <v>1.7052375152253349E-3</v>
      </c>
    </row>
    <row r="87" spans="1:11" ht="15.75" customHeight="1">
      <c r="A87" s="224" t="s">
        <v>307</v>
      </c>
      <c r="B87" s="183" t="s">
        <v>380</v>
      </c>
      <c r="C87" s="183">
        <v>19</v>
      </c>
      <c r="D87" s="184" t="s">
        <v>146</v>
      </c>
      <c r="E87" s="184" t="s">
        <v>146</v>
      </c>
      <c r="F87" s="185" t="s">
        <v>146</v>
      </c>
      <c r="G87" s="228"/>
      <c r="H87" s="236"/>
      <c r="I87" s="226"/>
      <c r="J87" s="180">
        <f>+SUM(C87:I87)</f>
        <v>19</v>
      </c>
      <c r="K87" s="181">
        <f t="shared" si="12"/>
        <v>4.6285018270401952E-3</v>
      </c>
    </row>
    <row r="88" spans="1:11" ht="15.75" customHeight="1">
      <c r="A88" s="224" t="s">
        <v>307</v>
      </c>
      <c r="B88" s="183" t="s">
        <v>381</v>
      </c>
      <c r="C88" s="183">
        <v>9</v>
      </c>
      <c r="D88" s="184" t="s">
        <v>146</v>
      </c>
      <c r="E88" s="184" t="s">
        <v>146</v>
      </c>
      <c r="F88" s="185" t="s">
        <v>146</v>
      </c>
      <c r="G88" s="228"/>
      <c r="H88" s="236"/>
      <c r="I88" s="226"/>
      <c r="J88" s="180">
        <f>+SUM(C88:I88)</f>
        <v>9</v>
      </c>
      <c r="K88" s="181">
        <f t="shared" si="12"/>
        <v>2.1924482338611449E-3</v>
      </c>
    </row>
    <row r="89" spans="1:11" ht="15.75" customHeight="1">
      <c r="A89" s="224" t="s">
        <v>307</v>
      </c>
      <c r="B89" s="183" t="s">
        <v>382</v>
      </c>
      <c r="C89" s="183">
        <v>21</v>
      </c>
      <c r="D89" s="184" t="s">
        <v>146</v>
      </c>
      <c r="E89" s="184" t="s">
        <v>146</v>
      </c>
      <c r="F89" s="185" t="s">
        <v>146</v>
      </c>
      <c r="G89" s="228"/>
      <c r="H89" s="236"/>
      <c r="I89" s="226"/>
      <c r="J89" s="180">
        <f>+SUM(C89:I89)</f>
        <v>21</v>
      </c>
      <c r="K89" s="181">
        <f t="shared" si="12"/>
        <v>5.1157125456760049E-3</v>
      </c>
    </row>
    <row r="90" spans="1:11" ht="18" customHeight="1">
      <c r="A90" s="224" t="s">
        <v>307</v>
      </c>
      <c r="B90" s="183" t="s">
        <v>383</v>
      </c>
      <c r="C90" s="183">
        <v>2</v>
      </c>
      <c r="D90" s="184" t="s">
        <v>146</v>
      </c>
      <c r="E90" s="184" t="s">
        <v>146</v>
      </c>
      <c r="F90" s="185" t="s">
        <v>146</v>
      </c>
      <c r="G90" s="228"/>
      <c r="H90" s="236"/>
      <c r="I90" s="226"/>
      <c r="J90" s="180">
        <f>+SUM(C90:I90)</f>
        <v>2</v>
      </c>
      <c r="K90" s="181">
        <f t="shared" si="12"/>
        <v>4.8721071863581E-4</v>
      </c>
    </row>
    <row r="91" spans="1:11" ht="15.75" customHeight="1">
      <c r="A91" s="224" t="s">
        <v>307</v>
      </c>
      <c r="B91" s="183" t="s">
        <v>384</v>
      </c>
      <c r="C91" s="183">
        <v>62</v>
      </c>
      <c r="D91" s="184" t="s">
        <v>146</v>
      </c>
      <c r="E91" s="184" t="s">
        <v>146</v>
      </c>
      <c r="F91" s="185">
        <v>18</v>
      </c>
      <c r="G91" s="228"/>
      <c r="H91" s="236"/>
      <c r="I91" s="226"/>
      <c r="J91" s="180">
        <f>+SUM(C91:I91)</f>
        <v>80</v>
      </c>
      <c r="K91" s="181">
        <f t="shared" si="12"/>
        <v>1.9488428745432398E-2</v>
      </c>
    </row>
    <row r="92" spans="1:11" ht="21.75" customHeight="1">
      <c r="A92" s="224" t="s">
        <v>307</v>
      </c>
      <c r="B92" s="183" t="s">
        <v>385</v>
      </c>
      <c r="C92" s="183">
        <v>14</v>
      </c>
      <c r="D92" s="184" t="s">
        <v>146</v>
      </c>
      <c r="E92" s="184" t="s">
        <v>146</v>
      </c>
      <c r="F92" s="185" t="s">
        <v>146</v>
      </c>
      <c r="G92" s="228"/>
      <c r="H92" s="236"/>
      <c r="I92" s="226"/>
      <c r="J92" s="180">
        <f>+SUM(C92:I92)</f>
        <v>14</v>
      </c>
      <c r="K92" s="181">
        <f t="shared" si="12"/>
        <v>3.4104750304506698E-3</v>
      </c>
    </row>
    <row r="93" spans="1:11" ht="15.75" customHeight="1">
      <c r="A93" s="245" t="s">
        <v>307</v>
      </c>
      <c r="B93" s="183" t="s">
        <v>386</v>
      </c>
      <c r="C93" s="183" t="s">
        <v>146</v>
      </c>
      <c r="D93" s="183" t="s">
        <v>146</v>
      </c>
      <c r="E93" s="183" t="s">
        <v>146</v>
      </c>
      <c r="F93" s="185">
        <v>1</v>
      </c>
      <c r="G93" s="228"/>
      <c r="H93" s="236"/>
      <c r="I93" s="226"/>
      <c r="J93" s="180">
        <f>+SUM(C93:I93)</f>
        <v>1</v>
      </c>
      <c r="K93" s="181">
        <f t="shared" si="12"/>
        <v>2.43605359317905E-4</v>
      </c>
    </row>
    <row r="94" spans="1:11" ht="15.75" customHeight="1">
      <c r="A94" s="245" t="s">
        <v>307</v>
      </c>
      <c r="B94" s="183" t="s">
        <v>387</v>
      </c>
      <c r="C94" s="183" t="s">
        <v>146</v>
      </c>
      <c r="D94" s="183" t="s">
        <v>146</v>
      </c>
      <c r="E94" s="183" t="s">
        <v>146</v>
      </c>
      <c r="F94" s="185">
        <v>3</v>
      </c>
      <c r="G94" s="228"/>
      <c r="H94" s="236"/>
      <c r="I94" s="226"/>
      <c r="J94" s="180">
        <f>+SUM(C94:I94)</f>
        <v>3</v>
      </c>
      <c r="K94" s="181">
        <f t="shared" si="12"/>
        <v>7.3081607795371501E-4</v>
      </c>
    </row>
    <row r="95" spans="1:11" ht="15.75" customHeight="1">
      <c r="A95" s="224" t="s">
        <v>307</v>
      </c>
      <c r="B95" s="183" t="s">
        <v>388</v>
      </c>
      <c r="C95" s="183" t="s">
        <v>146</v>
      </c>
      <c r="D95" s="183" t="s">
        <v>146</v>
      </c>
      <c r="E95" s="183" t="s">
        <v>146</v>
      </c>
      <c r="F95" s="185">
        <v>1</v>
      </c>
      <c r="G95" s="228"/>
      <c r="H95" s="236"/>
      <c r="I95" s="226"/>
      <c r="J95" s="180">
        <f>+SUM(C95:I95)</f>
        <v>1</v>
      </c>
      <c r="K95" s="181">
        <f t="shared" si="12"/>
        <v>2.43605359317905E-4</v>
      </c>
    </row>
    <row r="96" spans="1:11" ht="15.75" customHeight="1">
      <c r="A96" s="224" t="s">
        <v>310</v>
      </c>
      <c r="B96" s="183" t="s">
        <v>389</v>
      </c>
      <c r="C96" s="183">
        <v>1134</v>
      </c>
      <c r="D96" s="184" t="s">
        <v>146</v>
      </c>
      <c r="E96" s="184" t="s">
        <v>146</v>
      </c>
      <c r="F96" s="185">
        <v>78</v>
      </c>
      <c r="G96" s="228"/>
      <c r="H96" s="236">
        <v>1002</v>
      </c>
      <c r="I96" s="226"/>
      <c r="J96" s="180">
        <f>+SUM(C96:I96)</f>
        <v>2214</v>
      </c>
      <c r="K96" s="181">
        <f t="shared" si="12"/>
        <v>0.53934226552984166</v>
      </c>
    </row>
    <row r="97" spans="1:11" ht="15.75" customHeight="1">
      <c r="A97" s="224" t="s">
        <v>310</v>
      </c>
      <c r="B97" s="184" t="s">
        <v>390</v>
      </c>
      <c r="C97" s="186">
        <v>24</v>
      </c>
      <c r="D97" s="186" t="s">
        <v>146</v>
      </c>
      <c r="E97" s="186" t="s">
        <v>146</v>
      </c>
      <c r="F97" s="185" t="s">
        <v>146</v>
      </c>
      <c r="G97" s="228"/>
      <c r="H97" s="236"/>
      <c r="I97" s="226"/>
      <c r="J97" s="180">
        <f>+SUM(C97:I97)</f>
        <v>24</v>
      </c>
      <c r="K97" s="181">
        <f t="shared" si="12"/>
        <v>5.8465286236297201E-3</v>
      </c>
    </row>
    <row r="98" spans="1:11" ht="15.75" customHeight="1">
      <c r="B98" s="182"/>
      <c r="C98" s="182"/>
      <c r="D98" s="182"/>
      <c r="E98" s="182"/>
      <c r="F98" s="182"/>
      <c r="G98" s="182"/>
      <c r="H98" s="182"/>
      <c r="I98" s="182"/>
    </row>
    <row r="99" spans="1:11" ht="15.75" customHeight="1"/>
    <row r="100" spans="1:11" ht="15.75" customHeight="1"/>
    <row r="101" spans="1:11" ht="15.75" customHeight="1"/>
    <row r="102" spans="1:11" ht="15.75" customHeight="1"/>
    <row r="103" spans="1:11" ht="15.75" customHeight="1"/>
    <row r="104" spans="1:11" ht="15.75" customHeight="1"/>
    <row r="105" spans="1:11" ht="15.75" customHeight="1"/>
    <row r="106" spans="1:11" ht="15.75" customHeight="1"/>
    <row r="107" spans="1:11" ht="15.75" customHeight="1"/>
    <row r="108" spans="1:11" ht="15.75" customHeight="1"/>
    <row r="109" spans="1:11" ht="15.75" customHeight="1"/>
    <row r="110" spans="1:11" ht="15.75" customHeight="1"/>
    <row r="111" spans="1:11" ht="15.75" customHeight="1"/>
    <row r="112" spans="1:11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autoFilter ref="A20:P97" xr:uid="{00000000-0001-0000-0500-000000000000}">
    <sortState xmlns:xlrd2="http://schemas.microsoft.com/office/spreadsheetml/2017/richdata2" ref="A21:P97">
      <sortCondition ref="A20:A97"/>
    </sortState>
  </autoFilter>
  <mergeCells count="5">
    <mergeCell ref="L5:P5"/>
    <mergeCell ref="C2:I2"/>
    <mergeCell ref="C3:I3"/>
    <mergeCell ref="C4:I4"/>
    <mergeCell ref="K16:K17"/>
  </mergeCells>
  <hyperlinks>
    <hyperlink ref="C5" r:id="rId1" xr:uid="{00000000-0004-0000-0500-000000000000}"/>
  </hyperlinks>
  <pageMargins left="0.7" right="0.7" top="0.75" bottom="0.75" header="0" footer="0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J104"/>
  <sheetViews>
    <sheetView showGridLines="0" tabSelected="1" workbookViewId="0">
      <selection activeCell="C6" sqref="C6:CI6"/>
    </sheetView>
  </sheetViews>
  <sheetFormatPr defaultColWidth="11.42578125" defaultRowHeight="12.75"/>
  <cols>
    <col min="1" max="1" width="11.42578125" style="1"/>
    <col min="2" max="2" width="35" style="1" customWidth="1"/>
    <col min="3" max="16384" width="11.42578125" style="1"/>
  </cols>
  <sheetData>
    <row r="1" spans="1:88">
      <c r="E1" s="334" t="s">
        <v>70</v>
      </c>
      <c r="F1" s="334"/>
      <c r="G1" s="334"/>
      <c r="H1" s="334"/>
      <c r="I1" s="334"/>
      <c r="J1" s="334"/>
      <c r="K1" s="334"/>
      <c r="L1" s="334"/>
      <c r="M1" s="334"/>
      <c r="N1" s="334"/>
      <c r="O1" s="334"/>
    </row>
    <row r="2" spans="1:88" ht="15">
      <c r="E2" s="334" t="s">
        <v>71</v>
      </c>
      <c r="F2" s="334"/>
      <c r="G2" s="334"/>
      <c r="H2" s="334"/>
      <c r="I2" s="334"/>
      <c r="J2" s="334"/>
      <c r="K2" s="334"/>
      <c r="L2" s="334"/>
      <c r="M2" s="334"/>
      <c r="N2" s="334"/>
      <c r="O2"/>
    </row>
    <row r="3" spans="1:88">
      <c r="E3" s="335" t="s">
        <v>391</v>
      </c>
      <c r="F3" s="335"/>
      <c r="G3" s="335"/>
      <c r="H3" s="335"/>
      <c r="I3" s="335"/>
      <c r="J3" s="335"/>
      <c r="K3" s="335"/>
      <c r="L3" s="335"/>
      <c r="M3" s="335"/>
      <c r="N3" s="335"/>
      <c r="O3" s="335"/>
    </row>
    <row r="5" spans="1:88"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  <c r="AA5" s="163"/>
      <c r="AB5" s="163"/>
      <c r="AC5" s="163"/>
      <c r="AD5" s="163"/>
      <c r="AE5" s="163"/>
      <c r="AF5" s="163"/>
      <c r="AG5" s="163"/>
      <c r="AH5" s="163"/>
      <c r="AI5" s="163"/>
      <c r="AJ5" s="163"/>
      <c r="AK5" s="163"/>
      <c r="AL5" s="163"/>
      <c r="AM5" s="163"/>
      <c r="AN5" s="163"/>
      <c r="AO5" s="163"/>
      <c r="AP5" s="163"/>
      <c r="AQ5" s="163"/>
      <c r="AR5" s="163"/>
      <c r="AS5" s="163"/>
      <c r="AT5" s="163"/>
      <c r="AU5" s="163"/>
      <c r="AV5" s="163"/>
      <c r="AW5" s="163"/>
      <c r="AX5" s="163"/>
      <c r="AY5" s="163"/>
      <c r="AZ5" s="163"/>
      <c r="BA5" s="163"/>
      <c r="BB5" s="163"/>
      <c r="BC5" s="163"/>
      <c r="BD5" s="163"/>
      <c r="BE5" s="163"/>
      <c r="BF5" s="163"/>
      <c r="BG5" s="163"/>
      <c r="BH5" s="163"/>
      <c r="BI5" s="163"/>
      <c r="BJ5" s="163"/>
      <c r="BK5" s="163"/>
      <c r="BL5" s="163"/>
      <c r="BM5" s="163"/>
      <c r="BN5" s="163"/>
      <c r="BO5" s="163"/>
      <c r="BP5" s="163"/>
      <c r="BQ5" s="163"/>
      <c r="BR5" s="163"/>
      <c r="BS5" s="163"/>
      <c r="BT5" s="163"/>
      <c r="BU5" s="163"/>
      <c r="BV5" s="163"/>
      <c r="BW5" s="163"/>
      <c r="BX5" s="163"/>
      <c r="BY5" s="163"/>
      <c r="BZ5" s="163"/>
      <c r="CA5" s="163"/>
      <c r="CB5" s="163"/>
      <c r="CC5" s="163"/>
      <c r="CD5" s="163"/>
      <c r="CE5" s="163"/>
      <c r="CF5" s="163"/>
      <c r="CG5" s="163"/>
      <c r="CH5" s="163"/>
      <c r="CI5" s="163"/>
    </row>
    <row r="6" spans="1:88" ht="121.5">
      <c r="A6" s="163"/>
      <c r="B6" s="206" t="s">
        <v>392</v>
      </c>
      <c r="C6" s="204" t="s">
        <v>393</v>
      </c>
      <c r="D6" s="290" t="s">
        <v>394</v>
      </c>
      <c r="E6" s="286" t="s">
        <v>395</v>
      </c>
      <c r="F6" s="286" t="s">
        <v>396</v>
      </c>
      <c r="G6" s="286" t="s">
        <v>397</v>
      </c>
      <c r="H6" s="290" t="s">
        <v>398</v>
      </c>
      <c r="I6" s="205" t="s">
        <v>399</v>
      </c>
      <c r="J6" s="205" t="s">
        <v>400</v>
      </c>
      <c r="K6" s="205" t="s">
        <v>401</v>
      </c>
      <c r="L6" s="286" t="s">
        <v>402</v>
      </c>
      <c r="M6" s="286" t="s">
        <v>403</v>
      </c>
      <c r="N6" s="286" t="s">
        <v>404</v>
      </c>
      <c r="O6" s="287" t="s">
        <v>405</v>
      </c>
      <c r="P6" s="287" t="s">
        <v>406</v>
      </c>
      <c r="Q6" s="287" t="s">
        <v>407</v>
      </c>
      <c r="R6" s="286" t="s">
        <v>408</v>
      </c>
      <c r="S6" s="286" t="s">
        <v>409</v>
      </c>
      <c r="T6" s="287" t="s">
        <v>410</v>
      </c>
      <c r="U6" s="286" t="s">
        <v>411</v>
      </c>
      <c r="V6" s="286" t="s">
        <v>412</v>
      </c>
      <c r="W6" s="287" t="s">
        <v>413</v>
      </c>
      <c r="X6" s="286" t="s">
        <v>414</v>
      </c>
      <c r="Y6" s="286" t="s">
        <v>415</v>
      </c>
      <c r="Z6" s="287" t="s">
        <v>416</v>
      </c>
      <c r="AA6" s="287" t="s">
        <v>417</v>
      </c>
      <c r="AB6" s="286" t="s">
        <v>418</v>
      </c>
      <c r="AC6" s="287" t="s">
        <v>419</v>
      </c>
      <c r="AD6" s="287" t="s">
        <v>420</v>
      </c>
      <c r="AE6" s="206" t="s">
        <v>421</v>
      </c>
      <c r="AF6" s="287" t="s">
        <v>422</v>
      </c>
      <c r="AG6" s="287" t="s">
        <v>423</v>
      </c>
      <c r="AH6" s="287" t="s">
        <v>424</v>
      </c>
      <c r="AI6" s="286" t="s">
        <v>425</v>
      </c>
      <c r="AJ6" s="286" t="s">
        <v>426</v>
      </c>
      <c r="AK6" s="287" t="s">
        <v>427</v>
      </c>
      <c r="AL6" s="287" t="s">
        <v>428</v>
      </c>
      <c r="AM6" s="286" t="s">
        <v>429</v>
      </c>
      <c r="AN6" s="286" t="s">
        <v>241</v>
      </c>
      <c r="AO6" s="286" t="s">
        <v>430</v>
      </c>
      <c r="AP6" s="286" t="s">
        <v>431</v>
      </c>
      <c r="AQ6" s="287" t="s">
        <v>432</v>
      </c>
      <c r="AR6" s="286" t="s">
        <v>433</v>
      </c>
      <c r="AS6" s="287" t="s">
        <v>434</v>
      </c>
      <c r="AT6" s="286" t="s">
        <v>435</v>
      </c>
      <c r="AU6" s="286" t="s">
        <v>436</v>
      </c>
      <c r="AV6" s="286" t="s">
        <v>437</v>
      </c>
      <c r="AW6" s="286" t="s">
        <v>438</v>
      </c>
      <c r="AX6" s="286" t="s">
        <v>439</v>
      </c>
      <c r="AY6" s="287" t="s">
        <v>440</v>
      </c>
      <c r="AZ6" s="286" t="s">
        <v>441</v>
      </c>
      <c r="BA6" s="286" t="s">
        <v>442</v>
      </c>
      <c r="BB6" s="286" t="s">
        <v>204</v>
      </c>
      <c r="BC6" s="286" t="s">
        <v>205</v>
      </c>
      <c r="BD6" s="286" t="s">
        <v>443</v>
      </c>
      <c r="BE6" s="286" t="s">
        <v>444</v>
      </c>
      <c r="BF6" s="287" t="s">
        <v>445</v>
      </c>
      <c r="BG6" s="286" t="s">
        <v>446</v>
      </c>
      <c r="BH6" s="286" t="s">
        <v>447</v>
      </c>
      <c r="BI6" s="287" t="s">
        <v>448</v>
      </c>
      <c r="BJ6" s="287" t="s">
        <v>449</v>
      </c>
      <c r="BK6" s="287" t="s">
        <v>450</v>
      </c>
      <c r="BL6" s="287" t="s">
        <v>451</v>
      </c>
      <c r="BM6" s="286" t="s">
        <v>452</v>
      </c>
      <c r="BN6" s="287" t="s">
        <v>453</v>
      </c>
      <c r="BO6" s="287" t="s">
        <v>454</v>
      </c>
      <c r="BP6" s="286" t="s">
        <v>455</v>
      </c>
      <c r="BQ6" s="287" t="s">
        <v>456</v>
      </c>
      <c r="BR6" s="287" t="s">
        <v>457</v>
      </c>
      <c r="BS6" s="286" t="s">
        <v>458</v>
      </c>
      <c r="BT6" s="286" t="s">
        <v>459</v>
      </c>
      <c r="BU6" s="287" t="s">
        <v>460</v>
      </c>
      <c r="BV6" s="286" t="s">
        <v>461</v>
      </c>
      <c r="BW6" s="287" t="s">
        <v>462</v>
      </c>
      <c r="BX6" s="286" t="s">
        <v>463</v>
      </c>
      <c r="BY6" s="287" t="s">
        <v>464</v>
      </c>
      <c r="BZ6" s="287" t="s">
        <v>465</v>
      </c>
      <c r="CA6" s="286" t="s">
        <v>466</v>
      </c>
      <c r="CB6" s="286" t="s">
        <v>467</v>
      </c>
      <c r="CC6" s="286" t="s">
        <v>468</v>
      </c>
      <c r="CD6" s="286" t="s">
        <v>469</v>
      </c>
      <c r="CE6" s="287" t="s">
        <v>470</v>
      </c>
      <c r="CF6" s="286" t="s">
        <v>471</v>
      </c>
      <c r="CG6" s="286" t="s">
        <v>472</v>
      </c>
      <c r="CH6" s="287" t="s">
        <v>473</v>
      </c>
      <c r="CI6" s="287" t="s">
        <v>474</v>
      </c>
      <c r="CJ6" s="163"/>
    </row>
    <row r="7" spans="1:88" s="231" customFormat="1" ht="15">
      <c r="A7" s="229"/>
      <c r="B7" s="230" t="s">
        <v>475</v>
      </c>
      <c r="C7" s="213" t="s">
        <v>193</v>
      </c>
      <c r="D7" s="213"/>
      <c r="E7" s="213"/>
      <c r="F7" s="213"/>
      <c r="G7" s="213" t="s">
        <v>193</v>
      </c>
      <c r="H7" s="213"/>
      <c r="I7" s="213" t="s">
        <v>193</v>
      </c>
      <c r="J7" s="213" t="s">
        <v>193</v>
      </c>
      <c r="K7" s="213"/>
      <c r="L7" s="213"/>
      <c r="M7" s="213"/>
      <c r="N7" s="213"/>
      <c r="O7" s="213" t="s">
        <v>193</v>
      </c>
      <c r="P7" s="213" t="s">
        <v>193</v>
      </c>
      <c r="Q7" s="213" t="s">
        <v>193</v>
      </c>
      <c r="R7" s="213" t="s">
        <v>193</v>
      </c>
      <c r="S7" s="213" t="s">
        <v>193</v>
      </c>
      <c r="T7" s="213" t="s">
        <v>193</v>
      </c>
      <c r="U7" s="213" t="s">
        <v>193</v>
      </c>
      <c r="V7" s="213" t="s">
        <v>193</v>
      </c>
      <c r="W7" s="213" t="s">
        <v>193</v>
      </c>
      <c r="X7" s="213" t="s">
        <v>193</v>
      </c>
      <c r="Y7" s="213"/>
      <c r="Z7" s="213" t="s">
        <v>193</v>
      </c>
      <c r="AA7" s="213" t="s">
        <v>193</v>
      </c>
      <c r="AB7" s="213" t="s">
        <v>193</v>
      </c>
      <c r="AC7" s="213"/>
      <c r="AD7" s="213" t="s">
        <v>193</v>
      </c>
      <c r="AE7" s="213"/>
      <c r="AF7" s="213" t="s">
        <v>193</v>
      </c>
      <c r="AG7" s="213"/>
      <c r="AH7" s="213"/>
      <c r="AI7" s="213" t="s">
        <v>193</v>
      </c>
      <c r="AJ7" s="213"/>
      <c r="AK7" s="213"/>
      <c r="AL7" s="213"/>
      <c r="AM7" s="213"/>
      <c r="AN7" s="213"/>
      <c r="AO7" s="213" t="s">
        <v>193</v>
      </c>
      <c r="AP7" s="213"/>
      <c r="AQ7" s="213"/>
      <c r="AR7" s="213" t="s">
        <v>193</v>
      </c>
      <c r="AS7" s="213" t="s">
        <v>193</v>
      </c>
      <c r="AT7" s="213"/>
      <c r="AU7" s="213" t="s">
        <v>193</v>
      </c>
      <c r="AV7" s="213" t="s">
        <v>193</v>
      </c>
      <c r="AW7" s="213"/>
      <c r="AX7" s="213" t="s">
        <v>193</v>
      </c>
      <c r="AY7" s="213" t="s">
        <v>476</v>
      </c>
      <c r="AZ7" s="213"/>
      <c r="BA7" s="213" t="s">
        <v>193</v>
      </c>
      <c r="BB7" s="213" t="s">
        <v>193</v>
      </c>
      <c r="BC7" s="213" t="s">
        <v>193</v>
      </c>
      <c r="BD7" s="213" t="s">
        <v>193</v>
      </c>
      <c r="BE7" s="213"/>
      <c r="BF7" s="213" t="s">
        <v>193</v>
      </c>
      <c r="BG7" s="213" t="s">
        <v>193</v>
      </c>
      <c r="BH7" s="213" t="s">
        <v>193</v>
      </c>
      <c r="BI7" s="213"/>
      <c r="BJ7" s="213"/>
      <c r="BK7" s="213" t="s">
        <v>193</v>
      </c>
      <c r="BL7" s="213" t="s">
        <v>193</v>
      </c>
      <c r="BM7" s="213"/>
      <c r="BN7" s="213" t="s">
        <v>193</v>
      </c>
      <c r="BO7" s="213" t="s">
        <v>193</v>
      </c>
      <c r="BP7" s="213" t="s">
        <v>193</v>
      </c>
      <c r="BQ7" s="213" t="s">
        <v>193</v>
      </c>
      <c r="BR7" s="213" t="s">
        <v>193</v>
      </c>
      <c r="BS7" s="213" t="s">
        <v>193</v>
      </c>
      <c r="BT7" s="213" t="s">
        <v>193</v>
      </c>
      <c r="BU7" s="213" t="s">
        <v>193</v>
      </c>
      <c r="BV7" s="213"/>
      <c r="BW7" s="213"/>
      <c r="BX7" s="213"/>
      <c r="BY7" s="213"/>
      <c r="BZ7" s="213"/>
      <c r="CA7" s="213"/>
      <c r="CB7" s="213"/>
      <c r="CC7" s="213"/>
      <c r="CD7" s="213"/>
      <c r="CE7" s="213"/>
      <c r="CF7" s="213"/>
      <c r="CG7" s="213"/>
      <c r="CH7" s="213"/>
      <c r="CI7" s="213"/>
      <c r="CJ7" s="229"/>
    </row>
    <row r="8" spans="1:88" ht="15">
      <c r="A8" s="163"/>
      <c r="B8" s="209" t="s">
        <v>477</v>
      </c>
      <c r="C8" s="211" t="s">
        <v>193</v>
      </c>
      <c r="D8" s="211"/>
      <c r="E8" s="211"/>
      <c r="F8" s="211"/>
      <c r="G8" s="211" t="s">
        <v>193</v>
      </c>
      <c r="H8" s="211"/>
      <c r="I8" s="211" t="s">
        <v>193</v>
      </c>
      <c r="J8" s="211" t="s">
        <v>193</v>
      </c>
      <c r="K8" s="210"/>
      <c r="L8" s="210"/>
      <c r="M8" s="211"/>
      <c r="N8" s="211"/>
      <c r="O8" s="211" t="s">
        <v>193</v>
      </c>
      <c r="P8" s="211" t="s">
        <v>193</v>
      </c>
      <c r="Q8" s="211" t="s">
        <v>193</v>
      </c>
      <c r="R8" s="211" t="s">
        <v>193</v>
      </c>
      <c r="S8" s="211" t="s">
        <v>193</v>
      </c>
      <c r="T8" s="211" t="s">
        <v>193</v>
      </c>
      <c r="U8" s="211" t="s">
        <v>193</v>
      </c>
      <c r="V8" s="211" t="s">
        <v>193</v>
      </c>
      <c r="W8" s="211" t="s">
        <v>193</v>
      </c>
      <c r="X8" s="211" t="s">
        <v>193</v>
      </c>
      <c r="Y8" s="211"/>
      <c r="Z8" s="211" t="s">
        <v>193</v>
      </c>
      <c r="AA8" s="211" t="s">
        <v>193</v>
      </c>
      <c r="AB8" s="211"/>
      <c r="AC8" s="211"/>
      <c r="AD8" s="211"/>
      <c r="AE8" s="211"/>
      <c r="AF8" s="211" t="s">
        <v>193</v>
      </c>
      <c r="AG8" s="211"/>
      <c r="AH8" s="211"/>
      <c r="AI8" s="211" t="s">
        <v>193</v>
      </c>
      <c r="AJ8" s="211"/>
      <c r="AK8" s="211"/>
      <c r="AL8" s="211"/>
      <c r="AM8" s="211"/>
      <c r="AN8" s="211"/>
      <c r="AO8" s="211" t="s">
        <v>193</v>
      </c>
      <c r="AP8" s="211"/>
      <c r="AQ8" s="211"/>
      <c r="AR8" s="211" t="s">
        <v>193</v>
      </c>
      <c r="AS8" s="211" t="s">
        <v>193</v>
      </c>
      <c r="AT8" s="211"/>
      <c r="AU8" s="211" t="s">
        <v>193</v>
      </c>
      <c r="AV8" s="211" t="s">
        <v>193</v>
      </c>
      <c r="AW8" s="211"/>
      <c r="AX8" s="211" t="s">
        <v>193</v>
      </c>
      <c r="AY8" s="211" t="s">
        <v>193</v>
      </c>
      <c r="AZ8" s="211"/>
      <c r="BA8" s="211" t="s">
        <v>193</v>
      </c>
      <c r="BB8" s="211" t="s">
        <v>193</v>
      </c>
      <c r="BC8" s="211" t="s">
        <v>193</v>
      </c>
      <c r="BD8" s="211" t="s">
        <v>193</v>
      </c>
      <c r="BE8" s="211"/>
      <c r="BF8" s="211" t="s">
        <v>193</v>
      </c>
      <c r="BG8" s="211" t="s">
        <v>193</v>
      </c>
      <c r="BH8" s="211" t="s">
        <v>193</v>
      </c>
      <c r="BI8" s="211"/>
      <c r="BJ8" s="211"/>
      <c r="BK8" s="211" t="s">
        <v>193</v>
      </c>
      <c r="BL8" s="211" t="s">
        <v>193</v>
      </c>
      <c r="BM8" s="211"/>
      <c r="BN8" s="211" t="s">
        <v>193</v>
      </c>
      <c r="BO8" s="211" t="s">
        <v>193</v>
      </c>
      <c r="BP8" s="211" t="s">
        <v>193</v>
      </c>
      <c r="BQ8" s="211" t="s">
        <v>193</v>
      </c>
      <c r="BR8" s="211" t="s">
        <v>193</v>
      </c>
      <c r="BS8" s="211" t="s">
        <v>193</v>
      </c>
      <c r="BT8" s="211" t="s">
        <v>193</v>
      </c>
      <c r="BU8" s="211" t="s">
        <v>193</v>
      </c>
      <c r="BV8" s="211" t="s">
        <v>193</v>
      </c>
      <c r="BW8" s="211" t="s">
        <v>193</v>
      </c>
      <c r="BX8" s="211" t="s">
        <v>193</v>
      </c>
      <c r="BY8" s="211"/>
      <c r="BZ8" s="211" t="s">
        <v>193</v>
      </c>
      <c r="CA8" s="211"/>
      <c r="CB8" s="211" t="s">
        <v>193</v>
      </c>
      <c r="CC8" s="211" t="s">
        <v>193</v>
      </c>
      <c r="CD8" s="211" t="s">
        <v>193</v>
      </c>
      <c r="CE8" s="211" t="s">
        <v>193</v>
      </c>
      <c r="CF8" s="211"/>
      <c r="CG8" s="211" t="s">
        <v>193</v>
      </c>
      <c r="CH8" s="211"/>
      <c r="CI8" s="211" t="s">
        <v>193</v>
      </c>
      <c r="CJ8" s="163"/>
    </row>
    <row r="9" spans="1:88" ht="21.75" customHeight="1">
      <c r="A9" s="163"/>
      <c r="B9" s="209" t="s">
        <v>478</v>
      </c>
      <c r="C9" s="211" t="s">
        <v>193</v>
      </c>
      <c r="D9" s="211"/>
      <c r="E9" s="211"/>
      <c r="F9" s="211"/>
      <c r="G9" s="211" t="s">
        <v>193</v>
      </c>
      <c r="H9" s="211"/>
      <c r="I9" s="211" t="s">
        <v>193</v>
      </c>
      <c r="J9" s="211" t="s">
        <v>193</v>
      </c>
      <c r="K9" s="210"/>
      <c r="L9" s="210"/>
      <c r="M9" s="211"/>
      <c r="N9" s="211"/>
      <c r="O9" s="211" t="s">
        <v>193</v>
      </c>
      <c r="P9" s="211" t="s">
        <v>193</v>
      </c>
      <c r="Q9" s="211" t="s">
        <v>193</v>
      </c>
      <c r="R9" s="211" t="s">
        <v>193</v>
      </c>
      <c r="S9" s="211" t="s">
        <v>193</v>
      </c>
      <c r="T9" s="211" t="s">
        <v>193</v>
      </c>
      <c r="U9" s="211" t="s">
        <v>193</v>
      </c>
      <c r="V9" s="211" t="s">
        <v>193</v>
      </c>
      <c r="W9" s="211" t="s">
        <v>193</v>
      </c>
      <c r="X9" s="211" t="s">
        <v>193</v>
      </c>
      <c r="Y9" s="211"/>
      <c r="Z9" s="211" t="s">
        <v>193</v>
      </c>
      <c r="AA9" s="211" t="s">
        <v>193</v>
      </c>
      <c r="AB9" s="211"/>
      <c r="AC9" s="211"/>
      <c r="AD9" s="211"/>
      <c r="AE9" s="211"/>
      <c r="AF9" s="211" t="s">
        <v>193</v>
      </c>
      <c r="AG9" s="211"/>
      <c r="AH9" s="211"/>
      <c r="AI9" s="211" t="s">
        <v>193</v>
      </c>
      <c r="AJ9" s="211"/>
      <c r="AK9" s="211"/>
      <c r="AL9" s="211"/>
      <c r="AM9" s="211"/>
      <c r="AN9" s="211"/>
      <c r="AO9" s="211" t="s">
        <v>193</v>
      </c>
      <c r="AP9" s="211"/>
      <c r="AQ9" s="211"/>
      <c r="AR9" s="211" t="s">
        <v>193</v>
      </c>
      <c r="AS9" s="211" t="s">
        <v>193</v>
      </c>
      <c r="AT9" s="211"/>
      <c r="AU9" s="211" t="s">
        <v>193</v>
      </c>
      <c r="AV9" s="211" t="s">
        <v>193</v>
      </c>
      <c r="AW9" s="211"/>
      <c r="AX9" s="211" t="s">
        <v>193</v>
      </c>
      <c r="AY9" s="211" t="s">
        <v>193</v>
      </c>
      <c r="AZ9" s="211"/>
      <c r="BA9" s="211" t="s">
        <v>193</v>
      </c>
      <c r="BB9" s="211" t="s">
        <v>193</v>
      </c>
      <c r="BC9" s="211" t="s">
        <v>193</v>
      </c>
      <c r="BD9" s="211" t="s">
        <v>193</v>
      </c>
      <c r="BE9" s="211"/>
      <c r="BF9" s="211" t="s">
        <v>193</v>
      </c>
      <c r="BG9" s="211" t="s">
        <v>193</v>
      </c>
      <c r="BH9" s="211" t="s">
        <v>193</v>
      </c>
      <c r="BI9" s="211"/>
      <c r="BJ9" s="211"/>
      <c r="BK9" s="211" t="s">
        <v>193</v>
      </c>
      <c r="BL9" s="211" t="s">
        <v>193</v>
      </c>
      <c r="BM9" s="211"/>
      <c r="BN9" s="211" t="s">
        <v>193</v>
      </c>
      <c r="BO9" s="211" t="s">
        <v>193</v>
      </c>
      <c r="BP9" s="211" t="s">
        <v>193</v>
      </c>
      <c r="BQ9" s="211" t="s">
        <v>193</v>
      </c>
      <c r="BR9" s="211" t="s">
        <v>193</v>
      </c>
      <c r="BS9" s="211" t="s">
        <v>193</v>
      </c>
      <c r="BT9" s="211" t="s">
        <v>193</v>
      </c>
      <c r="BU9" s="211" t="s">
        <v>193</v>
      </c>
      <c r="BV9" s="211" t="s">
        <v>193</v>
      </c>
      <c r="BW9" s="211" t="s">
        <v>193</v>
      </c>
      <c r="BX9" s="211" t="s">
        <v>193</v>
      </c>
      <c r="BY9" s="211"/>
      <c r="BZ9" s="211" t="s">
        <v>193</v>
      </c>
      <c r="CA9" s="211"/>
      <c r="CB9" s="211" t="s">
        <v>193</v>
      </c>
      <c r="CC9" s="211" t="s">
        <v>193</v>
      </c>
      <c r="CD9" s="211" t="s">
        <v>193</v>
      </c>
      <c r="CE9" s="211" t="s">
        <v>193</v>
      </c>
      <c r="CF9" s="211"/>
      <c r="CG9" s="211" t="s">
        <v>193</v>
      </c>
      <c r="CH9" s="211"/>
      <c r="CI9" s="211" t="s">
        <v>193</v>
      </c>
      <c r="CJ9" s="163"/>
    </row>
    <row r="10" spans="1:88" ht="21.75" customHeight="1">
      <c r="A10" s="163"/>
      <c r="B10" s="209" t="s">
        <v>479</v>
      </c>
      <c r="C10" s="211" t="s">
        <v>193</v>
      </c>
      <c r="D10" s="211"/>
      <c r="E10" s="211"/>
      <c r="F10" s="211"/>
      <c r="G10" s="211" t="s">
        <v>193</v>
      </c>
      <c r="H10" s="211"/>
      <c r="I10" s="211" t="s">
        <v>193</v>
      </c>
      <c r="J10" s="211" t="s">
        <v>193</v>
      </c>
      <c r="K10" s="210"/>
      <c r="L10" s="210"/>
      <c r="M10" s="211"/>
      <c r="N10" s="211"/>
      <c r="O10" s="211" t="s">
        <v>193</v>
      </c>
      <c r="P10" s="211" t="s">
        <v>193</v>
      </c>
      <c r="Q10" s="211" t="s">
        <v>193</v>
      </c>
      <c r="R10" s="211" t="s">
        <v>193</v>
      </c>
      <c r="S10" s="211" t="s">
        <v>193</v>
      </c>
      <c r="T10" s="211" t="s">
        <v>193</v>
      </c>
      <c r="U10" s="211" t="s">
        <v>193</v>
      </c>
      <c r="V10" s="211" t="s">
        <v>193</v>
      </c>
      <c r="W10" s="211" t="s">
        <v>193</v>
      </c>
      <c r="X10" s="211" t="s">
        <v>193</v>
      </c>
      <c r="Y10" s="211"/>
      <c r="Z10" s="211" t="s">
        <v>193</v>
      </c>
      <c r="AA10" s="211" t="s">
        <v>193</v>
      </c>
      <c r="AB10" s="211"/>
      <c r="AC10" s="211"/>
      <c r="AD10" s="211"/>
      <c r="AE10" s="211"/>
      <c r="AF10" s="211" t="s">
        <v>193</v>
      </c>
      <c r="AG10" s="211"/>
      <c r="AH10" s="211"/>
      <c r="AI10" s="211" t="s">
        <v>193</v>
      </c>
      <c r="AJ10" s="211"/>
      <c r="AK10" s="211"/>
      <c r="AL10" s="211"/>
      <c r="AM10" s="211"/>
      <c r="AN10" s="211"/>
      <c r="AO10" s="211" t="s">
        <v>193</v>
      </c>
      <c r="AP10" s="211"/>
      <c r="AQ10" s="211"/>
      <c r="AR10" s="211" t="s">
        <v>193</v>
      </c>
      <c r="AS10" s="211" t="s">
        <v>193</v>
      </c>
      <c r="AT10" s="211"/>
      <c r="AU10" s="211" t="s">
        <v>193</v>
      </c>
      <c r="AV10" s="211" t="s">
        <v>193</v>
      </c>
      <c r="AW10" s="211"/>
      <c r="AX10" s="211" t="s">
        <v>193</v>
      </c>
      <c r="AY10" s="211" t="s">
        <v>193</v>
      </c>
      <c r="AZ10" s="211"/>
      <c r="BA10" s="211" t="s">
        <v>193</v>
      </c>
      <c r="BB10" s="211" t="s">
        <v>193</v>
      </c>
      <c r="BC10" s="211" t="s">
        <v>193</v>
      </c>
      <c r="BD10" s="211" t="s">
        <v>193</v>
      </c>
      <c r="BE10" s="211"/>
      <c r="BF10" s="211" t="s">
        <v>193</v>
      </c>
      <c r="BG10" s="211" t="s">
        <v>193</v>
      </c>
      <c r="BH10" s="211" t="s">
        <v>193</v>
      </c>
      <c r="BI10" s="211"/>
      <c r="BJ10" s="211"/>
      <c r="BK10" s="211" t="s">
        <v>193</v>
      </c>
      <c r="BL10" s="211" t="s">
        <v>193</v>
      </c>
      <c r="BM10" s="211"/>
      <c r="BN10" s="211" t="s">
        <v>193</v>
      </c>
      <c r="BO10" s="211" t="s">
        <v>193</v>
      </c>
      <c r="BP10" s="211" t="s">
        <v>193</v>
      </c>
      <c r="BQ10" s="211" t="s">
        <v>193</v>
      </c>
      <c r="BR10" s="211" t="s">
        <v>193</v>
      </c>
      <c r="BS10" s="211" t="s">
        <v>193</v>
      </c>
      <c r="BT10" s="211" t="s">
        <v>193</v>
      </c>
      <c r="BU10" s="211" t="s">
        <v>193</v>
      </c>
      <c r="BV10" s="211" t="s">
        <v>193</v>
      </c>
      <c r="BW10" s="211" t="s">
        <v>193</v>
      </c>
      <c r="BX10" s="211" t="s">
        <v>193</v>
      </c>
      <c r="BY10" s="211"/>
      <c r="BZ10" s="211" t="s">
        <v>193</v>
      </c>
      <c r="CA10" s="211"/>
      <c r="CB10" s="211" t="s">
        <v>193</v>
      </c>
      <c r="CC10" s="211" t="s">
        <v>193</v>
      </c>
      <c r="CD10" s="211" t="s">
        <v>193</v>
      </c>
      <c r="CE10" s="211"/>
      <c r="CF10" s="211"/>
      <c r="CG10" s="211" t="s">
        <v>193</v>
      </c>
      <c r="CH10" s="211"/>
      <c r="CI10" s="211" t="s">
        <v>193</v>
      </c>
      <c r="CJ10" s="163"/>
    </row>
    <row r="11" spans="1:88" ht="21.75" customHeight="1">
      <c r="A11" s="163"/>
      <c r="B11" s="212" t="s">
        <v>480</v>
      </c>
      <c r="C11" s="211" t="s">
        <v>193</v>
      </c>
      <c r="D11" s="211"/>
      <c r="E11" s="211"/>
      <c r="F11" s="211"/>
      <c r="G11" s="211" t="s">
        <v>193</v>
      </c>
      <c r="H11" s="211"/>
      <c r="I11" s="211" t="s">
        <v>193</v>
      </c>
      <c r="J11" s="211" t="s">
        <v>193</v>
      </c>
      <c r="K11" s="210"/>
      <c r="L11" s="210"/>
      <c r="M11" s="211"/>
      <c r="N11" s="211"/>
      <c r="O11" s="211" t="s">
        <v>193</v>
      </c>
      <c r="P11" s="211" t="s">
        <v>193</v>
      </c>
      <c r="Q11" s="211" t="s">
        <v>193</v>
      </c>
      <c r="R11" s="211" t="s">
        <v>193</v>
      </c>
      <c r="S11" s="211" t="s">
        <v>193</v>
      </c>
      <c r="T11" s="211" t="s">
        <v>193</v>
      </c>
      <c r="U11" s="211" t="s">
        <v>193</v>
      </c>
      <c r="V11" s="211" t="s">
        <v>193</v>
      </c>
      <c r="W11" s="211" t="s">
        <v>193</v>
      </c>
      <c r="X11" s="211" t="s">
        <v>193</v>
      </c>
      <c r="Y11" s="211"/>
      <c r="Z11" s="211" t="s">
        <v>193</v>
      </c>
      <c r="AA11" s="211" t="s">
        <v>193</v>
      </c>
      <c r="AB11" s="211"/>
      <c r="AC11" s="211"/>
      <c r="AD11" s="211"/>
      <c r="AE11" s="211"/>
      <c r="AF11" s="211" t="s">
        <v>193</v>
      </c>
      <c r="AG11" s="211"/>
      <c r="AH11" s="211"/>
      <c r="AI11" s="211" t="s">
        <v>193</v>
      </c>
      <c r="AJ11" s="211"/>
      <c r="AK11" s="211"/>
      <c r="AL11" s="211"/>
      <c r="AM11" s="211"/>
      <c r="AN11" s="211"/>
      <c r="AO11" s="211" t="s">
        <v>193</v>
      </c>
      <c r="AP11" s="211"/>
      <c r="AQ11" s="211"/>
      <c r="AR11" s="211" t="s">
        <v>193</v>
      </c>
      <c r="AS11" s="211" t="s">
        <v>193</v>
      </c>
      <c r="AT11" s="211"/>
      <c r="AU11" s="211" t="s">
        <v>193</v>
      </c>
      <c r="AV11" s="211" t="s">
        <v>193</v>
      </c>
      <c r="AW11" s="211"/>
      <c r="AX11" s="211" t="s">
        <v>193</v>
      </c>
      <c r="AY11" s="211" t="s">
        <v>193</v>
      </c>
      <c r="AZ11" s="211"/>
      <c r="BA11" s="211"/>
      <c r="BB11" s="211"/>
      <c r="BC11" s="211"/>
      <c r="BD11" s="211" t="s">
        <v>193</v>
      </c>
      <c r="BE11" s="211"/>
      <c r="BF11" s="211" t="s">
        <v>193</v>
      </c>
      <c r="BG11" s="211" t="s">
        <v>193</v>
      </c>
      <c r="BH11" s="211" t="s">
        <v>193</v>
      </c>
      <c r="BI11" s="211"/>
      <c r="BJ11" s="211"/>
      <c r="BK11" s="211" t="s">
        <v>193</v>
      </c>
      <c r="BL11" s="211" t="s">
        <v>193</v>
      </c>
      <c r="BM11" s="211"/>
      <c r="BN11" s="211" t="s">
        <v>193</v>
      </c>
      <c r="BO11" s="211" t="s">
        <v>193</v>
      </c>
      <c r="BP11" s="211" t="s">
        <v>193</v>
      </c>
      <c r="BQ11" s="211" t="s">
        <v>193</v>
      </c>
      <c r="BR11" s="211" t="s">
        <v>193</v>
      </c>
      <c r="BS11" s="211" t="s">
        <v>193</v>
      </c>
      <c r="BT11" s="211" t="s">
        <v>193</v>
      </c>
      <c r="BU11" s="211" t="s">
        <v>193</v>
      </c>
      <c r="BV11" s="211" t="s">
        <v>193</v>
      </c>
      <c r="BW11" s="211" t="s">
        <v>193</v>
      </c>
      <c r="BX11" s="211" t="s">
        <v>193</v>
      </c>
      <c r="BY11" s="211"/>
      <c r="BZ11" s="211" t="s">
        <v>193</v>
      </c>
      <c r="CA11" s="211"/>
      <c r="CB11" s="211" t="s">
        <v>193</v>
      </c>
      <c r="CC11" s="211" t="s">
        <v>193</v>
      </c>
      <c r="CD11" s="211" t="s">
        <v>193</v>
      </c>
      <c r="CE11" s="211"/>
      <c r="CF11" s="211"/>
      <c r="CG11" s="211" t="s">
        <v>193</v>
      </c>
      <c r="CH11" s="211"/>
      <c r="CI11" s="211" t="s">
        <v>193</v>
      </c>
      <c r="CJ11" s="163"/>
    </row>
    <row r="12" spans="1:88" ht="21.75" customHeight="1">
      <c r="A12" s="163"/>
      <c r="B12" s="212" t="s">
        <v>481</v>
      </c>
      <c r="C12" s="211" t="s">
        <v>193</v>
      </c>
      <c r="D12" s="211"/>
      <c r="E12" s="211"/>
      <c r="F12" s="211"/>
      <c r="G12" s="211" t="s">
        <v>193</v>
      </c>
      <c r="H12" s="211"/>
      <c r="I12" s="211" t="s">
        <v>193</v>
      </c>
      <c r="J12" s="211" t="s">
        <v>193</v>
      </c>
      <c r="K12" s="210"/>
      <c r="L12" s="210"/>
      <c r="M12" s="211"/>
      <c r="N12" s="211"/>
      <c r="O12" s="211" t="s">
        <v>193</v>
      </c>
      <c r="P12" s="211" t="s">
        <v>193</v>
      </c>
      <c r="Q12" s="211" t="s">
        <v>193</v>
      </c>
      <c r="R12" s="211" t="s">
        <v>193</v>
      </c>
      <c r="S12" s="211" t="s">
        <v>193</v>
      </c>
      <c r="T12" s="211" t="s">
        <v>193</v>
      </c>
      <c r="U12" s="211" t="s">
        <v>193</v>
      </c>
      <c r="V12" s="211" t="s">
        <v>193</v>
      </c>
      <c r="W12" s="211" t="s">
        <v>193</v>
      </c>
      <c r="X12" s="211" t="s">
        <v>193</v>
      </c>
      <c r="Y12" s="211"/>
      <c r="Z12" s="211" t="s">
        <v>193</v>
      </c>
      <c r="AA12" s="211" t="s">
        <v>193</v>
      </c>
      <c r="AB12" s="211"/>
      <c r="AC12" s="211"/>
      <c r="AD12" s="211"/>
      <c r="AE12" s="211"/>
      <c r="AF12" s="211" t="s">
        <v>193</v>
      </c>
      <c r="AG12" s="211"/>
      <c r="AH12" s="211"/>
      <c r="AI12" s="211" t="s">
        <v>193</v>
      </c>
      <c r="AJ12" s="211"/>
      <c r="AK12" s="211"/>
      <c r="AL12" s="211"/>
      <c r="AM12" s="211"/>
      <c r="AN12" s="211"/>
      <c r="AO12" s="211" t="s">
        <v>193</v>
      </c>
      <c r="AP12" s="211"/>
      <c r="AQ12" s="211"/>
      <c r="AR12" s="211" t="s">
        <v>193</v>
      </c>
      <c r="AS12" s="211" t="s">
        <v>193</v>
      </c>
      <c r="AT12" s="211"/>
      <c r="AU12" s="211" t="s">
        <v>193</v>
      </c>
      <c r="AV12" s="211" t="s">
        <v>193</v>
      </c>
      <c r="AW12" s="211"/>
      <c r="AX12" s="211" t="s">
        <v>193</v>
      </c>
      <c r="AY12" s="211" t="s">
        <v>193</v>
      </c>
      <c r="AZ12" s="211"/>
      <c r="BA12" s="211" t="s">
        <v>193</v>
      </c>
      <c r="BB12" s="211" t="s">
        <v>193</v>
      </c>
      <c r="BC12" s="211" t="s">
        <v>193</v>
      </c>
      <c r="BD12" s="211" t="s">
        <v>193</v>
      </c>
      <c r="BE12" s="211"/>
      <c r="BF12" s="211" t="s">
        <v>193</v>
      </c>
      <c r="BG12" s="211" t="s">
        <v>193</v>
      </c>
      <c r="BH12" s="211" t="s">
        <v>193</v>
      </c>
      <c r="BI12" s="211"/>
      <c r="BJ12" s="211"/>
      <c r="BK12" s="211" t="s">
        <v>193</v>
      </c>
      <c r="BL12" s="211" t="s">
        <v>193</v>
      </c>
      <c r="BM12" s="211"/>
      <c r="BN12" s="211" t="s">
        <v>193</v>
      </c>
      <c r="BO12" s="211" t="s">
        <v>193</v>
      </c>
      <c r="BP12" s="211" t="s">
        <v>193</v>
      </c>
      <c r="BQ12" s="211" t="s">
        <v>193</v>
      </c>
      <c r="BR12" s="211" t="s">
        <v>193</v>
      </c>
      <c r="BS12" s="211" t="s">
        <v>193</v>
      </c>
      <c r="BT12" s="211" t="s">
        <v>193</v>
      </c>
      <c r="BU12" s="211" t="s">
        <v>193</v>
      </c>
      <c r="BV12" s="211" t="s">
        <v>193</v>
      </c>
      <c r="BW12" s="211" t="s">
        <v>193</v>
      </c>
      <c r="BX12" s="211" t="s">
        <v>193</v>
      </c>
      <c r="BY12" s="211"/>
      <c r="BZ12" s="211" t="s">
        <v>193</v>
      </c>
      <c r="CA12" s="211"/>
      <c r="CB12" s="211" t="s">
        <v>193</v>
      </c>
      <c r="CC12" s="211" t="s">
        <v>193</v>
      </c>
      <c r="CD12" s="211" t="s">
        <v>193</v>
      </c>
      <c r="CE12" s="211" t="s">
        <v>193</v>
      </c>
      <c r="CF12" s="211"/>
      <c r="CG12" s="211" t="s">
        <v>193</v>
      </c>
      <c r="CH12" s="211"/>
      <c r="CI12" s="211" t="s">
        <v>193</v>
      </c>
      <c r="CJ12" s="163"/>
    </row>
    <row r="13" spans="1:88" ht="21.75" customHeight="1">
      <c r="A13" s="163"/>
      <c r="B13" s="212" t="s">
        <v>482</v>
      </c>
      <c r="C13" s="211" t="s">
        <v>193</v>
      </c>
      <c r="D13" s="211"/>
      <c r="E13" s="211"/>
      <c r="F13" s="211"/>
      <c r="G13" s="211" t="s">
        <v>193</v>
      </c>
      <c r="H13" s="211"/>
      <c r="I13" s="211" t="s">
        <v>193</v>
      </c>
      <c r="J13" s="211" t="s">
        <v>193</v>
      </c>
      <c r="K13" s="210"/>
      <c r="L13" s="210"/>
      <c r="M13" s="211"/>
      <c r="N13" s="211"/>
      <c r="O13" s="211" t="s">
        <v>193</v>
      </c>
      <c r="P13" s="211" t="s">
        <v>193</v>
      </c>
      <c r="Q13" s="211" t="s">
        <v>193</v>
      </c>
      <c r="R13" s="211" t="s">
        <v>193</v>
      </c>
      <c r="S13" s="211" t="s">
        <v>193</v>
      </c>
      <c r="T13" s="211" t="s">
        <v>193</v>
      </c>
      <c r="U13" s="211" t="s">
        <v>193</v>
      </c>
      <c r="V13" s="211" t="s">
        <v>193</v>
      </c>
      <c r="W13" s="211" t="s">
        <v>193</v>
      </c>
      <c r="X13" s="211" t="s">
        <v>193</v>
      </c>
      <c r="Y13" s="211"/>
      <c r="Z13" s="211" t="s">
        <v>193</v>
      </c>
      <c r="AA13" s="211" t="s">
        <v>193</v>
      </c>
      <c r="AB13" s="211"/>
      <c r="AC13" s="211"/>
      <c r="AD13" s="211"/>
      <c r="AE13" s="211"/>
      <c r="AF13" s="211" t="s">
        <v>193</v>
      </c>
      <c r="AG13" s="211"/>
      <c r="AH13" s="211"/>
      <c r="AI13" s="211" t="s">
        <v>193</v>
      </c>
      <c r="AJ13" s="211"/>
      <c r="AK13" s="211"/>
      <c r="AL13" s="211"/>
      <c r="AM13" s="211"/>
      <c r="AN13" s="211"/>
      <c r="AO13" s="211" t="s">
        <v>193</v>
      </c>
      <c r="AP13" s="211"/>
      <c r="AQ13" s="211"/>
      <c r="AR13" s="211" t="s">
        <v>193</v>
      </c>
      <c r="AS13" s="211" t="s">
        <v>193</v>
      </c>
      <c r="AT13" s="211"/>
      <c r="AU13" s="211" t="s">
        <v>193</v>
      </c>
      <c r="AV13" s="211" t="s">
        <v>193</v>
      </c>
      <c r="AW13" s="211"/>
      <c r="AX13" s="211" t="s">
        <v>193</v>
      </c>
      <c r="AY13" s="211" t="s">
        <v>193</v>
      </c>
      <c r="AZ13" s="211"/>
      <c r="BA13" s="211" t="s">
        <v>193</v>
      </c>
      <c r="BB13" s="211" t="s">
        <v>193</v>
      </c>
      <c r="BC13" s="211" t="s">
        <v>193</v>
      </c>
      <c r="BD13" s="211" t="s">
        <v>193</v>
      </c>
      <c r="BE13" s="211"/>
      <c r="BF13" s="211" t="s">
        <v>193</v>
      </c>
      <c r="BG13" s="211" t="s">
        <v>193</v>
      </c>
      <c r="BH13" s="211" t="s">
        <v>193</v>
      </c>
      <c r="BI13" s="211"/>
      <c r="BJ13" s="211"/>
      <c r="BK13" s="211" t="s">
        <v>193</v>
      </c>
      <c r="BL13" s="211" t="s">
        <v>193</v>
      </c>
      <c r="BM13" s="211"/>
      <c r="BN13" s="211" t="s">
        <v>193</v>
      </c>
      <c r="BO13" s="211" t="s">
        <v>193</v>
      </c>
      <c r="BP13" s="211" t="s">
        <v>193</v>
      </c>
      <c r="BQ13" s="211" t="s">
        <v>193</v>
      </c>
      <c r="BR13" s="211" t="s">
        <v>193</v>
      </c>
      <c r="BS13" s="211" t="s">
        <v>193</v>
      </c>
      <c r="BT13" s="211" t="s">
        <v>193</v>
      </c>
      <c r="BU13" s="211" t="s">
        <v>193</v>
      </c>
      <c r="BV13" s="211" t="s">
        <v>193</v>
      </c>
      <c r="BW13" s="211" t="s">
        <v>193</v>
      </c>
      <c r="BX13" s="211" t="s">
        <v>193</v>
      </c>
      <c r="BY13" s="211"/>
      <c r="BZ13" s="211" t="s">
        <v>193</v>
      </c>
      <c r="CA13" s="211"/>
      <c r="CB13" s="211" t="s">
        <v>193</v>
      </c>
      <c r="CC13" s="211" t="s">
        <v>193</v>
      </c>
      <c r="CD13" s="211" t="s">
        <v>193</v>
      </c>
      <c r="CE13" s="211" t="s">
        <v>193</v>
      </c>
      <c r="CF13" s="211"/>
      <c r="CG13" s="211" t="s">
        <v>193</v>
      </c>
      <c r="CH13" s="211"/>
      <c r="CI13" s="211" t="s">
        <v>193</v>
      </c>
      <c r="CJ13" s="163"/>
    </row>
    <row r="14" spans="1:88" ht="16.5" customHeight="1">
      <c r="A14" s="163"/>
      <c r="B14" s="207" t="s">
        <v>483</v>
      </c>
      <c r="C14" s="213"/>
      <c r="D14" s="213"/>
      <c r="E14" s="213"/>
      <c r="F14" s="213"/>
      <c r="G14" s="213"/>
      <c r="H14" s="213"/>
      <c r="I14" s="213"/>
      <c r="J14" s="213"/>
      <c r="K14" s="208"/>
      <c r="L14" s="208"/>
      <c r="M14" s="213"/>
      <c r="N14" s="213"/>
      <c r="O14" s="213"/>
      <c r="P14" s="213"/>
      <c r="Q14" s="213"/>
      <c r="R14" s="213"/>
      <c r="S14" s="213"/>
      <c r="T14" s="213"/>
      <c r="U14" s="213"/>
      <c r="V14" s="213"/>
      <c r="W14" s="213"/>
      <c r="X14" s="213"/>
      <c r="Y14" s="213"/>
      <c r="Z14" s="213"/>
      <c r="AA14" s="213"/>
      <c r="AB14" s="213"/>
      <c r="AC14" s="213"/>
      <c r="AD14" s="213"/>
      <c r="AE14" s="213"/>
      <c r="AF14" s="213"/>
      <c r="AG14" s="213"/>
      <c r="AH14" s="213"/>
      <c r="AI14" s="213"/>
      <c r="AJ14" s="213"/>
      <c r="AK14" s="213"/>
      <c r="AL14" s="213"/>
      <c r="AM14" s="213"/>
      <c r="AN14" s="213"/>
      <c r="AO14" s="213"/>
      <c r="AP14" s="213"/>
      <c r="AQ14" s="213"/>
      <c r="AR14" s="213"/>
      <c r="AS14" s="213"/>
      <c r="AT14" s="213"/>
      <c r="AU14" s="213"/>
      <c r="AV14" s="213"/>
      <c r="AW14" s="213"/>
      <c r="AX14" s="213"/>
      <c r="AY14" s="213"/>
      <c r="AZ14" s="213"/>
      <c r="BA14" s="213"/>
      <c r="BB14" s="213"/>
      <c r="BC14" s="213"/>
      <c r="BD14" s="213"/>
      <c r="BE14" s="213"/>
      <c r="BF14" s="213"/>
      <c r="BG14" s="213"/>
      <c r="BH14" s="213"/>
      <c r="BI14" s="213"/>
      <c r="BJ14" s="213"/>
      <c r="BK14" s="213"/>
      <c r="BL14" s="213"/>
      <c r="BM14" s="213"/>
      <c r="BN14" s="213"/>
      <c r="BO14" s="213"/>
      <c r="BP14" s="213"/>
      <c r="BQ14" s="213"/>
      <c r="BR14" s="213"/>
      <c r="BS14" s="213"/>
      <c r="BT14" s="213"/>
      <c r="BU14" s="213"/>
      <c r="BV14" s="213"/>
      <c r="BW14" s="213"/>
      <c r="BX14" s="213"/>
      <c r="BY14" s="213"/>
      <c r="BZ14" s="213"/>
      <c r="CA14" s="213"/>
      <c r="CB14" s="213"/>
      <c r="CC14" s="213"/>
      <c r="CD14" s="213"/>
      <c r="CE14" s="213"/>
      <c r="CF14" s="213"/>
      <c r="CG14" s="213"/>
      <c r="CH14" s="213"/>
      <c r="CI14" s="213"/>
      <c r="CJ14" s="163"/>
    </row>
    <row r="15" spans="1:88" ht="15">
      <c r="A15" s="163"/>
      <c r="B15" s="212" t="s">
        <v>484</v>
      </c>
      <c r="C15" s="211" t="s">
        <v>193</v>
      </c>
      <c r="D15" s="211" t="s">
        <v>193</v>
      </c>
      <c r="E15" s="211" t="s">
        <v>193</v>
      </c>
      <c r="F15" s="211"/>
      <c r="G15" s="211"/>
      <c r="H15" s="211" t="s">
        <v>193</v>
      </c>
      <c r="I15" s="211" t="s">
        <v>193</v>
      </c>
      <c r="J15" s="211" t="s">
        <v>193</v>
      </c>
      <c r="K15" s="210"/>
      <c r="L15" s="210" t="s">
        <v>193</v>
      </c>
      <c r="M15" s="211"/>
      <c r="N15" s="211" t="s">
        <v>193</v>
      </c>
      <c r="O15" s="211" t="s">
        <v>193</v>
      </c>
      <c r="P15" s="211" t="s">
        <v>193</v>
      </c>
      <c r="Q15" s="211" t="s">
        <v>193</v>
      </c>
      <c r="R15" s="211" t="s">
        <v>193</v>
      </c>
      <c r="S15" s="211" t="s">
        <v>193</v>
      </c>
      <c r="T15" s="211" t="s">
        <v>193</v>
      </c>
      <c r="U15" s="211" t="s">
        <v>193</v>
      </c>
      <c r="V15" s="211" t="s">
        <v>193</v>
      </c>
      <c r="W15" s="211" t="s">
        <v>193</v>
      </c>
      <c r="X15" s="211" t="s">
        <v>193</v>
      </c>
      <c r="Y15" s="211"/>
      <c r="Z15" s="211"/>
      <c r="AA15" s="211" t="s">
        <v>193</v>
      </c>
      <c r="AB15" s="211" t="s">
        <v>193</v>
      </c>
      <c r="AC15" s="211"/>
      <c r="AD15" s="211" t="s">
        <v>193</v>
      </c>
      <c r="AE15" s="211"/>
      <c r="AF15" s="211" t="s">
        <v>193</v>
      </c>
      <c r="AG15" s="211" t="s">
        <v>193</v>
      </c>
      <c r="AH15" s="211"/>
      <c r="AI15" s="211" t="s">
        <v>193</v>
      </c>
      <c r="AJ15" s="211" t="s">
        <v>193</v>
      </c>
      <c r="AK15" s="211"/>
      <c r="AL15" s="211" t="s">
        <v>193</v>
      </c>
      <c r="AM15" s="211" t="s">
        <v>193</v>
      </c>
      <c r="AN15" s="211"/>
      <c r="AO15" s="211"/>
      <c r="AP15" s="211"/>
      <c r="AQ15" s="211" t="s">
        <v>193</v>
      </c>
      <c r="AR15" s="211"/>
      <c r="AS15" s="211" t="s">
        <v>193</v>
      </c>
      <c r="AT15" s="211"/>
      <c r="AU15" s="211" t="s">
        <v>193</v>
      </c>
      <c r="AV15" s="211" t="s">
        <v>193</v>
      </c>
      <c r="AW15" s="211"/>
      <c r="AX15" s="211" t="s">
        <v>193</v>
      </c>
      <c r="AY15" s="211" t="s">
        <v>193</v>
      </c>
      <c r="AZ15" s="211" t="s">
        <v>193</v>
      </c>
      <c r="BA15" s="211"/>
      <c r="BB15" s="211"/>
      <c r="BC15" s="211"/>
      <c r="BD15" s="211" t="s">
        <v>193</v>
      </c>
      <c r="BE15" s="211"/>
      <c r="BF15" s="211" t="s">
        <v>193</v>
      </c>
      <c r="BG15" s="211" t="s">
        <v>193</v>
      </c>
      <c r="BH15" s="211" t="s">
        <v>193</v>
      </c>
      <c r="BI15" s="211"/>
      <c r="BJ15" s="211" t="s">
        <v>193</v>
      </c>
      <c r="BK15" s="211" t="s">
        <v>193</v>
      </c>
      <c r="BL15" s="211" t="s">
        <v>193</v>
      </c>
      <c r="BM15" s="211" t="s">
        <v>193</v>
      </c>
      <c r="BN15" s="211" t="s">
        <v>193</v>
      </c>
      <c r="BO15" s="211" t="s">
        <v>193</v>
      </c>
      <c r="BP15" s="211" t="s">
        <v>193</v>
      </c>
      <c r="BQ15" s="211" t="s">
        <v>193</v>
      </c>
      <c r="BR15" s="211" t="s">
        <v>193</v>
      </c>
      <c r="BS15" s="211" t="s">
        <v>193</v>
      </c>
      <c r="BT15" s="211" t="s">
        <v>193</v>
      </c>
      <c r="BU15" s="211" t="s">
        <v>193</v>
      </c>
      <c r="BV15" s="211" t="s">
        <v>193</v>
      </c>
      <c r="BW15" s="211" t="s">
        <v>193</v>
      </c>
      <c r="BX15" s="211" t="s">
        <v>193</v>
      </c>
      <c r="BY15" s="211" t="s">
        <v>193</v>
      </c>
      <c r="BZ15" s="211" t="s">
        <v>193</v>
      </c>
      <c r="CA15" s="211"/>
      <c r="CB15" s="211" t="s">
        <v>193</v>
      </c>
      <c r="CC15" s="211" t="s">
        <v>193</v>
      </c>
      <c r="CD15" s="211" t="s">
        <v>193</v>
      </c>
      <c r="CE15" s="211"/>
      <c r="CF15" s="211"/>
      <c r="CG15" s="211" t="s">
        <v>193</v>
      </c>
      <c r="CH15" s="211" t="s">
        <v>193</v>
      </c>
      <c r="CI15" s="211" t="s">
        <v>193</v>
      </c>
      <c r="CJ15" s="163"/>
    </row>
    <row r="16" spans="1:88" ht="15">
      <c r="A16" s="163"/>
      <c r="B16" s="212" t="s">
        <v>485</v>
      </c>
      <c r="C16" s="211" t="s">
        <v>193</v>
      </c>
      <c r="D16" s="211"/>
      <c r="E16" s="211"/>
      <c r="F16" s="211" t="s">
        <v>193</v>
      </c>
      <c r="G16" s="211"/>
      <c r="H16" s="211" t="s">
        <v>193</v>
      </c>
      <c r="I16" s="211" t="s">
        <v>193</v>
      </c>
      <c r="J16" s="211" t="s">
        <v>193</v>
      </c>
      <c r="K16" s="210"/>
      <c r="L16" s="210"/>
      <c r="M16" s="211"/>
      <c r="N16" s="211" t="s">
        <v>193</v>
      </c>
      <c r="O16" s="211" t="s">
        <v>193</v>
      </c>
      <c r="P16" s="211" t="s">
        <v>193</v>
      </c>
      <c r="Q16" s="211" t="s">
        <v>193</v>
      </c>
      <c r="R16" s="211" t="s">
        <v>193</v>
      </c>
      <c r="S16" s="211" t="s">
        <v>193</v>
      </c>
      <c r="T16" s="211" t="s">
        <v>193</v>
      </c>
      <c r="U16" s="211" t="s">
        <v>193</v>
      </c>
      <c r="V16" s="211" t="s">
        <v>193</v>
      </c>
      <c r="W16" s="211" t="s">
        <v>193</v>
      </c>
      <c r="X16" s="211" t="s">
        <v>193</v>
      </c>
      <c r="Y16" s="211"/>
      <c r="Z16" s="211"/>
      <c r="AA16" s="211" t="s">
        <v>193</v>
      </c>
      <c r="AB16" s="211"/>
      <c r="AC16" s="211"/>
      <c r="AD16" s="211" t="s">
        <v>193</v>
      </c>
      <c r="AE16" s="211"/>
      <c r="AF16" s="211" t="s">
        <v>193</v>
      </c>
      <c r="AG16" s="211"/>
      <c r="AH16" s="211"/>
      <c r="AI16" s="211" t="s">
        <v>193</v>
      </c>
      <c r="AJ16" s="211"/>
      <c r="AK16" s="211"/>
      <c r="AL16" s="211"/>
      <c r="AM16" s="211" t="s">
        <v>193</v>
      </c>
      <c r="AN16" s="211" t="s">
        <v>193</v>
      </c>
      <c r="AO16" s="211"/>
      <c r="AP16" s="211" t="s">
        <v>193</v>
      </c>
      <c r="AQ16" s="211"/>
      <c r="AR16" s="211"/>
      <c r="AS16" s="211" t="s">
        <v>193</v>
      </c>
      <c r="AT16" s="211"/>
      <c r="AU16" s="211" t="s">
        <v>193</v>
      </c>
      <c r="AV16" s="211" t="s">
        <v>193</v>
      </c>
      <c r="AW16" s="211" t="s">
        <v>193</v>
      </c>
      <c r="AX16" s="211" t="s">
        <v>193</v>
      </c>
      <c r="AY16" s="211" t="s">
        <v>193</v>
      </c>
      <c r="AZ16" s="211" t="s">
        <v>193</v>
      </c>
      <c r="BA16" s="211"/>
      <c r="BB16" s="211"/>
      <c r="BC16" s="211"/>
      <c r="BD16" s="211" t="s">
        <v>193</v>
      </c>
      <c r="BE16" s="211"/>
      <c r="BF16" s="211" t="s">
        <v>193</v>
      </c>
      <c r="BG16" s="211" t="s">
        <v>193</v>
      </c>
      <c r="BH16" s="211" t="s">
        <v>193</v>
      </c>
      <c r="BI16" s="211"/>
      <c r="BJ16" s="211"/>
      <c r="BK16" s="211" t="s">
        <v>193</v>
      </c>
      <c r="BL16" s="211" t="s">
        <v>193</v>
      </c>
      <c r="BM16" s="211" t="s">
        <v>193</v>
      </c>
      <c r="BN16" s="211" t="s">
        <v>193</v>
      </c>
      <c r="BO16" s="211" t="s">
        <v>193</v>
      </c>
      <c r="BP16" s="211" t="s">
        <v>193</v>
      </c>
      <c r="BQ16" s="211" t="s">
        <v>193</v>
      </c>
      <c r="BR16" s="211" t="s">
        <v>193</v>
      </c>
      <c r="BS16" s="211" t="s">
        <v>193</v>
      </c>
      <c r="BT16" s="211" t="s">
        <v>193</v>
      </c>
      <c r="BU16" s="211" t="s">
        <v>193</v>
      </c>
      <c r="BV16" s="211" t="s">
        <v>193</v>
      </c>
      <c r="BW16" s="211" t="s">
        <v>193</v>
      </c>
      <c r="BX16" s="211" t="s">
        <v>193</v>
      </c>
      <c r="BY16" s="211"/>
      <c r="BZ16" s="211" t="s">
        <v>193</v>
      </c>
      <c r="CA16" s="211"/>
      <c r="CB16" s="211" t="s">
        <v>193</v>
      </c>
      <c r="CC16" s="211" t="s">
        <v>193</v>
      </c>
      <c r="CD16" s="211" t="s">
        <v>193</v>
      </c>
      <c r="CE16" s="211"/>
      <c r="CF16" s="211"/>
      <c r="CG16" s="211" t="s">
        <v>193</v>
      </c>
      <c r="CH16" s="211" t="s">
        <v>193</v>
      </c>
      <c r="CI16" s="211" t="s">
        <v>193</v>
      </c>
      <c r="CJ16" s="163"/>
    </row>
    <row r="17" spans="1:88" ht="15">
      <c r="A17" s="163"/>
      <c r="B17" s="212" t="s">
        <v>486</v>
      </c>
      <c r="C17" s="211" t="s">
        <v>193</v>
      </c>
      <c r="D17" s="211"/>
      <c r="E17" s="211"/>
      <c r="F17" s="211" t="s">
        <v>193</v>
      </c>
      <c r="G17" s="211"/>
      <c r="H17" s="211" t="s">
        <v>193</v>
      </c>
      <c r="I17" s="211" t="s">
        <v>193</v>
      </c>
      <c r="J17" s="211" t="s">
        <v>193</v>
      </c>
      <c r="K17" s="210"/>
      <c r="L17" s="210"/>
      <c r="M17" s="211"/>
      <c r="N17" s="211" t="s">
        <v>193</v>
      </c>
      <c r="O17" s="211" t="s">
        <v>193</v>
      </c>
      <c r="P17" s="211" t="s">
        <v>193</v>
      </c>
      <c r="Q17" s="211" t="s">
        <v>193</v>
      </c>
      <c r="R17" s="211" t="s">
        <v>193</v>
      </c>
      <c r="S17" s="211" t="s">
        <v>193</v>
      </c>
      <c r="T17" s="211" t="s">
        <v>193</v>
      </c>
      <c r="U17" s="211" t="s">
        <v>193</v>
      </c>
      <c r="V17" s="211" t="s">
        <v>193</v>
      </c>
      <c r="W17" s="211" t="s">
        <v>193</v>
      </c>
      <c r="X17" s="211" t="s">
        <v>193</v>
      </c>
      <c r="Y17" s="211"/>
      <c r="Z17" s="211"/>
      <c r="AA17" s="211" t="s">
        <v>193</v>
      </c>
      <c r="AB17" s="211"/>
      <c r="AC17" s="211"/>
      <c r="AD17" s="211" t="s">
        <v>193</v>
      </c>
      <c r="AE17" s="211"/>
      <c r="AF17" s="211" t="s">
        <v>193</v>
      </c>
      <c r="AG17" s="211"/>
      <c r="AH17" s="211"/>
      <c r="AI17" s="211" t="s">
        <v>193</v>
      </c>
      <c r="AJ17" s="211"/>
      <c r="AK17" s="211"/>
      <c r="AL17" s="211"/>
      <c r="AM17" s="211" t="s">
        <v>193</v>
      </c>
      <c r="AN17" s="211"/>
      <c r="AO17" s="211"/>
      <c r="AP17" s="211" t="s">
        <v>193</v>
      </c>
      <c r="AQ17" s="211"/>
      <c r="AR17" s="211"/>
      <c r="AS17" s="211" t="s">
        <v>193</v>
      </c>
      <c r="AT17" s="211"/>
      <c r="AU17" s="211" t="s">
        <v>193</v>
      </c>
      <c r="AV17" s="211" t="s">
        <v>193</v>
      </c>
      <c r="AW17" s="211" t="s">
        <v>193</v>
      </c>
      <c r="AX17" s="211" t="s">
        <v>193</v>
      </c>
      <c r="AY17" s="211" t="s">
        <v>193</v>
      </c>
      <c r="AZ17" s="211" t="s">
        <v>193</v>
      </c>
      <c r="BA17" s="211"/>
      <c r="BB17" s="211"/>
      <c r="BC17" s="211"/>
      <c r="BD17" s="211" t="s">
        <v>193</v>
      </c>
      <c r="BE17" s="211"/>
      <c r="BF17" s="211" t="s">
        <v>193</v>
      </c>
      <c r="BG17" s="211" t="s">
        <v>193</v>
      </c>
      <c r="BH17" s="211" t="s">
        <v>193</v>
      </c>
      <c r="BI17" s="211"/>
      <c r="BJ17" s="211"/>
      <c r="BK17" s="211" t="s">
        <v>193</v>
      </c>
      <c r="BL17" s="211" t="s">
        <v>193</v>
      </c>
      <c r="BM17" s="211"/>
      <c r="BN17" s="211" t="s">
        <v>193</v>
      </c>
      <c r="BO17" s="211" t="s">
        <v>193</v>
      </c>
      <c r="BP17" s="211" t="s">
        <v>193</v>
      </c>
      <c r="BQ17" s="211" t="s">
        <v>193</v>
      </c>
      <c r="BR17" s="211" t="s">
        <v>193</v>
      </c>
      <c r="BS17" s="211" t="s">
        <v>193</v>
      </c>
      <c r="BT17" s="211" t="s">
        <v>193</v>
      </c>
      <c r="BU17" s="211" t="s">
        <v>193</v>
      </c>
      <c r="BV17" s="211" t="s">
        <v>193</v>
      </c>
      <c r="BW17" s="211" t="s">
        <v>193</v>
      </c>
      <c r="BX17" s="211" t="s">
        <v>193</v>
      </c>
      <c r="BY17" s="211"/>
      <c r="BZ17" s="211" t="s">
        <v>193</v>
      </c>
      <c r="CA17" s="211"/>
      <c r="CB17" s="211" t="s">
        <v>193</v>
      </c>
      <c r="CC17" s="211" t="s">
        <v>193</v>
      </c>
      <c r="CD17" s="211" t="s">
        <v>193</v>
      </c>
      <c r="CE17" s="211"/>
      <c r="CF17" s="211"/>
      <c r="CG17" s="211" t="s">
        <v>193</v>
      </c>
      <c r="CH17" s="211" t="s">
        <v>193</v>
      </c>
      <c r="CI17" s="211" t="s">
        <v>193</v>
      </c>
      <c r="CJ17" s="163"/>
    </row>
    <row r="18" spans="1:88" ht="15">
      <c r="A18" s="163"/>
      <c r="B18" s="212" t="s">
        <v>487</v>
      </c>
      <c r="C18" s="211" t="s">
        <v>193</v>
      </c>
      <c r="D18" s="211" t="s">
        <v>193</v>
      </c>
      <c r="E18" s="211" t="s">
        <v>193</v>
      </c>
      <c r="F18" s="211"/>
      <c r="G18" s="211"/>
      <c r="H18" s="211"/>
      <c r="I18" s="211" t="s">
        <v>193</v>
      </c>
      <c r="J18" s="211" t="s">
        <v>193</v>
      </c>
      <c r="K18" s="210"/>
      <c r="L18" s="210" t="s">
        <v>193</v>
      </c>
      <c r="M18" s="211"/>
      <c r="N18" s="211" t="s">
        <v>193</v>
      </c>
      <c r="O18" s="211" t="s">
        <v>193</v>
      </c>
      <c r="P18" s="211" t="s">
        <v>193</v>
      </c>
      <c r="Q18" s="211" t="s">
        <v>193</v>
      </c>
      <c r="R18" s="211" t="s">
        <v>193</v>
      </c>
      <c r="S18" s="211" t="s">
        <v>193</v>
      </c>
      <c r="T18" s="211" t="s">
        <v>193</v>
      </c>
      <c r="U18" s="211" t="s">
        <v>193</v>
      </c>
      <c r="V18" s="211" t="s">
        <v>193</v>
      </c>
      <c r="W18" s="211" t="s">
        <v>193</v>
      </c>
      <c r="X18" s="211" t="s">
        <v>193</v>
      </c>
      <c r="Y18" s="211"/>
      <c r="Z18" s="211"/>
      <c r="AA18" s="211" t="s">
        <v>193</v>
      </c>
      <c r="AB18" s="211" t="s">
        <v>193</v>
      </c>
      <c r="AC18" s="211"/>
      <c r="AD18" s="211" t="s">
        <v>193</v>
      </c>
      <c r="AE18" s="211"/>
      <c r="AF18" s="211" t="s">
        <v>193</v>
      </c>
      <c r="AG18" s="211" t="s">
        <v>193</v>
      </c>
      <c r="AH18" s="211"/>
      <c r="AI18" s="211" t="s">
        <v>193</v>
      </c>
      <c r="AJ18" s="211" t="s">
        <v>193</v>
      </c>
      <c r="AK18" s="211"/>
      <c r="AL18" s="211" t="s">
        <v>193</v>
      </c>
      <c r="AM18" s="211" t="s">
        <v>193</v>
      </c>
      <c r="AN18" s="211"/>
      <c r="AO18" s="211"/>
      <c r="AP18" s="211" t="s">
        <v>193</v>
      </c>
      <c r="AQ18" s="211"/>
      <c r="AR18" s="211"/>
      <c r="AS18" s="211" t="s">
        <v>193</v>
      </c>
      <c r="AT18" s="211"/>
      <c r="AU18" s="211" t="s">
        <v>193</v>
      </c>
      <c r="AV18" s="211" t="s">
        <v>193</v>
      </c>
      <c r="AW18" s="211"/>
      <c r="AX18" s="211" t="s">
        <v>193</v>
      </c>
      <c r="AY18" s="211" t="s">
        <v>193</v>
      </c>
      <c r="AZ18" s="211" t="s">
        <v>193</v>
      </c>
      <c r="BA18" s="211"/>
      <c r="BB18" s="211"/>
      <c r="BC18" s="211"/>
      <c r="BD18" s="211" t="s">
        <v>193</v>
      </c>
      <c r="BE18" s="211"/>
      <c r="BF18" s="211" t="s">
        <v>193</v>
      </c>
      <c r="BG18" s="211" t="s">
        <v>193</v>
      </c>
      <c r="BH18" s="211" t="s">
        <v>193</v>
      </c>
      <c r="BI18" s="211"/>
      <c r="BJ18" s="211" t="s">
        <v>193</v>
      </c>
      <c r="BK18" s="211" t="s">
        <v>193</v>
      </c>
      <c r="BL18" s="211" t="s">
        <v>193</v>
      </c>
      <c r="BM18" s="211" t="s">
        <v>193</v>
      </c>
      <c r="BN18" s="211" t="s">
        <v>193</v>
      </c>
      <c r="BO18" s="211" t="s">
        <v>193</v>
      </c>
      <c r="BP18" s="211" t="s">
        <v>193</v>
      </c>
      <c r="BQ18" s="211" t="s">
        <v>193</v>
      </c>
      <c r="BR18" s="211" t="s">
        <v>193</v>
      </c>
      <c r="BS18" s="211" t="s">
        <v>193</v>
      </c>
      <c r="BT18" s="211" t="s">
        <v>193</v>
      </c>
      <c r="BU18" s="211" t="s">
        <v>193</v>
      </c>
      <c r="BV18" s="211" t="s">
        <v>193</v>
      </c>
      <c r="BW18" s="211" t="s">
        <v>193</v>
      </c>
      <c r="BX18" s="211" t="s">
        <v>193</v>
      </c>
      <c r="BY18" s="211" t="s">
        <v>193</v>
      </c>
      <c r="BZ18" s="211" t="s">
        <v>193</v>
      </c>
      <c r="CA18" s="211"/>
      <c r="CB18" s="211" t="s">
        <v>193</v>
      </c>
      <c r="CC18" s="211" t="s">
        <v>193</v>
      </c>
      <c r="CD18" s="211" t="s">
        <v>193</v>
      </c>
      <c r="CE18" s="211"/>
      <c r="CF18" s="211"/>
      <c r="CG18" s="211" t="s">
        <v>193</v>
      </c>
      <c r="CH18" s="211" t="s">
        <v>193</v>
      </c>
      <c r="CI18" s="211" t="s">
        <v>193</v>
      </c>
      <c r="CJ18" s="163"/>
    </row>
    <row r="19" spans="1:88" ht="15">
      <c r="A19" s="163"/>
      <c r="B19" s="207" t="s">
        <v>488</v>
      </c>
      <c r="C19" s="213"/>
      <c r="D19" s="213"/>
      <c r="E19" s="213"/>
      <c r="F19" s="213"/>
      <c r="G19" s="213"/>
      <c r="H19" s="213"/>
      <c r="I19" s="213"/>
      <c r="J19" s="213"/>
      <c r="K19" s="208"/>
      <c r="L19" s="208"/>
      <c r="M19" s="213"/>
      <c r="N19" s="213"/>
      <c r="O19" s="213"/>
      <c r="P19" s="213"/>
      <c r="Q19" s="213"/>
      <c r="R19" s="213"/>
      <c r="S19" s="213"/>
      <c r="T19" s="213"/>
      <c r="U19" s="213"/>
      <c r="V19" s="213"/>
      <c r="W19" s="213"/>
      <c r="X19" s="213"/>
      <c r="Y19" s="213"/>
      <c r="Z19" s="213"/>
      <c r="AA19" s="213"/>
      <c r="AB19" s="213"/>
      <c r="AC19" s="213"/>
      <c r="AD19" s="213"/>
      <c r="AE19" s="213"/>
      <c r="AF19" s="213"/>
      <c r="AG19" s="213"/>
      <c r="AH19" s="213"/>
      <c r="AI19" s="213"/>
      <c r="AJ19" s="213"/>
      <c r="AK19" s="213"/>
      <c r="AL19" s="213"/>
      <c r="AM19" s="213"/>
      <c r="AN19" s="213"/>
      <c r="AO19" s="213"/>
      <c r="AP19" s="213"/>
      <c r="AQ19" s="213"/>
      <c r="AR19" s="213"/>
      <c r="AS19" s="213"/>
      <c r="AT19" s="213"/>
      <c r="AU19" s="213"/>
      <c r="AV19" s="213"/>
      <c r="AW19" s="213"/>
      <c r="AX19" s="213"/>
      <c r="AY19" s="213"/>
      <c r="AZ19" s="213"/>
      <c r="BA19" s="213"/>
      <c r="BB19" s="213"/>
      <c r="BC19" s="213"/>
      <c r="BD19" s="213"/>
      <c r="BE19" s="213"/>
      <c r="BF19" s="213"/>
      <c r="BG19" s="213"/>
      <c r="BH19" s="213"/>
      <c r="BI19" s="213"/>
      <c r="BJ19" s="213"/>
      <c r="BK19" s="213"/>
      <c r="BL19" s="213"/>
      <c r="BM19" s="213"/>
      <c r="BN19" s="213"/>
      <c r="BO19" s="213"/>
      <c r="BP19" s="213"/>
      <c r="BQ19" s="213"/>
      <c r="BR19" s="213"/>
      <c r="BS19" s="213"/>
      <c r="BT19" s="213"/>
      <c r="BU19" s="213"/>
      <c r="BV19" s="213"/>
      <c r="BW19" s="213"/>
      <c r="BX19" s="213"/>
      <c r="BY19" s="213"/>
      <c r="BZ19" s="213"/>
      <c r="CA19" s="213"/>
      <c r="CB19" s="213"/>
      <c r="CC19" s="213"/>
      <c r="CD19" s="213"/>
      <c r="CE19" s="213"/>
      <c r="CF19" s="213"/>
      <c r="CG19" s="213"/>
      <c r="CH19" s="213"/>
      <c r="CI19" s="213"/>
      <c r="CJ19" s="163"/>
    </row>
    <row r="20" spans="1:88" ht="27.75">
      <c r="A20" s="163"/>
      <c r="B20" s="212" t="s">
        <v>489</v>
      </c>
      <c r="C20" s="211" t="s">
        <v>193</v>
      </c>
      <c r="D20" s="211"/>
      <c r="E20" s="211"/>
      <c r="F20" s="211"/>
      <c r="G20" s="211"/>
      <c r="H20" s="211"/>
      <c r="I20" s="211" t="s">
        <v>193</v>
      </c>
      <c r="J20" s="211" t="s">
        <v>193</v>
      </c>
      <c r="K20" s="210" t="s">
        <v>193</v>
      </c>
      <c r="L20" s="210"/>
      <c r="M20" s="211"/>
      <c r="N20" s="211"/>
      <c r="O20" s="211" t="s">
        <v>193</v>
      </c>
      <c r="P20" s="211" t="s">
        <v>193</v>
      </c>
      <c r="Q20" s="211" t="s">
        <v>193</v>
      </c>
      <c r="R20" s="211" t="s">
        <v>193</v>
      </c>
      <c r="S20" s="211" t="s">
        <v>193</v>
      </c>
      <c r="T20" s="211" t="s">
        <v>193</v>
      </c>
      <c r="U20" s="211" t="s">
        <v>193</v>
      </c>
      <c r="V20" s="211" t="s">
        <v>193</v>
      </c>
      <c r="W20" s="211" t="s">
        <v>193</v>
      </c>
      <c r="X20" s="211" t="s">
        <v>193</v>
      </c>
      <c r="Y20" s="211"/>
      <c r="Z20" s="211" t="s">
        <v>193</v>
      </c>
      <c r="AA20" s="211" t="s">
        <v>193</v>
      </c>
      <c r="AB20" s="211"/>
      <c r="AC20" s="211" t="s">
        <v>193</v>
      </c>
      <c r="AD20" s="211" t="s">
        <v>193</v>
      </c>
      <c r="AE20" s="211"/>
      <c r="AF20" s="211" t="s">
        <v>193</v>
      </c>
      <c r="AG20" s="211"/>
      <c r="AH20" s="211"/>
      <c r="AI20" s="211" t="s">
        <v>193</v>
      </c>
      <c r="AJ20" s="211"/>
      <c r="AK20" s="211"/>
      <c r="AL20" s="211" t="s">
        <v>193</v>
      </c>
      <c r="AM20" s="211" t="s">
        <v>193</v>
      </c>
      <c r="AN20" s="211"/>
      <c r="AO20" s="211"/>
      <c r="AP20" s="211"/>
      <c r="AQ20" s="211"/>
      <c r="AR20" s="211"/>
      <c r="AS20" s="211" t="s">
        <v>193</v>
      </c>
      <c r="AT20" s="211" t="s">
        <v>193</v>
      </c>
      <c r="AU20" s="211" t="s">
        <v>193</v>
      </c>
      <c r="AV20" s="211" t="s">
        <v>193</v>
      </c>
      <c r="AW20" s="211"/>
      <c r="AX20" s="211" t="s">
        <v>193</v>
      </c>
      <c r="AY20" s="211" t="s">
        <v>193</v>
      </c>
      <c r="AZ20" s="211"/>
      <c r="BA20" s="211"/>
      <c r="BB20" s="211"/>
      <c r="BC20" s="211"/>
      <c r="BD20" s="211" t="s">
        <v>193</v>
      </c>
      <c r="BE20" s="211"/>
      <c r="BF20" s="211" t="s">
        <v>193</v>
      </c>
      <c r="BG20" s="211" t="s">
        <v>193</v>
      </c>
      <c r="BH20" s="211" t="s">
        <v>193</v>
      </c>
      <c r="BI20" s="211"/>
      <c r="BJ20" s="211"/>
      <c r="BK20" s="211" t="s">
        <v>193</v>
      </c>
      <c r="BL20" s="211" t="s">
        <v>193</v>
      </c>
      <c r="BM20" s="211"/>
      <c r="BN20" s="211" t="s">
        <v>193</v>
      </c>
      <c r="BO20" s="211" t="s">
        <v>193</v>
      </c>
      <c r="BP20" s="211" t="s">
        <v>193</v>
      </c>
      <c r="BQ20" s="211" t="s">
        <v>193</v>
      </c>
      <c r="BR20" s="211" t="s">
        <v>193</v>
      </c>
      <c r="BS20" s="211" t="s">
        <v>193</v>
      </c>
      <c r="BT20" s="211" t="s">
        <v>193</v>
      </c>
      <c r="BU20" s="211" t="s">
        <v>193</v>
      </c>
      <c r="BV20" s="211" t="s">
        <v>193</v>
      </c>
      <c r="BW20" s="211" t="s">
        <v>193</v>
      </c>
      <c r="BX20" s="211" t="s">
        <v>193</v>
      </c>
      <c r="BY20" s="211"/>
      <c r="BZ20" s="211" t="s">
        <v>193</v>
      </c>
      <c r="CA20" s="211"/>
      <c r="CB20" s="211" t="s">
        <v>193</v>
      </c>
      <c r="CC20" s="211" t="s">
        <v>193</v>
      </c>
      <c r="CD20" s="211" t="s">
        <v>193</v>
      </c>
      <c r="CE20" s="211"/>
      <c r="CF20" s="211"/>
      <c r="CG20" s="211" t="s">
        <v>193</v>
      </c>
      <c r="CH20" s="211"/>
      <c r="CI20" s="211" t="s">
        <v>193</v>
      </c>
      <c r="CJ20" s="163"/>
    </row>
    <row r="21" spans="1:88" ht="15">
      <c r="A21" s="163"/>
      <c r="B21" s="212" t="s">
        <v>490</v>
      </c>
      <c r="C21" s="211" t="s">
        <v>193</v>
      </c>
      <c r="D21" s="211"/>
      <c r="E21" s="211"/>
      <c r="F21" s="211"/>
      <c r="G21" s="211" t="s">
        <v>193</v>
      </c>
      <c r="H21" s="211"/>
      <c r="I21" s="211" t="s">
        <v>193</v>
      </c>
      <c r="J21" s="211" t="s">
        <v>193</v>
      </c>
      <c r="K21" s="210" t="s">
        <v>193</v>
      </c>
      <c r="L21" s="210"/>
      <c r="M21" s="211"/>
      <c r="N21" s="211"/>
      <c r="O21" s="211" t="s">
        <v>193</v>
      </c>
      <c r="P21" s="211" t="s">
        <v>193</v>
      </c>
      <c r="Q21" s="211" t="s">
        <v>193</v>
      </c>
      <c r="R21" s="211" t="s">
        <v>193</v>
      </c>
      <c r="S21" s="211" t="s">
        <v>193</v>
      </c>
      <c r="T21" s="211" t="s">
        <v>193</v>
      </c>
      <c r="U21" s="211" t="s">
        <v>193</v>
      </c>
      <c r="V21" s="211" t="s">
        <v>193</v>
      </c>
      <c r="W21" s="211" t="s">
        <v>193</v>
      </c>
      <c r="X21" s="211" t="s">
        <v>193</v>
      </c>
      <c r="Y21" s="211"/>
      <c r="Z21" s="211" t="s">
        <v>193</v>
      </c>
      <c r="AA21" s="211" t="s">
        <v>193</v>
      </c>
      <c r="AB21" s="211"/>
      <c r="AC21" s="211"/>
      <c r="AD21" s="211" t="s">
        <v>193</v>
      </c>
      <c r="AE21" s="211"/>
      <c r="AF21" s="211" t="s">
        <v>193</v>
      </c>
      <c r="AG21" s="211"/>
      <c r="AH21" s="211"/>
      <c r="AI21" s="211" t="s">
        <v>193</v>
      </c>
      <c r="AJ21" s="211"/>
      <c r="AK21" s="211"/>
      <c r="AL21" s="211"/>
      <c r="AM21" s="211" t="s">
        <v>193</v>
      </c>
      <c r="AN21" s="211"/>
      <c r="AO21" s="211"/>
      <c r="AP21" s="211"/>
      <c r="AQ21" s="211"/>
      <c r="AR21" s="211"/>
      <c r="AS21" s="211" t="s">
        <v>193</v>
      </c>
      <c r="AT21" s="211"/>
      <c r="AU21" s="211" t="s">
        <v>193</v>
      </c>
      <c r="AV21" s="211" t="s">
        <v>193</v>
      </c>
      <c r="AW21" s="211"/>
      <c r="AX21" s="211" t="s">
        <v>193</v>
      </c>
      <c r="AY21" s="211" t="s">
        <v>193</v>
      </c>
      <c r="AZ21" s="211"/>
      <c r="BA21" s="211"/>
      <c r="BB21" s="211"/>
      <c r="BC21" s="211"/>
      <c r="BD21" s="211" t="s">
        <v>193</v>
      </c>
      <c r="BE21" s="211"/>
      <c r="BF21" s="211" t="s">
        <v>193</v>
      </c>
      <c r="BG21" s="211" t="s">
        <v>193</v>
      </c>
      <c r="BH21" s="211" t="s">
        <v>193</v>
      </c>
      <c r="BI21" s="211"/>
      <c r="BJ21" s="211"/>
      <c r="BK21" s="211" t="s">
        <v>193</v>
      </c>
      <c r="BL21" s="211" t="s">
        <v>193</v>
      </c>
      <c r="BM21" s="211"/>
      <c r="BN21" s="211" t="s">
        <v>193</v>
      </c>
      <c r="BO21" s="211" t="s">
        <v>193</v>
      </c>
      <c r="BP21" s="211" t="s">
        <v>193</v>
      </c>
      <c r="BQ21" s="211" t="s">
        <v>193</v>
      </c>
      <c r="BR21" s="211" t="s">
        <v>193</v>
      </c>
      <c r="BS21" s="211" t="s">
        <v>193</v>
      </c>
      <c r="BT21" s="211" t="s">
        <v>193</v>
      </c>
      <c r="BU21" s="211" t="s">
        <v>193</v>
      </c>
      <c r="BV21" s="211" t="s">
        <v>193</v>
      </c>
      <c r="BW21" s="211" t="s">
        <v>193</v>
      </c>
      <c r="BX21" s="211" t="s">
        <v>193</v>
      </c>
      <c r="BY21" s="211"/>
      <c r="BZ21" s="211" t="s">
        <v>193</v>
      </c>
      <c r="CA21" s="211"/>
      <c r="CB21" s="211" t="s">
        <v>193</v>
      </c>
      <c r="CC21" s="211" t="s">
        <v>193</v>
      </c>
      <c r="CD21" s="211" t="s">
        <v>193</v>
      </c>
      <c r="CE21" s="211"/>
      <c r="CF21" s="211"/>
      <c r="CG21" s="211" t="s">
        <v>193</v>
      </c>
      <c r="CH21" s="211"/>
      <c r="CI21" s="211" t="s">
        <v>193</v>
      </c>
      <c r="CJ21" s="163"/>
    </row>
    <row r="22" spans="1:88" ht="15">
      <c r="A22" s="163"/>
      <c r="B22" s="212" t="s">
        <v>491</v>
      </c>
      <c r="C22" s="211" t="s">
        <v>193</v>
      </c>
      <c r="D22" s="211" t="s">
        <v>193</v>
      </c>
      <c r="E22" s="211" t="s">
        <v>193</v>
      </c>
      <c r="F22" s="211"/>
      <c r="G22" s="211"/>
      <c r="H22" s="211" t="s">
        <v>193</v>
      </c>
      <c r="I22" s="211" t="s">
        <v>193</v>
      </c>
      <c r="J22" s="211" t="s">
        <v>193</v>
      </c>
      <c r="K22" s="210"/>
      <c r="L22" s="210" t="s">
        <v>193</v>
      </c>
      <c r="M22" s="211"/>
      <c r="N22" s="211" t="s">
        <v>193</v>
      </c>
      <c r="O22" s="211" t="s">
        <v>193</v>
      </c>
      <c r="P22" s="211" t="s">
        <v>193</v>
      </c>
      <c r="Q22" s="211" t="s">
        <v>193</v>
      </c>
      <c r="R22" s="211" t="s">
        <v>193</v>
      </c>
      <c r="S22" s="211" t="s">
        <v>193</v>
      </c>
      <c r="T22" s="211" t="s">
        <v>193</v>
      </c>
      <c r="U22" s="211" t="s">
        <v>193</v>
      </c>
      <c r="V22" s="211" t="s">
        <v>193</v>
      </c>
      <c r="W22" s="211" t="s">
        <v>193</v>
      </c>
      <c r="X22" s="211" t="s">
        <v>193</v>
      </c>
      <c r="Y22" s="211" t="s">
        <v>193</v>
      </c>
      <c r="Z22" s="211"/>
      <c r="AA22" s="211" t="s">
        <v>193</v>
      </c>
      <c r="AB22" s="211" t="s">
        <v>193</v>
      </c>
      <c r="AC22" s="211"/>
      <c r="AD22" s="211" t="s">
        <v>193</v>
      </c>
      <c r="AE22" s="211"/>
      <c r="AF22" s="211" t="s">
        <v>193</v>
      </c>
      <c r="AG22" s="211"/>
      <c r="AH22" s="211"/>
      <c r="AI22" s="211" t="s">
        <v>193</v>
      </c>
      <c r="AJ22" s="211"/>
      <c r="AK22" s="211"/>
      <c r="AL22" s="211" t="s">
        <v>193</v>
      </c>
      <c r="AM22" s="211" t="s">
        <v>193</v>
      </c>
      <c r="AN22" s="211"/>
      <c r="AO22" s="211"/>
      <c r="AP22" s="211"/>
      <c r="AQ22" s="211" t="s">
        <v>193</v>
      </c>
      <c r="AR22" s="211"/>
      <c r="AS22" s="211" t="s">
        <v>193</v>
      </c>
      <c r="AT22" s="211"/>
      <c r="AU22" s="211" t="s">
        <v>193</v>
      </c>
      <c r="AV22" s="211" t="s">
        <v>193</v>
      </c>
      <c r="AW22" s="211"/>
      <c r="AX22" s="211" t="s">
        <v>193</v>
      </c>
      <c r="AY22" s="211" t="s">
        <v>193</v>
      </c>
      <c r="AZ22" s="211" t="s">
        <v>193</v>
      </c>
      <c r="BA22" s="211"/>
      <c r="BB22" s="211"/>
      <c r="BC22" s="211"/>
      <c r="BD22" s="211" t="s">
        <v>193</v>
      </c>
      <c r="BE22" s="211"/>
      <c r="BF22" s="211" t="s">
        <v>193</v>
      </c>
      <c r="BG22" s="211" t="s">
        <v>193</v>
      </c>
      <c r="BH22" s="211" t="s">
        <v>193</v>
      </c>
      <c r="BI22" s="211"/>
      <c r="BJ22" s="211" t="s">
        <v>193</v>
      </c>
      <c r="BK22" s="211" t="s">
        <v>193</v>
      </c>
      <c r="BL22" s="211" t="s">
        <v>193</v>
      </c>
      <c r="BM22" s="211" t="s">
        <v>193</v>
      </c>
      <c r="BN22" s="211" t="s">
        <v>193</v>
      </c>
      <c r="BO22" s="211" t="s">
        <v>193</v>
      </c>
      <c r="BP22" s="211" t="s">
        <v>193</v>
      </c>
      <c r="BQ22" s="211" t="s">
        <v>193</v>
      </c>
      <c r="BR22" s="211" t="s">
        <v>193</v>
      </c>
      <c r="BS22" s="211" t="s">
        <v>193</v>
      </c>
      <c r="BT22" s="211" t="s">
        <v>193</v>
      </c>
      <c r="BU22" s="211" t="s">
        <v>193</v>
      </c>
      <c r="BV22" s="211" t="s">
        <v>193</v>
      </c>
      <c r="BW22" s="211" t="s">
        <v>193</v>
      </c>
      <c r="BX22" s="211" t="s">
        <v>193</v>
      </c>
      <c r="BY22" s="211" t="s">
        <v>193</v>
      </c>
      <c r="BZ22" s="211" t="s">
        <v>193</v>
      </c>
      <c r="CA22" s="211"/>
      <c r="CB22" s="211" t="s">
        <v>193</v>
      </c>
      <c r="CC22" s="211" t="s">
        <v>193</v>
      </c>
      <c r="CD22" s="211" t="s">
        <v>193</v>
      </c>
      <c r="CE22" s="211"/>
      <c r="CF22" s="211"/>
      <c r="CG22" s="211" t="s">
        <v>193</v>
      </c>
      <c r="CH22" s="211" t="s">
        <v>193</v>
      </c>
      <c r="CI22" s="211" t="s">
        <v>193</v>
      </c>
      <c r="CJ22" s="163"/>
    </row>
    <row r="23" spans="1:88" ht="15">
      <c r="A23" s="163"/>
      <c r="B23" s="212" t="s">
        <v>492</v>
      </c>
      <c r="C23" s="211" t="s">
        <v>193</v>
      </c>
      <c r="D23" s="211"/>
      <c r="E23" s="211"/>
      <c r="F23" s="211"/>
      <c r="G23" s="211" t="s">
        <v>193</v>
      </c>
      <c r="H23" s="211"/>
      <c r="I23" s="211" t="s">
        <v>193</v>
      </c>
      <c r="J23" s="211" t="s">
        <v>193</v>
      </c>
      <c r="K23" s="210" t="s">
        <v>193</v>
      </c>
      <c r="L23" s="210"/>
      <c r="M23" s="211"/>
      <c r="N23" s="211"/>
      <c r="O23" s="211" t="s">
        <v>193</v>
      </c>
      <c r="P23" s="211" t="s">
        <v>193</v>
      </c>
      <c r="Q23" s="211" t="s">
        <v>193</v>
      </c>
      <c r="R23" s="211" t="s">
        <v>193</v>
      </c>
      <c r="S23" s="211" t="s">
        <v>193</v>
      </c>
      <c r="T23" s="211" t="s">
        <v>193</v>
      </c>
      <c r="U23" s="211" t="s">
        <v>193</v>
      </c>
      <c r="V23" s="211" t="s">
        <v>193</v>
      </c>
      <c r="W23" s="211" t="s">
        <v>193</v>
      </c>
      <c r="X23" s="211" t="s">
        <v>193</v>
      </c>
      <c r="Y23" s="211" t="s">
        <v>193</v>
      </c>
      <c r="Z23" s="211"/>
      <c r="AA23" s="211" t="s">
        <v>193</v>
      </c>
      <c r="AB23" s="211"/>
      <c r="AC23" s="211"/>
      <c r="AD23" s="211" t="s">
        <v>193</v>
      </c>
      <c r="AE23" s="211"/>
      <c r="AF23" s="211" t="s">
        <v>193</v>
      </c>
      <c r="AG23" s="211"/>
      <c r="AH23" s="211"/>
      <c r="AI23" s="211" t="s">
        <v>193</v>
      </c>
      <c r="AJ23" s="211"/>
      <c r="AK23" s="211"/>
      <c r="AL23" s="211" t="s">
        <v>193</v>
      </c>
      <c r="AM23" s="211" t="s">
        <v>193</v>
      </c>
      <c r="AN23" s="211"/>
      <c r="AO23" s="211"/>
      <c r="AP23" s="211"/>
      <c r="AQ23" s="211"/>
      <c r="AR23" s="211"/>
      <c r="AS23" s="211" t="s">
        <v>193</v>
      </c>
      <c r="AT23" s="211"/>
      <c r="AU23" s="211" t="s">
        <v>193</v>
      </c>
      <c r="AV23" s="211" t="s">
        <v>193</v>
      </c>
      <c r="AW23" s="211"/>
      <c r="AX23" s="211" t="s">
        <v>193</v>
      </c>
      <c r="AY23" s="211" t="s">
        <v>193</v>
      </c>
      <c r="AZ23" s="211"/>
      <c r="BA23" s="211"/>
      <c r="BB23" s="211"/>
      <c r="BC23" s="211"/>
      <c r="BD23" s="211" t="s">
        <v>193</v>
      </c>
      <c r="BE23" s="211"/>
      <c r="BF23" s="211" t="s">
        <v>193</v>
      </c>
      <c r="BG23" s="211" t="s">
        <v>193</v>
      </c>
      <c r="BH23" s="211" t="s">
        <v>193</v>
      </c>
      <c r="BI23" s="211"/>
      <c r="BJ23" s="211"/>
      <c r="BK23" s="211" t="s">
        <v>193</v>
      </c>
      <c r="BL23" s="211" t="s">
        <v>193</v>
      </c>
      <c r="BM23" s="211"/>
      <c r="BN23" s="211" t="s">
        <v>193</v>
      </c>
      <c r="BO23" s="211" t="s">
        <v>193</v>
      </c>
      <c r="BP23" s="211" t="s">
        <v>193</v>
      </c>
      <c r="BQ23" s="211" t="s">
        <v>193</v>
      </c>
      <c r="BR23" s="211" t="s">
        <v>193</v>
      </c>
      <c r="BS23" s="211" t="s">
        <v>193</v>
      </c>
      <c r="BT23" s="211" t="s">
        <v>193</v>
      </c>
      <c r="BU23" s="211" t="s">
        <v>193</v>
      </c>
      <c r="BV23" s="211" t="s">
        <v>193</v>
      </c>
      <c r="BW23" s="211" t="s">
        <v>193</v>
      </c>
      <c r="BX23" s="211" t="s">
        <v>193</v>
      </c>
      <c r="BY23" s="211"/>
      <c r="BZ23" s="211" t="s">
        <v>193</v>
      </c>
      <c r="CA23" s="211"/>
      <c r="CB23" s="211" t="s">
        <v>193</v>
      </c>
      <c r="CC23" s="211" t="s">
        <v>193</v>
      </c>
      <c r="CD23" s="211" t="s">
        <v>193</v>
      </c>
      <c r="CE23" s="211"/>
      <c r="CF23" s="211"/>
      <c r="CG23" s="211" t="s">
        <v>193</v>
      </c>
      <c r="CH23" s="211"/>
      <c r="CI23" s="211" t="s">
        <v>193</v>
      </c>
      <c r="CJ23" s="163"/>
    </row>
    <row r="24" spans="1:88" ht="15">
      <c r="A24" s="163"/>
      <c r="B24" s="212" t="s">
        <v>493</v>
      </c>
      <c r="C24" s="211" t="s">
        <v>193</v>
      </c>
      <c r="D24" s="211"/>
      <c r="E24" s="211"/>
      <c r="F24" s="211"/>
      <c r="G24" s="211" t="s">
        <v>193</v>
      </c>
      <c r="H24" s="211"/>
      <c r="I24" s="211" t="s">
        <v>193</v>
      </c>
      <c r="J24" s="211" t="s">
        <v>193</v>
      </c>
      <c r="K24" s="210"/>
      <c r="L24" s="210"/>
      <c r="M24" s="211"/>
      <c r="N24" s="211"/>
      <c r="O24" s="211" t="s">
        <v>193</v>
      </c>
      <c r="P24" s="211" t="s">
        <v>193</v>
      </c>
      <c r="Q24" s="211" t="s">
        <v>193</v>
      </c>
      <c r="R24" s="211" t="s">
        <v>193</v>
      </c>
      <c r="S24" s="211" t="s">
        <v>193</v>
      </c>
      <c r="T24" s="211" t="s">
        <v>193</v>
      </c>
      <c r="U24" s="211" t="s">
        <v>193</v>
      </c>
      <c r="V24" s="211" t="s">
        <v>193</v>
      </c>
      <c r="W24" s="211" t="s">
        <v>193</v>
      </c>
      <c r="X24" s="211" t="s">
        <v>193</v>
      </c>
      <c r="Y24" s="211" t="s">
        <v>193</v>
      </c>
      <c r="Z24" s="211"/>
      <c r="AA24" s="211" t="s">
        <v>193</v>
      </c>
      <c r="AB24" s="211"/>
      <c r="AC24" s="211"/>
      <c r="AD24" s="211" t="s">
        <v>193</v>
      </c>
      <c r="AE24" s="211"/>
      <c r="AF24" s="211" t="s">
        <v>193</v>
      </c>
      <c r="AG24" s="211"/>
      <c r="AH24" s="211"/>
      <c r="AI24" s="211" t="s">
        <v>193</v>
      </c>
      <c r="AJ24" s="211"/>
      <c r="AK24" s="211"/>
      <c r="AL24" s="211"/>
      <c r="AM24" s="211"/>
      <c r="AN24" s="211"/>
      <c r="AO24" s="211" t="s">
        <v>193</v>
      </c>
      <c r="AP24" s="211"/>
      <c r="AQ24" s="211"/>
      <c r="AR24" s="211" t="s">
        <v>193</v>
      </c>
      <c r="AS24" s="211" t="s">
        <v>193</v>
      </c>
      <c r="AT24" s="211"/>
      <c r="AU24" s="211" t="s">
        <v>193</v>
      </c>
      <c r="AV24" s="211" t="s">
        <v>193</v>
      </c>
      <c r="AW24" s="211"/>
      <c r="AX24" s="211" t="s">
        <v>193</v>
      </c>
      <c r="AY24" s="211" t="s">
        <v>193</v>
      </c>
      <c r="AZ24" s="211"/>
      <c r="BA24" s="211" t="s">
        <v>193</v>
      </c>
      <c r="BB24" s="211" t="s">
        <v>193</v>
      </c>
      <c r="BC24" s="211" t="s">
        <v>193</v>
      </c>
      <c r="BD24" s="211" t="s">
        <v>193</v>
      </c>
      <c r="BE24" s="211"/>
      <c r="BF24" s="211" t="s">
        <v>193</v>
      </c>
      <c r="BG24" s="211" t="s">
        <v>193</v>
      </c>
      <c r="BH24" s="211" t="s">
        <v>193</v>
      </c>
      <c r="BI24" s="211"/>
      <c r="BJ24" s="211"/>
      <c r="BK24" s="211" t="s">
        <v>193</v>
      </c>
      <c r="BL24" s="211" t="s">
        <v>193</v>
      </c>
      <c r="BM24" s="211"/>
      <c r="BN24" s="211" t="s">
        <v>193</v>
      </c>
      <c r="BO24" s="211" t="s">
        <v>193</v>
      </c>
      <c r="BP24" s="211" t="s">
        <v>193</v>
      </c>
      <c r="BQ24" s="211" t="s">
        <v>193</v>
      </c>
      <c r="BR24" s="211" t="s">
        <v>193</v>
      </c>
      <c r="BS24" s="211" t="s">
        <v>193</v>
      </c>
      <c r="BT24" s="211" t="s">
        <v>193</v>
      </c>
      <c r="BU24" s="211" t="s">
        <v>193</v>
      </c>
      <c r="BV24" s="211" t="s">
        <v>193</v>
      </c>
      <c r="BW24" s="211" t="s">
        <v>193</v>
      </c>
      <c r="BX24" s="211" t="s">
        <v>193</v>
      </c>
      <c r="BY24" s="211"/>
      <c r="BZ24" s="211" t="s">
        <v>193</v>
      </c>
      <c r="CA24" s="211" t="s">
        <v>193</v>
      </c>
      <c r="CB24" s="211" t="s">
        <v>193</v>
      </c>
      <c r="CC24" s="211" t="s">
        <v>193</v>
      </c>
      <c r="CD24" s="211" t="s">
        <v>193</v>
      </c>
      <c r="CE24" s="211" t="s">
        <v>193</v>
      </c>
      <c r="CF24" s="211"/>
      <c r="CG24" s="211" t="s">
        <v>193</v>
      </c>
      <c r="CH24" s="211"/>
      <c r="CI24" s="211" t="s">
        <v>193</v>
      </c>
      <c r="CJ24" s="163"/>
    </row>
    <row r="25" spans="1:88" ht="15">
      <c r="A25" s="163"/>
      <c r="B25" s="212" t="s">
        <v>494</v>
      </c>
      <c r="C25" s="211" t="s">
        <v>193</v>
      </c>
      <c r="D25" s="211"/>
      <c r="E25" s="211"/>
      <c r="F25" s="211"/>
      <c r="G25" s="211" t="s">
        <v>193</v>
      </c>
      <c r="H25" s="211"/>
      <c r="I25" s="211" t="s">
        <v>193</v>
      </c>
      <c r="J25" s="211" t="s">
        <v>193</v>
      </c>
      <c r="K25" s="210"/>
      <c r="L25" s="210"/>
      <c r="M25" s="211"/>
      <c r="N25" s="211"/>
      <c r="O25" s="211" t="s">
        <v>193</v>
      </c>
      <c r="P25" s="211" t="s">
        <v>193</v>
      </c>
      <c r="Q25" s="211" t="s">
        <v>193</v>
      </c>
      <c r="R25" s="211" t="s">
        <v>193</v>
      </c>
      <c r="S25" s="211" t="s">
        <v>193</v>
      </c>
      <c r="T25" s="211" t="s">
        <v>193</v>
      </c>
      <c r="U25" s="211" t="s">
        <v>193</v>
      </c>
      <c r="V25" s="211" t="s">
        <v>193</v>
      </c>
      <c r="W25" s="211" t="s">
        <v>193</v>
      </c>
      <c r="X25" s="211" t="s">
        <v>193</v>
      </c>
      <c r="Y25" s="211" t="s">
        <v>193</v>
      </c>
      <c r="Z25" s="211"/>
      <c r="AA25" s="211" t="s">
        <v>193</v>
      </c>
      <c r="AB25" s="211"/>
      <c r="AC25" s="211"/>
      <c r="AD25" s="211" t="s">
        <v>193</v>
      </c>
      <c r="AE25" s="211"/>
      <c r="AF25" s="211" t="s">
        <v>193</v>
      </c>
      <c r="AG25" s="211"/>
      <c r="AH25" s="211"/>
      <c r="AI25" s="211" t="s">
        <v>193</v>
      </c>
      <c r="AJ25" s="211"/>
      <c r="AK25" s="211"/>
      <c r="AL25" s="211"/>
      <c r="AM25" s="211"/>
      <c r="AN25" s="211"/>
      <c r="AO25" s="211"/>
      <c r="AP25" s="211"/>
      <c r="AQ25" s="211"/>
      <c r="AR25" s="211"/>
      <c r="AS25" s="211" t="s">
        <v>193</v>
      </c>
      <c r="AT25" s="211"/>
      <c r="AU25" s="211" t="s">
        <v>193</v>
      </c>
      <c r="AV25" s="211" t="s">
        <v>193</v>
      </c>
      <c r="AW25" s="211"/>
      <c r="AX25" s="211" t="s">
        <v>193</v>
      </c>
      <c r="AY25" s="211" t="s">
        <v>193</v>
      </c>
      <c r="AZ25" s="211"/>
      <c r="BA25" s="211"/>
      <c r="BB25" s="211"/>
      <c r="BC25" s="211"/>
      <c r="BD25" s="211" t="s">
        <v>193</v>
      </c>
      <c r="BE25" s="211"/>
      <c r="BF25" s="211" t="s">
        <v>193</v>
      </c>
      <c r="BG25" s="211" t="s">
        <v>193</v>
      </c>
      <c r="BH25" s="211" t="s">
        <v>193</v>
      </c>
      <c r="BI25" s="211"/>
      <c r="BJ25" s="211"/>
      <c r="BK25" s="211" t="s">
        <v>193</v>
      </c>
      <c r="BL25" s="211" t="s">
        <v>193</v>
      </c>
      <c r="BM25" s="211"/>
      <c r="BN25" s="211" t="s">
        <v>193</v>
      </c>
      <c r="BO25" s="211" t="s">
        <v>193</v>
      </c>
      <c r="BP25" s="211" t="s">
        <v>193</v>
      </c>
      <c r="BQ25" s="211" t="s">
        <v>193</v>
      </c>
      <c r="BR25" s="211" t="s">
        <v>193</v>
      </c>
      <c r="BS25" s="211" t="s">
        <v>193</v>
      </c>
      <c r="BT25" s="211" t="s">
        <v>193</v>
      </c>
      <c r="BU25" s="211" t="s">
        <v>193</v>
      </c>
      <c r="BV25" s="211" t="s">
        <v>193</v>
      </c>
      <c r="BW25" s="211" t="s">
        <v>193</v>
      </c>
      <c r="BX25" s="211" t="s">
        <v>193</v>
      </c>
      <c r="BY25" s="211"/>
      <c r="BZ25" s="211" t="s">
        <v>193</v>
      </c>
      <c r="CA25" s="211"/>
      <c r="CB25" s="211" t="s">
        <v>193</v>
      </c>
      <c r="CC25" s="211" t="s">
        <v>193</v>
      </c>
      <c r="CD25" s="211" t="s">
        <v>193</v>
      </c>
      <c r="CE25" s="211" t="s">
        <v>193</v>
      </c>
      <c r="CF25" s="211"/>
      <c r="CG25" s="211" t="s">
        <v>193</v>
      </c>
      <c r="CH25" s="211"/>
      <c r="CI25" s="211" t="s">
        <v>193</v>
      </c>
      <c r="CJ25" s="163"/>
    </row>
    <row r="26" spans="1:88" ht="15">
      <c r="A26" s="163"/>
      <c r="B26" s="212" t="s">
        <v>495</v>
      </c>
      <c r="C26" s="211" t="s">
        <v>193</v>
      </c>
      <c r="D26" s="211"/>
      <c r="E26" s="211"/>
      <c r="F26" s="211" t="s">
        <v>193</v>
      </c>
      <c r="G26" s="211"/>
      <c r="H26" s="211" t="s">
        <v>193</v>
      </c>
      <c r="I26" s="211" t="s">
        <v>193</v>
      </c>
      <c r="J26" s="211" t="s">
        <v>193</v>
      </c>
      <c r="K26" s="210"/>
      <c r="L26" s="210"/>
      <c r="M26" s="211"/>
      <c r="N26" s="211" t="s">
        <v>193</v>
      </c>
      <c r="O26" s="211" t="s">
        <v>193</v>
      </c>
      <c r="P26" s="211" t="s">
        <v>193</v>
      </c>
      <c r="Q26" s="211" t="s">
        <v>193</v>
      </c>
      <c r="R26" s="211" t="s">
        <v>193</v>
      </c>
      <c r="S26" s="211" t="s">
        <v>193</v>
      </c>
      <c r="T26" s="211" t="s">
        <v>193</v>
      </c>
      <c r="U26" s="211" t="s">
        <v>193</v>
      </c>
      <c r="V26" s="211" t="s">
        <v>193</v>
      </c>
      <c r="W26" s="211" t="s">
        <v>193</v>
      </c>
      <c r="X26" s="211" t="s">
        <v>193</v>
      </c>
      <c r="Y26" s="211" t="s">
        <v>193</v>
      </c>
      <c r="Z26" s="211"/>
      <c r="AA26" s="211" t="s">
        <v>193</v>
      </c>
      <c r="AB26" s="211"/>
      <c r="AC26" s="211"/>
      <c r="AD26" s="211" t="s">
        <v>193</v>
      </c>
      <c r="AE26" s="211"/>
      <c r="AF26" s="211" t="s">
        <v>193</v>
      </c>
      <c r="AG26" s="211"/>
      <c r="AH26" s="211"/>
      <c r="AI26" s="211" t="s">
        <v>193</v>
      </c>
      <c r="AJ26" s="211"/>
      <c r="AK26" s="211"/>
      <c r="AL26" s="211"/>
      <c r="AM26" s="211" t="s">
        <v>193</v>
      </c>
      <c r="AN26" s="211" t="s">
        <v>193</v>
      </c>
      <c r="AO26" s="211"/>
      <c r="AP26" s="211" t="s">
        <v>193</v>
      </c>
      <c r="AQ26" s="211"/>
      <c r="AR26" s="211"/>
      <c r="AS26" s="211" t="s">
        <v>193</v>
      </c>
      <c r="AT26" s="211"/>
      <c r="AU26" s="211" t="s">
        <v>193</v>
      </c>
      <c r="AV26" s="211" t="s">
        <v>193</v>
      </c>
      <c r="AW26" s="211" t="s">
        <v>193</v>
      </c>
      <c r="AX26" s="211" t="s">
        <v>193</v>
      </c>
      <c r="AY26" s="211" t="s">
        <v>193</v>
      </c>
      <c r="AZ26" s="211" t="s">
        <v>193</v>
      </c>
      <c r="BA26" s="211"/>
      <c r="BB26" s="211"/>
      <c r="BC26" s="211"/>
      <c r="BD26" s="211" t="s">
        <v>193</v>
      </c>
      <c r="BE26" s="211"/>
      <c r="BF26" s="211" t="s">
        <v>193</v>
      </c>
      <c r="BG26" s="211" t="s">
        <v>193</v>
      </c>
      <c r="BH26" s="211" t="s">
        <v>193</v>
      </c>
      <c r="BI26" s="211"/>
      <c r="BJ26" s="211"/>
      <c r="BK26" s="211" t="s">
        <v>193</v>
      </c>
      <c r="BL26" s="211" t="s">
        <v>193</v>
      </c>
      <c r="BM26" s="211" t="s">
        <v>193</v>
      </c>
      <c r="BN26" s="211" t="s">
        <v>193</v>
      </c>
      <c r="BO26" s="211" t="s">
        <v>193</v>
      </c>
      <c r="BP26" s="211" t="s">
        <v>193</v>
      </c>
      <c r="BQ26" s="211" t="s">
        <v>193</v>
      </c>
      <c r="BR26" s="211" t="s">
        <v>193</v>
      </c>
      <c r="BS26" s="211" t="s">
        <v>193</v>
      </c>
      <c r="BT26" s="211" t="s">
        <v>193</v>
      </c>
      <c r="BU26" s="211" t="s">
        <v>193</v>
      </c>
      <c r="BV26" s="211" t="s">
        <v>193</v>
      </c>
      <c r="BW26" s="211" t="s">
        <v>193</v>
      </c>
      <c r="BX26" s="211" t="s">
        <v>193</v>
      </c>
      <c r="BY26" s="211"/>
      <c r="BZ26" s="211" t="s">
        <v>193</v>
      </c>
      <c r="CA26" s="211"/>
      <c r="CB26" s="211" t="s">
        <v>193</v>
      </c>
      <c r="CC26" s="211" t="s">
        <v>193</v>
      </c>
      <c r="CD26" s="211" t="s">
        <v>193</v>
      </c>
      <c r="CE26" s="211"/>
      <c r="CF26" s="211"/>
      <c r="CG26" s="211" t="s">
        <v>193</v>
      </c>
      <c r="CH26" s="211" t="s">
        <v>193</v>
      </c>
      <c r="CI26" s="211" t="s">
        <v>193</v>
      </c>
      <c r="CJ26" s="163"/>
    </row>
    <row r="27" spans="1:88" ht="27.75">
      <c r="A27" s="163"/>
      <c r="B27" s="212" t="s">
        <v>496</v>
      </c>
      <c r="C27" s="211" t="s">
        <v>193</v>
      </c>
      <c r="D27" s="211"/>
      <c r="E27" s="211"/>
      <c r="F27" s="211"/>
      <c r="G27" s="211"/>
      <c r="H27" s="211"/>
      <c r="I27" s="211" t="s">
        <v>193</v>
      </c>
      <c r="J27" s="211" t="s">
        <v>193</v>
      </c>
      <c r="K27" s="210"/>
      <c r="L27" s="210"/>
      <c r="M27" s="211"/>
      <c r="N27" s="211"/>
      <c r="O27" s="211" t="s">
        <v>193</v>
      </c>
      <c r="P27" s="211" t="s">
        <v>193</v>
      </c>
      <c r="Q27" s="211" t="s">
        <v>193</v>
      </c>
      <c r="R27" s="211" t="s">
        <v>193</v>
      </c>
      <c r="S27" s="211" t="s">
        <v>193</v>
      </c>
      <c r="T27" s="211" t="s">
        <v>193</v>
      </c>
      <c r="U27" s="211" t="s">
        <v>193</v>
      </c>
      <c r="V27" s="211" t="s">
        <v>193</v>
      </c>
      <c r="W27" s="211" t="s">
        <v>193</v>
      </c>
      <c r="X27" s="211" t="s">
        <v>193</v>
      </c>
      <c r="Y27" s="211" t="s">
        <v>193</v>
      </c>
      <c r="Z27" s="211"/>
      <c r="AA27" s="211" t="s">
        <v>193</v>
      </c>
      <c r="AB27" s="211"/>
      <c r="AC27" s="211"/>
      <c r="AD27" s="211" t="s">
        <v>193</v>
      </c>
      <c r="AE27" s="211"/>
      <c r="AF27" s="211" t="s">
        <v>193</v>
      </c>
      <c r="AG27" s="211"/>
      <c r="AH27" s="211"/>
      <c r="AI27" s="211" t="s">
        <v>193</v>
      </c>
      <c r="AJ27" s="211"/>
      <c r="AK27" s="211"/>
      <c r="AL27" s="211" t="s">
        <v>193</v>
      </c>
      <c r="AM27" s="211"/>
      <c r="AN27" s="211"/>
      <c r="AO27" s="211"/>
      <c r="AP27" s="211"/>
      <c r="AQ27" s="211"/>
      <c r="AR27" s="211" t="s">
        <v>193</v>
      </c>
      <c r="AS27" s="211" t="s">
        <v>193</v>
      </c>
      <c r="AT27" s="211"/>
      <c r="AU27" s="211" t="s">
        <v>193</v>
      </c>
      <c r="AV27" s="211" t="s">
        <v>193</v>
      </c>
      <c r="AW27" s="211"/>
      <c r="AX27" s="211" t="s">
        <v>193</v>
      </c>
      <c r="AY27" s="211" t="s">
        <v>193</v>
      </c>
      <c r="AZ27" s="211"/>
      <c r="BA27" s="211"/>
      <c r="BB27" s="211"/>
      <c r="BC27" s="211"/>
      <c r="BD27" s="211" t="s">
        <v>193</v>
      </c>
      <c r="BE27" s="211"/>
      <c r="BF27" s="211" t="s">
        <v>193</v>
      </c>
      <c r="BG27" s="211" t="s">
        <v>193</v>
      </c>
      <c r="BH27" s="211" t="s">
        <v>193</v>
      </c>
      <c r="BI27" s="211"/>
      <c r="BJ27" s="211"/>
      <c r="BK27" s="211" t="s">
        <v>193</v>
      </c>
      <c r="BL27" s="211" t="s">
        <v>193</v>
      </c>
      <c r="BM27" s="211"/>
      <c r="BN27" s="211" t="s">
        <v>193</v>
      </c>
      <c r="BO27" s="211" t="s">
        <v>193</v>
      </c>
      <c r="BP27" s="211" t="s">
        <v>193</v>
      </c>
      <c r="BQ27" s="211" t="s">
        <v>193</v>
      </c>
      <c r="BR27" s="211" t="s">
        <v>193</v>
      </c>
      <c r="BS27" s="211" t="s">
        <v>193</v>
      </c>
      <c r="BT27" s="211" t="s">
        <v>193</v>
      </c>
      <c r="BU27" s="211" t="s">
        <v>193</v>
      </c>
      <c r="BV27" s="211" t="s">
        <v>193</v>
      </c>
      <c r="BW27" s="211" t="s">
        <v>193</v>
      </c>
      <c r="BX27" s="211" t="s">
        <v>193</v>
      </c>
      <c r="BY27" s="211"/>
      <c r="BZ27" s="211" t="s">
        <v>193</v>
      </c>
      <c r="CA27" s="211"/>
      <c r="CB27" s="211" t="s">
        <v>193</v>
      </c>
      <c r="CC27" s="211" t="s">
        <v>193</v>
      </c>
      <c r="CD27" s="211" t="s">
        <v>193</v>
      </c>
      <c r="CE27" s="211"/>
      <c r="CF27" s="211"/>
      <c r="CG27" s="211" t="s">
        <v>193</v>
      </c>
      <c r="CH27" s="211"/>
      <c r="CI27" s="211" t="s">
        <v>193</v>
      </c>
      <c r="CJ27" s="163"/>
    </row>
    <row r="28" spans="1:88" ht="27.75" customHeight="1">
      <c r="A28" s="163"/>
      <c r="B28" s="212" t="s">
        <v>497</v>
      </c>
      <c r="C28" s="211" t="s">
        <v>193</v>
      </c>
      <c r="D28" s="211"/>
      <c r="E28" s="211"/>
      <c r="F28" s="211"/>
      <c r="G28" s="211"/>
      <c r="H28" s="211"/>
      <c r="I28" s="211" t="s">
        <v>193</v>
      </c>
      <c r="J28" s="211" t="s">
        <v>193</v>
      </c>
      <c r="K28" s="210"/>
      <c r="L28" s="210"/>
      <c r="M28" s="211"/>
      <c r="N28" s="211"/>
      <c r="O28" s="211" t="s">
        <v>193</v>
      </c>
      <c r="P28" s="211" t="s">
        <v>193</v>
      </c>
      <c r="Q28" s="211" t="s">
        <v>193</v>
      </c>
      <c r="R28" s="211" t="s">
        <v>193</v>
      </c>
      <c r="S28" s="211" t="s">
        <v>193</v>
      </c>
      <c r="T28" s="211" t="s">
        <v>193</v>
      </c>
      <c r="U28" s="211" t="s">
        <v>193</v>
      </c>
      <c r="V28" s="211" t="s">
        <v>193</v>
      </c>
      <c r="W28" s="211" t="s">
        <v>193</v>
      </c>
      <c r="X28" s="211" t="s">
        <v>193</v>
      </c>
      <c r="Y28" s="211" t="s">
        <v>193</v>
      </c>
      <c r="Z28" s="211"/>
      <c r="AA28" s="211" t="s">
        <v>193</v>
      </c>
      <c r="AB28" s="211"/>
      <c r="AC28" s="211"/>
      <c r="AD28" s="211" t="s">
        <v>193</v>
      </c>
      <c r="AE28" s="211"/>
      <c r="AF28" s="211" t="s">
        <v>193</v>
      </c>
      <c r="AG28" s="211"/>
      <c r="AH28" s="211"/>
      <c r="AI28" s="211" t="s">
        <v>193</v>
      </c>
      <c r="AJ28" s="211"/>
      <c r="AK28" s="211"/>
      <c r="AL28" s="211"/>
      <c r="AM28" s="211"/>
      <c r="AN28" s="211"/>
      <c r="AO28" s="211"/>
      <c r="AP28" s="211"/>
      <c r="AQ28" s="211"/>
      <c r="AR28" s="211"/>
      <c r="AS28" s="211" t="s">
        <v>193</v>
      </c>
      <c r="AT28" s="211"/>
      <c r="AU28" s="211" t="s">
        <v>193</v>
      </c>
      <c r="AV28" s="211" t="s">
        <v>193</v>
      </c>
      <c r="AW28" s="211"/>
      <c r="AX28" s="211" t="s">
        <v>193</v>
      </c>
      <c r="AY28" s="211" t="s">
        <v>193</v>
      </c>
      <c r="AZ28" s="211"/>
      <c r="BA28" s="211"/>
      <c r="BB28" s="211"/>
      <c r="BC28" s="211"/>
      <c r="BD28" s="211" t="s">
        <v>193</v>
      </c>
      <c r="BE28" s="211"/>
      <c r="BF28" s="211" t="s">
        <v>193</v>
      </c>
      <c r="BG28" s="211" t="s">
        <v>193</v>
      </c>
      <c r="BH28" s="211" t="s">
        <v>193</v>
      </c>
      <c r="BI28" s="211"/>
      <c r="BJ28" s="211"/>
      <c r="BK28" s="211" t="s">
        <v>193</v>
      </c>
      <c r="BL28" s="211" t="s">
        <v>193</v>
      </c>
      <c r="BM28" s="211"/>
      <c r="BN28" s="211" t="s">
        <v>193</v>
      </c>
      <c r="BO28" s="211" t="s">
        <v>193</v>
      </c>
      <c r="BP28" s="211" t="s">
        <v>193</v>
      </c>
      <c r="BQ28" s="211" t="s">
        <v>193</v>
      </c>
      <c r="BR28" s="211" t="s">
        <v>193</v>
      </c>
      <c r="BS28" s="211" t="s">
        <v>193</v>
      </c>
      <c r="BT28" s="211" t="s">
        <v>193</v>
      </c>
      <c r="BU28" s="211" t="s">
        <v>193</v>
      </c>
      <c r="BV28" s="211" t="s">
        <v>193</v>
      </c>
      <c r="BW28" s="211" t="s">
        <v>193</v>
      </c>
      <c r="BX28" s="211" t="s">
        <v>193</v>
      </c>
      <c r="BY28" s="211"/>
      <c r="BZ28" s="211" t="s">
        <v>193</v>
      </c>
      <c r="CA28" s="211"/>
      <c r="CB28" s="211" t="s">
        <v>193</v>
      </c>
      <c r="CC28" s="211" t="s">
        <v>193</v>
      </c>
      <c r="CD28" s="211" t="s">
        <v>193</v>
      </c>
      <c r="CE28" s="211"/>
      <c r="CF28" s="211"/>
      <c r="CG28" s="211" t="s">
        <v>193</v>
      </c>
      <c r="CH28" s="211"/>
      <c r="CI28" s="211" t="s">
        <v>193</v>
      </c>
      <c r="CJ28" s="163"/>
    </row>
    <row r="29" spans="1:88" ht="27.75" customHeight="1">
      <c r="A29" s="163"/>
      <c r="B29" s="212" t="s">
        <v>498</v>
      </c>
      <c r="C29" s="211" t="s">
        <v>193</v>
      </c>
      <c r="D29" s="211"/>
      <c r="E29" s="211"/>
      <c r="F29" s="211" t="s">
        <v>193</v>
      </c>
      <c r="G29" s="211"/>
      <c r="H29" s="211" t="s">
        <v>193</v>
      </c>
      <c r="I29" s="211" t="s">
        <v>193</v>
      </c>
      <c r="J29" s="211" t="s">
        <v>193</v>
      </c>
      <c r="K29" s="210"/>
      <c r="L29" s="210"/>
      <c r="M29" s="211"/>
      <c r="N29" s="211" t="s">
        <v>193</v>
      </c>
      <c r="O29" s="211" t="s">
        <v>193</v>
      </c>
      <c r="P29" s="211" t="s">
        <v>193</v>
      </c>
      <c r="Q29" s="211" t="s">
        <v>193</v>
      </c>
      <c r="R29" s="211" t="s">
        <v>193</v>
      </c>
      <c r="S29" s="211" t="s">
        <v>193</v>
      </c>
      <c r="T29" s="211" t="s">
        <v>193</v>
      </c>
      <c r="U29" s="211" t="s">
        <v>193</v>
      </c>
      <c r="V29" s="211" t="s">
        <v>193</v>
      </c>
      <c r="W29" s="211" t="s">
        <v>193</v>
      </c>
      <c r="X29" s="211" t="s">
        <v>193</v>
      </c>
      <c r="Y29" s="211" t="s">
        <v>193</v>
      </c>
      <c r="Z29" s="211"/>
      <c r="AA29" s="211" t="s">
        <v>193</v>
      </c>
      <c r="AB29" s="211"/>
      <c r="AC29" s="211"/>
      <c r="AD29" s="211" t="s">
        <v>193</v>
      </c>
      <c r="AE29" s="211"/>
      <c r="AF29" s="211" t="s">
        <v>193</v>
      </c>
      <c r="AG29" s="211"/>
      <c r="AH29" s="211"/>
      <c r="AI29" s="211" t="s">
        <v>193</v>
      </c>
      <c r="AJ29" s="211"/>
      <c r="AK29" s="211"/>
      <c r="AL29" s="211"/>
      <c r="AM29" s="211" t="s">
        <v>193</v>
      </c>
      <c r="AN29" s="211"/>
      <c r="AO29" s="211"/>
      <c r="AP29" s="211" t="s">
        <v>193</v>
      </c>
      <c r="AQ29" s="211"/>
      <c r="AR29" s="211"/>
      <c r="AS29" s="211" t="s">
        <v>193</v>
      </c>
      <c r="AT29" s="211"/>
      <c r="AU29" s="211" t="s">
        <v>193</v>
      </c>
      <c r="AV29" s="211" t="s">
        <v>193</v>
      </c>
      <c r="AW29" s="211" t="s">
        <v>193</v>
      </c>
      <c r="AX29" s="211" t="s">
        <v>193</v>
      </c>
      <c r="AY29" s="211" t="s">
        <v>193</v>
      </c>
      <c r="AZ29" s="211" t="s">
        <v>193</v>
      </c>
      <c r="BA29" s="211"/>
      <c r="BB29" s="211"/>
      <c r="BC29" s="211"/>
      <c r="BD29" s="211" t="s">
        <v>193</v>
      </c>
      <c r="BE29" s="211"/>
      <c r="BF29" s="211" t="s">
        <v>193</v>
      </c>
      <c r="BG29" s="211" t="s">
        <v>193</v>
      </c>
      <c r="BH29" s="211" t="s">
        <v>193</v>
      </c>
      <c r="BI29" s="211"/>
      <c r="BJ29" s="211"/>
      <c r="BK29" s="211" t="s">
        <v>193</v>
      </c>
      <c r="BL29" s="211" t="s">
        <v>193</v>
      </c>
      <c r="BM29" s="211"/>
      <c r="BN29" s="211" t="s">
        <v>193</v>
      </c>
      <c r="BO29" s="211" t="s">
        <v>193</v>
      </c>
      <c r="BP29" s="211" t="s">
        <v>193</v>
      </c>
      <c r="BQ29" s="211" t="s">
        <v>193</v>
      </c>
      <c r="BR29" s="211" t="s">
        <v>193</v>
      </c>
      <c r="BS29" s="211" t="s">
        <v>193</v>
      </c>
      <c r="BT29" s="211" t="s">
        <v>193</v>
      </c>
      <c r="BU29" s="211" t="s">
        <v>193</v>
      </c>
      <c r="BV29" s="211" t="s">
        <v>193</v>
      </c>
      <c r="BW29" s="211" t="s">
        <v>193</v>
      </c>
      <c r="BX29" s="211" t="s">
        <v>193</v>
      </c>
      <c r="BY29" s="211"/>
      <c r="BZ29" s="211" t="s">
        <v>193</v>
      </c>
      <c r="CA29" s="211"/>
      <c r="CB29" s="211" t="s">
        <v>193</v>
      </c>
      <c r="CC29" s="211" t="s">
        <v>193</v>
      </c>
      <c r="CD29" s="211" t="s">
        <v>193</v>
      </c>
      <c r="CE29" s="211"/>
      <c r="CF29" s="211"/>
      <c r="CG29" s="211" t="s">
        <v>193</v>
      </c>
      <c r="CH29" s="211" t="s">
        <v>193</v>
      </c>
      <c r="CI29" s="211" t="s">
        <v>193</v>
      </c>
      <c r="CJ29" s="163"/>
    </row>
    <row r="30" spans="1:88" ht="27.75" customHeight="1">
      <c r="A30" s="163"/>
      <c r="B30" s="212" t="s">
        <v>499</v>
      </c>
      <c r="C30" s="211" t="s">
        <v>193</v>
      </c>
      <c r="D30" s="211" t="s">
        <v>193</v>
      </c>
      <c r="E30" s="211" t="s">
        <v>193</v>
      </c>
      <c r="F30" s="211"/>
      <c r="G30" s="211"/>
      <c r="H30" s="211" t="s">
        <v>193</v>
      </c>
      <c r="I30" s="211" t="s">
        <v>193</v>
      </c>
      <c r="J30" s="211" t="s">
        <v>193</v>
      </c>
      <c r="K30" s="210"/>
      <c r="L30" s="210" t="s">
        <v>193</v>
      </c>
      <c r="M30" s="211"/>
      <c r="N30" s="211" t="s">
        <v>193</v>
      </c>
      <c r="O30" s="211" t="s">
        <v>193</v>
      </c>
      <c r="P30" s="211" t="s">
        <v>193</v>
      </c>
      <c r="Q30" s="211" t="s">
        <v>193</v>
      </c>
      <c r="R30" s="211" t="s">
        <v>193</v>
      </c>
      <c r="S30" s="211" t="s">
        <v>193</v>
      </c>
      <c r="T30" s="211" t="s">
        <v>193</v>
      </c>
      <c r="U30" s="211" t="s">
        <v>193</v>
      </c>
      <c r="V30" s="211" t="s">
        <v>193</v>
      </c>
      <c r="W30" s="211" t="s">
        <v>193</v>
      </c>
      <c r="X30" s="211" t="s">
        <v>193</v>
      </c>
      <c r="Y30" s="211" t="s">
        <v>193</v>
      </c>
      <c r="Z30" s="211"/>
      <c r="AA30" s="211" t="s">
        <v>193</v>
      </c>
      <c r="AB30" s="211" t="s">
        <v>193</v>
      </c>
      <c r="AC30" s="211"/>
      <c r="AD30" s="211" t="s">
        <v>193</v>
      </c>
      <c r="AE30" s="211"/>
      <c r="AF30" s="211" t="s">
        <v>193</v>
      </c>
      <c r="AG30" s="211"/>
      <c r="AH30" s="211"/>
      <c r="AI30" s="211" t="s">
        <v>193</v>
      </c>
      <c r="AJ30" s="211"/>
      <c r="AK30" s="211"/>
      <c r="AL30" s="211" t="s">
        <v>193</v>
      </c>
      <c r="AM30" s="211" t="s">
        <v>193</v>
      </c>
      <c r="AN30" s="211"/>
      <c r="AO30" s="211"/>
      <c r="AP30" s="211" t="s">
        <v>193</v>
      </c>
      <c r="AQ30" s="211"/>
      <c r="AR30" s="211"/>
      <c r="AS30" s="211" t="s">
        <v>193</v>
      </c>
      <c r="AT30" s="211"/>
      <c r="AU30" s="211" t="s">
        <v>193</v>
      </c>
      <c r="AV30" s="211" t="s">
        <v>193</v>
      </c>
      <c r="AW30" s="211"/>
      <c r="AX30" s="211" t="s">
        <v>193</v>
      </c>
      <c r="AY30" s="211" t="s">
        <v>193</v>
      </c>
      <c r="AZ30" s="211" t="s">
        <v>193</v>
      </c>
      <c r="BA30" s="211"/>
      <c r="BB30" s="211"/>
      <c r="BC30" s="211"/>
      <c r="BD30" s="211" t="s">
        <v>193</v>
      </c>
      <c r="BE30" s="211"/>
      <c r="BF30" s="211" t="s">
        <v>193</v>
      </c>
      <c r="BG30" s="211" t="s">
        <v>193</v>
      </c>
      <c r="BH30" s="211" t="s">
        <v>193</v>
      </c>
      <c r="BI30" s="211"/>
      <c r="BJ30" s="211" t="s">
        <v>193</v>
      </c>
      <c r="BK30" s="211" t="s">
        <v>193</v>
      </c>
      <c r="BL30" s="211" t="s">
        <v>193</v>
      </c>
      <c r="BM30" s="211" t="s">
        <v>193</v>
      </c>
      <c r="BN30" s="211" t="s">
        <v>193</v>
      </c>
      <c r="BO30" s="211" t="s">
        <v>193</v>
      </c>
      <c r="BP30" s="211" t="s">
        <v>193</v>
      </c>
      <c r="BQ30" s="211" t="s">
        <v>193</v>
      </c>
      <c r="BR30" s="211" t="s">
        <v>193</v>
      </c>
      <c r="BS30" s="211" t="s">
        <v>193</v>
      </c>
      <c r="BT30" s="211" t="s">
        <v>193</v>
      </c>
      <c r="BU30" s="211" t="s">
        <v>193</v>
      </c>
      <c r="BV30" s="211" t="s">
        <v>193</v>
      </c>
      <c r="BW30" s="211" t="s">
        <v>193</v>
      </c>
      <c r="BX30" s="211" t="s">
        <v>193</v>
      </c>
      <c r="BY30" s="211" t="s">
        <v>193</v>
      </c>
      <c r="BZ30" s="211" t="s">
        <v>193</v>
      </c>
      <c r="CA30" s="211"/>
      <c r="CB30" s="211" t="s">
        <v>193</v>
      </c>
      <c r="CC30" s="211" t="s">
        <v>193</v>
      </c>
      <c r="CD30" s="211" t="s">
        <v>193</v>
      </c>
      <c r="CE30" s="211"/>
      <c r="CF30" s="211"/>
      <c r="CG30" s="211" t="s">
        <v>193</v>
      </c>
      <c r="CH30" s="211" t="s">
        <v>193</v>
      </c>
      <c r="CI30" s="211" t="s">
        <v>193</v>
      </c>
      <c r="CJ30" s="163"/>
    </row>
    <row r="31" spans="1:88" ht="27.75" customHeight="1">
      <c r="A31" s="163"/>
      <c r="B31" s="212" t="s">
        <v>500</v>
      </c>
      <c r="C31" s="211" t="s">
        <v>193</v>
      </c>
      <c r="D31" s="211"/>
      <c r="E31" s="211"/>
      <c r="F31" s="211"/>
      <c r="G31" s="211"/>
      <c r="H31" s="211"/>
      <c r="I31" s="211" t="s">
        <v>193</v>
      </c>
      <c r="J31" s="211" t="s">
        <v>193</v>
      </c>
      <c r="K31" s="210"/>
      <c r="L31" s="210"/>
      <c r="M31" s="211"/>
      <c r="N31" s="211"/>
      <c r="O31" s="211" t="s">
        <v>193</v>
      </c>
      <c r="P31" s="211" t="s">
        <v>193</v>
      </c>
      <c r="Q31" s="211" t="s">
        <v>193</v>
      </c>
      <c r="R31" s="211" t="s">
        <v>193</v>
      </c>
      <c r="S31" s="211" t="s">
        <v>193</v>
      </c>
      <c r="T31" s="211" t="s">
        <v>193</v>
      </c>
      <c r="U31" s="211" t="s">
        <v>193</v>
      </c>
      <c r="V31" s="211" t="s">
        <v>193</v>
      </c>
      <c r="W31" s="211" t="s">
        <v>193</v>
      </c>
      <c r="X31" s="211" t="s">
        <v>193</v>
      </c>
      <c r="Y31" s="211" t="s">
        <v>193</v>
      </c>
      <c r="Z31" s="211"/>
      <c r="AA31" s="211" t="s">
        <v>193</v>
      </c>
      <c r="AB31" s="211"/>
      <c r="AC31" s="211"/>
      <c r="AD31" s="211" t="s">
        <v>193</v>
      </c>
      <c r="AE31" s="211"/>
      <c r="AF31" s="211" t="s">
        <v>193</v>
      </c>
      <c r="AG31" s="211"/>
      <c r="AH31" s="211"/>
      <c r="AI31" s="211" t="s">
        <v>193</v>
      </c>
      <c r="AJ31" s="211"/>
      <c r="AK31" s="211"/>
      <c r="AL31" s="211" t="s">
        <v>193</v>
      </c>
      <c r="AM31" s="211"/>
      <c r="AN31" s="211"/>
      <c r="AO31" s="211"/>
      <c r="AP31" s="211"/>
      <c r="AQ31" s="211"/>
      <c r="AR31" s="211"/>
      <c r="AS31" s="211" t="s">
        <v>193</v>
      </c>
      <c r="AT31" s="211"/>
      <c r="AU31" s="211" t="s">
        <v>193</v>
      </c>
      <c r="AV31" s="211" t="s">
        <v>193</v>
      </c>
      <c r="AW31" s="211"/>
      <c r="AX31" s="211" t="s">
        <v>193</v>
      </c>
      <c r="AY31" s="211" t="s">
        <v>193</v>
      </c>
      <c r="AZ31" s="211"/>
      <c r="BA31" s="211"/>
      <c r="BB31" s="211"/>
      <c r="BC31" s="211"/>
      <c r="BD31" s="211" t="s">
        <v>193</v>
      </c>
      <c r="BE31" s="211"/>
      <c r="BF31" s="211" t="s">
        <v>193</v>
      </c>
      <c r="BG31" s="211" t="s">
        <v>193</v>
      </c>
      <c r="BH31" s="211" t="s">
        <v>193</v>
      </c>
      <c r="BI31" s="211"/>
      <c r="BJ31" s="211"/>
      <c r="BK31" s="211" t="s">
        <v>193</v>
      </c>
      <c r="BL31" s="211" t="s">
        <v>193</v>
      </c>
      <c r="BM31" s="211"/>
      <c r="BN31" s="211" t="s">
        <v>193</v>
      </c>
      <c r="BO31" s="211" t="s">
        <v>193</v>
      </c>
      <c r="BP31" s="211" t="s">
        <v>193</v>
      </c>
      <c r="BQ31" s="211" t="s">
        <v>193</v>
      </c>
      <c r="BR31" s="211" t="s">
        <v>193</v>
      </c>
      <c r="BS31" s="211" t="s">
        <v>193</v>
      </c>
      <c r="BT31" s="211" t="s">
        <v>193</v>
      </c>
      <c r="BU31" s="211" t="s">
        <v>193</v>
      </c>
      <c r="BV31" s="211" t="s">
        <v>193</v>
      </c>
      <c r="BW31" s="211" t="s">
        <v>193</v>
      </c>
      <c r="BX31" s="211" t="s">
        <v>193</v>
      </c>
      <c r="BY31" s="211"/>
      <c r="BZ31" s="211" t="s">
        <v>193</v>
      </c>
      <c r="CA31" s="211"/>
      <c r="CB31" s="211" t="s">
        <v>193</v>
      </c>
      <c r="CC31" s="211" t="s">
        <v>193</v>
      </c>
      <c r="CD31" s="211" t="s">
        <v>193</v>
      </c>
      <c r="CE31" s="211"/>
      <c r="CF31" s="211"/>
      <c r="CG31" s="211" t="s">
        <v>193</v>
      </c>
      <c r="CH31" s="211"/>
      <c r="CI31" s="211" t="s">
        <v>193</v>
      </c>
      <c r="CJ31" s="163"/>
    </row>
    <row r="32" spans="1:88" ht="27.75" customHeight="1">
      <c r="A32" s="163"/>
      <c r="B32" s="212" t="s">
        <v>501</v>
      </c>
      <c r="C32" s="211" t="s">
        <v>193</v>
      </c>
      <c r="D32" s="211"/>
      <c r="E32" s="211"/>
      <c r="F32" s="211"/>
      <c r="G32" s="211"/>
      <c r="H32" s="211"/>
      <c r="I32" s="211" t="s">
        <v>193</v>
      </c>
      <c r="J32" s="211" t="s">
        <v>193</v>
      </c>
      <c r="K32" s="210"/>
      <c r="L32" s="210"/>
      <c r="M32" s="211"/>
      <c r="N32" s="211"/>
      <c r="O32" s="211" t="s">
        <v>193</v>
      </c>
      <c r="P32" s="211" t="s">
        <v>193</v>
      </c>
      <c r="Q32" s="211" t="s">
        <v>193</v>
      </c>
      <c r="R32" s="211" t="s">
        <v>193</v>
      </c>
      <c r="S32" s="211" t="s">
        <v>193</v>
      </c>
      <c r="T32" s="211" t="s">
        <v>193</v>
      </c>
      <c r="U32" s="211" t="s">
        <v>193</v>
      </c>
      <c r="V32" s="211" t="s">
        <v>193</v>
      </c>
      <c r="W32" s="211" t="s">
        <v>193</v>
      </c>
      <c r="X32" s="211" t="s">
        <v>193</v>
      </c>
      <c r="Y32" s="211" t="s">
        <v>193</v>
      </c>
      <c r="Z32" s="211"/>
      <c r="AA32" s="211" t="s">
        <v>193</v>
      </c>
      <c r="AB32" s="211"/>
      <c r="AC32" s="211"/>
      <c r="AD32" s="211" t="s">
        <v>193</v>
      </c>
      <c r="AE32" s="211"/>
      <c r="AF32" s="211" t="s">
        <v>193</v>
      </c>
      <c r="AG32" s="211"/>
      <c r="AH32" s="211"/>
      <c r="AI32" s="211" t="s">
        <v>193</v>
      </c>
      <c r="AJ32" s="211"/>
      <c r="AK32" s="211"/>
      <c r="AL32" s="211" t="s">
        <v>193</v>
      </c>
      <c r="AM32" s="211"/>
      <c r="AN32" s="211"/>
      <c r="AO32" s="211"/>
      <c r="AP32" s="211"/>
      <c r="AQ32" s="211"/>
      <c r="AR32" s="211"/>
      <c r="AS32" s="211" t="s">
        <v>193</v>
      </c>
      <c r="AT32" s="211"/>
      <c r="AU32" s="211" t="s">
        <v>193</v>
      </c>
      <c r="AV32" s="211" t="s">
        <v>193</v>
      </c>
      <c r="AW32" s="211"/>
      <c r="AX32" s="211" t="s">
        <v>193</v>
      </c>
      <c r="AY32" s="211" t="s">
        <v>193</v>
      </c>
      <c r="AZ32" s="211" t="s">
        <v>193</v>
      </c>
      <c r="BA32" s="211"/>
      <c r="BB32" s="211"/>
      <c r="BC32" s="211"/>
      <c r="BD32" s="211" t="s">
        <v>193</v>
      </c>
      <c r="BE32" s="211"/>
      <c r="BF32" s="211" t="s">
        <v>193</v>
      </c>
      <c r="BG32" s="211" t="s">
        <v>193</v>
      </c>
      <c r="BH32" s="211" t="s">
        <v>193</v>
      </c>
      <c r="BI32" s="211"/>
      <c r="BJ32" s="211"/>
      <c r="BK32" s="211" t="s">
        <v>193</v>
      </c>
      <c r="BL32" s="211" t="s">
        <v>193</v>
      </c>
      <c r="BM32" s="211"/>
      <c r="BN32" s="211" t="s">
        <v>193</v>
      </c>
      <c r="BO32" s="211" t="s">
        <v>193</v>
      </c>
      <c r="BP32" s="211" t="s">
        <v>193</v>
      </c>
      <c r="BQ32" s="211" t="s">
        <v>193</v>
      </c>
      <c r="BR32" s="211" t="s">
        <v>193</v>
      </c>
      <c r="BS32" s="211" t="s">
        <v>193</v>
      </c>
      <c r="BT32" s="211" t="s">
        <v>193</v>
      </c>
      <c r="BU32" s="211" t="s">
        <v>193</v>
      </c>
      <c r="BV32" s="211" t="s">
        <v>193</v>
      </c>
      <c r="BW32" s="211" t="s">
        <v>193</v>
      </c>
      <c r="BX32" s="211" t="s">
        <v>193</v>
      </c>
      <c r="BY32" s="211"/>
      <c r="BZ32" s="211" t="s">
        <v>193</v>
      </c>
      <c r="CA32" s="211"/>
      <c r="CB32" s="211" t="s">
        <v>193</v>
      </c>
      <c r="CC32" s="211" t="s">
        <v>193</v>
      </c>
      <c r="CD32" s="211" t="s">
        <v>193</v>
      </c>
      <c r="CE32" s="211"/>
      <c r="CF32" s="211"/>
      <c r="CG32" s="211" t="s">
        <v>193</v>
      </c>
      <c r="CH32" s="211"/>
      <c r="CI32" s="211" t="s">
        <v>193</v>
      </c>
      <c r="CJ32" s="163"/>
    </row>
    <row r="33" spans="1:88" ht="27.75" customHeight="1">
      <c r="A33" s="163"/>
      <c r="B33" s="212" t="s">
        <v>502</v>
      </c>
      <c r="C33" s="211" t="s">
        <v>193</v>
      </c>
      <c r="D33" s="211"/>
      <c r="E33" s="211"/>
      <c r="F33" s="211"/>
      <c r="G33" s="211"/>
      <c r="H33" s="211"/>
      <c r="I33" s="211" t="s">
        <v>193</v>
      </c>
      <c r="J33" s="211" t="s">
        <v>193</v>
      </c>
      <c r="K33" s="210"/>
      <c r="L33" s="210"/>
      <c r="M33" s="211"/>
      <c r="N33" s="211"/>
      <c r="O33" s="211" t="s">
        <v>193</v>
      </c>
      <c r="P33" s="211" t="s">
        <v>193</v>
      </c>
      <c r="Q33" s="211" t="s">
        <v>193</v>
      </c>
      <c r="R33" s="211" t="s">
        <v>193</v>
      </c>
      <c r="S33" s="211" t="s">
        <v>193</v>
      </c>
      <c r="T33" s="211" t="s">
        <v>193</v>
      </c>
      <c r="U33" s="211" t="s">
        <v>193</v>
      </c>
      <c r="V33" s="211" t="s">
        <v>193</v>
      </c>
      <c r="W33" s="211" t="s">
        <v>193</v>
      </c>
      <c r="X33" s="211" t="s">
        <v>193</v>
      </c>
      <c r="Y33" s="211" t="s">
        <v>193</v>
      </c>
      <c r="Z33" s="211"/>
      <c r="AA33" s="211" t="s">
        <v>193</v>
      </c>
      <c r="AB33" s="211"/>
      <c r="AC33" s="211"/>
      <c r="AD33" s="211" t="s">
        <v>193</v>
      </c>
      <c r="AE33" s="211"/>
      <c r="AF33" s="211" t="s">
        <v>193</v>
      </c>
      <c r="AG33" s="211"/>
      <c r="AH33" s="211"/>
      <c r="AI33" s="211" t="s">
        <v>193</v>
      </c>
      <c r="AJ33" s="211"/>
      <c r="AK33" s="211"/>
      <c r="AL33" s="211" t="s">
        <v>193</v>
      </c>
      <c r="AM33" s="211"/>
      <c r="AN33" s="211"/>
      <c r="AO33" s="211"/>
      <c r="AP33" s="211"/>
      <c r="AQ33" s="211"/>
      <c r="AR33" s="211"/>
      <c r="AS33" s="211" t="s">
        <v>193</v>
      </c>
      <c r="AT33" s="211"/>
      <c r="AU33" s="211" t="s">
        <v>193</v>
      </c>
      <c r="AV33" s="211" t="s">
        <v>193</v>
      </c>
      <c r="AW33" s="211"/>
      <c r="AX33" s="211" t="s">
        <v>193</v>
      </c>
      <c r="AY33" s="211" t="s">
        <v>193</v>
      </c>
      <c r="AZ33" s="211" t="s">
        <v>193</v>
      </c>
      <c r="BA33" s="211"/>
      <c r="BB33" s="211"/>
      <c r="BC33" s="211"/>
      <c r="BD33" s="211" t="s">
        <v>193</v>
      </c>
      <c r="BE33" s="211"/>
      <c r="BF33" s="211" t="s">
        <v>193</v>
      </c>
      <c r="BG33" s="211" t="s">
        <v>193</v>
      </c>
      <c r="BH33" s="211" t="s">
        <v>193</v>
      </c>
      <c r="BI33" s="211"/>
      <c r="BJ33" s="211"/>
      <c r="BK33" s="211" t="s">
        <v>193</v>
      </c>
      <c r="BL33" s="211" t="s">
        <v>193</v>
      </c>
      <c r="BM33" s="211"/>
      <c r="BN33" s="211" t="s">
        <v>193</v>
      </c>
      <c r="BO33" s="211" t="s">
        <v>193</v>
      </c>
      <c r="BP33" s="211" t="s">
        <v>193</v>
      </c>
      <c r="BQ33" s="211" t="s">
        <v>193</v>
      </c>
      <c r="BR33" s="211" t="s">
        <v>193</v>
      </c>
      <c r="BS33" s="211" t="s">
        <v>193</v>
      </c>
      <c r="BT33" s="211" t="s">
        <v>193</v>
      </c>
      <c r="BU33" s="211" t="s">
        <v>193</v>
      </c>
      <c r="BV33" s="211" t="s">
        <v>193</v>
      </c>
      <c r="BW33" s="211" t="s">
        <v>193</v>
      </c>
      <c r="BX33" s="211" t="s">
        <v>193</v>
      </c>
      <c r="BY33" s="211"/>
      <c r="BZ33" s="211" t="s">
        <v>193</v>
      </c>
      <c r="CA33" s="211"/>
      <c r="CB33" s="211" t="s">
        <v>193</v>
      </c>
      <c r="CC33" s="211" t="s">
        <v>193</v>
      </c>
      <c r="CD33" s="211" t="s">
        <v>193</v>
      </c>
      <c r="CE33" s="211"/>
      <c r="CF33" s="211"/>
      <c r="CG33" s="211" t="s">
        <v>193</v>
      </c>
      <c r="CH33" s="211"/>
      <c r="CI33" s="211" t="s">
        <v>193</v>
      </c>
      <c r="CJ33" s="163"/>
    </row>
    <row r="34" spans="1:88" ht="23.25" customHeight="1">
      <c r="A34" s="163"/>
      <c r="B34" s="212" t="s">
        <v>503</v>
      </c>
      <c r="C34" s="211" t="s">
        <v>193</v>
      </c>
      <c r="D34" s="211"/>
      <c r="E34" s="211" t="s">
        <v>193</v>
      </c>
      <c r="F34" s="211"/>
      <c r="G34" s="211"/>
      <c r="H34" s="211"/>
      <c r="I34" s="211" t="s">
        <v>193</v>
      </c>
      <c r="J34" s="211" t="s">
        <v>193</v>
      </c>
      <c r="K34" s="210"/>
      <c r="L34" s="210" t="s">
        <v>193</v>
      </c>
      <c r="M34" s="211"/>
      <c r="N34" s="211"/>
      <c r="O34" s="211" t="s">
        <v>193</v>
      </c>
      <c r="P34" s="211" t="s">
        <v>193</v>
      </c>
      <c r="Q34" s="211" t="s">
        <v>193</v>
      </c>
      <c r="R34" s="211" t="s">
        <v>193</v>
      </c>
      <c r="S34" s="211" t="s">
        <v>193</v>
      </c>
      <c r="T34" s="211" t="s">
        <v>193</v>
      </c>
      <c r="U34" s="211" t="s">
        <v>193</v>
      </c>
      <c r="V34" s="211" t="s">
        <v>193</v>
      </c>
      <c r="W34" s="211" t="s">
        <v>193</v>
      </c>
      <c r="X34" s="211" t="s">
        <v>193</v>
      </c>
      <c r="Y34" s="211" t="s">
        <v>193</v>
      </c>
      <c r="Z34" s="211"/>
      <c r="AA34" s="211" t="s">
        <v>193</v>
      </c>
      <c r="AB34" s="211" t="s">
        <v>193</v>
      </c>
      <c r="AC34" s="211"/>
      <c r="AD34" s="211" t="s">
        <v>193</v>
      </c>
      <c r="AE34" s="211"/>
      <c r="AF34" s="211" t="s">
        <v>193</v>
      </c>
      <c r="AG34" s="211"/>
      <c r="AH34" s="211"/>
      <c r="AI34" s="211" t="s">
        <v>193</v>
      </c>
      <c r="AJ34" s="211"/>
      <c r="AK34" s="211"/>
      <c r="AL34" s="211" t="s">
        <v>193</v>
      </c>
      <c r="AM34" s="211"/>
      <c r="AN34" s="211"/>
      <c r="AO34" s="211"/>
      <c r="AP34" s="211"/>
      <c r="AQ34" s="211" t="s">
        <v>193</v>
      </c>
      <c r="AR34" s="211"/>
      <c r="AS34" s="211" t="s">
        <v>193</v>
      </c>
      <c r="AT34" s="211"/>
      <c r="AU34" s="211" t="s">
        <v>193</v>
      </c>
      <c r="AV34" s="211" t="s">
        <v>193</v>
      </c>
      <c r="AW34" s="211"/>
      <c r="AX34" s="211" t="s">
        <v>193</v>
      </c>
      <c r="AY34" s="211" t="s">
        <v>193</v>
      </c>
      <c r="AZ34" s="211" t="s">
        <v>193</v>
      </c>
      <c r="BA34" s="211"/>
      <c r="BB34" s="211"/>
      <c r="BC34" s="211"/>
      <c r="BD34" s="211" t="s">
        <v>193</v>
      </c>
      <c r="BE34" s="211"/>
      <c r="BF34" s="211" t="s">
        <v>193</v>
      </c>
      <c r="BG34" s="211" t="s">
        <v>193</v>
      </c>
      <c r="BH34" s="211" t="s">
        <v>193</v>
      </c>
      <c r="BI34" s="211"/>
      <c r="BJ34" s="211" t="s">
        <v>193</v>
      </c>
      <c r="BK34" s="211" t="s">
        <v>193</v>
      </c>
      <c r="BL34" s="211" t="s">
        <v>193</v>
      </c>
      <c r="BM34" s="211" t="s">
        <v>193</v>
      </c>
      <c r="BN34" s="211" t="s">
        <v>193</v>
      </c>
      <c r="BO34" s="211" t="s">
        <v>193</v>
      </c>
      <c r="BP34" s="211" t="s">
        <v>193</v>
      </c>
      <c r="BQ34" s="211" t="s">
        <v>193</v>
      </c>
      <c r="BR34" s="211" t="s">
        <v>193</v>
      </c>
      <c r="BS34" s="211" t="s">
        <v>193</v>
      </c>
      <c r="BT34" s="211" t="s">
        <v>193</v>
      </c>
      <c r="BU34" s="211" t="s">
        <v>193</v>
      </c>
      <c r="BV34" s="211" t="s">
        <v>193</v>
      </c>
      <c r="BW34" s="211" t="s">
        <v>193</v>
      </c>
      <c r="BX34" s="211" t="s">
        <v>193</v>
      </c>
      <c r="BY34" s="211"/>
      <c r="BZ34" s="211" t="s">
        <v>193</v>
      </c>
      <c r="CA34" s="211"/>
      <c r="CB34" s="211" t="s">
        <v>193</v>
      </c>
      <c r="CC34" s="211" t="s">
        <v>193</v>
      </c>
      <c r="CD34" s="211" t="s">
        <v>193</v>
      </c>
      <c r="CE34" s="211"/>
      <c r="CF34" s="211"/>
      <c r="CG34" s="211" t="s">
        <v>193</v>
      </c>
      <c r="CH34" s="211"/>
      <c r="CI34" s="211" t="s">
        <v>193</v>
      </c>
      <c r="CJ34" s="163"/>
    </row>
    <row r="35" spans="1:88" ht="23.25" customHeight="1">
      <c r="A35" s="163"/>
      <c r="B35" s="212" t="s">
        <v>504</v>
      </c>
      <c r="C35" s="211" t="s">
        <v>193</v>
      </c>
      <c r="D35" s="211"/>
      <c r="E35" s="211"/>
      <c r="F35" s="211"/>
      <c r="G35" s="211"/>
      <c r="H35" s="211"/>
      <c r="I35" s="211" t="s">
        <v>193</v>
      </c>
      <c r="J35" s="211" t="s">
        <v>193</v>
      </c>
      <c r="K35" s="210"/>
      <c r="L35" s="210"/>
      <c r="M35" s="211"/>
      <c r="N35" s="211"/>
      <c r="O35" s="211" t="s">
        <v>193</v>
      </c>
      <c r="P35" s="211" t="s">
        <v>193</v>
      </c>
      <c r="Q35" s="211" t="s">
        <v>193</v>
      </c>
      <c r="R35" s="211" t="s">
        <v>193</v>
      </c>
      <c r="S35" s="211" t="s">
        <v>193</v>
      </c>
      <c r="T35" s="211" t="s">
        <v>193</v>
      </c>
      <c r="U35" s="211" t="s">
        <v>193</v>
      </c>
      <c r="V35" s="211" t="s">
        <v>193</v>
      </c>
      <c r="W35" s="211" t="s">
        <v>193</v>
      </c>
      <c r="X35" s="211" t="s">
        <v>193</v>
      </c>
      <c r="Y35" s="211" t="s">
        <v>193</v>
      </c>
      <c r="Z35" s="211"/>
      <c r="AA35" s="211" t="s">
        <v>193</v>
      </c>
      <c r="AB35" s="211"/>
      <c r="AC35" s="211"/>
      <c r="AD35" s="211" t="s">
        <v>193</v>
      </c>
      <c r="AE35" s="211"/>
      <c r="AF35" s="211" t="s">
        <v>193</v>
      </c>
      <c r="AG35" s="211"/>
      <c r="AH35" s="211"/>
      <c r="AI35" s="211" t="s">
        <v>193</v>
      </c>
      <c r="AJ35" s="211"/>
      <c r="AK35" s="211"/>
      <c r="AL35" s="211" t="s">
        <v>193</v>
      </c>
      <c r="AM35" s="211"/>
      <c r="AN35" s="211"/>
      <c r="AO35" s="211"/>
      <c r="AP35" s="211"/>
      <c r="AQ35" s="211"/>
      <c r="AR35" s="211"/>
      <c r="AS35" s="211" t="s">
        <v>193</v>
      </c>
      <c r="AT35" s="211"/>
      <c r="AU35" s="211" t="s">
        <v>193</v>
      </c>
      <c r="AV35" s="211" t="s">
        <v>193</v>
      </c>
      <c r="AW35" s="211"/>
      <c r="AX35" s="211" t="s">
        <v>193</v>
      </c>
      <c r="AY35" s="211" t="s">
        <v>193</v>
      </c>
      <c r="AZ35" s="211"/>
      <c r="BA35" s="211"/>
      <c r="BB35" s="211"/>
      <c r="BC35" s="211"/>
      <c r="BD35" s="211" t="s">
        <v>193</v>
      </c>
      <c r="BE35" s="211"/>
      <c r="BF35" s="211" t="s">
        <v>193</v>
      </c>
      <c r="BG35" s="211" t="s">
        <v>193</v>
      </c>
      <c r="BH35" s="211" t="s">
        <v>193</v>
      </c>
      <c r="BI35" s="211"/>
      <c r="BJ35" s="211"/>
      <c r="BK35" s="211" t="s">
        <v>193</v>
      </c>
      <c r="BL35" s="211" t="s">
        <v>193</v>
      </c>
      <c r="BM35" s="211"/>
      <c r="BN35" s="211" t="s">
        <v>193</v>
      </c>
      <c r="BO35" s="211" t="s">
        <v>193</v>
      </c>
      <c r="BP35" s="211" t="s">
        <v>193</v>
      </c>
      <c r="BQ35" s="211" t="s">
        <v>193</v>
      </c>
      <c r="BR35" s="211" t="s">
        <v>193</v>
      </c>
      <c r="BS35" s="211" t="s">
        <v>193</v>
      </c>
      <c r="BT35" s="211" t="s">
        <v>193</v>
      </c>
      <c r="BU35" s="211" t="s">
        <v>193</v>
      </c>
      <c r="BV35" s="211" t="s">
        <v>193</v>
      </c>
      <c r="BW35" s="211" t="s">
        <v>193</v>
      </c>
      <c r="BX35" s="211" t="s">
        <v>193</v>
      </c>
      <c r="BY35" s="211"/>
      <c r="BZ35" s="211" t="s">
        <v>193</v>
      </c>
      <c r="CA35" s="211"/>
      <c r="CB35" s="211" t="s">
        <v>193</v>
      </c>
      <c r="CC35" s="211" t="s">
        <v>193</v>
      </c>
      <c r="CD35" s="211" t="s">
        <v>193</v>
      </c>
      <c r="CE35" s="211"/>
      <c r="CF35" s="211"/>
      <c r="CG35" s="211" t="s">
        <v>193</v>
      </c>
      <c r="CH35" s="211"/>
      <c r="CI35" s="211" t="s">
        <v>193</v>
      </c>
      <c r="CJ35" s="163"/>
    </row>
    <row r="36" spans="1:88" ht="23.25" customHeight="1">
      <c r="A36" s="163"/>
      <c r="B36" s="212" t="s">
        <v>505</v>
      </c>
      <c r="C36" s="211" t="s">
        <v>193</v>
      </c>
      <c r="D36" s="211"/>
      <c r="E36" s="211"/>
      <c r="F36" s="211"/>
      <c r="G36" s="211"/>
      <c r="H36" s="211"/>
      <c r="I36" s="211" t="s">
        <v>193</v>
      </c>
      <c r="J36" s="211" t="s">
        <v>193</v>
      </c>
      <c r="K36" s="210"/>
      <c r="L36" s="210"/>
      <c r="M36" s="211"/>
      <c r="N36" s="211"/>
      <c r="O36" s="211" t="s">
        <v>193</v>
      </c>
      <c r="P36" s="211" t="s">
        <v>193</v>
      </c>
      <c r="Q36" s="211" t="s">
        <v>193</v>
      </c>
      <c r="R36" s="211" t="s">
        <v>193</v>
      </c>
      <c r="S36" s="211" t="s">
        <v>193</v>
      </c>
      <c r="T36" s="211" t="s">
        <v>193</v>
      </c>
      <c r="U36" s="211" t="s">
        <v>193</v>
      </c>
      <c r="V36" s="211" t="s">
        <v>193</v>
      </c>
      <c r="W36" s="211" t="s">
        <v>193</v>
      </c>
      <c r="X36" s="211" t="s">
        <v>193</v>
      </c>
      <c r="Y36" s="211" t="s">
        <v>193</v>
      </c>
      <c r="Z36" s="211"/>
      <c r="AA36" s="211" t="s">
        <v>193</v>
      </c>
      <c r="AB36" s="211"/>
      <c r="AC36" s="211"/>
      <c r="AD36" s="211" t="s">
        <v>193</v>
      </c>
      <c r="AE36" s="211"/>
      <c r="AF36" s="211" t="s">
        <v>193</v>
      </c>
      <c r="AG36" s="211"/>
      <c r="AH36" s="211"/>
      <c r="AI36" s="211" t="s">
        <v>193</v>
      </c>
      <c r="AJ36" s="211"/>
      <c r="AK36" s="211"/>
      <c r="AL36" s="211" t="s">
        <v>193</v>
      </c>
      <c r="AM36" s="211"/>
      <c r="AN36" s="211"/>
      <c r="AO36" s="211"/>
      <c r="AP36" s="211"/>
      <c r="AQ36" s="211"/>
      <c r="AR36" s="211"/>
      <c r="AS36" s="211" t="s">
        <v>193</v>
      </c>
      <c r="AT36" s="211"/>
      <c r="AU36" s="211" t="s">
        <v>193</v>
      </c>
      <c r="AV36" s="211" t="s">
        <v>193</v>
      </c>
      <c r="AW36" s="211"/>
      <c r="AX36" s="211" t="s">
        <v>193</v>
      </c>
      <c r="AY36" s="211" t="s">
        <v>193</v>
      </c>
      <c r="AZ36" s="211"/>
      <c r="BA36" s="211"/>
      <c r="BB36" s="211"/>
      <c r="BC36" s="211"/>
      <c r="BD36" s="211" t="s">
        <v>193</v>
      </c>
      <c r="BE36" s="211"/>
      <c r="BF36" s="211" t="s">
        <v>193</v>
      </c>
      <c r="BG36" s="211" t="s">
        <v>193</v>
      </c>
      <c r="BH36" s="211" t="s">
        <v>193</v>
      </c>
      <c r="BI36" s="211"/>
      <c r="BJ36" s="211"/>
      <c r="BK36" s="211" t="s">
        <v>193</v>
      </c>
      <c r="BL36" s="211" t="s">
        <v>193</v>
      </c>
      <c r="BM36" s="211"/>
      <c r="BN36" s="211" t="s">
        <v>193</v>
      </c>
      <c r="BO36" s="211" t="s">
        <v>193</v>
      </c>
      <c r="BP36" s="211" t="s">
        <v>193</v>
      </c>
      <c r="BQ36" s="211" t="s">
        <v>193</v>
      </c>
      <c r="BR36" s="211" t="s">
        <v>193</v>
      </c>
      <c r="BS36" s="211" t="s">
        <v>193</v>
      </c>
      <c r="BT36" s="211" t="s">
        <v>193</v>
      </c>
      <c r="BU36" s="211" t="s">
        <v>193</v>
      </c>
      <c r="BV36" s="211" t="s">
        <v>193</v>
      </c>
      <c r="BW36" s="211" t="s">
        <v>193</v>
      </c>
      <c r="BX36" s="211" t="s">
        <v>193</v>
      </c>
      <c r="BY36" s="211"/>
      <c r="BZ36" s="211" t="s">
        <v>193</v>
      </c>
      <c r="CA36" s="211"/>
      <c r="CB36" s="211" t="s">
        <v>193</v>
      </c>
      <c r="CC36" s="211" t="s">
        <v>193</v>
      </c>
      <c r="CD36" s="211" t="s">
        <v>193</v>
      </c>
      <c r="CE36" s="211"/>
      <c r="CF36" s="211"/>
      <c r="CG36" s="211" t="s">
        <v>193</v>
      </c>
      <c r="CH36" s="211"/>
      <c r="CI36" s="211" t="s">
        <v>193</v>
      </c>
      <c r="CJ36" s="163"/>
    </row>
    <row r="37" spans="1:88" ht="23.25" customHeight="1">
      <c r="A37" s="163"/>
      <c r="B37" s="212" t="s">
        <v>506</v>
      </c>
      <c r="C37" s="211" t="s">
        <v>193</v>
      </c>
      <c r="D37" s="211"/>
      <c r="E37" s="211"/>
      <c r="F37" s="211"/>
      <c r="G37" s="211"/>
      <c r="H37" s="211"/>
      <c r="I37" s="211" t="s">
        <v>193</v>
      </c>
      <c r="J37" s="211" t="s">
        <v>193</v>
      </c>
      <c r="K37" s="210"/>
      <c r="L37" s="210"/>
      <c r="M37" s="211"/>
      <c r="N37" s="211"/>
      <c r="O37" s="211" t="s">
        <v>193</v>
      </c>
      <c r="P37" s="211" t="s">
        <v>193</v>
      </c>
      <c r="Q37" s="211" t="s">
        <v>193</v>
      </c>
      <c r="R37" s="211" t="s">
        <v>193</v>
      </c>
      <c r="S37" s="211" t="s">
        <v>193</v>
      </c>
      <c r="T37" s="211" t="s">
        <v>193</v>
      </c>
      <c r="U37" s="211" t="s">
        <v>193</v>
      </c>
      <c r="V37" s="211" t="s">
        <v>193</v>
      </c>
      <c r="W37" s="211" t="s">
        <v>193</v>
      </c>
      <c r="X37" s="211" t="s">
        <v>193</v>
      </c>
      <c r="Y37" s="211" t="s">
        <v>193</v>
      </c>
      <c r="Z37" s="211"/>
      <c r="AA37" s="211" t="s">
        <v>193</v>
      </c>
      <c r="AB37" s="211"/>
      <c r="AC37" s="211"/>
      <c r="AD37" s="211" t="s">
        <v>193</v>
      </c>
      <c r="AE37" s="211"/>
      <c r="AF37" s="211" t="s">
        <v>193</v>
      </c>
      <c r="AG37" s="211"/>
      <c r="AH37" s="211"/>
      <c r="AI37" s="211" t="s">
        <v>193</v>
      </c>
      <c r="AJ37" s="211"/>
      <c r="AK37" s="211"/>
      <c r="AL37" s="211" t="s">
        <v>193</v>
      </c>
      <c r="AM37" s="211"/>
      <c r="AN37" s="211"/>
      <c r="AO37" s="211"/>
      <c r="AP37" s="211"/>
      <c r="AQ37" s="211"/>
      <c r="AR37" s="211"/>
      <c r="AS37" s="211" t="s">
        <v>193</v>
      </c>
      <c r="AT37" s="211"/>
      <c r="AU37" s="211" t="s">
        <v>193</v>
      </c>
      <c r="AV37" s="211" t="s">
        <v>193</v>
      </c>
      <c r="AW37" s="211"/>
      <c r="AX37" s="211" t="s">
        <v>193</v>
      </c>
      <c r="AY37" s="211" t="s">
        <v>193</v>
      </c>
      <c r="AZ37" s="211" t="s">
        <v>193</v>
      </c>
      <c r="BA37" s="211"/>
      <c r="BB37" s="211"/>
      <c r="BC37" s="211"/>
      <c r="BD37" s="211" t="s">
        <v>193</v>
      </c>
      <c r="BE37" s="211"/>
      <c r="BF37" s="211" t="s">
        <v>193</v>
      </c>
      <c r="BG37" s="211" t="s">
        <v>193</v>
      </c>
      <c r="BH37" s="211" t="s">
        <v>193</v>
      </c>
      <c r="BI37" s="211"/>
      <c r="BJ37" s="211"/>
      <c r="BK37" s="211" t="s">
        <v>193</v>
      </c>
      <c r="BL37" s="211" t="s">
        <v>193</v>
      </c>
      <c r="BM37" s="211"/>
      <c r="BN37" s="211" t="s">
        <v>193</v>
      </c>
      <c r="BO37" s="211" t="s">
        <v>193</v>
      </c>
      <c r="BP37" s="211" t="s">
        <v>193</v>
      </c>
      <c r="BQ37" s="211" t="s">
        <v>193</v>
      </c>
      <c r="BR37" s="211" t="s">
        <v>193</v>
      </c>
      <c r="BS37" s="211" t="s">
        <v>193</v>
      </c>
      <c r="BT37" s="211" t="s">
        <v>193</v>
      </c>
      <c r="BU37" s="211" t="s">
        <v>193</v>
      </c>
      <c r="BV37" s="211" t="s">
        <v>193</v>
      </c>
      <c r="BW37" s="211" t="s">
        <v>193</v>
      </c>
      <c r="BX37" s="211" t="s">
        <v>193</v>
      </c>
      <c r="BY37" s="211"/>
      <c r="BZ37" s="211" t="s">
        <v>193</v>
      </c>
      <c r="CA37" s="211"/>
      <c r="CB37" s="211" t="s">
        <v>193</v>
      </c>
      <c r="CC37" s="211" t="s">
        <v>193</v>
      </c>
      <c r="CD37" s="211" t="s">
        <v>193</v>
      </c>
      <c r="CE37" s="211"/>
      <c r="CF37" s="211"/>
      <c r="CG37" s="211" t="s">
        <v>193</v>
      </c>
      <c r="CH37" s="211"/>
      <c r="CI37" s="211" t="s">
        <v>193</v>
      </c>
      <c r="CJ37" s="163"/>
    </row>
    <row r="38" spans="1:88" ht="23.25" customHeight="1">
      <c r="A38" s="163"/>
      <c r="B38" s="212" t="s">
        <v>507</v>
      </c>
      <c r="C38" s="211" t="s">
        <v>193</v>
      </c>
      <c r="D38" s="211"/>
      <c r="E38" s="211"/>
      <c r="F38" s="211"/>
      <c r="G38" s="211"/>
      <c r="H38" s="211"/>
      <c r="I38" s="211" t="s">
        <v>193</v>
      </c>
      <c r="J38" s="211" t="s">
        <v>193</v>
      </c>
      <c r="K38" s="210"/>
      <c r="L38" s="210"/>
      <c r="M38" s="211"/>
      <c r="N38" s="211"/>
      <c r="O38" s="211" t="s">
        <v>193</v>
      </c>
      <c r="P38" s="211" t="s">
        <v>193</v>
      </c>
      <c r="Q38" s="211" t="s">
        <v>193</v>
      </c>
      <c r="R38" s="211" t="s">
        <v>193</v>
      </c>
      <c r="S38" s="211" t="s">
        <v>193</v>
      </c>
      <c r="T38" s="211" t="s">
        <v>193</v>
      </c>
      <c r="U38" s="211" t="s">
        <v>193</v>
      </c>
      <c r="V38" s="211" t="s">
        <v>193</v>
      </c>
      <c r="W38" s="211" t="s">
        <v>193</v>
      </c>
      <c r="X38" s="211" t="s">
        <v>193</v>
      </c>
      <c r="Y38" s="211" t="s">
        <v>193</v>
      </c>
      <c r="Z38" s="211"/>
      <c r="AA38" s="211" t="s">
        <v>193</v>
      </c>
      <c r="AB38" s="211"/>
      <c r="AC38" s="211"/>
      <c r="AD38" s="211" t="s">
        <v>193</v>
      </c>
      <c r="AE38" s="211"/>
      <c r="AF38" s="211" t="s">
        <v>193</v>
      </c>
      <c r="AG38" s="211"/>
      <c r="AH38" s="211"/>
      <c r="AI38" s="211" t="s">
        <v>193</v>
      </c>
      <c r="AJ38" s="211"/>
      <c r="AK38" s="211"/>
      <c r="AL38" s="211" t="s">
        <v>193</v>
      </c>
      <c r="AM38" s="211"/>
      <c r="AN38" s="211"/>
      <c r="AO38" s="211"/>
      <c r="AP38" s="211"/>
      <c r="AQ38" s="211"/>
      <c r="AR38" s="211"/>
      <c r="AS38" s="211" t="s">
        <v>193</v>
      </c>
      <c r="AT38" s="211"/>
      <c r="AU38" s="211" t="s">
        <v>193</v>
      </c>
      <c r="AV38" s="211" t="s">
        <v>193</v>
      </c>
      <c r="AW38" s="211"/>
      <c r="AX38" s="211" t="s">
        <v>193</v>
      </c>
      <c r="AY38" s="211" t="s">
        <v>193</v>
      </c>
      <c r="AZ38" s="211" t="s">
        <v>193</v>
      </c>
      <c r="BA38" s="211"/>
      <c r="BB38" s="211"/>
      <c r="BC38" s="211"/>
      <c r="BD38" s="211" t="s">
        <v>193</v>
      </c>
      <c r="BE38" s="211"/>
      <c r="BF38" s="211" t="s">
        <v>193</v>
      </c>
      <c r="BG38" s="211" t="s">
        <v>193</v>
      </c>
      <c r="BH38" s="211" t="s">
        <v>193</v>
      </c>
      <c r="BI38" s="211"/>
      <c r="BJ38" s="211"/>
      <c r="BK38" s="211" t="s">
        <v>193</v>
      </c>
      <c r="BL38" s="211" t="s">
        <v>193</v>
      </c>
      <c r="BM38" s="211"/>
      <c r="BN38" s="211" t="s">
        <v>193</v>
      </c>
      <c r="BO38" s="211" t="s">
        <v>193</v>
      </c>
      <c r="BP38" s="211" t="s">
        <v>193</v>
      </c>
      <c r="BQ38" s="211" t="s">
        <v>193</v>
      </c>
      <c r="BR38" s="211" t="s">
        <v>193</v>
      </c>
      <c r="BS38" s="211" t="s">
        <v>193</v>
      </c>
      <c r="BT38" s="211" t="s">
        <v>193</v>
      </c>
      <c r="BU38" s="211" t="s">
        <v>193</v>
      </c>
      <c r="BV38" s="211" t="s">
        <v>193</v>
      </c>
      <c r="BW38" s="211" t="s">
        <v>193</v>
      </c>
      <c r="BX38" s="211" t="s">
        <v>193</v>
      </c>
      <c r="BY38" s="211"/>
      <c r="BZ38" s="211" t="s">
        <v>193</v>
      </c>
      <c r="CA38" s="211"/>
      <c r="CB38" s="211" t="s">
        <v>193</v>
      </c>
      <c r="CC38" s="211" t="s">
        <v>193</v>
      </c>
      <c r="CD38" s="211" t="s">
        <v>193</v>
      </c>
      <c r="CE38" s="211"/>
      <c r="CF38" s="211"/>
      <c r="CG38" s="211" t="s">
        <v>193</v>
      </c>
      <c r="CH38" s="211"/>
      <c r="CI38" s="211" t="s">
        <v>193</v>
      </c>
      <c r="CJ38" s="163"/>
    </row>
    <row r="39" spans="1:88" ht="23.25" customHeight="1">
      <c r="A39" s="163"/>
      <c r="B39" s="212" t="s">
        <v>508</v>
      </c>
      <c r="C39" s="211" t="s">
        <v>193</v>
      </c>
      <c r="D39" s="211"/>
      <c r="E39" s="211"/>
      <c r="F39" s="211"/>
      <c r="G39" s="211"/>
      <c r="H39" s="211"/>
      <c r="I39" s="211" t="s">
        <v>193</v>
      </c>
      <c r="J39" s="211" t="s">
        <v>193</v>
      </c>
      <c r="K39" s="210"/>
      <c r="L39" s="210"/>
      <c r="M39" s="211"/>
      <c r="N39" s="211"/>
      <c r="O39" s="211" t="s">
        <v>193</v>
      </c>
      <c r="P39" s="211" t="s">
        <v>193</v>
      </c>
      <c r="Q39" s="211" t="s">
        <v>193</v>
      </c>
      <c r="R39" s="211" t="s">
        <v>193</v>
      </c>
      <c r="S39" s="211" t="s">
        <v>193</v>
      </c>
      <c r="T39" s="211" t="s">
        <v>193</v>
      </c>
      <c r="U39" s="211" t="s">
        <v>193</v>
      </c>
      <c r="V39" s="211" t="s">
        <v>193</v>
      </c>
      <c r="W39" s="211" t="s">
        <v>193</v>
      </c>
      <c r="X39" s="211" t="s">
        <v>193</v>
      </c>
      <c r="Y39" s="211" t="s">
        <v>193</v>
      </c>
      <c r="Z39" s="211"/>
      <c r="AA39" s="211" t="s">
        <v>193</v>
      </c>
      <c r="AB39" s="211"/>
      <c r="AC39" s="211"/>
      <c r="AD39" s="211" t="s">
        <v>193</v>
      </c>
      <c r="AE39" s="211"/>
      <c r="AF39" s="211" t="s">
        <v>193</v>
      </c>
      <c r="AG39" s="211"/>
      <c r="AH39" s="211"/>
      <c r="AI39" s="211" t="s">
        <v>193</v>
      </c>
      <c r="AJ39" s="211"/>
      <c r="AK39" s="211"/>
      <c r="AL39" s="211" t="s">
        <v>193</v>
      </c>
      <c r="AM39" s="211"/>
      <c r="AN39" s="211"/>
      <c r="AO39" s="211"/>
      <c r="AP39" s="211"/>
      <c r="AQ39" s="211"/>
      <c r="AR39" s="211"/>
      <c r="AS39" s="211" t="s">
        <v>193</v>
      </c>
      <c r="AT39" s="211"/>
      <c r="AU39" s="211" t="s">
        <v>193</v>
      </c>
      <c r="AV39" s="211" t="s">
        <v>193</v>
      </c>
      <c r="AW39" s="211"/>
      <c r="AX39" s="211" t="s">
        <v>193</v>
      </c>
      <c r="AY39" s="211" t="s">
        <v>193</v>
      </c>
      <c r="AZ39" s="211"/>
      <c r="BA39" s="211"/>
      <c r="BB39" s="211"/>
      <c r="BC39" s="211"/>
      <c r="BD39" s="211" t="s">
        <v>193</v>
      </c>
      <c r="BE39" s="211"/>
      <c r="BF39" s="211" t="s">
        <v>193</v>
      </c>
      <c r="BG39" s="211" t="s">
        <v>193</v>
      </c>
      <c r="BH39" s="211" t="s">
        <v>193</v>
      </c>
      <c r="BI39" s="211"/>
      <c r="BJ39" s="211"/>
      <c r="BK39" s="211" t="s">
        <v>193</v>
      </c>
      <c r="BL39" s="211" t="s">
        <v>193</v>
      </c>
      <c r="BM39" s="211"/>
      <c r="BN39" s="211" t="s">
        <v>193</v>
      </c>
      <c r="BO39" s="211" t="s">
        <v>193</v>
      </c>
      <c r="BP39" s="211" t="s">
        <v>193</v>
      </c>
      <c r="BQ39" s="211" t="s">
        <v>193</v>
      </c>
      <c r="BR39" s="211" t="s">
        <v>193</v>
      </c>
      <c r="BS39" s="211" t="s">
        <v>193</v>
      </c>
      <c r="BT39" s="211" t="s">
        <v>193</v>
      </c>
      <c r="BU39" s="211" t="s">
        <v>193</v>
      </c>
      <c r="BV39" s="211" t="s">
        <v>193</v>
      </c>
      <c r="BW39" s="211" t="s">
        <v>193</v>
      </c>
      <c r="BX39" s="211" t="s">
        <v>193</v>
      </c>
      <c r="BY39" s="211"/>
      <c r="BZ39" s="211" t="s">
        <v>193</v>
      </c>
      <c r="CA39" s="211"/>
      <c r="CB39" s="211" t="s">
        <v>193</v>
      </c>
      <c r="CC39" s="211" t="s">
        <v>193</v>
      </c>
      <c r="CD39" s="211" t="s">
        <v>193</v>
      </c>
      <c r="CE39" s="211"/>
      <c r="CF39" s="211"/>
      <c r="CG39" s="211" t="s">
        <v>193</v>
      </c>
      <c r="CH39" s="211"/>
      <c r="CI39" s="211" t="s">
        <v>193</v>
      </c>
      <c r="CJ39" s="163"/>
    </row>
    <row r="40" spans="1:88" ht="23.25" customHeight="1">
      <c r="A40" s="163"/>
      <c r="B40" s="212" t="s">
        <v>509</v>
      </c>
      <c r="C40" s="211" t="s">
        <v>193</v>
      </c>
      <c r="D40" s="211"/>
      <c r="E40" s="211"/>
      <c r="F40" s="211"/>
      <c r="G40" s="211"/>
      <c r="H40" s="211"/>
      <c r="I40" s="211" t="s">
        <v>193</v>
      </c>
      <c r="J40" s="211" t="s">
        <v>193</v>
      </c>
      <c r="K40" s="210"/>
      <c r="L40" s="210"/>
      <c r="M40" s="211"/>
      <c r="N40" s="211"/>
      <c r="O40" s="211" t="s">
        <v>193</v>
      </c>
      <c r="P40" s="211" t="s">
        <v>193</v>
      </c>
      <c r="Q40" s="211" t="s">
        <v>193</v>
      </c>
      <c r="R40" s="211" t="s">
        <v>193</v>
      </c>
      <c r="S40" s="211" t="s">
        <v>193</v>
      </c>
      <c r="T40" s="211" t="s">
        <v>193</v>
      </c>
      <c r="U40" s="211" t="s">
        <v>193</v>
      </c>
      <c r="V40" s="211" t="s">
        <v>193</v>
      </c>
      <c r="W40" s="211" t="s">
        <v>193</v>
      </c>
      <c r="X40" s="211" t="s">
        <v>193</v>
      </c>
      <c r="Y40" s="211" t="s">
        <v>193</v>
      </c>
      <c r="Z40" s="211"/>
      <c r="AA40" s="211" t="s">
        <v>193</v>
      </c>
      <c r="AB40" s="211"/>
      <c r="AC40" s="211"/>
      <c r="AD40" s="211" t="s">
        <v>193</v>
      </c>
      <c r="AE40" s="211"/>
      <c r="AF40" s="211" t="s">
        <v>193</v>
      </c>
      <c r="AG40" s="211"/>
      <c r="AH40" s="211"/>
      <c r="AI40" s="211" t="s">
        <v>193</v>
      </c>
      <c r="AJ40" s="211"/>
      <c r="AK40" s="211"/>
      <c r="AL40" s="211" t="s">
        <v>193</v>
      </c>
      <c r="AM40" s="211"/>
      <c r="AN40" s="211"/>
      <c r="AO40" s="211"/>
      <c r="AP40" s="211"/>
      <c r="AQ40" s="211"/>
      <c r="AR40" s="211"/>
      <c r="AS40" s="211" t="s">
        <v>193</v>
      </c>
      <c r="AT40" s="211"/>
      <c r="AU40" s="211" t="s">
        <v>193</v>
      </c>
      <c r="AV40" s="211" t="s">
        <v>193</v>
      </c>
      <c r="AW40" s="211"/>
      <c r="AX40" s="211" t="s">
        <v>193</v>
      </c>
      <c r="AY40" s="211" t="s">
        <v>193</v>
      </c>
      <c r="AZ40" s="211"/>
      <c r="BA40" s="211"/>
      <c r="BB40" s="211"/>
      <c r="BC40" s="211"/>
      <c r="BD40" s="211" t="s">
        <v>193</v>
      </c>
      <c r="BE40" s="211"/>
      <c r="BF40" s="211" t="s">
        <v>193</v>
      </c>
      <c r="BG40" s="211" t="s">
        <v>193</v>
      </c>
      <c r="BH40" s="211" t="s">
        <v>193</v>
      </c>
      <c r="BI40" s="211"/>
      <c r="BJ40" s="211" t="s">
        <v>193</v>
      </c>
      <c r="BK40" s="211" t="s">
        <v>193</v>
      </c>
      <c r="BL40" s="211" t="s">
        <v>193</v>
      </c>
      <c r="BM40" s="211"/>
      <c r="BN40" s="211" t="s">
        <v>193</v>
      </c>
      <c r="BO40" s="211" t="s">
        <v>193</v>
      </c>
      <c r="BP40" s="211" t="s">
        <v>193</v>
      </c>
      <c r="BQ40" s="211" t="s">
        <v>193</v>
      </c>
      <c r="BR40" s="211" t="s">
        <v>193</v>
      </c>
      <c r="BS40" s="211" t="s">
        <v>193</v>
      </c>
      <c r="BT40" s="211" t="s">
        <v>193</v>
      </c>
      <c r="BU40" s="211" t="s">
        <v>193</v>
      </c>
      <c r="BV40" s="211" t="s">
        <v>193</v>
      </c>
      <c r="BW40" s="211" t="s">
        <v>193</v>
      </c>
      <c r="BX40" s="211" t="s">
        <v>193</v>
      </c>
      <c r="BY40" s="211"/>
      <c r="BZ40" s="211" t="s">
        <v>193</v>
      </c>
      <c r="CA40" s="211"/>
      <c r="CB40" s="211" t="s">
        <v>193</v>
      </c>
      <c r="CC40" s="211" t="s">
        <v>193</v>
      </c>
      <c r="CD40" s="211" t="s">
        <v>193</v>
      </c>
      <c r="CE40" s="211"/>
      <c r="CF40" s="211"/>
      <c r="CG40" s="211" t="s">
        <v>193</v>
      </c>
      <c r="CH40" s="211"/>
      <c r="CI40" s="211" t="s">
        <v>193</v>
      </c>
      <c r="CJ40" s="163"/>
    </row>
    <row r="41" spans="1:88" ht="23.25" customHeight="1">
      <c r="A41" s="163"/>
      <c r="B41" s="212" t="s">
        <v>510</v>
      </c>
      <c r="C41" s="211" t="s">
        <v>193</v>
      </c>
      <c r="D41" s="211"/>
      <c r="E41" s="211"/>
      <c r="F41" s="211"/>
      <c r="G41" s="211"/>
      <c r="H41" s="211"/>
      <c r="I41" s="211" t="s">
        <v>193</v>
      </c>
      <c r="J41" s="211" t="s">
        <v>193</v>
      </c>
      <c r="K41" s="210"/>
      <c r="L41" s="210"/>
      <c r="M41" s="211"/>
      <c r="N41" s="211"/>
      <c r="O41" s="211" t="s">
        <v>193</v>
      </c>
      <c r="P41" s="211" t="s">
        <v>193</v>
      </c>
      <c r="Q41" s="211" t="s">
        <v>193</v>
      </c>
      <c r="R41" s="211" t="s">
        <v>193</v>
      </c>
      <c r="S41" s="211" t="s">
        <v>193</v>
      </c>
      <c r="T41" s="211" t="s">
        <v>193</v>
      </c>
      <c r="U41" s="211" t="s">
        <v>193</v>
      </c>
      <c r="V41" s="211" t="s">
        <v>193</v>
      </c>
      <c r="W41" s="211" t="s">
        <v>193</v>
      </c>
      <c r="X41" s="211" t="s">
        <v>193</v>
      </c>
      <c r="Y41" s="211" t="s">
        <v>193</v>
      </c>
      <c r="Z41" s="211"/>
      <c r="AA41" s="211" t="s">
        <v>193</v>
      </c>
      <c r="AB41" s="211"/>
      <c r="AC41" s="211"/>
      <c r="AD41" s="211" t="s">
        <v>193</v>
      </c>
      <c r="AE41" s="211"/>
      <c r="AF41" s="211" t="s">
        <v>193</v>
      </c>
      <c r="AG41" s="211"/>
      <c r="AH41" s="211"/>
      <c r="AI41" s="211" t="s">
        <v>193</v>
      </c>
      <c r="AJ41" s="211"/>
      <c r="AK41" s="211"/>
      <c r="AL41" s="211" t="s">
        <v>193</v>
      </c>
      <c r="AM41" s="211"/>
      <c r="AN41" s="211"/>
      <c r="AO41" s="211"/>
      <c r="AP41" s="211"/>
      <c r="AQ41" s="211"/>
      <c r="AR41" s="211" t="s">
        <v>193</v>
      </c>
      <c r="AS41" s="211" t="s">
        <v>193</v>
      </c>
      <c r="AT41" s="211"/>
      <c r="AU41" s="211" t="s">
        <v>193</v>
      </c>
      <c r="AV41" s="211" t="s">
        <v>193</v>
      </c>
      <c r="AW41" s="211"/>
      <c r="AX41" s="211" t="s">
        <v>193</v>
      </c>
      <c r="AY41" s="211" t="s">
        <v>193</v>
      </c>
      <c r="AZ41" s="211"/>
      <c r="BA41" s="211"/>
      <c r="BB41" s="211"/>
      <c r="BC41" s="211"/>
      <c r="BD41" s="211" t="s">
        <v>193</v>
      </c>
      <c r="BE41" s="211"/>
      <c r="BF41" s="211" t="s">
        <v>193</v>
      </c>
      <c r="BG41" s="211" t="s">
        <v>193</v>
      </c>
      <c r="BH41" s="211" t="s">
        <v>193</v>
      </c>
      <c r="BI41" s="211"/>
      <c r="BJ41" s="211"/>
      <c r="BK41" s="211" t="s">
        <v>193</v>
      </c>
      <c r="BL41" s="211" t="s">
        <v>193</v>
      </c>
      <c r="BM41" s="211"/>
      <c r="BN41" s="211" t="s">
        <v>193</v>
      </c>
      <c r="BO41" s="211" t="s">
        <v>193</v>
      </c>
      <c r="BP41" s="211" t="s">
        <v>193</v>
      </c>
      <c r="BQ41" s="211" t="s">
        <v>193</v>
      </c>
      <c r="BR41" s="211" t="s">
        <v>193</v>
      </c>
      <c r="BS41" s="211" t="s">
        <v>193</v>
      </c>
      <c r="BT41" s="211" t="s">
        <v>193</v>
      </c>
      <c r="BU41" s="211" t="s">
        <v>193</v>
      </c>
      <c r="BV41" s="211" t="s">
        <v>193</v>
      </c>
      <c r="BW41" s="211" t="s">
        <v>193</v>
      </c>
      <c r="BX41" s="211" t="s">
        <v>193</v>
      </c>
      <c r="BY41" s="211"/>
      <c r="BZ41" s="211" t="s">
        <v>193</v>
      </c>
      <c r="CA41" s="211"/>
      <c r="CB41" s="211" t="s">
        <v>193</v>
      </c>
      <c r="CC41" s="211" t="s">
        <v>193</v>
      </c>
      <c r="CD41" s="211" t="s">
        <v>193</v>
      </c>
      <c r="CE41" s="211"/>
      <c r="CF41" s="211"/>
      <c r="CG41" s="211" t="s">
        <v>193</v>
      </c>
      <c r="CH41" s="211"/>
      <c r="CI41" s="211" t="s">
        <v>193</v>
      </c>
      <c r="CJ41" s="163"/>
    </row>
    <row r="42" spans="1:88" ht="23.25" customHeight="1">
      <c r="A42" s="163"/>
      <c r="B42" s="212" t="s">
        <v>511</v>
      </c>
      <c r="C42" s="211" t="s">
        <v>193</v>
      </c>
      <c r="D42" s="211"/>
      <c r="E42" s="211"/>
      <c r="F42" s="211"/>
      <c r="G42" s="211"/>
      <c r="H42" s="211"/>
      <c r="I42" s="211" t="s">
        <v>193</v>
      </c>
      <c r="J42" s="211" t="s">
        <v>193</v>
      </c>
      <c r="K42" s="210"/>
      <c r="L42" s="210"/>
      <c r="M42" s="211"/>
      <c r="N42" s="211"/>
      <c r="O42" s="211" t="s">
        <v>193</v>
      </c>
      <c r="P42" s="211" t="s">
        <v>193</v>
      </c>
      <c r="Q42" s="211" t="s">
        <v>193</v>
      </c>
      <c r="R42" s="211" t="s">
        <v>193</v>
      </c>
      <c r="S42" s="211" t="s">
        <v>193</v>
      </c>
      <c r="T42" s="211" t="s">
        <v>193</v>
      </c>
      <c r="U42" s="211" t="s">
        <v>193</v>
      </c>
      <c r="V42" s="211" t="s">
        <v>193</v>
      </c>
      <c r="W42" s="211" t="s">
        <v>193</v>
      </c>
      <c r="X42" s="211" t="s">
        <v>193</v>
      </c>
      <c r="Y42" s="211" t="s">
        <v>193</v>
      </c>
      <c r="Z42" s="211"/>
      <c r="AA42" s="211" t="s">
        <v>193</v>
      </c>
      <c r="AB42" s="211"/>
      <c r="AC42" s="211"/>
      <c r="AD42" s="211" t="s">
        <v>193</v>
      </c>
      <c r="AE42" s="211"/>
      <c r="AF42" s="211" t="s">
        <v>193</v>
      </c>
      <c r="AG42" s="211"/>
      <c r="AH42" s="211"/>
      <c r="AI42" s="211" t="s">
        <v>193</v>
      </c>
      <c r="AJ42" s="211"/>
      <c r="AK42" s="211"/>
      <c r="AL42" s="211" t="s">
        <v>193</v>
      </c>
      <c r="AM42" s="211"/>
      <c r="AN42" s="211"/>
      <c r="AO42" s="211"/>
      <c r="AP42" s="211"/>
      <c r="AQ42" s="211"/>
      <c r="AR42" s="211" t="s">
        <v>193</v>
      </c>
      <c r="AS42" s="211" t="s">
        <v>193</v>
      </c>
      <c r="AT42" s="211"/>
      <c r="AU42" s="211" t="s">
        <v>193</v>
      </c>
      <c r="AV42" s="211" t="s">
        <v>193</v>
      </c>
      <c r="AW42" s="211"/>
      <c r="AX42" s="211" t="s">
        <v>193</v>
      </c>
      <c r="AY42" s="211" t="s">
        <v>193</v>
      </c>
      <c r="AZ42" s="211"/>
      <c r="BA42" s="211"/>
      <c r="BB42" s="211"/>
      <c r="BC42" s="211"/>
      <c r="BD42" s="211" t="s">
        <v>193</v>
      </c>
      <c r="BE42" s="211"/>
      <c r="BF42" s="211" t="s">
        <v>193</v>
      </c>
      <c r="BG42" s="211" t="s">
        <v>193</v>
      </c>
      <c r="BH42" s="211" t="s">
        <v>193</v>
      </c>
      <c r="BI42" s="211"/>
      <c r="BJ42" s="211"/>
      <c r="BK42" s="211" t="s">
        <v>193</v>
      </c>
      <c r="BL42" s="211" t="s">
        <v>193</v>
      </c>
      <c r="BM42" s="211"/>
      <c r="BN42" s="211" t="s">
        <v>193</v>
      </c>
      <c r="BO42" s="211" t="s">
        <v>193</v>
      </c>
      <c r="BP42" s="211" t="s">
        <v>193</v>
      </c>
      <c r="BQ42" s="211" t="s">
        <v>193</v>
      </c>
      <c r="BR42" s="211" t="s">
        <v>193</v>
      </c>
      <c r="BS42" s="211" t="s">
        <v>193</v>
      </c>
      <c r="BT42" s="211" t="s">
        <v>193</v>
      </c>
      <c r="BU42" s="211" t="s">
        <v>193</v>
      </c>
      <c r="BV42" s="211" t="s">
        <v>193</v>
      </c>
      <c r="BW42" s="211" t="s">
        <v>193</v>
      </c>
      <c r="BX42" s="211" t="s">
        <v>193</v>
      </c>
      <c r="BY42" s="211"/>
      <c r="BZ42" s="211" t="s">
        <v>193</v>
      </c>
      <c r="CA42" s="211"/>
      <c r="CB42" s="211" t="s">
        <v>193</v>
      </c>
      <c r="CC42" s="211" t="s">
        <v>193</v>
      </c>
      <c r="CD42" s="211" t="s">
        <v>193</v>
      </c>
      <c r="CE42" s="211"/>
      <c r="CF42" s="211"/>
      <c r="CG42" s="211" t="s">
        <v>193</v>
      </c>
      <c r="CH42" s="211"/>
      <c r="CI42" s="211" t="s">
        <v>193</v>
      </c>
      <c r="CJ42" s="163"/>
    </row>
    <row r="43" spans="1:88" ht="23.25" customHeight="1">
      <c r="A43" s="163"/>
      <c r="B43" s="207" t="s">
        <v>512</v>
      </c>
      <c r="C43" s="213" t="s">
        <v>75</v>
      </c>
      <c r="D43" s="213"/>
      <c r="E43" s="213" t="s">
        <v>75</v>
      </c>
      <c r="F43" s="213" t="s">
        <v>75</v>
      </c>
      <c r="G43" s="213"/>
      <c r="H43" s="213" t="s">
        <v>75</v>
      </c>
      <c r="I43" s="213" t="s">
        <v>75</v>
      </c>
      <c r="J43" s="213" t="s">
        <v>75</v>
      </c>
      <c r="K43" s="208" t="s">
        <v>75</v>
      </c>
      <c r="L43" s="208" t="s">
        <v>75</v>
      </c>
      <c r="M43" s="213" t="s">
        <v>75</v>
      </c>
      <c r="N43" s="213" t="s">
        <v>75</v>
      </c>
      <c r="O43" s="213" t="s">
        <v>75</v>
      </c>
      <c r="P43" s="213" t="s">
        <v>75</v>
      </c>
      <c r="Q43" s="213" t="s">
        <v>75</v>
      </c>
      <c r="R43" s="213" t="s">
        <v>75</v>
      </c>
      <c r="S43" s="213" t="s">
        <v>75</v>
      </c>
      <c r="T43" s="211" t="s">
        <v>193</v>
      </c>
      <c r="U43" s="213" t="s">
        <v>75</v>
      </c>
      <c r="V43" s="213" t="s">
        <v>75</v>
      </c>
      <c r="W43" s="213" t="s">
        <v>75</v>
      </c>
      <c r="X43" s="213" t="s">
        <v>75</v>
      </c>
      <c r="Y43" s="213"/>
      <c r="Z43" s="213"/>
      <c r="AA43" s="213" t="s">
        <v>75</v>
      </c>
      <c r="AB43" s="213"/>
      <c r="AC43" s="213"/>
      <c r="AD43" s="213" t="s">
        <v>75</v>
      </c>
      <c r="AE43" s="213" t="s">
        <v>75</v>
      </c>
      <c r="AF43" s="213" t="s">
        <v>75</v>
      </c>
      <c r="AG43" s="213"/>
      <c r="AH43" s="213"/>
      <c r="AI43" s="213" t="s">
        <v>75</v>
      </c>
      <c r="AJ43" s="213"/>
      <c r="AK43" s="213"/>
      <c r="AL43" s="213" t="s">
        <v>75</v>
      </c>
      <c r="AM43" s="213" t="s">
        <v>75</v>
      </c>
      <c r="AN43" s="213" t="s">
        <v>75</v>
      </c>
      <c r="AO43" s="213"/>
      <c r="AP43" s="213" t="s">
        <v>75</v>
      </c>
      <c r="AQ43" s="213"/>
      <c r="AR43" s="213"/>
      <c r="AS43" s="213" t="s">
        <v>75</v>
      </c>
      <c r="AT43" s="213"/>
      <c r="AU43" s="213" t="s">
        <v>75</v>
      </c>
      <c r="AV43" s="213" t="s">
        <v>75</v>
      </c>
      <c r="AW43" s="213" t="s">
        <v>75</v>
      </c>
      <c r="AX43" s="213" t="s">
        <v>75</v>
      </c>
      <c r="AY43" s="213" t="s">
        <v>476</v>
      </c>
      <c r="AZ43" s="213" t="s">
        <v>75</v>
      </c>
      <c r="BA43" s="213"/>
      <c r="BB43" s="213"/>
      <c r="BC43" s="213"/>
      <c r="BD43" s="213" t="s">
        <v>75</v>
      </c>
      <c r="BE43" s="213" t="s">
        <v>75</v>
      </c>
      <c r="BF43" s="213" t="s">
        <v>75</v>
      </c>
      <c r="BG43" s="213" t="s">
        <v>75</v>
      </c>
      <c r="BH43" s="213" t="s">
        <v>75</v>
      </c>
      <c r="BI43" s="213"/>
      <c r="BJ43" s="213"/>
      <c r="BK43" s="213" t="s">
        <v>75</v>
      </c>
      <c r="BL43" s="213" t="s">
        <v>75</v>
      </c>
      <c r="BM43" s="213" t="s">
        <v>75</v>
      </c>
      <c r="BN43" s="213" t="s">
        <v>75</v>
      </c>
      <c r="BO43" s="213" t="s">
        <v>75</v>
      </c>
      <c r="BP43" s="213" t="s">
        <v>75</v>
      </c>
      <c r="BQ43" s="213" t="s">
        <v>75</v>
      </c>
      <c r="BR43" s="213" t="s">
        <v>75</v>
      </c>
      <c r="BS43" s="213" t="s">
        <v>75</v>
      </c>
      <c r="BT43" s="213" t="s">
        <v>75</v>
      </c>
      <c r="BU43" s="213" t="s">
        <v>75</v>
      </c>
      <c r="BV43" s="213" t="s">
        <v>75</v>
      </c>
      <c r="BW43" s="213" t="s">
        <v>75</v>
      </c>
      <c r="BX43" s="213" t="s">
        <v>75</v>
      </c>
      <c r="BY43" s="213"/>
      <c r="BZ43" s="213" t="s">
        <v>75</v>
      </c>
      <c r="CA43" s="213"/>
      <c r="CB43" s="213" t="s">
        <v>75</v>
      </c>
      <c r="CC43" s="213" t="s">
        <v>75</v>
      </c>
      <c r="CD43" s="213" t="s">
        <v>75</v>
      </c>
      <c r="CE43" s="213"/>
      <c r="CF43" s="213" t="s">
        <v>75</v>
      </c>
      <c r="CG43" s="213" t="s">
        <v>75</v>
      </c>
      <c r="CH43" s="213" t="s">
        <v>75</v>
      </c>
      <c r="CI43" s="213" t="s">
        <v>75</v>
      </c>
      <c r="CJ43" s="163"/>
    </row>
    <row r="44" spans="1:88" ht="23.25" customHeight="1">
      <c r="A44" s="163"/>
      <c r="B44" s="212" t="s">
        <v>513</v>
      </c>
      <c r="C44" s="211" t="s">
        <v>193</v>
      </c>
      <c r="D44" s="211"/>
      <c r="E44" s="211"/>
      <c r="F44" s="211" t="s">
        <v>193</v>
      </c>
      <c r="G44" s="211"/>
      <c r="H44" s="211"/>
      <c r="I44" s="211" t="s">
        <v>193</v>
      </c>
      <c r="J44" s="211" t="s">
        <v>193</v>
      </c>
      <c r="K44" s="210"/>
      <c r="L44" s="210"/>
      <c r="M44" s="211"/>
      <c r="N44" s="211" t="s">
        <v>193</v>
      </c>
      <c r="O44" s="211" t="s">
        <v>193</v>
      </c>
      <c r="P44" s="211" t="s">
        <v>193</v>
      </c>
      <c r="Q44" s="211" t="s">
        <v>193</v>
      </c>
      <c r="R44" s="211" t="s">
        <v>193</v>
      </c>
      <c r="S44" s="211" t="s">
        <v>193</v>
      </c>
      <c r="T44" s="211" t="s">
        <v>193</v>
      </c>
      <c r="U44" s="211" t="s">
        <v>193</v>
      </c>
      <c r="V44" s="211" t="s">
        <v>193</v>
      </c>
      <c r="W44" s="211" t="s">
        <v>193</v>
      </c>
      <c r="X44" s="211" t="s">
        <v>193</v>
      </c>
      <c r="Y44" s="211"/>
      <c r="Z44" s="211"/>
      <c r="AA44" s="211" t="s">
        <v>193</v>
      </c>
      <c r="AB44" s="211"/>
      <c r="AC44" s="211"/>
      <c r="AD44" s="211" t="s">
        <v>193</v>
      </c>
      <c r="AE44" s="211"/>
      <c r="AF44" s="211" t="s">
        <v>193</v>
      </c>
      <c r="AG44" s="211"/>
      <c r="AH44" s="211"/>
      <c r="AI44" s="211" t="s">
        <v>193</v>
      </c>
      <c r="AJ44" s="211"/>
      <c r="AK44" s="211"/>
      <c r="AL44" s="211" t="s">
        <v>193</v>
      </c>
      <c r="AM44" s="211" t="s">
        <v>193</v>
      </c>
      <c r="AN44" s="211" t="s">
        <v>193</v>
      </c>
      <c r="AO44" s="211"/>
      <c r="AP44" s="211"/>
      <c r="AQ44" s="211"/>
      <c r="AR44" s="211"/>
      <c r="AS44" s="211" t="s">
        <v>193</v>
      </c>
      <c r="AT44" s="211"/>
      <c r="AU44" s="211" t="s">
        <v>193</v>
      </c>
      <c r="AV44" s="211" t="s">
        <v>193</v>
      </c>
      <c r="AW44" s="211" t="s">
        <v>193</v>
      </c>
      <c r="AX44" s="211" t="s">
        <v>193</v>
      </c>
      <c r="AY44" s="211" t="s">
        <v>193</v>
      </c>
      <c r="AZ44" s="211" t="s">
        <v>193</v>
      </c>
      <c r="BA44" s="211"/>
      <c r="BB44" s="211"/>
      <c r="BC44" s="211"/>
      <c r="BD44" s="211" t="s">
        <v>193</v>
      </c>
      <c r="BE44" s="211" t="s">
        <v>193</v>
      </c>
      <c r="BF44" s="211" t="s">
        <v>193</v>
      </c>
      <c r="BG44" s="211" t="s">
        <v>193</v>
      </c>
      <c r="BH44" s="211" t="s">
        <v>193</v>
      </c>
      <c r="BI44" s="211"/>
      <c r="BJ44" s="211"/>
      <c r="BK44" s="211" t="s">
        <v>193</v>
      </c>
      <c r="BL44" s="211" t="s">
        <v>193</v>
      </c>
      <c r="BM44" s="211"/>
      <c r="BN44" s="211" t="s">
        <v>193</v>
      </c>
      <c r="BO44" s="211" t="s">
        <v>193</v>
      </c>
      <c r="BP44" s="211" t="s">
        <v>193</v>
      </c>
      <c r="BQ44" s="211" t="s">
        <v>193</v>
      </c>
      <c r="BR44" s="211" t="s">
        <v>193</v>
      </c>
      <c r="BS44" s="211" t="s">
        <v>193</v>
      </c>
      <c r="BT44" s="211" t="s">
        <v>193</v>
      </c>
      <c r="BU44" s="211" t="s">
        <v>193</v>
      </c>
      <c r="BV44" s="211" t="s">
        <v>193</v>
      </c>
      <c r="BW44" s="211" t="s">
        <v>193</v>
      </c>
      <c r="BX44" s="211" t="s">
        <v>193</v>
      </c>
      <c r="BY44" s="211"/>
      <c r="BZ44" s="211" t="s">
        <v>193</v>
      </c>
      <c r="CA44" s="211"/>
      <c r="CB44" s="211" t="s">
        <v>193</v>
      </c>
      <c r="CC44" s="211" t="s">
        <v>193</v>
      </c>
      <c r="CD44" s="211" t="s">
        <v>193</v>
      </c>
      <c r="CE44" s="211"/>
      <c r="CF44" s="211" t="s">
        <v>193</v>
      </c>
      <c r="CG44" s="211" t="s">
        <v>193</v>
      </c>
      <c r="CH44" s="211" t="s">
        <v>193</v>
      </c>
      <c r="CI44" s="211" t="s">
        <v>193</v>
      </c>
      <c r="CJ44" s="163"/>
    </row>
    <row r="45" spans="1:88" ht="23.25" customHeight="1">
      <c r="A45" s="163"/>
      <c r="B45" s="212" t="s">
        <v>514</v>
      </c>
      <c r="C45" s="211" t="s">
        <v>193</v>
      </c>
      <c r="D45" s="211"/>
      <c r="E45" s="211"/>
      <c r="F45" s="211" t="s">
        <v>193</v>
      </c>
      <c r="G45" s="211"/>
      <c r="H45" s="211" t="s">
        <v>193</v>
      </c>
      <c r="I45" s="211" t="s">
        <v>193</v>
      </c>
      <c r="J45" s="211" t="s">
        <v>193</v>
      </c>
      <c r="K45" s="210"/>
      <c r="L45" s="210"/>
      <c r="M45" s="211"/>
      <c r="N45" s="211" t="s">
        <v>193</v>
      </c>
      <c r="O45" s="211" t="s">
        <v>193</v>
      </c>
      <c r="P45" s="211" t="s">
        <v>193</v>
      </c>
      <c r="Q45" s="211" t="s">
        <v>193</v>
      </c>
      <c r="R45" s="211" t="s">
        <v>193</v>
      </c>
      <c r="S45" s="211" t="s">
        <v>193</v>
      </c>
      <c r="T45" s="211" t="s">
        <v>193</v>
      </c>
      <c r="U45" s="211" t="s">
        <v>193</v>
      </c>
      <c r="V45" s="211" t="s">
        <v>193</v>
      </c>
      <c r="W45" s="211" t="s">
        <v>193</v>
      </c>
      <c r="X45" s="211" t="s">
        <v>193</v>
      </c>
      <c r="Y45" s="211"/>
      <c r="Z45" s="211"/>
      <c r="AA45" s="211" t="s">
        <v>193</v>
      </c>
      <c r="AB45" s="211"/>
      <c r="AC45" s="211"/>
      <c r="AD45" s="211" t="s">
        <v>193</v>
      </c>
      <c r="AE45" s="211"/>
      <c r="AF45" s="211" t="s">
        <v>193</v>
      </c>
      <c r="AG45" s="211"/>
      <c r="AH45" s="211"/>
      <c r="AI45" s="211" t="s">
        <v>193</v>
      </c>
      <c r="AJ45" s="211"/>
      <c r="AK45" s="211"/>
      <c r="AL45" s="211" t="s">
        <v>193</v>
      </c>
      <c r="AM45" s="211" t="s">
        <v>193</v>
      </c>
      <c r="AN45" s="211" t="s">
        <v>193</v>
      </c>
      <c r="AO45" s="211"/>
      <c r="AP45" s="211"/>
      <c r="AQ45" s="211"/>
      <c r="AR45" s="211"/>
      <c r="AS45" s="211" t="s">
        <v>193</v>
      </c>
      <c r="AT45" s="211"/>
      <c r="AU45" s="211" t="s">
        <v>193</v>
      </c>
      <c r="AV45" s="211" t="s">
        <v>193</v>
      </c>
      <c r="AW45" s="211" t="s">
        <v>193</v>
      </c>
      <c r="AX45" s="211" t="s">
        <v>193</v>
      </c>
      <c r="AY45" s="211" t="s">
        <v>193</v>
      </c>
      <c r="AZ45" s="211" t="s">
        <v>193</v>
      </c>
      <c r="BA45" s="211"/>
      <c r="BB45" s="211"/>
      <c r="BC45" s="211"/>
      <c r="BD45" s="211" t="s">
        <v>193</v>
      </c>
      <c r="BE45" s="211" t="s">
        <v>193</v>
      </c>
      <c r="BF45" s="211" t="s">
        <v>193</v>
      </c>
      <c r="BG45" s="211" t="s">
        <v>193</v>
      </c>
      <c r="BH45" s="211" t="s">
        <v>193</v>
      </c>
      <c r="BI45" s="211"/>
      <c r="BJ45" s="211"/>
      <c r="BK45" s="211" t="s">
        <v>193</v>
      </c>
      <c r="BL45" s="211" t="s">
        <v>193</v>
      </c>
      <c r="BM45" s="211"/>
      <c r="BN45" s="211" t="s">
        <v>193</v>
      </c>
      <c r="BO45" s="211" t="s">
        <v>193</v>
      </c>
      <c r="BP45" s="211" t="s">
        <v>193</v>
      </c>
      <c r="BQ45" s="211" t="s">
        <v>193</v>
      </c>
      <c r="BR45" s="211" t="s">
        <v>193</v>
      </c>
      <c r="BS45" s="211" t="s">
        <v>193</v>
      </c>
      <c r="BT45" s="211" t="s">
        <v>193</v>
      </c>
      <c r="BU45" s="211" t="s">
        <v>193</v>
      </c>
      <c r="BV45" s="211" t="s">
        <v>193</v>
      </c>
      <c r="BW45" s="211" t="s">
        <v>193</v>
      </c>
      <c r="BX45" s="211" t="s">
        <v>193</v>
      </c>
      <c r="BY45" s="211"/>
      <c r="BZ45" s="211" t="s">
        <v>193</v>
      </c>
      <c r="CA45" s="211"/>
      <c r="CB45" s="211" t="s">
        <v>193</v>
      </c>
      <c r="CC45" s="211" t="s">
        <v>193</v>
      </c>
      <c r="CD45" s="211" t="s">
        <v>193</v>
      </c>
      <c r="CE45" s="211"/>
      <c r="CF45" s="211" t="s">
        <v>193</v>
      </c>
      <c r="CG45" s="211" t="s">
        <v>193</v>
      </c>
      <c r="CH45" s="211" t="s">
        <v>193</v>
      </c>
      <c r="CI45" s="211" t="s">
        <v>193</v>
      </c>
      <c r="CJ45" s="163"/>
    </row>
    <row r="46" spans="1:88" ht="23.25" customHeight="1">
      <c r="A46" s="163"/>
      <c r="B46" s="212" t="s">
        <v>515</v>
      </c>
      <c r="C46" s="211" t="s">
        <v>193</v>
      </c>
      <c r="D46" s="211"/>
      <c r="E46" s="211"/>
      <c r="F46" s="211" t="s">
        <v>193</v>
      </c>
      <c r="G46" s="211"/>
      <c r="H46" s="211" t="s">
        <v>193</v>
      </c>
      <c r="I46" s="211" t="s">
        <v>193</v>
      </c>
      <c r="J46" s="211" t="s">
        <v>193</v>
      </c>
      <c r="K46" s="210"/>
      <c r="L46" s="210"/>
      <c r="M46" s="211"/>
      <c r="N46" s="211" t="s">
        <v>193</v>
      </c>
      <c r="O46" s="211" t="s">
        <v>193</v>
      </c>
      <c r="P46" s="211" t="s">
        <v>193</v>
      </c>
      <c r="Q46" s="211" t="s">
        <v>193</v>
      </c>
      <c r="R46" s="211" t="s">
        <v>193</v>
      </c>
      <c r="S46" s="211" t="s">
        <v>193</v>
      </c>
      <c r="T46" s="211" t="s">
        <v>193</v>
      </c>
      <c r="U46" s="211" t="s">
        <v>193</v>
      </c>
      <c r="V46" s="211" t="s">
        <v>193</v>
      </c>
      <c r="W46" s="211" t="s">
        <v>193</v>
      </c>
      <c r="X46" s="211" t="s">
        <v>193</v>
      </c>
      <c r="Y46" s="211"/>
      <c r="Z46" s="211"/>
      <c r="AA46" s="211" t="s">
        <v>193</v>
      </c>
      <c r="AB46" s="211"/>
      <c r="AC46" s="211"/>
      <c r="AD46" s="211" t="s">
        <v>193</v>
      </c>
      <c r="AE46" s="211"/>
      <c r="AF46" s="211" t="s">
        <v>193</v>
      </c>
      <c r="AG46" s="211"/>
      <c r="AH46" s="211"/>
      <c r="AI46" s="211" t="s">
        <v>193</v>
      </c>
      <c r="AJ46" s="211"/>
      <c r="AK46" s="211"/>
      <c r="AL46" s="211" t="s">
        <v>193</v>
      </c>
      <c r="AM46" s="211" t="s">
        <v>193</v>
      </c>
      <c r="AN46" s="211" t="s">
        <v>193</v>
      </c>
      <c r="AO46" s="211"/>
      <c r="AP46" s="211"/>
      <c r="AQ46" s="211"/>
      <c r="AR46" s="211"/>
      <c r="AS46" s="211" t="s">
        <v>193</v>
      </c>
      <c r="AT46" s="211"/>
      <c r="AU46" s="211" t="s">
        <v>193</v>
      </c>
      <c r="AV46" s="211" t="s">
        <v>193</v>
      </c>
      <c r="AW46" s="211" t="s">
        <v>193</v>
      </c>
      <c r="AX46" s="211" t="s">
        <v>193</v>
      </c>
      <c r="AY46" s="211" t="s">
        <v>193</v>
      </c>
      <c r="AZ46" s="211" t="s">
        <v>193</v>
      </c>
      <c r="BA46" s="211"/>
      <c r="BB46" s="211"/>
      <c r="BC46" s="211"/>
      <c r="BD46" s="211" t="s">
        <v>193</v>
      </c>
      <c r="BE46" s="211" t="s">
        <v>193</v>
      </c>
      <c r="BF46" s="211" t="s">
        <v>193</v>
      </c>
      <c r="BG46" s="211" t="s">
        <v>193</v>
      </c>
      <c r="BH46" s="211" t="s">
        <v>193</v>
      </c>
      <c r="BI46" s="211"/>
      <c r="BJ46" s="211"/>
      <c r="BK46" s="211" t="s">
        <v>193</v>
      </c>
      <c r="BL46" s="211" t="s">
        <v>193</v>
      </c>
      <c r="BM46" s="211"/>
      <c r="BN46" s="211" t="s">
        <v>193</v>
      </c>
      <c r="BO46" s="211" t="s">
        <v>193</v>
      </c>
      <c r="BP46" s="211" t="s">
        <v>193</v>
      </c>
      <c r="BQ46" s="211" t="s">
        <v>193</v>
      </c>
      <c r="BR46" s="211" t="s">
        <v>193</v>
      </c>
      <c r="BS46" s="211" t="s">
        <v>193</v>
      </c>
      <c r="BT46" s="211" t="s">
        <v>193</v>
      </c>
      <c r="BU46" s="211" t="s">
        <v>193</v>
      </c>
      <c r="BV46" s="211" t="s">
        <v>193</v>
      </c>
      <c r="BW46" s="211" t="s">
        <v>193</v>
      </c>
      <c r="BX46" s="211" t="s">
        <v>193</v>
      </c>
      <c r="BY46" s="211"/>
      <c r="BZ46" s="211" t="s">
        <v>193</v>
      </c>
      <c r="CA46" s="211"/>
      <c r="CB46" s="211" t="s">
        <v>193</v>
      </c>
      <c r="CC46" s="211" t="s">
        <v>193</v>
      </c>
      <c r="CD46" s="211" t="s">
        <v>193</v>
      </c>
      <c r="CE46" s="211"/>
      <c r="CF46" s="211" t="s">
        <v>193</v>
      </c>
      <c r="CG46" s="211" t="s">
        <v>193</v>
      </c>
      <c r="CH46" s="211" t="s">
        <v>193</v>
      </c>
      <c r="CI46" s="211" t="s">
        <v>193</v>
      </c>
      <c r="CJ46" s="163"/>
    </row>
    <row r="47" spans="1:88" ht="23.25" customHeight="1">
      <c r="A47" s="163"/>
      <c r="B47" s="212" t="s">
        <v>516</v>
      </c>
      <c r="C47" s="211" t="s">
        <v>193</v>
      </c>
      <c r="D47" s="211"/>
      <c r="E47" s="211"/>
      <c r="F47" s="211" t="s">
        <v>193</v>
      </c>
      <c r="G47" s="211"/>
      <c r="H47" s="211"/>
      <c r="I47" s="211" t="s">
        <v>193</v>
      </c>
      <c r="J47" s="211" t="s">
        <v>193</v>
      </c>
      <c r="K47" s="210"/>
      <c r="L47" s="210"/>
      <c r="M47" s="211"/>
      <c r="N47" s="211" t="s">
        <v>193</v>
      </c>
      <c r="O47" s="211" t="s">
        <v>193</v>
      </c>
      <c r="P47" s="211" t="s">
        <v>193</v>
      </c>
      <c r="Q47" s="211" t="s">
        <v>193</v>
      </c>
      <c r="R47" s="211" t="s">
        <v>193</v>
      </c>
      <c r="S47" s="211" t="s">
        <v>193</v>
      </c>
      <c r="T47" s="211" t="s">
        <v>193</v>
      </c>
      <c r="U47" s="211" t="s">
        <v>193</v>
      </c>
      <c r="V47" s="211" t="s">
        <v>193</v>
      </c>
      <c r="W47" s="211" t="s">
        <v>193</v>
      </c>
      <c r="X47" s="211" t="s">
        <v>193</v>
      </c>
      <c r="Y47" s="211"/>
      <c r="Z47" s="211"/>
      <c r="AA47" s="211" t="s">
        <v>193</v>
      </c>
      <c r="AB47" s="211"/>
      <c r="AC47" s="211"/>
      <c r="AD47" s="211" t="s">
        <v>193</v>
      </c>
      <c r="AE47" s="211"/>
      <c r="AF47" s="211" t="s">
        <v>193</v>
      </c>
      <c r="AG47" s="211"/>
      <c r="AH47" s="211"/>
      <c r="AI47" s="211" t="s">
        <v>193</v>
      </c>
      <c r="AJ47" s="211"/>
      <c r="AK47" s="211"/>
      <c r="AL47" s="211" t="s">
        <v>193</v>
      </c>
      <c r="AM47" s="211" t="s">
        <v>193</v>
      </c>
      <c r="AN47" s="211" t="s">
        <v>193</v>
      </c>
      <c r="AO47" s="211"/>
      <c r="AP47" s="211"/>
      <c r="AQ47" s="211"/>
      <c r="AR47" s="211"/>
      <c r="AS47" s="211" t="s">
        <v>193</v>
      </c>
      <c r="AT47" s="211"/>
      <c r="AU47" s="211" t="s">
        <v>193</v>
      </c>
      <c r="AV47" s="211" t="s">
        <v>193</v>
      </c>
      <c r="AW47" s="211" t="s">
        <v>193</v>
      </c>
      <c r="AX47" s="211" t="s">
        <v>193</v>
      </c>
      <c r="AY47" s="211" t="s">
        <v>193</v>
      </c>
      <c r="AZ47" s="211" t="s">
        <v>193</v>
      </c>
      <c r="BA47" s="211"/>
      <c r="BB47" s="211"/>
      <c r="BC47" s="211"/>
      <c r="BD47" s="211" t="s">
        <v>193</v>
      </c>
      <c r="BE47" s="211" t="s">
        <v>193</v>
      </c>
      <c r="BF47" s="211" t="s">
        <v>193</v>
      </c>
      <c r="BG47" s="211" t="s">
        <v>193</v>
      </c>
      <c r="BH47" s="211" t="s">
        <v>193</v>
      </c>
      <c r="BI47" s="211"/>
      <c r="BJ47" s="211"/>
      <c r="BK47" s="211" t="s">
        <v>193</v>
      </c>
      <c r="BL47" s="211" t="s">
        <v>193</v>
      </c>
      <c r="BM47" s="211"/>
      <c r="BN47" s="211" t="s">
        <v>193</v>
      </c>
      <c r="BO47" s="211" t="s">
        <v>193</v>
      </c>
      <c r="BP47" s="211" t="s">
        <v>193</v>
      </c>
      <c r="BQ47" s="211" t="s">
        <v>193</v>
      </c>
      <c r="BR47" s="211" t="s">
        <v>193</v>
      </c>
      <c r="BS47" s="211" t="s">
        <v>193</v>
      </c>
      <c r="BT47" s="211" t="s">
        <v>193</v>
      </c>
      <c r="BU47" s="211" t="s">
        <v>193</v>
      </c>
      <c r="BV47" s="211" t="s">
        <v>193</v>
      </c>
      <c r="BW47" s="211" t="s">
        <v>193</v>
      </c>
      <c r="BX47" s="211" t="s">
        <v>193</v>
      </c>
      <c r="BY47" s="211"/>
      <c r="BZ47" s="211" t="s">
        <v>193</v>
      </c>
      <c r="CA47" s="211"/>
      <c r="CB47" s="211" t="s">
        <v>193</v>
      </c>
      <c r="CC47" s="211" t="s">
        <v>193</v>
      </c>
      <c r="CD47" s="211" t="s">
        <v>193</v>
      </c>
      <c r="CE47" s="211"/>
      <c r="CF47" s="211" t="s">
        <v>193</v>
      </c>
      <c r="CG47" s="211" t="s">
        <v>193</v>
      </c>
      <c r="CH47" s="211" t="s">
        <v>193</v>
      </c>
      <c r="CI47" s="211" t="s">
        <v>193</v>
      </c>
      <c r="CJ47" s="163"/>
    </row>
    <row r="48" spans="1:88" ht="23.25" customHeight="1">
      <c r="A48" s="163"/>
      <c r="B48" s="212" t="s">
        <v>517</v>
      </c>
      <c r="C48" s="211" t="s">
        <v>193</v>
      </c>
      <c r="D48" s="211"/>
      <c r="E48" s="211"/>
      <c r="F48" s="211" t="s">
        <v>193</v>
      </c>
      <c r="G48" s="211"/>
      <c r="H48" s="211"/>
      <c r="I48" s="211" t="s">
        <v>193</v>
      </c>
      <c r="J48" s="211" t="s">
        <v>193</v>
      </c>
      <c r="K48" s="210" t="s">
        <v>193</v>
      </c>
      <c r="L48" s="210"/>
      <c r="M48" s="211" t="s">
        <v>193</v>
      </c>
      <c r="N48" s="211" t="s">
        <v>193</v>
      </c>
      <c r="O48" s="211" t="s">
        <v>193</v>
      </c>
      <c r="P48" s="211" t="s">
        <v>193</v>
      </c>
      <c r="Q48" s="211" t="s">
        <v>193</v>
      </c>
      <c r="R48" s="211" t="s">
        <v>193</v>
      </c>
      <c r="S48" s="211" t="s">
        <v>193</v>
      </c>
      <c r="T48" s="211" t="s">
        <v>193</v>
      </c>
      <c r="U48" s="211" t="s">
        <v>193</v>
      </c>
      <c r="V48" s="211" t="s">
        <v>193</v>
      </c>
      <c r="W48" s="211" t="s">
        <v>193</v>
      </c>
      <c r="X48" s="211" t="s">
        <v>193</v>
      </c>
      <c r="Y48" s="211"/>
      <c r="Z48" s="211"/>
      <c r="AA48" s="211" t="s">
        <v>193</v>
      </c>
      <c r="AB48" s="211"/>
      <c r="AC48" s="211"/>
      <c r="AD48" s="211" t="s">
        <v>193</v>
      </c>
      <c r="AE48" s="211"/>
      <c r="AF48" s="211" t="s">
        <v>193</v>
      </c>
      <c r="AG48" s="211"/>
      <c r="AH48" s="211"/>
      <c r="AI48" s="211" t="s">
        <v>193</v>
      </c>
      <c r="AJ48" s="211"/>
      <c r="AK48" s="211"/>
      <c r="AL48" s="211" t="s">
        <v>193</v>
      </c>
      <c r="AM48" s="211" t="s">
        <v>193</v>
      </c>
      <c r="AN48" s="211" t="s">
        <v>193</v>
      </c>
      <c r="AO48" s="211"/>
      <c r="AP48" s="211"/>
      <c r="AQ48" s="211"/>
      <c r="AR48" s="211"/>
      <c r="AS48" s="211" t="s">
        <v>193</v>
      </c>
      <c r="AT48" s="211"/>
      <c r="AU48" s="211" t="s">
        <v>193</v>
      </c>
      <c r="AV48" s="211" t="s">
        <v>193</v>
      </c>
      <c r="AW48" s="211" t="s">
        <v>193</v>
      </c>
      <c r="AX48" s="211" t="s">
        <v>193</v>
      </c>
      <c r="AY48" s="211" t="s">
        <v>193</v>
      </c>
      <c r="AZ48" s="211" t="s">
        <v>193</v>
      </c>
      <c r="BA48" s="211"/>
      <c r="BB48" s="211"/>
      <c r="BC48" s="211"/>
      <c r="BD48" s="211" t="s">
        <v>193</v>
      </c>
      <c r="BE48" s="211" t="s">
        <v>193</v>
      </c>
      <c r="BF48" s="211" t="s">
        <v>193</v>
      </c>
      <c r="BG48" s="211" t="s">
        <v>193</v>
      </c>
      <c r="BH48" s="211" t="s">
        <v>193</v>
      </c>
      <c r="BI48" s="211"/>
      <c r="BJ48" s="211"/>
      <c r="BK48" s="211" t="s">
        <v>193</v>
      </c>
      <c r="BL48" s="211" t="s">
        <v>193</v>
      </c>
      <c r="BM48" s="211"/>
      <c r="BN48" s="211" t="s">
        <v>193</v>
      </c>
      <c r="BO48" s="211" t="s">
        <v>193</v>
      </c>
      <c r="BP48" s="211" t="s">
        <v>193</v>
      </c>
      <c r="BQ48" s="211" t="s">
        <v>193</v>
      </c>
      <c r="BR48" s="211" t="s">
        <v>193</v>
      </c>
      <c r="BS48" s="211" t="s">
        <v>193</v>
      </c>
      <c r="BT48" s="211" t="s">
        <v>193</v>
      </c>
      <c r="BU48" s="211" t="s">
        <v>193</v>
      </c>
      <c r="BV48" s="211" t="s">
        <v>193</v>
      </c>
      <c r="BW48" s="211" t="s">
        <v>193</v>
      </c>
      <c r="BX48" s="211" t="s">
        <v>193</v>
      </c>
      <c r="BY48" s="211"/>
      <c r="BZ48" s="211" t="s">
        <v>193</v>
      </c>
      <c r="CA48" s="211"/>
      <c r="CB48" s="211" t="s">
        <v>193</v>
      </c>
      <c r="CC48" s="211" t="s">
        <v>193</v>
      </c>
      <c r="CD48" s="211" t="s">
        <v>193</v>
      </c>
      <c r="CE48" s="211"/>
      <c r="CF48" s="211" t="s">
        <v>193</v>
      </c>
      <c r="CG48" s="211" t="s">
        <v>193</v>
      </c>
      <c r="CH48" s="211" t="s">
        <v>193</v>
      </c>
      <c r="CI48" s="211" t="s">
        <v>193</v>
      </c>
      <c r="CJ48" s="163"/>
    </row>
    <row r="49" spans="1:88" ht="23.25" customHeight="1">
      <c r="A49" s="163"/>
      <c r="B49" s="212" t="s">
        <v>518</v>
      </c>
      <c r="C49" s="211" t="s">
        <v>193</v>
      </c>
      <c r="D49" s="211"/>
      <c r="E49" s="211"/>
      <c r="F49" s="211" t="s">
        <v>193</v>
      </c>
      <c r="G49" s="211"/>
      <c r="H49" s="211"/>
      <c r="I49" s="211" t="s">
        <v>193</v>
      </c>
      <c r="J49" s="211" t="s">
        <v>193</v>
      </c>
      <c r="K49" s="210"/>
      <c r="L49" s="210"/>
      <c r="M49" s="211"/>
      <c r="N49" s="211" t="s">
        <v>193</v>
      </c>
      <c r="O49" s="211" t="s">
        <v>193</v>
      </c>
      <c r="P49" s="211" t="s">
        <v>193</v>
      </c>
      <c r="Q49" s="211" t="s">
        <v>193</v>
      </c>
      <c r="R49" s="211" t="s">
        <v>193</v>
      </c>
      <c r="S49" s="211" t="s">
        <v>193</v>
      </c>
      <c r="T49" s="211" t="s">
        <v>193</v>
      </c>
      <c r="U49" s="211" t="s">
        <v>193</v>
      </c>
      <c r="V49" s="211" t="s">
        <v>193</v>
      </c>
      <c r="W49" s="211" t="s">
        <v>193</v>
      </c>
      <c r="X49" s="211" t="s">
        <v>193</v>
      </c>
      <c r="Y49" s="211"/>
      <c r="Z49" s="211"/>
      <c r="AA49" s="211" t="s">
        <v>193</v>
      </c>
      <c r="AB49" s="211"/>
      <c r="AC49" s="211"/>
      <c r="AD49" s="211" t="s">
        <v>193</v>
      </c>
      <c r="AE49" s="211"/>
      <c r="AF49" s="211" t="s">
        <v>193</v>
      </c>
      <c r="AG49" s="211"/>
      <c r="AH49" s="211"/>
      <c r="AI49" s="211" t="s">
        <v>193</v>
      </c>
      <c r="AJ49" s="211"/>
      <c r="AK49" s="211"/>
      <c r="AL49" s="211" t="s">
        <v>193</v>
      </c>
      <c r="AM49" s="211" t="s">
        <v>193</v>
      </c>
      <c r="AN49" s="211" t="s">
        <v>193</v>
      </c>
      <c r="AO49" s="211"/>
      <c r="AP49" s="211"/>
      <c r="AQ49" s="211"/>
      <c r="AR49" s="211"/>
      <c r="AS49" s="211" t="s">
        <v>193</v>
      </c>
      <c r="AT49" s="211"/>
      <c r="AU49" s="211" t="s">
        <v>193</v>
      </c>
      <c r="AV49" s="211" t="s">
        <v>193</v>
      </c>
      <c r="AW49" s="211" t="s">
        <v>193</v>
      </c>
      <c r="AX49" s="211" t="s">
        <v>193</v>
      </c>
      <c r="AY49" s="211" t="s">
        <v>193</v>
      </c>
      <c r="AZ49" s="211" t="s">
        <v>193</v>
      </c>
      <c r="BA49" s="211"/>
      <c r="BB49" s="211"/>
      <c r="BC49" s="211"/>
      <c r="BD49" s="211" t="s">
        <v>193</v>
      </c>
      <c r="BE49" s="211" t="s">
        <v>193</v>
      </c>
      <c r="BF49" s="211" t="s">
        <v>193</v>
      </c>
      <c r="BG49" s="211" t="s">
        <v>193</v>
      </c>
      <c r="BH49" s="211" t="s">
        <v>193</v>
      </c>
      <c r="BI49" s="211"/>
      <c r="BJ49" s="211"/>
      <c r="BK49" s="211" t="s">
        <v>193</v>
      </c>
      <c r="BL49" s="211" t="s">
        <v>193</v>
      </c>
      <c r="BM49" s="211"/>
      <c r="BN49" s="211" t="s">
        <v>193</v>
      </c>
      <c r="BO49" s="211" t="s">
        <v>193</v>
      </c>
      <c r="BP49" s="211" t="s">
        <v>193</v>
      </c>
      <c r="BQ49" s="211" t="s">
        <v>193</v>
      </c>
      <c r="BR49" s="211" t="s">
        <v>193</v>
      </c>
      <c r="BS49" s="211" t="s">
        <v>193</v>
      </c>
      <c r="BT49" s="211" t="s">
        <v>193</v>
      </c>
      <c r="BU49" s="211" t="s">
        <v>193</v>
      </c>
      <c r="BV49" s="211" t="s">
        <v>193</v>
      </c>
      <c r="BW49" s="211" t="s">
        <v>193</v>
      </c>
      <c r="BX49" s="211" t="s">
        <v>193</v>
      </c>
      <c r="BY49" s="211"/>
      <c r="BZ49" s="211" t="s">
        <v>193</v>
      </c>
      <c r="CA49" s="211"/>
      <c r="CB49" s="211" t="s">
        <v>193</v>
      </c>
      <c r="CC49" s="211" t="s">
        <v>193</v>
      </c>
      <c r="CD49" s="211" t="s">
        <v>193</v>
      </c>
      <c r="CE49" s="211"/>
      <c r="CF49" s="211" t="s">
        <v>193</v>
      </c>
      <c r="CG49" s="211" t="s">
        <v>193</v>
      </c>
      <c r="CH49" s="211" t="s">
        <v>193</v>
      </c>
      <c r="CI49" s="211" t="s">
        <v>193</v>
      </c>
      <c r="CJ49" s="163"/>
    </row>
    <row r="50" spans="1:88" ht="23.25" customHeight="1">
      <c r="A50" s="163"/>
      <c r="B50" s="212" t="s">
        <v>519</v>
      </c>
      <c r="C50" s="211" t="s">
        <v>193</v>
      </c>
      <c r="D50" s="211"/>
      <c r="E50" s="211" t="s">
        <v>193</v>
      </c>
      <c r="F50" s="211" t="s">
        <v>193</v>
      </c>
      <c r="G50" s="211"/>
      <c r="H50" s="211"/>
      <c r="I50" s="211" t="s">
        <v>193</v>
      </c>
      <c r="J50" s="211" t="s">
        <v>193</v>
      </c>
      <c r="K50" s="210"/>
      <c r="L50" s="210" t="s">
        <v>193</v>
      </c>
      <c r="M50" s="211"/>
      <c r="N50" s="211" t="s">
        <v>193</v>
      </c>
      <c r="O50" s="211" t="s">
        <v>193</v>
      </c>
      <c r="P50" s="211" t="s">
        <v>193</v>
      </c>
      <c r="Q50" s="211" t="s">
        <v>193</v>
      </c>
      <c r="R50" s="211" t="s">
        <v>193</v>
      </c>
      <c r="S50" s="211" t="s">
        <v>193</v>
      </c>
      <c r="T50" s="211" t="s">
        <v>193</v>
      </c>
      <c r="U50" s="211" t="s">
        <v>193</v>
      </c>
      <c r="V50" s="211" t="s">
        <v>193</v>
      </c>
      <c r="W50" s="211" t="s">
        <v>193</v>
      </c>
      <c r="X50" s="211" t="s">
        <v>193</v>
      </c>
      <c r="Y50" s="211"/>
      <c r="Z50" s="211"/>
      <c r="AA50" s="211" t="s">
        <v>193</v>
      </c>
      <c r="AB50" s="211"/>
      <c r="AC50" s="211"/>
      <c r="AD50" s="211" t="s">
        <v>193</v>
      </c>
      <c r="AE50" s="211" t="s">
        <v>193</v>
      </c>
      <c r="AF50" s="211" t="s">
        <v>193</v>
      </c>
      <c r="AG50" s="211"/>
      <c r="AH50" s="211"/>
      <c r="AI50" s="211" t="s">
        <v>193</v>
      </c>
      <c r="AJ50" s="211"/>
      <c r="AK50" s="211"/>
      <c r="AL50" s="211" t="s">
        <v>193</v>
      </c>
      <c r="AM50" s="211" t="s">
        <v>193</v>
      </c>
      <c r="AN50" s="211" t="s">
        <v>193</v>
      </c>
      <c r="AO50" s="211"/>
      <c r="AP50" s="211" t="s">
        <v>193</v>
      </c>
      <c r="AQ50" s="211"/>
      <c r="AR50" s="211"/>
      <c r="AS50" s="211" t="s">
        <v>193</v>
      </c>
      <c r="AT50" s="211"/>
      <c r="AU50" s="211" t="s">
        <v>193</v>
      </c>
      <c r="AV50" s="211" t="s">
        <v>193</v>
      </c>
      <c r="AW50" s="211" t="s">
        <v>193</v>
      </c>
      <c r="AX50" s="211" t="s">
        <v>193</v>
      </c>
      <c r="AY50" s="211" t="s">
        <v>193</v>
      </c>
      <c r="AZ50" s="211" t="s">
        <v>193</v>
      </c>
      <c r="BA50" s="211"/>
      <c r="BB50" s="211"/>
      <c r="BC50" s="211"/>
      <c r="BD50" s="211" t="s">
        <v>193</v>
      </c>
      <c r="BE50" s="211" t="s">
        <v>193</v>
      </c>
      <c r="BF50" s="211" t="s">
        <v>193</v>
      </c>
      <c r="BG50" s="211" t="s">
        <v>193</v>
      </c>
      <c r="BH50" s="211" t="s">
        <v>193</v>
      </c>
      <c r="BI50" s="211"/>
      <c r="BJ50" s="211"/>
      <c r="BK50" s="211" t="s">
        <v>193</v>
      </c>
      <c r="BL50" s="211" t="s">
        <v>193</v>
      </c>
      <c r="BM50" s="211" t="s">
        <v>193</v>
      </c>
      <c r="BN50" s="211" t="s">
        <v>193</v>
      </c>
      <c r="BO50" s="211" t="s">
        <v>193</v>
      </c>
      <c r="BP50" s="211" t="s">
        <v>193</v>
      </c>
      <c r="BQ50" s="211" t="s">
        <v>193</v>
      </c>
      <c r="BR50" s="211" t="s">
        <v>193</v>
      </c>
      <c r="BS50" s="211" t="s">
        <v>193</v>
      </c>
      <c r="BT50" s="211" t="s">
        <v>193</v>
      </c>
      <c r="BU50" s="211" t="s">
        <v>193</v>
      </c>
      <c r="BV50" s="211" t="s">
        <v>193</v>
      </c>
      <c r="BW50" s="211" t="s">
        <v>193</v>
      </c>
      <c r="BX50" s="211" t="s">
        <v>193</v>
      </c>
      <c r="BY50" s="211"/>
      <c r="BZ50" s="211" t="s">
        <v>193</v>
      </c>
      <c r="CA50" s="211"/>
      <c r="CB50" s="211" t="s">
        <v>193</v>
      </c>
      <c r="CC50" s="211" t="s">
        <v>193</v>
      </c>
      <c r="CD50" s="211" t="s">
        <v>193</v>
      </c>
      <c r="CE50" s="211"/>
      <c r="CF50" s="211" t="s">
        <v>193</v>
      </c>
      <c r="CG50" s="211" t="s">
        <v>193</v>
      </c>
      <c r="CH50" s="211" t="s">
        <v>193</v>
      </c>
      <c r="CI50" s="211" t="s">
        <v>193</v>
      </c>
      <c r="CJ50" s="163"/>
    </row>
    <row r="51" spans="1:88" ht="23.25" customHeight="1">
      <c r="A51" s="163"/>
      <c r="B51" s="212" t="s">
        <v>520</v>
      </c>
      <c r="C51" s="211" t="s">
        <v>193</v>
      </c>
      <c r="D51" s="211"/>
      <c r="E51" s="211"/>
      <c r="F51" s="211" t="s">
        <v>193</v>
      </c>
      <c r="G51" s="211"/>
      <c r="H51" s="211"/>
      <c r="I51" s="211" t="s">
        <v>193</v>
      </c>
      <c r="J51" s="211" t="s">
        <v>193</v>
      </c>
      <c r="K51" s="210"/>
      <c r="L51" s="210"/>
      <c r="M51" s="211"/>
      <c r="N51" s="211" t="s">
        <v>193</v>
      </c>
      <c r="O51" s="211" t="s">
        <v>193</v>
      </c>
      <c r="P51" s="211" t="s">
        <v>193</v>
      </c>
      <c r="Q51" s="211" t="s">
        <v>193</v>
      </c>
      <c r="R51" s="211" t="s">
        <v>193</v>
      </c>
      <c r="S51" s="211" t="s">
        <v>193</v>
      </c>
      <c r="T51" s="211" t="s">
        <v>193</v>
      </c>
      <c r="U51" s="211" t="s">
        <v>193</v>
      </c>
      <c r="V51" s="211" t="s">
        <v>193</v>
      </c>
      <c r="W51" s="211" t="s">
        <v>193</v>
      </c>
      <c r="X51" s="211" t="s">
        <v>193</v>
      </c>
      <c r="Y51" s="211"/>
      <c r="Z51" s="211"/>
      <c r="AA51" s="211" t="s">
        <v>193</v>
      </c>
      <c r="AB51" s="211"/>
      <c r="AC51" s="211"/>
      <c r="AD51" s="211" t="s">
        <v>193</v>
      </c>
      <c r="AE51" s="211"/>
      <c r="AF51" s="211" t="s">
        <v>193</v>
      </c>
      <c r="AG51" s="211"/>
      <c r="AH51" s="211"/>
      <c r="AI51" s="211" t="s">
        <v>193</v>
      </c>
      <c r="AJ51" s="211"/>
      <c r="AK51" s="211"/>
      <c r="AL51" s="211" t="s">
        <v>193</v>
      </c>
      <c r="AM51" s="211" t="s">
        <v>193</v>
      </c>
      <c r="AN51" s="211" t="s">
        <v>193</v>
      </c>
      <c r="AO51" s="211"/>
      <c r="AP51" s="211"/>
      <c r="AQ51" s="211"/>
      <c r="AR51" s="211"/>
      <c r="AS51" s="211" t="s">
        <v>193</v>
      </c>
      <c r="AT51" s="211"/>
      <c r="AU51" s="211" t="s">
        <v>193</v>
      </c>
      <c r="AV51" s="211" t="s">
        <v>193</v>
      </c>
      <c r="AW51" s="211" t="s">
        <v>193</v>
      </c>
      <c r="AX51" s="211" t="s">
        <v>193</v>
      </c>
      <c r="AY51" s="211" t="s">
        <v>193</v>
      </c>
      <c r="AZ51" s="211" t="s">
        <v>193</v>
      </c>
      <c r="BA51" s="211"/>
      <c r="BB51" s="211"/>
      <c r="BC51" s="211"/>
      <c r="BD51" s="211" t="s">
        <v>193</v>
      </c>
      <c r="BE51" s="211" t="s">
        <v>193</v>
      </c>
      <c r="BF51" s="211" t="s">
        <v>193</v>
      </c>
      <c r="BG51" s="211" t="s">
        <v>193</v>
      </c>
      <c r="BH51" s="211" t="s">
        <v>193</v>
      </c>
      <c r="BI51" s="211"/>
      <c r="BJ51" s="211"/>
      <c r="BK51" s="211" t="s">
        <v>193</v>
      </c>
      <c r="BL51" s="211" t="s">
        <v>193</v>
      </c>
      <c r="BM51" s="211"/>
      <c r="BN51" s="211" t="s">
        <v>193</v>
      </c>
      <c r="BO51" s="211" t="s">
        <v>193</v>
      </c>
      <c r="BP51" s="211" t="s">
        <v>193</v>
      </c>
      <c r="BQ51" s="211" t="s">
        <v>193</v>
      </c>
      <c r="BR51" s="211" t="s">
        <v>193</v>
      </c>
      <c r="BS51" s="211" t="s">
        <v>193</v>
      </c>
      <c r="BT51" s="211" t="s">
        <v>193</v>
      </c>
      <c r="BU51" s="211" t="s">
        <v>193</v>
      </c>
      <c r="BV51" s="211" t="s">
        <v>193</v>
      </c>
      <c r="BW51" s="211" t="s">
        <v>193</v>
      </c>
      <c r="BX51" s="211" t="s">
        <v>193</v>
      </c>
      <c r="BY51" s="211"/>
      <c r="BZ51" s="211" t="s">
        <v>193</v>
      </c>
      <c r="CA51" s="211"/>
      <c r="CB51" s="211" t="s">
        <v>193</v>
      </c>
      <c r="CC51" s="211" t="s">
        <v>193</v>
      </c>
      <c r="CD51" s="211" t="s">
        <v>193</v>
      </c>
      <c r="CE51" s="211"/>
      <c r="CF51" s="211" t="s">
        <v>193</v>
      </c>
      <c r="CG51" s="211" t="s">
        <v>193</v>
      </c>
      <c r="CH51" s="211" t="s">
        <v>193</v>
      </c>
      <c r="CI51" s="211" t="s">
        <v>193</v>
      </c>
      <c r="CJ51" s="163"/>
    </row>
    <row r="52" spans="1:88" ht="23.25" customHeight="1">
      <c r="A52" s="163"/>
      <c r="B52" s="212" t="s">
        <v>521</v>
      </c>
      <c r="C52" s="211" t="s">
        <v>193</v>
      </c>
      <c r="D52" s="211"/>
      <c r="E52" s="211"/>
      <c r="F52" s="211" t="s">
        <v>193</v>
      </c>
      <c r="G52" s="211"/>
      <c r="H52" s="211"/>
      <c r="I52" s="211" t="s">
        <v>193</v>
      </c>
      <c r="J52" s="211" t="s">
        <v>193</v>
      </c>
      <c r="K52" s="210"/>
      <c r="L52" s="210" t="s">
        <v>193</v>
      </c>
      <c r="M52" s="211"/>
      <c r="N52" s="211" t="s">
        <v>193</v>
      </c>
      <c r="O52" s="211" t="s">
        <v>193</v>
      </c>
      <c r="P52" s="211" t="s">
        <v>193</v>
      </c>
      <c r="Q52" s="211" t="s">
        <v>193</v>
      </c>
      <c r="R52" s="211" t="s">
        <v>193</v>
      </c>
      <c r="S52" s="211" t="s">
        <v>193</v>
      </c>
      <c r="T52" s="211" t="s">
        <v>193</v>
      </c>
      <c r="U52" s="211" t="s">
        <v>193</v>
      </c>
      <c r="V52" s="211" t="s">
        <v>193</v>
      </c>
      <c r="W52" s="211" t="s">
        <v>193</v>
      </c>
      <c r="X52" s="211" t="s">
        <v>193</v>
      </c>
      <c r="Y52" s="211"/>
      <c r="Z52" s="211"/>
      <c r="AA52" s="211" t="s">
        <v>193</v>
      </c>
      <c r="AB52" s="211"/>
      <c r="AC52" s="211"/>
      <c r="AD52" s="211" t="s">
        <v>193</v>
      </c>
      <c r="AE52" s="211"/>
      <c r="AF52" s="211" t="s">
        <v>193</v>
      </c>
      <c r="AG52" s="211"/>
      <c r="AH52" s="211"/>
      <c r="AI52" s="211" t="s">
        <v>193</v>
      </c>
      <c r="AJ52" s="211"/>
      <c r="AK52" s="211"/>
      <c r="AL52" s="211" t="s">
        <v>193</v>
      </c>
      <c r="AM52" s="211" t="s">
        <v>193</v>
      </c>
      <c r="AN52" s="211" t="s">
        <v>193</v>
      </c>
      <c r="AO52" s="211"/>
      <c r="AP52" s="211"/>
      <c r="AQ52" s="211"/>
      <c r="AR52" s="211"/>
      <c r="AS52" s="211" t="s">
        <v>193</v>
      </c>
      <c r="AT52" s="211"/>
      <c r="AU52" s="211" t="s">
        <v>193</v>
      </c>
      <c r="AV52" s="211" t="s">
        <v>193</v>
      </c>
      <c r="AW52" s="211" t="s">
        <v>193</v>
      </c>
      <c r="AX52" s="211" t="s">
        <v>193</v>
      </c>
      <c r="AY52" s="211" t="s">
        <v>193</v>
      </c>
      <c r="AZ52" s="211" t="s">
        <v>193</v>
      </c>
      <c r="BA52" s="211"/>
      <c r="BB52" s="211"/>
      <c r="BC52" s="211"/>
      <c r="BD52" s="211" t="s">
        <v>193</v>
      </c>
      <c r="BE52" s="211" t="s">
        <v>193</v>
      </c>
      <c r="BF52" s="211" t="s">
        <v>193</v>
      </c>
      <c r="BG52" s="211" t="s">
        <v>193</v>
      </c>
      <c r="BH52" s="211" t="s">
        <v>193</v>
      </c>
      <c r="BI52" s="211"/>
      <c r="BJ52" s="211"/>
      <c r="BK52" s="211" t="s">
        <v>193</v>
      </c>
      <c r="BL52" s="211" t="s">
        <v>193</v>
      </c>
      <c r="BM52" s="211" t="s">
        <v>193</v>
      </c>
      <c r="BN52" s="211" t="s">
        <v>193</v>
      </c>
      <c r="BO52" s="211" t="s">
        <v>193</v>
      </c>
      <c r="BP52" s="211" t="s">
        <v>193</v>
      </c>
      <c r="BQ52" s="211" t="s">
        <v>193</v>
      </c>
      <c r="BR52" s="211" t="s">
        <v>193</v>
      </c>
      <c r="BS52" s="211" t="s">
        <v>193</v>
      </c>
      <c r="BT52" s="211" t="s">
        <v>193</v>
      </c>
      <c r="BU52" s="211" t="s">
        <v>193</v>
      </c>
      <c r="BV52" s="211" t="s">
        <v>193</v>
      </c>
      <c r="BW52" s="211" t="s">
        <v>193</v>
      </c>
      <c r="BX52" s="211" t="s">
        <v>193</v>
      </c>
      <c r="BY52" s="211"/>
      <c r="BZ52" s="211" t="s">
        <v>193</v>
      </c>
      <c r="CA52" s="211"/>
      <c r="CB52" s="211" t="s">
        <v>193</v>
      </c>
      <c r="CC52" s="211" t="s">
        <v>193</v>
      </c>
      <c r="CD52" s="211" t="s">
        <v>193</v>
      </c>
      <c r="CE52" s="211"/>
      <c r="CF52" s="211" t="s">
        <v>193</v>
      </c>
      <c r="CG52" s="211" t="s">
        <v>193</v>
      </c>
      <c r="CH52" s="211" t="s">
        <v>193</v>
      </c>
      <c r="CI52" s="211" t="s">
        <v>193</v>
      </c>
      <c r="CJ52" s="163"/>
    </row>
    <row r="53" spans="1:88" ht="23.25" customHeight="1">
      <c r="A53" s="163"/>
      <c r="B53" s="212" t="s">
        <v>522</v>
      </c>
      <c r="C53" s="211" t="s">
        <v>193</v>
      </c>
      <c r="D53" s="211"/>
      <c r="E53" s="211"/>
      <c r="F53" s="211" t="s">
        <v>193</v>
      </c>
      <c r="G53" s="211"/>
      <c r="H53" s="211"/>
      <c r="I53" s="211" t="s">
        <v>193</v>
      </c>
      <c r="J53" s="211" t="s">
        <v>193</v>
      </c>
      <c r="K53" s="210"/>
      <c r="L53" s="210"/>
      <c r="M53" s="211"/>
      <c r="N53" s="211" t="s">
        <v>193</v>
      </c>
      <c r="O53" s="211" t="s">
        <v>193</v>
      </c>
      <c r="P53" s="211" t="s">
        <v>193</v>
      </c>
      <c r="Q53" s="211" t="s">
        <v>193</v>
      </c>
      <c r="R53" s="211" t="s">
        <v>193</v>
      </c>
      <c r="S53" s="211" t="s">
        <v>193</v>
      </c>
      <c r="T53" s="211" t="s">
        <v>193</v>
      </c>
      <c r="U53" s="211" t="s">
        <v>193</v>
      </c>
      <c r="V53" s="211" t="s">
        <v>193</v>
      </c>
      <c r="W53" s="211" t="s">
        <v>193</v>
      </c>
      <c r="X53" s="211" t="s">
        <v>193</v>
      </c>
      <c r="Y53" s="211"/>
      <c r="Z53" s="211"/>
      <c r="AA53" s="211" t="s">
        <v>193</v>
      </c>
      <c r="AB53" s="211"/>
      <c r="AC53" s="211"/>
      <c r="AD53" s="211" t="s">
        <v>193</v>
      </c>
      <c r="AE53" s="211"/>
      <c r="AF53" s="211" t="s">
        <v>193</v>
      </c>
      <c r="AG53" s="211"/>
      <c r="AH53" s="211"/>
      <c r="AI53" s="211" t="s">
        <v>193</v>
      </c>
      <c r="AJ53" s="211"/>
      <c r="AK53" s="211"/>
      <c r="AL53" s="211" t="s">
        <v>193</v>
      </c>
      <c r="AM53" s="211" t="s">
        <v>193</v>
      </c>
      <c r="AN53" s="211" t="s">
        <v>193</v>
      </c>
      <c r="AO53" s="211"/>
      <c r="AP53" s="211"/>
      <c r="AQ53" s="211"/>
      <c r="AR53" s="211"/>
      <c r="AS53" s="211" t="s">
        <v>193</v>
      </c>
      <c r="AT53" s="211"/>
      <c r="AU53" s="211" t="s">
        <v>193</v>
      </c>
      <c r="AV53" s="211" t="s">
        <v>193</v>
      </c>
      <c r="AW53" s="211" t="s">
        <v>193</v>
      </c>
      <c r="AX53" s="211" t="s">
        <v>193</v>
      </c>
      <c r="AY53" s="211" t="s">
        <v>193</v>
      </c>
      <c r="AZ53" s="211" t="s">
        <v>193</v>
      </c>
      <c r="BA53" s="211"/>
      <c r="BB53" s="211"/>
      <c r="BC53" s="211"/>
      <c r="BD53" s="211" t="s">
        <v>193</v>
      </c>
      <c r="BE53" s="211" t="s">
        <v>193</v>
      </c>
      <c r="BF53" s="211" t="s">
        <v>193</v>
      </c>
      <c r="BG53" s="211" t="s">
        <v>193</v>
      </c>
      <c r="BH53" s="211" t="s">
        <v>193</v>
      </c>
      <c r="BI53" s="211"/>
      <c r="BJ53" s="211"/>
      <c r="BK53" s="211" t="s">
        <v>193</v>
      </c>
      <c r="BL53" s="211" t="s">
        <v>193</v>
      </c>
      <c r="BM53" s="211"/>
      <c r="BN53" s="211" t="s">
        <v>193</v>
      </c>
      <c r="BO53" s="211" t="s">
        <v>193</v>
      </c>
      <c r="BP53" s="211" t="s">
        <v>193</v>
      </c>
      <c r="BQ53" s="211" t="s">
        <v>193</v>
      </c>
      <c r="BR53" s="211" t="s">
        <v>193</v>
      </c>
      <c r="BS53" s="211" t="s">
        <v>193</v>
      </c>
      <c r="BT53" s="211" t="s">
        <v>193</v>
      </c>
      <c r="BU53" s="211" t="s">
        <v>193</v>
      </c>
      <c r="BV53" s="211" t="s">
        <v>193</v>
      </c>
      <c r="BW53" s="211" t="s">
        <v>193</v>
      </c>
      <c r="BX53" s="211" t="s">
        <v>193</v>
      </c>
      <c r="BY53" s="211"/>
      <c r="BZ53" s="211" t="s">
        <v>193</v>
      </c>
      <c r="CA53" s="211"/>
      <c r="CB53" s="211" t="s">
        <v>193</v>
      </c>
      <c r="CC53" s="211" t="s">
        <v>193</v>
      </c>
      <c r="CD53" s="211" t="s">
        <v>193</v>
      </c>
      <c r="CE53" s="211"/>
      <c r="CF53" s="211" t="s">
        <v>193</v>
      </c>
      <c r="CG53" s="211" t="s">
        <v>193</v>
      </c>
      <c r="CH53" s="211" t="s">
        <v>193</v>
      </c>
      <c r="CI53" s="211" t="s">
        <v>193</v>
      </c>
      <c r="CJ53" s="163"/>
    </row>
    <row r="54" spans="1:88" ht="23.25" customHeight="1">
      <c r="A54" s="163"/>
      <c r="B54" s="212" t="s">
        <v>523</v>
      </c>
      <c r="C54" s="211" t="s">
        <v>193</v>
      </c>
      <c r="D54" s="211"/>
      <c r="E54" s="211"/>
      <c r="F54" s="211" t="s">
        <v>193</v>
      </c>
      <c r="G54" s="211"/>
      <c r="H54" s="211"/>
      <c r="I54" s="211" t="s">
        <v>193</v>
      </c>
      <c r="J54" s="211" t="s">
        <v>193</v>
      </c>
      <c r="K54" s="210"/>
      <c r="L54" s="210"/>
      <c r="M54" s="211"/>
      <c r="N54" s="211" t="s">
        <v>193</v>
      </c>
      <c r="O54" s="211" t="s">
        <v>193</v>
      </c>
      <c r="P54" s="211" t="s">
        <v>193</v>
      </c>
      <c r="Q54" s="211" t="s">
        <v>193</v>
      </c>
      <c r="R54" s="211" t="s">
        <v>193</v>
      </c>
      <c r="S54" s="211" t="s">
        <v>193</v>
      </c>
      <c r="T54" s="211" t="s">
        <v>193</v>
      </c>
      <c r="U54" s="211" t="s">
        <v>193</v>
      </c>
      <c r="V54" s="211" t="s">
        <v>193</v>
      </c>
      <c r="W54" s="211" t="s">
        <v>193</v>
      </c>
      <c r="X54" s="211" t="s">
        <v>193</v>
      </c>
      <c r="Y54" s="211"/>
      <c r="Z54" s="211"/>
      <c r="AA54" s="211" t="s">
        <v>193</v>
      </c>
      <c r="AB54" s="211"/>
      <c r="AC54" s="211"/>
      <c r="AD54" s="211" t="s">
        <v>193</v>
      </c>
      <c r="AE54" s="211"/>
      <c r="AF54" s="211" t="s">
        <v>193</v>
      </c>
      <c r="AG54" s="211"/>
      <c r="AH54" s="211"/>
      <c r="AI54" s="211" t="s">
        <v>193</v>
      </c>
      <c r="AJ54" s="211"/>
      <c r="AK54" s="211"/>
      <c r="AL54" s="211" t="s">
        <v>193</v>
      </c>
      <c r="AM54" s="211" t="s">
        <v>193</v>
      </c>
      <c r="AN54" s="211" t="s">
        <v>193</v>
      </c>
      <c r="AO54" s="211"/>
      <c r="AP54" s="211"/>
      <c r="AQ54" s="211"/>
      <c r="AR54" s="211"/>
      <c r="AS54" s="211" t="s">
        <v>193</v>
      </c>
      <c r="AT54" s="211"/>
      <c r="AU54" s="211" t="s">
        <v>193</v>
      </c>
      <c r="AV54" s="211" t="s">
        <v>193</v>
      </c>
      <c r="AW54" s="211" t="s">
        <v>193</v>
      </c>
      <c r="AX54" s="211" t="s">
        <v>193</v>
      </c>
      <c r="AY54" s="211" t="s">
        <v>193</v>
      </c>
      <c r="AZ54" s="211" t="s">
        <v>193</v>
      </c>
      <c r="BA54" s="211"/>
      <c r="BB54" s="211"/>
      <c r="BC54" s="211"/>
      <c r="BD54" s="211" t="s">
        <v>193</v>
      </c>
      <c r="BE54" s="211" t="s">
        <v>193</v>
      </c>
      <c r="BF54" s="211" t="s">
        <v>193</v>
      </c>
      <c r="BG54" s="211" t="s">
        <v>193</v>
      </c>
      <c r="BH54" s="211" t="s">
        <v>193</v>
      </c>
      <c r="BI54" s="211"/>
      <c r="BJ54" s="211"/>
      <c r="BK54" s="211" t="s">
        <v>193</v>
      </c>
      <c r="BL54" s="211" t="s">
        <v>193</v>
      </c>
      <c r="BM54" s="211"/>
      <c r="BN54" s="211" t="s">
        <v>193</v>
      </c>
      <c r="BO54" s="211" t="s">
        <v>193</v>
      </c>
      <c r="BP54" s="211" t="s">
        <v>193</v>
      </c>
      <c r="BQ54" s="211" t="s">
        <v>193</v>
      </c>
      <c r="BR54" s="211" t="s">
        <v>193</v>
      </c>
      <c r="BS54" s="211" t="s">
        <v>193</v>
      </c>
      <c r="BT54" s="211" t="s">
        <v>193</v>
      </c>
      <c r="BU54" s="211" t="s">
        <v>193</v>
      </c>
      <c r="BV54" s="211" t="s">
        <v>193</v>
      </c>
      <c r="BW54" s="211" t="s">
        <v>193</v>
      </c>
      <c r="BX54" s="211" t="s">
        <v>193</v>
      </c>
      <c r="BY54" s="211"/>
      <c r="BZ54" s="211" t="s">
        <v>193</v>
      </c>
      <c r="CA54" s="211"/>
      <c r="CB54" s="211" t="s">
        <v>193</v>
      </c>
      <c r="CC54" s="211" t="s">
        <v>193</v>
      </c>
      <c r="CD54" s="211" t="s">
        <v>193</v>
      </c>
      <c r="CE54" s="211"/>
      <c r="CF54" s="211" t="s">
        <v>193</v>
      </c>
      <c r="CG54" s="211" t="s">
        <v>193</v>
      </c>
      <c r="CH54" s="211" t="s">
        <v>193</v>
      </c>
      <c r="CI54" s="211" t="s">
        <v>193</v>
      </c>
      <c r="CJ54" s="163"/>
    </row>
    <row r="55" spans="1:88" ht="23.25" customHeight="1">
      <c r="A55" s="163"/>
      <c r="B55" s="212" t="s">
        <v>524</v>
      </c>
      <c r="C55" s="211" t="s">
        <v>193</v>
      </c>
      <c r="D55" s="211"/>
      <c r="E55" s="211"/>
      <c r="F55" s="211" t="s">
        <v>193</v>
      </c>
      <c r="G55" s="211"/>
      <c r="H55" s="211"/>
      <c r="I55" s="211" t="s">
        <v>193</v>
      </c>
      <c r="J55" s="211" t="s">
        <v>193</v>
      </c>
      <c r="K55" s="210"/>
      <c r="L55" s="210"/>
      <c r="M55" s="211"/>
      <c r="N55" s="211" t="s">
        <v>193</v>
      </c>
      <c r="O55" s="211" t="s">
        <v>193</v>
      </c>
      <c r="P55" s="211" t="s">
        <v>193</v>
      </c>
      <c r="Q55" s="211" t="s">
        <v>193</v>
      </c>
      <c r="R55" s="211" t="s">
        <v>193</v>
      </c>
      <c r="S55" s="211" t="s">
        <v>193</v>
      </c>
      <c r="T55" s="211" t="s">
        <v>193</v>
      </c>
      <c r="U55" s="211" t="s">
        <v>193</v>
      </c>
      <c r="V55" s="211" t="s">
        <v>193</v>
      </c>
      <c r="W55" s="211" t="s">
        <v>193</v>
      </c>
      <c r="X55" s="211" t="s">
        <v>193</v>
      </c>
      <c r="Y55" s="211"/>
      <c r="Z55" s="211"/>
      <c r="AA55" s="211" t="s">
        <v>193</v>
      </c>
      <c r="AB55" s="211"/>
      <c r="AC55" s="211"/>
      <c r="AD55" s="211" t="s">
        <v>193</v>
      </c>
      <c r="AE55" s="211"/>
      <c r="AF55" s="211" t="s">
        <v>193</v>
      </c>
      <c r="AG55" s="211"/>
      <c r="AH55" s="211"/>
      <c r="AI55" s="211" t="s">
        <v>193</v>
      </c>
      <c r="AJ55" s="211"/>
      <c r="AK55" s="211"/>
      <c r="AL55" s="211" t="s">
        <v>193</v>
      </c>
      <c r="AM55" s="211" t="s">
        <v>193</v>
      </c>
      <c r="AN55" s="211" t="s">
        <v>193</v>
      </c>
      <c r="AO55" s="211"/>
      <c r="AP55" s="211"/>
      <c r="AQ55" s="211"/>
      <c r="AR55" s="211"/>
      <c r="AS55" s="211" t="s">
        <v>193</v>
      </c>
      <c r="AT55" s="211"/>
      <c r="AU55" s="211" t="s">
        <v>193</v>
      </c>
      <c r="AV55" s="211" t="s">
        <v>193</v>
      </c>
      <c r="AW55" s="211" t="s">
        <v>193</v>
      </c>
      <c r="AX55" s="211" t="s">
        <v>193</v>
      </c>
      <c r="AY55" s="211" t="s">
        <v>193</v>
      </c>
      <c r="AZ55" s="211" t="s">
        <v>193</v>
      </c>
      <c r="BA55" s="211"/>
      <c r="BB55" s="211"/>
      <c r="BC55" s="211"/>
      <c r="BD55" s="211" t="s">
        <v>193</v>
      </c>
      <c r="BE55" s="211" t="s">
        <v>193</v>
      </c>
      <c r="BF55" s="211" t="s">
        <v>193</v>
      </c>
      <c r="BG55" s="211" t="s">
        <v>193</v>
      </c>
      <c r="BH55" s="211" t="s">
        <v>193</v>
      </c>
      <c r="BI55" s="211"/>
      <c r="BJ55" s="211"/>
      <c r="BK55" s="211" t="s">
        <v>193</v>
      </c>
      <c r="BL55" s="211" t="s">
        <v>193</v>
      </c>
      <c r="BM55" s="211"/>
      <c r="BN55" s="211" t="s">
        <v>193</v>
      </c>
      <c r="BO55" s="211" t="s">
        <v>193</v>
      </c>
      <c r="BP55" s="211" t="s">
        <v>193</v>
      </c>
      <c r="BQ55" s="211" t="s">
        <v>193</v>
      </c>
      <c r="BR55" s="211" t="s">
        <v>193</v>
      </c>
      <c r="BS55" s="211" t="s">
        <v>193</v>
      </c>
      <c r="BT55" s="211" t="s">
        <v>193</v>
      </c>
      <c r="BU55" s="211" t="s">
        <v>193</v>
      </c>
      <c r="BV55" s="211" t="s">
        <v>193</v>
      </c>
      <c r="BW55" s="211" t="s">
        <v>193</v>
      </c>
      <c r="BX55" s="211" t="s">
        <v>193</v>
      </c>
      <c r="BY55" s="211"/>
      <c r="BZ55" s="211" t="s">
        <v>193</v>
      </c>
      <c r="CA55" s="211"/>
      <c r="CB55" s="211" t="s">
        <v>193</v>
      </c>
      <c r="CC55" s="211" t="s">
        <v>193</v>
      </c>
      <c r="CD55" s="211" t="s">
        <v>193</v>
      </c>
      <c r="CE55" s="211"/>
      <c r="CF55" s="211" t="s">
        <v>193</v>
      </c>
      <c r="CG55" s="211" t="s">
        <v>193</v>
      </c>
      <c r="CH55" s="211" t="s">
        <v>193</v>
      </c>
      <c r="CI55" s="211" t="s">
        <v>193</v>
      </c>
      <c r="CJ55" s="163"/>
    </row>
    <row r="56" spans="1:88" ht="23.25" customHeight="1">
      <c r="A56" s="163"/>
      <c r="B56" s="212" t="s">
        <v>525</v>
      </c>
      <c r="C56" s="211" t="s">
        <v>193</v>
      </c>
      <c r="D56" s="211"/>
      <c r="E56" s="211"/>
      <c r="F56" s="211" t="s">
        <v>193</v>
      </c>
      <c r="G56" s="211"/>
      <c r="H56" s="211"/>
      <c r="I56" s="211" t="s">
        <v>193</v>
      </c>
      <c r="J56" s="211" t="s">
        <v>193</v>
      </c>
      <c r="K56" s="210"/>
      <c r="L56" s="210"/>
      <c r="M56" s="211"/>
      <c r="N56" s="211" t="s">
        <v>193</v>
      </c>
      <c r="O56" s="211" t="s">
        <v>193</v>
      </c>
      <c r="P56" s="211" t="s">
        <v>193</v>
      </c>
      <c r="Q56" s="211" t="s">
        <v>193</v>
      </c>
      <c r="R56" s="211" t="s">
        <v>193</v>
      </c>
      <c r="S56" s="211" t="s">
        <v>193</v>
      </c>
      <c r="T56" s="211" t="s">
        <v>193</v>
      </c>
      <c r="U56" s="211" t="s">
        <v>193</v>
      </c>
      <c r="V56" s="211" t="s">
        <v>193</v>
      </c>
      <c r="W56" s="211" t="s">
        <v>193</v>
      </c>
      <c r="X56" s="211" t="s">
        <v>193</v>
      </c>
      <c r="Y56" s="211"/>
      <c r="Z56" s="211"/>
      <c r="AA56" s="211" t="s">
        <v>193</v>
      </c>
      <c r="AB56" s="211"/>
      <c r="AC56" s="211"/>
      <c r="AD56" s="211" t="s">
        <v>193</v>
      </c>
      <c r="AE56" s="211"/>
      <c r="AF56" s="211" t="s">
        <v>193</v>
      </c>
      <c r="AG56" s="211"/>
      <c r="AH56" s="211"/>
      <c r="AI56" s="211" t="s">
        <v>193</v>
      </c>
      <c r="AJ56" s="211"/>
      <c r="AK56" s="211"/>
      <c r="AL56" s="211" t="s">
        <v>193</v>
      </c>
      <c r="AM56" s="211" t="s">
        <v>193</v>
      </c>
      <c r="AN56" s="211" t="s">
        <v>193</v>
      </c>
      <c r="AO56" s="211"/>
      <c r="AP56" s="211"/>
      <c r="AQ56" s="211"/>
      <c r="AR56" s="211"/>
      <c r="AS56" s="211" t="s">
        <v>193</v>
      </c>
      <c r="AT56" s="211"/>
      <c r="AU56" s="211" t="s">
        <v>193</v>
      </c>
      <c r="AV56" s="211" t="s">
        <v>193</v>
      </c>
      <c r="AW56" s="211" t="s">
        <v>193</v>
      </c>
      <c r="AX56" s="211" t="s">
        <v>193</v>
      </c>
      <c r="AY56" s="211" t="s">
        <v>193</v>
      </c>
      <c r="AZ56" s="211" t="s">
        <v>193</v>
      </c>
      <c r="BA56" s="211"/>
      <c r="BB56" s="211"/>
      <c r="BC56" s="211"/>
      <c r="BD56" s="211" t="s">
        <v>193</v>
      </c>
      <c r="BE56" s="211" t="s">
        <v>193</v>
      </c>
      <c r="BF56" s="211" t="s">
        <v>193</v>
      </c>
      <c r="BG56" s="211" t="s">
        <v>193</v>
      </c>
      <c r="BH56" s="211" t="s">
        <v>193</v>
      </c>
      <c r="BI56" s="211"/>
      <c r="BJ56" s="211"/>
      <c r="BK56" s="211" t="s">
        <v>193</v>
      </c>
      <c r="BL56" s="211" t="s">
        <v>193</v>
      </c>
      <c r="BM56" s="211"/>
      <c r="BN56" s="211" t="s">
        <v>193</v>
      </c>
      <c r="BO56" s="211" t="s">
        <v>193</v>
      </c>
      <c r="BP56" s="211" t="s">
        <v>193</v>
      </c>
      <c r="BQ56" s="211" t="s">
        <v>193</v>
      </c>
      <c r="BR56" s="211" t="s">
        <v>193</v>
      </c>
      <c r="BS56" s="211" t="s">
        <v>193</v>
      </c>
      <c r="BT56" s="211" t="s">
        <v>193</v>
      </c>
      <c r="BU56" s="211" t="s">
        <v>193</v>
      </c>
      <c r="BV56" s="211" t="s">
        <v>193</v>
      </c>
      <c r="BW56" s="211" t="s">
        <v>193</v>
      </c>
      <c r="BX56" s="211" t="s">
        <v>193</v>
      </c>
      <c r="BY56" s="211"/>
      <c r="BZ56" s="211" t="s">
        <v>193</v>
      </c>
      <c r="CA56" s="211"/>
      <c r="CB56" s="211" t="s">
        <v>193</v>
      </c>
      <c r="CC56" s="211" t="s">
        <v>193</v>
      </c>
      <c r="CD56" s="211" t="s">
        <v>193</v>
      </c>
      <c r="CE56" s="211"/>
      <c r="CF56" s="211" t="s">
        <v>193</v>
      </c>
      <c r="CG56" s="211" t="s">
        <v>193</v>
      </c>
      <c r="CH56" s="211" t="s">
        <v>193</v>
      </c>
      <c r="CI56" s="211" t="s">
        <v>193</v>
      </c>
      <c r="CJ56" s="163"/>
    </row>
    <row r="57" spans="1:88" ht="23.25" customHeight="1">
      <c r="A57" s="163"/>
      <c r="B57" s="212" t="s">
        <v>526</v>
      </c>
      <c r="C57" s="211" t="s">
        <v>193</v>
      </c>
      <c r="D57" s="211"/>
      <c r="E57" s="211"/>
      <c r="F57" s="211" t="s">
        <v>193</v>
      </c>
      <c r="G57" s="211"/>
      <c r="H57" s="211"/>
      <c r="I57" s="211" t="s">
        <v>193</v>
      </c>
      <c r="J57" s="211" t="s">
        <v>193</v>
      </c>
      <c r="K57" s="210"/>
      <c r="L57" s="210"/>
      <c r="M57" s="211"/>
      <c r="N57" s="211" t="s">
        <v>193</v>
      </c>
      <c r="O57" s="211" t="s">
        <v>193</v>
      </c>
      <c r="P57" s="211" t="s">
        <v>193</v>
      </c>
      <c r="Q57" s="211" t="s">
        <v>193</v>
      </c>
      <c r="R57" s="211" t="s">
        <v>193</v>
      </c>
      <c r="S57" s="211" t="s">
        <v>193</v>
      </c>
      <c r="T57" s="211" t="s">
        <v>193</v>
      </c>
      <c r="U57" s="211" t="s">
        <v>193</v>
      </c>
      <c r="V57" s="211" t="s">
        <v>193</v>
      </c>
      <c r="W57" s="211" t="s">
        <v>193</v>
      </c>
      <c r="X57" s="211" t="s">
        <v>193</v>
      </c>
      <c r="Y57" s="211"/>
      <c r="Z57" s="211"/>
      <c r="AA57" s="211" t="s">
        <v>193</v>
      </c>
      <c r="AB57" s="211"/>
      <c r="AC57" s="211"/>
      <c r="AD57" s="211" t="s">
        <v>193</v>
      </c>
      <c r="AE57" s="211"/>
      <c r="AF57" s="211" t="s">
        <v>193</v>
      </c>
      <c r="AG57" s="211"/>
      <c r="AH57" s="211"/>
      <c r="AI57" s="211" t="s">
        <v>193</v>
      </c>
      <c r="AJ57" s="211"/>
      <c r="AK57" s="211"/>
      <c r="AL57" s="211" t="s">
        <v>193</v>
      </c>
      <c r="AM57" s="211" t="s">
        <v>193</v>
      </c>
      <c r="AN57" s="211" t="s">
        <v>193</v>
      </c>
      <c r="AO57" s="211"/>
      <c r="AP57" s="211"/>
      <c r="AQ57" s="211"/>
      <c r="AR57" s="211"/>
      <c r="AS57" s="211" t="s">
        <v>193</v>
      </c>
      <c r="AT57" s="211"/>
      <c r="AU57" s="211" t="s">
        <v>193</v>
      </c>
      <c r="AV57" s="211" t="s">
        <v>193</v>
      </c>
      <c r="AW57" s="211" t="s">
        <v>193</v>
      </c>
      <c r="AX57" s="211" t="s">
        <v>193</v>
      </c>
      <c r="AY57" s="211" t="s">
        <v>476</v>
      </c>
      <c r="AZ57" s="211" t="s">
        <v>193</v>
      </c>
      <c r="BA57" s="211"/>
      <c r="BB57" s="211"/>
      <c r="BC57" s="211"/>
      <c r="BD57" s="211" t="s">
        <v>193</v>
      </c>
      <c r="BE57" s="211" t="s">
        <v>193</v>
      </c>
      <c r="BF57" s="211" t="s">
        <v>193</v>
      </c>
      <c r="BG57" s="211" t="s">
        <v>193</v>
      </c>
      <c r="BH57" s="211" t="s">
        <v>193</v>
      </c>
      <c r="BI57" s="211"/>
      <c r="BJ57" s="211"/>
      <c r="BK57" s="211" t="s">
        <v>193</v>
      </c>
      <c r="BL57" s="211" t="s">
        <v>193</v>
      </c>
      <c r="BM57" s="211"/>
      <c r="BN57" s="211" t="s">
        <v>193</v>
      </c>
      <c r="BO57" s="211" t="s">
        <v>193</v>
      </c>
      <c r="BP57" s="211" t="s">
        <v>193</v>
      </c>
      <c r="BQ57" s="211" t="s">
        <v>193</v>
      </c>
      <c r="BR57" s="211" t="s">
        <v>193</v>
      </c>
      <c r="BS57" s="211" t="s">
        <v>193</v>
      </c>
      <c r="BT57" s="211" t="s">
        <v>193</v>
      </c>
      <c r="BU57" s="211" t="s">
        <v>193</v>
      </c>
      <c r="BV57" s="211" t="s">
        <v>193</v>
      </c>
      <c r="BW57" s="211" t="s">
        <v>193</v>
      </c>
      <c r="BX57" s="211" t="s">
        <v>193</v>
      </c>
      <c r="BY57" s="211"/>
      <c r="BZ57" s="211" t="s">
        <v>193</v>
      </c>
      <c r="CA57" s="211"/>
      <c r="CB57" s="211" t="s">
        <v>193</v>
      </c>
      <c r="CC57" s="211" t="s">
        <v>193</v>
      </c>
      <c r="CD57" s="211" t="s">
        <v>193</v>
      </c>
      <c r="CE57" s="211"/>
      <c r="CF57" s="211" t="s">
        <v>193</v>
      </c>
      <c r="CG57" s="211" t="s">
        <v>193</v>
      </c>
      <c r="CH57" s="211" t="s">
        <v>193</v>
      </c>
      <c r="CI57" s="211" t="s">
        <v>193</v>
      </c>
      <c r="CJ57" s="163"/>
    </row>
    <row r="58" spans="1:88" ht="23.25" customHeight="1">
      <c r="A58" s="163"/>
      <c r="B58" s="212" t="s">
        <v>527</v>
      </c>
      <c r="C58" s="211" t="s">
        <v>193</v>
      </c>
      <c r="D58" s="211"/>
      <c r="E58" s="211"/>
      <c r="F58" s="211" t="s">
        <v>193</v>
      </c>
      <c r="G58" s="211"/>
      <c r="H58" s="211"/>
      <c r="I58" s="211" t="s">
        <v>193</v>
      </c>
      <c r="J58" s="211" t="s">
        <v>193</v>
      </c>
      <c r="K58" s="210"/>
      <c r="L58" s="210"/>
      <c r="M58" s="211"/>
      <c r="N58" s="211" t="s">
        <v>193</v>
      </c>
      <c r="O58" s="211" t="s">
        <v>193</v>
      </c>
      <c r="P58" s="211" t="s">
        <v>193</v>
      </c>
      <c r="Q58" s="211" t="s">
        <v>193</v>
      </c>
      <c r="R58" s="211" t="s">
        <v>193</v>
      </c>
      <c r="S58" s="211" t="s">
        <v>193</v>
      </c>
      <c r="T58" s="211" t="s">
        <v>193</v>
      </c>
      <c r="U58" s="211" t="s">
        <v>193</v>
      </c>
      <c r="V58" s="211" t="s">
        <v>193</v>
      </c>
      <c r="W58" s="211" t="s">
        <v>193</v>
      </c>
      <c r="X58" s="211" t="s">
        <v>193</v>
      </c>
      <c r="Y58" s="211"/>
      <c r="Z58" s="211"/>
      <c r="AA58" s="211" t="s">
        <v>193</v>
      </c>
      <c r="AB58" s="211"/>
      <c r="AC58" s="211"/>
      <c r="AD58" s="211" t="s">
        <v>193</v>
      </c>
      <c r="AE58" s="211"/>
      <c r="AF58" s="211" t="s">
        <v>193</v>
      </c>
      <c r="AG58" s="211"/>
      <c r="AH58" s="211"/>
      <c r="AI58" s="211" t="s">
        <v>193</v>
      </c>
      <c r="AJ58" s="211"/>
      <c r="AK58" s="211"/>
      <c r="AL58" s="211" t="s">
        <v>193</v>
      </c>
      <c r="AM58" s="211" t="s">
        <v>193</v>
      </c>
      <c r="AN58" s="211" t="s">
        <v>193</v>
      </c>
      <c r="AO58" s="211"/>
      <c r="AP58" s="211"/>
      <c r="AQ58" s="211"/>
      <c r="AR58" s="211"/>
      <c r="AS58" s="211" t="s">
        <v>193</v>
      </c>
      <c r="AT58" s="211"/>
      <c r="AU58" s="211" t="s">
        <v>193</v>
      </c>
      <c r="AV58" s="211" t="s">
        <v>193</v>
      </c>
      <c r="AW58" s="211" t="s">
        <v>193</v>
      </c>
      <c r="AX58" s="211" t="s">
        <v>193</v>
      </c>
      <c r="AY58" s="211" t="s">
        <v>476</v>
      </c>
      <c r="AZ58" s="211" t="s">
        <v>193</v>
      </c>
      <c r="BA58" s="211"/>
      <c r="BB58" s="211"/>
      <c r="BC58" s="211"/>
      <c r="BD58" s="211" t="s">
        <v>193</v>
      </c>
      <c r="BE58" s="211" t="s">
        <v>193</v>
      </c>
      <c r="BF58" s="211" t="s">
        <v>193</v>
      </c>
      <c r="BG58" s="211" t="s">
        <v>193</v>
      </c>
      <c r="BH58" s="211" t="s">
        <v>193</v>
      </c>
      <c r="BI58" s="211"/>
      <c r="BJ58" s="211"/>
      <c r="BK58" s="211" t="s">
        <v>193</v>
      </c>
      <c r="BL58" s="211" t="s">
        <v>193</v>
      </c>
      <c r="BM58" s="211"/>
      <c r="BN58" s="211" t="s">
        <v>193</v>
      </c>
      <c r="BO58" s="211" t="s">
        <v>193</v>
      </c>
      <c r="BP58" s="211" t="s">
        <v>193</v>
      </c>
      <c r="BQ58" s="211" t="s">
        <v>193</v>
      </c>
      <c r="BR58" s="211" t="s">
        <v>193</v>
      </c>
      <c r="BS58" s="211" t="s">
        <v>193</v>
      </c>
      <c r="BT58" s="211" t="s">
        <v>193</v>
      </c>
      <c r="BU58" s="211" t="s">
        <v>193</v>
      </c>
      <c r="BV58" s="211" t="s">
        <v>193</v>
      </c>
      <c r="BW58" s="211" t="s">
        <v>193</v>
      </c>
      <c r="BX58" s="211" t="s">
        <v>193</v>
      </c>
      <c r="BY58" s="211"/>
      <c r="BZ58" s="211" t="s">
        <v>193</v>
      </c>
      <c r="CA58" s="211"/>
      <c r="CB58" s="211" t="s">
        <v>193</v>
      </c>
      <c r="CC58" s="211" t="s">
        <v>193</v>
      </c>
      <c r="CD58" s="211" t="s">
        <v>193</v>
      </c>
      <c r="CE58" s="211"/>
      <c r="CF58" s="211" t="s">
        <v>193</v>
      </c>
      <c r="CG58" s="211" t="s">
        <v>193</v>
      </c>
      <c r="CH58" s="211" t="s">
        <v>193</v>
      </c>
      <c r="CI58" s="211" t="s">
        <v>193</v>
      </c>
      <c r="CJ58" s="163"/>
    </row>
    <row r="59" spans="1:88" ht="23.25" customHeight="1">
      <c r="A59" s="163"/>
      <c r="B59" s="212" t="s">
        <v>506</v>
      </c>
      <c r="C59" s="211" t="s">
        <v>193</v>
      </c>
      <c r="D59" s="211"/>
      <c r="E59" s="211"/>
      <c r="F59" s="211" t="s">
        <v>193</v>
      </c>
      <c r="G59" s="211"/>
      <c r="H59" s="211"/>
      <c r="I59" s="211" t="s">
        <v>193</v>
      </c>
      <c r="J59" s="211" t="s">
        <v>193</v>
      </c>
      <c r="K59" s="210" t="s">
        <v>193</v>
      </c>
      <c r="L59" s="210"/>
      <c r="M59" s="211"/>
      <c r="N59" s="211" t="s">
        <v>193</v>
      </c>
      <c r="O59" s="211" t="s">
        <v>193</v>
      </c>
      <c r="P59" s="211" t="s">
        <v>193</v>
      </c>
      <c r="Q59" s="211" t="s">
        <v>193</v>
      </c>
      <c r="R59" s="211" t="s">
        <v>193</v>
      </c>
      <c r="S59" s="211" t="s">
        <v>193</v>
      </c>
      <c r="T59" s="211" t="s">
        <v>193</v>
      </c>
      <c r="U59" s="211" t="s">
        <v>193</v>
      </c>
      <c r="V59" s="211" t="s">
        <v>193</v>
      </c>
      <c r="W59" s="211" t="s">
        <v>193</v>
      </c>
      <c r="X59" s="211" t="s">
        <v>193</v>
      </c>
      <c r="Y59" s="211"/>
      <c r="Z59" s="211"/>
      <c r="AA59" s="211" t="s">
        <v>193</v>
      </c>
      <c r="AB59" s="211"/>
      <c r="AC59" s="211"/>
      <c r="AD59" s="211" t="s">
        <v>193</v>
      </c>
      <c r="AE59" s="211"/>
      <c r="AF59" s="211" t="s">
        <v>193</v>
      </c>
      <c r="AG59" s="211"/>
      <c r="AH59" s="211"/>
      <c r="AI59" s="211" t="s">
        <v>193</v>
      </c>
      <c r="AJ59" s="211"/>
      <c r="AK59" s="211"/>
      <c r="AL59" s="211" t="s">
        <v>193</v>
      </c>
      <c r="AM59" s="211" t="s">
        <v>193</v>
      </c>
      <c r="AN59" s="211" t="s">
        <v>193</v>
      </c>
      <c r="AO59" s="211"/>
      <c r="AP59" s="211"/>
      <c r="AQ59" s="211"/>
      <c r="AR59" s="211"/>
      <c r="AS59" s="211" t="s">
        <v>193</v>
      </c>
      <c r="AT59" s="211"/>
      <c r="AU59" s="211" t="s">
        <v>193</v>
      </c>
      <c r="AV59" s="211" t="s">
        <v>193</v>
      </c>
      <c r="AW59" s="211" t="s">
        <v>193</v>
      </c>
      <c r="AX59" s="211" t="s">
        <v>193</v>
      </c>
      <c r="AY59" s="211" t="s">
        <v>476</v>
      </c>
      <c r="AZ59" s="211" t="s">
        <v>193</v>
      </c>
      <c r="BA59" s="211"/>
      <c r="BB59" s="211"/>
      <c r="BC59" s="211"/>
      <c r="BD59" s="211" t="s">
        <v>193</v>
      </c>
      <c r="BE59" s="211" t="s">
        <v>193</v>
      </c>
      <c r="BF59" s="211" t="s">
        <v>193</v>
      </c>
      <c r="BG59" s="211" t="s">
        <v>193</v>
      </c>
      <c r="BH59" s="211" t="s">
        <v>193</v>
      </c>
      <c r="BI59" s="211"/>
      <c r="BJ59" s="211"/>
      <c r="BK59" s="211" t="s">
        <v>193</v>
      </c>
      <c r="BL59" s="211" t="s">
        <v>193</v>
      </c>
      <c r="BM59" s="211"/>
      <c r="BN59" s="211" t="s">
        <v>193</v>
      </c>
      <c r="BO59" s="211" t="s">
        <v>193</v>
      </c>
      <c r="BP59" s="211" t="s">
        <v>193</v>
      </c>
      <c r="BQ59" s="211" t="s">
        <v>193</v>
      </c>
      <c r="BR59" s="211" t="s">
        <v>193</v>
      </c>
      <c r="BS59" s="211" t="s">
        <v>193</v>
      </c>
      <c r="BT59" s="211" t="s">
        <v>193</v>
      </c>
      <c r="BU59" s="211" t="s">
        <v>193</v>
      </c>
      <c r="BV59" s="211" t="s">
        <v>193</v>
      </c>
      <c r="BW59" s="211" t="s">
        <v>193</v>
      </c>
      <c r="BX59" s="211" t="s">
        <v>193</v>
      </c>
      <c r="BY59" s="211"/>
      <c r="BZ59" s="211" t="s">
        <v>193</v>
      </c>
      <c r="CA59" s="211"/>
      <c r="CB59" s="211" t="s">
        <v>193</v>
      </c>
      <c r="CC59" s="211" t="s">
        <v>193</v>
      </c>
      <c r="CD59" s="211" t="s">
        <v>193</v>
      </c>
      <c r="CE59" s="211"/>
      <c r="CF59" s="211" t="s">
        <v>193</v>
      </c>
      <c r="CG59" s="211" t="s">
        <v>193</v>
      </c>
      <c r="CH59" s="211" t="s">
        <v>193</v>
      </c>
      <c r="CI59" s="211" t="s">
        <v>193</v>
      </c>
      <c r="CJ59" s="163"/>
    </row>
    <row r="60" spans="1:88" ht="23.25" customHeight="1">
      <c r="A60" s="163"/>
      <c r="B60" s="212" t="s">
        <v>528</v>
      </c>
      <c r="C60" s="211" t="s">
        <v>193</v>
      </c>
      <c r="D60" s="211"/>
      <c r="E60" s="211"/>
      <c r="F60" s="211" t="s">
        <v>193</v>
      </c>
      <c r="G60" s="211"/>
      <c r="H60" s="211"/>
      <c r="I60" s="211" t="s">
        <v>193</v>
      </c>
      <c r="J60" s="211" t="s">
        <v>193</v>
      </c>
      <c r="K60" s="210" t="s">
        <v>193</v>
      </c>
      <c r="L60" s="210"/>
      <c r="M60" s="211"/>
      <c r="N60" s="211" t="s">
        <v>193</v>
      </c>
      <c r="O60" s="211" t="s">
        <v>193</v>
      </c>
      <c r="P60" s="211" t="s">
        <v>193</v>
      </c>
      <c r="Q60" s="211" t="s">
        <v>193</v>
      </c>
      <c r="R60" s="211" t="s">
        <v>193</v>
      </c>
      <c r="S60" s="211" t="s">
        <v>193</v>
      </c>
      <c r="T60" s="211" t="s">
        <v>193</v>
      </c>
      <c r="U60" s="211" t="s">
        <v>193</v>
      </c>
      <c r="V60" s="211" t="s">
        <v>193</v>
      </c>
      <c r="W60" s="211" t="s">
        <v>193</v>
      </c>
      <c r="X60" s="211" t="s">
        <v>193</v>
      </c>
      <c r="Y60" s="211"/>
      <c r="Z60" s="211"/>
      <c r="AA60" s="211" t="s">
        <v>193</v>
      </c>
      <c r="AB60" s="211"/>
      <c r="AC60" s="211"/>
      <c r="AD60" s="211" t="s">
        <v>193</v>
      </c>
      <c r="AE60" s="211"/>
      <c r="AF60" s="211" t="s">
        <v>193</v>
      </c>
      <c r="AG60" s="211"/>
      <c r="AH60" s="211"/>
      <c r="AI60" s="211" t="s">
        <v>193</v>
      </c>
      <c r="AJ60" s="211"/>
      <c r="AK60" s="211"/>
      <c r="AL60" s="211" t="s">
        <v>193</v>
      </c>
      <c r="AM60" s="211" t="s">
        <v>193</v>
      </c>
      <c r="AN60" s="211" t="s">
        <v>193</v>
      </c>
      <c r="AO60" s="211"/>
      <c r="AP60" s="211"/>
      <c r="AQ60" s="211"/>
      <c r="AR60" s="211"/>
      <c r="AS60" s="211" t="s">
        <v>193</v>
      </c>
      <c r="AT60" s="211"/>
      <c r="AU60" s="211" t="s">
        <v>193</v>
      </c>
      <c r="AV60" s="211" t="s">
        <v>193</v>
      </c>
      <c r="AW60" s="211" t="s">
        <v>193</v>
      </c>
      <c r="AX60" s="211" t="s">
        <v>193</v>
      </c>
      <c r="AY60" s="211" t="s">
        <v>476</v>
      </c>
      <c r="AZ60" s="211" t="s">
        <v>193</v>
      </c>
      <c r="BA60" s="211"/>
      <c r="BB60" s="211"/>
      <c r="BC60" s="211"/>
      <c r="BD60" s="211" t="s">
        <v>193</v>
      </c>
      <c r="BE60" s="211" t="s">
        <v>193</v>
      </c>
      <c r="BF60" s="211" t="s">
        <v>193</v>
      </c>
      <c r="BG60" s="211" t="s">
        <v>193</v>
      </c>
      <c r="BH60" s="211" t="s">
        <v>193</v>
      </c>
      <c r="BI60" s="211"/>
      <c r="BJ60" s="211"/>
      <c r="BK60" s="211" t="s">
        <v>193</v>
      </c>
      <c r="BL60" s="211" t="s">
        <v>193</v>
      </c>
      <c r="BM60" s="211"/>
      <c r="BN60" s="211" t="s">
        <v>193</v>
      </c>
      <c r="BO60" s="211" t="s">
        <v>193</v>
      </c>
      <c r="BP60" s="211" t="s">
        <v>193</v>
      </c>
      <c r="BQ60" s="211" t="s">
        <v>193</v>
      </c>
      <c r="BR60" s="211" t="s">
        <v>193</v>
      </c>
      <c r="BS60" s="211" t="s">
        <v>193</v>
      </c>
      <c r="BT60" s="211" t="s">
        <v>193</v>
      </c>
      <c r="BU60" s="211" t="s">
        <v>193</v>
      </c>
      <c r="BV60" s="211" t="s">
        <v>193</v>
      </c>
      <c r="BW60" s="211" t="s">
        <v>193</v>
      </c>
      <c r="BX60" s="211" t="s">
        <v>193</v>
      </c>
      <c r="BY60" s="211"/>
      <c r="BZ60" s="211" t="s">
        <v>193</v>
      </c>
      <c r="CA60" s="211"/>
      <c r="CB60" s="211" t="s">
        <v>193</v>
      </c>
      <c r="CC60" s="211" t="s">
        <v>193</v>
      </c>
      <c r="CD60" s="211" t="s">
        <v>193</v>
      </c>
      <c r="CE60" s="211"/>
      <c r="CF60" s="211" t="s">
        <v>193</v>
      </c>
      <c r="CG60" s="211" t="s">
        <v>193</v>
      </c>
      <c r="CH60" s="211" t="s">
        <v>193</v>
      </c>
      <c r="CI60" s="211" t="s">
        <v>193</v>
      </c>
      <c r="CJ60" s="163"/>
    </row>
    <row r="61" spans="1:88" ht="23.25" customHeight="1">
      <c r="A61" s="163"/>
      <c r="B61" s="212" t="s">
        <v>529</v>
      </c>
      <c r="C61" s="211" t="s">
        <v>193</v>
      </c>
      <c r="D61" s="211"/>
      <c r="E61" s="211"/>
      <c r="F61" s="211" t="s">
        <v>193</v>
      </c>
      <c r="G61" s="211"/>
      <c r="H61" s="211"/>
      <c r="I61" s="211" t="s">
        <v>193</v>
      </c>
      <c r="J61" s="211" t="s">
        <v>193</v>
      </c>
      <c r="K61" s="210"/>
      <c r="L61" s="210"/>
      <c r="M61" s="211"/>
      <c r="N61" s="211" t="s">
        <v>193</v>
      </c>
      <c r="O61" s="211" t="s">
        <v>193</v>
      </c>
      <c r="P61" s="211" t="s">
        <v>193</v>
      </c>
      <c r="Q61" s="211" t="s">
        <v>193</v>
      </c>
      <c r="R61" s="211" t="s">
        <v>193</v>
      </c>
      <c r="S61" s="211" t="s">
        <v>193</v>
      </c>
      <c r="T61" s="211" t="s">
        <v>193</v>
      </c>
      <c r="U61" s="211" t="s">
        <v>193</v>
      </c>
      <c r="V61" s="211" t="s">
        <v>193</v>
      </c>
      <c r="W61" s="211" t="s">
        <v>193</v>
      </c>
      <c r="X61" s="211" t="s">
        <v>193</v>
      </c>
      <c r="Y61" s="211"/>
      <c r="Z61" s="211"/>
      <c r="AA61" s="211" t="s">
        <v>193</v>
      </c>
      <c r="AB61" s="211"/>
      <c r="AC61" s="211"/>
      <c r="AD61" s="211" t="s">
        <v>193</v>
      </c>
      <c r="AE61" s="211"/>
      <c r="AF61" s="211" t="s">
        <v>193</v>
      </c>
      <c r="AG61" s="211"/>
      <c r="AH61" s="211"/>
      <c r="AI61" s="211" t="s">
        <v>193</v>
      </c>
      <c r="AJ61" s="211"/>
      <c r="AK61" s="211"/>
      <c r="AL61" s="211" t="s">
        <v>193</v>
      </c>
      <c r="AM61" s="211" t="s">
        <v>193</v>
      </c>
      <c r="AN61" s="211" t="s">
        <v>193</v>
      </c>
      <c r="AO61" s="211"/>
      <c r="AP61" s="211"/>
      <c r="AQ61" s="211"/>
      <c r="AR61" s="211"/>
      <c r="AS61" s="211" t="s">
        <v>193</v>
      </c>
      <c r="AT61" s="211"/>
      <c r="AU61" s="211" t="s">
        <v>193</v>
      </c>
      <c r="AV61" s="211" t="s">
        <v>193</v>
      </c>
      <c r="AW61" s="211" t="s">
        <v>193</v>
      </c>
      <c r="AX61" s="211" t="s">
        <v>193</v>
      </c>
      <c r="AY61" s="211" t="s">
        <v>476</v>
      </c>
      <c r="AZ61" s="211" t="s">
        <v>193</v>
      </c>
      <c r="BA61" s="211"/>
      <c r="BB61" s="211"/>
      <c r="BC61" s="211"/>
      <c r="BD61" s="211" t="s">
        <v>193</v>
      </c>
      <c r="BE61" s="211" t="s">
        <v>193</v>
      </c>
      <c r="BF61" s="211" t="s">
        <v>193</v>
      </c>
      <c r="BG61" s="211" t="s">
        <v>193</v>
      </c>
      <c r="BH61" s="211" t="s">
        <v>193</v>
      </c>
      <c r="BI61" s="211"/>
      <c r="BJ61" s="211"/>
      <c r="BK61" s="211" t="s">
        <v>193</v>
      </c>
      <c r="BL61" s="211" t="s">
        <v>193</v>
      </c>
      <c r="BM61" s="211"/>
      <c r="BN61" s="211" t="s">
        <v>193</v>
      </c>
      <c r="BO61" s="211" t="s">
        <v>193</v>
      </c>
      <c r="BP61" s="211" t="s">
        <v>193</v>
      </c>
      <c r="BQ61" s="211" t="s">
        <v>193</v>
      </c>
      <c r="BR61" s="211" t="s">
        <v>193</v>
      </c>
      <c r="BS61" s="211" t="s">
        <v>193</v>
      </c>
      <c r="BT61" s="211" t="s">
        <v>193</v>
      </c>
      <c r="BU61" s="211" t="s">
        <v>193</v>
      </c>
      <c r="BV61" s="211" t="s">
        <v>193</v>
      </c>
      <c r="BW61" s="211" t="s">
        <v>193</v>
      </c>
      <c r="BX61" s="211" t="s">
        <v>193</v>
      </c>
      <c r="BY61" s="211"/>
      <c r="BZ61" s="211" t="s">
        <v>193</v>
      </c>
      <c r="CA61" s="211"/>
      <c r="CB61" s="211" t="s">
        <v>193</v>
      </c>
      <c r="CC61" s="211" t="s">
        <v>193</v>
      </c>
      <c r="CD61" s="211" t="s">
        <v>193</v>
      </c>
      <c r="CE61" s="211"/>
      <c r="CF61" s="211" t="s">
        <v>193</v>
      </c>
      <c r="CG61" s="211" t="s">
        <v>193</v>
      </c>
      <c r="CH61" s="211" t="s">
        <v>193</v>
      </c>
      <c r="CI61" s="211" t="s">
        <v>193</v>
      </c>
      <c r="CJ61" s="163"/>
    </row>
    <row r="62" spans="1:88" ht="23.25" customHeight="1">
      <c r="A62" s="163"/>
      <c r="B62" s="212" t="s">
        <v>530</v>
      </c>
      <c r="C62" s="211" t="s">
        <v>193</v>
      </c>
      <c r="D62" s="211"/>
      <c r="E62" s="211"/>
      <c r="F62" s="211" t="s">
        <v>193</v>
      </c>
      <c r="G62" s="211"/>
      <c r="H62" s="211"/>
      <c r="I62" s="211" t="s">
        <v>193</v>
      </c>
      <c r="J62" s="211" t="s">
        <v>193</v>
      </c>
      <c r="K62" s="210"/>
      <c r="L62" s="210"/>
      <c r="M62" s="211"/>
      <c r="N62" s="211" t="s">
        <v>193</v>
      </c>
      <c r="O62" s="211" t="s">
        <v>193</v>
      </c>
      <c r="P62" s="211" t="s">
        <v>193</v>
      </c>
      <c r="Q62" s="211" t="s">
        <v>193</v>
      </c>
      <c r="R62" s="211" t="s">
        <v>193</v>
      </c>
      <c r="S62" s="211" t="s">
        <v>193</v>
      </c>
      <c r="T62" s="211" t="s">
        <v>193</v>
      </c>
      <c r="U62" s="211" t="s">
        <v>193</v>
      </c>
      <c r="V62" s="211" t="s">
        <v>193</v>
      </c>
      <c r="W62" s="211" t="s">
        <v>193</v>
      </c>
      <c r="X62" s="211" t="s">
        <v>193</v>
      </c>
      <c r="Y62" s="211"/>
      <c r="Z62" s="211"/>
      <c r="AA62" s="211" t="s">
        <v>193</v>
      </c>
      <c r="AB62" s="211"/>
      <c r="AC62" s="211"/>
      <c r="AD62" s="211" t="s">
        <v>193</v>
      </c>
      <c r="AE62" s="211"/>
      <c r="AF62" s="211" t="s">
        <v>193</v>
      </c>
      <c r="AG62" s="211"/>
      <c r="AH62" s="211"/>
      <c r="AI62" s="211" t="s">
        <v>193</v>
      </c>
      <c r="AJ62" s="211"/>
      <c r="AK62" s="211"/>
      <c r="AL62" s="211" t="s">
        <v>193</v>
      </c>
      <c r="AM62" s="211" t="s">
        <v>193</v>
      </c>
      <c r="AN62" s="211" t="s">
        <v>193</v>
      </c>
      <c r="AO62" s="211"/>
      <c r="AP62" s="211"/>
      <c r="AQ62" s="211"/>
      <c r="AR62" s="211"/>
      <c r="AS62" s="211" t="s">
        <v>193</v>
      </c>
      <c r="AT62" s="211"/>
      <c r="AU62" s="211" t="s">
        <v>193</v>
      </c>
      <c r="AV62" s="211" t="s">
        <v>193</v>
      </c>
      <c r="AW62" s="211" t="s">
        <v>193</v>
      </c>
      <c r="AX62" s="211" t="s">
        <v>193</v>
      </c>
      <c r="AY62" s="211" t="s">
        <v>476</v>
      </c>
      <c r="AZ62" s="211" t="s">
        <v>193</v>
      </c>
      <c r="BA62" s="211"/>
      <c r="BB62" s="211"/>
      <c r="BC62" s="211"/>
      <c r="BD62" s="211" t="s">
        <v>193</v>
      </c>
      <c r="BE62" s="211" t="s">
        <v>193</v>
      </c>
      <c r="BF62" s="211" t="s">
        <v>193</v>
      </c>
      <c r="BG62" s="211" t="s">
        <v>193</v>
      </c>
      <c r="BH62" s="211" t="s">
        <v>193</v>
      </c>
      <c r="BI62" s="211"/>
      <c r="BJ62" s="211"/>
      <c r="BK62" s="211" t="s">
        <v>193</v>
      </c>
      <c r="BL62" s="211" t="s">
        <v>193</v>
      </c>
      <c r="BM62" s="211"/>
      <c r="BN62" s="211" t="s">
        <v>193</v>
      </c>
      <c r="BO62" s="211" t="s">
        <v>193</v>
      </c>
      <c r="BP62" s="211" t="s">
        <v>193</v>
      </c>
      <c r="BQ62" s="211" t="s">
        <v>193</v>
      </c>
      <c r="BR62" s="211" t="s">
        <v>193</v>
      </c>
      <c r="BS62" s="211" t="s">
        <v>193</v>
      </c>
      <c r="BT62" s="211" t="s">
        <v>193</v>
      </c>
      <c r="BU62" s="211" t="s">
        <v>193</v>
      </c>
      <c r="BV62" s="211" t="s">
        <v>193</v>
      </c>
      <c r="BW62" s="211" t="s">
        <v>193</v>
      </c>
      <c r="BX62" s="211" t="s">
        <v>193</v>
      </c>
      <c r="BY62" s="211"/>
      <c r="BZ62" s="211" t="s">
        <v>193</v>
      </c>
      <c r="CA62" s="211"/>
      <c r="CB62" s="211" t="s">
        <v>193</v>
      </c>
      <c r="CC62" s="211" t="s">
        <v>193</v>
      </c>
      <c r="CD62" s="211" t="s">
        <v>193</v>
      </c>
      <c r="CE62" s="211"/>
      <c r="CF62" s="211" t="s">
        <v>193</v>
      </c>
      <c r="CG62" s="211" t="s">
        <v>193</v>
      </c>
      <c r="CH62" s="211" t="s">
        <v>193</v>
      </c>
      <c r="CI62" s="211" t="s">
        <v>193</v>
      </c>
      <c r="CJ62" s="163"/>
    </row>
    <row r="63" spans="1:88" ht="23.25" customHeight="1">
      <c r="A63" s="163"/>
      <c r="B63" s="212" t="s">
        <v>531</v>
      </c>
      <c r="C63" s="211" t="s">
        <v>193</v>
      </c>
      <c r="D63" s="211"/>
      <c r="E63" s="211"/>
      <c r="F63" s="211" t="s">
        <v>193</v>
      </c>
      <c r="G63" s="211"/>
      <c r="H63" s="211"/>
      <c r="I63" s="211" t="s">
        <v>193</v>
      </c>
      <c r="J63" s="211" t="s">
        <v>193</v>
      </c>
      <c r="K63" s="210"/>
      <c r="L63" s="210"/>
      <c r="M63" s="211"/>
      <c r="N63" s="211" t="s">
        <v>193</v>
      </c>
      <c r="O63" s="211" t="s">
        <v>193</v>
      </c>
      <c r="P63" s="211" t="s">
        <v>193</v>
      </c>
      <c r="Q63" s="211" t="s">
        <v>193</v>
      </c>
      <c r="R63" s="211" t="s">
        <v>193</v>
      </c>
      <c r="S63" s="211" t="s">
        <v>193</v>
      </c>
      <c r="T63" s="211" t="s">
        <v>193</v>
      </c>
      <c r="U63" s="211" t="s">
        <v>193</v>
      </c>
      <c r="V63" s="211" t="s">
        <v>193</v>
      </c>
      <c r="W63" s="211" t="s">
        <v>193</v>
      </c>
      <c r="X63" s="211" t="s">
        <v>193</v>
      </c>
      <c r="Y63" s="211"/>
      <c r="Z63" s="211"/>
      <c r="AA63" s="211" t="s">
        <v>193</v>
      </c>
      <c r="AB63" s="211"/>
      <c r="AC63" s="211"/>
      <c r="AD63" s="211" t="s">
        <v>193</v>
      </c>
      <c r="AE63" s="211"/>
      <c r="AF63" s="211" t="s">
        <v>193</v>
      </c>
      <c r="AG63" s="211"/>
      <c r="AH63" s="211"/>
      <c r="AI63" s="211" t="s">
        <v>193</v>
      </c>
      <c r="AJ63" s="211"/>
      <c r="AK63" s="211"/>
      <c r="AL63" s="211" t="s">
        <v>193</v>
      </c>
      <c r="AM63" s="211" t="s">
        <v>193</v>
      </c>
      <c r="AN63" s="211" t="s">
        <v>193</v>
      </c>
      <c r="AO63" s="211"/>
      <c r="AP63" s="211"/>
      <c r="AQ63" s="211"/>
      <c r="AR63" s="211"/>
      <c r="AS63" s="211" t="s">
        <v>193</v>
      </c>
      <c r="AT63" s="211"/>
      <c r="AU63" s="211" t="s">
        <v>193</v>
      </c>
      <c r="AV63" s="211" t="s">
        <v>193</v>
      </c>
      <c r="AW63" s="211" t="s">
        <v>193</v>
      </c>
      <c r="AX63" s="211" t="s">
        <v>193</v>
      </c>
      <c r="AY63" s="211" t="s">
        <v>476</v>
      </c>
      <c r="AZ63" s="211" t="s">
        <v>193</v>
      </c>
      <c r="BA63" s="211"/>
      <c r="BB63" s="211"/>
      <c r="BC63" s="211"/>
      <c r="BD63" s="211" t="s">
        <v>193</v>
      </c>
      <c r="BE63" s="211" t="s">
        <v>193</v>
      </c>
      <c r="BF63" s="211" t="s">
        <v>193</v>
      </c>
      <c r="BG63" s="211" t="s">
        <v>193</v>
      </c>
      <c r="BH63" s="211" t="s">
        <v>193</v>
      </c>
      <c r="BI63" s="211"/>
      <c r="BJ63" s="211"/>
      <c r="BK63" s="211" t="s">
        <v>193</v>
      </c>
      <c r="BL63" s="211" t="s">
        <v>193</v>
      </c>
      <c r="BM63" s="211"/>
      <c r="BN63" s="211" t="s">
        <v>193</v>
      </c>
      <c r="BO63" s="211" t="s">
        <v>193</v>
      </c>
      <c r="BP63" s="211" t="s">
        <v>193</v>
      </c>
      <c r="BQ63" s="211" t="s">
        <v>193</v>
      </c>
      <c r="BR63" s="211" t="s">
        <v>193</v>
      </c>
      <c r="BS63" s="211" t="s">
        <v>193</v>
      </c>
      <c r="BT63" s="211" t="s">
        <v>193</v>
      </c>
      <c r="BU63" s="211" t="s">
        <v>193</v>
      </c>
      <c r="BV63" s="211" t="s">
        <v>193</v>
      </c>
      <c r="BW63" s="211" t="s">
        <v>193</v>
      </c>
      <c r="BX63" s="211" t="s">
        <v>193</v>
      </c>
      <c r="BY63" s="211"/>
      <c r="BZ63" s="211" t="s">
        <v>193</v>
      </c>
      <c r="CA63" s="211"/>
      <c r="CB63" s="211" t="s">
        <v>193</v>
      </c>
      <c r="CC63" s="211" t="s">
        <v>193</v>
      </c>
      <c r="CD63" s="211" t="s">
        <v>193</v>
      </c>
      <c r="CE63" s="211"/>
      <c r="CF63" s="211" t="s">
        <v>193</v>
      </c>
      <c r="CG63" s="211" t="s">
        <v>193</v>
      </c>
      <c r="CH63" s="211" t="s">
        <v>193</v>
      </c>
      <c r="CI63" s="211" t="s">
        <v>193</v>
      </c>
      <c r="CJ63" s="163"/>
    </row>
    <row r="64" spans="1:88" ht="23.25" customHeight="1">
      <c r="A64" s="163"/>
      <c r="B64" s="212" t="s">
        <v>532</v>
      </c>
      <c r="C64" s="211" t="s">
        <v>193</v>
      </c>
      <c r="D64" s="211"/>
      <c r="E64" s="211"/>
      <c r="F64" s="211" t="s">
        <v>193</v>
      </c>
      <c r="G64" s="211"/>
      <c r="H64" s="211"/>
      <c r="I64" s="211" t="s">
        <v>193</v>
      </c>
      <c r="J64" s="211" t="s">
        <v>193</v>
      </c>
      <c r="K64" s="210" t="s">
        <v>193</v>
      </c>
      <c r="L64" s="210"/>
      <c r="M64" s="211"/>
      <c r="N64" s="211" t="s">
        <v>193</v>
      </c>
      <c r="O64" s="211" t="s">
        <v>193</v>
      </c>
      <c r="P64" s="211" t="s">
        <v>193</v>
      </c>
      <c r="Q64" s="211" t="s">
        <v>193</v>
      </c>
      <c r="R64" s="211" t="s">
        <v>193</v>
      </c>
      <c r="S64" s="211" t="s">
        <v>193</v>
      </c>
      <c r="T64" s="211" t="s">
        <v>193</v>
      </c>
      <c r="U64" s="211" t="s">
        <v>193</v>
      </c>
      <c r="V64" s="211" t="s">
        <v>193</v>
      </c>
      <c r="W64" s="211" t="s">
        <v>193</v>
      </c>
      <c r="X64" s="211" t="s">
        <v>193</v>
      </c>
      <c r="Y64" s="211"/>
      <c r="Z64" s="211"/>
      <c r="AA64" s="211" t="s">
        <v>193</v>
      </c>
      <c r="AB64" s="211"/>
      <c r="AC64" s="211"/>
      <c r="AD64" s="211" t="s">
        <v>193</v>
      </c>
      <c r="AE64" s="211"/>
      <c r="AF64" s="211" t="s">
        <v>193</v>
      </c>
      <c r="AG64" s="211"/>
      <c r="AH64" s="211"/>
      <c r="AI64" s="211" t="s">
        <v>193</v>
      </c>
      <c r="AJ64" s="211"/>
      <c r="AK64" s="211"/>
      <c r="AL64" s="211" t="s">
        <v>193</v>
      </c>
      <c r="AM64" s="211" t="s">
        <v>193</v>
      </c>
      <c r="AN64" s="211" t="s">
        <v>193</v>
      </c>
      <c r="AO64" s="211"/>
      <c r="AP64" s="211"/>
      <c r="AQ64" s="211"/>
      <c r="AR64" s="211"/>
      <c r="AS64" s="211" t="s">
        <v>193</v>
      </c>
      <c r="AT64" s="211"/>
      <c r="AU64" s="211" t="s">
        <v>193</v>
      </c>
      <c r="AV64" s="211" t="s">
        <v>193</v>
      </c>
      <c r="AW64" s="211" t="s">
        <v>193</v>
      </c>
      <c r="AX64" s="211" t="s">
        <v>193</v>
      </c>
      <c r="AY64" s="211" t="s">
        <v>193</v>
      </c>
      <c r="AZ64" s="211" t="s">
        <v>193</v>
      </c>
      <c r="BA64" s="211"/>
      <c r="BB64" s="211"/>
      <c r="BC64" s="211"/>
      <c r="BD64" s="211" t="s">
        <v>193</v>
      </c>
      <c r="BE64" s="211" t="s">
        <v>193</v>
      </c>
      <c r="BF64" s="211" t="s">
        <v>193</v>
      </c>
      <c r="BG64" s="211" t="s">
        <v>193</v>
      </c>
      <c r="BH64" s="211" t="s">
        <v>193</v>
      </c>
      <c r="BI64" s="211"/>
      <c r="BJ64" s="211"/>
      <c r="BK64" s="211" t="s">
        <v>193</v>
      </c>
      <c r="BL64" s="211" t="s">
        <v>193</v>
      </c>
      <c r="BM64" s="211"/>
      <c r="BN64" s="211" t="s">
        <v>193</v>
      </c>
      <c r="BO64" s="211" t="s">
        <v>193</v>
      </c>
      <c r="BP64" s="211" t="s">
        <v>193</v>
      </c>
      <c r="BQ64" s="211" t="s">
        <v>193</v>
      </c>
      <c r="BR64" s="211" t="s">
        <v>193</v>
      </c>
      <c r="BS64" s="211" t="s">
        <v>193</v>
      </c>
      <c r="BT64" s="211" t="s">
        <v>193</v>
      </c>
      <c r="BU64" s="211" t="s">
        <v>193</v>
      </c>
      <c r="BV64" s="211" t="s">
        <v>193</v>
      </c>
      <c r="BW64" s="211" t="s">
        <v>193</v>
      </c>
      <c r="BX64" s="211" t="s">
        <v>193</v>
      </c>
      <c r="BY64" s="211"/>
      <c r="BZ64" s="211" t="s">
        <v>193</v>
      </c>
      <c r="CA64" s="211"/>
      <c r="CB64" s="211" t="s">
        <v>193</v>
      </c>
      <c r="CC64" s="211" t="s">
        <v>193</v>
      </c>
      <c r="CD64" s="211" t="s">
        <v>193</v>
      </c>
      <c r="CE64" s="211"/>
      <c r="CF64" s="211" t="s">
        <v>193</v>
      </c>
      <c r="CG64" s="211" t="s">
        <v>193</v>
      </c>
      <c r="CH64" s="211" t="s">
        <v>193</v>
      </c>
      <c r="CI64" s="211" t="s">
        <v>193</v>
      </c>
      <c r="CJ64" s="163"/>
    </row>
    <row r="65" spans="1:88" ht="23.25" customHeight="1">
      <c r="A65" s="163"/>
      <c r="B65" s="212" t="s">
        <v>533</v>
      </c>
      <c r="C65" s="211" t="s">
        <v>193</v>
      </c>
      <c r="D65" s="211"/>
      <c r="E65" s="211"/>
      <c r="F65" s="211" t="s">
        <v>193</v>
      </c>
      <c r="G65" s="211"/>
      <c r="H65" s="211"/>
      <c r="I65" s="211" t="s">
        <v>193</v>
      </c>
      <c r="J65" s="211" t="s">
        <v>193</v>
      </c>
      <c r="K65" s="210"/>
      <c r="L65" s="210"/>
      <c r="M65" s="211"/>
      <c r="N65" s="211" t="s">
        <v>193</v>
      </c>
      <c r="O65" s="211" t="s">
        <v>193</v>
      </c>
      <c r="P65" s="211" t="s">
        <v>193</v>
      </c>
      <c r="Q65" s="211" t="s">
        <v>193</v>
      </c>
      <c r="R65" s="211" t="s">
        <v>193</v>
      </c>
      <c r="S65" s="211" t="s">
        <v>193</v>
      </c>
      <c r="T65" s="211" t="s">
        <v>193</v>
      </c>
      <c r="U65" s="211" t="s">
        <v>193</v>
      </c>
      <c r="V65" s="211" t="s">
        <v>193</v>
      </c>
      <c r="W65" s="211" t="s">
        <v>193</v>
      </c>
      <c r="X65" s="211" t="s">
        <v>193</v>
      </c>
      <c r="Y65" s="211"/>
      <c r="Z65" s="211"/>
      <c r="AA65" s="211" t="s">
        <v>193</v>
      </c>
      <c r="AB65" s="211"/>
      <c r="AC65" s="211"/>
      <c r="AD65" s="211" t="s">
        <v>193</v>
      </c>
      <c r="AE65" s="211"/>
      <c r="AF65" s="211" t="s">
        <v>193</v>
      </c>
      <c r="AG65" s="211"/>
      <c r="AH65" s="211"/>
      <c r="AI65" s="211" t="s">
        <v>193</v>
      </c>
      <c r="AJ65" s="211"/>
      <c r="AK65" s="211"/>
      <c r="AL65" s="211" t="s">
        <v>193</v>
      </c>
      <c r="AM65" s="211" t="s">
        <v>193</v>
      </c>
      <c r="AN65" s="211" t="s">
        <v>193</v>
      </c>
      <c r="AO65" s="211"/>
      <c r="AP65" s="211"/>
      <c r="AQ65" s="211"/>
      <c r="AR65" s="211"/>
      <c r="AS65" s="211" t="s">
        <v>193</v>
      </c>
      <c r="AT65" s="211"/>
      <c r="AU65" s="211" t="s">
        <v>193</v>
      </c>
      <c r="AV65" s="211" t="s">
        <v>193</v>
      </c>
      <c r="AW65" s="211" t="s">
        <v>193</v>
      </c>
      <c r="AX65" s="211" t="s">
        <v>193</v>
      </c>
      <c r="AY65" s="211" t="s">
        <v>476</v>
      </c>
      <c r="AZ65" s="211" t="s">
        <v>193</v>
      </c>
      <c r="BA65" s="211"/>
      <c r="BB65" s="211"/>
      <c r="BC65" s="211"/>
      <c r="BD65" s="211" t="s">
        <v>193</v>
      </c>
      <c r="BE65" s="211" t="s">
        <v>193</v>
      </c>
      <c r="BF65" s="211" t="s">
        <v>193</v>
      </c>
      <c r="BG65" s="211" t="s">
        <v>193</v>
      </c>
      <c r="BH65" s="211" t="s">
        <v>193</v>
      </c>
      <c r="BI65" s="211"/>
      <c r="BJ65" s="211"/>
      <c r="BK65" s="211" t="s">
        <v>193</v>
      </c>
      <c r="BL65" s="211" t="s">
        <v>193</v>
      </c>
      <c r="BM65" s="211"/>
      <c r="BN65" s="211" t="s">
        <v>193</v>
      </c>
      <c r="BO65" s="211" t="s">
        <v>193</v>
      </c>
      <c r="BP65" s="211" t="s">
        <v>193</v>
      </c>
      <c r="BQ65" s="211" t="s">
        <v>193</v>
      </c>
      <c r="BR65" s="211" t="s">
        <v>193</v>
      </c>
      <c r="BS65" s="211" t="s">
        <v>193</v>
      </c>
      <c r="BT65" s="211" t="s">
        <v>193</v>
      </c>
      <c r="BU65" s="211" t="s">
        <v>193</v>
      </c>
      <c r="BV65" s="211" t="s">
        <v>193</v>
      </c>
      <c r="BW65" s="211" t="s">
        <v>193</v>
      </c>
      <c r="BX65" s="211" t="s">
        <v>193</v>
      </c>
      <c r="BY65" s="211"/>
      <c r="BZ65" s="211" t="s">
        <v>193</v>
      </c>
      <c r="CA65" s="211"/>
      <c r="CB65" s="211" t="s">
        <v>193</v>
      </c>
      <c r="CC65" s="211" t="s">
        <v>193</v>
      </c>
      <c r="CD65" s="211" t="s">
        <v>193</v>
      </c>
      <c r="CE65" s="211"/>
      <c r="CF65" s="211" t="s">
        <v>193</v>
      </c>
      <c r="CG65" s="211" t="s">
        <v>193</v>
      </c>
      <c r="CH65" s="211" t="s">
        <v>193</v>
      </c>
      <c r="CI65" s="211" t="s">
        <v>193</v>
      </c>
      <c r="CJ65" s="163"/>
    </row>
    <row r="66" spans="1:88" ht="23.25" customHeight="1">
      <c r="A66" s="163"/>
      <c r="B66" s="207" t="s">
        <v>534</v>
      </c>
      <c r="C66" s="213" t="s">
        <v>193</v>
      </c>
      <c r="D66" s="213" t="s">
        <v>193</v>
      </c>
      <c r="E66" s="213" t="s">
        <v>193</v>
      </c>
      <c r="F66" s="213" t="s">
        <v>193</v>
      </c>
      <c r="G66" s="213"/>
      <c r="H66" s="213"/>
      <c r="I66" s="213" t="s">
        <v>193</v>
      </c>
      <c r="J66" s="213" t="s">
        <v>193</v>
      </c>
      <c r="K66" s="208"/>
      <c r="L66" s="208" t="s">
        <v>193</v>
      </c>
      <c r="M66" s="213" t="s">
        <v>193</v>
      </c>
      <c r="N66" s="213"/>
      <c r="O66" s="213" t="s">
        <v>193</v>
      </c>
      <c r="P66" s="213" t="s">
        <v>193</v>
      </c>
      <c r="Q66" s="213" t="s">
        <v>193</v>
      </c>
      <c r="R66" s="213" t="s">
        <v>193</v>
      </c>
      <c r="S66" s="213" t="s">
        <v>193</v>
      </c>
      <c r="T66" s="211" t="s">
        <v>193</v>
      </c>
      <c r="U66" s="213" t="s">
        <v>193</v>
      </c>
      <c r="V66" s="213" t="s">
        <v>193</v>
      </c>
      <c r="W66" s="213" t="s">
        <v>193</v>
      </c>
      <c r="X66" s="213" t="s">
        <v>193</v>
      </c>
      <c r="Y66" s="213"/>
      <c r="Z66" s="213"/>
      <c r="AA66" s="213" t="s">
        <v>193</v>
      </c>
      <c r="AB66" s="213" t="s">
        <v>193</v>
      </c>
      <c r="AC66" s="213"/>
      <c r="AD66" s="213" t="s">
        <v>193</v>
      </c>
      <c r="AE66" s="213"/>
      <c r="AF66" s="213" t="s">
        <v>193</v>
      </c>
      <c r="AG66" s="213" t="s">
        <v>193</v>
      </c>
      <c r="AH66" s="213"/>
      <c r="AI66" s="213" t="s">
        <v>193</v>
      </c>
      <c r="AJ66" s="213"/>
      <c r="AK66" s="213"/>
      <c r="AL66" s="213" t="s">
        <v>193</v>
      </c>
      <c r="AM66" s="213"/>
      <c r="AN66" s="213" t="s">
        <v>193</v>
      </c>
      <c r="AO66" s="213"/>
      <c r="AP66" s="213"/>
      <c r="AQ66" s="213" t="s">
        <v>193</v>
      </c>
      <c r="AR66" s="213"/>
      <c r="AS66" s="213" t="s">
        <v>193</v>
      </c>
      <c r="AT66" s="213"/>
      <c r="AU66" s="213" t="s">
        <v>193</v>
      </c>
      <c r="AV66" s="213" t="s">
        <v>193</v>
      </c>
      <c r="AW66" s="213"/>
      <c r="AX66" s="213" t="s">
        <v>193</v>
      </c>
      <c r="AY66" s="213" t="s">
        <v>476</v>
      </c>
      <c r="AZ66" s="213" t="s">
        <v>193</v>
      </c>
      <c r="BA66" s="213"/>
      <c r="BB66" s="213"/>
      <c r="BC66" s="213"/>
      <c r="BD66" s="213" t="s">
        <v>193</v>
      </c>
      <c r="BE66" s="213" t="s">
        <v>193</v>
      </c>
      <c r="BF66" s="213" t="s">
        <v>193</v>
      </c>
      <c r="BG66" s="213" t="s">
        <v>193</v>
      </c>
      <c r="BH66" s="213" t="s">
        <v>193</v>
      </c>
      <c r="BI66" s="213" t="s">
        <v>193</v>
      </c>
      <c r="BJ66" s="213" t="s">
        <v>193</v>
      </c>
      <c r="BK66" s="213" t="s">
        <v>193</v>
      </c>
      <c r="BL66" s="213" t="s">
        <v>193</v>
      </c>
      <c r="BM66" s="213" t="s">
        <v>193</v>
      </c>
      <c r="BN66" s="213" t="s">
        <v>193</v>
      </c>
      <c r="BO66" s="213" t="s">
        <v>193</v>
      </c>
      <c r="BP66" s="213" t="s">
        <v>193</v>
      </c>
      <c r="BQ66" s="213" t="s">
        <v>193</v>
      </c>
      <c r="BR66" s="213" t="s">
        <v>193</v>
      </c>
      <c r="BS66" s="213" t="s">
        <v>193</v>
      </c>
      <c r="BT66" s="213" t="s">
        <v>193</v>
      </c>
      <c r="BU66" s="213" t="s">
        <v>193</v>
      </c>
      <c r="BV66" s="213" t="s">
        <v>193</v>
      </c>
      <c r="BW66" s="213" t="s">
        <v>193</v>
      </c>
      <c r="BX66" s="213" t="s">
        <v>193</v>
      </c>
      <c r="BY66" s="213" t="s">
        <v>193</v>
      </c>
      <c r="BZ66" s="213" t="s">
        <v>193</v>
      </c>
      <c r="CA66" s="213" t="s">
        <v>193</v>
      </c>
      <c r="CB66" s="213" t="s">
        <v>193</v>
      </c>
      <c r="CC66" s="213" t="s">
        <v>193</v>
      </c>
      <c r="CD66" s="213" t="s">
        <v>193</v>
      </c>
      <c r="CE66" s="213" t="s">
        <v>193</v>
      </c>
      <c r="CF66" s="213" t="s">
        <v>193</v>
      </c>
      <c r="CG66" s="213" t="s">
        <v>193</v>
      </c>
      <c r="CH66" s="213" t="s">
        <v>193</v>
      </c>
      <c r="CI66" s="213" t="s">
        <v>193</v>
      </c>
      <c r="CJ66" s="163"/>
    </row>
    <row r="67" spans="1:88" ht="23.25" customHeight="1">
      <c r="A67" s="163"/>
      <c r="B67" s="212" t="s">
        <v>535</v>
      </c>
      <c r="C67" s="211" t="s">
        <v>193</v>
      </c>
      <c r="D67" s="211" t="s">
        <v>193</v>
      </c>
      <c r="E67" s="211" t="s">
        <v>193</v>
      </c>
      <c r="F67" s="211" t="s">
        <v>193</v>
      </c>
      <c r="G67" s="211"/>
      <c r="H67" s="211"/>
      <c r="I67" s="211" t="s">
        <v>193</v>
      </c>
      <c r="J67" s="211" t="s">
        <v>193</v>
      </c>
      <c r="K67" s="210"/>
      <c r="L67" s="210" t="s">
        <v>193</v>
      </c>
      <c r="M67" s="211" t="s">
        <v>193</v>
      </c>
      <c r="N67" s="211"/>
      <c r="O67" s="211" t="s">
        <v>193</v>
      </c>
      <c r="P67" s="211" t="s">
        <v>193</v>
      </c>
      <c r="Q67" s="211" t="s">
        <v>193</v>
      </c>
      <c r="R67" s="211" t="s">
        <v>193</v>
      </c>
      <c r="S67" s="211" t="s">
        <v>193</v>
      </c>
      <c r="T67" s="211" t="s">
        <v>193</v>
      </c>
      <c r="U67" s="211" t="s">
        <v>193</v>
      </c>
      <c r="V67" s="211" t="s">
        <v>193</v>
      </c>
      <c r="W67" s="211" t="s">
        <v>193</v>
      </c>
      <c r="X67" s="211" t="s">
        <v>193</v>
      </c>
      <c r="Y67" s="211"/>
      <c r="Z67" s="211"/>
      <c r="AA67" s="211" t="s">
        <v>193</v>
      </c>
      <c r="AB67" s="211" t="s">
        <v>193</v>
      </c>
      <c r="AC67" s="211"/>
      <c r="AD67" s="211" t="s">
        <v>193</v>
      </c>
      <c r="AE67" s="211"/>
      <c r="AF67" s="211" t="s">
        <v>193</v>
      </c>
      <c r="AG67" s="211" t="s">
        <v>193</v>
      </c>
      <c r="AH67" s="211"/>
      <c r="AI67" s="211" t="s">
        <v>193</v>
      </c>
      <c r="AJ67" s="211"/>
      <c r="AK67" s="211"/>
      <c r="AL67" s="211" t="s">
        <v>193</v>
      </c>
      <c r="AM67" s="211"/>
      <c r="AN67" s="211"/>
      <c r="AO67" s="211"/>
      <c r="AP67" s="211"/>
      <c r="AQ67" s="211" t="s">
        <v>193</v>
      </c>
      <c r="AR67" s="211"/>
      <c r="AS67" s="211" t="s">
        <v>193</v>
      </c>
      <c r="AT67" s="211"/>
      <c r="AU67" s="211" t="s">
        <v>193</v>
      </c>
      <c r="AV67" s="211" t="s">
        <v>193</v>
      </c>
      <c r="AW67" s="211"/>
      <c r="AX67" s="211" t="s">
        <v>193</v>
      </c>
      <c r="AY67" s="211" t="s">
        <v>476</v>
      </c>
      <c r="AZ67" s="211" t="s">
        <v>193</v>
      </c>
      <c r="BA67" s="211"/>
      <c r="BB67" s="211"/>
      <c r="BC67" s="211"/>
      <c r="BD67" s="211" t="s">
        <v>193</v>
      </c>
      <c r="BE67" s="211"/>
      <c r="BF67" s="211" t="s">
        <v>193</v>
      </c>
      <c r="BG67" s="211" t="s">
        <v>193</v>
      </c>
      <c r="BH67" s="211" t="s">
        <v>193</v>
      </c>
      <c r="BI67" s="211" t="s">
        <v>193</v>
      </c>
      <c r="BJ67" s="211" t="s">
        <v>193</v>
      </c>
      <c r="BK67" s="211" t="s">
        <v>193</v>
      </c>
      <c r="BL67" s="211" t="s">
        <v>193</v>
      </c>
      <c r="BM67" s="211" t="s">
        <v>193</v>
      </c>
      <c r="BN67" s="211" t="s">
        <v>193</v>
      </c>
      <c r="BO67" s="211" t="s">
        <v>193</v>
      </c>
      <c r="BP67" s="211" t="s">
        <v>193</v>
      </c>
      <c r="BQ67" s="211" t="s">
        <v>193</v>
      </c>
      <c r="BR67" s="211" t="s">
        <v>193</v>
      </c>
      <c r="BS67" s="211" t="s">
        <v>193</v>
      </c>
      <c r="BT67" s="211" t="s">
        <v>193</v>
      </c>
      <c r="BU67" s="211" t="s">
        <v>193</v>
      </c>
      <c r="BV67" s="211" t="s">
        <v>193</v>
      </c>
      <c r="BW67" s="211" t="s">
        <v>193</v>
      </c>
      <c r="BX67" s="211" t="s">
        <v>193</v>
      </c>
      <c r="BY67" s="211" t="s">
        <v>193</v>
      </c>
      <c r="BZ67" s="211" t="s">
        <v>193</v>
      </c>
      <c r="CA67" s="211"/>
      <c r="CB67" s="211" t="s">
        <v>193</v>
      </c>
      <c r="CC67" s="211" t="s">
        <v>193</v>
      </c>
      <c r="CD67" s="211" t="s">
        <v>193</v>
      </c>
      <c r="CE67" s="211"/>
      <c r="CF67" s="211"/>
      <c r="CG67" s="211" t="s">
        <v>193</v>
      </c>
      <c r="CH67" s="211" t="s">
        <v>193</v>
      </c>
      <c r="CI67" s="211" t="s">
        <v>193</v>
      </c>
      <c r="CJ67" s="163"/>
    </row>
    <row r="68" spans="1:88" ht="23.25" customHeight="1">
      <c r="A68" s="163"/>
      <c r="B68" s="212" t="s">
        <v>536</v>
      </c>
      <c r="C68" s="211" t="s">
        <v>193</v>
      </c>
      <c r="D68" s="211"/>
      <c r="E68" s="211" t="s">
        <v>193</v>
      </c>
      <c r="F68" s="211"/>
      <c r="G68" s="211"/>
      <c r="H68" s="211"/>
      <c r="I68" s="211" t="s">
        <v>193</v>
      </c>
      <c r="J68" s="211" t="s">
        <v>193</v>
      </c>
      <c r="K68" s="210"/>
      <c r="L68" s="210"/>
      <c r="M68" s="211" t="s">
        <v>193</v>
      </c>
      <c r="N68" s="211"/>
      <c r="O68" s="211" t="s">
        <v>193</v>
      </c>
      <c r="P68" s="211" t="s">
        <v>193</v>
      </c>
      <c r="Q68" s="211" t="s">
        <v>193</v>
      </c>
      <c r="R68" s="211" t="s">
        <v>193</v>
      </c>
      <c r="S68" s="211" t="s">
        <v>193</v>
      </c>
      <c r="T68" s="211" t="s">
        <v>193</v>
      </c>
      <c r="U68" s="211" t="s">
        <v>193</v>
      </c>
      <c r="V68" s="211" t="s">
        <v>193</v>
      </c>
      <c r="W68" s="211" t="s">
        <v>193</v>
      </c>
      <c r="X68" s="211" t="s">
        <v>193</v>
      </c>
      <c r="Y68" s="211"/>
      <c r="Z68" s="211"/>
      <c r="AA68" s="211" t="s">
        <v>193</v>
      </c>
      <c r="AB68" s="211"/>
      <c r="AC68" s="211"/>
      <c r="AD68" s="211" t="s">
        <v>193</v>
      </c>
      <c r="AE68" s="211"/>
      <c r="AF68" s="211" t="s">
        <v>193</v>
      </c>
      <c r="AG68" s="211"/>
      <c r="AH68" s="211"/>
      <c r="AI68" s="211" t="s">
        <v>193</v>
      </c>
      <c r="AJ68" s="211"/>
      <c r="AK68" s="211"/>
      <c r="AL68" s="211" t="s">
        <v>193</v>
      </c>
      <c r="AM68" s="211"/>
      <c r="AN68" s="211"/>
      <c r="AO68" s="211"/>
      <c r="AP68" s="211"/>
      <c r="AQ68" s="211"/>
      <c r="AR68" s="211"/>
      <c r="AS68" s="211" t="s">
        <v>193</v>
      </c>
      <c r="AT68" s="211"/>
      <c r="AU68" s="211" t="s">
        <v>193</v>
      </c>
      <c r="AV68" s="211" t="s">
        <v>193</v>
      </c>
      <c r="AW68" s="211"/>
      <c r="AX68" s="211" t="s">
        <v>193</v>
      </c>
      <c r="AY68" s="211" t="s">
        <v>476</v>
      </c>
      <c r="AZ68" s="211"/>
      <c r="BA68" s="211"/>
      <c r="BB68" s="211"/>
      <c r="BC68" s="211"/>
      <c r="BD68" s="211" t="s">
        <v>193</v>
      </c>
      <c r="BE68" s="211"/>
      <c r="BF68" s="211" t="s">
        <v>193</v>
      </c>
      <c r="BG68" s="211" t="s">
        <v>193</v>
      </c>
      <c r="BH68" s="211" t="s">
        <v>193</v>
      </c>
      <c r="BI68" s="211"/>
      <c r="BJ68" s="211"/>
      <c r="BK68" s="211" t="s">
        <v>193</v>
      </c>
      <c r="BL68" s="211" t="s">
        <v>193</v>
      </c>
      <c r="BM68" s="211"/>
      <c r="BN68" s="211" t="s">
        <v>193</v>
      </c>
      <c r="BO68" s="211" t="s">
        <v>193</v>
      </c>
      <c r="BP68" s="211" t="s">
        <v>193</v>
      </c>
      <c r="BQ68" s="211" t="s">
        <v>193</v>
      </c>
      <c r="BR68" s="211" t="s">
        <v>193</v>
      </c>
      <c r="BS68" s="211" t="s">
        <v>193</v>
      </c>
      <c r="BT68" s="211" t="s">
        <v>193</v>
      </c>
      <c r="BU68" s="211" t="s">
        <v>193</v>
      </c>
      <c r="BV68" s="211" t="s">
        <v>193</v>
      </c>
      <c r="BW68" s="211" t="s">
        <v>193</v>
      </c>
      <c r="BX68" s="211" t="s">
        <v>193</v>
      </c>
      <c r="BY68" s="211"/>
      <c r="BZ68" s="211" t="s">
        <v>193</v>
      </c>
      <c r="CA68" s="211" t="s">
        <v>193</v>
      </c>
      <c r="CB68" s="211" t="s">
        <v>193</v>
      </c>
      <c r="CC68" s="211" t="s">
        <v>193</v>
      </c>
      <c r="CD68" s="211" t="s">
        <v>193</v>
      </c>
      <c r="CE68" s="211" t="s">
        <v>193</v>
      </c>
      <c r="CF68" s="211"/>
      <c r="CG68" s="211" t="s">
        <v>193</v>
      </c>
      <c r="CH68" s="211" t="s">
        <v>193</v>
      </c>
      <c r="CI68" s="211" t="s">
        <v>193</v>
      </c>
      <c r="CJ68" s="163"/>
    </row>
    <row r="69" spans="1:88" ht="23.25" customHeight="1">
      <c r="A69" s="163"/>
      <c r="B69" s="212" t="s">
        <v>537</v>
      </c>
      <c r="C69" s="211" t="s">
        <v>193</v>
      </c>
      <c r="D69" s="211" t="s">
        <v>193</v>
      </c>
      <c r="E69" s="211" t="s">
        <v>193</v>
      </c>
      <c r="F69" s="211" t="s">
        <v>193</v>
      </c>
      <c r="G69" s="211"/>
      <c r="H69" s="211"/>
      <c r="I69" s="211" t="s">
        <v>193</v>
      </c>
      <c r="J69" s="211" t="s">
        <v>193</v>
      </c>
      <c r="K69" s="210"/>
      <c r="L69" s="210" t="s">
        <v>193</v>
      </c>
      <c r="M69" s="211"/>
      <c r="N69" s="211"/>
      <c r="O69" s="211" t="s">
        <v>193</v>
      </c>
      <c r="P69" s="211" t="s">
        <v>193</v>
      </c>
      <c r="Q69" s="211" t="s">
        <v>193</v>
      </c>
      <c r="R69" s="211" t="s">
        <v>193</v>
      </c>
      <c r="S69" s="211" t="s">
        <v>193</v>
      </c>
      <c r="T69" s="211" t="s">
        <v>193</v>
      </c>
      <c r="U69" s="211" t="s">
        <v>193</v>
      </c>
      <c r="V69" s="211" t="s">
        <v>193</v>
      </c>
      <c r="W69" s="211" t="s">
        <v>193</v>
      </c>
      <c r="X69" s="211" t="s">
        <v>193</v>
      </c>
      <c r="Y69" s="211"/>
      <c r="Z69" s="211"/>
      <c r="AA69" s="211" t="s">
        <v>193</v>
      </c>
      <c r="AB69" s="211" t="s">
        <v>193</v>
      </c>
      <c r="AC69" s="211"/>
      <c r="AD69" s="211" t="s">
        <v>193</v>
      </c>
      <c r="AE69" s="211"/>
      <c r="AF69" s="211" t="s">
        <v>193</v>
      </c>
      <c r="AG69" s="211" t="s">
        <v>193</v>
      </c>
      <c r="AH69" s="211"/>
      <c r="AI69" s="211" t="s">
        <v>193</v>
      </c>
      <c r="AJ69" s="211"/>
      <c r="AK69" s="211"/>
      <c r="AL69" s="211" t="s">
        <v>193</v>
      </c>
      <c r="AM69" s="211"/>
      <c r="AN69" s="211" t="s">
        <v>193</v>
      </c>
      <c r="AO69" s="211"/>
      <c r="AP69" s="211"/>
      <c r="AQ69" s="211" t="s">
        <v>193</v>
      </c>
      <c r="AR69" s="211"/>
      <c r="AS69" s="211" t="s">
        <v>193</v>
      </c>
      <c r="AT69" s="211"/>
      <c r="AU69" s="211" t="s">
        <v>193</v>
      </c>
      <c r="AV69" s="211" t="s">
        <v>193</v>
      </c>
      <c r="AW69" s="211"/>
      <c r="AX69" s="211" t="s">
        <v>193</v>
      </c>
      <c r="AY69" s="211" t="s">
        <v>476</v>
      </c>
      <c r="AZ69" s="211" t="s">
        <v>193</v>
      </c>
      <c r="BA69" s="211"/>
      <c r="BB69" s="211"/>
      <c r="BC69" s="211"/>
      <c r="BD69" s="211" t="s">
        <v>193</v>
      </c>
      <c r="BE69" s="211"/>
      <c r="BF69" s="211" t="s">
        <v>193</v>
      </c>
      <c r="BG69" s="211" t="s">
        <v>193</v>
      </c>
      <c r="BH69" s="211" t="s">
        <v>193</v>
      </c>
      <c r="BI69" s="211" t="s">
        <v>193</v>
      </c>
      <c r="BJ69" s="211" t="s">
        <v>193</v>
      </c>
      <c r="BK69" s="211" t="s">
        <v>193</v>
      </c>
      <c r="BL69" s="211" t="s">
        <v>193</v>
      </c>
      <c r="BM69" s="211" t="s">
        <v>193</v>
      </c>
      <c r="BN69" s="211" t="s">
        <v>193</v>
      </c>
      <c r="BO69" s="211" t="s">
        <v>193</v>
      </c>
      <c r="BP69" s="211" t="s">
        <v>193</v>
      </c>
      <c r="BQ69" s="211" t="s">
        <v>193</v>
      </c>
      <c r="BR69" s="211" t="s">
        <v>193</v>
      </c>
      <c r="BS69" s="211" t="s">
        <v>193</v>
      </c>
      <c r="BT69" s="211" t="s">
        <v>193</v>
      </c>
      <c r="BU69" s="211" t="s">
        <v>193</v>
      </c>
      <c r="BV69" s="211" t="s">
        <v>193</v>
      </c>
      <c r="BW69" s="211" t="s">
        <v>193</v>
      </c>
      <c r="BX69" s="211" t="s">
        <v>193</v>
      </c>
      <c r="BY69" s="211" t="s">
        <v>193</v>
      </c>
      <c r="BZ69" s="211" t="s">
        <v>193</v>
      </c>
      <c r="CA69" s="211"/>
      <c r="CB69" s="211" t="s">
        <v>193</v>
      </c>
      <c r="CC69" s="211" t="s">
        <v>193</v>
      </c>
      <c r="CD69" s="211" t="s">
        <v>193</v>
      </c>
      <c r="CE69" s="211"/>
      <c r="CF69" s="211" t="s">
        <v>193</v>
      </c>
      <c r="CG69" s="211" t="s">
        <v>193</v>
      </c>
      <c r="CH69" s="211" t="s">
        <v>193</v>
      </c>
      <c r="CI69" s="211" t="s">
        <v>193</v>
      </c>
      <c r="CJ69" s="163"/>
    </row>
    <row r="70" spans="1:88" ht="23.25" customHeight="1">
      <c r="A70" s="163"/>
      <c r="B70" s="212" t="s">
        <v>538</v>
      </c>
      <c r="C70" s="211" t="s">
        <v>193</v>
      </c>
      <c r="D70" s="211" t="s">
        <v>193</v>
      </c>
      <c r="E70" s="211" t="s">
        <v>193</v>
      </c>
      <c r="F70" s="211" t="s">
        <v>193</v>
      </c>
      <c r="G70" s="211"/>
      <c r="H70" s="211"/>
      <c r="I70" s="211" t="s">
        <v>193</v>
      </c>
      <c r="J70" s="211" t="s">
        <v>193</v>
      </c>
      <c r="K70" s="210"/>
      <c r="L70" s="210" t="s">
        <v>193</v>
      </c>
      <c r="M70" s="211"/>
      <c r="N70" s="211"/>
      <c r="O70" s="211" t="s">
        <v>193</v>
      </c>
      <c r="P70" s="211" t="s">
        <v>193</v>
      </c>
      <c r="Q70" s="211" t="s">
        <v>193</v>
      </c>
      <c r="R70" s="211" t="s">
        <v>193</v>
      </c>
      <c r="S70" s="211" t="s">
        <v>193</v>
      </c>
      <c r="T70" s="211" t="s">
        <v>193</v>
      </c>
      <c r="U70" s="211" t="s">
        <v>193</v>
      </c>
      <c r="V70" s="211" t="s">
        <v>193</v>
      </c>
      <c r="W70" s="211" t="s">
        <v>193</v>
      </c>
      <c r="X70" s="211" t="s">
        <v>193</v>
      </c>
      <c r="Y70" s="211"/>
      <c r="Z70" s="211"/>
      <c r="AA70" s="211" t="s">
        <v>193</v>
      </c>
      <c r="AB70" s="211" t="s">
        <v>193</v>
      </c>
      <c r="AC70" s="211"/>
      <c r="AD70" s="211" t="s">
        <v>193</v>
      </c>
      <c r="AE70" s="211"/>
      <c r="AF70" s="211" t="s">
        <v>193</v>
      </c>
      <c r="AG70" s="211" t="s">
        <v>193</v>
      </c>
      <c r="AH70" s="211"/>
      <c r="AI70" s="211" t="s">
        <v>193</v>
      </c>
      <c r="AJ70" s="211"/>
      <c r="AK70" s="211"/>
      <c r="AL70" s="211" t="s">
        <v>193</v>
      </c>
      <c r="AM70" s="211"/>
      <c r="AN70" s="211" t="s">
        <v>193</v>
      </c>
      <c r="AO70" s="211"/>
      <c r="AP70" s="211"/>
      <c r="AQ70" s="211" t="s">
        <v>193</v>
      </c>
      <c r="AR70" s="211"/>
      <c r="AS70" s="211" t="s">
        <v>193</v>
      </c>
      <c r="AT70" s="211"/>
      <c r="AU70" s="211" t="s">
        <v>193</v>
      </c>
      <c r="AV70" s="211" t="s">
        <v>193</v>
      </c>
      <c r="AW70" s="211"/>
      <c r="AX70" s="211" t="s">
        <v>193</v>
      </c>
      <c r="AY70" s="211" t="s">
        <v>476</v>
      </c>
      <c r="AZ70" s="211" t="s">
        <v>193</v>
      </c>
      <c r="BA70" s="211"/>
      <c r="BB70" s="211"/>
      <c r="BC70" s="211"/>
      <c r="BD70" s="211" t="s">
        <v>193</v>
      </c>
      <c r="BE70" s="211"/>
      <c r="BF70" s="211" t="s">
        <v>193</v>
      </c>
      <c r="BG70" s="211" t="s">
        <v>193</v>
      </c>
      <c r="BH70" s="211" t="s">
        <v>193</v>
      </c>
      <c r="BI70" s="211" t="s">
        <v>193</v>
      </c>
      <c r="BJ70" s="211"/>
      <c r="BK70" s="211" t="s">
        <v>193</v>
      </c>
      <c r="BL70" s="211" t="s">
        <v>193</v>
      </c>
      <c r="BM70" s="211" t="s">
        <v>193</v>
      </c>
      <c r="BN70" s="211" t="s">
        <v>193</v>
      </c>
      <c r="BO70" s="211" t="s">
        <v>193</v>
      </c>
      <c r="BP70" s="211" t="s">
        <v>193</v>
      </c>
      <c r="BQ70" s="211" t="s">
        <v>193</v>
      </c>
      <c r="BR70" s="211" t="s">
        <v>193</v>
      </c>
      <c r="BS70" s="211" t="s">
        <v>193</v>
      </c>
      <c r="BT70" s="211" t="s">
        <v>193</v>
      </c>
      <c r="BU70" s="211" t="s">
        <v>193</v>
      </c>
      <c r="BV70" s="211" t="s">
        <v>193</v>
      </c>
      <c r="BW70" s="211" t="s">
        <v>193</v>
      </c>
      <c r="BX70" s="211" t="s">
        <v>193</v>
      </c>
      <c r="BY70" s="211" t="s">
        <v>193</v>
      </c>
      <c r="BZ70" s="211" t="s">
        <v>193</v>
      </c>
      <c r="CA70" s="211"/>
      <c r="CB70" s="211" t="s">
        <v>193</v>
      </c>
      <c r="CC70" s="211" t="s">
        <v>193</v>
      </c>
      <c r="CD70" s="211" t="s">
        <v>193</v>
      </c>
      <c r="CE70" s="211"/>
      <c r="CF70" s="211" t="s">
        <v>193</v>
      </c>
      <c r="CG70" s="211" t="s">
        <v>193</v>
      </c>
      <c r="CH70" s="211" t="s">
        <v>193</v>
      </c>
      <c r="CI70" s="211" t="s">
        <v>193</v>
      </c>
      <c r="CJ70" s="163"/>
    </row>
    <row r="71" spans="1:88" ht="23.25" customHeight="1">
      <c r="A71" s="163"/>
      <c r="B71" s="212" t="s">
        <v>539</v>
      </c>
      <c r="C71" s="211" t="s">
        <v>193</v>
      </c>
      <c r="D71" s="211"/>
      <c r="E71" s="211" t="s">
        <v>193</v>
      </c>
      <c r="F71" s="211" t="s">
        <v>193</v>
      </c>
      <c r="G71" s="211"/>
      <c r="H71" s="211"/>
      <c r="I71" s="211" t="s">
        <v>193</v>
      </c>
      <c r="J71" s="211" t="s">
        <v>193</v>
      </c>
      <c r="K71" s="210"/>
      <c r="L71" s="210" t="s">
        <v>193</v>
      </c>
      <c r="M71" s="211"/>
      <c r="N71" s="211"/>
      <c r="O71" s="211" t="s">
        <v>193</v>
      </c>
      <c r="P71" s="211" t="s">
        <v>193</v>
      </c>
      <c r="Q71" s="211" t="s">
        <v>193</v>
      </c>
      <c r="R71" s="211" t="s">
        <v>193</v>
      </c>
      <c r="S71" s="211" t="s">
        <v>193</v>
      </c>
      <c r="T71" s="211" t="s">
        <v>193</v>
      </c>
      <c r="U71" s="211" t="s">
        <v>193</v>
      </c>
      <c r="V71" s="211" t="s">
        <v>193</v>
      </c>
      <c r="W71" s="211" t="s">
        <v>193</v>
      </c>
      <c r="X71" s="211" t="s">
        <v>193</v>
      </c>
      <c r="Y71" s="211"/>
      <c r="Z71" s="211"/>
      <c r="AA71" s="211" t="s">
        <v>193</v>
      </c>
      <c r="AB71" s="211" t="s">
        <v>193</v>
      </c>
      <c r="AC71" s="211"/>
      <c r="AD71" s="211" t="s">
        <v>193</v>
      </c>
      <c r="AE71" s="211"/>
      <c r="AF71" s="211" t="s">
        <v>193</v>
      </c>
      <c r="AG71" s="211" t="s">
        <v>193</v>
      </c>
      <c r="AH71" s="211"/>
      <c r="AI71" s="211" t="s">
        <v>193</v>
      </c>
      <c r="AJ71" s="211"/>
      <c r="AK71" s="211"/>
      <c r="AL71" s="211" t="s">
        <v>193</v>
      </c>
      <c r="AM71" s="211"/>
      <c r="AN71" s="211" t="s">
        <v>193</v>
      </c>
      <c r="AO71" s="211"/>
      <c r="AP71" s="211"/>
      <c r="AQ71" s="211"/>
      <c r="AR71" s="211"/>
      <c r="AS71" s="211" t="s">
        <v>193</v>
      </c>
      <c r="AT71" s="211"/>
      <c r="AU71" s="211" t="s">
        <v>193</v>
      </c>
      <c r="AV71" s="211" t="s">
        <v>193</v>
      </c>
      <c r="AW71" s="211"/>
      <c r="AX71" s="211" t="s">
        <v>193</v>
      </c>
      <c r="AY71" s="211" t="s">
        <v>476</v>
      </c>
      <c r="AZ71" s="211" t="s">
        <v>193</v>
      </c>
      <c r="BA71" s="211"/>
      <c r="BB71" s="211"/>
      <c r="BC71" s="211"/>
      <c r="BD71" s="211" t="s">
        <v>193</v>
      </c>
      <c r="BE71" s="211"/>
      <c r="BF71" s="211" t="s">
        <v>193</v>
      </c>
      <c r="BG71" s="211" t="s">
        <v>193</v>
      </c>
      <c r="BH71" s="211" t="s">
        <v>193</v>
      </c>
      <c r="BI71" s="211"/>
      <c r="BJ71" s="211"/>
      <c r="BK71" s="211" t="s">
        <v>193</v>
      </c>
      <c r="BL71" s="211" t="s">
        <v>193</v>
      </c>
      <c r="BM71" s="211"/>
      <c r="BN71" s="211" t="s">
        <v>193</v>
      </c>
      <c r="BO71" s="211" t="s">
        <v>193</v>
      </c>
      <c r="BP71" s="211" t="s">
        <v>193</v>
      </c>
      <c r="BQ71" s="211" t="s">
        <v>193</v>
      </c>
      <c r="BR71" s="211" t="s">
        <v>193</v>
      </c>
      <c r="BS71" s="211" t="s">
        <v>193</v>
      </c>
      <c r="BT71" s="211" t="s">
        <v>193</v>
      </c>
      <c r="BU71" s="211" t="s">
        <v>193</v>
      </c>
      <c r="BV71" s="211" t="s">
        <v>193</v>
      </c>
      <c r="BW71" s="211" t="s">
        <v>193</v>
      </c>
      <c r="BX71" s="211" t="s">
        <v>193</v>
      </c>
      <c r="BY71" s="211" t="s">
        <v>193</v>
      </c>
      <c r="BZ71" s="211" t="s">
        <v>193</v>
      </c>
      <c r="CA71" s="211"/>
      <c r="CB71" s="211" t="s">
        <v>193</v>
      </c>
      <c r="CC71" s="211" t="s">
        <v>193</v>
      </c>
      <c r="CD71" s="211" t="s">
        <v>193</v>
      </c>
      <c r="CE71" s="211"/>
      <c r="CF71" s="211" t="s">
        <v>193</v>
      </c>
      <c r="CG71" s="211" t="s">
        <v>193</v>
      </c>
      <c r="CH71" s="211" t="s">
        <v>193</v>
      </c>
      <c r="CI71" s="211" t="s">
        <v>193</v>
      </c>
      <c r="CJ71" s="163"/>
    </row>
    <row r="72" spans="1:88" ht="23.25" customHeight="1">
      <c r="A72" s="163"/>
      <c r="B72" s="212" t="s">
        <v>540</v>
      </c>
      <c r="C72" s="211" t="s">
        <v>193</v>
      </c>
      <c r="D72" s="211" t="s">
        <v>193</v>
      </c>
      <c r="E72" s="211" t="s">
        <v>193</v>
      </c>
      <c r="F72" s="211" t="s">
        <v>193</v>
      </c>
      <c r="G72" s="211"/>
      <c r="H72" s="211"/>
      <c r="I72" s="211" t="s">
        <v>193</v>
      </c>
      <c r="J72" s="211" t="s">
        <v>193</v>
      </c>
      <c r="K72" s="210"/>
      <c r="L72" s="210" t="s">
        <v>193</v>
      </c>
      <c r="M72" s="211"/>
      <c r="N72" s="211"/>
      <c r="O72" s="211" t="s">
        <v>193</v>
      </c>
      <c r="P72" s="211" t="s">
        <v>193</v>
      </c>
      <c r="Q72" s="211" t="s">
        <v>193</v>
      </c>
      <c r="R72" s="211" t="s">
        <v>193</v>
      </c>
      <c r="S72" s="211" t="s">
        <v>193</v>
      </c>
      <c r="T72" s="211" t="s">
        <v>193</v>
      </c>
      <c r="U72" s="211" t="s">
        <v>193</v>
      </c>
      <c r="V72" s="211" t="s">
        <v>193</v>
      </c>
      <c r="W72" s="211" t="s">
        <v>193</v>
      </c>
      <c r="X72" s="211" t="s">
        <v>193</v>
      </c>
      <c r="Y72" s="211"/>
      <c r="Z72" s="211"/>
      <c r="AA72" s="211" t="s">
        <v>193</v>
      </c>
      <c r="AB72" s="211" t="s">
        <v>193</v>
      </c>
      <c r="AC72" s="211"/>
      <c r="AD72" s="211" t="s">
        <v>193</v>
      </c>
      <c r="AE72" s="211"/>
      <c r="AF72" s="211" t="s">
        <v>193</v>
      </c>
      <c r="AG72" s="211" t="s">
        <v>193</v>
      </c>
      <c r="AH72" s="211"/>
      <c r="AI72" s="211" t="s">
        <v>193</v>
      </c>
      <c r="AJ72" s="211"/>
      <c r="AK72" s="211"/>
      <c r="AL72" s="211" t="s">
        <v>193</v>
      </c>
      <c r="AM72" s="211"/>
      <c r="AN72" s="211" t="s">
        <v>193</v>
      </c>
      <c r="AO72" s="211"/>
      <c r="AP72" s="211"/>
      <c r="AQ72" s="211"/>
      <c r="AR72" s="211"/>
      <c r="AS72" s="211" t="s">
        <v>193</v>
      </c>
      <c r="AT72" s="211"/>
      <c r="AU72" s="211" t="s">
        <v>193</v>
      </c>
      <c r="AV72" s="211" t="s">
        <v>193</v>
      </c>
      <c r="AW72" s="211"/>
      <c r="AX72" s="211" t="s">
        <v>193</v>
      </c>
      <c r="AY72" s="211" t="s">
        <v>476</v>
      </c>
      <c r="AZ72" s="211" t="s">
        <v>193</v>
      </c>
      <c r="BA72" s="211"/>
      <c r="BB72" s="211"/>
      <c r="BC72" s="211"/>
      <c r="BD72" s="211" t="s">
        <v>193</v>
      </c>
      <c r="BE72" s="211"/>
      <c r="BF72" s="211" t="s">
        <v>193</v>
      </c>
      <c r="BG72" s="211" t="s">
        <v>193</v>
      </c>
      <c r="BH72" s="211" t="s">
        <v>193</v>
      </c>
      <c r="BI72" s="211"/>
      <c r="BJ72" s="211"/>
      <c r="BK72" s="211" t="s">
        <v>193</v>
      </c>
      <c r="BL72" s="211" t="s">
        <v>193</v>
      </c>
      <c r="BM72" s="211"/>
      <c r="BN72" s="211" t="s">
        <v>193</v>
      </c>
      <c r="BO72" s="211" t="s">
        <v>193</v>
      </c>
      <c r="BP72" s="211" t="s">
        <v>193</v>
      </c>
      <c r="BQ72" s="211" t="s">
        <v>193</v>
      </c>
      <c r="BR72" s="211" t="s">
        <v>193</v>
      </c>
      <c r="BS72" s="211" t="s">
        <v>193</v>
      </c>
      <c r="BT72" s="211" t="s">
        <v>193</v>
      </c>
      <c r="BU72" s="211" t="s">
        <v>193</v>
      </c>
      <c r="BV72" s="211" t="s">
        <v>193</v>
      </c>
      <c r="BW72" s="211" t="s">
        <v>193</v>
      </c>
      <c r="BX72" s="211" t="s">
        <v>193</v>
      </c>
      <c r="BY72" s="211" t="s">
        <v>193</v>
      </c>
      <c r="BZ72" s="211" t="s">
        <v>193</v>
      </c>
      <c r="CA72" s="211"/>
      <c r="CB72" s="211" t="s">
        <v>193</v>
      </c>
      <c r="CC72" s="211" t="s">
        <v>193</v>
      </c>
      <c r="CD72" s="211" t="s">
        <v>193</v>
      </c>
      <c r="CE72" s="211"/>
      <c r="CF72" s="211" t="s">
        <v>193</v>
      </c>
      <c r="CG72" s="211" t="s">
        <v>193</v>
      </c>
      <c r="CH72" s="211" t="s">
        <v>193</v>
      </c>
      <c r="CI72" s="211" t="s">
        <v>193</v>
      </c>
      <c r="CJ72" s="163"/>
    </row>
    <row r="73" spans="1:88" ht="23.25" customHeight="1">
      <c r="A73" s="163"/>
      <c r="B73" s="212" t="s">
        <v>541</v>
      </c>
      <c r="C73" s="211" t="s">
        <v>193</v>
      </c>
      <c r="D73" s="211" t="s">
        <v>193</v>
      </c>
      <c r="E73" s="211" t="s">
        <v>193</v>
      </c>
      <c r="F73" s="211" t="s">
        <v>193</v>
      </c>
      <c r="G73" s="211"/>
      <c r="H73" s="211"/>
      <c r="I73" s="211" t="s">
        <v>193</v>
      </c>
      <c r="J73" s="211" t="s">
        <v>193</v>
      </c>
      <c r="K73" s="210"/>
      <c r="L73" s="210" t="s">
        <v>193</v>
      </c>
      <c r="M73" s="211"/>
      <c r="N73" s="211"/>
      <c r="O73" s="211" t="s">
        <v>193</v>
      </c>
      <c r="P73" s="211" t="s">
        <v>193</v>
      </c>
      <c r="Q73" s="211" t="s">
        <v>193</v>
      </c>
      <c r="R73" s="211" t="s">
        <v>193</v>
      </c>
      <c r="S73" s="211" t="s">
        <v>193</v>
      </c>
      <c r="T73" s="211" t="s">
        <v>193</v>
      </c>
      <c r="U73" s="211" t="s">
        <v>193</v>
      </c>
      <c r="V73" s="211" t="s">
        <v>193</v>
      </c>
      <c r="W73" s="211" t="s">
        <v>193</v>
      </c>
      <c r="X73" s="211" t="s">
        <v>193</v>
      </c>
      <c r="Y73" s="211"/>
      <c r="Z73" s="211"/>
      <c r="AA73" s="211" t="s">
        <v>193</v>
      </c>
      <c r="AB73" s="211" t="s">
        <v>193</v>
      </c>
      <c r="AC73" s="211"/>
      <c r="AD73" s="211" t="s">
        <v>193</v>
      </c>
      <c r="AE73" s="211"/>
      <c r="AF73" s="211" t="s">
        <v>193</v>
      </c>
      <c r="AG73" s="211" t="s">
        <v>193</v>
      </c>
      <c r="AH73" s="211"/>
      <c r="AI73" s="211" t="s">
        <v>193</v>
      </c>
      <c r="AJ73" s="211"/>
      <c r="AK73" s="211"/>
      <c r="AL73" s="211" t="s">
        <v>193</v>
      </c>
      <c r="AM73" s="211"/>
      <c r="AN73" s="211"/>
      <c r="AO73" s="211"/>
      <c r="AP73" s="211"/>
      <c r="AQ73" s="211" t="s">
        <v>193</v>
      </c>
      <c r="AR73" s="211"/>
      <c r="AS73" s="211" t="s">
        <v>193</v>
      </c>
      <c r="AT73" s="211"/>
      <c r="AU73" s="211" t="s">
        <v>193</v>
      </c>
      <c r="AV73" s="211" t="s">
        <v>193</v>
      </c>
      <c r="AW73" s="211"/>
      <c r="AX73" s="211" t="s">
        <v>193</v>
      </c>
      <c r="AY73" s="211" t="s">
        <v>476</v>
      </c>
      <c r="AZ73" s="211" t="s">
        <v>193</v>
      </c>
      <c r="BA73" s="211"/>
      <c r="BB73" s="211"/>
      <c r="BC73" s="211"/>
      <c r="BD73" s="211" t="s">
        <v>193</v>
      </c>
      <c r="BE73" s="211"/>
      <c r="BF73" s="211" t="s">
        <v>193</v>
      </c>
      <c r="BG73" s="211" t="s">
        <v>193</v>
      </c>
      <c r="BH73" s="211" t="s">
        <v>193</v>
      </c>
      <c r="BI73" s="211" t="s">
        <v>193</v>
      </c>
      <c r="BJ73" s="211"/>
      <c r="BK73" s="211" t="s">
        <v>193</v>
      </c>
      <c r="BL73" s="211" t="s">
        <v>193</v>
      </c>
      <c r="BM73" s="211" t="s">
        <v>193</v>
      </c>
      <c r="BN73" s="211" t="s">
        <v>193</v>
      </c>
      <c r="BO73" s="211" t="s">
        <v>193</v>
      </c>
      <c r="BP73" s="211" t="s">
        <v>193</v>
      </c>
      <c r="BQ73" s="211" t="s">
        <v>193</v>
      </c>
      <c r="BR73" s="211" t="s">
        <v>193</v>
      </c>
      <c r="BS73" s="211" t="s">
        <v>193</v>
      </c>
      <c r="BT73" s="211" t="s">
        <v>193</v>
      </c>
      <c r="BU73" s="211" t="s">
        <v>193</v>
      </c>
      <c r="BV73" s="211" t="s">
        <v>193</v>
      </c>
      <c r="BW73" s="211" t="s">
        <v>193</v>
      </c>
      <c r="BX73" s="211" t="s">
        <v>193</v>
      </c>
      <c r="BY73" s="211" t="s">
        <v>193</v>
      </c>
      <c r="BZ73" s="211" t="s">
        <v>193</v>
      </c>
      <c r="CA73" s="211"/>
      <c r="CB73" s="211" t="s">
        <v>193</v>
      </c>
      <c r="CC73" s="211" t="s">
        <v>193</v>
      </c>
      <c r="CD73" s="211" t="s">
        <v>193</v>
      </c>
      <c r="CE73" s="211"/>
      <c r="CF73" s="211" t="s">
        <v>193</v>
      </c>
      <c r="CG73" s="211" t="s">
        <v>193</v>
      </c>
      <c r="CH73" s="211" t="s">
        <v>193</v>
      </c>
      <c r="CI73" s="211" t="s">
        <v>193</v>
      </c>
      <c r="CJ73" s="163"/>
    </row>
    <row r="74" spans="1:88" ht="23.25" customHeight="1">
      <c r="A74" s="163"/>
      <c r="B74" s="212" t="s">
        <v>542</v>
      </c>
      <c r="C74" s="211" t="s">
        <v>193</v>
      </c>
      <c r="D74" s="211" t="s">
        <v>193</v>
      </c>
      <c r="E74" s="211" t="s">
        <v>193</v>
      </c>
      <c r="F74" s="211" t="s">
        <v>193</v>
      </c>
      <c r="G74" s="211"/>
      <c r="H74" s="211"/>
      <c r="I74" s="211" t="s">
        <v>193</v>
      </c>
      <c r="J74" s="211" t="s">
        <v>193</v>
      </c>
      <c r="K74" s="210"/>
      <c r="L74" s="210" t="s">
        <v>193</v>
      </c>
      <c r="M74" s="211"/>
      <c r="N74" s="211"/>
      <c r="O74" s="211" t="s">
        <v>193</v>
      </c>
      <c r="P74" s="211" t="s">
        <v>193</v>
      </c>
      <c r="Q74" s="211" t="s">
        <v>193</v>
      </c>
      <c r="R74" s="211" t="s">
        <v>193</v>
      </c>
      <c r="S74" s="211" t="s">
        <v>193</v>
      </c>
      <c r="T74" s="211" t="s">
        <v>193</v>
      </c>
      <c r="U74" s="211" t="s">
        <v>193</v>
      </c>
      <c r="V74" s="211" t="s">
        <v>193</v>
      </c>
      <c r="W74" s="211" t="s">
        <v>193</v>
      </c>
      <c r="X74" s="211" t="s">
        <v>193</v>
      </c>
      <c r="Y74" s="211"/>
      <c r="Z74" s="211"/>
      <c r="AA74" s="211" t="s">
        <v>193</v>
      </c>
      <c r="AB74" s="211" t="s">
        <v>193</v>
      </c>
      <c r="AC74" s="211"/>
      <c r="AD74" s="211" t="s">
        <v>193</v>
      </c>
      <c r="AE74" s="211"/>
      <c r="AF74" s="211" t="s">
        <v>193</v>
      </c>
      <c r="AG74" s="211" t="s">
        <v>193</v>
      </c>
      <c r="AH74" s="211"/>
      <c r="AI74" s="211" t="s">
        <v>193</v>
      </c>
      <c r="AJ74" s="211"/>
      <c r="AK74" s="211"/>
      <c r="AL74" s="211" t="s">
        <v>193</v>
      </c>
      <c r="AM74" s="211"/>
      <c r="AN74" s="211" t="s">
        <v>193</v>
      </c>
      <c r="AO74" s="211"/>
      <c r="AP74" s="211"/>
      <c r="AQ74" s="211"/>
      <c r="AR74" s="211"/>
      <c r="AS74" s="211" t="s">
        <v>193</v>
      </c>
      <c r="AT74" s="211"/>
      <c r="AU74" s="211" t="s">
        <v>193</v>
      </c>
      <c r="AV74" s="211" t="s">
        <v>193</v>
      </c>
      <c r="AW74" s="211"/>
      <c r="AX74" s="211" t="s">
        <v>193</v>
      </c>
      <c r="AY74" s="211" t="s">
        <v>476</v>
      </c>
      <c r="AZ74" s="211" t="s">
        <v>193</v>
      </c>
      <c r="BA74" s="211"/>
      <c r="BB74" s="211"/>
      <c r="BC74" s="211"/>
      <c r="BD74" s="211" t="s">
        <v>193</v>
      </c>
      <c r="BE74" s="211"/>
      <c r="BF74" s="211" t="s">
        <v>193</v>
      </c>
      <c r="BG74" s="211" t="s">
        <v>193</v>
      </c>
      <c r="BH74" s="211" t="s">
        <v>193</v>
      </c>
      <c r="BI74" s="211"/>
      <c r="BJ74" s="211"/>
      <c r="BK74" s="211" t="s">
        <v>193</v>
      </c>
      <c r="BL74" s="211" t="s">
        <v>193</v>
      </c>
      <c r="BM74" s="211"/>
      <c r="BN74" s="211" t="s">
        <v>193</v>
      </c>
      <c r="BO74" s="211" t="s">
        <v>193</v>
      </c>
      <c r="BP74" s="211" t="s">
        <v>193</v>
      </c>
      <c r="BQ74" s="211" t="s">
        <v>193</v>
      </c>
      <c r="BR74" s="211" t="s">
        <v>193</v>
      </c>
      <c r="BS74" s="211" t="s">
        <v>193</v>
      </c>
      <c r="BT74" s="211" t="s">
        <v>193</v>
      </c>
      <c r="BU74" s="211" t="s">
        <v>193</v>
      </c>
      <c r="BV74" s="211" t="s">
        <v>193</v>
      </c>
      <c r="BW74" s="211" t="s">
        <v>193</v>
      </c>
      <c r="BX74" s="211" t="s">
        <v>193</v>
      </c>
      <c r="BY74" s="211" t="s">
        <v>193</v>
      </c>
      <c r="BZ74" s="211" t="s">
        <v>193</v>
      </c>
      <c r="CA74" s="211"/>
      <c r="CB74" s="211" t="s">
        <v>193</v>
      </c>
      <c r="CC74" s="211" t="s">
        <v>193</v>
      </c>
      <c r="CD74" s="211" t="s">
        <v>193</v>
      </c>
      <c r="CE74" s="211"/>
      <c r="CF74" s="211" t="s">
        <v>193</v>
      </c>
      <c r="CG74" s="211" t="s">
        <v>193</v>
      </c>
      <c r="CH74" s="211" t="s">
        <v>193</v>
      </c>
      <c r="CI74" s="211" t="s">
        <v>193</v>
      </c>
      <c r="CJ74" s="163"/>
    </row>
    <row r="75" spans="1:88" ht="23.25" customHeight="1">
      <c r="A75" s="163"/>
      <c r="B75" s="212" t="s">
        <v>543</v>
      </c>
      <c r="C75" s="211" t="s">
        <v>193</v>
      </c>
      <c r="D75" s="211"/>
      <c r="E75" s="211" t="s">
        <v>193</v>
      </c>
      <c r="F75" s="211" t="s">
        <v>193</v>
      </c>
      <c r="G75" s="211"/>
      <c r="H75" s="211"/>
      <c r="I75" s="211" t="s">
        <v>193</v>
      </c>
      <c r="J75" s="211" t="s">
        <v>193</v>
      </c>
      <c r="K75" s="210"/>
      <c r="L75" s="210" t="s">
        <v>193</v>
      </c>
      <c r="M75" s="211"/>
      <c r="N75" s="211"/>
      <c r="O75" s="211" t="s">
        <v>193</v>
      </c>
      <c r="P75" s="211" t="s">
        <v>193</v>
      </c>
      <c r="Q75" s="211" t="s">
        <v>193</v>
      </c>
      <c r="R75" s="211" t="s">
        <v>193</v>
      </c>
      <c r="S75" s="211" t="s">
        <v>193</v>
      </c>
      <c r="T75" s="211" t="s">
        <v>193</v>
      </c>
      <c r="U75" s="211" t="s">
        <v>193</v>
      </c>
      <c r="V75" s="211" t="s">
        <v>193</v>
      </c>
      <c r="W75" s="211" t="s">
        <v>193</v>
      </c>
      <c r="X75" s="211" t="s">
        <v>193</v>
      </c>
      <c r="Y75" s="211"/>
      <c r="Z75" s="211"/>
      <c r="AA75" s="211" t="s">
        <v>193</v>
      </c>
      <c r="AB75" s="211" t="s">
        <v>193</v>
      </c>
      <c r="AC75" s="211"/>
      <c r="AD75" s="211" t="s">
        <v>193</v>
      </c>
      <c r="AE75" s="211"/>
      <c r="AF75" s="211" t="s">
        <v>193</v>
      </c>
      <c r="AG75" s="211" t="s">
        <v>193</v>
      </c>
      <c r="AH75" s="211"/>
      <c r="AI75" s="211" t="s">
        <v>193</v>
      </c>
      <c r="AJ75" s="211"/>
      <c r="AK75" s="211"/>
      <c r="AL75" s="211" t="s">
        <v>193</v>
      </c>
      <c r="AM75" s="211"/>
      <c r="AN75" s="211" t="s">
        <v>193</v>
      </c>
      <c r="AO75" s="211"/>
      <c r="AP75" s="211"/>
      <c r="AQ75" s="211"/>
      <c r="AR75" s="211"/>
      <c r="AS75" s="211" t="s">
        <v>193</v>
      </c>
      <c r="AT75" s="211"/>
      <c r="AU75" s="211" t="s">
        <v>193</v>
      </c>
      <c r="AV75" s="211" t="s">
        <v>193</v>
      </c>
      <c r="AW75" s="211"/>
      <c r="AX75" s="211" t="s">
        <v>193</v>
      </c>
      <c r="AY75" s="211" t="s">
        <v>476</v>
      </c>
      <c r="AZ75" s="211" t="s">
        <v>193</v>
      </c>
      <c r="BA75" s="211"/>
      <c r="BB75" s="211"/>
      <c r="BC75" s="211"/>
      <c r="BD75" s="211" t="s">
        <v>193</v>
      </c>
      <c r="BE75" s="211"/>
      <c r="BF75" s="211" t="s">
        <v>193</v>
      </c>
      <c r="BG75" s="211" t="s">
        <v>193</v>
      </c>
      <c r="BH75" s="211" t="s">
        <v>193</v>
      </c>
      <c r="BI75" s="211" t="s">
        <v>193</v>
      </c>
      <c r="BJ75" s="211" t="s">
        <v>193</v>
      </c>
      <c r="BK75" s="211" t="s">
        <v>193</v>
      </c>
      <c r="BL75" s="211" t="s">
        <v>193</v>
      </c>
      <c r="BM75" s="211" t="s">
        <v>193</v>
      </c>
      <c r="BN75" s="211" t="s">
        <v>193</v>
      </c>
      <c r="BO75" s="211" t="s">
        <v>193</v>
      </c>
      <c r="BP75" s="211" t="s">
        <v>193</v>
      </c>
      <c r="BQ75" s="211" t="s">
        <v>193</v>
      </c>
      <c r="BR75" s="211" t="s">
        <v>193</v>
      </c>
      <c r="BS75" s="211" t="s">
        <v>193</v>
      </c>
      <c r="BT75" s="211" t="s">
        <v>193</v>
      </c>
      <c r="BU75" s="211" t="s">
        <v>193</v>
      </c>
      <c r="BV75" s="211" t="s">
        <v>193</v>
      </c>
      <c r="BW75" s="211" t="s">
        <v>193</v>
      </c>
      <c r="BX75" s="211" t="s">
        <v>193</v>
      </c>
      <c r="BY75" s="211" t="s">
        <v>193</v>
      </c>
      <c r="BZ75" s="211" t="s">
        <v>193</v>
      </c>
      <c r="CA75" s="211"/>
      <c r="CB75" s="211" t="s">
        <v>193</v>
      </c>
      <c r="CC75" s="211" t="s">
        <v>193</v>
      </c>
      <c r="CD75" s="211" t="s">
        <v>193</v>
      </c>
      <c r="CE75" s="211"/>
      <c r="CF75" s="211" t="s">
        <v>193</v>
      </c>
      <c r="CG75" s="211" t="s">
        <v>193</v>
      </c>
      <c r="CH75" s="211" t="s">
        <v>193</v>
      </c>
      <c r="CI75" s="211" t="s">
        <v>193</v>
      </c>
      <c r="CJ75" s="163"/>
    </row>
    <row r="76" spans="1:88" ht="23.25" customHeight="1">
      <c r="A76" s="163"/>
      <c r="B76" s="212" t="s">
        <v>544</v>
      </c>
      <c r="C76" s="211" t="s">
        <v>193</v>
      </c>
      <c r="D76" s="211" t="s">
        <v>193</v>
      </c>
      <c r="E76" s="211" t="s">
        <v>193</v>
      </c>
      <c r="F76" s="211" t="s">
        <v>193</v>
      </c>
      <c r="G76" s="211"/>
      <c r="H76" s="211"/>
      <c r="I76" s="211" t="s">
        <v>193</v>
      </c>
      <c r="J76" s="211" t="s">
        <v>193</v>
      </c>
      <c r="K76" s="210"/>
      <c r="L76" s="210" t="s">
        <v>193</v>
      </c>
      <c r="M76" s="211"/>
      <c r="N76" s="211"/>
      <c r="O76" s="211" t="s">
        <v>193</v>
      </c>
      <c r="P76" s="211" t="s">
        <v>193</v>
      </c>
      <c r="Q76" s="211" t="s">
        <v>193</v>
      </c>
      <c r="R76" s="211" t="s">
        <v>193</v>
      </c>
      <c r="S76" s="211" t="s">
        <v>193</v>
      </c>
      <c r="T76" s="211" t="s">
        <v>193</v>
      </c>
      <c r="U76" s="211" t="s">
        <v>193</v>
      </c>
      <c r="V76" s="211" t="s">
        <v>193</v>
      </c>
      <c r="W76" s="211" t="s">
        <v>193</v>
      </c>
      <c r="X76" s="211" t="s">
        <v>193</v>
      </c>
      <c r="Y76" s="211"/>
      <c r="Z76" s="211"/>
      <c r="AA76" s="211" t="s">
        <v>193</v>
      </c>
      <c r="AB76" s="211" t="s">
        <v>193</v>
      </c>
      <c r="AC76" s="211"/>
      <c r="AD76" s="211" t="s">
        <v>193</v>
      </c>
      <c r="AE76" s="211"/>
      <c r="AF76" s="211" t="s">
        <v>193</v>
      </c>
      <c r="AG76" s="211" t="s">
        <v>193</v>
      </c>
      <c r="AH76" s="211"/>
      <c r="AI76" s="211" t="s">
        <v>193</v>
      </c>
      <c r="AJ76" s="211"/>
      <c r="AK76" s="211"/>
      <c r="AL76" s="211" t="s">
        <v>193</v>
      </c>
      <c r="AM76" s="211"/>
      <c r="AN76" s="211"/>
      <c r="AO76" s="211"/>
      <c r="AP76" s="211"/>
      <c r="AQ76" s="211" t="s">
        <v>193</v>
      </c>
      <c r="AR76" s="211"/>
      <c r="AS76" s="211" t="s">
        <v>193</v>
      </c>
      <c r="AT76" s="211"/>
      <c r="AU76" s="211" t="s">
        <v>193</v>
      </c>
      <c r="AV76" s="211" t="s">
        <v>193</v>
      </c>
      <c r="AW76" s="211"/>
      <c r="AX76" s="211" t="s">
        <v>193</v>
      </c>
      <c r="AY76" s="211" t="s">
        <v>476</v>
      </c>
      <c r="AZ76" s="211" t="s">
        <v>193</v>
      </c>
      <c r="BA76" s="211"/>
      <c r="BB76" s="211"/>
      <c r="BC76" s="211"/>
      <c r="BD76" s="211" t="s">
        <v>193</v>
      </c>
      <c r="BE76" s="211"/>
      <c r="BF76" s="211" t="s">
        <v>193</v>
      </c>
      <c r="BG76" s="211" t="s">
        <v>193</v>
      </c>
      <c r="BH76" s="211" t="s">
        <v>193</v>
      </c>
      <c r="BI76" s="211" t="s">
        <v>193</v>
      </c>
      <c r="BJ76" s="211"/>
      <c r="BK76" s="211" t="s">
        <v>193</v>
      </c>
      <c r="BL76" s="211" t="s">
        <v>193</v>
      </c>
      <c r="BM76" s="211"/>
      <c r="BN76" s="211" t="s">
        <v>193</v>
      </c>
      <c r="BO76" s="211" t="s">
        <v>193</v>
      </c>
      <c r="BP76" s="211" t="s">
        <v>193</v>
      </c>
      <c r="BQ76" s="211" t="s">
        <v>193</v>
      </c>
      <c r="BR76" s="211" t="s">
        <v>193</v>
      </c>
      <c r="BS76" s="211" t="s">
        <v>193</v>
      </c>
      <c r="BT76" s="211" t="s">
        <v>193</v>
      </c>
      <c r="BU76" s="211" t="s">
        <v>193</v>
      </c>
      <c r="BV76" s="211" t="s">
        <v>193</v>
      </c>
      <c r="BW76" s="211" t="s">
        <v>193</v>
      </c>
      <c r="BX76" s="211" t="s">
        <v>193</v>
      </c>
      <c r="BY76" s="211" t="s">
        <v>193</v>
      </c>
      <c r="BZ76" s="211" t="s">
        <v>193</v>
      </c>
      <c r="CA76" s="211"/>
      <c r="CB76" s="211" t="s">
        <v>193</v>
      </c>
      <c r="CC76" s="211" t="s">
        <v>193</v>
      </c>
      <c r="CD76" s="211" t="s">
        <v>193</v>
      </c>
      <c r="CE76" s="211"/>
      <c r="CF76" s="211" t="s">
        <v>193</v>
      </c>
      <c r="CG76" s="211" t="s">
        <v>193</v>
      </c>
      <c r="CH76" s="211" t="s">
        <v>193</v>
      </c>
      <c r="CI76" s="211" t="s">
        <v>193</v>
      </c>
      <c r="CJ76" s="163"/>
    </row>
    <row r="77" spans="1:88" ht="23.25" customHeight="1">
      <c r="A77" s="163"/>
      <c r="B77" s="212" t="s">
        <v>545</v>
      </c>
      <c r="C77" s="211" t="s">
        <v>193</v>
      </c>
      <c r="D77" s="211"/>
      <c r="E77" s="211" t="s">
        <v>193</v>
      </c>
      <c r="F77" s="211" t="s">
        <v>193</v>
      </c>
      <c r="G77" s="211"/>
      <c r="H77" s="211"/>
      <c r="I77" s="211" t="s">
        <v>193</v>
      </c>
      <c r="J77" s="211" t="s">
        <v>193</v>
      </c>
      <c r="K77" s="210"/>
      <c r="L77" s="210"/>
      <c r="M77" s="211"/>
      <c r="N77" s="211"/>
      <c r="O77" s="211" t="s">
        <v>193</v>
      </c>
      <c r="P77" s="211" t="s">
        <v>193</v>
      </c>
      <c r="Q77" s="211" t="s">
        <v>193</v>
      </c>
      <c r="R77" s="211" t="s">
        <v>193</v>
      </c>
      <c r="S77" s="211" t="s">
        <v>193</v>
      </c>
      <c r="T77" s="211" t="s">
        <v>193</v>
      </c>
      <c r="U77" s="211" t="s">
        <v>193</v>
      </c>
      <c r="V77" s="211" t="s">
        <v>193</v>
      </c>
      <c r="W77" s="211" t="s">
        <v>193</v>
      </c>
      <c r="X77" s="211" t="s">
        <v>193</v>
      </c>
      <c r="Y77" s="211"/>
      <c r="Z77" s="211"/>
      <c r="AA77" s="211" t="s">
        <v>193</v>
      </c>
      <c r="AB77" s="211" t="s">
        <v>193</v>
      </c>
      <c r="AC77" s="211"/>
      <c r="AD77" s="211" t="s">
        <v>193</v>
      </c>
      <c r="AE77" s="211"/>
      <c r="AF77" s="211" t="s">
        <v>193</v>
      </c>
      <c r="AG77" s="211" t="s">
        <v>193</v>
      </c>
      <c r="AH77" s="211"/>
      <c r="AI77" s="211" t="s">
        <v>193</v>
      </c>
      <c r="AJ77" s="211"/>
      <c r="AK77" s="211"/>
      <c r="AL77" s="211" t="s">
        <v>193</v>
      </c>
      <c r="AM77" s="211"/>
      <c r="AN77" s="211"/>
      <c r="AO77" s="211"/>
      <c r="AP77" s="211"/>
      <c r="AQ77" s="211"/>
      <c r="AR77" s="211"/>
      <c r="AS77" s="211" t="s">
        <v>193</v>
      </c>
      <c r="AT77" s="211"/>
      <c r="AU77" s="211" t="s">
        <v>193</v>
      </c>
      <c r="AV77" s="211" t="s">
        <v>193</v>
      </c>
      <c r="AW77" s="211"/>
      <c r="AX77" s="211" t="s">
        <v>193</v>
      </c>
      <c r="AY77" s="211" t="s">
        <v>476</v>
      </c>
      <c r="AZ77" s="211" t="s">
        <v>193</v>
      </c>
      <c r="BA77" s="211"/>
      <c r="BB77" s="211"/>
      <c r="BC77" s="211"/>
      <c r="BD77" s="211" t="s">
        <v>193</v>
      </c>
      <c r="BE77" s="211"/>
      <c r="BF77" s="211" t="s">
        <v>193</v>
      </c>
      <c r="BG77" s="211" t="s">
        <v>193</v>
      </c>
      <c r="BH77" s="211" t="s">
        <v>193</v>
      </c>
      <c r="BI77" s="211"/>
      <c r="BJ77" s="211"/>
      <c r="BK77" s="211" t="s">
        <v>193</v>
      </c>
      <c r="BL77" s="211" t="s">
        <v>193</v>
      </c>
      <c r="BM77" s="211"/>
      <c r="BN77" s="211" t="s">
        <v>193</v>
      </c>
      <c r="BO77" s="211" t="s">
        <v>193</v>
      </c>
      <c r="BP77" s="211" t="s">
        <v>193</v>
      </c>
      <c r="BQ77" s="211" t="s">
        <v>193</v>
      </c>
      <c r="BR77" s="211" t="s">
        <v>193</v>
      </c>
      <c r="BS77" s="211" t="s">
        <v>193</v>
      </c>
      <c r="BT77" s="211" t="s">
        <v>193</v>
      </c>
      <c r="BU77" s="211" t="s">
        <v>193</v>
      </c>
      <c r="BV77" s="211" t="s">
        <v>193</v>
      </c>
      <c r="BW77" s="211" t="s">
        <v>193</v>
      </c>
      <c r="BX77" s="211" t="s">
        <v>193</v>
      </c>
      <c r="BY77" s="211" t="s">
        <v>193</v>
      </c>
      <c r="BZ77" s="211" t="s">
        <v>193</v>
      </c>
      <c r="CA77" s="211"/>
      <c r="CB77" s="211" t="s">
        <v>193</v>
      </c>
      <c r="CC77" s="211" t="s">
        <v>193</v>
      </c>
      <c r="CD77" s="211" t="s">
        <v>193</v>
      </c>
      <c r="CE77" s="211"/>
      <c r="CF77" s="211" t="s">
        <v>193</v>
      </c>
      <c r="CG77" s="211" t="s">
        <v>193</v>
      </c>
      <c r="CH77" s="211" t="s">
        <v>193</v>
      </c>
      <c r="CI77" s="211" t="s">
        <v>193</v>
      </c>
      <c r="CJ77" s="163"/>
    </row>
    <row r="78" spans="1:88" ht="23.25" customHeight="1">
      <c r="A78" s="163"/>
      <c r="B78" s="212" t="s">
        <v>546</v>
      </c>
      <c r="C78" s="211" t="s">
        <v>193</v>
      </c>
      <c r="D78" s="211" t="s">
        <v>193</v>
      </c>
      <c r="E78" s="211" t="s">
        <v>193</v>
      </c>
      <c r="F78" s="211" t="s">
        <v>193</v>
      </c>
      <c r="G78" s="211"/>
      <c r="H78" s="211"/>
      <c r="I78" s="211" t="s">
        <v>193</v>
      </c>
      <c r="J78" s="211" t="s">
        <v>193</v>
      </c>
      <c r="K78" s="210" t="s">
        <v>193</v>
      </c>
      <c r="L78" s="210" t="s">
        <v>193</v>
      </c>
      <c r="M78" s="211" t="s">
        <v>193</v>
      </c>
      <c r="N78" s="211"/>
      <c r="O78" s="211" t="s">
        <v>193</v>
      </c>
      <c r="P78" s="211" t="s">
        <v>193</v>
      </c>
      <c r="Q78" s="211" t="s">
        <v>193</v>
      </c>
      <c r="R78" s="211" t="s">
        <v>193</v>
      </c>
      <c r="S78" s="211" t="s">
        <v>193</v>
      </c>
      <c r="T78" s="211" t="s">
        <v>193</v>
      </c>
      <c r="U78" s="211" t="s">
        <v>193</v>
      </c>
      <c r="V78" s="211" t="s">
        <v>193</v>
      </c>
      <c r="W78" s="211" t="s">
        <v>193</v>
      </c>
      <c r="X78" s="211" t="s">
        <v>193</v>
      </c>
      <c r="Y78" s="211"/>
      <c r="Z78" s="211"/>
      <c r="AA78" s="211" t="s">
        <v>193</v>
      </c>
      <c r="AB78" s="211" t="s">
        <v>193</v>
      </c>
      <c r="AC78" s="211"/>
      <c r="AD78" s="211" t="s">
        <v>193</v>
      </c>
      <c r="AE78" s="211"/>
      <c r="AF78" s="211" t="s">
        <v>193</v>
      </c>
      <c r="AG78" s="211" t="s">
        <v>193</v>
      </c>
      <c r="AH78" s="211"/>
      <c r="AI78" s="211" t="s">
        <v>193</v>
      </c>
      <c r="AJ78" s="211"/>
      <c r="AK78" s="211"/>
      <c r="AL78" s="211" t="s">
        <v>193</v>
      </c>
      <c r="AM78" s="211"/>
      <c r="AN78" s="211"/>
      <c r="AO78" s="211"/>
      <c r="AP78" s="211"/>
      <c r="AQ78" s="211" t="s">
        <v>193</v>
      </c>
      <c r="AR78" s="211"/>
      <c r="AS78" s="211" t="s">
        <v>193</v>
      </c>
      <c r="AT78" s="211"/>
      <c r="AU78" s="211" t="s">
        <v>193</v>
      </c>
      <c r="AV78" s="211" t="s">
        <v>193</v>
      </c>
      <c r="AW78" s="211"/>
      <c r="AX78" s="211" t="s">
        <v>193</v>
      </c>
      <c r="AY78" s="211" t="s">
        <v>476</v>
      </c>
      <c r="AZ78" s="211" t="s">
        <v>193</v>
      </c>
      <c r="BA78" s="211"/>
      <c r="BB78" s="211"/>
      <c r="BC78" s="211"/>
      <c r="BD78" s="211" t="s">
        <v>193</v>
      </c>
      <c r="BE78" s="211"/>
      <c r="BF78" s="211" t="s">
        <v>193</v>
      </c>
      <c r="BG78" s="211" t="s">
        <v>193</v>
      </c>
      <c r="BH78" s="211" t="s">
        <v>193</v>
      </c>
      <c r="BI78" s="211" t="s">
        <v>193</v>
      </c>
      <c r="BJ78" s="211" t="s">
        <v>193</v>
      </c>
      <c r="BK78" s="211" t="s">
        <v>193</v>
      </c>
      <c r="BL78" s="211" t="s">
        <v>193</v>
      </c>
      <c r="BM78" s="211" t="s">
        <v>193</v>
      </c>
      <c r="BN78" s="211" t="s">
        <v>193</v>
      </c>
      <c r="BO78" s="211" t="s">
        <v>193</v>
      </c>
      <c r="BP78" s="211" t="s">
        <v>193</v>
      </c>
      <c r="BQ78" s="211" t="s">
        <v>193</v>
      </c>
      <c r="BR78" s="211" t="s">
        <v>193</v>
      </c>
      <c r="BS78" s="211" t="s">
        <v>193</v>
      </c>
      <c r="BT78" s="211" t="s">
        <v>193</v>
      </c>
      <c r="BU78" s="211" t="s">
        <v>193</v>
      </c>
      <c r="BV78" s="211" t="s">
        <v>193</v>
      </c>
      <c r="BW78" s="211" t="s">
        <v>193</v>
      </c>
      <c r="BX78" s="211" t="s">
        <v>193</v>
      </c>
      <c r="BY78" s="211" t="s">
        <v>193</v>
      </c>
      <c r="BZ78" s="211" t="s">
        <v>193</v>
      </c>
      <c r="CA78" s="211"/>
      <c r="CB78" s="211" t="s">
        <v>193</v>
      </c>
      <c r="CC78" s="211" t="s">
        <v>193</v>
      </c>
      <c r="CD78" s="211" t="s">
        <v>193</v>
      </c>
      <c r="CE78" s="211"/>
      <c r="CF78" s="211" t="s">
        <v>193</v>
      </c>
      <c r="CG78" s="211" t="s">
        <v>193</v>
      </c>
      <c r="CH78" s="211" t="s">
        <v>193</v>
      </c>
      <c r="CI78" s="211" t="s">
        <v>193</v>
      </c>
      <c r="CJ78" s="163"/>
    </row>
    <row r="79" spans="1:88" ht="23.25" customHeight="1">
      <c r="A79" s="163"/>
      <c r="B79" s="212" t="s">
        <v>547</v>
      </c>
      <c r="C79" s="211" t="s">
        <v>193</v>
      </c>
      <c r="D79" s="211" t="s">
        <v>193</v>
      </c>
      <c r="E79" s="211" t="s">
        <v>193</v>
      </c>
      <c r="F79" s="211" t="s">
        <v>193</v>
      </c>
      <c r="G79" s="211"/>
      <c r="H79" s="211"/>
      <c r="I79" s="211" t="s">
        <v>193</v>
      </c>
      <c r="J79" s="211" t="s">
        <v>193</v>
      </c>
      <c r="K79" s="210"/>
      <c r="L79" s="210" t="s">
        <v>193</v>
      </c>
      <c r="M79" s="211"/>
      <c r="N79" s="211"/>
      <c r="O79" s="211" t="s">
        <v>193</v>
      </c>
      <c r="P79" s="211" t="s">
        <v>193</v>
      </c>
      <c r="Q79" s="211" t="s">
        <v>193</v>
      </c>
      <c r="R79" s="211" t="s">
        <v>193</v>
      </c>
      <c r="S79" s="211" t="s">
        <v>193</v>
      </c>
      <c r="T79" s="211" t="s">
        <v>193</v>
      </c>
      <c r="U79" s="211" t="s">
        <v>193</v>
      </c>
      <c r="V79" s="211" t="s">
        <v>193</v>
      </c>
      <c r="W79" s="211" t="s">
        <v>193</v>
      </c>
      <c r="X79" s="211" t="s">
        <v>193</v>
      </c>
      <c r="Y79" s="211"/>
      <c r="Z79" s="211"/>
      <c r="AA79" s="211" t="s">
        <v>193</v>
      </c>
      <c r="AB79" s="211" t="s">
        <v>193</v>
      </c>
      <c r="AC79" s="211"/>
      <c r="AD79" s="211" t="s">
        <v>193</v>
      </c>
      <c r="AE79" s="211"/>
      <c r="AF79" s="211" t="s">
        <v>193</v>
      </c>
      <c r="AG79" s="211" t="s">
        <v>193</v>
      </c>
      <c r="AH79" s="211"/>
      <c r="AI79" s="211" t="s">
        <v>193</v>
      </c>
      <c r="AJ79" s="211"/>
      <c r="AK79" s="211"/>
      <c r="AL79" s="211" t="s">
        <v>193</v>
      </c>
      <c r="AM79" s="211"/>
      <c r="AN79" s="211"/>
      <c r="AO79" s="211"/>
      <c r="AP79" s="211"/>
      <c r="AQ79" s="211" t="s">
        <v>193</v>
      </c>
      <c r="AR79" s="211"/>
      <c r="AS79" s="211" t="s">
        <v>193</v>
      </c>
      <c r="AT79" s="211"/>
      <c r="AU79" s="211" t="s">
        <v>193</v>
      </c>
      <c r="AV79" s="211" t="s">
        <v>193</v>
      </c>
      <c r="AW79" s="211"/>
      <c r="AX79" s="211" t="s">
        <v>193</v>
      </c>
      <c r="AY79" s="211" t="s">
        <v>476</v>
      </c>
      <c r="AZ79" s="211" t="s">
        <v>193</v>
      </c>
      <c r="BA79" s="211"/>
      <c r="BB79" s="211"/>
      <c r="BC79" s="211"/>
      <c r="BD79" s="211" t="s">
        <v>193</v>
      </c>
      <c r="BE79" s="211"/>
      <c r="BF79" s="211" t="s">
        <v>193</v>
      </c>
      <c r="BG79" s="211" t="s">
        <v>193</v>
      </c>
      <c r="BH79" s="211" t="s">
        <v>193</v>
      </c>
      <c r="BI79" s="211" t="s">
        <v>193</v>
      </c>
      <c r="BJ79" s="211" t="s">
        <v>193</v>
      </c>
      <c r="BK79" s="211" t="s">
        <v>193</v>
      </c>
      <c r="BL79" s="211" t="s">
        <v>193</v>
      </c>
      <c r="BM79" s="211" t="s">
        <v>193</v>
      </c>
      <c r="BN79" s="211" t="s">
        <v>193</v>
      </c>
      <c r="BO79" s="211" t="s">
        <v>193</v>
      </c>
      <c r="BP79" s="211" t="s">
        <v>193</v>
      </c>
      <c r="BQ79" s="211" t="s">
        <v>193</v>
      </c>
      <c r="BR79" s="211" t="s">
        <v>193</v>
      </c>
      <c r="BS79" s="211" t="s">
        <v>193</v>
      </c>
      <c r="BT79" s="211" t="s">
        <v>193</v>
      </c>
      <c r="BU79" s="211" t="s">
        <v>193</v>
      </c>
      <c r="BV79" s="211" t="s">
        <v>193</v>
      </c>
      <c r="BW79" s="211" t="s">
        <v>193</v>
      </c>
      <c r="BX79" s="211" t="s">
        <v>193</v>
      </c>
      <c r="BY79" s="211" t="s">
        <v>193</v>
      </c>
      <c r="BZ79" s="211" t="s">
        <v>193</v>
      </c>
      <c r="CA79" s="211"/>
      <c r="CB79" s="211" t="s">
        <v>193</v>
      </c>
      <c r="CC79" s="211" t="s">
        <v>193</v>
      </c>
      <c r="CD79" s="211" t="s">
        <v>193</v>
      </c>
      <c r="CE79" s="211"/>
      <c r="CF79" s="211" t="s">
        <v>193</v>
      </c>
      <c r="CG79" s="211" t="s">
        <v>193</v>
      </c>
      <c r="CH79" s="211" t="s">
        <v>193</v>
      </c>
      <c r="CI79" s="211" t="s">
        <v>193</v>
      </c>
      <c r="CJ79" s="163"/>
    </row>
    <row r="80" spans="1:88" ht="23.25" customHeight="1">
      <c r="A80" s="163"/>
      <c r="B80" s="212" t="s">
        <v>548</v>
      </c>
      <c r="C80" s="211" t="s">
        <v>193</v>
      </c>
      <c r="D80" s="211"/>
      <c r="E80" s="211" t="s">
        <v>193</v>
      </c>
      <c r="F80" s="211" t="s">
        <v>193</v>
      </c>
      <c r="G80" s="211"/>
      <c r="H80" s="211"/>
      <c r="I80" s="211" t="s">
        <v>193</v>
      </c>
      <c r="J80" s="211" t="s">
        <v>193</v>
      </c>
      <c r="K80" s="210"/>
      <c r="L80" s="210"/>
      <c r="M80" s="211"/>
      <c r="N80" s="211"/>
      <c r="O80" s="211" t="s">
        <v>193</v>
      </c>
      <c r="P80" s="211" t="s">
        <v>193</v>
      </c>
      <c r="Q80" s="211" t="s">
        <v>193</v>
      </c>
      <c r="R80" s="211" t="s">
        <v>193</v>
      </c>
      <c r="S80" s="211" t="s">
        <v>193</v>
      </c>
      <c r="T80" s="211" t="s">
        <v>193</v>
      </c>
      <c r="U80" s="211" t="s">
        <v>193</v>
      </c>
      <c r="V80" s="211" t="s">
        <v>193</v>
      </c>
      <c r="W80" s="211" t="s">
        <v>193</v>
      </c>
      <c r="X80" s="211" t="s">
        <v>193</v>
      </c>
      <c r="Y80" s="211"/>
      <c r="Z80" s="211"/>
      <c r="AA80" s="211" t="s">
        <v>193</v>
      </c>
      <c r="AB80" s="211" t="s">
        <v>193</v>
      </c>
      <c r="AC80" s="211"/>
      <c r="AD80" s="211" t="s">
        <v>193</v>
      </c>
      <c r="AE80" s="211"/>
      <c r="AF80" s="211" t="s">
        <v>193</v>
      </c>
      <c r="AG80" s="211" t="s">
        <v>193</v>
      </c>
      <c r="AH80" s="211"/>
      <c r="AI80" s="211" t="s">
        <v>193</v>
      </c>
      <c r="AJ80" s="211"/>
      <c r="AK80" s="211"/>
      <c r="AL80" s="211" t="s">
        <v>193</v>
      </c>
      <c r="AM80" s="211"/>
      <c r="AN80" s="211"/>
      <c r="AO80" s="211"/>
      <c r="AP80" s="211"/>
      <c r="AQ80" s="211"/>
      <c r="AR80" s="211"/>
      <c r="AS80" s="211" t="s">
        <v>193</v>
      </c>
      <c r="AT80" s="211"/>
      <c r="AU80" s="211" t="s">
        <v>193</v>
      </c>
      <c r="AV80" s="211" t="s">
        <v>193</v>
      </c>
      <c r="AW80" s="211"/>
      <c r="AX80" s="211" t="s">
        <v>193</v>
      </c>
      <c r="AY80" s="211" t="s">
        <v>476</v>
      </c>
      <c r="AZ80" s="211" t="s">
        <v>193</v>
      </c>
      <c r="BA80" s="211"/>
      <c r="BB80" s="211"/>
      <c r="BC80" s="211"/>
      <c r="BD80" s="211" t="s">
        <v>193</v>
      </c>
      <c r="BE80" s="211"/>
      <c r="BF80" s="211" t="s">
        <v>193</v>
      </c>
      <c r="BG80" s="211" t="s">
        <v>193</v>
      </c>
      <c r="BH80" s="211" t="s">
        <v>193</v>
      </c>
      <c r="BI80" s="211"/>
      <c r="BJ80" s="211"/>
      <c r="BK80" s="211" t="s">
        <v>193</v>
      </c>
      <c r="BL80" s="211" t="s">
        <v>193</v>
      </c>
      <c r="BM80" s="211"/>
      <c r="BN80" s="211" t="s">
        <v>193</v>
      </c>
      <c r="BO80" s="211" t="s">
        <v>193</v>
      </c>
      <c r="BP80" s="211" t="s">
        <v>193</v>
      </c>
      <c r="BQ80" s="211" t="s">
        <v>193</v>
      </c>
      <c r="BR80" s="211" t="s">
        <v>193</v>
      </c>
      <c r="BS80" s="211" t="s">
        <v>193</v>
      </c>
      <c r="BT80" s="211" t="s">
        <v>193</v>
      </c>
      <c r="BU80" s="211" t="s">
        <v>193</v>
      </c>
      <c r="BV80" s="211" t="s">
        <v>193</v>
      </c>
      <c r="BW80" s="211" t="s">
        <v>193</v>
      </c>
      <c r="BX80" s="211" t="s">
        <v>193</v>
      </c>
      <c r="BY80" s="211" t="s">
        <v>193</v>
      </c>
      <c r="BZ80" s="211" t="s">
        <v>193</v>
      </c>
      <c r="CA80" s="211"/>
      <c r="CB80" s="211" t="s">
        <v>193</v>
      </c>
      <c r="CC80" s="211" t="s">
        <v>193</v>
      </c>
      <c r="CD80" s="211" t="s">
        <v>193</v>
      </c>
      <c r="CE80" s="211"/>
      <c r="CF80" s="211" t="s">
        <v>193</v>
      </c>
      <c r="CG80" s="211" t="s">
        <v>193</v>
      </c>
      <c r="CH80" s="211" t="s">
        <v>193</v>
      </c>
      <c r="CI80" s="211" t="s">
        <v>193</v>
      </c>
      <c r="CJ80" s="163"/>
    </row>
    <row r="81" spans="1:88" ht="23.25" customHeight="1">
      <c r="A81" s="163"/>
      <c r="B81" s="212" t="s">
        <v>549</v>
      </c>
      <c r="C81" s="211" t="s">
        <v>193</v>
      </c>
      <c r="D81" s="211" t="s">
        <v>193</v>
      </c>
      <c r="E81" s="211" t="s">
        <v>193</v>
      </c>
      <c r="F81" s="211" t="s">
        <v>193</v>
      </c>
      <c r="G81" s="211"/>
      <c r="H81" s="211"/>
      <c r="I81" s="211" t="s">
        <v>193</v>
      </c>
      <c r="J81" s="211" t="s">
        <v>193</v>
      </c>
      <c r="K81" s="210"/>
      <c r="L81" s="210" t="s">
        <v>193</v>
      </c>
      <c r="M81" s="211"/>
      <c r="N81" s="211"/>
      <c r="O81" s="211" t="s">
        <v>193</v>
      </c>
      <c r="P81" s="211" t="s">
        <v>193</v>
      </c>
      <c r="Q81" s="211" t="s">
        <v>193</v>
      </c>
      <c r="R81" s="211" t="s">
        <v>193</v>
      </c>
      <c r="S81" s="211" t="s">
        <v>193</v>
      </c>
      <c r="T81" s="211" t="s">
        <v>193</v>
      </c>
      <c r="U81" s="211" t="s">
        <v>193</v>
      </c>
      <c r="V81" s="211" t="s">
        <v>193</v>
      </c>
      <c r="W81" s="211" t="s">
        <v>193</v>
      </c>
      <c r="X81" s="211" t="s">
        <v>193</v>
      </c>
      <c r="Y81" s="211"/>
      <c r="Z81" s="211"/>
      <c r="AA81" s="211" t="s">
        <v>193</v>
      </c>
      <c r="AB81" s="211" t="s">
        <v>193</v>
      </c>
      <c r="AC81" s="211"/>
      <c r="AD81" s="211" t="s">
        <v>193</v>
      </c>
      <c r="AE81" s="211"/>
      <c r="AF81" s="211" t="s">
        <v>193</v>
      </c>
      <c r="AG81" s="211" t="s">
        <v>193</v>
      </c>
      <c r="AH81" s="211"/>
      <c r="AI81" s="211" t="s">
        <v>193</v>
      </c>
      <c r="AJ81" s="211"/>
      <c r="AK81" s="211"/>
      <c r="AL81" s="211" t="s">
        <v>193</v>
      </c>
      <c r="AM81" s="211"/>
      <c r="AN81" s="211"/>
      <c r="AO81" s="211"/>
      <c r="AP81" s="211"/>
      <c r="AQ81" s="211" t="s">
        <v>193</v>
      </c>
      <c r="AR81" s="211"/>
      <c r="AS81" s="211" t="s">
        <v>193</v>
      </c>
      <c r="AT81" s="211"/>
      <c r="AU81" s="211" t="s">
        <v>193</v>
      </c>
      <c r="AV81" s="211" t="s">
        <v>193</v>
      </c>
      <c r="AW81" s="211"/>
      <c r="AX81" s="211" t="s">
        <v>193</v>
      </c>
      <c r="AY81" s="211" t="s">
        <v>476</v>
      </c>
      <c r="AZ81" s="211" t="s">
        <v>193</v>
      </c>
      <c r="BA81" s="211"/>
      <c r="BB81" s="211"/>
      <c r="BC81" s="211"/>
      <c r="BD81" s="211" t="s">
        <v>193</v>
      </c>
      <c r="BE81" s="211"/>
      <c r="BF81" s="211" t="s">
        <v>193</v>
      </c>
      <c r="BG81" s="211" t="s">
        <v>193</v>
      </c>
      <c r="BH81" s="211" t="s">
        <v>193</v>
      </c>
      <c r="BI81" s="211" t="s">
        <v>193</v>
      </c>
      <c r="BJ81" s="211" t="s">
        <v>193</v>
      </c>
      <c r="BK81" s="211" t="s">
        <v>193</v>
      </c>
      <c r="BL81" s="211" t="s">
        <v>193</v>
      </c>
      <c r="BM81" s="211"/>
      <c r="BN81" s="211" t="s">
        <v>193</v>
      </c>
      <c r="BO81" s="211" t="s">
        <v>193</v>
      </c>
      <c r="BP81" s="211" t="s">
        <v>193</v>
      </c>
      <c r="BQ81" s="211" t="s">
        <v>193</v>
      </c>
      <c r="BR81" s="211" t="s">
        <v>193</v>
      </c>
      <c r="BS81" s="211" t="s">
        <v>193</v>
      </c>
      <c r="BT81" s="211" t="s">
        <v>193</v>
      </c>
      <c r="BU81" s="211" t="s">
        <v>193</v>
      </c>
      <c r="BV81" s="211" t="s">
        <v>193</v>
      </c>
      <c r="BW81" s="211" t="s">
        <v>193</v>
      </c>
      <c r="BX81" s="211" t="s">
        <v>193</v>
      </c>
      <c r="BY81" s="211" t="s">
        <v>193</v>
      </c>
      <c r="BZ81" s="211" t="s">
        <v>193</v>
      </c>
      <c r="CA81" s="211"/>
      <c r="CB81" s="211" t="s">
        <v>193</v>
      </c>
      <c r="CC81" s="211" t="s">
        <v>193</v>
      </c>
      <c r="CD81" s="211" t="s">
        <v>193</v>
      </c>
      <c r="CE81" s="211"/>
      <c r="CF81" s="211" t="s">
        <v>193</v>
      </c>
      <c r="CG81" s="211" t="s">
        <v>193</v>
      </c>
      <c r="CH81" s="211" t="s">
        <v>193</v>
      </c>
      <c r="CI81" s="211" t="s">
        <v>193</v>
      </c>
      <c r="CJ81" s="163"/>
    </row>
    <row r="82" spans="1:88" ht="23.25" customHeight="1">
      <c r="A82" s="163"/>
      <c r="B82" s="212" t="s">
        <v>550</v>
      </c>
      <c r="C82" s="211" t="s">
        <v>193</v>
      </c>
      <c r="D82" s="211" t="s">
        <v>193</v>
      </c>
      <c r="E82" s="211" t="s">
        <v>193</v>
      </c>
      <c r="F82" s="211" t="s">
        <v>193</v>
      </c>
      <c r="G82" s="211"/>
      <c r="H82" s="211"/>
      <c r="I82" s="211" t="s">
        <v>193</v>
      </c>
      <c r="J82" s="211" t="s">
        <v>193</v>
      </c>
      <c r="K82" s="210"/>
      <c r="L82" s="210" t="s">
        <v>193</v>
      </c>
      <c r="M82" s="211"/>
      <c r="N82" s="211"/>
      <c r="O82" s="211" t="s">
        <v>193</v>
      </c>
      <c r="P82" s="211" t="s">
        <v>193</v>
      </c>
      <c r="Q82" s="211" t="s">
        <v>193</v>
      </c>
      <c r="R82" s="211" t="s">
        <v>193</v>
      </c>
      <c r="S82" s="211" t="s">
        <v>193</v>
      </c>
      <c r="T82" s="211" t="s">
        <v>193</v>
      </c>
      <c r="U82" s="211" t="s">
        <v>193</v>
      </c>
      <c r="V82" s="211" t="s">
        <v>193</v>
      </c>
      <c r="W82" s="211" t="s">
        <v>193</v>
      </c>
      <c r="X82" s="211" t="s">
        <v>193</v>
      </c>
      <c r="Y82" s="211"/>
      <c r="Z82" s="211"/>
      <c r="AA82" s="211" t="s">
        <v>193</v>
      </c>
      <c r="AB82" s="211" t="s">
        <v>193</v>
      </c>
      <c r="AC82" s="211"/>
      <c r="AD82" s="211" t="s">
        <v>193</v>
      </c>
      <c r="AE82" s="211"/>
      <c r="AF82" s="211" t="s">
        <v>193</v>
      </c>
      <c r="AG82" s="211" t="s">
        <v>193</v>
      </c>
      <c r="AH82" s="211"/>
      <c r="AI82" s="211" t="s">
        <v>193</v>
      </c>
      <c r="AJ82" s="211"/>
      <c r="AK82" s="211"/>
      <c r="AL82" s="211" t="s">
        <v>193</v>
      </c>
      <c r="AM82" s="211"/>
      <c r="AN82" s="211"/>
      <c r="AO82" s="211"/>
      <c r="AP82" s="211"/>
      <c r="AQ82" s="211" t="s">
        <v>193</v>
      </c>
      <c r="AR82" s="211"/>
      <c r="AS82" s="211" t="s">
        <v>193</v>
      </c>
      <c r="AT82" s="211"/>
      <c r="AU82" s="211" t="s">
        <v>193</v>
      </c>
      <c r="AV82" s="211" t="s">
        <v>193</v>
      </c>
      <c r="AW82" s="211"/>
      <c r="AX82" s="211" t="s">
        <v>193</v>
      </c>
      <c r="AY82" s="211" t="s">
        <v>476</v>
      </c>
      <c r="AZ82" s="211" t="s">
        <v>193</v>
      </c>
      <c r="BA82" s="211"/>
      <c r="BB82" s="211"/>
      <c r="BC82" s="211"/>
      <c r="BD82" s="211" t="s">
        <v>193</v>
      </c>
      <c r="BE82" s="211"/>
      <c r="BF82" s="211" t="s">
        <v>193</v>
      </c>
      <c r="BG82" s="211" t="s">
        <v>193</v>
      </c>
      <c r="BH82" s="211" t="s">
        <v>193</v>
      </c>
      <c r="BI82" s="211" t="s">
        <v>193</v>
      </c>
      <c r="BJ82" s="211" t="s">
        <v>193</v>
      </c>
      <c r="BK82" s="211" t="s">
        <v>193</v>
      </c>
      <c r="BL82" s="211" t="s">
        <v>193</v>
      </c>
      <c r="BM82" s="211"/>
      <c r="BN82" s="211" t="s">
        <v>193</v>
      </c>
      <c r="BO82" s="211" t="s">
        <v>193</v>
      </c>
      <c r="BP82" s="211" t="s">
        <v>193</v>
      </c>
      <c r="BQ82" s="211" t="s">
        <v>193</v>
      </c>
      <c r="BR82" s="211" t="s">
        <v>193</v>
      </c>
      <c r="BS82" s="211" t="s">
        <v>193</v>
      </c>
      <c r="BT82" s="211" t="s">
        <v>193</v>
      </c>
      <c r="BU82" s="211" t="s">
        <v>193</v>
      </c>
      <c r="BV82" s="211" t="s">
        <v>193</v>
      </c>
      <c r="BW82" s="211" t="s">
        <v>193</v>
      </c>
      <c r="BX82" s="211" t="s">
        <v>193</v>
      </c>
      <c r="BY82" s="211" t="s">
        <v>193</v>
      </c>
      <c r="BZ82" s="211" t="s">
        <v>193</v>
      </c>
      <c r="CA82" s="211"/>
      <c r="CB82" s="211" t="s">
        <v>193</v>
      </c>
      <c r="CC82" s="211" t="s">
        <v>193</v>
      </c>
      <c r="CD82" s="211" t="s">
        <v>193</v>
      </c>
      <c r="CE82" s="211"/>
      <c r="CF82" s="211" t="s">
        <v>193</v>
      </c>
      <c r="CG82" s="211" t="s">
        <v>193</v>
      </c>
      <c r="CH82" s="211" t="s">
        <v>193</v>
      </c>
      <c r="CI82" s="211" t="s">
        <v>193</v>
      </c>
      <c r="CJ82" s="163"/>
    </row>
    <row r="83" spans="1:88" ht="23.25" customHeight="1">
      <c r="A83" s="163"/>
      <c r="B83" s="207" t="s">
        <v>551</v>
      </c>
      <c r="C83" s="213" t="s">
        <v>193</v>
      </c>
      <c r="D83" s="213" t="s">
        <v>193</v>
      </c>
      <c r="E83" s="213" t="s">
        <v>193</v>
      </c>
      <c r="F83" s="213" t="s">
        <v>193</v>
      </c>
      <c r="G83" s="213" t="s">
        <v>193</v>
      </c>
      <c r="H83" s="213" t="s">
        <v>193</v>
      </c>
      <c r="I83" s="213" t="s">
        <v>193</v>
      </c>
      <c r="J83" s="213" t="s">
        <v>193</v>
      </c>
      <c r="K83" s="208" t="s">
        <v>193</v>
      </c>
      <c r="L83" s="208" t="s">
        <v>193</v>
      </c>
      <c r="M83" s="213"/>
      <c r="N83" s="213" t="s">
        <v>193</v>
      </c>
      <c r="O83" s="213" t="s">
        <v>193</v>
      </c>
      <c r="P83" s="213" t="s">
        <v>193</v>
      </c>
      <c r="Q83" s="213" t="s">
        <v>193</v>
      </c>
      <c r="R83" s="213" t="s">
        <v>193</v>
      </c>
      <c r="S83" s="213" t="s">
        <v>193</v>
      </c>
      <c r="T83" s="211" t="s">
        <v>193</v>
      </c>
      <c r="U83" s="213" t="s">
        <v>193</v>
      </c>
      <c r="V83" s="213" t="s">
        <v>193</v>
      </c>
      <c r="W83" s="213" t="s">
        <v>193</v>
      </c>
      <c r="X83" s="213" t="s">
        <v>193</v>
      </c>
      <c r="Y83" s="213"/>
      <c r="Z83" s="213"/>
      <c r="AA83" s="213" t="s">
        <v>193</v>
      </c>
      <c r="AB83" s="213" t="s">
        <v>193</v>
      </c>
      <c r="AC83" s="213"/>
      <c r="AD83" s="213" t="s">
        <v>193</v>
      </c>
      <c r="AE83" s="213"/>
      <c r="AF83" s="213" t="s">
        <v>193</v>
      </c>
      <c r="AG83" s="213"/>
      <c r="AH83" s="213"/>
      <c r="AI83" s="213" t="s">
        <v>193</v>
      </c>
      <c r="AJ83" s="213"/>
      <c r="AK83" s="213"/>
      <c r="AL83" s="213" t="s">
        <v>193</v>
      </c>
      <c r="AM83" s="213" t="s">
        <v>193</v>
      </c>
      <c r="AN83" s="213" t="s">
        <v>193</v>
      </c>
      <c r="AO83" s="213"/>
      <c r="AP83" s="213"/>
      <c r="AQ83" s="213"/>
      <c r="AR83" s="213"/>
      <c r="AS83" s="213" t="s">
        <v>193</v>
      </c>
      <c r="AT83" s="213"/>
      <c r="AU83" s="213" t="s">
        <v>193</v>
      </c>
      <c r="AV83" s="213" t="s">
        <v>193</v>
      </c>
      <c r="AW83" s="213" t="s">
        <v>193</v>
      </c>
      <c r="AX83" s="213" t="s">
        <v>193</v>
      </c>
      <c r="AY83" s="213" t="s">
        <v>476</v>
      </c>
      <c r="AZ83" s="213" t="s">
        <v>193</v>
      </c>
      <c r="BA83" s="213"/>
      <c r="BB83" s="213"/>
      <c r="BC83" s="213"/>
      <c r="BD83" s="213" t="s">
        <v>193</v>
      </c>
      <c r="BE83" s="213" t="s">
        <v>193</v>
      </c>
      <c r="BF83" s="213" t="s">
        <v>193</v>
      </c>
      <c r="BG83" s="213" t="s">
        <v>193</v>
      </c>
      <c r="BH83" s="213" t="s">
        <v>193</v>
      </c>
      <c r="BI83" s="213"/>
      <c r="BJ83" s="213"/>
      <c r="BK83" s="213" t="s">
        <v>193</v>
      </c>
      <c r="BL83" s="213" t="s">
        <v>193</v>
      </c>
      <c r="BM83" s="213"/>
      <c r="BN83" s="213" t="s">
        <v>193</v>
      </c>
      <c r="BO83" s="213" t="s">
        <v>193</v>
      </c>
      <c r="BP83" s="213" t="s">
        <v>193</v>
      </c>
      <c r="BQ83" s="213" t="s">
        <v>193</v>
      </c>
      <c r="BR83" s="213" t="s">
        <v>193</v>
      </c>
      <c r="BS83" s="213" t="s">
        <v>193</v>
      </c>
      <c r="BT83" s="213" t="s">
        <v>193</v>
      </c>
      <c r="BU83" s="213" t="s">
        <v>193</v>
      </c>
      <c r="BV83" s="213" t="s">
        <v>193</v>
      </c>
      <c r="BW83" s="213" t="s">
        <v>193</v>
      </c>
      <c r="BX83" s="213" t="s">
        <v>193</v>
      </c>
      <c r="BY83" s="213" t="s">
        <v>193</v>
      </c>
      <c r="BZ83" s="213" t="s">
        <v>193</v>
      </c>
      <c r="CA83" s="213"/>
      <c r="CB83" s="213" t="s">
        <v>193</v>
      </c>
      <c r="CC83" s="213" t="s">
        <v>193</v>
      </c>
      <c r="CD83" s="213" t="s">
        <v>193</v>
      </c>
      <c r="CE83" s="213"/>
      <c r="CF83" s="213" t="s">
        <v>193</v>
      </c>
      <c r="CG83" s="213" t="s">
        <v>193</v>
      </c>
      <c r="CH83" s="213" t="s">
        <v>193</v>
      </c>
      <c r="CI83" s="213" t="s">
        <v>193</v>
      </c>
      <c r="CJ83" s="163"/>
    </row>
    <row r="84" spans="1:88" ht="23.25" customHeight="1">
      <c r="A84" s="163"/>
      <c r="B84" s="209" t="s">
        <v>552</v>
      </c>
      <c r="C84" s="211" t="s">
        <v>193</v>
      </c>
      <c r="D84" s="211" t="s">
        <v>193</v>
      </c>
      <c r="E84" s="211" t="s">
        <v>193</v>
      </c>
      <c r="F84" s="211" t="s">
        <v>193</v>
      </c>
      <c r="G84" s="211" t="s">
        <v>193</v>
      </c>
      <c r="H84" s="211"/>
      <c r="I84" s="211" t="s">
        <v>193</v>
      </c>
      <c r="J84" s="211" t="s">
        <v>193</v>
      </c>
      <c r="K84" s="210"/>
      <c r="L84" s="210" t="s">
        <v>193</v>
      </c>
      <c r="M84" s="211"/>
      <c r="N84" s="211" t="s">
        <v>193</v>
      </c>
      <c r="O84" s="211" t="s">
        <v>193</v>
      </c>
      <c r="P84" s="211" t="s">
        <v>193</v>
      </c>
      <c r="Q84" s="211" t="s">
        <v>193</v>
      </c>
      <c r="R84" s="211" t="s">
        <v>193</v>
      </c>
      <c r="S84" s="211" t="s">
        <v>193</v>
      </c>
      <c r="T84" s="211" t="s">
        <v>193</v>
      </c>
      <c r="U84" s="211" t="s">
        <v>193</v>
      </c>
      <c r="V84" s="211" t="s">
        <v>193</v>
      </c>
      <c r="W84" s="211" t="s">
        <v>193</v>
      </c>
      <c r="X84" s="211" t="s">
        <v>193</v>
      </c>
      <c r="Y84" s="211"/>
      <c r="Z84" s="211"/>
      <c r="AA84" s="211" t="s">
        <v>193</v>
      </c>
      <c r="AB84" s="211" t="s">
        <v>193</v>
      </c>
      <c r="AC84" s="211"/>
      <c r="AD84" s="211" t="s">
        <v>193</v>
      </c>
      <c r="AE84" s="211"/>
      <c r="AF84" s="211" t="s">
        <v>193</v>
      </c>
      <c r="AG84" s="211"/>
      <c r="AH84" s="211"/>
      <c r="AI84" s="211" t="s">
        <v>193</v>
      </c>
      <c r="AJ84" s="211"/>
      <c r="AK84" s="211"/>
      <c r="AL84" s="211" t="s">
        <v>193</v>
      </c>
      <c r="AM84" s="211" t="s">
        <v>193</v>
      </c>
      <c r="AN84" s="211" t="s">
        <v>193</v>
      </c>
      <c r="AO84" s="211"/>
      <c r="AP84" s="211"/>
      <c r="AQ84" s="211"/>
      <c r="AR84" s="211"/>
      <c r="AS84" s="211" t="s">
        <v>193</v>
      </c>
      <c r="AT84" s="211"/>
      <c r="AU84" s="211" t="s">
        <v>193</v>
      </c>
      <c r="AV84" s="211" t="s">
        <v>193</v>
      </c>
      <c r="AW84" s="211" t="s">
        <v>193</v>
      </c>
      <c r="AX84" s="211" t="s">
        <v>193</v>
      </c>
      <c r="AY84" s="211" t="s">
        <v>476</v>
      </c>
      <c r="AZ84" s="211" t="s">
        <v>193</v>
      </c>
      <c r="BA84" s="211"/>
      <c r="BB84" s="211"/>
      <c r="BC84" s="211"/>
      <c r="BD84" s="211" t="s">
        <v>193</v>
      </c>
      <c r="BE84" s="211" t="s">
        <v>193</v>
      </c>
      <c r="BF84" s="211" t="s">
        <v>193</v>
      </c>
      <c r="BG84" s="211" t="s">
        <v>193</v>
      </c>
      <c r="BH84" s="211" t="s">
        <v>193</v>
      </c>
      <c r="BI84" s="211"/>
      <c r="BJ84" s="211"/>
      <c r="BK84" s="211" t="s">
        <v>193</v>
      </c>
      <c r="BL84" s="211" t="s">
        <v>193</v>
      </c>
      <c r="BM84" s="211"/>
      <c r="BN84" s="211" t="s">
        <v>193</v>
      </c>
      <c r="BO84" s="211" t="s">
        <v>193</v>
      </c>
      <c r="BP84" s="211" t="s">
        <v>193</v>
      </c>
      <c r="BQ84" s="211" t="s">
        <v>193</v>
      </c>
      <c r="BR84" s="211" t="s">
        <v>193</v>
      </c>
      <c r="BS84" s="211" t="s">
        <v>193</v>
      </c>
      <c r="BT84" s="211" t="s">
        <v>193</v>
      </c>
      <c r="BU84" s="211" t="s">
        <v>193</v>
      </c>
      <c r="BV84" s="211" t="s">
        <v>193</v>
      </c>
      <c r="BW84" s="211" t="s">
        <v>193</v>
      </c>
      <c r="BX84" s="211" t="s">
        <v>193</v>
      </c>
      <c r="BY84" s="211" t="s">
        <v>193</v>
      </c>
      <c r="BZ84" s="211" t="s">
        <v>193</v>
      </c>
      <c r="CA84" s="211"/>
      <c r="CB84" s="211" t="s">
        <v>193</v>
      </c>
      <c r="CC84" s="211" t="s">
        <v>193</v>
      </c>
      <c r="CD84" s="211" t="s">
        <v>193</v>
      </c>
      <c r="CE84" s="211"/>
      <c r="CF84" s="211" t="s">
        <v>193</v>
      </c>
      <c r="CG84" s="211" t="s">
        <v>193</v>
      </c>
      <c r="CH84" s="211" t="s">
        <v>193</v>
      </c>
      <c r="CI84" s="211" t="s">
        <v>193</v>
      </c>
      <c r="CJ84" s="163"/>
    </row>
    <row r="85" spans="1:88" ht="23.25" customHeight="1">
      <c r="A85" s="163"/>
      <c r="B85" s="212" t="s">
        <v>553</v>
      </c>
      <c r="C85" s="211" t="s">
        <v>193</v>
      </c>
      <c r="D85" s="211" t="s">
        <v>193</v>
      </c>
      <c r="E85" s="211" t="s">
        <v>193</v>
      </c>
      <c r="F85" s="211" t="s">
        <v>193</v>
      </c>
      <c r="G85" s="211"/>
      <c r="H85" s="211"/>
      <c r="I85" s="211" t="s">
        <v>193</v>
      </c>
      <c r="J85" s="211" t="s">
        <v>193</v>
      </c>
      <c r="K85" s="210"/>
      <c r="L85" s="210" t="s">
        <v>193</v>
      </c>
      <c r="M85" s="211"/>
      <c r="N85" s="211" t="s">
        <v>193</v>
      </c>
      <c r="O85" s="211" t="s">
        <v>193</v>
      </c>
      <c r="P85" s="211" t="s">
        <v>193</v>
      </c>
      <c r="Q85" s="211" t="s">
        <v>193</v>
      </c>
      <c r="R85" s="211" t="s">
        <v>193</v>
      </c>
      <c r="S85" s="211" t="s">
        <v>193</v>
      </c>
      <c r="T85" s="211" t="s">
        <v>193</v>
      </c>
      <c r="U85" s="211" t="s">
        <v>193</v>
      </c>
      <c r="V85" s="211" t="s">
        <v>193</v>
      </c>
      <c r="W85" s="211" t="s">
        <v>193</v>
      </c>
      <c r="X85" s="211" t="s">
        <v>193</v>
      </c>
      <c r="Y85" s="211"/>
      <c r="Z85" s="211"/>
      <c r="AA85" s="211" t="s">
        <v>193</v>
      </c>
      <c r="AB85" s="211" t="s">
        <v>193</v>
      </c>
      <c r="AC85" s="211"/>
      <c r="AD85" s="211" t="s">
        <v>193</v>
      </c>
      <c r="AE85" s="211"/>
      <c r="AF85" s="211" t="s">
        <v>193</v>
      </c>
      <c r="AG85" s="211"/>
      <c r="AH85" s="211"/>
      <c r="AI85" s="211" t="s">
        <v>193</v>
      </c>
      <c r="AJ85" s="211"/>
      <c r="AK85" s="211"/>
      <c r="AL85" s="211" t="s">
        <v>193</v>
      </c>
      <c r="AM85" s="211" t="s">
        <v>193</v>
      </c>
      <c r="AN85" s="211" t="s">
        <v>193</v>
      </c>
      <c r="AO85" s="211"/>
      <c r="AP85" s="211"/>
      <c r="AQ85" s="211"/>
      <c r="AR85" s="211"/>
      <c r="AS85" s="211" t="s">
        <v>193</v>
      </c>
      <c r="AT85" s="211"/>
      <c r="AU85" s="211" t="s">
        <v>193</v>
      </c>
      <c r="AV85" s="211" t="s">
        <v>193</v>
      </c>
      <c r="AW85" s="211" t="s">
        <v>193</v>
      </c>
      <c r="AX85" s="211" t="s">
        <v>193</v>
      </c>
      <c r="AY85" s="211" t="s">
        <v>476</v>
      </c>
      <c r="AZ85" s="211" t="s">
        <v>193</v>
      </c>
      <c r="BA85" s="211"/>
      <c r="BB85" s="211"/>
      <c r="BC85" s="211"/>
      <c r="BD85" s="211" t="s">
        <v>193</v>
      </c>
      <c r="BE85" s="211" t="s">
        <v>193</v>
      </c>
      <c r="BF85" s="211" t="s">
        <v>193</v>
      </c>
      <c r="BG85" s="211" t="s">
        <v>193</v>
      </c>
      <c r="BH85" s="211" t="s">
        <v>193</v>
      </c>
      <c r="BI85" s="211"/>
      <c r="BJ85" s="211"/>
      <c r="BK85" s="211" t="s">
        <v>193</v>
      </c>
      <c r="BL85" s="211" t="s">
        <v>193</v>
      </c>
      <c r="BM85" s="211"/>
      <c r="BN85" s="211" t="s">
        <v>193</v>
      </c>
      <c r="BO85" s="211" t="s">
        <v>193</v>
      </c>
      <c r="BP85" s="211" t="s">
        <v>193</v>
      </c>
      <c r="BQ85" s="211" t="s">
        <v>193</v>
      </c>
      <c r="BR85" s="211" t="s">
        <v>193</v>
      </c>
      <c r="BS85" s="211" t="s">
        <v>193</v>
      </c>
      <c r="BT85" s="211" t="s">
        <v>193</v>
      </c>
      <c r="BU85" s="211" t="s">
        <v>193</v>
      </c>
      <c r="BV85" s="211" t="s">
        <v>193</v>
      </c>
      <c r="BW85" s="211" t="s">
        <v>193</v>
      </c>
      <c r="BX85" s="211" t="s">
        <v>193</v>
      </c>
      <c r="BY85" s="211" t="s">
        <v>193</v>
      </c>
      <c r="BZ85" s="211" t="s">
        <v>193</v>
      </c>
      <c r="CA85" s="211"/>
      <c r="CB85" s="211" t="s">
        <v>193</v>
      </c>
      <c r="CC85" s="211" t="s">
        <v>193</v>
      </c>
      <c r="CD85" s="211" t="s">
        <v>193</v>
      </c>
      <c r="CE85" s="211"/>
      <c r="CF85" s="211" t="s">
        <v>193</v>
      </c>
      <c r="CG85" s="211" t="s">
        <v>193</v>
      </c>
      <c r="CH85" s="211" t="s">
        <v>193</v>
      </c>
      <c r="CI85" s="211" t="s">
        <v>193</v>
      </c>
      <c r="CJ85" s="163"/>
    </row>
    <row r="86" spans="1:88" ht="23.25" customHeight="1">
      <c r="A86" s="163"/>
      <c r="B86" s="212" t="s">
        <v>554</v>
      </c>
      <c r="C86" s="211" t="s">
        <v>193</v>
      </c>
      <c r="D86" s="211"/>
      <c r="E86" s="211"/>
      <c r="F86" s="211" t="s">
        <v>193</v>
      </c>
      <c r="G86" s="211"/>
      <c r="H86" s="211"/>
      <c r="I86" s="211" t="s">
        <v>193</v>
      </c>
      <c r="J86" s="211" t="s">
        <v>193</v>
      </c>
      <c r="K86" s="210"/>
      <c r="L86" s="210"/>
      <c r="M86" s="211"/>
      <c r="N86" s="211" t="s">
        <v>193</v>
      </c>
      <c r="O86" s="211" t="s">
        <v>193</v>
      </c>
      <c r="P86" s="211" t="s">
        <v>193</v>
      </c>
      <c r="Q86" s="211" t="s">
        <v>193</v>
      </c>
      <c r="R86" s="211" t="s">
        <v>193</v>
      </c>
      <c r="S86" s="211" t="s">
        <v>193</v>
      </c>
      <c r="T86" s="211" t="s">
        <v>193</v>
      </c>
      <c r="U86" s="211" t="s">
        <v>193</v>
      </c>
      <c r="V86" s="211" t="s">
        <v>193</v>
      </c>
      <c r="W86" s="211" t="s">
        <v>193</v>
      </c>
      <c r="X86" s="211" t="s">
        <v>193</v>
      </c>
      <c r="Y86" s="211"/>
      <c r="Z86" s="211"/>
      <c r="AA86" s="211" t="s">
        <v>193</v>
      </c>
      <c r="AB86" s="211"/>
      <c r="AC86" s="211"/>
      <c r="AD86" s="211" t="s">
        <v>193</v>
      </c>
      <c r="AE86" s="211"/>
      <c r="AF86" s="211" t="s">
        <v>193</v>
      </c>
      <c r="AG86" s="211"/>
      <c r="AH86" s="211"/>
      <c r="AI86" s="211" t="s">
        <v>193</v>
      </c>
      <c r="AJ86" s="211"/>
      <c r="AK86" s="211"/>
      <c r="AL86" s="211" t="s">
        <v>193</v>
      </c>
      <c r="AM86" s="211" t="s">
        <v>193</v>
      </c>
      <c r="AN86" s="211" t="s">
        <v>193</v>
      </c>
      <c r="AO86" s="211"/>
      <c r="AP86" s="211"/>
      <c r="AQ86" s="211"/>
      <c r="AR86" s="211"/>
      <c r="AS86" s="211" t="s">
        <v>193</v>
      </c>
      <c r="AT86" s="211"/>
      <c r="AU86" s="211" t="s">
        <v>193</v>
      </c>
      <c r="AV86" s="211" t="s">
        <v>193</v>
      </c>
      <c r="AW86" s="211" t="s">
        <v>193</v>
      </c>
      <c r="AX86" s="211" t="s">
        <v>193</v>
      </c>
      <c r="AY86" s="211" t="s">
        <v>476</v>
      </c>
      <c r="AZ86" s="211" t="s">
        <v>193</v>
      </c>
      <c r="BA86" s="211"/>
      <c r="BB86" s="211"/>
      <c r="BC86" s="211"/>
      <c r="BD86" s="211" t="s">
        <v>193</v>
      </c>
      <c r="BE86" s="211" t="s">
        <v>193</v>
      </c>
      <c r="BF86" s="211" t="s">
        <v>193</v>
      </c>
      <c r="BG86" s="211" t="s">
        <v>193</v>
      </c>
      <c r="BH86" s="211" t="s">
        <v>193</v>
      </c>
      <c r="BI86" s="211"/>
      <c r="BJ86" s="211"/>
      <c r="BK86" s="211" t="s">
        <v>193</v>
      </c>
      <c r="BL86" s="211" t="s">
        <v>193</v>
      </c>
      <c r="BM86" s="211"/>
      <c r="BN86" s="211" t="s">
        <v>193</v>
      </c>
      <c r="BO86" s="211" t="s">
        <v>193</v>
      </c>
      <c r="BP86" s="211" t="s">
        <v>193</v>
      </c>
      <c r="BQ86" s="211" t="s">
        <v>193</v>
      </c>
      <c r="BR86" s="211" t="s">
        <v>193</v>
      </c>
      <c r="BS86" s="211" t="s">
        <v>193</v>
      </c>
      <c r="BT86" s="211" t="s">
        <v>193</v>
      </c>
      <c r="BU86" s="211" t="s">
        <v>193</v>
      </c>
      <c r="BV86" s="211" t="s">
        <v>193</v>
      </c>
      <c r="BW86" s="211" t="s">
        <v>193</v>
      </c>
      <c r="BX86" s="211" t="s">
        <v>193</v>
      </c>
      <c r="BY86" s="211"/>
      <c r="BZ86" s="211" t="s">
        <v>193</v>
      </c>
      <c r="CA86" s="211"/>
      <c r="CB86" s="211" t="s">
        <v>193</v>
      </c>
      <c r="CC86" s="211" t="s">
        <v>193</v>
      </c>
      <c r="CD86" s="211" t="s">
        <v>193</v>
      </c>
      <c r="CE86" s="211"/>
      <c r="CF86" s="211" t="s">
        <v>193</v>
      </c>
      <c r="CG86" s="211" t="s">
        <v>193</v>
      </c>
      <c r="CH86" s="211" t="s">
        <v>193</v>
      </c>
      <c r="CI86" s="211" t="s">
        <v>193</v>
      </c>
      <c r="CJ86" s="163"/>
    </row>
    <row r="87" spans="1:88" ht="23.25" customHeight="1">
      <c r="A87" s="163"/>
      <c r="B87" s="212" t="s">
        <v>555</v>
      </c>
      <c r="C87" s="211" t="s">
        <v>193</v>
      </c>
      <c r="D87" s="211"/>
      <c r="E87" s="211"/>
      <c r="F87" s="211" t="s">
        <v>193</v>
      </c>
      <c r="G87" s="211"/>
      <c r="H87" s="211"/>
      <c r="I87" s="211" t="s">
        <v>193</v>
      </c>
      <c r="J87" s="211" t="s">
        <v>193</v>
      </c>
      <c r="K87" s="210"/>
      <c r="L87" s="210"/>
      <c r="M87" s="211"/>
      <c r="N87" s="211" t="s">
        <v>193</v>
      </c>
      <c r="O87" s="211" t="s">
        <v>193</v>
      </c>
      <c r="P87" s="211" t="s">
        <v>193</v>
      </c>
      <c r="Q87" s="211" t="s">
        <v>193</v>
      </c>
      <c r="R87" s="211" t="s">
        <v>193</v>
      </c>
      <c r="S87" s="211" t="s">
        <v>193</v>
      </c>
      <c r="T87" s="211" t="s">
        <v>193</v>
      </c>
      <c r="U87" s="211" t="s">
        <v>193</v>
      </c>
      <c r="V87" s="211" t="s">
        <v>193</v>
      </c>
      <c r="W87" s="211" t="s">
        <v>193</v>
      </c>
      <c r="X87" s="211" t="s">
        <v>193</v>
      </c>
      <c r="Y87" s="211"/>
      <c r="Z87" s="211"/>
      <c r="AA87" s="211" t="s">
        <v>193</v>
      </c>
      <c r="AB87" s="211"/>
      <c r="AC87" s="211"/>
      <c r="AD87" s="211" t="s">
        <v>193</v>
      </c>
      <c r="AE87" s="211"/>
      <c r="AF87" s="211" t="s">
        <v>193</v>
      </c>
      <c r="AG87" s="211"/>
      <c r="AH87" s="211"/>
      <c r="AI87" s="211" t="s">
        <v>193</v>
      </c>
      <c r="AJ87" s="211"/>
      <c r="AK87" s="211"/>
      <c r="AL87" s="211" t="s">
        <v>193</v>
      </c>
      <c r="AM87" s="211" t="s">
        <v>193</v>
      </c>
      <c r="AN87" s="211" t="s">
        <v>193</v>
      </c>
      <c r="AO87" s="211"/>
      <c r="AP87" s="211"/>
      <c r="AQ87" s="211"/>
      <c r="AR87" s="211"/>
      <c r="AS87" s="211" t="s">
        <v>193</v>
      </c>
      <c r="AT87" s="211"/>
      <c r="AU87" s="211" t="s">
        <v>193</v>
      </c>
      <c r="AV87" s="211" t="s">
        <v>193</v>
      </c>
      <c r="AW87" s="211" t="s">
        <v>193</v>
      </c>
      <c r="AX87" s="211" t="s">
        <v>193</v>
      </c>
      <c r="AY87" s="211" t="s">
        <v>476</v>
      </c>
      <c r="AZ87" s="211" t="s">
        <v>193</v>
      </c>
      <c r="BA87" s="211"/>
      <c r="BB87" s="211"/>
      <c r="BC87" s="211"/>
      <c r="BD87" s="211" t="s">
        <v>193</v>
      </c>
      <c r="BE87" s="211" t="s">
        <v>193</v>
      </c>
      <c r="BF87" s="211" t="s">
        <v>193</v>
      </c>
      <c r="BG87" s="211" t="s">
        <v>193</v>
      </c>
      <c r="BH87" s="211" t="s">
        <v>193</v>
      </c>
      <c r="BI87" s="211"/>
      <c r="BJ87" s="211"/>
      <c r="BK87" s="211" t="s">
        <v>193</v>
      </c>
      <c r="BL87" s="211" t="s">
        <v>193</v>
      </c>
      <c r="BM87" s="211"/>
      <c r="BN87" s="211" t="s">
        <v>193</v>
      </c>
      <c r="BO87" s="211" t="s">
        <v>193</v>
      </c>
      <c r="BP87" s="211" t="s">
        <v>193</v>
      </c>
      <c r="BQ87" s="211" t="s">
        <v>193</v>
      </c>
      <c r="BR87" s="211" t="s">
        <v>193</v>
      </c>
      <c r="BS87" s="211" t="s">
        <v>193</v>
      </c>
      <c r="BT87" s="211" t="s">
        <v>193</v>
      </c>
      <c r="BU87" s="211" t="s">
        <v>193</v>
      </c>
      <c r="BV87" s="211" t="s">
        <v>193</v>
      </c>
      <c r="BW87" s="211" t="s">
        <v>193</v>
      </c>
      <c r="BX87" s="211" t="s">
        <v>193</v>
      </c>
      <c r="BY87" s="211"/>
      <c r="BZ87" s="211" t="s">
        <v>193</v>
      </c>
      <c r="CA87" s="211"/>
      <c r="CB87" s="211" t="s">
        <v>193</v>
      </c>
      <c r="CC87" s="211" t="s">
        <v>193</v>
      </c>
      <c r="CD87" s="211" t="s">
        <v>193</v>
      </c>
      <c r="CE87" s="211"/>
      <c r="CF87" s="211" t="s">
        <v>193</v>
      </c>
      <c r="CG87" s="211" t="s">
        <v>193</v>
      </c>
      <c r="CH87" s="211" t="s">
        <v>193</v>
      </c>
      <c r="CI87" s="211" t="s">
        <v>193</v>
      </c>
      <c r="CJ87" s="163"/>
    </row>
    <row r="88" spans="1:88" ht="23.25" customHeight="1">
      <c r="A88" s="163"/>
      <c r="B88" s="212" t="s">
        <v>556</v>
      </c>
      <c r="C88" s="211" t="s">
        <v>193</v>
      </c>
      <c r="D88" s="211"/>
      <c r="E88" s="211"/>
      <c r="F88" s="211" t="s">
        <v>193</v>
      </c>
      <c r="G88" s="211"/>
      <c r="H88" s="211"/>
      <c r="I88" s="211" t="s">
        <v>193</v>
      </c>
      <c r="J88" s="211" t="s">
        <v>193</v>
      </c>
      <c r="K88" s="210"/>
      <c r="L88" s="210"/>
      <c r="M88" s="211"/>
      <c r="N88" s="211" t="s">
        <v>193</v>
      </c>
      <c r="O88" s="211" t="s">
        <v>193</v>
      </c>
      <c r="P88" s="211" t="s">
        <v>193</v>
      </c>
      <c r="Q88" s="211" t="s">
        <v>193</v>
      </c>
      <c r="R88" s="211" t="s">
        <v>193</v>
      </c>
      <c r="S88" s="211" t="s">
        <v>193</v>
      </c>
      <c r="T88" s="211" t="s">
        <v>193</v>
      </c>
      <c r="U88" s="211" t="s">
        <v>193</v>
      </c>
      <c r="V88" s="211" t="s">
        <v>193</v>
      </c>
      <c r="W88" s="211" t="s">
        <v>193</v>
      </c>
      <c r="X88" s="211" t="s">
        <v>193</v>
      </c>
      <c r="Y88" s="211"/>
      <c r="Z88" s="211"/>
      <c r="AA88" s="211" t="s">
        <v>193</v>
      </c>
      <c r="AB88" s="211"/>
      <c r="AC88" s="211"/>
      <c r="AD88" s="211" t="s">
        <v>193</v>
      </c>
      <c r="AE88" s="211"/>
      <c r="AF88" s="211" t="s">
        <v>193</v>
      </c>
      <c r="AG88" s="211"/>
      <c r="AH88" s="211"/>
      <c r="AI88" s="211" t="s">
        <v>193</v>
      </c>
      <c r="AJ88" s="211"/>
      <c r="AK88" s="211"/>
      <c r="AL88" s="211" t="s">
        <v>193</v>
      </c>
      <c r="AM88" s="211" t="s">
        <v>193</v>
      </c>
      <c r="AN88" s="211" t="s">
        <v>193</v>
      </c>
      <c r="AO88" s="211"/>
      <c r="AP88" s="211"/>
      <c r="AQ88" s="211"/>
      <c r="AR88" s="211"/>
      <c r="AS88" s="211" t="s">
        <v>193</v>
      </c>
      <c r="AT88" s="211"/>
      <c r="AU88" s="211" t="s">
        <v>193</v>
      </c>
      <c r="AV88" s="211" t="s">
        <v>193</v>
      </c>
      <c r="AW88" s="211" t="s">
        <v>193</v>
      </c>
      <c r="AX88" s="211" t="s">
        <v>193</v>
      </c>
      <c r="AY88" s="211" t="s">
        <v>476</v>
      </c>
      <c r="AZ88" s="211" t="s">
        <v>193</v>
      </c>
      <c r="BA88" s="211"/>
      <c r="BB88" s="211"/>
      <c r="BC88" s="211"/>
      <c r="BD88" s="211" t="s">
        <v>193</v>
      </c>
      <c r="BE88" s="211" t="s">
        <v>193</v>
      </c>
      <c r="BF88" s="211" t="s">
        <v>193</v>
      </c>
      <c r="BG88" s="211" t="s">
        <v>193</v>
      </c>
      <c r="BH88" s="211" t="s">
        <v>193</v>
      </c>
      <c r="BI88" s="211"/>
      <c r="BJ88" s="211"/>
      <c r="BK88" s="211" t="s">
        <v>193</v>
      </c>
      <c r="BL88" s="211" t="s">
        <v>193</v>
      </c>
      <c r="BM88" s="211"/>
      <c r="BN88" s="211" t="s">
        <v>193</v>
      </c>
      <c r="BO88" s="211" t="s">
        <v>193</v>
      </c>
      <c r="BP88" s="211" t="s">
        <v>193</v>
      </c>
      <c r="BQ88" s="211" t="s">
        <v>193</v>
      </c>
      <c r="BR88" s="211" t="s">
        <v>193</v>
      </c>
      <c r="BS88" s="211" t="s">
        <v>193</v>
      </c>
      <c r="BT88" s="211" t="s">
        <v>193</v>
      </c>
      <c r="BU88" s="211" t="s">
        <v>193</v>
      </c>
      <c r="BV88" s="211" t="s">
        <v>193</v>
      </c>
      <c r="BW88" s="211" t="s">
        <v>193</v>
      </c>
      <c r="BX88" s="211" t="s">
        <v>193</v>
      </c>
      <c r="BY88" s="211"/>
      <c r="BZ88" s="211" t="s">
        <v>193</v>
      </c>
      <c r="CA88" s="211"/>
      <c r="CB88" s="211" t="s">
        <v>193</v>
      </c>
      <c r="CC88" s="211" t="s">
        <v>193</v>
      </c>
      <c r="CD88" s="211" t="s">
        <v>193</v>
      </c>
      <c r="CE88" s="211"/>
      <c r="CF88" s="211" t="s">
        <v>193</v>
      </c>
      <c r="CG88" s="211" t="s">
        <v>193</v>
      </c>
      <c r="CH88" s="211" t="s">
        <v>193</v>
      </c>
      <c r="CI88" s="211" t="s">
        <v>193</v>
      </c>
      <c r="CJ88" s="163"/>
    </row>
    <row r="89" spans="1:88" ht="23.25" customHeight="1">
      <c r="A89" s="163"/>
      <c r="B89" s="212" t="s">
        <v>557</v>
      </c>
      <c r="C89" s="211" t="s">
        <v>193</v>
      </c>
      <c r="D89" s="211"/>
      <c r="E89" s="211"/>
      <c r="F89" s="211" t="s">
        <v>193</v>
      </c>
      <c r="G89" s="211"/>
      <c r="H89" s="211"/>
      <c r="I89" s="211" t="s">
        <v>193</v>
      </c>
      <c r="J89" s="211" t="s">
        <v>193</v>
      </c>
      <c r="K89" s="210"/>
      <c r="L89" s="210"/>
      <c r="M89" s="211"/>
      <c r="N89" s="211" t="s">
        <v>193</v>
      </c>
      <c r="O89" s="211" t="s">
        <v>193</v>
      </c>
      <c r="P89" s="211" t="s">
        <v>193</v>
      </c>
      <c r="Q89" s="211" t="s">
        <v>193</v>
      </c>
      <c r="R89" s="211" t="s">
        <v>193</v>
      </c>
      <c r="S89" s="211" t="s">
        <v>193</v>
      </c>
      <c r="T89" s="211" t="s">
        <v>193</v>
      </c>
      <c r="U89" s="211" t="s">
        <v>193</v>
      </c>
      <c r="V89" s="211" t="s">
        <v>193</v>
      </c>
      <c r="W89" s="211" t="s">
        <v>193</v>
      </c>
      <c r="X89" s="211" t="s">
        <v>193</v>
      </c>
      <c r="Y89" s="211"/>
      <c r="Z89" s="211"/>
      <c r="AA89" s="211" t="s">
        <v>193</v>
      </c>
      <c r="AB89" s="211"/>
      <c r="AC89" s="211"/>
      <c r="AD89" s="211" t="s">
        <v>193</v>
      </c>
      <c r="AE89" s="211"/>
      <c r="AF89" s="211" t="s">
        <v>193</v>
      </c>
      <c r="AG89" s="211"/>
      <c r="AH89" s="211"/>
      <c r="AI89" s="211" t="s">
        <v>193</v>
      </c>
      <c r="AJ89" s="211"/>
      <c r="AK89" s="211"/>
      <c r="AL89" s="211" t="s">
        <v>193</v>
      </c>
      <c r="AM89" s="211" t="s">
        <v>193</v>
      </c>
      <c r="AN89" s="211" t="s">
        <v>193</v>
      </c>
      <c r="AO89" s="211"/>
      <c r="AP89" s="211"/>
      <c r="AQ89" s="211"/>
      <c r="AR89" s="211"/>
      <c r="AS89" s="211" t="s">
        <v>193</v>
      </c>
      <c r="AT89" s="211"/>
      <c r="AU89" s="211" t="s">
        <v>193</v>
      </c>
      <c r="AV89" s="211" t="s">
        <v>193</v>
      </c>
      <c r="AW89" s="211" t="s">
        <v>193</v>
      </c>
      <c r="AX89" s="211" t="s">
        <v>193</v>
      </c>
      <c r="AY89" s="211" t="s">
        <v>476</v>
      </c>
      <c r="AZ89" s="211" t="s">
        <v>193</v>
      </c>
      <c r="BA89" s="211"/>
      <c r="BB89" s="211"/>
      <c r="BC89" s="211"/>
      <c r="BD89" s="211" t="s">
        <v>193</v>
      </c>
      <c r="BE89" s="211" t="s">
        <v>193</v>
      </c>
      <c r="BF89" s="211" t="s">
        <v>193</v>
      </c>
      <c r="BG89" s="211" t="s">
        <v>193</v>
      </c>
      <c r="BH89" s="211" t="s">
        <v>193</v>
      </c>
      <c r="BI89" s="211"/>
      <c r="BJ89" s="211"/>
      <c r="BK89" s="211" t="s">
        <v>193</v>
      </c>
      <c r="BL89" s="211" t="s">
        <v>193</v>
      </c>
      <c r="BM89" s="211"/>
      <c r="BN89" s="211" t="s">
        <v>193</v>
      </c>
      <c r="BO89" s="211" t="s">
        <v>193</v>
      </c>
      <c r="BP89" s="211" t="s">
        <v>193</v>
      </c>
      <c r="BQ89" s="211" t="s">
        <v>193</v>
      </c>
      <c r="BR89" s="211" t="s">
        <v>193</v>
      </c>
      <c r="BS89" s="211" t="s">
        <v>193</v>
      </c>
      <c r="BT89" s="211" t="s">
        <v>193</v>
      </c>
      <c r="BU89" s="211" t="s">
        <v>193</v>
      </c>
      <c r="BV89" s="211" t="s">
        <v>193</v>
      </c>
      <c r="BW89" s="211" t="s">
        <v>193</v>
      </c>
      <c r="BX89" s="211" t="s">
        <v>193</v>
      </c>
      <c r="BY89" s="211"/>
      <c r="BZ89" s="211" t="s">
        <v>193</v>
      </c>
      <c r="CA89" s="211"/>
      <c r="CB89" s="211" t="s">
        <v>193</v>
      </c>
      <c r="CC89" s="211" t="s">
        <v>193</v>
      </c>
      <c r="CD89" s="211" t="s">
        <v>193</v>
      </c>
      <c r="CE89" s="211"/>
      <c r="CF89" s="211" t="s">
        <v>193</v>
      </c>
      <c r="CG89" s="211" t="s">
        <v>193</v>
      </c>
      <c r="CH89" s="211" t="s">
        <v>193</v>
      </c>
      <c r="CI89" s="211" t="s">
        <v>193</v>
      </c>
      <c r="CJ89" s="163"/>
    </row>
    <row r="90" spans="1:88" ht="23.25" customHeight="1">
      <c r="A90" s="163"/>
      <c r="B90" s="212" t="s">
        <v>558</v>
      </c>
      <c r="C90" s="211" t="s">
        <v>193</v>
      </c>
      <c r="D90" s="211"/>
      <c r="E90" s="211"/>
      <c r="F90" s="211" t="s">
        <v>193</v>
      </c>
      <c r="G90" s="211"/>
      <c r="H90" s="211"/>
      <c r="I90" s="211" t="s">
        <v>193</v>
      </c>
      <c r="J90" s="211" t="s">
        <v>193</v>
      </c>
      <c r="K90" s="210"/>
      <c r="L90" s="210"/>
      <c r="M90" s="211"/>
      <c r="N90" s="211" t="s">
        <v>193</v>
      </c>
      <c r="O90" s="211" t="s">
        <v>193</v>
      </c>
      <c r="P90" s="211" t="s">
        <v>193</v>
      </c>
      <c r="Q90" s="211" t="s">
        <v>193</v>
      </c>
      <c r="R90" s="211" t="s">
        <v>193</v>
      </c>
      <c r="S90" s="211" t="s">
        <v>193</v>
      </c>
      <c r="T90" s="211" t="s">
        <v>193</v>
      </c>
      <c r="U90" s="211" t="s">
        <v>193</v>
      </c>
      <c r="V90" s="211" t="s">
        <v>193</v>
      </c>
      <c r="W90" s="211" t="s">
        <v>193</v>
      </c>
      <c r="X90" s="211" t="s">
        <v>193</v>
      </c>
      <c r="Y90" s="211"/>
      <c r="Z90" s="211"/>
      <c r="AA90" s="211" t="s">
        <v>193</v>
      </c>
      <c r="AB90" s="211"/>
      <c r="AC90" s="211"/>
      <c r="AD90" s="211" t="s">
        <v>193</v>
      </c>
      <c r="AE90" s="211"/>
      <c r="AF90" s="211" t="s">
        <v>193</v>
      </c>
      <c r="AG90" s="211"/>
      <c r="AH90" s="211"/>
      <c r="AI90" s="211" t="s">
        <v>193</v>
      </c>
      <c r="AJ90" s="211"/>
      <c r="AK90" s="211"/>
      <c r="AL90" s="211" t="s">
        <v>193</v>
      </c>
      <c r="AM90" s="211" t="s">
        <v>193</v>
      </c>
      <c r="AN90" s="211" t="s">
        <v>193</v>
      </c>
      <c r="AO90" s="211"/>
      <c r="AP90" s="211"/>
      <c r="AQ90" s="211"/>
      <c r="AR90" s="211"/>
      <c r="AS90" s="211" t="s">
        <v>193</v>
      </c>
      <c r="AT90" s="211"/>
      <c r="AU90" s="211" t="s">
        <v>193</v>
      </c>
      <c r="AV90" s="211" t="s">
        <v>193</v>
      </c>
      <c r="AW90" s="211" t="s">
        <v>193</v>
      </c>
      <c r="AX90" s="211" t="s">
        <v>193</v>
      </c>
      <c r="AY90" s="211" t="s">
        <v>476</v>
      </c>
      <c r="AZ90" s="211" t="s">
        <v>193</v>
      </c>
      <c r="BA90" s="211"/>
      <c r="BB90" s="211"/>
      <c r="BC90" s="211"/>
      <c r="BD90" s="211" t="s">
        <v>193</v>
      </c>
      <c r="BE90" s="211" t="s">
        <v>193</v>
      </c>
      <c r="BF90" s="211" t="s">
        <v>193</v>
      </c>
      <c r="BG90" s="211" t="s">
        <v>193</v>
      </c>
      <c r="BH90" s="211" t="s">
        <v>193</v>
      </c>
      <c r="BI90" s="211"/>
      <c r="BJ90" s="211"/>
      <c r="BK90" s="211" t="s">
        <v>193</v>
      </c>
      <c r="BL90" s="211" t="s">
        <v>193</v>
      </c>
      <c r="BM90" s="211"/>
      <c r="BN90" s="211" t="s">
        <v>193</v>
      </c>
      <c r="BO90" s="211" t="s">
        <v>193</v>
      </c>
      <c r="BP90" s="211" t="s">
        <v>193</v>
      </c>
      <c r="BQ90" s="211" t="s">
        <v>193</v>
      </c>
      <c r="BR90" s="211" t="s">
        <v>193</v>
      </c>
      <c r="BS90" s="211" t="s">
        <v>193</v>
      </c>
      <c r="BT90" s="211" t="s">
        <v>193</v>
      </c>
      <c r="BU90" s="211" t="s">
        <v>193</v>
      </c>
      <c r="BV90" s="211" t="s">
        <v>193</v>
      </c>
      <c r="BW90" s="211" t="s">
        <v>193</v>
      </c>
      <c r="BX90" s="211" t="s">
        <v>193</v>
      </c>
      <c r="BY90" s="211"/>
      <c r="BZ90" s="211" t="s">
        <v>193</v>
      </c>
      <c r="CA90" s="211"/>
      <c r="CB90" s="211" t="s">
        <v>193</v>
      </c>
      <c r="CC90" s="211" t="s">
        <v>193</v>
      </c>
      <c r="CD90" s="211" t="s">
        <v>193</v>
      </c>
      <c r="CE90" s="211"/>
      <c r="CF90" s="211" t="s">
        <v>193</v>
      </c>
      <c r="CG90" s="211" t="s">
        <v>193</v>
      </c>
      <c r="CH90" s="211" t="s">
        <v>193</v>
      </c>
      <c r="CI90" s="211" t="s">
        <v>193</v>
      </c>
      <c r="CJ90" s="163"/>
    </row>
    <row r="91" spans="1:88" ht="23.25" customHeight="1">
      <c r="A91" s="163"/>
      <c r="B91" s="212" t="s">
        <v>559</v>
      </c>
      <c r="C91" s="211" t="s">
        <v>193</v>
      </c>
      <c r="D91" s="211"/>
      <c r="E91" s="211"/>
      <c r="F91" s="211" t="s">
        <v>193</v>
      </c>
      <c r="G91" s="211" t="s">
        <v>193</v>
      </c>
      <c r="H91" s="211" t="s">
        <v>193</v>
      </c>
      <c r="I91" s="211" t="s">
        <v>193</v>
      </c>
      <c r="J91" s="211" t="s">
        <v>193</v>
      </c>
      <c r="K91" s="210"/>
      <c r="L91" s="210"/>
      <c r="M91" s="211"/>
      <c r="N91" s="211" t="s">
        <v>193</v>
      </c>
      <c r="O91" s="211" t="s">
        <v>193</v>
      </c>
      <c r="P91" s="211" t="s">
        <v>193</v>
      </c>
      <c r="Q91" s="211" t="s">
        <v>193</v>
      </c>
      <c r="R91" s="211" t="s">
        <v>193</v>
      </c>
      <c r="S91" s="211" t="s">
        <v>193</v>
      </c>
      <c r="T91" s="211" t="s">
        <v>193</v>
      </c>
      <c r="U91" s="211" t="s">
        <v>193</v>
      </c>
      <c r="V91" s="211" t="s">
        <v>193</v>
      </c>
      <c r="W91" s="211" t="s">
        <v>193</v>
      </c>
      <c r="X91" s="211" t="s">
        <v>193</v>
      </c>
      <c r="Y91" s="211"/>
      <c r="Z91" s="211"/>
      <c r="AA91" s="211" t="s">
        <v>193</v>
      </c>
      <c r="AB91" s="211"/>
      <c r="AC91" s="211"/>
      <c r="AD91" s="211" t="s">
        <v>193</v>
      </c>
      <c r="AE91" s="211"/>
      <c r="AF91" s="211" t="s">
        <v>193</v>
      </c>
      <c r="AG91" s="211"/>
      <c r="AH91" s="211"/>
      <c r="AI91" s="211" t="s">
        <v>193</v>
      </c>
      <c r="AJ91" s="211"/>
      <c r="AK91" s="211"/>
      <c r="AL91" s="211" t="s">
        <v>193</v>
      </c>
      <c r="AM91" s="211" t="s">
        <v>193</v>
      </c>
      <c r="AN91" s="211" t="s">
        <v>193</v>
      </c>
      <c r="AO91" s="211"/>
      <c r="AP91" s="211"/>
      <c r="AQ91" s="211"/>
      <c r="AR91" s="211"/>
      <c r="AS91" s="211" t="s">
        <v>193</v>
      </c>
      <c r="AT91" s="211"/>
      <c r="AU91" s="211" t="s">
        <v>193</v>
      </c>
      <c r="AV91" s="211" t="s">
        <v>193</v>
      </c>
      <c r="AW91" s="211" t="s">
        <v>193</v>
      </c>
      <c r="AX91" s="211" t="s">
        <v>193</v>
      </c>
      <c r="AY91" s="211" t="s">
        <v>476</v>
      </c>
      <c r="AZ91" s="211" t="s">
        <v>193</v>
      </c>
      <c r="BA91" s="211"/>
      <c r="BB91" s="211"/>
      <c r="BC91" s="211"/>
      <c r="BD91" s="211" t="s">
        <v>193</v>
      </c>
      <c r="BE91" s="211" t="s">
        <v>193</v>
      </c>
      <c r="BF91" s="211" t="s">
        <v>193</v>
      </c>
      <c r="BG91" s="211" t="s">
        <v>193</v>
      </c>
      <c r="BH91" s="211" t="s">
        <v>193</v>
      </c>
      <c r="BI91" s="211"/>
      <c r="BJ91" s="211"/>
      <c r="BK91" s="211" t="s">
        <v>193</v>
      </c>
      <c r="BL91" s="211" t="s">
        <v>193</v>
      </c>
      <c r="BM91" s="211"/>
      <c r="BN91" s="211" t="s">
        <v>193</v>
      </c>
      <c r="BO91" s="211" t="s">
        <v>193</v>
      </c>
      <c r="BP91" s="211" t="s">
        <v>193</v>
      </c>
      <c r="BQ91" s="211" t="s">
        <v>193</v>
      </c>
      <c r="BR91" s="211" t="s">
        <v>193</v>
      </c>
      <c r="BS91" s="211" t="s">
        <v>193</v>
      </c>
      <c r="BT91" s="211" t="s">
        <v>193</v>
      </c>
      <c r="BU91" s="211" t="s">
        <v>193</v>
      </c>
      <c r="BV91" s="211" t="s">
        <v>193</v>
      </c>
      <c r="BW91" s="211" t="s">
        <v>193</v>
      </c>
      <c r="BX91" s="211" t="s">
        <v>193</v>
      </c>
      <c r="BY91" s="211" t="s">
        <v>193</v>
      </c>
      <c r="BZ91" s="211" t="s">
        <v>193</v>
      </c>
      <c r="CA91" s="211"/>
      <c r="CB91" s="211" t="s">
        <v>193</v>
      </c>
      <c r="CC91" s="211" t="s">
        <v>193</v>
      </c>
      <c r="CD91" s="211" t="s">
        <v>193</v>
      </c>
      <c r="CE91" s="211"/>
      <c r="CF91" s="211" t="s">
        <v>193</v>
      </c>
      <c r="CG91" s="211" t="s">
        <v>193</v>
      </c>
      <c r="CH91" s="211" t="s">
        <v>193</v>
      </c>
      <c r="CI91" s="211" t="s">
        <v>193</v>
      </c>
      <c r="CJ91" s="163"/>
    </row>
    <row r="92" spans="1:88" ht="23.25" customHeight="1">
      <c r="A92" s="163"/>
      <c r="B92" s="212" t="s">
        <v>560</v>
      </c>
      <c r="C92" s="211" t="s">
        <v>193</v>
      </c>
      <c r="D92" s="211"/>
      <c r="E92" s="211"/>
      <c r="F92" s="211" t="s">
        <v>193</v>
      </c>
      <c r="G92" s="211"/>
      <c r="H92" s="211" t="s">
        <v>193</v>
      </c>
      <c r="I92" s="211" t="s">
        <v>193</v>
      </c>
      <c r="J92" s="211" t="s">
        <v>193</v>
      </c>
      <c r="K92" s="210"/>
      <c r="L92" s="210"/>
      <c r="M92" s="211"/>
      <c r="N92" s="211" t="s">
        <v>193</v>
      </c>
      <c r="O92" s="211" t="s">
        <v>193</v>
      </c>
      <c r="P92" s="211" t="s">
        <v>193</v>
      </c>
      <c r="Q92" s="211" t="s">
        <v>193</v>
      </c>
      <c r="R92" s="211" t="s">
        <v>193</v>
      </c>
      <c r="S92" s="211" t="s">
        <v>193</v>
      </c>
      <c r="T92" s="211" t="s">
        <v>193</v>
      </c>
      <c r="U92" s="211" t="s">
        <v>193</v>
      </c>
      <c r="V92" s="211" t="s">
        <v>193</v>
      </c>
      <c r="W92" s="211" t="s">
        <v>193</v>
      </c>
      <c r="X92" s="211" t="s">
        <v>193</v>
      </c>
      <c r="Y92" s="211"/>
      <c r="Z92" s="211"/>
      <c r="AA92" s="211" t="s">
        <v>193</v>
      </c>
      <c r="AB92" s="211"/>
      <c r="AC92" s="211"/>
      <c r="AD92" s="211" t="s">
        <v>193</v>
      </c>
      <c r="AE92" s="211"/>
      <c r="AF92" s="211" t="s">
        <v>193</v>
      </c>
      <c r="AG92" s="211"/>
      <c r="AH92" s="211"/>
      <c r="AI92" s="211" t="s">
        <v>193</v>
      </c>
      <c r="AJ92" s="211"/>
      <c r="AK92" s="211"/>
      <c r="AL92" s="211" t="s">
        <v>193</v>
      </c>
      <c r="AM92" s="211" t="s">
        <v>193</v>
      </c>
      <c r="AN92" s="211" t="s">
        <v>193</v>
      </c>
      <c r="AO92" s="211"/>
      <c r="AP92" s="211"/>
      <c r="AQ92" s="211"/>
      <c r="AR92" s="211"/>
      <c r="AS92" s="211" t="s">
        <v>193</v>
      </c>
      <c r="AT92" s="211"/>
      <c r="AU92" s="211" t="s">
        <v>193</v>
      </c>
      <c r="AV92" s="211" t="s">
        <v>193</v>
      </c>
      <c r="AW92" s="211" t="s">
        <v>193</v>
      </c>
      <c r="AX92" s="211" t="s">
        <v>193</v>
      </c>
      <c r="AY92" s="211" t="s">
        <v>476</v>
      </c>
      <c r="AZ92" s="211" t="s">
        <v>193</v>
      </c>
      <c r="BA92" s="211"/>
      <c r="BB92" s="211"/>
      <c r="BC92" s="211"/>
      <c r="BD92" s="211" t="s">
        <v>193</v>
      </c>
      <c r="BE92" s="211" t="s">
        <v>193</v>
      </c>
      <c r="BF92" s="211" t="s">
        <v>193</v>
      </c>
      <c r="BG92" s="211" t="s">
        <v>193</v>
      </c>
      <c r="BH92" s="211" t="s">
        <v>193</v>
      </c>
      <c r="BI92" s="211"/>
      <c r="BJ92" s="211"/>
      <c r="BK92" s="211" t="s">
        <v>193</v>
      </c>
      <c r="BL92" s="211" t="s">
        <v>193</v>
      </c>
      <c r="BM92" s="211"/>
      <c r="BN92" s="211" t="s">
        <v>193</v>
      </c>
      <c r="BO92" s="211" t="s">
        <v>193</v>
      </c>
      <c r="BP92" s="211" t="s">
        <v>193</v>
      </c>
      <c r="BQ92" s="211" t="s">
        <v>193</v>
      </c>
      <c r="BR92" s="211" t="s">
        <v>193</v>
      </c>
      <c r="BS92" s="211" t="s">
        <v>193</v>
      </c>
      <c r="BT92" s="211" t="s">
        <v>193</v>
      </c>
      <c r="BU92" s="211" t="s">
        <v>193</v>
      </c>
      <c r="BV92" s="211" t="s">
        <v>193</v>
      </c>
      <c r="BW92" s="211" t="s">
        <v>193</v>
      </c>
      <c r="BX92" s="211" t="s">
        <v>193</v>
      </c>
      <c r="BY92" s="211"/>
      <c r="BZ92" s="211" t="s">
        <v>193</v>
      </c>
      <c r="CA92" s="211"/>
      <c r="CB92" s="211" t="s">
        <v>193</v>
      </c>
      <c r="CC92" s="211" t="s">
        <v>193</v>
      </c>
      <c r="CD92" s="211" t="s">
        <v>193</v>
      </c>
      <c r="CE92" s="211"/>
      <c r="CF92" s="211" t="s">
        <v>193</v>
      </c>
      <c r="CG92" s="211" t="s">
        <v>193</v>
      </c>
      <c r="CH92" s="211" t="s">
        <v>193</v>
      </c>
      <c r="CI92" s="211" t="s">
        <v>193</v>
      </c>
      <c r="CJ92" s="163"/>
    </row>
    <row r="93" spans="1:88" ht="23.25" customHeight="1">
      <c r="A93" s="163"/>
      <c r="B93" s="212" t="s">
        <v>561</v>
      </c>
      <c r="C93" s="211" t="s">
        <v>193</v>
      </c>
      <c r="D93" s="211"/>
      <c r="E93" s="211"/>
      <c r="F93" s="211" t="s">
        <v>193</v>
      </c>
      <c r="G93" s="211"/>
      <c r="H93" s="211"/>
      <c r="I93" s="211" t="s">
        <v>193</v>
      </c>
      <c r="J93" s="211" t="s">
        <v>193</v>
      </c>
      <c r="K93" s="210"/>
      <c r="L93" s="210"/>
      <c r="M93" s="211"/>
      <c r="N93" s="211" t="s">
        <v>193</v>
      </c>
      <c r="O93" s="211" t="s">
        <v>193</v>
      </c>
      <c r="P93" s="211" t="s">
        <v>193</v>
      </c>
      <c r="Q93" s="211" t="s">
        <v>193</v>
      </c>
      <c r="R93" s="211" t="s">
        <v>193</v>
      </c>
      <c r="S93" s="211" t="s">
        <v>193</v>
      </c>
      <c r="T93" s="211" t="s">
        <v>193</v>
      </c>
      <c r="U93" s="211" t="s">
        <v>193</v>
      </c>
      <c r="V93" s="211" t="s">
        <v>193</v>
      </c>
      <c r="W93" s="211" t="s">
        <v>193</v>
      </c>
      <c r="X93" s="211" t="s">
        <v>193</v>
      </c>
      <c r="Y93" s="211"/>
      <c r="Z93" s="211"/>
      <c r="AA93" s="211" t="s">
        <v>193</v>
      </c>
      <c r="AB93" s="211"/>
      <c r="AC93" s="211"/>
      <c r="AD93" s="211" t="s">
        <v>193</v>
      </c>
      <c r="AE93" s="211"/>
      <c r="AF93" s="211" t="s">
        <v>193</v>
      </c>
      <c r="AG93" s="211"/>
      <c r="AH93" s="211"/>
      <c r="AI93" s="211" t="s">
        <v>193</v>
      </c>
      <c r="AJ93" s="211"/>
      <c r="AK93" s="211"/>
      <c r="AL93" s="211" t="s">
        <v>193</v>
      </c>
      <c r="AM93" s="211" t="s">
        <v>193</v>
      </c>
      <c r="AN93" s="211" t="s">
        <v>193</v>
      </c>
      <c r="AO93" s="211"/>
      <c r="AP93" s="211"/>
      <c r="AQ93" s="211"/>
      <c r="AR93" s="211"/>
      <c r="AS93" s="211" t="s">
        <v>193</v>
      </c>
      <c r="AT93" s="211"/>
      <c r="AU93" s="211" t="s">
        <v>193</v>
      </c>
      <c r="AV93" s="211" t="s">
        <v>193</v>
      </c>
      <c r="AW93" s="211" t="s">
        <v>193</v>
      </c>
      <c r="AX93" s="211" t="s">
        <v>193</v>
      </c>
      <c r="AY93" s="211" t="s">
        <v>476</v>
      </c>
      <c r="AZ93" s="211" t="s">
        <v>193</v>
      </c>
      <c r="BA93" s="211"/>
      <c r="BB93" s="211"/>
      <c r="BC93" s="211"/>
      <c r="BD93" s="211" t="s">
        <v>193</v>
      </c>
      <c r="BE93" s="211" t="s">
        <v>193</v>
      </c>
      <c r="BF93" s="211" t="s">
        <v>193</v>
      </c>
      <c r="BG93" s="211" t="s">
        <v>193</v>
      </c>
      <c r="BH93" s="211" t="s">
        <v>193</v>
      </c>
      <c r="BI93" s="211"/>
      <c r="BJ93" s="211"/>
      <c r="BK93" s="211" t="s">
        <v>193</v>
      </c>
      <c r="BL93" s="211" t="s">
        <v>193</v>
      </c>
      <c r="BM93" s="211"/>
      <c r="BN93" s="211" t="s">
        <v>193</v>
      </c>
      <c r="BO93" s="211" t="s">
        <v>193</v>
      </c>
      <c r="BP93" s="211" t="s">
        <v>193</v>
      </c>
      <c r="BQ93" s="211" t="s">
        <v>193</v>
      </c>
      <c r="BR93" s="211" t="s">
        <v>193</v>
      </c>
      <c r="BS93" s="211" t="s">
        <v>193</v>
      </c>
      <c r="BT93" s="211" t="s">
        <v>193</v>
      </c>
      <c r="BU93" s="211" t="s">
        <v>193</v>
      </c>
      <c r="BV93" s="211" t="s">
        <v>193</v>
      </c>
      <c r="BW93" s="211" t="s">
        <v>193</v>
      </c>
      <c r="BX93" s="211" t="s">
        <v>193</v>
      </c>
      <c r="BY93" s="211"/>
      <c r="BZ93" s="211" t="s">
        <v>193</v>
      </c>
      <c r="CA93" s="211"/>
      <c r="CB93" s="211" t="s">
        <v>193</v>
      </c>
      <c r="CC93" s="211" t="s">
        <v>193</v>
      </c>
      <c r="CD93" s="211" t="s">
        <v>193</v>
      </c>
      <c r="CE93" s="211"/>
      <c r="CF93" s="211" t="s">
        <v>193</v>
      </c>
      <c r="CG93" s="211" t="s">
        <v>193</v>
      </c>
      <c r="CH93" s="211" t="s">
        <v>193</v>
      </c>
      <c r="CI93" s="211" t="s">
        <v>193</v>
      </c>
      <c r="CJ93" s="163"/>
    </row>
    <row r="94" spans="1:88" ht="23.25" customHeight="1">
      <c r="A94" s="163"/>
      <c r="B94" s="212" t="s">
        <v>562</v>
      </c>
      <c r="C94" s="211" t="s">
        <v>193</v>
      </c>
      <c r="D94" s="211"/>
      <c r="E94" s="211"/>
      <c r="F94" s="211" t="s">
        <v>193</v>
      </c>
      <c r="G94" s="211"/>
      <c r="H94" s="211"/>
      <c r="I94" s="211" t="s">
        <v>193</v>
      </c>
      <c r="J94" s="211" t="s">
        <v>193</v>
      </c>
      <c r="K94" s="210"/>
      <c r="L94" s="210"/>
      <c r="M94" s="211"/>
      <c r="N94" s="211" t="s">
        <v>193</v>
      </c>
      <c r="O94" s="211" t="s">
        <v>193</v>
      </c>
      <c r="P94" s="211" t="s">
        <v>193</v>
      </c>
      <c r="Q94" s="211" t="s">
        <v>193</v>
      </c>
      <c r="R94" s="211" t="s">
        <v>193</v>
      </c>
      <c r="S94" s="211" t="s">
        <v>193</v>
      </c>
      <c r="T94" s="211" t="s">
        <v>193</v>
      </c>
      <c r="U94" s="211" t="s">
        <v>193</v>
      </c>
      <c r="V94" s="211" t="s">
        <v>193</v>
      </c>
      <c r="W94" s="211" t="s">
        <v>193</v>
      </c>
      <c r="X94" s="211" t="s">
        <v>193</v>
      </c>
      <c r="Y94" s="211"/>
      <c r="Z94" s="211"/>
      <c r="AA94" s="211" t="s">
        <v>193</v>
      </c>
      <c r="AB94" s="211"/>
      <c r="AC94" s="211"/>
      <c r="AD94" s="211" t="s">
        <v>193</v>
      </c>
      <c r="AE94" s="211"/>
      <c r="AF94" s="211" t="s">
        <v>193</v>
      </c>
      <c r="AG94" s="211"/>
      <c r="AH94" s="211"/>
      <c r="AI94" s="211" t="s">
        <v>193</v>
      </c>
      <c r="AJ94" s="211"/>
      <c r="AK94" s="211"/>
      <c r="AL94" s="211" t="s">
        <v>193</v>
      </c>
      <c r="AM94" s="211" t="s">
        <v>193</v>
      </c>
      <c r="AN94" s="211" t="s">
        <v>193</v>
      </c>
      <c r="AO94" s="211"/>
      <c r="AP94" s="211"/>
      <c r="AQ94" s="211"/>
      <c r="AR94" s="211"/>
      <c r="AS94" s="211" t="s">
        <v>193</v>
      </c>
      <c r="AT94" s="211"/>
      <c r="AU94" s="211" t="s">
        <v>193</v>
      </c>
      <c r="AV94" s="211" t="s">
        <v>193</v>
      </c>
      <c r="AW94" s="211" t="s">
        <v>193</v>
      </c>
      <c r="AX94" s="211" t="s">
        <v>193</v>
      </c>
      <c r="AY94" s="211" t="s">
        <v>476</v>
      </c>
      <c r="AZ94" s="211" t="s">
        <v>193</v>
      </c>
      <c r="BA94" s="211"/>
      <c r="BB94" s="211"/>
      <c r="BC94" s="211"/>
      <c r="BD94" s="211" t="s">
        <v>193</v>
      </c>
      <c r="BE94" s="211" t="s">
        <v>193</v>
      </c>
      <c r="BF94" s="211" t="s">
        <v>193</v>
      </c>
      <c r="BG94" s="211" t="s">
        <v>193</v>
      </c>
      <c r="BH94" s="211" t="s">
        <v>193</v>
      </c>
      <c r="BI94" s="211"/>
      <c r="BJ94" s="211"/>
      <c r="BK94" s="211" t="s">
        <v>193</v>
      </c>
      <c r="BL94" s="211" t="s">
        <v>193</v>
      </c>
      <c r="BM94" s="211"/>
      <c r="BN94" s="211" t="s">
        <v>193</v>
      </c>
      <c r="BO94" s="211" t="s">
        <v>193</v>
      </c>
      <c r="BP94" s="211" t="s">
        <v>193</v>
      </c>
      <c r="BQ94" s="211" t="s">
        <v>193</v>
      </c>
      <c r="BR94" s="211" t="s">
        <v>193</v>
      </c>
      <c r="BS94" s="211" t="s">
        <v>193</v>
      </c>
      <c r="BT94" s="211" t="s">
        <v>193</v>
      </c>
      <c r="BU94" s="211" t="s">
        <v>193</v>
      </c>
      <c r="BV94" s="211" t="s">
        <v>193</v>
      </c>
      <c r="BW94" s="211" t="s">
        <v>193</v>
      </c>
      <c r="BX94" s="211" t="s">
        <v>193</v>
      </c>
      <c r="BY94" s="211"/>
      <c r="BZ94" s="211" t="s">
        <v>193</v>
      </c>
      <c r="CA94" s="211"/>
      <c r="CB94" s="211" t="s">
        <v>193</v>
      </c>
      <c r="CC94" s="211" t="s">
        <v>193</v>
      </c>
      <c r="CD94" s="211" t="s">
        <v>193</v>
      </c>
      <c r="CE94" s="211"/>
      <c r="CF94" s="211" t="s">
        <v>193</v>
      </c>
      <c r="CG94" s="211" t="s">
        <v>193</v>
      </c>
      <c r="CH94" s="211" t="s">
        <v>193</v>
      </c>
      <c r="CI94" s="211" t="s">
        <v>193</v>
      </c>
      <c r="CJ94" s="163"/>
    </row>
    <row r="95" spans="1:88" ht="23.25" customHeight="1">
      <c r="A95" s="163"/>
      <c r="B95" s="212" t="s">
        <v>563</v>
      </c>
      <c r="C95" s="211" t="s">
        <v>193</v>
      </c>
      <c r="D95" s="211"/>
      <c r="E95" s="211"/>
      <c r="F95" s="211" t="s">
        <v>193</v>
      </c>
      <c r="G95" s="211"/>
      <c r="H95" s="211" t="s">
        <v>193</v>
      </c>
      <c r="I95" s="211" t="s">
        <v>193</v>
      </c>
      <c r="J95" s="211" t="s">
        <v>193</v>
      </c>
      <c r="K95" s="210"/>
      <c r="L95" s="210"/>
      <c r="M95" s="211"/>
      <c r="N95" s="211" t="s">
        <v>193</v>
      </c>
      <c r="O95" s="211" t="s">
        <v>193</v>
      </c>
      <c r="P95" s="211" t="s">
        <v>193</v>
      </c>
      <c r="Q95" s="211" t="s">
        <v>193</v>
      </c>
      <c r="R95" s="211" t="s">
        <v>193</v>
      </c>
      <c r="S95" s="211" t="s">
        <v>193</v>
      </c>
      <c r="T95" s="211" t="s">
        <v>193</v>
      </c>
      <c r="U95" s="211" t="s">
        <v>193</v>
      </c>
      <c r="V95" s="211" t="s">
        <v>193</v>
      </c>
      <c r="W95" s="211" t="s">
        <v>193</v>
      </c>
      <c r="X95" s="211" t="s">
        <v>193</v>
      </c>
      <c r="Y95" s="211"/>
      <c r="Z95" s="211"/>
      <c r="AA95" s="211" t="s">
        <v>193</v>
      </c>
      <c r="AB95" s="211"/>
      <c r="AC95" s="211"/>
      <c r="AD95" s="211" t="s">
        <v>193</v>
      </c>
      <c r="AE95" s="211"/>
      <c r="AF95" s="211" t="s">
        <v>193</v>
      </c>
      <c r="AG95" s="211"/>
      <c r="AH95" s="211"/>
      <c r="AI95" s="211" t="s">
        <v>193</v>
      </c>
      <c r="AJ95" s="211"/>
      <c r="AK95" s="211"/>
      <c r="AL95" s="211" t="s">
        <v>193</v>
      </c>
      <c r="AM95" s="211" t="s">
        <v>193</v>
      </c>
      <c r="AN95" s="211" t="s">
        <v>193</v>
      </c>
      <c r="AO95" s="211"/>
      <c r="AP95" s="211"/>
      <c r="AQ95" s="211"/>
      <c r="AR95" s="211"/>
      <c r="AS95" s="211" t="s">
        <v>193</v>
      </c>
      <c r="AT95" s="211"/>
      <c r="AU95" s="211" t="s">
        <v>193</v>
      </c>
      <c r="AV95" s="211" t="s">
        <v>193</v>
      </c>
      <c r="AW95" s="211" t="s">
        <v>193</v>
      </c>
      <c r="AX95" s="211" t="s">
        <v>193</v>
      </c>
      <c r="AY95" s="211" t="s">
        <v>476</v>
      </c>
      <c r="AZ95" s="211" t="s">
        <v>193</v>
      </c>
      <c r="BA95" s="211"/>
      <c r="BB95" s="211"/>
      <c r="BC95" s="211"/>
      <c r="BD95" s="211" t="s">
        <v>193</v>
      </c>
      <c r="BE95" s="211" t="s">
        <v>193</v>
      </c>
      <c r="BF95" s="211" t="s">
        <v>193</v>
      </c>
      <c r="BG95" s="211" t="s">
        <v>193</v>
      </c>
      <c r="BH95" s="211" t="s">
        <v>193</v>
      </c>
      <c r="BI95" s="211"/>
      <c r="BJ95" s="211"/>
      <c r="BK95" s="211" t="s">
        <v>193</v>
      </c>
      <c r="BL95" s="211" t="s">
        <v>193</v>
      </c>
      <c r="BM95" s="211"/>
      <c r="BN95" s="211" t="s">
        <v>193</v>
      </c>
      <c r="BO95" s="211" t="s">
        <v>193</v>
      </c>
      <c r="BP95" s="211" t="s">
        <v>193</v>
      </c>
      <c r="BQ95" s="211" t="s">
        <v>193</v>
      </c>
      <c r="BR95" s="211" t="s">
        <v>193</v>
      </c>
      <c r="BS95" s="211" t="s">
        <v>193</v>
      </c>
      <c r="BT95" s="211" t="s">
        <v>193</v>
      </c>
      <c r="BU95" s="211" t="s">
        <v>193</v>
      </c>
      <c r="BV95" s="211" t="s">
        <v>193</v>
      </c>
      <c r="BW95" s="211" t="s">
        <v>193</v>
      </c>
      <c r="BX95" s="211" t="s">
        <v>193</v>
      </c>
      <c r="BY95" s="211"/>
      <c r="BZ95" s="211" t="s">
        <v>193</v>
      </c>
      <c r="CA95" s="211"/>
      <c r="CB95" s="211" t="s">
        <v>193</v>
      </c>
      <c r="CC95" s="211" t="s">
        <v>193</v>
      </c>
      <c r="CD95" s="211" t="s">
        <v>193</v>
      </c>
      <c r="CE95" s="211"/>
      <c r="CF95" s="211" t="s">
        <v>193</v>
      </c>
      <c r="CG95" s="211" t="s">
        <v>193</v>
      </c>
      <c r="CH95" s="211" t="s">
        <v>193</v>
      </c>
      <c r="CI95" s="211" t="s">
        <v>193</v>
      </c>
      <c r="CJ95" s="163"/>
    </row>
    <row r="96" spans="1:88" ht="23.25" customHeight="1">
      <c r="A96" s="163"/>
      <c r="B96" s="212" t="s">
        <v>564</v>
      </c>
      <c r="C96" s="211" t="s">
        <v>193</v>
      </c>
      <c r="D96" s="211"/>
      <c r="E96" s="211"/>
      <c r="F96" s="211" t="s">
        <v>193</v>
      </c>
      <c r="G96" s="288"/>
      <c r="H96" s="288"/>
      <c r="I96" s="211" t="s">
        <v>193</v>
      </c>
      <c r="J96" s="211" t="s">
        <v>193</v>
      </c>
      <c r="K96" s="214"/>
      <c r="L96" s="214"/>
      <c r="M96" s="211"/>
      <c r="N96" s="211" t="s">
        <v>193</v>
      </c>
      <c r="O96" s="211" t="s">
        <v>193</v>
      </c>
      <c r="P96" s="211" t="s">
        <v>193</v>
      </c>
      <c r="Q96" s="211" t="s">
        <v>193</v>
      </c>
      <c r="R96" s="211" t="s">
        <v>193</v>
      </c>
      <c r="S96" s="211" t="s">
        <v>193</v>
      </c>
      <c r="T96" s="211" t="s">
        <v>193</v>
      </c>
      <c r="U96" s="211" t="s">
        <v>193</v>
      </c>
      <c r="V96" s="211" t="s">
        <v>193</v>
      </c>
      <c r="W96" s="211" t="s">
        <v>193</v>
      </c>
      <c r="X96" s="211" t="s">
        <v>193</v>
      </c>
      <c r="Y96" s="211"/>
      <c r="Z96" s="211"/>
      <c r="AA96" s="211" t="s">
        <v>193</v>
      </c>
      <c r="AB96" s="211"/>
      <c r="AC96" s="211"/>
      <c r="AD96" s="211" t="s">
        <v>193</v>
      </c>
      <c r="AE96" s="211"/>
      <c r="AF96" s="211" t="s">
        <v>193</v>
      </c>
      <c r="AG96" s="211"/>
      <c r="AH96" s="211"/>
      <c r="AI96" s="211" t="s">
        <v>193</v>
      </c>
      <c r="AJ96" s="211"/>
      <c r="AK96" s="211"/>
      <c r="AL96" s="211" t="s">
        <v>193</v>
      </c>
      <c r="AM96" s="211" t="s">
        <v>193</v>
      </c>
      <c r="AN96" s="211" t="s">
        <v>193</v>
      </c>
      <c r="AO96" s="211"/>
      <c r="AP96" s="211"/>
      <c r="AQ96" s="211"/>
      <c r="AR96" s="211"/>
      <c r="AS96" s="211" t="s">
        <v>193</v>
      </c>
      <c r="AT96" s="211"/>
      <c r="AU96" s="211" t="s">
        <v>193</v>
      </c>
      <c r="AV96" s="211" t="s">
        <v>193</v>
      </c>
      <c r="AW96" s="211" t="s">
        <v>193</v>
      </c>
      <c r="AX96" s="211" t="s">
        <v>193</v>
      </c>
      <c r="AY96" s="211" t="s">
        <v>476</v>
      </c>
      <c r="AZ96" s="211" t="s">
        <v>193</v>
      </c>
      <c r="BA96" s="211"/>
      <c r="BB96" s="211"/>
      <c r="BC96" s="211"/>
      <c r="BD96" s="211" t="s">
        <v>193</v>
      </c>
      <c r="BE96" s="211" t="s">
        <v>193</v>
      </c>
      <c r="BF96" s="211" t="s">
        <v>193</v>
      </c>
      <c r="BG96" s="211" t="s">
        <v>193</v>
      </c>
      <c r="BH96" s="211" t="s">
        <v>193</v>
      </c>
      <c r="BI96" s="211"/>
      <c r="BJ96" s="211"/>
      <c r="BK96" s="211" t="s">
        <v>193</v>
      </c>
      <c r="BL96" s="211" t="s">
        <v>193</v>
      </c>
      <c r="BM96" s="211"/>
      <c r="BN96" s="211" t="s">
        <v>193</v>
      </c>
      <c r="BO96" s="211" t="s">
        <v>193</v>
      </c>
      <c r="BP96" s="211" t="s">
        <v>193</v>
      </c>
      <c r="BQ96" s="211" t="s">
        <v>193</v>
      </c>
      <c r="BR96" s="211" t="s">
        <v>193</v>
      </c>
      <c r="BS96" s="211" t="s">
        <v>193</v>
      </c>
      <c r="BT96" s="211" t="s">
        <v>193</v>
      </c>
      <c r="BU96" s="211" t="s">
        <v>193</v>
      </c>
      <c r="BV96" s="211" t="s">
        <v>193</v>
      </c>
      <c r="BW96" s="211" t="s">
        <v>193</v>
      </c>
      <c r="BX96" s="211" t="s">
        <v>193</v>
      </c>
      <c r="BY96" s="211"/>
      <c r="BZ96" s="211" t="s">
        <v>193</v>
      </c>
      <c r="CA96" s="211"/>
      <c r="CB96" s="211" t="s">
        <v>193</v>
      </c>
      <c r="CC96" s="211" t="s">
        <v>193</v>
      </c>
      <c r="CD96" s="211" t="s">
        <v>193</v>
      </c>
      <c r="CE96" s="211"/>
      <c r="CF96" s="211" t="s">
        <v>193</v>
      </c>
      <c r="CG96" s="211" t="s">
        <v>193</v>
      </c>
      <c r="CH96" s="211" t="s">
        <v>193</v>
      </c>
      <c r="CI96" s="211" t="s">
        <v>193</v>
      </c>
      <c r="CJ96" s="163"/>
    </row>
    <row r="97" spans="1:88" ht="23.25" customHeight="1">
      <c r="A97" s="163"/>
      <c r="B97" s="212" t="s">
        <v>565</v>
      </c>
      <c r="C97" s="211" t="s">
        <v>193</v>
      </c>
      <c r="D97" s="211"/>
      <c r="E97" s="211"/>
      <c r="F97" s="211" t="s">
        <v>193</v>
      </c>
      <c r="G97" s="288"/>
      <c r="H97" s="288"/>
      <c r="I97" s="211" t="s">
        <v>193</v>
      </c>
      <c r="J97" s="211" t="s">
        <v>193</v>
      </c>
      <c r="K97" s="214"/>
      <c r="L97" s="214"/>
      <c r="M97" s="211"/>
      <c r="N97" s="211" t="s">
        <v>193</v>
      </c>
      <c r="O97" s="211" t="s">
        <v>193</v>
      </c>
      <c r="P97" s="211" t="s">
        <v>193</v>
      </c>
      <c r="Q97" s="211" t="s">
        <v>193</v>
      </c>
      <c r="R97" s="211" t="s">
        <v>193</v>
      </c>
      <c r="S97" s="211" t="s">
        <v>193</v>
      </c>
      <c r="T97" s="211" t="s">
        <v>193</v>
      </c>
      <c r="U97" s="211" t="s">
        <v>193</v>
      </c>
      <c r="V97" s="211" t="s">
        <v>193</v>
      </c>
      <c r="W97" s="211" t="s">
        <v>193</v>
      </c>
      <c r="X97" s="211" t="s">
        <v>193</v>
      </c>
      <c r="Y97" s="211"/>
      <c r="Z97" s="211"/>
      <c r="AA97" s="211" t="s">
        <v>193</v>
      </c>
      <c r="AB97" s="211"/>
      <c r="AC97" s="211"/>
      <c r="AD97" s="211" t="s">
        <v>193</v>
      </c>
      <c r="AE97" s="211"/>
      <c r="AF97" s="211" t="s">
        <v>193</v>
      </c>
      <c r="AG97" s="211"/>
      <c r="AH97" s="211"/>
      <c r="AI97" s="211" t="s">
        <v>193</v>
      </c>
      <c r="AJ97" s="211"/>
      <c r="AK97" s="211"/>
      <c r="AL97" s="211" t="s">
        <v>193</v>
      </c>
      <c r="AM97" s="211" t="s">
        <v>193</v>
      </c>
      <c r="AN97" s="211" t="s">
        <v>193</v>
      </c>
      <c r="AO97" s="211"/>
      <c r="AP97" s="211"/>
      <c r="AQ97" s="211"/>
      <c r="AR97" s="211"/>
      <c r="AS97" s="211" t="s">
        <v>193</v>
      </c>
      <c r="AT97" s="211"/>
      <c r="AU97" s="211" t="s">
        <v>193</v>
      </c>
      <c r="AV97" s="211" t="s">
        <v>193</v>
      </c>
      <c r="AW97" s="211" t="s">
        <v>193</v>
      </c>
      <c r="AX97" s="211" t="s">
        <v>193</v>
      </c>
      <c r="AY97" s="211" t="s">
        <v>476</v>
      </c>
      <c r="AZ97" s="211" t="s">
        <v>193</v>
      </c>
      <c r="BA97" s="211"/>
      <c r="BB97" s="211"/>
      <c r="BC97" s="211"/>
      <c r="BD97" s="211" t="s">
        <v>193</v>
      </c>
      <c r="BE97" s="211" t="s">
        <v>193</v>
      </c>
      <c r="BF97" s="211" t="s">
        <v>193</v>
      </c>
      <c r="BG97" s="211" t="s">
        <v>193</v>
      </c>
      <c r="BH97" s="211" t="s">
        <v>193</v>
      </c>
      <c r="BI97" s="211"/>
      <c r="BJ97" s="211"/>
      <c r="BK97" s="211" t="s">
        <v>193</v>
      </c>
      <c r="BL97" s="211" t="s">
        <v>193</v>
      </c>
      <c r="BM97" s="211"/>
      <c r="BN97" s="211" t="s">
        <v>193</v>
      </c>
      <c r="BO97" s="211" t="s">
        <v>193</v>
      </c>
      <c r="BP97" s="211" t="s">
        <v>193</v>
      </c>
      <c r="BQ97" s="211" t="s">
        <v>193</v>
      </c>
      <c r="BR97" s="211" t="s">
        <v>193</v>
      </c>
      <c r="BS97" s="211" t="s">
        <v>193</v>
      </c>
      <c r="BT97" s="211" t="s">
        <v>193</v>
      </c>
      <c r="BU97" s="211" t="s">
        <v>193</v>
      </c>
      <c r="BV97" s="211" t="s">
        <v>193</v>
      </c>
      <c r="BW97" s="211" t="s">
        <v>193</v>
      </c>
      <c r="BX97" s="211" t="s">
        <v>193</v>
      </c>
      <c r="BY97" s="211"/>
      <c r="BZ97" s="211" t="s">
        <v>193</v>
      </c>
      <c r="CA97" s="211"/>
      <c r="CB97" s="211" t="s">
        <v>193</v>
      </c>
      <c r="CC97" s="211" t="s">
        <v>193</v>
      </c>
      <c r="CD97" s="211" t="s">
        <v>193</v>
      </c>
      <c r="CE97" s="211"/>
      <c r="CF97" s="211" t="s">
        <v>193</v>
      </c>
      <c r="CG97" s="211" t="s">
        <v>193</v>
      </c>
      <c r="CH97" s="211" t="s">
        <v>193</v>
      </c>
      <c r="CI97" s="211" t="s">
        <v>193</v>
      </c>
      <c r="CJ97" s="163"/>
    </row>
    <row r="98" spans="1:88" ht="23.25" customHeight="1">
      <c r="A98" s="163"/>
      <c r="B98" s="212" t="s">
        <v>566</v>
      </c>
      <c r="C98" s="211" t="s">
        <v>193</v>
      </c>
      <c r="D98" s="211"/>
      <c r="E98" s="211"/>
      <c r="F98" s="211" t="s">
        <v>193</v>
      </c>
      <c r="G98" s="288"/>
      <c r="H98" s="288"/>
      <c r="I98" s="211" t="s">
        <v>193</v>
      </c>
      <c r="J98" s="211" t="s">
        <v>193</v>
      </c>
      <c r="K98" s="214" t="s">
        <v>193</v>
      </c>
      <c r="L98" s="214"/>
      <c r="M98" s="211"/>
      <c r="N98" s="211" t="s">
        <v>193</v>
      </c>
      <c r="O98" s="211" t="s">
        <v>193</v>
      </c>
      <c r="P98" s="211" t="s">
        <v>193</v>
      </c>
      <c r="Q98" s="211" t="s">
        <v>193</v>
      </c>
      <c r="R98" s="211" t="s">
        <v>193</v>
      </c>
      <c r="S98" s="211" t="s">
        <v>193</v>
      </c>
      <c r="T98" s="211" t="s">
        <v>193</v>
      </c>
      <c r="U98" s="211" t="s">
        <v>193</v>
      </c>
      <c r="V98" s="211" t="s">
        <v>193</v>
      </c>
      <c r="W98" s="211" t="s">
        <v>193</v>
      </c>
      <c r="X98" s="211" t="s">
        <v>193</v>
      </c>
      <c r="Y98" s="211"/>
      <c r="Z98" s="211"/>
      <c r="AA98" s="211" t="s">
        <v>193</v>
      </c>
      <c r="AB98" s="211"/>
      <c r="AC98" s="211"/>
      <c r="AD98" s="211" t="s">
        <v>193</v>
      </c>
      <c r="AE98" s="211"/>
      <c r="AF98" s="211" t="s">
        <v>193</v>
      </c>
      <c r="AG98" s="211"/>
      <c r="AH98" s="211"/>
      <c r="AI98" s="211" t="s">
        <v>193</v>
      </c>
      <c r="AJ98" s="211"/>
      <c r="AK98" s="211"/>
      <c r="AL98" s="211" t="s">
        <v>193</v>
      </c>
      <c r="AM98" s="211" t="s">
        <v>193</v>
      </c>
      <c r="AN98" s="211" t="s">
        <v>193</v>
      </c>
      <c r="AO98" s="211"/>
      <c r="AP98" s="211"/>
      <c r="AQ98" s="211"/>
      <c r="AR98" s="211"/>
      <c r="AS98" s="211" t="s">
        <v>193</v>
      </c>
      <c r="AT98" s="211"/>
      <c r="AU98" s="211" t="s">
        <v>193</v>
      </c>
      <c r="AV98" s="211" t="s">
        <v>193</v>
      </c>
      <c r="AW98" s="211" t="s">
        <v>193</v>
      </c>
      <c r="AX98" s="211" t="s">
        <v>193</v>
      </c>
      <c r="AY98" s="211" t="s">
        <v>476</v>
      </c>
      <c r="AZ98" s="211" t="s">
        <v>193</v>
      </c>
      <c r="BA98" s="211"/>
      <c r="BB98" s="211"/>
      <c r="BC98" s="211"/>
      <c r="BD98" s="211" t="s">
        <v>193</v>
      </c>
      <c r="BE98" s="211" t="s">
        <v>193</v>
      </c>
      <c r="BF98" s="211" t="s">
        <v>193</v>
      </c>
      <c r="BG98" s="211" t="s">
        <v>193</v>
      </c>
      <c r="BH98" s="211" t="s">
        <v>193</v>
      </c>
      <c r="BI98" s="211"/>
      <c r="BJ98" s="211"/>
      <c r="BK98" s="211" t="s">
        <v>193</v>
      </c>
      <c r="BL98" s="211" t="s">
        <v>193</v>
      </c>
      <c r="BM98" s="211"/>
      <c r="BN98" s="211" t="s">
        <v>193</v>
      </c>
      <c r="BO98" s="211" t="s">
        <v>193</v>
      </c>
      <c r="BP98" s="211" t="s">
        <v>193</v>
      </c>
      <c r="BQ98" s="211" t="s">
        <v>193</v>
      </c>
      <c r="BR98" s="211" t="s">
        <v>193</v>
      </c>
      <c r="BS98" s="211" t="s">
        <v>193</v>
      </c>
      <c r="BT98" s="211" t="s">
        <v>193</v>
      </c>
      <c r="BU98" s="211" t="s">
        <v>193</v>
      </c>
      <c r="BV98" s="211" t="s">
        <v>193</v>
      </c>
      <c r="BW98" s="211" t="s">
        <v>193</v>
      </c>
      <c r="BX98" s="211" t="s">
        <v>193</v>
      </c>
      <c r="BY98" s="211"/>
      <c r="BZ98" s="211" t="s">
        <v>193</v>
      </c>
      <c r="CA98" s="211"/>
      <c r="CB98" s="211" t="s">
        <v>193</v>
      </c>
      <c r="CC98" s="211" t="s">
        <v>193</v>
      </c>
      <c r="CD98" s="211" t="s">
        <v>193</v>
      </c>
      <c r="CE98" s="211"/>
      <c r="CF98" s="211" t="s">
        <v>193</v>
      </c>
      <c r="CG98" s="211" t="s">
        <v>193</v>
      </c>
      <c r="CH98" s="211" t="s">
        <v>193</v>
      </c>
      <c r="CI98" s="211" t="s">
        <v>193</v>
      </c>
      <c r="CJ98" s="163"/>
    </row>
    <row r="99" spans="1:88" ht="23.25" customHeight="1">
      <c r="A99" s="163"/>
      <c r="B99" s="212" t="s">
        <v>567</v>
      </c>
      <c r="C99" s="211" t="s">
        <v>193</v>
      </c>
      <c r="D99" s="211"/>
      <c r="E99" s="211"/>
      <c r="F99" s="211" t="s">
        <v>193</v>
      </c>
      <c r="G99" s="288"/>
      <c r="H99" s="288"/>
      <c r="I99" s="211" t="s">
        <v>193</v>
      </c>
      <c r="J99" s="211" t="s">
        <v>193</v>
      </c>
      <c r="K99" s="214" t="s">
        <v>193</v>
      </c>
      <c r="L99" s="214"/>
      <c r="M99" s="211"/>
      <c r="N99" s="211" t="s">
        <v>193</v>
      </c>
      <c r="O99" s="211" t="s">
        <v>193</v>
      </c>
      <c r="P99" s="211" t="s">
        <v>193</v>
      </c>
      <c r="Q99" s="211" t="s">
        <v>193</v>
      </c>
      <c r="R99" s="211" t="s">
        <v>193</v>
      </c>
      <c r="S99" s="211" t="s">
        <v>193</v>
      </c>
      <c r="T99" s="211" t="s">
        <v>193</v>
      </c>
      <c r="U99" s="211" t="s">
        <v>193</v>
      </c>
      <c r="V99" s="211" t="s">
        <v>193</v>
      </c>
      <c r="W99" s="211" t="s">
        <v>193</v>
      </c>
      <c r="X99" s="211" t="s">
        <v>193</v>
      </c>
      <c r="Y99" s="211"/>
      <c r="Z99" s="211"/>
      <c r="AA99" s="211" t="s">
        <v>193</v>
      </c>
      <c r="AB99" s="211"/>
      <c r="AC99" s="211"/>
      <c r="AD99" s="211" t="s">
        <v>193</v>
      </c>
      <c r="AE99" s="211"/>
      <c r="AF99" s="211" t="s">
        <v>193</v>
      </c>
      <c r="AG99" s="211"/>
      <c r="AH99" s="211"/>
      <c r="AI99" s="211" t="s">
        <v>193</v>
      </c>
      <c r="AJ99" s="211"/>
      <c r="AK99" s="211"/>
      <c r="AL99" s="211" t="s">
        <v>193</v>
      </c>
      <c r="AM99" s="211" t="s">
        <v>193</v>
      </c>
      <c r="AN99" s="211" t="s">
        <v>193</v>
      </c>
      <c r="AO99" s="211"/>
      <c r="AP99" s="211"/>
      <c r="AQ99" s="211"/>
      <c r="AR99" s="211"/>
      <c r="AS99" s="211" t="s">
        <v>193</v>
      </c>
      <c r="AT99" s="211"/>
      <c r="AU99" s="211" t="s">
        <v>193</v>
      </c>
      <c r="AV99" s="211" t="s">
        <v>193</v>
      </c>
      <c r="AW99" s="211" t="s">
        <v>193</v>
      </c>
      <c r="AX99" s="211" t="s">
        <v>193</v>
      </c>
      <c r="AY99" s="211" t="s">
        <v>476</v>
      </c>
      <c r="AZ99" s="211" t="s">
        <v>193</v>
      </c>
      <c r="BA99" s="211"/>
      <c r="BB99" s="211"/>
      <c r="BC99" s="211"/>
      <c r="BD99" s="211" t="s">
        <v>193</v>
      </c>
      <c r="BE99" s="211" t="s">
        <v>193</v>
      </c>
      <c r="BF99" s="211" t="s">
        <v>193</v>
      </c>
      <c r="BG99" s="211" t="s">
        <v>193</v>
      </c>
      <c r="BH99" s="211" t="s">
        <v>193</v>
      </c>
      <c r="BI99" s="211"/>
      <c r="BJ99" s="211"/>
      <c r="BK99" s="211" t="s">
        <v>193</v>
      </c>
      <c r="BL99" s="211" t="s">
        <v>193</v>
      </c>
      <c r="BM99" s="211"/>
      <c r="BN99" s="211" t="s">
        <v>193</v>
      </c>
      <c r="BO99" s="211" t="s">
        <v>193</v>
      </c>
      <c r="BP99" s="211" t="s">
        <v>193</v>
      </c>
      <c r="BQ99" s="211" t="s">
        <v>193</v>
      </c>
      <c r="BR99" s="211" t="s">
        <v>193</v>
      </c>
      <c r="BS99" s="211" t="s">
        <v>193</v>
      </c>
      <c r="BT99" s="211" t="s">
        <v>193</v>
      </c>
      <c r="BU99" s="211" t="s">
        <v>193</v>
      </c>
      <c r="BV99" s="211" t="s">
        <v>193</v>
      </c>
      <c r="BW99" s="211" t="s">
        <v>193</v>
      </c>
      <c r="BX99" s="211" t="s">
        <v>193</v>
      </c>
      <c r="BY99" s="211"/>
      <c r="BZ99" s="211" t="s">
        <v>193</v>
      </c>
      <c r="CA99" s="211"/>
      <c r="CB99" s="211" t="s">
        <v>193</v>
      </c>
      <c r="CC99" s="211" t="s">
        <v>193</v>
      </c>
      <c r="CD99" s="211" t="s">
        <v>193</v>
      </c>
      <c r="CE99" s="211"/>
      <c r="CF99" s="211" t="s">
        <v>193</v>
      </c>
      <c r="CG99" s="211" t="s">
        <v>193</v>
      </c>
      <c r="CH99" s="211" t="s">
        <v>193</v>
      </c>
      <c r="CI99" s="211" t="s">
        <v>193</v>
      </c>
      <c r="CJ99" s="163"/>
    </row>
    <row r="100" spans="1:88" ht="23.25" customHeight="1">
      <c r="A100" s="163"/>
      <c r="B100" s="212" t="s">
        <v>568</v>
      </c>
      <c r="C100" s="211" t="s">
        <v>193</v>
      </c>
      <c r="D100" s="211"/>
      <c r="E100" s="211"/>
      <c r="F100" s="211" t="s">
        <v>193</v>
      </c>
      <c r="G100" s="288" t="s">
        <v>193</v>
      </c>
      <c r="H100" s="288"/>
      <c r="I100" s="211" t="s">
        <v>193</v>
      </c>
      <c r="J100" s="211" t="s">
        <v>193</v>
      </c>
      <c r="K100" s="214" t="s">
        <v>193</v>
      </c>
      <c r="L100" s="214"/>
      <c r="M100" s="211"/>
      <c r="N100" s="211" t="s">
        <v>193</v>
      </c>
      <c r="O100" s="211" t="s">
        <v>193</v>
      </c>
      <c r="P100" s="211" t="s">
        <v>193</v>
      </c>
      <c r="Q100" s="211" t="s">
        <v>193</v>
      </c>
      <c r="R100" s="211" t="s">
        <v>193</v>
      </c>
      <c r="S100" s="211" t="s">
        <v>193</v>
      </c>
      <c r="T100" s="211" t="s">
        <v>193</v>
      </c>
      <c r="U100" s="211" t="s">
        <v>193</v>
      </c>
      <c r="V100" s="211" t="s">
        <v>193</v>
      </c>
      <c r="W100" s="211" t="s">
        <v>193</v>
      </c>
      <c r="X100" s="211" t="s">
        <v>193</v>
      </c>
      <c r="Y100" s="211"/>
      <c r="Z100" s="211"/>
      <c r="AA100" s="211" t="s">
        <v>193</v>
      </c>
      <c r="AB100" s="211"/>
      <c r="AC100" s="211"/>
      <c r="AD100" s="211" t="s">
        <v>193</v>
      </c>
      <c r="AE100" s="211"/>
      <c r="AF100" s="211" t="s">
        <v>193</v>
      </c>
      <c r="AG100" s="211"/>
      <c r="AH100" s="211"/>
      <c r="AI100" s="211" t="s">
        <v>193</v>
      </c>
      <c r="AJ100" s="211"/>
      <c r="AK100" s="211"/>
      <c r="AL100" s="211" t="s">
        <v>193</v>
      </c>
      <c r="AM100" s="211" t="s">
        <v>193</v>
      </c>
      <c r="AN100" s="211" t="s">
        <v>193</v>
      </c>
      <c r="AO100" s="211"/>
      <c r="AP100" s="211"/>
      <c r="AQ100" s="211"/>
      <c r="AR100" s="211"/>
      <c r="AS100" s="211" t="s">
        <v>193</v>
      </c>
      <c r="AT100" s="211"/>
      <c r="AU100" s="211" t="s">
        <v>193</v>
      </c>
      <c r="AV100" s="211" t="s">
        <v>193</v>
      </c>
      <c r="AW100" s="211" t="s">
        <v>193</v>
      </c>
      <c r="AX100" s="211" t="s">
        <v>193</v>
      </c>
      <c r="AY100" s="211" t="s">
        <v>476</v>
      </c>
      <c r="AZ100" s="211" t="s">
        <v>193</v>
      </c>
      <c r="BA100" s="211"/>
      <c r="BB100" s="211"/>
      <c r="BC100" s="211"/>
      <c r="BD100" s="211" t="s">
        <v>193</v>
      </c>
      <c r="BE100" s="211" t="s">
        <v>193</v>
      </c>
      <c r="BF100" s="211" t="s">
        <v>193</v>
      </c>
      <c r="BG100" s="211" t="s">
        <v>193</v>
      </c>
      <c r="BH100" s="211" t="s">
        <v>193</v>
      </c>
      <c r="BI100" s="211"/>
      <c r="BJ100" s="211"/>
      <c r="BK100" s="211" t="s">
        <v>193</v>
      </c>
      <c r="BL100" s="211" t="s">
        <v>193</v>
      </c>
      <c r="BM100" s="211"/>
      <c r="BN100" s="211" t="s">
        <v>193</v>
      </c>
      <c r="BO100" s="211" t="s">
        <v>193</v>
      </c>
      <c r="BP100" s="211" t="s">
        <v>193</v>
      </c>
      <c r="BQ100" s="211" t="s">
        <v>193</v>
      </c>
      <c r="BR100" s="211" t="s">
        <v>193</v>
      </c>
      <c r="BS100" s="211" t="s">
        <v>193</v>
      </c>
      <c r="BT100" s="211" t="s">
        <v>193</v>
      </c>
      <c r="BU100" s="211" t="s">
        <v>193</v>
      </c>
      <c r="BV100" s="211" t="s">
        <v>193</v>
      </c>
      <c r="BW100" s="211" t="s">
        <v>193</v>
      </c>
      <c r="BX100" s="211" t="s">
        <v>193</v>
      </c>
      <c r="BY100" s="211"/>
      <c r="BZ100" s="211" t="s">
        <v>193</v>
      </c>
      <c r="CA100" s="211"/>
      <c r="CB100" s="211" t="s">
        <v>193</v>
      </c>
      <c r="CC100" s="211" t="s">
        <v>193</v>
      </c>
      <c r="CD100" s="211" t="s">
        <v>193</v>
      </c>
      <c r="CE100" s="211"/>
      <c r="CF100" s="211" t="s">
        <v>193</v>
      </c>
      <c r="CG100" s="211" t="s">
        <v>193</v>
      </c>
      <c r="CH100" s="211" t="s">
        <v>193</v>
      </c>
      <c r="CI100" s="211" t="s">
        <v>193</v>
      </c>
      <c r="CJ100" s="163"/>
    </row>
    <row r="101" spans="1:88" ht="23.25" customHeight="1">
      <c r="A101" s="163"/>
      <c r="B101" s="207" t="s">
        <v>569</v>
      </c>
      <c r="C101" s="213"/>
      <c r="D101" s="213"/>
      <c r="E101" s="213"/>
      <c r="F101" s="213"/>
      <c r="G101" s="289"/>
      <c r="H101" s="289"/>
      <c r="I101" s="213"/>
      <c r="J101" s="213"/>
      <c r="K101" s="215"/>
      <c r="L101" s="215"/>
      <c r="M101" s="213"/>
      <c r="N101" s="213"/>
      <c r="O101" s="213"/>
      <c r="P101" s="213"/>
      <c r="Q101" s="213"/>
      <c r="R101" s="213"/>
      <c r="S101" s="213"/>
      <c r="T101" s="211" t="s">
        <v>193</v>
      </c>
      <c r="U101" s="213"/>
      <c r="V101" s="213"/>
      <c r="W101" s="213"/>
      <c r="X101" s="213"/>
      <c r="Y101" s="213"/>
      <c r="Z101" s="213"/>
      <c r="AA101" s="213"/>
      <c r="AB101" s="213"/>
      <c r="AC101" s="213"/>
      <c r="AD101" s="213"/>
      <c r="AE101" s="213"/>
      <c r="AF101" s="213"/>
      <c r="AG101" s="213"/>
      <c r="AH101" s="213"/>
      <c r="AI101" s="213"/>
      <c r="AJ101" s="213"/>
      <c r="AK101" s="213"/>
      <c r="AL101" s="213"/>
      <c r="AM101" s="213"/>
      <c r="AN101" s="213"/>
      <c r="AO101" s="213"/>
      <c r="AP101" s="213"/>
      <c r="AQ101" s="213"/>
      <c r="AR101" s="213"/>
      <c r="AS101" s="213"/>
      <c r="AT101" s="213"/>
      <c r="AU101" s="213"/>
      <c r="AV101" s="213"/>
      <c r="AW101" s="213"/>
      <c r="AX101" s="213"/>
      <c r="AY101" s="213"/>
      <c r="AZ101" s="213"/>
      <c r="BA101" s="213"/>
      <c r="BB101" s="213"/>
      <c r="BC101" s="213"/>
      <c r="BD101" s="213"/>
      <c r="BE101" s="213"/>
      <c r="BF101" s="213"/>
      <c r="BG101" s="213"/>
      <c r="BH101" s="213"/>
      <c r="BI101" s="213"/>
      <c r="BJ101" s="213"/>
      <c r="BK101" s="213"/>
      <c r="BL101" s="213"/>
      <c r="BM101" s="213"/>
      <c r="BN101" s="213"/>
      <c r="BO101" s="213"/>
      <c r="BP101" s="213"/>
      <c r="BQ101" s="213"/>
      <c r="BR101" s="213"/>
      <c r="BS101" s="213"/>
      <c r="BT101" s="213"/>
      <c r="BU101" s="213"/>
      <c r="BV101" s="213"/>
      <c r="BW101" s="213"/>
      <c r="BX101" s="213"/>
      <c r="BY101" s="213"/>
      <c r="BZ101" s="213"/>
      <c r="CA101" s="213"/>
      <c r="CB101" s="213"/>
      <c r="CC101" s="213"/>
      <c r="CD101" s="213"/>
      <c r="CE101" s="213"/>
      <c r="CF101" s="213"/>
      <c r="CG101" s="213"/>
      <c r="CH101" s="213"/>
      <c r="CI101" s="213"/>
      <c r="CJ101" s="163"/>
    </row>
    <row r="102" spans="1:88" ht="15">
      <c r="A102" s="163"/>
      <c r="B102" s="212" t="s">
        <v>570</v>
      </c>
      <c r="C102" s="211" t="s">
        <v>193</v>
      </c>
      <c r="D102" s="211"/>
      <c r="E102" s="211"/>
      <c r="F102" s="211"/>
      <c r="G102" s="288"/>
      <c r="H102" s="288"/>
      <c r="I102" s="211" t="s">
        <v>193</v>
      </c>
      <c r="J102" s="211" t="s">
        <v>193</v>
      </c>
      <c r="K102" s="214"/>
      <c r="L102" s="214" t="s">
        <v>193</v>
      </c>
      <c r="M102" s="211"/>
      <c r="N102" s="211"/>
      <c r="O102" s="211" t="s">
        <v>193</v>
      </c>
      <c r="P102" s="211" t="s">
        <v>193</v>
      </c>
      <c r="Q102" s="211" t="s">
        <v>193</v>
      </c>
      <c r="R102" s="211" t="s">
        <v>193</v>
      </c>
      <c r="S102" s="211" t="s">
        <v>193</v>
      </c>
      <c r="T102" s="211" t="s">
        <v>193</v>
      </c>
      <c r="U102" s="211" t="s">
        <v>193</v>
      </c>
      <c r="V102" s="211" t="s">
        <v>193</v>
      </c>
      <c r="W102" s="211" t="s">
        <v>193</v>
      </c>
      <c r="X102" s="211" t="s">
        <v>193</v>
      </c>
      <c r="Y102" s="211"/>
      <c r="Z102" s="211"/>
      <c r="AA102" s="211" t="s">
        <v>193</v>
      </c>
      <c r="AB102" s="211" t="s">
        <v>193</v>
      </c>
      <c r="AC102" s="211"/>
      <c r="AD102" s="211" t="s">
        <v>193</v>
      </c>
      <c r="AE102" s="211" t="s">
        <v>193</v>
      </c>
      <c r="AF102" s="211" t="s">
        <v>193</v>
      </c>
      <c r="AG102" s="211"/>
      <c r="AH102" s="211" t="s">
        <v>193</v>
      </c>
      <c r="AI102" s="211" t="s">
        <v>193</v>
      </c>
      <c r="AJ102" s="211"/>
      <c r="AK102" s="211"/>
      <c r="AL102" s="211" t="s">
        <v>193</v>
      </c>
      <c r="AM102" s="211" t="s">
        <v>193</v>
      </c>
      <c r="AN102" s="211"/>
      <c r="AO102" s="211"/>
      <c r="AP102" s="211"/>
      <c r="AQ102" s="211"/>
      <c r="AR102" s="211"/>
      <c r="AS102" s="211" t="s">
        <v>193</v>
      </c>
      <c r="AT102" s="211"/>
      <c r="AU102" s="211" t="s">
        <v>193</v>
      </c>
      <c r="AV102" s="211" t="s">
        <v>193</v>
      </c>
      <c r="AW102" s="211"/>
      <c r="AX102" s="211" t="s">
        <v>193</v>
      </c>
      <c r="AY102" s="211" t="s">
        <v>476</v>
      </c>
      <c r="AZ102" s="211" t="s">
        <v>193</v>
      </c>
      <c r="BA102" s="211"/>
      <c r="BB102" s="211"/>
      <c r="BC102" s="211"/>
      <c r="BD102" s="211" t="s">
        <v>193</v>
      </c>
      <c r="BE102" s="211"/>
      <c r="BF102" s="211" t="s">
        <v>193</v>
      </c>
      <c r="BG102" s="211" t="s">
        <v>193</v>
      </c>
      <c r="BH102" s="211" t="s">
        <v>193</v>
      </c>
      <c r="BI102" s="211"/>
      <c r="BJ102" s="211" t="s">
        <v>193</v>
      </c>
      <c r="BK102" s="211" t="s">
        <v>193</v>
      </c>
      <c r="BL102" s="211" t="s">
        <v>193</v>
      </c>
      <c r="BM102" s="211" t="s">
        <v>193</v>
      </c>
      <c r="BN102" s="211" t="s">
        <v>193</v>
      </c>
      <c r="BO102" s="211" t="s">
        <v>193</v>
      </c>
      <c r="BP102" s="211" t="s">
        <v>193</v>
      </c>
      <c r="BQ102" s="211" t="s">
        <v>193</v>
      </c>
      <c r="BR102" s="211" t="s">
        <v>193</v>
      </c>
      <c r="BS102" s="211" t="s">
        <v>193</v>
      </c>
      <c r="BT102" s="211" t="s">
        <v>193</v>
      </c>
      <c r="BU102" s="211" t="s">
        <v>193</v>
      </c>
      <c r="BV102" s="211" t="s">
        <v>193</v>
      </c>
      <c r="BW102" s="211" t="s">
        <v>193</v>
      </c>
      <c r="BX102" s="211" t="s">
        <v>193</v>
      </c>
      <c r="BY102" s="211"/>
      <c r="BZ102" s="211" t="s">
        <v>193</v>
      </c>
      <c r="CA102" s="211" t="s">
        <v>193</v>
      </c>
      <c r="CB102" s="211" t="s">
        <v>193</v>
      </c>
      <c r="CC102" s="211" t="s">
        <v>193</v>
      </c>
      <c r="CD102" s="211" t="s">
        <v>193</v>
      </c>
      <c r="CE102" s="211" t="s">
        <v>193</v>
      </c>
      <c r="CF102" s="211"/>
      <c r="CG102" s="211" t="s">
        <v>193</v>
      </c>
      <c r="CH102" s="211"/>
      <c r="CI102" s="211" t="s">
        <v>193</v>
      </c>
      <c r="CJ102" s="163"/>
    </row>
    <row r="103" spans="1:88">
      <c r="A103" s="163"/>
      <c r="B103" s="161"/>
      <c r="C103" s="280"/>
      <c r="D103" s="280"/>
      <c r="E103" s="280"/>
      <c r="F103" s="280"/>
      <c r="G103" s="280"/>
      <c r="H103" s="280"/>
      <c r="I103" s="280"/>
      <c r="J103" s="280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  <c r="X103" s="161"/>
      <c r="Y103" s="161"/>
      <c r="Z103" s="161"/>
      <c r="AA103" s="161"/>
      <c r="AB103" s="161"/>
      <c r="AC103" s="161"/>
      <c r="AD103" s="161"/>
      <c r="AE103" s="161"/>
      <c r="AF103" s="161"/>
      <c r="AG103" s="161"/>
      <c r="AH103" s="161"/>
      <c r="AI103" s="161"/>
      <c r="AJ103" s="161"/>
      <c r="AK103" s="161"/>
      <c r="AL103" s="161"/>
      <c r="AM103" s="161"/>
      <c r="AN103" s="161"/>
      <c r="AO103" s="161"/>
      <c r="AP103" s="161"/>
      <c r="AQ103" s="161"/>
      <c r="AR103" s="161"/>
      <c r="AS103" s="161"/>
      <c r="AT103" s="161"/>
      <c r="AU103" s="161"/>
      <c r="AV103" s="161"/>
      <c r="AW103" s="161"/>
      <c r="AX103" s="161"/>
      <c r="AY103" s="161"/>
      <c r="AZ103" s="161"/>
      <c r="BA103" s="161"/>
      <c r="BB103" s="161"/>
      <c r="BC103" s="161"/>
      <c r="BD103" s="161"/>
      <c r="BE103" s="161"/>
      <c r="BF103" s="161"/>
      <c r="BG103" s="161"/>
      <c r="BH103" s="161"/>
      <c r="BI103" s="161"/>
      <c r="BJ103" s="161"/>
      <c r="BK103" s="161"/>
      <c r="BL103" s="161"/>
      <c r="BM103" s="161"/>
      <c r="BN103" s="161"/>
      <c r="BO103" s="161"/>
      <c r="BP103" s="161"/>
      <c r="BQ103" s="161"/>
      <c r="BR103" s="161"/>
      <c r="BS103" s="161"/>
      <c r="BT103" s="161"/>
      <c r="BU103" s="161"/>
      <c r="BV103" s="161"/>
      <c r="BW103" s="161"/>
      <c r="BX103" s="161"/>
      <c r="BY103" s="161"/>
      <c r="BZ103" s="161"/>
      <c r="CA103" s="161"/>
      <c r="CB103" s="161"/>
      <c r="CC103" s="161"/>
      <c r="CD103" s="161"/>
      <c r="CE103" s="161"/>
      <c r="CF103" s="161"/>
      <c r="CG103" s="161"/>
      <c r="CH103" s="161"/>
      <c r="CI103" s="161"/>
      <c r="CJ103" s="163"/>
    </row>
    <row r="104" spans="1:88">
      <c r="B104" s="163"/>
      <c r="C104" s="163"/>
      <c r="D104" s="163"/>
      <c r="E104" s="163"/>
      <c r="F104" s="163"/>
      <c r="G104" s="163"/>
      <c r="H104" s="163"/>
      <c r="I104" s="163"/>
      <c r="J104" s="163"/>
      <c r="K104" s="163"/>
      <c r="L104" s="163"/>
      <c r="M104" s="163"/>
      <c r="N104" s="163"/>
      <c r="O104" s="163"/>
      <c r="P104" s="163"/>
      <c r="Q104" s="163"/>
      <c r="R104" s="163"/>
      <c r="S104" s="163"/>
      <c r="T104" s="163"/>
      <c r="U104" s="163"/>
      <c r="V104" s="163"/>
      <c r="W104" s="163"/>
      <c r="X104" s="163"/>
      <c r="Y104" s="163"/>
      <c r="Z104" s="163"/>
      <c r="AA104" s="163"/>
      <c r="AB104" s="163"/>
      <c r="AC104" s="163"/>
      <c r="AD104" s="163"/>
      <c r="AE104" s="163"/>
      <c r="AF104" s="163"/>
      <c r="AG104" s="163"/>
      <c r="AH104" s="163"/>
      <c r="AI104" s="163"/>
      <c r="AJ104" s="163"/>
      <c r="AK104" s="163"/>
      <c r="AL104" s="163"/>
      <c r="AM104" s="163"/>
      <c r="AN104" s="163"/>
      <c r="AO104" s="163"/>
      <c r="AP104" s="163"/>
      <c r="AQ104" s="163"/>
      <c r="AR104" s="163"/>
      <c r="AS104" s="163"/>
      <c r="AT104" s="163"/>
      <c r="AU104" s="163"/>
      <c r="AV104" s="163"/>
      <c r="AW104" s="163"/>
      <c r="AX104" s="163"/>
      <c r="AY104" s="163"/>
      <c r="AZ104" s="163"/>
      <c r="BA104" s="163"/>
      <c r="BB104" s="163"/>
      <c r="BC104" s="163"/>
      <c r="BD104" s="163"/>
      <c r="BE104" s="163"/>
      <c r="BF104" s="163"/>
      <c r="BG104" s="163"/>
      <c r="BH104" s="163"/>
      <c r="BI104" s="163"/>
      <c r="BJ104" s="163"/>
      <c r="BK104" s="163"/>
      <c r="BL104" s="163"/>
      <c r="BM104" s="163"/>
      <c r="BN104" s="163"/>
      <c r="BO104" s="163"/>
      <c r="BP104" s="163"/>
      <c r="BQ104" s="163"/>
      <c r="BR104" s="163"/>
      <c r="BS104" s="163"/>
      <c r="BT104" s="163"/>
      <c r="BU104" s="163"/>
      <c r="BV104" s="163"/>
      <c r="BW104" s="163"/>
      <c r="BX104" s="163"/>
      <c r="BY104" s="163"/>
      <c r="BZ104" s="163"/>
      <c r="CA104" s="163"/>
      <c r="CB104" s="163"/>
      <c r="CC104" s="163"/>
      <c r="CD104" s="163"/>
      <c r="CE104" s="163"/>
      <c r="CF104" s="163"/>
      <c r="CG104" s="163"/>
      <c r="CH104" s="163"/>
      <c r="CI104" s="163"/>
    </row>
  </sheetData>
  <mergeCells count="3">
    <mergeCell ref="E1:O1"/>
    <mergeCell ref="E2:N2"/>
    <mergeCell ref="E3:O3"/>
  </mergeCells>
  <hyperlinks>
    <hyperlink ref="B8" r:id="rId1" xr:uid="{00000000-0004-0000-0600-000000000000}"/>
    <hyperlink ref="B9" r:id="rId2" xr:uid="{00000000-0004-0000-0600-000001000000}"/>
    <hyperlink ref="B10" r:id="rId3" xr:uid="{00000000-0004-0000-0600-000002000000}"/>
    <hyperlink ref="B11" r:id="rId4" xr:uid="{00000000-0004-0000-0600-000003000000}"/>
    <hyperlink ref="B15" r:id="rId5" xr:uid="{00000000-0004-0000-0600-000004000000}"/>
    <hyperlink ref="B16" r:id="rId6" xr:uid="{00000000-0004-0000-0600-000005000000}"/>
    <hyperlink ref="B17" r:id="rId7" xr:uid="{00000000-0004-0000-0600-000006000000}"/>
    <hyperlink ref="B18" r:id="rId8" xr:uid="{00000000-0004-0000-0600-000007000000}"/>
    <hyperlink ref="B20" r:id="rId9" xr:uid="{00000000-0004-0000-0600-000008000000}"/>
    <hyperlink ref="B21" r:id="rId10" xr:uid="{00000000-0004-0000-0600-000009000000}"/>
    <hyperlink ref="B22" r:id="rId11" xr:uid="{00000000-0004-0000-0600-00000A000000}"/>
    <hyperlink ref="B23" r:id="rId12" xr:uid="{00000000-0004-0000-0600-00000B000000}"/>
    <hyperlink ref="B24" r:id="rId13" xr:uid="{00000000-0004-0000-0600-00000C000000}"/>
    <hyperlink ref="B25" r:id="rId14" xr:uid="{00000000-0004-0000-0600-00000D000000}"/>
    <hyperlink ref="B26" r:id="rId15" xr:uid="{00000000-0004-0000-0600-00000E000000}"/>
    <hyperlink ref="B27" r:id="rId16" xr:uid="{00000000-0004-0000-0600-00000F000000}"/>
    <hyperlink ref="B28" r:id="rId17" xr:uid="{00000000-0004-0000-0600-000010000000}"/>
    <hyperlink ref="B29" r:id="rId18" xr:uid="{00000000-0004-0000-0600-000011000000}"/>
    <hyperlink ref="B30" r:id="rId19" xr:uid="{00000000-0004-0000-0600-000012000000}"/>
    <hyperlink ref="B44" r:id="rId20" xr:uid="{00000000-0004-0000-0600-000013000000}"/>
    <hyperlink ref="B45" r:id="rId21" xr:uid="{00000000-0004-0000-0600-000014000000}"/>
    <hyperlink ref="B46" r:id="rId22" xr:uid="{00000000-0004-0000-0600-000015000000}"/>
    <hyperlink ref="B47" r:id="rId23" xr:uid="{00000000-0004-0000-0600-000016000000}"/>
    <hyperlink ref="B48" r:id="rId24" xr:uid="{00000000-0004-0000-0600-000017000000}"/>
    <hyperlink ref="B67" r:id="rId25" xr:uid="{00000000-0004-0000-0600-000018000000}"/>
    <hyperlink ref="B68" r:id="rId26" xr:uid="{00000000-0004-0000-0600-000019000000}"/>
    <hyperlink ref="B69" r:id="rId27" xr:uid="{00000000-0004-0000-0600-00001A000000}"/>
    <hyperlink ref="B70" r:id="rId28" xr:uid="{00000000-0004-0000-0600-00001B000000}"/>
    <hyperlink ref="B71" r:id="rId29" xr:uid="{00000000-0004-0000-0600-00001C000000}"/>
    <hyperlink ref="B72" r:id="rId30" xr:uid="{00000000-0004-0000-0600-00001D000000}"/>
    <hyperlink ref="B73" r:id="rId31" xr:uid="{00000000-0004-0000-0600-00001E000000}"/>
    <hyperlink ref="B74" r:id="rId32" xr:uid="{00000000-0004-0000-0600-00001F000000}"/>
    <hyperlink ref="B75" r:id="rId33" xr:uid="{00000000-0004-0000-0600-000020000000}"/>
    <hyperlink ref="B84" r:id="rId34" xr:uid="{00000000-0004-0000-0600-000021000000}"/>
    <hyperlink ref="B85" r:id="rId35" xr:uid="{00000000-0004-0000-0600-000022000000}"/>
    <hyperlink ref="B86" r:id="rId36" xr:uid="{00000000-0004-0000-0600-000023000000}"/>
    <hyperlink ref="B87" r:id="rId37" xr:uid="{00000000-0004-0000-0600-000024000000}"/>
    <hyperlink ref="B88" r:id="rId38" xr:uid="{00000000-0004-0000-0600-000025000000}"/>
    <hyperlink ref="B89" r:id="rId39" xr:uid="{00000000-0004-0000-0600-000026000000}"/>
    <hyperlink ref="B90" r:id="rId40" xr:uid="{00000000-0004-0000-0600-000027000000}"/>
    <hyperlink ref="B91" r:id="rId41" xr:uid="{00000000-0004-0000-0600-000028000000}"/>
    <hyperlink ref="B92" r:id="rId42" xr:uid="{00000000-0004-0000-0600-000029000000}"/>
    <hyperlink ref="B93" r:id="rId43" xr:uid="{00000000-0004-0000-0600-00002A000000}"/>
    <hyperlink ref="B94" r:id="rId44" xr:uid="{00000000-0004-0000-0600-00002B000000}"/>
    <hyperlink ref="B95" r:id="rId45" xr:uid="{00000000-0004-0000-0600-00002C000000}"/>
    <hyperlink ref="B96" r:id="rId46" xr:uid="{00000000-0004-0000-0600-00002D000000}"/>
    <hyperlink ref="BE6" r:id="rId47" display="https://login.bdigital.udistrital.edu.co/login?url=https://www.oreilly.com/library-access/" xr:uid="{00000000-0004-0000-0600-00002E000000}"/>
  </hyperlinks>
  <pageMargins left="0.7" right="0.7" top="0.75" bottom="0.75" header="0.3" footer="0.3"/>
  <drawing r:id="rId4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D87BC49A8D414BAC6142E4534BA87F" ma:contentTypeVersion="20" ma:contentTypeDescription="Crear nuevo documento." ma:contentTypeScope="" ma:versionID="c7103d42332befea46c634ebe26990d4">
  <xsd:schema xmlns:xsd="http://www.w3.org/2001/XMLSchema" xmlns:xs="http://www.w3.org/2001/XMLSchema" xmlns:p="http://schemas.microsoft.com/office/2006/metadata/properties" xmlns:ns2="10bd4b2b-7502-4871-ac31-8a669464ba77" xmlns:ns3="bba6e0d8-8986-46a8-840a-25cbd90f1e26" targetNamespace="http://schemas.microsoft.com/office/2006/metadata/properties" ma:root="true" ma:fieldsID="fb2b328da598ba9418d6886ca731b5bf" ns2:_="" ns3:_="">
    <xsd:import namespace="10bd4b2b-7502-4871-ac31-8a669464ba77"/>
    <xsd:import namespace="bba6e0d8-8986-46a8-840a-25cbd90f1e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Nivel" minOccurs="0"/>
                <xsd:element ref="ns2:Seleccionado" minOccurs="0"/>
                <xsd:element ref="ns2:Verificado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bd4b2b-7502-4871-ac31-8a669464b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18e90610-0864-4e8d-b551-8166776cb7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Nivel" ma:index="18" nillable="true" ma:displayName="Nivel" ma:format="Dropdown" ma:internalName="Nivel">
      <xsd:simpleType>
        <xsd:restriction base="dms:Choice">
          <xsd:enumeration value="Técnico"/>
          <xsd:enumeration value="Tecnólogo"/>
          <xsd:enumeration value="Profesional"/>
          <xsd:enumeration value="Estudiante"/>
          <xsd:enumeration value="Especialización"/>
          <xsd:enumeration value="Maestría"/>
          <xsd:enumeration value="Doctorado"/>
          <xsd:enumeration value="Opción 8"/>
        </xsd:restriction>
      </xsd:simpleType>
    </xsd:element>
    <xsd:element name="Seleccionado" ma:index="19" nillable="true" ma:displayName="Selección" ma:format="Dropdown" ma:internalName="Seleccionado">
      <xsd:simpleType>
        <xsd:union memberTypes="dms:Text">
          <xsd:simpleType>
            <xsd:restriction base="dms:Choice">
              <xsd:enumeration value="NO"/>
              <xsd:enumeration value="SÍ"/>
              <xsd:enumeration value="Opcionado"/>
            </xsd:restriction>
          </xsd:simpleType>
        </xsd:union>
      </xsd:simpleType>
    </xsd:element>
    <xsd:element name="Verificado" ma:index="20" nillable="true" ma:displayName="Verificado" ma:default="0" ma:description="Si ya fue revisada por el Jefe Sección Biblioteca" ma:format="Dropdown" ma:internalName="Verificado">
      <xsd:simpleType>
        <xsd:restriction base="dms:Boolea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a6e0d8-8986-46a8-840a-25cbd90f1e2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59d1b6b-0763-4334-a2db-bbf626dbe100}" ma:internalName="TaxCatchAll" ma:showField="CatchAllData" ma:web="bba6e0d8-8986-46a8-840a-25cbd90f1e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ivel xmlns="10bd4b2b-7502-4871-ac31-8a669464ba77" xsi:nil="true"/>
    <lcf76f155ced4ddcb4097134ff3c332f xmlns="10bd4b2b-7502-4871-ac31-8a669464ba77">
      <Terms xmlns="http://schemas.microsoft.com/office/infopath/2007/PartnerControls"/>
    </lcf76f155ced4ddcb4097134ff3c332f>
    <TaxCatchAll xmlns="bba6e0d8-8986-46a8-840a-25cbd90f1e26" xsi:nil="true"/>
    <Seleccionado xmlns="10bd4b2b-7502-4871-ac31-8a669464ba77" xsi:nil="true"/>
    <Verificado xmlns="10bd4b2b-7502-4871-ac31-8a669464ba77">false</Verificado>
  </documentManagement>
</p:properties>
</file>

<file path=customXml/itemProps1.xml><?xml version="1.0" encoding="utf-8"?>
<ds:datastoreItem xmlns:ds="http://schemas.openxmlformats.org/officeDocument/2006/customXml" ds:itemID="{C88BD715-CE07-451A-8830-B80CF87FA678}"/>
</file>

<file path=customXml/itemProps2.xml><?xml version="1.0" encoding="utf-8"?>
<ds:datastoreItem xmlns:ds="http://schemas.openxmlformats.org/officeDocument/2006/customXml" ds:itemID="{266B493A-913D-4D3A-8AB5-E4BB6873D45E}"/>
</file>

<file path=customXml/itemProps3.xml><?xml version="1.0" encoding="utf-8"?>
<ds:datastoreItem xmlns:ds="http://schemas.openxmlformats.org/officeDocument/2006/customXml" ds:itemID="{7950A21D-8C08-4D14-B797-9EBB235385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</dc:creator>
  <cp:keywords/>
  <dc:description/>
  <cp:lastModifiedBy>PROCESOS - UNIDAD BIBLIOTECA</cp:lastModifiedBy>
  <cp:revision/>
  <dcterms:created xsi:type="dcterms:W3CDTF">2018-07-18T20:21:30Z</dcterms:created>
  <dcterms:modified xsi:type="dcterms:W3CDTF">2026-07-27T21:30:24Z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0x010100C0D87BC49A8D414BAC6142E4534BA87F</vt:lpwstr>
  </property>
  <property fmtid="{D5CDD505-2E9C-101B-9397-08002B2CF9AE}" pid="3" name="MediaServiceImageTags">
    <vt:lpwstr/>
  </property>
</Properties>
</file>