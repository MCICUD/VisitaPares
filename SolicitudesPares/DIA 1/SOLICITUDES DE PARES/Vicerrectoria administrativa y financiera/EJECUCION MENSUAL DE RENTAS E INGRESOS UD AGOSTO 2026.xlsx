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vsd" ContentType="application/vnd.visi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Presupuesto\Presupuesto 2026\INGRESOS 2026\8 AGOSTO 2026\"/>
    </mc:Choice>
  </mc:AlternateContent>
  <xr:revisionPtr revIDLastSave="0" documentId="13_ncr:1_{3E6A5109-C5AF-41D5-83B7-9E0B6F2FD514}" xr6:coauthVersionLast="47" xr6:coauthVersionMax="47" xr10:uidLastSave="{00000000-0000-0000-0000-000000000000}"/>
  <bookViews>
    <workbookView xWindow="-120" yWindow="-120" windowWidth="29040" windowHeight="15720" tabRatio="742" xr2:uid="{086FC123-9BF9-427A-92A9-98E97246B95F}"/>
  </bookViews>
  <sheets>
    <sheet name="TOTAL" sheetId="27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_xlnm._FilterDatabase" localSheetId="0" hidden="1">TOTAL!$A$9:$D$106</definedName>
    <definedName name="_xlnm.Print_Area" localSheetId="0">TOTAL!$A$10:$K$117</definedName>
    <definedName name="IPC">'[1]Cons. necesidades - apropiacion'!$H$5</definedName>
    <definedName name="_xlnm.Print_Titles" localSheetId="0">TOTAL!$1:$9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05" i="27" l="1"/>
  <c r="H105" i="27" s="1"/>
  <c r="J105" i="27" s="1"/>
  <c r="G98" i="27"/>
  <c r="H98" i="27" s="1"/>
  <c r="G97" i="27"/>
  <c r="H97" i="27" s="1"/>
  <c r="G95" i="27"/>
  <c r="H95" i="27" s="1"/>
  <c r="G93" i="27"/>
  <c r="H93" i="27" s="1"/>
  <c r="G92" i="27"/>
  <c r="H92" i="27" s="1"/>
  <c r="G91" i="27"/>
  <c r="H91" i="27" s="1"/>
  <c r="J91" i="27" s="1"/>
  <c r="G90" i="27"/>
  <c r="H90" i="27" s="1"/>
  <c r="J90" i="27" s="1"/>
  <c r="G89" i="27"/>
  <c r="H89" i="27" s="1"/>
  <c r="J89" i="27" s="1"/>
  <c r="G88" i="27"/>
  <c r="H88" i="27" s="1"/>
  <c r="J88" i="27" s="1"/>
  <c r="G87" i="27"/>
  <c r="H87" i="27" s="1"/>
  <c r="J87" i="27" s="1"/>
  <c r="G84" i="27"/>
  <c r="H84" i="27" s="1"/>
  <c r="G79" i="27"/>
  <c r="H79" i="27" s="1"/>
  <c r="G66" i="27"/>
  <c r="D58" i="27"/>
  <c r="G60" i="27"/>
  <c r="H60" i="27" s="1"/>
  <c r="G57" i="27"/>
  <c r="G56" i="27"/>
  <c r="G55" i="27"/>
  <c r="G33" i="27"/>
  <c r="G30" i="27"/>
  <c r="C96" i="27"/>
  <c r="D106" i="27"/>
  <c r="D105" i="27"/>
  <c r="D103" i="27"/>
  <c r="D102" i="27"/>
  <c r="D97" i="27"/>
  <c r="E97" i="27" s="1"/>
  <c r="D95" i="27"/>
  <c r="D93" i="27"/>
  <c r="D92" i="27"/>
  <c r="D91" i="27"/>
  <c r="D90" i="27"/>
  <c r="D89" i="27"/>
  <c r="D88" i="27"/>
  <c r="D87" i="27"/>
  <c r="D86" i="27"/>
  <c r="D85" i="27"/>
  <c r="D84" i="27"/>
  <c r="D81" i="27"/>
  <c r="D79" i="27"/>
  <c r="D75" i="27"/>
  <c r="D73" i="27"/>
  <c r="D69" i="27"/>
  <c r="D63" i="27"/>
  <c r="D66" i="27"/>
  <c r="C49" i="27"/>
  <c r="D60" i="27"/>
  <c r="D59" i="27" s="1"/>
  <c r="G59" i="27"/>
  <c r="C59" i="27"/>
  <c r="D57" i="27"/>
  <c r="D56" i="27"/>
  <c r="D55" i="27"/>
  <c r="D54" i="27"/>
  <c r="D53" i="27"/>
  <c r="D52" i="27"/>
  <c r="D48" i="27"/>
  <c r="D43" i="27"/>
  <c r="D42" i="27"/>
  <c r="D35" i="27"/>
  <c r="D34" i="27"/>
  <c r="D33" i="27"/>
  <c r="D31" i="27"/>
  <c r="D30" i="27"/>
  <c r="D29" i="27"/>
  <c r="D28" i="27"/>
  <c r="D27" i="27"/>
  <c r="D26" i="27"/>
  <c r="D23" i="27"/>
  <c r="D22" i="27"/>
  <c r="D20" i="27"/>
  <c r="D19" i="27"/>
  <c r="D18" i="27"/>
  <c r="D17" i="27"/>
  <c r="I105" i="27" l="1"/>
  <c r="H96" i="27"/>
  <c r="G96" i="27"/>
  <c r="D96" i="27"/>
  <c r="F97" i="27"/>
  <c r="J97" i="27" s="1"/>
  <c r="E60" i="27"/>
  <c r="F60" i="27" l="1"/>
  <c r="J60" i="27" s="1"/>
  <c r="E59" i="27"/>
  <c r="F59" i="27" l="1"/>
  <c r="H81" i="27" l="1"/>
  <c r="J81" i="27" s="1"/>
  <c r="E98" i="27" l="1"/>
  <c r="F98" i="27" l="1"/>
  <c r="E96" i="27"/>
  <c r="F96" i="27" l="1"/>
  <c r="J98" i="27"/>
  <c r="D25" i="27"/>
  <c r="E25" i="27" s="1"/>
  <c r="D78" i="27" l="1"/>
  <c r="G78" i="27"/>
  <c r="H78" i="27"/>
  <c r="C83" i="27"/>
  <c r="C78" i="27"/>
  <c r="G94" i="27" l="1"/>
  <c r="G80" i="27"/>
  <c r="G65" i="27"/>
  <c r="D83" i="27" l="1"/>
  <c r="F25" i="27"/>
  <c r="I98" i="27" l="1"/>
  <c r="I97" i="27"/>
  <c r="I91" i="27"/>
  <c r="I90" i="27"/>
  <c r="I89" i="27"/>
  <c r="I88" i="27"/>
  <c r="I87" i="27"/>
  <c r="I81" i="27"/>
  <c r="I96" i="27" l="1"/>
  <c r="H94" i="27"/>
  <c r="H80" i="27"/>
  <c r="I80" i="27" s="1"/>
  <c r="K74" i="27" l="1"/>
  <c r="D74" i="27"/>
  <c r="C74" i="27"/>
  <c r="K72" i="27"/>
  <c r="K104" i="27"/>
  <c r="K47" i="27"/>
  <c r="K46" i="27" s="1"/>
  <c r="K45" i="27" s="1"/>
  <c r="D104" i="27"/>
  <c r="C104" i="27"/>
  <c r="D101" i="27"/>
  <c r="C101" i="27"/>
  <c r="K96" i="27"/>
  <c r="J96" i="27"/>
  <c r="K94" i="27"/>
  <c r="D94" i="27"/>
  <c r="C94" i="27"/>
  <c r="K80" i="27"/>
  <c r="J80" i="27"/>
  <c r="F80" i="27"/>
  <c r="D80" i="27"/>
  <c r="C80" i="27"/>
  <c r="D72" i="27"/>
  <c r="C72" i="27"/>
  <c r="D68" i="27"/>
  <c r="C68" i="27"/>
  <c r="K65" i="27"/>
  <c r="D65" i="27"/>
  <c r="C65" i="27"/>
  <c r="K62" i="27"/>
  <c r="K61" i="27" s="1"/>
  <c r="D62" i="27"/>
  <c r="C62" i="27"/>
  <c r="D51" i="27"/>
  <c r="C51" i="27"/>
  <c r="D47" i="27"/>
  <c r="C47" i="27"/>
  <c r="D41" i="27"/>
  <c r="C41" i="27"/>
  <c r="D32" i="27"/>
  <c r="C32" i="27"/>
  <c r="D24" i="27"/>
  <c r="C24" i="27"/>
  <c r="D16" i="27"/>
  <c r="C16" i="27"/>
  <c r="C21" i="27" l="1"/>
  <c r="C15" i="27" s="1"/>
  <c r="C14" i="27" s="1"/>
  <c r="C13" i="27" s="1"/>
  <c r="C100" i="27"/>
  <c r="C99" i="27" s="1"/>
  <c r="C71" i="27"/>
  <c r="C70" i="27" s="1"/>
  <c r="C46" i="27"/>
  <c r="C45" i="27" s="1"/>
  <c r="C67" i="27"/>
  <c r="C50" i="27"/>
  <c r="C61" i="27"/>
  <c r="C40" i="27"/>
  <c r="C39" i="27" s="1"/>
  <c r="C38" i="27" s="1"/>
  <c r="C37" i="27" s="1"/>
  <c r="C36" i="27" s="1"/>
  <c r="D100" i="27"/>
  <c r="D99" i="27" s="1"/>
  <c r="D67" i="27"/>
  <c r="D61" i="27"/>
  <c r="D50" i="27"/>
  <c r="D49" i="27" s="1"/>
  <c r="D46" i="27"/>
  <c r="D45" i="27" s="1"/>
  <c r="D40" i="27"/>
  <c r="D39" i="27" s="1"/>
  <c r="D38" i="27" s="1"/>
  <c r="D37" i="27" s="1"/>
  <c r="D36" i="27" s="1"/>
  <c r="D21" i="27"/>
  <c r="D15" i="27" s="1"/>
  <c r="D14" i="27" s="1"/>
  <c r="D13" i="27" s="1"/>
  <c r="D71" i="27"/>
  <c r="K83" i="27"/>
  <c r="C82" i="27"/>
  <c r="D82" i="27"/>
  <c r="K41" i="27"/>
  <c r="K40" i="27" s="1"/>
  <c r="K39" i="27" s="1"/>
  <c r="K38" i="27" s="1"/>
  <c r="K37" i="27" s="1"/>
  <c r="K36" i="27" s="1"/>
  <c r="K51" i="27"/>
  <c r="K50" i="27" s="1"/>
  <c r="K68" i="27"/>
  <c r="K67" i="27" s="1"/>
  <c r="C44" i="27" l="1"/>
  <c r="C12" i="27" s="1"/>
  <c r="C11" i="27" s="1"/>
  <c r="D77" i="27"/>
  <c r="D76" i="27" s="1"/>
  <c r="C77" i="27"/>
  <c r="C76" i="27" s="1"/>
  <c r="C64" i="27" s="1"/>
  <c r="D44" i="27"/>
  <c r="D12" i="27" s="1"/>
  <c r="D11" i="27" s="1"/>
  <c r="D70" i="27"/>
  <c r="C10" i="27" l="1"/>
  <c r="D64" i="27"/>
  <c r="D10" i="27" s="1"/>
  <c r="H66" i="27" l="1"/>
  <c r="H57" i="27"/>
  <c r="I57" i="27" s="1"/>
  <c r="H56" i="27"/>
  <c r="H55" i="27"/>
  <c r="I55" i="27" s="1"/>
  <c r="H33" i="27"/>
  <c r="J33" i="27" s="1"/>
  <c r="H30" i="27"/>
  <c r="I30" i="27" l="1"/>
  <c r="J30" i="27"/>
  <c r="I33" i="27"/>
  <c r="H65" i="27"/>
  <c r="E106" i="27" l="1"/>
  <c r="F106" i="27" s="1"/>
  <c r="E105" i="27"/>
  <c r="E103" i="27"/>
  <c r="F103" i="27" s="1"/>
  <c r="E102" i="27"/>
  <c r="E95" i="27"/>
  <c r="E93" i="27"/>
  <c r="F93" i="27" s="1"/>
  <c r="E91" i="27"/>
  <c r="E90" i="27"/>
  <c r="E89" i="27"/>
  <c r="E88" i="27"/>
  <c r="E87" i="27"/>
  <c r="E86" i="27"/>
  <c r="F86" i="27" s="1"/>
  <c r="E85" i="27"/>
  <c r="F85" i="27" s="1"/>
  <c r="E84" i="27"/>
  <c r="E81" i="27"/>
  <c r="E80" i="27" s="1"/>
  <c r="E79" i="27"/>
  <c r="E75" i="27"/>
  <c r="E73" i="27"/>
  <c r="E69" i="27"/>
  <c r="E66" i="27"/>
  <c r="E63" i="27"/>
  <c r="E58" i="27"/>
  <c r="E57" i="27"/>
  <c r="F57" i="27" s="1"/>
  <c r="J57" i="27" s="1"/>
  <c r="E56" i="27"/>
  <c r="F56" i="27" s="1"/>
  <c r="J56" i="27" s="1"/>
  <c r="E55" i="27"/>
  <c r="F55" i="27" s="1"/>
  <c r="J55" i="27" s="1"/>
  <c r="E54" i="27"/>
  <c r="F54" i="27" s="1"/>
  <c r="E53" i="27"/>
  <c r="F53" i="27" s="1"/>
  <c r="E52" i="27"/>
  <c r="E48" i="27"/>
  <c r="E43" i="27"/>
  <c r="F43" i="27" s="1"/>
  <c r="E42" i="27"/>
  <c r="E35" i="27"/>
  <c r="F35" i="27" s="1"/>
  <c r="E34" i="27"/>
  <c r="F34" i="27" s="1"/>
  <c r="E33" i="27"/>
  <c r="E31" i="27"/>
  <c r="E30" i="27"/>
  <c r="E29" i="27"/>
  <c r="F29" i="27" s="1"/>
  <c r="E28" i="27"/>
  <c r="F28" i="27" s="1"/>
  <c r="E27" i="27"/>
  <c r="F27" i="27" s="1"/>
  <c r="E26" i="27"/>
  <c r="E23" i="27"/>
  <c r="E22" i="27"/>
  <c r="E20" i="27"/>
  <c r="E19" i="27"/>
  <c r="E18" i="27"/>
  <c r="E17" i="27"/>
  <c r="I93" i="27" l="1"/>
  <c r="J93" i="27"/>
  <c r="E32" i="27"/>
  <c r="E104" i="27"/>
  <c r="F48" i="27"/>
  <c r="E47" i="27"/>
  <c r="F95" i="27"/>
  <c r="J95" i="27" s="1"/>
  <c r="E94" i="27"/>
  <c r="F31" i="27"/>
  <c r="F69" i="27"/>
  <c r="E68" i="27"/>
  <c r="F102" i="27"/>
  <c r="E101" i="27"/>
  <c r="F63" i="27"/>
  <c r="E62" i="27"/>
  <c r="F75" i="27"/>
  <c r="E74" i="27"/>
  <c r="F22" i="27"/>
  <c r="F32" i="27"/>
  <c r="I56" i="27"/>
  <c r="E78" i="27"/>
  <c r="F79" i="27"/>
  <c r="J79" i="27" s="1"/>
  <c r="F104" i="27"/>
  <c r="F66" i="27"/>
  <c r="J66" i="27" s="1"/>
  <c r="E65" i="27"/>
  <c r="F17" i="27"/>
  <c r="E16" i="27"/>
  <c r="F19" i="27"/>
  <c r="F20" i="27"/>
  <c r="F52" i="27"/>
  <c r="E51" i="27"/>
  <c r="F23" i="27"/>
  <c r="F73" i="27"/>
  <c r="E72" i="27"/>
  <c r="E71" i="27" s="1"/>
  <c r="F26" i="27"/>
  <c r="E24" i="27"/>
  <c r="F42" i="27"/>
  <c r="E41" i="27"/>
  <c r="F18" i="27"/>
  <c r="F58" i="27"/>
  <c r="F84" i="27"/>
  <c r="J84" i="27" s="1"/>
  <c r="E92" i="27"/>
  <c r="F92" i="27" s="1"/>
  <c r="I92" i="27" l="1"/>
  <c r="J92" i="27"/>
  <c r="J94" i="27"/>
  <c r="F24" i="27"/>
  <c r="E70" i="27"/>
  <c r="F16" i="27"/>
  <c r="F78" i="27"/>
  <c r="I79" i="27"/>
  <c r="E21" i="27"/>
  <c r="E15" i="27" s="1"/>
  <c r="E14" i="27" s="1"/>
  <c r="E13" i="27" s="1"/>
  <c r="F62" i="27"/>
  <c r="E61" i="27"/>
  <c r="E83" i="27"/>
  <c r="E82" i="27" s="1"/>
  <c r="E77" i="27" s="1"/>
  <c r="E76" i="27" s="1"/>
  <c r="E100" i="27"/>
  <c r="E99" i="27" s="1"/>
  <c r="F83" i="27"/>
  <c r="I84" i="27"/>
  <c r="E40" i="27"/>
  <c r="E39" i="27" s="1"/>
  <c r="E38" i="27" s="1"/>
  <c r="E37" i="27" s="1"/>
  <c r="E36" i="27" s="1"/>
  <c r="E50" i="27"/>
  <c r="E49" i="27" s="1"/>
  <c r="F65" i="27"/>
  <c r="I66" i="27"/>
  <c r="F101" i="27"/>
  <c r="I95" i="27"/>
  <c r="F94" i="27"/>
  <c r="I94" i="27" s="1"/>
  <c r="F72" i="27"/>
  <c r="F41" i="27"/>
  <c r="F51" i="27"/>
  <c r="E67" i="27"/>
  <c r="E46" i="27"/>
  <c r="E45" i="27" s="1"/>
  <c r="F74" i="27"/>
  <c r="F68" i="27"/>
  <c r="F47" i="27"/>
  <c r="F21" i="27" l="1"/>
  <c r="F15" i="27" s="1"/>
  <c r="F14" i="27" s="1"/>
  <c r="F13" i="27" s="1"/>
  <c r="F71" i="27"/>
  <c r="F70" i="27" s="1"/>
  <c r="E64" i="27"/>
  <c r="E44" i="27"/>
  <c r="E12" i="27" s="1"/>
  <c r="E11" i="27" s="1"/>
  <c r="E10" i="27" s="1"/>
  <c r="F46" i="27"/>
  <c r="F45" i="27" s="1"/>
  <c r="F61" i="27"/>
  <c r="F67" i="27"/>
  <c r="F50" i="27"/>
  <c r="F49" i="27" s="1"/>
  <c r="J65" i="27"/>
  <c r="I78" i="27"/>
  <c r="I65" i="27"/>
  <c r="F82" i="27"/>
  <c r="F40" i="27"/>
  <c r="F39" i="27" s="1"/>
  <c r="F38" i="27" s="1"/>
  <c r="F37" i="27" s="1"/>
  <c r="F36" i="27" s="1"/>
  <c r="F100" i="27"/>
  <c r="F44" i="27" l="1"/>
  <c r="F12" i="27" s="1"/>
  <c r="F11" i="27" s="1"/>
  <c r="F99" i="27"/>
  <c r="F77" i="27"/>
  <c r="F76" i="27" l="1"/>
  <c r="F64" i="27" l="1"/>
  <c r="F10" i="27" s="1"/>
  <c r="H59" i="27" l="1"/>
  <c r="J59" i="27"/>
  <c r="I60" i="27"/>
  <c r="I59" i="27" l="1"/>
  <c r="G73" i="27" l="1"/>
  <c r="G72" i="27" l="1"/>
  <c r="H73" i="27"/>
  <c r="G106" i="27"/>
  <c r="G103" i="27"/>
  <c r="H103" i="27" s="1"/>
  <c r="G102" i="27"/>
  <c r="G86" i="27"/>
  <c r="H86" i="27" s="1"/>
  <c r="G85" i="27"/>
  <c r="G75" i="27"/>
  <c r="G69" i="27"/>
  <c r="G63" i="27"/>
  <c r="G58" i="27"/>
  <c r="G54" i="27"/>
  <c r="H54" i="27" s="1"/>
  <c r="G53" i="27"/>
  <c r="H53" i="27" s="1"/>
  <c r="G52" i="27"/>
  <c r="G48" i="27"/>
  <c r="G43" i="27"/>
  <c r="H43" i="27" s="1"/>
  <c r="G42" i="27"/>
  <c r="G35" i="27"/>
  <c r="H35" i="27" s="1"/>
  <c r="G34" i="27"/>
  <c r="G31" i="27"/>
  <c r="G29" i="27"/>
  <c r="H29" i="27" s="1"/>
  <c r="G28" i="27"/>
  <c r="H28" i="27" s="1"/>
  <c r="G27" i="27"/>
  <c r="H27" i="27" s="1"/>
  <c r="G26" i="27"/>
  <c r="H26" i="27" s="1"/>
  <c r="G23" i="27"/>
  <c r="G22" i="27"/>
  <c r="G20" i="27"/>
  <c r="G19" i="27"/>
  <c r="G18" i="27"/>
  <c r="G17" i="27"/>
  <c r="J26" i="27" l="1"/>
  <c r="I26" i="27"/>
  <c r="H75" i="27"/>
  <c r="G74" i="27"/>
  <c r="G71" i="27" s="1"/>
  <c r="J43" i="27"/>
  <c r="I43" i="27"/>
  <c r="J27" i="27"/>
  <c r="I27" i="27"/>
  <c r="H48" i="27"/>
  <c r="G47" i="27"/>
  <c r="H85" i="27"/>
  <c r="G83" i="27"/>
  <c r="G82" i="27" s="1"/>
  <c r="G77" i="27" s="1"/>
  <c r="G76" i="27" s="1"/>
  <c r="J28" i="27"/>
  <c r="I28" i="27"/>
  <c r="H52" i="27"/>
  <c r="G51" i="27"/>
  <c r="J29" i="27"/>
  <c r="I29" i="27"/>
  <c r="H19" i="27"/>
  <c r="J54" i="27"/>
  <c r="I54" i="27"/>
  <c r="J103" i="27"/>
  <c r="I103" i="27"/>
  <c r="J53" i="27"/>
  <c r="I53" i="27"/>
  <c r="G32" i="27"/>
  <c r="H34" i="27"/>
  <c r="H58" i="27"/>
  <c r="H106" i="27"/>
  <c r="G104" i="27"/>
  <c r="J86" i="27"/>
  <c r="I86" i="27"/>
  <c r="H22" i="27"/>
  <c r="J73" i="27"/>
  <c r="J72" i="27" s="1"/>
  <c r="H72" i="27"/>
  <c r="I73" i="27"/>
  <c r="H17" i="27"/>
  <c r="G16" i="27"/>
  <c r="H18" i="27"/>
  <c r="G101" i="27"/>
  <c r="H102" i="27"/>
  <c r="H31" i="27"/>
  <c r="H20" i="27"/>
  <c r="J35" i="27"/>
  <c r="I35" i="27"/>
  <c r="H63" i="27"/>
  <c r="G62" i="27"/>
  <c r="H23" i="27"/>
  <c r="H42" i="27"/>
  <c r="G41" i="27"/>
  <c r="H69" i="27"/>
  <c r="G68" i="27"/>
  <c r="J102" i="27" l="1"/>
  <c r="J101" i="27" s="1"/>
  <c r="H101" i="27"/>
  <c r="I102" i="27"/>
  <c r="G100" i="27"/>
  <c r="G99" i="27" s="1"/>
  <c r="J18" i="27"/>
  <c r="I18" i="27"/>
  <c r="J75" i="27"/>
  <c r="J74" i="27" s="1"/>
  <c r="J71" i="27" s="1"/>
  <c r="H74" i="27"/>
  <c r="I74" i="27" s="1"/>
  <c r="I75" i="27"/>
  <c r="G61" i="27"/>
  <c r="I72" i="27"/>
  <c r="H71" i="27"/>
  <c r="J52" i="27"/>
  <c r="J51" i="27" s="1"/>
  <c r="I52" i="27"/>
  <c r="H51" i="27"/>
  <c r="J63" i="27"/>
  <c r="J62" i="27" s="1"/>
  <c r="H62" i="27"/>
  <c r="I63" i="27"/>
  <c r="G67" i="27"/>
  <c r="G64" i="27" s="1"/>
  <c r="J58" i="27"/>
  <c r="I58" i="27"/>
  <c r="J69" i="27"/>
  <c r="J68" i="27" s="1"/>
  <c r="I69" i="27"/>
  <c r="H68" i="27"/>
  <c r="J22" i="27"/>
  <c r="I22" i="27"/>
  <c r="J34" i="27"/>
  <c r="J32" i="27" s="1"/>
  <c r="I34" i="27"/>
  <c r="H32" i="27"/>
  <c r="J19" i="27"/>
  <c r="I19" i="27"/>
  <c r="J20" i="27"/>
  <c r="I20" i="27"/>
  <c r="G46" i="27"/>
  <c r="G45" i="27" s="1"/>
  <c r="G50" i="27"/>
  <c r="G49" i="27" s="1"/>
  <c r="I106" i="27"/>
  <c r="J106" i="27"/>
  <c r="J104" i="27" s="1"/>
  <c r="H104" i="27"/>
  <c r="I104" i="27" s="1"/>
  <c r="G70" i="27"/>
  <c r="G40" i="27"/>
  <c r="G39" i="27" s="1"/>
  <c r="G38" i="27" s="1"/>
  <c r="G37" i="27" s="1"/>
  <c r="G36" i="27" s="1"/>
  <c r="J85" i="27"/>
  <c r="H83" i="27"/>
  <c r="I85" i="27"/>
  <c r="J42" i="27"/>
  <c r="J41" i="27" s="1"/>
  <c r="I42" i="27"/>
  <c r="H41" i="27"/>
  <c r="J23" i="27"/>
  <c r="I23" i="27"/>
  <c r="J31" i="27"/>
  <c r="I31" i="27"/>
  <c r="H16" i="27"/>
  <c r="J17" i="27"/>
  <c r="I17" i="27"/>
  <c r="J48" i="27"/>
  <c r="J47" i="27" s="1"/>
  <c r="H47" i="27"/>
  <c r="I48" i="27"/>
  <c r="I83" i="27" l="1"/>
  <c r="H82" i="27"/>
  <c r="I71" i="27"/>
  <c r="H70" i="27"/>
  <c r="I70" i="27" s="1"/>
  <c r="J50" i="27"/>
  <c r="J49" i="27" s="1"/>
  <c r="J16" i="27"/>
  <c r="J83" i="27"/>
  <c r="J82" i="27" s="1"/>
  <c r="J77" i="27" s="1"/>
  <c r="J76" i="27" s="1"/>
  <c r="H40" i="27"/>
  <c r="I41" i="27"/>
  <c r="I32" i="27"/>
  <c r="G44" i="27"/>
  <c r="J67" i="27"/>
  <c r="J61" i="27"/>
  <c r="I16" i="27"/>
  <c r="H67" i="27"/>
  <c r="I68" i="27"/>
  <c r="I62" i="27"/>
  <c r="H61" i="27"/>
  <c r="I61" i="27" s="1"/>
  <c r="I47" i="27"/>
  <c r="H46" i="27"/>
  <c r="J40" i="27"/>
  <c r="J39" i="27" s="1"/>
  <c r="J38" i="27" s="1"/>
  <c r="J37" i="27" s="1"/>
  <c r="J36" i="27" s="1"/>
  <c r="H50" i="27"/>
  <c r="I51" i="27"/>
  <c r="I101" i="27"/>
  <c r="H100" i="27"/>
  <c r="J46" i="27"/>
  <c r="J45" i="27" s="1"/>
  <c r="J70" i="27"/>
  <c r="J100" i="27"/>
  <c r="J99" i="27" s="1"/>
  <c r="J64" i="27" l="1"/>
  <c r="I46" i="27"/>
  <c r="H45" i="27"/>
  <c r="I82" i="27"/>
  <c r="H77" i="27"/>
  <c r="H39" i="27"/>
  <c r="I40" i="27"/>
  <c r="H99" i="27"/>
  <c r="I99" i="27" s="1"/>
  <c r="I100" i="27"/>
  <c r="H49" i="27"/>
  <c r="I49" i="27" s="1"/>
  <c r="I50" i="27"/>
  <c r="I67" i="27"/>
  <c r="J44" i="27"/>
  <c r="H38" i="27" l="1"/>
  <c r="I39" i="27"/>
  <c r="H44" i="27"/>
  <c r="I44" i="27" s="1"/>
  <c r="I45" i="27"/>
  <c r="H76" i="27"/>
  <c r="I77" i="27"/>
  <c r="I76" i="27" l="1"/>
  <c r="H64" i="27"/>
  <c r="I64" i="27" s="1"/>
  <c r="H37" i="27"/>
  <c r="I38" i="27"/>
  <c r="H36" i="27" l="1"/>
  <c r="I36" i="27" s="1"/>
  <c r="I37" i="27"/>
  <c r="G25" i="27" l="1"/>
  <c r="H25" i="27" l="1"/>
  <c r="G24" i="27"/>
  <c r="G21" i="27" l="1"/>
  <c r="G15" i="27" s="1"/>
  <c r="G14" i="27" s="1"/>
  <c r="G13" i="27" s="1"/>
  <c r="G12" i="27" s="1"/>
  <c r="G11" i="27" s="1"/>
  <c r="G10" i="27" s="1"/>
  <c r="J25" i="27"/>
  <c r="J24" i="27" s="1"/>
  <c r="I25" i="27"/>
  <c r="H24" i="27"/>
  <c r="J21" i="27" l="1"/>
  <c r="J15" i="27" s="1"/>
  <c r="J14" i="27" s="1"/>
  <c r="J13" i="27" s="1"/>
  <c r="J12" i="27" s="1"/>
  <c r="J11" i="27" s="1"/>
  <c r="J10" i="27" s="1"/>
  <c r="I24" i="27"/>
  <c r="H21" i="27"/>
  <c r="I21" i="27" l="1"/>
  <c r="H15" i="27"/>
  <c r="H14" i="27" l="1"/>
  <c r="I15" i="27"/>
  <c r="I14" i="27" l="1"/>
  <c r="H13" i="27"/>
  <c r="H12" i="27" l="1"/>
  <c r="I13" i="27"/>
  <c r="H11" i="27" l="1"/>
  <c r="I12" i="27"/>
  <c r="I11" i="27" l="1"/>
  <c r="H10" i="27"/>
  <c r="I10" i="27" s="1"/>
</calcChain>
</file>

<file path=xl/sharedStrings.xml><?xml version="1.0" encoding="utf-8"?>
<sst xmlns="http://schemas.openxmlformats.org/spreadsheetml/2006/main" count="259" uniqueCount="218">
  <si>
    <t>CÓDIGO</t>
  </si>
  <si>
    <t>CONCEPTO</t>
  </si>
  <si>
    <t>INGRESOS</t>
  </si>
  <si>
    <t>1.1</t>
  </si>
  <si>
    <t>INGRESOS CORRIENTES</t>
  </si>
  <si>
    <t>1.1.02</t>
  </si>
  <si>
    <t>INGRESOS NO TRIBUTARIOS</t>
  </si>
  <si>
    <t>1.1.02.02</t>
  </si>
  <si>
    <t>TASAS Y DERECHOS ADMINISTRATIVOS</t>
  </si>
  <si>
    <t>1.1.02.02.116</t>
  </si>
  <si>
    <t>DERECHOS PECUNIARIOS EDUCACIÓN SUPERIOR</t>
  </si>
  <si>
    <t>1.1.02.02.116.01</t>
  </si>
  <si>
    <t xml:space="preserve">SERVICIOS DE EDUCACIÓN SUPERIOR (TERCIARIA) </t>
  </si>
  <si>
    <t>1.1.02.02.116.01.01</t>
  </si>
  <si>
    <t>NIVEL PREGRADO</t>
  </si>
  <si>
    <t>1.1.02.02.116.01.01.01</t>
  </si>
  <si>
    <t>Inscripciones</t>
  </si>
  <si>
    <t>1.1.02.02.116.01.01.02</t>
  </si>
  <si>
    <t>Derechos de grado</t>
  </si>
  <si>
    <t>1.1.02.02.116.01.01.03</t>
  </si>
  <si>
    <t>Matrículas</t>
  </si>
  <si>
    <t>1.1.02.02.116.01.01.04</t>
  </si>
  <si>
    <t>Certificaciones, constancias academicas y derechos complementarios</t>
  </si>
  <si>
    <t>1.1.02.02.116.01.02</t>
  </si>
  <si>
    <t>NIVEL POSGRADO</t>
  </si>
  <si>
    <t>1.1.02.02.116.01.02.01</t>
  </si>
  <si>
    <t>1.1.02.02.116.01.02.02</t>
  </si>
  <si>
    <t>1.1.02.02.116.01.02.03</t>
  </si>
  <si>
    <t>1.1.02.02.116.01.02.03.1</t>
  </si>
  <si>
    <t>Facultad de Artes ASAB</t>
  </si>
  <si>
    <t>1.1.02.02.116.01.02.03.2</t>
  </si>
  <si>
    <t>Facultad de Ciencias y Educación</t>
  </si>
  <si>
    <t>1.1.02.02.116.01.02.03.3</t>
  </si>
  <si>
    <t>Facultad de ingeniería</t>
  </si>
  <si>
    <t>1.1.02.02.116.01.02.03.4</t>
  </si>
  <si>
    <t>Facultad de Medio ambiente y recursos naturales</t>
  </si>
  <si>
    <t>1.1.02.02.116.01.02.03.5</t>
  </si>
  <si>
    <t>Facultad Tecnológica</t>
  </si>
  <si>
    <t>1.1.02.02.116.01.02.03.6</t>
  </si>
  <si>
    <t>Facultad de Ciencias y Educación - Maestría en Educación Guajira</t>
  </si>
  <si>
    <t>1.1.02.02.116.01.02.04</t>
  </si>
  <si>
    <t>1.1.02.02.116.02</t>
  </si>
  <si>
    <t>DERECHOS COMPLEMENTARIOS ASOCIADOS A LA EDUCACIÓN</t>
  </si>
  <si>
    <t>1.1.02.02.116.02.1</t>
  </si>
  <si>
    <t>Cursos De Vacaciones</t>
  </si>
  <si>
    <t>1.1.02.02.116.02.2</t>
  </si>
  <si>
    <t>Servicios Sistematización</t>
  </si>
  <si>
    <t>1.1.02.02.116.02.3</t>
  </si>
  <si>
    <t xml:space="preserve">Otros Ingresos </t>
  </si>
  <si>
    <t>1.1.02.05</t>
  </si>
  <si>
    <t>VENTA DE BIENES Y SERVICIOS</t>
  </si>
  <si>
    <t>1.1.02.05.001</t>
  </si>
  <si>
    <t>VENTAS DE ESTABLECIMIENTOS DE MERCADO</t>
  </si>
  <si>
    <t>1.1.02.05.001.08</t>
  </si>
  <si>
    <t>SERVICIOS PRESTADOS A LAS EMPRESAS Y SERVICIOS DE PRODUCCIÓN</t>
  </si>
  <si>
    <t>1.1.02.05.001.08.03</t>
  </si>
  <si>
    <t>SERVICIOS PROFESIONALES, CIENTÍFICOS Y TÉCNICOS (EXCEPTO LOS SERVICIOS DE INVESTIGACIÓN, URBANISMO, JURÍDICOS Y DE CONTABILIDAD)</t>
  </si>
  <si>
    <t>1.1.02.05.001.08.03.01</t>
  </si>
  <si>
    <t>Servicios de consultoría en administración y servicios de gestión; servicios de tecnología de la información</t>
  </si>
  <si>
    <t>1.1.02.05.001.08.03.01.18</t>
  </si>
  <si>
    <t>Servicios de Oficinas Centrales</t>
  </si>
  <si>
    <t>1.1.02.05.001.08.03.01.18.1</t>
  </si>
  <si>
    <t>Beneficio Institucional Productos Y Servicios Especializados</t>
  </si>
  <si>
    <t>1.1.02.05.001.08.03.01.18.3</t>
  </si>
  <si>
    <t>Fondo de publicaciones</t>
  </si>
  <si>
    <t>1.1.02.06</t>
  </si>
  <si>
    <t>TRANSFERENCIAS CORRIENTES</t>
  </si>
  <si>
    <t>1.1.02.06.003</t>
  </si>
  <si>
    <t>PARTICIPACIONES DISTINTAS DEL SGP</t>
  </si>
  <si>
    <t>1.1.02.06.003.02</t>
  </si>
  <si>
    <t>PARTICIPACION EN CONTRIBUCIONES</t>
  </si>
  <si>
    <t>1.1.02.06.003.02.03</t>
  </si>
  <si>
    <t>PARTICIPACION EN CONTRIBUCIÓN DEL FONDO NACIONAL DE UNIVERSIDADES ESTATALES DE COLOMBIA</t>
  </si>
  <si>
    <t>1.1.02.06.003.02.03.1</t>
  </si>
  <si>
    <t>Ley 1697/2013 pro Universidad Nacional y demás universidades estatales</t>
  </si>
  <si>
    <t>1.1.02.06.006</t>
  </si>
  <si>
    <t>TRANSFERENCIAS DE OTRAS ENTIDADES DEL GOBIERNO GENERAL</t>
  </si>
  <si>
    <t>1.1.02.06.006.01</t>
  </si>
  <si>
    <t>APORTES NACIÓN</t>
  </si>
  <si>
    <t>1.1.02.06.006.01.06</t>
  </si>
  <si>
    <t>MINISTERIO DE EDUCACIÓN - UNIVERSIDAD DISTRITAL</t>
  </si>
  <si>
    <t>1.1.02.06.006.01.06.1</t>
  </si>
  <si>
    <t>Transferencias de la Nación por artículo 86 Ley 30/1992</t>
  </si>
  <si>
    <t>1.1.02.06.006.01.06.2</t>
  </si>
  <si>
    <t>Transferencias de la Nación por artículo 87 Ley 30/1992</t>
  </si>
  <si>
    <t>1.1.02.06.006.01.06.3</t>
  </si>
  <si>
    <t>Transferencias de la Nación por el 10% del valor de la Ley 403/97</t>
  </si>
  <si>
    <t>1.1.02.06.006.01.06.4</t>
  </si>
  <si>
    <t>Transferencias de la Nación - Saneamiento de Pasivos</t>
  </si>
  <si>
    <t>1.1.02.06.006.01.06.5</t>
  </si>
  <si>
    <t>Transferencias de la Nación - Excedentes Cooperativas</t>
  </si>
  <si>
    <t>1.1.02.06.006.01.06.6</t>
  </si>
  <si>
    <t>Transferencias de la Nación - Plan de Fomento de la Calidad</t>
  </si>
  <si>
    <t>1.1.02.06.006.02</t>
  </si>
  <si>
    <t>DEVOLUCIÓN IVA- INSTITUCIONES DE EDUCACIÓN SUPERIOR</t>
  </si>
  <si>
    <t>1.1.02.06.009</t>
  </si>
  <si>
    <t>RECURSOS DEL SISTEMA DE SEGURIDAD SOCIAL INTEGRAL</t>
  </si>
  <si>
    <t>1.1.02.06.009.02</t>
  </si>
  <si>
    <t>SISTEMA GENERAL DE PENSIONES</t>
  </si>
  <si>
    <t>1.1.02.06.009.02.02</t>
  </si>
  <si>
    <t>Cuotas partes pensionales</t>
  </si>
  <si>
    <t>1.2</t>
  </si>
  <si>
    <t>RECURSOS DE CAPITAL</t>
  </si>
  <si>
    <t>1.2.02</t>
  </si>
  <si>
    <t>EXCEDENTES FINANCIEROS</t>
  </si>
  <si>
    <t>1.2.02.01</t>
  </si>
  <si>
    <t>Establecimientos públicos</t>
  </si>
  <si>
    <t>1.2.05</t>
  </si>
  <si>
    <t>RENDIMIENTOS FINANCIEROS</t>
  </si>
  <si>
    <t>1.2.05.02</t>
  </si>
  <si>
    <t>DEPÓSITOS</t>
  </si>
  <si>
    <t>1.2.05.02.05</t>
  </si>
  <si>
    <t>Recursos propios de libre destinación</t>
  </si>
  <si>
    <t>1.2.09</t>
  </si>
  <si>
    <t>RECUPERACIÓN DE CARTERA - PRÉSTAMOS</t>
  </si>
  <si>
    <t>1.2.09.03</t>
  </si>
  <si>
    <t>DE PERSONAS NATURALES</t>
  </si>
  <si>
    <t>1.2.09.03.01</t>
  </si>
  <si>
    <t>PRÉSTAMOS DE VIVIENDA</t>
  </si>
  <si>
    <t>1.2.09.03.01.1</t>
  </si>
  <si>
    <t xml:space="preserve">Administrativos </t>
  </si>
  <si>
    <t>1.2.09.03.02</t>
  </si>
  <si>
    <t xml:space="preserve">PRÉSTAMOS ORDINARIOS </t>
  </si>
  <si>
    <t>1.2.09.03.02.1</t>
  </si>
  <si>
    <t>1.2.10</t>
  </si>
  <si>
    <t>RECURSOS DEL BALANCE</t>
  </si>
  <si>
    <t>1.2.10.02</t>
  </si>
  <si>
    <t>SUPERÁVIT FISCAL</t>
  </si>
  <si>
    <t>1.2.10.02.03</t>
  </si>
  <si>
    <t>LIBRE DESTINACIÓN</t>
  </si>
  <si>
    <t>1.2.10.02.03.1</t>
  </si>
  <si>
    <t>Otros Ingresos de Libre Destinación</t>
  </si>
  <si>
    <t>1.2.10.02.04</t>
  </si>
  <si>
    <t>NO INCORPORADO DE VIGENCIAS ANTERIORES</t>
  </si>
  <si>
    <t>1.2.10.02.04.02</t>
  </si>
  <si>
    <t>INGRESOS DE DESTINACIÓN ESPECÍFICA</t>
  </si>
  <si>
    <t>1.2.10.02.04.02.1</t>
  </si>
  <si>
    <t>Recursos de Inversión Ministerio de Educación Nacional vigencias anteriores</t>
  </si>
  <si>
    <t>1.2.10.02.04.02.2</t>
  </si>
  <si>
    <t>Estampilla Pro Universidad Distrital Ley 648 de 2001 vigencias anteriores</t>
  </si>
  <si>
    <t>1.2.10.02.04.02.3</t>
  </si>
  <si>
    <t>Estampilla Pro Universidad Distrital Ley 1825 de 2017 vigencias anteriores</t>
  </si>
  <si>
    <t>1.2.10.02.04.02.4</t>
  </si>
  <si>
    <t>Ley 1697/2013 Pro Universidad Nacional y demás Universidades Estatales</t>
  </si>
  <si>
    <t>1.2.10.02.04.02.5</t>
  </si>
  <si>
    <t>Aportes del Distrito vigencias anteriores</t>
  </si>
  <si>
    <t>1.2.10.02.04.02.6</t>
  </si>
  <si>
    <t>Distribución Punto Adicional CREE Vigencias anteriores</t>
  </si>
  <si>
    <t>1.2.10.02.04.02.7</t>
  </si>
  <si>
    <t>Rendimientos recursos de Inversión Ministerio de Educación Nacional vigencias anteriores</t>
  </si>
  <si>
    <t>1.2.10.02.04.02.8</t>
  </si>
  <si>
    <t>Planes de Fomento a la Calidad vigencias anteriores</t>
  </si>
  <si>
    <t>1.2.10.02.04.02.9</t>
  </si>
  <si>
    <t>Pasivos Exigibles</t>
  </si>
  <si>
    <t>1.2.10.02.04.03</t>
  </si>
  <si>
    <t>INGRESOS DE LIBRE DESTINACIÓN</t>
  </si>
  <si>
    <t>1.2.10.02.04.03.1</t>
  </si>
  <si>
    <t>1.2.13</t>
  </si>
  <si>
    <t>REINTEGROS Y OTROS RECURSOS NO APROPIADOS</t>
  </si>
  <si>
    <t>1.2.13.01</t>
  </si>
  <si>
    <t>REINTEGROS</t>
  </si>
  <si>
    <t>1.2.13.02</t>
  </si>
  <si>
    <t>RECURSOS NO APROPIADOS</t>
  </si>
  <si>
    <t>1.5</t>
  </si>
  <si>
    <t>TRANSFERENCIAS ADMINISTRACIÓN CENTRAL</t>
  </si>
  <si>
    <t>1.5.01</t>
  </si>
  <si>
    <t>APORTE ORDINARIO</t>
  </si>
  <si>
    <t>1.5.01.01</t>
  </si>
  <si>
    <t>VIGENCIA</t>
  </si>
  <si>
    <t>1.5.01.01.1</t>
  </si>
  <si>
    <t>Aportes Según Ley 30</t>
  </si>
  <si>
    <t>1.5.03</t>
  </si>
  <si>
    <t>ESTAMPILLA UNIVERSIDAD DISTRITAL FRANCISCO JOSÉ DE CALDAS</t>
  </si>
  <si>
    <t>1.5.03.1</t>
  </si>
  <si>
    <t>Estampilla Pro Universidad Distrital Ley 648 de 2001</t>
  </si>
  <si>
    <t>1.5.03.2</t>
  </si>
  <si>
    <t>Estampilla Pro Universidad Distrital Ley 1825 de 2017</t>
  </si>
  <si>
    <t>1.5.01.01.2</t>
  </si>
  <si>
    <t>Recursos del balance Aportes Ley 30/92 vigencias anteriores</t>
  </si>
  <si>
    <t>PRESUPUESTO INICIAL 2026
RES CSU 024/2025</t>
  </si>
  <si>
    <t>Macroproceso: Gestión de Recursos</t>
  </si>
  <si>
    <t>Versión: 01</t>
  </si>
  <si>
    <t>Proceso: Gestión de Recursos Financieros</t>
  </si>
  <si>
    <t>Fecha de Aprobacion: 10/08/2021</t>
  </si>
  <si>
    <t>ENTIDAD</t>
  </si>
  <si>
    <t>MES</t>
  </si>
  <si>
    <t>ADICION / MODIFICACION MES</t>
  </si>
  <si>
    <t>RECAUDO MES PRESUPUESTO</t>
  </si>
  <si>
    <t>Resolucion No. 024 de 29 diciembre 2025</t>
  </si>
  <si>
    <t>ADICION / MODIFICACION ACUMULADO</t>
  </si>
  <si>
    <t>RECAUDO ACUMULADO PRESUPUESTO</t>
  </si>
  <si>
    <t>% EJECUCION</t>
  </si>
  <si>
    <t>SALDO POR RECAUDAR</t>
  </si>
  <si>
    <t>FONDO</t>
  </si>
  <si>
    <t>COMUN</t>
  </si>
  <si>
    <t>FONDO DE INVERSIONES Y FORTALECIMIENTO INSTITUCIONAL</t>
  </si>
  <si>
    <t>FONDO DE PRESTAMOS</t>
  </si>
  <si>
    <t>Código: GRF-PR-029-FR-030</t>
  </si>
  <si>
    <t>FORMATO EJECUCIÓN MENSUAL DE INGRESOS</t>
  </si>
  <si>
    <t xml:space="preserve"> 230-UNIVERSIDAD DISTRITAL FRANCISCO JOSÉ DE CALDAS</t>
  </si>
  <si>
    <t>PRESUPUESTO DEFINITIVO 2026</t>
  </si>
  <si>
    <t>1.2.10.02.02</t>
  </si>
  <si>
    <t>1.2.10.02.02.1</t>
  </si>
  <si>
    <t>Inversión Ministerio de Educación Nacional</t>
  </si>
  <si>
    <t>1.2.10.02.04.02.10</t>
  </si>
  <si>
    <t>Plan de Fomento al Bienestar vigencias anteriores</t>
  </si>
  <si>
    <t>FONDO COMUN Y FONDO DE INVERSIONES Y FORTALECIMIENTO INSTITUCIONAL</t>
  </si>
  <si>
    <t>AGOSTO</t>
  </si>
  <si>
    <t>1.1.02.06.006.08</t>
  </si>
  <si>
    <t>PROGRAMAS DE ACCESO Y PERMANENCIA A LA EDUCACIÓN SUPERIOR</t>
  </si>
  <si>
    <t>1.1.02.06.006.08.01</t>
  </si>
  <si>
    <t>Convenios Atenea - Jóvenes a la E</t>
  </si>
  <si>
    <t>Elaboro: Holvey Ramírez Bermúdez</t>
  </si>
  <si>
    <t>_____________________________________________</t>
  </si>
  <si>
    <t>_________________________________________</t>
  </si>
  <si>
    <t>RESPONSABLE DEL PRESUPUESTO</t>
  </si>
  <si>
    <t>ORDENADOR DEL GASTO</t>
  </si>
  <si>
    <t>Corte: Agosto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</si>
</sst>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2" formatCode="_-&quot;$&quot;\ * #,##0_-;\-&quot;$&quot;\ * #,##0_-;_-&quot;$&quot;\ * &quot;-&quot;_-;_-@_-"/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 * #,##0.00_ ;_ * \-#,##0.00_ ;_ * &quot;-&quot;??_ ;_ @_ "/>
    <numFmt numFmtId="166" formatCode="_-* #,##0.00\ _€_-;\-* #,##0.00\ _€_-;_-* &quot;-&quot;??\ _€_-;_-@_-"/>
    <numFmt numFmtId="167" formatCode="###,000"/>
    <numFmt numFmtId="168" formatCode="_-* #,##0_-;\-* #,##0_-;_-* &quot;-&quot;??_-;_-@_-"/>
    <numFmt numFmtId="169" formatCode="_(* #,##0_);_(* \(#,##0\);_(* &quot;-&quot;??_);_(@_)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mbria"/>
      <family val="1"/>
    </font>
    <font>
      <b/>
      <sz val="10"/>
      <color theme="1"/>
      <name val="Cambria"/>
      <family val="1"/>
    </font>
    <font>
      <b/>
      <sz val="10"/>
      <color rgb="FF000000"/>
      <name val="Cambria"/>
      <family val="1"/>
    </font>
    <font>
      <b/>
      <sz val="10"/>
      <name val="Cambria"/>
      <family val="1"/>
    </font>
    <font>
      <sz val="10"/>
      <color theme="1"/>
      <name val="Cambria"/>
      <family val="1"/>
    </font>
    <font>
      <sz val="10"/>
      <color rgb="FF000000"/>
      <name val="Cambria"/>
      <family val="1"/>
    </font>
    <font>
      <sz val="10"/>
      <name val="Cambria"/>
      <family val="1"/>
    </font>
    <font>
      <b/>
      <sz val="11"/>
      <color theme="1"/>
      <name val="Cambria"/>
      <family val="1"/>
    </font>
    <font>
      <sz val="8"/>
      <color rgb="FFDDDDDD"/>
      <name val="Arial"/>
      <family val="2"/>
    </font>
    <font>
      <sz val="8"/>
      <color rgb="FF666666"/>
      <name val="Verdana"/>
      <family val="2"/>
    </font>
    <font>
      <sz val="8"/>
      <color rgb="FFDBE5F1"/>
      <name val="Verdana"/>
      <family val="2"/>
    </font>
    <font>
      <b/>
      <sz val="8"/>
      <color rgb="FF666666"/>
      <name val="Verdana"/>
      <family val="2"/>
    </font>
    <font>
      <i/>
      <sz val="8"/>
      <color rgb="FF000000"/>
      <name val="Verdana"/>
      <family val="2"/>
    </font>
    <font>
      <b/>
      <i/>
      <sz val="8"/>
      <color theme="1"/>
      <name val="Verdana"/>
      <family val="2"/>
    </font>
    <font>
      <b/>
      <i/>
      <sz val="8"/>
      <color rgb="FF000000"/>
      <name val="Verdana"/>
      <family val="2"/>
    </font>
    <font>
      <sz val="8"/>
      <color rgb="FF000000"/>
      <name val="Arial"/>
      <family val="2"/>
    </font>
    <font>
      <b/>
      <sz val="8"/>
      <color rgb="FF007833"/>
      <name val="Verdana"/>
      <family val="2"/>
    </font>
    <font>
      <b/>
      <sz val="8"/>
      <color rgb="FFD14900"/>
      <name val="Verdana"/>
      <family val="2"/>
    </font>
    <font>
      <b/>
      <sz val="8"/>
      <color rgb="FFCC1919"/>
      <name val="Verdana"/>
      <family val="2"/>
    </font>
    <font>
      <sz val="8"/>
      <color rgb="FF1F497D"/>
      <name val="Verdana"/>
      <family val="2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8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sz val="11"/>
      <color theme="1"/>
      <name val="Arial"/>
      <family val="2"/>
    </font>
    <font>
      <b/>
      <sz val="9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BFBFBF"/>
        <bgColor rgb="FF000000"/>
      </patternFill>
    </fill>
    <fill>
      <patternFill patternType="solid">
        <fgColor rgb="FFDBE5F1"/>
        <bgColor rgb="FFFFFFFF"/>
      </patternFill>
    </fill>
    <fill>
      <patternFill patternType="solid">
        <fgColor rgb="FFF2F2F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8F8F8"/>
        <bgColor rgb="FF000000"/>
      </patternFill>
    </fill>
    <fill>
      <patternFill patternType="solid">
        <fgColor rgb="FFEAEAEA"/>
        <bgColor rgb="FF000000"/>
      </patternFill>
    </fill>
    <fill>
      <patternFill patternType="solid">
        <fgColor rgb="FFE0F1E7"/>
        <bgColor rgb="FF000000"/>
      </patternFill>
    </fill>
    <fill>
      <patternFill patternType="solid">
        <fgColor rgb="FFFFFCB5"/>
        <bgColor rgb="FF000000"/>
      </patternFill>
    </fill>
    <fill>
      <patternFill patternType="solid">
        <fgColor rgb="FFFBDFDF"/>
        <bgColor rgb="FF000000"/>
      </patternFill>
    </fill>
    <fill>
      <patternFill patternType="solid">
        <fgColor rgb="FFE5E5E5"/>
        <bgColor rgb="FFFFFFFF"/>
      </patternFill>
    </fill>
    <fill>
      <patternFill patternType="solid">
        <fgColor rgb="FFF2F2F2"/>
        <bgColor rgb="FFFFFFFF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hair">
        <color theme="0"/>
      </left>
      <right style="hair">
        <color theme="0"/>
      </right>
      <top style="hair">
        <color theme="0"/>
      </top>
      <bottom style="hair">
        <color theme="0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1">
    <xf numFmtId="0" fontId="0" fillId="0" borderId="0"/>
    <xf numFmtId="0" fontId="2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2" fillId="0" borderId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1" fillId="13" borderId="2" applyNumberFormat="0" applyFont="0" applyAlignment="0" applyProtection="0"/>
    <xf numFmtId="167" fontId="12" fillId="0" borderId="2" applyNumberFormat="0" applyAlignment="0" applyProtection="0">
      <alignment horizontal="right" vertical="center"/>
    </xf>
    <xf numFmtId="167" fontId="13" fillId="14" borderId="0" applyNumberFormat="0" applyAlignment="0" applyProtection="0">
      <alignment horizontal="left" vertical="center" indent="1"/>
    </xf>
    <xf numFmtId="167" fontId="14" fillId="0" borderId="2" applyNumberFormat="0" applyAlignment="0" applyProtection="0">
      <alignment horizontal="right" vertical="center"/>
    </xf>
    <xf numFmtId="0" fontId="14" fillId="15" borderId="3" applyNumberFormat="0" applyAlignment="0" applyProtection="0">
      <alignment horizontal="left" vertical="center" indent="1"/>
    </xf>
    <xf numFmtId="167" fontId="12" fillId="0" borderId="2" applyNumberFormat="0" applyAlignment="0" applyProtection="0">
      <alignment horizontal="right" vertical="center"/>
    </xf>
    <xf numFmtId="167" fontId="14" fillId="0" borderId="2" applyNumberFormat="0" applyAlignment="0" applyProtection="0">
      <alignment horizontal="right" vertical="center"/>
    </xf>
    <xf numFmtId="0" fontId="15" fillId="0" borderId="4" applyNumberFormat="0" applyFill="0" applyBorder="0" applyAlignment="0" applyProtection="0"/>
    <xf numFmtId="0" fontId="15" fillId="16" borderId="4" applyNumberFormat="0" applyFill="0" applyBorder="0" applyAlignment="0" applyProtection="0">
      <alignment horizontal="left" vertical="center" indent="1"/>
    </xf>
    <xf numFmtId="0" fontId="15" fillId="16" borderId="4" applyNumberFormat="0" applyFill="0" applyBorder="0" applyAlignment="0" applyProtection="0">
      <alignment horizontal="left" vertical="center" indent="1"/>
    </xf>
    <xf numFmtId="0" fontId="15" fillId="17" borderId="4" applyNumberFormat="0" applyFill="0" applyBorder="0" applyAlignment="0" applyProtection="0">
      <alignment horizontal="left" vertical="center" indent="1"/>
    </xf>
    <xf numFmtId="167" fontId="16" fillId="17" borderId="4" applyNumberFormat="0" applyFill="0" applyAlignment="0" applyProtection="0">
      <alignment horizontal="right" vertical="center"/>
    </xf>
    <xf numFmtId="0" fontId="15" fillId="18" borderId="4" applyNumberFormat="0" applyFill="0" applyBorder="0" applyAlignment="0" applyProtection="0">
      <alignment horizontal="left" vertical="center" indent="1"/>
    </xf>
    <xf numFmtId="167" fontId="16" fillId="18" borderId="0" applyNumberFormat="0" applyFill="0" applyBorder="0" applyAlignment="0" applyProtection="0">
      <alignment horizontal="right" vertical="center"/>
    </xf>
    <xf numFmtId="0" fontId="17" fillId="0" borderId="4" applyNumberFormat="0" applyFill="0" applyBorder="0" applyAlignment="0" applyProtection="0"/>
    <xf numFmtId="0" fontId="18" fillId="0" borderId="5" applyNumberFormat="0" applyFont="0" applyFill="0" applyAlignment="0" applyProtection="0"/>
    <xf numFmtId="167" fontId="19" fillId="19" borderId="6" applyNumberFormat="0" applyBorder="0" applyAlignment="0" applyProtection="0">
      <alignment horizontal="right" vertical="center" indent="1"/>
    </xf>
    <xf numFmtId="167" fontId="19" fillId="19" borderId="6" applyNumberFormat="0" applyBorder="0" applyAlignment="0" applyProtection="0">
      <alignment horizontal="right" vertical="center" indent="1"/>
    </xf>
    <xf numFmtId="167" fontId="19" fillId="19" borderId="6" applyNumberFormat="0" applyBorder="0" applyAlignment="0" applyProtection="0">
      <alignment horizontal="right" vertical="center" indent="1"/>
    </xf>
    <xf numFmtId="167" fontId="20" fillId="20" borderId="6" applyNumberFormat="0" applyBorder="0" applyAlignment="0" applyProtection="0">
      <alignment horizontal="right" vertical="center" indent="1"/>
    </xf>
    <xf numFmtId="167" fontId="20" fillId="20" borderId="6" applyNumberFormat="0" applyBorder="0" applyAlignment="0" applyProtection="0">
      <alignment horizontal="right" vertical="center" indent="1"/>
    </xf>
    <xf numFmtId="167" fontId="20" fillId="20" borderId="6" applyNumberFormat="0" applyBorder="0" applyAlignment="0" applyProtection="0">
      <alignment horizontal="right" vertical="center" indent="1"/>
    </xf>
    <xf numFmtId="167" fontId="21" fillId="21" borderId="6" applyNumberFormat="0" applyBorder="0" applyAlignment="0" applyProtection="0">
      <alignment horizontal="right" vertical="center" indent="1"/>
    </xf>
    <xf numFmtId="167" fontId="21" fillId="21" borderId="6" applyNumberFormat="0" applyBorder="0" applyAlignment="0" applyProtection="0">
      <alignment horizontal="right" vertical="center" indent="1"/>
    </xf>
    <xf numFmtId="167" fontId="21" fillId="21" borderId="6" applyNumberFormat="0" applyBorder="0" applyAlignment="0" applyProtection="0">
      <alignment horizontal="right" vertical="center" indent="1"/>
    </xf>
    <xf numFmtId="167" fontId="12" fillId="0" borderId="2" applyNumberFormat="0" applyFill="0" applyBorder="0" applyAlignment="0" applyProtection="0">
      <alignment horizontal="right" vertical="center"/>
    </xf>
    <xf numFmtId="167" fontId="22" fillId="14" borderId="7" applyNumberFormat="0" applyAlignment="0" applyProtection="0">
      <alignment horizontal="left" vertical="center" indent="1"/>
    </xf>
    <xf numFmtId="0" fontId="12" fillId="15" borderId="2" applyNumberFormat="0" applyAlignment="0" applyProtection="0">
      <alignment horizontal="left" vertical="center" indent="1"/>
    </xf>
    <xf numFmtId="0" fontId="12" fillId="12" borderId="2" applyNumberFormat="0" applyAlignment="0" applyProtection="0">
      <alignment horizontal="left" vertical="center" indent="1"/>
    </xf>
    <xf numFmtId="167" fontId="12" fillId="22" borderId="3" applyNumberFormat="0" applyAlignment="0" applyProtection="0">
      <alignment horizontal="left" vertical="center" indent="1"/>
    </xf>
    <xf numFmtId="167" fontId="14" fillId="22" borderId="2" applyNumberFormat="0" applyAlignment="0" applyProtection="0">
      <alignment horizontal="left" vertical="center" indent="1"/>
    </xf>
    <xf numFmtId="167" fontId="12" fillId="23" borderId="3" applyNumberFormat="0" applyAlignment="0" applyProtection="0">
      <alignment horizontal="left" vertical="center" indent="1"/>
    </xf>
    <xf numFmtId="167" fontId="14" fillId="23" borderId="2" applyNumberFormat="0" applyAlignment="0" applyProtection="0">
      <alignment horizontal="left" vertical="center" indent="1"/>
    </xf>
    <xf numFmtId="167" fontId="12" fillId="0" borderId="2" applyNumberFormat="0" applyFill="0" applyBorder="0" applyAlignment="0" applyProtection="0">
      <alignment horizontal="right" vertical="center"/>
    </xf>
    <xf numFmtId="167" fontId="12" fillId="23" borderId="3" applyNumberFormat="0" applyAlignment="0" applyProtection="0">
      <alignment horizontal="left" vertical="center" indent="1"/>
    </xf>
    <xf numFmtId="167" fontId="14" fillId="23" borderId="2" applyNumberFormat="0" applyAlignment="0" applyProtection="0">
      <alignment horizontal="left" vertical="center" indent="1"/>
    </xf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08">
    <xf numFmtId="0" fontId="0" fillId="0" borderId="0" xfId="0"/>
    <xf numFmtId="1" fontId="3" fillId="0" borderId="0" xfId="0" applyNumberFormat="1" applyFont="1"/>
    <xf numFmtId="1" fontId="6" fillId="3" borderId="1" xfId="1" applyNumberFormat="1" applyFont="1" applyFill="1" applyBorder="1" applyAlignment="1">
      <alignment horizontal="left" vertical="center" wrapText="1"/>
    </xf>
    <xf numFmtId="1" fontId="5" fillId="4" borderId="1" xfId="0" applyNumberFormat="1" applyFont="1" applyFill="1" applyBorder="1" applyAlignment="1">
      <alignment vertical="center" wrapText="1"/>
    </xf>
    <xf numFmtId="1" fontId="4" fillId="5" borderId="1" xfId="0" applyNumberFormat="1" applyFont="1" applyFill="1" applyBorder="1" applyAlignment="1">
      <alignment vertical="center" wrapText="1"/>
    </xf>
    <xf numFmtId="1" fontId="5" fillId="6" borderId="1" xfId="0" applyNumberFormat="1" applyFont="1" applyFill="1" applyBorder="1" applyAlignment="1">
      <alignment vertical="center" wrapText="1"/>
    </xf>
    <xf numFmtId="1" fontId="4" fillId="7" borderId="1" xfId="0" applyNumberFormat="1" applyFont="1" applyFill="1" applyBorder="1" applyAlignment="1">
      <alignment vertical="center" wrapText="1"/>
    </xf>
    <xf numFmtId="1" fontId="5" fillId="8" borderId="1" xfId="0" applyNumberFormat="1" applyFont="1" applyFill="1" applyBorder="1" applyAlignment="1">
      <alignment vertical="center" wrapText="1"/>
    </xf>
    <xf numFmtId="1" fontId="4" fillId="9" borderId="1" xfId="0" applyNumberFormat="1" applyFont="1" applyFill="1" applyBorder="1" applyAlignment="1">
      <alignment vertical="center" wrapText="1"/>
    </xf>
    <xf numFmtId="1" fontId="5" fillId="9" borderId="1" xfId="0" applyNumberFormat="1" applyFont="1" applyFill="1" applyBorder="1" applyAlignment="1">
      <alignment vertical="center" wrapText="1"/>
    </xf>
    <xf numFmtId="1" fontId="4" fillId="10" borderId="1" xfId="0" applyNumberFormat="1" applyFont="1" applyFill="1" applyBorder="1" applyAlignment="1">
      <alignment vertical="center" wrapText="1"/>
    </xf>
    <xf numFmtId="1" fontId="5" fillId="10" borderId="1" xfId="0" applyNumberFormat="1" applyFont="1" applyFill="1" applyBorder="1" applyAlignment="1">
      <alignment vertical="center" wrapText="1"/>
    </xf>
    <xf numFmtId="1" fontId="4" fillId="2" borderId="1" xfId="0" applyNumberFormat="1" applyFont="1" applyFill="1" applyBorder="1" applyAlignment="1">
      <alignment vertical="center" wrapText="1"/>
    </xf>
    <xf numFmtId="1" fontId="5" fillId="11" borderId="1" xfId="0" applyNumberFormat="1" applyFont="1" applyFill="1" applyBorder="1" applyAlignment="1">
      <alignment vertical="center" wrapText="1"/>
    </xf>
    <xf numFmtId="1" fontId="7" fillId="2" borderId="1" xfId="0" applyNumberFormat="1" applyFont="1" applyFill="1" applyBorder="1" applyAlignment="1">
      <alignment vertical="center" wrapText="1"/>
    </xf>
    <xf numFmtId="1" fontId="5" fillId="0" borderId="1" xfId="0" applyNumberFormat="1" applyFont="1" applyBorder="1"/>
    <xf numFmtId="1" fontId="10" fillId="0" borderId="0" xfId="0" applyNumberFormat="1" applyFont="1"/>
    <xf numFmtId="1" fontId="6" fillId="9" borderId="1" xfId="3" applyNumberFormat="1" applyFont="1" applyFill="1" applyBorder="1" applyAlignment="1">
      <alignment horizontal="left" vertical="center" wrapText="1"/>
    </xf>
    <xf numFmtId="1" fontId="6" fillId="10" borderId="1" xfId="3" applyNumberFormat="1" applyFont="1" applyFill="1" applyBorder="1" applyAlignment="1">
      <alignment horizontal="left" vertical="center" wrapText="1"/>
    </xf>
    <xf numFmtId="1" fontId="6" fillId="2" borderId="1" xfId="3" applyNumberFormat="1" applyFont="1" applyFill="1" applyBorder="1" applyAlignment="1">
      <alignment horizontal="left" vertical="center" wrapText="1"/>
    </xf>
    <xf numFmtId="1" fontId="4" fillId="4" borderId="1" xfId="0" applyNumberFormat="1" applyFont="1" applyFill="1" applyBorder="1" applyAlignment="1">
      <alignment vertical="center" wrapText="1"/>
    </xf>
    <xf numFmtId="1" fontId="9" fillId="2" borderId="1" xfId="3" applyNumberFormat="1" applyFont="1" applyFill="1" applyBorder="1" applyAlignment="1">
      <alignment horizontal="left" vertical="center" wrapText="1"/>
    </xf>
    <xf numFmtId="1" fontId="4" fillId="0" borderId="1" xfId="0" applyNumberFormat="1" applyFont="1" applyBorder="1"/>
    <xf numFmtId="1" fontId="7" fillId="2" borderId="1" xfId="4" applyNumberFormat="1" applyFont="1" applyFill="1" applyBorder="1" applyAlignment="1">
      <alignment vertical="center" wrapText="1"/>
    </xf>
    <xf numFmtId="1" fontId="8" fillId="2" borderId="1" xfId="0" applyNumberFormat="1" applyFont="1" applyFill="1" applyBorder="1" applyAlignment="1">
      <alignment vertical="center" wrapText="1"/>
    </xf>
    <xf numFmtId="1" fontId="4" fillId="24" borderId="1" xfId="1" applyNumberFormat="1" applyFont="1" applyFill="1" applyBorder="1" applyAlignment="1">
      <alignment horizontal="center" vertical="center" wrapText="1"/>
    </xf>
    <xf numFmtId="3" fontId="6" fillId="3" borderId="1" xfId="1" applyNumberFormat="1" applyFont="1" applyFill="1" applyBorder="1" applyAlignment="1">
      <alignment horizontal="right" vertical="center" wrapText="1"/>
    </xf>
    <xf numFmtId="3" fontId="4" fillId="5" borderId="1" xfId="0" applyNumberFormat="1" applyFont="1" applyFill="1" applyBorder="1" applyAlignment="1">
      <alignment horizontal="right" vertical="center" wrapText="1"/>
    </xf>
    <xf numFmtId="3" fontId="4" fillId="7" borderId="1" xfId="0" applyNumberFormat="1" applyFont="1" applyFill="1" applyBorder="1" applyAlignment="1">
      <alignment horizontal="right" vertical="center" wrapText="1"/>
    </xf>
    <xf numFmtId="3" fontId="4" fillId="9" borderId="1" xfId="0" applyNumberFormat="1" applyFont="1" applyFill="1" applyBorder="1" applyAlignment="1">
      <alignment horizontal="right" vertical="center" wrapText="1"/>
    </xf>
    <xf numFmtId="3" fontId="4" fillId="10" borderId="1" xfId="0" applyNumberFormat="1" applyFont="1" applyFill="1" applyBorder="1" applyAlignment="1">
      <alignment horizontal="right" vertical="center" wrapText="1"/>
    </xf>
    <xf numFmtId="3" fontId="4" fillId="2" borderId="1" xfId="0" applyNumberFormat="1" applyFont="1" applyFill="1" applyBorder="1" applyAlignment="1">
      <alignment horizontal="right" vertical="center" wrapText="1"/>
    </xf>
    <xf numFmtId="3" fontId="7" fillId="2" borderId="1" xfId="0" applyNumberFormat="1" applyFont="1" applyFill="1" applyBorder="1" applyAlignment="1">
      <alignment horizontal="right" vertical="center" wrapText="1"/>
    </xf>
    <xf numFmtId="3" fontId="6" fillId="9" borderId="1" xfId="3" applyNumberFormat="1" applyFont="1" applyFill="1" applyBorder="1" applyAlignment="1">
      <alignment horizontal="right" vertical="center" wrapText="1"/>
    </xf>
    <xf numFmtId="3" fontId="6" fillId="10" borderId="1" xfId="3" applyNumberFormat="1" applyFont="1" applyFill="1" applyBorder="1" applyAlignment="1">
      <alignment horizontal="right" vertical="center" wrapText="1"/>
    </xf>
    <xf numFmtId="3" fontId="6" fillId="2" borderId="1" xfId="3" applyNumberFormat="1" applyFont="1" applyFill="1" applyBorder="1" applyAlignment="1">
      <alignment horizontal="right" vertical="center" wrapText="1"/>
    </xf>
    <xf numFmtId="1" fontId="7" fillId="0" borderId="1" xfId="0" applyNumberFormat="1" applyFont="1" applyFill="1" applyBorder="1" applyAlignment="1">
      <alignment vertical="center" wrapText="1"/>
    </xf>
    <xf numFmtId="0" fontId="23" fillId="0" borderId="0" xfId="0" applyFont="1"/>
    <xf numFmtId="0" fontId="26" fillId="26" borderId="1" xfId="0" applyFont="1" applyFill="1" applyBorder="1" applyAlignment="1">
      <alignment vertical="center"/>
    </xf>
    <xf numFmtId="0" fontId="27" fillId="2" borderId="0" xfId="1" applyFont="1" applyFill="1"/>
    <xf numFmtId="3" fontId="27" fillId="2" borderId="0" xfId="1" applyNumberFormat="1" applyFont="1" applyFill="1" applyAlignment="1">
      <alignment horizontal="right"/>
    </xf>
    <xf numFmtId="3" fontId="27" fillId="2" borderId="0" xfId="1" applyNumberFormat="1" applyFont="1" applyFill="1" applyAlignment="1">
      <alignment vertical="center"/>
    </xf>
    <xf numFmtId="0" fontId="27" fillId="2" borderId="0" xfId="1" applyFont="1" applyFill="1" applyAlignment="1">
      <alignment horizontal="right"/>
    </xf>
    <xf numFmtId="3" fontId="27" fillId="2" borderId="0" xfId="1" applyNumberFormat="1" applyFont="1" applyFill="1"/>
    <xf numFmtId="3" fontId="29" fillId="27" borderId="1" xfId="1" applyNumberFormat="1" applyFont="1" applyFill="1" applyBorder="1" applyAlignment="1">
      <alignment horizontal="center" vertical="center" wrapText="1"/>
    </xf>
    <xf numFmtId="3" fontId="28" fillId="28" borderId="9" xfId="1" applyNumberFormat="1" applyFont="1" applyFill="1" applyBorder="1" applyAlignment="1">
      <alignment horizontal="center" vertical="center" wrapText="1"/>
    </xf>
    <xf numFmtId="3" fontId="29" fillId="29" borderId="1" xfId="1" applyNumberFormat="1" applyFont="1" applyFill="1" applyBorder="1" applyAlignment="1">
      <alignment horizontal="center" vertical="center" wrapText="1"/>
    </xf>
    <xf numFmtId="3" fontId="29" fillId="25" borderId="1" xfId="1" applyNumberFormat="1" applyFont="1" applyFill="1" applyBorder="1" applyAlignment="1">
      <alignment horizontal="center" vertical="center" wrapText="1"/>
    </xf>
    <xf numFmtId="0" fontId="29" fillId="30" borderId="1" xfId="1" applyFont="1" applyFill="1" applyBorder="1" applyAlignment="1">
      <alignment horizontal="center" vertical="center" wrapText="1"/>
    </xf>
    <xf numFmtId="49" fontId="0" fillId="0" borderId="0" xfId="0" applyNumberFormat="1" applyAlignment="1">
      <alignment vertical="center"/>
    </xf>
    <xf numFmtId="10" fontId="6" fillId="3" borderId="1" xfId="48" applyNumberFormat="1" applyFont="1" applyFill="1" applyBorder="1" applyAlignment="1">
      <alignment horizontal="right" vertical="center" wrapText="1"/>
    </xf>
    <xf numFmtId="10" fontId="4" fillId="5" borderId="1" xfId="48" applyNumberFormat="1" applyFont="1" applyFill="1" applyBorder="1" applyAlignment="1">
      <alignment horizontal="right" vertical="center" wrapText="1"/>
    </xf>
    <xf numFmtId="10" fontId="4" fillId="7" borderId="1" xfId="48" applyNumberFormat="1" applyFont="1" applyFill="1" applyBorder="1" applyAlignment="1">
      <alignment horizontal="right" vertical="center" wrapText="1"/>
    </xf>
    <xf numFmtId="10" fontId="4" fillId="9" borderId="1" xfId="48" applyNumberFormat="1" applyFont="1" applyFill="1" applyBorder="1" applyAlignment="1">
      <alignment horizontal="right" vertical="center" wrapText="1"/>
    </xf>
    <xf numFmtId="10" fontId="4" fillId="10" borderId="1" xfId="48" applyNumberFormat="1" applyFont="1" applyFill="1" applyBorder="1" applyAlignment="1">
      <alignment horizontal="right" vertical="center" wrapText="1"/>
    </xf>
    <xf numFmtId="10" fontId="4" fillId="2" borderId="1" xfId="48" applyNumberFormat="1" applyFont="1" applyFill="1" applyBorder="1" applyAlignment="1">
      <alignment horizontal="right" vertical="center" wrapText="1"/>
    </xf>
    <xf numFmtId="10" fontId="7" fillId="2" borderId="1" xfId="48" applyNumberFormat="1" applyFont="1" applyFill="1" applyBorder="1" applyAlignment="1">
      <alignment horizontal="right" vertical="center" wrapText="1"/>
    </xf>
    <xf numFmtId="10" fontId="6" fillId="9" borderId="1" xfId="48" applyNumberFormat="1" applyFont="1" applyFill="1" applyBorder="1" applyAlignment="1">
      <alignment horizontal="right" vertical="center" wrapText="1"/>
    </xf>
    <xf numFmtId="10" fontId="6" fillId="10" borderId="1" xfId="48" applyNumberFormat="1" applyFont="1" applyFill="1" applyBorder="1" applyAlignment="1">
      <alignment horizontal="right" vertical="center" wrapText="1"/>
    </xf>
    <xf numFmtId="10" fontId="6" fillId="2" borderId="1" xfId="48" applyNumberFormat="1" applyFont="1" applyFill="1" applyBorder="1" applyAlignment="1">
      <alignment horizontal="right" vertical="center" wrapText="1"/>
    </xf>
    <xf numFmtId="3" fontId="7" fillId="0" borderId="1" xfId="0" applyNumberFormat="1" applyFont="1" applyFill="1" applyBorder="1" applyAlignment="1">
      <alignment horizontal="right" vertical="center" wrapText="1"/>
    </xf>
    <xf numFmtId="10" fontId="7" fillId="0" borderId="1" xfId="48" applyNumberFormat="1" applyFont="1" applyFill="1" applyBorder="1" applyAlignment="1">
      <alignment horizontal="right" vertical="center" wrapText="1"/>
    </xf>
    <xf numFmtId="3" fontId="4" fillId="0" borderId="1" xfId="0" applyNumberFormat="1" applyFont="1" applyFill="1" applyBorder="1" applyAlignment="1">
      <alignment horizontal="right" vertical="center" wrapText="1"/>
    </xf>
    <xf numFmtId="10" fontId="4" fillId="0" borderId="1" xfId="48" applyNumberFormat="1" applyFont="1" applyFill="1" applyBorder="1" applyAlignment="1">
      <alignment horizontal="right" vertical="center" wrapText="1"/>
    </xf>
    <xf numFmtId="3" fontId="9" fillId="0" borderId="1" xfId="3" applyNumberFormat="1" applyFont="1" applyFill="1" applyBorder="1" applyAlignment="1">
      <alignment horizontal="right" vertical="center" wrapText="1"/>
    </xf>
    <xf numFmtId="3" fontId="7" fillId="0" borderId="1" xfId="0" applyNumberFormat="1" applyFont="1" applyBorder="1" applyAlignment="1">
      <alignment horizontal="right" vertical="center" wrapText="1"/>
    </xf>
    <xf numFmtId="1" fontId="4" fillId="31" borderId="1" xfId="1" applyNumberFormat="1" applyFont="1" applyFill="1" applyBorder="1" applyAlignment="1">
      <alignment horizontal="left" vertical="center" wrapText="1"/>
    </xf>
    <xf numFmtId="1" fontId="5" fillId="31" borderId="1" xfId="0" applyNumberFormat="1" applyFont="1" applyFill="1" applyBorder="1" applyAlignment="1">
      <alignment vertical="center" wrapText="1"/>
    </xf>
    <xf numFmtId="3" fontId="4" fillId="31" borderId="1" xfId="1" applyNumberFormat="1" applyFont="1" applyFill="1" applyBorder="1" applyAlignment="1">
      <alignment horizontal="right" vertical="center" wrapText="1"/>
    </xf>
    <xf numFmtId="10" fontId="4" fillId="31" borderId="1" xfId="48" applyNumberFormat="1" applyFont="1" applyFill="1" applyBorder="1" applyAlignment="1">
      <alignment horizontal="right" vertical="center" wrapText="1"/>
    </xf>
    <xf numFmtId="168" fontId="4" fillId="31" borderId="1" xfId="49" applyNumberFormat="1" applyFont="1" applyFill="1" applyBorder="1" applyAlignment="1">
      <alignment horizontal="right" vertical="center" wrapText="1"/>
    </xf>
    <xf numFmtId="168" fontId="6" fillId="3" borderId="1" xfId="49" applyNumberFormat="1" applyFont="1" applyFill="1" applyBorder="1" applyAlignment="1">
      <alignment horizontal="right" vertical="center" wrapText="1"/>
    </xf>
    <xf numFmtId="168" fontId="4" fillId="5" borderId="1" xfId="49" applyNumberFormat="1" applyFont="1" applyFill="1" applyBorder="1" applyAlignment="1">
      <alignment horizontal="right" vertical="center" wrapText="1"/>
    </xf>
    <xf numFmtId="168" fontId="4" fillId="7" borderId="1" xfId="49" applyNumberFormat="1" applyFont="1" applyFill="1" applyBorder="1" applyAlignment="1">
      <alignment horizontal="right" vertical="center" wrapText="1"/>
    </xf>
    <xf numFmtId="168" fontId="4" fillId="9" borderId="1" xfId="49" applyNumberFormat="1" applyFont="1" applyFill="1" applyBorder="1" applyAlignment="1">
      <alignment horizontal="right" vertical="center" wrapText="1"/>
    </xf>
    <xf numFmtId="168" fontId="4" fillId="10" borderId="1" xfId="49" applyNumberFormat="1" applyFont="1" applyFill="1" applyBorder="1" applyAlignment="1">
      <alignment horizontal="right" vertical="center" wrapText="1"/>
    </xf>
    <xf numFmtId="168" fontId="4" fillId="2" borderId="1" xfId="49" applyNumberFormat="1" applyFont="1" applyFill="1" applyBorder="1" applyAlignment="1">
      <alignment horizontal="right" vertical="center" wrapText="1"/>
    </xf>
    <xf numFmtId="168" fontId="7" fillId="0" borderId="1" xfId="49" applyNumberFormat="1" applyFont="1" applyFill="1" applyBorder="1" applyAlignment="1">
      <alignment horizontal="right" vertical="center" wrapText="1"/>
    </xf>
    <xf numFmtId="168" fontId="4" fillId="0" borderId="1" xfId="49" applyNumberFormat="1" applyFont="1" applyFill="1" applyBorder="1" applyAlignment="1">
      <alignment horizontal="right" vertical="center" wrapText="1"/>
    </xf>
    <xf numFmtId="168" fontId="7" fillId="2" borderId="1" xfId="49" applyNumberFormat="1" applyFont="1" applyFill="1" applyBorder="1" applyAlignment="1">
      <alignment horizontal="right" vertical="center" wrapText="1"/>
    </xf>
    <xf numFmtId="168" fontId="6" fillId="9" borderId="1" xfId="49" applyNumberFormat="1" applyFont="1" applyFill="1" applyBorder="1" applyAlignment="1">
      <alignment horizontal="right" vertical="center" wrapText="1"/>
    </xf>
    <xf numFmtId="168" fontId="6" fillId="10" borderId="1" xfId="49" applyNumberFormat="1" applyFont="1" applyFill="1" applyBorder="1" applyAlignment="1">
      <alignment horizontal="right" vertical="center" wrapText="1"/>
    </xf>
    <xf numFmtId="168" fontId="6" fillId="2" borderId="1" xfId="49" applyNumberFormat="1" applyFont="1" applyFill="1" applyBorder="1" applyAlignment="1">
      <alignment horizontal="right" vertical="center" wrapText="1"/>
    </xf>
    <xf numFmtId="1" fontId="9" fillId="32" borderId="1" xfId="3" applyNumberFormat="1" applyFont="1" applyFill="1" applyBorder="1" applyAlignment="1">
      <alignment horizontal="left" vertical="center" wrapText="1"/>
    </xf>
    <xf numFmtId="10" fontId="6" fillId="9" borderId="1" xfId="3" applyNumberFormat="1" applyFont="1" applyFill="1" applyBorder="1" applyAlignment="1">
      <alignment horizontal="right" vertical="center" wrapText="1"/>
    </xf>
    <xf numFmtId="168" fontId="23" fillId="0" borderId="0" xfId="0" applyNumberFormat="1" applyFont="1"/>
    <xf numFmtId="0" fontId="25" fillId="0" borderId="1" xfId="0" applyFont="1" applyBorder="1" applyAlignment="1">
      <alignment horizontal="center" vertical="center" wrapText="1"/>
    </xf>
    <xf numFmtId="0" fontId="26" fillId="26" borderId="9" xfId="0" applyFont="1" applyFill="1" applyBorder="1" applyAlignment="1">
      <alignment horizontal="center" vertical="center"/>
    </xf>
    <xf numFmtId="0" fontId="26" fillId="26" borderId="10" xfId="0" applyFont="1" applyFill="1" applyBorder="1" applyAlignment="1">
      <alignment horizontal="center" vertical="center"/>
    </xf>
    <xf numFmtId="0" fontId="26" fillId="26" borderId="11" xfId="0" applyFont="1" applyFill="1" applyBorder="1" applyAlignment="1">
      <alignment horizontal="center" vertical="center"/>
    </xf>
    <xf numFmtId="0" fontId="23" fillId="0" borderId="8" xfId="0" applyFont="1" applyBorder="1" applyAlignment="1">
      <alignment horizontal="center"/>
    </xf>
    <xf numFmtId="0" fontId="23" fillId="0" borderId="12" xfId="0" applyFont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6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14" fontId="25" fillId="0" borderId="1" xfId="0" applyNumberFormat="1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169" fontId="0" fillId="0" borderId="0" xfId="49" applyNumberFormat="1" applyFont="1" applyAlignment="1">
      <alignment vertical="center"/>
    </xf>
    <xf numFmtId="0" fontId="30" fillId="0" borderId="0" xfId="0" applyFont="1"/>
    <xf numFmtId="0" fontId="31" fillId="0" borderId="0" xfId="0" applyFont="1" applyAlignment="1">
      <alignment vertical="center"/>
    </xf>
    <xf numFmtId="0" fontId="32" fillId="0" borderId="0" xfId="0" applyFont="1"/>
    <xf numFmtId="3" fontId="30" fillId="0" borderId="0" xfId="0" applyNumberFormat="1" applyFont="1"/>
    <xf numFmtId="10" fontId="31" fillId="0" borderId="0" xfId="0" applyNumberFormat="1" applyFont="1" applyAlignment="1">
      <alignment vertical="center"/>
    </xf>
    <xf numFmtId="41" fontId="31" fillId="0" borderId="0" xfId="50" applyFont="1" applyAlignment="1">
      <alignment vertical="center"/>
    </xf>
    <xf numFmtId="41" fontId="31" fillId="0" borderId="0" xfId="0" applyNumberFormat="1" applyFont="1" applyAlignment="1">
      <alignment vertical="center"/>
    </xf>
    <xf numFmtId="169" fontId="31" fillId="0" borderId="0" xfId="49" applyNumberFormat="1" applyFont="1" applyAlignment="1">
      <alignment vertical="center"/>
    </xf>
    <xf numFmtId="3" fontId="32" fillId="0" borderId="0" xfId="0" applyNumberFormat="1" applyFont="1"/>
  </cellXfs>
  <cellStyles count="51">
    <cellStyle name="Millares" xfId="49" builtinId="3"/>
    <cellStyle name="Millares [0]" xfId="50" builtinId="6"/>
    <cellStyle name="Millares [0] 3" xfId="6" xr:uid="{CF7604DA-4234-47A7-B0AF-78BAC7007C1C}"/>
    <cellStyle name="Millares [0] 6" xfId="47" xr:uid="{525D1CF8-CC75-4B01-8211-692A727E18B1}"/>
    <cellStyle name="Millares 16" xfId="8" xr:uid="{F951293E-58B2-4EFA-B840-D5D258641F32}"/>
    <cellStyle name="Millares 2" xfId="2" xr:uid="{40400D13-EF10-4064-A682-DACBC6938159}"/>
    <cellStyle name="Millares 2 2" xfId="9" xr:uid="{91F7EF56-7D11-4452-9FD4-5CC9744B2026}"/>
    <cellStyle name="Moneda [0] 2" xfId="7" xr:uid="{9639CE5B-8A96-4978-B8D3-AC13D972A336}"/>
    <cellStyle name="Normal" xfId="0" builtinId="0"/>
    <cellStyle name="Normal 2" xfId="1" xr:uid="{7ED66B92-D233-44A6-A39D-48126D86F53A}"/>
    <cellStyle name="Normal 2 2" xfId="3" xr:uid="{D45C2BE7-7DC9-4352-8384-66CFFB8F22EA}"/>
    <cellStyle name="Normal 2 2 2" xfId="4" xr:uid="{F023DEE5-EBB3-4696-AB26-F75F9A1E4387}"/>
    <cellStyle name="Normal 3" xfId="5" xr:uid="{973B02D8-9BE7-4702-B5E1-640B42AC1A5A}"/>
    <cellStyle name="Porcentaje" xfId="48" builtinId="5"/>
    <cellStyle name="Porcentaje 2" xfId="10" xr:uid="{E97F3FF6-EF9E-48B0-9D36-808D76184BA7}"/>
    <cellStyle name="SAPBorder" xfId="11" xr:uid="{79FFE601-B4F0-4CFD-8078-2F478E1B73DA}"/>
    <cellStyle name="SAPDataCell" xfId="12" xr:uid="{FA93C538-E527-4287-854E-B2B5457E4E2E}"/>
    <cellStyle name="SAPDataRemoved" xfId="13" xr:uid="{48C5B214-1215-41C3-8C24-C0CA6719D0A9}"/>
    <cellStyle name="SAPDataTotalCell" xfId="14" xr:uid="{5DBA0E90-7CAA-4853-B5E7-DE9EED2C2533}"/>
    <cellStyle name="SAPDimensionCell" xfId="15" xr:uid="{48D3795A-9A13-4058-B3DD-35B9FB294486}"/>
    <cellStyle name="SAPEditableDataCell" xfId="16" xr:uid="{7FCE182F-8AE3-4089-B32B-EA1C53064BAA}"/>
    <cellStyle name="SAPEditableDataTotalCell" xfId="17" xr:uid="{BD3795D4-88D6-4D36-AFB6-129A86112206}"/>
    <cellStyle name="SAPEmphasized" xfId="18" xr:uid="{3FB4D5B3-679F-4BA7-97CF-95191B6A50E2}"/>
    <cellStyle name="SAPEmphasizedEditableDataCell" xfId="19" xr:uid="{DF9A6D25-D96A-4713-93EE-4E6E150257F8}"/>
    <cellStyle name="SAPEmphasizedEditableDataTotalCell" xfId="20" xr:uid="{F164E074-EE5A-4E43-9688-D407E5151797}"/>
    <cellStyle name="SAPEmphasizedLockedDataCell" xfId="21" xr:uid="{EB34F7BB-031B-4F3B-A2EF-ED201BC967E7}"/>
    <cellStyle name="SAPEmphasizedLockedDataTotalCell" xfId="22" xr:uid="{872DD0CD-6182-48F5-BC14-0BB3945BC12F}"/>
    <cellStyle name="SAPEmphasizedReadonlyDataCell" xfId="23" xr:uid="{198CFB90-975D-483B-876D-711FD229A867}"/>
    <cellStyle name="SAPEmphasizedReadonlyDataTotalCell" xfId="24" xr:uid="{DB9DDAEC-B6A3-4590-B0A9-669C1A3C25DB}"/>
    <cellStyle name="SAPEmphasizedTotal" xfId="25" xr:uid="{77A79FB8-9FCA-42BB-8867-0B9245515A94}"/>
    <cellStyle name="SAPError" xfId="26" xr:uid="{CA4582D0-33DE-41EA-9D72-9A64ED6EEE43}"/>
    <cellStyle name="SAPExceptionLevel1" xfId="27" xr:uid="{AB6E74CB-886C-450B-AEAF-C1FC35BCDDC4}"/>
    <cellStyle name="SAPExceptionLevel2" xfId="28" xr:uid="{9AC3D41E-2112-400D-816E-8F317BABEDEC}"/>
    <cellStyle name="SAPExceptionLevel3" xfId="29" xr:uid="{CBE0519B-D9F6-4B1E-8548-58709A9D3BA1}"/>
    <cellStyle name="SAPExceptionLevel4" xfId="30" xr:uid="{017BCE17-3A00-47BE-8800-48C0239C7682}"/>
    <cellStyle name="SAPExceptionLevel5" xfId="31" xr:uid="{CE292EB1-38BB-4797-89A6-C7EC580D633D}"/>
    <cellStyle name="SAPExceptionLevel6" xfId="32" xr:uid="{2AAF91BB-B87C-472D-9B57-8A40615DB70E}"/>
    <cellStyle name="SAPExceptionLevel7" xfId="33" xr:uid="{268C3ACC-37C8-42F0-8C03-0FDA4348C38B}"/>
    <cellStyle name="SAPExceptionLevel8" xfId="34" xr:uid="{79152172-6713-4F42-B127-E00E463A06F7}"/>
    <cellStyle name="SAPExceptionLevel9" xfId="35" xr:uid="{C8432384-B322-45A6-93D3-B2CE794D3363}"/>
    <cellStyle name="SAPFormula" xfId="36" xr:uid="{5D17B277-96BA-451C-91E1-F1C72ACA110F}"/>
    <cellStyle name="SAPGroupingFillCell" xfId="37" xr:uid="{72BEE910-659F-4B67-BBA1-F586412291B0}"/>
    <cellStyle name="SAPHierarchyCell" xfId="38" xr:uid="{F4F628B0-41D8-4138-994C-C03274F3BE25}"/>
    <cellStyle name="SAPHierarchyOddCell" xfId="39" xr:uid="{2F69B415-057F-4052-A1C8-AF6DEB845104}"/>
    <cellStyle name="SAPLockedDataCell" xfId="40" xr:uid="{0247B870-F50F-452D-82FC-5738ED2F6600}"/>
    <cellStyle name="SAPLockedDataTotalCell" xfId="41" xr:uid="{C5669D47-92AE-4D25-9DFB-6469DC9484E2}"/>
    <cellStyle name="SAPMemberCell" xfId="42" xr:uid="{A26DEF4E-470B-46BF-BA57-75BC5529C4AE}"/>
    <cellStyle name="SAPMemberTotalCell" xfId="43" xr:uid="{C251BA89-5EA6-4D7F-B2A1-C9432B0FB111}"/>
    <cellStyle name="SAPMessageText" xfId="44" xr:uid="{AE9B20B3-27D7-42F0-A9F6-A414B8C764C1}"/>
    <cellStyle name="SAPReadonlyDataCell" xfId="45" xr:uid="{820FFDC8-322A-4C6A-B6CE-5B11C536E987}"/>
    <cellStyle name="SAPReadonlyDataTotalCell" xfId="46" xr:uid="{B7AB0E51-C9F5-49D6-BA7F-B7EB25A314A3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113896</xdr:colOff>
      <xdr:row>0</xdr:row>
      <xdr:rowOff>32868</xdr:rowOff>
    </xdr:from>
    <xdr:to>
      <xdr:col>0</xdr:col>
      <xdr:colOff>1413510</xdr:colOff>
      <xdr:row>2</xdr:row>
      <xdr:rowOff>333375</xdr:rowOff>
    </xdr:to>
    <xdr:pic>
      <xdr:nvPicPr>
        <xdr:cNvPr id="2" name="3 Imagen" descr="D:\Users\aplaneacion3\Documents\Desktop\Boris\Escudo UDFJC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896" y="32868"/>
          <a:ext cx="1305329" cy="1014882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95250</xdr:colOff>
          <xdr:row>1</xdr:row>
          <xdr:rowOff>314325</xdr:rowOff>
        </xdr:from>
        <xdr:to>
          <xdr:col>11</xdr:col>
          <xdr:colOff>0</xdr:colOff>
          <xdr:row>1</xdr:row>
          <xdr:rowOff>314325</xdr:rowOff>
        </xdr:to>
        <xdr:sp macro="" textlink="">
          <xdr:nvSpPr>
            <xdr:cNvPr id="4097" name="Object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0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76200</xdr:colOff>
          <xdr:row>0</xdr:row>
          <xdr:rowOff>219075</xdr:rowOff>
        </xdr:from>
        <xdr:to>
          <xdr:col>10</xdr:col>
          <xdr:colOff>1771650</xdr:colOff>
          <xdr:row>1</xdr:row>
          <xdr:rowOff>314325</xdr:rowOff>
        </xdr:to>
        <xdr:sp macro="" textlink="">
          <xdr:nvSpPr>
            <xdr:cNvPr id="4098" name="Object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0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a7c65eef53097b9a/Documents/Documentos%20Trabajo%202024/PRESUPUESTO%202024/PRESUPUESTO%202025/ANTEPROYECTO%20AJUSTE%20DICIEMBRE%2016/Base%20definitiva%20-%2012-12-2024.xlsx" TargetMode="External"/><Relationship Id="rId1" Type="http://schemas.openxmlformats.org/officeDocument/2006/relationships/externalLinkPath" Target="https://d.docs.live.net/a7c65eef53097b9a/Documents/Documentos%20Trabajo%202025/Presupuesto%202025/Presupuesto%20inicial/Base%20definitiva%20-%2012-12-2024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uarios\presupuesto10\Downloads\CUADRO%20MENSUAL%20DE%20RENTAS%20E%20INGRESOS%20AGOSTO%202026%20tes1.xlsx" TargetMode="External"/><Relationship Id="rId1" Type="http://schemas.openxmlformats.org/officeDocument/2006/relationships/externalLinkPath" Target="file:///D:\Usuarios\presupuesto10\Downloads\CUADRO%20MENSUAL%20DE%20RENTAS%20E%20INGRESOS%20AGOSTO%202026%20tes1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Presupuesto\Presupuesto%202026\INGRESOS%202026\7%20JULIO%202026\EJECUCION%20MENSUAL%20DE%20RENTAS%20E%20INGRESOS%20JULIO%202026.xlsx" TargetMode="External"/><Relationship Id="rId1" Type="http://schemas.openxmlformats.org/officeDocument/2006/relationships/externalLinkPath" Target="/Presupuesto/Presupuesto%202026/INGRESOS%202026/7%20JULIO%202026/EJECUCION%20MENSUAL%20DE%20RENTAS%20E%20INGRESOS%20JULIO%202026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Presupuesto\Presupuesto%202026\INGRESOS%202026\7%20JULIO%202026\CUADRO%20MENSUAL%20DE%20RENTAS%20E%20INGRESOS%20JULIO%202026.xlsx" TargetMode="External"/><Relationship Id="rId1" Type="http://schemas.openxmlformats.org/officeDocument/2006/relationships/externalLinkPath" Target="/Presupuesto/Presupuesto%202026/INGRESOS%202026/7%20JULIO%202026/CUADRO%20MENSUAL%20DE%20RENTAS%20E%20INGRESOS%20JULIO%202026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Presupuesto\Presupuesto%202026\INGRESOS%202026\6%20JUNIO%202026\EJECUCION%20MENSUAL%20DE%20RENTAS%20E%20INGRESOS%20JUNIO%202026.xlsx" TargetMode="External"/><Relationship Id="rId1" Type="http://schemas.openxmlformats.org/officeDocument/2006/relationships/externalLinkPath" Target="/Presupuesto/Presupuesto%202026/INGRESOS%202026/6%20JUNIO%202026/EJECUCION%20MENSUAL%20DE%20RENTAS%20E%20INGRESOS%20JUNIO%202026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Presupuesto\Presupuesto%202026\INGRESOS%202026\5%20MAYO%202026\EJECUCION%20MENSUAL%20DE%20RENTAS%20E%20INGRESOS%20MAYO%202026.xlsx" TargetMode="External"/><Relationship Id="rId1" Type="http://schemas.openxmlformats.org/officeDocument/2006/relationships/externalLinkPath" Target="/Presupuesto/Presupuesto%202026/INGRESOS%202026/5%20MAYO%202026/EJECUCION%20MENSUAL%20DE%20RENTAS%20E%20INGRESOS%20MAYO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NTEPROYECTO"/>
      <sheetName val="Datos"/>
      <sheetName val="Resumen general"/>
      <sheetName val="Ficha técnica"/>
      <sheetName val="Resumen Facultades"/>
      <sheetName val="Resumen Bienestar"/>
      <sheetName val="Cons. necesidades - apropiacion"/>
      <sheetName val="jovenes a la u 2025"/>
      <sheetName val="ADMINISTRATIVAS"/>
      <sheetName val="ACADEMICAS"/>
      <sheetName val="DOCTORADOS"/>
      <sheetName val="DECANATURA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5">
          <cell r="H5">
            <v>5.7299999999999997E-2</v>
          </cell>
        </row>
      </sheetData>
      <sheetData sheetId="7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"/>
      <sheetName val="FONDO COMÚN"/>
      <sheetName val="FONDO INVERSIÓN Y FORT, INST"/>
      <sheetName val="FONDO PRÉSTAMOS"/>
    </sheetNames>
    <sheetDataSet>
      <sheetData sheetId="0">
        <row r="17">
          <cell r="D17">
            <v>0</v>
          </cell>
          <cell r="F17">
            <v>27139260</v>
          </cell>
        </row>
        <row r="18">
          <cell r="D18">
            <v>0</v>
          </cell>
          <cell r="F18">
            <v>321292837</v>
          </cell>
        </row>
        <row r="19">
          <cell r="D19">
            <v>0</v>
          </cell>
          <cell r="F19">
            <v>0</v>
          </cell>
        </row>
        <row r="20">
          <cell r="D20">
            <v>0</v>
          </cell>
          <cell r="F20">
            <v>34885314</v>
          </cell>
        </row>
        <row r="22">
          <cell r="D22">
            <v>0</v>
          </cell>
          <cell r="F22">
            <v>15875008</v>
          </cell>
        </row>
        <row r="23">
          <cell r="D23">
            <v>0</v>
          </cell>
          <cell r="F23">
            <v>68519416</v>
          </cell>
        </row>
        <row r="25">
          <cell r="F25">
            <v>47157169</v>
          </cell>
        </row>
        <row r="26">
          <cell r="D26">
            <v>0</v>
          </cell>
          <cell r="F26">
            <v>593379664</v>
          </cell>
        </row>
        <row r="27">
          <cell r="D27">
            <v>0</v>
          </cell>
          <cell r="F27">
            <v>394812868</v>
          </cell>
        </row>
        <row r="28">
          <cell r="D28">
            <v>0</v>
          </cell>
          <cell r="F28">
            <v>547556451</v>
          </cell>
        </row>
        <row r="29">
          <cell r="D29">
            <v>0</v>
          </cell>
          <cell r="F29">
            <v>97678692</v>
          </cell>
        </row>
        <row r="30">
          <cell r="D30">
            <v>0</v>
          </cell>
          <cell r="F30">
            <v>0</v>
          </cell>
        </row>
        <row r="31">
          <cell r="D31">
            <v>0</v>
          </cell>
          <cell r="F31">
            <v>10634177</v>
          </cell>
        </row>
        <row r="33">
          <cell r="D33">
            <v>0</v>
          </cell>
          <cell r="F33">
            <v>0</v>
          </cell>
        </row>
        <row r="34">
          <cell r="D34">
            <v>0</v>
          </cell>
          <cell r="F34">
            <v>32356401</v>
          </cell>
        </row>
        <row r="35">
          <cell r="D35">
            <v>0</v>
          </cell>
          <cell r="F35">
            <v>839</v>
          </cell>
        </row>
        <row r="42">
          <cell r="D42">
            <v>0</v>
          </cell>
          <cell r="F42">
            <v>2020140356</v>
          </cell>
        </row>
        <row r="43">
          <cell r="D43">
            <v>0</v>
          </cell>
          <cell r="F43">
            <v>64000</v>
          </cell>
        </row>
        <row r="48">
          <cell r="D48">
            <v>0</v>
          </cell>
          <cell r="F48">
            <v>0</v>
          </cell>
        </row>
        <row r="52">
          <cell r="D52">
            <v>0</v>
          </cell>
          <cell r="F52">
            <v>8105466288</v>
          </cell>
        </row>
        <row r="53">
          <cell r="D53">
            <v>0</v>
          </cell>
          <cell r="F53">
            <v>0</v>
          </cell>
        </row>
        <row r="54">
          <cell r="D54">
            <v>0</v>
          </cell>
          <cell r="F54">
            <v>0</v>
          </cell>
        </row>
        <row r="55">
          <cell r="D55">
            <v>0</v>
          </cell>
          <cell r="F55">
            <v>0</v>
          </cell>
        </row>
        <row r="56">
          <cell r="D56">
            <v>1597506163</v>
          </cell>
          <cell r="F56">
            <v>1597506163</v>
          </cell>
        </row>
        <row r="57">
          <cell r="D57">
            <v>0</v>
          </cell>
          <cell r="F57">
            <v>0</v>
          </cell>
        </row>
        <row r="58">
          <cell r="D58">
            <v>0</v>
          </cell>
          <cell r="F58">
            <v>0</v>
          </cell>
        </row>
        <row r="60">
          <cell r="D60">
            <v>2183199824</v>
          </cell>
          <cell r="F60">
            <v>2183199824</v>
          </cell>
        </row>
        <row r="63">
          <cell r="D63">
            <v>0</v>
          </cell>
          <cell r="F63">
            <v>108250189</v>
          </cell>
        </row>
        <row r="66">
          <cell r="D66">
            <v>0</v>
          </cell>
          <cell r="F66">
            <v>0</v>
          </cell>
        </row>
        <row r="69">
          <cell r="D69">
            <v>0</v>
          </cell>
          <cell r="F69">
            <v>653770556</v>
          </cell>
        </row>
        <row r="73">
          <cell r="D73">
            <v>382493661</v>
          </cell>
          <cell r="F73">
            <v>392142603</v>
          </cell>
        </row>
        <row r="75">
          <cell r="D75">
            <v>0</v>
          </cell>
          <cell r="F75">
            <v>2379178</v>
          </cell>
        </row>
        <row r="79">
          <cell r="D79">
            <v>0</v>
          </cell>
          <cell r="F79">
            <v>0</v>
          </cell>
        </row>
        <row r="81">
          <cell r="D81"/>
        </row>
        <row r="84">
          <cell r="D84">
            <v>0</v>
          </cell>
          <cell r="F84">
            <v>0</v>
          </cell>
        </row>
        <row r="85">
          <cell r="D85">
            <v>0</v>
          </cell>
          <cell r="F85">
            <v>0</v>
          </cell>
        </row>
        <row r="86">
          <cell r="D86">
            <v>0</v>
          </cell>
          <cell r="F86">
            <v>0</v>
          </cell>
        </row>
        <row r="87">
          <cell r="D87"/>
          <cell r="F87"/>
        </row>
        <row r="88">
          <cell r="D88"/>
          <cell r="F88"/>
        </row>
        <row r="89">
          <cell r="D89"/>
          <cell r="F89"/>
        </row>
        <row r="90">
          <cell r="D90"/>
          <cell r="F90"/>
        </row>
        <row r="91">
          <cell r="D91"/>
          <cell r="F91"/>
        </row>
        <row r="92">
          <cell r="D92"/>
          <cell r="F92">
            <v>0</v>
          </cell>
        </row>
        <row r="93">
          <cell r="D93">
            <v>0</v>
          </cell>
          <cell r="F93">
            <v>0</v>
          </cell>
        </row>
        <row r="95">
          <cell r="D95">
            <v>0</v>
          </cell>
          <cell r="F95">
            <v>0</v>
          </cell>
        </row>
        <row r="97">
          <cell r="D97">
            <v>10031592873</v>
          </cell>
          <cell r="F97">
            <v>10031592873</v>
          </cell>
        </row>
        <row r="98">
          <cell r="F98">
            <v>0</v>
          </cell>
        </row>
        <row r="102">
          <cell r="D102">
            <v>0</v>
          </cell>
          <cell r="F102">
            <v>32915809445</v>
          </cell>
        </row>
        <row r="103">
          <cell r="D103">
            <v>0</v>
          </cell>
          <cell r="F103">
            <v>1031264417</v>
          </cell>
        </row>
        <row r="105">
          <cell r="D105"/>
          <cell r="F105"/>
        </row>
        <row r="106">
          <cell r="D106">
            <v>0</v>
          </cell>
          <cell r="F106">
            <v>3982530000</v>
          </cell>
        </row>
      </sheetData>
      <sheetData sheetId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"/>
      <sheetName val="FONDO COMÚN"/>
      <sheetName val="FONDO INVERSIÓN Y FORT, INST"/>
      <sheetName val="FONDO PRÉSTAMOS"/>
      <sheetName val="Reporte Ingresos SHD"/>
    </sheetNames>
    <sheetDataSet>
      <sheetData sheetId="0">
        <row r="17">
          <cell r="E17">
            <v>0</v>
          </cell>
          <cell r="H17">
            <v>1235449756</v>
          </cell>
        </row>
        <row r="18">
          <cell r="E18">
            <v>0</v>
          </cell>
          <cell r="H18">
            <v>670777775</v>
          </cell>
        </row>
        <row r="19">
          <cell r="E19">
            <v>0</v>
          </cell>
          <cell r="H19">
            <v>622072854</v>
          </cell>
        </row>
        <row r="20">
          <cell r="E20">
            <v>0</v>
          </cell>
          <cell r="H20">
            <v>302642482</v>
          </cell>
        </row>
        <row r="22">
          <cell r="E22">
            <v>0</v>
          </cell>
          <cell r="H22">
            <v>177138926</v>
          </cell>
        </row>
        <row r="23">
          <cell r="E23">
            <v>0</v>
          </cell>
          <cell r="H23">
            <v>97221163</v>
          </cell>
        </row>
        <row r="25">
          <cell r="H25">
            <v>264811343</v>
          </cell>
        </row>
        <row r="26">
          <cell r="E26">
            <v>0</v>
          </cell>
          <cell r="H26">
            <v>3891763076</v>
          </cell>
        </row>
        <row r="27">
          <cell r="E27">
            <v>0</v>
          </cell>
          <cell r="H27">
            <v>3040016354</v>
          </cell>
        </row>
        <row r="28">
          <cell r="E28">
            <v>0</v>
          </cell>
          <cell r="H28">
            <v>1090392613</v>
          </cell>
        </row>
        <row r="29">
          <cell r="E29">
            <v>0</v>
          </cell>
          <cell r="H29">
            <v>1107906257</v>
          </cell>
        </row>
        <row r="30">
          <cell r="E30">
            <v>0</v>
          </cell>
          <cell r="H30">
            <v>0</v>
          </cell>
        </row>
        <row r="31">
          <cell r="E31">
            <v>0</v>
          </cell>
          <cell r="H31">
            <v>33910047</v>
          </cell>
        </row>
        <row r="33">
          <cell r="E33">
            <v>0</v>
          </cell>
          <cell r="H33">
            <v>0</v>
          </cell>
        </row>
        <row r="34">
          <cell r="E34">
            <v>0</v>
          </cell>
          <cell r="H34">
            <v>588001195</v>
          </cell>
        </row>
        <row r="35">
          <cell r="E35">
            <v>0</v>
          </cell>
          <cell r="H35">
            <v>4139590367</v>
          </cell>
        </row>
        <row r="42">
          <cell r="E42">
            <v>0</v>
          </cell>
          <cell r="H42">
            <v>1793041822</v>
          </cell>
        </row>
        <row r="43">
          <cell r="E43">
            <v>0</v>
          </cell>
          <cell r="H43">
            <v>10999294</v>
          </cell>
        </row>
        <row r="48">
          <cell r="E48">
            <v>0</v>
          </cell>
          <cell r="H48">
            <v>3033248329</v>
          </cell>
        </row>
        <row r="52">
          <cell r="E52">
            <v>23077986599</v>
          </cell>
          <cell r="H52">
            <v>56738264017</v>
          </cell>
        </row>
        <row r="53">
          <cell r="E53">
            <v>0</v>
          </cell>
          <cell r="H53">
            <v>0</v>
          </cell>
        </row>
        <row r="54">
          <cell r="E54">
            <v>0</v>
          </cell>
          <cell r="H54">
            <v>0</v>
          </cell>
        </row>
        <row r="55">
          <cell r="E55">
            <v>0</v>
          </cell>
          <cell r="H55">
            <v>0</v>
          </cell>
        </row>
        <row r="56">
          <cell r="E56">
            <v>0</v>
          </cell>
          <cell r="H56">
            <v>0</v>
          </cell>
        </row>
        <row r="57">
          <cell r="E57">
            <v>0</v>
          </cell>
          <cell r="H57">
            <v>0</v>
          </cell>
        </row>
        <row r="58">
          <cell r="E58">
            <v>0</v>
          </cell>
          <cell r="H58">
            <v>4909961388</v>
          </cell>
        </row>
        <row r="61">
          <cell r="E61">
            <v>0</v>
          </cell>
          <cell r="H61">
            <v>513953049</v>
          </cell>
        </row>
        <row r="64">
          <cell r="E64">
            <v>52311070825</v>
          </cell>
          <cell r="H64">
            <v>52311070825</v>
          </cell>
        </row>
        <row r="67">
          <cell r="E67">
            <v>0</v>
          </cell>
          <cell r="H67">
            <v>2900901134.8800001</v>
          </cell>
        </row>
        <row r="71">
          <cell r="E71">
            <v>0</v>
          </cell>
          <cell r="H71">
            <v>178783510</v>
          </cell>
        </row>
        <row r="73">
          <cell r="E73">
            <v>0</v>
          </cell>
          <cell r="H73">
            <v>18627964</v>
          </cell>
        </row>
        <row r="77">
          <cell r="E77">
            <v>299076116</v>
          </cell>
          <cell r="H77">
            <v>299076116</v>
          </cell>
        </row>
        <row r="79">
          <cell r="E79">
            <v>0</v>
          </cell>
        </row>
        <row r="82">
          <cell r="E82">
            <v>2020548276</v>
          </cell>
          <cell r="H82">
            <v>2020548276</v>
          </cell>
        </row>
        <row r="83">
          <cell r="E83">
            <v>0</v>
          </cell>
          <cell r="H83">
            <v>883158400</v>
          </cell>
        </row>
        <row r="84">
          <cell r="E84">
            <v>0</v>
          </cell>
          <cell r="H84">
            <v>8210241600</v>
          </cell>
        </row>
        <row r="85">
          <cell r="E85">
            <v>0</v>
          </cell>
          <cell r="H85">
            <v>0</v>
          </cell>
        </row>
        <row r="86">
          <cell r="E86">
            <v>0</v>
          </cell>
          <cell r="H86">
            <v>0</v>
          </cell>
        </row>
        <row r="87">
          <cell r="E87">
            <v>0</v>
          </cell>
          <cell r="H87">
            <v>0</v>
          </cell>
        </row>
        <row r="88">
          <cell r="E88">
            <v>0</v>
          </cell>
          <cell r="H88">
            <v>0</v>
          </cell>
        </row>
        <row r="89">
          <cell r="E89">
            <v>0</v>
          </cell>
          <cell r="H89">
            <v>0</v>
          </cell>
        </row>
        <row r="90">
          <cell r="E90">
            <v>3783530086</v>
          </cell>
          <cell r="H90">
            <v>3783530086</v>
          </cell>
        </row>
        <row r="91">
          <cell r="E91">
            <v>1032070588</v>
          </cell>
          <cell r="H91">
            <v>1032070588</v>
          </cell>
        </row>
        <row r="93">
          <cell r="E93">
            <v>23029780056</v>
          </cell>
          <cell r="H93">
            <v>23029780056</v>
          </cell>
        </row>
        <row r="95">
          <cell r="E95"/>
          <cell r="H95"/>
        </row>
        <row r="96">
          <cell r="H96"/>
        </row>
        <row r="100">
          <cell r="E100">
            <v>0</v>
          </cell>
          <cell r="H100">
            <v>213336885349</v>
          </cell>
        </row>
        <row r="101">
          <cell r="E101">
            <v>0</v>
          </cell>
          <cell r="H101">
            <v>0</v>
          </cell>
        </row>
        <row r="103">
          <cell r="E103">
            <v>0</v>
          </cell>
          <cell r="H103">
            <v>0</v>
          </cell>
        </row>
        <row r="104">
          <cell r="E104">
            <v>0</v>
          </cell>
          <cell r="H104">
            <v>24116370300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"/>
      <sheetName val="FONDO COMÚN"/>
      <sheetName val="FONDO INVERSIÓN Y FORT, INST"/>
      <sheetName val="FONDO PRÉSTAMOS"/>
    </sheetNames>
    <sheetDataSet>
      <sheetData sheetId="0">
        <row r="17">
          <cell r="D17">
            <v>0</v>
          </cell>
        </row>
        <row r="25">
          <cell r="D25">
            <v>0</v>
          </cell>
        </row>
      </sheetData>
      <sheetData sheetId="1"/>
      <sheetData sheetId="2"/>
      <sheetData sheetId="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"/>
      <sheetName val="FONDO COMÚN"/>
      <sheetName val="FONDO INVERSIÓN Y FORT, INST"/>
      <sheetName val="FONDO PRÉSTAMOS"/>
      <sheetName val="Reporte Ingresos SHD"/>
    </sheetNames>
    <sheetDataSet>
      <sheetData sheetId="0">
        <row r="17">
          <cell r="E17">
            <v>0</v>
          </cell>
        </row>
        <row r="25">
          <cell r="E25">
            <v>0</v>
          </cell>
        </row>
        <row r="79">
          <cell r="H79">
            <v>0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"/>
      <sheetName val="FONDO COMÚN"/>
      <sheetName val="FONDO INVERSIÓN Y FORT, INST"/>
      <sheetName val="FONDO PRÉSTAMOS"/>
      <sheetName val="Reporte Ingresos SHD"/>
    </sheetNames>
    <sheetDataSet>
      <sheetData sheetId="0">
        <row r="17">
          <cell r="E17">
            <v>0</v>
          </cell>
        </row>
        <row r="96">
          <cell r="E96"/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Microsoft_Visio_2003-2010_Drawing711111.vsd"/><Relationship Id="rId5" Type="http://schemas.openxmlformats.org/officeDocument/2006/relationships/image" Target="../media/image1.emf"/><Relationship Id="rId4" Type="http://schemas.openxmlformats.org/officeDocument/2006/relationships/oleObject" Target="../embeddings/Microsoft_Visio_2003-2010_Drawing71111.vsd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1735E-F5E4-42F2-8878-E00C09005E4E}">
  <sheetPr>
    <tabColor theme="2" tint="-0.249977111117893"/>
    <pageSetUpPr fitToPage="1"/>
  </sheetPr>
  <dimension ref="A1:M117"/>
  <sheetViews>
    <sheetView tabSelected="1" zoomScale="83" zoomScaleNormal="83" workbookViewId="0">
      <selection activeCell="B17" sqref="B17"/>
    </sheetView>
  </sheetViews>
  <sheetFormatPr baseColWidth="10" defaultColWidth="11.42578125" defaultRowHeight="14.25" x14ac:dyDescent="0.2"/>
  <cols>
    <col min="1" max="1" width="26.28515625" style="1" customWidth="1"/>
    <col min="2" max="2" width="65.28515625" style="1" customWidth="1"/>
    <col min="3" max="3" width="19.140625" style="1" customWidth="1"/>
    <col min="4" max="4" width="16.42578125" style="1" customWidth="1"/>
    <col min="5" max="5" width="17.28515625" style="1" customWidth="1"/>
    <col min="6" max="6" width="16.85546875" style="1" customWidth="1"/>
    <col min="7" max="7" width="19.42578125" style="1" customWidth="1"/>
    <col min="8" max="8" width="17.28515625" style="1" customWidth="1"/>
    <col min="9" max="9" width="12.7109375" style="1" customWidth="1"/>
    <col min="10" max="10" width="17.5703125" style="1" customWidth="1"/>
    <col min="11" max="11" width="28.5703125" style="1" customWidth="1"/>
    <col min="12" max="16384" width="11.42578125" style="1"/>
  </cols>
  <sheetData>
    <row r="1" spans="1:13" s="37" customFormat="1" ht="28.5" customHeight="1" x14ac:dyDescent="0.25">
      <c r="A1" s="90"/>
      <c r="B1" s="96" t="s">
        <v>198</v>
      </c>
      <c r="C1" s="96"/>
      <c r="D1" s="96"/>
      <c r="E1" s="96"/>
      <c r="F1" s="96"/>
      <c r="G1" s="96"/>
      <c r="H1" s="96"/>
      <c r="I1" s="86" t="s">
        <v>197</v>
      </c>
      <c r="J1" s="86"/>
      <c r="K1" s="93"/>
    </row>
    <row r="2" spans="1:13" s="37" customFormat="1" ht="28.5" customHeight="1" x14ac:dyDescent="0.25">
      <c r="A2" s="91"/>
      <c r="B2" s="86" t="s">
        <v>180</v>
      </c>
      <c r="C2" s="86"/>
      <c r="D2" s="86"/>
      <c r="E2" s="86"/>
      <c r="F2" s="86"/>
      <c r="G2" s="86"/>
      <c r="H2" s="86"/>
      <c r="I2" s="94" t="s">
        <v>181</v>
      </c>
      <c r="J2" s="94"/>
      <c r="K2" s="93"/>
    </row>
    <row r="3" spans="1:13" s="37" customFormat="1" ht="28.5" customHeight="1" x14ac:dyDescent="0.25">
      <c r="A3" s="92"/>
      <c r="B3" s="86" t="s">
        <v>182</v>
      </c>
      <c r="C3" s="86"/>
      <c r="D3" s="86"/>
      <c r="E3" s="86"/>
      <c r="F3" s="86"/>
      <c r="G3" s="86"/>
      <c r="H3" s="86"/>
      <c r="I3" s="95" t="s">
        <v>183</v>
      </c>
      <c r="J3" s="95"/>
      <c r="K3" s="93"/>
    </row>
    <row r="4" spans="1:13" s="37" customFormat="1" ht="15" x14ac:dyDescent="0.25"/>
    <row r="5" spans="1:13" s="37" customFormat="1" ht="38.25" customHeight="1" x14ac:dyDescent="0.25">
      <c r="A5" s="38" t="s">
        <v>184</v>
      </c>
      <c r="B5" s="87" t="s">
        <v>199</v>
      </c>
      <c r="C5" s="88"/>
      <c r="D5" s="88"/>
      <c r="E5" s="88"/>
      <c r="F5" s="88"/>
      <c r="G5" s="88"/>
      <c r="H5" s="88"/>
      <c r="I5" s="88"/>
      <c r="J5" s="88"/>
      <c r="K5" s="89"/>
    </row>
    <row r="6" spans="1:13" s="37" customFormat="1" ht="38.25" customHeight="1" x14ac:dyDescent="0.25">
      <c r="A6" s="38" t="s">
        <v>168</v>
      </c>
      <c r="B6" s="87">
        <v>2026</v>
      </c>
      <c r="C6" s="88"/>
      <c r="D6" s="88"/>
      <c r="E6" s="88"/>
      <c r="F6" s="88"/>
      <c r="G6" s="88"/>
      <c r="H6" s="88"/>
      <c r="I6" s="88"/>
      <c r="J6" s="88"/>
      <c r="K6" s="89"/>
    </row>
    <row r="7" spans="1:13" s="37" customFormat="1" ht="38.25" customHeight="1" x14ac:dyDescent="0.25">
      <c r="A7" s="38" t="s">
        <v>185</v>
      </c>
      <c r="B7" s="87" t="s">
        <v>207</v>
      </c>
      <c r="C7" s="88"/>
      <c r="D7" s="88"/>
      <c r="E7" s="88"/>
      <c r="F7" s="88"/>
      <c r="G7" s="88"/>
      <c r="H7" s="88"/>
      <c r="I7" s="88"/>
      <c r="J7" s="88"/>
      <c r="K7" s="89"/>
      <c r="M7" s="85"/>
    </row>
    <row r="8" spans="1:13" s="39" customFormat="1" ht="11.25" x14ac:dyDescent="0.2">
      <c r="C8" s="40"/>
      <c r="D8" s="40"/>
      <c r="E8" s="40"/>
      <c r="F8" s="40"/>
      <c r="G8" s="41"/>
      <c r="H8" s="41"/>
      <c r="I8" s="41"/>
      <c r="J8" s="40"/>
      <c r="K8" s="42"/>
      <c r="L8" s="43"/>
      <c r="M8" s="43"/>
    </row>
    <row r="9" spans="1:13" ht="45" customHeight="1" x14ac:dyDescent="0.2">
      <c r="A9" s="25" t="s">
        <v>0</v>
      </c>
      <c r="B9" s="25" t="s">
        <v>1</v>
      </c>
      <c r="C9" s="25" t="s">
        <v>179</v>
      </c>
      <c r="D9" s="44" t="s">
        <v>186</v>
      </c>
      <c r="E9" s="44" t="s">
        <v>189</v>
      </c>
      <c r="F9" s="45" t="s">
        <v>200</v>
      </c>
      <c r="G9" s="46" t="s">
        <v>187</v>
      </c>
      <c r="H9" s="46" t="s">
        <v>190</v>
      </c>
      <c r="I9" s="46" t="s">
        <v>191</v>
      </c>
      <c r="J9" s="47" t="s">
        <v>192</v>
      </c>
      <c r="K9" s="48" t="s">
        <v>193</v>
      </c>
    </row>
    <row r="10" spans="1:13" ht="13.5" customHeight="1" x14ac:dyDescent="0.2">
      <c r="A10" s="66">
        <v>1</v>
      </c>
      <c r="B10" s="67" t="s">
        <v>2</v>
      </c>
      <c r="C10" s="68">
        <f t="shared" ref="C10:J10" si="0">+C11+C64+C99</f>
        <v>548567755000</v>
      </c>
      <c r="D10" s="68">
        <f t="shared" si="0"/>
        <v>14194792521</v>
      </c>
      <c r="E10" s="68">
        <f t="shared" ref="E10" si="1">+E11+E64+E99</f>
        <v>119748855067</v>
      </c>
      <c r="F10" s="68">
        <f t="shared" si="0"/>
        <v>668316610067</v>
      </c>
      <c r="G10" s="70">
        <f t="shared" si="0"/>
        <v>65215403988</v>
      </c>
      <c r="H10" s="68">
        <f t="shared" ref="H10" si="2">+H11+H64+H99</f>
        <v>481597610299.88</v>
      </c>
      <c r="I10" s="69">
        <f t="shared" ref="I10:I75" si="3">IF(H10=0,0,IF(F10=0,0,+H10/F10))</f>
        <v>0.72061295955460236</v>
      </c>
      <c r="J10" s="68">
        <f t="shared" si="0"/>
        <v>186718999767.12</v>
      </c>
      <c r="K10" s="68"/>
    </row>
    <row r="11" spans="1:13" x14ac:dyDescent="0.2">
      <c r="A11" s="2" t="s">
        <v>3</v>
      </c>
      <c r="B11" s="3" t="s">
        <v>4</v>
      </c>
      <c r="C11" s="26">
        <f t="shared" ref="C11:J11" si="4">+C12</f>
        <v>108960363000</v>
      </c>
      <c r="D11" s="26">
        <f t="shared" si="4"/>
        <v>3780705987</v>
      </c>
      <c r="E11" s="26">
        <f t="shared" si="4"/>
        <v>26858692586</v>
      </c>
      <c r="F11" s="26">
        <f t="shared" si="4"/>
        <v>135819055586</v>
      </c>
      <c r="G11" s="71">
        <f t="shared" si="4"/>
        <v>16205914916</v>
      </c>
      <c r="H11" s="26">
        <f t="shared" si="4"/>
        <v>100467077023</v>
      </c>
      <c r="I11" s="50">
        <f t="shared" si="3"/>
        <v>0.73971267573263833</v>
      </c>
      <c r="J11" s="26">
        <f t="shared" si="4"/>
        <v>35351978563</v>
      </c>
      <c r="K11" s="26"/>
    </row>
    <row r="12" spans="1:13" x14ac:dyDescent="0.2">
      <c r="A12" s="4" t="s">
        <v>5</v>
      </c>
      <c r="B12" s="5" t="s">
        <v>6</v>
      </c>
      <c r="C12" s="27">
        <f t="shared" ref="C12:J12" si="5">+C13+C36+C44</f>
        <v>108960363000</v>
      </c>
      <c r="D12" s="27">
        <f t="shared" si="5"/>
        <v>3780705987</v>
      </c>
      <c r="E12" s="27">
        <f t="shared" ref="E12" si="6">+E13+E36+E44</f>
        <v>26858692586</v>
      </c>
      <c r="F12" s="27">
        <f t="shared" si="5"/>
        <v>135819055586</v>
      </c>
      <c r="G12" s="72">
        <f t="shared" si="5"/>
        <v>16205914916</v>
      </c>
      <c r="H12" s="27">
        <f t="shared" ref="H12" si="7">+H13+H36+H44</f>
        <v>100467077023</v>
      </c>
      <c r="I12" s="51">
        <f t="shared" si="3"/>
        <v>0.73971267573263833</v>
      </c>
      <c r="J12" s="27">
        <f t="shared" si="5"/>
        <v>35351978563</v>
      </c>
      <c r="K12" s="27"/>
    </row>
    <row r="13" spans="1:13" x14ac:dyDescent="0.2">
      <c r="A13" s="6" t="s">
        <v>7</v>
      </c>
      <c r="B13" s="7" t="s">
        <v>8</v>
      </c>
      <c r="C13" s="28">
        <f t="shared" ref="C13:J13" si="8">+C14</f>
        <v>35690613000</v>
      </c>
      <c r="D13" s="28">
        <f t="shared" si="8"/>
        <v>0</v>
      </c>
      <c r="E13" s="28">
        <f t="shared" si="8"/>
        <v>0</v>
      </c>
      <c r="F13" s="28">
        <f t="shared" si="8"/>
        <v>35690613000</v>
      </c>
      <c r="G13" s="73">
        <f t="shared" si="8"/>
        <v>2191288096</v>
      </c>
      <c r="H13" s="28">
        <f t="shared" si="8"/>
        <v>19452982304</v>
      </c>
      <c r="I13" s="52">
        <f t="shared" si="3"/>
        <v>0.54504477981367261</v>
      </c>
      <c r="J13" s="28">
        <f t="shared" si="8"/>
        <v>16237630696</v>
      </c>
      <c r="K13" s="28"/>
    </row>
    <row r="14" spans="1:13" x14ac:dyDescent="0.2">
      <c r="A14" s="8" t="s">
        <v>9</v>
      </c>
      <c r="B14" s="9" t="s">
        <v>10</v>
      </c>
      <c r="C14" s="29">
        <f t="shared" ref="C14:J14" si="9">+C15+C32</f>
        <v>35690613000</v>
      </c>
      <c r="D14" s="29">
        <f t="shared" si="9"/>
        <v>0</v>
      </c>
      <c r="E14" s="29">
        <f t="shared" ref="E14" si="10">+E15+E32</f>
        <v>0</v>
      </c>
      <c r="F14" s="29">
        <f t="shared" si="9"/>
        <v>35690613000</v>
      </c>
      <c r="G14" s="74">
        <f t="shared" si="9"/>
        <v>2191288096</v>
      </c>
      <c r="H14" s="29">
        <f t="shared" ref="H14" si="11">+H15+H32</f>
        <v>19452982304</v>
      </c>
      <c r="I14" s="53">
        <f t="shared" si="3"/>
        <v>0.54504477981367261</v>
      </c>
      <c r="J14" s="29">
        <f t="shared" si="9"/>
        <v>16237630696</v>
      </c>
      <c r="K14" s="29"/>
    </row>
    <row r="15" spans="1:13" x14ac:dyDescent="0.2">
      <c r="A15" s="10" t="s">
        <v>11</v>
      </c>
      <c r="B15" s="11" t="s">
        <v>12</v>
      </c>
      <c r="C15" s="30">
        <f t="shared" ref="C15:J15" si="12">+C16+C21</f>
        <v>35084654000</v>
      </c>
      <c r="D15" s="30">
        <f t="shared" si="12"/>
        <v>0</v>
      </c>
      <c r="E15" s="30">
        <f t="shared" ref="E15" si="13">+E16+E21</f>
        <v>0</v>
      </c>
      <c r="F15" s="30">
        <f t="shared" si="12"/>
        <v>35084654000</v>
      </c>
      <c r="G15" s="75">
        <f t="shared" si="12"/>
        <v>2158930856</v>
      </c>
      <c r="H15" s="30">
        <f t="shared" ref="H15" si="14">+H16+H21</f>
        <v>14693033502</v>
      </c>
      <c r="I15" s="54">
        <f t="shared" si="3"/>
        <v>0.41878804054901042</v>
      </c>
      <c r="J15" s="30">
        <f t="shared" si="12"/>
        <v>20391620498</v>
      </c>
      <c r="K15" s="30"/>
    </row>
    <row r="16" spans="1:13" x14ac:dyDescent="0.2">
      <c r="A16" s="12" t="s">
        <v>13</v>
      </c>
      <c r="B16" s="13" t="s">
        <v>14</v>
      </c>
      <c r="C16" s="31">
        <f t="shared" ref="C16" si="15">SUM(C17:C20)</f>
        <v>20963473000</v>
      </c>
      <c r="D16" s="31">
        <f t="shared" ref="D16:J16" si="16">SUM(D17:D20)</f>
        <v>0</v>
      </c>
      <c r="E16" s="31">
        <f t="shared" ref="E16" si="17">SUM(E17:E20)</f>
        <v>0</v>
      </c>
      <c r="F16" s="31">
        <f t="shared" si="16"/>
        <v>20963473000</v>
      </c>
      <c r="G16" s="76">
        <f t="shared" si="16"/>
        <v>383317411</v>
      </c>
      <c r="H16" s="31">
        <f t="shared" ref="H16" si="18">SUM(H17:H20)</f>
        <v>3214260278</v>
      </c>
      <c r="I16" s="55">
        <f t="shared" si="3"/>
        <v>0.15332670679137947</v>
      </c>
      <c r="J16" s="31">
        <f t="shared" si="16"/>
        <v>17749212722</v>
      </c>
      <c r="K16" s="31"/>
    </row>
    <row r="17" spans="1:11" x14ac:dyDescent="0.2">
      <c r="A17" s="14" t="s">
        <v>15</v>
      </c>
      <c r="B17" s="14" t="s">
        <v>16</v>
      </c>
      <c r="C17" s="60">
        <v>3171000000</v>
      </c>
      <c r="D17" s="60">
        <f>+[2]TOTAL!$D17</f>
        <v>0</v>
      </c>
      <c r="E17" s="60">
        <f>+[3]TOTAL!$E17+D17</f>
        <v>0</v>
      </c>
      <c r="F17" s="60">
        <f>+C17+E17</f>
        <v>3171000000</v>
      </c>
      <c r="G17" s="77">
        <f>+[2]TOTAL!$F17</f>
        <v>27139260</v>
      </c>
      <c r="H17" s="60">
        <f>+[3]TOTAL!$H17+G17</f>
        <v>1262589016</v>
      </c>
      <c r="I17" s="61">
        <f t="shared" ref="I17" si="19">IF(H17=0,0,IF(F17=0,0,+H17/F17))</f>
        <v>0.3981674601072217</v>
      </c>
      <c r="J17" s="60">
        <f>+F17-H17</f>
        <v>1908410984</v>
      </c>
      <c r="K17" s="60" t="s">
        <v>194</v>
      </c>
    </row>
    <row r="18" spans="1:11" x14ac:dyDescent="0.2">
      <c r="A18" s="14" t="s">
        <v>17</v>
      </c>
      <c r="B18" s="14" t="s">
        <v>18</v>
      </c>
      <c r="C18" s="60">
        <v>813897000</v>
      </c>
      <c r="D18" s="60">
        <f>+[2]TOTAL!$D18</f>
        <v>0</v>
      </c>
      <c r="E18" s="60">
        <f>+[3]TOTAL!$E18+D18</f>
        <v>0</v>
      </c>
      <c r="F18" s="60">
        <f>+C18+E18</f>
        <v>813897000</v>
      </c>
      <c r="G18" s="77">
        <f>+[2]TOTAL!$F18</f>
        <v>321292837</v>
      </c>
      <c r="H18" s="60">
        <f>+[3]TOTAL!$H18+G18</f>
        <v>992070612</v>
      </c>
      <c r="I18" s="61">
        <f t="shared" si="3"/>
        <v>1.2189142016741676</v>
      </c>
      <c r="J18" s="60">
        <f t="shared" ref="J18:J20" si="20">+F18-H18</f>
        <v>-178173612</v>
      </c>
      <c r="K18" s="60" t="s">
        <v>194</v>
      </c>
    </row>
    <row r="19" spans="1:11" x14ac:dyDescent="0.2">
      <c r="A19" s="14" t="s">
        <v>19</v>
      </c>
      <c r="B19" s="14" t="s">
        <v>20</v>
      </c>
      <c r="C19" s="60">
        <v>16658496000</v>
      </c>
      <c r="D19" s="60">
        <f>+[2]TOTAL!$D19</f>
        <v>0</v>
      </c>
      <c r="E19" s="60">
        <f>+[3]TOTAL!$E19+D19</f>
        <v>0</v>
      </c>
      <c r="F19" s="60">
        <f>+C19+E19</f>
        <v>16658496000</v>
      </c>
      <c r="G19" s="77">
        <f>+[2]TOTAL!$F19</f>
        <v>0</v>
      </c>
      <c r="H19" s="60">
        <f>+[3]TOTAL!$H19+G19</f>
        <v>622072854</v>
      </c>
      <c r="I19" s="61">
        <f t="shared" si="3"/>
        <v>3.7342678114518864E-2</v>
      </c>
      <c r="J19" s="60">
        <f t="shared" si="20"/>
        <v>16036423146</v>
      </c>
      <c r="K19" s="60" t="s">
        <v>194</v>
      </c>
    </row>
    <row r="20" spans="1:11" x14ac:dyDescent="0.2">
      <c r="A20" s="14" t="s">
        <v>21</v>
      </c>
      <c r="B20" s="14" t="s">
        <v>22</v>
      </c>
      <c r="C20" s="60">
        <v>320080000</v>
      </c>
      <c r="D20" s="60">
        <f>+[2]TOTAL!$D20</f>
        <v>0</v>
      </c>
      <c r="E20" s="60">
        <f>+[3]TOTAL!$E20+D20</f>
        <v>0</v>
      </c>
      <c r="F20" s="60">
        <f>+C20+E20</f>
        <v>320080000</v>
      </c>
      <c r="G20" s="77">
        <f>+[2]TOTAL!$F20</f>
        <v>34885314</v>
      </c>
      <c r="H20" s="60">
        <f>+[3]TOTAL!$H20+G20</f>
        <v>337527796</v>
      </c>
      <c r="I20" s="61">
        <f t="shared" si="3"/>
        <v>1.0545107348162959</v>
      </c>
      <c r="J20" s="60">
        <f t="shared" si="20"/>
        <v>-17447796</v>
      </c>
      <c r="K20" s="60" t="s">
        <v>194</v>
      </c>
    </row>
    <row r="21" spans="1:11" x14ac:dyDescent="0.2">
      <c r="A21" s="12" t="s">
        <v>23</v>
      </c>
      <c r="B21" s="15" t="s">
        <v>24</v>
      </c>
      <c r="C21" s="62">
        <f t="shared" ref="C21:J21" si="21">SUM(C22,C23,C24,C31)</f>
        <v>14121181000</v>
      </c>
      <c r="D21" s="62">
        <f t="shared" si="21"/>
        <v>0</v>
      </c>
      <c r="E21" s="62">
        <f t="shared" ref="E21" si="22">SUM(E22,E23,E24,E31)</f>
        <v>0</v>
      </c>
      <c r="F21" s="62">
        <f t="shared" si="21"/>
        <v>14121181000</v>
      </c>
      <c r="G21" s="78">
        <f t="shared" si="21"/>
        <v>1775613445</v>
      </c>
      <c r="H21" s="62">
        <f t="shared" ref="H21" si="23">SUM(H22,H23,H24,H31)</f>
        <v>11478773224</v>
      </c>
      <c r="I21" s="63">
        <f t="shared" si="3"/>
        <v>0.8128762901629828</v>
      </c>
      <c r="J21" s="62">
        <f t="shared" si="21"/>
        <v>2642407776</v>
      </c>
      <c r="K21" s="62"/>
    </row>
    <row r="22" spans="1:11" x14ac:dyDescent="0.2">
      <c r="A22" s="14" t="s">
        <v>25</v>
      </c>
      <c r="B22" s="14" t="s">
        <v>16</v>
      </c>
      <c r="C22" s="60">
        <v>151500000</v>
      </c>
      <c r="D22" s="60">
        <f>+[2]TOTAL!$D22</f>
        <v>0</v>
      </c>
      <c r="E22" s="60">
        <f>+[3]TOTAL!$E22+D22</f>
        <v>0</v>
      </c>
      <c r="F22" s="60">
        <f>+C22+E22</f>
        <v>151500000</v>
      </c>
      <c r="G22" s="77">
        <f>+[2]TOTAL!$F22</f>
        <v>15875008</v>
      </c>
      <c r="H22" s="60">
        <f>+[3]TOTAL!$H22+G22</f>
        <v>193013934</v>
      </c>
      <c r="I22" s="61">
        <f t="shared" si="3"/>
        <v>1.2740193663366337</v>
      </c>
      <c r="J22" s="60">
        <f t="shared" ref="J22:J23" si="24">+F22-H22</f>
        <v>-41513934</v>
      </c>
      <c r="K22" s="60" t="s">
        <v>194</v>
      </c>
    </row>
    <row r="23" spans="1:11" x14ac:dyDescent="0.2">
      <c r="A23" s="14" t="s">
        <v>26</v>
      </c>
      <c r="B23" s="14" t="s">
        <v>18</v>
      </c>
      <c r="C23" s="60">
        <v>167918000</v>
      </c>
      <c r="D23" s="60">
        <f>+[2]TOTAL!$D23</f>
        <v>0</v>
      </c>
      <c r="E23" s="60">
        <f>+[3]TOTAL!$E23+D23</f>
        <v>0</v>
      </c>
      <c r="F23" s="60">
        <f>+C23+E23</f>
        <v>167918000</v>
      </c>
      <c r="G23" s="77">
        <f>+[2]TOTAL!$F23</f>
        <v>68519416</v>
      </c>
      <c r="H23" s="60">
        <f>+[3]TOTAL!$H23+G23</f>
        <v>165740579</v>
      </c>
      <c r="I23" s="61">
        <f t="shared" si="3"/>
        <v>0.98703283150108978</v>
      </c>
      <c r="J23" s="60">
        <f t="shared" si="24"/>
        <v>2177421</v>
      </c>
      <c r="K23" s="60" t="s">
        <v>194</v>
      </c>
    </row>
    <row r="24" spans="1:11" x14ac:dyDescent="0.2">
      <c r="A24" s="12" t="s">
        <v>27</v>
      </c>
      <c r="B24" s="12" t="s">
        <v>20</v>
      </c>
      <c r="C24" s="62">
        <f t="shared" ref="C24:J24" si="25">SUM(C25:C30)</f>
        <v>13758747000</v>
      </c>
      <c r="D24" s="62">
        <f t="shared" si="25"/>
        <v>0</v>
      </c>
      <c r="E24" s="62">
        <f t="shared" ref="E24" si="26">SUM(E25:E30)</f>
        <v>0</v>
      </c>
      <c r="F24" s="62">
        <f t="shared" si="25"/>
        <v>13758747000</v>
      </c>
      <c r="G24" s="78">
        <f t="shared" si="25"/>
        <v>1680584844</v>
      </c>
      <c r="H24" s="62">
        <f t="shared" ref="H24" si="27">SUM(H25:H30)</f>
        <v>11075474487</v>
      </c>
      <c r="I24" s="63">
        <f t="shared" si="3"/>
        <v>0.80497697115878353</v>
      </c>
      <c r="J24" s="62">
        <f t="shared" si="25"/>
        <v>2683272513</v>
      </c>
      <c r="K24" s="62"/>
    </row>
    <row r="25" spans="1:11" x14ac:dyDescent="0.2">
      <c r="A25" s="14" t="s">
        <v>28</v>
      </c>
      <c r="B25" s="14" t="s">
        <v>29</v>
      </c>
      <c r="C25" s="60">
        <v>491731000</v>
      </c>
      <c r="D25" s="60">
        <f>+[4]TOTAL!$D25</f>
        <v>0</v>
      </c>
      <c r="E25" s="60">
        <f>+[5]TOTAL!$E25+D25</f>
        <v>0</v>
      </c>
      <c r="F25" s="60">
        <f>+C25+E25</f>
        <v>491731000</v>
      </c>
      <c r="G25" s="77">
        <f>+[2]TOTAL!$F25</f>
        <v>47157169</v>
      </c>
      <c r="H25" s="60">
        <f>+[3]TOTAL!$H25+G25</f>
        <v>311968512</v>
      </c>
      <c r="I25" s="61">
        <f t="shared" si="3"/>
        <v>0.6344292143468685</v>
      </c>
      <c r="J25" s="60">
        <f t="shared" ref="J25:J31" si="28">+F25-H25</f>
        <v>179762488</v>
      </c>
      <c r="K25" s="60" t="s">
        <v>194</v>
      </c>
    </row>
    <row r="26" spans="1:11" x14ac:dyDescent="0.2">
      <c r="A26" s="14" t="s">
        <v>30</v>
      </c>
      <c r="B26" s="14" t="s">
        <v>31</v>
      </c>
      <c r="C26" s="60">
        <v>6894468000</v>
      </c>
      <c r="D26" s="60">
        <f>+[2]TOTAL!$D26</f>
        <v>0</v>
      </c>
      <c r="E26" s="60">
        <f>+[3]TOTAL!$E26+D26</f>
        <v>0</v>
      </c>
      <c r="F26" s="60">
        <f>+C26+E26</f>
        <v>6894468000</v>
      </c>
      <c r="G26" s="77">
        <f>+[2]TOTAL!$F26</f>
        <v>593379664</v>
      </c>
      <c r="H26" s="60">
        <f>+[3]TOTAL!$H26+G26</f>
        <v>4485142740</v>
      </c>
      <c r="I26" s="61">
        <f t="shared" si="3"/>
        <v>0.65054225213606043</v>
      </c>
      <c r="J26" s="60">
        <f t="shared" si="28"/>
        <v>2409325260</v>
      </c>
      <c r="K26" s="60" t="s">
        <v>194</v>
      </c>
    </row>
    <row r="27" spans="1:11" x14ac:dyDescent="0.2">
      <c r="A27" s="14" t="s">
        <v>32</v>
      </c>
      <c r="B27" s="14" t="s">
        <v>33</v>
      </c>
      <c r="C27" s="60">
        <v>3978044000</v>
      </c>
      <c r="D27" s="60">
        <f>+[2]TOTAL!$D27</f>
        <v>0</v>
      </c>
      <c r="E27" s="60">
        <f>+[3]TOTAL!$E27+D27</f>
        <v>0</v>
      </c>
      <c r="F27" s="60">
        <f>+C27+E27</f>
        <v>3978044000</v>
      </c>
      <c r="G27" s="77">
        <f>+[2]TOTAL!$F27</f>
        <v>394812868</v>
      </c>
      <c r="H27" s="60">
        <f>+[3]TOTAL!$H27+G27</f>
        <v>3434829222</v>
      </c>
      <c r="I27" s="61">
        <f t="shared" si="3"/>
        <v>0.86344676479194293</v>
      </c>
      <c r="J27" s="60">
        <f t="shared" si="28"/>
        <v>543214778</v>
      </c>
      <c r="K27" s="60" t="s">
        <v>194</v>
      </c>
    </row>
    <row r="28" spans="1:11" x14ac:dyDescent="0.2">
      <c r="A28" s="14" t="s">
        <v>34</v>
      </c>
      <c r="B28" s="14" t="s">
        <v>35</v>
      </c>
      <c r="C28" s="60">
        <v>1286026000</v>
      </c>
      <c r="D28" s="60">
        <f>+[2]TOTAL!$D28</f>
        <v>0</v>
      </c>
      <c r="E28" s="60">
        <f>+[3]TOTAL!$E28+D28</f>
        <v>0</v>
      </c>
      <c r="F28" s="60">
        <f>+C28+E28</f>
        <v>1286026000</v>
      </c>
      <c r="G28" s="77">
        <f>+[2]TOTAL!$F28</f>
        <v>547556451</v>
      </c>
      <c r="H28" s="60">
        <f>+[3]TOTAL!$H28+G28</f>
        <v>1637949064</v>
      </c>
      <c r="I28" s="61">
        <f t="shared" si="3"/>
        <v>1.2736515933581436</v>
      </c>
      <c r="J28" s="60">
        <f t="shared" si="28"/>
        <v>-351923064</v>
      </c>
      <c r="K28" s="60" t="s">
        <v>194</v>
      </c>
    </row>
    <row r="29" spans="1:11" x14ac:dyDescent="0.2">
      <c r="A29" s="14" t="s">
        <v>36</v>
      </c>
      <c r="B29" s="14" t="s">
        <v>37</v>
      </c>
      <c r="C29" s="60">
        <v>1108478000</v>
      </c>
      <c r="D29" s="60">
        <f>+[2]TOTAL!$D29</f>
        <v>0</v>
      </c>
      <c r="E29" s="60">
        <f>+[3]TOTAL!$E29+D29</f>
        <v>0</v>
      </c>
      <c r="F29" s="60">
        <f>+C29+E29</f>
        <v>1108478000</v>
      </c>
      <c r="G29" s="77">
        <f>+[2]TOTAL!$F29</f>
        <v>97678692</v>
      </c>
      <c r="H29" s="60">
        <f>+[3]TOTAL!$H29+G29</f>
        <v>1205584949</v>
      </c>
      <c r="I29" s="61">
        <f t="shared" si="3"/>
        <v>1.0876038577220297</v>
      </c>
      <c r="J29" s="60">
        <f t="shared" si="28"/>
        <v>-97106949</v>
      </c>
      <c r="K29" s="60" t="s">
        <v>194</v>
      </c>
    </row>
    <row r="30" spans="1:11" x14ac:dyDescent="0.2">
      <c r="A30" s="14" t="s">
        <v>38</v>
      </c>
      <c r="B30" s="14" t="s">
        <v>39</v>
      </c>
      <c r="C30" s="60">
        <v>0</v>
      </c>
      <c r="D30" s="60">
        <f>+[2]TOTAL!$D30</f>
        <v>0</v>
      </c>
      <c r="E30" s="60">
        <f>+[3]TOTAL!$E30+D30</f>
        <v>0</v>
      </c>
      <c r="F30" s="60">
        <v>0</v>
      </c>
      <c r="G30" s="77">
        <f>+[2]TOTAL!$F30</f>
        <v>0</v>
      </c>
      <c r="H30" s="60">
        <f>+[3]TOTAL!$H30+G30</f>
        <v>0</v>
      </c>
      <c r="I30" s="61">
        <f t="shared" si="3"/>
        <v>0</v>
      </c>
      <c r="J30" s="60">
        <f t="shared" si="28"/>
        <v>0</v>
      </c>
      <c r="K30" s="60"/>
    </row>
    <row r="31" spans="1:11" x14ac:dyDescent="0.2">
      <c r="A31" s="14" t="s">
        <v>40</v>
      </c>
      <c r="B31" s="14" t="s">
        <v>22</v>
      </c>
      <c r="C31" s="60">
        <v>43016000</v>
      </c>
      <c r="D31" s="60">
        <f>+[2]TOTAL!$D31</f>
        <v>0</v>
      </c>
      <c r="E31" s="60">
        <f>+[3]TOTAL!$E31+D31</f>
        <v>0</v>
      </c>
      <c r="F31" s="60">
        <f>+C31+E31</f>
        <v>43016000</v>
      </c>
      <c r="G31" s="77">
        <f>+[2]TOTAL!$F31</f>
        <v>10634177</v>
      </c>
      <c r="H31" s="60">
        <f>+[3]TOTAL!$H31+G31</f>
        <v>44544224</v>
      </c>
      <c r="I31" s="61">
        <f t="shared" si="3"/>
        <v>1.0355268737214061</v>
      </c>
      <c r="J31" s="60">
        <f t="shared" si="28"/>
        <v>-1528224</v>
      </c>
      <c r="K31" s="60" t="s">
        <v>194</v>
      </c>
    </row>
    <row r="32" spans="1:11" x14ac:dyDescent="0.2">
      <c r="A32" s="10" t="s">
        <v>41</v>
      </c>
      <c r="B32" s="10" t="s">
        <v>42</v>
      </c>
      <c r="C32" s="30">
        <f t="shared" ref="C32:J32" si="29">SUM(C33:C35)</f>
        <v>605959000</v>
      </c>
      <c r="D32" s="30">
        <f t="shared" si="29"/>
        <v>0</v>
      </c>
      <c r="E32" s="30">
        <f t="shared" ref="E32" si="30">SUM(E33:E35)</f>
        <v>0</v>
      </c>
      <c r="F32" s="30">
        <f t="shared" si="29"/>
        <v>605959000</v>
      </c>
      <c r="G32" s="75">
        <f t="shared" si="29"/>
        <v>32357240</v>
      </c>
      <c r="H32" s="30">
        <f t="shared" ref="H32" si="31">SUM(H33:H35)</f>
        <v>4759948802</v>
      </c>
      <c r="I32" s="54">
        <f t="shared" si="3"/>
        <v>7.8552324530207489</v>
      </c>
      <c r="J32" s="30">
        <f t="shared" si="29"/>
        <v>-4153989802</v>
      </c>
      <c r="K32" s="30"/>
    </row>
    <row r="33" spans="1:11" x14ac:dyDescent="0.2">
      <c r="A33" s="14" t="s">
        <v>43</v>
      </c>
      <c r="B33" s="14" t="s">
        <v>44</v>
      </c>
      <c r="C33" s="32">
        <v>0</v>
      </c>
      <c r="D33" s="60">
        <f>+[2]TOTAL!$D33</f>
        <v>0</v>
      </c>
      <c r="E33" s="60">
        <f>+[3]TOTAL!$E33+D33</f>
        <v>0</v>
      </c>
      <c r="F33" s="32">
        <v>0</v>
      </c>
      <c r="G33" s="77">
        <f>+[2]TOTAL!$F33</f>
        <v>0</v>
      </c>
      <c r="H33" s="60">
        <f>+[3]TOTAL!$H33+G33</f>
        <v>0</v>
      </c>
      <c r="I33" s="56">
        <f t="shared" si="3"/>
        <v>0</v>
      </c>
      <c r="J33" s="60">
        <f t="shared" ref="J33:J35" si="32">+F33-H33</f>
        <v>0</v>
      </c>
      <c r="K33" s="32"/>
    </row>
    <row r="34" spans="1:11" x14ac:dyDescent="0.2">
      <c r="A34" s="14" t="s">
        <v>45</v>
      </c>
      <c r="B34" s="14" t="s">
        <v>46</v>
      </c>
      <c r="C34" s="60">
        <v>330365000</v>
      </c>
      <c r="D34" s="60">
        <f>+[2]TOTAL!$D34</f>
        <v>0</v>
      </c>
      <c r="E34" s="60">
        <f>+[3]TOTAL!$E34+D34</f>
        <v>0</v>
      </c>
      <c r="F34" s="60">
        <f>+C34+E34</f>
        <v>330365000</v>
      </c>
      <c r="G34" s="77">
        <f>+[2]TOTAL!$F34</f>
        <v>32356401</v>
      </c>
      <c r="H34" s="60">
        <f>+[3]TOTAL!$H34+G34</f>
        <v>620357596</v>
      </c>
      <c r="I34" s="61">
        <f t="shared" si="3"/>
        <v>1.8777945484539826</v>
      </c>
      <c r="J34" s="60">
        <f t="shared" si="32"/>
        <v>-289992596</v>
      </c>
      <c r="K34" s="60" t="s">
        <v>194</v>
      </c>
    </row>
    <row r="35" spans="1:11" x14ac:dyDescent="0.2">
      <c r="A35" s="14" t="s">
        <v>47</v>
      </c>
      <c r="B35" s="14" t="s">
        <v>48</v>
      </c>
      <c r="C35" s="60">
        <v>275594000</v>
      </c>
      <c r="D35" s="60">
        <f>+[2]TOTAL!$D35</f>
        <v>0</v>
      </c>
      <c r="E35" s="60">
        <f>+[3]TOTAL!$E35+D35</f>
        <v>0</v>
      </c>
      <c r="F35" s="60">
        <f>+C35+E35</f>
        <v>275594000</v>
      </c>
      <c r="G35" s="77">
        <f>+[2]TOTAL!$F35</f>
        <v>839</v>
      </c>
      <c r="H35" s="60">
        <f>+[3]TOTAL!$H35+G35</f>
        <v>4139591206</v>
      </c>
      <c r="I35" s="61">
        <f t="shared" si="3"/>
        <v>15.020614403796889</v>
      </c>
      <c r="J35" s="60">
        <f t="shared" si="32"/>
        <v>-3863997206</v>
      </c>
      <c r="K35" s="60" t="s">
        <v>194</v>
      </c>
    </row>
    <row r="36" spans="1:11" x14ac:dyDescent="0.2">
      <c r="A36" s="6" t="s">
        <v>49</v>
      </c>
      <c r="B36" s="7" t="s">
        <v>50</v>
      </c>
      <c r="C36" s="28">
        <f t="shared" ref="C36:K40" si="33">+C37</f>
        <v>5408673000</v>
      </c>
      <c r="D36" s="28">
        <f t="shared" si="33"/>
        <v>0</v>
      </c>
      <c r="E36" s="28">
        <f t="shared" si="33"/>
        <v>0</v>
      </c>
      <c r="F36" s="28">
        <f t="shared" si="33"/>
        <v>5408673000</v>
      </c>
      <c r="G36" s="73">
        <f t="shared" si="33"/>
        <v>2020204356</v>
      </c>
      <c r="H36" s="28">
        <f t="shared" si="33"/>
        <v>3824245472</v>
      </c>
      <c r="I36" s="52">
        <f t="shared" si="3"/>
        <v>0.70705799222840793</v>
      </c>
      <c r="J36" s="28">
        <f t="shared" si="33"/>
        <v>1584427528</v>
      </c>
      <c r="K36" s="28">
        <f t="shared" si="33"/>
        <v>0</v>
      </c>
    </row>
    <row r="37" spans="1:11" x14ac:dyDescent="0.2">
      <c r="A37" s="8" t="s">
        <v>51</v>
      </c>
      <c r="B37" s="9" t="s">
        <v>52</v>
      </c>
      <c r="C37" s="29">
        <f t="shared" si="33"/>
        <v>5408673000</v>
      </c>
      <c r="D37" s="29">
        <f t="shared" si="33"/>
        <v>0</v>
      </c>
      <c r="E37" s="29">
        <f t="shared" si="33"/>
        <v>0</v>
      </c>
      <c r="F37" s="29">
        <f t="shared" si="33"/>
        <v>5408673000</v>
      </c>
      <c r="G37" s="74">
        <f t="shared" si="33"/>
        <v>2020204356</v>
      </c>
      <c r="H37" s="29">
        <f t="shared" si="33"/>
        <v>3824245472</v>
      </c>
      <c r="I37" s="53">
        <f t="shared" si="3"/>
        <v>0.70705799222840793</v>
      </c>
      <c r="J37" s="29">
        <f t="shared" si="33"/>
        <v>1584427528</v>
      </c>
      <c r="K37" s="29">
        <f t="shared" si="33"/>
        <v>0</v>
      </c>
    </row>
    <row r="38" spans="1:11" x14ac:dyDescent="0.2">
      <c r="A38" s="10" t="s">
        <v>53</v>
      </c>
      <c r="B38" s="11" t="s">
        <v>54</v>
      </c>
      <c r="C38" s="30">
        <f t="shared" si="33"/>
        <v>5408673000</v>
      </c>
      <c r="D38" s="30">
        <f t="shared" si="33"/>
        <v>0</v>
      </c>
      <c r="E38" s="30">
        <f t="shared" si="33"/>
        <v>0</v>
      </c>
      <c r="F38" s="30">
        <f t="shared" si="33"/>
        <v>5408673000</v>
      </c>
      <c r="G38" s="75">
        <f t="shared" si="33"/>
        <v>2020204356</v>
      </c>
      <c r="H38" s="30">
        <f t="shared" si="33"/>
        <v>3824245472</v>
      </c>
      <c r="I38" s="54">
        <f t="shared" si="3"/>
        <v>0.70705799222840793</v>
      </c>
      <c r="J38" s="30">
        <f t="shared" si="33"/>
        <v>1584427528</v>
      </c>
      <c r="K38" s="30">
        <f t="shared" si="33"/>
        <v>0</v>
      </c>
    </row>
    <row r="39" spans="1:11" ht="38.25" x14ac:dyDescent="0.2">
      <c r="A39" s="12" t="s">
        <v>55</v>
      </c>
      <c r="B39" s="13" t="s">
        <v>56</v>
      </c>
      <c r="C39" s="31">
        <f t="shared" si="33"/>
        <v>5408673000</v>
      </c>
      <c r="D39" s="31">
        <f t="shared" si="33"/>
        <v>0</v>
      </c>
      <c r="E39" s="31">
        <f t="shared" si="33"/>
        <v>0</v>
      </c>
      <c r="F39" s="31">
        <f t="shared" si="33"/>
        <v>5408673000</v>
      </c>
      <c r="G39" s="76">
        <f t="shared" si="33"/>
        <v>2020204356</v>
      </c>
      <c r="H39" s="31">
        <f t="shared" si="33"/>
        <v>3824245472</v>
      </c>
      <c r="I39" s="55">
        <f t="shared" si="3"/>
        <v>0.70705799222840793</v>
      </c>
      <c r="J39" s="31">
        <f t="shared" si="33"/>
        <v>1584427528</v>
      </c>
      <c r="K39" s="31">
        <f t="shared" si="33"/>
        <v>0</v>
      </c>
    </row>
    <row r="40" spans="1:11" s="16" customFormat="1" ht="25.5" x14ac:dyDescent="0.2">
      <c r="A40" s="12" t="s">
        <v>57</v>
      </c>
      <c r="B40" s="13" t="s">
        <v>58</v>
      </c>
      <c r="C40" s="31">
        <f t="shared" si="33"/>
        <v>5408673000</v>
      </c>
      <c r="D40" s="31">
        <f t="shared" si="33"/>
        <v>0</v>
      </c>
      <c r="E40" s="31">
        <f t="shared" si="33"/>
        <v>0</v>
      </c>
      <c r="F40" s="31">
        <f t="shared" si="33"/>
        <v>5408673000</v>
      </c>
      <c r="G40" s="76">
        <f t="shared" si="33"/>
        <v>2020204356</v>
      </c>
      <c r="H40" s="31">
        <f t="shared" si="33"/>
        <v>3824245472</v>
      </c>
      <c r="I40" s="55">
        <f t="shared" si="3"/>
        <v>0.70705799222840793</v>
      </c>
      <c r="J40" s="31">
        <f t="shared" si="33"/>
        <v>1584427528</v>
      </c>
      <c r="K40" s="31">
        <f t="shared" si="33"/>
        <v>0</v>
      </c>
    </row>
    <row r="41" spans="1:11" s="16" customFormat="1" ht="18.75" customHeight="1" x14ac:dyDescent="0.2">
      <c r="A41" s="12" t="s">
        <v>59</v>
      </c>
      <c r="B41" s="13" t="s">
        <v>60</v>
      </c>
      <c r="C41" s="31">
        <f t="shared" ref="C41:K41" si="34">SUM(C42:C43)</f>
        <v>5408673000</v>
      </c>
      <c r="D41" s="31">
        <f t="shared" si="34"/>
        <v>0</v>
      </c>
      <c r="E41" s="31">
        <f t="shared" ref="E41" si="35">SUM(E42:E43)</f>
        <v>0</v>
      </c>
      <c r="F41" s="31">
        <f t="shared" si="34"/>
        <v>5408673000</v>
      </c>
      <c r="G41" s="76">
        <f t="shared" si="34"/>
        <v>2020204356</v>
      </c>
      <c r="H41" s="31">
        <f t="shared" ref="H41" si="36">SUM(H42:H43)</f>
        <v>3824245472</v>
      </c>
      <c r="I41" s="55">
        <f t="shared" si="3"/>
        <v>0.70705799222840793</v>
      </c>
      <c r="J41" s="31">
        <f t="shared" si="34"/>
        <v>1584427528</v>
      </c>
      <c r="K41" s="31">
        <f t="shared" si="34"/>
        <v>0</v>
      </c>
    </row>
    <row r="42" spans="1:11" x14ac:dyDescent="0.2">
      <c r="A42" s="14" t="s">
        <v>61</v>
      </c>
      <c r="B42" s="36" t="s">
        <v>62</v>
      </c>
      <c r="C42" s="60">
        <v>5320330000</v>
      </c>
      <c r="D42" s="60">
        <f>+[2]TOTAL!$D42</f>
        <v>0</v>
      </c>
      <c r="E42" s="60">
        <f>+[3]TOTAL!$E42+D42</f>
        <v>0</v>
      </c>
      <c r="F42" s="60">
        <f>+C42+E42</f>
        <v>5320330000</v>
      </c>
      <c r="G42" s="77">
        <f>+[2]TOTAL!$F42</f>
        <v>2020140356</v>
      </c>
      <c r="H42" s="60">
        <f>+[3]TOTAL!$H42+G42</f>
        <v>3813182178</v>
      </c>
      <c r="I42" s="61">
        <f t="shared" si="3"/>
        <v>0.71671910915300363</v>
      </c>
      <c r="J42" s="60">
        <f t="shared" ref="J42:J43" si="37">+F42-H42</f>
        <v>1507147822</v>
      </c>
      <c r="K42" s="60" t="s">
        <v>194</v>
      </c>
    </row>
    <row r="43" spans="1:11" x14ac:dyDescent="0.2">
      <c r="A43" s="14" t="s">
        <v>63</v>
      </c>
      <c r="B43" s="14" t="s">
        <v>64</v>
      </c>
      <c r="C43" s="60">
        <v>88343000</v>
      </c>
      <c r="D43" s="60">
        <f>+[2]TOTAL!$D43</f>
        <v>0</v>
      </c>
      <c r="E43" s="60">
        <f>+[3]TOTAL!$E43+D43</f>
        <v>0</v>
      </c>
      <c r="F43" s="60">
        <f>+C43+E43</f>
        <v>88343000</v>
      </c>
      <c r="G43" s="77">
        <f>+[2]TOTAL!$F43</f>
        <v>64000</v>
      </c>
      <c r="H43" s="60">
        <f>+[3]TOTAL!$H43+G43</f>
        <v>11063294</v>
      </c>
      <c r="I43" s="61">
        <f t="shared" si="3"/>
        <v>0.1252311331967445</v>
      </c>
      <c r="J43" s="60">
        <f t="shared" si="37"/>
        <v>77279706</v>
      </c>
      <c r="K43" s="60" t="s">
        <v>194</v>
      </c>
    </row>
    <row r="44" spans="1:11" x14ac:dyDescent="0.2">
      <c r="A44" s="6" t="s">
        <v>65</v>
      </c>
      <c r="B44" s="7" t="s">
        <v>66</v>
      </c>
      <c r="C44" s="28">
        <f t="shared" ref="C44:J44" si="38">+C45+C49+C61</f>
        <v>67861077000</v>
      </c>
      <c r="D44" s="28">
        <f t="shared" si="38"/>
        <v>3780705987</v>
      </c>
      <c r="E44" s="28">
        <f t="shared" ref="E44" si="39">+E45+E49+E61</f>
        <v>26858692586</v>
      </c>
      <c r="F44" s="28">
        <f t="shared" si="38"/>
        <v>94719769586</v>
      </c>
      <c r="G44" s="73">
        <f t="shared" si="38"/>
        <v>11994422464</v>
      </c>
      <c r="H44" s="28">
        <f t="shared" ref="H44" si="40">+H45+H49+H61</f>
        <v>77189849247</v>
      </c>
      <c r="I44" s="52">
        <f t="shared" si="3"/>
        <v>0.81492860027405511</v>
      </c>
      <c r="J44" s="28">
        <f t="shared" si="38"/>
        <v>17529920339</v>
      </c>
      <c r="K44" s="28"/>
    </row>
    <row r="45" spans="1:11" ht="38.25" x14ac:dyDescent="0.2">
      <c r="A45" s="17" t="s">
        <v>67</v>
      </c>
      <c r="B45" s="9" t="s">
        <v>68</v>
      </c>
      <c r="C45" s="33">
        <f t="shared" ref="C45:K47" si="41">+C46</f>
        <v>3629780000</v>
      </c>
      <c r="D45" s="33">
        <f t="shared" si="41"/>
        <v>0</v>
      </c>
      <c r="E45" s="33">
        <f t="shared" si="41"/>
        <v>0</v>
      </c>
      <c r="F45" s="33">
        <f t="shared" si="41"/>
        <v>3629780000</v>
      </c>
      <c r="G45" s="80">
        <f t="shared" si="41"/>
        <v>0</v>
      </c>
      <c r="H45" s="33">
        <f t="shared" si="41"/>
        <v>3033248329</v>
      </c>
      <c r="I45" s="57">
        <f t="shared" si="3"/>
        <v>0.83565624610857958</v>
      </c>
      <c r="J45" s="33">
        <f t="shared" si="41"/>
        <v>596531671</v>
      </c>
      <c r="K45" s="33" t="str">
        <f t="shared" si="41"/>
        <v>FONDO DE INVERSIONES Y FORTALECIMIENTO INSTITUCIONAL</v>
      </c>
    </row>
    <row r="46" spans="1:11" ht="38.25" x14ac:dyDescent="0.2">
      <c r="A46" s="18" t="s">
        <v>69</v>
      </c>
      <c r="B46" s="11" t="s">
        <v>70</v>
      </c>
      <c r="C46" s="34">
        <f t="shared" si="41"/>
        <v>3629780000</v>
      </c>
      <c r="D46" s="34">
        <f t="shared" si="41"/>
        <v>0</v>
      </c>
      <c r="E46" s="34">
        <f t="shared" si="41"/>
        <v>0</v>
      </c>
      <c r="F46" s="34">
        <f t="shared" si="41"/>
        <v>3629780000</v>
      </c>
      <c r="G46" s="81">
        <f t="shared" si="41"/>
        <v>0</v>
      </c>
      <c r="H46" s="34">
        <f t="shared" si="41"/>
        <v>3033248329</v>
      </c>
      <c r="I46" s="58">
        <f t="shared" si="3"/>
        <v>0.83565624610857958</v>
      </c>
      <c r="J46" s="34">
        <f t="shared" si="41"/>
        <v>596531671</v>
      </c>
      <c r="K46" s="34" t="str">
        <f t="shared" si="41"/>
        <v>FONDO DE INVERSIONES Y FORTALECIMIENTO INSTITUCIONAL</v>
      </c>
    </row>
    <row r="47" spans="1:11" ht="38.25" x14ac:dyDescent="0.2">
      <c r="A47" s="19" t="s">
        <v>71</v>
      </c>
      <c r="B47" s="13" t="s">
        <v>72</v>
      </c>
      <c r="C47" s="35">
        <f t="shared" si="41"/>
        <v>3629780000</v>
      </c>
      <c r="D47" s="35">
        <f t="shared" si="41"/>
        <v>0</v>
      </c>
      <c r="E47" s="35">
        <f t="shared" si="41"/>
        <v>0</v>
      </c>
      <c r="F47" s="35">
        <f t="shared" si="41"/>
        <v>3629780000</v>
      </c>
      <c r="G47" s="82">
        <f t="shared" si="41"/>
        <v>0</v>
      </c>
      <c r="H47" s="35">
        <f t="shared" si="41"/>
        <v>3033248329</v>
      </c>
      <c r="I47" s="59">
        <f t="shared" si="3"/>
        <v>0.83565624610857958</v>
      </c>
      <c r="J47" s="35">
        <f t="shared" si="41"/>
        <v>596531671</v>
      </c>
      <c r="K47" s="35" t="str">
        <f t="shared" si="41"/>
        <v>FONDO DE INVERSIONES Y FORTALECIMIENTO INSTITUCIONAL</v>
      </c>
    </row>
    <row r="48" spans="1:11" ht="38.25" x14ac:dyDescent="0.2">
      <c r="A48" s="14" t="s">
        <v>73</v>
      </c>
      <c r="B48" s="14" t="s">
        <v>74</v>
      </c>
      <c r="C48" s="60">
        <v>3629780000</v>
      </c>
      <c r="D48" s="60">
        <f>+[2]TOTAL!$D48</f>
        <v>0</v>
      </c>
      <c r="E48" s="60">
        <f>+[3]TOTAL!$E48+D48</f>
        <v>0</v>
      </c>
      <c r="F48" s="60">
        <f>+C48+E48</f>
        <v>3629780000</v>
      </c>
      <c r="G48" s="77">
        <f>+[2]TOTAL!$F48</f>
        <v>0</v>
      </c>
      <c r="H48" s="60">
        <f>+[3]TOTAL!$H48+G48</f>
        <v>3033248329</v>
      </c>
      <c r="I48" s="61">
        <f t="shared" si="3"/>
        <v>0.83565624610857958</v>
      </c>
      <c r="J48" s="60">
        <f>+F48-H48</f>
        <v>596531671</v>
      </c>
      <c r="K48" s="60" t="s">
        <v>195</v>
      </c>
    </row>
    <row r="49" spans="1:11" x14ac:dyDescent="0.2">
      <c r="A49" s="17" t="s">
        <v>75</v>
      </c>
      <c r="B49" s="9" t="s">
        <v>76</v>
      </c>
      <c r="C49" s="33">
        <f>+C50+C58+C59</f>
        <v>63570420000</v>
      </c>
      <c r="D49" s="33">
        <f t="shared" ref="D49:J49" si="42">+D50+D58+D59</f>
        <v>3780705987</v>
      </c>
      <c r="E49" s="33">
        <f t="shared" si="42"/>
        <v>26858692586</v>
      </c>
      <c r="F49" s="33">
        <f t="shared" si="42"/>
        <v>90429112586</v>
      </c>
      <c r="G49" s="33">
        <f t="shared" si="42"/>
        <v>11886172275</v>
      </c>
      <c r="H49" s="33">
        <f t="shared" si="42"/>
        <v>73534397680</v>
      </c>
      <c r="I49" s="84">
        <f t="shared" si="3"/>
        <v>0.81317172730261211</v>
      </c>
      <c r="J49" s="33">
        <f t="shared" si="42"/>
        <v>16894714906</v>
      </c>
      <c r="K49" s="33"/>
    </row>
    <row r="50" spans="1:11" x14ac:dyDescent="0.2">
      <c r="A50" s="18" t="s">
        <v>77</v>
      </c>
      <c r="B50" s="11" t="s">
        <v>78</v>
      </c>
      <c r="C50" s="34">
        <f t="shared" ref="C50:K50" si="43">+C51</f>
        <v>57461196000</v>
      </c>
      <c r="D50" s="34">
        <f t="shared" si="43"/>
        <v>1597506163</v>
      </c>
      <c r="E50" s="34">
        <f t="shared" si="43"/>
        <v>24675492762</v>
      </c>
      <c r="F50" s="34">
        <f t="shared" si="43"/>
        <v>82136688762</v>
      </c>
      <c r="G50" s="81">
        <f t="shared" si="43"/>
        <v>9702972451</v>
      </c>
      <c r="H50" s="34">
        <f t="shared" si="43"/>
        <v>66441236468</v>
      </c>
      <c r="I50" s="58">
        <f t="shared" si="3"/>
        <v>0.80891057905342056</v>
      </c>
      <c r="J50" s="34">
        <f t="shared" si="43"/>
        <v>15695452294</v>
      </c>
      <c r="K50" s="34">
        <f t="shared" si="43"/>
        <v>0</v>
      </c>
    </row>
    <row r="51" spans="1:11" x14ac:dyDescent="0.2">
      <c r="A51" s="19" t="s">
        <v>79</v>
      </c>
      <c r="B51" s="13" t="s">
        <v>80</v>
      </c>
      <c r="C51" s="35">
        <f t="shared" ref="C51" si="44">SUM(C52:C57)</f>
        <v>57461196000</v>
      </c>
      <c r="D51" s="35">
        <f t="shared" ref="D51:K51" si="45">SUM(D52:D57)</f>
        <v>1597506163</v>
      </c>
      <c r="E51" s="35">
        <f t="shared" ref="E51" si="46">SUM(E52:E57)</f>
        <v>24675492762</v>
      </c>
      <c r="F51" s="35">
        <f t="shared" si="45"/>
        <v>82136688762</v>
      </c>
      <c r="G51" s="82">
        <f t="shared" si="45"/>
        <v>9702972451</v>
      </c>
      <c r="H51" s="35">
        <f t="shared" ref="H51" si="47">SUM(H52:H57)</f>
        <v>66441236468</v>
      </c>
      <c r="I51" s="59">
        <f t="shared" si="3"/>
        <v>0.80891057905342056</v>
      </c>
      <c r="J51" s="35">
        <f t="shared" si="45"/>
        <v>15695452294</v>
      </c>
      <c r="K51" s="35">
        <f t="shared" si="45"/>
        <v>0</v>
      </c>
    </row>
    <row r="52" spans="1:11" x14ac:dyDescent="0.2">
      <c r="A52" s="14" t="s">
        <v>81</v>
      </c>
      <c r="B52" s="14" t="s">
        <v>82</v>
      </c>
      <c r="C52" s="60">
        <v>53797527000</v>
      </c>
      <c r="D52" s="60">
        <f>+[2]TOTAL!$D52</f>
        <v>0</v>
      </c>
      <c r="E52" s="60">
        <f>+[3]TOTAL!$E52+D52</f>
        <v>23077986599</v>
      </c>
      <c r="F52" s="60">
        <f>+C52+E52</f>
        <v>76875513599</v>
      </c>
      <c r="G52" s="77">
        <f>+[2]TOTAL!$F52</f>
        <v>8105466288</v>
      </c>
      <c r="H52" s="60">
        <f>+[3]TOTAL!$H52+G52</f>
        <v>64843730305</v>
      </c>
      <c r="I52" s="61">
        <f t="shared" si="3"/>
        <v>0.84349004343879264</v>
      </c>
      <c r="J52" s="60">
        <f t="shared" ref="J52:J57" si="48">+F52-H52</f>
        <v>12031783294</v>
      </c>
      <c r="K52" s="60" t="s">
        <v>194</v>
      </c>
    </row>
    <row r="53" spans="1:11" x14ac:dyDescent="0.2">
      <c r="A53" s="14" t="s">
        <v>83</v>
      </c>
      <c r="B53" s="14" t="s">
        <v>84</v>
      </c>
      <c r="C53" s="60">
        <v>2731809000</v>
      </c>
      <c r="D53" s="60">
        <f>+[2]TOTAL!$D53</f>
        <v>0</v>
      </c>
      <c r="E53" s="60">
        <f>+[3]TOTAL!$E53+D53</f>
        <v>0</v>
      </c>
      <c r="F53" s="60">
        <f>+C53+E53</f>
        <v>2731809000</v>
      </c>
      <c r="G53" s="77">
        <f>+[2]TOTAL!$F53</f>
        <v>0</v>
      </c>
      <c r="H53" s="60">
        <f>+[3]TOTAL!$H53+G53</f>
        <v>0</v>
      </c>
      <c r="I53" s="61">
        <f t="shared" si="3"/>
        <v>0</v>
      </c>
      <c r="J53" s="60">
        <f t="shared" si="48"/>
        <v>2731809000</v>
      </c>
      <c r="K53" s="60" t="s">
        <v>194</v>
      </c>
    </row>
    <row r="54" spans="1:11" x14ac:dyDescent="0.2">
      <c r="A54" s="14" t="s">
        <v>85</v>
      </c>
      <c r="B54" s="14" t="s">
        <v>86</v>
      </c>
      <c r="C54" s="60">
        <v>931860000</v>
      </c>
      <c r="D54" s="60">
        <f>+[2]TOTAL!$D54</f>
        <v>0</v>
      </c>
      <c r="E54" s="60">
        <f>+[3]TOTAL!$E54+D54</f>
        <v>0</v>
      </c>
      <c r="F54" s="60">
        <f>+C54+E54</f>
        <v>931860000</v>
      </c>
      <c r="G54" s="77">
        <f>+[2]TOTAL!$F54</f>
        <v>0</v>
      </c>
      <c r="H54" s="60">
        <f>+[3]TOTAL!$H54+G54</f>
        <v>0</v>
      </c>
      <c r="I54" s="61">
        <f t="shared" si="3"/>
        <v>0</v>
      </c>
      <c r="J54" s="60">
        <f t="shared" si="48"/>
        <v>931860000</v>
      </c>
      <c r="K54" s="60" t="s">
        <v>194</v>
      </c>
    </row>
    <row r="55" spans="1:11" x14ac:dyDescent="0.2">
      <c r="A55" s="14" t="s">
        <v>87</v>
      </c>
      <c r="B55" s="14" t="s">
        <v>88</v>
      </c>
      <c r="C55" s="60">
        <v>0</v>
      </c>
      <c r="D55" s="60">
        <f>+[2]TOTAL!$D55</f>
        <v>0</v>
      </c>
      <c r="E55" s="60">
        <f>+[3]TOTAL!$E55+D55</f>
        <v>0</v>
      </c>
      <c r="F55" s="60">
        <f t="shared" ref="F55:F57" si="49">+C55+E55</f>
        <v>0</v>
      </c>
      <c r="G55" s="77">
        <f>+[2]TOTAL!$F55</f>
        <v>0</v>
      </c>
      <c r="H55" s="60">
        <f>+[3]TOTAL!$H55+G55</f>
        <v>0</v>
      </c>
      <c r="I55" s="61">
        <f t="shared" si="3"/>
        <v>0</v>
      </c>
      <c r="J55" s="60">
        <f t="shared" si="48"/>
        <v>0</v>
      </c>
      <c r="K55" s="60">
        <v>0</v>
      </c>
    </row>
    <row r="56" spans="1:11" x14ac:dyDescent="0.2">
      <c r="A56" s="14" t="s">
        <v>89</v>
      </c>
      <c r="B56" s="14" t="s">
        <v>90</v>
      </c>
      <c r="C56" s="60">
        <v>0</v>
      </c>
      <c r="D56" s="60">
        <f>+[2]TOTAL!$D56</f>
        <v>1597506163</v>
      </c>
      <c r="E56" s="60">
        <f>+[3]TOTAL!$E56+D56</f>
        <v>1597506163</v>
      </c>
      <c r="F56" s="60">
        <f t="shared" si="49"/>
        <v>1597506163</v>
      </c>
      <c r="G56" s="77">
        <f>+[2]TOTAL!$F56</f>
        <v>1597506163</v>
      </c>
      <c r="H56" s="60">
        <f>+[3]TOTAL!$H56+G56</f>
        <v>1597506163</v>
      </c>
      <c r="I56" s="61">
        <f t="shared" si="3"/>
        <v>1</v>
      </c>
      <c r="J56" s="60">
        <f t="shared" si="48"/>
        <v>0</v>
      </c>
      <c r="K56" s="60">
        <v>0</v>
      </c>
    </row>
    <row r="57" spans="1:11" x14ac:dyDescent="0.2">
      <c r="A57" s="14" t="s">
        <v>91</v>
      </c>
      <c r="B57" s="14" t="s">
        <v>92</v>
      </c>
      <c r="C57" s="60">
        <v>0</v>
      </c>
      <c r="D57" s="60">
        <f>+[2]TOTAL!$D57</f>
        <v>0</v>
      </c>
      <c r="E57" s="60">
        <f>+[3]TOTAL!$E57+D57</f>
        <v>0</v>
      </c>
      <c r="F57" s="60">
        <f t="shared" si="49"/>
        <v>0</v>
      </c>
      <c r="G57" s="77">
        <f>+[2]TOTAL!$F57</f>
        <v>0</v>
      </c>
      <c r="H57" s="60">
        <f>+[3]TOTAL!$H57+G57</f>
        <v>0</v>
      </c>
      <c r="I57" s="61">
        <f t="shared" si="3"/>
        <v>0</v>
      </c>
      <c r="J57" s="60">
        <f t="shared" si="48"/>
        <v>0</v>
      </c>
      <c r="K57" s="60">
        <v>0</v>
      </c>
    </row>
    <row r="58" spans="1:11" x14ac:dyDescent="0.2">
      <c r="A58" s="18" t="s">
        <v>93</v>
      </c>
      <c r="B58" s="11" t="s">
        <v>94</v>
      </c>
      <c r="C58" s="34">
        <v>6109224000</v>
      </c>
      <c r="D58" s="34">
        <f>+[2]TOTAL!$D58</f>
        <v>0</v>
      </c>
      <c r="E58" s="34">
        <f>+[3]TOTAL!$E58+D58</f>
        <v>0</v>
      </c>
      <c r="F58" s="34">
        <f>+C58+E58</f>
        <v>6109224000</v>
      </c>
      <c r="G58" s="81">
        <f>+[2]TOTAL!$F58</f>
        <v>0</v>
      </c>
      <c r="H58" s="34">
        <f>+[3]TOTAL!$H58+G58</f>
        <v>4909961388</v>
      </c>
      <c r="I58" s="58">
        <f t="shared" si="3"/>
        <v>0.80369640857824165</v>
      </c>
      <c r="J58" s="34">
        <f>+F58-H58</f>
        <v>1199262612</v>
      </c>
      <c r="K58" s="34" t="s">
        <v>194</v>
      </c>
    </row>
    <row r="59" spans="1:11" x14ac:dyDescent="0.2">
      <c r="A59" s="18" t="s">
        <v>208</v>
      </c>
      <c r="B59" s="11" t="s">
        <v>209</v>
      </c>
      <c r="C59" s="34">
        <f>+C60</f>
        <v>0</v>
      </c>
      <c r="D59" s="34">
        <f t="shared" ref="D59:J59" si="50">+D60</f>
        <v>2183199824</v>
      </c>
      <c r="E59" s="34">
        <f t="shared" si="50"/>
        <v>2183199824</v>
      </c>
      <c r="F59" s="34">
        <f t="shared" si="50"/>
        <v>2183199824</v>
      </c>
      <c r="G59" s="34">
        <f t="shared" si="50"/>
        <v>2183199824</v>
      </c>
      <c r="H59" s="34">
        <f t="shared" si="50"/>
        <v>2183199824</v>
      </c>
      <c r="I59" s="58">
        <f t="shared" si="3"/>
        <v>1</v>
      </c>
      <c r="J59" s="34">
        <f t="shared" si="50"/>
        <v>0</v>
      </c>
      <c r="K59" s="34"/>
    </row>
    <row r="60" spans="1:11" ht="51" x14ac:dyDescent="0.2">
      <c r="A60" s="83" t="s">
        <v>210</v>
      </c>
      <c r="B60" s="24" t="s">
        <v>211</v>
      </c>
      <c r="C60" s="32">
        <v>0</v>
      </c>
      <c r="D60" s="64">
        <f>+[2]TOTAL!$D60</f>
        <v>2183199824</v>
      </c>
      <c r="E60" s="60">
        <f>+D60</f>
        <v>2183199824</v>
      </c>
      <c r="F60" s="60">
        <f>+C60+E60</f>
        <v>2183199824</v>
      </c>
      <c r="G60" s="77">
        <f>+[2]TOTAL!$F60</f>
        <v>2183199824</v>
      </c>
      <c r="H60" s="60">
        <f>+G60</f>
        <v>2183199824</v>
      </c>
      <c r="I60" s="61">
        <f t="shared" ref="I60" si="51">IF(H60=0,0,IF(F60=0,0,+H60/F60))</f>
        <v>1</v>
      </c>
      <c r="J60" s="60">
        <f>+F60-H60</f>
        <v>0</v>
      </c>
      <c r="K60" s="60" t="s">
        <v>206</v>
      </c>
    </row>
    <row r="61" spans="1:11" x14ac:dyDescent="0.2">
      <c r="A61" s="17" t="s">
        <v>95</v>
      </c>
      <c r="B61" s="9" t="s">
        <v>96</v>
      </c>
      <c r="C61" s="33">
        <f t="shared" ref="C61:K62" si="52">+C62</f>
        <v>660877000</v>
      </c>
      <c r="D61" s="33">
        <f t="shared" si="52"/>
        <v>0</v>
      </c>
      <c r="E61" s="33">
        <f t="shared" si="52"/>
        <v>0</v>
      </c>
      <c r="F61" s="33">
        <f t="shared" si="52"/>
        <v>660877000</v>
      </c>
      <c r="G61" s="80">
        <f t="shared" si="52"/>
        <v>108250189</v>
      </c>
      <c r="H61" s="33">
        <f t="shared" si="52"/>
        <v>622203238</v>
      </c>
      <c r="I61" s="57">
        <f t="shared" si="3"/>
        <v>0.94148115004758826</v>
      </c>
      <c r="J61" s="33">
        <f t="shared" si="52"/>
        <v>38673762</v>
      </c>
      <c r="K61" s="33" t="str">
        <f t="shared" si="52"/>
        <v>COMUN</v>
      </c>
    </row>
    <row r="62" spans="1:11" x14ac:dyDescent="0.2">
      <c r="A62" s="10" t="s">
        <v>97</v>
      </c>
      <c r="B62" s="11" t="s">
        <v>98</v>
      </c>
      <c r="C62" s="30">
        <f t="shared" si="52"/>
        <v>660877000</v>
      </c>
      <c r="D62" s="30">
        <f t="shared" si="52"/>
        <v>0</v>
      </c>
      <c r="E62" s="30">
        <f t="shared" si="52"/>
        <v>0</v>
      </c>
      <c r="F62" s="30">
        <f t="shared" si="52"/>
        <v>660877000</v>
      </c>
      <c r="G62" s="75">
        <f t="shared" si="52"/>
        <v>108250189</v>
      </c>
      <c r="H62" s="30">
        <f t="shared" si="52"/>
        <v>622203238</v>
      </c>
      <c r="I62" s="54">
        <f t="shared" si="3"/>
        <v>0.94148115004758826</v>
      </c>
      <c r="J62" s="30">
        <f t="shared" si="52"/>
        <v>38673762</v>
      </c>
      <c r="K62" s="30" t="str">
        <f t="shared" si="52"/>
        <v>COMUN</v>
      </c>
    </row>
    <row r="63" spans="1:11" x14ac:dyDescent="0.2">
      <c r="A63" s="14" t="s">
        <v>99</v>
      </c>
      <c r="B63" s="14" t="s">
        <v>100</v>
      </c>
      <c r="C63" s="60">
        <v>660877000</v>
      </c>
      <c r="D63" s="60">
        <f>+[2]TOTAL!$D63</f>
        <v>0</v>
      </c>
      <c r="E63" s="60">
        <f>+[3]TOTAL!$E61+D63</f>
        <v>0</v>
      </c>
      <c r="F63" s="60">
        <f>+C63+E63</f>
        <v>660877000</v>
      </c>
      <c r="G63" s="77">
        <f>+[2]TOTAL!$F63</f>
        <v>108250189</v>
      </c>
      <c r="H63" s="60">
        <f>+[3]TOTAL!$H61+G63</f>
        <v>622203238</v>
      </c>
      <c r="I63" s="61">
        <f t="shared" si="3"/>
        <v>0.94148115004758826</v>
      </c>
      <c r="J63" s="60">
        <f>+F63-H63</f>
        <v>38673762</v>
      </c>
      <c r="K63" s="60" t="s">
        <v>194</v>
      </c>
    </row>
    <row r="64" spans="1:11" x14ac:dyDescent="0.2">
      <c r="A64" s="2" t="s">
        <v>101</v>
      </c>
      <c r="B64" s="20" t="s">
        <v>102</v>
      </c>
      <c r="C64" s="26">
        <f t="shared" ref="C64:J64" si="53">+C65+C67+C70+C76+C96</f>
        <v>10566610000</v>
      </c>
      <c r="D64" s="26">
        <f t="shared" si="53"/>
        <v>10414086534</v>
      </c>
      <c r="E64" s="26">
        <f t="shared" ref="E64" si="54">+E65+E67+E70+E76+E96</f>
        <v>92890162481</v>
      </c>
      <c r="F64" s="26">
        <f t="shared" si="53"/>
        <v>103456772481</v>
      </c>
      <c r="G64" s="71">
        <f t="shared" si="53"/>
        <v>11079885210</v>
      </c>
      <c r="H64" s="26">
        <f t="shared" ref="H64" si="55">+H65+H67+H70+H76+H96</f>
        <v>105747673765.88</v>
      </c>
      <c r="I64" s="50">
        <f t="shared" si="3"/>
        <v>1.0221435603483642</v>
      </c>
      <c r="J64" s="26">
        <f t="shared" si="53"/>
        <v>-2290901284.8800001</v>
      </c>
      <c r="K64" s="26"/>
    </row>
    <row r="65" spans="1:11" x14ac:dyDescent="0.2">
      <c r="A65" s="4" t="s">
        <v>103</v>
      </c>
      <c r="B65" s="5" t="s">
        <v>104</v>
      </c>
      <c r="C65" s="27">
        <f t="shared" ref="C65:K65" si="56">+C66</f>
        <v>0</v>
      </c>
      <c r="D65" s="27">
        <f t="shared" si="56"/>
        <v>0</v>
      </c>
      <c r="E65" s="27">
        <f t="shared" si="56"/>
        <v>52311070825</v>
      </c>
      <c r="F65" s="27">
        <f t="shared" si="56"/>
        <v>52311070825</v>
      </c>
      <c r="G65" s="72">
        <f t="shared" si="56"/>
        <v>0</v>
      </c>
      <c r="H65" s="27">
        <f t="shared" si="56"/>
        <v>52311070825</v>
      </c>
      <c r="I65" s="51">
        <f t="shared" si="3"/>
        <v>1</v>
      </c>
      <c r="J65" s="27">
        <f t="shared" si="56"/>
        <v>0</v>
      </c>
      <c r="K65" s="27" t="str">
        <f t="shared" si="56"/>
        <v>COMUN</v>
      </c>
    </row>
    <row r="66" spans="1:11" x14ac:dyDescent="0.2">
      <c r="A66" s="14" t="s">
        <v>105</v>
      </c>
      <c r="B66" s="24" t="s">
        <v>106</v>
      </c>
      <c r="C66" s="32">
        <v>0</v>
      </c>
      <c r="D66" s="60">
        <f>+[2]TOTAL!$D66</f>
        <v>0</v>
      </c>
      <c r="E66" s="60">
        <f>+[3]TOTAL!$E64+D66</f>
        <v>52311070825</v>
      </c>
      <c r="F66" s="60">
        <f>+C66+E66</f>
        <v>52311070825</v>
      </c>
      <c r="G66" s="77">
        <f>+[2]TOTAL!$F66</f>
        <v>0</v>
      </c>
      <c r="H66" s="60">
        <f>+[3]TOTAL!$H64+G66</f>
        <v>52311070825</v>
      </c>
      <c r="I66" s="56">
        <f t="shared" si="3"/>
        <v>1</v>
      </c>
      <c r="J66" s="60">
        <f>+F66-H66</f>
        <v>0</v>
      </c>
      <c r="K66" s="60" t="s">
        <v>194</v>
      </c>
    </row>
    <row r="67" spans="1:11" x14ac:dyDescent="0.2">
      <c r="A67" s="4" t="s">
        <v>107</v>
      </c>
      <c r="B67" s="5" t="s">
        <v>108</v>
      </c>
      <c r="C67" s="27">
        <f t="shared" ref="C67:K68" si="57">+C68</f>
        <v>1261420000</v>
      </c>
      <c r="D67" s="27">
        <f t="shared" si="57"/>
        <v>0</v>
      </c>
      <c r="E67" s="27">
        <f t="shared" si="57"/>
        <v>0</v>
      </c>
      <c r="F67" s="27">
        <f t="shared" si="57"/>
        <v>1261420000</v>
      </c>
      <c r="G67" s="72">
        <f t="shared" si="57"/>
        <v>653770556</v>
      </c>
      <c r="H67" s="27">
        <f t="shared" si="57"/>
        <v>3554671690.8800001</v>
      </c>
      <c r="I67" s="51">
        <f t="shared" si="3"/>
        <v>2.8179921761823978</v>
      </c>
      <c r="J67" s="27">
        <f t="shared" si="57"/>
        <v>-2293251690.8800001</v>
      </c>
      <c r="K67" s="27" t="str">
        <f t="shared" si="57"/>
        <v>COMUN</v>
      </c>
    </row>
    <row r="68" spans="1:11" x14ac:dyDescent="0.2">
      <c r="A68" s="6" t="s">
        <v>109</v>
      </c>
      <c r="B68" s="7" t="s">
        <v>110</v>
      </c>
      <c r="C68" s="28">
        <f t="shared" si="57"/>
        <v>1261420000</v>
      </c>
      <c r="D68" s="28">
        <f t="shared" si="57"/>
        <v>0</v>
      </c>
      <c r="E68" s="28">
        <f t="shared" si="57"/>
        <v>0</v>
      </c>
      <c r="F68" s="28">
        <f t="shared" si="57"/>
        <v>1261420000</v>
      </c>
      <c r="G68" s="73">
        <f t="shared" si="57"/>
        <v>653770556</v>
      </c>
      <c r="H68" s="28">
        <f t="shared" si="57"/>
        <v>3554671690.8800001</v>
      </c>
      <c r="I68" s="52">
        <f t="shared" si="3"/>
        <v>2.8179921761823978</v>
      </c>
      <c r="J68" s="28">
        <f t="shared" si="57"/>
        <v>-2293251690.8800001</v>
      </c>
      <c r="K68" s="28" t="str">
        <f t="shared" si="57"/>
        <v>COMUN</v>
      </c>
    </row>
    <row r="69" spans="1:11" x14ac:dyDescent="0.2">
      <c r="A69" s="21" t="s">
        <v>111</v>
      </c>
      <c r="B69" s="21" t="s">
        <v>112</v>
      </c>
      <c r="C69" s="64">
        <v>1261420000</v>
      </c>
      <c r="D69" s="60">
        <f>+[2]TOTAL!$D69</f>
        <v>0</v>
      </c>
      <c r="E69" s="60">
        <f>+[3]TOTAL!$E67+D69</f>
        <v>0</v>
      </c>
      <c r="F69" s="60">
        <f>+C69+E69</f>
        <v>1261420000</v>
      </c>
      <c r="G69" s="77">
        <f>+[2]TOTAL!$F69</f>
        <v>653770556</v>
      </c>
      <c r="H69" s="60">
        <f>+[3]TOTAL!$H67+G69</f>
        <v>3554671690.8800001</v>
      </c>
      <c r="I69" s="61">
        <f t="shared" si="3"/>
        <v>2.8179921761823978</v>
      </c>
      <c r="J69" s="60">
        <f>+F69-H69</f>
        <v>-2293251690.8800001</v>
      </c>
      <c r="K69" s="60" t="s">
        <v>194</v>
      </c>
    </row>
    <row r="70" spans="1:11" x14ac:dyDescent="0.2">
      <c r="A70" s="4" t="s">
        <v>113</v>
      </c>
      <c r="B70" s="5" t="s">
        <v>114</v>
      </c>
      <c r="C70" s="27">
        <f t="shared" ref="C70:J70" si="58">+C71</f>
        <v>211790000</v>
      </c>
      <c r="D70" s="27">
        <f t="shared" si="58"/>
        <v>382493661</v>
      </c>
      <c r="E70" s="27">
        <f t="shared" si="58"/>
        <v>382493661</v>
      </c>
      <c r="F70" s="27">
        <f t="shared" si="58"/>
        <v>594283661</v>
      </c>
      <c r="G70" s="72">
        <f t="shared" si="58"/>
        <v>394521781</v>
      </c>
      <c r="H70" s="27">
        <f t="shared" si="58"/>
        <v>591933255</v>
      </c>
      <c r="I70" s="51">
        <f t="shared" si="3"/>
        <v>0.99604497623904886</v>
      </c>
      <c r="J70" s="27">
        <f t="shared" si="58"/>
        <v>2350406</v>
      </c>
      <c r="K70" s="27"/>
    </row>
    <row r="71" spans="1:11" x14ac:dyDescent="0.2">
      <c r="A71" s="6" t="s">
        <v>115</v>
      </c>
      <c r="B71" s="7" t="s">
        <v>116</v>
      </c>
      <c r="C71" s="28">
        <f t="shared" ref="C71:J71" si="59">+C72+C74</f>
        <v>211790000</v>
      </c>
      <c r="D71" s="28">
        <f t="shared" si="59"/>
        <v>382493661</v>
      </c>
      <c r="E71" s="28">
        <f t="shared" ref="E71" si="60">+E72+E74</f>
        <v>382493661</v>
      </c>
      <c r="F71" s="28">
        <f t="shared" si="59"/>
        <v>594283661</v>
      </c>
      <c r="G71" s="73">
        <f t="shared" si="59"/>
        <v>394521781</v>
      </c>
      <c r="H71" s="28">
        <f t="shared" ref="H71" si="61">+H72+H74</f>
        <v>591933255</v>
      </c>
      <c r="I71" s="52">
        <f t="shared" si="3"/>
        <v>0.99604497623904886</v>
      </c>
      <c r="J71" s="28">
        <f t="shared" si="59"/>
        <v>2350406</v>
      </c>
      <c r="K71" s="28"/>
    </row>
    <row r="72" spans="1:11" x14ac:dyDescent="0.2">
      <c r="A72" s="19" t="s">
        <v>117</v>
      </c>
      <c r="B72" s="13" t="s">
        <v>118</v>
      </c>
      <c r="C72" s="35">
        <f t="shared" ref="C72:K72" si="62">+C73</f>
        <v>160903000</v>
      </c>
      <c r="D72" s="35">
        <f t="shared" si="62"/>
        <v>382493661</v>
      </c>
      <c r="E72" s="35">
        <f t="shared" si="62"/>
        <v>382493661</v>
      </c>
      <c r="F72" s="35">
        <f t="shared" si="62"/>
        <v>543396661</v>
      </c>
      <c r="G72" s="82">
        <f t="shared" si="62"/>
        <v>392142603</v>
      </c>
      <c r="H72" s="35">
        <f t="shared" si="62"/>
        <v>570926113</v>
      </c>
      <c r="I72" s="59">
        <f t="shared" si="3"/>
        <v>1.050661798232875</v>
      </c>
      <c r="J72" s="35">
        <f t="shared" si="62"/>
        <v>-27529452</v>
      </c>
      <c r="K72" s="35" t="str">
        <f t="shared" si="62"/>
        <v>FONDO DE PRESTAMOS</v>
      </c>
    </row>
    <row r="73" spans="1:11" x14ac:dyDescent="0.2">
      <c r="A73" s="21" t="s">
        <v>119</v>
      </c>
      <c r="B73" s="14" t="s">
        <v>120</v>
      </c>
      <c r="C73" s="60">
        <v>160903000</v>
      </c>
      <c r="D73" s="60">
        <f>+[2]TOTAL!$D73</f>
        <v>382493661</v>
      </c>
      <c r="E73" s="60">
        <f>+[3]TOTAL!$E71+D73</f>
        <v>382493661</v>
      </c>
      <c r="F73" s="60">
        <f>+C73+E73</f>
        <v>543396661</v>
      </c>
      <c r="G73" s="77">
        <f>+[2]TOTAL!$F73</f>
        <v>392142603</v>
      </c>
      <c r="H73" s="60">
        <f>+[3]TOTAL!$H71+G73</f>
        <v>570926113</v>
      </c>
      <c r="I73" s="61">
        <f t="shared" si="3"/>
        <v>1.050661798232875</v>
      </c>
      <c r="J73" s="60">
        <f>+F73-H73</f>
        <v>-27529452</v>
      </c>
      <c r="K73" s="60" t="s">
        <v>196</v>
      </c>
    </row>
    <row r="74" spans="1:11" x14ac:dyDescent="0.2">
      <c r="A74" s="19" t="s">
        <v>121</v>
      </c>
      <c r="B74" s="22" t="s">
        <v>122</v>
      </c>
      <c r="C74" s="35">
        <f t="shared" ref="C74:K74" si="63">+C75</f>
        <v>50887000</v>
      </c>
      <c r="D74" s="35">
        <f t="shared" si="63"/>
        <v>0</v>
      </c>
      <c r="E74" s="35">
        <f t="shared" si="63"/>
        <v>0</v>
      </c>
      <c r="F74" s="35">
        <f t="shared" si="63"/>
        <v>50887000</v>
      </c>
      <c r="G74" s="82">
        <f t="shared" si="63"/>
        <v>2379178</v>
      </c>
      <c r="H74" s="35">
        <f t="shared" si="63"/>
        <v>21007142</v>
      </c>
      <c r="I74" s="59">
        <f t="shared" si="3"/>
        <v>0.41281942342838052</v>
      </c>
      <c r="J74" s="35">
        <f t="shared" si="63"/>
        <v>29879858</v>
      </c>
      <c r="K74" s="35" t="str">
        <f t="shared" si="63"/>
        <v>FONDO DE PRESTAMOS</v>
      </c>
    </row>
    <row r="75" spans="1:11" x14ac:dyDescent="0.2">
      <c r="A75" s="21" t="s">
        <v>123</v>
      </c>
      <c r="B75" s="14" t="s">
        <v>120</v>
      </c>
      <c r="C75" s="60">
        <v>50887000</v>
      </c>
      <c r="D75" s="60">
        <f>+[2]TOTAL!$D75</f>
        <v>0</v>
      </c>
      <c r="E75" s="60">
        <f>+[3]TOTAL!$E73+D75</f>
        <v>0</v>
      </c>
      <c r="F75" s="60">
        <f>+C75+E75</f>
        <v>50887000</v>
      </c>
      <c r="G75" s="77">
        <f>+[2]TOTAL!$F75</f>
        <v>2379178</v>
      </c>
      <c r="H75" s="60">
        <f>+[3]TOTAL!$H73+G75</f>
        <v>21007142</v>
      </c>
      <c r="I75" s="61">
        <f t="shared" si="3"/>
        <v>0.41281942342838052</v>
      </c>
      <c r="J75" s="60">
        <f>+F75-H75</f>
        <v>29879858</v>
      </c>
      <c r="K75" s="60" t="s">
        <v>196</v>
      </c>
    </row>
    <row r="76" spans="1:11" x14ac:dyDescent="0.2">
      <c r="A76" s="4" t="s">
        <v>124</v>
      </c>
      <c r="B76" s="5" t="s">
        <v>125</v>
      </c>
      <c r="C76" s="27">
        <f t="shared" ref="C76:J76" si="64">+C77</f>
        <v>9093400000</v>
      </c>
      <c r="D76" s="27">
        <f t="shared" si="64"/>
        <v>0</v>
      </c>
      <c r="E76" s="27">
        <f t="shared" si="64"/>
        <v>30165005122</v>
      </c>
      <c r="F76" s="27">
        <f t="shared" si="64"/>
        <v>39258405122</v>
      </c>
      <c r="G76" s="72">
        <f t="shared" si="64"/>
        <v>0</v>
      </c>
      <c r="H76" s="27">
        <f t="shared" si="64"/>
        <v>39258405122</v>
      </c>
      <c r="I76" s="51">
        <f t="shared" ref="I76:I105" si="65">IF(H76=0,0,IF(F76=0,0,+H76/F76))</f>
        <v>1</v>
      </c>
      <c r="J76" s="27">
        <f t="shared" si="64"/>
        <v>0</v>
      </c>
      <c r="K76" s="27"/>
    </row>
    <row r="77" spans="1:11" x14ac:dyDescent="0.2">
      <c r="A77" s="6" t="s">
        <v>126</v>
      </c>
      <c r="B77" s="7" t="s">
        <v>127</v>
      </c>
      <c r="C77" s="28">
        <f>+C78+C80+C82</f>
        <v>9093400000</v>
      </c>
      <c r="D77" s="28">
        <f>+D78+D80+D82</f>
        <v>0</v>
      </c>
      <c r="E77" s="28">
        <f t="shared" ref="E77:H77" si="66">+E78+E80+E82</f>
        <v>30165005122</v>
      </c>
      <c r="F77" s="28">
        <f t="shared" si="66"/>
        <v>39258405122</v>
      </c>
      <c r="G77" s="73">
        <f t="shared" si="66"/>
        <v>0</v>
      </c>
      <c r="H77" s="28">
        <f t="shared" si="66"/>
        <v>39258405122</v>
      </c>
      <c r="I77" s="52">
        <f t="shared" si="65"/>
        <v>1</v>
      </c>
      <c r="J77" s="28">
        <f t="shared" ref="J77" si="67">+J80+J82</f>
        <v>0</v>
      </c>
      <c r="K77" s="28"/>
    </row>
    <row r="78" spans="1:11" x14ac:dyDescent="0.2">
      <c r="A78" s="9" t="s">
        <v>201</v>
      </c>
      <c r="B78" s="9" t="s">
        <v>135</v>
      </c>
      <c r="C78" s="29">
        <f t="shared" ref="C78:H78" si="68">+C79</f>
        <v>0</v>
      </c>
      <c r="D78" s="29">
        <f t="shared" si="68"/>
        <v>0</v>
      </c>
      <c r="E78" s="29">
        <f t="shared" si="68"/>
        <v>299076116</v>
      </c>
      <c r="F78" s="29">
        <f t="shared" si="68"/>
        <v>299076116</v>
      </c>
      <c r="G78" s="74">
        <f t="shared" si="68"/>
        <v>0</v>
      </c>
      <c r="H78" s="29">
        <f t="shared" si="68"/>
        <v>299076116</v>
      </c>
      <c r="I78" s="53">
        <f t="shared" si="65"/>
        <v>1</v>
      </c>
      <c r="J78" s="29"/>
      <c r="K78" s="29"/>
    </row>
    <row r="79" spans="1:11" ht="38.25" x14ac:dyDescent="0.2">
      <c r="A79" s="36" t="s">
        <v>202</v>
      </c>
      <c r="B79" s="14" t="s">
        <v>203</v>
      </c>
      <c r="C79" s="32"/>
      <c r="D79" s="60">
        <f>+[2]TOTAL!$D79</f>
        <v>0</v>
      </c>
      <c r="E79" s="60">
        <f>+[3]TOTAL!$E77+D79</f>
        <v>299076116</v>
      </c>
      <c r="F79" s="60">
        <f>+C79+E79</f>
        <v>299076116</v>
      </c>
      <c r="G79" s="77">
        <f>+[2]TOTAL!$F79</f>
        <v>0</v>
      </c>
      <c r="H79" s="60">
        <f>+[3]TOTAL!$H77+G79</f>
        <v>299076116</v>
      </c>
      <c r="I79" s="56">
        <f t="shared" si="65"/>
        <v>1</v>
      </c>
      <c r="J79" s="60">
        <f>+F79-H79</f>
        <v>0</v>
      </c>
      <c r="K79" s="60" t="s">
        <v>195</v>
      </c>
    </row>
    <row r="80" spans="1:11" x14ac:dyDescent="0.2">
      <c r="A80" s="8" t="s">
        <v>128</v>
      </c>
      <c r="B80" s="9" t="s">
        <v>129</v>
      </c>
      <c r="C80" s="29">
        <f t="shared" ref="C80:K80" si="69">+C81</f>
        <v>0</v>
      </c>
      <c r="D80" s="29">
        <f t="shared" si="69"/>
        <v>0</v>
      </c>
      <c r="E80" s="29">
        <f t="shared" si="69"/>
        <v>0</v>
      </c>
      <c r="F80" s="29">
        <f t="shared" si="69"/>
        <v>0</v>
      </c>
      <c r="G80" s="74">
        <f t="shared" si="69"/>
        <v>0</v>
      </c>
      <c r="H80" s="29">
        <f t="shared" si="69"/>
        <v>0</v>
      </c>
      <c r="I80" s="53">
        <f t="shared" si="65"/>
        <v>0</v>
      </c>
      <c r="J80" s="29">
        <f t="shared" si="69"/>
        <v>0</v>
      </c>
      <c r="K80" s="29">
        <f t="shared" si="69"/>
        <v>0</v>
      </c>
    </row>
    <row r="81" spans="1:11" x14ac:dyDescent="0.2">
      <c r="A81" s="14" t="s">
        <v>130</v>
      </c>
      <c r="B81" s="14" t="s">
        <v>131</v>
      </c>
      <c r="C81" s="32"/>
      <c r="D81" s="60">
        <f>+[2]TOTAL!$D81</f>
        <v>0</v>
      </c>
      <c r="E81" s="60">
        <f>+[3]TOTAL!$E79+D81</f>
        <v>0</v>
      </c>
      <c r="F81" s="32"/>
      <c r="G81" s="79"/>
      <c r="H81" s="60">
        <f>+[5]TOTAL!$H79+G81</f>
        <v>0</v>
      </c>
      <c r="I81" s="56">
        <f t="shared" si="65"/>
        <v>0</v>
      </c>
      <c r="J81" s="60">
        <f>+F81-H81</f>
        <v>0</v>
      </c>
      <c r="K81" s="32"/>
    </row>
    <row r="82" spans="1:11" x14ac:dyDescent="0.2">
      <c r="A82" s="8" t="s">
        <v>132</v>
      </c>
      <c r="B82" s="9" t="s">
        <v>133</v>
      </c>
      <c r="C82" s="29">
        <f t="shared" ref="C82:J82" si="70">+C83+C94</f>
        <v>9093400000</v>
      </c>
      <c r="D82" s="29">
        <f t="shared" si="70"/>
        <v>0</v>
      </c>
      <c r="E82" s="29">
        <f t="shared" ref="E82" si="71">+E83+E94</f>
        <v>29865929006</v>
      </c>
      <c r="F82" s="29">
        <f t="shared" si="70"/>
        <v>38959329006</v>
      </c>
      <c r="G82" s="74">
        <f t="shared" si="70"/>
        <v>0</v>
      </c>
      <c r="H82" s="29">
        <f t="shared" ref="H82" si="72">+H83+H94</f>
        <v>38959329006</v>
      </c>
      <c r="I82" s="53">
        <f t="shared" si="65"/>
        <v>1</v>
      </c>
      <c r="J82" s="29">
        <f t="shared" si="70"/>
        <v>0</v>
      </c>
      <c r="K82" s="29">
        <v>0</v>
      </c>
    </row>
    <row r="83" spans="1:11" x14ac:dyDescent="0.2">
      <c r="A83" s="10" t="s">
        <v>134</v>
      </c>
      <c r="B83" s="11" t="s">
        <v>135</v>
      </c>
      <c r="C83" s="30">
        <f>SUM(C84:C93)</f>
        <v>9093400000</v>
      </c>
      <c r="D83" s="30">
        <f t="shared" ref="D83:H83" si="73">SUM(D84:D93)</f>
        <v>0</v>
      </c>
      <c r="E83" s="30">
        <f t="shared" si="73"/>
        <v>6836148950</v>
      </c>
      <c r="F83" s="30">
        <f t="shared" si="73"/>
        <v>15929548950</v>
      </c>
      <c r="G83" s="75">
        <f t="shared" si="73"/>
        <v>0</v>
      </c>
      <c r="H83" s="30">
        <f t="shared" si="73"/>
        <v>15929548950</v>
      </c>
      <c r="I83" s="54">
        <f t="shared" si="65"/>
        <v>1</v>
      </c>
      <c r="J83" s="30">
        <f t="shared" ref="J83:K83" si="74">SUM(J84:J92)</f>
        <v>0</v>
      </c>
      <c r="K83" s="30">
        <f t="shared" si="74"/>
        <v>0</v>
      </c>
    </row>
    <row r="84" spans="1:11" ht="38.25" x14ac:dyDescent="0.2">
      <c r="A84" s="14" t="s">
        <v>136</v>
      </c>
      <c r="B84" s="14" t="s">
        <v>137</v>
      </c>
      <c r="C84" s="32"/>
      <c r="D84" s="60">
        <f>+[2]TOTAL!$D84</f>
        <v>0</v>
      </c>
      <c r="E84" s="60">
        <f>+[3]TOTAL!$E82+D84</f>
        <v>2020548276</v>
      </c>
      <c r="F84" s="60">
        <f>+C84+E84</f>
        <v>2020548276</v>
      </c>
      <c r="G84" s="77">
        <f>+[2]TOTAL!$F84</f>
        <v>0</v>
      </c>
      <c r="H84" s="60">
        <f>+[3]TOTAL!$H82+G84</f>
        <v>2020548276</v>
      </c>
      <c r="I84" s="56">
        <f t="shared" si="65"/>
        <v>1</v>
      </c>
      <c r="J84" s="60">
        <f t="shared" ref="J84:J93" si="75">+F84-H84</f>
        <v>0</v>
      </c>
      <c r="K84" s="60" t="s">
        <v>195</v>
      </c>
    </row>
    <row r="85" spans="1:11" ht="38.25" x14ac:dyDescent="0.2">
      <c r="A85" s="14" t="s">
        <v>138</v>
      </c>
      <c r="B85" s="14" t="s">
        <v>139</v>
      </c>
      <c r="C85" s="60">
        <v>883158400</v>
      </c>
      <c r="D85" s="60">
        <f>+[2]TOTAL!$D85</f>
        <v>0</v>
      </c>
      <c r="E85" s="60">
        <f>+[3]TOTAL!$E83+D85</f>
        <v>0</v>
      </c>
      <c r="F85" s="60">
        <f>+C85+E85</f>
        <v>883158400</v>
      </c>
      <c r="G85" s="77">
        <f>+[2]TOTAL!$F85</f>
        <v>0</v>
      </c>
      <c r="H85" s="60">
        <f>+[3]TOTAL!$H83+G85</f>
        <v>883158400</v>
      </c>
      <c r="I85" s="61">
        <f t="shared" si="65"/>
        <v>1</v>
      </c>
      <c r="J85" s="60">
        <f t="shared" si="75"/>
        <v>0</v>
      </c>
      <c r="K85" s="60" t="s">
        <v>195</v>
      </c>
    </row>
    <row r="86" spans="1:11" ht="38.25" x14ac:dyDescent="0.2">
      <c r="A86" s="14" t="s">
        <v>140</v>
      </c>
      <c r="B86" s="14" t="s">
        <v>141</v>
      </c>
      <c r="C86" s="60">
        <v>8210241600</v>
      </c>
      <c r="D86" s="60">
        <f>+[2]TOTAL!$D86</f>
        <v>0</v>
      </c>
      <c r="E86" s="60">
        <f>+[3]TOTAL!$E84+D86</f>
        <v>0</v>
      </c>
      <c r="F86" s="60">
        <f>+C86+E86</f>
        <v>8210241600</v>
      </c>
      <c r="G86" s="77">
        <f>+[2]TOTAL!$F86</f>
        <v>0</v>
      </c>
      <c r="H86" s="60">
        <f>+[3]TOTAL!$H84+G86</f>
        <v>8210241600</v>
      </c>
      <c r="I86" s="61">
        <f t="shared" si="65"/>
        <v>1</v>
      </c>
      <c r="J86" s="60">
        <f t="shared" si="75"/>
        <v>0</v>
      </c>
      <c r="K86" s="60" t="s">
        <v>195</v>
      </c>
    </row>
    <row r="87" spans="1:11" x14ac:dyDescent="0.2">
      <c r="A87" s="14" t="s">
        <v>142</v>
      </c>
      <c r="B87" s="14" t="s">
        <v>143</v>
      </c>
      <c r="C87" s="32"/>
      <c r="D87" s="60">
        <f>+[2]TOTAL!$D87</f>
        <v>0</v>
      </c>
      <c r="E87" s="60">
        <f>+[3]TOTAL!$E85+D87</f>
        <v>0</v>
      </c>
      <c r="F87" s="32"/>
      <c r="G87" s="77">
        <f>+[2]TOTAL!$F87</f>
        <v>0</v>
      </c>
      <c r="H87" s="60">
        <f>+[3]TOTAL!$H85+G87</f>
        <v>0</v>
      </c>
      <c r="I87" s="56">
        <f t="shared" si="65"/>
        <v>0</v>
      </c>
      <c r="J87" s="60">
        <f t="shared" si="75"/>
        <v>0</v>
      </c>
      <c r="K87" s="32"/>
    </row>
    <row r="88" spans="1:11" x14ac:dyDescent="0.2">
      <c r="A88" s="14" t="s">
        <v>144</v>
      </c>
      <c r="B88" s="14" t="s">
        <v>145</v>
      </c>
      <c r="C88" s="32"/>
      <c r="D88" s="60">
        <f>+[2]TOTAL!$D88</f>
        <v>0</v>
      </c>
      <c r="E88" s="60">
        <f>+[3]TOTAL!$E86+D88</f>
        <v>0</v>
      </c>
      <c r="F88" s="32"/>
      <c r="G88" s="77">
        <f>+[2]TOTAL!$F88</f>
        <v>0</v>
      </c>
      <c r="H88" s="60">
        <f>+[3]TOTAL!$H86+G88</f>
        <v>0</v>
      </c>
      <c r="I88" s="56">
        <f t="shared" si="65"/>
        <v>0</v>
      </c>
      <c r="J88" s="60">
        <f t="shared" si="75"/>
        <v>0</v>
      </c>
      <c r="K88" s="32"/>
    </row>
    <row r="89" spans="1:11" x14ac:dyDescent="0.2">
      <c r="A89" s="14" t="s">
        <v>146</v>
      </c>
      <c r="B89" s="14" t="s">
        <v>147</v>
      </c>
      <c r="C89" s="32"/>
      <c r="D89" s="60">
        <f>+[2]TOTAL!$D89</f>
        <v>0</v>
      </c>
      <c r="E89" s="60">
        <f>+[3]TOTAL!$E87+D89</f>
        <v>0</v>
      </c>
      <c r="F89" s="32"/>
      <c r="G89" s="77">
        <f>+[2]TOTAL!$F89</f>
        <v>0</v>
      </c>
      <c r="H89" s="60">
        <f>+[3]TOTAL!$H87+G89</f>
        <v>0</v>
      </c>
      <c r="I89" s="56">
        <f t="shared" si="65"/>
        <v>0</v>
      </c>
      <c r="J89" s="60">
        <f t="shared" si="75"/>
        <v>0</v>
      </c>
      <c r="K89" s="32"/>
    </row>
    <row r="90" spans="1:11" ht="25.5" x14ac:dyDescent="0.2">
      <c r="A90" s="14" t="s">
        <v>148</v>
      </c>
      <c r="B90" s="14" t="s">
        <v>149</v>
      </c>
      <c r="C90" s="32"/>
      <c r="D90" s="60">
        <f>+[2]TOTAL!$D90</f>
        <v>0</v>
      </c>
      <c r="E90" s="60">
        <f>+[3]TOTAL!$E88+D90</f>
        <v>0</v>
      </c>
      <c r="F90" s="32"/>
      <c r="G90" s="77">
        <f>+[2]TOTAL!$F90</f>
        <v>0</v>
      </c>
      <c r="H90" s="60">
        <f>+[3]TOTAL!$H88+G90</f>
        <v>0</v>
      </c>
      <c r="I90" s="56">
        <f t="shared" si="65"/>
        <v>0</v>
      </c>
      <c r="J90" s="60">
        <f t="shared" si="75"/>
        <v>0</v>
      </c>
      <c r="K90" s="32"/>
    </row>
    <row r="91" spans="1:11" x14ac:dyDescent="0.2">
      <c r="A91" s="14" t="s">
        <v>150</v>
      </c>
      <c r="B91" s="14" t="s">
        <v>151</v>
      </c>
      <c r="C91" s="32"/>
      <c r="D91" s="60">
        <f>+[2]TOTAL!$D91</f>
        <v>0</v>
      </c>
      <c r="E91" s="60">
        <f>+[3]TOTAL!$E89+D91</f>
        <v>0</v>
      </c>
      <c r="F91" s="32"/>
      <c r="G91" s="77">
        <f>+[2]TOTAL!$F91</f>
        <v>0</v>
      </c>
      <c r="H91" s="60">
        <f>+[3]TOTAL!$H89+G91</f>
        <v>0</v>
      </c>
      <c r="I91" s="56">
        <f t="shared" si="65"/>
        <v>0</v>
      </c>
      <c r="J91" s="60">
        <f t="shared" si="75"/>
        <v>0</v>
      </c>
      <c r="K91" s="32"/>
    </row>
    <row r="92" spans="1:11" x14ac:dyDescent="0.2">
      <c r="A92" s="14" t="s">
        <v>152</v>
      </c>
      <c r="B92" s="14" t="s">
        <v>153</v>
      </c>
      <c r="C92" s="32"/>
      <c r="D92" s="60">
        <f>+[2]TOTAL!$D92</f>
        <v>0</v>
      </c>
      <c r="E92" s="60">
        <f>+[3]TOTAL!$E90+D92</f>
        <v>3783530086</v>
      </c>
      <c r="F92" s="60">
        <f>+C92+E92</f>
        <v>3783530086</v>
      </c>
      <c r="G92" s="77">
        <f>+[2]TOTAL!$F92</f>
        <v>0</v>
      </c>
      <c r="H92" s="60">
        <f>+[3]TOTAL!$H90+G92</f>
        <v>3783530086</v>
      </c>
      <c r="I92" s="56">
        <f t="shared" si="65"/>
        <v>1</v>
      </c>
      <c r="J92" s="60">
        <f t="shared" si="75"/>
        <v>0</v>
      </c>
      <c r="K92" s="32"/>
    </row>
    <row r="93" spans="1:11" ht="38.25" x14ac:dyDescent="0.2">
      <c r="A93" s="36" t="s">
        <v>204</v>
      </c>
      <c r="B93" s="14" t="s">
        <v>205</v>
      </c>
      <c r="C93" s="32"/>
      <c r="D93" s="60">
        <f>+[2]TOTAL!$D93</f>
        <v>0</v>
      </c>
      <c r="E93" s="60">
        <f>+[3]TOTAL!$E91+D93</f>
        <v>1032070588</v>
      </c>
      <c r="F93" s="60">
        <f>+C93+E93</f>
        <v>1032070588</v>
      </c>
      <c r="G93" s="77">
        <f>+[2]TOTAL!$F93</f>
        <v>0</v>
      </c>
      <c r="H93" s="60">
        <f>+[3]TOTAL!$H91+G93</f>
        <v>1032070588</v>
      </c>
      <c r="I93" s="56">
        <f t="shared" si="65"/>
        <v>1</v>
      </c>
      <c r="J93" s="60">
        <f t="shared" si="75"/>
        <v>0</v>
      </c>
      <c r="K93" s="60" t="s">
        <v>195</v>
      </c>
    </row>
    <row r="94" spans="1:11" ht="50.25" customHeight="1" x14ac:dyDescent="0.2">
      <c r="A94" s="18" t="s">
        <v>154</v>
      </c>
      <c r="B94" s="11" t="s">
        <v>155</v>
      </c>
      <c r="C94" s="34">
        <f t="shared" ref="C94:K94" si="76">+C95</f>
        <v>0</v>
      </c>
      <c r="D94" s="34">
        <f t="shared" si="76"/>
        <v>0</v>
      </c>
      <c r="E94" s="34">
        <f t="shared" si="76"/>
        <v>23029780056</v>
      </c>
      <c r="F94" s="34">
        <f t="shared" si="76"/>
        <v>23029780056</v>
      </c>
      <c r="G94" s="81">
        <f t="shared" si="76"/>
        <v>0</v>
      </c>
      <c r="H94" s="34">
        <f t="shared" si="76"/>
        <v>23029780056</v>
      </c>
      <c r="I94" s="58">
        <f t="shared" si="65"/>
        <v>1</v>
      </c>
      <c r="J94" s="34">
        <f t="shared" si="76"/>
        <v>0</v>
      </c>
      <c r="K94" s="34" t="str">
        <f t="shared" si="76"/>
        <v>FONDO COMUN Y FONDO DE INVERSIONES Y FORTALECIMIENTO INSTITUCIONAL</v>
      </c>
    </row>
    <row r="95" spans="1:11" ht="51" x14ac:dyDescent="0.2">
      <c r="A95" s="23" t="s">
        <v>156</v>
      </c>
      <c r="B95" s="23" t="s">
        <v>131</v>
      </c>
      <c r="C95" s="32"/>
      <c r="D95" s="60">
        <f>+[2]TOTAL!$D95</f>
        <v>0</v>
      </c>
      <c r="E95" s="60">
        <f>+[3]TOTAL!$E93+D95</f>
        <v>23029780056</v>
      </c>
      <c r="F95" s="60">
        <f>+C95+E95</f>
        <v>23029780056</v>
      </c>
      <c r="G95" s="77">
        <f>+[2]TOTAL!$F95</f>
        <v>0</v>
      </c>
      <c r="H95" s="60">
        <f>+[3]TOTAL!$H93+G95</f>
        <v>23029780056</v>
      </c>
      <c r="I95" s="56">
        <f t="shared" si="65"/>
        <v>1</v>
      </c>
      <c r="J95" s="60">
        <f>+F95-H95</f>
        <v>0</v>
      </c>
      <c r="K95" s="65" t="s">
        <v>206</v>
      </c>
    </row>
    <row r="96" spans="1:11" x14ac:dyDescent="0.2">
      <c r="A96" s="4" t="s">
        <v>157</v>
      </c>
      <c r="B96" s="5" t="s">
        <v>158</v>
      </c>
      <c r="C96" s="27">
        <f t="shared" ref="C96:H96" si="77">+C97+C98</f>
        <v>0</v>
      </c>
      <c r="D96" s="27">
        <f t="shared" si="77"/>
        <v>10031592873</v>
      </c>
      <c r="E96" s="27">
        <f t="shared" si="77"/>
        <v>10031592873</v>
      </c>
      <c r="F96" s="27">
        <f t="shared" si="77"/>
        <v>10031592873</v>
      </c>
      <c r="G96" s="72">
        <f t="shared" si="77"/>
        <v>10031592873</v>
      </c>
      <c r="H96" s="27">
        <f t="shared" si="77"/>
        <v>10031592873</v>
      </c>
      <c r="I96" s="51">
        <f t="shared" si="65"/>
        <v>1</v>
      </c>
      <c r="J96" s="27">
        <f t="shared" ref="J96:K96" si="78">+J98</f>
        <v>0</v>
      </c>
      <c r="K96" s="27">
        <f t="shared" si="78"/>
        <v>0</v>
      </c>
    </row>
    <row r="97" spans="1:12" x14ac:dyDescent="0.2">
      <c r="A97" s="6" t="s">
        <v>159</v>
      </c>
      <c r="B97" s="7" t="s">
        <v>160</v>
      </c>
      <c r="C97" s="28">
        <v>0</v>
      </c>
      <c r="D97" s="28">
        <f>+[2]TOTAL!$D97</f>
        <v>10031592873</v>
      </c>
      <c r="E97" s="28">
        <f>+[3]TOTAL!$E95+D97</f>
        <v>10031592873</v>
      </c>
      <c r="F97" s="28">
        <f t="shared" ref="F97:F98" si="79">+C97+E97</f>
        <v>10031592873</v>
      </c>
      <c r="G97" s="73">
        <f>+[2]TOTAL!$F97</f>
        <v>10031592873</v>
      </c>
      <c r="H97" s="28">
        <f>+[3]TOTAL!$H95+G97</f>
        <v>10031592873</v>
      </c>
      <c r="I97" s="52">
        <f t="shared" si="65"/>
        <v>1</v>
      </c>
      <c r="J97" s="28">
        <f t="shared" ref="J97:J98" si="80">+F97-H97</f>
        <v>0</v>
      </c>
      <c r="K97" s="28" t="s">
        <v>194</v>
      </c>
    </row>
    <row r="98" spans="1:12" x14ac:dyDescent="0.2">
      <c r="A98" s="6" t="s">
        <v>161</v>
      </c>
      <c r="B98" s="7" t="s">
        <v>162</v>
      </c>
      <c r="C98" s="28">
        <v>0</v>
      </c>
      <c r="D98" s="28"/>
      <c r="E98" s="28">
        <f>+[6]TOTAL!$E96+D98</f>
        <v>0</v>
      </c>
      <c r="F98" s="28">
        <f t="shared" si="79"/>
        <v>0</v>
      </c>
      <c r="G98" s="73">
        <f>+[2]TOTAL!$F98</f>
        <v>0</v>
      </c>
      <c r="H98" s="28">
        <f>+[3]TOTAL!$H96+G98</f>
        <v>0</v>
      </c>
      <c r="I98" s="52">
        <f t="shared" si="65"/>
        <v>0</v>
      </c>
      <c r="J98" s="28">
        <f t="shared" si="80"/>
        <v>0</v>
      </c>
      <c r="K98" s="28"/>
    </row>
    <row r="99" spans="1:12" x14ac:dyDescent="0.2">
      <c r="A99" s="2" t="s">
        <v>163</v>
      </c>
      <c r="B99" s="20" t="s">
        <v>164</v>
      </c>
      <c r="C99" s="26">
        <f t="shared" ref="C99:J99" si="81">+C100+C104</f>
        <v>429040782000</v>
      </c>
      <c r="D99" s="26">
        <f t="shared" si="81"/>
        <v>0</v>
      </c>
      <c r="E99" s="26">
        <f t="shared" ref="E99" si="82">+E100+E104</f>
        <v>0</v>
      </c>
      <c r="F99" s="26">
        <f t="shared" si="81"/>
        <v>429040782000</v>
      </c>
      <c r="G99" s="71">
        <f t="shared" si="81"/>
        <v>37929603862</v>
      </c>
      <c r="H99" s="26">
        <f t="shared" ref="H99" si="83">+H100+H104</f>
        <v>275382859511</v>
      </c>
      <c r="I99" s="50">
        <f t="shared" si="65"/>
        <v>0.6418570706199207</v>
      </c>
      <c r="J99" s="26">
        <f t="shared" si="81"/>
        <v>153657922489</v>
      </c>
      <c r="K99" s="26"/>
    </row>
    <row r="100" spans="1:12" x14ac:dyDescent="0.2">
      <c r="A100" s="4" t="s">
        <v>165</v>
      </c>
      <c r="B100" s="5" t="s">
        <v>166</v>
      </c>
      <c r="C100" s="27">
        <f t="shared" ref="C100:J100" si="84">+C101</f>
        <v>398447651000</v>
      </c>
      <c r="D100" s="27">
        <f t="shared" si="84"/>
        <v>0</v>
      </c>
      <c r="E100" s="27">
        <f t="shared" si="84"/>
        <v>0</v>
      </c>
      <c r="F100" s="27">
        <f t="shared" si="84"/>
        <v>398447651000</v>
      </c>
      <c r="G100" s="72">
        <f t="shared" si="84"/>
        <v>33947073862</v>
      </c>
      <c r="H100" s="27">
        <f t="shared" si="84"/>
        <v>247283959211</v>
      </c>
      <c r="I100" s="51">
        <f t="shared" si="65"/>
        <v>0.6206184390606434</v>
      </c>
      <c r="J100" s="27">
        <f t="shared" si="84"/>
        <v>151163691789</v>
      </c>
      <c r="K100" s="27"/>
    </row>
    <row r="101" spans="1:12" x14ac:dyDescent="0.2">
      <c r="A101" s="8" t="s">
        <v>167</v>
      </c>
      <c r="B101" s="9" t="s">
        <v>168</v>
      </c>
      <c r="C101" s="29">
        <f>+C102+C103</f>
        <v>398447651000</v>
      </c>
      <c r="D101" s="29">
        <f t="shared" ref="D101:J101" si="85">+D102+D103</f>
        <v>0</v>
      </c>
      <c r="E101" s="29">
        <f t="shared" ref="E101" si="86">+E102+E103</f>
        <v>0</v>
      </c>
      <c r="F101" s="29">
        <f t="shared" si="85"/>
        <v>398447651000</v>
      </c>
      <c r="G101" s="74">
        <f t="shared" si="85"/>
        <v>33947073862</v>
      </c>
      <c r="H101" s="29">
        <f t="shared" ref="H101" si="87">+H102+H103</f>
        <v>247283959211</v>
      </c>
      <c r="I101" s="53">
        <f t="shared" si="65"/>
        <v>0.6206184390606434</v>
      </c>
      <c r="J101" s="29">
        <f t="shared" si="85"/>
        <v>151163691789</v>
      </c>
      <c r="K101" s="29"/>
    </row>
    <row r="102" spans="1:12" x14ac:dyDescent="0.2">
      <c r="A102" s="21" t="s">
        <v>169</v>
      </c>
      <c r="B102" s="21" t="s">
        <v>170</v>
      </c>
      <c r="C102" s="60">
        <v>395521448000</v>
      </c>
      <c r="D102" s="60">
        <f>+[2]TOTAL!$D102</f>
        <v>0</v>
      </c>
      <c r="E102" s="60">
        <f>+[3]TOTAL!$E100+D102</f>
        <v>0</v>
      </c>
      <c r="F102" s="60">
        <f>+C102+E102</f>
        <v>395521448000</v>
      </c>
      <c r="G102" s="77">
        <f>+[2]TOTAL!$F102</f>
        <v>32915809445</v>
      </c>
      <c r="H102" s="60">
        <f>+[3]TOTAL!$H100+G102</f>
        <v>246252694794</v>
      </c>
      <c r="I102" s="61">
        <f t="shared" si="65"/>
        <v>0.62260263264914018</v>
      </c>
      <c r="J102" s="60">
        <f t="shared" ref="J102:J103" si="88">+F102-H102</f>
        <v>149268753206</v>
      </c>
      <c r="K102" s="60" t="s">
        <v>194</v>
      </c>
    </row>
    <row r="103" spans="1:12" x14ac:dyDescent="0.2">
      <c r="A103" s="21" t="s">
        <v>177</v>
      </c>
      <c r="B103" s="21" t="s">
        <v>178</v>
      </c>
      <c r="C103" s="60">
        <v>2926203000</v>
      </c>
      <c r="D103" s="60">
        <f>+[2]TOTAL!$D103</f>
        <v>0</v>
      </c>
      <c r="E103" s="60">
        <f>+[3]TOTAL!$E101+D103</f>
        <v>0</v>
      </c>
      <c r="F103" s="60">
        <f>+C103+E103</f>
        <v>2926203000</v>
      </c>
      <c r="G103" s="77">
        <f>+[2]TOTAL!$F103</f>
        <v>1031264417</v>
      </c>
      <c r="H103" s="60">
        <f>+[3]TOTAL!$H101+G103</f>
        <v>1031264417</v>
      </c>
      <c r="I103" s="61">
        <f t="shared" si="65"/>
        <v>0.35242408575208212</v>
      </c>
      <c r="J103" s="60">
        <f t="shared" si="88"/>
        <v>1894938583</v>
      </c>
      <c r="K103" s="60" t="s">
        <v>194</v>
      </c>
    </row>
    <row r="104" spans="1:12" x14ac:dyDescent="0.2">
      <c r="A104" s="4" t="s">
        <v>171</v>
      </c>
      <c r="B104" s="5" t="s">
        <v>172</v>
      </c>
      <c r="C104" s="27">
        <f t="shared" ref="C104:K104" si="89">SUM(C105:C106)</f>
        <v>30593131000</v>
      </c>
      <c r="D104" s="27">
        <f t="shared" si="89"/>
        <v>0</v>
      </c>
      <c r="E104" s="27">
        <f t="shared" ref="E104" si="90">SUM(E105:E106)</f>
        <v>0</v>
      </c>
      <c r="F104" s="27">
        <f t="shared" si="89"/>
        <v>30593131000</v>
      </c>
      <c r="G104" s="72">
        <f t="shared" ref="G104" si="91">SUM(G105:G106)</f>
        <v>3982530000</v>
      </c>
      <c r="H104" s="27">
        <f t="shared" ref="H104" si="92">SUM(H105:H106)</f>
        <v>28098900300</v>
      </c>
      <c r="I104" s="51">
        <f t="shared" si="65"/>
        <v>0.91847089139061966</v>
      </c>
      <c r="J104" s="27">
        <f t="shared" si="89"/>
        <v>2494230700</v>
      </c>
      <c r="K104" s="27">
        <f t="shared" si="89"/>
        <v>0</v>
      </c>
    </row>
    <row r="105" spans="1:12" x14ac:dyDescent="0.2">
      <c r="A105" s="14" t="s">
        <v>173</v>
      </c>
      <c r="B105" s="24" t="s">
        <v>174</v>
      </c>
      <c r="C105" s="32"/>
      <c r="D105" s="60">
        <f>+[2]TOTAL!$D105</f>
        <v>0</v>
      </c>
      <c r="E105" s="60">
        <f>+[3]TOTAL!$E103+D105</f>
        <v>0</v>
      </c>
      <c r="F105" s="32"/>
      <c r="G105" s="77">
        <f>+[2]TOTAL!$F105</f>
        <v>0</v>
      </c>
      <c r="H105" s="60">
        <f>+[3]TOTAL!$H103+G105</f>
        <v>0</v>
      </c>
      <c r="I105" s="61">
        <f t="shared" si="65"/>
        <v>0</v>
      </c>
      <c r="J105" s="60">
        <f t="shared" ref="J105:J106" si="93">+F105-H105</f>
        <v>0</v>
      </c>
      <c r="K105" s="32"/>
    </row>
    <row r="106" spans="1:12" ht="38.25" x14ac:dyDescent="0.2">
      <c r="A106" s="14" t="s">
        <v>175</v>
      </c>
      <c r="B106" s="24" t="s">
        <v>176</v>
      </c>
      <c r="C106" s="60">
        <v>30593131000</v>
      </c>
      <c r="D106" s="60">
        <f>+[2]TOTAL!$D106</f>
        <v>0</v>
      </c>
      <c r="E106" s="60">
        <f>+[3]TOTAL!$E104+D106</f>
        <v>0</v>
      </c>
      <c r="F106" s="60">
        <f>+C106+E106</f>
        <v>30593131000</v>
      </c>
      <c r="G106" s="77">
        <f>+[2]TOTAL!$F106</f>
        <v>3982530000</v>
      </c>
      <c r="H106" s="60">
        <f>+[3]TOTAL!$H104+G106</f>
        <v>28098900300</v>
      </c>
      <c r="I106" s="61">
        <f t="shared" ref="I106" si="94">IF(H106=0,0,IF(F106=0,0,+H106/F106))</f>
        <v>0.91847089139061966</v>
      </c>
      <c r="J106" s="60">
        <f t="shared" si="93"/>
        <v>2494230700</v>
      </c>
      <c r="K106" s="60" t="s">
        <v>195</v>
      </c>
    </row>
    <row r="107" spans="1:12" ht="22.5" customHeight="1" x14ac:dyDescent="0.2"/>
    <row r="108" spans="1:12" ht="22.5" customHeight="1" x14ac:dyDescent="0.2">
      <c r="B108" s="49" t="s">
        <v>188</v>
      </c>
    </row>
    <row r="109" spans="1:12" s="100" customFormat="1" ht="15" x14ac:dyDescent="0.2">
      <c r="A109" s="97"/>
      <c r="B109" s="97"/>
      <c r="C109" s="97"/>
      <c r="D109" s="97"/>
      <c r="E109" s="98"/>
      <c r="F109" s="99"/>
      <c r="G109" s="98"/>
      <c r="H109" s="98"/>
      <c r="I109" s="98"/>
      <c r="J109" s="98"/>
      <c r="K109" s="97"/>
    </row>
    <row r="110" spans="1:12" s="100" customFormat="1" ht="15" x14ac:dyDescent="0.2">
      <c r="C110" s="98"/>
      <c r="D110" s="98"/>
      <c r="E110" s="98"/>
      <c r="F110" s="99"/>
      <c r="G110" s="98"/>
      <c r="H110" s="98"/>
      <c r="I110" s="98"/>
      <c r="J110" s="98"/>
      <c r="K110" s="97"/>
    </row>
    <row r="111" spans="1:12" s="100" customFormat="1" ht="15" x14ac:dyDescent="0.2">
      <c r="A111" s="101" t="s">
        <v>212</v>
      </c>
      <c r="B111" s="99"/>
      <c r="C111" s="99"/>
      <c r="D111" s="99"/>
      <c r="E111" s="99"/>
      <c r="F111" s="99"/>
      <c r="G111" s="102"/>
      <c r="H111" s="99"/>
      <c r="I111" s="103"/>
      <c r="J111" s="104"/>
      <c r="K111" s="97"/>
    </row>
    <row r="112" spans="1:12" s="106" customFormat="1" ht="15" x14ac:dyDescent="0.2">
      <c r="A112" s="101" t="s">
        <v>217</v>
      </c>
      <c r="B112" s="99"/>
      <c r="C112" s="99"/>
      <c r="D112" s="99"/>
      <c r="E112" s="102"/>
      <c r="F112" s="99"/>
      <c r="G112" s="99"/>
      <c r="H112" s="99"/>
      <c r="I112" s="103"/>
      <c r="J112" s="105"/>
      <c r="K112" s="97"/>
      <c r="L112" s="100"/>
    </row>
    <row r="113" spans="1:12" s="106" customFormat="1" ht="15" x14ac:dyDescent="0.2">
      <c r="A113" s="101"/>
      <c r="B113" s="99"/>
      <c r="C113" s="99"/>
      <c r="D113" s="99"/>
      <c r="E113" s="102"/>
      <c r="F113" s="99"/>
      <c r="G113" s="99"/>
      <c r="H113" s="99"/>
      <c r="I113" s="103"/>
      <c r="J113" s="105"/>
      <c r="K113" s="97"/>
      <c r="L113" s="100"/>
    </row>
    <row r="114" spans="1:12" s="106" customFormat="1" ht="15" x14ac:dyDescent="0.2">
      <c r="A114" s="101"/>
      <c r="B114" s="99"/>
      <c r="C114" s="99"/>
      <c r="D114" s="99"/>
      <c r="E114" s="102"/>
      <c r="F114" s="99"/>
      <c r="G114" s="99"/>
      <c r="H114" s="99"/>
      <c r="I114" s="103"/>
      <c r="J114" s="105"/>
      <c r="K114" s="97"/>
      <c r="L114" s="100"/>
    </row>
    <row r="115" spans="1:12" s="106" customFormat="1" ht="15" x14ac:dyDescent="0.2">
      <c r="A115" s="101"/>
      <c r="B115" s="99"/>
      <c r="C115" s="99"/>
      <c r="D115" s="99"/>
      <c r="E115" s="99"/>
      <c r="F115" s="99"/>
      <c r="G115" s="99"/>
      <c r="H115" s="99"/>
      <c r="I115" s="103"/>
      <c r="J115" s="100"/>
      <c r="K115" s="97"/>
      <c r="L115" s="100"/>
    </row>
    <row r="116" spans="1:12" s="106" customFormat="1" ht="15" x14ac:dyDescent="0.2">
      <c r="A116" s="101"/>
      <c r="B116" s="101" t="s">
        <v>213</v>
      </c>
      <c r="C116" s="101"/>
      <c r="D116" s="101"/>
      <c r="E116" s="101"/>
      <c r="F116" s="101" t="s">
        <v>214</v>
      </c>
      <c r="G116" s="107"/>
      <c r="H116" s="101"/>
      <c r="I116" s="103"/>
      <c r="J116" s="100"/>
      <c r="K116" s="97"/>
      <c r="L116" s="100"/>
    </row>
    <row r="117" spans="1:12" s="106" customFormat="1" ht="15" x14ac:dyDescent="0.2">
      <c r="A117" s="101"/>
      <c r="B117" s="101" t="s">
        <v>215</v>
      </c>
      <c r="C117" s="101"/>
      <c r="D117" s="101"/>
      <c r="E117" s="101"/>
      <c r="F117" s="101" t="s">
        <v>216</v>
      </c>
      <c r="G117" s="101"/>
      <c r="H117" s="101"/>
      <c r="I117" s="103"/>
      <c r="J117" s="100"/>
      <c r="K117" s="97"/>
      <c r="L117" s="100"/>
    </row>
  </sheetData>
  <autoFilter ref="A9:D106" xr:uid="{C5ACCB58-2B12-4219-A28D-3338808022F5}"/>
  <mergeCells count="11">
    <mergeCell ref="B3:H3"/>
    <mergeCell ref="B5:K5"/>
    <mergeCell ref="B6:K6"/>
    <mergeCell ref="B7:K7"/>
    <mergeCell ref="A1:A3"/>
    <mergeCell ref="K1:K3"/>
    <mergeCell ref="I1:J1"/>
    <mergeCell ref="I2:J2"/>
    <mergeCell ref="I3:J3"/>
    <mergeCell ref="B1:H1"/>
    <mergeCell ref="B2:H2"/>
  </mergeCells>
  <pageMargins left="0.31496062992125984" right="0.31496062992125984" top="0.74803149606299213" bottom="0.74803149606299213" header="0.31496062992125984" footer="0.31496062992125984"/>
  <pageSetup scale="39" fitToHeight="2" orientation="portrait" r:id="rId1"/>
  <drawing r:id="rId2"/>
  <legacyDrawing r:id="rId3"/>
  <oleObjects>
    <mc:AlternateContent xmlns:mc="http://schemas.openxmlformats.org/markup-compatibility/2006">
      <mc:Choice Requires="x14">
        <oleObject progId="Visio.Drawing.11" shapeId="4097" r:id="rId4">
          <objectPr defaultSize="0" autoPict="0" r:id="rId5">
            <anchor moveWithCells="1" sizeWithCells="1">
              <from>
                <xdr:col>10</xdr:col>
                <xdr:colOff>95250</xdr:colOff>
                <xdr:row>1</xdr:row>
                <xdr:rowOff>314325</xdr:rowOff>
              </from>
              <to>
                <xdr:col>11</xdr:col>
                <xdr:colOff>0</xdr:colOff>
                <xdr:row>1</xdr:row>
                <xdr:rowOff>314325</xdr:rowOff>
              </to>
            </anchor>
          </objectPr>
        </oleObject>
      </mc:Choice>
      <mc:Fallback>
        <oleObject progId="Visio.Drawing.11" shapeId="4097" r:id="rId4"/>
      </mc:Fallback>
    </mc:AlternateContent>
    <mc:AlternateContent xmlns:mc="http://schemas.openxmlformats.org/markup-compatibility/2006">
      <mc:Choice Requires="x14">
        <oleObject progId="Visio.Drawing.11" shapeId="4098" r:id="rId6">
          <objectPr defaultSize="0" autoPict="0" r:id="rId5">
            <anchor moveWithCells="1" sizeWithCells="1">
              <from>
                <xdr:col>10</xdr:col>
                <xdr:colOff>76200</xdr:colOff>
                <xdr:row>0</xdr:row>
                <xdr:rowOff>219075</xdr:rowOff>
              </from>
              <to>
                <xdr:col>10</xdr:col>
                <xdr:colOff>1771650</xdr:colOff>
                <xdr:row>1</xdr:row>
                <xdr:rowOff>314325</xdr:rowOff>
              </to>
            </anchor>
          </objectPr>
        </oleObject>
      </mc:Choice>
      <mc:Fallback>
        <oleObject progId="Visio.Drawing.11" shapeId="4098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TOTAL</vt:lpstr>
      <vt:lpstr>TOTAL!Área_de_impresión</vt:lpstr>
      <vt:lpstr>TOTAL!Títulos_a_imprimir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Holvey Ramirez Bermudez</cp:lastModifiedBy>
  <cp:revision/>
  <cp:lastPrinted>2026-09-08T13:58:16Z</cp:lastPrinted>
  <dcterms:created xsi:type="dcterms:W3CDTF">2022-06-08T20:07:45Z</dcterms:created>
  <dcterms:modified xsi:type="dcterms:W3CDTF">2026-09-08T13:58:21Z</dcterms:modified>
  <cp:category/>
  <cp:contentStatus/>
</cp:coreProperties>
</file>