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uarios\Presupuesto5\Documents\EJECUCIÓN 2026\AGOSTO\"/>
    </mc:Choice>
  </mc:AlternateContent>
  <xr:revisionPtr revIDLastSave="0" documentId="13_ncr:1_{C6FE6316-E8A4-4A89-858C-F95E9184E521}" xr6:coauthVersionLast="47" xr6:coauthVersionMax="47" xr10:uidLastSave="{00000000-0000-0000-0000-000000000000}"/>
  <bookViews>
    <workbookView xWindow="-24120" yWindow="-120" windowWidth="24240" windowHeight="13020" xr2:uid="{C4B6090A-A98E-4805-A4FD-42EC5DF1453E}"/>
  </bookViews>
  <sheets>
    <sheet name="EJECUCIÓN" sheetId="20" r:id="rId1"/>
    <sheet name="FONDO COMÚN" sheetId="17" r:id="rId2"/>
    <sheet name="FONDO INVERSIONES Y FORT. INST." sheetId="18" r:id="rId3"/>
    <sheet name="FONDO PRÉSTAMOS" sheetId="19" r:id="rId4"/>
    <sheet name="EJECUCIÓN 2026 BOGDATA" sheetId="21" r:id="rId5"/>
  </sheets>
  <definedNames>
    <definedName name="_xlnm._FilterDatabase" localSheetId="2" hidden="1">'FONDO INVERSIONES Y FORT. INST.'!$A$9:$F$23</definedName>
    <definedName name="_xlnm._FilterDatabase" localSheetId="3" hidden="1">'FONDO PRÉSTAMOS'!$A$11:$F$21</definedName>
    <definedName name="IPC" localSheetId="0">#REF!</definedName>
    <definedName name="IPC" localSheetId="1">#REF!</definedName>
    <definedName name="IPC" localSheetId="2">#REF!</definedName>
    <definedName name="IPC" localSheetId="3">#REF!</definedName>
    <definedName name="IP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93" i="20" l="1"/>
  <c r="O385" i="20" l="1"/>
  <c r="G385" i="20"/>
  <c r="M385" i="20"/>
  <c r="J385" i="20"/>
  <c r="N385" i="20"/>
  <c r="I385" i="20"/>
  <c r="L385" i="20"/>
  <c r="K385" i="20"/>
  <c r="H385" i="20"/>
  <c r="K462" i="20" l="1"/>
  <c r="P390" i="20"/>
  <c r="G843" i="17" l="1"/>
  <c r="G842" i="17" s="1"/>
  <c r="G846" i="17"/>
  <c r="G845" i="17" s="1"/>
  <c r="G850" i="17"/>
  <c r="G849" i="17" s="1"/>
  <c r="G848" i="17" s="1"/>
  <c r="G854" i="17"/>
  <c r="G859" i="17"/>
  <c r="G861" i="17"/>
  <c r="G865" i="17"/>
  <c r="G868" i="17"/>
  <c r="G870" i="17"/>
  <c r="G895" i="17"/>
  <c r="G897" i="17"/>
  <c r="G880" i="17" l="1"/>
  <c r="G879" i="17" s="1"/>
  <c r="G878" i="17" s="1"/>
  <c r="G877" i="17" s="1"/>
  <c r="G873" i="17"/>
  <c r="G872" i="17" s="1"/>
  <c r="G853" i="17"/>
  <c r="G852" i="17" s="1"/>
  <c r="G867" i="17"/>
  <c r="G864" i="17" s="1"/>
  <c r="G858" i="17"/>
  <c r="G857" i="17" s="1"/>
  <c r="G894" i="17"/>
  <c r="G893" i="17" s="1"/>
  <c r="G892" i="17" s="1"/>
  <c r="G891" i="17" s="1"/>
  <c r="G890" i="17" s="1"/>
  <c r="G841" i="17"/>
  <c r="G840" i="17" s="1"/>
  <c r="G839" i="17" l="1"/>
  <c r="G876" i="17"/>
  <c r="G863" i="17"/>
  <c r="P707" i="20" l="1"/>
  <c r="F461" i="17" l="1"/>
  <c r="F462" i="20"/>
  <c r="P477" i="20" l="1"/>
  <c r="P867" i="20" l="1"/>
  <c r="P802" i="20"/>
  <c r="P801" i="20"/>
  <c r="P746" i="20"/>
  <c r="P739" i="20"/>
  <c r="P738" i="20"/>
  <c r="P709" i="20"/>
  <c r="P634" i="20"/>
  <c r="P536" i="20"/>
  <c r="P531" i="20"/>
  <c r="P517" i="20"/>
  <c r="P479" i="20"/>
  <c r="P451" i="20"/>
  <c r="P423" i="20"/>
  <c r="P422" i="20"/>
  <c r="P411" i="20"/>
  <c r="P410" i="20"/>
  <c r="P402" i="20"/>
  <c r="P401" i="20"/>
  <c r="P391" i="20"/>
  <c r="P296" i="20"/>
  <c r="P295" i="20"/>
  <c r="P294" i="20"/>
  <c r="P292" i="20"/>
  <c r="P291" i="20"/>
  <c r="P289" i="20"/>
  <c r="P288" i="20"/>
  <c r="P287" i="20"/>
  <c r="P286" i="20"/>
  <c r="P285" i="20"/>
  <c r="P283" i="20"/>
  <c r="P282" i="20"/>
  <c r="P838" i="20" l="1"/>
  <c r="P837" i="20"/>
  <c r="P839" i="20"/>
  <c r="P687" i="20" l="1"/>
  <c r="P679" i="20"/>
  <c r="P691" i="20"/>
  <c r="P688" i="20"/>
  <c r="P683" i="20"/>
  <c r="P692" i="20"/>
  <c r="P689" i="20"/>
  <c r="P684" i="20"/>
  <c r="P686" i="20"/>
  <c r="P681" i="20"/>
  <c r="P678" i="20"/>
  <c r="P685" i="20"/>
  <c r="P680" i="20"/>
  <c r="P682" i="20"/>
  <c r="P690" i="20"/>
  <c r="O677" i="20"/>
  <c r="N677" i="20"/>
  <c r="M677" i="20"/>
  <c r="L677" i="20"/>
  <c r="K677" i="20"/>
  <c r="J677" i="20"/>
  <c r="P825" i="20" l="1"/>
  <c r="P832" i="20"/>
  <c r="P827" i="20"/>
  <c r="P822" i="20"/>
  <c r="P834" i="20"/>
  <c r="P831" i="20"/>
  <c r="P826" i="20"/>
  <c r="P824" i="20"/>
  <c r="P820" i="20"/>
  <c r="P833" i="20"/>
  <c r="P828" i="20"/>
  <c r="P835" i="20"/>
  <c r="P830" i="20"/>
  <c r="P829" i="20"/>
  <c r="C36" i="21" l="1"/>
  <c r="C134" i="21" l="1"/>
  <c r="C133" i="21"/>
  <c r="C51" i="21" l="1"/>
  <c r="C50" i="21"/>
  <c r="C49" i="21"/>
  <c r="C48" i="21"/>
  <c r="C47" i="21"/>
  <c r="C46" i="21"/>
  <c r="C45" i="21"/>
  <c r="C44" i="21"/>
  <c r="C43" i="21"/>
  <c r="C42" i="21"/>
  <c r="C41" i="21"/>
  <c r="C40" i="21"/>
  <c r="C38" i="21"/>
  <c r="C37" i="21"/>
  <c r="C35" i="21"/>
  <c r="C34" i="21"/>
  <c r="C33" i="21"/>
  <c r="C32" i="21"/>
  <c r="C31" i="21"/>
  <c r="C29" i="21"/>
  <c r="C30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M145" i="21" l="1"/>
  <c r="M153" i="21"/>
  <c r="M147" i="21"/>
  <c r="M136" i="21"/>
  <c r="M156" i="21"/>
  <c r="M151" i="21"/>
  <c r="M143" i="21"/>
  <c r="M141" i="21"/>
  <c r="M150" i="21"/>
  <c r="M137" i="21"/>
  <c r="M157" i="21"/>
  <c r="M146" i="21"/>
  <c r="M135" i="21"/>
  <c r="M155" i="21"/>
  <c r="M144" i="21"/>
  <c r="M142" i="21"/>
  <c r="M152" i="21"/>
  <c r="M139" i="21"/>
  <c r="M159" i="21"/>
  <c r="M140" i="21"/>
  <c r="M148" i="21"/>
  <c r="M149" i="21"/>
  <c r="M154" i="21"/>
  <c r="M138" i="21"/>
  <c r="M158" i="21"/>
  <c r="K898" i="20" l="1"/>
  <c r="J898" i="20"/>
  <c r="F898" i="20"/>
  <c r="K896" i="20"/>
  <c r="J896" i="20"/>
  <c r="F896" i="20"/>
  <c r="H134" i="21"/>
  <c r="G134" i="21"/>
  <c r="F881" i="20"/>
  <c r="F874" i="20"/>
  <c r="K871" i="20"/>
  <c r="H132" i="21" s="1"/>
  <c r="J871" i="20"/>
  <c r="G132" i="21" s="1"/>
  <c r="F871" i="20"/>
  <c r="K869" i="20"/>
  <c r="H131" i="21" s="1"/>
  <c r="J869" i="20"/>
  <c r="G131" i="21" s="1"/>
  <c r="F869" i="20"/>
  <c r="O866" i="20"/>
  <c r="N866" i="20"/>
  <c r="M866" i="20"/>
  <c r="L866" i="20"/>
  <c r="K866" i="20"/>
  <c r="J866" i="20"/>
  <c r="I866" i="20"/>
  <c r="H866" i="20"/>
  <c r="G866" i="20"/>
  <c r="F866" i="20"/>
  <c r="K862" i="20"/>
  <c r="H130" i="21" s="1"/>
  <c r="J862" i="20"/>
  <c r="G130" i="21" s="1"/>
  <c r="F862" i="20"/>
  <c r="K860" i="20"/>
  <c r="H129" i="21" s="1"/>
  <c r="J860" i="20"/>
  <c r="G129" i="21" s="1"/>
  <c r="F860" i="20"/>
  <c r="K855" i="20"/>
  <c r="H128" i="21" s="1"/>
  <c r="J855" i="20"/>
  <c r="G128" i="21" s="1"/>
  <c r="F855" i="20"/>
  <c r="K851" i="20"/>
  <c r="H127" i="21" s="1"/>
  <c r="F851" i="20"/>
  <c r="K847" i="20"/>
  <c r="H126" i="21" s="1"/>
  <c r="J847" i="20"/>
  <c r="G126" i="21" s="1"/>
  <c r="F847" i="20"/>
  <c r="K844" i="20"/>
  <c r="H125" i="21" s="1"/>
  <c r="J844" i="20"/>
  <c r="G125" i="21" s="1"/>
  <c r="F844" i="20"/>
  <c r="F836" i="20"/>
  <c r="F821" i="20"/>
  <c r="M819" i="20"/>
  <c r="L819" i="20"/>
  <c r="K819" i="20"/>
  <c r="I819" i="20"/>
  <c r="G819" i="20"/>
  <c r="F819" i="20"/>
  <c r="K816" i="20"/>
  <c r="H123" i="21" s="1"/>
  <c r="J816" i="20"/>
  <c r="G123" i="21" s="1"/>
  <c r="F816" i="20"/>
  <c r="H122" i="21"/>
  <c r="F812" i="20"/>
  <c r="K810" i="20"/>
  <c r="H121" i="21" s="1"/>
  <c r="J810" i="20"/>
  <c r="G121" i="21" s="1"/>
  <c r="F810" i="20"/>
  <c r="K808" i="20"/>
  <c r="H120" i="21" s="1"/>
  <c r="J808" i="20"/>
  <c r="G120" i="21" s="1"/>
  <c r="F808" i="20"/>
  <c r="K805" i="20"/>
  <c r="H119" i="21" s="1"/>
  <c r="J805" i="20"/>
  <c r="G119" i="21" s="1"/>
  <c r="F805" i="20"/>
  <c r="O800" i="20"/>
  <c r="N800" i="20"/>
  <c r="M800" i="20"/>
  <c r="L800" i="20"/>
  <c r="K800" i="20"/>
  <c r="J800" i="20"/>
  <c r="I800" i="20"/>
  <c r="H800" i="20"/>
  <c r="G800" i="20"/>
  <c r="F800" i="20"/>
  <c r="K798" i="20"/>
  <c r="J798" i="20"/>
  <c r="F798" i="20"/>
  <c r="F795" i="20"/>
  <c r="K793" i="20"/>
  <c r="J793" i="20"/>
  <c r="F793" i="20"/>
  <c r="K791" i="20"/>
  <c r="J791" i="20"/>
  <c r="F791" i="20"/>
  <c r="K789" i="20"/>
  <c r="J789" i="20"/>
  <c r="F789" i="20"/>
  <c r="K787" i="20"/>
  <c r="J787" i="20"/>
  <c r="F787" i="20"/>
  <c r="K785" i="20"/>
  <c r="J785" i="20"/>
  <c r="F785" i="20"/>
  <c r="K783" i="20"/>
  <c r="J783" i="20"/>
  <c r="F783" i="20"/>
  <c r="K780" i="20"/>
  <c r="J780" i="20"/>
  <c r="F780" i="20"/>
  <c r="F778" i="20"/>
  <c r="K774" i="20"/>
  <c r="H116" i="21" s="1"/>
  <c r="J774" i="20"/>
  <c r="G116" i="21" s="1"/>
  <c r="F774" i="20"/>
  <c r="F762" i="20"/>
  <c r="F756" i="20"/>
  <c r="K751" i="20"/>
  <c r="H114" i="21" s="1"/>
  <c r="J751" i="20"/>
  <c r="G114" i="21" s="1"/>
  <c r="F751" i="20"/>
  <c r="K749" i="20"/>
  <c r="H113" i="21" s="1"/>
  <c r="J749" i="20"/>
  <c r="G113" i="21" s="1"/>
  <c r="F749" i="20"/>
  <c r="K747" i="20"/>
  <c r="H112" i="21" s="1"/>
  <c r="J747" i="20"/>
  <c r="G112" i="21" s="1"/>
  <c r="F747" i="20"/>
  <c r="K744" i="20"/>
  <c r="H111" i="21" s="1"/>
  <c r="J744" i="20"/>
  <c r="G111" i="21" s="1"/>
  <c r="F744" i="20"/>
  <c r="K742" i="20"/>
  <c r="H110" i="21" s="1"/>
  <c r="F742" i="20"/>
  <c r="K740" i="20"/>
  <c r="H109" i="21" s="1"/>
  <c r="J740" i="20"/>
  <c r="G109" i="21" s="1"/>
  <c r="F740" i="20"/>
  <c r="K736" i="20"/>
  <c r="H108" i="21" s="1"/>
  <c r="J736" i="20"/>
  <c r="G108" i="21" s="1"/>
  <c r="F736" i="20"/>
  <c r="K734" i="20"/>
  <c r="J734" i="20"/>
  <c r="F734" i="20"/>
  <c r="K731" i="20"/>
  <c r="H107" i="21" s="1"/>
  <c r="J731" i="20"/>
  <c r="G107" i="21" s="1"/>
  <c r="F731" i="20"/>
  <c r="F726" i="20"/>
  <c r="F722" i="20"/>
  <c r="K720" i="20"/>
  <c r="F720" i="20"/>
  <c r="K716" i="20"/>
  <c r="H104" i="21" s="1"/>
  <c r="J716" i="20"/>
  <c r="G104" i="21" s="1"/>
  <c r="F716" i="20"/>
  <c r="K714" i="20"/>
  <c r="H103" i="21" s="1"/>
  <c r="J714" i="20"/>
  <c r="G103" i="21" s="1"/>
  <c r="F714" i="20"/>
  <c r="K712" i="20"/>
  <c r="H102" i="21" s="1"/>
  <c r="J712" i="20"/>
  <c r="G102" i="21" s="1"/>
  <c r="F712" i="20"/>
  <c r="O708" i="20"/>
  <c r="N708" i="20"/>
  <c r="M708" i="20"/>
  <c r="L708" i="20"/>
  <c r="K708" i="20"/>
  <c r="J708" i="20"/>
  <c r="I708" i="20"/>
  <c r="H708" i="20"/>
  <c r="G708" i="20"/>
  <c r="F708" i="20"/>
  <c r="F693" i="20"/>
  <c r="F677" i="20"/>
  <c r="F667" i="20"/>
  <c r="K663" i="20"/>
  <c r="H99" i="21" s="1"/>
  <c r="F663" i="20"/>
  <c r="K661" i="20"/>
  <c r="H98" i="21" s="1"/>
  <c r="J661" i="20"/>
  <c r="G98" i="21" s="1"/>
  <c r="F661" i="20"/>
  <c r="F656" i="20"/>
  <c r="K653" i="20"/>
  <c r="H96" i="21" s="1"/>
  <c r="J653" i="20"/>
  <c r="G96" i="21" s="1"/>
  <c r="F653" i="20"/>
  <c r="K651" i="20"/>
  <c r="H95" i="21" s="1"/>
  <c r="J651" i="20"/>
  <c r="G95" i="21" s="1"/>
  <c r="F651" i="20"/>
  <c r="K647" i="20"/>
  <c r="H94" i="21" s="1"/>
  <c r="J647" i="20"/>
  <c r="G94" i="21" s="1"/>
  <c r="F647" i="20"/>
  <c r="K645" i="20"/>
  <c r="H93" i="21" s="1"/>
  <c r="J645" i="20"/>
  <c r="G93" i="21" s="1"/>
  <c r="F645" i="20"/>
  <c r="K642" i="20"/>
  <c r="H92" i="21" s="1"/>
  <c r="J642" i="20"/>
  <c r="G92" i="21" s="1"/>
  <c r="F642" i="20"/>
  <c r="K639" i="20"/>
  <c r="H91" i="21" s="1"/>
  <c r="J639" i="20"/>
  <c r="G91" i="21" s="1"/>
  <c r="F639" i="20"/>
  <c r="K637" i="20"/>
  <c r="H90" i="21" s="1"/>
  <c r="J637" i="20"/>
  <c r="G90" i="21" s="1"/>
  <c r="F637" i="20"/>
  <c r="K632" i="20"/>
  <c r="H89" i="21" s="1"/>
  <c r="J632" i="20"/>
  <c r="G89" i="21" s="1"/>
  <c r="F632" i="20"/>
  <c r="F623" i="20"/>
  <c r="K620" i="20"/>
  <c r="H87" i="21" s="1"/>
  <c r="J620" i="20"/>
  <c r="G87" i="21" s="1"/>
  <c r="F620" i="20"/>
  <c r="F616" i="20"/>
  <c r="K614" i="20"/>
  <c r="H85" i="21" s="1"/>
  <c r="J614" i="20"/>
  <c r="G85" i="21" s="1"/>
  <c r="F614" i="20"/>
  <c r="F610" i="20"/>
  <c r="K608" i="20"/>
  <c r="J608" i="20"/>
  <c r="F608" i="20"/>
  <c r="F602" i="20"/>
  <c r="K600" i="20"/>
  <c r="F600" i="20"/>
  <c r="F596" i="20"/>
  <c r="F593" i="20"/>
  <c r="F578" i="20"/>
  <c r="F563" i="20"/>
  <c r="K561" i="20"/>
  <c r="J561" i="20"/>
  <c r="F561" i="20"/>
  <c r="K559" i="20"/>
  <c r="J559" i="20"/>
  <c r="F559" i="20"/>
  <c r="K557" i="20"/>
  <c r="J557" i="20"/>
  <c r="F557" i="20"/>
  <c r="K555" i="20"/>
  <c r="J555" i="20"/>
  <c r="F555" i="20"/>
  <c r="K553" i="20"/>
  <c r="J553" i="20"/>
  <c r="F553" i="20"/>
  <c r="K551" i="20"/>
  <c r="J551" i="20"/>
  <c r="F551" i="20"/>
  <c r="F543" i="20"/>
  <c r="F537" i="20"/>
  <c r="F532" i="20"/>
  <c r="F523" i="20"/>
  <c r="K519" i="20"/>
  <c r="H80" i="21" s="1"/>
  <c r="J519" i="20"/>
  <c r="G80" i="21" s="1"/>
  <c r="F519" i="20"/>
  <c r="F509" i="20"/>
  <c r="K506" i="20"/>
  <c r="H78" i="21" s="1"/>
  <c r="J506" i="20"/>
  <c r="G78" i="21" s="1"/>
  <c r="F506" i="20"/>
  <c r="F502" i="20"/>
  <c r="K500" i="20"/>
  <c r="H76" i="21" s="1"/>
  <c r="J500" i="20"/>
  <c r="G76" i="21" s="1"/>
  <c r="F500" i="20"/>
  <c r="K498" i="20"/>
  <c r="H75" i="21" s="1"/>
  <c r="J498" i="20"/>
  <c r="G75" i="21" s="1"/>
  <c r="F498" i="20"/>
  <c r="K496" i="20"/>
  <c r="H74" i="21" s="1"/>
  <c r="J496" i="20"/>
  <c r="G74" i="21" s="1"/>
  <c r="F496" i="20"/>
  <c r="K493" i="20"/>
  <c r="H73" i="21" s="1"/>
  <c r="J493" i="20"/>
  <c r="G73" i="21" s="1"/>
  <c r="F493" i="20"/>
  <c r="K491" i="20"/>
  <c r="H72" i="21" s="1"/>
  <c r="J491" i="20"/>
  <c r="G72" i="21" s="1"/>
  <c r="F491" i="20"/>
  <c r="K488" i="20"/>
  <c r="H71" i="21" s="1"/>
  <c r="J488" i="20"/>
  <c r="G71" i="21" s="1"/>
  <c r="F488" i="20"/>
  <c r="K481" i="20"/>
  <c r="J481" i="20"/>
  <c r="F481" i="20"/>
  <c r="O478" i="20"/>
  <c r="N478" i="20"/>
  <c r="M478" i="20"/>
  <c r="L478" i="20"/>
  <c r="K478" i="20"/>
  <c r="J478" i="20"/>
  <c r="I478" i="20"/>
  <c r="H478" i="20"/>
  <c r="G478" i="20"/>
  <c r="F478" i="20"/>
  <c r="F452" i="20"/>
  <c r="K448" i="20"/>
  <c r="H67" i="21" s="1"/>
  <c r="J448" i="20"/>
  <c r="G67" i="21" s="1"/>
  <c r="F448" i="20"/>
  <c r="F433" i="20"/>
  <c r="K428" i="20"/>
  <c r="H65" i="21" s="1"/>
  <c r="J428" i="20"/>
  <c r="G65" i="21" s="1"/>
  <c r="F428" i="20"/>
  <c r="N421" i="20"/>
  <c r="M421" i="20"/>
  <c r="L421" i="20"/>
  <c r="K421" i="20"/>
  <c r="J421" i="20"/>
  <c r="I421" i="20"/>
  <c r="H421" i="20"/>
  <c r="G421" i="20"/>
  <c r="F421" i="20"/>
  <c r="K419" i="20"/>
  <c r="H64" i="21" s="1"/>
  <c r="F419" i="20"/>
  <c r="K416" i="20"/>
  <c r="H63" i="21" s="1"/>
  <c r="F416" i="20"/>
  <c r="F412" i="20"/>
  <c r="K406" i="20"/>
  <c r="H61" i="21" s="1"/>
  <c r="J406" i="20"/>
  <c r="G61" i="21" s="1"/>
  <c r="F406" i="20"/>
  <c r="K403" i="20"/>
  <c r="H60" i="21" s="1"/>
  <c r="J403" i="20"/>
  <c r="G60" i="21" s="1"/>
  <c r="F403" i="20"/>
  <c r="K398" i="20"/>
  <c r="H59" i="21" s="1"/>
  <c r="J398" i="20"/>
  <c r="G59" i="21" s="1"/>
  <c r="F398" i="20"/>
  <c r="K395" i="20"/>
  <c r="H58" i="21" s="1"/>
  <c r="F395" i="20"/>
  <c r="K393" i="20"/>
  <c r="H57" i="21" s="1"/>
  <c r="J393" i="20"/>
  <c r="G57" i="21" s="1"/>
  <c r="F393" i="20"/>
  <c r="F385" i="20"/>
  <c r="F380" i="20"/>
  <c r="F370" i="20"/>
  <c r="K364" i="20"/>
  <c r="J364" i="20"/>
  <c r="F364" i="20"/>
  <c r="K362" i="20"/>
  <c r="J362" i="20"/>
  <c r="F362" i="20"/>
  <c r="F355" i="20"/>
  <c r="F343" i="20"/>
  <c r="F334" i="20"/>
  <c r="F326" i="20"/>
  <c r="F317" i="20"/>
  <c r="F308" i="20"/>
  <c r="F299" i="20"/>
  <c r="K290" i="20"/>
  <c r="F290" i="20"/>
  <c r="F281" i="20"/>
  <c r="F273" i="20"/>
  <c r="F264" i="20"/>
  <c r="F255" i="20"/>
  <c r="F246" i="20"/>
  <c r="F237" i="20"/>
  <c r="F228" i="20"/>
  <c r="F220" i="20"/>
  <c r="F211" i="20"/>
  <c r="F201" i="20"/>
  <c r="F192" i="20"/>
  <c r="F184" i="20"/>
  <c r="F175" i="20"/>
  <c r="F166" i="20"/>
  <c r="F157" i="20"/>
  <c r="F149" i="20"/>
  <c r="F139" i="20"/>
  <c r="F132" i="20"/>
  <c r="K130" i="20"/>
  <c r="J130" i="20"/>
  <c r="F130" i="20"/>
  <c r="K128" i="20"/>
  <c r="J128" i="20"/>
  <c r="F128" i="20"/>
  <c r="K126" i="20"/>
  <c r="J126" i="20"/>
  <c r="F126" i="20"/>
  <c r="K124" i="20"/>
  <c r="J124" i="20"/>
  <c r="F124" i="20"/>
  <c r="K122" i="20"/>
  <c r="J122" i="20"/>
  <c r="F122" i="20"/>
  <c r="K120" i="20"/>
  <c r="J120" i="20"/>
  <c r="F120" i="20"/>
  <c r="K118" i="20"/>
  <c r="J118" i="20"/>
  <c r="F118" i="20"/>
  <c r="K116" i="20"/>
  <c r="J116" i="20"/>
  <c r="F116" i="20"/>
  <c r="F111" i="20"/>
  <c r="K109" i="20"/>
  <c r="J109" i="20"/>
  <c r="F109" i="20"/>
  <c r="K107" i="20"/>
  <c r="J107" i="20"/>
  <c r="F107" i="20"/>
  <c r="H38" i="21"/>
  <c r="G38" i="21"/>
  <c r="H37" i="21"/>
  <c r="G37" i="21"/>
  <c r="H36" i="21"/>
  <c r="G36" i="21"/>
  <c r="F101" i="20"/>
  <c r="F96" i="20"/>
  <c r="F91" i="20"/>
  <c r="F86" i="20"/>
  <c r="F81" i="20"/>
  <c r="F77" i="20"/>
  <c r="F72" i="20"/>
  <c r="F67" i="20"/>
  <c r="F63" i="20"/>
  <c r="F58" i="20"/>
  <c r="F52" i="20"/>
  <c r="H25" i="21"/>
  <c r="F50" i="20"/>
  <c r="F49" i="20"/>
  <c r="F45" i="20"/>
  <c r="F41" i="20"/>
  <c r="F37" i="20"/>
  <c r="H21" i="21"/>
  <c r="G21" i="21"/>
  <c r="F34" i="20"/>
  <c r="H20" i="21"/>
  <c r="G20" i="21"/>
  <c r="F31" i="20"/>
  <c r="H19" i="21"/>
  <c r="G19" i="21"/>
  <c r="F28" i="20"/>
  <c r="H18" i="21"/>
  <c r="G18" i="21"/>
  <c r="F25" i="20"/>
  <c r="F20" i="20"/>
  <c r="N481" i="20" l="1"/>
  <c r="O481" i="20"/>
  <c r="G481" i="20"/>
  <c r="L481" i="20"/>
  <c r="H481" i="20"/>
  <c r="I481" i="20"/>
  <c r="M481" i="20"/>
  <c r="H693" i="20"/>
  <c r="I693" i="20"/>
  <c r="J693" i="20"/>
  <c r="G101" i="21" s="1"/>
  <c r="K693" i="20"/>
  <c r="L693" i="20"/>
  <c r="M693" i="20"/>
  <c r="N693" i="20"/>
  <c r="O693" i="20"/>
  <c r="H69" i="21"/>
  <c r="H462" i="20"/>
  <c r="I462" i="20"/>
  <c r="N462" i="20"/>
  <c r="G462" i="20"/>
  <c r="J462" i="20"/>
  <c r="G69" i="21" s="1"/>
  <c r="L462" i="20"/>
  <c r="M462" i="20"/>
  <c r="O462" i="20"/>
  <c r="H126" i="20"/>
  <c r="P866" i="20"/>
  <c r="P800" i="20"/>
  <c r="P478" i="20"/>
  <c r="P421" i="20"/>
  <c r="P708" i="20"/>
  <c r="P461" i="20"/>
  <c r="P638" i="20"/>
  <c r="P230" i="20"/>
  <c r="P301" i="20"/>
  <c r="P459" i="20"/>
  <c r="P504" i="20"/>
  <c r="P546" i="20"/>
  <c r="P39" i="20"/>
  <c r="P455" i="20"/>
  <c r="P382" i="20"/>
  <c r="P453" i="20"/>
  <c r="P544" i="20"/>
  <c r="P548" i="20"/>
  <c r="P550" i="20"/>
  <c r="P35" i="20"/>
  <c r="P73" i="20"/>
  <c r="P307" i="20"/>
  <c r="P141" i="20"/>
  <c r="P303" i="20"/>
  <c r="P75" i="20"/>
  <c r="P145" i="20"/>
  <c r="P236" i="20"/>
  <c r="P147" i="20"/>
  <c r="P232" i="20"/>
  <c r="P234" i="20"/>
  <c r="P143" i="20"/>
  <c r="P305" i="20"/>
  <c r="P117" i="20"/>
  <c r="P457" i="20"/>
  <c r="P668" i="20"/>
  <c r="P670" i="20"/>
  <c r="P672" i="20"/>
  <c r="P674" i="20"/>
  <c r="P715" i="20"/>
  <c r="P741" i="20"/>
  <c r="P799" i="20"/>
  <c r="P603" i="20"/>
  <c r="P605" i="20"/>
  <c r="P607" i="20"/>
  <c r="P781" i="20"/>
  <c r="P510" i="20"/>
  <c r="P512" i="20"/>
  <c r="P514" i="20"/>
  <c r="P516" i="20"/>
  <c r="P554" i="20"/>
  <c r="P643" i="20"/>
  <c r="P721" i="20"/>
  <c r="P745" i="20"/>
  <c r="P872" i="20"/>
  <c r="P724" i="20"/>
  <c r="P786" i="20"/>
  <c r="P806" i="20"/>
  <c r="P876" i="20"/>
  <c r="P489" i="20"/>
  <c r="P558" i="20"/>
  <c r="P615" i="20"/>
  <c r="P648" i="20"/>
  <c r="P728" i="20"/>
  <c r="P845" i="20"/>
  <c r="P883" i="20"/>
  <c r="P885" i="20"/>
  <c r="P887" i="20"/>
  <c r="P889" i="20"/>
  <c r="P345" i="20"/>
  <c r="P347" i="20"/>
  <c r="P349" i="20"/>
  <c r="P524" i="20"/>
  <c r="P526" i="20"/>
  <c r="P528" i="20"/>
  <c r="P618" i="20"/>
  <c r="P732" i="20"/>
  <c r="P750" i="20"/>
  <c r="P790" i="20"/>
  <c r="P811" i="20"/>
  <c r="P897" i="20"/>
  <c r="P357" i="20"/>
  <c r="P429" i="20"/>
  <c r="P494" i="20"/>
  <c r="P562" i="20"/>
  <c r="P654" i="20"/>
  <c r="P852" i="20"/>
  <c r="P533" i="20"/>
  <c r="P535" i="20"/>
  <c r="P565" i="20"/>
  <c r="P567" i="20"/>
  <c r="P569" i="20"/>
  <c r="P571" i="20"/>
  <c r="P573" i="20"/>
  <c r="P575" i="20"/>
  <c r="P577" i="20"/>
  <c r="P624" i="20"/>
  <c r="P626" i="20"/>
  <c r="P628" i="20"/>
  <c r="P630" i="20"/>
  <c r="P658" i="20"/>
  <c r="P660" i="20"/>
  <c r="P694" i="20"/>
  <c r="P696" i="20"/>
  <c r="P698" i="20"/>
  <c r="P700" i="20"/>
  <c r="P702" i="20"/>
  <c r="P704" i="20"/>
  <c r="P706" i="20"/>
  <c r="P737" i="20"/>
  <c r="P757" i="20"/>
  <c r="P759" i="20"/>
  <c r="P761" i="20"/>
  <c r="P794" i="20"/>
  <c r="P817" i="20"/>
  <c r="P857" i="20"/>
  <c r="P365" i="20"/>
  <c r="P404" i="20"/>
  <c r="P449" i="20"/>
  <c r="P499" i="20"/>
  <c r="P580" i="20"/>
  <c r="P582" i="20"/>
  <c r="P584" i="20"/>
  <c r="P586" i="20"/>
  <c r="P588" i="20"/>
  <c r="P590" i="20"/>
  <c r="P592" i="20"/>
  <c r="P633" i="20"/>
  <c r="P764" i="20"/>
  <c r="P766" i="20"/>
  <c r="P768" i="20"/>
  <c r="P770" i="20"/>
  <c r="P221" i="20"/>
  <c r="P223" i="20"/>
  <c r="P225" i="20"/>
  <c r="P372" i="20"/>
  <c r="P374" i="20"/>
  <c r="P539" i="20"/>
  <c r="P595" i="20"/>
  <c r="P598" i="20"/>
  <c r="P664" i="20"/>
  <c r="P713" i="20"/>
  <c r="P797" i="20"/>
  <c r="P863" i="20"/>
  <c r="P779" i="20"/>
  <c r="P552" i="20"/>
  <c r="P604" i="20"/>
  <c r="P606" i="20"/>
  <c r="P640" i="20"/>
  <c r="P717" i="20"/>
  <c r="P743" i="20"/>
  <c r="P870" i="20"/>
  <c r="P247" i="20"/>
  <c r="P249" i="20"/>
  <c r="P251" i="20"/>
  <c r="P253" i="20"/>
  <c r="P318" i="20"/>
  <c r="P320" i="20"/>
  <c r="P322" i="20"/>
  <c r="P324" i="20"/>
  <c r="P413" i="20"/>
  <c r="P511" i="20"/>
  <c r="P513" i="20"/>
  <c r="P515" i="20"/>
  <c r="P609" i="20"/>
  <c r="P784" i="20"/>
  <c r="P556" i="20"/>
  <c r="P612" i="20"/>
  <c r="P646" i="20"/>
  <c r="P723" i="20"/>
  <c r="P875" i="20"/>
  <c r="P727" i="20"/>
  <c r="P729" i="20"/>
  <c r="P748" i="20"/>
  <c r="P788" i="20"/>
  <c r="P809" i="20"/>
  <c r="P882" i="20"/>
  <c r="P884" i="20"/>
  <c r="P886" i="20"/>
  <c r="P888" i="20"/>
  <c r="P890" i="20"/>
  <c r="P344" i="20"/>
  <c r="P346" i="20"/>
  <c r="P348" i="20"/>
  <c r="P399" i="20"/>
  <c r="P492" i="20"/>
  <c r="P525" i="20"/>
  <c r="P527" i="20"/>
  <c r="P529" i="20"/>
  <c r="P560" i="20"/>
  <c r="P617" i="20"/>
  <c r="P652" i="20"/>
  <c r="P848" i="20"/>
  <c r="P356" i="20"/>
  <c r="P621" i="20"/>
  <c r="P735" i="20"/>
  <c r="P752" i="20"/>
  <c r="P792" i="20"/>
  <c r="P813" i="20"/>
  <c r="P819" i="20"/>
  <c r="P899" i="20"/>
  <c r="P534" i="20"/>
  <c r="P564" i="20"/>
  <c r="P566" i="20"/>
  <c r="P568" i="20"/>
  <c r="P570" i="20"/>
  <c r="P572" i="20"/>
  <c r="P574" i="20"/>
  <c r="P576" i="20"/>
  <c r="P625" i="20"/>
  <c r="P627" i="20"/>
  <c r="P629" i="20"/>
  <c r="P631" i="20"/>
  <c r="P657" i="20"/>
  <c r="P659" i="20"/>
  <c r="P695" i="20"/>
  <c r="P697" i="20"/>
  <c r="P699" i="20"/>
  <c r="P701" i="20"/>
  <c r="P703" i="20"/>
  <c r="P705" i="20"/>
  <c r="P758" i="20"/>
  <c r="P760" i="20"/>
  <c r="P856" i="20"/>
  <c r="P579" i="20"/>
  <c r="P581" i="20"/>
  <c r="P583" i="20"/>
  <c r="P585" i="20"/>
  <c r="P587" i="20"/>
  <c r="P589" i="20"/>
  <c r="P591" i="20"/>
  <c r="P662" i="20"/>
  <c r="P763" i="20"/>
  <c r="P765" i="20"/>
  <c r="P767" i="20"/>
  <c r="P769" i="20"/>
  <c r="P861" i="20"/>
  <c r="P79" i="20"/>
  <c r="P150" i="20"/>
  <c r="P152" i="20"/>
  <c r="P154" i="20"/>
  <c r="P239" i="20"/>
  <c r="P241" i="20"/>
  <c r="P243" i="20"/>
  <c r="P310" i="20"/>
  <c r="P312" i="20"/>
  <c r="P314" i="20"/>
  <c r="P387" i="20"/>
  <c r="P389" i="20"/>
  <c r="P464" i="20"/>
  <c r="P466" i="20"/>
  <c r="P468" i="20"/>
  <c r="P470" i="20"/>
  <c r="P472" i="20"/>
  <c r="P474" i="20"/>
  <c r="P476" i="20"/>
  <c r="P43" i="20"/>
  <c r="P82" i="20"/>
  <c r="P84" i="20"/>
  <c r="P121" i="20"/>
  <c r="P158" i="20"/>
  <c r="P160" i="20"/>
  <c r="P162" i="20"/>
  <c r="P164" i="20"/>
  <c r="P248" i="20"/>
  <c r="P250" i="20"/>
  <c r="P252" i="20"/>
  <c r="P254" i="20"/>
  <c r="P319" i="20"/>
  <c r="P321" i="20"/>
  <c r="P323" i="20"/>
  <c r="P325" i="20"/>
  <c r="P414" i="20"/>
  <c r="P46" i="20"/>
  <c r="P48" i="20"/>
  <c r="P88" i="20"/>
  <c r="P167" i="20"/>
  <c r="P169" i="20"/>
  <c r="P171" i="20"/>
  <c r="P257" i="20"/>
  <c r="P259" i="20"/>
  <c r="P261" i="20"/>
  <c r="P328" i="20"/>
  <c r="P330" i="20"/>
  <c r="P332" i="20"/>
  <c r="P482" i="20"/>
  <c r="P611" i="20"/>
  <c r="P92" i="20"/>
  <c r="P94" i="20"/>
  <c r="P125" i="20"/>
  <c r="P176" i="20"/>
  <c r="P178" i="20"/>
  <c r="P180" i="20"/>
  <c r="P182" i="20"/>
  <c r="P266" i="20"/>
  <c r="P268" i="20"/>
  <c r="P270" i="20"/>
  <c r="P272" i="20"/>
  <c r="P336" i="20"/>
  <c r="P338" i="20"/>
  <c r="P340" i="20"/>
  <c r="P342" i="20"/>
  <c r="P396" i="20"/>
  <c r="P420" i="20"/>
  <c r="P98" i="20"/>
  <c r="P185" i="20"/>
  <c r="P187" i="20"/>
  <c r="P189" i="20"/>
  <c r="P275" i="20"/>
  <c r="P277" i="20"/>
  <c r="P279" i="20"/>
  <c r="P22" i="20"/>
  <c r="P53" i="20"/>
  <c r="P55" i="20"/>
  <c r="P102" i="20"/>
  <c r="P104" i="20"/>
  <c r="P193" i="20"/>
  <c r="P195" i="20"/>
  <c r="P197" i="20"/>
  <c r="P199" i="20"/>
  <c r="P26" i="20"/>
  <c r="P60" i="20"/>
  <c r="P129" i="20"/>
  <c r="P202" i="20"/>
  <c r="P204" i="20"/>
  <c r="P206" i="20"/>
  <c r="P435" i="20"/>
  <c r="P437" i="20"/>
  <c r="P439" i="20"/>
  <c r="P441" i="20"/>
  <c r="P443" i="20"/>
  <c r="P445" i="20"/>
  <c r="P65" i="20"/>
  <c r="P110" i="20"/>
  <c r="P212" i="20"/>
  <c r="P214" i="20"/>
  <c r="P216" i="20"/>
  <c r="P218" i="20"/>
  <c r="P32" i="20"/>
  <c r="P68" i="20"/>
  <c r="P70" i="20"/>
  <c r="P113" i="20"/>
  <c r="P115" i="20"/>
  <c r="P133" i="20"/>
  <c r="P74" i="20"/>
  <c r="P140" i="20"/>
  <c r="P142" i="20"/>
  <c r="P144" i="20"/>
  <c r="P146" i="20"/>
  <c r="P148" i="20"/>
  <c r="P229" i="20"/>
  <c r="P231" i="20"/>
  <c r="P233" i="20"/>
  <c r="P235" i="20"/>
  <c r="P300" i="20"/>
  <c r="P302" i="20"/>
  <c r="P304" i="20"/>
  <c r="P306" i="20"/>
  <c r="P381" i="20"/>
  <c r="P454" i="20"/>
  <c r="P456" i="20"/>
  <c r="P458" i="20"/>
  <c r="P460" i="20"/>
  <c r="P503" i="20"/>
  <c r="P545" i="20"/>
  <c r="P547" i="20"/>
  <c r="P549" i="20"/>
  <c r="P601" i="20"/>
  <c r="P669" i="20"/>
  <c r="P671" i="20"/>
  <c r="P673" i="20"/>
  <c r="P38" i="20"/>
  <c r="P78" i="20"/>
  <c r="P80" i="20"/>
  <c r="P119" i="20"/>
  <c r="P151" i="20"/>
  <c r="P153" i="20"/>
  <c r="P155" i="20"/>
  <c r="P238" i="20"/>
  <c r="P240" i="20"/>
  <c r="P242" i="20"/>
  <c r="P309" i="20"/>
  <c r="P311" i="20"/>
  <c r="P313" i="20"/>
  <c r="P386" i="20"/>
  <c r="P388" i="20"/>
  <c r="P463" i="20"/>
  <c r="P465" i="20"/>
  <c r="P467" i="20"/>
  <c r="P469" i="20"/>
  <c r="P471" i="20"/>
  <c r="P473" i="20"/>
  <c r="P475" i="20"/>
  <c r="P507" i="20"/>
  <c r="P42" i="20"/>
  <c r="P44" i="20"/>
  <c r="P83" i="20"/>
  <c r="P159" i="20"/>
  <c r="P161" i="20"/>
  <c r="P163" i="20"/>
  <c r="P165" i="20"/>
  <c r="P47" i="20"/>
  <c r="P87" i="20"/>
  <c r="P89" i="20"/>
  <c r="P123" i="20"/>
  <c r="P168" i="20"/>
  <c r="P170" i="20"/>
  <c r="P172" i="20"/>
  <c r="P256" i="20"/>
  <c r="P258" i="20"/>
  <c r="P260" i="20"/>
  <c r="P327" i="20"/>
  <c r="P329" i="20"/>
  <c r="P331" i="20"/>
  <c r="P394" i="20"/>
  <c r="P417" i="20"/>
  <c r="P483" i="20"/>
  <c r="P93" i="20"/>
  <c r="P177" i="20"/>
  <c r="P179" i="20"/>
  <c r="P181" i="20"/>
  <c r="P183" i="20"/>
  <c r="P265" i="20"/>
  <c r="P267" i="20"/>
  <c r="P269" i="20"/>
  <c r="P271" i="20"/>
  <c r="P335" i="20"/>
  <c r="P337" i="20"/>
  <c r="P339" i="20"/>
  <c r="P341" i="20"/>
  <c r="P520" i="20"/>
  <c r="P51" i="20"/>
  <c r="P97" i="20"/>
  <c r="P99" i="20"/>
  <c r="P186" i="20"/>
  <c r="P188" i="20"/>
  <c r="P190" i="20"/>
  <c r="P274" i="20"/>
  <c r="P276" i="20"/>
  <c r="P278" i="20"/>
  <c r="P21" i="20"/>
  <c r="P23" i="20"/>
  <c r="P54" i="20"/>
  <c r="P103" i="20"/>
  <c r="P127" i="20"/>
  <c r="P194" i="20"/>
  <c r="P196" i="20"/>
  <c r="P198" i="20"/>
  <c r="P200" i="20"/>
  <c r="P293" i="20"/>
  <c r="P59" i="20"/>
  <c r="P108" i="20"/>
  <c r="P203" i="20"/>
  <c r="P205" i="20"/>
  <c r="P207" i="20"/>
  <c r="P363" i="20"/>
  <c r="P434" i="20"/>
  <c r="P436" i="20"/>
  <c r="P438" i="20"/>
  <c r="P440" i="20"/>
  <c r="P442" i="20"/>
  <c r="P444" i="20"/>
  <c r="P446" i="20"/>
  <c r="P497" i="20"/>
  <c r="P29" i="20"/>
  <c r="P64" i="20"/>
  <c r="P66" i="20"/>
  <c r="P131" i="20"/>
  <c r="P213" i="20"/>
  <c r="P215" i="20"/>
  <c r="P217" i="20"/>
  <c r="P219" i="20"/>
  <c r="P284" i="20"/>
  <c r="P69" i="20"/>
  <c r="P112" i="20"/>
  <c r="P114" i="20"/>
  <c r="P134" i="20"/>
  <c r="P222" i="20"/>
  <c r="P224" i="20"/>
  <c r="P226" i="20"/>
  <c r="P371" i="20"/>
  <c r="P373" i="20"/>
  <c r="P375" i="20"/>
  <c r="P407" i="20"/>
  <c r="P501" i="20"/>
  <c r="P538" i="20"/>
  <c r="P594" i="20"/>
  <c r="P597" i="20"/>
  <c r="P599" i="20"/>
  <c r="P775" i="20"/>
  <c r="P796" i="20"/>
  <c r="C101" i="21"/>
  <c r="K722" i="20"/>
  <c r="H105" i="21" s="1"/>
  <c r="H642" i="20"/>
  <c r="H101" i="20"/>
  <c r="H28" i="20"/>
  <c r="G101" i="20"/>
  <c r="G31" i="20"/>
  <c r="G50" i="20"/>
  <c r="G647" i="20"/>
  <c r="H751" i="20"/>
  <c r="H35" i="21"/>
  <c r="I651" i="20"/>
  <c r="G27" i="21"/>
  <c r="H27" i="21"/>
  <c r="H48" i="21"/>
  <c r="G35" i="21"/>
  <c r="I116" i="20"/>
  <c r="H608" i="20"/>
  <c r="L290" i="20"/>
  <c r="H30" i="21"/>
  <c r="L551" i="20"/>
  <c r="J132" i="20"/>
  <c r="I49" i="20"/>
  <c r="M488" i="20"/>
  <c r="L793" i="20"/>
  <c r="F27" i="21"/>
  <c r="L118" i="20"/>
  <c r="L493" i="20"/>
  <c r="N805" i="20"/>
  <c r="I46" i="21"/>
  <c r="O805" i="20"/>
  <c r="M844" i="20"/>
  <c r="J19" i="21"/>
  <c r="E30" i="21"/>
  <c r="I107" i="20"/>
  <c r="N398" i="20"/>
  <c r="O118" i="20"/>
  <c r="G869" i="20"/>
  <c r="N416" i="20"/>
  <c r="E18" i="21"/>
  <c r="J37" i="21"/>
  <c r="H116" i="20"/>
  <c r="O122" i="20"/>
  <c r="O637" i="20"/>
  <c r="K21" i="21"/>
  <c r="M747" i="20"/>
  <c r="G555" i="20"/>
  <c r="N561" i="20"/>
  <c r="H653" i="20"/>
  <c r="I740" i="20"/>
  <c r="G744" i="20"/>
  <c r="N747" i="20"/>
  <c r="H774" i="20"/>
  <c r="H847" i="20"/>
  <c r="E134" i="21"/>
  <c r="D20" i="21"/>
  <c r="E26" i="21"/>
  <c r="K30" i="21"/>
  <c r="O107" i="20"/>
  <c r="I364" i="20"/>
  <c r="N406" i="20"/>
  <c r="I500" i="20"/>
  <c r="G608" i="20"/>
  <c r="O614" i="20"/>
  <c r="L647" i="20"/>
  <c r="M714" i="20"/>
  <c r="L751" i="20"/>
  <c r="L791" i="20"/>
  <c r="G855" i="20"/>
  <c r="O862" i="20"/>
  <c r="F134" i="21"/>
  <c r="I18" i="21"/>
  <c r="E20" i="21"/>
  <c r="L30" i="21"/>
  <c r="D36" i="21"/>
  <c r="D38" i="21"/>
  <c r="L116" i="20"/>
  <c r="M395" i="20"/>
  <c r="G663" i="20"/>
  <c r="N714" i="20"/>
  <c r="I731" i="20"/>
  <c r="I744" i="20"/>
  <c r="H780" i="20"/>
  <c r="O787" i="20"/>
  <c r="H798" i="20"/>
  <c r="L808" i="20"/>
  <c r="G860" i="20"/>
  <c r="J18" i="21"/>
  <c r="I34" i="21"/>
  <c r="E38" i="21"/>
  <c r="I124" i="20"/>
  <c r="O130" i="20"/>
  <c r="I48" i="21"/>
  <c r="H559" i="20"/>
  <c r="I608" i="20"/>
  <c r="H663" i="20"/>
  <c r="G736" i="20"/>
  <c r="L740" i="20"/>
  <c r="N751" i="20"/>
  <c r="I780" i="20"/>
  <c r="N791" i="20"/>
  <c r="M808" i="20"/>
  <c r="H860" i="20"/>
  <c r="N869" i="20"/>
  <c r="H734" i="20"/>
  <c r="M362" i="20"/>
  <c r="M448" i="20"/>
  <c r="O488" i="20"/>
  <c r="L742" i="20"/>
  <c r="I783" i="20"/>
  <c r="H862" i="20"/>
  <c r="L45" i="21"/>
  <c r="O793" i="20"/>
  <c r="L816" i="20"/>
  <c r="H714" i="20"/>
  <c r="G751" i="20"/>
  <c r="J21" i="21"/>
  <c r="O416" i="20"/>
  <c r="N661" i="20"/>
  <c r="K37" i="21"/>
  <c r="K47" i="21"/>
  <c r="G364" i="20"/>
  <c r="M614" i="20"/>
  <c r="G653" i="20"/>
  <c r="L787" i="20"/>
  <c r="D26" i="21"/>
  <c r="N107" i="20"/>
  <c r="H120" i="20"/>
  <c r="L130" i="20"/>
  <c r="K18" i="21"/>
  <c r="M600" i="20"/>
  <c r="N632" i="20"/>
  <c r="G712" i="20"/>
  <c r="H128" i="20"/>
  <c r="M364" i="20"/>
  <c r="H749" i="20"/>
  <c r="G22" i="21"/>
  <c r="I712" i="20"/>
  <c r="M731" i="20"/>
  <c r="D33" i="21"/>
  <c r="N555" i="20"/>
  <c r="O653" i="20"/>
  <c r="N744" i="20"/>
  <c r="I789" i="20"/>
  <c r="M855" i="20"/>
  <c r="K20" i="21"/>
  <c r="I22" i="21"/>
  <c r="H23" i="21"/>
  <c r="E33" i="21"/>
  <c r="J38" i="21"/>
  <c r="G398" i="20"/>
  <c r="N419" i="20"/>
  <c r="G448" i="20"/>
  <c r="J537" i="20"/>
  <c r="G83" i="21" s="1"/>
  <c r="M559" i="20"/>
  <c r="N608" i="20"/>
  <c r="N639" i="20"/>
  <c r="I716" i="20"/>
  <c r="O731" i="20"/>
  <c r="L736" i="20"/>
  <c r="O744" i="20"/>
  <c r="H793" i="20"/>
  <c r="G810" i="20"/>
  <c r="G844" i="20"/>
  <c r="D21" i="21"/>
  <c r="I122" i="20"/>
  <c r="I416" i="20"/>
  <c r="I498" i="20"/>
  <c r="O712" i="20"/>
  <c r="N789" i="20"/>
  <c r="I35" i="21"/>
  <c r="F37" i="21"/>
  <c r="N448" i="20"/>
  <c r="H130" i="20"/>
  <c r="N742" i="20"/>
  <c r="G791" i="20"/>
  <c r="N637" i="20"/>
  <c r="H791" i="20"/>
  <c r="L561" i="20"/>
  <c r="F18" i="21"/>
  <c r="N783" i="20"/>
  <c r="I24" i="21"/>
  <c r="J30" i="21"/>
  <c r="E29" i="21"/>
  <c r="F38" i="21"/>
  <c r="G645" i="20"/>
  <c r="L653" i="20"/>
  <c r="H785" i="20"/>
  <c r="F22" i="21"/>
  <c r="N551" i="20"/>
  <c r="O632" i="20"/>
  <c r="O720" i="20"/>
  <c r="O808" i="20"/>
  <c r="G29" i="21"/>
  <c r="L34" i="21"/>
  <c r="I128" i="20"/>
  <c r="H393" i="20"/>
  <c r="G23" i="21"/>
  <c r="I36" i="21"/>
  <c r="I620" i="20"/>
  <c r="N731" i="20"/>
  <c r="M798" i="20"/>
  <c r="L20" i="21"/>
  <c r="J22" i="21"/>
  <c r="I23" i="21"/>
  <c r="D25" i="21"/>
  <c r="H31" i="21"/>
  <c r="F33" i="21"/>
  <c r="K38" i="21"/>
  <c r="K537" i="20"/>
  <c r="H83" i="21" s="1"/>
  <c r="G553" i="20"/>
  <c r="L645" i="20"/>
  <c r="H651" i="20"/>
  <c r="N663" i="20"/>
  <c r="G742" i="20"/>
  <c r="O798" i="20"/>
  <c r="H844" i="20"/>
  <c r="N860" i="20"/>
  <c r="K31" i="21"/>
  <c r="D37" i="21"/>
  <c r="M716" i="20"/>
  <c r="E21" i="21"/>
  <c r="I734" i="20"/>
  <c r="H783" i="20"/>
  <c r="M793" i="20"/>
  <c r="L810" i="20"/>
  <c r="H747" i="20"/>
  <c r="G787" i="20"/>
  <c r="N118" i="20"/>
  <c r="I614" i="20"/>
  <c r="M742" i="20"/>
  <c r="I747" i="20"/>
  <c r="I862" i="20"/>
  <c r="L25" i="21"/>
  <c r="L35" i="21"/>
  <c r="G720" i="20"/>
  <c r="M734" i="20"/>
  <c r="N734" i="20"/>
  <c r="L862" i="20"/>
  <c r="I30" i="21"/>
  <c r="O734" i="20"/>
  <c r="M862" i="20"/>
  <c r="O751" i="20"/>
  <c r="L18" i="21"/>
  <c r="F29" i="21"/>
  <c r="H290" i="20"/>
  <c r="N740" i="20"/>
  <c r="I290" i="20"/>
  <c r="L398" i="20"/>
  <c r="M419" i="20"/>
  <c r="H805" i="20"/>
  <c r="E19" i="21"/>
  <c r="K22" i="21"/>
  <c r="J23" i="21"/>
  <c r="E25" i="21"/>
  <c r="G33" i="21"/>
  <c r="L38" i="21"/>
  <c r="M128" i="20"/>
  <c r="J355" i="20"/>
  <c r="G52" i="21" s="1"/>
  <c r="G416" i="20"/>
  <c r="G498" i="20"/>
  <c r="H742" i="20"/>
  <c r="M749" i="20"/>
  <c r="N785" i="20"/>
  <c r="L789" i="20"/>
  <c r="I844" i="20"/>
  <c r="G851" i="20"/>
  <c r="O860" i="20"/>
  <c r="N620" i="20"/>
  <c r="I851" i="20"/>
  <c r="E37" i="21"/>
  <c r="O716" i="20"/>
  <c r="N793" i="20"/>
  <c r="K19" i="21"/>
  <c r="O493" i="20"/>
  <c r="L557" i="20"/>
  <c r="D18" i="21"/>
  <c r="G519" i="20"/>
  <c r="O816" i="20"/>
  <c r="L133" i="21"/>
  <c r="M126" i="20"/>
  <c r="G774" i="20"/>
  <c r="I808" i="20"/>
  <c r="D134" i="21"/>
  <c r="F34" i="21"/>
  <c r="L37" i="21"/>
  <c r="O395" i="20"/>
  <c r="H403" i="20"/>
  <c r="O647" i="20"/>
  <c r="I860" i="20"/>
  <c r="O869" i="20"/>
  <c r="I134" i="21"/>
  <c r="M120" i="20"/>
  <c r="K48" i="21"/>
  <c r="M496" i="20"/>
  <c r="L555" i="20"/>
  <c r="L744" i="20"/>
  <c r="I785" i="20"/>
  <c r="F23" i="21"/>
  <c r="N774" i="20"/>
  <c r="H789" i="20"/>
  <c r="L855" i="20"/>
  <c r="K134" i="21"/>
  <c r="H22" i="21"/>
  <c r="H29" i="21"/>
  <c r="I38" i="21"/>
  <c r="I393" i="20"/>
  <c r="O774" i="20"/>
  <c r="G871" i="20"/>
  <c r="L134" i="21"/>
  <c r="F19" i="21"/>
  <c r="L22" i="21"/>
  <c r="K23" i="21"/>
  <c r="D27" i="21"/>
  <c r="H33" i="21"/>
  <c r="H122" i="20"/>
  <c r="N128" i="20"/>
  <c r="K355" i="20"/>
  <c r="H52" i="21" s="1"/>
  <c r="G53" i="21"/>
  <c r="H416" i="20"/>
  <c r="G557" i="20"/>
  <c r="M620" i="20"/>
  <c r="H637" i="20"/>
  <c r="G661" i="20"/>
  <c r="O736" i="20"/>
  <c r="M789" i="20"/>
  <c r="C85" i="21"/>
  <c r="C130" i="21"/>
  <c r="C94" i="21"/>
  <c r="C103" i="21"/>
  <c r="C114" i="21"/>
  <c r="C88" i="21"/>
  <c r="C72" i="21"/>
  <c r="C120" i="21"/>
  <c r="F518" i="20"/>
  <c r="C109" i="21"/>
  <c r="F873" i="20"/>
  <c r="C116" i="21"/>
  <c r="F846" i="20"/>
  <c r="C56" i="21"/>
  <c r="C65" i="21"/>
  <c r="C83" i="21"/>
  <c r="F19" i="20"/>
  <c r="F487" i="20"/>
  <c r="F85" i="20"/>
  <c r="F354" i="20"/>
  <c r="C59" i="21"/>
  <c r="F95" i="20"/>
  <c r="C81" i="21"/>
  <c r="C69" i="21"/>
  <c r="C61" i="21"/>
  <c r="C66" i="21"/>
  <c r="F30" i="20"/>
  <c r="F730" i="20"/>
  <c r="C128" i="21"/>
  <c r="C129" i="21"/>
  <c r="C93" i="21"/>
  <c r="F619" i="20"/>
  <c r="C119" i="21"/>
  <c r="C95" i="21"/>
  <c r="C67" i="21"/>
  <c r="C73" i="21"/>
  <c r="C110" i="21"/>
  <c r="C54" i="21"/>
  <c r="C75" i="21"/>
  <c r="C123" i="21"/>
  <c r="C127" i="21"/>
  <c r="C98" i="21"/>
  <c r="C82" i="21"/>
  <c r="K34" i="21"/>
  <c r="L46" i="21"/>
  <c r="L47" i="21"/>
  <c r="I29" i="21"/>
  <c r="J91" i="20"/>
  <c r="J90" i="20" s="1"/>
  <c r="H41" i="21"/>
  <c r="I42" i="21"/>
  <c r="K26" i="21"/>
  <c r="I32" i="21"/>
  <c r="H50" i="21"/>
  <c r="F25" i="21"/>
  <c r="I50" i="20"/>
  <c r="J28" i="21"/>
  <c r="F35" i="21"/>
  <c r="M101" i="20"/>
  <c r="J36" i="21"/>
  <c r="K36" i="21"/>
  <c r="K41" i="21"/>
  <c r="L42" i="21"/>
  <c r="L49" i="21"/>
  <c r="J50" i="21"/>
  <c r="I51" i="21"/>
  <c r="E24" i="21"/>
  <c r="L28" i="21"/>
  <c r="G31" i="21"/>
  <c r="L32" i="21"/>
  <c r="L36" i="21"/>
  <c r="D40" i="21"/>
  <c r="L41" i="21"/>
  <c r="K50" i="21"/>
  <c r="J51" i="21"/>
  <c r="J34" i="21"/>
  <c r="J46" i="21"/>
  <c r="J48" i="21"/>
  <c r="G116" i="20"/>
  <c r="I41" i="21"/>
  <c r="I43" i="21"/>
  <c r="G51" i="21"/>
  <c r="E31" i="21"/>
  <c r="J43" i="21"/>
  <c r="K49" i="21"/>
  <c r="I50" i="21"/>
  <c r="G403" i="20"/>
  <c r="K28" i="21"/>
  <c r="F31" i="21"/>
  <c r="H17" i="21"/>
  <c r="F24" i="21"/>
  <c r="L49" i="20"/>
  <c r="I25" i="21"/>
  <c r="L50" i="21"/>
  <c r="K51" i="21"/>
  <c r="I17" i="21"/>
  <c r="G37" i="20"/>
  <c r="D22" i="21"/>
  <c r="G24" i="21"/>
  <c r="M50" i="20"/>
  <c r="J25" i="21"/>
  <c r="I31" i="21"/>
  <c r="D34" i="21"/>
  <c r="J35" i="21"/>
  <c r="F40" i="21"/>
  <c r="D47" i="21"/>
  <c r="L51" i="21"/>
  <c r="I47" i="21"/>
  <c r="K46" i="21"/>
  <c r="D42" i="21"/>
  <c r="M416" i="20"/>
  <c r="I28" i="21"/>
  <c r="D31" i="21"/>
  <c r="E35" i="21"/>
  <c r="J49" i="21"/>
  <c r="L26" i="21"/>
  <c r="J32" i="21"/>
  <c r="J41" i="21"/>
  <c r="K42" i="21"/>
  <c r="H51" i="21"/>
  <c r="D24" i="21"/>
  <c r="G25" i="21"/>
  <c r="J50" i="20"/>
  <c r="K32" i="21"/>
  <c r="E40" i="21"/>
  <c r="J17" i="21"/>
  <c r="L31" i="20"/>
  <c r="I20" i="21"/>
  <c r="E22" i="21"/>
  <c r="H24" i="21"/>
  <c r="N50" i="20"/>
  <c r="K25" i="21"/>
  <c r="D30" i="21"/>
  <c r="J31" i="21"/>
  <c r="E34" i="21"/>
  <c r="K35" i="21"/>
  <c r="G40" i="21"/>
  <c r="H45" i="21"/>
  <c r="E46" i="21"/>
  <c r="E47" i="21"/>
  <c r="L24" i="21"/>
  <c r="E27" i="21"/>
  <c r="I37" i="21"/>
  <c r="D35" i="21"/>
  <c r="H43" i="21"/>
  <c r="J42" i="21"/>
  <c r="K17" i="21"/>
  <c r="J20" i="21"/>
  <c r="J44" i="21"/>
  <c r="I45" i="21"/>
  <c r="F46" i="21"/>
  <c r="F47" i="21"/>
  <c r="D48" i="21"/>
  <c r="L17" i="21"/>
  <c r="G28" i="20"/>
  <c r="D19" i="21"/>
  <c r="D23" i="21"/>
  <c r="J24" i="21"/>
  <c r="F30" i="21"/>
  <c r="L31" i="21"/>
  <c r="G34" i="21"/>
  <c r="K44" i="21"/>
  <c r="J45" i="21"/>
  <c r="G46" i="21"/>
  <c r="G47" i="21"/>
  <c r="E48" i="21"/>
  <c r="H53" i="21"/>
  <c r="K380" i="20"/>
  <c r="H55" i="21" s="1"/>
  <c r="E23" i="21"/>
  <c r="K24" i="21"/>
  <c r="D29" i="21"/>
  <c r="G30" i="21"/>
  <c r="H34" i="21"/>
  <c r="O109" i="20"/>
  <c r="L44" i="21"/>
  <c r="K45" i="21"/>
  <c r="H46" i="21"/>
  <c r="H47" i="21"/>
  <c r="F48" i="21"/>
  <c r="N428" i="20"/>
  <c r="I19" i="21"/>
  <c r="I34" i="20"/>
  <c r="F21" i="21"/>
  <c r="D41" i="21"/>
  <c r="E42" i="21"/>
  <c r="D43" i="21"/>
  <c r="L19" i="21"/>
  <c r="L23" i="21"/>
  <c r="E41" i="21"/>
  <c r="F42" i="21"/>
  <c r="E43" i="21"/>
  <c r="F41" i="21"/>
  <c r="G42" i="21"/>
  <c r="F43" i="21"/>
  <c r="H364" i="20"/>
  <c r="L34" i="20"/>
  <c r="I21" i="21"/>
  <c r="G41" i="21"/>
  <c r="H42" i="21"/>
  <c r="G43" i="21"/>
  <c r="N787" i="20"/>
  <c r="L851" i="20"/>
  <c r="L860" i="20"/>
  <c r="H40" i="21"/>
  <c r="K43" i="21"/>
  <c r="D44" i="21"/>
  <c r="O281" i="20"/>
  <c r="L48" i="21"/>
  <c r="D49" i="21"/>
  <c r="F26" i="21"/>
  <c r="I27" i="21"/>
  <c r="D28" i="21"/>
  <c r="J29" i="21"/>
  <c r="D32" i="21"/>
  <c r="I33" i="21"/>
  <c r="I40" i="21"/>
  <c r="L43" i="21"/>
  <c r="E44" i="21"/>
  <c r="D17" i="21"/>
  <c r="G26" i="21"/>
  <c r="J27" i="21"/>
  <c r="E28" i="21"/>
  <c r="K29" i="21"/>
  <c r="E32" i="21"/>
  <c r="J33" i="21"/>
  <c r="J40" i="21"/>
  <c r="F44" i="21"/>
  <c r="D45" i="21"/>
  <c r="F49" i="21"/>
  <c r="D50" i="21"/>
  <c r="E17" i="21"/>
  <c r="O34" i="20"/>
  <c r="L21" i="21"/>
  <c r="H26" i="21"/>
  <c r="K27" i="21"/>
  <c r="F28" i="21"/>
  <c r="L29" i="21"/>
  <c r="F32" i="21"/>
  <c r="K33" i="21"/>
  <c r="K40" i="21"/>
  <c r="G44" i="21"/>
  <c r="E45" i="21"/>
  <c r="G49" i="21"/>
  <c r="E50" i="21"/>
  <c r="D51" i="21"/>
  <c r="F17" i="21"/>
  <c r="I26" i="21"/>
  <c r="L27" i="21"/>
  <c r="G28" i="21"/>
  <c r="G32" i="21"/>
  <c r="L33" i="21"/>
  <c r="E36" i="21"/>
  <c r="L40" i="21"/>
  <c r="H44" i="21"/>
  <c r="F45" i="21"/>
  <c r="H49" i="21"/>
  <c r="F50" i="21"/>
  <c r="E51" i="21"/>
  <c r="G17" i="21"/>
  <c r="F20" i="21"/>
  <c r="J26" i="21"/>
  <c r="H28" i="21"/>
  <c r="H32" i="21"/>
  <c r="I101" i="20"/>
  <c r="F36" i="21"/>
  <c r="I44" i="21"/>
  <c r="G45" i="21"/>
  <c r="D46" i="21"/>
  <c r="I49" i="21"/>
  <c r="G50" i="21"/>
  <c r="F51" i="21"/>
  <c r="L500" i="20"/>
  <c r="M720" i="20"/>
  <c r="G785" i="20"/>
  <c r="O620" i="20"/>
  <c r="L608" i="20"/>
  <c r="N610" i="20"/>
  <c r="I645" i="20"/>
  <c r="H117" i="21"/>
  <c r="G783" i="20"/>
  <c r="J47" i="21"/>
  <c r="G48" i="21"/>
  <c r="N290" i="20"/>
  <c r="O855" i="20"/>
  <c r="H740" i="20"/>
  <c r="G118" i="21"/>
  <c r="K726" i="20"/>
  <c r="H106" i="21" s="1"/>
  <c r="L731" i="20"/>
  <c r="H118" i="21"/>
  <c r="G722" i="20"/>
  <c r="H787" i="20"/>
  <c r="E49" i="21"/>
  <c r="G651" i="20"/>
  <c r="H722" i="20"/>
  <c r="G805" i="20"/>
  <c r="L871" i="20"/>
  <c r="H819" i="20"/>
  <c r="J81" i="20"/>
  <c r="H406" i="20"/>
  <c r="K31" i="20"/>
  <c r="K30" i="20" s="1"/>
  <c r="K45" i="20"/>
  <c r="H52" i="20"/>
  <c r="J58" i="20"/>
  <c r="J57" i="20" s="1"/>
  <c r="J56" i="20" s="1"/>
  <c r="N559" i="20"/>
  <c r="O128" i="20"/>
  <c r="G192" i="20"/>
  <c r="I126" i="20"/>
  <c r="H557" i="20"/>
  <c r="M290" i="20"/>
  <c r="L120" i="20"/>
  <c r="N122" i="20"/>
  <c r="G126" i="20"/>
  <c r="L128" i="20"/>
  <c r="N116" i="20"/>
  <c r="G120" i="20"/>
  <c r="M551" i="20"/>
  <c r="G496" i="20"/>
  <c r="N498" i="20"/>
  <c r="I96" i="20"/>
  <c r="O126" i="20"/>
  <c r="I428" i="20"/>
  <c r="O608" i="20"/>
  <c r="O326" i="20"/>
  <c r="O553" i="20"/>
  <c r="G551" i="20"/>
  <c r="H500" i="20"/>
  <c r="I551" i="20"/>
  <c r="O789" i="20"/>
  <c r="L614" i="20"/>
  <c r="K762" i="20"/>
  <c r="N491" i="20"/>
  <c r="K63" i="20"/>
  <c r="O67" i="20"/>
  <c r="M91" i="20"/>
  <c r="M132" i="20"/>
  <c r="I639" i="20"/>
  <c r="G793" i="20"/>
  <c r="I749" i="20"/>
  <c r="K593" i="20"/>
  <c r="N798" i="20"/>
  <c r="G816" i="20"/>
  <c r="K343" i="20"/>
  <c r="K412" i="20"/>
  <c r="I496" i="20"/>
  <c r="N647" i="20"/>
  <c r="O667" i="20"/>
  <c r="O722" i="20"/>
  <c r="N553" i="20"/>
  <c r="M645" i="20"/>
  <c r="O651" i="20"/>
  <c r="N653" i="20"/>
  <c r="K317" i="20"/>
  <c r="N488" i="20"/>
  <c r="J25" i="20"/>
  <c r="J24" i="20" s="1"/>
  <c r="K72" i="20"/>
  <c r="K71" i="20" s="1"/>
  <c r="L149" i="20"/>
  <c r="H25" i="20"/>
  <c r="M63" i="20"/>
  <c r="L67" i="20"/>
  <c r="L124" i="20"/>
  <c r="L201" i="20"/>
  <c r="I25" i="20"/>
  <c r="G395" i="20"/>
  <c r="I555" i="20"/>
  <c r="J334" i="20"/>
  <c r="L343" i="20"/>
  <c r="K52" i="20"/>
  <c r="O500" i="20"/>
  <c r="N166" i="20"/>
  <c r="N49" i="20"/>
  <c r="J77" i="20"/>
  <c r="N86" i="20"/>
  <c r="G91" i="20"/>
  <c r="G509" i="20"/>
  <c r="O555" i="20"/>
  <c r="N496" i="20"/>
  <c r="L25" i="20"/>
  <c r="G506" i="20"/>
  <c r="O355" i="20"/>
  <c r="N120" i="20"/>
  <c r="G128" i="20"/>
  <c r="G559" i="20"/>
  <c r="O561" i="20"/>
  <c r="G118" i="20"/>
  <c r="M109" i="20"/>
  <c r="K201" i="20"/>
  <c r="N380" i="20"/>
  <c r="H395" i="20"/>
  <c r="M28" i="20"/>
  <c r="G184" i="20"/>
  <c r="I264" i="20"/>
  <c r="I395" i="20"/>
  <c r="H488" i="20"/>
  <c r="K264" i="20"/>
  <c r="J255" i="20"/>
  <c r="J63" i="20"/>
  <c r="O101" i="20"/>
  <c r="H398" i="20"/>
  <c r="N72" i="20"/>
  <c r="J395" i="20"/>
  <c r="J392" i="20" s="1"/>
  <c r="I637" i="20"/>
  <c r="L774" i="20"/>
  <c r="L798" i="20"/>
  <c r="L847" i="20"/>
  <c r="M774" i="20"/>
  <c r="M498" i="20"/>
  <c r="M532" i="20"/>
  <c r="N537" i="20"/>
  <c r="M610" i="20"/>
  <c r="L734" i="20"/>
  <c r="M596" i="20"/>
  <c r="K656" i="20"/>
  <c r="H553" i="20"/>
  <c r="M557" i="20"/>
  <c r="J610" i="20"/>
  <c r="G731" i="20"/>
  <c r="O762" i="20"/>
  <c r="O785" i="20"/>
  <c r="G808" i="20"/>
  <c r="G593" i="20"/>
  <c r="L712" i="20"/>
  <c r="I596" i="20"/>
  <c r="N712" i="20"/>
  <c r="H855" i="20"/>
  <c r="L898" i="20"/>
  <c r="I656" i="20"/>
  <c r="M805" i="20"/>
  <c r="J602" i="20"/>
  <c r="I874" i="20"/>
  <c r="O610" i="20"/>
  <c r="G616" i="20"/>
  <c r="J623" i="20"/>
  <c r="G88" i="21" s="1"/>
  <c r="H647" i="20"/>
  <c r="N819" i="20"/>
  <c r="O819" i="20"/>
  <c r="K874" i="20"/>
  <c r="K873" i="20" s="1"/>
  <c r="G563" i="20"/>
  <c r="O780" i="20"/>
  <c r="N816" i="20"/>
  <c r="H851" i="20"/>
  <c r="I871" i="20"/>
  <c r="J616" i="20"/>
  <c r="G86" i="21" s="1"/>
  <c r="I642" i="20"/>
  <c r="N871" i="20"/>
  <c r="G488" i="20"/>
  <c r="I537" i="20"/>
  <c r="O593" i="20"/>
  <c r="H620" i="20"/>
  <c r="G632" i="20"/>
  <c r="L642" i="20"/>
  <c r="N716" i="20"/>
  <c r="M736" i="20"/>
  <c r="G862" i="20"/>
  <c r="M869" i="20"/>
  <c r="G133" i="21"/>
  <c r="L63" i="20"/>
  <c r="J380" i="20"/>
  <c r="G55" i="21" s="1"/>
  <c r="N519" i="20"/>
  <c r="L639" i="20"/>
  <c r="N642" i="20"/>
  <c r="G749" i="20"/>
  <c r="L355" i="20"/>
  <c r="I488" i="20"/>
  <c r="L620" i="20"/>
  <c r="K623" i="20"/>
  <c r="H88" i="21" s="1"/>
  <c r="I774" i="20"/>
  <c r="G847" i="20"/>
  <c r="G452" i="20"/>
  <c r="H452" i="20"/>
  <c r="I452" i="20"/>
  <c r="J452" i="20"/>
  <c r="G68" i="21" s="1"/>
  <c r="K452" i="20"/>
  <c r="H68" i="21" s="1"/>
  <c r="L452" i="20"/>
  <c r="O452" i="20"/>
  <c r="N452" i="20"/>
  <c r="M452" i="20"/>
  <c r="F298" i="20"/>
  <c r="F263" i="20"/>
  <c r="C124" i="21"/>
  <c r="F76" i="20"/>
  <c r="J281" i="20"/>
  <c r="H317" i="20"/>
  <c r="L364" i="20"/>
  <c r="I559" i="20"/>
  <c r="I403" i="20"/>
  <c r="G493" i="20"/>
  <c r="L41" i="20"/>
  <c r="J31" i="20"/>
  <c r="J30" i="20" s="1"/>
  <c r="K34" i="20"/>
  <c r="K33" i="20" s="1"/>
  <c r="J41" i="20"/>
  <c r="J101" i="20"/>
  <c r="H109" i="20"/>
  <c r="O41" i="20"/>
  <c r="M107" i="20"/>
  <c r="J111" i="20"/>
  <c r="K281" i="20"/>
  <c r="K280" i="20" s="1"/>
  <c r="K25" i="20"/>
  <c r="K24" i="20" s="1"/>
  <c r="N34" i="20"/>
  <c r="N28" i="20"/>
  <c r="N31" i="20"/>
  <c r="I67" i="20"/>
  <c r="N109" i="20"/>
  <c r="H175" i="20"/>
  <c r="H362" i="20"/>
  <c r="K433" i="20"/>
  <c r="H66" i="21" s="1"/>
  <c r="J299" i="20"/>
  <c r="H34" i="20"/>
  <c r="I28" i="20"/>
  <c r="L166" i="20"/>
  <c r="N67" i="20"/>
  <c r="H107" i="20"/>
  <c r="N132" i="20"/>
  <c r="O201" i="20"/>
  <c r="K28" i="20"/>
  <c r="K27" i="20" s="1"/>
  <c r="O120" i="20"/>
  <c r="G67" i="20"/>
  <c r="K101" i="20"/>
  <c r="O28" i="20"/>
  <c r="O31" i="20"/>
  <c r="G49" i="20"/>
  <c r="N91" i="20"/>
  <c r="N101" i="20"/>
  <c r="K111" i="20"/>
  <c r="O184" i="20"/>
  <c r="N273" i="20"/>
  <c r="I362" i="20"/>
  <c r="L498" i="20"/>
  <c r="I398" i="20"/>
  <c r="M86" i="20"/>
  <c r="O157" i="20"/>
  <c r="N81" i="20"/>
  <c r="K228" i="20"/>
  <c r="K49" i="20"/>
  <c r="K50" i="20"/>
  <c r="L50" i="20"/>
  <c r="K91" i="20"/>
  <c r="K90" i="20" s="1"/>
  <c r="L109" i="20"/>
  <c r="M398" i="20"/>
  <c r="G491" i="20"/>
  <c r="J166" i="20"/>
  <c r="H184" i="20"/>
  <c r="J211" i="20"/>
  <c r="J220" i="20"/>
  <c r="I419" i="20"/>
  <c r="H37" i="20"/>
  <c r="L91" i="20"/>
  <c r="G34" i="20"/>
  <c r="N58" i="20"/>
  <c r="L395" i="20"/>
  <c r="G308" i="20"/>
  <c r="M96" i="20"/>
  <c r="I63" i="20"/>
  <c r="K184" i="20"/>
  <c r="J192" i="20"/>
  <c r="O255" i="20"/>
  <c r="K334" i="20"/>
  <c r="G406" i="20"/>
  <c r="N502" i="20"/>
  <c r="O419" i="20"/>
  <c r="H45" i="20"/>
  <c r="I118" i="20"/>
  <c r="H31" i="20"/>
  <c r="K41" i="20"/>
  <c r="G63" i="20"/>
  <c r="K81" i="20"/>
  <c r="G132" i="20"/>
  <c r="K246" i="20"/>
  <c r="H281" i="20"/>
  <c r="O642" i="20"/>
  <c r="J49" i="20"/>
  <c r="H58" i="20"/>
  <c r="G124" i="20"/>
  <c r="K192" i="20"/>
  <c r="O220" i="20"/>
  <c r="N403" i="20"/>
  <c r="L496" i="20"/>
  <c r="H355" i="20"/>
  <c r="O506" i="20"/>
  <c r="I491" i="20"/>
  <c r="O559" i="20"/>
  <c r="J20" i="20"/>
  <c r="J19" i="20" s="1"/>
  <c r="J37" i="20"/>
  <c r="J36" i="20" s="1"/>
  <c r="K58" i="20"/>
  <c r="K57" i="20" s="1"/>
  <c r="K56" i="20" s="1"/>
  <c r="H299" i="20"/>
  <c r="M355" i="20"/>
  <c r="K370" i="20"/>
  <c r="L393" i="20"/>
  <c r="N395" i="20"/>
  <c r="O398" i="20"/>
  <c r="H448" i="20"/>
  <c r="K20" i="20"/>
  <c r="K19" i="20" s="1"/>
  <c r="N45" i="20"/>
  <c r="G111" i="20"/>
  <c r="M393" i="20"/>
  <c r="M433" i="20"/>
  <c r="I448" i="20"/>
  <c r="G25" i="20"/>
  <c r="O45" i="20"/>
  <c r="J86" i="20"/>
  <c r="J85" i="20" s="1"/>
  <c r="G107" i="20"/>
  <c r="N111" i="20"/>
  <c r="G122" i="20"/>
  <c r="K132" i="20"/>
  <c r="J308" i="20"/>
  <c r="I355" i="20"/>
  <c r="J34" i="20"/>
  <c r="J33" i="20" s="1"/>
  <c r="M49" i="20"/>
  <c r="O308" i="20"/>
  <c r="M326" i="20"/>
  <c r="H419" i="20"/>
  <c r="N433" i="20"/>
  <c r="O537" i="20"/>
  <c r="L334" i="20"/>
  <c r="H343" i="20"/>
  <c r="I370" i="20"/>
  <c r="O412" i="20"/>
  <c r="J433" i="20"/>
  <c r="G66" i="21" s="1"/>
  <c r="H70" i="21"/>
  <c r="O551" i="20"/>
  <c r="H561" i="20"/>
  <c r="M31" i="20"/>
  <c r="L416" i="20"/>
  <c r="H428" i="20"/>
  <c r="G380" i="20"/>
  <c r="G56" i="21"/>
  <c r="N532" i="20"/>
  <c r="N600" i="20"/>
  <c r="H308" i="20"/>
  <c r="O523" i="20"/>
  <c r="L28" i="20"/>
  <c r="I31" i="20"/>
  <c r="G72" i="20"/>
  <c r="K86" i="20"/>
  <c r="K85" i="20" s="1"/>
  <c r="K96" i="20"/>
  <c r="K95" i="20" s="1"/>
  <c r="G428" i="20"/>
  <c r="G602" i="20"/>
  <c r="L101" i="20"/>
  <c r="H493" i="20"/>
  <c r="I653" i="20"/>
  <c r="O656" i="20"/>
  <c r="H491" i="20"/>
  <c r="M509" i="20"/>
  <c r="I553" i="20"/>
  <c r="L616" i="20"/>
  <c r="L175" i="20"/>
  <c r="I281" i="20"/>
  <c r="M380" i="20"/>
  <c r="N509" i="20"/>
  <c r="L506" i="20"/>
  <c r="M519" i="20"/>
  <c r="J578" i="20"/>
  <c r="G620" i="20"/>
  <c r="O557" i="20"/>
  <c r="L632" i="20"/>
  <c r="O645" i="20"/>
  <c r="O519" i="20"/>
  <c r="G614" i="20"/>
  <c r="K133" i="21"/>
  <c r="H616" i="20"/>
  <c r="I663" i="20"/>
  <c r="K667" i="20"/>
  <c r="H100" i="21" s="1"/>
  <c r="J821" i="20"/>
  <c r="M847" i="20"/>
  <c r="M851" i="20"/>
  <c r="L419" i="20"/>
  <c r="J502" i="20"/>
  <c r="G77" i="21" s="1"/>
  <c r="H519" i="20"/>
  <c r="I543" i="20"/>
  <c r="N557" i="20"/>
  <c r="K578" i="20"/>
  <c r="K596" i="20"/>
  <c r="G610" i="20"/>
  <c r="H661" i="20"/>
  <c r="G726" i="20"/>
  <c r="N810" i="20"/>
  <c r="M836" i="20"/>
  <c r="O851" i="20"/>
  <c r="H871" i="20"/>
  <c r="K881" i="20"/>
  <c r="K880" i="20" s="1"/>
  <c r="K879" i="20" s="1"/>
  <c r="K878" i="20" s="1"/>
  <c r="K563" i="20"/>
  <c r="G596" i="20"/>
  <c r="O616" i="20"/>
  <c r="M651" i="20"/>
  <c r="O726" i="20"/>
  <c r="O810" i="20"/>
  <c r="N593" i="20"/>
  <c r="L596" i="20"/>
  <c r="N651" i="20"/>
  <c r="M653" i="20"/>
  <c r="M661" i="20"/>
  <c r="G780" i="20"/>
  <c r="M785" i="20"/>
  <c r="L805" i="20"/>
  <c r="N808" i="20"/>
  <c r="O836" i="20"/>
  <c r="H726" i="20"/>
  <c r="N762" i="20"/>
  <c r="H600" i="20"/>
  <c r="N602" i="20"/>
  <c r="H610" i="20"/>
  <c r="L747" i="20"/>
  <c r="N756" i="20"/>
  <c r="J874" i="20"/>
  <c r="J873" i="20" s="1"/>
  <c r="H506" i="20"/>
  <c r="L600" i="20"/>
  <c r="G656" i="20"/>
  <c r="O747" i="20"/>
  <c r="L749" i="20"/>
  <c r="K756" i="20"/>
  <c r="I821" i="20"/>
  <c r="K836" i="20"/>
  <c r="N506" i="20"/>
  <c r="J532" i="20"/>
  <c r="G82" i="21" s="1"/>
  <c r="K610" i="20"/>
  <c r="I722" i="20"/>
  <c r="M787" i="20"/>
  <c r="I798" i="20"/>
  <c r="M756" i="20"/>
  <c r="I762" i="20"/>
  <c r="L610" i="20"/>
  <c r="H632" i="20"/>
  <c r="J656" i="20"/>
  <c r="G97" i="21" s="1"/>
  <c r="H716" i="20"/>
  <c r="H720" i="20"/>
  <c r="L722" i="20"/>
  <c r="N211" i="20"/>
  <c r="O237" i="20"/>
  <c r="M281" i="20"/>
  <c r="O299" i="20"/>
  <c r="N616" i="20"/>
  <c r="I714" i="20"/>
  <c r="L720" i="20"/>
  <c r="O896" i="20"/>
  <c r="H623" i="20"/>
  <c r="M712" i="20"/>
  <c r="G740" i="20"/>
  <c r="J134" i="21"/>
  <c r="D133" i="21"/>
  <c r="J593" i="20"/>
  <c r="E133" i="21"/>
  <c r="H639" i="20"/>
  <c r="J722" i="20"/>
  <c r="F133" i="21"/>
  <c r="O791" i="20"/>
  <c r="K821" i="20"/>
  <c r="L491" i="20"/>
  <c r="G532" i="20"/>
  <c r="L637" i="20"/>
  <c r="J819" i="20"/>
  <c r="N821" i="20"/>
  <c r="H133" i="21"/>
  <c r="I133" i="21"/>
  <c r="L578" i="20"/>
  <c r="I667" i="20"/>
  <c r="I855" i="20"/>
  <c r="J133" i="21"/>
  <c r="F90" i="20"/>
  <c r="F400" i="20"/>
  <c r="F280" i="20"/>
  <c r="C118" i="21"/>
  <c r="F333" i="20"/>
  <c r="F719" i="20"/>
  <c r="C115" i="21"/>
  <c r="F450" i="20"/>
  <c r="F676" i="20"/>
  <c r="K895" i="20"/>
  <c r="K894" i="20" s="1"/>
  <c r="K893" i="20" s="1"/>
  <c r="K892" i="20" s="1"/>
  <c r="K891" i="20" s="1"/>
  <c r="F71" i="20"/>
  <c r="F530" i="20"/>
  <c r="F859" i="20"/>
  <c r="K487" i="20"/>
  <c r="J505" i="20"/>
  <c r="F427" i="20"/>
  <c r="K427" i="20"/>
  <c r="K426" i="20" s="1"/>
  <c r="K425" i="20" s="1"/>
  <c r="F850" i="20"/>
  <c r="F843" i="20"/>
  <c r="F316" i="20"/>
  <c r="F40" i="20"/>
  <c r="F815" i="20"/>
  <c r="F854" i="20"/>
  <c r="K815" i="20"/>
  <c r="K814" i="20" s="1"/>
  <c r="C58" i="21"/>
  <c r="F418" i="20"/>
  <c r="C64" i="21"/>
  <c r="F480" i="20"/>
  <c r="C70" i="21"/>
  <c r="K650" i="20"/>
  <c r="F27" i="20"/>
  <c r="F392" i="20"/>
  <c r="C57" i="21"/>
  <c r="F36" i="20"/>
  <c r="K392" i="20"/>
  <c r="C55" i="21"/>
  <c r="C62" i="21"/>
  <c r="F409" i="20"/>
  <c r="K400" i="20"/>
  <c r="K518" i="20"/>
  <c r="C74" i="21"/>
  <c r="F495" i="20"/>
  <c r="J361" i="20"/>
  <c r="J360" i="20" s="1"/>
  <c r="J359" i="20" s="1"/>
  <c r="J358" i="20" s="1"/>
  <c r="K397" i="20"/>
  <c r="F210" i="20"/>
  <c r="K418" i="20"/>
  <c r="C52" i="21"/>
  <c r="K415" i="20"/>
  <c r="F24" i="20"/>
  <c r="K490" i="20"/>
  <c r="J619" i="20"/>
  <c r="K777" i="20"/>
  <c r="C92" i="21"/>
  <c r="K807" i="20"/>
  <c r="J711" i="20"/>
  <c r="J710" i="20" s="1"/>
  <c r="J804" i="20"/>
  <c r="J803" i="20" s="1"/>
  <c r="C112" i="21"/>
  <c r="K850" i="20"/>
  <c r="K849" i="20" s="1"/>
  <c r="C53" i="21"/>
  <c r="F447" i="20"/>
  <c r="C68" i="21"/>
  <c r="J641" i="20"/>
  <c r="F650" i="20"/>
  <c r="C96" i="21"/>
  <c r="J490" i="20"/>
  <c r="K730" i="20"/>
  <c r="C108" i="21"/>
  <c r="K843" i="20"/>
  <c r="C78" i="21"/>
  <c r="J518" i="20"/>
  <c r="C113" i="21"/>
  <c r="J846" i="20"/>
  <c r="C87" i="21"/>
  <c r="J636" i="20"/>
  <c r="K644" i="20"/>
  <c r="C100" i="21"/>
  <c r="F777" i="20"/>
  <c r="C117" i="21"/>
  <c r="F508" i="20"/>
  <c r="C79" i="21"/>
  <c r="K636" i="20"/>
  <c r="C122" i="21"/>
  <c r="C76" i="21"/>
  <c r="C80" i="21"/>
  <c r="K804" i="20"/>
  <c r="K803" i="20" s="1"/>
  <c r="J815" i="20"/>
  <c r="J814" i="20" s="1"/>
  <c r="K619" i="20"/>
  <c r="F622" i="20"/>
  <c r="C89" i="21"/>
  <c r="F711" i="20"/>
  <c r="C102" i="21"/>
  <c r="C107" i="21"/>
  <c r="C121" i="21"/>
  <c r="C86" i="21"/>
  <c r="C77" i="21"/>
  <c r="C97" i="21"/>
  <c r="C99" i="21"/>
  <c r="K711" i="20"/>
  <c r="K710" i="20" s="1"/>
  <c r="C111" i="21"/>
  <c r="J895" i="20"/>
  <c r="J894" i="20" s="1"/>
  <c r="J893" i="20" s="1"/>
  <c r="J892" i="20" s="1"/>
  <c r="J891" i="20" s="1"/>
  <c r="J730" i="20"/>
  <c r="J859" i="20"/>
  <c r="J858" i="20" s="1"/>
  <c r="C131" i="21"/>
  <c r="J773" i="20"/>
  <c r="J772" i="20" s="1"/>
  <c r="C104" i="21"/>
  <c r="F725" i="20"/>
  <c r="C106" i="21"/>
  <c r="F773" i="20"/>
  <c r="J782" i="20"/>
  <c r="K868" i="20"/>
  <c r="K865" i="20" s="1"/>
  <c r="F868" i="20"/>
  <c r="C132" i="21"/>
  <c r="C71" i="21"/>
  <c r="J397" i="20"/>
  <c r="J447" i="20"/>
  <c r="F138" i="20"/>
  <c r="F156" i="20"/>
  <c r="J427" i="20"/>
  <c r="J426" i="20" s="1"/>
  <c r="J425" i="20" s="1"/>
  <c r="C126" i="21"/>
  <c r="J854" i="20"/>
  <c r="J853" i="20" s="1"/>
  <c r="K505" i="20"/>
  <c r="F733" i="20"/>
  <c r="K773" i="20"/>
  <c r="K772" i="20" s="1"/>
  <c r="C125" i="21"/>
  <c r="K859" i="20"/>
  <c r="K858" i="20" s="1"/>
  <c r="F636" i="20"/>
  <c r="C90" i="21"/>
  <c r="C91" i="21"/>
  <c r="C105" i="21"/>
  <c r="K846" i="20"/>
  <c r="C60" i="21"/>
  <c r="J400" i="20"/>
  <c r="C84" i="21"/>
  <c r="K361" i="20"/>
  <c r="K360" i="20" s="1"/>
  <c r="K359" i="20" s="1"/>
  <c r="K358" i="20" s="1"/>
  <c r="K447" i="20"/>
  <c r="J405" i="20"/>
  <c r="K405" i="20"/>
  <c r="F415" i="20"/>
  <c r="C63" i="21"/>
  <c r="K641" i="20"/>
  <c r="G881" i="20"/>
  <c r="F880" i="20"/>
  <c r="F227" i="20"/>
  <c r="G41" i="20"/>
  <c r="O139" i="20"/>
  <c r="N201" i="20"/>
  <c r="I201" i="20"/>
  <c r="G326" i="20"/>
  <c r="G45" i="20"/>
  <c r="M116" i="20"/>
  <c r="G237" i="20"/>
  <c r="L72" i="20"/>
  <c r="L107" i="20"/>
  <c r="H67" i="20"/>
  <c r="O273" i="20"/>
  <c r="F191" i="20"/>
  <c r="L122" i="20"/>
  <c r="O166" i="20"/>
  <c r="L86" i="20"/>
  <c r="I255" i="20"/>
  <c r="G58" i="20"/>
  <c r="J290" i="20"/>
  <c r="I72" i="20"/>
  <c r="M34" i="20"/>
  <c r="M111" i="20"/>
  <c r="F33" i="20"/>
  <c r="N37" i="20"/>
  <c r="J96" i="20"/>
  <c r="J95" i="20" s="1"/>
  <c r="J52" i="20"/>
  <c r="G228" i="20"/>
  <c r="L81" i="20"/>
  <c r="M37" i="20"/>
  <c r="H41" i="20"/>
  <c r="O86" i="20"/>
  <c r="G52" i="20"/>
  <c r="H91" i="20"/>
  <c r="I132" i="20"/>
  <c r="G81" i="20"/>
  <c r="F62" i="20"/>
  <c r="H96" i="20"/>
  <c r="L37" i="20"/>
  <c r="I91" i="20"/>
  <c r="O192" i="20"/>
  <c r="H412" i="20"/>
  <c r="H149" i="20"/>
  <c r="H166" i="20"/>
  <c r="H246" i="20"/>
  <c r="G317" i="20"/>
  <c r="N175" i="20"/>
  <c r="L237" i="20"/>
  <c r="N255" i="20"/>
  <c r="F174" i="20"/>
  <c r="L228" i="20"/>
  <c r="G77" i="20"/>
  <c r="I81" i="20"/>
  <c r="N96" i="20"/>
  <c r="J343" i="20"/>
  <c r="H77" i="20"/>
  <c r="F106" i="20"/>
  <c r="G157" i="20"/>
  <c r="O175" i="20"/>
  <c r="M192" i="20"/>
  <c r="H220" i="20"/>
  <c r="N52" i="20"/>
  <c r="O96" i="20"/>
  <c r="O116" i="20"/>
  <c r="M124" i="20"/>
  <c r="N157" i="20"/>
  <c r="L211" i="20"/>
  <c r="I220" i="20"/>
  <c r="G246" i="20"/>
  <c r="I37" i="20"/>
  <c r="O77" i="20"/>
  <c r="H111" i="20"/>
  <c r="N124" i="20"/>
  <c r="J184" i="20"/>
  <c r="J370" i="20"/>
  <c r="G54" i="21" s="1"/>
  <c r="M25" i="20"/>
  <c r="J149" i="20"/>
  <c r="I211" i="20"/>
  <c r="G362" i="20"/>
  <c r="L20" i="20"/>
  <c r="N25" i="20"/>
  <c r="M41" i="20"/>
  <c r="O49" i="20"/>
  <c r="I58" i="20"/>
  <c r="M58" i="20"/>
  <c r="K77" i="20"/>
  <c r="H139" i="20"/>
  <c r="M20" i="20"/>
  <c r="O25" i="20"/>
  <c r="N41" i="20"/>
  <c r="H72" i="20"/>
  <c r="L77" i="20"/>
  <c r="L96" i="20"/>
  <c r="M184" i="20"/>
  <c r="L220" i="20"/>
  <c r="F384" i="20"/>
  <c r="M77" i="20"/>
  <c r="O20" i="20"/>
  <c r="L58" i="20"/>
  <c r="L139" i="20"/>
  <c r="I41" i="20"/>
  <c r="M52" i="20"/>
  <c r="H86" i="20"/>
  <c r="I109" i="20"/>
  <c r="M118" i="20"/>
  <c r="N149" i="20"/>
  <c r="I166" i="20"/>
  <c r="G175" i="20"/>
  <c r="G281" i="20"/>
  <c r="I20" i="20"/>
  <c r="L45" i="20"/>
  <c r="O52" i="20"/>
  <c r="O63" i="20"/>
  <c r="M81" i="20"/>
  <c r="N126" i="20"/>
  <c r="G130" i="20"/>
  <c r="G255" i="20"/>
  <c r="L362" i="20"/>
  <c r="G299" i="20"/>
  <c r="G20" i="20"/>
  <c r="I45" i="20"/>
  <c r="L52" i="20"/>
  <c r="G139" i="20"/>
  <c r="I192" i="20"/>
  <c r="L246" i="20"/>
  <c r="H273" i="20"/>
  <c r="H20" i="20"/>
  <c r="K67" i="20"/>
  <c r="M72" i="20"/>
  <c r="H124" i="20"/>
  <c r="M139" i="20"/>
  <c r="M45" i="20"/>
  <c r="O50" i="20"/>
  <c r="O72" i="20"/>
  <c r="O81" i="20"/>
  <c r="I130" i="20"/>
  <c r="K157" i="20"/>
  <c r="O211" i="20"/>
  <c r="G96" i="20"/>
  <c r="K139" i="20"/>
  <c r="N184" i="20"/>
  <c r="I228" i="20"/>
  <c r="L273" i="20"/>
  <c r="N20" i="20"/>
  <c r="K37" i="20"/>
  <c r="K36" i="20" s="1"/>
  <c r="F57" i="20"/>
  <c r="N63" i="20"/>
  <c r="I77" i="20"/>
  <c r="O91" i="20"/>
  <c r="G109" i="20"/>
  <c r="O124" i="20"/>
  <c r="N326" i="20"/>
  <c r="L255" i="20"/>
  <c r="M264" i="20"/>
  <c r="H380" i="20"/>
  <c r="G166" i="20"/>
  <c r="K299" i="20"/>
  <c r="G290" i="20"/>
  <c r="I299" i="20"/>
  <c r="N355" i="20"/>
  <c r="I139" i="20"/>
  <c r="G149" i="20"/>
  <c r="M166" i="20"/>
  <c r="L184" i="20"/>
  <c r="L192" i="20"/>
  <c r="M211" i="20"/>
  <c r="O228" i="20"/>
  <c r="H255" i="20"/>
  <c r="O362" i="20"/>
  <c r="O37" i="20"/>
  <c r="O58" i="20"/>
  <c r="J67" i="20"/>
  <c r="J72" i="20"/>
  <c r="J71" i="20" s="1"/>
  <c r="G86" i="20"/>
  <c r="H132" i="20"/>
  <c r="J139" i="20"/>
  <c r="I149" i="20"/>
  <c r="I157" i="20"/>
  <c r="N334" i="20"/>
  <c r="J28" i="20"/>
  <c r="M130" i="20"/>
  <c r="K149" i="20"/>
  <c r="M175" i="20"/>
  <c r="I246" i="20"/>
  <c r="K255" i="20"/>
  <c r="I412" i="20"/>
  <c r="J45" i="20"/>
  <c r="M122" i="20"/>
  <c r="J264" i="20"/>
  <c r="H50" i="20"/>
  <c r="H49" i="20"/>
  <c r="I111" i="20"/>
  <c r="L126" i="20"/>
  <c r="N130" i="20"/>
  <c r="K175" i="20"/>
  <c r="M317" i="20"/>
  <c r="L132" i="20"/>
  <c r="M149" i="20"/>
  <c r="G201" i="20"/>
  <c r="M246" i="20"/>
  <c r="N264" i="20"/>
  <c r="G264" i="20"/>
  <c r="H211" i="20"/>
  <c r="K220" i="20"/>
  <c r="H264" i="20"/>
  <c r="J175" i="20"/>
  <c r="H81" i="20"/>
  <c r="L111" i="20"/>
  <c r="O111" i="20"/>
  <c r="I120" i="20"/>
  <c r="O149" i="20"/>
  <c r="K237" i="20"/>
  <c r="H326" i="20"/>
  <c r="G343" i="20"/>
  <c r="L370" i="20"/>
  <c r="G412" i="20"/>
  <c r="M201" i="20"/>
  <c r="N220" i="20"/>
  <c r="J228" i="20"/>
  <c r="J246" i="20"/>
  <c r="M308" i="20"/>
  <c r="M370" i="20"/>
  <c r="M157" i="20"/>
  <c r="G211" i="20"/>
  <c r="K211" i="20"/>
  <c r="J237" i="20"/>
  <c r="L308" i="20"/>
  <c r="M343" i="20"/>
  <c r="G393" i="20"/>
  <c r="I52" i="20"/>
  <c r="M67" i="20"/>
  <c r="I86" i="20"/>
  <c r="H157" i="20"/>
  <c r="K166" i="20"/>
  <c r="N246" i="20"/>
  <c r="L281" i="20"/>
  <c r="J326" i="20"/>
  <c r="H334" i="20"/>
  <c r="M334" i="20"/>
  <c r="H63" i="20"/>
  <c r="N77" i="20"/>
  <c r="H118" i="20"/>
  <c r="O132" i="20"/>
  <c r="N139" i="20"/>
  <c r="I175" i="20"/>
  <c r="N317" i="20"/>
  <c r="F369" i="20"/>
  <c r="L380" i="20"/>
  <c r="O428" i="20"/>
  <c r="N192" i="20"/>
  <c r="I237" i="20"/>
  <c r="M237" i="20"/>
  <c r="O317" i="20"/>
  <c r="O246" i="20"/>
  <c r="M299" i="20"/>
  <c r="O343" i="20"/>
  <c r="J157" i="20"/>
  <c r="N237" i="20"/>
  <c r="M255" i="20"/>
  <c r="N299" i="20"/>
  <c r="G334" i="20"/>
  <c r="N393" i="20"/>
  <c r="L403" i="20"/>
  <c r="N343" i="20"/>
  <c r="O364" i="20"/>
  <c r="I406" i="20"/>
  <c r="H201" i="20"/>
  <c r="M220" i="20"/>
  <c r="M228" i="20"/>
  <c r="I273" i="20"/>
  <c r="I317" i="20"/>
  <c r="I334" i="20"/>
  <c r="G370" i="20"/>
  <c r="J416" i="20"/>
  <c r="N228" i="20"/>
  <c r="N308" i="20"/>
  <c r="H370" i="20"/>
  <c r="J201" i="20"/>
  <c r="L264" i="20"/>
  <c r="K273" i="20"/>
  <c r="L299" i="20"/>
  <c r="N362" i="20"/>
  <c r="L406" i="20"/>
  <c r="O290" i="20"/>
  <c r="I509" i="20"/>
  <c r="L448" i="20"/>
  <c r="O406" i="20"/>
  <c r="I184" i="20"/>
  <c r="H192" i="20"/>
  <c r="G433" i="20"/>
  <c r="O264" i="20"/>
  <c r="G355" i="20"/>
  <c r="G419" i="20"/>
  <c r="L433" i="20"/>
  <c r="H228" i="20"/>
  <c r="H237" i="20"/>
  <c r="M273" i="20"/>
  <c r="I326" i="20"/>
  <c r="I380" i="20"/>
  <c r="O380" i="20"/>
  <c r="O403" i="20"/>
  <c r="J419" i="20"/>
  <c r="G64" i="21" s="1"/>
  <c r="G220" i="20"/>
  <c r="I343" i="20"/>
  <c r="F361" i="20"/>
  <c r="F379" i="20"/>
  <c r="M406" i="20"/>
  <c r="F405" i="20"/>
  <c r="H502" i="20"/>
  <c r="M537" i="20"/>
  <c r="N281" i="20"/>
  <c r="K308" i="20"/>
  <c r="N364" i="20"/>
  <c r="N370" i="20"/>
  <c r="F245" i="20"/>
  <c r="I308" i="20"/>
  <c r="L326" i="20"/>
  <c r="O370" i="20"/>
  <c r="O393" i="20"/>
  <c r="L488" i="20"/>
  <c r="I493" i="20"/>
  <c r="L428" i="20"/>
  <c r="L519" i="20"/>
  <c r="M428" i="20"/>
  <c r="G500" i="20"/>
  <c r="M403" i="20"/>
  <c r="F432" i="20"/>
  <c r="O433" i="20"/>
  <c r="I502" i="20"/>
  <c r="L509" i="20"/>
  <c r="H509" i="20"/>
  <c r="J487" i="20"/>
  <c r="M500" i="20"/>
  <c r="K509" i="20"/>
  <c r="H79" i="21" s="1"/>
  <c r="O543" i="20"/>
  <c r="L412" i="20"/>
  <c r="N500" i="20"/>
  <c r="M506" i="20"/>
  <c r="J317" i="20"/>
  <c r="M412" i="20"/>
  <c r="N412" i="20"/>
  <c r="O448" i="20"/>
  <c r="O509" i="20"/>
  <c r="O532" i="20"/>
  <c r="H537" i="20"/>
  <c r="G273" i="20"/>
  <c r="O334" i="20"/>
  <c r="H496" i="20"/>
  <c r="F505" i="20"/>
  <c r="L523" i="20"/>
  <c r="K523" i="20"/>
  <c r="H81" i="21" s="1"/>
  <c r="K326" i="20"/>
  <c r="F397" i="20"/>
  <c r="H433" i="20"/>
  <c r="M491" i="20"/>
  <c r="I506" i="20"/>
  <c r="I433" i="20"/>
  <c r="F490" i="20"/>
  <c r="O496" i="20"/>
  <c r="H498" i="20"/>
  <c r="O502" i="20"/>
  <c r="N523" i="20"/>
  <c r="I532" i="20"/>
  <c r="I523" i="20"/>
  <c r="K532" i="20"/>
  <c r="H82" i="21" s="1"/>
  <c r="M543" i="20"/>
  <c r="L563" i="20"/>
  <c r="N563" i="20"/>
  <c r="G502" i="20"/>
  <c r="M523" i="20"/>
  <c r="H543" i="20"/>
  <c r="J509" i="20"/>
  <c r="G79" i="21" s="1"/>
  <c r="L543" i="20"/>
  <c r="M493" i="20"/>
  <c r="M502" i="20"/>
  <c r="F522" i="20"/>
  <c r="L532" i="20"/>
  <c r="M563" i="20"/>
  <c r="K502" i="20"/>
  <c r="H77" i="21" s="1"/>
  <c r="L559" i="20"/>
  <c r="G561" i="20"/>
  <c r="L502" i="20"/>
  <c r="I519" i="20"/>
  <c r="J543" i="20"/>
  <c r="L553" i="20"/>
  <c r="J412" i="20"/>
  <c r="O491" i="20"/>
  <c r="H532" i="20"/>
  <c r="K543" i="20"/>
  <c r="N543" i="20"/>
  <c r="M553" i="20"/>
  <c r="H555" i="20"/>
  <c r="G578" i="20"/>
  <c r="I578" i="20"/>
  <c r="O498" i="20"/>
  <c r="G523" i="20"/>
  <c r="L157" i="20"/>
  <c r="J273" i="20"/>
  <c r="H523" i="20"/>
  <c r="I563" i="20"/>
  <c r="J523" i="20"/>
  <c r="G81" i="21" s="1"/>
  <c r="J600" i="20"/>
  <c r="I557" i="20"/>
  <c r="H563" i="20"/>
  <c r="H551" i="20"/>
  <c r="M578" i="20"/>
  <c r="I616" i="20"/>
  <c r="O578" i="20"/>
  <c r="G537" i="20"/>
  <c r="F542" i="20"/>
  <c r="J563" i="20"/>
  <c r="M608" i="20"/>
  <c r="L317" i="20"/>
  <c r="G543" i="20"/>
  <c r="M555" i="20"/>
  <c r="H578" i="20"/>
  <c r="O596" i="20"/>
  <c r="M616" i="20"/>
  <c r="H614" i="20"/>
  <c r="F644" i="20"/>
  <c r="J596" i="20"/>
  <c r="M642" i="20"/>
  <c r="O602" i="20"/>
  <c r="I561" i="20"/>
  <c r="N596" i="20"/>
  <c r="M632" i="20"/>
  <c r="L537" i="20"/>
  <c r="N578" i="20"/>
  <c r="G600" i="20"/>
  <c r="F613" i="20"/>
  <c r="M561" i="20"/>
  <c r="I593" i="20"/>
  <c r="H602" i="20"/>
  <c r="I623" i="20"/>
  <c r="I600" i="20"/>
  <c r="K602" i="20"/>
  <c r="I610" i="20"/>
  <c r="N493" i="20"/>
  <c r="M593" i="20"/>
  <c r="N614" i="20"/>
  <c r="K616" i="20"/>
  <c r="H86" i="21" s="1"/>
  <c r="H645" i="20"/>
  <c r="L651" i="20"/>
  <c r="I602" i="20"/>
  <c r="O623" i="20"/>
  <c r="J650" i="20"/>
  <c r="O563" i="20"/>
  <c r="I647" i="20"/>
  <c r="H656" i="20"/>
  <c r="H596" i="20"/>
  <c r="O600" i="20"/>
  <c r="I661" i="20"/>
  <c r="M647" i="20"/>
  <c r="L656" i="20"/>
  <c r="L602" i="20"/>
  <c r="L623" i="20"/>
  <c r="M623" i="20"/>
  <c r="I632" i="20"/>
  <c r="O639" i="20"/>
  <c r="L593" i="20"/>
  <c r="H593" i="20"/>
  <c r="M602" i="20"/>
  <c r="J667" i="20"/>
  <c r="G100" i="21" s="1"/>
  <c r="G637" i="20"/>
  <c r="G639" i="20"/>
  <c r="J644" i="20"/>
  <c r="I742" i="20"/>
  <c r="M639" i="20"/>
  <c r="F655" i="20"/>
  <c r="O663" i="20"/>
  <c r="G716" i="20"/>
  <c r="I736" i="20"/>
  <c r="H744" i="20"/>
  <c r="L661" i="20"/>
  <c r="H677" i="20"/>
  <c r="G734" i="20"/>
  <c r="N749" i="20"/>
  <c r="G623" i="20"/>
  <c r="M637" i="20"/>
  <c r="M656" i="20"/>
  <c r="I677" i="20"/>
  <c r="N656" i="20"/>
  <c r="G714" i="20"/>
  <c r="J726" i="20"/>
  <c r="G106" i="21" s="1"/>
  <c r="J720" i="20"/>
  <c r="G642" i="20"/>
  <c r="N645" i="20"/>
  <c r="F641" i="20"/>
  <c r="O661" i="20"/>
  <c r="N726" i="20"/>
  <c r="H736" i="20"/>
  <c r="N623" i="20"/>
  <c r="I726" i="20"/>
  <c r="J762" i="20"/>
  <c r="O714" i="20"/>
  <c r="M722" i="20"/>
  <c r="H731" i="20"/>
  <c r="G667" i="20"/>
  <c r="N667" i="20"/>
  <c r="L726" i="20"/>
  <c r="M663" i="20"/>
  <c r="H667" i="20"/>
  <c r="L716" i="20"/>
  <c r="M726" i="20"/>
  <c r="K733" i="20"/>
  <c r="N736" i="20"/>
  <c r="J663" i="20"/>
  <c r="G99" i="21" s="1"/>
  <c r="L667" i="20"/>
  <c r="L714" i="20"/>
  <c r="M740" i="20"/>
  <c r="L663" i="20"/>
  <c r="F666" i="20"/>
  <c r="M667" i="20"/>
  <c r="H712" i="20"/>
  <c r="I720" i="20"/>
  <c r="J756" i="20"/>
  <c r="L762" i="20"/>
  <c r="M816" i="20"/>
  <c r="H756" i="20"/>
  <c r="M762" i="20"/>
  <c r="N847" i="20"/>
  <c r="N720" i="20"/>
  <c r="I751" i="20"/>
  <c r="M751" i="20"/>
  <c r="I756" i="20"/>
  <c r="F807" i="20"/>
  <c r="G122" i="21"/>
  <c r="G836" i="20"/>
  <c r="M860" i="20"/>
  <c r="G762" i="20"/>
  <c r="N836" i="20"/>
  <c r="J742" i="20"/>
  <c r="G110" i="21" s="1"/>
  <c r="O742" i="20"/>
  <c r="F755" i="20"/>
  <c r="L756" i="20"/>
  <c r="L780" i="20"/>
  <c r="G821" i="20"/>
  <c r="O756" i="20"/>
  <c r="I791" i="20"/>
  <c r="J843" i="20"/>
  <c r="H816" i="20"/>
  <c r="I805" i="20"/>
  <c r="N722" i="20"/>
  <c r="M810" i="20"/>
  <c r="M780" i="20"/>
  <c r="K782" i="20"/>
  <c r="M791" i="20"/>
  <c r="N780" i="20"/>
  <c r="L783" i="20"/>
  <c r="G117" i="21"/>
  <c r="M783" i="20"/>
  <c r="I787" i="20"/>
  <c r="I793" i="20"/>
  <c r="N855" i="20"/>
  <c r="M744" i="20"/>
  <c r="O783" i="20"/>
  <c r="J851" i="20"/>
  <c r="G127" i="21" s="1"/>
  <c r="O740" i="20"/>
  <c r="O749" i="20"/>
  <c r="H762" i="20"/>
  <c r="G789" i="20"/>
  <c r="I847" i="20"/>
  <c r="G747" i="20"/>
  <c r="G756" i="20"/>
  <c r="H810" i="20"/>
  <c r="I816" i="20"/>
  <c r="L785" i="20"/>
  <c r="F804" i="20"/>
  <c r="I810" i="20"/>
  <c r="I836" i="20"/>
  <c r="G798" i="20"/>
  <c r="F818" i="20"/>
  <c r="J836" i="20"/>
  <c r="M871" i="20"/>
  <c r="O881" i="20"/>
  <c r="O871" i="20"/>
  <c r="O821" i="20"/>
  <c r="H881" i="20"/>
  <c r="H808" i="20"/>
  <c r="I869" i="20"/>
  <c r="N844" i="20"/>
  <c r="H821" i="20"/>
  <c r="M881" i="20"/>
  <c r="L836" i="20"/>
  <c r="O874" i="20"/>
  <c r="M874" i="20"/>
  <c r="N851" i="20"/>
  <c r="N862" i="20"/>
  <c r="H874" i="20"/>
  <c r="L844" i="20"/>
  <c r="L869" i="20"/>
  <c r="F782" i="20"/>
  <c r="H836" i="20"/>
  <c r="O844" i="20"/>
  <c r="O847" i="20"/>
  <c r="L881" i="20"/>
  <c r="N881" i="20"/>
  <c r="K854" i="20"/>
  <c r="K853" i="20" s="1"/>
  <c r="J868" i="20"/>
  <c r="J865" i="20" s="1"/>
  <c r="H869" i="20"/>
  <c r="G874" i="20"/>
  <c r="L874" i="20"/>
  <c r="I881" i="20"/>
  <c r="J881" i="20"/>
  <c r="J880" i="20" s="1"/>
  <c r="J879" i="20" s="1"/>
  <c r="J878" i="20" s="1"/>
  <c r="N874" i="20"/>
  <c r="F895" i="20"/>
  <c r="G898" i="20"/>
  <c r="G896" i="20"/>
  <c r="H898" i="20"/>
  <c r="H896" i="20"/>
  <c r="I898" i="20"/>
  <c r="I896" i="20"/>
  <c r="L896" i="20"/>
  <c r="M898" i="20"/>
  <c r="M896" i="20"/>
  <c r="N898" i="20"/>
  <c r="N896" i="20"/>
  <c r="O898" i="20"/>
  <c r="P452" i="20" l="1"/>
  <c r="K719" i="20"/>
  <c r="M854" i="20"/>
  <c r="E92" i="21"/>
  <c r="P419" i="20"/>
  <c r="P742" i="20"/>
  <c r="P778" i="20"/>
  <c r="P789" i="20"/>
  <c r="P600" i="20"/>
  <c r="P847" i="20"/>
  <c r="P736" i="20"/>
  <c r="P91" i="20"/>
  <c r="P785" i="20"/>
  <c r="P639" i="20"/>
  <c r="P72" i="20"/>
  <c r="P881" i="20"/>
  <c r="P255" i="20"/>
  <c r="P795" i="20"/>
  <c r="P637" i="20"/>
  <c r="P299" i="20"/>
  <c r="P380" i="20"/>
  <c r="P780" i="20"/>
  <c r="P201" i="20"/>
  <c r="P810" i="20"/>
  <c r="P642" i="20"/>
  <c r="P412" i="20"/>
  <c r="P86" i="20"/>
  <c r="P869" i="20"/>
  <c r="P551" i="20"/>
  <c r="P667" i="20"/>
  <c r="P851" i="20"/>
  <c r="P557" i="20"/>
  <c r="P132" i="20"/>
  <c r="P871" i="20"/>
  <c r="P860" i="20"/>
  <c r="P228" i="20"/>
  <c r="P67" i="20"/>
  <c r="P264" i="20"/>
  <c r="P116" i="20"/>
  <c r="P623" i="20"/>
  <c r="P220" i="20"/>
  <c r="P756" i="20"/>
  <c r="P355" i="20"/>
  <c r="P596" i="20"/>
  <c r="P720" i="20"/>
  <c r="P793" i="20"/>
  <c r="P844" i="20"/>
  <c r="P620" i="20"/>
  <c r="P749" i="20"/>
  <c r="P783" i="20"/>
  <c r="P608" i="20"/>
  <c r="P563" i="20"/>
  <c r="P398" i="20"/>
  <c r="P109" i="20"/>
  <c r="P726" i="20"/>
  <c r="P157" i="20"/>
  <c r="P96" i="20"/>
  <c r="P63" i="20"/>
  <c r="P37" i="20"/>
  <c r="P52" i="20"/>
  <c r="P49" i="20"/>
  <c r="P578" i="20"/>
  <c r="P237" i="20"/>
  <c r="P317" i="20"/>
  <c r="P651" i="20"/>
  <c r="P593" i="20"/>
  <c r="P491" i="20"/>
  <c r="P506" i="20"/>
  <c r="P41" i="20"/>
  <c r="P523" i="20"/>
  <c r="P509" i="20"/>
  <c r="P740" i="20"/>
  <c r="P616" i="20"/>
  <c r="P385" i="20"/>
  <c r="P77" i="20"/>
  <c r="P192" i="20"/>
  <c r="P744" i="20"/>
  <c r="P712" i="20"/>
  <c r="P787" i="20"/>
  <c r="P31" i="20"/>
  <c r="P610" i="20"/>
  <c r="P416" i="20"/>
  <c r="P126" i="20"/>
  <c r="P862" i="20"/>
  <c r="P448" i="20"/>
  <c r="P798" i="20"/>
  <c r="P855" i="20"/>
  <c r="P362" i="20"/>
  <c r="P805" i="20"/>
  <c r="P532" i="20"/>
  <c r="P716" i="20"/>
  <c r="P428" i="20"/>
  <c r="P101" i="20"/>
  <c r="P406" i="20"/>
  <c r="P290" i="20"/>
  <c r="P555" i="20"/>
  <c r="P543" i="20"/>
  <c r="P45" i="20"/>
  <c r="P874" i="20"/>
  <c r="P122" i="20"/>
  <c r="P139" i="20"/>
  <c r="P184" i="20"/>
  <c r="P836" i="20"/>
  <c r="P498" i="20"/>
  <c r="P714" i="20"/>
  <c r="P747" i="20"/>
  <c r="P211" i="20"/>
  <c r="P273" i="20"/>
  <c r="P326" i="20"/>
  <c r="P602" i="20"/>
  <c r="P149" i="20"/>
  <c r="P58" i="20"/>
  <c r="P722" i="20"/>
  <c r="P124" i="20"/>
  <c r="P500" i="20"/>
  <c r="P343" i="20"/>
  <c r="P111" i="20"/>
  <c r="P28" i="20"/>
  <c r="P645" i="20"/>
  <c r="P751" i="20"/>
  <c r="P647" i="20"/>
  <c r="P81" i="20"/>
  <c r="P25" i="20"/>
  <c r="P34" i="20"/>
  <c r="P561" i="20"/>
  <c r="P462" i="20"/>
  <c r="P774" i="20"/>
  <c r="P481" i="20"/>
  <c r="P128" i="20"/>
  <c r="P614" i="20"/>
  <c r="P734" i="20"/>
  <c r="P808" i="20"/>
  <c r="P496" i="20"/>
  <c r="P488" i="20"/>
  <c r="P731" i="20"/>
  <c r="P120" i="20"/>
  <c r="P519" i="20"/>
  <c r="P693" i="20"/>
  <c r="P107" i="20"/>
  <c r="P812" i="20"/>
  <c r="P395" i="20"/>
  <c r="P762" i="20"/>
  <c r="P661" i="20"/>
  <c r="P433" i="20"/>
  <c r="P896" i="20"/>
  <c r="P816" i="20"/>
  <c r="P370" i="20"/>
  <c r="P175" i="20"/>
  <c r="P166" i="20"/>
  <c r="P281" i="20"/>
  <c r="P653" i="20"/>
  <c r="P393" i="20"/>
  <c r="P898" i="20"/>
  <c r="P663" i="20"/>
  <c r="P502" i="20"/>
  <c r="P334" i="20"/>
  <c r="P308" i="20"/>
  <c r="P20" i="20"/>
  <c r="P677" i="20"/>
  <c r="P632" i="20"/>
  <c r="P493" i="20"/>
  <c r="P403" i="20"/>
  <c r="P537" i="20"/>
  <c r="P130" i="20"/>
  <c r="P791" i="20"/>
  <c r="P656" i="20"/>
  <c r="P553" i="20"/>
  <c r="P246" i="20"/>
  <c r="P118" i="20"/>
  <c r="P50" i="20"/>
  <c r="P559" i="20"/>
  <c r="P364" i="20"/>
  <c r="N415" i="20"/>
  <c r="K101" i="21"/>
  <c r="F101" i="21"/>
  <c r="L101" i="21"/>
  <c r="E101" i="21"/>
  <c r="J101" i="21"/>
  <c r="I101" i="21"/>
  <c r="H101" i="21"/>
  <c r="H846" i="20"/>
  <c r="H650" i="20"/>
  <c r="H641" i="20"/>
  <c r="H773" i="20"/>
  <c r="F56" i="20"/>
  <c r="M487" i="20"/>
  <c r="M730" i="20"/>
  <c r="H27" i="20"/>
  <c r="G30" i="20"/>
  <c r="F57" i="21"/>
  <c r="F130" i="21"/>
  <c r="K99" i="21"/>
  <c r="F104" i="21"/>
  <c r="J120" i="21"/>
  <c r="L108" i="21"/>
  <c r="L58" i="21"/>
  <c r="K110" i="21"/>
  <c r="F102" i="21"/>
  <c r="F111" i="21"/>
  <c r="L90" i="21"/>
  <c r="J64" i="21"/>
  <c r="I93" i="21"/>
  <c r="L120" i="21"/>
  <c r="F107" i="21"/>
  <c r="F76" i="21"/>
  <c r="F125" i="21"/>
  <c r="I59" i="21"/>
  <c r="N447" i="20"/>
  <c r="E113" i="21"/>
  <c r="K98" i="21"/>
  <c r="K114" i="21"/>
  <c r="N405" i="20"/>
  <c r="F85" i="21"/>
  <c r="O415" i="20"/>
  <c r="I109" i="21"/>
  <c r="D99" i="21"/>
  <c r="L854" i="20"/>
  <c r="F120" i="21"/>
  <c r="K109" i="21"/>
  <c r="L89" i="21"/>
  <c r="D108" i="21"/>
  <c r="J58" i="21"/>
  <c r="N518" i="20"/>
  <c r="O522" i="20"/>
  <c r="L116" i="21"/>
  <c r="D110" i="21"/>
  <c r="O666" i="20"/>
  <c r="I773" i="20"/>
  <c r="H859" i="20"/>
  <c r="L850" i="20"/>
  <c r="D114" i="21"/>
  <c r="E99" i="21"/>
  <c r="K63" i="21"/>
  <c r="F127" i="21"/>
  <c r="L107" i="21"/>
  <c r="I369" i="20"/>
  <c r="N379" i="20"/>
  <c r="H854" i="20"/>
  <c r="J113" i="21"/>
  <c r="N418" i="20"/>
  <c r="E103" i="21"/>
  <c r="D131" i="21"/>
  <c r="I94" i="21"/>
  <c r="M415" i="20"/>
  <c r="H384" i="20"/>
  <c r="G405" i="20"/>
  <c r="I427" i="20"/>
  <c r="E110" i="21"/>
  <c r="I121" i="21"/>
  <c r="L102" i="21"/>
  <c r="I123" i="21"/>
  <c r="I487" i="20"/>
  <c r="O815" i="20"/>
  <c r="I111" i="21"/>
  <c r="G518" i="20"/>
  <c r="D93" i="21"/>
  <c r="I415" i="20"/>
  <c r="D94" i="21"/>
  <c r="M354" i="20"/>
  <c r="H619" i="20"/>
  <c r="E130" i="21"/>
  <c r="E116" i="21"/>
  <c r="O480" i="20"/>
  <c r="O619" i="20"/>
  <c r="J74" i="21"/>
  <c r="K112" i="21"/>
  <c r="J104" i="21"/>
  <c r="D125" i="21"/>
  <c r="I110" i="21"/>
  <c r="L130" i="21"/>
  <c r="D111" i="21"/>
  <c r="I130" i="21"/>
  <c r="I619" i="20"/>
  <c r="J128" i="21"/>
  <c r="F109" i="21"/>
  <c r="O354" i="20"/>
  <c r="N641" i="20"/>
  <c r="H487" i="20"/>
  <c r="J67" i="21"/>
  <c r="D129" i="21"/>
  <c r="F122" i="21"/>
  <c r="E96" i="21"/>
  <c r="L119" i="21"/>
  <c r="G480" i="20"/>
  <c r="L94" i="21"/>
  <c r="K90" i="21"/>
  <c r="G508" i="20"/>
  <c r="K129" i="21"/>
  <c r="K111" i="21"/>
  <c r="L131" i="21"/>
  <c r="L104" i="21"/>
  <c r="E125" i="21"/>
  <c r="E57" i="21"/>
  <c r="L111" i="21"/>
  <c r="L96" i="21"/>
  <c r="I114" i="21"/>
  <c r="D132" i="21"/>
  <c r="I108" i="21"/>
  <c r="K131" i="21"/>
  <c r="J112" i="21"/>
  <c r="I73" i="21"/>
  <c r="I843" i="20"/>
  <c r="N397" i="20"/>
  <c r="H804" i="20"/>
  <c r="M447" i="20"/>
  <c r="N804" i="20"/>
  <c r="E114" i="21"/>
  <c r="I850" i="20"/>
  <c r="O613" i="20"/>
  <c r="J107" i="21"/>
  <c r="L85" i="21"/>
  <c r="K103" i="21"/>
  <c r="E126" i="21"/>
  <c r="F129" i="21"/>
  <c r="E63" i="21"/>
  <c r="D121" i="21"/>
  <c r="G650" i="20"/>
  <c r="J106" i="20"/>
  <c r="G39" i="21" s="1"/>
  <c r="G397" i="20"/>
  <c r="F95" i="21"/>
  <c r="J85" i="21"/>
  <c r="H400" i="20"/>
  <c r="M27" i="21"/>
  <c r="M418" i="20"/>
  <c r="K119" i="21"/>
  <c r="I120" i="21"/>
  <c r="L644" i="20"/>
  <c r="K59" i="21"/>
  <c r="E129" i="21"/>
  <c r="O773" i="20"/>
  <c r="L815" i="20"/>
  <c r="J87" i="21"/>
  <c r="D96" i="21"/>
  <c r="L73" i="21"/>
  <c r="K89" i="21"/>
  <c r="J103" i="21"/>
  <c r="D75" i="21"/>
  <c r="D98" i="21"/>
  <c r="F87" i="21"/>
  <c r="F112" i="21"/>
  <c r="H843" i="20"/>
  <c r="O730" i="20"/>
  <c r="G807" i="20"/>
  <c r="N85" i="20"/>
  <c r="E95" i="21"/>
  <c r="F75" i="21"/>
  <c r="O33" i="20"/>
  <c r="I96" i="21"/>
  <c r="J71" i="21"/>
  <c r="K61" i="21"/>
  <c r="E117" i="21"/>
  <c r="E112" i="21"/>
  <c r="M19" i="21"/>
  <c r="G105" i="21"/>
  <c r="O40" i="20"/>
  <c r="H415" i="20"/>
  <c r="L859" i="20"/>
  <c r="K64" i="21"/>
  <c r="H115" i="21"/>
  <c r="J110" i="21"/>
  <c r="I859" i="20"/>
  <c r="K116" i="21"/>
  <c r="D63" i="21"/>
  <c r="E60" i="21"/>
  <c r="I730" i="20"/>
  <c r="K67" i="21"/>
  <c r="D67" i="21"/>
  <c r="J53" i="21"/>
  <c r="G868" i="20"/>
  <c r="G854" i="20"/>
  <c r="K354" i="20"/>
  <c r="K353" i="20" s="1"/>
  <c r="J122" i="21"/>
  <c r="O859" i="20"/>
  <c r="L123" i="21"/>
  <c r="K91" i="21"/>
  <c r="J613" i="20"/>
  <c r="N619" i="20"/>
  <c r="K107" i="21"/>
  <c r="O804" i="20"/>
  <c r="M134" i="21"/>
  <c r="N636" i="20"/>
  <c r="M619" i="20"/>
  <c r="L397" i="20"/>
  <c r="D80" i="21"/>
  <c r="E90" i="21"/>
  <c r="L129" i="21"/>
  <c r="J191" i="20"/>
  <c r="L33" i="20"/>
  <c r="G36" i="20"/>
  <c r="D127" i="21"/>
  <c r="L114" i="21"/>
  <c r="D59" i="21"/>
  <c r="G850" i="20"/>
  <c r="L807" i="20"/>
  <c r="M22" i="21"/>
  <c r="H777" i="20"/>
  <c r="J76" i="20"/>
  <c r="D116" i="21"/>
  <c r="N773" i="20"/>
  <c r="G447" i="20"/>
  <c r="I636" i="20"/>
  <c r="G773" i="20"/>
  <c r="M18" i="21"/>
  <c r="I873" i="20"/>
  <c r="G644" i="20"/>
  <c r="G415" i="20"/>
  <c r="H392" i="20"/>
  <c r="L773" i="20"/>
  <c r="N730" i="20"/>
  <c r="K87" i="21"/>
  <c r="I128" i="21"/>
  <c r="K725" i="20"/>
  <c r="L27" i="20"/>
  <c r="E119" i="21"/>
  <c r="M21" i="21"/>
  <c r="L71" i="21"/>
  <c r="O487" i="20"/>
  <c r="F63" i="21"/>
  <c r="J130" i="21"/>
  <c r="M361" i="20"/>
  <c r="J125" i="21"/>
  <c r="D122" i="21"/>
  <c r="L63" i="21"/>
  <c r="D128" i="21"/>
  <c r="D102" i="21"/>
  <c r="G843" i="20"/>
  <c r="J333" i="20"/>
  <c r="M843" i="20"/>
  <c r="M95" i="20"/>
  <c r="J354" i="20"/>
  <c r="J353" i="20" s="1"/>
  <c r="G487" i="20"/>
  <c r="O409" i="20"/>
  <c r="L30" i="20"/>
  <c r="K227" i="20"/>
  <c r="G505" i="20"/>
  <c r="G62" i="20"/>
  <c r="M25" i="21"/>
  <c r="K245" i="20"/>
  <c r="K244" i="20" s="1"/>
  <c r="F675" i="20"/>
  <c r="K62" i="20"/>
  <c r="K432" i="20"/>
  <c r="K431" i="20" s="1"/>
  <c r="K333" i="20"/>
  <c r="M28" i="21"/>
  <c r="O719" i="20"/>
  <c r="K118" i="21"/>
  <c r="L105" i="21"/>
  <c r="K76" i="20"/>
  <c r="N782" i="20"/>
  <c r="K316" i="20"/>
  <c r="K315" i="20" s="1"/>
  <c r="K666" i="20"/>
  <c r="N711" i="20"/>
  <c r="N432" i="20"/>
  <c r="J245" i="20"/>
  <c r="J244" i="20" s="1"/>
  <c r="K40" i="20"/>
  <c r="K18" i="20" s="1"/>
  <c r="K17" i="20" s="1"/>
  <c r="K480" i="20"/>
  <c r="F126" i="21"/>
  <c r="I98" i="21"/>
  <c r="L69" i="21"/>
  <c r="D62" i="21"/>
  <c r="E88" i="21"/>
  <c r="K132" i="21"/>
  <c r="K71" i="21"/>
  <c r="D74" i="21"/>
  <c r="J89" i="21"/>
  <c r="K69" i="21"/>
  <c r="K62" i="21"/>
  <c r="I65" i="21"/>
  <c r="I54" i="21"/>
  <c r="F62" i="21"/>
  <c r="J80" i="21"/>
  <c r="I74" i="21"/>
  <c r="E61" i="21"/>
  <c r="I77" i="21"/>
  <c r="E120" i="21"/>
  <c r="J100" i="21"/>
  <c r="K88" i="21"/>
  <c r="F69" i="21"/>
  <c r="E79" i="21"/>
  <c r="K82" i="21"/>
  <c r="I70" i="21"/>
  <c r="L88" i="21"/>
  <c r="L66" i="21"/>
  <c r="L117" i="21"/>
  <c r="D100" i="21"/>
  <c r="D106" i="21"/>
  <c r="O27" i="20"/>
  <c r="J68" i="21"/>
  <c r="J108" i="21"/>
  <c r="J119" i="21"/>
  <c r="J123" i="21"/>
  <c r="F110" i="21"/>
  <c r="I62" i="21"/>
  <c r="E91" i="21"/>
  <c r="K70" i="21"/>
  <c r="F97" i="21"/>
  <c r="F78" i="21"/>
  <c r="E83" i="21"/>
  <c r="J60" i="21"/>
  <c r="J280" i="20"/>
  <c r="E106" i="21"/>
  <c r="L121" i="21"/>
  <c r="L93" i="21"/>
  <c r="G24" i="20"/>
  <c r="M85" i="20"/>
  <c r="D73" i="21"/>
  <c r="K68" i="21"/>
  <c r="I76" i="21"/>
  <c r="K65" i="21"/>
  <c r="J132" i="21"/>
  <c r="J111" i="21"/>
  <c r="J117" i="21"/>
  <c r="D92" i="21"/>
  <c r="I88" i="21"/>
  <c r="E85" i="21"/>
  <c r="E81" i="21"/>
  <c r="L72" i="21"/>
  <c r="J77" i="21"/>
  <c r="L82" i="21"/>
  <c r="I89" i="21"/>
  <c r="J210" i="20"/>
  <c r="L68" i="21"/>
  <c r="F71" i="21"/>
  <c r="D89" i="21"/>
  <c r="E128" i="21"/>
  <c r="D95" i="21"/>
  <c r="F858" i="20"/>
  <c r="K120" i="21"/>
  <c r="J79" i="21"/>
  <c r="I68" i="21"/>
  <c r="E87" i="21"/>
  <c r="K102" i="21"/>
  <c r="N71" i="20"/>
  <c r="F65" i="21"/>
  <c r="E118" i="21"/>
  <c r="K92" i="21"/>
  <c r="D86" i="21"/>
  <c r="F108" i="21"/>
  <c r="K81" i="21"/>
  <c r="F123" i="21"/>
  <c r="K100" i="21"/>
  <c r="E121" i="21"/>
  <c r="D85" i="21"/>
  <c r="L125" i="21"/>
  <c r="I117" i="21"/>
  <c r="E107" i="21"/>
  <c r="E122" i="21"/>
  <c r="N487" i="20"/>
  <c r="M62" i="20"/>
  <c r="K128" i="21"/>
  <c r="L103" i="21"/>
  <c r="J86" i="21"/>
  <c r="L79" i="21"/>
  <c r="L56" i="21"/>
  <c r="D57" i="21"/>
  <c r="E93" i="21"/>
  <c r="J73" i="21"/>
  <c r="K54" i="21"/>
  <c r="M90" i="20"/>
  <c r="I119" i="21"/>
  <c r="L106" i="21"/>
  <c r="E72" i="21"/>
  <c r="I30" i="20"/>
  <c r="J66" i="21"/>
  <c r="N30" i="20"/>
  <c r="I52" i="21"/>
  <c r="H405" i="20"/>
  <c r="H24" i="20"/>
  <c r="I85" i="21"/>
  <c r="D82" i="21"/>
  <c r="E52" i="21"/>
  <c r="F113" i="21"/>
  <c r="G27" i="20"/>
  <c r="E111" i="21"/>
  <c r="D81" i="21"/>
  <c r="I64" i="21"/>
  <c r="I91" i="21"/>
  <c r="E76" i="21"/>
  <c r="D103" i="21"/>
  <c r="K73" i="21"/>
  <c r="L75" i="21"/>
  <c r="I81" i="21"/>
  <c r="E77" i="21"/>
  <c r="I126" i="21"/>
  <c r="I107" i="21"/>
  <c r="F79" i="21"/>
  <c r="K57" i="21"/>
  <c r="D53" i="21"/>
  <c r="L126" i="21"/>
  <c r="D88" i="21"/>
  <c r="I82" i="21"/>
  <c r="L65" i="21"/>
  <c r="J54" i="21"/>
  <c r="L730" i="20"/>
  <c r="L112" i="21"/>
  <c r="I87" i="21"/>
  <c r="L128" i="21"/>
  <c r="I33" i="20"/>
  <c r="J69" i="21"/>
  <c r="I55" i="21"/>
  <c r="H354" i="20"/>
  <c r="I86" i="21"/>
  <c r="K104" i="21"/>
  <c r="D60" i="21"/>
  <c r="L118" i="21"/>
  <c r="K93" i="21"/>
  <c r="K113" i="21"/>
  <c r="H622" i="20"/>
  <c r="E82" i="21"/>
  <c r="J56" i="21"/>
  <c r="D97" i="21"/>
  <c r="I131" i="21"/>
  <c r="D91" i="21"/>
  <c r="J72" i="21"/>
  <c r="I66" i="21"/>
  <c r="M773" i="20"/>
  <c r="J129" i="21"/>
  <c r="D90" i="21"/>
  <c r="I97" i="21"/>
  <c r="D76" i="21"/>
  <c r="D64" i="21"/>
  <c r="D54" i="21"/>
  <c r="K56" i="21"/>
  <c r="I125" i="21"/>
  <c r="L846" i="20"/>
  <c r="D112" i="21"/>
  <c r="J121" i="21"/>
  <c r="J94" i="21"/>
  <c r="E69" i="21"/>
  <c r="E66" i="21"/>
  <c r="J76" i="21"/>
  <c r="J65" i="21"/>
  <c r="I69" i="21"/>
  <c r="I53" i="21"/>
  <c r="M804" i="20"/>
  <c r="E78" i="21"/>
  <c r="L70" i="21"/>
  <c r="F83" i="21"/>
  <c r="K83" i="21"/>
  <c r="F80" i="21"/>
  <c r="E68" i="21"/>
  <c r="K127" i="21"/>
  <c r="D66" i="21"/>
  <c r="L109" i="21"/>
  <c r="I100" i="21"/>
  <c r="F89" i="21"/>
  <c r="J88" i="21"/>
  <c r="F66" i="21"/>
  <c r="K125" i="21"/>
  <c r="F105" i="21"/>
  <c r="K108" i="21"/>
  <c r="K85" i="21"/>
  <c r="L67" i="21"/>
  <c r="D52" i="21"/>
  <c r="K52" i="21"/>
  <c r="H36" i="20"/>
  <c r="D109" i="21"/>
  <c r="D87" i="21"/>
  <c r="L81" i="21"/>
  <c r="I75" i="21"/>
  <c r="I102" i="21"/>
  <c r="J82" i="21"/>
  <c r="L76" i="21"/>
  <c r="E131" i="21"/>
  <c r="E102" i="21"/>
  <c r="F98" i="21"/>
  <c r="I83" i="21"/>
  <c r="F81" i="21"/>
  <c r="I80" i="21"/>
  <c r="I61" i="21"/>
  <c r="E62" i="21"/>
  <c r="F710" i="20"/>
  <c r="K379" i="20"/>
  <c r="K378" i="20" s="1"/>
  <c r="F849" i="20"/>
  <c r="J102" i="21"/>
  <c r="L86" i="21"/>
  <c r="E80" i="21"/>
  <c r="D72" i="21"/>
  <c r="F53" i="21"/>
  <c r="F68" i="21"/>
  <c r="I122" i="21"/>
  <c r="E94" i="21"/>
  <c r="J75" i="21"/>
  <c r="K75" i="21"/>
  <c r="I112" i="21"/>
  <c r="F54" i="21"/>
  <c r="D56" i="21"/>
  <c r="D70" i="21"/>
  <c r="K80" i="21"/>
  <c r="E71" i="21"/>
  <c r="K96" i="21"/>
  <c r="F91" i="21"/>
  <c r="F93" i="21"/>
  <c r="E104" i="21"/>
  <c r="D120" i="21"/>
  <c r="K78" i="21"/>
  <c r="J96" i="21"/>
  <c r="K191" i="20"/>
  <c r="L64" i="21"/>
  <c r="I27" i="20"/>
  <c r="F132" i="21"/>
  <c r="O854" i="20"/>
  <c r="K74" i="21"/>
  <c r="J93" i="21"/>
  <c r="J63" i="21"/>
  <c r="F106" i="21"/>
  <c r="J83" i="21"/>
  <c r="H30" i="20"/>
  <c r="L52" i="21"/>
  <c r="K130" i="21"/>
  <c r="I115" i="21"/>
  <c r="I104" i="21"/>
  <c r="J62" i="21"/>
  <c r="F73" i="21"/>
  <c r="E123" i="21"/>
  <c r="E70" i="21"/>
  <c r="I71" i="21"/>
  <c r="J622" i="20"/>
  <c r="J126" i="21"/>
  <c r="I58" i="21"/>
  <c r="D68" i="21"/>
  <c r="J864" i="20"/>
  <c r="L110" i="21"/>
  <c r="E108" i="21"/>
  <c r="K97" i="21"/>
  <c r="E97" i="21"/>
  <c r="L77" i="21"/>
  <c r="I79" i="21"/>
  <c r="L57" i="21"/>
  <c r="C39" i="21"/>
  <c r="C16" i="21" s="1"/>
  <c r="I99" i="21"/>
  <c r="K106" i="21"/>
  <c r="F94" i="21"/>
  <c r="E75" i="21"/>
  <c r="E74" i="21"/>
  <c r="F77" i="21"/>
  <c r="F56" i="21"/>
  <c r="L60" i="21"/>
  <c r="L59" i="21"/>
  <c r="N57" i="20"/>
  <c r="J70" i="21"/>
  <c r="F121" i="21"/>
  <c r="J99" i="21"/>
  <c r="J81" i="21"/>
  <c r="J61" i="21"/>
  <c r="E55" i="21"/>
  <c r="J109" i="21"/>
  <c r="I106" i="21"/>
  <c r="F88" i="21"/>
  <c r="J92" i="21"/>
  <c r="I418" i="20"/>
  <c r="J78" i="21"/>
  <c r="F128" i="21"/>
  <c r="L122" i="21"/>
  <c r="L132" i="21"/>
  <c r="K126" i="21"/>
  <c r="I103" i="21"/>
  <c r="L98" i="21"/>
  <c r="J91" i="21"/>
  <c r="D77" i="21"/>
  <c r="F55" i="21"/>
  <c r="L61" i="21"/>
  <c r="E54" i="21"/>
  <c r="N427" i="20"/>
  <c r="D65" i="21"/>
  <c r="E56" i="21"/>
  <c r="D61" i="21"/>
  <c r="F116" i="21"/>
  <c r="D130" i="21"/>
  <c r="M27" i="20"/>
  <c r="D79" i="21"/>
  <c r="I129" i="21"/>
  <c r="J106" i="21"/>
  <c r="J114" i="21"/>
  <c r="F114" i="21"/>
  <c r="D104" i="21"/>
  <c r="L53" i="21"/>
  <c r="E100" i="21"/>
  <c r="L99" i="21"/>
  <c r="K105" i="21"/>
  <c r="L74" i="21"/>
  <c r="L54" i="21"/>
  <c r="F61" i="21"/>
  <c r="H719" i="20"/>
  <c r="M480" i="20"/>
  <c r="L55" i="21"/>
  <c r="F315" i="20"/>
  <c r="L83" i="21"/>
  <c r="N90" i="20"/>
  <c r="J131" i="21"/>
  <c r="F90" i="21"/>
  <c r="D58" i="21"/>
  <c r="L113" i="21"/>
  <c r="L115" i="21"/>
  <c r="L91" i="21"/>
  <c r="J495" i="20"/>
  <c r="J486" i="20" s="1"/>
  <c r="J485" i="20" s="1"/>
  <c r="D69" i="21"/>
  <c r="K76" i="21"/>
  <c r="I67" i="21"/>
  <c r="F353" i="20"/>
  <c r="I60" i="21"/>
  <c r="G400" i="20"/>
  <c r="H280" i="20"/>
  <c r="J379" i="20"/>
  <c r="J378" i="20" s="1"/>
  <c r="F100" i="21"/>
  <c r="K121" i="21"/>
  <c r="E86" i="21"/>
  <c r="J55" i="21"/>
  <c r="E65" i="21"/>
  <c r="E64" i="21"/>
  <c r="H57" i="20"/>
  <c r="E58" i="21"/>
  <c r="G90" i="20"/>
  <c r="L100" i="21"/>
  <c r="D117" i="21"/>
  <c r="I127" i="21"/>
  <c r="M42" i="21"/>
  <c r="I63" i="21"/>
  <c r="J52" i="21"/>
  <c r="L90" i="20"/>
  <c r="O30" i="20"/>
  <c r="K55" i="21"/>
  <c r="K94" i="21"/>
  <c r="K72" i="21"/>
  <c r="I132" i="21"/>
  <c r="E109" i="21"/>
  <c r="L87" i="21"/>
  <c r="L80" i="21"/>
  <c r="K66" i="21"/>
  <c r="F82" i="21"/>
  <c r="F59" i="21"/>
  <c r="N807" i="20"/>
  <c r="K122" i="21"/>
  <c r="N400" i="20"/>
  <c r="K60" i="21"/>
  <c r="L384" i="20"/>
  <c r="I56" i="21"/>
  <c r="J118" i="21"/>
  <c r="H636" i="20"/>
  <c r="L62" i="20"/>
  <c r="K864" i="20"/>
  <c r="M846" i="20"/>
  <c r="F115" i="21"/>
  <c r="G115" i="21"/>
  <c r="F70" i="21"/>
  <c r="G84" i="21"/>
  <c r="H505" i="20"/>
  <c r="N33" i="20"/>
  <c r="E132" i="21"/>
  <c r="L505" i="20"/>
  <c r="I78" i="21"/>
  <c r="L719" i="20"/>
  <c r="I105" i="21"/>
  <c r="O850" i="20"/>
  <c r="L127" i="21"/>
  <c r="G70" i="21"/>
  <c r="J97" i="21"/>
  <c r="J115" i="21"/>
  <c r="K95" i="21"/>
  <c r="H361" i="20"/>
  <c r="E53" i="21"/>
  <c r="F131" i="21"/>
  <c r="D115" i="21"/>
  <c r="F103" i="21"/>
  <c r="F84" i="21"/>
  <c r="I400" i="20"/>
  <c r="F60" i="21"/>
  <c r="H397" i="20"/>
  <c r="E59" i="21"/>
  <c r="F74" i="21"/>
  <c r="I613" i="20"/>
  <c r="F86" i="21"/>
  <c r="G719" i="20"/>
  <c r="I641" i="20"/>
  <c r="F92" i="21"/>
  <c r="J116" i="21"/>
  <c r="K409" i="20"/>
  <c r="K408" i="20" s="1"/>
  <c r="H62" i="21"/>
  <c r="F118" i="21"/>
  <c r="I354" i="20"/>
  <c r="F52" i="21"/>
  <c r="J90" i="21"/>
  <c r="L84" i="21"/>
  <c r="I95" i="20"/>
  <c r="K86" i="21"/>
  <c r="K115" i="21"/>
  <c r="L97" i="21"/>
  <c r="G379" i="20"/>
  <c r="D55" i="21"/>
  <c r="L62" i="21"/>
  <c r="H447" i="20"/>
  <c r="E67" i="21"/>
  <c r="D124" i="21"/>
  <c r="E84" i="21"/>
  <c r="J84" i="21"/>
  <c r="G63" i="21"/>
  <c r="K384" i="20"/>
  <c r="K383" i="20" s="1"/>
  <c r="H56" i="21"/>
  <c r="E105" i="21"/>
  <c r="M850" i="20"/>
  <c r="J127" i="21"/>
  <c r="I650" i="20"/>
  <c r="F96" i="21"/>
  <c r="J59" i="21"/>
  <c r="N508" i="20"/>
  <c r="K79" i="21"/>
  <c r="D113" i="21"/>
  <c r="H850" i="20"/>
  <c r="E127" i="21"/>
  <c r="I116" i="21"/>
  <c r="K117" i="21"/>
  <c r="F67" i="21"/>
  <c r="K77" i="21"/>
  <c r="D105" i="21"/>
  <c r="L636" i="20"/>
  <c r="I90" i="21"/>
  <c r="K58" i="21"/>
  <c r="F117" i="21"/>
  <c r="F119" i="21"/>
  <c r="H84" i="21"/>
  <c r="K53" i="21"/>
  <c r="N815" i="20"/>
  <c r="K123" i="21"/>
  <c r="L613" i="20"/>
  <c r="J62" i="20"/>
  <c r="I72" i="21"/>
  <c r="E89" i="21"/>
  <c r="I57" i="21"/>
  <c r="F72" i="21"/>
  <c r="O641" i="20"/>
  <c r="L92" i="21"/>
  <c r="I777" i="20"/>
  <c r="J95" i="21"/>
  <c r="E73" i="21"/>
  <c r="G730" i="20"/>
  <c r="D107" i="21"/>
  <c r="I118" i="21"/>
  <c r="E115" i="21"/>
  <c r="G530" i="20"/>
  <c r="D83" i="21"/>
  <c r="I113" i="21"/>
  <c r="D126" i="21"/>
  <c r="G427" i="20"/>
  <c r="L333" i="20"/>
  <c r="K369" i="20"/>
  <c r="K368" i="20" s="1"/>
  <c r="K367" i="20" s="1"/>
  <c r="K366" i="20" s="1"/>
  <c r="H54" i="21"/>
  <c r="I392" i="20"/>
  <c r="F58" i="21"/>
  <c r="D78" i="21"/>
  <c r="L95" i="21"/>
  <c r="K84" i="21"/>
  <c r="L641" i="20"/>
  <c r="I92" i="21"/>
  <c r="G815" i="20"/>
  <c r="D123" i="21"/>
  <c r="K622" i="20"/>
  <c r="O505" i="20"/>
  <c r="L78" i="21"/>
  <c r="L650" i="20"/>
  <c r="I95" i="21"/>
  <c r="D84" i="21"/>
  <c r="J409" i="20"/>
  <c r="G62" i="21"/>
  <c r="I361" i="20"/>
  <c r="G846" i="20"/>
  <c r="L619" i="20"/>
  <c r="E98" i="21"/>
  <c r="F99" i="21"/>
  <c r="J57" i="21"/>
  <c r="G58" i="21"/>
  <c r="J105" i="21"/>
  <c r="D71" i="21"/>
  <c r="K655" i="20"/>
  <c r="H97" i="21"/>
  <c r="D118" i="21"/>
  <c r="N868" i="20"/>
  <c r="I397" i="20"/>
  <c r="K263" i="20"/>
  <c r="K262" i="20" s="1"/>
  <c r="I84" i="21"/>
  <c r="L480" i="20"/>
  <c r="F64" i="21"/>
  <c r="J98" i="21"/>
  <c r="G804" i="20"/>
  <c r="D119" i="21"/>
  <c r="K676" i="20"/>
  <c r="K675" i="20" s="1"/>
  <c r="G124" i="21"/>
  <c r="K124" i="21"/>
  <c r="K818" i="20"/>
  <c r="L124" i="21"/>
  <c r="F124" i="21"/>
  <c r="H124" i="21"/>
  <c r="E124" i="21"/>
  <c r="O725" i="20"/>
  <c r="O650" i="20"/>
  <c r="G859" i="20"/>
  <c r="I711" i="20"/>
  <c r="L804" i="20"/>
  <c r="L354" i="20"/>
  <c r="L24" i="20"/>
  <c r="H427" i="20"/>
  <c r="M711" i="20"/>
  <c r="H174" i="20"/>
  <c r="I24" i="20"/>
  <c r="H33" i="20"/>
  <c r="L733" i="20"/>
  <c r="G490" i="20"/>
  <c r="F262" i="20"/>
  <c r="N480" i="20"/>
  <c r="K755" i="20"/>
  <c r="K754" i="20" s="1"/>
  <c r="K753" i="20" s="1"/>
  <c r="M280" i="20"/>
  <c r="H518" i="20"/>
  <c r="N27" i="20"/>
  <c r="O418" i="20"/>
  <c r="G71" i="20"/>
  <c r="F297" i="20"/>
  <c r="I655" i="20"/>
  <c r="M29" i="21"/>
  <c r="J384" i="20"/>
  <c r="J383" i="20" s="1"/>
  <c r="O644" i="20"/>
  <c r="M518" i="20"/>
  <c r="O518" i="20"/>
  <c r="I62" i="20"/>
  <c r="L418" i="20"/>
  <c r="M43" i="21"/>
  <c r="M31" i="21"/>
  <c r="M26" i="21"/>
  <c r="M47" i="21"/>
  <c r="K776" i="20"/>
  <c r="K771" i="20" s="1"/>
  <c r="J530" i="20"/>
  <c r="G613" i="20"/>
  <c r="J40" i="20"/>
  <c r="H298" i="20"/>
  <c r="J156" i="20"/>
  <c r="M24" i="21"/>
  <c r="J298" i="20"/>
  <c r="J297" i="20" s="1"/>
  <c r="K106" i="20"/>
  <c r="I666" i="20"/>
  <c r="G619" i="20"/>
  <c r="G384" i="20"/>
  <c r="J450" i="20"/>
  <c r="M23" i="21"/>
  <c r="N650" i="20"/>
  <c r="M432" i="20"/>
  <c r="F426" i="20"/>
  <c r="L490" i="20"/>
  <c r="I280" i="20"/>
  <c r="J480" i="20"/>
  <c r="N505" i="20"/>
  <c r="M35" i="21"/>
  <c r="M32" i="21"/>
  <c r="M51" i="21"/>
  <c r="M30" i="20"/>
  <c r="M34" i="21"/>
  <c r="M49" i="21"/>
  <c r="M41" i="21"/>
  <c r="M33" i="21"/>
  <c r="H725" i="20"/>
  <c r="O298" i="20"/>
  <c r="M46" i="21"/>
  <c r="J432" i="20"/>
  <c r="J431" i="20" s="1"/>
  <c r="K877" i="20"/>
  <c r="M44" i="21"/>
  <c r="M392" i="20"/>
  <c r="G33" i="20"/>
  <c r="M397" i="20"/>
  <c r="I854" i="20"/>
  <c r="M379" i="20"/>
  <c r="M37" i="21"/>
  <c r="M36" i="21"/>
  <c r="M20" i="21"/>
  <c r="G725" i="20"/>
  <c r="N530" i="20"/>
  <c r="I447" i="20"/>
  <c r="M508" i="20"/>
  <c r="M45" i="21"/>
  <c r="G655" i="20"/>
  <c r="M650" i="20"/>
  <c r="N755" i="20"/>
  <c r="L415" i="20"/>
  <c r="K174" i="20"/>
  <c r="M50" i="21"/>
  <c r="H490" i="20"/>
  <c r="M133" i="21"/>
  <c r="H418" i="20"/>
  <c r="G777" i="20"/>
  <c r="M40" i="21"/>
  <c r="L392" i="20"/>
  <c r="M48" i="21"/>
  <c r="M17" i="21"/>
  <c r="O397" i="20"/>
  <c r="M38" i="21"/>
  <c r="M30" i="21"/>
  <c r="F776" i="20"/>
  <c r="O733" i="20"/>
  <c r="G711" i="20"/>
  <c r="F718" i="20"/>
  <c r="F814" i="20"/>
  <c r="F865" i="20"/>
  <c r="O655" i="20"/>
  <c r="G495" i="20"/>
  <c r="K635" i="20"/>
  <c r="H782" i="20"/>
  <c r="J635" i="20"/>
  <c r="K210" i="20"/>
  <c r="J655" i="20"/>
  <c r="K842" i="20"/>
  <c r="K841" i="20" s="1"/>
  <c r="K840" i="20" s="1"/>
  <c r="F853" i="20"/>
  <c r="F635" i="20"/>
  <c r="J174" i="20"/>
  <c r="K156" i="20"/>
  <c r="J807" i="20"/>
  <c r="J719" i="20"/>
  <c r="K450" i="20"/>
  <c r="K138" i="20"/>
  <c r="J877" i="20"/>
  <c r="N106" i="20"/>
  <c r="J725" i="20"/>
  <c r="F772" i="20"/>
  <c r="J676" i="20"/>
  <c r="J675" i="20" s="1"/>
  <c r="M644" i="20"/>
  <c r="K495" i="20"/>
  <c r="K486" i="20" s="1"/>
  <c r="K485" i="20" s="1"/>
  <c r="J818" i="20"/>
  <c r="J733" i="20"/>
  <c r="J415" i="20"/>
  <c r="J138" i="20"/>
  <c r="H818" i="20"/>
  <c r="M807" i="20"/>
  <c r="J542" i="20"/>
  <c r="J666" i="20"/>
  <c r="K530" i="20"/>
  <c r="K508" i="20"/>
  <c r="F408" i="20"/>
  <c r="J522" i="20"/>
  <c r="K522" i="20"/>
  <c r="M495" i="20"/>
  <c r="J369" i="20"/>
  <c r="J368" i="20" s="1"/>
  <c r="J367" i="20" s="1"/>
  <c r="J366" i="20" s="1"/>
  <c r="M868" i="20"/>
  <c r="H316" i="20"/>
  <c r="J508" i="20"/>
  <c r="M733" i="20"/>
  <c r="K613" i="20"/>
  <c r="I495" i="20"/>
  <c r="L174" i="20"/>
  <c r="F879" i="20"/>
  <c r="G880" i="20"/>
  <c r="F209" i="20"/>
  <c r="H245" i="20"/>
  <c r="N859" i="20"/>
  <c r="G782" i="20"/>
  <c r="O676" i="20"/>
  <c r="H733" i="20"/>
  <c r="M405" i="20"/>
  <c r="M298" i="20"/>
  <c r="F368" i="20"/>
  <c r="O71" i="20"/>
  <c r="O174" i="20"/>
  <c r="N36" i="20"/>
  <c r="L71" i="20"/>
  <c r="M333" i="20"/>
  <c r="L227" i="20"/>
  <c r="G432" i="20"/>
  <c r="M755" i="20"/>
  <c r="O880" i="20"/>
  <c r="M245" i="20"/>
  <c r="H379" i="20"/>
  <c r="G895" i="20"/>
  <c r="M880" i="20"/>
  <c r="O782" i="20"/>
  <c r="H666" i="20"/>
  <c r="H613" i="20"/>
  <c r="L409" i="20"/>
  <c r="H508" i="20"/>
  <c r="O450" i="20"/>
  <c r="N369" i="20"/>
  <c r="H227" i="20"/>
  <c r="H369" i="20"/>
  <c r="G333" i="20"/>
  <c r="O227" i="20"/>
  <c r="L245" i="20"/>
  <c r="G174" i="20"/>
  <c r="M40" i="20"/>
  <c r="N95" i="20"/>
  <c r="F61" i="20"/>
  <c r="G57" i="20"/>
  <c r="N725" i="20"/>
  <c r="M613" i="20"/>
  <c r="H432" i="20"/>
  <c r="N409" i="20"/>
  <c r="O432" i="20"/>
  <c r="H191" i="20"/>
  <c r="N298" i="20"/>
  <c r="L280" i="20"/>
  <c r="M369" i="20"/>
  <c r="N62" i="20"/>
  <c r="G95" i="20"/>
  <c r="I191" i="20"/>
  <c r="L95" i="20"/>
  <c r="G245" i="20"/>
  <c r="G156" i="20"/>
  <c r="M36" i="20"/>
  <c r="H40" i="20"/>
  <c r="H807" i="20"/>
  <c r="O755" i="20"/>
  <c r="M676" i="20"/>
  <c r="F244" i="20"/>
  <c r="J418" i="20"/>
  <c r="G85" i="20"/>
  <c r="N354" i="20"/>
  <c r="M263" i="20"/>
  <c r="L57" i="20"/>
  <c r="L76" i="20"/>
  <c r="F105" i="20"/>
  <c r="F173" i="20"/>
  <c r="H409" i="20"/>
  <c r="G316" i="20"/>
  <c r="H95" i="20"/>
  <c r="N850" i="20"/>
  <c r="H880" i="20"/>
  <c r="N854" i="20"/>
  <c r="L782" i="20"/>
  <c r="N818" i="20"/>
  <c r="M815" i="20"/>
  <c r="M666" i="20"/>
  <c r="I807" i="20"/>
  <c r="N655" i="20"/>
  <c r="G733" i="20"/>
  <c r="M522" i="20"/>
  <c r="M542" i="20"/>
  <c r="O495" i="20"/>
  <c r="O333" i="20"/>
  <c r="L427" i="20"/>
  <c r="F378" i="20"/>
  <c r="N490" i="20"/>
  <c r="M227" i="20"/>
  <c r="O245" i="20"/>
  <c r="N316" i="20"/>
  <c r="G138" i="20"/>
  <c r="O19" i="20"/>
  <c r="H71" i="20"/>
  <c r="O843" i="20"/>
  <c r="M859" i="20"/>
  <c r="M490" i="20"/>
  <c r="G280" i="20"/>
  <c r="F894" i="20"/>
  <c r="N873" i="20"/>
  <c r="G755" i="20"/>
  <c r="O542" i="20"/>
  <c r="F431" i="20"/>
  <c r="L432" i="20"/>
  <c r="O895" i="20"/>
  <c r="O818" i="20"/>
  <c r="M409" i="20"/>
  <c r="M400" i="20"/>
  <c r="O405" i="20"/>
  <c r="N138" i="20"/>
  <c r="J263" i="20"/>
  <c r="J27" i="20"/>
  <c r="L191" i="20"/>
  <c r="I298" i="20"/>
  <c r="N40" i="20"/>
  <c r="L19" i="20"/>
  <c r="N156" i="20"/>
  <c r="H76" i="20"/>
  <c r="O191" i="20"/>
  <c r="F18" i="20"/>
  <c r="O868" i="20"/>
  <c r="I804" i="20"/>
  <c r="G818" i="20"/>
  <c r="I755" i="20"/>
  <c r="N676" i="20"/>
  <c r="L542" i="20"/>
  <c r="I490" i="20"/>
  <c r="N280" i="20"/>
  <c r="L405" i="20"/>
  <c r="H263" i="20"/>
  <c r="G76" i="20"/>
  <c r="I90" i="20"/>
  <c r="H90" i="20"/>
  <c r="L85" i="20"/>
  <c r="H19" i="20"/>
  <c r="I480" i="20"/>
  <c r="I450" i="20"/>
  <c r="O400" i="20"/>
  <c r="I174" i="20"/>
  <c r="M210" i="20"/>
  <c r="N24" i="20"/>
  <c r="L210" i="20"/>
  <c r="M622" i="20"/>
  <c r="N245" i="20"/>
  <c r="O57" i="20"/>
  <c r="M138" i="20"/>
  <c r="N895" i="20"/>
  <c r="M873" i="20"/>
  <c r="L843" i="20"/>
  <c r="I782" i="20"/>
  <c r="H522" i="20"/>
  <c r="O379" i="20"/>
  <c r="G418" i="20"/>
  <c r="N227" i="20"/>
  <c r="O316" i="20"/>
  <c r="O36" i="20"/>
  <c r="M76" i="20"/>
  <c r="O24" i="20"/>
  <c r="M316" i="20"/>
  <c r="F541" i="20"/>
  <c r="I518" i="20"/>
  <c r="I522" i="20"/>
  <c r="L487" i="20"/>
  <c r="L447" i="20"/>
  <c r="H156" i="20"/>
  <c r="H210" i="20"/>
  <c r="N19" i="20"/>
  <c r="I106" i="20"/>
  <c r="M19" i="20"/>
  <c r="G361" i="20"/>
  <c r="G622" i="20"/>
  <c r="O447" i="20"/>
  <c r="H895" i="20"/>
  <c r="O280" i="20"/>
  <c r="M895" i="20"/>
  <c r="L777" i="20"/>
  <c r="O777" i="20"/>
  <c r="N666" i="20"/>
  <c r="F754" i="20"/>
  <c r="J755" i="20"/>
  <c r="J754" i="20" s="1"/>
  <c r="J753" i="20" s="1"/>
  <c r="N733" i="20"/>
  <c r="G666" i="20"/>
  <c r="L676" i="20"/>
  <c r="H644" i="20"/>
  <c r="O530" i="20"/>
  <c r="H450" i="20"/>
  <c r="M530" i="20"/>
  <c r="F360" i="20"/>
  <c r="G354" i="20"/>
  <c r="N361" i="20"/>
  <c r="I85" i="20"/>
  <c r="G210" i="20"/>
  <c r="I263" i="20"/>
  <c r="N333" i="20"/>
  <c r="G19" i="20"/>
  <c r="O62" i="20"/>
  <c r="H138" i="20"/>
  <c r="N174" i="20"/>
  <c r="O138" i="20"/>
  <c r="I818" i="20"/>
  <c r="I432" i="20"/>
  <c r="I210" i="20"/>
  <c r="I36" i="20"/>
  <c r="M191" i="20"/>
  <c r="O846" i="20"/>
  <c r="H711" i="20"/>
  <c r="H480" i="20"/>
  <c r="L138" i="20"/>
  <c r="F803" i="20"/>
  <c r="N777" i="20"/>
  <c r="L725" i="20"/>
  <c r="F486" i="20"/>
  <c r="L508" i="20"/>
  <c r="N880" i="20"/>
  <c r="L895" i="20"/>
  <c r="L622" i="20"/>
  <c r="I508" i="20"/>
  <c r="I409" i="20"/>
  <c r="N719" i="20"/>
  <c r="H676" i="20"/>
  <c r="N542" i="20"/>
  <c r="I542" i="20"/>
  <c r="O508" i="20"/>
  <c r="F383" i="20"/>
  <c r="O106" i="20"/>
  <c r="G227" i="20"/>
  <c r="O156" i="20"/>
  <c r="O636" i="20"/>
  <c r="N613" i="20"/>
  <c r="L156" i="20"/>
  <c r="M505" i="20"/>
  <c r="O384" i="20"/>
  <c r="N191" i="20"/>
  <c r="H62" i="20"/>
  <c r="G392" i="20"/>
  <c r="M156" i="20"/>
  <c r="M106" i="20"/>
  <c r="N210" i="20"/>
  <c r="G191" i="20"/>
  <c r="O76" i="20"/>
  <c r="O95" i="20"/>
  <c r="L36" i="20"/>
  <c r="O85" i="20"/>
  <c r="M636" i="20"/>
  <c r="O622" i="20"/>
  <c r="O490" i="20"/>
  <c r="M450" i="20"/>
  <c r="O427" i="20"/>
  <c r="N622" i="20"/>
  <c r="L369" i="20"/>
  <c r="I76" i="20"/>
  <c r="I868" i="20"/>
  <c r="L868" i="20"/>
  <c r="L755" i="20"/>
  <c r="G636" i="20"/>
  <c r="M641" i="20"/>
  <c r="L522" i="20"/>
  <c r="I880" i="20"/>
  <c r="M782" i="20"/>
  <c r="J777" i="20"/>
  <c r="J776" i="20" s="1"/>
  <c r="L495" i="20"/>
  <c r="J316" i="20"/>
  <c r="J315" i="20" s="1"/>
  <c r="I379" i="20"/>
  <c r="O263" i="20"/>
  <c r="I405" i="20"/>
  <c r="G298" i="20"/>
  <c r="H85" i="20"/>
  <c r="L873" i="20"/>
  <c r="O873" i="20"/>
  <c r="I815" i="20"/>
  <c r="L711" i="20"/>
  <c r="N76" i="20"/>
  <c r="J227" i="20"/>
  <c r="K298" i="20"/>
  <c r="K297" i="20" s="1"/>
  <c r="G106" i="20"/>
  <c r="I846" i="20"/>
  <c r="H815" i="20"/>
  <c r="I733" i="20"/>
  <c r="I725" i="20"/>
  <c r="G873" i="20"/>
  <c r="N843" i="20"/>
  <c r="N846" i="20"/>
  <c r="L666" i="20"/>
  <c r="M725" i="20"/>
  <c r="I676" i="20"/>
  <c r="H655" i="20"/>
  <c r="I622" i="20"/>
  <c r="G542" i="20"/>
  <c r="K542" i="20"/>
  <c r="L530" i="20"/>
  <c r="I530" i="20"/>
  <c r="I505" i="20"/>
  <c r="N450" i="20"/>
  <c r="O392" i="20"/>
  <c r="L298" i="20"/>
  <c r="I245" i="20"/>
  <c r="I156" i="20"/>
  <c r="I227" i="20"/>
  <c r="O210" i="20"/>
  <c r="M71" i="20"/>
  <c r="M57" i="20"/>
  <c r="H106" i="20"/>
  <c r="M33" i="20"/>
  <c r="N644" i="20"/>
  <c r="I644" i="20"/>
  <c r="I333" i="20"/>
  <c r="H542" i="20"/>
  <c r="I316" i="20"/>
  <c r="L379" i="20"/>
  <c r="M174" i="20"/>
  <c r="L880" i="20"/>
  <c r="I719" i="20"/>
  <c r="H730" i="20"/>
  <c r="M655" i="20"/>
  <c r="G450" i="20"/>
  <c r="H530" i="20"/>
  <c r="H495" i="20"/>
  <c r="M427" i="20"/>
  <c r="I384" i="20"/>
  <c r="G369" i="20"/>
  <c r="L400" i="20"/>
  <c r="G263" i="20"/>
  <c r="O361" i="20"/>
  <c r="O90" i="20"/>
  <c r="L361" i="20"/>
  <c r="L40" i="20"/>
  <c r="I57" i="20"/>
  <c r="M24" i="20"/>
  <c r="I71" i="20"/>
  <c r="L106" i="20"/>
  <c r="L518" i="20"/>
  <c r="I19" i="20"/>
  <c r="G641" i="20"/>
  <c r="H755" i="20"/>
  <c r="H333" i="20"/>
  <c r="H868" i="20"/>
  <c r="I895" i="20"/>
  <c r="O807" i="20"/>
  <c r="H873" i="20"/>
  <c r="J850" i="20"/>
  <c r="M777" i="20"/>
  <c r="M719" i="20"/>
  <c r="L655" i="20"/>
  <c r="O711" i="20"/>
  <c r="L316" i="20"/>
  <c r="G522" i="20"/>
  <c r="N522" i="20"/>
  <c r="L450" i="20"/>
  <c r="N495" i="20"/>
  <c r="O369" i="20"/>
  <c r="M384" i="20"/>
  <c r="L263" i="20"/>
  <c r="N392" i="20"/>
  <c r="N384" i="20"/>
  <c r="G409" i="20"/>
  <c r="N263" i="20"/>
  <c r="I138" i="20"/>
  <c r="I40" i="20"/>
  <c r="G40" i="20"/>
  <c r="H18" i="19"/>
  <c r="I18" i="19"/>
  <c r="L18" i="19"/>
  <c r="M18" i="19"/>
  <c r="N18" i="19"/>
  <c r="O18" i="19"/>
  <c r="G18" i="19"/>
  <c r="C15" i="21" l="1"/>
  <c r="C14" i="21" s="1"/>
  <c r="K718" i="20"/>
  <c r="M853" i="20"/>
  <c r="P619" i="20"/>
  <c r="P644" i="20"/>
  <c r="P508" i="20"/>
  <c r="P730" i="20"/>
  <c r="P895" i="20"/>
  <c r="P392" i="20"/>
  <c r="P369" i="20"/>
  <c r="P57" i="20"/>
  <c r="P263" i="20"/>
  <c r="P405" i="20"/>
  <c r="P518" i="20"/>
  <c r="P846" i="20"/>
  <c r="P490" i="20"/>
  <c r="P666" i="20"/>
  <c r="P815" i="20"/>
  <c r="P850" i="20"/>
  <c r="P106" i="20"/>
  <c r="P676" i="20"/>
  <c r="P880" i="20"/>
  <c r="P361" i="20"/>
  <c r="P487" i="20"/>
  <c r="P384" i="20"/>
  <c r="P156" i="20"/>
  <c r="P418" i="20"/>
  <c r="P447" i="20"/>
  <c r="P725" i="20"/>
  <c r="P33" i="20"/>
  <c r="P90" i="20"/>
  <c r="P773" i="20"/>
  <c r="P427" i="20"/>
  <c r="P530" i="20"/>
  <c r="P19" i="20"/>
  <c r="P650" i="20"/>
  <c r="P782" i="20"/>
  <c r="P191" i="20"/>
  <c r="P859" i="20"/>
  <c r="P613" i="20"/>
  <c r="P655" i="20"/>
  <c r="P641" i="20"/>
  <c r="P873" i="20"/>
  <c r="P30" i="20"/>
  <c r="P62" i="20"/>
  <c r="P415" i="20"/>
  <c r="P733" i="20"/>
  <c r="P522" i="20"/>
  <c r="P138" i="20"/>
  <c r="P400" i="20"/>
  <c r="P245" i="20"/>
  <c r="P409" i="20"/>
  <c r="P36" i="20"/>
  <c r="P85" i="20"/>
  <c r="P76" i="20"/>
  <c r="P27" i="20"/>
  <c r="P636" i="20"/>
  <c r="P755" i="20"/>
  <c r="P505" i="20"/>
  <c r="P622" i="20"/>
  <c r="P40" i="20"/>
  <c r="P354" i="20"/>
  <c r="P210" i="20"/>
  <c r="P450" i="20"/>
  <c r="P719" i="20"/>
  <c r="P542" i="20"/>
  <c r="P432" i="20"/>
  <c r="P174" i="20"/>
  <c r="P227" i="20"/>
  <c r="P24" i="20"/>
  <c r="P379" i="20"/>
  <c r="P280" i="20"/>
  <c r="P316" i="20"/>
  <c r="P333" i="20"/>
  <c r="P397" i="20"/>
  <c r="P95" i="20"/>
  <c r="P843" i="20"/>
  <c r="P854" i="20"/>
  <c r="P807" i="20"/>
  <c r="P777" i="20"/>
  <c r="P868" i="20"/>
  <c r="P804" i="20"/>
  <c r="P71" i="20"/>
  <c r="P298" i="20"/>
  <c r="P495" i="20"/>
  <c r="P711" i="20"/>
  <c r="P480" i="20"/>
  <c r="H858" i="20"/>
  <c r="H772" i="20"/>
  <c r="O858" i="20"/>
  <c r="N858" i="20"/>
  <c r="L858" i="20"/>
  <c r="M858" i="20"/>
  <c r="M57" i="21"/>
  <c r="F17" i="20"/>
  <c r="M104" i="21"/>
  <c r="H56" i="20"/>
  <c r="L56" i="20"/>
  <c r="M56" i="20"/>
  <c r="I56" i="20"/>
  <c r="G56" i="20"/>
  <c r="M67" i="21"/>
  <c r="O56" i="20"/>
  <c r="N56" i="20"/>
  <c r="I772" i="20"/>
  <c r="M64" i="21"/>
  <c r="L849" i="20"/>
  <c r="M102" i="21"/>
  <c r="O353" i="20"/>
  <c r="H853" i="20"/>
  <c r="M125" i="21"/>
  <c r="I368" i="20"/>
  <c r="M127" i="21"/>
  <c r="M353" i="20"/>
  <c r="N378" i="20"/>
  <c r="M109" i="21"/>
  <c r="M85" i="21"/>
  <c r="I426" i="20"/>
  <c r="O814" i="20"/>
  <c r="M81" i="21"/>
  <c r="O803" i="20"/>
  <c r="M120" i="21"/>
  <c r="M112" i="21"/>
  <c r="L853" i="20"/>
  <c r="M74" i="21"/>
  <c r="M111" i="21"/>
  <c r="F842" i="20"/>
  <c r="M58" i="21"/>
  <c r="M76" i="21"/>
  <c r="M130" i="21"/>
  <c r="I849" i="20"/>
  <c r="M113" i="21"/>
  <c r="M128" i="21"/>
  <c r="M107" i="21"/>
  <c r="M103" i="21"/>
  <c r="N803" i="20"/>
  <c r="M122" i="21"/>
  <c r="H803" i="20"/>
  <c r="O772" i="20"/>
  <c r="J105" i="20"/>
  <c r="J100" i="20" s="1"/>
  <c r="M75" i="21"/>
  <c r="L814" i="20"/>
  <c r="M360" i="20"/>
  <c r="M95" i="21"/>
  <c r="K209" i="20"/>
  <c r="K208" i="20" s="1"/>
  <c r="F665" i="20"/>
  <c r="M129" i="21"/>
  <c r="M108" i="21"/>
  <c r="N772" i="20"/>
  <c r="J352" i="20"/>
  <c r="J351" i="20" s="1"/>
  <c r="J541" i="20"/>
  <c r="J540" i="20" s="1"/>
  <c r="M71" i="21"/>
  <c r="M110" i="21"/>
  <c r="M87" i="21"/>
  <c r="G853" i="20"/>
  <c r="J173" i="20"/>
  <c r="J137" i="20" s="1"/>
  <c r="J136" i="20" s="1"/>
  <c r="M772" i="20"/>
  <c r="J61" i="20"/>
  <c r="K61" i="20"/>
  <c r="I858" i="20"/>
  <c r="M53" i="21"/>
  <c r="M77" i="21"/>
  <c r="M126" i="21"/>
  <c r="L772" i="20"/>
  <c r="G865" i="20"/>
  <c r="K352" i="20"/>
  <c r="K351" i="20" s="1"/>
  <c r="G849" i="20"/>
  <c r="M86" i="21"/>
  <c r="G772" i="20"/>
  <c r="M119" i="21"/>
  <c r="M117" i="21"/>
  <c r="M132" i="21"/>
  <c r="N710" i="20"/>
  <c r="J262" i="20"/>
  <c r="M89" i="21"/>
  <c r="M114" i="21"/>
  <c r="M68" i="21"/>
  <c r="M65" i="21"/>
  <c r="M123" i="21"/>
  <c r="M63" i="21"/>
  <c r="M91" i="21"/>
  <c r="M73" i="21"/>
  <c r="M131" i="21"/>
  <c r="M106" i="21"/>
  <c r="M61" i="21"/>
  <c r="K665" i="20"/>
  <c r="K649" i="20" s="1"/>
  <c r="M62" i="21"/>
  <c r="L803" i="20"/>
  <c r="M55" i="21"/>
  <c r="J209" i="20"/>
  <c r="N431" i="20"/>
  <c r="M83" i="21"/>
  <c r="M710" i="20"/>
  <c r="L635" i="20"/>
  <c r="M121" i="21"/>
  <c r="M54" i="21"/>
  <c r="H360" i="20"/>
  <c r="M100" i="21"/>
  <c r="M72" i="21"/>
  <c r="H353" i="20"/>
  <c r="M56" i="21"/>
  <c r="M69" i="21"/>
  <c r="M82" i="21"/>
  <c r="M52" i="21"/>
  <c r="M66" i="21"/>
  <c r="N865" i="20"/>
  <c r="I360" i="20"/>
  <c r="M105" i="21"/>
  <c r="M92" i="21"/>
  <c r="M97" i="21"/>
  <c r="M79" i="21"/>
  <c r="M80" i="21"/>
  <c r="M96" i="21"/>
  <c r="M60" i="21"/>
  <c r="M88" i="21"/>
  <c r="M94" i="21"/>
  <c r="M78" i="21"/>
  <c r="M99" i="21"/>
  <c r="M90" i="21"/>
  <c r="G378" i="20"/>
  <c r="K173" i="20"/>
  <c r="K137" i="20" s="1"/>
  <c r="K136" i="20" s="1"/>
  <c r="M378" i="20"/>
  <c r="L353" i="20"/>
  <c r="H297" i="20"/>
  <c r="J39" i="21"/>
  <c r="N426" i="20"/>
  <c r="H315" i="20"/>
  <c r="D39" i="21"/>
  <c r="H426" i="20"/>
  <c r="H383" i="20"/>
  <c r="L39" i="21"/>
  <c r="L16" i="21" s="1"/>
  <c r="N754" i="20"/>
  <c r="F39" i="21"/>
  <c r="F16" i="21" s="1"/>
  <c r="O849" i="20"/>
  <c r="F425" i="20"/>
  <c r="M431" i="20"/>
  <c r="O853" i="20"/>
  <c r="M803" i="20"/>
  <c r="I710" i="20"/>
  <c r="G858" i="20"/>
  <c r="M59" i="21"/>
  <c r="M93" i="21"/>
  <c r="M70" i="21"/>
  <c r="K39" i="21"/>
  <c r="K16" i="21" s="1"/>
  <c r="O297" i="20"/>
  <c r="E39" i="21"/>
  <c r="E16" i="21" s="1"/>
  <c r="I39" i="21"/>
  <c r="M116" i="21"/>
  <c r="G814" i="20"/>
  <c r="M849" i="20"/>
  <c r="K105" i="20"/>
  <c r="K100" i="20" s="1"/>
  <c r="H39" i="21"/>
  <c r="H16" i="21" s="1"/>
  <c r="I353" i="20"/>
  <c r="N814" i="20"/>
  <c r="H849" i="20"/>
  <c r="G426" i="20"/>
  <c r="G803" i="20"/>
  <c r="J408" i="20"/>
  <c r="J377" i="20" s="1"/>
  <c r="M101" i="21"/>
  <c r="O408" i="20"/>
  <c r="M98" i="21"/>
  <c r="M115" i="21"/>
  <c r="G776" i="20"/>
  <c r="O718" i="20"/>
  <c r="J430" i="20"/>
  <c r="N105" i="20"/>
  <c r="F864" i="20"/>
  <c r="I853" i="20"/>
  <c r="F771" i="20"/>
  <c r="G486" i="20"/>
  <c r="I776" i="20"/>
  <c r="G710" i="20"/>
  <c r="M61" i="20"/>
  <c r="K377" i="20"/>
  <c r="J665" i="20"/>
  <c r="J649" i="20" s="1"/>
  <c r="J718" i="20"/>
  <c r="K430" i="20"/>
  <c r="H776" i="20"/>
  <c r="L173" i="20"/>
  <c r="K484" i="20"/>
  <c r="J771" i="20"/>
  <c r="N486" i="20"/>
  <c r="I635" i="20"/>
  <c r="N635" i="20"/>
  <c r="K541" i="20"/>
  <c r="K540" i="20" s="1"/>
  <c r="G61" i="20"/>
  <c r="J484" i="20"/>
  <c r="M865" i="20"/>
  <c r="G16" i="21"/>
  <c r="M118" i="21"/>
  <c r="G383" i="20"/>
  <c r="M84" i="21"/>
  <c r="G879" i="20"/>
  <c r="F878" i="20"/>
  <c r="N18" i="20"/>
  <c r="I803" i="20"/>
  <c r="F430" i="20"/>
  <c r="F367" i="20"/>
  <c r="H879" i="20"/>
  <c r="G244" i="20"/>
  <c r="H173" i="20"/>
  <c r="H675" i="20"/>
  <c r="O865" i="20"/>
  <c r="M315" i="20"/>
  <c r="N849" i="20"/>
  <c r="M297" i="20"/>
  <c r="H244" i="20"/>
  <c r="I315" i="20"/>
  <c r="G541" i="20"/>
  <c r="I383" i="20"/>
  <c r="F540" i="20"/>
  <c r="G297" i="20"/>
  <c r="O244" i="20"/>
  <c r="H209" i="20"/>
  <c r="O378" i="20"/>
  <c r="I431" i="20"/>
  <c r="F208" i="20"/>
  <c r="O431" i="20"/>
  <c r="H710" i="20"/>
  <c r="G173" i="20"/>
  <c r="I486" i="20"/>
  <c r="I718" i="20"/>
  <c r="L297" i="20"/>
  <c r="L426" i="20"/>
  <c r="N408" i="20"/>
  <c r="N368" i="20"/>
  <c r="N209" i="20"/>
  <c r="F485" i="20"/>
  <c r="G209" i="20"/>
  <c r="L209" i="20"/>
  <c r="G718" i="20"/>
  <c r="M262" i="20"/>
  <c r="L244" i="20"/>
  <c r="O754" i="20"/>
  <c r="N853" i="20"/>
  <c r="G368" i="20"/>
  <c r="H368" i="20"/>
  <c r="I244" i="20"/>
  <c r="O383" i="20"/>
  <c r="O776" i="20"/>
  <c r="L360" i="20"/>
  <c r="M718" i="20"/>
  <c r="M894" i="20"/>
  <c r="O368" i="20"/>
  <c r="O360" i="20"/>
  <c r="L879" i="20"/>
  <c r="I675" i="20"/>
  <c r="G754" i="20"/>
  <c r="G315" i="20"/>
  <c r="N353" i="20"/>
  <c r="N879" i="20"/>
  <c r="I865" i="20"/>
  <c r="M486" i="20"/>
  <c r="L315" i="20"/>
  <c r="H754" i="20"/>
  <c r="O105" i="20"/>
  <c r="I262" i="20"/>
  <c r="L675" i="20"/>
  <c r="G360" i="20"/>
  <c r="M105" i="20"/>
  <c r="M408" i="20"/>
  <c r="O879" i="20"/>
  <c r="I173" i="20"/>
  <c r="L431" i="20"/>
  <c r="L262" i="20"/>
  <c r="I209" i="20"/>
  <c r="H865" i="20"/>
  <c r="I378" i="20"/>
  <c r="M635" i="20"/>
  <c r="I894" i="20"/>
  <c r="N297" i="20"/>
  <c r="G894" i="20"/>
  <c r="M426" i="20"/>
  <c r="H378" i="20"/>
  <c r="M383" i="20"/>
  <c r="G635" i="20"/>
  <c r="O541" i="20"/>
  <c r="L776" i="20"/>
  <c r="F377" i="20"/>
  <c r="N262" i="20"/>
  <c r="N173" i="20"/>
  <c r="H408" i="20"/>
  <c r="N776" i="20"/>
  <c r="M814" i="20"/>
  <c r="M173" i="20"/>
  <c r="L486" i="20"/>
  <c r="L408" i="20"/>
  <c r="M754" i="20"/>
  <c r="G408" i="20"/>
  <c r="L105" i="20"/>
  <c r="G262" i="20"/>
  <c r="H814" i="20"/>
  <c r="I879" i="20"/>
  <c r="F359" i="20"/>
  <c r="I105" i="20"/>
  <c r="H262" i="20"/>
  <c r="M541" i="20"/>
  <c r="M675" i="20"/>
  <c r="G105" i="20"/>
  <c r="N244" i="20"/>
  <c r="J18" i="20"/>
  <c r="J17" i="20" s="1"/>
  <c r="I408" i="20"/>
  <c r="L865" i="20"/>
  <c r="M776" i="20"/>
  <c r="L710" i="20"/>
  <c r="O426" i="20"/>
  <c r="N360" i="20"/>
  <c r="O18" i="20"/>
  <c r="N61" i="20"/>
  <c r="O173" i="20"/>
  <c r="G353" i="20"/>
  <c r="H894" i="20"/>
  <c r="N675" i="20"/>
  <c r="F893" i="20"/>
  <c r="I541" i="20"/>
  <c r="L894" i="20"/>
  <c r="M209" i="20"/>
  <c r="O894" i="20"/>
  <c r="N383" i="20"/>
  <c r="J849" i="20"/>
  <c r="O209" i="20"/>
  <c r="O262" i="20"/>
  <c r="H635" i="20"/>
  <c r="N541" i="20"/>
  <c r="O61" i="20"/>
  <c r="O315" i="20"/>
  <c r="I754" i="20"/>
  <c r="I297" i="20"/>
  <c r="F137" i="20"/>
  <c r="M879" i="20"/>
  <c r="N718" i="20"/>
  <c r="L754" i="20"/>
  <c r="L61" i="20"/>
  <c r="M244" i="20"/>
  <c r="I18" i="20"/>
  <c r="L18" i="20"/>
  <c r="H541" i="20"/>
  <c r="H105" i="20"/>
  <c r="L368" i="20"/>
  <c r="L541" i="20"/>
  <c r="O710" i="20"/>
  <c r="M18" i="20"/>
  <c r="N894" i="20"/>
  <c r="H431" i="20"/>
  <c r="I61" i="20"/>
  <c r="L383" i="20"/>
  <c r="L378" i="20"/>
  <c r="I814" i="20"/>
  <c r="L718" i="20"/>
  <c r="O486" i="20"/>
  <c r="H61" i="20"/>
  <c r="O635" i="20"/>
  <c r="F753" i="20"/>
  <c r="H18" i="20"/>
  <c r="H486" i="20"/>
  <c r="N315" i="20"/>
  <c r="F100" i="20"/>
  <c r="M368" i="20"/>
  <c r="O675" i="20"/>
  <c r="H718" i="20"/>
  <c r="G18" i="20"/>
  <c r="G431" i="20"/>
  <c r="K18" i="19"/>
  <c r="M17" i="20" l="1"/>
  <c r="N17" i="20"/>
  <c r="F15" i="21"/>
  <c r="F14" i="21" s="1"/>
  <c r="L15" i="21"/>
  <c r="L14" i="21" s="1"/>
  <c r="E15" i="21"/>
  <c r="E14" i="21" s="1"/>
  <c r="G15" i="21"/>
  <c r="G14" i="21" s="1"/>
  <c r="K15" i="21"/>
  <c r="K14" i="21" s="1"/>
  <c r="H15" i="21"/>
  <c r="H14" i="21" s="1"/>
  <c r="P426" i="20"/>
  <c r="P56" i="20"/>
  <c r="P635" i="20"/>
  <c r="P173" i="20"/>
  <c r="P262" i="20"/>
  <c r="P710" i="20"/>
  <c r="P368" i="20"/>
  <c r="P858" i="20"/>
  <c r="P486" i="20"/>
  <c r="P772" i="20"/>
  <c r="P754" i="20"/>
  <c r="P18" i="20"/>
  <c r="P776" i="20"/>
  <c r="P353" i="20"/>
  <c r="P814" i="20"/>
  <c r="P894" i="20"/>
  <c r="P61" i="20"/>
  <c r="P315" i="20"/>
  <c r="P853" i="20"/>
  <c r="P408" i="20"/>
  <c r="P718" i="20"/>
  <c r="P209" i="20"/>
  <c r="P105" i="20"/>
  <c r="P378" i="20"/>
  <c r="P244" i="20"/>
  <c r="P541" i="20"/>
  <c r="P803" i="20"/>
  <c r="P865" i="20"/>
  <c r="P431" i="20"/>
  <c r="P360" i="20"/>
  <c r="P675" i="20"/>
  <c r="P297" i="20"/>
  <c r="P879" i="20"/>
  <c r="P383" i="20"/>
  <c r="P849" i="20"/>
  <c r="O100" i="20"/>
  <c r="O17" i="20"/>
  <c r="H17" i="20"/>
  <c r="L17" i="20"/>
  <c r="I17" i="20"/>
  <c r="G17" i="20"/>
  <c r="L842" i="20"/>
  <c r="I367" i="20"/>
  <c r="I425" i="20"/>
  <c r="I842" i="20"/>
  <c r="F841" i="20"/>
  <c r="M359" i="20"/>
  <c r="F649" i="20"/>
  <c r="J16" i="20"/>
  <c r="N430" i="20"/>
  <c r="G842" i="20"/>
  <c r="J208" i="20"/>
  <c r="J135" i="20" s="1"/>
  <c r="G864" i="20"/>
  <c r="K16" i="20"/>
  <c r="M430" i="20"/>
  <c r="H359" i="20"/>
  <c r="N864" i="20"/>
  <c r="I359" i="20"/>
  <c r="O842" i="20"/>
  <c r="G425" i="20"/>
  <c r="M39" i="21"/>
  <c r="M137" i="20"/>
  <c r="K521" i="20"/>
  <c r="K424" i="20" s="1"/>
  <c r="K376" i="20" s="1"/>
  <c r="K350" i="20" s="1"/>
  <c r="N425" i="20"/>
  <c r="G485" i="20"/>
  <c r="H425" i="20"/>
  <c r="N753" i="20"/>
  <c r="H842" i="20"/>
  <c r="M842" i="20"/>
  <c r="G771" i="20"/>
  <c r="N100" i="20"/>
  <c r="M864" i="20"/>
  <c r="N485" i="20"/>
  <c r="J521" i="20"/>
  <c r="J424" i="20" s="1"/>
  <c r="J376" i="20" s="1"/>
  <c r="J350" i="20" s="1"/>
  <c r="L137" i="20"/>
  <c r="K135" i="20"/>
  <c r="N842" i="20"/>
  <c r="H771" i="20"/>
  <c r="O137" i="20"/>
  <c r="H137" i="20"/>
  <c r="L771" i="20"/>
  <c r="G878" i="20"/>
  <c r="N359" i="20"/>
  <c r="L100" i="20"/>
  <c r="I540" i="20"/>
  <c r="L359" i="20"/>
  <c r="H377" i="20"/>
  <c r="L878" i="20"/>
  <c r="L864" i="20"/>
  <c r="H893" i="20"/>
  <c r="L485" i="20"/>
  <c r="G893" i="20"/>
  <c r="H753" i="20"/>
  <c r="O367" i="20"/>
  <c r="N208" i="20"/>
  <c r="O430" i="20"/>
  <c r="N367" i="20"/>
  <c r="H100" i="20"/>
  <c r="F892" i="20"/>
  <c r="I377" i="20"/>
  <c r="H864" i="20"/>
  <c r="I665" i="20"/>
  <c r="N377" i="20"/>
  <c r="L430" i="20"/>
  <c r="G377" i="20"/>
  <c r="F16" i="20"/>
  <c r="I864" i="20"/>
  <c r="N878" i="20"/>
  <c r="H540" i="20"/>
  <c r="G430" i="20"/>
  <c r="O540" i="20"/>
  <c r="O377" i="20"/>
  <c r="O425" i="20"/>
  <c r="G208" i="20"/>
  <c r="L753" i="20"/>
  <c r="M377" i="20"/>
  <c r="M753" i="20"/>
  <c r="G100" i="20"/>
  <c r="O485" i="20"/>
  <c r="F358" i="20"/>
  <c r="H665" i="20"/>
  <c r="M367" i="20"/>
  <c r="J842" i="20"/>
  <c r="I137" i="20"/>
  <c r="O878" i="20"/>
  <c r="O771" i="20"/>
  <c r="L665" i="20"/>
  <c r="O893" i="20"/>
  <c r="I893" i="20"/>
  <c r="M485" i="20"/>
  <c r="M893" i="20"/>
  <c r="H878" i="20"/>
  <c r="H208" i="20"/>
  <c r="I485" i="20"/>
  <c r="O665" i="20"/>
  <c r="I100" i="20"/>
  <c r="O208" i="20"/>
  <c r="I208" i="20"/>
  <c r="N665" i="20"/>
  <c r="O359" i="20"/>
  <c r="M425" i="20"/>
  <c r="M100" i="20"/>
  <c r="M878" i="20"/>
  <c r="G137" i="20"/>
  <c r="M665" i="20"/>
  <c r="L540" i="20"/>
  <c r="F136" i="20"/>
  <c r="I878" i="20"/>
  <c r="L367" i="20"/>
  <c r="N540" i="20"/>
  <c r="G359" i="20"/>
  <c r="G753" i="20"/>
  <c r="H367" i="20"/>
  <c r="N771" i="20"/>
  <c r="I430" i="20"/>
  <c r="L893" i="20"/>
  <c r="G540" i="20"/>
  <c r="F484" i="20"/>
  <c r="O864" i="20"/>
  <c r="N893" i="20"/>
  <c r="F366" i="20"/>
  <c r="I753" i="20"/>
  <c r="O753" i="20"/>
  <c r="H430" i="20"/>
  <c r="M771" i="20"/>
  <c r="L425" i="20"/>
  <c r="L208" i="20"/>
  <c r="H485" i="20"/>
  <c r="L377" i="20"/>
  <c r="M208" i="20"/>
  <c r="M540" i="20"/>
  <c r="I771" i="20"/>
  <c r="G367" i="20"/>
  <c r="N137" i="20"/>
  <c r="G20" i="19"/>
  <c r="G17" i="19" s="1"/>
  <c r="G16" i="19" s="1"/>
  <c r="G15" i="19" s="1"/>
  <c r="G14" i="19" s="1"/>
  <c r="G13" i="19" s="1"/>
  <c r="G8" i="19" s="1"/>
  <c r="H20" i="19"/>
  <c r="H17" i="19" s="1"/>
  <c r="H16" i="19" s="1"/>
  <c r="H15" i="19" s="1"/>
  <c r="H14" i="19" s="1"/>
  <c r="H13" i="19" s="1"/>
  <c r="I20" i="19"/>
  <c r="I17" i="19" s="1"/>
  <c r="I16" i="19" s="1"/>
  <c r="I15" i="19" s="1"/>
  <c r="I14" i="19" s="1"/>
  <c r="I13" i="19" s="1"/>
  <c r="I8" i="19" s="1"/>
  <c r="K20" i="19"/>
  <c r="K17" i="19" s="1"/>
  <c r="K16" i="19" s="1"/>
  <c r="K15" i="19" s="1"/>
  <c r="K14" i="19" s="1"/>
  <c r="K13" i="19" s="1"/>
  <c r="L20" i="19"/>
  <c r="L17" i="19" s="1"/>
  <c r="L16" i="19" s="1"/>
  <c r="L15" i="19" s="1"/>
  <c r="L14" i="19" s="1"/>
  <c r="L13" i="19" s="1"/>
  <c r="M20" i="19"/>
  <c r="M17" i="19" s="1"/>
  <c r="M16" i="19" s="1"/>
  <c r="M15" i="19" s="1"/>
  <c r="M14" i="19" s="1"/>
  <c r="M13" i="19" s="1"/>
  <c r="N20" i="19"/>
  <c r="N17" i="19" s="1"/>
  <c r="N16" i="19" s="1"/>
  <c r="N15" i="19" s="1"/>
  <c r="N14" i="19" s="1"/>
  <c r="N13" i="19" s="1"/>
  <c r="O20" i="19"/>
  <c r="O17" i="19" s="1"/>
  <c r="O16" i="19" s="1"/>
  <c r="O15" i="19" s="1"/>
  <c r="O14" i="19" s="1"/>
  <c r="O13" i="19" s="1"/>
  <c r="P21" i="19"/>
  <c r="P19" i="19"/>
  <c r="P19" i="18" l="1"/>
  <c r="P208" i="20"/>
  <c r="P377" i="20"/>
  <c r="P137" i="20"/>
  <c r="P665" i="20"/>
  <c r="P878" i="20"/>
  <c r="P753" i="20"/>
  <c r="P359" i="20"/>
  <c r="P893" i="20"/>
  <c r="P485" i="20"/>
  <c r="P771" i="20"/>
  <c r="P100" i="20"/>
  <c r="P864" i="20"/>
  <c r="P430" i="20"/>
  <c r="P425" i="20"/>
  <c r="P17" i="20"/>
  <c r="P367" i="20"/>
  <c r="P842" i="20"/>
  <c r="P540" i="20"/>
  <c r="L841" i="20"/>
  <c r="I366" i="20"/>
  <c r="I841" i="20"/>
  <c r="F840" i="20"/>
  <c r="M358" i="20"/>
  <c r="F521" i="20"/>
  <c r="J15" i="20"/>
  <c r="K15" i="20"/>
  <c r="K14" i="20" s="1"/>
  <c r="G841" i="20"/>
  <c r="H358" i="20"/>
  <c r="O841" i="20"/>
  <c r="I358" i="20"/>
  <c r="G484" i="20"/>
  <c r="N841" i="20"/>
  <c r="M136" i="20"/>
  <c r="N484" i="20"/>
  <c r="M841" i="20"/>
  <c r="H841" i="20"/>
  <c r="L136" i="20"/>
  <c r="O136" i="20"/>
  <c r="H136" i="20"/>
  <c r="G358" i="20"/>
  <c r="M892" i="20"/>
  <c r="M484" i="20"/>
  <c r="I649" i="20"/>
  <c r="I892" i="20"/>
  <c r="H484" i="20"/>
  <c r="O649" i="20"/>
  <c r="G366" i="20"/>
  <c r="O892" i="20"/>
  <c r="J841" i="20"/>
  <c r="N649" i="20"/>
  <c r="I136" i="20"/>
  <c r="L366" i="20"/>
  <c r="F352" i="20"/>
  <c r="O366" i="20"/>
  <c r="I484" i="20"/>
  <c r="F135" i="20"/>
  <c r="O484" i="20"/>
  <c r="G892" i="20"/>
  <c r="L892" i="20"/>
  <c r="L649" i="20"/>
  <c r="L16" i="20"/>
  <c r="I16" i="20"/>
  <c r="L484" i="20"/>
  <c r="N366" i="20"/>
  <c r="H366" i="20"/>
  <c r="M649" i="20"/>
  <c r="M16" i="20"/>
  <c r="G16" i="20"/>
  <c r="M366" i="20"/>
  <c r="N358" i="20"/>
  <c r="G136" i="20"/>
  <c r="H649" i="20"/>
  <c r="N136" i="20"/>
  <c r="F891" i="20"/>
  <c r="L358" i="20"/>
  <c r="N892" i="20"/>
  <c r="O358" i="20"/>
  <c r="H16" i="20"/>
  <c r="N16" i="20"/>
  <c r="H892" i="20"/>
  <c r="P20" i="19"/>
  <c r="P17" i="19"/>
  <c r="P18" i="19"/>
  <c r="K13" i="20" l="1"/>
  <c r="H10" i="21" s="1"/>
  <c r="P22" i="18"/>
  <c r="P18" i="18"/>
  <c r="P21" i="18"/>
  <c r="P16" i="18"/>
  <c r="P366" i="20"/>
  <c r="P892" i="20"/>
  <c r="P358" i="20"/>
  <c r="P136" i="20"/>
  <c r="P16" i="20"/>
  <c r="P649" i="20"/>
  <c r="P484" i="20"/>
  <c r="P841" i="20"/>
  <c r="L840" i="20"/>
  <c r="I840" i="20"/>
  <c r="F424" i="20"/>
  <c r="G840" i="20"/>
  <c r="O840" i="20"/>
  <c r="M135" i="20"/>
  <c r="N840" i="20"/>
  <c r="I352" i="20"/>
  <c r="H135" i="20"/>
  <c r="M521" i="20"/>
  <c r="L135" i="20"/>
  <c r="F15" i="20"/>
  <c r="H840" i="20"/>
  <c r="M840" i="20"/>
  <c r="O135" i="20"/>
  <c r="N521" i="20"/>
  <c r="L521" i="20"/>
  <c r="I521" i="20"/>
  <c r="H521" i="20"/>
  <c r="O16" i="20"/>
  <c r="M352" i="20"/>
  <c r="N352" i="20"/>
  <c r="H352" i="20"/>
  <c r="L891" i="20"/>
  <c r="I891" i="20"/>
  <c r="F877" i="20"/>
  <c r="O521" i="20"/>
  <c r="G135" i="20"/>
  <c r="F351" i="20"/>
  <c r="G352" i="20"/>
  <c r="N135" i="20"/>
  <c r="O352" i="20"/>
  <c r="G891" i="20"/>
  <c r="L352" i="20"/>
  <c r="I135" i="20"/>
  <c r="J840" i="20"/>
  <c r="H891" i="20"/>
  <c r="O891" i="20"/>
  <c r="M891" i="20"/>
  <c r="N891" i="20"/>
  <c r="P16" i="19"/>
  <c r="K8" i="20" l="1"/>
  <c r="P17" i="18"/>
  <c r="P23" i="18"/>
  <c r="P20" i="18"/>
  <c r="P15" i="18"/>
  <c r="P521" i="20"/>
  <c r="P891" i="20"/>
  <c r="P352" i="20"/>
  <c r="P840" i="20"/>
  <c r="P135" i="20"/>
  <c r="F376" i="20"/>
  <c r="M15" i="20"/>
  <c r="L15" i="20"/>
  <c r="I351" i="20"/>
  <c r="H15" i="20"/>
  <c r="N424" i="20"/>
  <c r="O15" i="20"/>
  <c r="I424" i="20"/>
  <c r="H424" i="20"/>
  <c r="O424" i="20"/>
  <c r="I15" i="20"/>
  <c r="G15" i="20"/>
  <c r="O351" i="20"/>
  <c r="O877" i="20"/>
  <c r="N351" i="20"/>
  <c r="N877" i="20"/>
  <c r="L351" i="20"/>
  <c r="M877" i="20"/>
  <c r="H877" i="20"/>
  <c r="G351" i="20"/>
  <c r="I877" i="20"/>
  <c r="L877" i="20"/>
  <c r="H351" i="20"/>
  <c r="N15" i="20"/>
  <c r="J14" i="20"/>
  <c r="J13" i="20" s="1"/>
  <c r="G877" i="20"/>
  <c r="M351" i="20"/>
  <c r="P15" i="19"/>
  <c r="K14" i="18"/>
  <c r="K13" i="18" s="1"/>
  <c r="K12" i="18" s="1"/>
  <c r="K11" i="18" s="1"/>
  <c r="K6" i="18" s="1"/>
  <c r="N14" i="18"/>
  <c r="N13" i="18" s="1"/>
  <c r="N12" i="18" s="1"/>
  <c r="N11" i="18" s="1"/>
  <c r="N6" i="18" s="1"/>
  <c r="M14" i="18"/>
  <c r="I14" i="18"/>
  <c r="I13" i="18" s="1"/>
  <c r="I12" i="18" s="1"/>
  <c r="I11" i="18" s="1"/>
  <c r="I6" i="18" s="1"/>
  <c r="L14" i="18"/>
  <c r="L13" i="18" s="1"/>
  <c r="L12" i="18" s="1"/>
  <c r="L11" i="18" s="1"/>
  <c r="L6" i="18" s="1"/>
  <c r="G14" i="18"/>
  <c r="G13" i="18" s="1"/>
  <c r="G12" i="18" s="1"/>
  <c r="G11" i="18" s="1"/>
  <c r="G6" i="18" s="1"/>
  <c r="O14" i="18"/>
  <c r="O13" i="18" s="1"/>
  <c r="O12" i="18" s="1"/>
  <c r="O11" i="18" s="1"/>
  <c r="O6" i="18" s="1"/>
  <c r="M13" i="18" l="1"/>
  <c r="P14" i="18"/>
  <c r="P351" i="20"/>
  <c r="P877" i="20"/>
  <c r="P15" i="20"/>
  <c r="F350" i="20"/>
  <c r="I376" i="20"/>
  <c r="N376" i="20"/>
  <c r="H376" i="20"/>
  <c r="O376" i="20"/>
  <c r="J8" i="20"/>
  <c r="G10" i="21"/>
  <c r="P13" i="19"/>
  <c r="P14" i="19"/>
  <c r="M12" i="18" l="1"/>
  <c r="P13" i="18"/>
  <c r="F14" i="20"/>
  <c r="I350" i="20"/>
  <c r="N350" i="20"/>
  <c r="H350" i="20"/>
  <c r="O350" i="20"/>
  <c r="J14" i="18"/>
  <c r="M11" i="18" l="1"/>
  <c r="P12" i="18"/>
  <c r="F13" i="20"/>
  <c r="C10" i="21" s="1"/>
  <c r="I14" i="20"/>
  <c r="N14" i="20"/>
  <c r="O14" i="20"/>
  <c r="H14" i="20"/>
  <c r="J13" i="18"/>
  <c r="M6" i="18" l="1"/>
  <c r="P11" i="18"/>
  <c r="F8" i="20"/>
  <c r="I13" i="20"/>
  <c r="F10" i="21" s="1"/>
  <c r="O13" i="20"/>
  <c r="L10" i="21" s="1"/>
  <c r="N13" i="20"/>
  <c r="K10" i="21" s="1"/>
  <c r="H13" i="20"/>
  <c r="E10" i="21" s="1"/>
  <c r="J12" i="18"/>
  <c r="N8" i="20" l="1"/>
  <c r="I8" i="20"/>
  <c r="O8" i="20"/>
  <c r="H8" i="20"/>
  <c r="J11" i="18"/>
  <c r="J6" i="18" s="1"/>
  <c r="H14" i="18" l="1"/>
  <c r="H13" i="18" s="1"/>
  <c r="H12" i="18" s="1"/>
  <c r="H11" i="18" s="1"/>
  <c r="H6" i="18" s="1"/>
  <c r="J415" i="17" l="1"/>
  <c r="K415" i="17"/>
  <c r="O415" i="17" l="1"/>
  <c r="N415" i="17"/>
  <c r="L415" i="17"/>
  <c r="I415" i="17"/>
  <c r="H415" i="17"/>
  <c r="G415" i="17"/>
  <c r="M415" i="17"/>
  <c r="G713" i="17" l="1"/>
  <c r="H461" i="17" l="1"/>
  <c r="G461" i="17"/>
  <c r="O461" i="17"/>
  <c r="M461" i="17"/>
  <c r="L461" i="17"/>
  <c r="K461" i="17"/>
  <c r="J461" i="17"/>
  <c r="N461" i="17"/>
  <c r="I461" i="17"/>
  <c r="O835" i="17"/>
  <c r="G835" i="17"/>
  <c r="N835" i="17" l="1"/>
  <c r="K835" i="17"/>
  <c r="J835" i="17"/>
  <c r="L835" i="17"/>
  <c r="H835" i="17"/>
  <c r="M835" i="17"/>
  <c r="I835" i="17"/>
  <c r="L692" i="17" l="1"/>
  <c r="N692" i="17"/>
  <c r="K692" i="17"/>
  <c r="G692" i="17"/>
  <c r="J692" i="17"/>
  <c r="M692" i="17"/>
  <c r="I692" i="17"/>
  <c r="O692" i="17"/>
  <c r="H692" i="17"/>
  <c r="L384" i="17" l="1"/>
  <c r="H384" i="17"/>
  <c r="O384" i="17"/>
  <c r="N384" i="17"/>
  <c r="M384" i="17"/>
  <c r="I384" i="17"/>
  <c r="K384" i="17"/>
  <c r="J384" i="17"/>
  <c r="G384" i="17"/>
  <c r="J619" i="17" l="1"/>
  <c r="K619" i="17"/>
  <c r="N619" i="17" l="1"/>
  <c r="L619" i="17"/>
  <c r="I619" i="17"/>
  <c r="H619" i="17"/>
  <c r="O619" i="17"/>
  <c r="M619" i="17"/>
  <c r="G447" i="17" l="1"/>
  <c r="H447" i="17"/>
  <c r="I447" i="17"/>
  <c r="J447" i="17"/>
  <c r="J446" i="17" s="1"/>
  <c r="K447" i="17"/>
  <c r="K446" i="17" s="1"/>
  <c r="L447" i="17"/>
  <c r="M447" i="17"/>
  <c r="N447" i="17"/>
  <c r="O447" i="17"/>
  <c r="G750" i="17"/>
  <c r="H750" i="17"/>
  <c r="I750" i="17"/>
  <c r="J750" i="17"/>
  <c r="K750" i="17"/>
  <c r="L750" i="17"/>
  <c r="M750" i="17"/>
  <c r="N750" i="17"/>
  <c r="O750" i="17"/>
  <c r="G748" i="17"/>
  <c r="H748" i="17"/>
  <c r="I748" i="17"/>
  <c r="J748" i="17"/>
  <c r="K748" i="17"/>
  <c r="L748" i="17"/>
  <c r="M748" i="17"/>
  <c r="N748" i="17"/>
  <c r="O748" i="17"/>
  <c r="G733" i="17"/>
  <c r="H733" i="17"/>
  <c r="I733" i="17"/>
  <c r="J733" i="17"/>
  <c r="K733" i="17"/>
  <c r="L733" i="17"/>
  <c r="M733" i="17"/>
  <c r="N733" i="17"/>
  <c r="O733" i="17"/>
  <c r="G746" i="17"/>
  <c r="H746" i="17"/>
  <c r="I746" i="17"/>
  <c r="J746" i="17"/>
  <c r="K746" i="17"/>
  <c r="L746" i="17"/>
  <c r="M746" i="17"/>
  <c r="N746" i="17"/>
  <c r="O746" i="17"/>
  <c r="G743" i="17"/>
  <c r="H743" i="17"/>
  <c r="I743" i="17"/>
  <c r="J743" i="17"/>
  <c r="K743" i="17"/>
  <c r="L743" i="17"/>
  <c r="M743" i="17"/>
  <c r="N743" i="17"/>
  <c r="O743" i="17"/>
  <c r="G741" i="17"/>
  <c r="H741" i="17"/>
  <c r="I741" i="17"/>
  <c r="J741" i="17"/>
  <c r="K741" i="17"/>
  <c r="L741" i="17"/>
  <c r="M741" i="17"/>
  <c r="N741" i="17"/>
  <c r="O741" i="17"/>
  <c r="G739" i="17"/>
  <c r="H739" i="17"/>
  <c r="I739" i="17"/>
  <c r="J739" i="17"/>
  <c r="K739" i="17"/>
  <c r="L739" i="17"/>
  <c r="M739" i="17"/>
  <c r="N739" i="17"/>
  <c r="O739" i="17"/>
  <c r="G735" i="17"/>
  <c r="H735" i="17"/>
  <c r="I735" i="17"/>
  <c r="J735" i="17"/>
  <c r="K735" i="17"/>
  <c r="L735" i="17"/>
  <c r="M735" i="17"/>
  <c r="N735" i="17"/>
  <c r="O735" i="17"/>
  <c r="G755" i="17"/>
  <c r="H755" i="17"/>
  <c r="I755" i="17"/>
  <c r="J755" i="17"/>
  <c r="K755" i="17"/>
  <c r="L755" i="17"/>
  <c r="M755" i="17"/>
  <c r="N755" i="17"/>
  <c r="O755" i="17"/>
  <c r="G761" i="17"/>
  <c r="H761" i="17"/>
  <c r="I761" i="17"/>
  <c r="J761" i="17"/>
  <c r="K761" i="17"/>
  <c r="L761" i="17"/>
  <c r="M761" i="17"/>
  <c r="N761" i="17"/>
  <c r="O761" i="17"/>
  <c r="G773" i="17"/>
  <c r="H773" i="17"/>
  <c r="I773" i="17"/>
  <c r="J773" i="17"/>
  <c r="J772" i="17" s="1"/>
  <c r="J771" i="17" s="1"/>
  <c r="K773" i="17"/>
  <c r="K772" i="17" s="1"/>
  <c r="K771" i="17" s="1"/>
  <c r="L773" i="17"/>
  <c r="M773" i="17"/>
  <c r="N773" i="17"/>
  <c r="O773" i="17"/>
  <c r="G777" i="17"/>
  <c r="H777" i="17"/>
  <c r="I777" i="17"/>
  <c r="J777" i="17"/>
  <c r="K777" i="17"/>
  <c r="L777" i="17"/>
  <c r="M777" i="17"/>
  <c r="N777" i="17"/>
  <c r="O777" i="17"/>
  <c r="G779" i="17"/>
  <c r="H779" i="17"/>
  <c r="I779" i="17"/>
  <c r="J779" i="17"/>
  <c r="K779" i="17"/>
  <c r="L779" i="17"/>
  <c r="M779" i="17"/>
  <c r="N779" i="17"/>
  <c r="O779" i="17"/>
  <c r="G782" i="17"/>
  <c r="H782" i="17"/>
  <c r="I782" i="17"/>
  <c r="J782" i="17"/>
  <c r="K782" i="17"/>
  <c r="L782" i="17"/>
  <c r="M782" i="17"/>
  <c r="N782" i="17"/>
  <c r="O782" i="17"/>
  <c r="G784" i="17"/>
  <c r="H784" i="17"/>
  <c r="I784" i="17"/>
  <c r="J784" i="17"/>
  <c r="K784" i="17"/>
  <c r="L784" i="17"/>
  <c r="M784" i="17"/>
  <c r="N784" i="17"/>
  <c r="O784" i="17"/>
  <c r="G786" i="17"/>
  <c r="H786" i="17"/>
  <c r="I786" i="17"/>
  <c r="J786" i="17"/>
  <c r="K786" i="17"/>
  <c r="L786" i="17"/>
  <c r="M786" i="17"/>
  <c r="N786" i="17"/>
  <c r="O786" i="17"/>
  <c r="G788" i="17"/>
  <c r="H788" i="17"/>
  <c r="I788" i="17"/>
  <c r="J788" i="17"/>
  <c r="K788" i="17"/>
  <c r="L788" i="17"/>
  <c r="M788" i="17"/>
  <c r="N788" i="17"/>
  <c r="O788" i="17"/>
  <c r="G790" i="17"/>
  <c r="H790" i="17"/>
  <c r="I790" i="17"/>
  <c r="J790" i="17"/>
  <c r="K790" i="17"/>
  <c r="L790" i="17"/>
  <c r="M790" i="17"/>
  <c r="N790" i="17"/>
  <c r="O790" i="17"/>
  <c r="G792" i="17"/>
  <c r="H792" i="17"/>
  <c r="I792" i="17"/>
  <c r="J792" i="17"/>
  <c r="K792" i="17"/>
  <c r="L792" i="17"/>
  <c r="M792" i="17"/>
  <c r="N792" i="17"/>
  <c r="O792" i="17"/>
  <c r="G794" i="17"/>
  <c r="H794" i="17"/>
  <c r="I794" i="17"/>
  <c r="J794" i="17"/>
  <c r="K794" i="17"/>
  <c r="L794" i="17"/>
  <c r="M794" i="17"/>
  <c r="N794" i="17"/>
  <c r="O794" i="17"/>
  <c r="G797" i="17"/>
  <c r="H797" i="17"/>
  <c r="I797" i="17"/>
  <c r="J797" i="17"/>
  <c r="K797" i="17"/>
  <c r="L797" i="17"/>
  <c r="M797" i="17"/>
  <c r="N797" i="17"/>
  <c r="O797" i="17"/>
  <c r="G799" i="17"/>
  <c r="H799" i="17"/>
  <c r="I799" i="17"/>
  <c r="J799" i="17"/>
  <c r="K799" i="17"/>
  <c r="L799" i="17"/>
  <c r="M799" i="17"/>
  <c r="N799" i="17"/>
  <c r="O799" i="17"/>
  <c r="G804" i="17"/>
  <c r="H804" i="17"/>
  <c r="I804" i="17"/>
  <c r="J804" i="17"/>
  <c r="J803" i="17" s="1"/>
  <c r="J802" i="17" s="1"/>
  <c r="K804" i="17"/>
  <c r="K803" i="17" s="1"/>
  <c r="K802" i="17" s="1"/>
  <c r="L804" i="17"/>
  <c r="M804" i="17"/>
  <c r="N804" i="17"/>
  <c r="O804" i="17"/>
  <c r="G807" i="17"/>
  <c r="H807" i="17"/>
  <c r="I807" i="17"/>
  <c r="J807" i="17"/>
  <c r="K807" i="17"/>
  <c r="L807" i="17"/>
  <c r="M807" i="17"/>
  <c r="N807" i="17"/>
  <c r="O807" i="17"/>
  <c r="G809" i="17"/>
  <c r="H809" i="17"/>
  <c r="I809" i="17"/>
  <c r="J809" i="17"/>
  <c r="K809" i="17"/>
  <c r="L809" i="17"/>
  <c r="M809" i="17"/>
  <c r="N809" i="17"/>
  <c r="O809" i="17"/>
  <c r="G811" i="17"/>
  <c r="H811" i="17"/>
  <c r="I811" i="17"/>
  <c r="J811" i="17"/>
  <c r="K811" i="17"/>
  <c r="L811" i="17"/>
  <c r="M811" i="17"/>
  <c r="N811" i="17"/>
  <c r="O811" i="17"/>
  <c r="G815" i="17"/>
  <c r="H815" i="17"/>
  <c r="I815" i="17"/>
  <c r="J815" i="17"/>
  <c r="J814" i="17" s="1"/>
  <c r="J813" i="17" s="1"/>
  <c r="K815" i="17"/>
  <c r="K814" i="17" s="1"/>
  <c r="K813" i="17" s="1"/>
  <c r="L815" i="17"/>
  <c r="M815" i="17"/>
  <c r="N815" i="17"/>
  <c r="O815" i="17"/>
  <c r="G818" i="17"/>
  <c r="H818" i="17"/>
  <c r="I818" i="17"/>
  <c r="J818" i="17"/>
  <c r="K818" i="17"/>
  <c r="L818" i="17"/>
  <c r="M818" i="17"/>
  <c r="N818" i="17"/>
  <c r="O818" i="17"/>
  <c r="G820" i="17"/>
  <c r="H820" i="17"/>
  <c r="I820" i="17"/>
  <c r="J820" i="17"/>
  <c r="K820" i="17"/>
  <c r="L820" i="17"/>
  <c r="M820" i="17"/>
  <c r="N820" i="17"/>
  <c r="O820" i="17"/>
  <c r="H846" i="17"/>
  <c r="I846" i="17"/>
  <c r="J846" i="17"/>
  <c r="J845" i="17" s="1"/>
  <c r="K846" i="17"/>
  <c r="K845" i="17" s="1"/>
  <c r="L846" i="17"/>
  <c r="M846" i="17"/>
  <c r="N846" i="17"/>
  <c r="O846" i="17"/>
  <c r="H843" i="17"/>
  <c r="I843" i="17"/>
  <c r="J843" i="17"/>
  <c r="J842" i="17" s="1"/>
  <c r="K843" i="17"/>
  <c r="K842" i="17" s="1"/>
  <c r="L843" i="17"/>
  <c r="M843" i="17"/>
  <c r="N843" i="17"/>
  <c r="O843" i="17"/>
  <c r="H850" i="17"/>
  <c r="I850" i="17"/>
  <c r="J850" i="17"/>
  <c r="J849" i="17" s="1"/>
  <c r="J848" i="17" s="1"/>
  <c r="K850" i="17"/>
  <c r="K849" i="17" s="1"/>
  <c r="K848" i="17" s="1"/>
  <c r="L850" i="17"/>
  <c r="M850" i="17"/>
  <c r="N850" i="17"/>
  <c r="O850" i="17"/>
  <c r="H854" i="17"/>
  <c r="I854" i="17"/>
  <c r="J854" i="17"/>
  <c r="J853" i="17" s="1"/>
  <c r="J852" i="17" s="1"/>
  <c r="K854" i="17"/>
  <c r="K853" i="17" s="1"/>
  <c r="K852" i="17" s="1"/>
  <c r="L854" i="17"/>
  <c r="M854" i="17"/>
  <c r="N854" i="17"/>
  <c r="O854" i="17"/>
  <c r="H861" i="17"/>
  <c r="I861" i="17"/>
  <c r="J861" i="17"/>
  <c r="K861" i="17"/>
  <c r="L861" i="17"/>
  <c r="M861" i="17"/>
  <c r="N861" i="17"/>
  <c r="O861" i="17"/>
  <c r="H859" i="17"/>
  <c r="I859" i="17"/>
  <c r="J859" i="17"/>
  <c r="K859" i="17"/>
  <c r="L859" i="17"/>
  <c r="M859" i="17"/>
  <c r="N859" i="17"/>
  <c r="O859" i="17"/>
  <c r="H870" i="17"/>
  <c r="I870" i="17"/>
  <c r="J870" i="17"/>
  <c r="K870" i="17"/>
  <c r="L870" i="17"/>
  <c r="M870" i="17"/>
  <c r="N870" i="17"/>
  <c r="O870" i="17"/>
  <c r="H868" i="17"/>
  <c r="I868" i="17"/>
  <c r="J868" i="17"/>
  <c r="K868" i="17"/>
  <c r="L868" i="17"/>
  <c r="M868" i="17"/>
  <c r="N868" i="17"/>
  <c r="O868" i="17"/>
  <c r="H865" i="17"/>
  <c r="I865" i="17"/>
  <c r="J865" i="17"/>
  <c r="K865" i="17"/>
  <c r="L865" i="17"/>
  <c r="M865" i="17"/>
  <c r="N865" i="17"/>
  <c r="O865" i="17"/>
  <c r="H873" i="17"/>
  <c r="I873" i="17"/>
  <c r="J873" i="17"/>
  <c r="J872" i="17" s="1"/>
  <c r="K873" i="17"/>
  <c r="K872" i="17" s="1"/>
  <c r="L873" i="17"/>
  <c r="M873" i="17"/>
  <c r="N873" i="17"/>
  <c r="O873" i="17"/>
  <c r="H880" i="17"/>
  <c r="I880" i="17"/>
  <c r="J880" i="17"/>
  <c r="J879" i="17" s="1"/>
  <c r="J878" i="17" s="1"/>
  <c r="J877" i="17" s="1"/>
  <c r="K880" i="17"/>
  <c r="K879" i="17" s="1"/>
  <c r="K878" i="17" s="1"/>
  <c r="K877" i="17" s="1"/>
  <c r="L880" i="17"/>
  <c r="M880" i="17"/>
  <c r="N880" i="17"/>
  <c r="O880" i="17"/>
  <c r="H895" i="17"/>
  <c r="I895" i="17"/>
  <c r="J895" i="17"/>
  <c r="K895" i="17"/>
  <c r="L895" i="17"/>
  <c r="M895" i="17"/>
  <c r="N895" i="17"/>
  <c r="O895" i="17"/>
  <c r="H897" i="17"/>
  <c r="I897" i="17"/>
  <c r="J897" i="17"/>
  <c r="K897" i="17"/>
  <c r="L897" i="17"/>
  <c r="M897" i="17"/>
  <c r="N897" i="17"/>
  <c r="O897" i="17"/>
  <c r="G730" i="17"/>
  <c r="H730" i="17"/>
  <c r="I730" i="17"/>
  <c r="J730" i="17"/>
  <c r="J729" i="17" s="1"/>
  <c r="K730" i="17"/>
  <c r="K729" i="17" s="1"/>
  <c r="L730" i="17"/>
  <c r="M730" i="17"/>
  <c r="N730" i="17"/>
  <c r="O730" i="17"/>
  <c r="G725" i="17"/>
  <c r="H725" i="17"/>
  <c r="I725" i="17"/>
  <c r="J725" i="17"/>
  <c r="J724" i="17" s="1"/>
  <c r="K725" i="17"/>
  <c r="K724" i="17" s="1"/>
  <c r="L725" i="17"/>
  <c r="M725" i="17"/>
  <c r="N725" i="17"/>
  <c r="O725" i="17"/>
  <c r="G721" i="17"/>
  <c r="H721" i="17"/>
  <c r="I721" i="17"/>
  <c r="J721" i="17"/>
  <c r="K721" i="17"/>
  <c r="L721" i="17"/>
  <c r="M721" i="17"/>
  <c r="N721" i="17"/>
  <c r="O721" i="17"/>
  <c r="G719" i="17"/>
  <c r="H719" i="17"/>
  <c r="I719" i="17"/>
  <c r="J719" i="17"/>
  <c r="K719" i="17"/>
  <c r="L719" i="17"/>
  <c r="M719" i="17"/>
  <c r="N719" i="17"/>
  <c r="O719" i="17"/>
  <c r="G715" i="17"/>
  <c r="H715" i="17"/>
  <c r="I715" i="17"/>
  <c r="J715" i="17"/>
  <c r="K715" i="17"/>
  <c r="L715" i="17"/>
  <c r="M715" i="17"/>
  <c r="N715" i="17"/>
  <c r="O715" i="17"/>
  <c r="H713" i="17"/>
  <c r="I713" i="17"/>
  <c r="J713" i="17"/>
  <c r="K713" i="17"/>
  <c r="L713" i="17"/>
  <c r="M713" i="17"/>
  <c r="N713" i="17"/>
  <c r="O713" i="17"/>
  <c r="G707" i="17"/>
  <c r="H707" i="17"/>
  <c r="I707" i="17"/>
  <c r="J707" i="17"/>
  <c r="K707" i="17"/>
  <c r="L707" i="17"/>
  <c r="M707" i="17"/>
  <c r="N707" i="17"/>
  <c r="O707" i="17"/>
  <c r="G711" i="17"/>
  <c r="H711" i="17"/>
  <c r="I711" i="17"/>
  <c r="J711" i="17"/>
  <c r="K711" i="17"/>
  <c r="L711" i="17"/>
  <c r="M711" i="17"/>
  <c r="N711" i="17"/>
  <c r="O711" i="17"/>
  <c r="H676" i="17"/>
  <c r="I676" i="17"/>
  <c r="J676" i="17"/>
  <c r="K676" i="17"/>
  <c r="L676" i="17"/>
  <c r="M676" i="17"/>
  <c r="N676" i="17"/>
  <c r="O676" i="17"/>
  <c r="G666" i="17"/>
  <c r="H666" i="17"/>
  <c r="I666" i="17"/>
  <c r="J666" i="17"/>
  <c r="J665" i="17" s="1"/>
  <c r="K666" i="17"/>
  <c r="K665" i="17" s="1"/>
  <c r="L666" i="17"/>
  <c r="M666" i="17"/>
  <c r="N666" i="17"/>
  <c r="O666" i="17"/>
  <c r="G662" i="17"/>
  <c r="H662" i="17"/>
  <c r="I662" i="17"/>
  <c r="J662" i="17"/>
  <c r="K662" i="17"/>
  <c r="L662" i="17"/>
  <c r="M662" i="17"/>
  <c r="N662" i="17"/>
  <c r="O662" i="17"/>
  <c r="G660" i="17"/>
  <c r="H660" i="17"/>
  <c r="I660" i="17"/>
  <c r="J660" i="17"/>
  <c r="K660" i="17"/>
  <c r="L660" i="17"/>
  <c r="M660" i="17"/>
  <c r="N660" i="17"/>
  <c r="O660" i="17"/>
  <c r="G655" i="17"/>
  <c r="H655" i="17"/>
  <c r="I655" i="17"/>
  <c r="J655" i="17"/>
  <c r="K655" i="17"/>
  <c r="L655" i="17"/>
  <c r="M655" i="17"/>
  <c r="N655" i="17"/>
  <c r="O655" i="17"/>
  <c r="G652" i="17"/>
  <c r="H652" i="17"/>
  <c r="I652" i="17"/>
  <c r="J652" i="17"/>
  <c r="K652" i="17"/>
  <c r="L652" i="17"/>
  <c r="M652" i="17"/>
  <c r="N652" i="17"/>
  <c r="O652" i="17"/>
  <c r="G650" i="17"/>
  <c r="H650" i="17"/>
  <c r="I650" i="17"/>
  <c r="J650" i="17"/>
  <c r="K650" i="17"/>
  <c r="L650" i="17"/>
  <c r="M650" i="17"/>
  <c r="N650" i="17"/>
  <c r="O650" i="17"/>
  <c r="G531" i="17"/>
  <c r="H531" i="17"/>
  <c r="I531" i="17"/>
  <c r="J531" i="17"/>
  <c r="K531" i="17"/>
  <c r="L531" i="17"/>
  <c r="M531" i="17"/>
  <c r="N531" i="17"/>
  <c r="O531" i="17"/>
  <c r="G501" i="17"/>
  <c r="H501" i="17"/>
  <c r="I501" i="17"/>
  <c r="J501" i="17"/>
  <c r="K501" i="17"/>
  <c r="L501" i="17"/>
  <c r="M501" i="17"/>
  <c r="N501" i="17"/>
  <c r="O501" i="17"/>
  <c r="G499" i="17"/>
  <c r="H499" i="17"/>
  <c r="I499" i="17"/>
  <c r="J499" i="17"/>
  <c r="K499" i="17"/>
  <c r="L499" i="17"/>
  <c r="M499" i="17"/>
  <c r="N499" i="17"/>
  <c r="O499" i="17"/>
  <c r="G497" i="17"/>
  <c r="H497" i="17"/>
  <c r="I497" i="17"/>
  <c r="J497" i="17"/>
  <c r="K497" i="17"/>
  <c r="L497" i="17"/>
  <c r="M497" i="17"/>
  <c r="N497" i="17"/>
  <c r="O497" i="17"/>
  <c r="G495" i="17"/>
  <c r="H495" i="17"/>
  <c r="I495" i="17"/>
  <c r="J495" i="17"/>
  <c r="K495" i="17"/>
  <c r="L495" i="17"/>
  <c r="M495" i="17"/>
  <c r="N495" i="17"/>
  <c r="O495" i="17"/>
  <c r="G492" i="17"/>
  <c r="H492" i="17"/>
  <c r="I492" i="17"/>
  <c r="J492" i="17"/>
  <c r="K492" i="17"/>
  <c r="L492" i="17"/>
  <c r="M492" i="17"/>
  <c r="N492" i="17"/>
  <c r="O492" i="17"/>
  <c r="G490" i="17"/>
  <c r="H490" i="17"/>
  <c r="I490" i="17"/>
  <c r="J490" i="17"/>
  <c r="K490" i="17"/>
  <c r="L490" i="17"/>
  <c r="M490" i="17"/>
  <c r="N490" i="17"/>
  <c r="O490" i="17"/>
  <c r="G418" i="17"/>
  <c r="H418" i="17"/>
  <c r="I418" i="17"/>
  <c r="J418" i="17"/>
  <c r="J417" i="17" s="1"/>
  <c r="K418" i="17"/>
  <c r="K417" i="17" s="1"/>
  <c r="L418" i="17"/>
  <c r="M418" i="17"/>
  <c r="N418" i="17"/>
  <c r="O418" i="17"/>
  <c r="O405" i="17"/>
  <c r="G405" i="17"/>
  <c r="H405" i="17"/>
  <c r="I405" i="17"/>
  <c r="J405" i="17"/>
  <c r="J404" i="17" s="1"/>
  <c r="K405" i="17"/>
  <c r="K404" i="17" s="1"/>
  <c r="L405" i="17"/>
  <c r="M405" i="17"/>
  <c r="N405" i="17"/>
  <c r="G402" i="17"/>
  <c r="H402" i="17"/>
  <c r="I402" i="17"/>
  <c r="J402" i="17"/>
  <c r="J399" i="17" s="1"/>
  <c r="K402" i="17"/>
  <c r="K399" i="17" s="1"/>
  <c r="L402" i="17"/>
  <c r="M402" i="17"/>
  <c r="N402" i="17"/>
  <c r="O402" i="17"/>
  <c r="G411" i="17"/>
  <c r="H411" i="17"/>
  <c r="I411" i="17"/>
  <c r="J411" i="17"/>
  <c r="J408" i="17" s="1"/>
  <c r="K411" i="17"/>
  <c r="K408" i="17" s="1"/>
  <c r="L411" i="17"/>
  <c r="M411" i="17"/>
  <c r="N411" i="17"/>
  <c r="O411" i="17"/>
  <c r="G363" i="17"/>
  <c r="H363" i="17"/>
  <c r="I363" i="17"/>
  <c r="J363" i="17"/>
  <c r="K363" i="17"/>
  <c r="L363" i="17"/>
  <c r="M363" i="17"/>
  <c r="N363" i="17"/>
  <c r="O363" i="17"/>
  <c r="G361" i="17"/>
  <c r="H361" i="17"/>
  <c r="I361" i="17"/>
  <c r="J361" i="17"/>
  <c r="K361" i="17"/>
  <c r="L361" i="17"/>
  <c r="M361" i="17"/>
  <c r="N361" i="17"/>
  <c r="O361" i="17"/>
  <c r="G131" i="17"/>
  <c r="H131" i="17"/>
  <c r="I131" i="17"/>
  <c r="J131" i="17"/>
  <c r="K131" i="17"/>
  <c r="L131" i="17"/>
  <c r="M131" i="17"/>
  <c r="N131" i="17"/>
  <c r="O131" i="17"/>
  <c r="G129" i="17"/>
  <c r="H129" i="17"/>
  <c r="I129" i="17"/>
  <c r="J129" i="17"/>
  <c r="K129" i="17"/>
  <c r="L129" i="17"/>
  <c r="M129" i="17"/>
  <c r="N129" i="17"/>
  <c r="O129" i="17"/>
  <c r="G127" i="17"/>
  <c r="H127" i="17"/>
  <c r="I127" i="17"/>
  <c r="J127" i="17"/>
  <c r="K127" i="17"/>
  <c r="L127" i="17"/>
  <c r="M127" i="17"/>
  <c r="N127" i="17"/>
  <c r="O127" i="17"/>
  <c r="G125" i="17"/>
  <c r="H125" i="17"/>
  <c r="I125" i="17"/>
  <c r="J125" i="17"/>
  <c r="K125" i="17"/>
  <c r="L125" i="17"/>
  <c r="M125" i="17"/>
  <c r="N125" i="17"/>
  <c r="O125" i="17"/>
  <c r="G123" i="17"/>
  <c r="H123" i="17"/>
  <c r="I123" i="17"/>
  <c r="J123" i="17"/>
  <c r="K123" i="17"/>
  <c r="L123" i="17"/>
  <c r="M123" i="17"/>
  <c r="N123" i="17"/>
  <c r="O123" i="17"/>
  <c r="G121" i="17"/>
  <c r="H121" i="17"/>
  <c r="I121" i="17"/>
  <c r="J121" i="17"/>
  <c r="K121" i="17"/>
  <c r="L121" i="17"/>
  <c r="M121" i="17"/>
  <c r="N121" i="17"/>
  <c r="O121" i="17"/>
  <c r="G119" i="17"/>
  <c r="H119" i="17"/>
  <c r="I119" i="17"/>
  <c r="J119" i="17"/>
  <c r="K119" i="17"/>
  <c r="L119" i="17"/>
  <c r="M119" i="17"/>
  <c r="N119" i="17"/>
  <c r="O119" i="17"/>
  <c r="G117" i="17"/>
  <c r="H117" i="17"/>
  <c r="I117" i="17"/>
  <c r="J117" i="17"/>
  <c r="K117" i="17"/>
  <c r="L117" i="17"/>
  <c r="M117" i="17"/>
  <c r="N117" i="17"/>
  <c r="O117" i="17"/>
  <c r="G115" i="17"/>
  <c r="H115" i="17"/>
  <c r="I115" i="17"/>
  <c r="J115" i="17"/>
  <c r="K115" i="17"/>
  <c r="L115" i="17"/>
  <c r="M115" i="17"/>
  <c r="N115" i="17"/>
  <c r="O115" i="17"/>
  <c r="G106" i="17"/>
  <c r="H106" i="17"/>
  <c r="I106" i="17"/>
  <c r="J106" i="17"/>
  <c r="K106" i="17"/>
  <c r="L106" i="17"/>
  <c r="M106" i="17"/>
  <c r="N106" i="17"/>
  <c r="O106" i="17"/>
  <c r="G108" i="17"/>
  <c r="H108" i="17"/>
  <c r="I108" i="17"/>
  <c r="J108" i="17"/>
  <c r="K108" i="17"/>
  <c r="L108" i="17"/>
  <c r="M108" i="17"/>
  <c r="N108" i="17"/>
  <c r="O108" i="17"/>
  <c r="G110" i="17"/>
  <c r="H110" i="17"/>
  <c r="I110" i="17"/>
  <c r="J110" i="17"/>
  <c r="K110" i="17"/>
  <c r="L110" i="17"/>
  <c r="M110" i="17"/>
  <c r="N110" i="17"/>
  <c r="O110" i="17"/>
  <c r="G44" i="17"/>
  <c r="H44" i="17"/>
  <c r="I44" i="17"/>
  <c r="J44" i="17"/>
  <c r="K44" i="17"/>
  <c r="L44" i="17"/>
  <c r="M44" i="17"/>
  <c r="N44" i="17"/>
  <c r="O44" i="17"/>
  <c r="G40" i="17"/>
  <c r="H40" i="17"/>
  <c r="I40" i="17"/>
  <c r="J40" i="17"/>
  <c r="K40" i="17"/>
  <c r="L40" i="17"/>
  <c r="M40" i="17"/>
  <c r="N40" i="17"/>
  <c r="O40" i="17"/>
  <c r="G646" i="17"/>
  <c r="H646" i="17"/>
  <c r="I646" i="17"/>
  <c r="J646" i="17"/>
  <c r="K646" i="17"/>
  <c r="L646" i="17"/>
  <c r="M646" i="17"/>
  <c r="N646" i="17"/>
  <c r="O646" i="17"/>
  <c r="G644" i="17"/>
  <c r="H644" i="17"/>
  <c r="I644" i="17"/>
  <c r="J644" i="17"/>
  <c r="K644" i="17"/>
  <c r="L644" i="17"/>
  <c r="M644" i="17"/>
  <c r="N644" i="17"/>
  <c r="O644" i="17"/>
  <c r="G641" i="17"/>
  <c r="H641" i="17"/>
  <c r="I641" i="17"/>
  <c r="J641" i="17"/>
  <c r="J640" i="17" s="1"/>
  <c r="K641" i="17"/>
  <c r="K640" i="17" s="1"/>
  <c r="L641" i="17"/>
  <c r="M641" i="17"/>
  <c r="N641" i="17"/>
  <c r="O641" i="17"/>
  <c r="G638" i="17"/>
  <c r="H638" i="17"/>
  <c r="I638" i="17"/>
  <c r="J638" i="17"/>
  <c r="K638" i="17"/>
  <c r="L638" i="17"/>
  <c r="M638" i="17"/>
  <c r="N638" i="17"/>
  <c r="O638" i="17"/>
  <c r="G636" i="17"/>
  <c r="H636" i="17"/>
  <c r="I636" i="17"/>
  <c r="J636" i="17"/>
  <c r="K636" i="17"/>
  <c r="L636" i="17"/>
  <c r="M636" i="17"/>
  <c r="N636" i="17"/>
  <c r="O636" i="17"/>
  <c r="G631" i="17"/>
  <c r="H631" i="17"/>
  <c r="I631" i="17"/>
  <c r="J631" i="17"/>
  <c r="K631" i="17"/>
  <c r="L631" i="17"/>
  <c r="M631" i="17"/>
  <c r="N631" i="17"/>
  <c r="O631" i="17"/>
  <c r="G622" i="17"/>
  <c r="H622" i="17"/>
  <c r="I622" i="17"/>
  <c r="J622" i="17"/>
  <c r="K622" i="17"/>
  <c r="L622" i="17"/>
  <c r="M622" i="17"/>
  <c r="N622" i="17"/>
  <c r="O622" i="17"/>
  <c r="G619" i="17"/>
  <c r="H618" i="17"/>
  <c r="I618" i="17"/>
  <c r="J618" i="17"/>
  <c r="K618" i="17"/>
  <c r="L618" i="17"/>
  <c r="M618" i="17"/>
  <c r="N618" i="17"/>
  <c r="O618" i="17"/>
  <c r="G615" i="17"/>
  <c r="H615" i="17"/>
  <c r="I615" i="17"/>
  <c r="J615" i="17"/>
  <c r="K615" i="17"/>
  <c r="L615" i="17"/>
  <c r="M615" i="17"/>
  <c r="N615" i="17"/>
  <c r="O615" i="17"/>
  <c r="G613" i="17"/>
  <c r="H613" i="17"/>
  <c r="I613" i="17"/>
  <c r="J613" i="17"/>
  <c r="K613" i="17"/>
  <c r="L613" i="17"/>
  <c r="M613" i="17"/>
  <c r="N613" i="17"/>
  <c r="O613" i="17"/>
  <c r="G609" i="17"/>
  <c r="H609" i="17"/>
  <c r="I609" i="17"/>
  <c r="J609" i="17"/>
  <c r="K609" i="17"/>
  <c r="L609" i="17"/>
  <c r="M609" i="17"/>
  <c r="N609" i="17"/>
  <c r="O609" i="17"/>
  <c r="G607" i="17"/>
  <c r="H607" i="17"/>
  <c r="I607" i="17"/>
  <c r="J607" i="17"/>
  <c r="K607" i="17"/>
  <c r="L607" i="17"/>
  <c r="M607" i="17"/>
  <c r="N607" i="17"/>
  <c r="O607" i="17"/>
  <c r="G601" i="17"/>
  <c r="H601" i="17"/>
  <c r="I601" i="17"/>
  <c r="J601" i="17"/>
  <c r="K601" i="17"/>
  <c r="L601" i="17"/>
  <c r="M601" i="17"/>
  <c r="N601" i="17"/>
  <c r="O601" i="17"/>
  <c r="G599" i="17"/>
  <c r="H599" i="17"/>
  <c r="I599" i="17"/>
  <c r="J599" i="17"/>
  <c r="K599" i="17"/>
  <c r="L599" i="17"/>
  <c r="M599" i="17"/>
  <c r="N599" i="17"/>
  <c r="O599" i="17"/>
  <c r="G595" i="17"/>
  <c r="H595" i="17"/>
  <c r="I595" i="17"/>
  <c r="J595" i="17"/>
  <c r="K595" i="17"/>
  <c r="L595" i="17"/>
  <c r="M595" i="17"/>
  <c r="N595" i="17"/>
  <c r="O595" i="17"/>
  <c r="G592" i="17"/>
  <c r="H592" i="17"/>
  <c r="I592" i="17"/>
  <c r="J592" i="17"/>
  <c r="K592" i="17"/>
  <c r="L592" i="17"/>
  <c r="M592" i="17"/>
  <c r="N592" i="17"/>
  <c r="O592" i="17"/>
  <c r="G577" i="17"/>
  <c r="H577" i="17"/>
  <c r="I577" i="17"/>
  <c r="J577" i="17"/>
  <c r="K577" i="17"/>
  <c r="L577" i="17"/>
  <c r="M577" i="17"/>
  <c r="N577" i="17"/>
  <c r="O577" i="17"/>
  <c r="G562" i="17"/>
  <c r="H562" i="17"/>
  <c r="I562" i="17"/>
  <c r="J562" i="17"/>
  <c r="K562" i="17"/>
  <c r="L562" i="17"/>
  <c r="M562" i="17"/>
  <c r="N562" i="17"/>
  <c r="O562" i="17"/>
  <c r="G560" i="17"/>
  <c r="H560" i="17"/>
  <c r="I560" i="17"/>
  <c r="J560" i="17"/>
  <c r="K560" i="17"/>
  <c r="L560" i="17"/>
  <c r="M560" i="17"/>
  <c r="N560" i="17"/>
  <c r="O560" i="17"/>
  <c r="G558" i="17"/>
  <c r="H558" i="17"/>
  <c r="I558" i="17"/>
  <c r="J558" i="17"/>
  <c r="K558" i="17"/>
  <c r="L558" i="17"/>
  <c r="M558" i="17"/>
  <c r="N558" i="17"/>
  <c r="O558" i="17"/>
  <c r="G556" i="17"/>
  <c r="H556" i="17"/>
  <c r="I556" i="17"/>
  <c r="J556" i="17"/>
  <c r="K556" i="17"/>
  <c r="L556" i="17"/>
  <c r="M556" i="17"/>
  <c r="N556" i="17"/>
  <c r="O556" i="17"/>
  <c r="G554" i="17"/>
  <c r="H554" i="17"/>
  <c r="I554" i="17"/>
  <c r="J554" i="17"/>
  <c r="K554" i="17"/>
  <c r="L554" i="17"/>
  <c r="M554" i="17"/>
  <c r="N554" i="17"/>
  <c r="O554" i="17"/>
  <c r="G552" i="17"/>
  <c r="H552" i="17"/>
  <c r="I552" i="17"/>
  <c r="J552" i="17"/>
  <c r="K552" i="17"/>
  <c r="L552" i="17"/>
  <c r="M552" i="17"/>
  <c r="N552" i="17"/>
  <c r="O552" i="17"/>
  <c r="G550" i="17"/>
  <c r="H550" i="17"/>
  <c r="I550" i="17"/>
  <c r="J550" i="17"/>
  <c r="K550" i="17"/>
  <c r="L550" i="17"/>
  <c r="M550" i="17"/>
  <c r="N550" i="17"/>
  <c r="O550" i="17"/>
  <c r="G542" i="17"/>
  <c r="H542" i="17"/>
  <c r="I542" i="17"/>
  <c r="J542" i="17"/>
  <c r="K542" i="17"/>
  <c r="L542" i="17"/>
  <c r="M542" i="17"/>
  <c r="N542" i="17"/>
  <c r="O542" i="17"/>
  <c r="G536" i="17"/>
  <c r="H536" i="17"/>
  <c r="I536" i="17"/>
  <c r="J536" i="17"/>
  <c r="K536" i="17"/>
  <c r="L536" i="17"/>
  <c r="M536" i="17"/>
  <c r="N536" i="17"/>
  <c r="O536" i="17"/>
  <c r="G522" i="17"/>
  <c r="H522" i="17"/>
  <c r="I522" i="17"/>
  <c r="J522" i="17"/>
  <c r="J521" i="17" s="1"/>
  <c r="K522" i="17"/>
  <c r="K521" i="17" s="1"/>
  <c r="L522" i="17"/>
  <c r="M522" i="17"/>
  <c r="N522" i="17"/>
  <c r="O522" i="17"/>
  <c r="G518" i="17"/>
  <c r="H518" i="17"/>
  <c r="I518" i="17"/>
  <c r="J518" i="17"/>
  <c r="J517" i="17" s="1"/>
  <c r="K518" i="17"/>
  <c r="K517" i="17" s="1"/>
  <c r="L518" i="17"/>
  <c r="M518" i="17"/>
  <c r="N518" i="17"/>
  <c r="O518" i="17"/>
  <c r="G508" i="17"/>
  <c r="H508" i="17"/>
  <c r="I508" i="17"/>
  <c r="J508" i="17"/>
  <c r="J507" i="17" s="1"/>
  <c r="K508" i="17"/>
  <c r="K507" i="17" s="1"/>
  <c r="L508" i="17"/>
  <c r="M508" i="17"/>
  <c r="N508" i="17"/>
  <c r="O508" i="17"/>
  <c r="G505" i="17"/>
  <c r="H505" i="17"/>
  <c r="I505" i="17"/>
  <c r="J505" i="17"/>
  <c r="J504" i="17" s="1"/>
  <c r="K505" i="17"/>
  <c r="K504" i="17" s="1"/>
  <c r="L505" i="17"/>
  <c r="M505" i="17"/>
  <c r="N505" i="17"/>
  <c r="O505" i="17"/>
  <c r="G487" i="17"/>
  <c r="H487" i="17"/>
  <c r="I487" i="17"/>
  <c r="J487" i="17"/>
  <c r="J486" i="17" s="1"/>
  <c r="K487" i="17"/>
  <c r="K486" i="17" s="1"/>
  <c r="L487" i="17"/>
  <c r="M487" i="17"/>
  <c r="N487" i="17"/>
  <c r="O487" i="17"/>
  <c r="G477" i="17"/>
  <c r="H477" i="17"/>
  <c r="I477" i="17"/>
  <c r="J477" i="17"/>
  <c r="K477" i="17"/>
  <c r="L477" i="17"/>
  <c r="M477" i="17"/>
  <c r="N477" i="17"/>
  <c r="O477" i="17"/>
  <c r="G480" i="17"/>
  <c r="H480" i="17"/>
  <c r="I480" i="17"/>
  <c r="J480" i="17"/>
  <c r="J479" i="17" s="1"/>
  <c r="K480" i="17"/>
  <c r="K479" i="17" s="1"/>
  <c r="L480" i="17"/>
  <c r="M480" i="17"/>
  <c r="N480" i="17"/>
  <c r="O480" i="17"/>
  <c r="G451" i="17"/>
  <c r="H451" i="17"/>
  <c r="I451" i="17"/>
  <c r="J451" i="17"/>
  <c r="K451" i="17"/>
  <c r="L451" i="17"/>
  <c r="M451" i="17"/>
  <c r="N451" i="17"/>
  <c r="O451" i="17"/>
  <c r="G432" i="17"/>
  <c r="H432" i="17"/>
  <c r="I432" i="17"/>
  <c r="J432" i="17"/>
  <c r="J431" i="17" s="1"/>
  <c r="K432" i="17"/>
  <c r="K431" i="17" s="1"/>
  <c r="L432" i="17"/>
  <c r="M432" i="17"/>
  <c r="N432" i="17"/>
  <c r="O432" i="17"/>
  <c r="G427" i="17"/>
  <c r="H427" i="17"/>
  <c r="I427" i="17"/>
  <c r="J427" i="17"/>
  <c r="J426" i="17" s="1"/>
  <c r="J425" i="17" s="1"/>
  <c r="J424" i="17" s="1"/>
  <c r="K427" i="17"/>
  <c r="K426" i="17" s="1"/>
  <c r="K425" i="17" s="1"/>
  <c r="K424" i="17" s="1"/>
  <c r="L427" i="17"/>
  <c r="M427" i="17"/>
  <c r="N427" i="17"/>
  <c r="O427" i="17"/>
  <c r="G420" i="17"/>
  <c r="H420" i="17"/>
  <c r="I420" i="17"/>
  <c r="J420" i="17"/>
  <c r="K420" i="17"/>
  <c r="L420" i="17"/>
  <c r="M420" i="17"/>
  <c r="N420" i="17"/>
  <c r="G414" i="17"/>
  <c r="H414" i="17"/>
  <c r="I414" i="17"/>
  <c r="J414" i="17"/>
  <c r="K414" i="17"/>
  <c r="L414" i="17"/>
  <c r="M414" i="17"/>
  <c r="N414" i="17"/>
  <c r="O414" i="17"/>
  <c r="G397" i="17"/>
  <c r="H397" i="17"/>
  <c r="I397" i="17"/>
  <c r="J397" i="17"/>
  <c r="J396" i="17" s="1"/>
  <c r="K397" i="17"/>
  <c r="K396" i="17" s="1"/>
  <c r="L397" i="17"/>
  <c r="M397" i="17"/>
  <c r="N397" i="17"/>
  <c r="O397" i="17"/>
  <c r="G394" i="17"/>
  <c r="H394" i="17"/>
  <c r="I394" i="17"/>
  <c r="J394" i="17"/>
  <c r="K394" i="17"/>
  <c r="L394" i="17"/>
  <c r="M394" i="17"/>
  <c r="N394" i="17"/>
  <c r="O394" i="17"/>
  <c r="G392" i="17"/>
  <c r="H392" i="17"/>
  <c r="I392" i="17"/>
  <c r="J392" i="17"/>
  <c r="K392" i="17"/>
  <c r="L392" i="17"/>
  <c r="M392" i="17"/>
  <c r="N392" i="17"/>
  <c r="O392" i="17"/>
  <c r="J383" i="17"/>
  <c r="K383" i="17"/>
  <c r="G379" i="17"/>
  <c r="H379" i="17"/>
  <c r="I379" i="17"/>
  <c r="J379" i="17"/>
  <c r="J378" i="17" s="1"/>
  <c r="J377" i="17" s="1"/>
  <c r="K379" i="17"/>
  <c r="K378" i="17" s="1"/>
  <c r="K377" i="17" s="1"/>
  <c r="L379" i="17"/>
  <c r="M379" i="17"/>
  <c r="N379" i="17"/>
  <c r="O379" i="17"/>
  <c r="G369" i="17"/>
  <c r="H369" i="17"/>
  <c r="I369" i="17"/>
  <c r="J369" i="17"/>
  <c r="J368" i="17" s="1"/>
  <c r="J367" i="17" s="1"/>
  <c r="J366" i="17" s="1"/>
  <c r="J365" i="17" s="1"/>
  <c r="K369" i="17"/>
  <c r="K368" i="17" s="1"/>
  <c r="K367" i="17" s="1"/>
  <c r="K366" i="17" s="1"/>
  <c r="K365" i="17" s="1"/>
  <c r="L369" i="17"/>
  <c r="M369" i="17"/>
  <c r="N369" i="17"/>
  <c r="O369" i="17"/>
  <c r="G354" i="17"/>
  <c r="H354" i="17"/>
  <c r="I354" i="17"/>
  <c r="J354" i="17"/>
  <c r="J353" i="17" s="1"/>
  <c r="J352" i="17" s="1"/>
  <c r="K354" i="17"/>
  <c r="K353" i="17" s="1"/>
  <c r="K352" i="17" s="1"/>
  <c r="L354" i="17"/>
  <c r="M354" i="17"/>
  <c r="N354" i="17"/>
  <c r="O354" i="17"/>
  <c r="G342" i="17"/>
  <c r="H342" i="17"/>
  <c r="I342" i="17"/>
  <c r="J342" i="17"/>
  <c r="K342" i="17"/>
  <c r="L342" i="17"/>
  <c r="M342" i="17"/>
  <c r="N342" i="17"/>
  <c r="O342" i="17"/>
  <c r="G333" i="17"/>
  <c r="H333" i="17"/>
  <c r="I333" i="17"/>
  <c r="J333" i="17"/>
  <c r="K333" i="17"/>
  <c r="L333" i="17"/>
  <c r="M333" i="17"/>
  <c r="N333" i="17"/>
  <c r="O333" i="17"/>
  <c r="G325" i="17"/>
  <c r="H325" i="17"/>
  <c r="I325" i="17"/>
  <c r="J325" i="17"/>
  <c r="K325" i="17"/>
  <c r="L325" i="17"/>
  <c r="M325" i="17"/>
  <c r="N325" i="17"/>
  <c r="O325" i="17"/>
  <c r="G316" i="17"/>
  <c r="H316" i="17"/>
  <c r="I316" i="17"/>
  <c r="J316" i="17"/>
  <c r="K316" i="17"/>
  <c r="L316" i="17"/>
  <c r="M316" i="17"/>
  <c r="N316" i="17"/>
  <c r="O316" i="17"/>
  <c r="G307" i="17"/>
  <c r="H307" i="17"/>
  <c r="I307" i="17"/>
  <c r="J307" i="17"/>
  <c r="K307" i="17"/>
  <c r="L307" i="17"/>
  <c r="M307" i="17"/>
  <c r="N307" i="17"/>
  <c r="O307" i="17"/>
  <c r="G298" i="17"/>
  <c r="H298" i="17"/>
  <c r="I298" i="17"/>
  <c r="J298" i="17"/>
  <c r="K298" i="17"/>
  <c r="L298" i="17"/>
  <c r="M298" i="17"/>
  <c r="N298" i="17"/>
  <c r="O298" i="17"/>
  <c r="G289" i="17"/>
  <c r="H289" i="17"/>
  <c r="I289" i="17"/>
  <c r="J289" i="17"/>
  <c r="K289" i="17"/>
  <c r="L289" i="17"/>
  <c r="M289" i="17"/>
  <c r="N289" i="17"/>
  <c r="O289" i="17"/>
  <c r="G280" i="17"/>
  <c r="H280" i="17"/>
  <c r="I280" i="17"/>
  <c r="J280" i="17"/>
  <c r="K280" i="17"/>
  <c r="L280" i="17"/>
  <c r="M280" i="17"/>
  <c r="N280" i="17"/>
  <c r="O280" i="17"/>
  <c r="G272" i="17"/>
  <c r="H272" i="17"/>
  <c r="I272" i="17"/>
  <c r="J272" i="17"/>
  <c r="K272" i="17"/>
  <c r="L272" i="17"/>
  <c r="M272" i="17"/>
  <c r="N272" i="17"/>
  <c r="O272" i="17"/>
  <c r="G263" i="17"/>
  <c r="H263" i="17"/>
  <c r="I263" i="17"/>
  <c r="J263" i="17"/>
  <c r="K263" i="17"/>
  <c r="L263" i="17"/>
  <c r="M263" i="17"/>
  <c r="N263" i="17"/>
  <c r="O263" i="17"/>
  <c r="G254" i="17"/>
  <c r="H254" i="17"/>
  <c r="I254" i="17"/>
  <c r="J254" i="17"/>
  <c r="K254" i="17"/>
  <c r="L254" i="17"/>
  <c r="M254" i="17"/>
  <c r="N254" i="17"/>
  <c r="O254" i="17"/>
  <c r="G245" i="17"/>
  <c r="H245" i="17"/>
  <c r="I245" i="17"/>
  <c r="J245" i="17"/>
  <c r="K245" i="17"/>
  <c r="L245" i="17"/>
  <c r="M245" i="17"/>
  <c r="N245" i="17"/>
  <c r="O245" i="17"/>
  <c r="G236" i="17"/>
  <c r="H236" i="17"/>
  <c r="I236" i="17"/>
  <c r="J236" i="17"/>
  <c r="K236" i="17"/>
  <c r="L236" i="17"/>
  <c r="M236" i="17"/>
  <c r="N236" i="17"/>
  <c r="O236" i="17"/>
  <c r="O227" i="17"/>
  <c r="G227" i="17"/>
  <c r="H227" i="17"/>
  <c r="I227" i="17"/>
  <c r="J227" i="17"/>
  <c r="K227" i="17"/>
  <c r="L227" i="17"/>
  <c r="M227" i="17"/>
  <c r="N227" i="17"/>
  <c r="G219" i="17"/>
  <c r="H219" i="17"/>
  <c r="I219" i="17"/>
  <c r="J219" i="17"/>
  <c r="K219" i="17"/>
  <c r="L219" i="17"/>
  <c r="M219" i="17"/>
  <c r="N219" i="17"/>
  <c r="O219" i="17"/>
  <c r="G210" i="17"/>
  <c r="H210" i="17"/>
  <c r="I210" i="17"/>
  <c r="J210" i="17"/>
  <c r="K210" i="17"/>
  <c r="L210" i="17"/>
  <c r="M210" i="17"/>
  <c r="N210" i="17"/>
  <c r="O210" i="17"/>
  <c r="G200" i="17"/>
  <c r="H200" i="17"/>
  <c r="I200" i="17"/>
  <c r="J200" i="17"/>
  <c r="K200" i="17"/>
  <c r="L200" i="17"/>
  <c r="M200" i="17"/>
  <c r="N200" i="17"/>
  <c r="O200" i="17"/>
  <c r="G100" i="17"/>
  <c r="H100" i="17"/>
  <c r="I100" i="17"/>
  <c r="J100" i="17"/>
  <c r="K100" i="17"/>
  <c r="L100" i="17"/>
  <c r="M100" i="17"/>
  <c r="N100" i="17"/>
  <c r="O100" i="17"/>
  <c r="G781" i="17" l="1"/>
  <c r="N404" i="17"/>
  <c r="L404" i="17"/>
  <c r="I404" i="17"/>
  <c r="H404" i="17"/>
  <c r="O404" i="17"/>
  <c r="N368" i="17"/>
  <c r="L383" i="17"/>
  <c r="N431" i="17"/>
  <c r="H504" i="17"/>
  <c r="O521" i="17"/>
  <c r="I417" i="17"/>
  <c r="O729" i="17"/>
  <c r="N849" i="17"/>
  <c r="L845" i="17"/>
  <c r="H814" i="17"/>
  <c r="L772" i="17"/>
  <c r="O368" i="17"/>
  <c r="L872" i="17"/>
  <c r="N521" i="17"/>
  <c r="H417" i="17"/>
  <c r="N729" i="17"/>
  <c r="L446" i="17"/>
  <c r="I504" i="17"/>
  <c r="L368" i="17"/>
  <c r="L431" i="17"/>
  <c r="O507" i="17"/>
  <c r="I640" i="17"/>
  <c r="I399" i="17"/>
  <c r="I872" i="17"/>
  <c r="L849" i="17"/>
  <c r="I383" i="17"/>
  <c r="N507" i="17"/>
  <c r="L521" i="17"/>
  <c r="H640" i="17"/>
  <c r="H399" i="17"/>
  <c r="L729" i="17"/>
  <c r="H872" i="17"/>
  <c r="I845" i="17"/>
  <c r="I772" i="17"/>
  <c r="H517" i="17"/>
  <c r="H383" i="17"/>
  <c r="O396" i="17"/>
  <c r="O486" i="17"/>
  <c r="H845" i="17"/>
  <c r="H772" i="17"/>
  <c r="I446" i="17"/>
  <c r="I368" i="17"/>
  <c r="N396" i="17"/>
  <c r="I431" i="17"/>
  <c r="N486" i="17"/>
  <c r="L507" i="17"/>
  <c r="I849" i="17"/>
  <c r="I814" i="17"/>
  <c r="H368" i="17"/>
  <c r="H431" i="17"/>
  <c r="O479" i="17"/>
  <c r="I521" i="17"/>
  <c r="I729" i="17"/>
  <c r="H849" i="17"/>
  <c r="N383" i="17"/>
  <c r="L640" i="17"/>
  <c r="O849" i="17"/>
  <c r="L396" i="17"/>
  <c r="N479" i="17"/>
  <c r="L486" i="17"/>
  <c r="H521" i="17"/>
  <c r="O408" i="17"/>
  <c r="H729" i="17"/>
  <c r="N845" i="17"/>
  <c r="O378" i="17"/>
  <c r="I507" i="17"/>
  <c r="N408" i="17"/>
  <c r="O842" i="17"/>
  <c r="N378" i="17"/>
  <c r="L479" i="17"/>
  <c r="H507" i="17"/>
  <c r="N842" i="17"/>
  <c r="O803" i="17"/>
  <c r="O353" i="17"/>
  <c r="I396" i="17"/>
  <c r="O426" i="17"/>
  <c r="I486" i="17"/>
  <c r="L408" i="17"/>
  <c r="O853" i="17"/>
  <c r="N803" i="17"/>
  <c r="N446" i="17"/>
  <c r="N426" i="17"/>
  <c r="O665" i="17"/>
  <c r="O724" i="17"/>
  <c r="N853" i="17"/>
  <c r="L842" i="17"/>
  <c r="L399" i="17"/>
  <c r="N353" i="17"/>
  <c r="N665" i="17"/>
  <c r="N724" i="17"/>
  <c r="L803" i="17"/>
  <c r="K776" i="17"/>
  <c r="N772" i="17"/>
  <c r="L353" i="17"/>
  <c r="L426" i="17"/>
  <c r="H479" i="17"/>
  <c r="O504" i="17"/>
  <c r="I408" i="17"/>
  <c r="O718" i="17"/>
  <c r="L853" i="17"/>
  <c r="O814" i="17"/>
  <c r="J776" i="17"/>
  <c r="H724" i="17"/>
  <c r="H396" i="17"/>
  <c r="H486" i="17"/>
  <c r="N517" i="17"/>
  <c r="I378" i="17"/>
  <c r="N504" i="17"/>
  <c r="L517" i="17"/>
  <c r="H408" i="17"/>
  <c r="O417" i="17"/>
  <c r="L665" i="17"/>
  <c r="L724" i="17"/>
  <c r="I842" i="17"/>
  <c r="N814" i="17"/>
  <c r="I776" i="17"/>
  <c r="O446" i="17"/>
  <c r="O431" i="17"/>
  <c r="L378" i="17"/>
  <c r="O517" i="17"/>
  <c r="I479" i="17"/>
  <c r="H378" i="17"/>
  <c r="N417" i="17"/>
  <c r="H842" i="17"/>
  <c r="I803" i="17"/>
  <c r="H776" i="17"/>
  <c r="I353" i="17"/>
  <c r="I426" i="17"/>
  <c r="L504" i="17"/>
  <c r="O640" i="17"/>
  <c r="O399" i="17"/>
  <c r="O872" i="17"/>
  <c r="I853" i="17"/>
  <c r="L814" i="17"/>
  <c r="H803" i="17"/>
  <c r="H446" i="17"/>
  <c r="H665" i="17"/>
  <c r="H353" i="17"/>
  <c r="O383" i="17"/>
  <c r="H426" i="17"/>
  <c r="I517" i="17"/>
  <c r="N640" i="17"/>
  <c r="N399" i="17"/>
  <c r="L417" i="17"/>
  <c r="I665" i="17"/>
  <c r="I724" i="17"/>
  <c r="N872" i="17"/>
  <c r="H853" i="17"/>
  <c r="O845" i="17"/>
  <c r="O772" i="17"/>
  <c r="G446" i="17"/>
  <c r="G430" i="17" s="1"/>
  <c r="H879" i="17"/>
  <c r="O879" i="17"/>
  <c r="N879" i="17"/>
  <c r="I879" i="17"/>
  <c r="L879" i="17"/>
  <c r="G479" i="17"/>
  <c r="G408" i="17"/>
  <c r="G378" i="17"/>
  <c r="G803" i="17"/>
  <c r="G404" i="17"/>
  <c r="G353" i="17"/>
  <c r="G426" i="17"/>
  <c r="G517" i="17"/>
  <c r="G618" i="17"/>
  <c r="G665" i="17"/>
  <c r="G724" i="17"/>
  <c r="G504" i="17"/>
  <c r="G814" i="17"/>
  <c r="G417" i="17"/>
  <c r="G643" i="17"/>
  <c r="G640" i="17"/>
  <c r="G399" i="17"/>
  <c r="G772" i="17"/>
  <c r="G486" i="17"/>
  <c r="G368" i="17"/>
  <c r="G431" i="17"/>
  <c r="G396" i="17"/>
  <c r="G521" i="17"/>
  <c r="G729" i="17"/>
  <c r="G383" i="17"/>
  <c r="G507" i="17"/>
  <c r="H643" i="17"/>
  <c r="M640" i="17"/>
  <c r="M399" i="17"/>
  <c r="M872" i="17"/>
  <c r="M521" i="17"/>
  <c r="M729" i="17"/>
  <c r="M507" i="17"/>
  <c r="M772" i="17"/>
  <c r="M849" i="17"/>
  <c r="M404" i="17"/>
  <c r="M353" i="17"/>
  <c r="M845" i="17"/>
  <c r="M486" i="17"/>
  <c r="M426" i="17"/>
  <c r="M814" i="17"/>
  <c r="M446" i="17"/>
  <c r="M479" i="17"/>
  <c r="L643" i="17"/>
  <c r="O776" i="17"/>
  <c r="M853" i="17"/>
  <c r="M504" i="17"/>
  <c r="M417" i="17"/>
  <c r="M383" i="17"/>
  <c r="M431" i="17"/>
  <c r="M396" i="17"/>
  <c r="K643" i="17"/>
  <c r="M408" i="17"/>
  <c r="M879" i="17"/>
  <c r="M517" i="17"/>
  <c r="M378" i="17"/>
  <c r="J643" i="17"/>
  <c r="M842" i="17"/>
  <c r="M776" i="17"/>
  <c r="M665" i="17"/>
  <c r="M724" i="17"/>
  <c r="M368" i="17"/>
  <c r="I643" i="17"/>
  <c r="M803" i="17"/>
  <c r="L776" i="17"/>
  <c r="M643" i="17"/>
  <c r="O643" i="17"/>
  <c r="N643" i="17"/>
  <c r="G806" i="17"/>
  <c r="M262" i="17"/>
  <c r="O244" i="17"/>
  <c r="L297" i="17"/>
  <c r="I297" i="17"/>
  <c r="J315" i="17"/>
  <c r="J314" i="17" s="1"/>
  <c r="G315" i="17"/>
  <c r="H332" i="17"/>
  <c r="G489" i="17"/>
  <c r="J649" i="17"/>
  <c r="G612" i="17"/>
  <c r="K649" i="17"/>
  <c r="M621" i="17"/>
  <c r="I649" i="17"/>
  <c r="N817" i="17"/>
  <c r="G776" i="17"/>
  <c r="J529" i="17"/>
  <c r="K621" i="17"/>
  <c r="I360" i="17"/>
  <c r="J621" i="17"/>
  <c r="O297" i="17"/>
  <c r="I621" i="17"/>
  <c r="O649" i="17"/>
  <c r="H867" i="17"/>
  <c r="H621" i="17"/>
  <c r="N649" i="17"/>
  <c r="O449" i="17"/>
  <c r="G621" i="17"/>
  <c r="H649" i="17"/>
  <c r="G649" i="17"/>
  <c r="O315" i="17"/>
  <c r="N297" i="17"/>
  <c r="K315" i="17"/>
  <c r="K314" i="17" s="1"/>
  <c r="N449" i="17"/>
  <c r="L621" i="17"/>
  <c r="O39" i="17"/>
  <c r="I332" i="17"/>
  <c r="K297" i="17"/>
  <c r="K296" i="17" s="1"/>
  <c r="I315" i="17"/>
  <c r="M449" i="17"/>
  <c r="O489" i="17"/>
  <c r="I635" i="17"/>
  <c r="J332" i="17"/>
  <c r="M297" i="17"/>
  <c r="J297" i="17"/>
  <c r="J296" i="17" s="1"/>
  <c r="H315" i="17"/>
  <c r="I806" i="17"/>
  <c r="L817" i="17"/>
  <c r="H806" i="17"/>
  <c r="N244" i="17"/>
  <c r="L262" i="17"/>
  <c r="L449" i="17"/>
  <c r="J675" i="17"/>
  <c r="J674" i="17" s="1"/>
  <c r="J664" i="17" s="1"/>
  <c r="O867" i="17"/>
  <c r="M858" i="17"/>
  <c r="N226" i="17"/>
  <c r="K262" i="17"/>
  <c r="K449" i="17"/>
  <c r="I675" i="17"/>
  <c r="N867" i="17"/>
  <c r="L858" i="17"/>
  <c r="J262" i="17"/>
  <c r="H894" i="17"/>
  <c r="I449" i="17"/>
  <c r="H209" i="17"/>
  <c r="O209" i="17"/>
  <c r="H449" i="17"/>
  <c r="I718" i="17"/>
  <c r="H754" i="17"/>
  <c r="I262" i="17"/>
  <c r="G449" i="17"/>
  <c r="M817" i="17"/>
  <c r="J449" i="17"/>
  <c r="J806" i="17"/>
  <c r="O858" i="17"/>
  <c r="M226" i="17"/>
  <c r="H710" i="17"/>
  <c r="N858" i="17"/>
  <c r="G360" i="17"/>
  <c r="G710" i="17"/>
  <c r="L494" i="17"/>
  <c r="K494" i="17"/>
  <c r="N718" i="17"/>
  <c r="O529" i="17"/>
  <c r="O806" i="17"/>
  <c r="M781" i="17"/>
  <c r="K781" i="17"/>
  <c r="I781" i="17"/>
  <c r="N529" i="17"/>
  <c r="O675" i="17"/>
  <c r="O817" i="17"/>
  <c r="N806" i="17"/>
  <c r="L781" i="17"/>
  <c r="H781" i="17"/>
  <c r="L226" i="17"/>
  <c r="H262" i="17"/>
  <c r="M649" i="17"/>
  <c r="M675" i="17"/>
  <c r="M209" i="17"/>
  <c r="J226" i="17"/>
  <c r="G262" i="17"/>
  <c r="L635" i="17"/>
  <c r="I489" i="17"/>
  <c r="G494" i="17"/>
  <c r="L649" i="17"/>
  <c r="L675" i="17"/>
  <c r="K806" i="17"/>
  <c r="N781" i="17"/>
  <c r="J754" i="17"/>
  <c r="J753" i="17" s="1"/>
  <c r="J752" i="17" s="1"/>
  <c r="N732" i="17"/>
  <c r="O781" i="17"/>
  <c r="I391" i="17"/>
  <c r="K635" i="17"/>
  <c r="H489" i="17"/>
  <c r="O494" i="17"/>
  <c r="K675" i="17"/>
  <c r="K674" i="17" s="1"/>
  <c r="K664" i="17" s="1"/>
  <c r="O894" i="17"/>
  <c r="I754" i="17"/>
  <c r="M732" i="17"/>
  <c r="I226" i="17"/>
  <c r="O262" i="17"/>
  <c r="K209" i="17"/>
  <c r="N262" i="17"/>
  <c r="I529" i="17"/>
  <c r="M612" i="17"/>
  <c r="J635" i="17"/>
  <c r="N894" i="17"/>
  <c r="L732" i="17"/>
  <c r="M806" i="17"/>
  <c r="M894" i="17"/>
  <c r="K817" i="17"/>
  <c r="I817" i="17"/>
  <c r="G754" i="17"/>
  <c r="G732" i="17"/>
  <c r="K226" i="17"/>
  <c r="L612" i="17"/>
  <c r="K612" i="17"/>
  <c r="M718" i="17"/>
  <c r="L894" i="17"/>
  <c r="J817" i="17"/>
  <c r="H817" i="17"/>
  <c r="J781" i="17"/>
  <c r="L806" i="17"/>
  <c r="J612" i="17"/>
  <c r="L718" i="17"/>
  <c r="K894" i="17"/>
  <c r="K893" i="17" s="1"/>
  <c r="K892" i="17" s="1"/>
  <c r="K891" i="17" s="1"/>
  <c r="K890" i="17" s="1"/>
  <c r="K876" i="17" s="1"/>
  <c r="I858" i="17"/>
  <c r="G817" i="17"/>
  <c r="O732" i="17"/>
  <c r="N209" i="17"/>
  <c r="O391" i="17"/>
  <c r="I612" i="17"/>
  <c r="K718" i="17"/>
  <c r="J894" i="17"/>
  <c r="J893" i="17" s="1"/>
  <c r="J892" i="17" s="1"/>
  <c r="J891" i="17" s="1"/>
  <c r="J890" i="17" s="1"/>
  <c r="J876" i="17" s="1"/>
  <c r="J867" i="17"/>
  <c r="J864" i="17" s="1"/>
  <c r="J863" i="17" s="1"/>
  <c r="H858" i="17"/>
  <c r="N675" i="17"/>
  <c r="M635" i="17"/>
  <c r="L360" i="17"/>
  <c r="H612" i="17"/>
  <c r="H360" i="17"/>
  <c r="J718" i="17"/>
  <c r="I894" i="17"/>
  <c r="I867" i="17"/>
  <c r="N776" i="17"/>
  <c r="G529" i="17"/>
  <c r="J494" i="17"/>
  <c r="O654" i="17"/>
  <c r="O621" i="17"/>
  <c r="K732" i="17"/>
  <c r="G654" i="17"/>
  <c r="L867" i="17"/>
  <c r="H391" i="17"/>
  <c r="O635" i="17"/>
  <c r="K360" i="17"/>
  <c r="K359" i="17" s="1"/>
  <c r="K358" i="17" s="1"/>
  <c r="K357" i="17" s="1"/>
  <c r="K351" i="17" s="1"/>
  <c r="K350" i="17" s="1"/>
  <c r="N489" i="17"/>
  <c r="O710" i="17"/>
  <c r="K867" i="17"/>
  <c r="K864" i="17" s="1"/>
  <c r="K863" i="17" s="1"/>
  <c r="G209" i="17"/>
  <c r="L244" i="17"/>
  <c r="M489" i="17"/>
  <c r="I494" i="17"/>
  <c r="N710" i="17"/>
  <c r="L489" i="17"/>
  <c r="H494" i="17"/>
  <c r="H675" i="17"/>
  <c r="K489" i="17"/>
  <c r="L710" i="17"/>
  <c r="M867" i="17"/>
  <c r="K858" i="17"/>
  <c r="K857" i="17" s="1"/>
  <c r="M244" i="17"/>
  <c r="J244" i="17"/>
  <c r="J243" i="17" s="1"/>
  <c r="L315" i="17"/>
  <c r="I244" i="17"/>
  <c r="N391" i="17"/>
  <c r="J489" i="17"/>
  <c r="K710" i="17"/>
  <c r="K709" i="17" s="1"/>
  <c r="O754" i="17"/>
  <c r="J710" i="17"/>
  <c r="J709" i="17" s="1"/>
  <c r="N754" i="17"/>
  <c r="J732" i="17"/>
  <c r="L391" i="17"/>
  <c r="M529" i="17"/>
  <c r="I710" i="17"/>
  <c r="M754" i="17"/>
  <c r="I732" i="17"/>
  <c r="M391" i="17"/>
  <c r="K391" i="17"/>
  <c r="K382" i="17" s="1"/>
  <c r="O612" i="17"/>
  <c r="N494" i="17"/>
  <c r="L529" i="17"/>
  <c r="L754" i="17"/>
  <c r="H732" i="17"/>
  <c r="K244" i="17"/>
  <c r="K243" i="17" s="1"/>
  <c r="N612" i="17"/>
  <c r="G635" i="17"/>
  <c r="M494" i="17"/>
  <c r="K529" i="17"/>
  <c r="K754" i="17"/>
  <c r="K753" i="17" s="1"/>
  <c r="K752" i="17" s="1"/>
  <c r="J858" i="17"/>
  <c r="J857" i="17" s="1"/>
  <c r="J841" i="17"/>
  <c r="J840" i="17" s="1"/>
  <c r="J839" i="17" s="1"/>
  <c r="K841" i="17"/>
  <c r="K840" i="17" s="1"/>
  <c r="K839" i="17" s="1"/>
  <c r="H718" i="17"/>
  <c r="G718" i="17"/>
  <c r="M710" i="17"/>
  <c r="N654" i="17"/>
  <c r="M654" i="17"/>
  <c r="L654" i="17"/>
  <c r="J654" i="17"/>
  <c r="I654" i="17"/>
  <c r="K654" i="17"/>
  <c r="H654" i="17"/>
  <c r="H529" i="17"/>
  <c r="J407" i="17"/>
  <c r="O360" i="17"/>
  <c r="N360" i="17"/>
  <c r="M360" i="17"/>
  <c r="J360" i="17"/>
  <c r="J359" i="17" s="1"/>
  <c r="J358" i="17" s="1"/>
  <c r="J357" i="17" s="1"/>
  <c r="J351" i="17" s="1"/>
  <c r="J350" i="17" s="1"/>
  <c r="N39" i="17"/>
  <c r="M39" i="17"/>
  <c r="L39" i="17"/>
  <c r="K39" i="17"/>
  <c r="J39" i="17"/>
  <c r="I39" i="17"/>
  <c r="H39" i="17"/>
  <c r="G39" i="17"/>
  <c r="N635" i="17"/>
  <c r="H635" i="17"/>
  <c r="N621" i="17"/>
  <c r="N315" i="17"/>
  <c r="M315" i="17"/>
  <c r="J391" i="17"/>
  <c r="J382" i="17" s="1"/>
  <c r="J209" i="17"/>
  <c r="G244" i="17"/>
  <c r="I209" i="17"/>
  <c r="G226" i="17"/>
  <c r="O226" i="17"/>
  <c r="O279" i="17"/>
  <c r="G332" i="17"/>
  <c r="G391" i="17"/>
  <c r="O332" i="17"/>
  <c r="K279" i="17"/>
  <c r="J279" i="17"/>
  <c r="H297" i="17"/>
  <c r="I279" i="17"/>
  <c r="G297" i="17"/>
  <c r="L332" i="17"/>
  <c r="H279" i="17"/>
  <c r="K332" i="17"/>
  <c r="I541" i="17"/>
  <c r="H541" i="17"/>
  <c r="G541" i="17"/>
  <c r="O541" i="17"/>
  <c r="N541" i="17"/>
  <c r="K541" i="17"/>
  <c r="M541" i="17"/>
  <c r="J541" i="17"/>
  <c r="L541" i="17"/>
  <c r="K430" i="17"/>
  <c r="J430" i="17"/>
  <c r="K407" i="17"/>
  <c r="N332" i="17"/>
  <c r="M332" i="17"/>
  <c r="N279" i="17"/>
  <c r="M279" i="17"/>
  <c r="L279" i="17"/>
  <c r="G279" i="17"/>
  <c r="H244" i="17"/>
  <c r="H226" i="17"/>
  <c r="L209" i="17"/>
  <c r="I430" i="17" l="1"/>
  <c r="I429" i="17" s="1"/>
  <c r="H407" i="17"/>
  <c r="J775" i="17"/>
  <c r="J770" i="17" s="1"/>
  <c r="K775" i="17"/>
  <c r="K770" i="17" s="1"/>
  <c r="L430" i="17"/>
  <c r="H430" i="17"/>
  <c r="H429" i="17" s="1"/>
  <c r="N430" i="17"/>
  <c r="O753" i="17"/>
  <c r="N753" i="17"/>
  <c r="H359" i="17"/>
  <c r="O296" i="17"/>
  <c r="L359" i="17"/>
  <c r="O709" i="17"/>
  <c r="I753" i="17"/>
  <c r="N864" i="17"/>
  <c r="H852" i="17"/>
  <c r="H352" i="17"/>
  <c r="M296" i="17"/>
  <c r="L407" i="17"/>
  <c r="N857" i="17"/>
  <c r="I674" i="17"/>
  <c r="I314" i="17"/>
  <c r="I359" i="17"/>
  <c r="O425" i="17"/>
  <c r="O367" i="17"/>
  <c r="L296" i="17"/>
  <c r="L367" i="17"/>
  <c r="I243" i="17"/>
  <c r="H857" i="17"/>
  <c r="H709" i="17"/>
  <c r="L425" i="17"/>
  <c r="H425" i="17"/>
  <c r="O848" i="17"/>
  <c r="O841" i="17" s="1"/>
  <c r="N407" i="17"/>
  <c r="N674" i="17"/>
  <c r="I425" i="17"/>
  <c r="N852" i="17"/>
  <c r="L243" i="17"/>
  <c r="G407" i="17"/>
  <c r="I407" i="17"/>
  <c r="L314" i="17"/>
  <c r="L753" i="17"/>
  <c r="H382" i="17"/>
  <c r="H775" i="17"/>
  <c r="O857" i="17"/>
  <c r="L352" i="17"/>
  <c r="L775" i="17"/>
  <c r="I352" i="17"/>
  <c r="H377" i="17"/>
  <c r="N813" i="17"/>
  <c r="O352" i="17"/>
  <c r="H367" i="17"/>
  <c r="I367" i="17"/>
  <c r="L848" i="17"/>
  <c r="L841" i="17" s="1"/>
  <c r="L771" i="17"/>
  <c r="I382" i="17"/>
  <c r="O864" i="17"/>
  <c r="O813" i="17"/>
  <c r="L634" i="17"/>
  <c r="N314" i="17"/>
  <c r="H848" i="17"/>
  <c r="H841" i="17" s="1"/>
  <c r="I813" i="17"/>
  <c r="I771" i="17"/>
  <c r="H813" i="17"/>
  <c r="H864" i="17"/>
  <c r="N377" i="17"/>
  <c r="O407" i="17"/>
  <c r="L864" i="17"/>
  <c r="H296" i="17"/>
  <c r="O674" i="17"/>
  <c r="N296" i="17"/>
  <c r="L852" i="17"/>
  <c r="N771" i="17"/>
  <c r="H802" i="17"/>
  <c r="I802" i="17"/>
  <c r="I377" i="17"/>
  <c r="N425" i="17"/>
  <c r="O802" i="17"/>
  <c r="N382" i="17"/>
  <c r="L709" i="17"/>
  <c r="O430" i="17"/>
  <c r="N243" i="17"/>
  <c r="H674" i="17"/>
  <c r="I857" i="17"/>
  <c r="I775" i="17"/>
  <c r="L813" i="17"/>
  <c r="L802" i="17"/>
  <c r="I848" i="17"/>
  <c r="N848" i="17"/>
  <c r="L857" i="17"/>
  <c r="H753" i="17"/>
  <c r="I709" i="17"/>
  <c r="L674" i="17"/>
  <c r="O771" i="17"/>
  <c r="O243" i="17"/>
  <c r="N352" i="17"/>
  <c r="H634" i="17"/>
  <c r="O382" i="17"/>
  <c r="I717" i="17"/>
  <c r="I852" i="17"/>
  <c r="L377" i="17"/>
  <c r="N802" i="17"/>
  <c r="N367" i="17"/>
  <c r="N359" i="17"/>
  <c r="L382" i="17"/>
  <c r="N709" i="17"/>
  <c r="I864" i="17"/>
  <c r="H314" i="17"/>
  <c r="O717" i="17"/>
  <c r="O314" i="17"/>
  <c r="H243" i="17"/>
  <c r="O359" i="17"/>
  <c r="I296" i="17"/>
  <c r="O852" i="17"/>
  <c r="O377" i="17"/>
  <c r="H771" i="17"/>
  <c r="I893" i="17"/>
  <c r="O893" i="17"/>
  <c r="H893" i="17"/>
  <c r="L893" i="17"/>
  <c r="N893" i="17"/>
  <c r="N878" i="17"/>
  <c r="I878" i="17"/>
  <c r="O878" i="17"/>
  <c r="L878" i="17"/>
  <c r="H878" i="17"/>
  <c r="G425" i="17"/>
  <c r="G296" i="17"/>
  <c r="G753" i="17"/>
  <c r="G352" i="17"/>
  <c r="G813" i="17"/>
  <c r="G802" i="17"/>
  <c r="G367" i="17"/>
  <c r="G377" i="17"/>
  <c r="G382" i="17"/>
  <c r="G771" i="17"/>
  <c r="G243" i="17"/>
  <c r="G634" i="17"/>
  <c r="G359" i="17"/>
  <c r="G314" i="17"/>
  <c r="G709" i="17"/>
  <c r="M261" i="17"/>
  <c r="K634" i="17"/>
  <c r="O634" i="17"/>
  <c r="I634" i="17"/>
  <c r="M430" i="17"/>
  <c r="M878" i="17"/>
  <c r="M674" i="17"/>
  <c r="M771" i="17"/>
  <c r="M314" i="17"/>
  <c r="M864" i="17"/>
  <c r="M802" i="17"/>
  <c r="M857" i="17"/>
  <c r="M425" i="17"/>
  <c r="M709" i="17"/>
  <c r="M243" i="17"/>
  <c r="M367" i="17"/>
  <c r="O775" i="17"/>
  <c r="M893" i="17"/>
  <c r="M359" i="17"/>
  <c r="M753" i="17"/>
  <c r="M377" i="17"/>
  <c r="J634" i="17"/>
  <c r="M775" i="17"/>
  <c r="M852" i="17"/>
  <c r="M634" i="17"/>
  <c r="M813" i="17"/>
  <c r="M352" i="17"/>
  <c r="M848" i="17"/>
  <c r="N634" i="17"/>
  <c r="M382" i="17"/>
  <c r="M407" i="17"/>
  <c r="J429" i="17"/>
  <c r="L717" i="17"/>
  <c r="G540" i="17"/>
  <c r="G485" i="17"/>
  <c r="N775" i="17"/>
  <c r="M208" i="17"/>
  <c r="K208" i="17"/>
  <c r="M717" i="17"/>
  <c r="L540" i="17"/>
  <c r="G775" i="17"/>
  <c r="N208" i="17"/>
  <c r="L485" i="17"/>
  <c r="I485" i="17"/>
  <c r="L429" i="17"/>
  <c r="J717" i="17"/>
  <c r="L261" i="17"/>
  <c r="O261" i="17"/>
  <c r="G261" i="17"/>
  <c r="O208" i="17"/>
  <c r="J648" i="17"/>
  <c r="I261" i="17"/>
  <c r="M540" i="17"/>
  <c r="K540" i="17"/>
  <c r="K539" i="17" s="1"/>
  <c r="I208" i="17"/>
  <c r="O485" i="17"/>
  <c r="J485" i="17"/>
  <c r="J484" i="17" s="1"/>
  <c r="J483" i="17" s="1"/>
  <c r="J540" i="17"/>
  <c r="J539" i="17" s="1"/>
  <c r="H261" i="17"/>
  <c r="N717" i="17"/>
  <c r="J208" i="17"/>
  <c r="J261" i="17"/>
  <c r="H208" i="17"/>
  <c r="K717" i="17"/>
  <c r="K485" i="17"/>
  <c r="K484" i="17" s="1"/>
  <c r="K483" i="17" s="1"/>
  <c r="K261" i="17"/>
  <c r="M485" i="17"/>
  <c r="N261" i="17"/>
  <c r="H540" i="17"/>
  <c r="N485" i="17"/>
  <c r="I540" i="17"/>
  <c r="H485" i="17"/>
  <c r="G208" i="17"/>
  <c r="G717" i="17"/>
  <c r="L208" i="17"/>
  <c r="O540" i="17"/>
  <c r="K648" i="17"/>
  <c r="N540" i="17"/>
  <c r="J376" i="17"/>
  <c r="H717" i="17"/>
  <c r="G429" i="17"/>
  <c r="K429" i="17"/>
  <c r="K376" i="17"/>
  <c r="N841" i="17" l="1"/>
  <c r="N429" i="17"/>
  <c r="H376" i="17"/>
  <c r="L770" i="17"/>
  <c r="I863" i="17"/>
  <c r="N840" i="17"/>
  <c r="O424" i="17"/>
  <c r="L840" i="17"/>
  <c r="H664" i="17"/>
  <c r="H863" i="17"/>
  <c r="O863" i="17"/>
  <c r="N863" i="17"/>
  <c r="I358" i="17"/>
  <c r="H752" i="17"/>
  <c r="I752" i="17"/>
  <c r="I484" i="17"/>
  <c r="H840" i="17"/>
  <c r="O840" i="17"/>
  <c r="I770" i="17"/>
  <c r="L484" i="17"/>
  <c r="O358" i="17"/>
  <c r="I664" i="17"/>
  <c r="L424" i="17"/>
  <c r="N358" i="17"/>
  <c r="L358" i="17"/>
  <c r="I376" i="17"/>
  <c r="N366" i="17"/>
  <c r="I841" i="17"/>
  <c r="I366" i="17"/>
  <c r="I424" i="17"/>
  <c r="H366" i="17"/>
  <c r="N664" i="17"/>
  <c r="H358" i="17"/>
  <c r="L366" i="17"/>
  <c r="L376" i="17"/>
  <c r="N484" i="17"/>
  <c r="N752" i="17"/>
  <c r="N424" i="17"/>
  <c r="L664" i="17"/>
  <c r="O376" i="17"/>
  <c r="N770" i="17"/>
  <c r="H484" i="17"/>
  <c r="H770" i="17"/>
  <c r="O484" i="17"/>
  <c r="O770" i="17"/>
  <c r="L863" i="17"/>
  <c r="H424" i="17"/>
  <c r="O366" i="17"/>
  <c r="O664" i="17"/>
  <c r="N376" i="17"/>
  <c r="O429" i="17"/>
  <c r="G376" i="17"/>
  <c r="M429" i="17"/>
  <c r="L752" i="17"/>
  <c r="O752" i="17"/>
  <c r="N539" i="17"/>
  <c r="O539" i="17"/>
  <c r="N892" i="17"/>
  <c r="L892" i="17"/>
  <c r="L539" i="17"/>
  <c r="O892" i="17"/>
  <c r="I539" i="17"/>
  <c r="H539" i="17"/>
  <c r="H892" i="17"/>
  <c r="I892" i="17"/>
  <c r="H877" i="17"/>
  <c r="L877" i="17"/>
  <c r="N877" i="17"/>
  <c r="O877" i="17"/>
  <c r="I877" i="17"/>
  <c r="G358" i="17"/>
  <c r="G366" i="17"/>
  <c r="G484" i="17"/>
  <c r="G770" i="17"/>
  <c r="G752" i="17"/>
  <c r="G539" i="17"/>
  <c r="G424" i="17"/>
  <c r="M207" i="17"/>
  <c r="M424" i="17"/>
  <c r="M376" i="17"/>
  <c r="M539" i="17"/>
  <c r="M664" i="17"/>
  <c r="M892" i="17"/>
  <c r="M752" i="17"/>
  <c r="M770" i="17"/>
  <c r="M877" i="17"/>
  <c r="M484" i="17"/>
  <c r="M841" i="17"/>
  <c r="M358" i="17"/>
  <c r="M863" i="17"/>
  <c r="M366" i="17"/>
  <c r="H207" i="17"/>
  <c r="J520" i="17"/>
  <c r="J423" i="17" s="1"/>
  <c r="J375" i="17" s="1"/>
  <c r="J349" i="17" s="1"/>
  <c r="O207" i="17"/>
  <c r="J207" i="17"/>
  <c r="I207" i="17"/>
  <c r="K207" i="17"/>
  <c r="L207" i="17"/>
  <c r="N207" i="17"/>
  <c r="G207" i="17"/>
  <c r="K520" i="17"/>
  <c r="K423" i="17" s="1"/>
  <c r="K375" i="17" s="1"/>
  <c r="K349" i="17" s="1"/>
  <c r="I365" i="17" l="1"/>
  <c r="I648" i="17"/>
  <c r="I840" i="17"/>
  <c r="N483" i="17"/>
  <c r="O648" i="17"/>
  <c r="L483" i="17"/>
  <c r="O357" i="17"/>
  <c r="O483" i="17"/>
  <c r="N365" i="17"/>
  <c r="L839" i="17"/>
  <c r="N648" i="17"/>
  <c r="H839" i="17"/>
  <c r="O839" i="17"/>
  <c r="L648" i="17"/>
  <c r="L520" i="17" s="1"/>
  <c r="I357" i="17"/>
  <c r="H365" i="17"/>
  <c r="I483" i="17"/>
  <c r="N839" i="17"/>
  <c r="L365" i="17"/>
  <c r="H357" i="17"/>
  <c r="N357" i="17"/>
  <c r="H483" i="17"/>
  <c r="H648" i="17"/>
  <c r="O365" i="17"/>
  <c r="L357" i="17"/>
  <c r="I891" i="17"/>
  <c r="H891" i="17"/>
  <c r="O891" i="17"/>
  <c r="I520" i="17"/>
  <c r="L891" i="17"/>
  <c r="N891" i="17"/>
  <c r="G365" i="17"/>
  <c r="G483" i="17"/>
  <c r="G357" i="17"/>
  <c r="M840" i="17"/>
  <c r="M483" i="17"/>
  <c r="M891" i="17"/>
  <c r="M357" i="17"/>
  <c r="M648" i="17"/>
  <c r="M365" i="17"/>
  <c r="G191" i="17"/>
  <c r="H191" i="17"/>
  <c r="I191" i="17"/>
  <c r="J191" i="17"/>
  <c r="J190" i="17" s="1"/>
  <c r="K191" i="17"/>
  <c r="K190" i="17" s="1"/>
  <c r="L191" i="17"/>
  <c r="M191" i="17"/>
  <c r="N191" i="17"/>
  <c r="O191" i="17"/>
  <c r="G183" i="17"/>
  <c r="H183" i="17"/>
  <c r="I183" i="17"/>
  <c r="J183" i="17"/>
  <c r="K183" i="17"/>
  <c r="L183" i="17"/>
  <c r="M183" i="17"/>
  <c r="N183" i="17"/>
  <c r="O183" i="17"/>
  <c r="G174" i="17"/>
  <c r="H174" i="17"/>
  <c r="I174" i="17"/>
  <c r="J174" i="17"/>
  <c r="K174" i="17"/>
  <c r="L174" i="17"/>
  <c r="M174" i="17"/>
  <c r="N174" i="17"/>
  <c r="O174" i="17"/>
  <c r="G165" i="17"/>
  <c r="H165" i="17"/>
  <c r="I165" i="17"/>
  <c r="J165" i="17"/>
  <c r="K165" i="17"/>
  <c r="L165" i="17"/>
  <c r="M165" i="17"/>
  <c r="N165" i="17"/>
  <c r="O165" i="17"/>
  <c r="G156" i="17"/>
  <c r="H156" i="17"/>
  <c r="I156" i="17"/>
  <c r="J156" i="17"/>
  <c r="K156" i="17"/>
  <c r="L156" i="17"/>
  <c r="M156" i="17"/>
  <c r="N156" i="17"/>
  <c r="O156" i="17"/>
  <c r="G148" i="17"/>
  <c r="H148" i="17"/>
  <c r="I148" i="17"/>
  <c r="J148" i="17"/>
  <c r="K148" i="17"/>
  <c r="L148" i="17"/>
  <c r="M148" i="17"/>
  <c r="N148" i="17"/>
  <c r="O148" i="17"/>
  <c r="G138" i="17"/>
  <c r="H138" i="17"/>
  <c r="I138" i="17"/>
  <c r="J138" i="17"/>
  <c r="K138" i="17"/>
  <c r="L138" i="17"/>
  <c r="M138" i="17"/>
  <c r="N138" i="17"/>
  <c r="O138" i="17"/>
  <c r="G105" i="17"/>
  <c r="H105" i="17"/>
  <c r="I105" i="17"/>
  <c r="J105" i="17"/>
  <c r="J104" i="17" s="1"/>
  <c r="J99" i="17" s="1"/>
  <c r="K105" i="17"/>
  <c r="K104" i="17" s="1"/>
  <c r="K99" i="17" s="1"/>
  <c r="L105" i="17"/>
  <c r="M105" i="17"/>
  <c r="N105" i="17"/>
  <c r="O105" i="17"/>
  <c r="G95" i="17"/>
  <c r="H95" i="17"/>
  <c r="I95" i="17"/>
  <c r="J95" i="17"/>
  <c r="J94" i="17" s="1"/>
  <c r="K95" i="17"/>
  <c r="K94" i="17" s="1"/>
  <c r="L95" i="17"/>
  <c r="M95" i="17"/>
  <c r="N95" i="17"/>
  <c r="O95" i="17"/>
  <c r="G90" i="17"/>
  <c r="H90" i="17"/>
  <c r="I90" i="17"/>
  <c r="J90" i="17"/>
  <c r="J89" i="17" s="1"/>
  <c r="K90" i="17"/>
  <c r="K89" i="17" s="1"/>
  <c r="L90" i="17"/>
  <c r="M90" i="17"/>
  <c r="N90" i="17"/>
  <c r="O90" i="17"/>
  <c r="G85" i="17"/>
  <c r="H85" i="17"/>
  <c r="I85" i="17"/>
  <c r="J85" i="17"/>
  <c r="J84" i="17" s="1"/>
  <c r="K85" i="17"/>
  <c r="K84" i="17" s="1"/>
  <c r="L85" i="17"/>
  <c r="M85" i="17"/>
  <c r="N85" i="17"/>
  <c r="O85" i="17"/>
  <c r="G80" i="17"/>
  <c r="H80" i="17"/>
  <c r="I80" i="17"/>
  <c r="J80" i="17"/>
  <c r="K80" i="17"/>
  <c r="L80" i="17"/>
  <c r="M80" i="17"/>
  <c r="N80" i="17"/>
  <c r="O80" i="17"/>
  <c r="G76" i="17"/>
  <c r="H76" i="17"/>
  <c r="I76" i="17"/>
  <c r="J76" i="17"/>
  <c r="K76" i="17"/>
  <c r="L76" i="17"/>
  <c r="M76" i="17"/>
  <c r="N76" i="17"/>
  <c r="O76" i="17"/>
  <c r="G71" i="17"/>
  <c r="H71" i="17"/>
  <c r="I71" i="17"/>
  <c r="J71" i="17"/>
  <c r="J70" i="17" s="1"/>
  <c r="K71" i="17"/>
  <c r="K70" i="17" s="1"/>
  <c r="L71" i="17"/>
  <c r="M71" i="17"/>
  <c r="N71" i="17"/>
  <c r="O71" i="17"/>
  <c r="G48" i="17"/>
  <c r="H48" i="17"/>
  <c r="I48" i="17"/>
  <c r="J48" i="17"/>
  <c r="K48" i="17"/>
  <c r="L48" i="17"/>
  <c r="M48" i="17"/>
  <c r="N48" i="17"/>
  <c r="O48" i="17"/>
  <c r="G49" i="17"/>
  <c r="H49" i="17"/>
  <c r="I49" i="17"/>
  <c r="J49" i="17"/>
  <c r="K49" i="17"/>
  <c r="L49" i="17"/>
  <c r="M49" i="17"/>
  <c r="N49" i="17"/>
  <c r="O49" i="17"/>
  <c r="G57" i="17"/>
  <c r="H57" i="17"/>
  <c r="I57" i="17"/>
  <c r="J57" i="17"/>
  <c r="J56" i="17" s="1"/>
  <c r="K57" i="17"/>
  <c r="K56" i="17" s="1"/>
  <c r="L57" i="17"/>
  <c r="M57" i="17"/>
  <c r="N57" i="17"/>
  <c r="O57" i="17"/>
  <c r="G52" i="17"/>
  <c r="H52" i="17"/>
  <c r="I52" i="17"/>
  <c r="J52" i="17"/>
  <c r="K52" i="17"/>
  <c r="L52" i="17"/>
  <c r="M52" i="17"/>
  <c r="N52" i="17"/>
  <c r="O52" i="17"/>
  <c r="G66" i="17" l="1"/>
  <c r="L190" i="17"/>
  <c r="O70" i="17"/>
  <c r="L70" i="17"/>
  <c r="N94" i="17"/>
  <c r="I104" i="17"/>
  <c r="H104" i="17"/>
  <c r="O94" i="17"/>
  <c r="I351" i="17"/>
  <c r="O351" i="17"/>
  <c r="H190" i="17"/>
  <c r="L56" i="17"/>
  <c r="L51" i="17" s="1"/>
  <c r="N84" i="17"/>
  <c r="L94" i="17"/>
  <c r="H520" i="17"/>
  <c r="H423" i="17" s="1"/>
  <c r="O56" i="17"/>
  <c r="O51" i="17" s="1"/>
  <c r="N351" i="17"/>
  <c r="N56" i="17"/>
  <c r="H351" i="17"/>
  <c r="I89" i="17"/>
  <c r="H89" i="17"/>
  <c r="L351" i="17"/>
  <c r="I70" i="17"/>
  <c r="L84" i="17"/>
  <c r="I190" i="17"/>
  <c r="O84" i="17"/>
  <c r="N70" i="17"/>
  <c r="N104" i="17"/>
  <c r="I839" i="17"/>
  <c r="O89" i="17"/>
  <c r="I84" i="17"/>
  <c r="O104" i="17"/>
  <c r="O99" i="17" s="1"/>
  <c r="N89" i="17"/>
  <c r="L104" i="17"/>
  <c r="O190" i="17"/>
  <c r="O520" i="17"/>
  <c r="O423" i="17" s="1"/>
  <c r="H70" i="17"/>
  <c r="I56" i="17"/>
  <c r="I51" i="17" s="1"/>
  <c r="I94" i="17"/>
  <c r="H84" i="17"/>
  <c r="N190" i="17"/>
  <c r="N520" i="17"/>
  <c r="H56" i="17"/>
  <c r="H51" i="17" s="1"/>
  <c r="H94" i="17"/>
  <c r="L89" i="17"/>
  <c r="L890" i="17"/>
  <c r="L423" i="17"/>
  <c r="O890" i="17"/>
  <c r="I423" i="17"/>
  <c r="H890" i="17"/>
  <c r="I890" i="17"/>
  <c r="N890" i="17"/>
  <c r="G56" i="17"/>
  <c r="N137" i="17"/>
  <c r="G84" i="17"/>
  <c r="G351" i="17"/>
  <c r="G70" i="17"/>
  <c r="G94" i="17"/>
  <c r="G104" i="17"/>
  <c r="G89" i="17"/>
  <c r="G190" i="17"/>
  <c r="M84" i="17"/>
  <c r="M56" i="17"/>
  <c r="M94" i="17"/>
  <c r="J173" i="17"/>
  <c r="J172" i="17" s="1"/>
  <c r="M890" i="17"/>
  <c r="M190" i="17"/>
  <c r="M137" i="17"/>
  <c r="M70" i="17"/>
  <c r="N173" i="17"/>
  <c r="M104" i="17"/>
  <c r="L137" i="17"/>
  <c r="M520" i="17"/>
  <c r="M173" i="17"/>
  <c r="K173" i="17"/>
  <c r="K172" i="17" s="1"/>
  <c r="M351" i="17"/>
  <c r="M89" i="17"/>
  <c r="M839" i="17"/>
  <c r="G155" i="17"/>
  <c r="J66" i="17"/>
  <c r="L173" i="17"/>
  <c r="I66" i="17"/>
  <c r="L66" i="17"/>
  <c r="H66" i="17"/>
  <c r="O137" i="17"/>
  <c r="O173" i="17"/>
  <c r="K66" i="17"/>
  <c r="O75" i="17"/>
  <c r="J137" i="17"/>
  <c r="L155" i="17"/>
  <c r="N66" i="17"/>
  <c r="M66" i="17"/>
  <c r="K51" i="17"/>
  <c r="K137" i="17"/>
  <c r="I137" i="17"/>
  <c r="K155" i="17"/>
  <c r="I173" i="17"/>
  <c r="M155" i="17"/>
  <c r="H137" i="17"/>
  <c r="J155" i="17"/>
  <c r="H173" i="17"/>
  <c r="O66" i="17"/>
  <c r="N155" i="17"/>
  <c r="G137" i="17"/>
  <c r="I155" i="17"/>
  <c r="G173" i="17"/>
  <c r="M51" i="17"/>
  <c r="O155" i="17"/>
  <c r="J51" i="17"/>
  <c r="H155" i="17"/>
  <c r="N75" i="17"/>
  <c r="M75" i="17"/>
  <c r="L75" i="17"/>
  <c r="K75" i="17"/>
  <c r="J75" i="17"/>
  <c r="I75" i="17"/>
  <c r="H75" i="17"/>
  <c r="G75" i="17"/>
  <c r="G36" i="17"/>
  <c r="H36" i="17"/>
  <c r="I36" i="17"/>
  <c r="J36" i="17"/>
  <c r="J35" i="17" s="1"/>
  <c r="K36" i="17"/>
  <c r="K35" i="17" s="1"/>
  <c r="L36" i="17"/>
  <c r="M36" i="17"/>
  <c r="N36" i="17"/>
  <c r="O36" i="17"/>
  <c r="G33" i="17"/>
  <c r="H33" i="17"/>
  <c r="I33" i="17"/>
  <c r="J33" i="17"/>
  <c r="J32" i="17" s="1"/>
  <c r="K33" i="17"/>
  <c r="K32" i="17" s="1"/>
  <c r="L33" i="17"/>
  <c r="M33" i="17"/>
  <c r="N33" i="17"/>
  <c r="O33" i="17"/>
  <c r="G30" i="17"/>
  <c r="H30" i="17"/>
  <c r="I30" i="17"/>
  <c r="J30" i="17"/>
  <c r="J29" i="17" s="1"/>
  <c r="K30" i="17"/>
  <c r="K29" i="17" s="1"/>
  <c r="L30" i="17"/>
  <c r="M30" i="17"/>
  <c r="N30" i="17"/>
  <c r="O30" i="17"/>
  <c r="G27" i="17"/>
  <c r="H27" i="17"/>
  <c r="I27" i="17"/>
  <c r="J27" i="17"/>
  <c r="J26" i="17" s="1"/>
  <c r="K27" i="17"/>
  <c r="K26" i="17" s="1"/>
  <c r="L27" i="17"/>
  <c r="M27" i="17"/>
  <c r="N27" i="17"/>
  <c r="O27" i="17"/>
  <c r="G24" i="17"/>
  <c r="H24" i="17"/>
  <c r="I24" i="17"/>
  <c r="J24" i="17"/>
  <c r="J23" i="17" s="1"/>
  <c r="K24" i="17"/>
  <c r="K23" i="17" s="1"/>
  <c r="L24" i="17"/>
  <c r="M24" i="17"/>
  <c r="N24" i="17"/>
  <c r="O24" i="17"/>
  <c r="G19" i="17"/>
  <c r="H19" i="17"/>
  <c r="I19" i="17"/>
  <c r="J19" i="17"/>
  <c r="J18" i="17" s="1"/>
  <c r="K19" i="17"/>
  <c r="K18" i="17" s="1"/>
  <c r="L19" i="17"/>
  <c r="M19" i="17"/>
  <c r="N19" i="17"/>
  <c r="O19" i="17"/>
  <c r="N350" i="17" l="1"/>
  <c r="H35" i="17"/>
  <c r="I350" i="17"/>
  <c r="L23" i="17"/>
  <c r="O23" i="17"/>
  <c r="I35" i="17"/>
  <c r="O32" i="17"/>
  <c r="H172" i="17"/>
  <c r="H99" i="17"/>
  <c r="L29" i="17"/>
  <c r="O26" i="17"/>
  <c r="G51" i="17"/>
  <c r="I99" i="17"/>
  <c r="N18" i="17"/>
  <c r="L350" i="17"/>
  <c r="L32" i="17"/>
  <c r="N99" i="17"/>
  <c r="O375" i="17"/>
  <c r="L26" i="17"/>
  <c r="N23" i="17"/>
  <c r="N26" i="17"/>
  <c r="L18" i="17"/>
  <c r="I172" i="17"/>
  <c r="H26" i="17"/>
  <c r="I29" i="17"/>
  <c r="H29" i="17"/>
  <c r="H23" i="17"/>
  <c r="L172" i="17"/>
  <c r="I32" i="17"/>
  <c r="N172" i="17"/>
  <c r="O35" i="17"/>
  <c r="O172" i="17"/>
  <c r="O136" i="17" s="1"/>
  <c r="L99" i="17"/>
  <c r="O350" i="17"/>
  <c r="I23" i="17"/>
  <c r="N32" i="17"/>
  <c r="O18" i="17"/>
  <c r="N51" i="17"/>
  <c r="H32" i="17"/>
  <c r="M172" i="17"/>
  <c r="O29" i="17"/>
  <c r="H350" i="17"/>
  <c r="I26" i="17"/>
  <c r="I18" i="17"/>
  <c r="N35" i="17"/>
  <c r="H18" i="17"/>
  <c r="N29" i="17"/>
  <c r="L35" i="17"/>
  <c r="N423" i="17"/>
  <c r="N876" i="17"/>
  <c r="I876" i="17"/>
  <c r="H876" i="17"/>
  <c r="I375" i="17"/>
  <c r="O876" i="17"/>
  <c r="H375" i="17"/>
  <c r="L375" i="17"/>
  <c r="L876" i="17"/>
  <c r="G18" i="17"/>
  <c r="G23" i="17"/>
  <c r="G99" i="17"/>
  <c r="G35" i="17"/>
  <c r="G32" i="17"/>
  <c r="G26" i="17"/>
  <c r="G172" i="17"/>
  <c r="G350" i="17"/>
  <c r="G29" i="17"/>
  <c r="M876" i="17"/>
  <c r="M99" i="17"/>
  <c r="M350" i="17"/>
  <c r="M423" i="17"/>
  <c r="M35" i="17"/>
  <c r="M29" i="17"/>
  <c r="M23" i="17"/>
  <c r="M32" i="17"/>
  <c r="M26" i="17"/>
  <c r="M18" i="17"/>
  <c r="J62" i="17"/>
  <c r="J61" i="17" s="1"/>
  <c r="J60" i="17" s="1"/>
  <c r="K62" i="17"/>
  <c r="K61" i="17" s="1"/>
  <c r="K60" i="17" s="1"/>
  <c r="I62" i="17"/>
  <c r="L62" i="17"/>
  <c r="M62" i="17"/>
  <c r="H62" i="17"/>
  <c r="J136" i="17"/>
  <c r="J135" i="17" s="1"/>
  <c r="J134" i="17" s="1"/>
  <c r="K136" i="17"/>
  <c r="K135" i="17" s="1"/>
  <c r="K134" i="17" s="1"/>
  <c r="I136" i="17"/>
  <c r="O62" i="17"/>
  <c r="G62" i="17"/>
  <c r="N62" i="17"/>
  <c r="K17" i="17"/>
  <c r="K16" i="17" s="1"/>
  <c r="J17" i="17"/>
  <c r="J16" i="17" s="1"/>
  <c r="L17" i="17" l="1"/>
  <c r="L16" i="17" s="1"/>
  <c r="O349" i="17"/>
  <c r="H136" i="17"/>
  <c r="O61" i="17"/>
  <c r="I135" i="17"/>
  <c r="I134" i="17" s="1"/>
  <c r="N375" i="17"/>
  <c r="I61" i="17"/>
  <c r="N61" i="17"/>
  <c r="I17" i="17"/>
  <c r="O135" i="17"/>
  <c r="O134" i="17" s="1"/>
  <c r="H61" i="17"/>
  <c r="N136" i="17"/>
  <c r="L61" i="17"/>
  <c r="M136" i="17"/>
  <c r="N17" i="17"/>
  <c r="L136" i="17"/>
  <c r="O17" i="17"/>
  <c r="H17" i="17"/>
  <c r="H349" i="17"/>
  <c r="I349" i="17"/>
  <c r="L349" i="17"/>
  <c r="G136" i="17"/>
  <c r="G17" i="17"/>
  <c r="G61" i="17"/>
  <c r="M61" i="17"/>
  <c r="M375" i="17"/>
  <c r="M17" i="17"/>
  <c r="J15" i="17"/>
  <c r="J14" i="17" s="1"/>
  <c r="K15" i="17"/>
  <c r="K14" i="17" s="1"/>
  <c r="K13" i="17" s="1"/>
  <c r="K8" i="17" s="1"/>
  <c r="N349" i="17" l="1"/>
  <c r="O60" i="17"/>
  <c r="L60" i="17"/>
  <c r="M135" i="17"/>
  <c r="M134" i="17" s="1"/>
  <c r="N60" i="17"/>
  <c r="H60" i="17"/>
  <c r="H135" i="17"/>
  <c r="H134" i="17" s="1"/>
  <c r="N16" i="17"/>
  <c r="N135" i="17"/>
  <c r="I16" i="17"/>
  <c r="M16" i="17"/>
  <c r="H16" i="17"/>
  <c r="O16" i="17"/>
  <c r="L135" i="17"/>
  <c r="L134" i="17" s="1"/>
  <c r="I60" i="17"/>
  <c r="G16" i="17"/>
  <c r="G60" i="17"/>
  <c r="G135" i="17"/>
  <c r="G134" i="17" s="1"/>
  <c r="M349" i="17"/>
  <c r="M60" i="17"/>
  <c r="J13" i="17"/>
  <c r="J8" i="17" s="1"/>
  <c r="F733" i="17"/>
  <c r="F447" i="17"/>
  <c r="F897" i="17"/>
  <c r="F895" i="17"/>
  <c r="F880" i="17"/>
  <c r="N134" i="17" l="1"/>
  <c r="L15" i="17"/>
  <c r="I15" i="17"/>
  <c r="O15" i="17"/>
  <c r="H15" i="17"/>
  <c r="N15" i="17"/>
  <c r="F879" i="17"/>
  <c r="G15" i="17"/>
  <c r="M15" i="17"/>
  <c r="F894" i="17"/>
  <c r="H14" i="17" l="1"/>
  <c r="N14" i="17"/>
  <c r="N13" i="17" s="1"/>
  <c r="O14" i="17"/>
  <c r="I14" i="17"/>
  <c r="L14" i="17"/>
  <c r="G14" i="17"/>
  <c r="F893" i="17"/>
  <c r="F878" i="17"/>
  <c r="M14" i="17"/>
  <c r="F219" i="17"/>
  <c r="F121" i="17"/>
  <c r="F117" i="17"/>
  <c r="F405" i="17"/>
  <c r="F361" i="17"/>
  <c r="F363" i="17"/>
  <c r="F106" i="17"/>
  <c r="O13" i="17" l="1"/>
  <c r="O8" i="17" s="1"/>
  <c r="L13" i="17"/>
  <c r="L8" i="17" s="1"/>
  <c r="I13" i="17"/>
  <c r="I8" i="17" s="1"/>
  <c r="N8" i="17"/>
  <c r="H13" i="17"/>
  <c r="H8" i="17" s="1"/>
  <c r="F877" i="17"/>
  <c r="F892" i="17"/>
  <c r="M13" i="17"/>
  <c r="F779" i="17"/>
  <c r="M8" i="17" l="1"/>
  <c r="P13" i="17"/>
  <c r="F891" i="17"/>
  <c r="F354" i="17"/>
  <c r="F501" i="17"/>
  <c r="F890" i="17" l="1"/>
  <c r="F870" i="17"/>
  <c r="F868" i="17"/>
  <c r="F865" i="17"/>
  <c r="F861" i="17"/>
  <c r="F859" i="17"/>
  <c r="F854" i="17"/>
  <c r="F850" i="17"/>
  <c r="F843" i="17"/>
  <c r="F835" i="17"/>
  <c r="F815" i="17"/>
  <c r="F811" i="17"/>
  <c r="F809" i="17"/>
  <c r="F807" i="17"/>
  <c r="F799" i="17"/>
  <c r="F797" i="17"/>
  <c r="F794" i="17"/>
  <c r="F792" i="17"/>
  <c r="F790" i="17"/>
  <c r="F788" i="17"/>
  <c r="F786" i="17"/>
  <c r="F784" i="17"/>
  <c r="F782" i="17"/>
  <c r="F777" i="17"/>
  <c r="F773" i="17"/>
  <c r="F755" i="17"/>
  <c r="F750" i="17"/>
  <c r="F748" i="17"/>
  <c r="F746" i="17"/>
  <c r="F743" i="17"/>
  <c r="F741" i="17"/>
  <c r="F739" i="17"/>
  <c r="F735" i="17"/>
  <c r="F730" i="17"/>
  <c r="F719" i="17"/>
  <c r="F713" i="17"/>
  <c r="F711" i="17"/>
  <c r="F707" i="17"/>
  <c r="F662" i="17"/>
  <c r="F660" i="17"/>
  <c r="F655" i="17"/>
  <c r="F652" i="17"/>
  <c r="F650" i="17"/>
  <c r="F646" i="17"/>
  <c r="F644" i="17"/>
  <c r="F641" i="17"/>
  <c r="F638" i="17"/>
  <c r="F636" i="17"/>
  <c r="F631" i="17"/>
  <c r="F622" i="17"/>
  <c r="F619" i="17"/>
  <c r="F615" i="17"/>
  <c r="F613" i="17"/>
  <c r="F607" i="17"/>
  <c r="F601" i="17"/>
  <c r="F599" i="17"/>
  <c r="F595" i="17"/>
  <c r="F560" i="17"/>
  <c r="F558" i="17"/>
  <c r="F556" i="17"/>
  <c r="F554" i="17"/>
  <c r="F552" i="17"/>
  <c r="F550" i="17"/>
  <c r="F542" i="17"/>
  <c r="F518" i="17"/>
  <c r="F505" i="17"/>
  <c r="F499" i="17"/>
  <c r="F497" i="17"/>
  <c r="F495" i="17"/>
  <c r="F492" i="17"/>
  <c r="F490" i="17"/>
  <c r="F487" i="17"/>
  <c r="F477" i="17"/>
  <c r="F451" i="17"/>
  <c r="F446" i="17"/>
  <c r="F427" i="17"/>
  <c r="F420" i="17"/>
  <c r="F418" i="17"/>
  <c r="F415" i="17"/>
  <c r="F404" i="17"/>
  <c r="F402" i="17"/>
  <c r="F397" i="17"/>
  <c r="F384" i="17"/>
  <c r="F353" i="17"/>
  <c r="F342" i="17"/>
  <c r="F289" i="17"/>
  <c r="F280" i="17"/>
  <c r="F227" i="17"/>
  <c r="F191" i="17"/>
  <c r="F165" i="17"/>
  <c r="F129" i="17"/>
  <c r="F127" i="17"/>
  <c r="F125" i="17"/>
  <c r="F123" i="17"/>
  <c r="F119" i="17"/>
  <c r="F115" i="17"/>
  <c r="F110" i="17"/>
  <c r="F108" i="17"/>
  <c r="F95" i="17"/>
  <c r="F85" i="17"/>
  <c r="F71" i="17"/>
  <c r="F62" i="17"/>
  <c r="F57" i="17"/>
  <c r="F52" i="17"/>
  <c r="F40" i="17"/>
  <c r="F33" i="17"/>
  <c r="F30" i="17"/>
  <c r="F27" i="17"/>
  <c r="F24" i="17"/>
  <c r="F20" i="19"/>
  <c r="F18" i="19"/>
  <c r="F56" i="17" l="1"/>
  <c r="F84" i="17"/>
  <c r="F417" i="17"/>
  <c r="F23" i="17"/>
  <c r="F29" i="17"/>
  <c r="F70" i="17"/>
  <c r="F414" i="17"/>
  <c r="F426" i="17"/>
  <c r="F618" i="17"/>
  <c r="F876" i="17"/>
  <c r="F26" i="17"/>
  <c r="F849" i="17"/>
  <c r="F848" i="17" s="1"/>
  <c r="F32" i="17"/>
  <c r="F504" i="17"/>
  <c r="F640" i="17"/>
  <c r="F399" i="17"/>
  <c r="F729" i="17"/>
  <c r="F517" i="17"/>
  <c r="F772" i="17"/>
  <c r="F771" i="17" s="1"/>
  <c r="F352" i="17"/>
  <c r="F776" i="17"/>
  <c r="F383" i="17"/>
  <c r="F94" i="17"/>
  <c r="F486" i="17"/>
  <c r="F654" i="17"/>
  <c r="F781" i="17"/>
  <c r="F494" i="17"/>
  <c r="F489" i="17"/>
  <c r="F858" i="17"/>
  <c r="F867" i="17"/>
  <c r="F51" i="17"/>
  <c r="F621" i="17"/>
  <c r="F14" i="18"/>
  <c r="F13" i="18" s="1"/>
  <c r="F12" i="18" s="1"/>
  <c r="F11" i="18" s="1"/>
  <c r="F6" i="18" s="1"/>
  <c r="F148" i="17"/>
  <c r="F156" i="17"/>
  <c r="F245" i="17"/>
  <c r="F272" i="17"/>
  <c r="F325" i="17"/>
  <c r="F333" i="17"/>
  <c r="F432" i="17"/>
  <c r="F480" i="17"/>
  <c r="F536" i="17"/>
  <c r="F649" i="17"/>
  <c r="F725" i="17"/>
  <c r="F49" i="17"/>
  <c r="F48" i="17"/>
  <c r="F19" i="17"/>
  <c r="F76" i="17"/>
  <c r="F263" i="17"/>
  <c r="F316" i="17"/>
  <c r="F369" i="17"/>
  <c r="F379" i="17"/>
  <c r="F411" i="17"/>
  <c r="F612" i="17"/>
  <c r="F577" i="17"/>
  <c r="F592" i="17"/>
  <c r="F609" i="17"/>
  <c r="F36" i="17"/>
  <c r="F44" i="17"/>
  <c r="F66" i="17"/>
  <c r="F80" i="17"/>
  <c r="F90" i="17"/>
  <c r="F100" i="17"/>
  <c r="F131" i="17"/>
  <c r="F138" i="17"/>
  <c r="F183" i="17"/>
  <c r="F298" i="17"/>
  <c r="F360" i="17"/>
  <c r="F643" i="17"/>
  <c r="F531" i="17"/>
  <c r="F562" i="17"/>
  <c r="F666" i="17"/>
  <c r="F676" i="17"/>
  <c r="F721" i="17"/>
  <c r="F732" i="17"/>
  <c r="F692" i="17"/>
  <c r="F522" i="17"/>
  <c r="F635" i="17"/>
  <c r="F715" i="17"/>
  <c r="F279" i="17"/>
  <c r="F307" i="17"/>
  <c r="F174" i="17"/>
  <c r="F200" i="17"/>
  <c r="F210" i="17"/>
  <c r="F236" i="17"/>
  <c r="F254" i="17"/>
  <c r="F508" i="17"/>
  <c r="F392" i="17"/>
  <c r="F394" i="17"/>
  <c r="F396" i="17"/>
  <c r="F761" i="17"/>
  <c r="F842" i="17"/>
  <c r="F804" i="17"/>
  <c r="F806" i="17"/>
  <c r="F814" i="17"/>
  <c r="F818" i="17"/>
  <c r="F820" i="17"/>
  <c r="F846" i="17"/>
  <c r="F853" i="17"/>
  <c r="F873" i="17"/>
  <c r="F17" i="19"/>
  <c r="F449" i="17" l="1"/>
  <c r="F857" i="17"/>
  <c r="F665" i="17"/>
  <c r="F18" i="17"/>
  <c r="F775" i="17"/>
  <c r="F105" i="17"/>
  <c r="F724" i="17"/>
  <c r="F89" i="17"/>
  <c r="F61" i="17"/>
  <c r="F479" i="17"/>
  <c r="F408" i="17"/>
  <c r="F39" i="17"/>
  <c r="F431" i="17"/>
  <c r="F35" i="17"/>
  <c r="F332" i="17"/>
  <c r="F718" i="17"/>
  <c r="F521" i="17"/>
  <c r="F425" i="17"/>
  <c r="F368" i="17"/>
  <c r="F155" i="17"/>
  <c r="F378" i="17"/>
  <c r="F864" i="17"/>
  <c r="F359" i="17"/>
  <c r="F485" i="17"/>
  <c r="F315" i="17"/>
  <c r="F262" i="17"/>
  <c r="F75" i="17"/>
  <c r="F675" i="17"/>
  <c r="F529" i="17"/>
  <c r="F137" i="17"/>
  <c r="F541" i="17"/>
  <c r="F634" i="17"/>
  <c r="F710" i="17"/>
  <c r="F872" i="17"/>
  <c r="F813" i="17"/>
  <c r="F391" i="17"/>
  <c r="F507" i="17"/>
  <c r="F226" i="17"/>
  <c r="F190" i="17"/>
  <c r="F852" i="17"/>
  <c r="F845" i="17"/>
  <c r="F817" i="17"/>
  <c r="F803" i="17"/>
  <c r="F754" i="17"/>
  <c r="F244" i="17"/>
  <c r="F209" i="17"/>
  <c r="F173" i="17"/>
  <c r="F297" i="17"/>
  <c r="F16" i="19"/>
  <c r="F17" i="17" l="1"/>
  <c r="F16" i="17"/>
  <c r="F540" i="17"/>
  <c r="F717" i="17"/>
  <c r="F261" i="17"/>
  <c r="F104" i="17"/>
  <c r="F841" i="17"/>
  <c r="F430" i="17"/>
  <c r="F60" i="17"/>
  <c r="F358" i="17"/>
  <c r="F314" i="17"/>
  <c r="F484" i="17"/>
  <c r="F407" i="17"/>
  <c r="F367" i="17"/>
  <c r="F674" i="17"/>
  <c r="F424" i="17"/>
  <c r="F377" i="17"/>
  <c r="F539" i="17"/>
  <c r="F709" i="17"/>
  <c r="F172" i="17"/>
  <c r="F243" i="17"/>
  <c r="F753" i="17"/>
  <c r="F382" i="17"/>
  <c r="F296" i="17"/>
  <c r="F208" i="17"/>
  <c r="F802" i="17"/>
  <c r="F863" i="17"/>
  <c r="F15" i="19"/>
  <c r="F664" i="17" l="1"/>
  <c r="F357" i="17"/>
  <c r="F366" i="17"/>
  <c r="F429" i="17"/>
  <c r="F483" i="17"/>
  <c r="F840" i="17"/>
  <c r="F839" i="17" s="1"/>
  <c r="F99" i="17"/>
  <c r="F752" i="17"/>
  <c r="F136" i="17"/>
  <c r="F770" i="17"/>
  <c r="F207" i="17"/>
  <c r="F376" i="17"/>
  <c r="F14" i="19"/>
  <c r="F365" i="17" l="1"/>
  <c r="F15" i="17"/>
  <c r="F648" i="17"/>
  <c r="F135" i="17"/>
  <c r="F520" i="17"/>
  <c r="F13" i="19"/>
  <c r="F351" i="17" l="1"/>
  <c r="F8" i="19"/>
  <c r="F423" i="17"/>
  <c r="F134" i="17"/>
  <c r="F350" i="17" l="1"/>
  <c r="F14" i="17"/>
  <c r="F375" i="17"/>
  <c r="F349" i="17" l="1"/>
  <c r="F13" i="17" l="1"/>
  <c r="F8" i="17" s="1"/>
  <c r="G676" i="17"/>
  <c r="G675" i="17" s="1"/>
  <c r="G674" i="17" s="1"/>
  <c r="G664" i="17" s="1"/>
  <c r="G648" i="17" s="1"/>
  <c r="G520" i="17" s="1"/>
  <c r="G423" i="17" s="1"/>
  <c r="G375" i="17" s="1"/>
  <c r="G349" i="17" s="1"/>
  <c r="G13" i="17" s="1"/>
  <c r="G8" i="17" s="1"/>
  <c r="G677" i="20" l="1"/>
  <c r="D101" i="21" l="1"/>
  <c r="D16" i="21" s="1"/>
  <c r="G676" i="20"/>
  <c r="D15" i="21" l="1"/>
  <c r="D14" i="21" s="1"/>
  <c r="G675" i="20"/>
  <c r="G665" i="20" l="1"/>
  <c r="G649" i="20" l="1"/>
  <c r="G521" i="20" l="1"/>
  <c r="G424" i="20" l="1"/>
  <c r="G376" i="20" l="1"/>
  <c r="G350" i="20" l="1"/>
  <c r="G14" i="20" l="1"/>
  <c r="G13" i="20" l="1"/>
  <c r="D10" i="21" l="1"/>
  <c r="G8" i="20"/>
  <c r="P823" i="20" l="1"/>
  <c r="M821" i="20"/>
  <c r="J124" i="21" l="1"/>
  <c r="M818" i="20"/>
  <c r="P821" i="20"/>
  <c r="P818" i="20" l="1"/>
  <c r="M424" i="20"/>
  <c r="M124" i="21"/>
  <c r="J16" i="21"/>
  <c r="L821" i="20"/>
  <c r="J15" i="21" l="1"/>
  <c r="M16" i="21"/>
  <c r="P424" i="20"/>
  <c r="M376" i="20"/>
  <c r="L818" i="20"/>
  <c r="I124" i="21"/>
  <c r="I16" i="21" s="1"/>
  <c r="I15" i="21" s="1"/>
  <c r="I14" i="21" s="1"/>
  <c r="P376" i="20" l="1"/>
  <c r="M350" i="20"/>
  <c r="M15" i="21"/>
  <c r="J14" i="21"/>
  <c r="M14" i="21" s="1"/>
  <c r="L424" i="20"/>
  <c r="P350" i="20" l="1"/>
  <c r="M14" i="20"/>
  <c r="L376" i="20"/>
  <c r="P14" i="20" l="1"/>
  <c r="M13" i="20"/>
  <c r="L350" i="20"/>
  <c r="J10" i="21" l="1"/>
  <c r="P13" i="20"/>
  <c r="M8" i="20"/>
  <c r="L14" i="20"/>
  <c r="L13" i="20" l="1"/>
  <c r="I10" i="21" l="1"/>
  <c r="L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tc={0209F16B-903F-4AB3-9A14-55864453ECF2}</author>
  </authors>
  <commentList>
    <comment ref="F371" authorId="0" shapeId="0" xr:uid="{9B012AD7-1047-4D1C-AFE0-9560C9CCEA0E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Aqui están 70 millones para SICAPITAL en amazon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tc={0209F16B-903F-4AB3-9A14-55864453ECF2}</author>
  </authors>
  <commentList>
    <comment ref="F370" authorId="0" shapeId="0" xr:uid="{0209F16B-903F-4AB3-9A14-55864453ECF2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Aqui están 70 millones para SICAPITAL en amazon</t>
        </r>
      </text>
    </comment>
  </commentList>
</comments>
</file>

<file path=xl/sharedStrings.xml><?xml version="1.0" encoding="utf-8"?>
<sst xmlns="http://schemas.openxmlformats.org/spreadsheetml/2006/main" count="6714" uniqueCount="2102">
  <si>
    <t>2.3.01</t>
  </si>
  <si>
    <t>DIRECTA</t>
  </si>
  <si>
    <t>2.3.3</t>
  </si>
  <si>
    <t>TRANSFERENCIAS CORRIENTES</t>
  </si>
  <si>
    <t>2.3.3.05</t>
  </si>
  <si>
    <t>A ENTIDADES DEL GOBIERNO</t>
  </si>
  <si>
    <t>2.3.3.05.09</t>
  </si>
  <si>
    <t>A OTRAS ENTIDADES DEL GOBIERNO GENERAL</t>
  </si>
  <si>
    <t>2.3.3.05.09.054</t>
  </si>
  <si>
    <t>A ESTABLECIMIENTOS PUBLICOS Y UNIDADES ADMINISTRATIVAS ESPECIALES</t>
  </si>
  <si>
    <t>2.3.3.05.09.054.22</t>
  </si>
  <si>
    <t>OTROS ORGANISMOS</t>
  </si>
  <si>
    <t>2.3.3.05.09.054.22.05</t>
  </si>
  <si>
    <t>FONDO PRÉSTAMOS A EMPLEADOS (Universidad Distrital)</t>
  </si>
  <si>
    <t>2.3.3.05.09.054.22.05.1</t>
  </si>
  <si>
    <t>Préstamos Ordinarios Administrativos</t>
  </si>
  <si>
    <t>2.3.3.05.09.054.22.06</t>
  </si>
  <si>
    <t>FONDO DE VIVIENDA (Universidad Distrital)</t>
  </si>
  <si>
    <t>2.3.3.05.09.054.22.06.1</t>
  </si>
  <si>
    <t>Vivienda Administrativos</t>
  </si>
  <si>
    <t>POSPRE</t>
  </si>
  <si>
    <t>O2301</t>
  </si>
  <si>
    <t>O233</t>
  </si>
  <si>
    <t>O23305</t>
  </si>
  <si>
    <t>O2330509</t>
  </si>
  <si>
    <t>O2330509054</t>
  </si>
  <si>
    <t>O233050905422</t>
  </si>
  <si>
    <t>O23305090542205</t>
  </si>
  <si>
    <t>O23305090542206</t>
  </si>
  <si>
    <t>O230117</t>
  </si>
  <si>
    <t>2.3.01.17</t>
  </si>
  <si>
    <t>BOGOTÁ CAMINA SEGURA</t>
  </si>
  <si>
    <t>O23011722</t>
  </si>
  <si>
    <t>2.3.01.17.22</t>
  </si>
  <si>
    <t>Objetivo estratégico 03. Bogotá confía en su potencial</t>
  </si>
  <si>
    <t>O2301172202</t>
  </si>
  <si>
    <t>2.3.01.17.22.02</t>
  </si>
  <si>
    <t>Programa 17. Formación para el trabajo y acceso a oportunidades educativas</t>
  </si>
  <si>
    <t>O230117220220240256</t>
  </si>
  <si>
    <t>2.3.01.17.22.02.20240256</t>
  </si>
  <si>
    <t>Desarrollo y modernización de los procesos relacionados con  gestión institucional de la Universidad Distrital Francisco José De Caldas   Bogotá D.C.</t>
  </si>
  <si>
    <t>O230117220220240257</t>
  </si>
  <si>
    <t>2.3.01.17.22.02.20240257</t>
  </si>
  <si>
    <t>Ampliación y Mejoramiento de la infraestructura física de las Sedes de la Universidad Distrital Francisco José de Caldas. Bogotá D.C</t>
  </si>
  <si>
    <t>O230117220220240261</t>
  </si>
  <si>
    <t>2.3.01.17.22.02.20240261</t>
  </si>
  <si>
    <t>Fortalecimiento de estrategias para disminuir la tasa de riesgo de deserción, promoción de la  permanencia  y bienestar de los estudiantes de pregrado de la Universidad Distrital  Bogotá D.C</t>
  </si>
  <si>
    <t>O230117220220240279</t>
  </si>
  <si>
    <t>2.3.01.17.22.02.20240279</t>
  </si>
  <si>
    <t>Fortalecimiento de las capacidades del sistema de investigaciones frente a los retos de CTEI a nivel regional, nacional e internacional en la UDFJC. Bogotá D.C.</t>
  </si>
  <si>
    <t>O230117220220240280</t>
  </si>
  <si>
    <t>2.3.01.17.22.02.20240280</t>
  </si>
  <si>
    <t>Incremento del acceso y el impacto socio-cultural de los resultados de conocimientos generados por los doctorados de la Universidad Francisco José De Caldas Bogotá D.C</t>
  </si>
  <si>
    <t>O230117220220240281</t>
  </si>
  <si>
    <t>2.3.01.17.22.02.20240281</t>
  </si>
  <si>
    <t>Fortalecimiento del uso y apropiación de TIC como soporte de propuestas de formación híbridas, virtuales o con incorporación tecnológica en la UD Bogotá D.C</t>
  </si>
  <si>
    <t>O230117220220240282</t>
  </si>
  <si>
    <t>2.3.01.17.22.02.20240282</t>
  </si>
  <si>
    <t>Fortalecimiento de la capacidad para la prestación del servicio en las Unidades Académicas de Laboratorio en la docencia, investigación, extensión y proyección social de la UDFC. Bogotá D.C.</t>
  </si>
  <si>
    <t>O230117220220240283</t>
  </si>
  <si>
    <t>2.3.01.17.22.02.20240283</t>
  </si>
  <si>
    <t>Fortalecimiento de los componentes tecnológicos para lograr la Transformación Digital en la institución, especialmente en los procesos respaldados por las áreas de tecnología. Bogotá D.C</t>
  </si>
  <si>
    <t>O230117220220240284</t>
  </si>
  <si>
    <t>2.3.01.17.22.02.20240284</t>
  </si>
  <si>
    <t>Fortalecimiento de las líneas de servicios CRAI que conforman el portafolio de servicios y recursos de las bibliotecas y unidades de información de la UDFJC, Bogotá DC</t>
  </si>
  <si>
    <t>O21</t>
  </si>
  <si>
    <t>2.1</t>
  </si>
  <si>
    <t>Funcionamiento</t>
  </si>
  <si>
    <t>O211</t>
  </si>
  <si>
    <t>2.1.1</t>
  </si>
  <si>
    <t>Gastos de personal</t>
  </si>
  <si>
    <t>O21101</t>
  </si>
  <si>
    <t>2.1.1.01</t>
  </si>
  <si>
    <t>Planta de personal permanente</t>
  </si>
  <si>
    <t>O2110101</t>
  </si>
  <si>
    <t>2.1.1.01.01</t>
  </si>
  <si>
    <t>Factores constitutivos de salario</t>
  </si>
  <si>
    <t>O2110101001</t>
  </si>
  <si>
    <t>2.1.1.01.01.001</t>
  </si>
  <si>
    <t>Factores salariales comunes</t>
  </si>
  <si>
    <t>O211010100101</t>
  </si>
  <si>
    <t>2.1.1.01.01.001.01</t>
  </si>
  <si>
    <t>Sueldo básico</t>
  </si>
  <si>
    <t>2.1.1.01.01.001.01.1</t>
  </si>
  <si>
    <t>Sueldo Básico Administrativos</t>
  </si>
  <si>
    <t>2.1.1.01.01.001.01.2</t>
  </si>
  <si>
    <t>Sueldo Básico Docentes</t>
  </si>
  <si>
    <t>2.1.1.01.01.001.01.3</t>
  </si>
  <si>
    <t>Sueldo Trabajadores Oficiales</t>
  </si>
  <si>
    <t>O211010100102</t>
  </si>
  <si>
    <t>2.1.1.01.01.001.02</t>
  </si>
  <si>
    <t>Horas extras, dominicales, festivos y recargos</t>
  </si>
  <si>
    <t>2.1.1.01.01.001.02.1</t>
  </si>
  <si>
    <t>Horas Extras, Dominicales, Festivos, Administrativos</t>
  </si>
  <si>
    <t>O211010100103</t>
  </si>
  <si>
    <t>2.1.1.01.01.001.03</t>
  </si>
  <si>
    <t>Gastos de representación</t>
  </si>
  <si>
    <t>2.1.1.01.01.001.03.1</t>
  </si>
  <si>
    <t>Gastos de Representación Administrativos</t>
  </si>
  <si>
    <t>O211010100104</t>
  </si>
  <si>
    <t>2.1.1.01.01.001.04</t>
  </si>
  <si>
    <t>Subsidio de alimentación</t>
  </si>
  <si>
    <t>O211010100105</t>
  </si>
  <si>
    <t>2.1.1.01.01.001.05</t>
  </si>
  <si>
    <t>Auxilio de transporte</t>
  </si>
  <si>
    <t>O211010100107</t>
  </si>
  <si>
    <t>2.1.1.01.01.001.07</t>
  </si>
  <si>
    <t>Bonificación por servicios prestados</t>
  </si>
  <si>
    <t>2.1.1.01.01.001.07.1</t>
  </si>
  <si>
    <t>Bonificación por Servicios Prestados Administrativos</t>
  </si>
  <si>
    <t>2.1.1.01.01.001.07.2</t>
  </si>
  <si>
    <t>Bonificación por Servicios Prestados Docentes</t>
  </si>
  <si>
    <t>O211010100108</t>
  </si>
  <si>
    <t>2.1.1.01.01.001.08</t>
  </si>
  <si>
    <t>Prestaciones sociales</t>
  </si>
  <si>
    <t>O21101010010801</t>
  </si>
  <si>
    <t>2.1.1.01.01.001.08.01</t>
  </si>
  <si>
    <t>Prima de navidad</t>
  </si>
  <si>
    <t>2.1.1.01.01.001.08.01.1</t>
  </si>
  <si>
    <t>Prima de Navidad Administrativos</t>
  </si>
  <si>
    <t>2.1.1.01.01.001.08.01.2</t>
  </si>
  <si>
    <t>Prima de Navidad Docentes</t>
  </si>
  <si>
    <t>2.1.1.01.01.001.08.01.3</t>
  </si>
  <si>
    <t>Prima de Navidad Trabajadores Oficiales</t>
  </si>
  <si>
    <t>O21101010010802</t>
  </si>
  <si>
    <t>2.1.1.01.01.001.08.02</t>
  </si>
  <si>
    <t>Prima de vacaciones</t>
  </si>
  <si>
    <t>2.1.1.01.01.001.08.02.1</t>
  </si>
  <si>
    <t>Prima de Vacaciones Administrativos</t>
  </si>
  <si>
    <t>2.1.1.01.01.001.08.02.2</t>
  </si>
  <si>
    <t>Prima de Vacaciones Docentes</t>
  </si>
  <si>
    <t>2.1.1.01.01.001.08.02.3</t>
  </si>
  <si>
    <t>Prima de Vacaciones Trabajadores Oficiales</t>
  </si>
  <si>
    <t>O211010100109</t>
  </si>
  <si>
    <t>2.1.1.01.01.001.09</t>
  </si>
  <si>
    <t>Prima técnica salarial</t>
  </si>
  <si>
    <t>2.1.1.01.01.001.09.1</t>
  </si>
  <si>
    <t>Prima Técnica Administrativos</t>
  </si>
  <si>
    <t>O2110101002</t>
  </si>
  <si>
    <t>2.1.1.01.01.002</t>
  </si>
  <si>
    <t>Factores salariales especiales</t>
  </si>
  <si>
    <t>O211010100204</t>
  </si>
  <si>
    <t>2.1.1.01.01.002.04</t>
  </si>
  <si>
    <t>Prima semestral</t>
  </si>
  <si>
    <t>2.1.1.01.01.002.04.1</t>
  </si>
  <si>
    <t>Prima Semestral Administrativos</t>
  </si>
  <si>
    <t>2.1.1.01.01.002.04.2</t>
  </si>
  <si>
    <t>Prima Semetral Docentes</t>
  </si>
  <si>
    <t>2.1.1.01.01.002.04.3</t>
  </si>
  <si>
    <t>Prima Semestral Trabajadores Oficiales</t>
  </si>
  <si>
    <t>O211010100212</t>
  </si>
  <si>
    <t>2.1.1.01.01.002.12</t>
  </si>
  <si>
    <t>Prima de antigüedad</t>
  </si>
  <si>
    <t>O21101010021201</t>
  </si>
  <si>
    <t>2.1.1.01.01.002.12.01</t>
  </si>
  <si>
    <t>Beneficios a los empleados a corto plazo</t>
  </si>
  <si>
    <t>2.1.1.01.01.002.12.02.1</t>
  </si>
  <si>
    <t>Prima de Antigüedad Administrativos</t>
  </si>
  <si>
    <t>2.1.1.01.01.002.12.02.2</t>
  </si>
  <si>
    <t>Prima de Antigüedad Trabajadores Oficiales</t>
  </si>
  <si>
    <t>O2110102</t>
  </si>
  <si>
    <t>2.1.1.01.02</t>
  </si>
  <si>
    <t>Contribuciones inherentes a la nómina</t>
  </si>
  <si>
    <t>O2110102001</t>
  </si>
  <si>
    <t>2.1.1.01.02.001</t>
  </si>
  <si>
    <t>Aportes a la seguridad social en pensiones</t>
  </si>
  <si>
    <t>O211010200101</t>
  </si>
  <si>
    <t>2.1.1.01.02.001.01</t>
  </si>
  <si>
    <t>Aportes a la seguridad social en pensiones públicas</t>
  </si>
  <si>
    <t>2.1.1.01.02.001.01.1</t>
  </si>
  <si>
    <t>Pensiones Públicas Administrativos</t>
  </si>
  <si>
    <t>2.1.1.01.02.001.01.2</t>
  </si>
  <si>
    <t>Pensiones Públicas Docentes</t>
  </si>
  <si>
    <t>2.1.1.01.02.001.01.3</t>
  </si>
  <si>
    <t>Pensiones Públicas Trabajadores Oficiales</t>
  </si>
  <si>
    <t>O211010200102</t>
  </si>
  <si>
    <t>2.1.1.01.02.001.02</t>
  </si>
  <si>
    <t>Aportes a la seguridad social en pensiones privadas</t>
  </si>
  <si>
    <t>2.1.1.01.02.001.02.1</t>
  </si>
  <si>
    <t>Pensiones Privadas Administrativos</t>
  </si>
  <si>
    <t>2.1.1.01.02.001.02.2</t>
  </si>
  <si>
    <t>Pensiones Privadas Docentes</t>
  </si>
  <si>
    <t>2.1.1.01.02.001.02.3</t>
  </si>
  <si>
    <t>Pensiones Privadas Trabajadores Oficiales</t>
  </si>
  <si>
    <t>O2110102002</t>
  </si>
  <si>
    <t>2.1.1.01.02.002</t>
  </si>
  <si>
    <t>Aportes a la seguridad social en salud</t>
  </si>
  <si>
    <t>O211010200202</t>
  </si>
  <si>
    <t>2.1.1.01.02.002.02</t>
  </si>
  <si>
    <t>Aportes a la seguridad social en salud privada</t>
  </si>
  <si>
    <t>2.1.1.01.02.002.02.1</t>
  </si>
  <si>
    <t>Salud Privada Administrativos</t>
  </si>
  <si>
    <t>2.1.1.01.02.002.02.2</t>
  </si>
  <si>
    <t>Salud Privada Docentes</t>
  </si>
  <si>
    <t>2.1.1.01.02.002.02.3</t>
  </si>
  <si>
    <t>Salud Privada Trabajadores Oficiales</t>
  </si>
  <si>
    <t>O2110102003</t>
  </si>
  <si>
    <t>2.1.1.01.02.003</t>
  </si>
  <si>
    <t xml:space="preserve">Aportes de cesantías </t>
  </si>
  <si>
    <t>O211010200301</t>
  </si>
  <si>
    <t>2.1.1.01.02.003.01</t>
  </si>
  <si>
    <t>Aportes de cesantías a fondos públicos</t>
  </si>
  <si>
    <t>2.1.1.01.02.003.01.1</t>
  </si>
  <si>
    <t>Cesantías Fondos Públicos Administrativos</t>
  </si>
  <si>
    <t>2.1.1.01.02.003.01.2</t>
  </si>
  <si>
    <t>Cesantías Fondos Públicos Docentes</t>
  </si>
  <si>
    <t>2.1.1.01.02.003.01.3</t>
  </si>
  <si>
    <t>Cesantías Fondos Públicos Trabajadores Oficiales</t>
  </si>
  <si>
    <t>O211010200302</t>
  </si>
  <si>
    <t>2.1.1.01.02.003.02</t>
  </si>
  <si>
    <t>Aportes de cesantías a fondos privados</t>
  </si>
  <si>
    <t>2.1.1.01.02.003.02.1</t>
  </si>
  <si>
    <t>Cesantías Fondos Privados Administrativos</t>
  </si>
  <si>
    <t>2.1.1.01.02.003.02.2</t>
  </si>
  <si>
    <t>Cesantías Fondos Privados Docentes</t>
  </si>
  <si>
    <t>2.1.1.01.02.003.02.3</t>
  </si>
  <si>
    <t>Cesantías Fondos Privados Trabajadores Oficiales</t>
  </si>
  <si>
    <t>O2110102004</t>
  </si>
  <si>
    <t>2.1.1.01.02.004</t>
  </si>
  <si>
    <t>Aportes a cajas de compensación familiar</t>
  </si>
  <si>
    <t>O211010200401</t>
  </si>
  <si>
    <t>2.1.1.01.02.004.01</t>
  </si>
  <si>
    <t>Compensar</t>
  </si>
  <si>
    <t>2.1.1.01.02.004.01.1</t>
  </si>
  <si>
    <t>Caja de Compensación Administrativos</t>
  </si>
  <si>
    <t>2.1.1.01.02.004.01.2</t>
  </si>
  <si>
    <t>Caja de Compensación Docentes</t>
  </si>
  <si>
    <t>2.1.1.01.02.004.01.3</t>
  </si>
  <si>
    <t>Caja de Compensación Trabajadores Oficiales</t>
  </si>
  <si>
    <t>O2110102005</t>
  </si>
  <si>
    <t>2.1.1.01.02.005</t>
  </si>
  <si>
    <t>Aportes generales al sistema de riesgos laborales</t>
  </si>
  <si>
    <t>O211010200501</t>
  </si>
  <si>
    <t>2.1.1.01.02.005.01</t>
  </si>
  <si>
    <t>Aportes generales al sistema de riesgos laborales públicos</t>
  </si>
  <si>
    <t>2.1.1.01.02.005.01.1</t>
  </si>
  <si>
    <t>Riesgos Laborales Administrativos</t>
  </si>
  <si>
    <t>2.1.1.01.02.005.01.2</t>
  </si>
  <si>
    <t>Riesgos Laborales Docentes</t>
  </si>
  <si>
    <t>2.1.1.01.02.005.01.3</t>
  </si>
  <si>
    <t>Riesgos Laborales Trabajadores Oficiales</t>
  </si>
  <si>
    <t>O2110102006</t>
  </si>
  <si>
    <t>2.1.1.01.02.006</t>
  </si>
  <si>
    <t>Aportes al ICBF</t>
  </si>
  <si>
    <t>2.1.1.01.02.006.1</t>
  </si>
  <si>
    <t>ICBF Administrativos</t>
  </si>
  <si>
    <t>2.1.1.01.02.006.2</t>
  </si>
  <si>
    <t>ICBF Docentes</t>
  </si>
  <si>
    <t>2.1.1.01.02.006.3</t>
  </si>
  <si>
    <t>ICBF Trabajadores Oficiales</t>
  </si>
  <si>
    <t>O2110103</t>
  </si>
  <si>
    <t>2.1.1.01.03</t>
  </si>
  <si>
    <t>Remuneraciones no constitutivas de factor salarial</t>
  </si>
  <si>
    <t>O2110103001</t>
  </si>
  <si>
    <t>2.1.1.01.03.001</t>
  </si>
  <si>
    <t>O211010300103</t>
  </si>
  <si>
    <t>2.1.1.01.03.001.03</t>
  </si>
  <si>
    <t>Bonificación especial de recreación</t>
  </si>
  <si>
    <t>O2110103005</t>
  </si>
  <si>
    <t>2.1.1.01.03.005</t>
  </si>
  <si>
    <t>Reconocimiento por permanencia en el servicio público - Bogotá D.C.</t>
  </si>
  <si>
    <t>O2110103068</t>
  </si>
  <si>
    <t>2.1.1.01.03.068</t>
  </si>
  <si>
    <t>Prima secretarial</t>
  </si>
  <si>
    <t>O2110103121</t>
  </si>
  <si>
    <t>2.1.1.01.03.121</t>
  </si>
  <si>
    <t>2.1.1.01.03.121.1</t>
  </si>
  <si>
    <t>Quinquenios</t>
  </si>
  <si>
    <t>Trabajadores Oficiales</t>
  </si>
  <si>
    <t>2.1.1.01.03.121.2</t>
  </si>
  <si>
    <t>Aportes Convención Colectiva de Trabajadores</t>
  </si>
  <si>
    <t>SINTRAUD</t>
  </si>
  <si>
    <t>2.1.1.01.03.121.3</t>
  </si>
  <si>
    <t>Aportes Organizaciones Sindicales - Acuerdos de Negociación</t>
  </si>
  <si>
    <t>ASEPAD</t>
  </si>
  <si>
    <t>ASPU-UD</t>
  </si>
  <si>
    <t>SIPRUD</t>
  </si>
  <si>
    <t>2.1.1.01.03.121.4</t>
  </si>
  <si>
    <t>Subsidio Familiar</t>
  </si>
  <si>
    <t>Oficina de Talento Humano</t>
  </si>
  <si>
    <t>2.1.1.01.03.121.5</t>
  </si>
  <si>
    <t>Plan de Salud Trabajadores Oficiales</t>
  </si>
  <si>
    <t>2.1.1.01.03.121.6</t>
  </si>
  <si>
    <t>Plan de Salud de Pensionados</t>
  </si>
  <si>
    <t>Pensionados Universidad Distrital</t>
  </si>
  <si>
    <t>2.1.1.01.03.121.7</t>
  </si>
  <si>
    <t>Subsidio libros pensionados</t>
  </si>
  <si>
    <t>2.1.1.01.03.121.8</t>
  </si>
  <si>
    <t>Subsidio familiar pensionados</t>
  </si>
  <si>
    <t>2.1.1.01.03.121.9</t>
  </si>
  <si>
    <t>Educación Libros Convención Colectiva</t>
  </si>
  <si>
    <t>2.1.1.01.03.121.10</t>
  </si>
  <si>
    <t>Defunción y Matrimonio Personal administrativo</t>
  </si>
  <si>
    <t>Planta Administrativa</t>
  </si>
  <si>
    <t>2.1.1.01.03.121.11</t>
  </si>
  <si>
    <t>Convención Colectiva y Mesas de Diálogo - Bienestar Institucional</t>
  </si>
  <si>
    <t>Organizaciones sindicales administrativas</t>
  </si>
  <si>
    <t>2.1.1.01.03.121.12</t>
  </si>
  <si>
    <t>Auxilios e Incentivos Acuerdos de Negociación Sindicales</t>
  </si>
  <si>
    <t>O21102</t>
  </si>
  <si>
    <t>2.1.1.02</t>
  </si>
  <si>
    <t>Personal supernumerario y planta temporal - DOCENTES VINCULACIÓN ESPECIAL Y HORA CÁTEDRA</t>
  </si>
  <si>
    <t>O2110201</t>
  </si>
  <si>
    <t>2.1.1.02.01</t>
  </si>
  <si>
    <t>O2110201001</t>
  </si>
  <si>
    <t>2.1.1.02.01.001</t>
  </si>
  <si>
    <t>O211020100101</t>
  </si>
  <si>
    <t>2.1.1.02.01.001.01</t>
  </si>
  <si>
    <t>2.1.1.02.01.001.01.01</t>
  </si>
  <si>
    <t>Sueldo básico pregrado</t>
  </si>
  <si>
    <t>2.1.1.02.01.001.01.01.01</t>
  </si>
  <si>
    <t>Sueldo Básico Pregrado Facultad de Ingeniería</t>
  </si>
  <si>
    <t>2.1.1.02.01.001.01.01.02</t>
  </si>
  <si>
    <t>Sueldo Básico Pregrado Facultad de Ciencias y Educación</t>
  </si>
  <si>
    <t>2.1.1.02.01.001.01.01.03</t>
  </si>
  <si>
    <t>Sueldo Básico Pregrado Facultad de Medio ambiente y recursos naturales</t>
  </si>
  <si>
    <t>2.1.1.02.01.001.01.01.04</t>
  </si>
  <si>
    <t>Sueldo Básico Pregrado Facultad Tecnológica</t>
  </si>
  <si>
    <t>2.1.1.02.01.001.01.01.05</t>
  </si>
  <si>
    <t>Sueldo Básico Pregrado Facultad Artes ASAB</t>
  </si>
  <si>
    <t>2.1.1.02.01.001.01.01.06</t>
  </si>
  <si>
    <t>Sueldo Básico Pregrado Ilud</t>
  </si>
  <si>
    <t>2.1.1.02.01.001.01.01.07</t>
  </si>
  <si>
    <t>Sueldo Básico Facultad de Ciencias y Educación - Maestría en Educación Guajira</t>
  </si>
  <si>
    <t>2.1.1.02.01.001.01.01.08</t>
  </si>
  <si>
    <t>Sueldo Básico Pregrado Facultad de Ciencias Matemáticas y Naturales</t>
  </si>
  <si>
    <t>2.1.1.02.01.001.01.01.09</t>
  </si>
  <si>
    <t>Sueldo Básico Pregrado Facultad de Ciencias de la Salud</t>
  </si>
  <si>
    <t>2.1.1.02.01.001.01.02</t>
  </si>
  <si>
    <t>Sueldo básico posgrado</t>
  </si>
  <si>
    <t>2.1.1.02.01.001.01.02.01</t>
  </si>
  <si>
    <t>Sueldo Básico Posgrado Facultad de Ingeniería</t>
  </si>
  <si>
    <t>2.1.1.02.01.001.01.02.02</t>
  </si>
  <si>
    <t>Sueldo Básico Posgrado Facultad de Ciencias y Educación</t>
  </si>
  <si>
    <t>2.1.1.02.01.001.01.02.03</t>
  </si>
  <si>
    <t>Sueldo Básico Posgrado Facultad de Medio ambiente y recursos naturales</t>
  </si>
  <si>
    <t>2.1.1.02.01.001.01.02.04</t>
  </si>
  <si>
    <t>Sueldo Básico Posgrado Facultad Tecnológica</t>
  </si>
  <si>
    <t>2.1.1.02.01.001.01.02.05</t>
  </si>
  <si>
    <t>Sueldo Básico Posgrado Facultad Artes ASAB</t>
  </si>
  <si>
    <t>2.1.1.02.01.001.01.02.06</t>
  </si>
  <si>
    <t>Sueldo Básico Posgrado Facultad de Ciencias Matemáticas y Naturales</t>
  </si>
  <si>
    <t>O211020100106</t>
  </si>
  <si>
    <t>2.1.1.02.01.001.06</t>
  </si>
  <si>
    <t>Prima de servicio</t>
  </si>
  <si>
    <t>2.1.1.02.01.001.06.01</t>
  </si>
  <si>
    <t>Prima de servicios pregrado</t>
  </si>
  <si>
    <t>2.1.1.02.01.001.06.01.01</t>
  </si>
  <si>
    <t>Prima de Servicios Pregrado Facultad de Ingeniería</t>
  </si>
  <si>
    <t>2.1.1.02.01.001.06.01.02</t>
  </si>
  <si>
    <t>Prima de Servicios Pregrado Facultad de Ciencias y Educación</t>
  </si>
  <si>
    <t>2.1.1.02.01.001.06.01.03</t>
  </si>
  <si>
    <t>Prima de Servicios Pregrado Facultad de Medio ambiente y recursos naturales</t>
  </si>
  <si>
    <t>2.1.1.02.01.001.06.01.04</t>
  </si>
  <si>
    <t>Prima de Servicios Pregrado Facultad Tecnológica</t>
  </si>
  <si>
    <t>2.1.1.02.01.001.06.01.05</t>
  </si>
  <si>
    <t>Prima de Servicios Pregrado Facultad Artes ASAB</t>
  </si>
  <si>
    <t>2.1.1.02.01.001.06.01.06</t>
  </si>
  <si>
    <t>Prima de Servicios Pregrado Ilud</t>
  </si>
  <si>
    <t>2.1.1.02.01.001.06.01.07</t>
  </si>
  <si>
    <t>Prima de Servicios Pregrado Facultad de Ciencias Matemáticas y Naturales</t>
  </si>
  <si>
    <t>2.1.1.02.01.001.06.01.08</t>
  </si>
  <si>
    <t>Prima de Servicios Pregrado Facultad de Ciencias de la Salud</t>
  </si>
  <si>
    <t>2.1.1.02.01.001.06.02</t>
  </si>
  <si>
    <t>Prima de servicios posgrado</t>
  </si>
  <si>
    <t>2.1.1.02.01.001.06.02.01</t>
  </si>
  <si>
    <t>Prima de Servicios Posgrado Facultad de Ingeniería</t>
  </si>
  <si>
    <t>2.1.1.02.01.001.06.02.02</t>
  </si>
  <si>
    <t>Prima de Servicios Posgrado Facultad de Ciencias y Educación</t>
  </si>
  <si>
    <t>2.1.1.02.01.001.06.02.03</t>
  </si>
  <si>
    <t>Prima de Servicios Posgrado Facultad de Medio ambiente y recursos naturales</t>
  </si>
  <si>
    <t>2.1.1.02.01.001.06.02.04</t>
  </si>
  <si>
    <t>Prima de Servicios Posgrado Facultad Tecnológica</t>
  </si>
  <si>
    <t>2.1.1.02.01.001.06.02.05</t>
  </si>
  <si>
    <t>Prima de Servicios Posgrado Facultad Artes ASAB</t>
  </si>
  <si>
    <t>2.1.1.02.01.001.06.02.06</t>
  </si>
  <si>
    <t>Prima de Servicios Posgrado Facultad de Ciencias Matemáticas y Naturales</t>
  </si>
  <si>
    <t>O211020100108</t>
  </si>
  <si>
    <t>2.1.1.02.01.001.08</t>
  </si>
  <si>
    <t>O21102010010801</t>
  </si>
  <si>
    <t>2.1.1.02.01.001.08.01</t>
  </si>
  <si>
    <t>2.1.1.02.01.001.08.01.01</t>
  </si>
  <si>
    <t>Prima de navidad pregrado</t>
  </si>
  <si>
    <t>2.1.1.02.01.001.08.01.01.01</t>
  </si>
  <si>
    <t>Prima de Navidad Pregrado Facultad de Ingeniería</t>
  </si>
  <si>
    <t>2.1.1.02.01.001.08.01.01.02</t>
  </si>
  <si>
    <t>Prima de Navidad Pregrado Facultad de Ciencias y Educación</t>
  </si>
  <si>
    <t>2.1.1.02.01.001.08.01.01.03</t>
  </si>
  <si>
    <t>Prima de Navidad Pregrado Facultad de Medio ambiente y recursos naturales</t>
  </si>
  <si>
    <t>2.1.1.02.01.001.08.01.01.04</t>
  </si>
  <si>
    <t>Prima de Navidad Pregrado Facultad Tecnológica</t>
  </si>
  <si>
    <t>2.1.1.02.01.001.08.01.01.05</t>
  </si>
  <si>
    <t>Prima de Navidad Pregrado Facultad Artes ASAB</t>
  </si>
  <si>
    <t>2.1.1.02.01.001.08.01.01.06</t>
  </si>
  <si>
    <t>Prima de Navidad Pregrado Ilud</t>
  </si>
  <si>
    <t>2.1.1.02.01.001.08.01.01.07</t>
  </si>
  <si>
    <t>Prima de Navidad Pregrado Facultad de Ciencias Matemáticas y Naturales</t>
  </si>
  <si>
    <t>2.1.1.02.01.001.08.01.01.08</t>
  </si>
  <si>
    <t>Prima de Navidad Pregrado Facultad de Ciencias de la Salud</t>
  </si>
  <si>
    <t>2.1.1.02.01.001.08.01.02</t>
  </si>
  <si>
    <t>Prima de navidad posgrado</t>
  </si>
  <si>
    <t>2.1.1.02.01.001.08.01.02.01</t>
  </si>
  <si>
    <t>Prima de Navidad Posgrado Facultad de Ingeniería</t>
  </si>
  <si>
    <t>2.1.1.02.01.001.08.01.02.02</t>
  </si>
  <si>
    <t>Prima de Navidad Posgrado Facultad de Ciencias y Educación</t>
  </si>
  <si>
    <t>2.1.1.02.01.001.08.01.02.03</t>
  </si>
  <si>
    <t>Prima de Navidad Posgrado Facultad de Medio ambiente y recursos naturales</t>
  </si>
  <si>
    <t>2.1.1.02.01.001.08.01.02.04</t>
  </si>
  <si>
    <t>Prima de Navidad Posgrado Facultad Tecnológica</t>
  </si>
  <si>
    <t>2.1.1.02.01.001.08.01.02.05</t>
  </si>
  <si>
    <t>Prima de Navidad Posgrado Facultad Artes ASAB</t>
  </si>
  <si>
    <t>2.1.1.02.01.001.08.01.02.06</t>
  </si>
  <si>
    <t>Prima de Navidad Posgrado Facultad de Ciencias Matemáticas y Naturales</t>
  </si>
  <si>
    <t>O21102010010802</t>
  </si>
  <si>
    <t>2.1.1.02.01.001.08.02</t>
  </si>
  <si>
    <t>2.1.1.02.01.001.08.02.01</t>
  </si>
  <si>
    <t>Prima de vacaciones pregrado</t>
  </si>
  <si>
    <t>2.1.1.02.01.001.08.02.01.01</t>
  </si>
  <si>
    <t>Prima de Vacaciones Pregrado Facultad de Ingeniería</t>
  </si>
  <si>
    <t>2.1.1.02.01.001.08.02.01.02</t>
  </si>
  <si>
    <t>Prima de Vacaciones Pregrado Facultad de Ciencias y Educación</t>
  </si>
  <si>
    <t>2.1.1.02.01.001.08.02.01.03</t>
  </si>
  <si>
    <t>Prima de Vacaciones Pregrado Facultad de Medio ambiente y recursos naturales</t>
  </si>
  <si>
    <t>2.1.1.02.01.001.08.02.01.04</t>
  </si>
  <si>
    <t>Prima de Vacaciones Pregrado Facultad Tecnológica</t>
  </si>
  <si>
    <t>2.1.1.02.01.001.08.02.01.05</t>
  </si>
  <si>
    <t>Prima de Vacaciones Pregrado Facultad Artes ASAB</t>
  </si>
  <si>
    <t>2.1.1.02.01.001.08.02.01.06</t>
  </si>
  <si>
    <t>Prima de Vacaciones Pregrado Ilud</t>
  </si>
  <si>
    <t>2.1.1.02.01.001.08.02.01.07</t>
  </si>
  <si>
    <t>Prima de Vacaciones Pregrado Facultad de Ciencias Matemáticas y Naturales</t>
  </si>
  <si>
    <t>2.1.1.02.01.001.08.02.01.08</t>
  </si>
  <si>
    <t>Prima de Vacaciones Pregrado Facultad de Ciencias de la Salud</t>
  </si>
  <si>
    <t>2.1.1.02.01.001.08.02.02</t>
  </si>
  <si>
    <t>Prima de vacaciones posgrado</t>
  </si>
  <si>
    <t>2.1.1.02.01.001.08.02.02.01</t>
  </si>
  <si>
    <t>Prima de Vacaciones Posgrado Facultad de Ingeniería</t>
  </si>
  <si>
    <t>2.1.1.02.01.001.08.02.02.02</t>
  </si>
  <si>
    <t>Prima de Vacaciones Posgrado Facultad de Ciencias y Educación</t>
  </si>
  <si>
    <t>2.1.1.02.01.001.08.02.02.03</t>
  </si>
  <si>
    <t>Prima de Vacaciones Posgrado Facultad de Medio ambiente y recursos naturales</t>
  </si>
  <si>
    <t>2.1.1.02.01.001.08.02.02.04</t>
  </si>
  <si>
    <t>Prima de Vacaciones Posgrado Facultad Tecnológica</t>
  </si>
  <si>
    <t>2.1.1.02.01.001.08.02.02.05</t>
  </si>
  <si>
    <t>Prima de Vacaciones Posgrado Facultad Artes ASAB</t>
  </si>
  <si>
    <t>2.1.1.02.01.001.08.02.02.06</t>
  </si>
  <si>
    <t>Prima de Vacaciones Posgrado Facultad de Ciencias Matemáticas y Naturales</t>
  </si>
  <si>
    <t>O2110202</t>
  </si>
  <si>
    <t>2.1.1.02.02</t>
  </si>
  <si>
    <t>O2110202001</t>
  </si>
  <si>
    <t>2.1.1.02.02.001</t>
  </si>
  <si>
    <t>O211020200101</t>
  </si>
  <si>
    <t>2.1.1.02.02.001.01</t>
  </si>
  <si>
    <t>2.1.1.02.02.001.01.01</t>
  </si>
  <si>
    <t>Aportes a la seguridad social en pensiones públicas pregrado</t>
  </si>
  <si>
    <t>2.1.1.02.02.001.01.01.01</t>
  </si>
  <si>
    <t>Pensiones Públicas Pregrado Facultad de Ingeniería</t>
  </si>
  <si>
    <t>2.1.1.02.02.001.01.01.02</t>
  </si>
  <si>
    <t>Pensiones Públicas Pregrado Facultad de Ciencias y Educación</t>
  </si>
  <si>
    <t>2.1.1.02.02.001.01.01.03</t>
  </si>
  <si>
    <t>Pensiones Públicas Pregrado Facultad de Medio ambiente y recursos naturales</t>
  </si>
  <si>
    <t>2.1.1.02.02.001.01.01.04</t>
  </si>
  <si>
    <t>Pensiones Públicas Pregrado Facultad Tecnológica</t>
  </si>
  <si>
    <t>2.1.1.02.02.001.01.01.05</t>
  </si>
  <si>
    <t>Pensiones Públicas Pregrado Facultad Artes ASAB</t>
  </si>
  <si>
    <t>2.1.1.02.02.001.01.01.06</t>
  </si>
  <si>
    <t>Pensiones Públicas Pregrado Ilud</t>
  </si>
  <si>
    <t>2.1.1.02.02.001.01.01.07</t>
  </si>
  <si>
    <t>Pensiones Públicas Pregrado Facultad de Ciencias Matemáticas y Naturales</t>
  </si>
  <si>
    <t>2.1.1.02.02.001.01.01.08</t>
  </si>
  <si>
    <t>Pensiones Públicas Pregrado Facultad de Ciencias de la Salud</t>
  </si>
  <si>
    <t>2.1.1.02.02.001.01.02</t>
  </si>
  <si>
    <t>Aportes a la seguridad social en pensiones públicas posgrado</t>
  </si>
  <si>
    <t>2.1.1.02.02.001.01.02.01</t>
  </si>
  <si>
    <t>Pensiones Públicas Posgrado Facultad de Ingeniería</t>
  </si>
  <si>
    <t>2.1.1.02.02.001.01.02.02</t>
  </si>
  <si>
    <t>Pensiones Públicas Posgrado Facultad de Ciencias y Educación</t>
  </si>
  <si>
    <t>2.1.1.02.02.001.01.02.03</t>
  </si>
  <si>
    <t>Pensiones Públicas Posgrado Facultad de Medio ambiente y recursos naturales</t>
  </si>
  <si>
    <t>2.1.1.02.02.001.01.02.04</t>
  </si>
  <si>
    <t>Pensiones Públicas Posgrado Facultad Tecnológica</t>
  </si>
  <si>
    <t>2.1.1.02.02.001.01.02.05</t>
  </si>
  <si>
    <t>Pensiones Públicas Posgrado Facultad Artes ASAB</t>
  </si>
  <si>
    <t>2.1.1.02.02.001.01.02.06</t>
  </si>
  <si>
    <t>Pensiones Públicas Posgrado Facultad de Ciencias Matemáticas y Naturales</t>
  </si>
  <si>
    <t>O211020200102</t>
  </si>
  <si>
    <t>2.1.1.02.02.001.02</t>
  </si>
  <si>
    <t>2.1.1.02.02.001.02.01</t>
  </si>
  <si>
    <t>Aportes a la seguridad social en pensiones privadas pregrado</t>
  </si>
  <si>
    <t>2.1.1.02.02.001.02.01.01</t>
  </si>
  <si>
    <t>Pensiones Privadas Pregrado Facultad de Ingeniería</t>
  </si>
  <si>
    <t>2.1.1.02.02.001.02.01.02</t>
  </si>
  <si>
    <t>Pensiones Privadas Pregrado Facultad de Ciencias y Educación</t>
  </si>
  <si>
    <t>2.1.1.02.02.001.02.01.03</t>
  </si>
  <si>
    <t>Pensiones Privadas  Pregrado Facultad de Medio ambiente y recursos naturales</t>
  </si>
  <si>
    <t>2.1.1.02.02.001.02.01.04</t>
  </si>
  <si>
    <t>Pensiones Privadas Pregrado Facultad Tecnológica</t>
  </si>
  <si>
    <t>2.1.1.02.02.001.02.01.05</t>
  </si>
  <si>
    <t>Pensiones Privadas Pregrado Facultad Artes ASAB</t>
  </si>
  <si>
    <t>2.1.1.02.02.001.02.01.06</t>
  </si>
  <si>
    <t>Pensiones Privadas  Pregrado Ilud</t>
  </si>
  <si>
    <t>2.1.1.02.02.001.02.01.07</t>
  </si>
  <si>
    <t>Pensiones Privadas  Pregrado Facultad de Ciencias Matemáticas y Naturales</t>
  </si>
  <si>
    <t>2.1.1.02.02.001.02.01.08</t>
  </si>
  <si>
    <t>Pensiones Privadas  Pregrado Facultad de Ciencias de la salud</t>
  </si>
  <si>
    <t>2.1.1.02.02.001.02.02</t>
  </si>
  <si>
    <t>Aportes a la seguridad social en pensiones privadas posgrado</t>
  </si>
  <si>
    <t>2.1.1.02.02.001.02.02.01</t>
  </si>
  <si>
    <t>Pensiones Privadas Posgrado Facultad de Ingeniería</t>
  </si>
  <si>
    <t>2.1.1.02.02.001.02.02.02</t>
  </si>
  <si>
    <t>Pensiones Privadas Posgrado Facultad de Ciencias y Educación</t>
  </si>
  <si>
    <t>2.1.1.02.02.001.02.02.03</t>
  </si>
  <si>
    <t>Pensiones Privadas Posgrado Facultad de Medio ambiente y recursos naturales</t>
  </si>
  <si>
    <t>2.1.1.02.02.001.02.02.04</t>
  </si>
  <si>
    <t>Pensiones Privadas Posgrado Facultad Tecnológica</t>
  </si>
  <si>
    <t>2.1.1.02.02.001.02.02.05</t>
  </si>
  <si>
    <t>Pensiones Privadas Posgrado Facultad Artes ASAB</t>
  </si>
  <si>
    <t>2.1.1.02.02.001.02.02.06</t>
  </si>
  <si>
    <t>Pensiones Privadas  Posgrado Facultad de Ciencias Matemáticas y Naturales</t>
  </si>
  <si>
    <t>O2110202002</t>
  </si>
  <si>
    <t>2.1.1.02.02.002</t>
  </si>
  <si>
    <t>O211020200202</t>
  </si>
  <si>
    <t>2.1.1.02.02.002.02</t>
  </si>
  <si>
    <t>2.1.1.02.02.002.02.01</t>
  </si>
  <si>
    <t>Aportes a la seguridad social en salud privada pregrado</t>
  </si>
  <si>
    <t>2.1.1.02.02.002.02.01.01</t>
  </si>
  <si>
    <t>Salud Privada Pregrado Facultad de Ingeniería</t>
  </si>
  <si>
    <t>2.1.1.02.02.002.02.01.02</t>
  </si>
  <si>
    <t>Salud Privada Pregrado Facultad de Ciencias y Educación</t>
  </si>
  <si>
    <t>2.1.1.02.02.002.02.01.03</t>
  </si>
  <si>
    <t>Salud Privada Pregrado Facultad de Medio ambiente y recursos naturales</t>
  </si>
  <si>
    <t>2.1.1.02.02.002.02.01.04</t>
  </si>
  <si>
    <t>Salud Privada Pregrado Facultad Tecnológica</t>
  </si>
  <si>
    <t>2.1.1.02.02.002.02.01.05</t>
  </si>
  <si>
    <t>Salud Privada Pregrado Facultad Artes ASAB</t>
  </si>
  <si>
    <t>2.1.1.02.02.002.02.01.06</t>
  </si>
  <si>
    <t>Salud Privada Pregrado Ilud</t>
  </si>
  <si>
    <t>2.1.1.02.02.002.02.01.07</t>
  </si>
  <si>
    <t>Salud Privada Pregrado Facultad de Ciencias Matemáticas y Naturales</t>
  </si>
  <si>
    <t>2.1.1.02.02.002.02.01.08</t>
  </si>
  <si>
    <t>Salud Privada Pregrado Facultad de Ciencias de la Salud</t>
  </si>
  <si>
    <t>2.1.1.02.02.002.02.02</t>
  </si>
  <si>
    <t>Aportes a la seguridad social en salud privada posgrado</t>
  </si>
  <si>
    <t>2.1.1.02.02.002.02.02.01</t>
  </si>
  <si>
    <t>Salud Privada Posgrado Facultad de Ingeniería</t>
  </si>
  <si>
    <t>2.1.1.02.02.002.02.02.02</t>
  </si>
  <si>
    <t>Salud Privada Posgrado Facultad de Ciencias y Educación</t>
  </si>
  <si>
    <t>2.1.1.02.02.002.02.02.03</t>
  </si>
  <si>
    <t>Salud Privada Posgrado Facultad de Medio ambiente y recursos naturales</t>
  </si>
  <si>
    <t>2.1.1.02.02.002.02.02.04</t>
  </si>
  <si>
    <t>Salud Privada Posgrado Facultad Tecnológica</t>
  </si>
  <si>
    <t>2.1.1.02.02.002.02.02.05</t>
  </si>
  <si>
    <t>Salud Privada Posgrado Facultad Artes ASAB</t>
  </si>
  <si>
    <t>2.1.1.02.02.002.02.02.06</t>
  </si>
  <si>
    <t>Salud Privada Posgrado Facultad de Ciencias Matemáticas y Naturales</t>
  </si>
  <si>
    <t>O2110202003</t>
  </si>
  <si>
    <t>2.1.1.02.02.003</t>
  </si>
  <si>
    <t>O211020200301</t>
  </si>
  <si>
    <t>2.1.1.02.02.003.01</t>
  </si>
  <si>
    <t>2.1.1.02.02.003.01.01</t>
  </si>
  <si>
    <t>Aportes de cesantías a fondos públicos pregrado</t>
  </si>
  <si>
    <t>2.1.1.02.02.003.01.01.01</t>
  </si>
  <si>
    <t>Cesantías Fondos Públicos Pregrado Facultad de Ingeniería</t>
  </si>
  <si>
    <t>2.1.1.02.02.003.01.01.02</t>
  </si>
  <si>
    <t>Cesantías Fondos Públicos Pregrado Facultad de Ciencias y Educación</t>
  </si>
  <si>
    <t>2.1.1.02.02.003.01.01.03</t>
  </si>
  <si>
    <t>Cesantías Fondos Públicos Pregrado Facultad de Medio ambiente y recursos naturales</t>
  </si>
  <si>
    <t>2.1.1.02.02.003.01.01.04</t>
  </si>
  <si>
    <t>Cesantías Fondos Públicos Pregrado Facultad Tecnológica</t>
  </si>
  <si>
    <t>2.1.1.02.02.003.01.01.05</t>
  </si>
  <si>
    <t>Cesantías Fondos Públicos Pregrado Facultad Artes ASAB</t>
  </si>
  <si>
    <t>2.1.1.02.02.003.01.01.06</t>
  </si>
  <si>
    <t>Cesantías Fondos Públicos Pregrado Ilud</t>
  </si>
  <si>
    <t>2.1.1.02.02.003.01.01.07</t>
  </si>
  <si>
    <t>Cesantías Fondos Públicos  Pregrado Facultad de Ciencias Matemáticas y Naturales</t>
  </si>
  <si>
    <t>2.1.1.02.02.003.01.01.08</t>
  </si>
  <si>
    <t>Cesantías Fondos Públicos  Pregrado Facultad de Ciencias de la Salud</t>
  </si>
  <si>
    <t>2.1.1.02.02.003.01.02</t>
  </si>
  <si>
    <t>Aportes de cesantías a fondos públicos posgrado</t>
  </si>
  <si>
    <t>2.1.1.02.02.003.01.02.01</t>
  </si>
  <si>
    <t>Cesantías Fondos Públicos Posgrado Facultad de Ingeniería</t>
  </si>
  <si>
    <t>2.1.1.02.02.003.01.02.02</t>
  </si>
  <si>
    <t>Cesantías Fondos Públicos Posgrado Facultad de Ciencias y Educación</t>
  </si>
  <si>
    <t>2.1.1.02.02.003.01.02.03</t>
  </si>
  <si>
    <t>Cesantías Fondos Públicos Posgrado Facultad de Medio ambiente y recursos naturales</t>
  </si>
  <si>
    <t>2.1.1.02.02.003.01.02.04</t>
  </si>
  <si>
    <t>Cesantías Fondos Públicos Posgrado Facultad Tecnológica</t>
  </si>
  <si>
    <t>2.1.1.02.02.003.01.02.05</t>
  </si>
  <si>
    <t>Cesantías Fondos Públicos Posgrado Facultad Artes ASAB</t>
  </si>
  <si>
    <t>2.1.1.02.02.003.01.02.06</t>
  </si>
  <si>
    <t>Cesantías Fondos Públicos  Posgrado Facultad de Ciencias Matemáticas y Naturales</t>
  </si>
  <si>
    <t>O211020200302</t>
  </si>
  <si>
    <t>2.1.1.02.02.003.02</t>
  </si>
  <si>
    <t>2.1.1.02.02.003.02.01</t>
  </si>
  <si>
    <t>Aportes de cesantías a fondos privados pregrado</t>
  </si>
  <si>
    <t>2.1.1.02.02.003.02.01.01</t>
  </si>
  <si>
    <t>Cesantías Fondos Privados Pregrado Facultad de Ingeniería</t>
  </si>
  <si>
    <t>2.1.1.02.02.003.02.01.02</t>
  </si>
  <si>
    <t>Cesantías Fondos Privados Pregrado Facultad de Ciencias y Educación</t>
  </si>
  <si>
    <t>2.1.1.02.02.003.02.01.03</t>
  </si>
  <si>
    <t>Cesantías Fondos Privados Pregrado Facultad de Medio ambiente y recursos naturales</t>
  </si>
  <si>
    <t>2.1.1.02.02.003.02.01.04</t>
  </si>
  <si>
    <t>Cesantías Fondos Privados Pregrado Facultad Tecnológica</t>
  </si>
  <si>
    <t>2.1.1.02.02.003.02.01.05</t>
  </si>
  <si>
    <t>Cesantías Fondos Privados Pregrado Facultad Artes ASAB</t>
  </si>
  <si>
    <t>2.1.1.02.02.003.02.01.06</t>
  </si>
  <si>
    <t>Cesantías Fondos Privados Pregrado Ilud</t>
  </si>
  <si>
    <t>2.1.1.02.02.003.02.01.07</t>
  </si>
  <si>
    <t>Cesantías Fondos Privados Pregrado Facultad de Ciencias Matemáticas y Naturales</t>
  </si>
  <si>
    <t>2.1.1.02.02.003.02.01.08</t>
  </si>
  <si>
    <t>Cesantías Fondos Privados Pregrado Facultad de Ciencias de la Salud</t>
  </si>
  <si>
    <t>2.1.1.02.02.003.02.02</t>
  </si>
  <si>
    <t>Aportes de cesantías a fondos privados posgrado</t>
  </si>
  <si>
    <t>2.1.1.02.02.003.02.02.01</t>
  </si>
  <si>
    <t>Cesantías Fondos Privados Posgrados Facultad de Ingeniería</t>
  </si>
  <si>
    <t>2.1.1.02.02.003.02.02.02</t>
  </si>
  <si>
    <t>Cesantías Fondos Privados Posgrados Facultad de Ciencias y Educación</t>
  </si>
  <si>
    <t>2.1.1.02.02.003.02.02.03</t>
  </si>
  <si>
    <t>Cesantías Fondos Privados Posgrados Facultad de Medio ambiente y recursos naturales</t>
  </si>
  <si>
    <t>2.1.1.02.02.003.02.02.04</t>
  </si>
  <si>
    <t>Cesantías Fondos Privados Posgrados Facultad Tecnológica</t>
  </si>
  <si>
    <t>2.1.1.02.02.003.02.02.05</t>
  </si>
  <si>
    <t>Cesantías Fondos Privados Posgrados Facultad Artes ASAB</t>
  </si>
  <si>
    <t>2.1.1.02.02.003.02.02.06</t>
  </si>
  <si>
    <t>Cesantías Fondos Privados Posgrados Facultad de Ciencias Matemáticas y Naturales</t>
  </si>
  <si>
    <t>O2110202004</t>
  </si>
  <si>
    <t>2.1.1.02.02.004</t>
  </si>
  <si>
    <t>O211020200401</t>
  </si>
  <si>
    <t>2.1.1.02.02.004.01</t>
  </si>
  <si>
    <t>2.1.1.02.02.004.01.01</t>
  </si>
  <si>
    <t>Compensar pregrado</t>
  </si>
  <si>
    <t>2.1.1.02.02.004.01.01.01</t>
  </si>
  <si>
    <t>Caja de Compensación Pregrado Facultad de Ingeniería</t>
  </si>
  <si>
    <t>2.1.1.02.02.004.01.01.02</t>
  </si>
  <si>
    <t>Caja de Compensación Pregrado Facultad de Ciencias y Educación</t>
  </si>
  <si>
    <t>2.1.1.02.02.004.01.01.03</t>
  </si>
  <si>
    <t>Caja de Compensación Pregrado Facultad de Medio ambiente y recursos naturales</t>
  </si>
  <si>
    <t>2.1.1.02.02.004.01.01.04</t>
  </si>
  <si>
    <t>Caja de Compensación Pregrado Facultad Tecnológica</t>
  </si>
  <si>
    <t>2.1.1.02.02.004.01.01.05</t>
  </si>
  <si>
    <t>Caja de Compensación Pregrado Facultad Artes ASAB</t>
  </si>
  <si>
    <t>2.1.1.02.02.004.01.01.06</t>
  </si>
  <si>
    <t>Caja de Compensación Pregrado Ilud</t>
  </si>
  <si>
    <t>2.1.1.02.02.004.01.01.07</t>
  </si>
  <si>
    <t>Caja de Compensación Pregrado Facultad de Ciencias Matemáticas y Naturales</t>
  </si>
  <si>
    <t>2.1.1.02.02.004.01.01.08</t>
  </si>
  <si>
    <t>Caja de Compensación Pregrado Facultad de Ciencias de la Salud</t>
  </si>
  <si>
    <t>2.1.1.02.02.004.01.02</t>
  </si>
  <si>
    <t>Compensar posgrado</t>
  </si>
  <si>
    <t>2.1.1.02.02.004.01.02.01</t>
  </si>
  <si>
    <t>Caja de Compensación Posgrado Facultad de Ingeniería</t>
  </si>
  <si>
    <t>2.1.1.02.02.004.01.02.02</t>
  </si>
  <si>
    <t>Caja de Compensación Posgrado Facultad de Ciencias y Educación</t>
  </si>
  <si>
    <t>2.1.1.02.02.004.01.02.03</t>
  </si>
  <si>
    <t>Caja de Compensación Posgrado Facultad de Medio ambiente y recursos naturales</t>
  </si>
  <si>
    <t>2.1.1.02.02.004.01.02.04</t>
  </si>
  <si>
    <t>Caja de Compensación Posgrado Facultad Tecnológica</t>
  </si>
  <si>
    <t>2.1.1.02.02.004.01.02.05</t>
  </si>
  <si>
    <t>Caja de Compensación Posgrado Facultad Artes ASAB</t>
  </si>
  <si>
    <t>2.1.1.02.02.004.01.02.06</t>
  </si>
  <si>
    <t>Caja de Compensación Posgrado Facultad de Ciencias Matemáticas y Naturales</t>
  </si>
  <si>
    <t>O2110202005</t>
  </si>
  <si>
    <t>2.1.1.02.02.005</t>
  </si>
  <si>
    <t>O211020200501</t>
  </si>
  <si>
    <t>2.1.1.02.02.005.01</t>
  </si>
  <si>
    <t>2.1.1.02.02.005.01.01</t>
  </si>
  <si>
    <t>Aportes generales al sistema de riesgos laborales públicos pregrado</t>
  </si>
  <si>
    <t>2.1.1.02.02.005.01.01.01</t>
  </si>
  <si>
    <t>ARL Pregrado Facultad de Ingeniería</t>
  </si>
  <si>
    <t>2.1.1.02.02.005.01.01.02</t>
  </si>
  <si>
    <t>ARL Pregrado Facultad de Ciencias y Educación</t>
  </si>
  <si>
    <t>2.1.1.02.02.005.01.01.03</t>
  </si>
  <si>
    <t>ARL Pregrado Facultad de Medio Ambiente y Recursos Naturales</t>
  </si>
  <si>
    <t>2.1.1.02.02.005.01.01.04</t>
  </si>
  <si>
    <t>ARL Pregrado Facultad Tecnológica</t>
  </si>
  <si>
    <t>2.1.1.02.02.005.01.01.05</t>
  </si>
  <si>
    <t>ARL Pregrado Facultad Artes ASAB</t>
  </si>
  <si>
    <t>2.1.1.02.02.005.01.01.06</t>
  </si>
  <si>
    <t>ARL Pregrado Ilud</t>
  </si>
  <si>
    <t>2.1.1.02.02.005.01.01.07</t>
  </si>
  <si>
    <t>ARL Pregrado Facultad de Ciencias Matemáticas y Naturales</t>
  </si>
  <si>
    <t>2.1.1.02.02.005.01.01.08</t>
  </si>
  <si>
    <t>ARL Pregrado Facultad de Ciencias de la Salud</t>
  </si>
  <si>
    <t>2.1.1.02.02.005.01.02</t>
  </si>
  <si>
    <t>Aportes generales al sistema de riesgos laborales públicos posgrado</t>
  </si>
  <si>
    <t>2.1.1.02.02.005.01.02.01</t>
  </si>
  <si>
    <t>ARL Posgrado Facultad de Ingeniería</t>
  </si>
  <si>
    <t>2.1.1.02.02.005.01.02.02</t>
  </si>
  <si>
    <t>ARL Posgrado Facultad de Ciencias y Educación</t>
  </si>
  <si>
    <t>2.1.1.02.02.005.01.02.03</t>
  </si>
  <si>
    <t>ARL Posgrado Facultad de Medio Ambiente y Recursos Naturales</t>
  </si>
  <si>
    <t>2.1.1.02.02.005.01.02.04</t>
  </si>
  <si>
    <t>ARL Posgrado Facultad Tecnológica</t>
  </si>
  <si>
    <t>2.1.1.02.02.005.01.02.05</t>
  </si>
  <si>
    <t>ARL Posgrado Facultad Artes ASAB</t>
  </si>
  <si>
    <t>2.1.1.02.02.005.01.02.06</t>
  </si>
  <si>
    <t>ARL Posgrado Facultad de Ciencias Matemáticas y Naturales</t>
  </si>
  <si>
    <t>O2110202006</t>
  </si>
  <si>
    <t>2.1.1.02.02.006</t>
  </si>
  <si>
    <t>2.1.1.02.02.006.01</t>
  </si>
  <si>
    <t>Aportes al ICBF pregrado</t>
  </si>
  <si>
    <t>2.1.1.02.02.006.01.01</t>
  </si>
  <si>
    <t>ICBF Pregrado Facultad Ingeniería</t>
  </si>
  <si>
    <t>2.1.1.02.02.006.01.02</t>
  </si>
  <si>
    <t>ICBF Pregrado Facultad Ciencias y Educación</t>
  </si>
  <si>
    <t>2.1.1.02.02.006.01.03</t>
  </si>
  <si>
    <t>ICBF Pregrado Facultad Medio Ambiente y Recursos Naturales</t>
  </si>
  <si>
    <t>2.1.1.02.02.006.01.04</t>
  </si>
  <si>
    <t>ICBF Pregrado Facultad Tecnológica</t>
  </si>
  <si>
    <t>2.1.1.02.02.006.01.05</t>
  </si>
  <si>
    <t>ICBF Pregrado Facultad Artes ASAB</t>
  </si>
  <si>
    <t>2.1.1.02.02.006.01.06</t>
  </si>
  <si>
    <t>ICBF Pregrado Ilud</t>
  </si>
  <si>
    <t>2.1.1.02.02.006.01.07</t>
  </si>
  <si>
    <t>ICBF Pregrado Facultad de Ciencias Matemáticas y Naturales</t>
  </si>
  <si>
    <t>2.1.1.02.02.006.01.08</t>
  </si>
  <si>
    <t>ICBF Pregrado Facultad de Ciencias de la Salud</t>
  </si>
  <si>
    <t>2.1.1.02.02.006.02</t>
  </si>
  <si>
    <t>Aportes al ICBF posgrado</t>
  </si>
  <si>
    <t>2.1.1.02.02.006.02.01</t>
  </si>
  <si>
    <t>ICBF Posgrado Facultad Ingeniería</t>
  </si>
  <si>
    <t>2.1.1.02.02.006.02.02</t>
  </si>
  <si>
    <t>ICBF Posgrado Facultad Ciencias y Educación</t>
  </si>
  <si>
    <t>2.1.1.02.02.006.02.03</t>
  </si>
  <si>
    <t>ICBF Posgrado Facultad Medio Ambiente y Recursos Naturales</t>
  </si>
  <si>
    <t>2.1.1.02.02.006.02.04</t>
  </si>
  <si>
    <t>ICBF Posgrado Facultad Tecnológica</t>
  </si>
  <si>
    <t>2.1.1.02.02.006.02.05</t>
  </si>
  <si>
    <t>ICBF Posgrado Facultad Artes ASAB</t>
  </si>
  <si>
    <t>2.1.1.02.02.006.02.06</t>
  </si>
  <si>
    <t>ICBF Posgrado Facultad de Ciencias Matemáticas y Naturales</t>
  </si>
  <si>
    <t>O212</t>
  </si>
  <si>
    <t>2.1.2</t>
  </si>
  <si>
    <t>Adquisición de bienes y servicios</t>
  </si>
  <si>
    <t>O21201</t>
  </si>
  <si>
    <t>2.1.2.01</t>
  </si>
  <si>
    <t>Adquisición de activos no financieros</t>
  </si>
  <si>
    <t>O2120101</t>
  </si>
  <si>
    <t>2.1.2.01.01</t>
  </si>
  <si>
    <t>Activos fijos</t>
  </si>
  <si>
    <t>O2120101003</t>
  </si>
  <si>
    <t>2.1.2.01.01.003</t>
  </si>
  <si>
    <t>Maquinaria y equipo</t>
  </si>
  <si>
    <t>O212010100303</t>
  </si>
  <si>
    <t>2.1.2.01.01.003.03</t>
  </si>
  <si>
    <t>Maquinaria de oficina, contabilidad e informática</t>
  </si>
  <si>
    <t>O21201010030302</t>
  </si>
  <si>
    <t>2.1.2.01.01.003.03.02</t>
  </si>
  <si>
    <t>Maquinaria de informática y sus partes, piezas y accesorios</t>
  </si>
  <si>
    <t>O2120101004</t>
  </si>
  <si>
    <t>2.1.2.01.01.004</t>
  </si>
  <si>
    <t>Activos fijos no clasificados como maquinaria y equipo</t>
  </si>
  <si>
    <t>O212010100401</t>
  </si>
  <si>
    <t>2.1.2.01.01.004.01</t>
  </si>
  <si>
    <t>Muebles, instrumentos musicales, artículos de deporte y antigüedades</t>
  </si>
  <si>
    <t>O21201010040101</t>
  </si>
  <si>
    <t>2.1.2.01.01.004.01.01</t>
  </si>
  <si>
    <t>Muebles</t>
  </si>
  <si>
    <t>O2120101004010102</t>
  </si>
  <si>
    <t>2.1.2.01.01.004.01.01.02</t>
  </si>
  <si>
    <t>Muebles del tipo utilizado en la oficina</t>
  </si>
  <si>
    <t>2.1.2.01.01.004.01.01.02.02</t>
  </si>
  <si>
    <t>Instrumentos musicales</t>
  </si>
  <si>
    <t>Oficina de Bienestar Universitario</t>
  </si>
  <si>
    <t>2.1.2.01.01.004.01.01.02.03</t>
  </si>
  <si>
    <t>Artículos de deporte</t>
  </si>
  <si>
    <t>O2120101005</t>
  </si>
  <si>
    <t>2.1.2.01.01.005</t>
  </si>
  <si>
    <t>Otros activos fijos</t>
  </si>
  <si>
    <t>O212010100502</t>
  </si>
  <si>
    <t>2.1.2.01.01.005.02</t>
  </si>
  <si>
    <t>Productos de la propiedad intelectual</t>
  </si>
  <si>
    <t>O21201010050203</t>
  </si>
  <si>
    <t>2.1.2.01.01.005.02.03</t>
  </si>
  <si>
    <t>Programas de informática y bases de datos</t>
  </si>
  <si>
    <t>O2120101005020301</t>
  </si>
  <si>
    <t>2.1.2.01.01.005.02.03.01</t>
  </si>
  <si>
    <t>Programas de informática</t>
  </si>
  <si>
    <t>2.1.2.01.01.005.02.03.01.01</t>
  </si>
  <si>
    <t>Paquetes de software</t>
  </si>
  <si>
    <t>Programa Red de Datos UDNET</t>
  </si>
  <si>
    <t>Proyecto de Publicaciones</t>
  </si>
  <si>
    <t>Proyecto de Contabilidad</t>
  </si>
  <si>
    <t>Oficina Asesora de Tecnologías e Información</t>
  </si>
  <si>
    <t>O21202</t>
  </si>
  <si>
    <t>2.1.2.02</t>
  </si>
  <si>
    <t>Adquisiciones diferentes de activos</t>
  </si>
  <si>
    <t>O2120201</t>
  </si>
  <si>
    <t>2.1.2.02.01</t>
  </si>
  <si>
    <t>Materiales y suministros</t>
  </si>
  <si>
    <t>O2120201002</t>
  </si>
  <si>
    <t>2.1.2.02.01.002</t>
  </si>
  <si>
    <t>Productos alimenticios, bebidas y tabaco; textiles, prendas de vestir y productos de cuero</t>
  </si>
  <si>
    <t>O212020100208</t>
  </si>
  <si>
    <t>2.1.2.02.01.002.08</t>
  </si>
  <si>
    <t>Tejido de punto o ganchillo; prendas de vestir</t>
  </si>
  <si>
    <t>O2120201002082823609</t>
  </si>
  <si>
    <t>2.1.2.02.01.002.08.2823609</t>
  </si>
  <si>
    <t>Uniformes de Trabajo</t>
  </si>
  <si>
    <t>O2120201003</t>
  </si>
  <si>
    <t>2.1.2.02.01.003</t>
  </si>
  <si>
    <t>Otros bienes transportables (excepto productos metálicos, maquinaria y equipo)</t>
  </si>
  <si>
    <t>O212020100302</t>
  </si>
  <si>
    <t>2.1.2.02.01.003.02</t>
  </si>
  <si>
    <t>Pasta o pulpa, papel y productos de papel; impresos y artículos similares</t>
  </si>
  <si>
    <t>O2120201003023211599</t>
  </si>
  <si>
    <t>2.1.2.02.01.003.02.3211599</t>
  </si>
  <si>
    <t>Pastas o pulpas de otras fibras n.c.p. para papel</t>
  </si>
  <si>
    <t>Almacén General e Inventarios</t>
  </si>
  <si>
    <t>Proyecto de Biblioteca</t>
  </si>
  <si>
    <t>O2120201003023280005</t>
  </si>
  <si>
    <t>2.1.2.02.01.003.02.3280005</t>
  </si>
  <si>
    <t>Planchas de impresión fotograbadas y láminas zincograbadas y demás productos del fotograbado y zincograbado</t>
  </si>
  <si>
    <t>O212020100303</t>
  </si>
  <si>
    <t>2.1.2.02.01.003.03</t>
  </si>
  <si>
    <t>Productos de hornos de coque; productos de refinación de petróleo y combustible nuclear</t>
  </si>
  <si>
    <t>O2120201003033331101</t>
  </si>
  <si>
    <t>2.1.2.02.01.003.03.3331101</t>
  </si>
  <si>
    <t>Gasolina motor corriente</t>
  </si>
  <si>
    <t>Oficina de Infraestructura</t>
  </si>
  <si>
    <t>O2120201003033336103</t>
  </si>
  <si>
    <t>2.1.2.02.01.003.03.3336103</t>
  </si>
  <si>
    <t>Diésel oil ACPM (fuel gas gasoil marine gas)</t>
  </si>
  <si>
    <t>O212020100305</t>
  </si>
  <si>
    <t>2.1.2.02.01.003.05</t>
  </si>
  <si>
    <t>Otros productos químicos; fibras artificiales (o fibras industriales hechas por el hombre)</t>
  </si>
  <si>
    <t>O2120201003053526199</t>
  </si>
  <si>
    <t>2.1.2.02.01.003.05.3526199</t>
  </si>
  <si>
    <t>Otros medicamentos n.c.p. para uso humano terapéutico o profiláctico</t>
  </si>
  <si>
    <t>O212020100306</t>
  </si>
  <si>
    <t>2.1.2.02.01.003.06</t>
  </si>
  <si>
    <t>Productos de caucho y plástico</t>
  </si>
  <si>
    <t>O2120201003063691002</t>
  </si>
  <si>
    <t>2.1.2.02.01.003.06.3691002</t>
  </si>
  <si>
    <t>Recubrimientos de material plástico para pisos</t>
  </si>
  <si>
    <t>O2120201003063699046</t>
  </si>
  <si>
    <t>2.1.2.02.01.003.06.3699046</t>
  </si>
  <si>
    <t>Señales en material plástico</t>
  </si>
  <si>
    <t>O2120201003063699060</t>
  </si>
  <si>
    <t>2.1.2.02.01.003.06.3699060</t>
  </si>
  <si>
    <t>Cartuchos plásticos para impresora de computador</t>
  </si>
  <si>
    <t>O212020100308</t>
  </si>
  <si>
    <t>2.1.2.02.01.003.08</t>
  </si>
  <si>
    <t>Muebles, otros bienes transportables N.C.P.</t>
  </si>
  <si>
    <t>O2120201003083899997</t>
  </si>
  <si>
    <t>2.1.2.02.01.003.08.3899997</t>
  </si>
  <si>
    <t>Artículos n.c.p. para protección</t>
  </si>
  <si>
    <t>O2120201004</t>
  </si>
  <si>
    <t>2.1.2.02.01.004</t>
  </si>
  <si>
    <t>Productos metálicos y paquetes de software</t>
  </si>
  <si>
    <t>O212020100402</t>
  </si>
  <si>
    <t>2.1.2.02.01.004.02</t>
  </si>
  <si>
    <t>Productos metálicos elaborados (excepto maquinaria y equipo)</t>
  </si>
  <si>
    <t>O2120201004024292199</t>
  </si>
  <si>
    <t>2.1.2.02.01.004.02.4292199</t>
  </si>
  <si>
    <t>Herramientas de mano</t>
  </si>
  <si>
    <t>O2120201004024299989</t>
  </si>
  <si>
    <t>2.1.2.02.01.004.02.4299989</t>
  </si>
  <si>
    <t>Articulos n.c.p. de metal moldeado</t>
  </si>
  <si>
    <t>O2120201004024299991</t>
  </si>
  <si>
    <t>2.1.2.02.01.004.02.4299991</t>
  </si>
  <si>
    <t>Artículos n.c.p. de ferretería y cerrajería</t>
  </si>
  <si>
    <t>O212020100404</t>
  </si>
  <si>
    <t>2.1.2.02.01.004.04</t>
  </si>
  <si>
    <t>Maquinaria para usos especiales</t>
  </si>
  <si>
    <t>O2120201004044481708</t>
  </si>
  <si>
    <t>2.1.2.02.01.004.04.4481708</t>
  </si>
  <si>
    <t>Calentadores de agua instantáneos o de acumulación y calentadores de inmersión, aparatos eléctricos de calefacción de espacios y aparatos eléctricos de calefacción del suelo, hornos, cocinillas, planchas de cocina, calentadores eléctricos anulares, parrillas y asadores</t>
  </si>
  <si>
    <t>Oficina de Bienestar Institucional</t>
  </si>
  <si>
    <t>O212020100405</t>
  </si>
  <si>
    <t>2.1.2.02.01.004.05</t>
  </si>
  <si>
    <t>O2120201004054516099</t>
  </si>
  <si>
    <t>2.1.2.02.01.004.05.4516099</t>
  </si>
  <si>
    <t>Máquinas y material de oficina n.c.p.</t>
  </si>
  <si>
    <t>O212020100407</t>
  </si>
  <si>
    <t>2.1.2.02.01.004.07</t>
  </si>
  <si>
    <t>Equipo y aparatos de radio, televisión y comunicaciones</t>
  </si>
  <si>
    <t>O2120201004074721201</t>
  </si>
  <si>
    <t>2.1.2.02.01.004.07.4721201</t>
  </si>
  <si>
    <t>Equipos transmisores de radiodifusión</t>
  </si>
  <si>
    <t>O2120201004074733004</t>
  </si>
  <si>
    <t>2.1.2.02.01.004.07.4733004</t>
  </si>
  <si>
    <t>Micrófonos y sus soportes, altavoces, auriculares, audífonos y conjuntos combinados de micrófono/altavoz, amplificadores eléctricos de audiofrecuencia, equipos eléctricos para amplificación de sonido</t>
  </si>
  <si>
    <t>O2120202</t>
  </si>
  <si>
    <t>2.1.2.02.02</t>
  </si>
  <si>
    <t>Adquisición de servicios</t>
  </si>
  <si>
    <t>O2120202005</t>
  </si>
  <si>
    <t>2.1.2.02.02.005</t>
  </si>
  <si>
    <t>Servicios de la construcción</t>
  </si>
  <si>
    <t>O212020200504</t>
  </si>
  <si>
    <t>2.1.2.02.02.005.04</t>
  </si>
  <si>
    <t>Servicios de construcción</t>
  </si>
  <si>
    <t>O21202020050407</t>
  </si>
  <si>
    <t>2.1.2.02.02.005.04.07</t>
  </si>
  <si>
    <t>Servicios de terminación y acabado de edificios</t>
  </si>
  <si>
    <t>O2120202005040754710</t>
  </si>
  <si>
    <t>2.1.2.02.02.005.04.07.54710</t>
  </si>
  <si>
    <t>Servicios de instalación de vidrios y ventanas</t>
  </si>
  <si>
    <t>O2120202006</t>
  </si>
  <si>
    <t>2.1.2.02.02.006</t>
  </si>
  <si>
    <t>Servicios de alojamiento; servicios de suministro de comidas y bebidas; servicios de transporte; y servicios de distribución de electricidad, gas y agua</t>
  </si>
  <si>
    <t>O212020200603</t>
  </si>
  <si>
    <t>2.1.2.02.02.006.03</t>
  </si>
  <si>
    <t>Alojamiento; servicios de suministros de comidas y bebidas</t>
  </si>
  <si>
    <t>O21202020060363290</t>
  </si>
  <si>
    <t>2.1.2.02.02.006.03.63290</t>
  </si>
  <si>
    <t>Todos los demás servicios de alojamiento en habitaciones o unidades</t>
  </si>
  <si>
    <t>2.1.2.02.02.006.03.63290.01</t>
  </si>
  <si>
    <t>Facultad de Ingeniería</t>
  </si>
  <si>
    <t>Facultad de Ciencias y Educación</t>
  </si>
  <si>
    <t>Facultad del Medio Ambiente y Recursos Naturales</t>
  </si>
  <si>
    <t>Facultad Tecnológica</t>
  </si>
  <si>
    <t>Facultad de Artes - ASAB</t>
  </si>
  <si>
    <t>Facultad de Ciencias Matemáticas y Naturales</t>
  </si>
  <si>
    <t>Facultad Ciencias de la Salud</t>
  </si>
  <si>
    <t>Programa de Relaciones lnternacionales e Interinstitucionales</t>
  </si>
  <si>
    <t>Instituto para la Pedagogía, la Paz y el Conflicto Urbano - IPAZUD</t>
  </si>
  <si>
    <t>Secretaria General</t>
  </si>
  <si>
    <t xml:space="preserve">Vicerrectoría Académica               </t>
  </si>
  <si>
    <t>Rectoría</t>
  </si>
  <si>
    <t>O21202020060363399</t>
  </si>
  <si>
    <t>2.1.2.02.02.006.03.63399</t>
  </si>
  <si>
    <t>Otros servicios de suministro de comidas</t>
  </si>
  <si>
    <t>2.1.2.02.02.006.03.63399.01</t>
  </si>
  <si>
    <t>Apoyo alimentario</t>
  </si>
  <si>
    <t>O212020200604</t>
  </si>
  <si>
    <t>2.1.2.02.02.006.04</t>
  </si>
  <si>
    <t>Servicios de transporte de pasajeros</t>
  </si>
  <si>
    <t>O21202020060464112</t>
  </si>
  <si>
    <t>2.1.2.02.02.006.04.64112</t>
  </si>
  <si>
    <t>Servicios de transporte terrestre local regular de pasajeros</t>
  </si>
  <si>
    <t>O21202020060464220</t>
  </si>
  <si>
    <t>2.1.2.02.02.006.04.64220</t>
  </si>
  <si>
    <t>Servicios de transporte terrestre de pasajeros, diferente del transporte local y turístico de pasajeros</t>
  </si>
  <si>
    <t>O21202020060464241</t>
  </si>
  <si>
    <t>2.1.2.02.02.006.04.64241</t>
  </si>
  <si>
    <t>Servicios de transporte aéreo de pasajeros, excepto los servicios de aerotaxi</t>
  </si>
  <si>
    <t>Vicerrectoría Administrativa y Financiera</t>
  </si>
  <si>
    <t>O212020200605</t>
  </si>
  <si>
    <t>2.1.2.02.02.006.05</t>
  </si>
  <si>
    <t>Servicios de transporte de carga</t>
  </si>
  <si>
    <t>O21202020060565115</t>
  </si>
  <si>
    <t>2.1.2.02.02.006.05.65115</t>
  </si>
  <si>
    <t>Servicios de mudanza de muebles domésticos y de oficina y otros menajes</t>
  </si>
  <si>
    <t>O212020200608</t>
  </si>
  <si>
    <t>2.1.2.02.02.006.08</t>
  </si>
  <si>
    <t>Servicios postales y de mensajería</t>
  </si>
  <si>
    <t>O21202020060868021</t>
  </si>
  <si>
    <t>2.1.2.02.02.006.0868021</t>
  </si>
  <si>
    <t>Servicios locales de mensajería nacional</t>
  </si>
  <si>
    <t>O2120202007</t>
  </si>
  <si>
    <t>2.1.2.02.02.007</t>
  </si>
  <si>
    <t>Servicios financieros y servicios conexos, servicios inmobiliarios y servicios de leasing</t>
  </si>
  <si>
    <t>O212020200701</t>
  </si>
  <si>
    <t>2.1.2.02.02.007.01</t>
  </si>
  <si>
    <t>Servicios financieros y servicios conexos</t>
  </si>
  <si>
    <t>O21202020070103</t>
  </si>
  <si>
    <t>2.1.2.02.02.007.01.03</t>
  </si>
  <si>
    <t>Servicios de seguros y pensiones (excepto los servicios de reaseguro y de seguridad social de afiliación obligatoria)</t>
  </si>
  <si>
    <t>O2120202007010303</t>
  </si>
  <si>
    <t>2.1.2.02.02.007.01.03.03</t>
  </si>
  <si>
    <t>Servicios de seguros sociales de protección de otros riesgos sociales (excepto los servicios de seguridad social de afiliación obligatoria)</t>
  </si>
  <si>
    <t>2.1.2.02.02.007.01.03.03.71331</t>
  </si>
  <si>
    <t>Afiliación ARL Estudiantes en pasantía y Contratistas</t>
  </si>
  <si>
    <t>O2120202007010304</t>
  </si>
  <si>
    <t>2.1.2.02.02.007.01.03.04</t>
  </si>
  <si>
    <t>Servicios de seguros de salud y de accidentes</t>
  </si>
  <si>
    <t>O212020200701030471346</t>
  </si>
  <si>
    <t>2.1.2.02.02.007.01.03.04.71346</t>
  </si>
  <si>
    <t>Servicios de planes complementarios de salud</t>
  </si>
  <si>
    <t>O212020200701030471347</t>
  </si>
  <si>
    <t>2.1.2.02.02.007.01.03.04.71347</t>
  </si>
  <si>
    <t>Servicio de seguro obligatorio de accidentes de tránsito (SOAT)</t>
  </si>
  <si>
    <t>O2120202007010305</t>
  </si>
  <si>
    <t>2.1.2.02.02.007.01.03.05</t>
  </si>
  <si>
    <t>Otros servicios de seguros distintos a los seguros de vida (excepto los servicios de reaseguro)</t>
  </si>
  <si>
    <t>O212020200701030571351</t>
  </si>
  <si>
    <t>2.1.2.02.02.007.01.03.05.71351</t>
  </si>
  <si>
    <t>Servicios de seguros de vehículos automotores</t>
  </si>
  <si>
    <t>O212020200701030571354</t>
  </si>
  <si>
    <t>2.1.2.02.02.007.01.03.05.71354</t>
  </si>
  <si>
    <t>Servicios de seguros contra incendio, terremoto o sustracción</t>
  </si>
  <si>
    <t>O212020200701030571355</t>
  </si>
  <si>
    <t>2.1.2.02.02.007.01.03.05.71355</t>
  </si>
  <si>
    <t>Servicios de seguros generales de responsabilidad civil</t>
  </si>
  <si>
    <t>O21202020070106</t>
  </si>
  <si>
    <t>2.1.2.02.02.007.01.06</t>
  </si>
  <si>
    <t>Servicios auxiliares de seguros, pensiones y cesantías</t>
  </si>
  <si>
    <t>O2120202007010671630</t>
  </si>
  <si>
    <t>2.1.2.02.02.007.01.06.71630</t>
  </si>
  <si>
    <t>Servicios actuariales</t>
  </si>
  <si>
    <t>O212020200702</t>
  </si>
  <si>
    <t>2.1.2.02.02.007.02</t>
  </si>
  <si>
    <t>Servicios inmobiliarios</t>
  </si>
  <si>
    <t>O21202020070272112</t>
  </si>
  <si>
    <t>2.1.2.02.02.007.02.72112</t>
  </si>
  <si>
    <t>Servicios de alquiler o arrendamiento con o sin opción de compra, relativos a bienes inmuebles no residenciales (diferentes a vivienda), propios o arrendados</t>
  </si>
  <si>
    <t>Programa Emisora LAUD</t>
  </si>
  <si>
    <t>Facultad Ciencias y Educación</t>
  </si>
  <si>
    <t>Programa de Quejas, Reclamos y Atención al Ciudadano</t>
  </si>
  <si>
    <t>O21202020070272240</t>
  </si>
  <si>
    <t>2.1.2.02.02.007.02.72240</t>
  </si>
  <si>
    <t>Servicios de avalúo inmobiliario a comisión o por contrato</t>
  </si>
  <si>
    <t>O212020200703</t>
  </si>
  <si>
    <t>2.1.2.02.02.007.03</t>
  </si>
  <si>
    <t>Servicios de arrendamiento o alquiler sin operario</t>
  </si>
  <si>
    <t>O21202020070373290</t>
  </si>
  <si>
    <t>2.1.2.02.02.007.03.73290</t>
  </si>
  <si>
    <t>Servicios de arrendamiento o alquiler de otros productos n.c.p.</t>
  </si>
  <si>
    <t>O2120202008</t>
  </si>
  <si>
    <t>2.1.2.02.02.008</t>
  </si>
  <si>
    <t xml:space="preserve">Servicios prestados a las empresas y servicios de producción </t>
  </si>
  <si>
    <t>O212020200801</t>
  </si>
  <si>
    <t>2.1.2.02.02.008.01</t>
  </si>
  <si>
    <t>Servicios de investigación y desarrollo</t>
  </si>
  <si>
    <t>O21202020080181302</t>
  </si>
  <si>
    <t>2.1.2.02.02.008.01.81302</t>
  </si>
  <si>
    <t>Servicios interdisciplinarios de investigación aplicada - Pares Académicos</t>
  </si>
  <si>
    <t>Oficina de Investigaciones</t>
  </si>
  <si>
    <t>Facultad de Medio Ambiente y Recursos Naturales</t>
  </si>
  <si>
    <t>Vicerrectoría Académica</t>
  </si>
  <si>
    <t>O212020200802</t>
  </si>
  <si>
    <t>2.1.2.02.02.008.02</t>
  </si>
  <si>
    <t>Servicios jurídicos y contables</t>
  </si>
  <si>
    <t>O21202020080282120</t>
  </si>
  <si>
    <t>2.1.2.02.02.008.02.82120</t>
  </si>
  <si>
    <t>Servicios de asesoramiento y representación jurídica relativos a otros campos del derecho</t>
  </si>
  <si>
    <t>O21202020080282130</t>
  </si>
  <si>
    <t>2.1.2.02.02.008.02.82130</t>
  </si>
  <si>
    <t>Servicios de documentación y certificación jurídica</t>
  </si>
  <si>
    <t>Oficina Financiera</t>
  </si>
  <si>
    <t>O21202020080282191</t>
  </si>
  <si>
    <t>2.1.2.02.02.008.02.82191</t>
  </si>
  <si>
    <t>Servicios de arbitraje y conciliación</t>
  </si>
  <si>
    <t>O21202020080282199</t>
  </si>
  <si>
    <t>2.1.2.02.02.008.02.82199</t>
  </si>
  <si>
    <t>Otros servicios jurídicos n.c.p.</t>
  </si>
  <si>
    <t>Oficina de Control Interno Disciplinario</t>
  </si>
  <si>
    <t>Oficina Asesora Jurídica</t>
  </si>
  <si>
    <t>O212020200803</t>
  </si>
  <si>
    <t>2.1.2.02.02.008.03</t>
  </si>
  <si>
    <t>Servicios profesionales, científicos y técnicos (excepto los servicios de investigación, urbanismo, jurídicos y de contabilidad)</t>
  </si>
  <si>
    <t>O212020200803831</t>
  </si>
  <si>
    <t>2.1.2.02.02.008.03.831</t>
  </si>
  <si>
    <t>Servicios de consultoría en administración y servicios de gestión, servicios de tecnología de la información</t>
  </si>
  <si>
    <t>O21202020080383115</t>
  </si>
  <si>
    <t>2.1.2.02.02.008.03.83115</t>
  </si>
  <si>
    <t>Servicios de consultoría en gestión administrativa</t>
  </si>
  <si>
    <t>2.1.2.02.02.008.03.83115.01</t>
  </si>
  <si>
    <t>Servicios de consultoría en gestión administrativa - Asistentes Académicos</t>
  </si>
  <si>
    <t>2.1.2.02.02.008.03.83115.02</t>
  </si>
  <si>
    <t>Servicios de consultoría en gestión administrativa -  Incentivos Coordinadores</t>
  </si>
  <si>
    <t>2.1.2.02.02.008.03.83115.03</t>
  </si>
  <si>
    <t>Servicios de consultoría en gestión administrativa - Contratistas Facultad de Artes Asab</t>
  </si>
  <si>
    <t>Facultad de Artes Asab</t>
  </si>
  <si>
    <t>2.1.2.02.02.008.03.83115.04</t>
  </si>
  <si>
    <t>Servicios de consultoría en gestión administrativa - Contratistas Facultad de Ciencias y Educación</t>
  </si>
  <si>
    <t>2.1.2.02.02.008.03.83115.05</t>
  </si>
  <si>
    <t>Servicios de consultoría en gestión administrativa - Contratistas Facultad de Ingeniería</t>
  </si>
  <si>
    <t>2.1.2.02.02.008.03.83115.06</t>
  </si>
  <si>
    <t>Servicios de consultoría en gestión administrativa - Contratistas Facultad de Medio Ambiente y Recursos Naturales</t>
  </si>
  <si>
    <t>2.1.2.02.02.008.03.83115.07</t>
  </si>
  <si>
    <t>Servicios de consultoría en gestión administrativa - Contratistas Facultad Tecnológica</t>
  </si>
  <si>
    <t>2.1.2.02.02.008.03.83115.08</t>
  </si>
  <si>
    <t>Servicios de consultoría en gestión administrativa - Contratistas Unidades Académicas</t>
  </si>
  <si>
    <t>Observatorio Laboral</t>
  </si>
  <si>
    <t>Docencia y evaluación docente</t>
  </si>
  <si>
    <t>Comité Institucional de Currículo y Calidad</t>
  </si>
  <si>
    <t>Comité de PLANESTIC</t>
  </si>
  <si>
    <t>Programa de Registro y Control Académico</t>
  </si>
  <si>
    <t>Instituto de Estudios e Investigaciones Educativas - IEIE</t>
  </si>
  <si>
    <t>2.1.2.02.02.008.03.83115.09</t>
  </si>
  <si>
    <t>Servicios de consultoría en gestión administrativa - Contratistas Unidades Administrativas</t>
  </si>
  <si>
    <t>Oficina de Control Interno</t>
  </si>
  <si>
    <t>Proyecto de Actas, Archivo y Microfilmación</t>
  </si>
  <si>
    <t>Oficina Asesora de Planeación</t>
  </si>
  <si>
    <t>Proyecto de Presupuesto</t>
  </si>
  <si>
    <t>Tesorería General</t>
  </si>
  <si>
    <t>Oficina de Contratación</t>
  </si>
  <si>
    <t>2.1.2.02.02.008.03.83115.10</t>
  </si>
  <si>
    <t xml:space="preserve">Servicios de consultoría en gestión administrativa - Contratistas Rectoría </t>
  </si>
  <si>
    <t>Emisora LAUD Estéreo</t>
  </si>
  <si>
    <t>2.1.2.02.02.008.03.83115.11</t>
  </si>
  <si>
    <t>Servicios de consultoría en gestión administrativa - Oficina de Investigaciones</t>
  </si>
  <si>
    <t>2.1.2.02.02.008.03.83115.12</t>
  </si>
  <si>
    <t>Servicios de consultoría en gestión administrativa - Contratistas Facultad Ciencias Matemáticas y Naturales</t>
  </si>
  <si>
    <t>2.1.2.02.02.008.03.83115.13</t>
  </si>
  <si>
    <t>Servicios de consultoría en gestión administrativa - Contratistas Doctorados</t>
  </si>
  <si>
    <t>Doctorado en Estudios Artísticos</t>
  </si>
  <si>
    <t xml:space="preserve">Doctorado en Estudios sociales </t>
  </si>
  <si>
    <t>Doctorado en Ingeniería</t>
  </si>
  <si>
    <t>Doctorado en Ambiente e Ingeniería Sustentable</t>
  </si>
  <si>
    <t>2.1.2.02.02.008.03.83115.14</t>
  </si>
  <si>
    <t>Servicios de consultoría en gestión administrativa - Contratistas Facultad Ciencias de la Salud</t>
  </si>
  <si>
    <t>Facultad de Ciencias de la Salud</t>
  </si>
  <si>
    <t>2.1.2.02.02.008.03.83115.15</t>
  </si>
  <si>
    <t>Servicios de consultoría en gestión administrativa - Contratistas Oficina de Bienestar Universitario</t>
  </si>
  <si>
    <t>Grupo de Egresados</t>
  </si>
  <si>
    <t>O2120202008038313</t>
  </si>
  <si>
    <t>2.1.2.02.02.008.03.8313</t>
  </si>
  <si>
    <t>Servicios de consultoría y soporte en tecnologías de la información (TI)</t>
  </si>
  <si>
    <t>O21202020080383131</t>
  </si>
  <si>
    <t>2.1.2.02.02.008.03.83131</t>
  </si>
  <si>
    <t>Servicios de consultoría en tecnologías de la información (TI)</t>
  </si>
  <si>
    <t>O21202020080383132</t>
  </si>
  <si>
    <t>2.1.2.02.02.008.03.83132</t>
  </si>
  <si>
    <t>Servicios de soporte en tecnologías de la información (TI)</t>
  </si>
  <si>
    <t>O212020200803834</t>
  </si>
  <si>
    <t>2.1.2.02.02.008.03.834</t>
  </si>
  <si>
    <t>Servicios científicos y otros servicios técnicos</t>
  </si>
  <si>
    <t>O21202020080383449</t>
  </si>
  <si>
    <t>2.1.2.02.02.008.03.83449</t>
  </si>
  <si>
    <t>Otros servicios de ensayos y análisis técnicos</t>
  </si>
  <si>
    <t>O212020200803836</t>
  </si>
  <si>
    <t>2.1.2.02.02.008.03.836</t>
  </si>
  <si>
    <t>Servicios de publicidad y suministro de espacio o tiempo publicitario</t>
  </si>
  <si>
    <t>O21202020080383619</t>
  </si>
  <si>
    <t>2.1.2.02.02.008.03.83619</t>
  </si>
  <si>
    <t>Otros servicios de publicidad</t>
  </si>
  <si>
    <t>O21202020080383620</t>
  </si>
  <si>
    <t>2.1.2.02.02.008.03.83620</t>
  </si>
  <si>
    <t>Servicios de venta o alquiler de espacio o tiempo publicitario a comisión</t>
  </si>
  <si>
    <t>Rectoria</t>
  </si>
  <si>
    <t>O21202020080383639</t>
  </si>
  <si>
    <t>2.1.2.02.02.008.03.83639</t>
  </si>
  <si>
    <t>Otros servicios de venta de espacio o tiempo publicitario (excepto a comisión)</t>
  </si>
  <si>
    <t>O212020200804</t>
  </si>
  <si>
    <t>2.1.2.02.02.008.04</t>
  </si>
  <si>
    <t>Servicios de telecomunicaciones, transmisión y suministro de información</t>
  </si>
  <si>
    <t>O212020200804841</t>
  </si>
  <si>
    <t>2.1.2.02.02.008.04.841</t>
  </si>
  <si>
    <t>Servicios de telefonía y otros servicios de telecomunicaciones</t>
  </si>
  <si>
    <t>O21202020080484110</t>
  </si>
  <si>
    <t>2.1.2.02.02.008.04.84110</t>
  </si>
  <si>
    <t>Servicios de operadores (conexión)</t>
  </si>
  <si>
    <t>O21202020080484120</t>
  </si>
  <si>
    <t>2.1.2.02.02.008.04.84120</t>
  </si>
  <si>
    <t>Servicios de telefonía fija (acceso)</t>
  </si>
  <si>
    <t>O212020200804842</t>
  </si>
  <si>
    <t>2.1.2.02.02.008.04.842</t>
  </si>
  <si>
    <t>Servicios de telecomunicaciones vía Internet</t>
  </si>
  <si>
    <t>O21202020080484222</t>
  </si>
  <si>
    <t>2.1.2.02.02.008.04.84222</t>
  </si>
  <si>
    <t>Servicios de acceso a Internet</t>
  </si>
  <si>
    <t>O212020200804846</t>
  </si>
  <si>
    <t>2.1.2.02.02.008.04.846</t>
  </si>
  <si>
    <t>Servicios de transmisión, programación y distribución de programas</t>
  </si>
  <si>
    <t>O21202020080484611</t>
  </si>
  <si>
    <t>2.1.2.02.02.008.04.84611</t>
  </si>
  <si>
    <t>Servicios de transmisión de programas de radio</t>
  </si>
  <si>
    <t>O21202020080484633</t>
  </si>
  <si>
    <t>2.1.2.02.02.008.04.84633</t>
  </si>
  <si>
    <t xml:space="preserve">Servicios de distribución de programas multicanal, en paquete básico de programación </t>
  </si>
  <si>
    <t>O212020200805</t>
  </si>
  <si>
    <t>2.1.2.02.02.008.05</t>
  </si>
  <si>
    <t>Servicios de soporte</t>
  </si>
  <si>
    <t>O212020200805852</t>
  </si>
  <si>
    <t>2.1.2.02.02.008.05.852</t>
  </si>
  <si>
    <t>Servicios de investigación y seguridad</t>
  </si>
  <si>
    <t>O21202020080585230</t>
  </si>
  <si>
    <t>2.1.2.02.02.008.05.85230</t>
  </si>
  <si>
    <t>Servicios de sistemas de seguridad</t>
  </si>
  <si>
    <t>O21202020080585250</t>
  </si>
  <si>
    <t>2.1.2.02.02.008.05.85250</t>
  </si>
  <si>
    <t>Servicios de protección (guardas de seguridad)</t>
  </si>
  <si>
    <t>O212020200805853</t>
  </si>
  <si>
    <t>2.1.2.02.02.008.05.853</t>
  </si>
  <si>
    <t>Servicios de limpieza</t>
  </si>
  <si>
    <t>O21202020080585310</t>
  </si>
  <si>
    <t>2.1.2.02.02.008.05.85310</t>
  </si>
  <si>
    <t>Servicios de desinfección y exterminación</t>
  </si>
  <si>
    <t>O21202020080585330</t>
  </si>
  <si>
    <t>2.1.2.02.02.008.05.85330</t>
  </si>
  <si>
    <t>Servicios de limpieza general</t>
  </si>
  <si>
    <t>O21202020080585340</t>
  </si>
  <si>
    <t>2.1.2.02.02.008.05.85340</t>
  </si>
  <si>
    <t>Servicios especializados de limpieza</t>
  </si>
  <si>
    <t>O212020200805859</t>
  </si>
  <si>
    <t>2.1.2.02.02.008.05.859</t>
  </si>
  <si>
    <t>Otros servicios auxiliares</t>
  </si>
  <si>
    <t>O2120202008058595</t>
  </si>
  <si>
    <t>2.1.2.02.02.008.05.8595</t>
  </si>
  <si>
    <t>Servicios auxiliares especializados de oficina</t>
  </si>
  <si>
    <t>O21202020080585954</t>
  </si>
  <si>
    <t>2.1.2.02.02.008.05.85954</t>
  </si>
  <si>
    <t>Servicios de preparación de documentos y otros servicios especializados de apoyo a oficina</t>
  </si>
  <si>
    <t>O2120202008058596</t>
  </si>
  <si>
    <t>2.1.2.02.02.008.05.8596</t>
  </si>
  <si>
    <t>Servicios de organización y asistencia de convenciones y ferias</t>
  </si>
  <si>
    <t>O21202020080585961</t>
  </si>
  <si>
    <t>2.1.2.02.02.008.05.85961</t>
  </si>
  <si>
    <t xml:space="preserve">Servicios de organización y asistencia de convenciones </t>
  </si>
  <si>
    <t>2.1.2.02.02.008.05.85961.01</t>
  </si>
  <si>
    <t>Programa Centro de Relaciones lnterinstitucionales (CERI)</t>
  </si>
  <si>
    <t>2.1.2.02.02.008.05.85961.02</t>
  </si>
  <si>
    <t>Membresías</t>
  </si>
  <si>
    <t>O2120202008058597</t>
  </si>
  <si>
    <t>2.1.2.02.02.008.05.8597</t>
  </si>
  <si>
    <t>Servicios de mantenimiento y cuidado del paisaje</t>
  </si>
  <si>
    <t>O21202020080585970</t>
  </si>
  <si>
    <t>2.1.2.02.02.008.05.85970</t>
  </si>
  <si>
    <t>O212020200806</t>
  </si>
  <si>
    <t>2.1.2.02.02.008.06</t>
  </si>
  <si>
    <t>Servicios de apoyo y de operación para la agricultura, la caza, la silvicultura, la pesca, la minería y los servicios públicos</t>
  </si>
  <si>
    <t>O212020200806863</t>
  </si>
  <si>
    <t>2.1.2.02.02.008.06.863</t>
  </si>
  <si>
    <t>Servicios de apoyo y de operación para la distribución de electricidad, gas y agua</t>
  </si>
  <si>
    <t>O21202020080686312</t>
  </si>
  <si>
    <t>2.1.2.02.02.008.06.86312</t>
  </si>
  <si>
    <t>Servicios de distribución de electricidad (a comisión o por contrato)</t>
  </si>
  <si>
    <t>O21202020080686320</t>
  </si>
  <si>
    <t>2.1.2.02.02.008.06.86320</t>
  </si>
  <si>
    <t>Servicios de distribución de gas por tuberías (a comisión o por contrato)</t>
  </si>
  <si>
    <t>O21202020080686330</t>
  </si>
  <si>
    <t>2.1.2.02.02.008.06.86330</t>
  </si>
  <si>
    <t>Servicios de distribución de agua por tubería (a comisión o por contrato)</t>
  </si>
  <si>
    <t>O212020200807</t>
  </si>
  <si>
    <t>2.1.2.02.02.008.07</t>
  </si>
  <si>
    <t>Servicios de mantenimiento, reparación e instalación (excepto servicios de construcción)</t>
  </si>
  <si>
    <t>O2120202008078711</t>
  </si>
  <si>
    <t>2.1.2.02.02.008.07.8711</t>
  </si>
  <si>
    <t>Servicios de mantenimiento y reparación de productos metálicos elaborados, (excepto maquinaria y equipo)</t>
  </si>
  <si>
    <t>O2120202008078711002</t>
  </si>
  <si>
    <t>2.1.2.02.02.008.07.8711002</t>
  </si>
  <si>
    <t>Servicio de mantenimiento y reparación de depósitos, cisternas, tanques y recipientes de metal, (excepto los utilizados para el envase o transporte de mercancías)</t>
  </si>
  <si>
    <t>O2120202008078711099</t>
  </si>
  <si>
    <t>2.1.2.02.02.008.07.8711099</t>
  </si>
  <si>
    <t>Servicio de mantenimiento y reparación de otros productos metálicos elaborados n.c.p.</t>
  </si>
  <si>
    <t>O2120202008078713</t>
  </si>
  <si>
    <t>2.1.2.02.02.008.07.8713</t>
  </si>
  <si>
    <t>Servicios de mantenimiento y reparación de computadores y equipos periféricos</t>
  </si>
  <si>
    <t>O21202020080787130</t>
  </si>
  <si>
    <t>2.1.2.02.02.008.07.87130</t>
  </si>
  <si>
    <t>Programa de Biblioteca</t>
  </si>
  <si>
    <t>O2120202008078714</t>
  </si>
  <si>
    <t>2.1.2.02.02.008.07.8714</t>
  </si>
  <si>
    <t>Servicios de mantenimiento y reparación de maquinaria y equipo de transporte</t>
  </si>
  <si>
    <t>O2120202008078714102</t>
  </si>
  <si>
    <t>2.1.2.02.02.008.07.8714102</t>
  </si>
  <si>
    <t>Servicio de mantenimiento y reparación de vehículos automóviles</t>
  </si>
  <si>
    <t>O2120202008078715</t>
  </si>
  <si>
    <t>2.1.2.02.02.008.07.8715</t>
  </si>
  <si>
    <t>Servicios de mantenimiento y reparación de otra maquinaria y otro equipo</t>
  </si>
  <si>
    <t>O21202020080787151</t>
  </si>
  <si>
    <t>2.1.2.02.02.008.07.87151</t>
  </si>
  <si>
    <t>Servicios de mantenimiento y reparación de electrodomésticos</t>
  </si>
  <si>
    <t>O2120202008078715203</t>
  </si>
  <si>
    <t>2.1.2.02.02.008.07.8715203</t>
  </si>
  <si>
    <t>Servicio de mantenimiento y reparación de aparatos de distribución y control de la energía eléctrica</t>
  </si>
  <si>
    <t>O2120202008078715205</t>
  </si>
  <si>
    <t>2.1.2.02.02.008.07.8715205</t>
  </si>
  <si>
    <t>Servicio de mantenimiento y reparación de equipos eléctricos de iluminación</t>
  </si>
  <si>
    <t>O2120202008078715299</t>
  </si>
  <si>
    <t>2.1.2.02.02.008.07.8715299</t>
  </si>
  <si>
    <t>Otros servicios de mantenimiento y reparación de maquinaria y aparatos eléctricos n.c.p.</t>
  </si>
  <si>
    <t>O2120202008078715399</t>
  </si>
  <si>
    <t>2.1.2.02.02.008.07.8715399</t>
  </si>
  <si>
    <t>Servicios de mantenimiento y reparación de equipos y aparatos de telecomunicaciones n.c.p.</t>
  </si>
  <si>
    <t>O2120202008078715402</t>
  </si>
  <si>
    <t>2.1.2.02.02.008.07.8715402</t>
  </si>
  <si>
    <t>Servicio de mantenimiento y reparación de equipo de irradiación y equipo electrónico de uso médico y terapéutico</t>
  </si>
  <si>
    <t>O2120202008078715602</t>
  </si>
  <si>
    <t>2.1.2.02.02.008.07.8715602</t>
  </si>
  <si>
    <t>Servicio de mantenimiento y reparación de equipos de fuerza hidráulica y de potencia neumática, bombas, compresores y válvulas</t>
  </si>
  <si>
    <t>O2120202008078715605</t>
  </si>
  <si>
    <t>2.1.2.02.02.008.07.8715605</t>
  </si>
  <si>
    <t>Servicio de mantenimiento y reparación de equipos de elevación, manipulación y sus partes y piezas</t>
  </si>
  <si>
    <t>O2120202008078715614</t>
  </si>
  <si>
    <t>2.1.2.02.02.008.07.8715614</t>
  </si>
  <si>
    <t>Servicio de mantenimiento y reparación de maquinaria y equipo para las actividades de impresión</t>
  </si>
  <si>
    <t>O2120202008078715701</t>
  </si>
  <si>
    <t>2.1.2.02.02.008.07.8715701</t>
  </si>
  <si>
    <t>Servicio de mantenimiento y reparación de ascensores</t>
  </si>
  <si>
    <t>O2120202008078715999</t>
  </si>
  <si>
    <t>2.1.2.02.02.008.07.8715999</t>
  </si>
  <si>
    <t>Servicios de mantenimiento y reparación de otros equipos n.c.p.</t>
  </si>
  <si>
    <t>O212020200809</t>
  </si>
  <si>
    <t>2.1.2.02.02.008.09</t>
  </si>
  <si>
    <t>Otros servicios de fabricación; servicios de edición, impresión y reproducción; servicios de recuperación de materiales</t>
  </si>
  <si>
    <t>O212020200809891</t>
  </si>
  <si>
    <t>2.1.2.02.02.008.09.891</t>
  </si>
  <si>
    <t>Servicios de edición, impresión y reproducción</t>
  </si>
  <si>
    <t>O2120202008098912197</t>
  </si>
  <si>
    <t>2.1.2.02.02.008.09.8912197</t>
  </si>
  <si>
    <t>Servicios de impresión litográfica n.c.p.</t>
  </si>
  <si>
    <t>2.1.2.02.02.008.09.8912197.01</t>
  </si>
  <si>
    <t>Servicios de impresión</t>
  </si>
  <si>
    <t>2.1.2.02.02.008.09.8912197.02</t>
  </si>
  <si>
    <t>Servicios relacionados con la impresión</t>
  </si>
  <si>
    <t>Secretaría General</t>
  </si>
  <si>
    <t>O2120202009</t>
  </si>
  <si>
    <t>2.1.2.02.02.009</t>
  </si>
  <si>
    <t>Servicios para la comunidad, sociales y personales</t>
  </si>
  <si>
    <t>O212020200901</t>
  </si>
  <si>
    <t>2.1.2.02.02.009.01</t>
  </si>
  <si>
    <t>Servicios de la administración pública y otros servicios prestados a la comunidad en general; servicios de seguridad social de afiliación obligatoria</t>
  </si>
  <si>
    <t>O21202020090191119</t>
  </si>
  <si>
    <t>2.1.2.02.02.009.01.91119</t>
  </si>
  <si>
    <t>Otros servicios de la administración pública n.c.p.</t>
  </si>
  <si>
    <t>2.1.2.02.02.009.01.91119.01</t>
  </si>
  <si>
    <t>Otros servicios de la administración pública n.c.p. - Consejo Superior Universitario</t>
  </si>
  <si>
    <t>Consejo Superior Universitario</t>
  </si>
  <si>
    <t>O212020200902</t>
  </si>
  <si>
    <t>2.1.2.02.02.009.02</t>
  </si>
  <si>
    <t xml:space="preserve">Servicios de educación </t>
  </si>
  <si>
    <t>O21202020090292913</t>
  </si>
  <si>
    <t>2.1.2.02.02.009.02.92913</t>
  </si>
  <si>
    <t>Servicios de educación para la formación y el trabajo</t>
  </si>
  <si>
    <t>2.1.2.02.02.009.02.92913.01</t>
  </si>
  <si>
    <t>Capacitación Administrativos</t>
  </si>
  <si>
    <t>2.1.2.02.02.009.02.92913.02</t>
  </si>
  <si>
    <t xml:space="preserve">Capacitación Docentes </t>
  </si>
  <si>
    <t>O21202020090292920</t>
  </si>
  <si>
    <t>2.1.2.02.02.009.02.92920</t>
  </si>
  <si>
    <t>Servicios de apoyo educativo</t>
  </si>
  <si>
    <t>2.1.2.02.02.009.02.92920.01</t>
  </si>
  <si>
    <t>Estímulos académicos</t>
  </si>
  <si>
    <t>2.1.2.02.02.009.02.92920.02</t>
  </si>
  <si>
    <t>Encuentro de estudiantes</t>
  </si>
  <si>
    <t>2.1.2.02.02.009.02.92920.03</t>
  </si>
  <si>
    <t>Prácticas Académicas Facultad Artes - ASAB</t>
  </si>
  <si>
    <t>2.1.2.02.02.009.02.92920.04</t>
  </si>
  <si>
    <t>Prácticas Académicas Facultad Ciencias y Educación</t>
  </si>
  <si>
    <t>2.1.2.02.02.009.02.92920.05</t>
  </si>
  <si>
    <t>Prácticas Académicas Facultad Ingeniería</t>
  </si>
  <si>
    <t>2.1.2.02.02.009.02.92920.06</t>
  </si>
  <si>
    <t>Prácticas Académicas Facultad Medio Ambiente y Recursos Naturales</t>
  </si>
  <si>
    <t>2.1.2.02.02.009.02.92920.07</t>
  </si>
  <si>
    <t>Prácticas Académicas Facultad Tecnológica</t>
  </si>
  <si>
    <t>2.1.2.02.02.009.02.92920.09</t>
  </si>
  <si>
    <t>Prácticas Académicas Facultad de Ciencias Matemáticas y Naturales</t>
  </si>
  <si>
    <t>2.1.2.02.02.009.02.92920.10</t>
  </si>
  <si>
    <t>Prácticas Académicas Facultad de Ciencias de la Salud</t>
  </si>
  <si>
    <t>2.1.2.02.02.009.02.92920.11</t>
  </si>
  <si>
    <t>Servicios de orientación y asesoramiento de Programas de Ampliación de Cobertura</t>
  </si>
  <si>
    <t>O212020200903</t>
  </si>
  <si>
    <t>2.1.2.02.02.009.03</t>
  </si>
  <si>
    <t>Servicios para el cuidado de la salud humana y servicios sociales</t>
  </si>
  <si>
    <t>O21202020090393121</t>
  </si>
  <si>
    <t>2.1.2.02.02.009.03.93121</t>
  </si>
  <si>
    <t>Servicios médicos generales</t>
  </si>
  <si>
    <t>2.1.2.02.02.009.03.93121.01</t>
  </si>
  <si>
    <t>Sistema General de Seguridad y Salud en el Trabajo SG-SST</t>
  </si>
  <si>
    <t>O212020200904</t>
  </si>
  <si>
    <t>2.1.2.02.02.009.04</t>
  </si>
  <si>
    <t>Servicios de alcantarillado, recolección, tratamiento y disposición de desechos y otros servicios de saneamiento ambiental</t>
  </si>
  <si>
    <t>O21202020090494110</t>
  </si>
  <si>
    <t>2.1.2.02.02.009.04.94110</t>
  </si>
  <si>
    <t>Servicios de alcantarillado y tratamiento de aguas residuales</t>
  </si>
  <si>
    <t>O21202020090494219</t>
  </si>
  <si>
    <t>2.1.2.02.02.009.04.94219</t>
  </si>
  <si>
    <t>Servicios de recolección de otros desechos peligrosos</t>
  </si>
  <si>
    <t>O21202020090494239</t>
  </si>
  <si>
    <t>2.1.2.02.02.009.04.94239</t>
  </si>
  <si>
    <t>Servicios generales de recolección de otros desechos</t>
  </si>
  <si>
    <t>O212020200906</t>
  </si>
  <si>
    <t>2.1.2.02.02.009.06</t>
  </si>
  <si>
    <t>Servicios Recreativos, Culturales y Deportivos</t>
  </si>
  <si>
    <t>O212020200906961</t>
  </si>
  <si>
    <t>2.1.2.02.02.009.06.01</t>
  </si>
  <si>
    <t>Servicios audiovisuales y servicios conexos</t>
  </si>
  <si>
    <t>O21202020090696123</t>
  </si>
  <si>
    <t>2.1.2.02.02.009.06.96123</t>
  </si>
  <si>
    <t>Servicios de producciones originales de películas cinematográficas, videos, programas de televisión y radio</t>
  </si>
  <si>
    <t>O2120202010</t>
  </si>
  <si>
    <t>2.1.2.02.02.010</t>
  </si>
  <si>
    <t>Viáticos de los funcionarios en comisión</t>
  </si>
  <si>
    <t>2.1.2.02.02.010.01</t>
  </si>
  <si>
    <t>Viáticos y gastos de viaje CSU</t>
  </si>
  <si>
    <t>2.1.2.02.02.010.02</t>
  </si>
  <si>
    <t>Viáticos y gastos de viaje - UAA</t>
  </si>
  <si>
    <t>Vicerrectoria Administrativa y Financiera</t>
  </si>
  <si>
    <t>2.1.2.02.02.010.03</t>
  </si>
  <si>
    <t>Viáticos y gastos de viaje - Organizaciones Sindicales</t>
  </si>
  <si>
    <t>O213</t>
  </si>
  <si>
    <t>2.1.3</t>
  </si>
  <si>
    <t>Transferencias corrientes</t>
  </si>
  <si>
    <t>O21307</t>
  </si>
  <si>
    <t>2.1.3.07</t>
  </si>
  <si>
    <t>Prestaciones para cubrir riesgos sociales</t>
  </si>
  <si>
    <t>O2130702</t>
  </si>
  <si>
    <t>2.1.3.07.02</t>
  </si>
  <si>
    <t>Prestaciones sociales relacionadas con el empleo</t>
  </si>
  <si>
    <t>O2130702001</t>
  </si>
  <si>
    <t>2.1.3.07.02.001</t>
  </si>
  <si>
    <t>Mesadas pensionales (de pensiones)</t>
  </si>
  <si>
    <t>O213070200102</t>
  </si>
  <si>
    <t>2.1.3.07.02.001.02</t>
  </si>
  <si>
    <t>Mesadas pensionales a cargo de la entidad (de pensiones)</t>
  </si>
  <si>
    <t>O2130702002</t>
  </si>
  <si>
    <t>2.1.3.07.02.002</t>
  </si>
  <si>
    <t>Cuotas partes pensionales (de pensiones)</t>
  </si>
  <si>
    <t>O213070200202</t>
  </si>
  <si>
    <t>2.1.3.07.02.002.02</t>
  </si>
  <si>
    <t>Cuotas partes pensionales a cargo de la entidad (de pensiones)</t>
  </si>
  <si>
    <t>O2130702003</t>
  </si>
  <si>
    <t>2.1.3.07.02.003</t>
  </si>
  <si>
    <t>Bonos pensionales (de pensiones)</t>
  </si>
  <si>
    <t>O213070200302</t>
  </si>
  <si>
    <t>2.1.3.07.02.003.02</t>
  </si>
  <si>
    <t>Bonos pensionales a cargo de la entidad (de pensiones)</t>
  </si>
  <si>
    <t>O21307020030204</t>
  </si>
  <si>
    <t>2.1.3.07.02.003.02.04</t>
  </si>
  <si>
    <t>Reserva pensional</t>
  </si>
  <si>
    <t>O21313</t>
  </si>
  <si>
    <t>2.1.3.13</t>
  </si>
  <si>
    <t>Sentencias y conciliaciones</t>
  </si>
  <si>
    <t>O2131301</t>
  </si>
  <si>
    <t>2.1.3.13.01</t>
  </si>
  <si>
    <t>Fallos Nacionales</t>
  </si>
  <si>
    <t>O2131301001</t>
  </si>
  <si>
    <t>2.1.3.13.01.001</t>
  </si>
  <si>
    <t>Sentencias</t>
  </si>
  <si>
    <t>O2131301002</t>
  </si>
  <si>
    <t>2.1.3.13.01.002</t>
  </si>
  <si>
    <t>Conciliaciones</t>
  </si>
  <si>
    <t>O217</t>
  </si>
  <si>
    <t>2.1.7</t>
  </si>
  <si>
    <t>Disminución de pasivos</t>
  </si>
  <si>
    <t>O21701</t>
  </si>
  <si>
    <t>2.1.7.01</t>
  </si>
  <si>
    <t>Cesantías</t>
  </si>
  <si>
    <t>O2170101</t>
  </si>
  <si>
    <t>2.1.7.01.01</t>
  </si>
  <si>
    <t>Cesantías definitivas</t>
  </si>
  <si>
    <t>02170102</t>
  </si>
  <si>
    <t>2.1.7.01.02</t>
  </si>
  <si>
    <t>Cesantías parciales</t>
  </si>
  <si>
    <t>O218</t>
  </si>
  <si>
    <t>2.1.8</t>
  </si>
  <si>
    <t>Gastos por tributos, tasas, contribuciones, multas, sanciones e intereses de mora</t>
  </si>
  <si>
    <t>O21801</t>
  </si>
  <si>
    <t>2.1.8.01</t>
  </si>
  <si>
    <t>Impuestos</t>
  </si>
  <si>
    <t>O218011</t>
  </si>
  <si>
    <t>2.1.8.01.1</t>
  </si>
  <si>
    <t>Impuesto sobre la renta y complementarios</t>
  </si>
  <si>
    <t>O218010104</t>
  </si>
  <si>
    <t>2.1.8.01.1.4</t>
  </si>
  <si>
    <t>Gravamen a los movimientos financieros</t>
  </si>
  <si>
    <t>O218015</t>
  </si>
  <si>
    <t>2.1.8.01.5</t>
  </si>
  <si>
    <t>Impuesto al patrimonio</t>
  </si>
  <si>
    <t>O2180151</t>
  </si>
  <si>
    <t>2.1.8.01.5.001</t>
  </si>
  <si>
    <t>Impuesto sobre vehículos automotores</t>
  </si>
  <si>
    <t>O2180152</t>
  </si>
  <si>
    <t>2.1.8.01.5.002</t>
  </si>
  <si>
    <t>Impuesto predial unificado</t>
  </si>
  <si>
    <t>O21805</t>
  </si>
  <si>
    <t>2.1.8.05</t>
  </si>
  <si>
    <t>Multas, sanciones e intereses de mora</t>
  </si>
  <si>
    <t>O2180501</t>
  </si>
  <si>
    <t>2.1.8.05.01</t>
  </si>
  <si>
    <t>Multas y sanciones</t>
  </si>
  <si>
    <t>O2180501002</t>
  </si>
  <si>
    <t>2.1.8.05.01.002</t>
  </si>
  <si>
    <t>Multas judiciales</t>
  </si>
  <si>
    <t>O2180501004</t>
  </si>
  <si>
    <t>2.1.8.05.01.004</t>
  </si>
  <si>
    <t>Sanciones administrativas</t>
  </si>
  <si>
    <t>CENTRO DE COSTOS</t>
  </si>
  <si>
    <t>Doctorado lnterinstitucional en Educación</t>
  </si>
  <si>
    <t>Cátedra UNESCO en Desarrollo del Niño</t>
  </si>
  <si>
    <t>Centro de Apoyo y Desarrollo Educativo y Profesional - CADEP Acacia</t>
  </si>
  <si>
    <t>Red de Investigaciones de Tecnología Avanzada - RITA</t>
  </si>
  <si>
    <t>Instituto de Investigación e Innovación en Ingeniería - I3+</t>
  </si>
  <si>
    <t>NOMBRE</t>
  </si>
  <si>
    <t>RUBRO PRESUPUESTAL</t>
  </si>
  <si>
    <t>CÓDIGO SICAPITAL</t>
  </si>
  <si>
    <t>3-01-001-01-01-11</t>
  </si>
  <si>
    <t>3-01-001-01-01-25-0099-12</t>
  </si>
  <si>
    <t>3-01-001-01-02-03</t>
  </si>
  <si>
    <t>3-01-001-01-02-03-0001</t>
  </si>
  <si>
    <t>3-01-001-01-02-03-0001-01</t>
  </si>
  <si>
    <t>3-01-001-01-02-03-0001-02</t>
  </si>
  <si>
    <t>3-01-001-01-02-03-0001-03</t>
  </si>
  <si>
    <t>3-01-001-01-02</t>
  </si>
  <si>
    <t>3-01-001-01-03-01</t>
  </si>
  <si>
    <t>3-01-001-01-01-24-0001-01</t>
  </si>
  <si>
    <t>3-01-001-01-01-22-0012-0</t>
  </si>
  <si>
    <t>Bonificación permanente extralegal (Beneficios convencionales)</t>
  </si>
  <si>
    <t>3-01-001-01-01-25</t>
  </si>
  <si>
    <t>A9902</t>
  </si>
  <si>
    <t>3-01-001-01-02-06</t>
  </si>
  <si>
    <t>Sueldo Básico</t>
  </si>
  <si>
    <t>3-01-001-01-01-13</t>
  </si>
  <si>
    <t>3-01-001-01-01-14</t>
  </si>
  <si>
    <t>3-01-001-01-01-15</t>
  </si>
  <si>
    <t>3-01-001-01-01-17</t>
  </si>
  <si>
    <t>3-03-001-17-22-02-2024-0256</t>
  </si>
  <si>
    <t>3-03-001-17-22-02-2024-0257</t>
  </si>
  <si>
    <t>3-03-001-17-22-02-2024-0261</t>
  </si>
  <si>
    <t>3-03-001-17-22-02-2024-0279</t>
  </si>
  <si>
    <t>3-03-001-17-22-02-2024-0280</t>
  </si>
  <si>
    <t>3-03-001-17-22-02-2024-0281</t>
  </si>
  <si>
    <t>3-03-001-17-22-02-2024-0282</t>
  </si>
  <si>
    <t>3-03-001-17-22-02-2024-0283</t>
  </si>
  <si>
    <t>3-03-001-17-22-02-2024-0284</t>
  </si>
  <si>
    <t>3-03-003</t>
  </si>
  <si>
    <t>3-03-003-05</t>
  </si>
  <si>
    <t>3-03-003-05-09</t>
  </si>
  <si>
    <t>3-03-003-05-09-54</t>
  </si>
  <si>
    <t>3-03-003-05-09-54-0022</t>
  </si>
  <si>
    <t>3-03-003-05-09-54-0022-01</t>
  </si>
  <si>
    <t>3-03-003-05-09-54-0022-02</t>
  </si>
  <si>
    <t>3-03-001-17-22-02-2024</t>
  </si>
  <si>
    <t>3-03-001-17</t>
  </si>
  <si>
    <t>3-03-001-17-22</t>
  </si>
  <si>
    <t>3-03-001</t>
  </si>
  <si>
    <t>3-01-001-01-01-11-0001-00</t>
  </si>
  <si>
    <t>3-01-001-01-01-11-0002-00</t>
  </si>
  <si>
    <t>3-01-001-01-01-11-0003-00</t>
  </si>
  <si>
    <t>3-01-001-01-01-12-0001-00</t>
  </si>
  <si>
    <t>3-01-001-01-01-13-0001-00</t>
  </si>
  <si>
    <t>3-01-001-01-01-14-0000-00</t>
  </si>
  <si>
    <t>3-01-001-01-01-15-0000-00</t>
  </si>
  <si>
    <t>3-01-008-05-01-04-0000-00</t>
  </si>
  <si>
    <t>3-01-008-01-05-02-0000-00</t>
  </si>
  <si>
    <t>3-01-008-01-05-01-0000-00</t>
  </si>
  <si>
    <t>3-01-007-01-02-00-0000-00</t>
  </si>
  <si>
    <t>3-01-007-01-01-00-0000-00</t>
  </si>
  <si>
    <t>3-01-003-13-01-01-0001-00</t>
  </si>
  <si>
    <t>3-01-003-07-02-02-0002-00</t>
  </si>
  <si>
    <t>3-01-003-07-02-02</t>
  </si>
  <si>
    <t>3-01-003-07-02-12-0000-00</t>
  </si>
  <si>
    <t>3-01-003-07-02-12</t>
  </si>
  <si>
    <t>3-01-002-02-02-10-0003-00</t>
  </si>
  <si>
    <t>3-01-002-02-02-10-0002-01</t>
  </si>
  <si>
    <t>3-01-002-02-02-10-0001-00</t>
  </si>
  <si>
    <t>3-01-002-02-02-09-0003-01</t>
  </si>
  <si>
    <t xml:space="preserve"> </t>
  </si>
  <si>
    <t>3-01-002-02-02-09-0002-02</t>
  </si>
  <si>
    <t>3-01-002-02-02-09-0002</t>
  </si>
  <si>
    <t>3-01-002-02-02-08-0009</t>
  </si>
  <si>
    <t>3-01-002-02-02-08-0007-24</t>
  </si>
  <si>
    <t>3-01-002-02-02-08-0007-23</t>
  </si>
  <si>
    <t>3-01-002-02-02-08-0007-11</t>
  </si>
  <si>
    <t>3-01-002-02-02-08-0005-61</t>
  </si>
  <si>
    <t>3-01-002-02-02-08-0005</t>
  </si>
  <si>
    <t>3-01-002-02-02-08-0004-63</t>
  </si>
  <si>
    <t>3-01-002-02-02-08-0004</t>
  </si>
  <si>
    <t>3-01-002-02-02-08-0003-71</t>
  </si>
  <si>
    <t>3-01-002-02-02-08-0003-73</t>
  </si>
  <si>
    <t>3-01-002-02-02-08-0003-53</t>
  </si>
  <si>
    <t>3-01-002-02-02-08-0003-52</t>
  </si>
  <si>
    <t>3-01-002-02-02-08-0003</t>
  </si>
  <si>
    <t>3-01-002-02-02-07-0003</t>
  </si>
  <si>
    <t>3-01-002-02-02-07-0001-01</t>
  </si>
  <si>
    <t>3-01-002-02-02-07-0001-02</t>
  </si>
  <si>
    <t>3-01-002-02-02-07-0001-03</t>
  </si>
  <si>
    <t>3-01-002-02-02-07-0001-04</t>
  </si>
  <si>
    <t>3-01-002-02-02-07-0001-05</t>
  </si>
  <si>
    <t>3-01-002-02-02-07-0001-06</t>
  </si>
  <si>
    <t>3-01-002-02-02-07-0001-07</t>
  </si>
  <si>
    <t>3-01-002-02-02-07-0002</t>
  </si>
  <si>
    <t>3-01-002-02-02-07-0002-01</t>
  </si>
  <si>
    <t>3-01-002-02-02-06-0003-02</t>
  </si>
  <si>
    <t>3-01-002-02-01-04-0004-08</t>
  </si>
  <si>
    <t>3-01-002-02-01-03-0002</t>
  </si>
  <si>
    <t>3-01-002-02-01-02-0008-00</t>
  </si>
  <si>
    <t>3-01-002-02-01-02-0008</t>
  </si>
  <si>
    <t>3-01-001-02-02-06-0008-00</t>
  </si>
  <si>
    <t>3-01-001-02-02-06-0009-00</t>
  </si>
  <si>
    <t>3-01-001-02-02-06-0010-00</t>
  </si>
  <si>
    <t>3-01-001-02-02-06-0011-00</t>
  </si>
  <si>
    <t>3-01-001-02-02-06-0012-00</t>
  </si>
  <si>
    <t>3-01-001-02-02-06-0001-00</t>
  </si>
  <si>
    <t>3-01-001-02-02-06-0002-00</t>
  </si>
  <si>
    <t>3-01-001-02-02-06-0003-00</t>
  </si>
  <si>
    <t>3-01-001-02-02-06-0004-00</t>
  </si>
  <si>
    <t>3-01-001-02-02-06-0005-00</t>
  </si>
  <si>
    <t>3-01-001-02-02-06-0006-00</t>
  </si>
  <si>
    <t>3-01-001-02-02-06-0007-00</t>
  </si>
  <si>
    <t>3-01-001-02-02-06-0013-00</t>
  </si>
  <si>
    <t>3-01-001-02-02-05-0001-01</t>
  </si>
  <si>
    <t>3-01-001-02-02-05-0001-02</t>
  </si>
  <si>
    <t>3-01-001-02-02-05-0001-03</t>
  </si>
  <si>
    <t>3-01-001-02-02-05-0001-04</t>
  </si>
  <si>
    <t>3-01-001-02-02-05-0001-05</t>
  </si>
  <si>
    <t>3-01-001-02-02-05-0001-06</t>
  </si>
  <si>
    <t>3-01-001-02-02-05-0001-07</t>
  </si>
  <si>
    <t>3-01-001-02-02-05-0001-14</t>
  </si>
  <si>
    <t>3-01-001-02-02-04-0001-01</t>
  </si>
  <si>
    <t>3-01-001-02-02-04-0001-02</t>
  </si>
  <si>
    <t>3-01-001-02-02-04-0001-03</t>
  </si>
  <si>
    <t>3-01-001-02-02-04-0001-04</t>
  </si>
  <si>
    <t>3-01-001-02-02-04-0001-05</t>
  </si>
  <si>
    <t>3-01-001-02-02-04-0001-06</t>
  </si>
  <si>
    <t>3-01-001-02-02-04-0001-07</t>
  </si>
  <si>
    <t>3-01-001-02-02-04-0001-14</t>
  </si>
  <si>
    <t>3-01-001-02-02-03-0002-03</t>
  </si>
  <si>
    <t>3-01-001-02-02-03-0001-01</t>
  </si>
  <si>
    <t>3-01-001-02-02-03-0001-02</t>
  </si>
  <si>
    <t>3-01-001-02-02-03-0001-04</t>
  </si>
  <si>
    <t>3-01-001-02-02-03-0001-05</t>
  </si>
  <si>
    <t>3-01-001-02-02-03-0001-06</t>
  </si>
  <si>
    <t>3-01-001-02-02-03-0001-07</t>
  </si>
  <si>
    <t>3-01-001-02-02-03-0001-14</t>
  </si>
  <si>
    <t>3-01-001-02-02-03</t>
  </si>
  <si>
    <t>3-01-001-02-02-03-0001</t>
  </si>
  <si>
    <t>3-01-001-02-02-02-0002-01</t>
  </si>
  <si>
    <t>3-01-001-02-02-02-0002-02</t>
  </si>
  <si>
    <t>3-01-001-02-02-02-0002-03</t>
  </si>
  <si>
    <t>3-01-001-02-02-02-0002-04</t>
  </si>
  <si>
    <t>3-01-001-02-02-02-0002-05</t>
  </si>
  <si>
    <t>3-01-001-02-02-02-0002-06</t>
  </si>
  <si>
    <t>3-01-001-02-02-02-0002-07</t>
  </si>
  <si>
    <t>3-01-001-02-02-02-0002-13</t>
  </si>
  <si>
    <t>3-01-001-02-02-01-0002-11</t>
  </si>
  <si>
    <t>3-01-001-02-02-01-0002-12</t>
  </si>
  <si>
    <t>3-01-001-02-02-01-0002-10</t>
  </si>
  <si>
    <t>3-01-001-02-02-01-0002-13</t>
  </si>
  <si>
    <t>3-01-001-02-02-01-0002-14</t>
  </si>
  <si>
    <t>3-01-001-02-02-01-0002-01</t>
  </si>
  <si>
    <t>3-01-001-02-02-01-0002-02</t>
  </si>
  <si>
    <t>3-01-001-02-02-01-0002-03</t>
  </si>
  <si>
    <t>3-01-001-02-02-01-0002-04</t>
  </si>
  <si>
    <t>3-01-001-02-02-01-0002-05</t>
  </si>
  <si>
    <t>3-01-001-02-02-01-0002-06</t>
  </si>
  <si>
    <t>3-01-001-02-02-01-0002-08</t>
  </si>
  <si>
    <t>3-01-001-02-02-01-0001-01</t>
  </si>
  <si>
    <t>3-01-001-02-02-01-0001-02</t>
  </si>
  <si>
    <t>3-01-001-02-02-01-0001-03</t>
  </si>
  <si>
    <t>3-01-001-02-02-01-0001-04</t>
  </si>
  <si>
    <t>3-01-001-02-02-01-0001-05</t>
  </si>
  <si>
    <t>3-01-001-02-02-01-0001-06</t>
  </si>
  <si>
    <t>3-01-001-02-02-01-0001-07</t>
  </si>
  <si>
    <t>3-01-001-02-02-01-0001-13</t>
  </si>
  <si>
    <t>3-01-001-02-02</t>
  </si>
  <si>
    <t>3-01-001-02-01-18-0002-01</t>
  </si>
  <si>
    <t>3-01-001-02-01-18-0002-02</t>
  </si>
  <si>
    <t>3-01-001-02-01-18-0002-03</t>
  </si>
  <si>
    <t>3-01-001-02-01-18-0002-04</t>
  </si>
  <si>
    <t>3-01-001-02-01-18-0002-05</t>
  </si>
  <si>
    <t>3-01-001-02-01-18-0002-06</t>
  </si>
  <si>
    <t>3-01-001-02-01-18-0002-07</t>
  </si>
  <si>
    <t>3-01-001-02-01-18-0002-13</t>
  </si>
  <si>
    <t>3-01-001-02-01-18-0001-01</t>
  </si>
  <si>
    <t>3-01-001-02-01-18-0001-02</t>
  </si>
  <si>
    <t>3-01-001-02-01-18-0001-03</t>
  </si>
  <si>
    <t>3-01-001-02-01-18-0001-04</t>
  </si>
  <si>
    <t>3-01-001-02-01-18-0001-05</t>
  </si>
  <si>
    <t>3-01-001-02-01-18-0001-06</t>
  </si>
  <si>
    <t>3-01-001-02-01-18-0001-07</t>
  </si>
  <si>
    <t>3-01-001-02-01-18-0001-13</t>
  </si>
  <si>
    <t>3-01-001-02-01-16-0001-00</t>
  </si>
  <si>
    <t>3-01-001-02-01-16-0002-00</t>
  </si>
  <si>
    <t>3-01-001-02-01-16-0003-00</t>
  </si>
  <si>
    <t>3-01-001-02-01-16-0004-00</t>
  </si>
  <si>
    <t>3-01-001-02-01-16-0005-00</t>
  </si>
  <si>
    <t>3-01-001-02-01-16-0007-00</t>
  </si>
  <si>
    <t>3-01-001-02-01-11-0001-01</t>
  </si>
  <si>
    <t>3-01-001-02-01-11-0001-02</t>
  </si>
  <si>
    <t>3-01-001-02-01-11-0001-03</t>
  </si>
  <si>
    <t>3-01-001-02-01-11-0001-04</t>
  </si>
  <si>
    <t>3-01-001-02-01-11-0001-05</t>
  </si>
  <si>
    <t>3-01-001-02-01-11-0001-06</t>
  </si>
  <si>
    <t>3-01-001-02-01-11-0001-08</t>
  </si>
  <si>
    <t>3-01-001-02-01-11-0001-14</t>
  </si>
  <si>
    <t>3-01-001-02-01</t>
  </si>
  <si>
    <t>3-01-001-02-01-11</t>
  </si>
  <si>
    <t>3-01-001-02-01-11-0001</t>
  </si>
  <si>
    <t>3-01-001-01-03-05-0000-00</t>
  </si>
  <si>
    <t>3-01-001-01-03-68-0000-00</t>
  </si>
  <si>
    <t>3-01-001-01-03-01-0003-00</t>
  </si>
  <si>
    <t>3-01-001-01-01-25-0099</t>
  </si>
  <si>
    <t>3-01-001-01-02-06-0001-00</t>
  </si>
  <si>
    <t>3-01-001-01-02-06-0002-00</t>
  </si>
  <si>
    <t>3-01-001-01-02-06-0003-00</t>
  </si>
  <si>
    <t>3-01</t>
  </si>
  <si>
    <t>3-01-001</t>
  </si>
  <si>
    <t>3-01-001-01</t>
  </si>
  <si>
    <t>3-01-001-01-01</t>
  </si>
  <si>
    <t>3-01-001-01-01-17-0001-00</t>
  </si>
  <si>
    <t>3-01-001-01-01-17-0002-00</t>
  </si>
  <si>
    <t>3-01-001-01-01-19-0001-00</t>
  </si>
  <si>
    <t>3-01-001-01-01-22</t>
  </si>
  <si>
    <t>3-01-001-01-01-12</t>
  </si>
  <si>
    <t>3-01-001-01-01-18</t>
  </si>
  <si>
    <t>3-01-001-01-01-18-0001</t>
  </si>
  <si>
    <t>3-01-001-01-01-18-0001-01</t>
  </si>
  <si>
    <t>3-01-001-01-01-18-0001-02</t>
  </si>
  <si>
    <t>3-01-001-01-01-18-0001-03</t>
  </si>
  <si>
    <t>3-01-001-01-01-18-0002</t>
  </si>
  <si>
    <t>3-01-001-01-01-18-0002-01</t>
  </si>
  <si>
    <t>3-01-001-01-01-18-0002-02</t>
  </si>
  <si>
    <t>3-01-001-01-01-18-0002-03</t>
  </si>
  <si>
    <t>3-01-001-01-01-19</t>
  </si>
  <si>
    <t>3-01-001-01-01-24</t>
  </si>
  <si>
    <t>3-01-001-01-01-24-0001-02</t>
  </si>
  <si>
    <t>3-01-001-01-01-24-0001-03</t>
  </si>
  <si>
    <t>3-01-001-01-01-22-0012</t>
  </si>
  <si>
    <t>3-01-001-01-01-22-0012-01</t>
  </si>
  <si>
    <t>3-01-001-01-01-22-0012-02</t>
  </si>
  <si>
    <t>3-01-001-01-02-01</t>
  </si>
  <si>
    <t>3-01-001-01-02-01-0001</t>
  </si>
  <si>
    <t>3-01-001-01-02-01-0001-01</t>
  </si>
  <si>
    <t>3-01-001-01-02-01-0001-02</t>
  </si>
  <si>
    <t>3-01-001-01-02-01-0001-03</t>
  </si>
  <si>
    <t>3-01-001-02-02-01-0002</t>
  </si>
  <si>
    <t>3-01-001-01-02-01-0002-01</t>
  </si>
  <si>
    <t>3-01-001-01-02-01-0002-02</t>
  </si>
  <si>
    <t>3-01-001-01-02-01-0002-03</t>
  </si>
  <si>
    <t>3-01-001-01-02-02</t>
  </si>
  <si>
    <t>3-01-001-01-02-02-0002</t>
  </si>
  <si>
    <t>3-01-001-01-02-02-0002-01</t>
  </si>
  <si>
    <t>3-01-001-01-02-02-0002-02</t>
  </si>
  <si>
    <t>3-01-001-01-02-02-0002-03</t>
  </si>
  <si>
    <t>3-01-001-01-02-03-0002</t>
  </si>
  <si>
    <t>3-01-001-01-02-03-0002-01</t>
  </si>
  <si>
    <t>3-01-001-01-02-03-0002-02</t>
  </si>
  <si>
    <t>3-01-001-01-02-03-0002-03</t>
  </si>
  <si>
    <t>3-01-001-01-02-04</t>
  </si>
  <si>
    <t>3-01-001-01-02-04-0001</t>
  </si>
  <si>
    <t>3-01-001-01-02-04-0001-01</t>
  </si>
  <si>
    <t>3-01-001-01-02-04-0001-02</t>
  </si>
  <si>
    <t>3-01-001-01-02-04-0001-03</t>
  </si>
  <si>
    <t>3-01-001-01-02-05</t>
  </si>
  <si>
    <t>3-01-001-01-02-05-0001</t>
  </si>
  <si>
    <t>3-01-001-01-02-05-0001-01</t>
  </si>
  <si>
    <t>3-01-001-01-02-05-0001-02</t>
  </si>
  <si>
    <t>3-01-001-01-02-05-0001-03</t>
  </si>
  <si>
    <t>3-01-001-01-03</t>
  </si>
  <si>
    <t>3-01-001-01-01-25-0099-01</t>
  </si>
  <si>
    <t>3-01-001-01-01-25-0099-02</t>
  </si>
  <si>
    <t>3-01-001-01-01-25-0099-03</t>
  </si>
  <si>
    <t>3-01-001-01-01-25-0099-04</t>
  </si>
  <si>
    <t>3-01-001-01-01-25-0099-05</t>
  </si>
  <si>
    <t>3-01-001-01-01-25-0099-06</t>
  </si>
  <si>
    <t>3-01-001-01-01-25-0099-07</t>
  </si>
  <si>
    <t>3-01-001-01-01-25-0099-08</t>
  </si>
  <si>
    <t>3-01-001-01-01-25-0099-09</t>
  </si>
  <si>
    <t>3-01-001-01-01-25-0099-10</t>
  </si>
  <si>
    <t>3-01-001-01-01-25-0099-11</t>
  </si>
  <si>
    <t>3-01-001-02</t>
  </si>
  <si>
    <t>3-01-001-02-01-11-0001-09</t>
  </si>
  <si>
    <t>3-01-001-02-01-11-0001-10</t>
  </si>
  <si>
    <t>3-01-001-02-01-11-0001-11</t>
  </si>
  <si>
    <t>3-01-001-02-01-11-0001-12</t>
  </si>
  <si>
    <t>3-01-001-02-01-11-0001-13</t>
  </si>
  <si>
    <t>3-01-001-02-01-16</t>
  </si>
  <si>
    <t>3-01-001-02-01-18-0001-08</t>
  </si>
  <si>
    <t>3-01-001-02-01-18-0001-09</t>
  </si>
  <si>
    <t>3-01-001-02-01-18-0001-10</t>
  </si>
  <si>
    <t>3-01-001-02-01-18-0001-11</t>
  </si>
  <si>
    <t>3-01-001-02-01-18-0001-12</t>
  </si>
  <si>
    <t>3-01-001-02-01-18-0002-08</t>
  </si>
  <si>
    <t>3-01-001-02-01-18-0002-09</t>
  </si>
  <si>
    <t>3-01-001-02-01-18-0002-10</t>
  </si>
  <si>
    <t>3-01-001-02-01-18-0002-11</t>
  </si>
  <si>
    <t>3-01-001-02-01-18-0002-12</t>
  </si>
  <si>
    <t>3-01-001-02-02-01-0001-08</t>
  </si>
  <si>
    <t>3-01-001-02-02-01-0001-09</t>
  </si>
  <si>
    <t>3-01-001-02-02-01-0001-10</t>
  </si>
  <si>
    <t>3-01-001-02-02-01-0001-11</t>
  </si>
  <si>
    <t>3-01-001-02-02-01-0001-12</t>
  </si>
  <si>
    <t>3-01-001-02-02-02-0002-08</t>
  </si>
  <si>
    <t>3-01-001-02-02-02-0002-09</t>
  </si>
  <si>
    <t>3-01-001-02-02-02-0002-10</t>
  </si>
  <si>
    <t>3-01-001-02-02-02-0002-11</t>
  </si>
  <si>
    <t>3-01-001-02-02-02-0002-12</t>
  </si>
  <si>
    <t>3-01-001-02-02-03-0001-08</t>
  </si>
  <si>
    <t>3-01-001-02-02-03-0001-09</t>
  </si>
  <si>
    <t>3-01-001-02-02-03-0001-11</t>
  </si>
  <si>
    <t>3-01-001-02-02-03-0001-12</t>
  </si>
  <si>
    <t>3-01-001-02-02-03-0002-10</t>
  </si>
  <si>
    <t>3-01-001-02-02-04-0001-08</t>
  </si>
  <si>
    <t>3-01-001-02-02-04-0001-09</t>
  </si>
  <si>
    <t>3-01-001-02-02-04-0001-10</t>
  </si>
  <si>
    <t>3-01-001-02-02-04-0001-11</t>
  </si>
  <si>
    <t>3-01-001-02-02-04-0001-12</t>
  </si>
  <si>
    <t>3-01-001-02-02-05-0001-08</t>
  </si>
  <si>
    <t>3-01-001-02-02-05-0001-09</t>
  </si>
  <si>
    <t>3-01-001-02-02-05-0001-10</t>
  </si>
  <si>
    <t>3-01-001-02-02-05-0001-11</t>
  </si>
  <si>
    <t>3-01-001-02-02-05-0001-12</t>
  </si>
  <si>
    <t>3-01-002</t>
  </si>
  <si>
    <t>3-01-002-01</t>
  </si>
  <si>
    <t>3-01-002-01-01</t>
  </si>
  <si>
    <t>3-01-002-02-01-04-0005</t>
  </si>
  <si>
    <t>3-01-002-01-01-04</t>
  </si>
  <si>
    <t>3-01-002-01-01-04-0001</t>
  </si>
  <si>
    <t>3-01-002-01-01-04-0001-01</t>
  </si>
  <si>
    <t>3-01-002-01-01-04-0001-02</t>
  </si>
  <si>
    <t>3-01-002-01-01-05</t>
  </si>
  <si>
    <t>3-01-002-01-01-05-0002</t>
  </si>
  <si>
    <t>3-01-002-01-01-05-0002-03</t>
  </si>
  <si>
    <t>3-01-002-02</t>
  </si>
  <si>
    <t>3-01-002-02-01</t>
  </si>
  <si>
    <t>3-01-002-02-01-02</t>
  </si>
  <si>
    <t>3-01-002-02-01-03</t>
  </si>
  <si>
    <t>3-01-002-02-01-03-0002-01</t>
  </si>
  <si>
    <t>3-01-002-02-01-03-0003</t>
  </si>
  <si>
    <t>3-01-002-02-01-03-0003-31</t>
  </si>
  <si>
    <t>3-01-002-02-01-03-0003-36</t>
  </si>
  <si>
    <t>3-01-002-02-01-03-0005</t>
  </si>
  <si>
    <t>3-01-002-02-01-03-0005-02</t>
  </si>
  <si>
    <t>3-01-002-02-01-03-0006</t>
  </si>
  <si>
    <t>3-01-002-02-01-03-0006-09</t>
  </si>
  <si>
    <t>3-01-002-02-01-04</t>
  </si>
  <si>
    <t>3-01-002-02-01-04-0002</t>
  </si>
  <si>
    <t>3-01-002-02-01-04-0002-10</t>
  </si>
  <si>
    <t>3-01-002-02-01-04-0002-09</t>
  </si>
  <si>
    <t>3-01-002-02-01-04-0004</t>
  </si>
  <si>
    <t>3-01-002-02-01-04-0005-99</t>
  </si>
  <si>
    <t>3-01-002-02-01-04-0007</t>
  </si>
  <si>
    <t>3-01-002-02-01-04-0007-01</t>
  </si>
  <si>
    <t>3-01-002-02-01-04-0007-02</t>
  </si>
  <si>
    <t>3-01-002-02-02</t>
  </si>
  <si>
    <t>3-01-002-02-02-05</t>
  </si>
  <si>
    <t>3-01-002-02-02-05-0004</t>
  </si>
  <si>
    <t>3-01-002-02-02-05-0004-07</t>
  </si>
  <si>
    <t>3-01-002-02-02-06</t>
  </si>
  <si>
    <t>3-01-002-02-02-06-0003</t>
  </si>
  <si>
    <t>3-01-002-02-02-06-0003-03</t>
  </si>
  <si>
    <t>3-01-002-02-02-06-0004</t>
  </si>
  <si>
    <t>3-01-002-02-02-06-0004-02</t>
  </si>
  <si>
    <t>3-01-002-02-02-06-0004-04</t>
  </si>
  <si>
    <t>3-01-002-02-02-06-0005</t>
  </si>
  <si>
    <t>3-01-002-02-02-06-0005-15</t>
  </si>
  <si>
    <t>3-01-002-02-02-06-0004-08</t>
  </si>
  <si>
    <t>3-01-002-02-02-07</t>
  </si>
  <si>
    <t>3-01-002-02-02-07-0001</t>
  </si>
  <si>
    <t>3-01-002-02-02-07-0002-04</t>
  </si>
  <si>
    <t>3-01-002-02-02-07-0003-02</t>
  </si>
  <si>
    <t>3-01-002-02-02-08-0001</t>
  </si>
  <si>
    <t>3-01-002-02-02-08-0001-03</t>
  </si>
  <si>
    <t>3-01-002-02-02-08-0002</t>
  </si>
  <si>
    <t>3-01-002-02-02-08-0002-02</t>
  </si>
  <si>
    <t>3-01-002-02-02-08-0002-03</t>
  </si>
  <si>
    <t>3-01-002-02-02-08-0002-04</t>
  </si>
  <si>
    <t>3-01-002-02-02-08-0003-51</t>
  </si>
  <si>
    <t>3-01-002-02-02-08-0003-54</t>
  </si>
  <si>
    <t>3-01-002-02-02-08-0003-55</t>
  </si>
  <si>
    <t>3-01-002-02-02-08-0003-56</t>
  </si>
  <si>
    <t>3-01-002-02-02-08-0003-57</t>
  </si>
  <si>
    <t>3-01-002-02-02-08-0003-58</t>
  </si>
  <si>
    <t>3-01-002-02-02-08-0003-59</t>
  </si>
  <si>
    <t>3-01-002-02-02-08-0003-60</t>
  </si>
  <si>
    <t>3-01-002-02-02-08-0003-61</t>
  </si>
  <si>
    <t>3-01-002-02-02-08-0003-69</t>
  </si>
  <si>
    <t>3-01-002-02-02-08-0003-70</t>
  </si>
  <si>
    <t>3-01-002-02-02-08-0003-72</t>
  </si>
  <si>
    <t>3-01-002-02-02-08-0003-62</t>
  </si>
  <si>
    <t>3-01-002-02-02-08-0003-63</t>
  </si>
  <si>
    <t>3-01-002-02-02-08-0003-49</t>
  </si>
  <si>
    <t>3-01-002-02-02-08-0003-64</t>
  </si>
  <si>
    <t>3-01-002-02-02-08-0003-65</t>
  </si>
  <si>
    <t>3-01-002-02-02-08-0004-11</t>
  </si>
  <si>
    <t>3-01-002-02-02-08-0004-12</t>
  </si>
  <si>
    <t>3-01-002-02-02-08-0004-22</t>
  </si>
  <si>
    <t>3-01-002-02-02-08-0004-61</t>
  </si>
  <si>
    <t>3-01-002-02-02-08-0005-25</t>
  </si>
  <si>
    <t>3-01-002-02-02-08-0005-31</t>
  </si>
  <si>
    <t>3-01-002-02-02-08-0005-33</t>
  </si>
  <si>
    <t>3-01-002-02-02-08-0005-34</t>
  </si>
  <si>
    <t>3-01-002-02-02-08-0005-54</t>
  </si>
  <si>
    <t>3-01-002-02-02-08-0005-62</t>
  </si>
  <si>
    <t>3-01-002-02-02-08-0005-97</t>
  </si>
  <si>
    <t>3-01-002-02-02-08-0006</t>
  </si>
  <si>
    <t>3-01-002-02-02-08-0006-31</t>
  </si>
  <si>
    <t>3-01-002-02-02-08-0006-32</t>
  </si>
  <si>
    <t>3-01-002-02-02-08-0006-33</t>
  </si>
  <si>
    <t>3-01-002-02-02-08-0007</t>
  </si>
  <si>
    <t>3-01-002-02-02-08-0007-12</t>
  </si>
  <si>
    <t>3-01-002-02-02-08-0007-13</t>
  </si>
  <si>
    <t>3-01-002-02-02-08-0007-14</t>
  </si>
  <si>
    <t>3-01-002-02-02-08-0007-16</t>
  </si>
  <si>
    <t>3-01-002-02-02-08-0007-19</t>
  </si>
  <si>
    <t>3-01-002-02-02-08-0007-00</t>
  </si>
  <si>
    <t>3-01-002-02-02-08-0007-21</t>
  </si>
  <si>
    <t>3-01-002-02-02-08-0007-20</t>
  </si>
  <si>
    <t>3-01-002-02-02-08-0009-01</t>
  </si>
  <si>
    <t>3-01-002-02-02-08-0009-02</t>
  </si>
  <si>
    <t>3-01-002-02-02-09</t>
  </si>
  <si>
    <t>3-01-002-02-02-09-0002-01</t>
  </si>
  <si>
    <t>3-01-002-02-02-09-0002-21</t>
  </si>
  <si>
    <t>3-01-002-02-02-09-0002-22</t>
  </si>
  <si>
    <t>3-01-002-02-02-09-0002-23</t>
  </si>
  <si>
    <t>3-01-002-02-02-09-0002-24</t>
  </si>
  <si>
    <t>3-01-002-02-02-09-0002-25</t>
  </si>
  <si>
    <t>3-01-002-02-02-09-0002-26</t>
  </si>
  <si>
    <t>3-01-002-02-02-09-0002-27</t>
  </si>
  <si>
    <t>3-01-002-02-02-09-0002-29</t>
  </si>
  <si>
    <t>3-01-002-02-02-09-0002-31</t>
  </si>
  <si>
    <t>3-01-002-02-02-09-0003</t>
  </si>
  <si>
    <t>3-01-002-02-02-09-0004</t>
  </si>
  <si>
    <t>3-01-002-02-02-09-0004-01</t>
  </si>
  <si>
    <t>3-01-002-02-02-09-0004-03</t>
  </si>
  <si>
    <t>3-01-002-02-02-09-0004-04</t>
  </si>
  <si>
    <t>3-01-002-02-02-09-0006</t>
  </si>
  <si>
    <t>3-01-002-02-02-09-0006-01</t>
  </si>
  <si>
    <t>3-01-002-02-02-10</t>
  </si>
  <si>
    <t>3-01-003</t>
  </si>
  <si>
    <t>3-01-003-07</t>
  </si>
  <si>
    <t>3-01-003-07-02</t>
  </si>
  <si>
    <t>3-01-003-07-02-03</t>
  </si>
  <si>
    <t>3-01-003-07-02-03-0002</t>
  </si>
  <si>
    <t>3-01-003-07-02-03-0002-04</t>
  </si>
  <si>
    <t>3-01-003-13</t>
  </si>
  <si>
    <t>3-01-003-13-01</t>
  </si>
  <si>
    <t>3-01-007</t>
  </si>
  <si>
    <t>3-01-007-01</t>
  </si>
  <si>
    <t>3-01-008</t>
  </si>
  <si>
    <t>3-01-008-01</t>
  </si>
  <si>
    <t>3-01-008-01-05</t>
  </si>
  <si>
    <t>3-01-008-05</t>
  </si>
  <si>
    <t>3-01-008-05-01</t>
  </si>
  <si>
    <t>A140401</t>
  </si>
  <si>
    <t>A9901</t>
  </si>
  <si>
    <t>A9903</t>
  </si>
  <si>
    <t>Herbario Forestal</t>
  </si>
  <si>
    <t>A130207</t>
  </si>
  <si>
    <t>Almacén General</t>
  </si>
  <si>
    <t>3-01-001-01-02-01-0002</t>
  </si>
  <si>
    <t>3-01-001-02-02-02-0002</t>
  </si>
  <si>
    <t>3-01-001-02-02-02</t>
  </si>
  <si>
    <t>3-01-001-02-02-01</t>
  </si>
  <si>
    <t>3-01-001-02-02-01-0001</t>
  </si>
  <si>
    <t>3-01-001-02-01-18</t>
  </si>
  <si>
    <t>3-01-001-02-01-18-0001</t>
  </si>
  <si>
    <t>3-01-001-02-01-18-0002</t>
  </si>
  <si>
    <t>3-01-001-02-02-03-0002</t>
  </si>
  <si>
    <t>3-01-001-02-02-04</t>
  </si>
  <si>
    <t>3-01-001-02-02-04-0001</t>
  </si>
  <si>
    <t>3-01-001-02-02-05</t>
  </si>
  <si>
    <t>3-01-001-02-02-05-0001</t>
  </si>
  <si>
    <t>3-01-001-02-02-06</t>
  </si>
  <si>
    <t>A150101</t>
  </si>
  <si>
    <t>A150102</t>
  </si>
  <si>
    <t>A150201</t>
  </si>
  <si>
    <t>A150202</t>
  </si>
  <si>
    <t>A140201</t>
  </si>
  <si>
    <t>A1601</t>
  </si>
  <si>
    <t>A1501</t>
  </si>
  <si>
    <t>A130201</t>
  </si>
  <si>
    <t>A130202</t>
  </si>
  <si>
    <t>A130203</t>
  </si>
  <si>
    <t>A130204</t>
  </si>
  <si>
    <t>A130205</t>
  </si>
  <si>
    <t>A1313</t>
  </si>
  <si>
    <t>A130206</t>
  </si>
  <si>
    <t>A130301</t>
  </si>
  <si>
    <t>A1307</t>
  </si>
  <si>
    <t>A1309</t>
  </si>
  <si>
    <t>A140303</t>
  </si>
  <si>
    <t>A1206</t>
  </si>
  <si>
    <t>A140402</t>
  </si>
  <si>
    <t>A1302030106</t>
  </si>
  <si>
    <t>A1310</t>
  </si>
  <si>
    <t>A1207</t>
  </si>
  <si>
    <t>A1312</t>
  </si>
  <si>
    <t>A120401</t>
  </si>
  <si>
    <t>A130101</t>
  </si>
  <si>
    <t>A1201</t>
  </si>
  <si>
    <t>A130107</t>
  </si>
  <si>
    <t>A1401</t>
  </si>
  <si>
    <t>A1308</t>
  </si>
  <si>
    <t>A120403</t>
  </si>
  <si>
    <t>A130401</t>
  </si>
  <si>
    <t>A140301</t>
  </si>
  <si>
    <t>A1203</t>
  </si>
  <si>
    <t>A120402</t>
  </si>
  <si>
    <t>A130102</t>
  </si>
  <si>
    <t>A130103</t>
  </si>
  <si>
    <t>A130104</t>
  </si>
  <si>
    <t>A130105</t>
  </si>
  <si>
    <t>A130106</t>
  </si>
  <si>
    <t>A130108</t>
  </si>
  <si>
    <t>A1306</t>
  </si>
  <si>
    <t>A1311</t>
  </si>
  <si>
    <t>A1202</t>
  </si>
  <si>
    <t>A120404</t>
  </si>
  <si>
    <t>A1205</t>
  </si>
  <si>
    <t>A140302</t>
  </si>
  <si>
    <t>A140304</t>
  </si>
  <si>
    <t>A1405</t>
  </si>
  <si>
    <t>A130402</t>
  </si>
  <si>
    <t>A130403</t>
  </si>
  <si>
    <t>A130202030101</t>
  </si>
  <si>
    <t>A130205030101</t>
  </si>
  <si>
    <t>A130202030102</t>
  </si>
  <si>
    <t>A130201030101</t>
  </si>
  <si>
    <t>A130203030101</t>
  </si>
  <si>
    <t>A130302</t>
  </si>
  <si>
    <t>A1101</t>
  </si>
  <si>
    <t xml:space="preserve">
UNIVERSIDAD DISTRITAL FRANCISCO JOSÉ DE CALDAS</t>
  </si>
  <si>
    <t xml:space="preserve">CÓDIGO </t>
  </si>
  <si>
    <t>CÓDIGO</t>
  </si>
  <si>
    <t>Cobertura</t>
  </si>
  <si>
    <t>O212020200701030571356</t>
  </si>
  <si>
    <t>2.1.2.02.02.007.01.03.05.71356</t>
  </si>
  <si>
    <t>Servicios de seguros de cumplimiento</t>
  </si>
  <si>
    <t>3-01-002-02-02-09-0002-28</t>
  </si>
  <si>
    <t>2.1.2.02.02.009.02.92920.08</t>
  </si>
  <si>
    <t>Otros servicios de bienestar universitario y laboral n.c.p</t>
  </si>
  <si>
    <t>PRESUPUESTO INICIAL 2026
RES CSU 024-2025</t>
  </si>
  <si>
    <t>Instituto para la Pedagogía, la Paz y el Conflicto Urbano  IPAZUD</t>
  </si>
  <si>
    <t>3-03</t>
  </si>
  <si>
    <t>Inversión</t>
  </si>
  <si>
    <t>GASTOS</t>
  </si>
  <si>
    <t>MODIFICACIONES</t>
  </si>
  <si>
    <t>VIGENTE</t>
  </si>
  <si>
    <t>ACUMULADO</t>
  </si>
  <si>
    <t>MES</t>
  </si>
  <si>
    <t>APROPIACION</t>
  </si>
  <si>
    <t>DISPONIBILIDADES</t>
  </si>
  <si>
    <t>COMPROMISOS</t>
  </si>
  <si>
    <t>AUTORIZACION DE  GIRO</t>
  </si>
  <si>
    <t>% DE EJECUCIÓN</t>
  </si>
  <si>
    <t>3-01-002-02-02-08-0000-00</t>
  </si>
  <si>
    <t>3-01-002-02-02-09-0001-00</t>
  </si>
  <si>
    <t>3-01-001-02-01-16-0008-00</t>
  </si>
  <si>
    <t>3-01-001-02-02-01-0002-09</t>
  </si>
  <si>
    <t>3-01-002-01-01-03-0003-02</t>
  </si>
  <si>
    <t>3-01-002-02-01-03-0008-97</t>
  </si>
  <si>
    <t>3-01-002-02-02-07-0001-08</t>
  </si>
  <si>
    <t>INFORME DE EJECUCIÓN MENSUAL DE GASTOS E INVERSIÓN</t>
  </si>
  <si>
    <t>INICIAL</t>
  </si>
  <si>
    <t xml:space="preserve">ACUMULADO </t>
  </si>
  <si>
    <t>INFORME DE EJECUCIÓN MENSUAL DE GASTOS E INVERSIÓN- FONDO COMÚN</t>
  </si>
  <si>
    <t>INFORME DE EJECUCIÓN MENSUAL DE GASTOS E INVERSIÓN - FONDO DE INVERSIÓN Y FORTALECIMIENTO INSTITUCIONAL</t>
  </si>
  <si>
    <t>INFORME DE EJECUCIÓN MENSUAL DE GASTOS E INVERSIÓN - FONDO DE PRÉSTAMOS</t>
  </si>
  <si>
    <t xml:space="preserve">APROPIACIÓN </t>
  </si>
  <si>
    <t>BOGDATA</t>
  </si>
  <si>
    <t>Entidad/Proyecto/ObjetoGasto</t>
  </si>
  <si>
    <t>TOTAL COMPROMISOS</t>
  </si>
  <si>
    <t>EJECUC. PRESUP. %</t>
  </si>
  <si>
    <t>DISPONIBLE</t>
  </si>
  <si>
    <t>TOTAL</t>
  </si>
  <si>
    <t>0230-01  UNIVERSIDAD DISTRITAL FRANCISCO JOSE DE</t>
  </si>
  <si>
    <t>000000000000000000230  0230 - Programa Funcionamiento - UNIVERSIDAD DISTR</t>
  </si>
  <si>
    <t>Bonificación permanente extralegal</t>
  </si>
  <si>
    <t>O212010100502030101</t>
  </si>
  <si>
    <t>Uniformes de trabajo</t>
  </si>
  <si>
    <t>Hornos microondas</t>
  </si>
  <si>
    <t>O212020200701030371332</t>
  </si>
  <si>
    <t>Servicios de seguros sociales de riesgos laborales</t>
  </si>
  <si>
    <t>Servicios interdisciplinarios de investigación aplicada</t>
  </si>
  <si>
    <t>Servicios de acceso a Internet de banda ancha</t>
  </si>
  <si>
    <t>Servicios de distribución de programas multicanal, en paquete controlado de programación</t>
  </si>
  <si>
    <t>Servicios de organización y asistencia de convenciones</t>
  </si>
  <si>
    <t>Servicio de mantenimiento y reparación de otros equipos n.c.p.</t>
  </si>
  <si>
    <t>Reserva Pensional</t>
  </si>
  <si>
    <t>O2170102</t>
  </si>
  <si>
    <t>Fondo prestamos de empleados (Universidad Distrital)</t>
  </si>
  <si>
    <t>O23011722022024025706051</t>
  </si>
  <si>
    <t>Ampliación y Mejoramiento de la infraest - Sedes de instituciones de educación dotadas</t>
  </si>
  <si>
    <t>O23011722022024025706072</t>
  </si>
  <si>
    <t>Ampliación y Mejoramiento de la infraest - Sedes de instituciones de educación superior mejoradas</t>
  </si>
  <si>
    <t>O23011722022024025706083</t>
  </si>
  <si>
    <t>Ampliación y Mejoramiento de la infraest - Sedes de instituciones de educación superior restauradas</t>
  </si>
  <si>
    <t>O23011722022024026109079</t>
  </si>
  <si>
    <t>O23011722022024026110055</t>
  </si>
  <si>
    <t>Fortalecimiento de estrategias para dism - Servicio de atención psicosocial a estudiantes</t>
  </si>
  <si>
    <t>O23011722022024027912067</t>
  </si>
  <si>
    <t>Fortalecimiento de las capacidades del s - Servicio de articulación entre la educación superior  y el sector productivo.</t>
  </si>
  <si>
    <t>O23011722022024027912068</t>
  </si>
  <si>
    <t>Fortalecimiento de las capacidades del s - Servicio de innovación pedagógica en la educación  superior</t>
  </si>
  <si>
    <t>O23011722022024027912074</t>
  </si>
  <si>
    <t>Fortalecimiento de las capacidades del s - Servicio de fortalecimiento a las capacidades de los docentes o asistentes de educación superior</t>
  </si>
  <si>
    <t>O23011722022024027912080</t>
  </si>
  <si>
    <t>Fortalecimiento de las capacidades del s - Documentos de investigación</t>
  </si>
  <si>
    <t>O23011722022024027912087</t>
  </si>
  <si>
    <t>Fortalecimiento de las capacidades del s - Servicio de apoyo financiero a proyectos de inversión</t>
  </si>
  <si>
    <t>O23011722022024028007050</t>
  </si>
  <si>
    <t>Incremento del acceso y el impacto socio - Ambientes de aprendizaje dotados</t>
  </si>
  <si>
    <t>O23011722022024028007066</t>
  </si>
  <si>
    <t>Incremento del acceso y el impacto socio - Servicio de acreditación de la calidad de la educación superior</t>
  </si>
  <si>
    <t>O23011722022024028007084</t>
  </si>
  <si>
    <t>Incremento del acceso y el impacto socio - Servicio de aseguramiento de la calidad de la educación superior</t>
  </si>
  <si>
    <t>O23011722022024028108050</t>
  </si>
  <si>
    <t>Fortalecimiento del uso y apropiación de - Ambientes de aprendizaje dotados</t>
  </si>
  <si>
    <t>O23011722022024028108070</t>
  </si>
  <si>
    <t>Fortalecimiento del uso y apropiación de - Servicio de desarrollo de contenidos educativos para la educación superior</t>
  </si>
  <si>
    <t>O23011722022024028211050</t>
  </si>
  <si>
    <t>Fortalecimiento de la capacidad para la  - Ambientes de aprendizaje dotados</t>
  </si>
  <si>
    <t>O23011722022024028211054</t>
  </si>
  <si>
    <t>Fortalecimiento de la capacidad para la  - Servicio de información implementado</t>
  </si>
  <si>
    <t>O23011722022024028211066</t>
  </si>
  <si>
    <t>Fortalecimiento de la capacidad para la  - Servicio de acreditación de la calidad de la educación superior</t>
  </si>
  <si>
    <t>O23011722022024028308051</t>
  </si>
  <si>
    <t>Fortalecimiento de los componentes tecno - Sedes de instituciones de educación dotadas</t>
  </si>
  <si>
    <t>O23011722022024028308084</t>
  </si>
  <si>
    <t>Fortalecimiento de los componentes tecno - Servicio de aseguramiento de la calidad de la educación superior</t>
  </si>
  <si>
    <t>O23011722022024028312054</t>
  </si>
  <si>
    <t>Fortalecimiento de los componentes tecno - Servicio de información implementado</t>
  </si>
  <si>
    <t>O23011722022024028312081</t>
  </si>
  <si>
    <t>Fortalecimiento de los componentes tecno - Documentos de lineamientos técnicos</t>
  </si>
  <si>
    <t>O23011722022024028414050</t>
  </si>
  <si>
    <t>Fortalecimiento de las líneas de servici - Servicio de información implementado</t>
  </si>
  <si>
    <t>O23011722022024028414054</t>
  </si>
  <si>
    <t>O23011722022024028414068</t>
  </si>
  <si>
    <t>Fortalecimiento de las líneas de servici - Servicio de innovación pedagógica en la educación  superior</t>
  </si>
  <si>
    <t>O23011722022024025611086</t>
  </si>
  <si>
    <t>Desarrollo y modernización de los procesos relacionados con gestión institucional de la Universidad Distrital Francisco José DeCaldas.</t>
  </si>
  <si>
    <t>Fortalecimiento de estrategias para dism - Servicio de apoyo para la permanencia a la educación superior</t>
  </si>
  <si>
    <t xml:space="preserve">Secretraria General </t>
  </si>
  <si>
    <t>GIROS</t>
  </si>
  <si>
    <t xml:space="preserve">Secretaria general </t>
  </si>
  <si>
    <t>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</si>
</sst>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_(* #,##0_);_(* \(#,##0\);_(* &quot;-&quot;??_);_(@_)"/>
    <numFmt numFmtId="167" formatCode="_-* #,##0_-;\-* #,##0_-;_-* &quot;-&quot;??_-;_-@_-"/>
    <numFmt numFmtId="168" formatCode="_-* #,##0.0_-;\-* #,##0.0_-;_-* &quot;-&quot;??_-;_-@_-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9"/>
      <name val="Arial"/>
      <family val="2"/>
    </font>
    <font>
      <b/>
      <sz val="9"/>
      <name val="Arial"/>
      <family val="2"/>
    </font>
    <font>
      <b/>
      <i/>
      <sz val="10"/>
      <color theme="1"/>
      <name val="Cambria"/>
      <family val="1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9"/>
      <color theme="1"/>
      <name val="Arial"/>
      <family val="2"/>
    </font>
    <font>
      <b/>
      <u val="singleAccounting"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  <font>
      <b/>
      <sz val="9"/>
      <color theme="8" tint="-0.499984740745262"/>
      <name val="Arial"/>
      <family val="2"/>
    </font>
    <font>
      <sz val="9"/>
      <color rgb="FF002D86"/>
      <name val="Arial"/>
      <family val="2"/>
    </font>
    <font>
      <sz val="9"/>
      <color theme="0"/>
      <name val="Arial"/>
      <family val="2"/>
    </font>
    <font>
      <b/>
      <sz val="9"/>
      <color rgb="FF1F4E78"/>
      <name val="Arial"/>
      <family val="2"/>
    </font>
    <font>
      <sz val="9"/>
      <color theme="3" tint="-0.499984740745262"/>
      <name val="Arial"/>
      <family val="2"/>
    </font>
    <font>
      <sz val="10"/>
      <name val="Courier"/>
      <family val="3"/>
    </font>
    <font>
      <b/>
      <sz val="9"/>
      <color rgb="FF6600CC"/>
      <name val="Arial"/>
      <family val="2"/>
    </font>
    <font>
      <b/>
      <sz val="9"/>
      <color rgb="FFFFFFFF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24"/>
      <name val="Arial"/>
      <family val="2"/>
    </font>
    <font>
      <sz val="8"/>
      <name val="Arial Bold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2C6EA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A5F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B1FF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840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thin">
        <color indexed="64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indexed="64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 style="thin">
        <color indexed="64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4" tint="-0.499984740745262"/>
      </top>
      <bottom style="thin">
        <color indexed="64"/>
      </bottom>
      <diagonal/>
    </border>
    <border>
      <left style="thin">
        <color indexed="64"/>
      </left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indexed="64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6">
    <xf numFmtId="0" fontId="0" fillId="0" borderId="0"/>
    <xf numFmtId="41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37" fontId="20" fillId="0" borderId="0"/>
    <xf numFmtId="9" fontId="1" fillId="0" borderId="0" applyFont="0" applyFill="0" applyBorder="0" applyAlignment="0" applyProtection="0"/>
  </cellStyleXfs>
  <cellXfs count="418">
    <xf numFmtId="0" fontId="0" fillId="0" borderId="0" xfId="0"/>
    <xf numFmtId="1" fontId="2" fillId="0" borderId="0" xfId="0" applyNumberFormat="1" applyFont="1"/>
    <xf numFmtId="0" fontId="3" fillId="2" borderId="0" xfId="0" applyFont="1" applyFill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41" fontId="3" fillId="0" borderId="0" xfId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41" fontId="10" fillId="4" borderId="1" xfId="13" applyFont="1" applyFill="1" applyBorder="1" applyAlignment="1"/>
    <xf numFmtId="41" fontId="13" fillId="8" borderId="1" xfId="1" applyFont="1" applyFill="1" applyBorder="1" applyAlignment="1" applyProtection="1">
      <alignment vertical="center"/>
    </xf>
    <xf numFmtId="41" fontId="13" fillId="11" borderId="1" xfId="1" applyFont="1" applyFill="1" applyBorder="1" applyAlignment="1" applyProtection="1">
      <alignment vertical="center"/>
    </xf>
    <xf numFmtId="41" fontId="13" fillId="12" borderId="1" xfId="1" applyFont="1" applyFill="1" applyBorder="1" applyAlignment="1" applyProtection="1">
      <alignment vertical="center"/>
    </xf>
    <xf numFmtId="41" fontId="16" fillId="10" borderId="1" xfId="1" applyFont="1" applyFill="1" applyBorder="1" applyAlignment="1" applyProtection="1">
      <alignment vertical="center"/>
    </xf>
    <xf numFmtId="0" fontId="16" fillId="13" borderId="1" xfId="2" applyFont="1" applyFill="1" applyBorder="1" applyAlignment="1" applyProtection="1">
      <alignment horizontal="left" vertical="center"/>
      <protection locked="0"/>
    </xf>
    <xf numFmtId="49" fontId="16" fillId="13" borderId="1" xfId="0" applyNumberFormat="1" applyFont="1" applyFill="1" applyBorder="1" applyAlignment="1" applyProtection="1">
      <alignment vertical="center"/>
      <protection locked="0"/>
    </xf>
    <xf numFmtId="49" fontId="13" fillId="12" borderId="1" xfId="0" applyNumberFormat="1" applyFont="1" applyFill="1" applyBorder="1" applyAlignment="1" applyProtection="1">
      <alignment vertical="center"/>
      <protection locked="0"/>
    </xf>
    <xf numFmtId="167" fontId="13" fillId="12" borderId="1" xfId="12" applyNumberFormat="1" applyFont="1" applyFill="1" applyBorder="1" applyAlignment="1" applyProtection="1">
      <alignment vertical="center"/>
      <protection locked="0"/>
    </xf>
    <xf numFmtId="41" fontId="16" fillId="13" borderId="1" xfId="1" applyFont="1" applyFill="1" applyBorder="1" applyAlignment="1" applyProtection="1">
      <alignment vertical="center"/>
    </xf>
    <xf numFmtId="1" fontId="7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49" fontId="13" fillId="11" borderId="1" xfId="0" applyNumberFormat="1" applyFont="1" applyFill="1" applyBorder="1" applyAlignment="1">
      <alignment vertical="center"/>
    </xf>
    <xf numFmtId="0" fontId="18" fillId="7" borderId="1" xfId="2" applyFont="1" applyFill="1" applyBorder="1" applyAlignment="1" applyProtection="1">
      <alignment horizontal="left" vertical="center"/>
      <protection locked="0"/>
    </xf>
    <xf numFmtId="49" fontId="13" fillId="12" borderId="1" xfId="0" applyNumberFormat="1" applyFont="1" applyFill="1" applyBorder="1" applyAlignment="1">
      <alignment vertical="center"/>
    </xf>
    <xf numFmtId="0" fontId="16" fillId="13" borderId="1" xfId="0" applyFont="1" applyFill="1" applyBorder="1" applyProtection="1">
      <protection locked="0"/>
    </xf>
    <xf numFmtId="49" fontId="16" fillId="13" borderId="1" xfId="0" applyNumberFormat="1" applyFont="1" applyFill="1" applyBorder="1" applyAlignment="1">
      <alignment vertical="center"/>
    </xf>
    <xf numFmtId="1" fontId="13" fillId="12" borderId="1" xfId="1" applyNumberFormat="1" applyFont="1" applyFill="1" applyBorder="1" applyAlignment="1" applyProtection="1">
      <alignment horizontal="center" vertical="center"/>
    </xf>
    <xf numFmtId="1" fontId="16" fillId="13" borderId="1" xfId="0" applyNumberFormat="1" applyFont="1" applyFill="1" applyBorder="1" applyAlignment="1" applyProtection="1">
      <alignment horizontal="center" vertical="center"/>
      <protection locked="0"/>
    </xf>
    <xf numFmtId="1" fontId="16" fillId="13" borderId="1" xfId="0" applyNumberFormat="1" applyFont="1" applyFill="1" applyBorder="1" applyAlignment="1">
      <alignment horizontal="center"/>
    </xf>
    <xf numFmtId="0" fontId="13" fillId="15" borderId="1" xfId="2" applyFont="1" applyFill="1" applyBorder="1" applyAlignment="1" applyProtection="1">
      <alignment horizontal="left" vertical="center"/>
      <protection locked="0"/>
    </xf>
    <xf numFmtId="1" fontId="19" fillId="17" borderId="1" xfId="0" applyNumberFormat="1" applyFont="1" applyFill="1" applyBorder="1" applyAlignment="1" applyProtection="1">
      <alignment horizontal="center" vertical="center"/>
      <protection locked="0"/>
    </xf>
    <xf numFmtId="0" fontId="19" fillId="17" borderId="1" xfId="2" applyFont="1" applyFill="1" applyBorder="1" applyAlignment="1" applyProtection="1">
      <alignment horizontal="left" vertical="center"/>
      <protection locked="0"/>
    </xf>
    <xf numFmtId="41" fontId="19" fillId="17" borderId="1" xfId="1" applyFont="1" applyFill="1" applyBorder="1" applyAlignment="1" applyProtection="1">
      <alignment vertical="center"/>
    </xf>
    <xf numFmtId="1" fontId="4" fillId="18" borderId="1" xfId="1" applyNumberFormat="1" applyFont="1" applyFill="1" applyBorder="1" applyAlignment="1" applyProtection="1">
      <alignment horizontal="center" vertical="center"/>
    </xf>
    <xf numFmtId="49" fontId="4" fillId="18" borderId="1" xfId="0" applyNumberFormat="1" applyFont="1" applyFill="1" applyBorder="1" applyAlignment="1" applyProtection="1">
      <alignment vertical="center"/>
      <protection locked="0"/>
    </xf>
    <xf numFmtId="49" fontId="13" fillId="19" borderId="1" xfId="0" applyNumberFormat="1" applyFont="1" applyFill="1" applyBorder="1" applyAlignment="1">
      <alignment vertical="center"/>
    </xf>
    <xf numFmtId="49" fontId="4" fillId="14" borderId="1" xfId="0" applyNumberFormat="1" applyFont="1" applyFill="1" applyBorder="1" applyAlignment="1">
      <alignment vertical="center"/>
    </xf>
    <xf numFmtId="0" fontId="4" fillId="20" borderId="1" xfId="2" applyFont="1" applyFill="1" applyBorder="1" applyAlignment="1" applyProtection="1">
      <alignment horizontal="left" vertical="center"/>
      <protection locked="0"/>
    </xf>
    <xf numFmtId="1" fontId="4" fillId="21" borderId="1" xfId="1" applyNumberFormat="1" applyFont="1" applyFill="1" applyBorder="1" applyAlignment="1" applyProtection="1">
      <alignment horizontal="center" vertical="center"/>
    </xf>
    <xf numFmtId="49" fontId="4" fillId="21" borderId="1" xfId="0" applyNumberFormat="1" applyFont="1" applyFill="1" applyBorder="1" applyAlignment="1" applyProtection="1">
      <alignment vertical="center"/>
      <protection locked="0"/>
    </xf>
    <xf numFmtId="1" fontId="4" fillId="22" borderId="1" xfId="1" applyNumberFormat="1" applyFont="1" applyFill="1" applyBorder="1" applyAlignment="1" applyProtection="1">
      <alignment horizontal="center" vertical="center"/>
    </xf>
    <xf numFmtId="49" fontId="4" fillId="22" borderId="1" xfId="0" applyNumberFormat="1" applyFont="1" applyFill="1" applyBorder="1" applyAlignment="1" applyProtection="1">
      <alignment vertical="center"/>
      <protection locked="0"/>
    </xf>
    <xf numFmtId="0" fontId="13" fillId="23" borderId="1" xfId="2" applyFont="1" applyFill="1" applyBorder="1" applyAlignment="1" applyProtection="1">
      <alignment horizontal="left" vertical="center"/>
      <protection locked="0"/>
    </xf>
    <xf numFmtId="1" fontId="13" fillId="24" borderId="1" xfId="1" applyNumberFormat="1" applyFont="1" applyFill="1" applyBorder="1" applyAlignment="1" applyProtection="1">
      <alignment horizontal="center" vertical="center"/>
    </xf>
    <xf numFmtId="49" fontId="13" fillId="24" borderId="1" xfId="0" applyNumberFormat="1" applyFont="1" applyFill="1" applyBorder="1" applyAlignment="1" applyProtection="1">
      <alignment vertical="center"/>
      <protection locked="0"/>
    </xf>
    <xf numFmtId="1" fontId="14" fillId="28" borderId="1" xfId="0" applyNumberFormat="1" applyFont="1" applyFill="1" applyBorder="1" applyAlignment="1">
      <alignment horizontal="left"/>
    </xf>
    <xf numFmtId="1" fontId="14" fillId="6" borderId="1" xfId="0" applyNumberFormat="1" applyFont="1" applyFill="1" applyBorder="1" applyAlignment="1">
      <alignment horizontal="left"/>
    </xf>
    <xf numFmtId="41" fontId="10" fillId="5" borderId="2" xfId="13" applyFont="1" applyFill="1" applyBorder="1" applyAlignment="1"/>
    <xf numFmtId="0" fontId="13" fillId="31" borderId="1" xfId="2" applyFont="1" applyFill="1" applyBorder="1" applyAlignment="1" applyProtection="1">
      <alignment horizontal="left" vertical="center"/>
      <protection locked="0"/>
    </xf>
    <xf numFmtId="1" fontId="21" fillId="3" borderId="1" xfId="1" applyNumberFormat="1" applyFont="1" applyFill="1" applyBorder="1" applyAlignment="1" applyProtection="1">
      <alignment horizontal="center" vertical="center"/>
    </xf>
    <xf numFmtId="49" fontId="21" fillId="3" borderId="1" xfId="0" applyNumberFormat="1" applyFont="1" applyFill="1" applyBorder="1" applyAlignment="1" applyProtection="1">
      <alignment vertical="center"/>
      <protection locked="0"/>
    </xf>
    <xf numFmtId="2" fontId="7" fillId="0" borderId="0" xfId="0" applyNumberFormat="1" applyFont="1" applyAlignment="1">
      <alignment vertical="center"/>
    </xf>
    <xf numFmtId="41" fontId="8" fillId="0" borderId="0" xfId="13" applyFont="1" applyAlignment="1">
      <alignment vertical="center"/>
    </xf>
    <xf numFmtId="2" fontId="8" fillId="0" borderId="0" xfId="13" applyNumberFormat="1" applyFont="1" applyAlignment="1">
      <alignment vertical="center"/>
    </xf>
    <xf numFmtId="1" fontId="9" fillId="0" borderId="0" xfId="13" applyNumberFormat="1" applyFont="1" applyAlignment="1">
      <alignment horizontal="left"/>
    </xf>
    <xf numFmtId="1" fontId="13" fillId="11" borderId="1" xfId="0" applyNumberFormat="1" applyFont="1" applyFill="1" applyBorder="1" applyAlignment="1">
      <alignment horizontal="center" vertical="center"/>
    </xf>
    <xf numFmtId="49" fontId="13" fillId="30" borderId="1" xfId="0" applyNumberFormat="1" applyFont="1" applyFill="1" applyBorder="1" applyAlignment="1">
      <alignment vertical="center"/>
    </xf>
    <xf numFmtId="167" fontId="13" fillId="30" borderId="1" xfId="12" applyNumberFormat="1" applyFont="1" applyFill="1" applyBorder="1" applyAlignment="1">
      <alignment vertical="center"/>
    </xf>
    <xf numFmtId="49" fontId="13" fillId="16" borderId="1" xfId="0" applyNumberFormat="1" applyFont="1" applyFill="1" applyBorder="1"/>
    <xf numFmtId="167" fontId="13" fillId="16" borderId="1" xfId="12" applyNumberFormat="1" applyFont="1" applyFill="1" applyBorder="1" applyAlignment="1"/>
    <xf numFmtId="49" fontId="4" fillId="6" borderId="1" xfId="0" applyNumberFormat="1" applyFont="1" applyFill="1" applyBorder="1" applyAlignment="1">
      <alignment vertical="center"/>
    </xf>
    <xf numFmtId="167" fontId="4" fillId="6" borderId="1" xfId="12" applyNumberFormat="1" applyFont="1" applyFill="1" applyBorder="1" applyAlignment="1">
      <alignment vertical="center"/>
    </xf>
    <xf numFmtId="1" fontId="13" fillId="15" borderId="1" xfId="12" applyNumberFormat="1" applyFont="1" applyFill="1" applyBorder="1" applyAlignment="1">
      <alignment horizontal="center" vertical="center"/>
    </xf>
    <xf numFmtId="167" fontId="13" fillId="15" borderId="1" xfId="12" applyNumberFormat="1" applyFont="1" applyFill="1" applyBorder="1" applyAlignment="1">
      <alignment vertical="center"/>
    </xf>
    <xf numFmtId="1" fontId="15" fillId="7" borderId="1" xfId="12" applyNumberFormat="1" applyFont="1" applyFill="1" applyBorder="1" applyAlignment="1">
      <alignment horizontal="center" vertical="center"/>
    </xf>
    <xf numFmtId="167" fontId="15" fillId="7" borderId="1" xfId="12" applyNumberFormat="1" applyFont="1" applyFill="1" applyBorder="1" applyAlignment="1">
      <alignment vertical="center"/>
    </xf>
    <xf numFmtId="1" fontId="13" fillId="12" borderId="1" xfId="0" applyNumberFormat="1" applyFont="1" applyFill="1" applyBorder="1" applyAlignment="1">
      <alignment horizontal="center" vertical="center"/>
    </xf>
    <xf numFmtId="166" fontId="19" fillId="17" borderId="1" xfId="8" applyNumberFormat="1" applyFont="1" applyFill="1" applyBorder="1" applyAlignment="1" applyProtection="1">
      <alignment horizontal="left" vertical="center"/>
      <protection locked="0"/>
    </xf>
    <xf numFmtId="167" fontId="4" fillId="18" borderId="1" xfId="12" applyNumberFormat="1" applyFont="1" applyFill="1" applyBorder="1" applyAlignment="1" applyProtection="1">
      <alignment vertical="center"/>
      <protection locked="0"/>
    </xf>
    <xf numFmtId="1" fontId="13" fillId="19" borderId="1" xfId="0" applyNumberFormat="1" applyFont="1" applyFill="1" applyBorder="1" applyAlignment="1">
      <alignment horizontal="center" vertical="center"/>
    </xf>
    <xf numFmtId="1" fontId="4" fillId="14" borderId="1" xfId="0" applyNumberFormat="1" applyFont="1" applyFill="1" applyBorder="1" applyAlignment="1">
      <alignment horizontal="center" vertical="center"/>
    </xf>
    <xf numFmtId="1" fontId="4" fillId="20" borderId="1" xfId="12" applyNumberFormat="1" applyFont="1" applyFill="1" applyBorder="1" applyAlignment="1">
      <alignment horizontal="center" vertical="center"/>
    </xf>
    <xf numFmtId="167" fontId="4" fillId="20" borderId="1" xfId="12" applyNumberFormat="1" applyFont="1" applyFill="1" applyBorder="1" applyAlignment="1">
      <alignment vertical="center"/>
    </xf>
    <xf numFmtId="167" fontId="4" fillId="21" borderId="1" xfId="12" applyNumberFormat="1" applyFont="1" applyFill="1" applyBorder="1" applyAlignment="1" applyProtection="1">
      <alignment vertical="center"/>
      <protection locked="0"/>
    </xf>
    <xf numFmtId="167" fontId="4" fillId="22" borderId="1" xfId="12" applyNumberFormat="1" applyFont="1" applyFill="1" applyBorder="1" applyAlignment="1" applyProtection="1">
      <alignment vertical="center"/>
      <protection locked="0"/>
    </xf>
    <xf numFmtId="0" fontId="16" fillId="13" borderId="1" xfId="0" applyFont="1" applyFill="1" applyBorder="1"/>
    <xf numFmtId="1" fontId="13" fillId="23" borderId="1" xfId="12" applyNumberFormat="1" applyFont="1" applyFill="1" applyBorder="1" applyAlignment="1">
      <alignment horizontal="center" vertical="center"/>
    </xf>
    <xf numFmtId="167" fontId="13" fillId="23" borderId="1" xfId="12" applyNumberFormat="1" applyFont="1" applyFill="1" applyBorder="1" applyAlignment="1">
      <alignment vertical="center"/>
    </xf>
    <xf numFmtId="167" fontId="13" fillId="24" borderId="1" xfId="12" applyNumberFormat="1" applyFont="1" applyFill="1" applyBorder="1" applyAlignment="1" applyProtection="1">
      <alignment vertical="center"/>
      <protection locked="0"/>
    </xf>
    <xf numFmtId="167" fontId="21" fillId="3" borderId="1" xfId="12" applyNumberFormat="1" applyFont="1" applyFill="1" applyBorder="1" applyAlignment="1" applyProtection="1">
      <alignment vertical="center"/>
      <protection locked="0"/>
    </xf>
    <xf numFmtId="1" fontId="13" fillId="31" borderId="1" xfId="12" applyNumberFormat="1" applyFont="1" applyFill="1" applyBorder="1" applyAlignment="1">
      <alignment horizontal="center" vertical="center"/>
    </xf>
    <xf numFmtId="167" fontId="13" fillId="31" borderId="1" xfId="12" applyNumberFormat="1" applyFont="1" applyFill="1" applyBorder="1" applyAlignment="1">
      <alignment vertical="center"/>
    </xf>
    <xf numFmtId="49" fontId="14" fillId="28" borderId="1" xfId="0" applyNumberFormat="1" applyFont="1" applyFill="1" applyBorder="1"/>
    <xf numFmtId="49" fontId="14" fillId="6" borderId="1" xfId="0" applyNumberFormat="1" applyFont="1" applyFill="1" applyBorder="1"/>
    <xf numFmtId="2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" fontId="13" fillId="32" borderId="1" xfId="0" applyNumberFormat="1" applyFont="1" applyFill="1" applyBorder="1" applyAlignment="1">
      <alignment horizontal="left"/>
    </xf>
    <xf numFmtId="1" fontId="14" fillId="25" borderId="1" xfId="0" applyNumberFormat="1" applyFont="1" applyFill="1" applyBorder="1" applyAlignment="1">
      <alignment horizontal="left"/>
    </xf>
    <xf numFmtId="1" fontId="22" fillId="26" borderId="1" xfId="0" applyNumberFormat="1" applyFont="1" applyFill="1" applyBorder="1" applyAlignment="1">
      <alignment horizontal="left"/>
    </xf>
    <xf numFmtId="49" fontId="22" fillId="26" borderId="1" xfId="0" applyNumberFormat="1" applyFont="1" applyFill="1" applyBorder="1"/>
    <xf numFmtId="1" fontId="11" fillId="27" borderId="1" xfId="0" applyNumberFormat="1" applyFont="1" applyFill="1" applyBorder="1" applyAlignment="1">
      <alignment horizontal="left"/>
    </xf>
    <xf numFmtId="37" fontId="8" fillId="27" borderId="1" xfId="14" applyFont="1" applyFill="1" applyBorder="1" applyAlignment="1">
      <alignment horizontal="justify" vertical="center"/>
    </xf>
    <xf numFmtId="1" fontId="4" fillId="27" borderId="1" xfId="0" applyNumberFormat="1" applyFont="1" applyFill="1" applyBorder="1" applyAlignment="1">
      <alignment horizontal="left"/>
    </xf>
    <xf numFmtId="1" fontId="17" fillId="29" borderId="1" xfId="0" applyNumberFormat="1" applyFont="1" applyFill="1" applyBorder="1" applyAlignment="1">
      <alignment horizontal="left"/>
    </xf>
    <xf numFmtId="167" fontId="3" fillId="0" borderId="0" xfId="12" applyNumberFormat="1" applyFont="1" applyAlignment="1">
      <alignment vertical="center"/>
    </xf>
    <xf numFmtId="167" fontId="2" fillId="0" borderId="0" xfId="12" applyNumberFormat="1" applyFont="1"/>
    <xf numFmtId="1" fontId="7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center" vertical="center" wrapText="1"/>
    </xf>
    <xf numFmtId="49" fontId="13" fillId="11" borderId="4" xfId="0" applyNumberFormat="1" applyFont="1" applyFill="1" applyBorder="1" applyAlignment="1">
      <alignment vertical="center"/>
    </xf>
    <xf numFmtId="49" fontId="13" fillId="30" borderId="4" xfId="0" applyNumberFormat="1" applyFont="1" applyFill="1" applyBorder="1" applyAlignment="1">
      <alignment vertical="center"/>
    </xf>
    <xf numFmtId="49" fontId="13" fillId="16" borderId="4" xfId="0" applyNumberFormat="1" applyFont="1" applyFill="1" applyBorder="1"/>
    <xf numFmtId="49" fontId="4" fillId="6" borderId="4" xfId="0" applyNumberFormat="1" applyFont="1" applyFill="1" applyBorder="1" applyAlignment="1">
      <alignment vertical="center"/>
    </xf>
    <xf numFmtId="49" fontId="13" fillId="12" borderId="4" xfId="0" applyNumberFormat="1" applyFont="1" applyFill="1" applyBorder="1" applyAlignment="1">
      <alignment vertical="center"/>
    </xf>
    <xf numFmtId="49" fontId="16" fillId="13" borderId="4" xfId="0" applyNumberFormat="1" applyFont="1" applyFill="1" applyBorder="1" applyAlignment="1" applyProtection="1">
      <alignment vertical="center"/>
      <protection locked="0"/>
    </xf>
    <xf numFmtId="166" fontId="19" fillId="17" borderId="4" xfId="8" applyNumberFormat="1" applyFont="1" applyFill="1" applyBorder="1" applyAlignment="1" applyProtection="1">
      <alignment horizontal="left" vertical="center"/>
      <protection locked="0"/>
    </xf>
    <xf numFmtId="49" fontId="13" fillId="19" borderId="4" xfId="0" applyNumberFormat="1" applyFont="1" applyFill="1" applyBorder="1" applyAlignment="1">
      <alignment vertical="center"/>
    </xf>
    <xf numFmtId="0" fontId="16" fillId="13" borderId="4" xfId="0" applyFont="1" applyFill="1" applyBorder="1"/>
    <xf numFmtId="1" fontId="22" fillId="26" borderId="4" xfId="0" applyNumberFormat="1" applyFont="1" applyFill="1" applyBorder="1" applyAlignment="1">
      <alignment horizontal="left"/>
    </xf>
    <xf numFmtId="1" fontId="11" fillId="27" borderId="4" xfId="0" applyNumberFormat="1" applyFont="1" applyFill="1" applyBorder="1" applyAlignment="1">
      <alignment horizontal="left"/>
    </xf>
    <xf numFmtId="1" fontId="14" fillId="28" borderId="4" xfId="0" applyNumberFormat="1" applyFont="1" applyFill="1" applyBorder="1" applyAlignment="1">
      <alignment horizontal="left"/>
    </xf>
    <xf numFmtId="1" fontId="14" fillId="6" borderId="4" xfId="0" applyNumberFormat="1" applyFont="1" applyFill="1" applyBorder="1" applyAlignment="1">
      <alignment horizontal="left"/>
    </xf>
    <xf numFmtId="1" fontId="13" fillId="32" borderId="4" xfId="0" applyNumberFormat="1" applyFont="1" applyFill="1" applyBorder="1" applyAlignment="1">
      <alignment horizontal="left"/>
    </xf>
    <xf numFmtId="1" fontId="4" fillId="27" borderId="4" xfId="0" applyNumberFormat="1" applyFont="1" applyFill="1" applyBorder="1" applyAlignment="1">
      <alignment horizontal="left"/>
    </xf>
    <xf numFmtId="1" fontId="14" fillId="25" borderId="4" xfId="0" applyNumberFormat="1" applyFont="1" applyFill="1" applyBorder="1" applyAlignment="1">
      <alignment horizontal="left"/>
    </xf>
    <xf numFmtId="1" fontId="17" fillId="29" borderId="4" xfId="0" applyNumberFormat="1" applyFont="1" applyFill="1" applyBorder="1" applyAlignment="1">
      <alignment horizontal="left"/>
    </xf>
    <xf numFmtId="0" fontId="16" fillId="13" borderId="6" xfId="0" applyFont="1" applyFill="1" applyBorder="1"/>
    <xf numFmtId="1" fontId="16" fillId="13" borderId="7" xfId="0" applyNumberFormat="1" applyFont="1" applyFill="1" applyBorder="1" applyAlignment="1">
      <alignment horizontal="center"/>
    </xf>
    <xf numFmtId="49" fontId="16" fillId="13" borderId="7" xfId="0" applyNumberFormat="1" applyFont="1" applyFill="1" applyBorder="1" applyAlignment="1">
      <alignment vertical="center"/>
    </xf>
    <xf numFmtId="41" fontId="16" fillId="13" borderId="7" xfId="1" applyFont="1" applyFill="1" applyBorder="1" applyAlignment="1" applyProtection="1">
      <alignment vertical="center"/>
    </xf>
    <xf numFmtId="2" fontId="15" fillId="7" borderId="1" xfId="12" applyNumberFormat="1" applyFont="1" applyFill="1" applyBorder="1" applyAlignment="1">
      <alignment horizontal="left" vertical="center"/>
    </xf>
    <xf numFmtId="49" fontId="18" fillId="7" borderId="1" xfId="0" applyNumberFormat="1" applyFont="1" applyFill="1" applyBorder="1" applyAlignment="1" applyProtection="1">
      <alignment vertical="center"/>
      <protection locked="0"/>
    </xf>
    <xf numFmtId="2" fontId="13" fillId="12" borderId="1" xfId="0" applyNumberFormat="1" applyFont="1" applyFill="1" applyBorder="1" applyAlignment="1" applyProtection="1">
      <alignment vertical="center"/>
      <protection locked="0"/>
    </xf>
    <xf numFmtId="0" fontId="13" fillId="12" borderId="1" xfId="2" applyFont="1" applyFill="1" applyBorder="1" applyAlignment="1" applyProtection="1">
      <alignment horizontal="left" vertical="center"/>
      <protection locked="0"/>
    </xf>
    <xf numFmtId="2" fontId="16" fillId="13" borderId="1" xfId="0" applyNumberFormat="1" applyFont="1" applyFill="1" applyBorder="1"/>
    <xf numFmtId="1" fontId="12" fillId="9" borderId="9" xfId="0" applyNumberFormat="1" applyFont="1" applyFill="1" applyBorder="1" applyAlignment="1">
      <alignment vertical="center"/>
    </xf>
    <xf numFmtId="1" fontId="12" fillId="9" borderId="3" xfId="0" applyNumberFormat="1" applyFont="1" applyFill="1" applyBorder="1" applyAlignment="1">
      <alignment vertical="center"/>
    </xf>
    <xf numFmtId="167" fontId="13" fillId="32" borderId="5" xfId="12" applyNumberFormat="1" applyFont="1" applyFill="1" applyBorder="1" applyAlignment="1"/>
    <xf numFmtId="167" fontId="4" fillId="27" borderId="5" xfId="12" applyNumberFormat="1" applyFont="1" applyFill="1" applyBorder="1" applyAlignment="1"/>
    <xf numFmtId="167" fontId="14" fillId="25" borderId="5" xfId="12" applyNumberFormat="1" applyFont="1" applyFill="1" applyBorder="1" applyAlignment="1"/>
    <xf numFmtId="167" fontId="17" fillId="29" borderId="5" xfId="12" applyNumberFormat="1" applyFont="1" applyFill="1" applyBorder="1" applyAlignment="1"/>
    <xf numFmtId="43" fontId="15" fillId="7" borderId="4" xfId="12" applyFont="1" applyFill="1" applyBorder="1" applyAlignment="1">
      <alignment horizontal="left" vertical="center"/>
    </xf>
    <xf numFmtId="167" fontId="15" fillId="7" borderId="5" xfId="12" applyNumberFormat="1" applyFont="1" applyFill="1" applyBorder="1" applyAlignment="1">
      <alignment vertical="center"/>
    </xf>
    <xf numFmtId="49" fontId="13" fillId="12" borderId="4" xfId="0" applyNumberFormat="1" applyFont="1" applyFill="1" applyBorder="1" applyProtection="1">
      <protection locked="0"/>
    </xf>
    <xf numFmtId="167" fontId="13" fillId="12" borderId="5" xfId="12" applyNumberFormat="1" applyFont="1" applyFill="1" applyBorder="1" applyAlignment="1" applyProtection="1">
      <alignment vertical="center"/>
      <protection locked="0"/>
    </xf>
    <xf numFmtId="41" fontId="16" fillId="13" borderId="5" xfId="1" applyFont="1" applyFill="1" applyBorder="1" applyAlignment="1" applyProtection="1">
      <alignment vertical="center"/>
    </xf>
    <xf numFmtId="2" fontId="16" fillId="13" borderId="7" xfId="0" applyNumberFormat="1" applyFont="1" applyFill="1" applyBorder="1"/>
    <xf numFmtId="0" fontId="16" fillId="13" borderId="7" xfId="0" applyFont="1" applyFill="1" applyBorder="1"/>
    <xf numFmtId="41" fontId="16" fillId="13" borderId="8" xfId="1" applyFont="1" applyFill="1" applyBorder="1" applyAlignment="1" applyProtection="1">
      <alignment vertical="center"/>
    </xf>
    <xf numFmtId="167" fontId="22" fillId="26" borderId="5" xfId="12" applyNumberFormat="1" applyFont="1" applyFill="1" applyBorder="1" applyAlignment="1"/>
    <xf numFmtId="167" fontId="14" fillId="28" borderId="5" xfId="12" applyNumberFormat="1" applyFont="1" applyFill="1" applyBorder="1" applyAlignment="1"/>
    <xf numFmtId="167" fontId="14" fillId="6" borderId="5" xfId="12" applyNumberFormat="1" applyFont="1" applyFill="1" applyBorder="1" applyAlignment="1"/>
    <xf numFmtId="2" fontId="13" fillId="11" borderId="1" xfId="0" applyNumberFormat="1" applyFont="1" applyFill="1" applyBorder="1" applyAlignment="1">
      <alignment vertical="center"/>
    </xf>
    <xf numFmtId="2" fontId="13" fillId="15" borderId="1" xfId="12" applyNumberFormat="1" applyFont="1" applyFill="1" applyBorder="1" applyAlignment="1">
      <alignment horizontal="left" vertical="center"/>
    </xf>
    <xf numFmtId="49" fontId="13" fillId="15" borderId="1" xfId="0" applyNumberFormat="1" applyFont="1" applyFill="1" applyBorder="1" applyAlignment="1" applyProtection="1">
      <alignment vertical="center"/>
      <protection locked="0"/>
    </xf>
    <xf numFmtId="2" fontId="13" fillId="12" borderId="1" xfId="0" applyNumberFormat="1" applyFont="1" applyFill="1" applyBorder="1" applyAlignment="1">
      <alignment vertical="center"/>
    </xf>
    <xf numFmtId="2" fontId="16" fillId="13" borderId="1" xfId="0" applyNumberFormat="1" applyFont="1" applyFill="1" applyBorder="1" applyAlignment="1" applyProtection="1">
      <alignment vertical="center"/>
      <protection locked="0"/>
    </xf>
    <xf numFmtId="2" fontId="19" fillId="17" borderId="1" xfId="8" applyNumberFormat="1" applyFont="1" applyFill="1" applyBorder="1" applyAlignment="1" applyProtection="1">
      <alignment horizontal="left" vertical="center"/>
      <protection locked="0"/>
    </xf>
    <xf numFmtId="2" fontId="4" fillId="18" borderId="1" xfId="0" applyNumberFormat="1" applyFont="1" applyFill="1" applyBorder="1" applyAlignment="1" applyProtection="1">
      <alignment vertical="center"/>
      <protection locked="0"/>
    </xf>
    <xf numFmtId="0" fontId="4" fillId="18" borderId="1" xfId="2" applyFont="1" applyFill="1" applyBorder="1" applyAlignment="1" applyProtection="1">
      <alignment horizontal="left" vertical="center"/>
      <protection locked="0"/>
    </xf>
    <xf numFmtId="2" fontId="13" fillId="19" borderId="1" xfId="0" applyNumberFormat="1" applyFont="1" applyFill="1" applyBorder="1" applyAlignment="1">
      <alignment vertical="center"/>
    </xf>
    <xf numFmtId="2" fontId="4" fillId="14" borderId="1" xfId="0" applyNumberFormat="1" applyFont="1" applyFill="1" applyBorder="1" applyAlignment="1">
      <alignment vertical="center"/>
    </xf>
    <xf numFmtId="2" fontId="4" fillId="20" borderId="1" xfId="12" applyNumberFormat="1" applyFont="1" applyFill="1" applyBorder="1" applyAlignment="1">
      <alignment horizontal="left" vertical="center"/>
    </xf>
    <xf numFmtId="49" fontId="4" fillId="20" borderId="1" xfId="0" applyNumberFormat="1" applyFont="1" applyFill="1" applyBorder="1" applyAlignment="1" applyProtection="1">
      <alignment vertical="center"/>
      <protection locked="0"/>
    </xf>
    <xf numFmtId="2" fontId="4" fillId="21" borderId="1" xfId="0" applyNumberFormat="1" applyFont="1" applyFill="1" applyBorder="1" applyAlignment="1" applyProtection="1">
      <alignment vertical="center"/>
      <protection locked="0"/>
    </xf>
    <xf numFmtId="0" fontId="4" fillId="21" borderId="1" xfId="2" applyFont="1" applyFill="1" applyBorder="1" applyAlignment="1" applyProtection="1">
      <alignment horizontal="left" vertical="center"/>
      <protection locked="0"/>
    </xf>
    <xf numFmtId="2" fontId="4" fillId="22" borderId="1" xfId="0" applyNumberFormat="1" applyFont="1" applyFill="1" applyBorder="1" applyAlignment="1" applyProtection="1">
      <alignment vertical="center"/>
      <protection locked="0"/>
    </xf>
    <xf numFmtId="0" fontId="4" fillId="22" borderId="1" xfId="2" applyFont="1" applyFill="1" applyBorder="1" applyAlignment="1" applyProtection="1">
      <alignment horizontal="left" vertical="center"/>
      <protection locked="0"/>
    </xf>
    <xf numFmtId="2" fontId="13" fillId="23" borderId="1" xfId="12" applyNumberFormat="1" applyFont="1" applyFill="1" applyBorder="1" applyAlignment="1">
      <alignment horizontal="left" vertical="center"/>
    </xf>
    <xf numFmtId="49" fontId="13" fillId="23" borderId="1" xfId="0" applyNumberFormat="1" applyFont="1" applyFill="1" applyBorder="1" applyAlignment="1" applyProtection="1">
      <alignment vertical="center"/>
      <protection locked="0"/>
    </xf>
    <xf numFmtId="2" fontId="13" fillId="24" borderId="1" xfId="0" applyNumberFormat="1" applyFont="1" applyFill="1" applyBorder="1" applyAlignment="1" applyProtection="1">
      <alignment vertical="center"/>
      <protection locked="0"/>
    </xf>
    <xf numFmtId="0" fontId="13" fillId="24" borderId="1" xfId="2" applyFont="1" applyFill="1" applyBorder="1" applyAlignment="1" applyProtection="1">
      <alignment horizontal="left" vertical="center"/>
      <protection locked="0"/>
    </xf>
    <xf numFmtId="2" fontId="21" fillId="3" borderId="1" xfId="0" applyNumberFormat="1" applyFont="1" applyFill="1" applyBorder="1" applyAlignment="1" applyProtection="1">
      <alignment vertical="center"/>
      <protection locked="0"/>
    </xf>
    <xf numFmtId="0" fontId="21" fillId="3" borderId="1" xfId="2" applyFont="1" applyFill="1" applyBorder="1" applyAlignment="1" applyProtection="1">
      <alignment horizontal="left" vertical="center"/>
      <protection locked="0"/>
    </xf>
    <xf numFmtId="2" fontId="13" fillId="31" borderId="1" xfId="12" applyNumberFormat="1" applyFont="1" applyFill="1" applyBorder="1" applyAlignment="1">
      <alignment horizontal="left" vertical="center"/>
    </xf>
    <xf numFmtId="49" fontId="13" fillId="31" borderId="1" xfId="0" applyNumberFormat="1" applyFont="1" applyFill="1" applyBorder="1" applyAlignment="1" applyProtection="1">
      <alignment vertical="center"/>
      <protection locked="0"/>
    </xf>
    <xf numFmtId="43" fontId="13" fillId="15" borderId="4" xfId="12" applyFont="1" applyFill="1" applyBorder="1" applyAlignment="1">
      <alignment horizontal="left" vertical="center"/>
    </xf>
    <xf numFmtId="49" fontId="13" fillId="12" borderId="4" xfId="0" applyNumberFormat="1" applyFont="1" applyFill="1" applyBorder="1" applyAlignment="1" applyProtection="1">
      <alignment vertical="center"/>
      <protection locked="0"/>
    </xf>
    <xf numFmtId="49" fontId="4" fillId="18" borderId="4" xfId="0" applyNumberFormat="1" applyFont="1" applyFill="1" applyBorder="1" applyAlignment="1" applyProtection="1">
      <alignment vertical="center"/>
      <protection locked="0"/>
    </xf>
    <xf numFmtId="49" fontId="4" fillId="14" borderId="4" xfId="0" applyNumberFormat="1" applyFont="1" applyFill="1" applyBorder="1"/>
    <xf numFmtId="43" fontId="4" fillId="20" borderId="4" xfId="12" applyFont="1" applyFill="1" applyBorder="1" applyAlignment="1"/>
    <xf numFmtId="49" fontId="4" fillId="21" borderId="4" xfId="0" applyNumberFormat="1" applyFont="1" applyFill="1" applyBorder="1" applyAlignment="1" applyProtection="1">
      <alignment vertical="center"/>
      <protection locked="0"/>
    </xf>
    <xf numFmtId="49" fontId="4" fillId="22" borderId="4" xfId="0" applyNumberFormat="1" applyFont="1" applyFill="1" applyBorder="1" applyAlignment="1" applyProtection="1">
      <alignment vertical="center"/>
      <protection locked="0"/>
    </xf>
    <xf numFmtId="43" fontId="13" fillId="23" borderId="4" xfId="12" applyFont="1" applyFill="1" applyBorder="1" applyAlignment="1"/>
    <xf numFmtId="49" fontId="13" fillId="24" borderId="4" xfId="0" applyNumberFormat="1" applyFont="1" applyFill="1" applyBorder="1" applyProtection="1">
      <protection locked="0"/>
    </xf>
    <xf numFmtId="49" fontId="21" fillId="3" borderId="4" xfId="0" applyNumberFormat="1" applyFont="1" applyFill="1" applyBorder="1" applyAlignment="1" applyProtection="1">
      <alignment vertical="center"/>
      <protection locked="0"/>
    </xf>
    <xf numFmtId="43" fontId="13" fillId="31" borderId="4" xfId="12" applyFont="1" applyFill="1" applyBorder="1" applyAlignment="1"/>
    <xf numFmtId="1" fontId="22" fillId="11" borderId="1" xfId="0" applyNumberFormat="1" applyFont="1" applyFill="1" applyBorder="1" applyAlignment="1">
      <alignment horizontal="left"/>
    </xf>
    <xf numFmtId="167" fontId="13" fillId="11" borderId="1" xfId="12" applyNumberFormat="1" applyFont="1" applyFill="1" applyBorder="1" applyAlignment="1" applyProtection="1">
      <alignment vertical="center"/>
    </xf>
    <xf numFmtId="49" fontId="4" fillId="33" borderId="1" xfId="0" applyNumberFormat="1" applyFont="1" applyFill="1" applyBorder="1" applyAlignment="1">
      <alignment vertical="center"/>
    </xf>
    <xf numFmtId="1" fontId="4" fillId="33" borderId="1" xfId="0" applyNumberFormat="1" applyFont="1" applyFill="1" applyBorder="1" applyAlignment="1">
      <alignment horizontal="left" vertical="center"/>
    </xf>
    <xf numFmtId="41" fontId="11" fillId="33" borderId="10" xfId="1" applyFont="1" applyFill="1" applyBorder="1" applyAlignment="1">
      <alignment vertical="center"/>
    </xf>
    <xf numFmtId="1" fontId="11" fillId="33" borderId="10" xfId="1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167" fontId="8" fillId="27" borderId="5" xfId="12" applyNumberFormat="1" applyFont="1" applyFill="1" applyBorder="1" applyAlignment="1">
      <alignment vertical="center"/>
    </xf>
    <xf numFmtId="167" fontId="8" fillId="0" borderId="0" xfId="12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1" fontId="7" fillId="0" borderId="0" xfId="0" applyNumberFormat="1" applyFont="1"/>
    <xf numFmtId="2" fontId="7" fillId="0" borderId="0" xfId="0" applyNumberFormat="1" applyFont="1"/>
    <xf numFmtId="1" fontId="7" fillId="0" borderId="0" xfId="0" applyNumberFormat="1" applyFont="1" applyAlignment="1">
      <alignment horizontal="center"/>
    </xf>
    <xf numFmtId="167" fontId="13" fillId="30" borderId="1" xfId="12" applyNumberFormat="1" applyFont="1" applyFill="1" applyBorder="1" applyAlignment="1">
      <alignment horizontal="center" vertical="center"/>
    </xf>
    <xf numFmtId="167" fontId="13" fillId="16" borderId="1" xfId="12" applyNumberFormat="1" applyFont="1" applyFill="1" applyBorder="1" applyAlignment="1">
      <alignment horizontal="left"/>
    </xf>
    <xf numFmtId="167" fontId="4" fillId="6" borderId="1" xfId="12" applyNumberFormat="1" applyFont="1" applyFill="1" applyBorder="1" applyAlignment="1">
      <alignment horizontal="left" vertical="center"/>
    </xf>
    <xf numFmtId="167" fontId="13" fillId="15" borderId="1" xfId="12" applyNumberFormat="1" applyFont="1" applyFill="1" applyBorder="1" applyAlignment="1">
      <alignment horizontal="left" vertical="center"/>
    </xf>
    <xf numFmtId="167" fontId="15" fillId="7" borderId="1" xfId="12" applyNumberFormat="1" applyFont="1" applyFill="1" applyBorder="1" applyAlignment="1">
      <alignment horizontal="left" vertical="center"/>
    </xf>
    <xf numFmtId="167" fontId="13" fillId="11" borderId="1" xfId="12" applyNumberFormat="1" applyFont="1" applyFill="1" applyBorder="1" applyAlignment="1" applyProtection="1">
      <alignment horizontal="left" vertical="center"/>
    </xf>
    <xf numFmtId="167" fontId="13" fillId="12" borderId="1" xfId="12" applyNumberFormat="1" applyFont="1" applyFill="1" applyBorder="1" applyAlignment="1" applyProtection="1">
      <alignment horizontal="left" vertical="center"/>
    </xf>
    <xf numFmtId="168" fontId="15" fillId="7" borderId="1" xfId="12" applyNumberFormat="1" applyFont="1" applyFill="1" applyBorder="1" applyAlignment="1">
      <alignment vertical="center"/>
    </xf>
    <xf numFmtId="168" fontId="13" fillId="12" borderId="1" xfId="12" applyNumberFormat="1" applyFont="1" applyFill="1" applyBorder="1" applyAlignment="1" applyProtection="1">
      <alignment vertical="center"/>
    </xf>
    <xf numFmtId="167" fontId="13" fillId="12" borderId="1" xfId="12" applyNumberFormat="1" applyFont="1" applyFill="1" applyBorder="1" applyAlignment="1" applyProtection="1">
      <alignment vertical="center"/>
    </xf>
    <xf numFmtId="167" fontId="16" fillId="10" borderId="1" xfId="12" applyNumberFormat="1" applyFont="1" applyFill="1" applyBorder="1" applyAlignment="1" applyProtection="1">
      <alignment vertical="center"/>
    </xf>
    <xf numFmtId="167" fontId="4" fillId="20" borderId="1" xfId="12" applyNumberFormat="1" applyFont="1" applyFill="1" applyBorder="1" applyAlignment="1">
      <alignment horizontal="center" vertical="center"/>
    </xf>
    <xf numFmtId="167" fontId="13" fillId="12" borderId="1" xfId="12" applyNumberFormat="1" applyFont="1" applyFill="1" applyBorder="1" applyAlignment="1" applyProtection="1">
      <alignment horizontal="center" vertical="center"/>
      <protection locked="0"/>
    </xf>
    <xf numFmtId="167" fontId="13" fillId="19" borderId="1" xfId="12" applyNumberFormat="1" applyFont="1" applyFill="1" applyBorder="1" applyAlignment="1" applyProtection="1">
      <alignment horizontal="center" vertical="center"/>
    </xf>
    <xf numFmtId="167" fontId="4" fillId="14" borderId="1" xfId="12" applyNumberFormat="1" applyFont="1" applyFill="1" applyBorder="1" applyAlignment="1" applyProtection="1">
      <alignment horizontal="center" vertical="center"/>
    </xf>
    <xf numFmtId="167" fontId="13" fillId="19" borderId="1" xfId="12" applyNumberFormat="1" applyFont="1" applyFill="1" applyBorder="1" applyAlignment="1" applyProtection="1">
      <alignment vertical="center"/>
    </xf>
    <xf numFmtId="167" fontId="4" fillId="14" borderId="1" xfId="12" applyNumberFormat="1" applyFont="1" applyFill="1" applyBorder="1" applyAlignment="1" applyProtection="1">
      <alignment vertical="center"/>
    </xf>
    <xf numFmtId="167" fontId="19" fillId="17" borderId="1" xfId="12" applyNumberFormat="1" applyFont="1" applyFill="1" applyBorder="1" applyAlignment="1" applyProtection="1">
      <alignment vertical="center"/>
    </xf>
    <xf numFmtId="167" fontId="6" fillId="0" borderId="0" xfId="12" applyNumberFormat="1" applyFont="1" applyAlignment="1">
      <alignment horizontal="center" vertical="center" wrapText="1"/>
    </xf>
    <xf numFmtId="167" fontId="13" fillId="9" borderId="14" xfId="12" applyNumberFormat="1" applyFont="1" applyFill="1" applyBorder="1" applyAlignment="1">
      <alignment horizontal="center"/>
    </xf>
    <xf numFmtId="167" fontId="13" fillId="8" borderId="1" xfId="12" applyNumberFormat="1" applyFont="1" applyFill="1" applyBorder="1" applyAlignment="1" applyProtection="1">
      <alignment vertical="center"/>
    </xf>
    <xf numFmtId="167" fontId="16" fillId="13" borderId="1" xfId="12" applyNumberFormat="1" applyFont="1" applyFill="1" applyBorder="1" applyAlignment="1" applyProtection="1">
      <alignment vertical="center"/>
    </xf>
    <xf numFmtId="167" fontId="16" fillId="13" borderId="5" xfId="12" applyNumberFormat="1" applyFont="1" applyFill="1" applyBorder="1" applyAlignment="1" applyProtection="1">
      <alignment vertical="center"/>
    </xf>
    <xf numFmtId="167" fontId="16" fillId="13" borderId="8" xfId="12" applyNumberFormat="1" applyFont="1" applyFill="1" applyBorder="1" applyAlignment="1" applyProtection="1">
      <alignment vertical="center"/>
    </xf>
    <xf numFmtId="167" fontId="16" fillId="10" borderId="1" xfId="1" applyNumberFormat="1" applyFont="1" applyFill="1" applyBorder="1" applyAlignment="1" applyProtection="1">
      <alignment vertical="center"/>
    </xf>
    <xf numFmtId="1" fontId="16" fillId="13" borderId="1" xfId="0" applyNumberFormat="1" applyFont="1" applyFill="1" applyBorder="1" applyAlignment="1">
      <alignment horizontal="left"/>
    </xf>
    <xf numFmtId="1" fontId="16" fillId="13" borderId="1" xfId="0" applyNumberFormat="1" applyFont="1" applyFill="1" applyBorder="1" applyAlignment="1" applyProtection="1">
      <alignment horizontal="left" vertical="center"/>
      <protection locked="0"/>
    </xf>
    <xf numFmtId="1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0" fontId="16" fillId="13" borderId="1" xfId="2" applyFont="1" applyFill="1" applyBorder="1" applyAlignment="1" applyProtection="1">
      <alignment vertical="center"/>
      <protection locked="0"/>
    </xf>
    <xf numFmtId="1" fontId="16" fillId="13" borderId="1" xfId="0" applyNumberFormat="1" applyFont="1" applyFill="1" applyBorder="1" applyAlignment="1" applyProtection="1">
      <alignment vertical="center"/>
      <protection locked="0"/>
    </xf>
    <xf numFmtId="167" fontId="19" fillId="17" borderId="1" xfId="12" applyNumberFormat="1" applyFont="1" applyFill="1" applyBorder="1" applyAlignment="1" applyProtection="1">
      <alignment horizontal="center" vertical="center"/>
    </xf>
    <xf numFmtId="167" fontId="16" fillId="10" borderId="1" xfId="12" applyNumberFormat="1" applyFont="1" applyFill="1" applyBorder="1" applyAlignment="1" applyProtection="1">
      <alignment horizontal="center" vertical="center"/>
    </xf>
    <xf numFmtId="167" fontId="16" fillId="10" borderId="1" xfId="12" applyNumberFormat="1" applyFont="1" applyFill="1" applyBorder="1" applyAlignment="1" applyProtection="1">
      <alignment horizontal="left" vertical="center"/>
    </xf>
    <xf numFmtId="0" fontId="16" fillId="13" borderId="1" xfId="2" applyNumberFormat="1" applyFont="1" applyFill="1" applyBorder="1" applyAlignment="1" applyProtection="1">
      <alignment horizontal="left" vertical="center"/>
      <protection locked="0"/>
    </xf>
    <xf numFmtId="0" fontId="16" fillId="10" borderId="1" xfId="12" applyNumberFormat="1" applyFont="1" applyFill="1" applyBorder="1" applyAlignment="1" applyProtection="1">
      <alignment horizontal="left" vertical="center"/>
    </xf>
    <xf numFmtId="9" fontId="15" fillId="7" borderId="1" xfId="12" applyNumberFormat="1" applyFont="1" applyFill="1" applyBorder="1" applyAlignment="1">
      <alignment horizontal="center" vertical="center"/>
    </xf>
    <xf numFmtId="9" fontId="13" fillId="12" borderId="1" xfId="1" applyNumberFormat="1" applyFont="1" applyFill="1" applyBorder="1" applyAlignment="1" applyProtection="1">
      <alignment horizontal="center" vertical="center"/>
    </xf>
    <xf numFmtId="9" fontId="11" fillId="33" borderId="10" xfId="1" applyNumberFormat="1" applyFont="1" applyFill="1" applyBorder="1" applyAlignment="1">
      <alignment horizontal="center" vertical="center"/>
    </xf>
    <xf numFmtId="9" fontId="13" fillId="11" borderId="1" xfId="1" applyNumberFormat="1" applyFont="1" applyFill="1" applyBorder="1" applyAlignment="1" applyProtection="1">
      <alignment horizontal="center" vertical="center"/>
    </xf>
    <xf numFmtId="9" fontId="13" fillId="30" borderId="1" xfId="12" applyNumberFormat="1" applyFont="1" applyFill="1" applyBorder="1" applyAlignment="1">
      <alignment horizontal="center" vertical="center"/>
    </xf>
    <xf numFmtId="9" fontId="13" fillId="16" borderId="1" xfId="12" applyNumberFormat="1" applyFont="1" applyFill="1" applyBorder="1" applyAlignment="1">
      <alignment horizontal="center"/>
    </xf>
    <xf numFmtId="9" fontId="4" fillId="6" borderId="1" xfId="12" applyNumberFormat="1" applyFont="1" applyFill="1" applyBorder="1" applyAlignment="1">
      <alignment horizontal="center" vertical="center"/>
    </xf>
    <xf numFmtId="9" fontId="13" fillId="15" borderId="1" xfId="12" applyNumberFormat="1" applyFont="1" applyFill="1" applyBorder="1" applyAlignment="1">
      <alignment horizontal="center" vertical="center"/>
    </xf>
    <xf numFmtId="9" fontId="16" fillId="10" borderId="1" xfId="1" applyNumberFormat="1" applyFont="1" applyFill="1" applyBorder="1" applyAlignment="1" applyProtection="1">
      <alignment horizontal="center" vertical="center"/>
    </xf>
    <xf numFmtId="9" fontId="13" fillId="19" borderId="1" xfId="12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9" fontId="13" fillId="8" borderId="1" xfId="1" applyNumberFormat="1" applyFont="1" applyFill="1" applyBorder="1" applyAlignment="1" applyProtection="1">
      <alignment horizontal="center" vertical="center"/>
    </xf>
    <xf numFmtId="9" fontId="19" fillId="17" borderId="1" xfId="1" applyNumberFormat="1" applyFont="1" applyFill="1" applyBorder="1" applyAlignment="1" applyProtection="1">
      <alignment horizontal="center" vertical="center"/>
    </xf>
    <xf numFmtId="9" fontId="13" fillId="12" borderId="1" xfId="12" applyNumberFormat="1" applyFont="1" applyFill="1" applyBorder="1" applyAlignment="1" applyProtection="1">
      <alignment horizontal="center" vertical="center"/>
      <protection locked="0"/>
    </xf>
    <xf numFmtId="9" fontId="4" fillId="18" borderId="1" xfId="12" applyNumberFormat="1" applyFont="1" applyFill="1" applyBorder="1" applyAlignment="1" applyProtection="1">
      <alignment horizontal="center" vertical="center"/>
      <protection locked="0"/>
    </xf>
    <xf numFmtId="9" fontId="4" fillId="14" borderId="1" xfId="1" applyNumberFormat="1" applyFont="1" applyFill="1" applyBorder="1" applyAlignment="1" applyProtection="1">
      <alignment horizontal="center" vertical="center"/>
    </xf>
    <xf numFmtId="9" fontId="4" fillId="20" borderId="1" xfId="12" applyNumberFormat="1" applyFont="1" applyFill="1" applyBorder="1" applyAlignment="1">
      <alignment horizontal="center" vertical="center"/>
    </xf>
    <xf numFmtId="9" fontId="4" fillId="21" borderId="1" xfId="12" applyNumberFormat="1" applyFont="1" applyFill="1" applyBorder="1" applyAlignment="1" applyProtection="1">
      <alignment horizontal="center" vertical="center"/>
      <protection locked="0"/>
    </xf>
    <xf numFmtId="9" fontId="13" fillId="19" borderId="1" xfId="1" applyNumberFormat="1" applyFont="1" applyFill="1" applyBorder="1" applyAlignment="1" applyProtection="1">
      <alignment horizontal="center" vertical="center"/>
    </xf>
    <xf numFmtId="9" fontId="4" fillId="22" borderId="1" xfId="12" applyNumberFormat="1" applyFont="1" applyFill="1" applyBorder="1" applyAlignment="1" applyProtection="1">
      <alignment horizontal="center" vertical="center"/>
      <protection locked="0"/>
    </xf>
    <xf numFmtId="9" fontId="16" fillId="13" borderId="1" xfId="1" applyNumberFormat="1" applyFont="1" applyFill="1" applyBorder="1" applyAlignment="1" applyProtection="1">
      <alignment horizontal="center" vertical="center"/>
    </xf>
    <xf numFmtId="9" fontId="19" fillId="17" borderId="1" xfId="12" applyNumberFormat="1" applyFont="1" applyFill="1" applyBorder="1" applyAlignment="1" applyProtection="1">
      <alignment horizontal="center" vertical="center"/>
    </xf>
    <xf numFmtId="9" fontId="16" fillId="13" borderId="1" xfId="12" applyNumberFormat="1" applyFont="1" applyFill="1" applyBorder="1" applyAlignment="1" applyProtection="1">
      <alignment horizontal="center" vertical="center"/>
    </xf>
    <xf numFmtId="9" fontId="13" fillId="23" borderId="1" xfId="12" applyNumberFormat="1" applyFont="1" applyFill="1" applyBorder="1" applyAlignment="1">
      <alignment horizontal="center" vertical="center"/>
    </xf>
    <xf numFmtId="9" fontId="13" fillId="24" borderId="1" xfId="12" applyNumberFormat="1" applyFont="1" applyFill="1" applyBorder="1" applyAlignment="1" applyProtection="1">
      <alignment horizontal="center" vertical="center"/>
      <protection locked="0"/>
    </xf>
    <xf numFmtId="9" fontId="21" fillId="3" borderId="1" xfId="12" applyNumberFormat="1" applyFont="1" applyFill="1" applyBorder="1" applyAlignment="1" applyProtection="1">
      <alignment horizontal="center" vertical="center"/>
      <protection locked="0"/>
    </xf>
    <xf numFmtId="9" fontId="13" fillId="31" borderId="1" xfId="12" applyNumberFormat="1" applyFont="1" applyFill="1" applyBorder="1" applyAlignment="1">
      <alignment horizontal="center" vertical="center"/>
    </xf>
    <xf numFmtId="9" fontId="16" fillId="13" borderId="7" xfId="1" applyNumberFormat="1" applyFont="1" applyFill="1" applyBorder="1" applyAlignment="1" applyProtection="1">
      <alignment horizontal="center" vertical="center"/>
    </xf>
    <xf numFmtId="9" fontId="13" fillId="11" borderId="1" xfId="12" applyNumberFormat="1" applyFont="1" applyFill="1" applyBorder="1" applyAlignment="1" applyProtection="1">
      <alignment horizontal="center" vertical="center"/>
    </xf>
    <xf numFmtId="9" fontId="22" fillId="26" borderId="5" xfId="12" applyNumberFormat="1" applyFont="1" applyFill="1" applyBorder="1" applyAlignment="1">
      <alignment horizontal="center"/>
    </xf>
    <xf numFmtId="9" fontId="8" fillId="27" borderId="5" xfId="12" applyNumberFormat="1" applyFont="1" applyFill="1" applyBorder="1" applyAlignment="1">
      <alignment horizontal="center" vertical="center"/>
    </xf>
    <xf numFmtId="9" fontId="14" fillId="28" borderId="5" xfId="12" applyNumberFormat="1" applyFont="1" applyFill="1" applyBorder="1" applyAlignment="1">
      <alignment horizontal="center"/>
    </xf>
    <xf numFmtId="9" fontId="14" fillId="6" borderId="5" xfId="12" applyNumberFormat="1" applyFont="1" applyFill="1" applyBorder="1" applyAlignment="1">
      <alignment horizontal="center"/>
    </xf>
    <xf numFmtId="9" fontId="16" fillId="13" borderId="5" xfId="1" applyNumberFormat="1" applyFont="1" applyFill="1" applyBorder="1" applyAlignment="1" applyProtection="1">
      <alignment horizontal="center" vertical="center"/>
    </xf>
    <xf numFmtId="9" fontId="16" fillId="13" borderId="8" xfId="1" applyNumberFormat="1" applyFont="1" applyFill="1" applyBorder="1" applyAlignment="1" applyProtection="1">
      <alignment horizontal="center" vertical="center"/>
    </xf>
    <xf numFmtId="9" fontId="13" fillId="32" borderId="5" xfId="12" applyNumberFormat="1" applyFont="1" applyFill="1" applyBorder="1" applyAlignment="1">
      <alignment horizontal="center"/>
    </xf>
    <xf numFmtId="9" fontId="4" fillId="27" borderId="5" xfId="12" applyNumberFormat="1" applyFont="1" applyFill="1" applyBorder="1" applyAlignment="1">
      <alignment horizontal="center"/>
    </xf>
    <xf numFmtId="9" fontId="14" fillId="25" borderId="5" xfId="12" applyNumberFormat="1" applyFont="1" applyFill="1" applyBorder="1" applyAlignment="1">
      <alignment horizontal="center"/>
    </xf>
    <xf numFmtId="9" fontId="17" fillId="29" borderId="5" xfId="12" applyNumberFormat="1" applyFont="1" applyFill="1" applyBorder="1" applyAlignment="1">
      <alignment horizontal="center"/>
    </xf>
    <xf numFmtId="9" fontId="15" fillId="7" borderId="5" xfId="12" applyNumberFormat="1" applyFont="1" applyFill="1" applyBorder="1" applyAlignment="1">
      <alignment horizontal="center" vertical="center"/>
    </xf>
    <xf numFmtId="9" fontId="13" fillId="12" borderId="5" xfId="12" applyNumberFormat="1" applyFont="1" applyFill="1" applyBorder="1" applyAlignment="1" applyProtection="1">
      <alignment horizontal="center" vertical="center"/>
      <protection locked="0"/>
    </xf>
    <xf numFmtId="41" fontId="10" fillId="5" borderId="2" xfId="13" applyFont="1" applyFill="1" applyBorder="1"/>
    <xf numFmtId="167" fontId="22" fillId="26" borderId="1" xfId="12" applyNumberFormat="1" applyFont="1" applyFill="1" applyBorder="1" applyAlignment="1"/>
    <xf numFmtId="10" fontId="22" fillId="26" borderId="1" xfId="15" applyNumberFormat="1" applyFont="1" applyFill="1" applyBorder="1" applyAlignment="1">
      <alignment horizontal="center"/>
    </xf>
    <xf numFmtId="167" fontId="8" fillId="27" borderId="1" xfId="12" applyNumberFormat="1" applyFont="1" applyFill="1" applyBorder="1" applyAlignment="1">
      <alignment horizontal="justify" vertical="center"/>
    </xf>
    <xf numFmtId="10" fontId="8" fillId="27" borderId="1" xfId="15" applyNumberFormat="1" applyFont="1" applyFill="1" applyBorder="1" applyAlignment="1">
      <alignment horizontal="center" vertical="center"/>
    </xf>
    <xf numFmtId="167" fontId="14" fillId="28" borderId="1" xfId="12" applyNumberFormat="1" applyFont="1" applyFill="1" applyBorder="1" applyAlignment="1"/>
    <xf numFmtId="10" fontId="14" fillId="28" borderId="1" xfId="15" applyNumberFormat="1" applyFont="1" applyFill="1" applyBorder="1" applyAlignment="1">
      <alignment horizontal="center"/>
    </xf>
    <xf numFmtId="167" fontId="14" fillId="6" borderId="1" xfId="12" applyNumberFormat="1" applyFont="1" applyFill="1" applyBorder="1" applyAlignment="1"/>
    <xf numFmtId="10" fontId="14" fillId="6" borderId="1" xfId="15" applyNumberFormat="1" applyFont="1" applyFill="1" applyBorder="1" applyAlignment="1">
      <alignment horizontal="center"/>
    </xf>
    <xf numFmtId="10" fontId="16" fillId="13" borderId="1" xfId="15" applyNumberFormat="1" applyFont="1" applyFill="1" applyBorder="1" applyAlignment="1" applyProtection="1">
      <alignment horizontal="center" vertical="center"/>
    </xf>
    <xf numFmtId="10" fontId="3" fillId="0" borderId="0" xfId="15" applyNumberFormat="1" applyFont="1" applyAlignment="1">
      <alignment vertical="center"/>
    </xf>
    <xf numFmtId="1" fontId="12" fillId="9" borderId="1" xfId="0" applyNumberFormat="1" applyFont="1" applyFill="1" applyBorder="1" applyAlignment="1">
      <alignment vertical="center"/>
    </xf>
    <xf numFmtId="41" fontId="13" fillId="9" borderId="1" xfId="13" applyFont="1" applyFill="1" applyBorder="1" applyAlignment="1">
      <alignment horizontal="center"/>
    </xf>
    <xf numFmtId="49" fontId="6" fillId="0" borderId="0" xfId="0" applyNumberFormat="1" applyFont="1" applyAlignment="1">
      <alignment vertical="center" wrapText="1"/>
    </xf>
    <xf numFmtId="167" fontId="13" fillId="32" borderId="1" xfId="12" applyNumberFormat="1" applyFont="1" applyFill="1" applyBorder="1" applyAlignment="1"/>
    <xf numFmtId="167" fontId="4" fillId="27" borderId="1" xfId="12" applyNumberFormat="1" applyFont="1" applyFill="1" applyBorder="1" applyAlignment="1"/>
    <xf numFmtId="167" fontId="14" fillId="25" borderId="1" xfId="12" applyNumberFormat="1" applyFont="1" applyFill="1" applyBorder="1" applyAlignment="1"/>
    <xf numFmtId="167" fontId="17" fillId="29" borderId="1" xfId="12" applyNumberFormat="1" applyFont="1" applyFill="1" applyBorder="1" applyAlignment="1"/>
    <xf numFmtId="43" fontId="15" fillId="7" borderId="1" xfId="12" applyFont="1" applyFill="1" applyBorder="1" applyAlignment="1">
      <alignment horizontal="left" vertical="center"/>
    </xf>
    <xf numFmtId="49" fontId="13" fillId="12" borderId="1" xfId="0" applyNumberFormat="1" applyFont="1" applyFill="1" applyBorder="1" applyProtection="1">
      <protection locked="0"/>
    </xf>
    <xf numFmtId="9" fontId="3" fillId="0" borderId="0" xfId="12" applyNumberFormat="1" applyFont="1" applyAlignment="1">
      <alignment vertical="center"/>
    </xf>
    <xf numFmtId="9" fontId="2" fillId="0" borderId="0" xfId="12" applyNumberFormat="1" applyFont="1"/>
    <xf numFmtId="9" fontId="13" fillId="32" borderId="1" xfId="12" applyNumberFormat="1" applyFont="1" applyFill="1" applyBorder="1" applyAlignment="1">
      <alignment horizontal="center"/>
    </xf>
    <xf numFmtId="9" fontId="4" fillId="27" borderId="1" xfId="12" applyNumberFormat="1" applyFont="1" applyFill="1" applyBorder="1" applyAlignment="1">
      <alignment horizontal="center"/>
    </xf>
    <xf numFmtId="9" fontId="14" fillId="25" borderId="1" xfId="12" applyNumberFormat="1" applyFont="1" applyFill="1" applyBorder="1" applyAlignment="1">
      <alignment horizontal="center"/>
    </xf>
    <xf numFmtId="9" fontId="17" fillId="29" borderId="1" xfId="12" applyNumberFormat="1" applyFont="1" applyFill="1" applyBorder="1" applyAlignment="1">
      <alignment horizontal="center"/>
    </xf>
    <xf numFmtId="41" fontId="10" fillId="4" borderId="1" xfId="13" applyFont="1" applyFill="1" applyBorder="1" applyAlignment="1">
      <alignment horizontal="left" vertical="center"/>
    </xf>
    <xf numFmtId="167" fontId="10" fillId="4" borderId="1" xfId="12" applyNumberFormat="1" applyFont="1" applyFill="1" applyBorder="1" applyAlignment="1">
      <alignment horizontal="left" vertical="center"/>
    </xf>
    <xf numFmtId="41" fontId="10" fillId="5" borderId="2" xfId="13" applyFont="1" applyFill="1" applyBorder="1" applyAlignment="1">
      <alignment horizontal="left" vertical="center"/>
    </xf>
    <xf numFmtId="167" fontId="10" fillId="5" borderId="2" xfId="12" applyNumberFormat="1" applyFont="1" applyFill="1" applyBorder="1" applyAlignment="1">
      <alignment horizontal="left" vertical="center"/>
    </xf>
    <xf numFmtId="41" fontId="24" fillId="4" borderId="1" xfId="13" applyFont="1" applyFill="1" applyBorder="1" applyAlignment="1"/>
    <xf numFmtId="167" fontId="24" fillId="4" borderId="1" xfId="12" applyNumberFormat="1" applyFont="1" applyFill="1" applyBorder="1" applyAlignment="1"/>
    <xf numFmtId="41" fontId="24" fillId="5" borderId="2" xfId="13" applyFont="1" applyFill="1" applyBorder="1" applyAlignment="1"/>
    <xf numFmtId="167" fontId="24" fillId="5" borderId="2" xfId="12" applyNumberFormat="1" applyFont="1" applyFill="1" applyBorder="1"/>
    <xf numFmtId="167" fontId="24" fillId="5" borderId="2" xfId="12" applyNumberFormat="1" applyFont="1" applyFill="1" applyBorder="1" applyAlignment="1"/>
    <xf numFmtId="167" fontId="24" fillId="5" borderId="2" xfId="12" applyNumberFormat="1" applyFont="1" applyFill="1" applyBorder="1" applyAlignment="1">
      <alignment horizontal="left"/>
    </xf>
    <xf numFmtId="1" fontId="13" fillId="9" borderId="3" xfId="0" applyNumberFormat="1" applyFont="1" applyFill="1" applyBorder="1" applyAlignment="1">
      <alignment vertical="center"/>
    </xf>
    <xf numFmtId="41" fontId="25" fillId="0" borderId="0" xfId="1" applyFont="1"/>
    <xf numFmtId="1" fontId="27" fillId="0" borderId="0" xfId="11" applyNumberFormat="1" applyFont="1" applyAlignment="1">
      <alignment horizontal="left"/>
    </xf>
    <xf numFmtId="41" fontId="25" fillId="35" borderId="31" xfId="1" applyFont="1" applyFill="1" applyBorder="1"/>
    <xf numFmtId="41" fontId="13" fillId="36" borderId="28" xfId="1" applyFont="1" applyFill="1" applyBorder="1" applyAlignment="1">
      <alignment horizontal="center" vertical="center" wrapText="1"/>
    </xf>
    <xf numFmtId="41" fontId="13" fillId="36" borderId="28" xfId="1" applyFont="1" applyFill="1" applyBorder="1" applyAlignment="1">
      <alignment horizontal="center" vertical="center"/>
    </xf>
    <xf numFmtId="1" fontId="4" fillId="7" borderId="29" xfId="0" applyNumberFormat="1" applyFont="1" applyFill="1" applyBorder="1" applyAlignment="1">
      <alignment horizontal="left"/>
    </xf>
    <xf numFmtId="41" fontId="4" fillId="7" borderId="3" xfId="1" applyFont="1" applyFill="1" applyBorder="1"/>
    <xf numFmtId="1" fontId="4" fillId="29" borderId="27" xfId="0" applyNumberFormat="1" applyFont="1" applyFill="1" applyBorder="1" applyAlignment="1">
      <alignment horizontal="left"/>
    </xf>
    <xf numFmtId="41" fontId="4" fillId="29" borderId="1" xfId="1" applyFont="1" applyFill="1" applyBorder="1"/>
    <xf numFmtId="1" fontId="13" fillId="11" borderId="27" xfId="0" applyNumberFormat="1" applyFont="1" applyFill="1" applyBorder="1" applyAlignment="1">
      <alignment horizontal="left"/>
    </xf>
    <xf numFmtId="41" fontId="13" fillId="11" borderId="1" xfId="1" applyFont="1" applyFill="1" applyBorder="1"/>
    <xf numFmtId="1" fontId="3" fillId="0" borderId="4" xfId="0" applyNumberFormat="1" applyFont="1" applyBorder="1" applyAlignment="1">
      <alignment horizontal="left"/>
    </xf>
    <xf numFmtId="41" fontId="3" fillId="0" borderId="1" xfId="1" applyFont="1" applyFill="1" applyBorder="1"/>
    <xf numFmtId="1" fontId="3" fillId="0" borderId="34" xfId="0" applyNumberFormat="1" applyFont="1" applyBorder="1" applyAlignment="1">
      <alignment horizontal="left"/>
    </xf>
    <xf numFmtId="41" fontId="3" fillId="0" borderId="2" xfId="1" applyFont="1" applyFill="1" applyBorder="1"/>
    <xf numFmtId="41" fontId="3" fillId="0" borderId="10" xfId="1" applyFont="1" applyFill="1" applyBorder="1"/>
    <xf numFmtId="1" fontId="3" fillId="0" borderId="1" xfId="0" applyNumberFormat="1" applyFont="1" applyBorder="1" applyAlignment="1">
      <alignment horizontal="left"/>
    </xf>
    <xf numFmtId="41" fontId="26" fillId="0" borderId="0" xfId="1" applyFont="1" applyFill="1" applyBorder="1" applyAlignment="1" applyProtection="1">
      <alignment horizontal="center" vertical="center"/>
    </xf>
    <xf numFmtId="0" fontId="0" fillId="0" borderId="0" xfId="0" applyAlignment="1"/>
    <xf numFmtId="1" fontId="27" fillId="0" borderId="0" xfId="11" applyNumberFormat="1" applyFont="1" applyAlignment="1"/>
    <xf numFmtId="1" fontId="4" fillId="7" borderId="3" xfId="0" applyNumberFormat="1" applyFont="1" applyFill="1" applyBorder="1" applyAlignment="1"/>
    <xf numFmtId="1" fontId="4" fillId="29" borderId="1" xfId="0" applyNumberFormat="1" applyFont="1" applyFill="1" applyBorder="1" applyAlignment="1"/>
    <xf numFmtId="1" fontId="13" fillId="11" borderId="1" xfId="0" applyNumberFormat="1" applyFont="1" applyFill="1" applyBorder="1" applyAlignment="1"/>
    <xf numFmtId="1" fontId="3" fillId="0" borderId="1" xfId="0" applyNumberFormat="1" applyFont="1" applyBorder="1" applyAlignment="1"/>
    <xf numFmtId="1" fontId="3" fillId="0" borderId="2" xfId="0" applyNumberFormat="1" applyFont="1" applyBorder="1" applyAlignment="1"/>
    <xf numFmtId="1" fontId="3" fillId="0" borderId="38" xfId="0" applyNumberFormat="1" applyFont="1" applyBorder="1" applyAlignment="1">
      <alignment horizontal="left"/>
    </xf>
    <xf numFmtId="1" fontId="3" fillId="0" borderId="38" xfId="0" applyNumberFormat="1" applyFont="1" applyBorder="1" applyAlignment="1"/>
    <xf numFmtId="41" fontId="3" fillId="0" borderId="28" xfId="1" applyFont="1" applyFill="1" applyBorder="1"/>
    <xf numFmtId="9" fontId="26" fillId="0" borderId="0" xfId="12" applyNumberFormat="1" applyFont="1" applyFill="1" applyBorder="1" applyAlignment="1" applyProtection="1">
      <alignment horizontal="center" vertical="center"/>
    </xf>
    <xf numFmtId="9" fontId="25" fillId="0" borderId="0" xfId="12" applyNumberFormat="1" applyFont="1" applyAlignment="1">
      <alignment horizontal="center"/>
    </xf>
    <xf numFmtId="9" fontId="0" fillId="0" borderId="0" xfId="12" applyNumberFormat="1" applyFont="1" applyAlignment="1">
      <alignment horizontal="center"/>
    </xf>
    <xf numFmtId="9" fontId="25" fillId="35" borderId="31" xfId="12" applyNumberFormat="1" applyFont="1" applyFill="1" applyBorder="1" applyAlignment="1">
      <alignment horizontal="center"/>
    </xf>
    <xf numFmtId="9" fontId="4" fillId="7" borderId="3" xfId="12" applyNumberFormat="1" applyFont="1" applyFill="1" applyBorder="1" applyAlignment="1">
      <alignment horizontal="center"/>
    </xf>
    <xf numFmtId="9" fontId="4" fillId="29" borderId="1" xfId="12" applyNumberFormat="1" applyFont="1" applyFill="1" applyBorder="1" applyAlignment="1">
      <alignment horizontal="center"/>
    </xf>
    <xf numFmtId="9" fontId="13" fillId="11" borderId="1" xfId="12" applyNumberFormat="1" applyFont="1" applyFill="1" applyBorder="1" applyAlignment="1">
      <alignment horizontal="center"/>
    </xf>
    <xf numFmtId="9" fontId="3" fillId="0" borderId="5" xfId="12" applyNumberFormat="1" applyFont="1" applyBorder="1" applyAlignment="1">
      <alignment horizontal="center"/>
    </xf>
    <xf numFmtId="9" fontId="3" fillId="0" borderId="35" xfId="12" applyNumberFormat="1" applyFont="1" applyBorder="1" applyAlignment="1">
      <alignment horizontal="center"/>
    </xf>
    <xf numFmtId="9" fontId="3" fillId="0" borderId="39" xfId="12" applyNumberFormat="1" applyFont="1" applyFill="1" applyBorder="1" applyAlignment="1">
      <alignment horizontal="center"/>
    </xf>
    <xf numFmtId="9" fontId="3" fillId="0" borderId="10" xfId="12" applyNumberFormat="1" applyFont="1" applyFill="1" applyBorder="1" applyAlignment="1">
      <alignment horizontal="center"/>
    </xf>
    <xf numFmtId="9" fontId="3" fillId="0" borderId="1" xfId="12" applyNumberFormat="1" applyFont="1" applyFill="1" applyBorder="1" applyAlignment="1">
      <alignment horizontal="center"/>
    </xf>
    <xf numFmtId="1" fontId="3" fillId="0" borderId="10" xfId="0" applyNumberFormat="1" applyFont="1" applyFill="1" applyBorder="1" applyAlignment="1">
      <alignment horizontal="left"/>
    </xf>
    <xf numFmtId="1" fontId="3" fillId="0" borderId="10" xfId="0" applyNumberFormat="1" applyFont="1" applyFill="1" applyBorder="1" applyAlignment="1"/>
    <xf numFmtId="0" fontId="0" fillId="0" borderId="0" xfId="0" applyFill="1"/>
    <xf numFmtId="1" fontId="3" fillId="0" borderId="1" xfId="0" applyNumberFormat="1" applyFont="1" applyFill="1" applyBorder="1" applyAlignment="1">
      <alignment horizontal="left"/>
    </xf>
    <xf numFmtId="1" fontId="3" fillId="0" borderId="1" xfId="0" applyNumberFormat="1" applyFont="1" applyFill="1" applyBorder="1" applyAlignment="1"/>
    <xf numFmtId="1" fontId="3" fillId="0" borderId="6" xfId="0" applyNumberFormat="1" applyFont="1" applyFill="1" applyBorder="1" applyAlignment="1">
      <alignment horizontal="left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167" fontId="13" fillId="15" borderId="1" xfId="12" applyNumberFormat="1" applyFont="1" applyFill="1" applyBorder="1" applyAlignment="1">
      <alignment horizontal="center" vertical="center"/>
    </xf>
    <xf numFmtId="41" fontId="3" fillId="0" borderId="0" xfId="1" applyFont="1" applyFill="1" applyAlignment="1" applyProtection="1">
      <alignment vertical="center"/>
      <protection locked="0"/>
    </xf>
    <xf numFmtId="41" fontId="3" fillId="0" borderId="0" xfId="1" applyFont="1" applyFill="1" applyAlignment="1">
      <alignment vertical="center"/>
    </xf>
    <xf numFmtId="0" fontId="4" fillId="0" borderId="0" xfId="0" applyFont="1" applyFill="1" applyAlignment="1">
      <alignment vertical="center"/>
    </xf>
    <xf numFmtId="167" fontId="4" fillId="0" borderId="0" xfId="0" applyNumberFormat="1" applyFont="1" applyAlignment="1">
      <alignment vertical="center"/>
    </xf>
    <xf numFmtId="41" fontId="13" fillId="9" borderId="2" xfId="13" applyFont="1" applyFill="1" applyBorder="1" applyAlignment="1">
      <alignment horizontal="center" vertical="center" wrapText="1"/>
    </xf>
    <xf numFmtId="41" fontId="13" fillId="9" borderId="10" xfId="13" applyFont="1" applyFill="1" applyBorder="1" applyAlignment="1">
      <alignment horizontal="center" vertical="center" wrapText="1"/>
    </xf>
    <xf numFmtId="167" fontId="13" fillId="9" borderId="1" xfId="12" applyNumberFormat="1" applyFont="1" applyFill="1" applyBorder="1" applyAlignment="1">
      <alignment horizontal="center" vertical="center" wrapText="1"/>
    </xf>
    <xf numFmtId="167" fontId="13" fillId="9" borderId="11" xfId="12" applyNumberFormat="1" applyFont="1" applyFill="1" applyBorder="1" applyAlignment="1">
      <alignment horizontal="center" vertical="center"/>
    </xf>
    <xf numFmtId="167" fontId="13" fillId="9" borderId="15" xfId="12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1" fontId="13" fillId="9" borderId="3" xfId="0" applyNumberFormat="1" applyFont="1" applyFill="1" applyBorder="1" applyAlignment="1">
      <alignment horizontal="center" vertical="center"/>
    </xf>
    <xf numFmtId="41" fontId="13" fillId="9" borderId="18" xfId="13" applyFont="1" applyFill="1" applyBorder="1" applyAlignment="1">
      <alignment horizontal="center" vertical="center"/>
    </xf>
    <xf numFmtId="41" fontId="13" fillId="9" borderId="19" xfId="13" applyFont="1" applyFill="1" applyBorder="1" applyAlignment="1">
      <alignment horizontal="center" vertical="center"/>
    </xf>
    <xf numFmtId="41" fontId="13" fillId="9" borderId="20" xfId="13" applyFont="1" applyFill="1" applyBorder="1" applyAlignment="1">
      <alignment horizontal="center" vertical="center"/>
    </xf>
    <xf numFmtId="167" fontId="13" fillId="9" borderId="22" xfId="12" applyNumberFormat="1" applyFont="1" applyFill="1" applyBorder="1" applyAlignment="1">
      <alignment horizontal="center" vertical="center" wrapText="1"/>
    </xf>
    <xf numFmtId="167" fontId="13" fillId="9" borderId="21" xfId="12" applyNumberFormat="1" applyFont="1" applyFill="1" applyBorder="1" applyAlignment="1">
      <alignment horizontal="center" vertical="center" wrapText="1"/>
    </xf>
    <xf numFmtId="167" fontId="13" fillId="9" borderId="18" xfId="12" applyNumberFormat="1" applyFont="1" applyFill="1" applyBorder="1" applyAlignment="1">
      <alignment horizontal="center" vertical="center" wrapText="1"/>
    </xf>
    <xf numFmtId="167" fontId="13" fillId="9" borderId="20" xfId="12" applyNumberFormat="1" applyFont="1" applyFill="1" applyBorder="1" applyAlignment="1">
      <alignment horizontal="center" vertical="center" wrapText="1"/>
    </xf>
    <xf numFmtId="49" fontId="13" fillId="9" borderId="4" xfId="0" applyNumberFormat="1" applyFont="1" applyFill="1" applyBorder="1" applyAlignment="1">
      <alignment horizontal="center" vertical="center"/>
    </xf>
    <xf numFmtId="2" fontId="13" fillId="9" borderId="1" xfId="0" applyNumberFormat="1" applyFont="1" applyFill="1" applyBorder="1" applyAlignment="1">
      <alignment horizontal="center" vertical="center"/>
    </xf>
    <xf numFmtId="49" fontId="13" fillId="9" borderId="1" xfId="0" applyNumberFormat="1" applyFont="1" applyFill="1" applyBorder="1" applyAlignment="1">
      <alignment horizontal="center" vertical="center"/>
    </xf>
    <xf numFmtId="1" fontId="13" fillId="9" borderId="1" xfId="0" applyNumberFormat="1" applyFont="1" applyFill="1" applyBorder="1" applyAlignment="1">
      <alignment horizontal="center" vertical="center" wrapText="1"/>
    </xf>
    <xf numFmtId="167" fontId="13" fillId="9" borderId="23" xfId="12" applyNumberFormat="1" applyFont="1" applyFill="1" applyBorder="1" applyAlignment="1">
      <alignment horizontal="center" vertical="center" wrapText="1"/>
    </xf>
    <xf numFmtId="167" fontId="13" fillId="9" borderId="24" xfId="12" applyNumberFormat="1" applyFont="1" applyFill="1" applyBorder="1" applyAlignment="1">
      <alignment horizontal="center" vertical="center" wrapText="1"/>
    </xf>
    <xf numFmtId="167" fontId="13" fillId="9" borderId="12" xfId="12" applyNumberFormat="1" applyFont="1" applyFill="1" applyBorder="1" applyAlignment="1">
      <alignment horizontal="center" vertical="center"/>
    </xf>
    <xf numFmtId="167" fontId="13" fillId="9" borderId="16" xfId="12" applyNumberFormat="1" applyFont="1" applyFill="1" applyBorder="1" applyAlignment="1">
      <alignment horizontal="center" vertical="center"/>
    </xf>
    <xf numFmtId="167" fontId="13" fillId="9" borderId="13" xfId="12" applyNumberFormat="1" applyFont="1" applyFill="1" applyBorder="1" applyAlignment="1">
      <alignment horizontal="center" vertical="center" wrapText="1"/>
    </xf>
    <xf numFmtId="167" fontId="13" fillId="9" borderId="17" xfId="12" applyNumberFormat="1" applyFont="1" applyFill="1" applyBorder="1" applyAlignment="1">
      <alignment horizontal="center" vertical="center" wrapText="1"/>
    </xf>
    <xf numFmtId="167" fontId="13" fillId="9" borderId="11" xfId="12" applyNumberFormat="1" applyFont="1" applyFill="1" applyBorder="1" applyAlignment="1">
      <alignment horizontal="center" vertical="center" wrapText="1"/>
    </xf>
    <xf numFmtId="167" fontId="13" fillId="9" borderId="15" xfId="12" applyNumberFormat="1" applyFont="1" applyFill="1" applyBorder="1" applyAlignment="1">
      <alignment horizontal="center" vertical="center" wrapText="1"/>
    </xf>
    <xf numFmtId="9" fontId="13" fillId="9" borderId="25" xfId="15" applyNumberFormat="1" applyFont="1" applyFill="1" applyBorder="1" applyAlignment="1">
      <alignment horizontal="center" vertical="center" wrapText="1"/>
    </xf>
    <xf numFmtId="9" fontId="13" fillId="9" borderId="24" xfId="15" applyNumberFormat="1" applyFont="1" applyFill="1" applyBorder="1" applyAlignment="1">
      <alignment horizontal="center" vertical="center" wrapText="1"/>
    </xf>
    <xf numFmtId="1" fontId="12" fillId="9" borderId="3" xfId="0" applyNumberFormat="1" applyFont="1" applyFill="1" applyBorder="1" applyAlignment="1">
      <alignment horizontal="center" vertical="center"/>
    </xf>
    <xf numFmtId="41" fontId="13" fillId="9" borderId="1" xfId="13" applyFont="1" applyFill="1" applyBorder="1" applyAlignment="1">
      <alignment horizontal="center" vertical="center" wrapText="1"/>
    </xf>
    <xf numFmtId="41" fontId="13" fillId="9" borderId="1" xfId="13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 vertical="center"/>
    </xf>
    <xf numFmtId="10" fontId="13" fillId="9" borderId="1" xfId="15" applyNumberFormat="1" applyFont="1" applyFill="1" applyBorder="1" applyAlignment="1">
      <alignment horizontal="center" vertical="center" wrapText="1"/>
    </xf>
    <xf numFmtId="41" fontId="13" fillId="9" borderId="26" xfId="13" applyFont="1" applyFill="1" applyBorder="1" applyAlignment="1">
      <alignment horizontal="center" vertical="center"/>
    </xf>
    <xf numFmtId="41" fontId="13" fillId="9" borderId="27" xfId="13" applyFont="1" applyFill="1" applyBorder="1" applyAlignment="1">
      <alignment horizontal="center" vertical="center"/>
    </xf>
    <xf numFmtId="41" fontId="13" fillId="9" borderId="2" xfId="13" applyFont="1" applyFill="1" applyBorder="1" applyAlignment="1">
      <alignment horizontal="center" vertical="center"/>
    </xf>
    <xf numFmtId="41" fontId="13" fillId="9" borderId="10" xfId="13" applyFont="1" applyFill="1" applyBorder="1" applyAlignment="1">
      <alignment horizontal="center" vertical="center"/>
    </xf>
    <xf numFmtId="9" fontId="13" fillId="9" borderId="1" xfId="12" applyNumberFormat="1" applyFont="1" applyFill="1" applyBorder="1" applyAlignment="1">
      <alignment horizontal="center" vertical="center" wrapText="1"/>
    </xf>
    <xf numFmtId="9" fontId="13" fillId="36" borderId="28" xfId="12" applyNumberFormat="1" applyFont="1" applyFill="1" applyBorder="1" applyAlignment="1">
      <alignment horizontal="center" vertical="center" wrapText="1"/>
    </xf>
    <xf numFmtId="41" fontId="13" fillId="36" borderId="28" xfId="1" applyFont="1" applyFill="1" applyBorder="1" applyAlignment="1">
      <alignment horizontal="center" vertical="center" wrapText="1"/>
    </xf>
    <xf numFmtId="41" fontId="13" fillId="36" borderId="38" xfId="1" applyFont="1" applyFill="1" applyBorder="1" applyAlignment="1">
      <alignment horizontal="center" vertical="center" wrapText="1"/>
    </xf>
    <xf numFmtId="41" fontId="13" fillId="36" borderId="36" xfId="1" applyFont="1" applyFill="1" applyBorder="1" applyAlignment="1">
      <alignment horizontal="center" vertical="center" wrapText="1"/>
    </xf>
    <xf numFmtId="41" fontId="13" fillId="36" borderId="37" xfId="1" applyFont="1" applyFill="1" applyBorder="1" applyAlignment="1">
      <alignment horizontal="center" vertical="center" wrapText="1"/>
    </xf>
    <xf numFmtId="41" fontId="26" fillId="34" borderId="0" xfId="1" applyFont="1" applyFill="1" applyBorder="1" applyAlignment="1" applyProtection="1">
      <alignment horizontal="center" vertical="center"/>
    </xf>
    <xf numFmtId="41" fontId="26" fillId="34" borderId="30" xfId="1" applyFont="1" applyFill="1" applyBorder="1" applyAlignment="1" applyProtection="1">
      <alignment horizontal="center" vertical="center"/>
    </xf>
    <xf numFmtId="1" fontId="13" fillId="36" borderId="31" xfId="0" applyNumberFormat="1" applyFont="1" applyFill="1" applyBorder="1" applyAlignment="1">
      <alignment horizontal="left" vertical="center" wrapText="1"/>
    </xf>
    <xf numFmtId="1" fontId="13" fillId="36" borderId="32" xfId="0" applyNumberFormat="1" applyFont="1" applyFill="1" applyBorder="1" applyAlignment="1">
      <alignment horizontal="left" vertical="center" wrapText="1"/>
    </xf>
    <xf numFmtId="1" fontId="13" fillId="36" borderId="33" xfId="0" applyNumberFormat="1" applyFont="1" applyFill="1" applyBorder="1" applyAlignment="1">
      <alignment horizontal="left" vertical="center" wrapText="1"/>
    </xf>
    <xf numFmtId="1" fontId="13" fillId="36" borderId="31" xfId="0" applyNumberFormat="1" applyFont="1" applyFill="1" applyBorder="1" applyAlignment="1">
      <alignment horizontal="center" vertical="center"/>
    </xf>
    <xf numFmtId="1" fontId="13" fillId="36" borderId="32" xfId="0" applyNumberFormat="1" applyFont="1" applyFill="1" applyBorder="1" applyAlignment="1">
      <alignment horizontal="center" vertical="center"/>
    </xf>
    <xf numFmtId="1" fontId="13" fillId="36" borderId="33" xfId="0" applyNumberFormat="1" applyFont="1" applyFill="1" applyBorder="1" applyAlignment="1">
      <alignment horizontal="center" vertical="center"/>
    </xf>
    <xf numFmtId="41" fontId="13" fillId="36" borderId="31" xfId="1" applyFont="1" applyFill="1" applyBorder="1" applyAlignment="1">
      <alignment horizontal="center" vertical="center" wrapText="1"/>
    </xf>
    <xf numFmtId="41" fontId="13" fillId="36" borderId="32" xfId="1" applyFont="1" applyFill="1" applyBorder="1" applyAlignment="1">
      <alignment horizontal="center" vertical="center" wrapText="1"/>
    </xf>
    <xf numFmtId="41" fontId="13" fillId="36" borderId="33" xfId="1" applyFont="1" applyFill="1" applyBorder="1" applyAlignment="1">
      <alignment horizontal="center" vertical="center" wrapText="1"/>
    </xf>
  </cellXfs>
  <cellStyles count="16">
    <cellStyle name="Millares" xfId="12" builtinId="3"/>
    <cellStyle name="Millares [0]" xfId="1" builtinId="6"/>
    <cellStyle name="Millares [0] 2" xfId="4" xr:uid="{C24EBF84-78D5-4746-ABA0-F22E8C0BD4A9}"/>
    <cellStyle name="Millares [0] 2 2" xfId="7" xr:uid="{69E5B278-2732-454F-BC83-B997E3E233F5}"/>
    <cellStyle name="Millares [0] 2 5" xfId="9" xr:uid="{BD990F94-0A55-49C2-9915-CFFE253BA83F}"/>
    <cellStyle name="Millares [0] 3" xfId="5" xr:uid="{571F9D8A-6343-42C7-BB89-F2E9E9EB8871}"/>
    <cellStyle name="Millares [0] 6" xfId="13" xr:uid="{F1C978A4-7A2C-42FD-B88B-B859ECAC727A}"/>
    <cellStyle name="Millares 2" xfId="11" xr:uid="{3AB212B9-ABA9-46A8-8888-524EBBC7DC8E}"/>
    <cellStyle name="Millares 2 2" xfId="3" xr:uid="{83E8F294-31E9-46EB-869E-57DBE23702C3}"/>
    <cellStyle name="Millares 2 2 2" xfId="6" xr:uid="{7AB57B5E-8BE3-45CE-A72A-3F2491349A84}"/>
    <cellStyle name="Millares 2 2 4" xfId="8" xr:uid="{38DEAA8A-862A-4A6B-81F7-BEF95E9C19C6}"/>
    <cellStyle name="Millares 3" xfId="10" xr:uid="{5A23FCDD-34E1-4175-A745-95BE7A0E624F}"/>
    <cellStyle name="Normal" xfId="0" builtinId="0"/>
    <cellStyle name="Normal 2 2" xfId="2" xr:uid="{F95C7EDD-20DF-4FE5-818B-D41C86D49871}"/>
    <cellStyle name="Normal_NECESIDAD2003" xfId="14" xr:uid="{D69C3F79-7341-43CE-9745-960B2601FF27}"/>
    <cellStyle name="Porcentaje" xfId="15" builtinId="5"/>
  </cellStyles>
  <dxfs count="26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CDDEE"/>
      <color rgb="FFC7DCDF"/>
      <color rgb="FFB8D9EE"/>
      <color rgb="FF000000"/>
      <color rgb="FFFF66CC"/>
      <color rgb="FF339933"/>
      <color rgb="FFFF3300"/>
      <color rgb="FFFFFF00"/>
      <color rgb="FF0000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6" Type="http://schemas.microsoft.com/office/2017/10/relationships/person" Target="persons/person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Soraya Ahumada Quito" id="{0E9C479B-9BE8-45DE-9E4C-ACDFC3BEFE55}" userId="a7c65eef53097b9a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67" dT="2026-01-02T15:11:31.70" personId="{0E9C479B-9BE8-45DE-9E4C-ACDFC3BEFE55}" id="{0209F16B-903F-4AB3-9A14-55864453ECF2}">
    <text>Aqui están 70 millones para SICAPITAL en amazon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7802-184B-4F72-834C-1582ABE9F579}">
  <dimension ref="A2:U899"/>
  <sheetViews>
    <sheetView tabSelected="1" topLeftCell="B1" zoomScale="90" zoomScaleNormal="90" workbookViewId="0">
      <selection activeCell="E23" sqref="E23"/>
    </sheetView>
  </sheetViews>
  <sheetFormatPr baseColWidth="10" defaultColWidth="6" defaultRowHeight="12"/>
  <cols>
    <col min="1" max="1" width="19.85546875" style="4" hidden="1" customWidth="1"/>
    <col min="2" max="2" width="24.5703125" style="87" customWidth="1"/>
    <col min="3" max="3" width="20.28515625" style="4" customWidth="1"/>
    <col min="4" max="4" width="11.28515625" style="88" customWidth="1"/>
    <col min="5" max="5" width="61" style="4" customWidth="1"/>
    <col min="6" max="6" width="16.7109375" style="3" customWidth="1"/>
    <col min="7" max="7" width="16.7109375" style="97" customWidth="1"/>
    <col min="8" max="8" width="16.85546875" style="97" customWidth="1"/>
    <col min="9" max="9" width="17.42578125" style="97" customWidth="1"/>
    <col min="10" max="10" width="16.42578125" style="97" customWidth="1"/>
    <col min="11" max="13" width="15.7109375" style="97" customWidth="1"/>
    <col min="14" max="14" width="15" style="97" customWidth="1"/>
    <col min="15" max="15" width="16.85546875" style="97" customWidth="1"/>
    <col min="16" max="16" width="10.5703125" style="239" customWidth="1"/>
    <col min="17" max="16384" width="6" style="4"/>
  </cols>
  <sheetData>
    <row r="2" spans="1:16" ht="18.95" customHeight="1">
      <c r="A2" s="100"/>
      <c r="B2" s="100"/>
      <c r="C2" s="367" t="s">
        <v>2018</v>
      </c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</row>
    <row r="3" spans="1:16" s="1" customFormat="1" ht="20.100000000000001" customHeight="1">
      <c r="A3" s="100"/>
      <c r="B3" s="100"/>
      <c r="C3" s="368" t="s">
        <v>1987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240"/>
    </row>
    <row r="4" spans="1:16" s="1" customFormat="1" ht="18.75">
      <c r="A4" s="22"/>
      <c r="B4" s="22"/>
      <c r="C4" s="369" t="s">
        <v>2101</v>
      </c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240"/>
    </row>
    <row r="5" spans="1:16" s="1" customFormat="1" ht="18.75">
      <c r="A5" s="22"/>
      <c r="B5" s="22"/>
      <c r="C5" s="221"/>
      <c r="D5" s="221"/>
      <c r="E5" s="221"/>
      <c r="F5" s="221"/>
      <c r="G5" s="211"/>
      <c r="H5" s="211"/>
      <c r="I5" s="211"/>
      <c r="J5" s="211"/>
      <c r="K5" s="211"/>
      <c r="L5" s="188"/>
      <c r="M5" s="211"/>
      <c r="N5" s="211"/>
      <c r="O5" s="211"/>
      <c r="P5" s="240"/>
    </row>
    <row r="6" spans="1:16" s="1" customFormat="1" ht="18.75">
      <c r="A6" s="22"/>
      <c r="B6" s="22"/>
      <c r="C6" s="221"/>
      <c r="D6" s="221"/>
      <c r="E6" s="221"/>
      <c r="F6" s="240"/>
      <c r="G6" s="98"/>
      <c r="H6" s="98"/>
      <c r="I6" s="98"/>
      <c r="J6" s="98"/>
      <c r="K6" s="98"/>
      <c r="L6" s="98"/>
      <c r="M6" s="98"/>
      <c r="N6" s="98"/>
      <c r="O6" s="98"/>
      <c r="P6" s="98"/>
    </row>
    <row r="7" spans="1:16" s="1" customFormat="1" ht="12" customHeight="1">
      <c r="A7" s="99"/>
      <c r="B7" s="189"/>
      <c r="C7" s="99"/>
      <c r="D7" s="99"/>
      <c r="E7" s="99"/>
      <c r="F7" s="240"/>
      <c r="G7" s="98"/>
      <c r="H7" s="98"/>
      <c r="I7" s="98"/>
      <c r="J7" s="98"/>
      <c r="K7" s="98"/>
      <c r="L7" s="98"/>
      <c r="M7" s="98"/>
      <c r="N7" s="98"/>
      <c r="O7" s="98"/>
      <c r="P7" s="98"/>
    </row>
    <row r="8" spans="1:16" s="1" customFormat="1" ht="18.75" customHeight="1">
      <c r="A8" s="190"/>
      <c r="B8" s="191"/>
      <c r="C8" s="190"/>
      <c r="D8" s="192"/>
      <c r="E8" s="190"/>
      <c r="F8" s="301">
        <f>+F13-F9</f>
        <v>0</v>
      </c>
      <c r="G8" s="302">
        <f t="shared" ref="G8:O8" si="0">+G13-G9</f>
        <v>0</v>
      </c>
      <c r="H8" s="302">
        <f t="shared" si="0"/>
        <v>0</v>
      </c>
      <c r="I8" s="302">
        <f t="shared" si="0"/>
        <v>0</v>
      </c>
      <c r="J8" s="302">
        <f t="shared" si="0"/>
        <v>0</v>
      </c>
      <c r="K8" s="302">
        <f t="shared" si="0"/>
        <v>0</v>
      </c>
      <c r="L8" s="302">
        <f t="shared" si="0"/>
        <v>0</v>
      </c>
      <c r="M8" s="302">
        <f t="shared" si="0"/>
        <v>0</v>
      </c>
      <c r="N8" s="302">
        <f t="shared" si="0"/>
        <v>0</v>
      </c>
      <c r="O8" s="302">
        <f t="shared" si="0"/>
        <v>0</v>
      </c>
      <c r="P8" s="240"/>
    </row>
    <row r="9" spans="1:16" s="1" customFormat="1" ht="18.75" customHeight="1" thickBot="1">
      <c r="A9" s="55"/>
      <c r="B9" s="56"/>
      <c r="C9" s="57"/>
      <c r="D9" s="23"/>
      <c r="E9" s="23"/>
      <c r="F9" s="303">
        <v>548567755000</v>
      </c>
      <c r="G9" s="304">
        <v>14194792521</v>
      </c>
      <c r="H9" s="304">
        <v>119748855067</v>
      </c>
      <c r="I9" s="305">
        <v>668316610067</v>
      </c>
      <c r="J9" s="304">
        <v>37765169384</v>
      </c>
      <c r="K9" s="304">
        <v>443925954879</v>
      </c>
      <c r="L9" s="306">
        <v>59277792200</v>
      </c>
      <c r="M9" s="306">
        <v>411524952140</v>
      </c>
      <c r="N9" s="304">
        <v>34399054883</v>
      </c>
      <c r="O9" s="304">
        <v>316933439339</v>
      </c>
      <c r="P9" s="240"/>
    </row>
    <row r="10" spans="1:16" s="1" customFormat="1" ht="22.5" customHeight="1">
      <c r="A10" s="128"/>
      <c r="B10" s="307"/>
      <c r="C10" s="370" t="s">
        <v>1468</v>
      </c>
      <c r="D10" s="370"/>
      <c r="E10" s="370"/>
      <c r="F10" s="371"/>
      <c r="G10" s="372"/>
      <c r="H10" s="372"/>
      <c r="I10" s="373"/>
      <c r="J10" s="374" t="s">
        <v>2007</v>
      </c>
      <c r="K10" s="375"/>
      <c r="L10" s="376" t="s">
        <v>2008</v>
      </c>
      <c r="M10" s="377"/>
      <c r="N10" s="376" t="s">
        <v>2099</v>
      </c>
      <c r="O10" s="377"/>
      <c r="P10" s="390" t="s">
        <v>2010</v>
      </c>
    </row>
    <row r="11" spans="1:16" ht="19.5" customHeight="1">
      <c r="A11" s="378" t="s">
        <v>20</v>
      </c>
      <c r="B11" s="379" t="s">
        <v>1469</v>
      </c>
      <c r="C11" s="380" t="s">
        <v>1988</v>
      </c>
      <c r="D11" s="381" t="s">
        <v>1461</v>
      </c>
      <c r="E11" s="380" t="s">
        <v>1467</v>
      </c>
      <c r="F11" s="362" t="s">
        <v>1997</v>
      </c>
      <c r="G11" s="364" t="s">
        <v>2002</v>
      </c>
      <c r="H11" s="364"/>
      <c r="I11" s="365" t="s">
        <v>2003</v>
      </c>
      <c r="J11" s="382" t="s">
        <v>2005</v>
      </c>
      <c r="K11" s="384" t="s">
        <v>2004</v>
      </c>
      <c r="L11" s="386" t="s">
        <v>2005</v>
      </c>
      <c r="M11" s="388" t="s">
        <v>2004</v>
      </c>
      <c r="N11" s="386" t="s">
        <v>2005</v>
      </c>
      <c r="O11" s="388" t="s">
        <v>2004</v>
      </c>
      <c r="P11" s="390"/>
    </row>
    <row r="12" spans="1:16" s="6" customFormat="1" ht="10.5" customHeight="1" thickBot="1">
      <c r="A12" s="378"/>
      <c r="B12" s="379"/>
      <c r="C12" s="380"/>
      <c r="D12" s="381"/>
      <c r="E12" s="380"/>
      <c r="F12" s="363"/>
      <c r="G12" s="212" t="s">
        <v>2005</v>
      </c>
      <c r="H12" s="212" t="s">
        <v>2004</v>
      </c>
      <c r="I12" s="366"/>
      <c r="J12" s="383"/>
      <c r="K12" s="385"/>
      <c r="L12" s="387"/>
      <c r="M12" s="389"/>
      <c r="N12" s="387"/>
      <c r="O12" s="389"/>
      <c r="P12" s="391"/>
    </row>
    <row r="13" spans="1:16" s="6" customFormat="1">
      <c r="A13" s="182"/>
      <c r="B13" s="183">
        <v>3</v>
      </c>
      <c r="C13" s="184"/>
      <c r="D13" s="185"/>
      <c r="E13" s="184" t="s">
        <v>2001</v>
      </c>
      <c r="F13" s="184">
        <f t="shared" ref="F13:O13" si="1">+F14+F877</f>
        <v>548567755000</v>
      </c>
      <c r="G13" s="184">
        <f t="shared" si="1"/>
        <v>14194792521</v>
      </c>
      <c r="H13" s="184">
        <f t="shared" si="1"/>
        <v>119748855067</v>
      </c>
      <c r="I13" s="184">
        <f t="shared" si="1"/>
        <v>668316610067</v>
      </c>
      <c r="J13" s="184">
        <f t="shared" si="1"/>
        <v>37765169384</v>
      </c>
      <c r="K13" s="184">
        <f t="shared" si="1"/>
        <v>443925954879</v>
      </c>
      <c r="L13" s="184">
        <f t="shared" si="1"/>
        <v>59277792200</v>
      </c>
      <c r="M13" s="184">
        <f t="shared" si="1"/>
        <v>411524952140</v>
      </c>
      <c r="N13" s="184">
        <f t="shared" si="1"/>
        <v>34399054883</v>
      </c>
      <c r="O13" s="184">
        <f t="shared" si="1"/>
        <v>316933439339</v>
      </c>
      <c r="P13" s="231">
        <f>IFERROR((M13/I13),0)</f>
        <v>0.6157634659098834</v>
      </c>
    </row>
    <row r="14" spans="1:16" s="6" customFormat="1">
      <c r="A14" s="102" t="s">
        <v>65</v>
      </c>
      <c r="B14" s="145" t="s">
        <v>1670</v>
      </c>
      <c r="C14" s="24" t="s">
        <v>66</v>
      </c>
      <c r="D14" s="58"/>
      <c r="E14" s="24" t="s">
        <v>67</v>
      </c>
      <c r="F14" s="14">
        <f t="shared" ref="F14:O14" si="2">+F15+F350+F840+F858+F864</f>
        <v>505039654000</v>
      </c>
      <c r="G14" s="198">
        <f t="shared" si="2"/>
        <v>12533518796</v>
      </c>
      <c r="H14" s="198">
        <f t="shared" si="2"/>
        <v>108948092774</v>
      </c>
      <c r="I14" s="198">
        <f t="shared" si="2"/>
        <v>613987746774</v>
      </c>
      <c r="J14" s="198">
        <f t="shared" si="2"/>
        <v>30729102067</v>
      </c>
      <c r="K14" s="198">
        <f t="shared" si="2"/>
        <v>423175367995</v>
      </c>
      <c r="L14" s="198">
        <f t="shared" si="2"/>
        <v>55845987005</v>
      </c>
      <c r="M14" s="198">
        <f t="shared" si="2"/>
        <v>397629315710</v>
      </c>
      <c r="N14" s="198">
        <f t="shared" si="2"/>
        <v>33348072457</v>
      </c>
      <c r="O14" s="198">
        <f t="shared" si="2"/>
        <v>308766636586</v>
      </c>
      <c r="P14" s="232">
        <f t="shared" ref="P14:P77" si="3">IFERROR((M14/I14),0)</f>
        <v>0.64761767282688398</v>
      </c>
    </row>
    <row r="15" spans="1:16" s="2" customFormat="1">
      <c r="A15" s="103" t="s">
        <v>68</v>
      </c>
      <c r="B15" s="59" t="s">
        <v>1671</v>
      </c>
      <c r="C15" s="59" t="s">
        <v>69</v>
      </c>
      <c r="D15" s="59"/>
      <c r="E15" s="59" t="s">
        <v>70</v>
      </c>
      <c r="F15" s="60">
        <f t="shared" ref="F15:O15" si="4">+F16+F135</f>
        <v>339732327000</v>
      </c>
      <c r="G15" s="193">
        <f t="shared" si="4"/>
        <v>100199760</v>
      </c>
      <c r="H15" s="193">
        <f t="shared" si="4"/>
        <v>9670653489</v>
      </c>
      <c r="I15" s="193">
        <f t="shared" si="4"/>
        <v>349402980489</v>
      </c>
      <c r="J15" s="193">
        <f t="shared" si="4"/>
        <v>15102353662</v>
      </c>
      <c r="K15" s="193">
        <f t="shared" si="4"/>
        <v>236417976510</v>
      </c>
      <c r="L15" s="193">
        <f t="shared" si="4"/>
        <v>24845761871</v>
      </c>
      <c r="M15" s="193">
        <f t="shared" si="4"/>
        <v>221684160977</v>
      </c>
      <c r="N15" s="193">
        <f t="shared" si="4"/>
        <v>21249200182</v>
      </c>
      <c r="O15" s="193">
        <f t="shared" si="4"/>
        <v>181789079665</v>
      </c>
      <c r="P15" s="233">
        <f t="shared" si="3"/>
        <v>0.63446556943145227</v>
      </c>
    </row>
    <row r="16" spans="1:16" s="2" customFormat="1">
      <c r="A16" s="104" t="s">
        <v>71</v>
      </c>
      <c r="B16" s="61" t="s">
        <v>1672</v>
      </c>
      <c r="C16" s="61" t="s">
        <v>72</v>
      </c>
      <c r="D16" s="61"/>
      <c r="E16" s="61" t="s">
        <v>73</v>
      </c>
      <c r="F16" s="62">
        <f t="shared" ref="F16:O16" si="5">+F17+F61+F100</f>
        <v>253420178000</v>
      </c>
      <c r="G16" s="194">
        <f t="shared" si="5"/>
        <v>0</v>
      </c>
      <c r="H16" s="194">
        <f t="shared" si="5"/>
        <v>-3558522635</v>
      </c>
      <c r="I16" s="194">
        <f t="shared" si="5"/>
        <v>249861655365</v>
      </c>
      <c r="J16" s="194">
        <f t="shared" si="5"/>
        <v>14056853662</v>
      </c>
      <c r="K16" s="194">
        <f t="shared" si="5"/>
        <v>138296753791</v>
      </c>
      <c r="L16" s="194">
        <f t="shared" si="5"/>
        <v>14361667706</v>
      </c>
      <c r="M16" s="194">
        <f t="shared" si="5"/>
        <v>137856783596</v>
      </c>
      <c r="N16" s="194">
        <f t="shared" si="5"/>
        <v>14887409864</v>
      </c>
      <c r="O16" s="194">
        <f t="shared" si="5"/>
        <v>132784407292</v>
      </c>
      <c r="P16" s="234">
        <f t="shared" si="3"/>
        <v>0.55173245128236126</v>
      </c>
    </row>
    <row r="17" spans="1:16" s="2" customFormat="1">
      <c r="A17" s="105" t="s">
        <v>74</v>
      </c>
      <c r="B17" s="63" t="s">
        <v>1673</v>
      </c>
      <c r="C17" s="63" t="s">
        <v>75</v>
      </c>
      <c r="D17" s="63"/>
      <c r="E17" s="63" t="s">
        <v>76</v>
      </c>
      <c r="F17" s="64">
        <f>+F18+F56+F52</f>
        <v>183865598000</v>
      </c>
      <c r="G17" s="64">
        <f t="shared" ref="G17:O17" si="6">+G18+G56+G52</f>
        <v>0</v>
      </c>
      <c r="H17" s="64">
        <f t="shared" si="6"/>
        <v>-1834185350</v>
      </c>
      <c r="I17" s="64">
        <f t="shared" si="6"/>
        <v>182031412650</v>
      </c>
      <c r="J17" s="64">
        <f t="shared" si="6"/>
        <v>11012166320</v>
      </c>
      <c r="K17" s="64">
        <f t="shared" si="6"/>
        <v>96431716152</v>
      </c>
      <c r="L17" s="64">
        <f t="shared" si="6"/>
        <v>11108317798</v>
      </c>
      <c r="M17" s="64">
        <f t="shared" si="6"/>
        <v>96153501032</v>
      </c>
      <c r="N17" s="64">
        <f t="shared" si="6"/>
        <v>11110743801</v>
      </c>
      <c r="O17" s="64">
        <f t="shared" si="6"/>
        <v>96102235345</v>
      </c>
      <c r="P17" s="235">
        <f t="shared" si="3"/>
        <v>0.52822476973729071</v>
      </c>
    </row>
    <row r="18" spans="1:16" s="5" customFormat="1">
      <c r="A18" s="169" t="s">
        <v>77</v>
      </c>
      <c r="B18" s="146"/>
      <c r="C18" s="147" t="s">
        <v>78</v>
      </c>
      <c r="D18" s="65"/>
      <c r="E18" s="32"/>
      <c r="F18" s="66">
        <f>+F19+F24+F27+F30+F33+F36+F40+F49</f>
        <v>170051047000</v>
      </c>
      <c r="G18" s="196">
        <f t="shared" ref="G18:O18" si="7">+G19+G24+G27+G30+G33+G36+G40+G49</f>
        <v>0</v>
      </c>
      <c r="H18" s="196">
        <f t="shared" si="7"/>
        <v>-882993704</v>
      </c>
      <c r="I18" s="196">
        <f t="shared" si="7"/>
        <v>169168053296</v>
      </c>
      <c r="J18" s="196">
        <f t="shared" si="7"/>
        <v>10928069092</v>
      </c>
      <c r="K18" s="196">
        <f t="shared" si="7"/>
        <v>85139230520</v>
      </c>
      <c r="L18" s="196">
        <f t="shared" si="7"/>
        <v>11014774851</v>
      </c>
      <c r="M18" s="357">
        <f t="shared" si="7"/>
        <v>84913790848</v>
      </c>
      <c r="N18" s="196">
        <f t="shared" si="7"/>
        <v>11014382506</v>
      </c>
      <c r="O18" s="196">
        <f t="shared" si="7"/>
        <v>84874336780</v>
      </c>
      <c r="P18" s="236">
        <f t="shared" si="3"/>
        <v>0.50194932904632417</v>
      </c>
    </row>
    <row r="19" spans="1:16" s="5" customFormat="1">
      <c r="A19" s="134" t="s">
        <v>80</v>
      </c>
      <c r="B19" s="123" t="s">
        <v>1470</v>
      </c>
      <c r="C19" s="124" t="s">
        <v>81</v>
      </c>
      <c r="D19" s="67"/>
      <c r="E19" s="25" t="s">
        <v>82</v>
      </c>
      <c r="F19" s="68">
        <f>+F20</f>
        <v>137847199000</v>
      </c>
      <c r="G19" s="197">
        <f t="shared" ref="G19:O19" si="8">+G20</f>
        <v>0</v>
      </c>
      <c r="H19" s="197">
        <f t="shared" si="8"/>
        <v>-882993704</v>
      </c>
      <c r="I19" s="197">
        <f t="shared" si="8"/>
        <v>136964205296</v>
      </c>
      <c r="J19" s="197">
        <f t="shared" si="8"/>
        <v>9973723386</v>
      </c>
      <c r="K19" s="197">
        <f t="shared" si="8"/>
        <v>79163609530</v>
      </c>
      <c r="L19" s="197">
        <f t="shared" si="8"/>
        <v>10009017915</v>
      </c>
      <c r="M19" s="197">
        <f t="shared" si="8"/>
        <v>79046667804</v>
      </c>
      <c r="N19" s="197">
        <f t="shared" si="8"/>
        <v>10010541176</v>
      </c>
      <c r="O19" s="197">
        <f t="shared" si="8"/>
        <v>79022119760</v>
      </c>
      <c r="P19" s="229">
        <f t="shared" si="3"/>
        <v>0.5771337674187822</v>
      </c>
    </row>
    <row r="20" spans="1:16" s="7" customFormat="1">
      <c r="A20" s="106"/>
      <c r="B20" s="148" t="s">
        <v>1470</v>
      </c>
      <c r="C20" s="26" t="s">
        <v>81</v>
      </c>
      <c r="D20" s="69"/>
      <c r="E20" s="26" t="s">
        <v>1485</v>
      </c>
      <c r="F20" s="15">
        <f>SUM(F21:F23)</f>
        <v>137847199000</v>
      </c>
      <c r="G20" s="199">
        <f t="shared" ref="G20:O20" si="9">SUM(G21:G23)</f>
        <v>0</v>
      </c>
      <c r="H20" s="199">
        <f t="shared" si="9"/>
        <v>-882993704</v>
      </c>
      <c r="I20" s="199">
        <f t="shared" si="9"/>
        <v>136964205296</v>
      </c>
      <c r="J20" s="199">
        <f t="shared" si="9"/>
        <v>9973723386</v>
      </c>
      <c r="K20" s="199">
        <f t="shared" si="9"/>
        <v>79163609530</v>
      </c>
      <c r="L20" s="199">
        <f t="shared" si="9"/>
        <v>10009017915</v>
      </c>
      <c r="M20" s="199">
        <f t="shared" si="9"/>
        <v>79046667804</v>
      </c>
      <c r="N20" s="199">
        <f t="shared" si="9"/>
        <v>10010541176</v>
      </c>
      <c r="O20" s="199">
        <f t="shared" si="9"/>
        <v>79022119760</v>
      </c>
      <c r="P20" s="230">
        <f t="shared" si="3"/>
        <v>0.5771337674187822</v>
      </c>
    </row>
    <row r="21" spans="1:16" s="8" customFormat="1">
      <c r="A21" s="107"/>
      <c r="B21" s="149" t="s">
        <v>1510</v>
      </c>
      <c r="C21" s="18" t="s">
        <v>83</v>
      </c>
      <c r="D21" s="30" t="s">
        <v>1483</v>
      </c>
      <c r="E21" s="17" t="s">
        <v>84</v>
      </c>
      <c r="F21" s="16">
        <v>17229718000</v>
      </c>
      <c r="G21" s="203">
        <v>0</v>
      </c>
      <c r="H21" s="203">
        <v>0</v>
      </c>
      <c r="I21" s="203">
        <v>17229718000</v>
      </c>
      <c r="J21" s="203">
        <v>1254694045</v>
      </c>
      <c r="K21" s="203">
        <v>10032071169</v>
      </c>
      <c r="L21" s="203">
        <v>1260814251</v>
      </c>
      <c r="M21" s="203">
        <v>9976421376</v>
      </c>
      <c r="N21" s="203">
        <v>1262337512</v>
      </c>
      <c r="O21" s="203">
        <v>9970301170</v>
      </c>
      <c r="P21" s="237">
        <f t="shared" si="3"/>
        <v>0.57902406620932512</v>
      </c>
    </row>
    <row r="22" spans="1:16" s="7" customFormat="1">
      <c r="A22" s="107"/>
      <c r="B22" s="149" t="s">
        <v>1511</v>
      </c>
      <c r="C22" s="18" t="s">
        <v>85</v>
      </c>
      <c r="D22" s="30" t="s">
        <v>1910</v>
      </c>
      <c r="E22" s="17" t="s">
        <v>86</v>
      </c>
      <c r="F22" s="16">
        <v>119040611000</v>
      </c>
      <c r="G22" s="203">
        <v>0</v>
      </c>
      <c r="H22" s="203">
        <v>-882993704</v>
      </c>
      <c r="I22" s="203">
        <v>118157617296</v>
      </c>
      <c r="J22" s="203">
        <v>8612498726</v>
      </c>
      <c r="K22" s="203">
        <v>68133103310</v>
      </c>
      <c r="L22" s="203">
        <v>8626482424</v>
      </c>
      <c r="M22" s="203">
        <v>68071811377</v>
      </c>
      <c r="N22" s="203">
        <v>8626482424</v>
      </c>
      <c r="O22" s="203">
        <v>68053383539</v>
      </c>
      <c r="P22" s="237">
        <f t="shared" si="3"/>
        <v>0.57611022407866752</v>
      </c>
    </row>
    <row r="23" spans="1:16" s="5" customFormat="1">
      <c r="A23" s="107"/>
      <c r="B23" s="149" t="s">
        <v>1512</v>
      </c>
      <c r="C23" s="18" t="s">
        <v>87</v>
      </c>
      <c r="D23" s="30" t="s">
        <v>1911</v>
      </c>
      <c r="E23" s="17" t="s">
        <v>88</v>
      </c>
      <c r="F23" s="16">
        <v>1576870000</v>
      </c>
      <c r="G23" s="203">
        <v>0</v>
      </c>
      <c r="H23" s="203">
        <v>0</v>
      </c>
      <c r="I23" s="203">
        <v>1576870000</v>
      </c>
      <c r="J23" s="203">
        <v>106530615</v>
      </c>
      <c r="K23" s="203">
        <v>998435051</v>
      </c>
      <c r="L23" s="203">
        <v>121721240</v>
      </c>
      <c r="M23" s="203">
        <v>998435051</v>
      </c>
      <c r="N23" s="203">
        <v>121721240</v>
      </c>
      <c r="O23" s="203">
        <v>998435051</v>
      </c>
      <c r="P23" s="237">
        <f t="shared" si="3"/>
        <v>0.6331752465326882</v>
      </c>
    </row>
    <row r="24" spans="1:16" s="5" customFormat="1">
      <c r="A24" s="134" t="s">
        <v>89</v>
      </c>
      <c r="B24" s="123" t="s">
        <v>1678</v>
      </c>
      <c r="C24" s="124" t="s">
        <v>90</v>
      </c>
      <c r="D24" s="67"/>
      <c r="E24" s="25" t="s">
        <v>91</v>
      </c>
      <c r="F24" s="68">
        <f>+F25</f>
        <v>232386000</v>
      </c>
      <c r="G24" s="68">
        <f t="shared" ref="G24:O25" si="10">+G25</f>
        <v>0</v>
      </c>
      <c r="H24" s="68">
        <f t="shared" si="10"/>
        <v>0</v>
      </c>
      <c r="I24" s="68">
        <f t="shared" si="10"/>
        <v>232386000</v>
      </c>
      <c r="J24" s="68">
        <f t="shared" si="10"/>
        <v>13695907</v>
      </c>
      <c r="K24" s="68">
        <f t="shared" si="10"/>
        <v>110111232</v>
      </c>
      <c r="L24" s="68">
        <f t="shared" si="10"/>
        <v>13695907</v>
      </c>
      <c r="M24" s="68">
        <f t="shared" si="10"/>
        <v>110111232</v>
      </c>
      <c r="N24" s="68">
        <f t="shared" si="10"/>
        <v>13695907</v>
      </c>
      <c r="O24" s="68">
        <f t="shared" si="10"/>
        <v>110111232</v>
      </c>
      <c r="P24" s="229">
        <f t="shared" si="3"/>
        <v>0.47382902584493042</v>
      </c>
    </row>
    <row r="25" spans="1:16" s="7" customFormat="1">
      <c r="A25" s="106" t="s">
        <v>89</v>
      </c>
      <c r="B25" s="148" t="s">
        <v>1678</v>
      </c>
      <c r="C25" s="26" t="s">
        <v>90</v>
      </c>
      <c r="D25" s="69"/>
      <c r="E25" s="26" t="s">
        <v>91</v>
      </c>
      <c r="F25" s="202">
        <f>+F26</f>
        <v>232386000</v>
      </c>
      <c r="G25" s="202">
        <f t="shared" si="10"/>
        <v>0</v>
      </c>
      <c r="H25" s="202">
        <f t="shared" si="10"/>
        <v>0</v>
      </c>
      <c r="I25" s="202">
        <f t="shared" si="10"/>
        <v>232386000</v>
      </c>
      <c r="J25" s="202">
        <f t="shared" si="10"/>
        <v>13695907</v>
      </c>
      <c r="K25" s="202">
        <f t="shared" si="10"/>
        <v>110111232</v>
      </c>
      <c r="L25" s="202">
        <f t="shared" si="10"/>
        <v>13695907</v>
      </c>
      <c r="M25" s="202">
        <f t="shared" si="10"/>
        <v>110111232</v>
      </c>
      <c r="N25" s="202">
        <f t="shared" si="10"/>
        <v>13695907</v>
      </c>
      <c r="O25" s="202">
        <f t="shared" si="10"/>
        <v>110111232</v>
      </c>
      <c r="P25" s="230">
        <f t="shared" si="3"/>
        <v>0.47382902584493042</v>
      </c>
    </row>
    <row r="26" spans="1:16" s="5" customFormat="1">
      <c r="A26" s="107"/>
      <c r="B26" s="149" t="s">
        <v>1513</v>
      </c>
      <c r="C26" s="18" t="s">
        <v>92</v>
      </c>
      <c r="D26" s="30" t="s">
        <v>1483</v>
      </c>
      <c r="E26" s="17" t="s">
        <v>93</v>
      </c>
      <c r="F26" s="16">
        <v>232386000</v>
      </c>
      <c r="G26" s="203">
        <v>0</v>
      </c>
      <c r="H26" s="203">
        <v>0</v>
      </c>
      <c r="I26" s="203">
        <v>232386000</v>
      </c>
      <c r="J26" s="203">
        <v>13695907</v>
      </c>
      <c r="K26" s="203">
        <v>110111232</v>
      </c>
      <c r="L26" s="203">
        <v>13695907</v>
      </c>
      <c r="M26" s="203">
        <v>110111232</v>
      </c>
      <c r="N26" s="203">
        <v>13695907</v>
      </c>
      <c r="O26" s="203">
        <v>110111232</v>
      </c>
      <c r="P26" s="237">
        <f t="shared" si="3"/>
        <v>0.47382902584493042</v>
      </c>
    </row>
    <row r="27" spans="1:16" s="5" customFormat="1">
      <c r="A27" s="134" t="s">
        <v>94</v>
      </c>
      <c r="B27" s="123" t="s">
        <v>1486</v>
      </c>
      <c r="C27" s="124" t="s">
        <v>95</v>
      </c>
      <c r="D27" s="67"/>
      <c r="E27" s="25" t="s">
        <v>96</v>
      </c>
      <c r="F27" s="68">
        <f>+F28</f>
        <v>879556000</v>
      </c>
      <c r="G27" s="68">
        <f t="shared" ref="G27:O28" si="11">+G28</f>
        <v>0</v>
      </c>
      <c r="H27" s="68">
        <f t="shared" si="11"/>
        <v>0</v>
      </c>
      <c r="I27" s="68">
        <f t="shared" si="11"/>
        <v>879556000</v>
      </c>
      <c r="J27" s="68">
        <f t="shared" si="11"/>
        <v>68936516</v>
      </c>
      <c r="K27" s="68">
        <f t="shared" si="11"/>
        <v>540508571</v>
      </c>
      <c r="L27" s="68">
        <f t="shared" si="11"/>
        <v>68936516</v>
      </c>
      <c r="M27" s="68">
        <f t="shared" si="11"/>
        <v>540508571</v>
      </c>
      <c r="N27" s="68">
        <f t="shared" si="11"/>
        <v>68936516</v>
      </c>
      <c r="O27" s="68">
        <f t="shared" si="11"/>
        <v>540508571</v>
      </c>
      <c r="P27" s="229">
        <f t="shared" si="3"/>
        <v>0.61452434069007544</v>
      </c>
    </row>
    <row r="28" spans="1:16" s="8" customFormat="1">
      <c r="A28" s="106" t="s">
        <v>94</v>
      </c>
      <c r="B28" s="148" t="s">
        <v>1486</v>
      </c>
      <c r="C28" s="26" t="s">
        <v>95</v>
      </c>
      <c r="D28" s="69"/>
      <c r="E28" s="26" t="s">
        <v>96</v>
      </c>
      <c r="F28" s="15">
        <f>+F29</f>
        <v>879556000</v>
      </c>
      <c r="G28" s="202">
        <f t="shared" si="11"/>
        <v>0</v>
      </c>
      <c r="H28" s="202">
        <f t="shared" si="11"/>
        <v>0</v>
      </c>
      <c r="I28" s="202">
        <f t="shared" si="11"/>
        <v>879556000</v>
      </c>
      <c r="J28" s="202">
        <f t="shared" si="11"/>
        <v>68936516</v>
      </c>
      <c r="K28" s="202">
        <f t="shared" si="11"/>
        <v>540508571</v>
      </c>
      <c r="L28" s="202">
        <f t="shared" si="11"/>
        <v>68936516</v>
      </c>
      <c r="M28" s="202">
        <f t="shared" si="11"/>
        <v>540508571</v>
      </c>
      <c r="N28" s="202">
        <f t="shared" si="11"/>
        <v>68936516</v>
      </c>
      <c r="O28" s="202">
        <f t="shared" si="11"/>
        <v>540508571</v>
      </c>
      <c r="P28" s="230">
        <f t="shared" si="3"/>
        <v>0.61452434069007544</v>
      </c>
    </row>
    <row r="29" spans="1:16" s="5" customFormat="1">
      <c r="A29" s="107"/>
      <c r="B29" s="149" t="s">
        <v>1514</v>
      </c>
      <c r="C29" s="18" t="s">
        <v>97</v>
      </c>
      <c r="D29" s="30" t="s">
        <v>1483</v>
      </c>
      <c r="E29" s="17" t="s">
        <v>98</v>
      </c>
      <c r="F29" s="16">
        <v>879556000</v>
      </c>
      <c r="G29" s="203">
        <v>0</v>
      </c>
      <c r="H29" s="203">
        <v>0</v>
      </c>
      <c r="I29" s="203">
        <v>879556000</v>
      </c>
      <c r="J29" s="203">
        <v>68936516</v>
      </c>
      <c r="K29" s="203">
        <v>540508571</v>
      </c>
      <c r="L29" s="203">
        <v>68936516</v>
      </c>
      <c r="M29" s="203">
        <v>540508571</v>
      </c>
      <c r="N29" s="203">
        <v>68936516</v>
      </c>
      <c r="O29" s="203">
        <v>540508571</v>
      </c>
      <c r="P29" s="237">
        <f t="shared" si="3"/>
        <v>0.61452434069007544</v>
      </c>
    </row>
    <row r="30" spans="1:16" s="5" customFormat="1">
      <c r="A30" s="134" t="s">
        <v>99</v>
      </c>
      <c r="B30" s="123" t="s">
        <v>1487</v>
      </c>
      <c r="C30" s="124" t="s">
        <v>100</v>
      </c>
      <c r="D30" s="67"/>
      <c r="E30" s="25" t="s">
        <v>101</v>
      </c>
      <c r="F30" s="68">
        <f>+F31</f>
        <v>89520000</v>
      </c>
      <c r="G30" s="68">
        <f t="shared" ref="G30:O31" si="12">+G31</f>
        <v>0</v>
      </c>
      <c r="H30" s="68">
        <f t="shared" si="12"/>
        <v>0</v>
      </c>
      <c r="I30" s="68">
        <f t="shared" si="12"/>
        <v>89520000</v>
      </c>
      <c r="J30" s="68">
        <f t="shared" si="12"/>
        <v>6554973</v>
      </c>
      <c r="K30" s="68">
        <f t="shared" si="12"/>
        <v>57670022</v>
      </c>
      <c r="L30" s="68">
        <f t="shared" si="12"/>
        <v>6554973</v>
      </c>
      <c r="M30" s="68">
        <f t="shared" si="12"/>
        <v>57670022</v>
      </c>
      <c r="N30" s="68">
        <f t="shared" si="12"/>
        <v>6554973</v>
      </c>
      <c r="O30" s="68">
        <f t="shared" si="12"/>
        <v>57670022</v>
      </c>
      <c r="P30" s="229">
        <f t="shared" si="3"/>
        <v>0.64421382931188564</v>
      </c>
    </row>
    <row r="31" spans="1:16" s="7" customFormat="1">
      <c r="A31" s="106" t="s">
        <v>99</v>
      </c>
      <c r="B31" s="148" t="s">
        <v>1487</v>
      </c>
      <c r="C31" s="26" t="s">
        <v>100</v>
      </c>
      <c r="D31" s="69"/>
      <c r="E31" s="26" t="s">
        <v>101</v>
      </c>
      <c r="F31" s="15">
        <f>+F32</f>
        <v>89520000</v>
      </c>
      <c r="G31" s="202">
        <f t="shared" si="12"/>
        <v>0</v>
      </c>
      <c r="H31" s="202">
        <f t="shared" si="12"/>
        <v>0</v>
      </c>
      <c r="I31" s="202">
        <f t="shared" si="12"/>
        <v>89520000</v>
      </c>
      <c r="J31" s="202">
        <f t="shared" si="12"/>
        <v>6554973</v>
      </c>
      <c r="K31" s="202">
        <f t="shared" si="12"/>
        <v>57670022</v>
      </c>
      <c r="L31" s="202">
        <f t="shared" si="12"/>
        <v>6554973</v>
      </c>
      <c r="M31" s="202">
        <f t="shared" si="12"/>
        <v>57670022</v>
      </c>
      <c r="N31" s="202">
        <f t="shared" si="12"/>
        <v>6554973</v>
      </c>
      <c r="O31" s="202">
        <f t="shared" si="12"/>
        <v>57670022</v>
      </c>
      <c r="P31" s="230">
        <f t="shared" si="3"/>
        <v>0.64421382931188564</v>
      </c>
    </row>
    <row r="32" spans="1:16" s="5" customFormat="1">
      <c r="A32" s="107" t="s">
        <v>99</v>
      </c>
      <c r="B32" s="149" t="s">
        <v>1515</v>
      </c>
      <c r="C32" s="18" t="s">
        <v>100</v>
      </c>
      <c r="D32" s="30" t="s">
        <v>1911</v>
      </c>
      <c r="E32" s="17" t="s">
        <v>101</v>
      </c>
      <c r="F32" s="16">
        <v>89520000</v>
      </c>
      <c r="G32" s="203">
        <v>0</v>
      </c>
      <c r="H32" s="203">
        <v>0</v>
      </c>
      <c r="I32" s="203">
        <v>89520000</v>
      </c>
      <c r="J32" s="203">
        <v>6554973</v>
      </c>
      <c r="K32" s="203">
        <v>57670022</v>
      </c>
      <c r="L32" s="203">
        <v>6554973</v>
      </c>
      <c r="M32" s="203">
        <v>57670022</v>
      </c>
      <c r="N32" s="203">
        <v>6554973</v>
      </c>
      <c r="O32" s="203">
        <v>57670022</v>
      </c>
      <c r="P32" s="237">
        <f t="shared" si="3"/>
        <v>0.64421382931188564</v>
      </c>
    </row>
    <row r="33" spans="1:16" s="5" customFormat="1">
      <c r="A33" s="134" t="s">
        <v>102</v>
      </c>
      <c r="B33" s="123" t="s">
        <v>1488</v>
      </c>
      <c r="C33" s="124" t="s">
        <v>103</v>
      </c>
      <c r="D33" s="67"/>
      <c r="E33" s="25" t="s">
        <v>104</v>
      </c>
      <c r="F33" s="68">
        <f>+F34</f>
        <v>92533000</v>
      </c>
      <c r="G33" s="68">
        <f t="shared" ref="G33:O34" si="13">+G34</f>
        <v>0</v>
      </c>
      <c r="H33" s="68">
        <f t="shared" si="13"/>
        <v>0</v>
      </c>
      <c r="I33" s="68">
        <f t="shared" si="13"/>
        <v>92533000</v>
      </c>
      <c r="J33" s="68">
        <f t="shared" si="13"/>
        <v>6050899</v>
      </c>
      <c r="K33" s="68">
        <f t="shared" si="13"/>
        <v>53235236</v>
      </c>
      <c r="L33" s="68">
        <f t="shared" si="13"/>
        <v>6050899</v>
      </c>
      <c r="M33" s="68">
        <f t="shared" si="13"/>
        <v>53235236</v>
      </c>
      <c r="N33" s="68">
        <f t="shared" si="13"/>
        <v>6050899</v>
      </c>
      <c r="O33" s="68">
        <f t="shared" si="13"/>
        <v>53235236</v>
      </c>
      <c r="P33" s="229">
        <f t="shared" si="3"/>
        <v>0.57531081884300739</v>
      </c>
    </row>
    <row r="34" spans="1:16" s="7" customFormat="1">
      <c r="A34" s="106" t="s">
        <v>102</v>
      </c>
      <c r="B34" s="148" t="s">
        <v>1488</v>
      </c>
      <c r="C34" s="26" t="s">
        <v>103</v>
      </c>
      <c r="D34" s="69"/>
      <c r="E34" s="26" t="s">
        <v>104</v>
      </c>
      <c r="F34" s="15">
        <f>+F35</f>
        <v>92533000</v>
      </c>
      <c r="G34" s="202">
        <f t="shared" si="13"/>
        <v>0</v>
      </c>
      <c r="H34" s="202">
        <f t="shared" si="13"/>
        <v>0</v>
      </c>
      <c r="I34" s="202">
        <f t="shared" si="13"/>
        <v>92533000</v>
      </c>
      <c r="J34" s="202">
        <f t="shared" si="13"/>
        <v>6050899</v>
      </c>
      <c r="K34" s="202">
        <f t="shared" si="13"/>
        <v>53235236</v>
      </c>
      <c r="L34" s="202">
        <f t="shared" si="13"/>
        <v>6050899</v>
      </c>
      <c r="M34" s="202">
        <f t="shared" si="13"/>
        <v>53235236</v>
      </c>
      <c r="N34" s="202">
        <f t="shared" si="13"/>
        <v>6050899</v>
      </c>
      <c r="O34" s="202">
        <f t="shared" si="13"/>
        <v>53235236</v>
      </c>
      <c r="P34" s="230">
        <f t="shared" si="3"/>
        <v>0.57531081884300739</v>
      </c>
    </row>
    <row r="35" spans="1:16" s="5" customFormat="1">
      <c r="A35" s="107" t="s">
        <v>102</v>
      </c>
      <c r="B35" s="149" t="s">
        <v>1516</v>
      </c>
      <c r="C35" s="18" t="s">
        <v>103</v>
      </c>
      <c r="D35" s="30" t="s">
        <v>1911</v>
      </c>
      <c r="E35" s="17" t="s">
        <v>104</v>
      </c>
      <c r="F35" s="16">
        <v>92533000</v>
      </c>
      <c r="G35" s="203">
        <v>0</v>
      </c>
      <c r="H35" s="203">
        <v>0</v>
      </c>
      <c r="I35" s="203">
        <v>92533000</v>
      </c>
      <c r="J35" s="203">
        <v>6050899</v>
      </c>
      <c r="K35" s="203">
        <v>53235236</v>
      </c>
      <c r="L35" s="203">
        <v>6050899</v>
      </c>
      <c r="M35" s="203">
        <v>53235236</v>
      </c>
      <c r="N35" s="203">
        <v>6050899</v>
      </c>
      <c r="O35" s="203">
        <v>53235236</v>
      </c>
      <c r="P35" s="237">
        <f t="shared" si="3"/>
        <v>0.57531081884300739</v>
      </c>
    </row>
    <row r="36" spans="1:16" s="5" customFormat="1">
      <c r="A36" s="134" t="s">
        <v>105</v>
      </c>
      <c r="B36" s="123" t="s">
        <v>1489</v>
      </c>
      <c r="C36" s="124" t="s">
        <v>106</v>
      </c>
      <c r="D36" s="67"/>
      <c r="E36" s="25" t="s">
        <v>107</v>
      </c>
      <c r="F36" s="68">
        <f>+F37</f>
        <v>4044818000</v>
      </c>
      <c r="G36" s="68">
        <f t="shared" ref="G36:O36" si="14">+G37</f>
        <v>0</v>
      </c>
      <c r="H36" s="68">
        <f t="shared" si="14"/>
        <v>0</v>
      </c>
      <c r="I36" s="68">
        <f t="shared" si="14"/>
        <v>4044818000</v>
      </c>
      <c r="J36" s="68">
        <f t="shared" si="14"/>
        <v>521204267</v>
      </c>
      <c r="K36" s="68">
        <f t="shared" si="14"/>
        <v>2397348052</v>
      </c>
      <c r="L36" s="68">
        <f t="shared" si="14"/>
        <v>523352825</v>
      </c>
      <c r="M36" s="68">
        <f t="shared" si="14"/>
        <v>2385667678</v>
      </c>
      <c r="N36" s="68">
        <f t="shared" si="14"/>
        <v>522785607</v>
      </c>
      <c r="O36" s="68">
        <f t="shared" si="14"/>
        <v>2383519120</v>
      </c>
      <c r="P36" s="229">
        <f t="shared" si="3"/>
        <v>0.58980841115718929</v>
      </c>
    </row>
    <row r="37" spans="1:16" s="7" customFormat="1">
      <c r="A37" s="106" t="s">
        <v>105</v>
      </c>
      <c r="B37" s="148" t="s">
        <v>1489</v>
      </c>
      <c r="C37" s="26" t="s">
        <v>106</v>
      </c>
      <c r="D37" s="69"/>
      <c r="E37" s="26" t="s">
        <v>107</v>
      </c>
      <c r="F37" s="202">
        <f>SUM(F38:F39)</f>
        <v>4044818000</v>
      </c>
      <c r="G37" s="202">
        <f t="shared" ref="G37:O37" si="15">SUM(G38:G39)</f>
        <v>0</v>
      </c>
      <c r="H37" s="202">
        <f t="shared" si="15"/>
        <v>0</v>
      </c>
      <c r="I37" s="202">
        <f t="shared" si="15"/>
        <v>4044818000</v>
      </c>
      <c r="J37" s="202">
        <f t="shared" si="15"/>
        <v>521204267</v>
      </c>
      <c r="K37" s="202">
        <f t="shared" si="15"/>
        <v>2397348052</v>
      </c>
      <c r="L37" s="202">
        <f t="shared" si="15"/>
        <v>523352825</v>
      </c>
      <c r="M37" s="202">
        <f t="shared" si="15"/>
        <v>2385667678</v>
      </c>
      <c r="N37" s="202">
        <f t="shared" si="15"/>
        <v>522785607</v>
      </c>
      <c r="O37" s="202">
        <f t="shared" si="15"/>
        <v>2383519120</v>
      </c>
      <c r="P37" s="230">
        <f t="shared" si="3"/>
        <v>0.58980841115718929</v>
      </c>
    </row>
    <row r="38" spans="1:16" s="7" customFormat="1">
      <c r="A38" s="107"/>
      <c r="B38" s="149" t="s">
        <v>1674</v>
      </c>
      <c r="C38" s="18" t="s">
        <v>108</v>
      </c>
      <c r="D38" s="30" t="s">
        <v>1483</v>
      </c>
      <c r="E38" s="17" t="s">
        <v>109</v>
      </c>
      <c r="F38" s="16">
        <v>572800000</v>
      </c>
      <c r="G38" s="203">
        <v>0</v>
      </c>
      <c r="H38" s="203">
        <v>0</v>
      </c>
      <c r="I38" s="203">
        <v>572800000</v>
      </c>
      <c r="J38" s="203">
        <v>13717222</v>
      </c>
      <c r="K38" s="203">
        <v>367856662</v>
      </c>
      <c r="L38" s="203">
        <v>15865780</v>
      </c>
      <c r="M38" s="203">
        <v>361243215</v>
      </c>
      <c r="N38" s="203">
        <v>15298562</v>
      </c>
      <c r="O38" s="203">
        <v>359094657</v>
      </c>
      <c r="P38" s="237">
        <f t="shared" si="3"/>
        <v>0.63066203736033521</v>
      </c>
    </row>
    <row r="39" spans="1:16" s="2" customFormat="1">
      <c r="A39" s="107"/>
      <c r="B39" s="149" t="s">
        <v>1675</v>
      </c>
      <c r="C39" s="18" t="s">
        <v>110</v>
      </c>
      <c r="D39" s="30" t="s">
        <v>1910</v>
      </c>
      <c r="E39" s="17" t="s">
        <v>111</v>
      </c>
      <c r="F39" s="16">
        <v>3472018000</v>
      </c>
      <c r="G39" s="203">
        <v>0</v>
      </c>
      <c r="H39" s="203">
        <v>0</v>
      </c>
      <c r="I39" s="203">
        <v>3472018000</v>
      </c>
      <c r="J39" s="203">
        <v>507487045</v>
      </c>
      <c r="K39" s="203">
        <v>2029491390</v>
      </c>
      <c r="L39" s="203">
        <v>507487045</v>
      </c>
      <c r="M39" s="203">
        <v>2024424463</v>
      </c>
      <c r="N39" s="203">
        <v>507487045</v>
      </c>
      <c r="O39" s="203">
        <v>2024424463</v>
      </c>
      <c r="P39" s="237">
        <f t="shared" si="3"/>
        <v>0.58306853910319589</v>
      </c>
    </row>
    <row r="40" spans="1:16" s="5" customFormat="1">
      <c r="A40" s="134" t="s">
        <v>112</v>
      </c>
      <c r="B40" s="123" t="s">
        <v>1679</v>
      </c>
      <c r="C40" s="124" t="s">
        <v>113</v>
      </c>
      <c r="D40" s="67"/>
      <c r="E40" s="25" t="s">
        <v>114</v>
      </c>
      <c r="F40" s="68">
        <f>+F41+F45</f>
        <v>22992436000</v>
      </c>
      <c r="G40" s="68">
        <f t="shared" ref="G40:O40" si="16">+G41+G45</f>
        <v>0</v>
      </c>
      <c r="H40" s="68">
        <f t="shared" si="16"/>
        <v>0</v>
      </c>
      <c r="I40" s="68">
        <f t="shared" si="16"/>
        <v>22992436000</v>
      </c>
      <c r="J40" s="68">
        <f t="shared" si="16"/>
        <v>23942177</v>
      </c>
      <c r="K40" s="68">
        <f t="shared" si="16"/>
        <v>390355453</v>
      </c>
      <c r="L40" s="68">
        <f t="shared" si="16"/>
        <v>73204849</v>
      </c>
      <c r="M40" s="68">
        <f t="shared" si="16"/>
        <v>293537881</v>
      </c>
      <c r="N40" s="68">
        <f t="shared" si="16"/>
        <v>71856461</v>
      </c>
      <c r="O40" s="68">
        <f t="shared" si="16"/>
        <v>280780415</v>
      </c>
      <c r="P40" s="229">
        <f t="shared" si="3"/>
        <v>1.2766715149277788E-2</v>
      </c>
    </row>
    <row r="41" spans="1:16" s="8" customFormat="1">
      <c r="A41" s="106" t="s">
        <v>115</v>
      </c>
      <c r="B41" s="148" t="s">
        <v>1680</v>
      </c>
      <c r="C41" s="26" t="s">
        <v>116</v>
      </c>
      <c r="D41" s="69"/>
      <c r="E41" s="26" t="s">
        <v>117</v>
      </c>
      <c r="F41" s="15">
        <f>SUM(F42:F44)</f>
        <v>14300185000</v>
      </c>
      <c r="G41" s="202">
        <f t="shared" ref="G41:O41" si="17">SUM(G42:G44)</f>
        <v>0</v>
      </c>
      <c r="H41" s="202">
        <f t="shared" si="17"/>
        <v>0</v>
      </c>
      <c r="I41" s="202">
        <f t="shared" si="17"/>
        <v>14300185000</v>
      </c>
      <c r="J41" s="202">
        <f t="shared" si="17"/>
        <v>0</v>
      </c>
      <c r="K41" s="202">
        <f t="shared" si="17"/>
        <v>119171591</v>
      </c>
      <c r="L41" s="202">
        <f t="shared" si="17"/>
        <v>25898987</v>
      </c>
      <c r="M41" s="202">
        <f t="shared" si="17"/>
        <v>81636831</v>
      </c>
      <c r="N41" s="202">
        <f t="shared" si="17"/>
        <v>25009514</v>
      </c>
      <c r="O41" s="202">
        <f t="shared" si="17"/>
        <v>79143364</v>
      </c>
      <c r="P41" s="230">
        <f t="shared" si="3"/>
        <v>5.7087954456533259E-3</v>
      </c>
    </row>
    <row r="42" spans="1:16" s="7" customFormat="1">
      <c r="A42" s="107"/>
      <c r="B42" s="149" t="s">
        <v>1681</v>
      </c>
      <c r="C42" s="18" t="s">
        <v>118</v>
      </c>
      <c r="D42" s="30" t="s">
        <v>1483</v>
      </c>
      <c r="E42" s="17" t="s">
        <v>119</v>
      </c>
      <c r="F42" s="16">
        <v>2287604000</v>
      </c>
      <c r="G42" s="203">
        <v>0</v>
      </c>
      <c r="H42" s="203">
        <v>0</v>
      </c>
      <c r="I42" s="203">
        <v>2287604000</v>
      </c>
      <c r="J42" s="203">
        <v>0</v>
      </c>
      <c r="K42" s="203">
        <v>10705113</v>
      </c>
      <c r="L42" s="203">
        <v>889473</v>
      </c>
      <c r="M42" s="203">
        <v>10705113</v>
      </c>
      <c r="N42" s="203">
        <v>0</v>
      </c>
      <c r="O42" s="203">
        <v>9815640</v>
      </c>
      <c r="P42" s="237">
        <f t="shared" si="3"/>
        <v>4.6796180632661943E-3</v>
      </c>
    </row>
    <row r="43" spans="1:16" s="8" customFormat="1">
      <c r="A43" s="107"/>
      <c r="B43" s="149" t="s">
        <v>1682</v>
      </c>
      <c r="C43" s="18" t="s">
        <v>120</v>
      </c>
      <c r="D43" s="30" t="s">
        <v>1910</v>
      </c>
      <c r="E43" s="17" t="s">
        <v>121</v>
      </c>
      <c r="F43" s="16">
        <v>11659997000</v>
      </c>
      <c r="G43" s="203">
        <v>0</v>
      </c>
      <c r="H43" s="203">
        <v>0</v>
      </c>
      <c r="I43" s="203">
        <v>11659997000</v>
      </c>
      <c r="J43" s="203">
        <v>0</v>
      </c>
      <c r="K43" s="203">
        <v>99081875</v>
      </c>
      <c r="L43" s="203">
        <v>15624911</v>
      </c>
      <c r="M43" s="203">
        <v>61547115</v>
      </c>
      <c r="N43" s="203">
        <v>15624911</v>
      </c>
      <c r="O43" s="203">
        <v>59943121</v>
      </c>
      <c r="P43" s="237">
        <f t="shared" si="3"/>
        <v>5.2784846342584825E-3</v>
      </c>
    </row>
    <row r="44" spans="1:16" s="2" customFormat="1">
      <c r="A44" s="107"/>
      <c r="B44" s="149" t="s">
        <v>1683</v>
      </c>
      <c r="C44" s="18" t="s">
        <v>122</v>
      </c>
      <c r="D44" s="30" t="s">
        <v>1911</v>
      </c>
      <c r="E44" s="17" t="s">
        <v>123</v>
      </c>
      <c r="F44" s="16">
        <v>352584000</v>
      </c>
      <c r="G44" s="203">
        <v>0</v>
      </c>
      <c r="H44" s="203">
        <v>0</v>
      </c>
      <c r="I44" s="203">
        <v>352584000</v>
      </c>
      <c r="J44" s="203">
        <v>0</v>
      </c>
      <c r="K44" s="203">
        <v>9384603</v>
      </c>
      <c r="L44" s="203">
        <v>9384603</v>
      </c>
      <c r="M44" s="203">
        <v>9384603</v>
      </c>
      <c r="N44" s="203">
        <v>9384603</v>
      </c>
      <c r="O44" s="203">
        <v>9384603</v>
      </c>
      <c r="P44" s="237">
        <f t="shared" si="3"/>
        <v>2.6616644544278811E-2</v>
      </c>
    </row>
    <row r="45" spans="1:16" s="8" customFormat="1">
      <c r="A45" s="106" t="s">
        <v>124</v>
      </c>
      <c r="B45" s="148" t="s">
        <v>1684</v>
      </c>
      <c r="C45" s="26" t="s">
        <v>125</v>
      </c>
      <c r="D45" s="69"/>
      <c r="E45" s="26" t="s">
        <v>126</v>
      </c>
      <c r="F45" s="15">
        <f>SUM(F46:F48)</f>
        <v>8692251000</v>
      </c>
      <c r="G45" s="202">
        <f t="shared" ref="G45:O45" si="18">SUM(G46:G48)</f>
        <v>0</v>
      </c>
      <c r="H45" s="202">
        <f t="shared" si="18"/>
        <v>0</v>
      </c>
      <c r="I45" s="202">
        <f t="shared" si="18"/>
        <v>8692251000</v>
      </c>
      <c r="J45" s="202">
        <f t="shared" si="18"/>
        <v>23942177</v>
      </c>
      <c r="K45" s="202">
        <f t="shared" si="18"/>
        <v>271183862</v>
      </c>
      <c r="L45" s="202">
        <f t="shared" si="18"/>
        <v>47305862</v>
      </c>
      <c r="M45" s="202">
        <f t="shared" si="18"/>
        <v>211901050</v>
      </c>
      <c r="N45" s="202">
        <f t="shared" si="18"/>
        <v>46846947</v>
      </c>
      <c r="O45" s="202">
        <f t="shared" si="18"/>
        <v>201637051</v>
      </c>
      <c r="P45" s="230">
        <f t="shared" si="3"/>
        <v>2.4378155900007949E-2</v>
      </c>
    </row>
    <row r="46" spans="1:16" s="7" customFormat="1">
      <c r="A46" s="107"/>
      <c r="B46" s="149" t="s">
        <v>1685</v>
      </c>
      <c r="C46" s="18" t="s">
        <v>127</v>
      </c>
      <c r="D46" s="30" t="s">
        <v>1483</v>
      </c>
      <c r="E46" s="17" t="s">
        <v>128</v>
      </c>
      <c r="F46" s="16">
        <v>1123826000</v>
      </c>
      <c r="G46" s="203">
        <v>0</v>
      </c>
      <c r="H46" s="203">
        <v>0</v>
      </c>
      <c r="I46" s="203">
        <v>1123826000</v>
      </c>
      <c r="J46" s="203">
        <v>23942177</v>
      </c>
      <c r="K46" s="203">
        <v>142040649</v>
      </c>
      <c r="L46" s="203">
        <v>28702337</v>
      </c>
      <c r="M46" s="203">
        <v>124497523</v>
      </c>
      <c r="N46" s="203">
        <v>28243422</v>
      </c>
      <c r="O46" s="203">
        <v>119737363</v>
      </c>
      <c r="P46" s="237">
        <f t="shared" si="3"/>
        <v>0.11078007004643067</v>
      </c>
    </row>
    <row r="47" spans="1:16" s="7" customFormat="1">
      <c r="A47" s="107"/>
      <c r="B47" s="149" t="s">
        <v>1686</v>
      </c>
      <c r="C47" s="18" t="s">
        <v>129</v>
      </c>
      <c r="D47" s="30" t="s">
        <v>1910</v>
      </c>
      <c r="E47" s="17" t="s">
        <v>130</v>
      </c>
      <c r="F47" s="16">
        <v>7310152000</v>
      </c>
      <c r="G47" s="203">
        <v>0</v>
      </c>
      <c r="H47" s="203">
        <v>0</v>
      </c>
      <c r="I47" s="203">
        <v>7310152000</v>
      </c>
      <c r="J47" s="203">
        <v>0</v>
      </c>
      <c r="K47" s="203">
        <v>83669104</v>
      </c>
      <c r="L47" s="203">
        <v>9160703</v>
      </c>
      <c r="M47" s="203">
        <v>41929418</v>
      </c>
      <c r="N47" s="203">
        <v>9160703</v>
      </c>
      <c r="O47" s="203">
        <v>36425579</v>
      </c>
      <c r="P47" s="237">
        <f t="shared" si="3"/>
        <v>5.7357792286672014E-3</v>
      </c>
    </row>
    <row r="48" spans="1:16" s="2" customFormat="1">
      <c r="A48" s="107"/>
      <c r="B48" s="149" t="s">
        <v>1687</v>
      </c>
      <c r="C48" s="18" t="s">
        <v>131</v>
      </c>
      <c r="D48" s="30" t="s">
        <v>1911</v>
      </c>
      <c r="E48" s="17" t="s">
        <v>132</v>
      </c>
      <c r="F48" s="16">
        <v>258273000</v>
      </c>
      <c r="G48" s="203">
        <v>0</v>
      </c>
      <c r="H48" s="203">
        <v>0</v>
      </c>
      <c r="I48" s="203">
        <v>258273000</v>
      </c>
      <c r="J48" s="203">
        <v>0</v>
      </c>
      <c r="K48" s="203">
        <v>45474109</v>
      </c>
      <c r="L48" s="203">
        <v>9442822</v>
      </c>
      <c r="M48" s="203">
        <v>45474109</v>
      </c>
      <c r="N48" s="203">
        <v>9442822</v>
      </c>
      <c r="O48" s="203">
        <v>45474109</v>
      </c>
      <c r="P48" s="237">
        <f t="shared" si="3"/>
        <v>0.17606992988039788</v>
      </c>
    </row>
    <row r="49" spans="1:16" s="5" customFormat="1">
      <c r="A49" s="134" t="s">
        <v>133</v>
      </c>
      <c r="B49" s="123" t="s">
        <v>1688</v>
      </c>
      <c r="C49" s="124" t="s">
        <v>134</v>
      </c>
      <c r="D49" s="67"/>
      <c r="E49" s="25" t="s">
        <v>135</v>
      </c>
      <c r="F49" s="200">
        <f>+F51</f>
        <v>3872599000</v>
      </c>
      <c r="G49" s="68">
        <f t="shared" ref="G49:O49" si="19">+G51</f>
        <v>0</v>
      </c>
      <c r="H49" s="68">
        <f t="shared" si="19"/>
        <v>0</v>
      </c>
      <c r="I49" s="68">
        <f t="shared" si="19"/>
        <v>3872599000</v>
      </c>
      <c r="J49" s="68">
        <f t="shared" si="19"/>
        <v>313960967</v>
      </c>
      <c r="K49" s="68">
        <f t="shared" si="19"/>
        <v>2426392424</v>
      </c>
      <c r="L49" s="68">
        <f t="shared" si="19"/>
        <v>313960967</v>
      </c>
      <c r="M49" s="68">
        <f t="shared" si="19"/>
        <v>2426392424</v>
      </c>
      <c r="N49" s="68">
        <f t="shared" si="19"/>
        <v>313960967</v>
      </c>
      <c r="O49" s="68">
        <f t="shared" si="19"/>
        <v>2426392424</v>
      </c>
      <c r="P49" s="229">
        <f t="shared" si="3"/>
        <v>0.62655400778650205</v>
      </c>
    </row>
    <row r="50" spans="1:16" s="8" customFormat="1">
      <c r="A50" s="106" t="s">
        <v>133</v>
      </c>
      <c r="B50" s="148" t="s">
        <v>1688</v>
      </c>
      <c r="C50" s="26" t="s">
        <v>134</v>
      </c>
      <c r="D50" s="69"/>
      <c r="E50" s="26" t="s">
        <v>135</v>
      </c>
      <c r="F50" s="202">
        <f>+F51</f>
        <v>3872599000</v>
      </c>
      <c r="G50" s="202">
        <f t="shared" ref="G50:O50" si="20">+G51</f>
        <v>0</v>
      </c>
      <c r="H50" s="202">
        <f t="shared" si="20"/>
        <v>0</v>
      </c>
      <c r="I50" s="202">
        <f t="shared" si="20"/>
        <v>3872599000</v>
      </c>
      <c r="J50" s="202">
        <f t="shared" si="20"/>
        <v>313960967</v>
      </c>
      <c r="K50" s="202">
        <f t="shared" si="20"/>
        <v>2426392424</v>
      </c>
      <c r="L50" s="202">
        <f t="shared" si="20"/>
        <v>313960967</v>
      </c>
      <c r="M50" s="202">
        <f t="shared" si="20"/>
        <v>2426392424</v>
      </c>
      <c r="N50" s="202">
        <f t="shared" si="20"/>
        <v>313960967</v>
      </c>
      <c r="O50" s="202">
        <f t="shared" si="20"/>
        <v>2426392424</v>
      </c>
      <c r="P50" s="230">
        <f t="shared" si="3"/>
        <v>0.62655400778650205</v>
      </c>
    </row>
    <row r="51" spans="1:16" s="2" customFormat="1">
      <c r="A51" s="107"/>
      <c r="B51" s="149" t="s">
        <v>1676</v>
      </c>
      <c r="C51" s="18" t="s">
        <v>136</v>
      </c>
      <c r="D51" s="30" t="s">
        <v>1483</v>
      </c>
      <c r="E51" s="17" t="s">
        <v>137</v>
      </c>
      <c r="F51" s="16">
        <v>3872599000</v>
      </c>
      <c r="G51" s="203">
        <v>0</v>
      </c>
      <c r="H51" s="203">
        <v>0</v>
      </c>
      <c r="I51" s="203">
        <v>3872599000</v>
      </c>
      <c r="J51" s="203">
        <v>313960967</v>
      </c>
      <c r="K51" s="203">
        <v>2426392424</v>
      </c>
      <c r="L51" s="203">
        <v>313960967</v>
      </c>
      <c r="M51" s="203">
        <v>2426392424</v>
      </c>
      <c r="N51" s="203">
        <v>313960967</v>
      </c>
      <c r="O51" s="203">
        <v>2426392424</v>
      </c>
      <c r="P51" s="237">
        <f t="shared" si="3"/>
        <v>0.62655400778650205</v>
      </c>
    </row>
    <row r="52" spans="1:16" s="8" customFormat="1">
      <c r="A52" s="134" t="s">
        <v>141</v>
      </c>
      <c r="B52" s="123" t="s">
        <v>1689</v>
      </c>
      <c r="C52" s="124" t="s">
        <v>142</v>
      </c>
      <c r="D52" s="67"/>
      <c r="E52" s="25" t="s">
        <v>143</v>
      </c>
      <c r="F52" s="68">
        <f>SUM(F53:F55)</f>
        <v>12787384000</v>
      </c>
      <c r="G52" s="68">
        <f t="shared" ref="G52:O52" si="21">SUM(G53:G55)</f>
        <v>0</v>
      </c>
      <c r="H52" s="68">
        <f t="shared" si="21"/>
        <v>-951191646</v>
      </c>
      <c r="I52" s="68">
        <f t="shared" si="21"/>
        <v>11836192354</v>
      </c>
      <c r="J52" s="68">
        <f t="shared" si="21"/>
        <v>13553703</v>
      </c>
      <c r="K52" s="68">
        <f t="shared" si="21"/>
        <v>10720612031</v>
      </c>
      <c r="L52" s="68">
        <f t="shared" si="21"/>
        <v>22999422</v>
      </c>
      <c r="M52" s="68">
        <f t="shared" si="21"/>
        <v>10667836583</v>
      </c>
      <c r="N52" s="68">
        <f t="shared" si="21"/>
        <v>25817770</v>
      </c>
      <c r="O52" s="68">
        <f t="shared" si="21"/>
        <v>10656024964</v>
      </c>
      <c r="P52" s="229">
        <f t="shared" si="3"/>
        <v>0.90128955866409532</v>
      </c>
    </row>
    <row r="53" spans="1:16" s="7" customFormat="1">
      <c r="A53" s="107"/>
      <c r="B53" s="149" t="s">
        <v>1479</v>
      </c>
      <c r="C53" s="18" t="s">
        <v>144</v>
      </c>
      <c r="D53" s="30" t="s">
        <v>1483</v>
      </c>
      <c r="E53" s="17" t="s">
        <v>145</v>
      </c>
      <c r="F53" s="16">
        <v>2421498000</v>
      </c>
      <c r="G53" s="203">
        <v>0</v>
      </c>
      <c r="H53" s="203">
        <v>-250000000</v>
      </c>
      <c r="I53" s="203">
        <v>2171498000</v>
      </c>
      <c r="J53" s="203">
        <v>0</v>
      </c>
      <c r="K53" s="203">
        <v>2101834677</v>
      </c>
      <c r="L53" s="203">
        <v>6654632</v>
      </c>
      <c r="M53" s="203">
        <v>2071924372</v>
      </c>
      <c r="N53" s="203">
        <v>9472980</v>
      </c>
      <c r="O53" s="203">
        <v>2065269740</v>
      </c>
      <c r="P53" s="237">
        <f t="shared" si="3"/>
        <v>0.95414519009457988</v>
      </c>
    </row>
    <row r="54" spans="1:16" s="7" customFormat="1">
      <c r="A54" s="107"/>
      <c r="B54" s="149" t="s">
        <v>1690</v>
      </c>
      <c r="C54" s="18" t="s">
        <v>146</v>
      </c>
      <c r="D54" s="30" t="s">
        <v>1910</v>
      </c>
      <c r="E54" s="17" t="s">
        <v>147</v>
      </c>
      <c r="F54" s="16">
        <v>10097192000</v>
      </c>
      <c r="G54" s="203">
        <v>0</v>
      </c>
      <c r="H54" s="203">
        <v>-701191646</v>
      </c>
      <c r="I54" s="203">
        <v>9396000354</v>
      </c>
      <c r="J54" s="203">
        <v>13553703</v>
      </c>
      <c r="K54" s="203">
        <v>8380016359</v>
      </c>
      <c r="L54" s="203">
        <v>13553703</v>
      </c>
      <c r="M54" s="203">
        <v>8357151216</v>
      </c>
      <c r="N54" s="203">
        <v>13553703</v>
      </c>
      <c r="O54" s="203">
        <v>8351994229</v>
      </c>
      <c r="P54" s="237">
        <f t="shared" si="3"/>
        <v>0.88943709037242125</v>
      </c>
    </row>
    <row r="55" spans="1:16" s="5" customFormat="1">
      <c r="A55" s="107"/>
      <c r="B55" s="149" t="s">
        <v>1691</v>
      </c>
      <c r="C55" s="18" t="s">
        <v>148</v>
      </c>
      <c r="D55" s="30" t="s">
        <v>1911</v>
      </c>
      <c r="E55" s="17" t="s">
        <v>149</v>
      </c>
      <c r="F55" s="16">
        <v>268694000</v>
      </c>
      <c r="G55" s="203">
        <v>0</v>
      </c>
      <c r="H55" s="203">
        <v>0</v>
      </c>
      <c r="I55" s="203">
        <v>268694000</v>
      </c>
      <c r="J55" s="203">
        <v>0</v>
      </c>
      <c r="K55" s="203">
        <v>238760995</v>
      </c>
      <c r="L55" s="203">
        <v>2791087</v>
      </c>
      <c r="M55" s="203">
        <v>238760995</v>
      </c>
      <c r="N55" s="203">
        <v>2791087</v>
      </c>
      <c r="O55" s="203">
        <v>238760995</v>
      </c>
      <c r="P55" s="237">
        <f t="shared" si="3"/>
        <v>0.8885981637103918</v>
      </c>
    </row>
    <row r="56" spans="1:16" s="5" customFormat="1">
      <c r="A56" s="169" t="s">
        <v>138</v>
      </c>
      <c r="B56" s="146" t="s">
        <v>1677</v>
      </c>
      <c r="C56" s="147" t="s">
        <v>139</v>
      </c>
      <c r="D56" s="65"/>
      <c r="E56" s="32" t="s">
        <v>140</v>
      </c>
      <c r="F56" s="66">
        <f>+F57</f>
        <v>1027167000</v>
      </c>
      <c r="G56" s="66">
        <f t="shared" ref="G56:O56" si="22">+G57</f>
        <v>0</v>
      </c>
      <c r="H56" s="66">
        <f t="shared" si="22"/>
        <v>0</v>
      </c>
      <c r="I56" s="66">
        <f t="shared" si="22"/>
        <v>1027167000</v>
      </c>
      <c r="J56" s="66">
        <f t="shared" si="22"/>
        <v>70543525</v>
      </c>
      <c r="K56" s="66">
        <f t="shared" si="22"/>
        <v>571873601</v>
      </c>
      <c r="L56" s="66">
        <f t="shared" si="22"/>
        <v>70543525</v>
      </c>
      <c r="M56" s="66">
        <f t="shared" si="22"/>
        <v>571873601</v>
      </c>
      <c r="N56" s="66">
        <f t="shared" si="22"/>
        <v>70543525</v>
      </c>
      <c r="O56" s="66">
        <f t="shared" si="22"/>
        <v>571873601</v>
      </c>
      <c r="P56" s="236">
        <f t="shared" si="3"/>
        <v>0.55674841676183129</v>
      </c>
    </row>
    <row r="57" spans="1:16" s="5" customFormat="1">
      <c r="A57" s="134" t="s">
        <v>150</v>
      </c>
      <c r="B57" s="123" t="s">
        <v>1692</v>
      </c>
      <c r="C57" s="124" t="s">
        <v>151</v>
      </c>
      <c r="D57" s="67"/>
      <c r="E57" s="25" t="s">
        <v>152</v>
      </c>
      <c r="F57" s="68">
        <f>+F58</f>
        <v>1027167000</v>
      </c>
      <c r="G57" s="68">
        <f t="shared" ref="G57:O57" si="23">+G58</f>
        <v>0</v>
      </c>
      <c r="H57" s="68">
        <f t="shared" si="23"/>
        <v>0</v>
      </c>
      <c r="I57" s="68">
        <f t="shared" si="23"/>
        <v>1027167000</v>
      </c>
      <c r="J57" s="68">
        <f t="shared" si="23"/>
        <v>70543525</v>
      </c>
      <c r="K57" s="68">
        <f t="shared" si="23"/>
        <v>571873601</v>
      </c>
      <c r="L57" s="68">
        <f t="shared" si="23"/>
        <v>70543525</v>
      </c>
      <c r="M57" s="68">
        <f t="shared" si="23"/>
        <v>571873601</v>
      </c>
      <c r="N57" s="68">
        <f t="shared" si="23"/>
        <v>70543525</v>
      </c>
      <c r="O57" s="68">
        <f t="shared" si="23"/>
        <v>571873601</v>
      </c>
      <c r="P57" s="229">
        <f t="shared" si="3"/>
        <v>0.55674841676183129</v>
      </c>
    </row>
    <row r="58" spans="1:16" s="8" customFormat="1">
      <c r="A58" s="106" t="s">
        <v>153</v>
      </c>
      <c r="B58" s="148" t="s">
        <v>1480</v>
      </c>
      <c r="C58" s="26" t="s">
        <v>154</v>
      </c>
      <c r="D58" s="69"/>
      <c r="E58" s="26" t="s">
        <v>155</v>
      </c>
      <c r="F58" s="15">
        <f>SUM(F59:F60)</f>
        <v>1027167000</v>
      </c>
      <c r="G58" s="202">
        <f t="shared" ref="G58:O58" si="24">SUM(G59:G60)</f>
        <v>0</v>
      </c>
      <c r="H58" s="202">
        <f t="shared" si="24"/>
        <v>0</v>
      </c>
      <c r="I58" s="202">
        <f t="shared" si="24"/>
        <v>1027167000</v>
      </c>
      <c r="J58" s="202">
        <f t="shared" si="24"/>
        <v>70543525</v>
      </c>
      <c r="K58" s="202">
        <f t="shared" si="24"/>
        <v>571873601</v>
      </c>
      <c r="L58" s="202">
        <f t="shared" si="24"/>
        <v>70543525</v>
      </c>
      <c r="M58" s="202">
        <f t="shared" si="24"/>
        <v>571873601</v>
      </c>
      <c r="N58" s="202">
        <f t="shared" si="24"/>
        <v>70543525</v>
      </c>
      <c r="O58" s="202">
        <f t="shared" si="24"/>
        <v>571873601</v>
      </c>
      <c r="P58" s="230">
        <f t="shared" si="3"/>
        <v>0.55674841676183129</v>
      </c>
    </row>
    <row r="59" spans="1:16" s="8" customFormat="1">
      <c r="A59" s="107"/>
      <c r="B59" s="149" t="s">
        <v>1693</v>
      </c>
      <c r="C59" s="18" t="s">
        <v>156</v>
      </c>
      <c r="D59" s="30" t="s">
        <v>1483</v>
      </c>
      <c r="E59" s="17" t="s">
        <v>157</v>
      </c>
      <c r="F59" s="16">
        <v>831631000</v>
      </c>
      <c r="G59" s="203">
        <v>0</v>
      </c>
      <c r="H59" s="203">
        <v>0</v>
      </c>
      <c r="I59" s="203">
        <v>831631000</v>
      </c>
      <c r="J59" s="203">
        <v>57128210</v>
      </c>
      <c r="K59" s="203">
        <v>454843346</v>
      </c>
      <c r="L59" s="203">
        <v>57128210</v>
      </c>
      <c r="M59" s="203">
        <v>454843346</v>
      </c>
      <c r="N59" s="203">
        <v>57128210</v>
      </c>
      <c r="O59" s="203">
        <v>454843346</v>
      </c>
      <c r="P59" s="237">
        <f t="shared" si="3"/>
        <v>0.54692928233796001</v>
      </c>
    </row>
    <row r="60" spans="1:16" s="2" customFormat="1">
      <c r="A60" s="107"/>
      <c r="B60" s="149" t="s">
        <v>1694</v>
      </c>
      <c r="C60" s="18" t="s">
        <v>158</v>
      </c>
      <c r="D60" s="30" t="s">
        <v>1911</v>
      </c>
      <c r="E60" s="17" t="s">
        <v>159</v>
      </c>
      <c r="F60" s="16">
        <v>195536000</v>
      </c>
      <c r="G60" s="203">
        <v>0</v>
      </c>
      <c r="H60" s="203">
        <v>0</v>
      </c>
      <c r="I60" s="203">
        <v>195536000</v>
      </c>
      <c r="J60" s="203">
        <v>13415315</v>
      </c>
      <c r="K60" s="203">
        <v>117030255</v>
      </c>
      <c r="L60" s="203">
        <v>13415315</v>
      </c>
      <c r="M60" s="203">
        <v>117030255</v>
      </c>
      <c r="N60" s="203">
        <v>13415315</v>
      </c>
      <c r="O60" s="203">
        <v>117030255</v>
      </c>
      <c r="P60" s="237">
        <f t="shared" si="3"/>
        <v>0.59851001861549791</v>
      </c>
    </row>
    <row r="61" spans="1:16" s="2" customFormat="1">
      <c r="A61" s="105" t="s">
        <v>160</v>
      </c>
      <c r="B61" s="63" t="s">
        <v>1477</v>
      </c>
      <c r="C61" s="63" t="s">
        <v>161</v>
      </c>
      <c r="D61" s="63"/>
      <c r="E61" s="63" t="s">
        <v>162</v>
      </c>
      <c r="F61" s="64">
        <f>+F62+F71+F76+F85+F90+F95</f>
        <v>59417330000</v>
      </c>
      <c r="G61" s="64">
        <f t="shared" ref="G61:O61" si="25">+G62+G71+G76+G85+G90+G95</f>
        <v>0</v>
      </c>
      <c r="H61" s="64">
        <f t="shared" si="25"/>
        <v>-1691811575</v>
      </c>
      <c r="I61" s="64">
        <f t="shared" si="25"/>
        <v>57725518425</v>
      </c>
      <c r="J61" s="64">
        <f t="shared" si="25"/>
        <v>2977235683</v>
      </c>
      <c r="K61" s="64">
        <f t="shared" si="25"/>
        <v>33720259572</v>
      </c>
      <c r="L61" s="64">
        <f t="shared" si="25"/>
        <v>2980111806</v>
      </c>
      <c r="M61" s="64">
        <f t="shared" si="25"/>
        <v>33668998994</v>
      </c>
      <c r="N61" s="64">
        <f t="shared" si="25"/>
        <v>2981481238</v>
      </c>
      <c r="O61" s="64">
        <f t="shared" si="25"/>
        <v>33658728141</v>
      </c>
      <c r="P61" s="235">
        <f t="shared" si="3"/>
        <v>0.58326022723805448</v>
      </c>
    </row>
    <row r="62" spans="1:16" s="2" customFormat="1">
      <c r="A62" s="134" t="s">
        <v>163</v>
      </c>
      <c r="B62" s="123" t="s">
        <v>1695</v>
      </c>
      <c r="C62" s="124" t="s">
        <v>164</v>
      </c>
      <c r="D62" s="67"/>
      <c r="E62" s="25" t="s">
        <v>165</v>
      </c>
      <c r="F62" s="68">
        <f>+F63+F67</f>
        <v>17859361000</v>
      </c>
      <c r="G62" s="68">
        <f t="shared" ref="G62:O62" si="26">+G63+G67</f>
        <v>0</v>
      </c>
      <c r="H62" s="68">
        <f t="shared" si="26"/>
        <v>0</v>
      </c>
      <c r="I62" s="68">
        <f t="shared" si="26"/>
        <v>17859361000</v>
      </c>
      <c r="J62" s="68">
        <f t="shared" si="26"/>
        <v>1271149275</v>
      </c>
      <c r="K62" s="68">
        <f t="shared" si="26"/>
        <v>8777285325</v>
      </c>
      <c r="L62" s="68">
        <f t="shared" si="26"/>
        <v>1271149275</v>
      </c>
      <c r="M62" s="68">
        <f t="shared" si="26"/>
        <v>8777285325</v>
      </c>
      <c r="N62" s="68">
        <f t="shared" si="26"/>
        <v>1271149275</v>
      </c>
      <c r="O62" s="68">
        <f t="shared" si="26"/>
        <v>8777285325</v>
      </c>
      <c r="P62" s="229">
        <f t="shared" si="3"/>
        <v>0.49146693014380527</v>
      </c>
    </row>
    <row r="63" spans="1:16" s="8" customFormat="1">
      <c r="A63" s="106" t="s">
        <v>166</v>
      </c>
      <c r="B63" s="148" t="s">
        <v>1696</v>
      </c>
      <c r="C63" s="26" t="s">
        <v>167</v>
      </c>
      <c r="D63" s="69"/>
      <c r="E63" s="26" t="s">
        <v>168</v>
      </c>
      <c r="F63" s="15">
        <f>SUM(F64:F66)</f>
        <v>15547240000</v>
      </c>
      <c r="G63" s="202">
        <f t="shared" ref="G63:O63" si="27">SUM(G64:G66)</f>
        <v>0</v>
      </c>
      <c r="H63" s="202">
        <f t="shared" si="27"/>
        <v>0</v>
      </c>
      <c r="I63" s="202">
        <f t="shared" si="27"/>
        <v>15547240000</v>
      </c>
      <c r="J63" s="202">
        <f t="shared" si="27"/>
        <v>1145963475</v>
      </c>
      <c r="K63" s="202">
        <f t="shared" si="27"/>
        <v>7929885000</v>
      </c>
      <c r="L63" s="202">
        <f t="shared" si="27"/>
        <v>1145963475</v>
      </c>
      <c r="M63" s="202">
        <f t="shared" si="27"/>
        <v>7929885000</v>
      </c>
      <c r="N63" s="202">
        <f t="shared" si="27"/>
        <v>1145963475</v>
      </c>
      <c r="O63" s="202">
        <f t="shared" si="27"/>
        <v>7929885000</v>
      </c>
      <c r="P63" s="230">
        <f t="shared" si="3"/>
        <v>0.51005098010965289</v>
      </c>
    </row>
    <row r="64" spans="1:16" s="7" customFormat="1">
      <c r="A64" s="107"/>
      <c r="B64" s="149" t="s">
        <v>1697</v>
      </c>
      <c r="C64" s="18" t="s">
        <v>169</v>
      </c>
      <c r="D64" s="30" t="s">
        <v>1483</v>
      </c>
      <c r="E64" s="17" t="s">
        <v>170</v>
      </c>
      <c r="F64" s="16">
        <v>2417048000</v>
      </c>
      <c r="G64" s="203">
        <v>0</v>
      </c>
      <c r="H64" s="203">
        <v>0</v>
      </c>
      <c r="I64" s="203">
        <v>2417048000</v>
      </c>
      <c r="J64" s="203">
        <v>177741825</v>
      </c>
      <c r="K64" s="203">
        <v>1218869700</v>
      </c>
      <c r="L64" s="203">
        <v>177741825</v>
      </c>
      <c r="M64" s="203">
        <v>1218869700</v>
      </c>
      <c r="N64" s="203">
        <v>177741825</v>
      </c>
      <c r="O64" s="203">
        <v>1218869700</v>
      </c>
      <c r="P64" s="237">
        <f t="shared" si="3"/>
        <v>0.50428030390790746</v>
      </c>
    </row>
    <row r="65" spans="1:16" s="7" customFormat="1">
      <c r="A65" s="107"/>
      <c r="B65" s="149" t="s">
        <v>1698</v>
      </c>
      <c r="C65" s="18" t="s">
        <v>171</v>
      </c>
      <c r="D65" s="30" t="s">
        <v>1910</v>
      </c>
      <c r="E65" s="17" t="s">
        <v>172</v>
      </c>
      <c r="F65" s="16">
        <v>12937333000</v>
      </c>
      <c r="G65" s="203">
        <v>0</v>
      </c>
      <c r="H65" s="203">
        <v>0</v>
      </c>
      <c r="I65" s="203">
        <v>12937333000</v>
      </c>
      <c r="J65" s="203">
        <v>950505300</v>
      </c>
      <c r="K65" s="203">
        <v>6602986500</v>
      </c>
      <c r="L65" s="203">
        <v>950505300</v>
      </c>
      <c r="M65" s="203">
        <v>6602986500</v>
      </c>
      <c r="N65" s="203">
        <v>950505300</v>
      </c>
      <c r="O65" s="203">
        <v>6602986500</v>
      </c>
      <c r="P65" s="237">
        <f t="shared" si="3"/>
        <v>0.51038235623988348</v>
      </c>
    </row>
    <row r="66" spans="1:16" s="5" customFormat="1">
      <c r="A66" s="107"/>
      <c r="B66" s="149" t="s">
        <v>1699</v>
      </c>
      <c r="C66" s="18" t="s">
        <v>173</v>
      </c>
      <c r="D66" s="30" t="s">
        <v>1911</v>
      </c>
      <c r="E66" s="17" t="s">
        <v>174</v>
      </c>
      <c r="F66" s="16">
        <v>192859000</v>
      </c>
      <c r="G66" s="203">
        <v>0</v>
      </c>
      <c r="H66" s="203">
        <v>0</v>
      </c>
      <c r="I66" s="203">
        <v>192859000</v>
      </c>
      <c r="J66" s="203">
        <v>17716350</v>
      </c>
      <c r="K66" s="203">
        <v>108028800</v>
      </c>
      <c r="L66" s="203">
        <v>17716350</v>
      </c>
      <c r="M66" s="203">
        <v>108028800</v>
      </c>
      <c r="N66" s="203">
        <v>17716350</v>
      </c>
      <c r="O66" s="203">
        <v>108028800</v>
      </c>
      <c r="P66" s="237">
        <f t="shared" si="3"/>
        <v>0.56014393935465812</v>
      </c>
    </row>
    <row r="67" spans="1:16" s="8" customFormat="1">
      <c r="A67" s="106" t="s">
        <v>175</v>
      </c>
      <c r="B67" s="148" t="s">
        <v>1915</v>
      </c>
      <c r="C67" s="26" t="s">
        <v>176</v>
      </c>
      <c r="D67" s="69"/>
      <c r="E67" s="26" t="s">
        <v>177</v>
      </c>
      <c r="F67" s="15">
        <f>SUM(F68:F70)</f>
        <v>2312121000</v>
      </c>
      <c r="G67" s="202">
        <f t="shared" ref="G67:O67" si="28">SUM(G68:G70)</f>
        <v>0</v>
      </c>
      <c r="H67" s="202">
        <f t="shared" si="28"/>
        <v>0</v>
      </c>
      <c r="I67" s="202">
        <f t="shared" si="28"/>
        <v>2312121000</v>
      </c>
      <c r="J67" s="202">
        <f t="shared" si="28"/>
        <v>125185800</v>
      </c>
      <c r="K67" s="202">
        <f t="shared" si="28"/>
        <v>847400325</v>
      </c>
      <c r="L67" s="202">
        <f t="shared" si="28"/>
        <v>125185800</v>
      </c>
      <c r="M67" s="202">
        <f t="shared" si="28"/>
        <v>847400325</v>
      </c>
      <c r="N67" s="202">
        <f t="shared" si="28"/>
        <v>125185800</v>
      </c>
      <c r="O67" s="202">
        <f t="shared" si="28"/>
        <v>847400325</v>
      </c>
      <c r="P67" s="230">
        <f t="shared" si="3"/>
        <v>0.36650345072770846</v>
      </c>
    </row>
    <row r="68" spans="1:16" s="7" customFormat="1">
      <c r="A68" s="107"/>
      <c r="B68" s="149" t="s">
        <v>1701</v>
      </c>
      <c r="C68" s="18" t="s">
        <v>178</v>
      </c>
      <c r="D68" s="30" t="s">
        <v>1483</v>
      </c>
      <c r="E68" s="17" t="s">
        <v>179</v>
      </c>
      <c r="F68" s="16">
        <v>507885000</v>
      </c>
      <c r="G68" s="203">
        <v>0</v>
      </c>
      <c r="H68" s="203">
        <v>0</v>
      </c>
      <c r="I68" s="203">
        <v>507885000</v>
      </c>
      <c r="J68" s="203">
        <v>33607950</v>
      </c>
      <c r="K68" s="203">
        <v>224876625</v>
      </c>
      <c r="L68" s="203">
        <v>33607950</v>
      </c>
      <c r="M68" s="203">
        <v>224876625</v>
      </c>
      <c r="N68" s="203">
        <v>33607950</v>
      </c>
      <c r="O68" s="203">
        <v>224876625</v>
      </c>
      <c r="P68" s="237">
        <f t="shared" si="3"/>
        <v>0.44277075519064357</v>
      </c>
    </row>
    <row r="69" spans="1:16" s="7" customFormat="1">
      <c r="A69" s="107"/>
      <c r="B69" s="149" t="s">
        <v>1702</v>
      </c>
      <c r="C69" s="18" t="s">
        <v>180</v>
      </c>
      <c r="D69" s="30" t="s">
        <v>1910</v>
      </c>
      <c r="E69" s="17" t="s">
        <v>181</v>
      </c>
      <c r="F69" s="16">
        <v>1764182000</v>
      </c>
      <c r="G69" s="203">
        <v>0</v>
      </c>
      <c r="H69" s="203">
        <v>0</v>
      </c>
      <c r="I69" s="203">
        <v>1764182000</v>
      </c>
      <c r="J69" s="203">
        <v>90301725</v>
      </c>
      <c r="K69" s="203">
        <v>613718400</v>
      </c>
      <c r="L69" s="203">
        <v>90301725</v>
      </c>
      <c r="M69" s="203">
        <v>613718400</v>
      </c>
      <c r="N69" s="203">
        <v>90301725</v>
      </c>
      <c r="O69" s="203">
        <v>613718400</v>
      </c>
      <c r="P69" s="237">
        <f t="shared" si="3"/>
        <v>0.34787703309522489</v>
      </c>
    </row>
    <row r="70" spans="1:16" s="5" customFormat="1">
      <c r="A70" s="107"/>
      <c r="B70" s="149" t="s">
        <v>1703</v>
      </c>
      <c r="C70" s="18" t="s">
        <v>182</v>
      </c>
      <c r="D70" s="30" t="s">
        <v>1911</v>
      </c>
      <c r="E70" s="17" t="s">
        <v>183</v>
      </c>
      <c r="F70" s="16">
        <v>40054000</v>
      </c>
      <c r="G70" s="203">
        <v>0</v>
      </c>
      <c r="H70" s="203">
        <v>0</v>
      </c>
      <c r="I70" s="203">
        <v>40054000</v>
      </c>
      <c r="J70" s="203">
        <v>1276125</v>
      </c>
      <c r="K70" s="203">
        <v>8805300</v>
      </c>
      <c r="L70" s="203">
        <v>1276125</v>
      </c>
      <c r="M70" s="203">
        <v>8805300</v>
      </c>
      <c r="N70" s="203">
        <v>1276125</v>
      </c>
      <c r="O70" s="203">
        <v>8805300</v>
      </c>
      <c r="P70" s="237">
        <f t="shared" si="3"/>
        <v>0.21983572177560293</v>
      </c>
    </row>
    <row r="71" spans="1:16" s="5" customFormat="1">
      <c r="A71" s="134" t="s">
        <v>184</v>
      </c>
      <c r="B71" s="123" t="s">
        <v>1704</v>
      </c>
      <c r="C71" s="124" t="s">
        <v>185</v>
      </c>
      <c r="D71" s="67"/>
      <c r="E71" s="25" t="s">
        <v>186</v>
      </c>
      <c r="F71" s="68">
        <f>+F72</f>
        <v>12565168000</v>
      </c>
      <c r="G71" s="68">
        <f t="shared" ref="G71:O71" si="29">+G72</f>
        <v>0</v>
      </c>
      <c r="H71" s="68">
        <f t="shared" si="29"/>
        <v>0</v>
      </c>
      <c r="I71" s="68">
        <f t="shared" si="29"/>
        <v>12565168000</v>
      </c>
      <c r="J71" s="68">
        <f t="shared" si="29"/>
        <v>900141908</v>
      </c>
      <c r="K71" s="68">
        <f t="shared" si="29"/>
        <v>6215452900</v>
      </c>
      <c r="L71" s="68">
        <f t="shared" si="29"/>
        <v>900141908</v>
      </c>
      <c r="M71" s="68">
        <f t="shared" si="29"/>
        <v>6215452900</v>
      </c>
      <c r="N71" s="68">
        <f t="shared" si="29"/>
        <v>900141908</v>
      </c>
      <c r="O71" s="68">
        <f t="shared" si="29"/>
        <v>6215452900</v>
      </c>
      <c r="P71" s="229">
        <f t="shared" si="3"/>
        <v>0.49465736550438483</v>
      </c>
    </row>
    <row r="72" spans="1:16" s="7" customFormat="1">
      <c r="A72" s="106" t="s">
        <v>187</v>
      </c>
      <c r="B72" s="148" t="s">
        <v>1705</v>
      </c>
      <c r="C72" s="26" t="s">
        <v>188</v>
      </c>
      <c r="D72" s="69"/>
      <c r="E72" s="26" t="s">
        <v>189</v>
      </c>
      <c r="F72" s="15">
        <f>SUM(F73:F75)</f>
        <v>12565168000</v>
      </c>
      <c r="G72" s="202">
        <f t="shared" ref="G72:O72" si="30">SUM(G73:G75)</f>
        <v>0</v>
      </c>
      <c r="H72" s="202">
        <f t="shared" si="30"/>
        <v>0</v>
      </c>
      <c r="I72" s="202">
        <f t="shared" si="30"/>
        <v>12565168000</v>
      </c>
      <c r="J72" s="202">
        <f t="shared" si="30"/>
        <v>900141908</v>
      </c>
      <c r="K72" s="202">
        <f t="shared" si="30"/>
        <v>6215452900</v>
      </c>
      <c r="L72" s="202">
        <f t="shared" si="30"/>
        <v>900141908</v>
      </c>
      <c r="M72" s="202">
        <f t="shared" si="30"/>
        <v>6215452900</v>
      </c>
      <c r="N72" s="202">
        <f t="shared" si="30"/>
        <v>900141908</v>
      </c>
      <c r="O72" s="202">
        <f t="shared" si="30"/>
        <v>6215452900</v>
      </c>
      <c r="P72" s="230">
        <f t="shared" si="3"/>
        <v>0.49465736550438483</v>
      </c>
    </row>
    <row r="73" spans="1:16" s="7" customFormat="1">
      <c r="A73" s="107"/>
      <c r="B73" s="149" t="s">
        <v>1706</v>
      </c>
      <c r="C73" s="18" t="s">
        <v>190</v>
      </c>
      <c r="D73" s="30" t="s">
        <v>1483</v>
      </c>
      <c r="E73" s="17" t="s">
        <v>191</v>
      </c>
      <c r="F73" s="16">
        <v>2002645000</v>
      </c>
      <c r="G73" s="203">
        <v>0</v>
      </c>
      <c r="H73" s="203">
        <v>0</v>
      </c>
      <c r="I73" s="203">
        <v>2002645000</v>
      </c>
      <c r="J73" s="203">
        <v>149707032</v>
      </c>
      <c r="K73" s="203">
        <v>1022735164</v>
      </c>
      <c r="L73" s="203">
        <v>149707032</v>
      </c>
      <c r="M73" s="203">
        <v>1022735164</v>
      </c>
      <c r="N73" s="203">
        <v>149707032</v>
      </c>
      <c r="O73" s="203">
        <v>1022735164</v>
      </c>
      <c r="P73" s="237">
        <f t="shared" si="3"/>
        <v>0.51069219157663992</v>
      </c>
    </row>
    <row r="74" spans="1:16" s="8" customFormat="1">
      <c r="A74" s="107"/>
      <c r="B74" s="149" t="s">
        <v>1707</v>
      </c>
      <c r="C74" s="18" t="s">
        <v>192</v>
      </c>
      <c r="D74" s="30" t="s">
        <v>1910</v>
      </c>
      <c r="E74" s="17" t="s">
        <v>193</v>
      </c>
      <c r="F74" s="16">
        <v>10413573000</v>
      </c>
      <c r="G74" s="203">
        <v>0</v>
      </c>
      <c r="H74" s="203">
        <v>0</v>
      </c>
      <c r="I74" s="203">
        <v>10413573000</v>
      </c>
      <c r="J74" s="203">
        <v>736981756</v>
      </c>
      <c r="K74" s="203">
        <v>5109958200</v>
      </c>
      <c r="L74" s="203">
        <v>736981756</v>
      </c>
      <c r="M74" s="203">
        <v>5109958200</v>
      </c>
      <c r="N74" s="203">
        <v>736981756</v>
      </c>
      <c r="O74" s="203">
        <v>5109958200</v>
      </c>
      <c r="P74" s="237">
        <f t="shared" si="3"/>
        <v>0.4907017216857269</v>
      </c>
    </row>
    <row r="75" spans="1:16" s="2" customFormat="1">
      <c r="A75" s="107"/>
      <c r="B75" s="149" t="s">
        <v>1708</v>
      </c>
      <c r="C75" s="18" t="s">
        <v>194</v>
      </c>
      <c r="D75" s="30" t="s">
        <v>1911</v>
      </c>
      <c r="E75" s="17" t="s">
        <v>195</v>
      </c>
      <c r="F75" s="16">
        <v>148950000</v>
      </c>
      <c r="G75" s="203">
        <v>0</v>
      </c>
      <c r="H75" s="203">
        <v>0</v>
      </c>
      <c r="I75" s="203">
        <v>148950000</v>
      </c>
      <c r="J75" s="203">
        <v>13453120</v>
      </c>
      <c r="K75" s="203">
        <v>82759536</v>
      </c>
      <c r="L75" s="203">
        <v>13453120</v>
      </c>
      <c r="M75" s="203">
        <v>82759536</v>
      </c>
      <c r="N75" s="203">
        <v>13453120</v>
      </c>
      <c r="O75" s="203">
        <v>82759536</v>
      </c>
      <c r="P75" s="237">
        <f t="shared" si="3"/>
        <v>0.55561957703927489</v>
      </c>
    </row>
    <row r="76" spans="1:16" s="5" customFormat="1">
      <c r="A76" s="134" t="s">
        <v>196</v>
      </c>
      <c r="B76" s="123" t="s">
        <v>1472</v>
      </c>
      <c r="C76" s="124" t="s">
        <v>197</v>
      </c>
      <c r="D76" s="67"/>
      <c r="E76" s="25" t="s">
        <v>198</v>
      </c>
      <c r="F76" s="68">
        <f>+F77+F81</f>
        <v>15273366000</v>
      </c>
      <c r="G76" s="68">
        <f t="shared" ref="G76:O76" si="31">+G77+G81</f>
        <v>0</v>
      </c>
      <c r="H76" s="68">
        <f t="shared" si="31"/>
        <v>-1691811575</v>
      </c>
      <c r="I76" s="68">
        <f t="shared" si="31"/>
        <v>13581554425</v>
      </c>
      <c r="J76" s="68">
        <f t="shared" si="31"/>
        <v>0</v>
      </c>
      <c r="K76" s="68">
        <f t="shared" si="31"/>
        <v>12419650347</v>
      </c>
      <c r="L76" s="68">
        <f t="shared" si="31"/>
        <v>2876123</v>
      </c>
      <c r="M76" s="68">
        <f t="shared" si="31"/>
        <v>12368389769</v>
      </c>
      <c r="N76" s="68">
        <f t="shared" si="31"/>
        <v>4245555</v>
      </c>
      <c r="O76" s="68">
        <f t="shared" si="31"/>
        <v>12358118916</v>
      </c>
      <c r="P76" s="229">
        <f t="shared" si="3"/>
        <v>0.91067556643097569</v>
      </c>
    </row>
    <row r="77" spans="1:16" s="7" customFormat="1">
      <c r="A77" s="106" t="s">
        <v>199</v>
      </c>
      <c r="B77" s="148" t="s">
        <v>1473</v>
      </c>
      <c r="C77" s="26" t="s">
        <v>200</v>
      </c>
      <c r="D77" s="69"/>
      <c r="E77" s="26" t="s">
        <v>201</v>
      </c>
      <c r="F77" s="15">
        <f>SUM(F78:F80)</f>
        <v>8087997000</v>
      </c>
      <c r="G77" s="202">
        <f t="shared" ref="G77:O77" si="32">SUM(G78:G80)</f>
        <v>0</v>
      </c>
      <c r="H77" s="202">
        <f t="shared" si="32"/>
        <v>-100000000</v>
      </c>
      <c r="I77" s="202">
        <f t="shared" si="32"/>
        <v>7987997000</v>
      </c>
      <c r="J77" s="202">
        <f t="shared" si="32"/>
        <v>0</v>
      </c>
      <c r="K77" s="202">
        <f t="shared" si="32"/>
        <v>7558379361</v>
      </c>
      <c r="L77" s="202">
        <f t="shared" si="32"/>
        <v>0</v>
      </c>
      <c r="M77" s="202">
        <f t="shared" si="32"/>
        <v>7535079637</v>
      </c>
      <c r="N77" s="202">
        <f t="shared" si="32"/>
        <v>1369432</v>
      </c>
      <c r="O77" s="202">
        <f t="shared" si="32"/>
        <v>7524808784</v>
      </c>
      <c r="P77" s="230">
        <f t="shared" si="3"/>
        <v>0.9433002587507231</v>
      </c>
    </row>
    <row r="78" spans="1:16" s="7" customFormat="1">
      <c r="A78" s="107"/>
      <c r="B78" s="149" t="s">
        <v>1474</v>
      </c>
      <c r="C78" s="18" t="s">
        <v>202</v>
      </c>
      <c r="D78" s="30" t="s">
        <v>1483</v>
      </c>
      <c r="E78" s="17" t="s">
        <v>203</v>
      </c>
      <c r="F78" s="16">
        <v>1245634000</v>
      </c>
      <c r="G78" s="203">
        <v>0</v>
      </c>
      <c r="H78" s="203">
        <v>-50000000</v>
      </c>
      <c r="I78" s="203">
        <v>1195634000</v>
      </c>
      <c r="J78" s="203">
        <v>0</v>
      </c>
      <c r="K78" s="203">
        <v>1103288053</v>
      </c>
      <c r="L78" s="203">
        <v>0</v>
      </c>
      <c r="M78" s="203">
        <v>1102117925</v>
      </c>
      <c r="N78" s="203">
        <v>1369432</v>
      </c>
      <c r="O78" s="203">
        <v>1101691733</v>
      </c>
      <c r="P78" s="237">
        <f t="shared" ref="P78:P141" si="33">IFERROR((M78/I78),0)</f>
        <v>0.92178536659211763</v>
      </c>
    </row>
    <row r="79" spans="1:16" s="8" customFormat="1">
      <c r="A79" s="107"/>
      <c r="B79" s="149" t="s">
        <v>1475</v>
      </c>
      <c r="C79" s="18" t="s">
        <v>204</v>
      </c>
      <c r="D79" s="30" t="s">
        <v>1910</v>
      </c>
      <c r="E79" s="17" t="s">
        <v>205</v>
      </c>
      <c r="F79" s="16">
        <v>6694782000</v>
      </c>
      <c r="G79" s="203">
        <v>0</v>
      </c>
      <c r="H79" s="203">
        <v>-50000000</v>
      </c>
      <c r="I79" s="203">
        <v>6644782000</v>
      </c>
      <c r="J79" s="203">
        <v>0</v>
      </c>
      <c r="K79" s="203">
        <v>6386981699</v>
      </c>
      <c r="L79" s="203">
        <v>0</v>
      </c>
      <c r="M79" s="203">
        <v>6364852103</v>
      </c>
      <c r="N79" s="203">
        <v>0</v>
      </c>
      <c r="O79" s="203">
        <v>6355007442</v>
      </c>
      <c r="P79" s="237">
        <f t="shared" si="33"/>
        <v>0.95787222259511295</v>
      </c>
    </row>
    <row r="80" spans="1:16" s="2" customFormat="1">
      <c r="A80" s="107"/>
      <c r="B80" s="149" t="s">
        <v>1476</v>
      </c>
      <c r="C80" s="18" t="s">
        <v>206</v>
      </c>
      <c r="D80" s="30" t="s">
        <v>1911</v>
      </c>
      <c r="E80" s="17" t="s">
        <v>207</v>
      </c>
      <c r="F80" s="16">
        <v>147581000</v>
      </c>
      <c r="G80" s="203">
        <v>0</v>
      </c>
      <c r="H80" s="203">
        <v>0</v>
      </c>
      <c r="I80" s="203">
        <v>147581000</v>
      </c>
      <c r="J80" s="203">
        <v>0</v>
      </c>
      <c r="K80" s="203">
        <v>68109609</v>
      </c>
      <c r="L80" s="203">
        <v>0</v>
      </c>
      <c r="M80" s="203">
        <v>68109609</v>
      </c>
      <c r="N80" s="203">
        <v>0</v>
      </c>
      <c r="O80" s="203">
        <v>68109609</v>
      </c>
      <c r="P80" s="237">
        <f t="shared" si="33"/>
        <v>0.46150662348134247</v>
      </c>
    </row>
    <row r="81" spans="1:16" s="8" customFormat="1">
      <c r="A81" s="106" t="s">
        <v>208</v>
      </c>
      <c r="B81" s="148" t="s">
        <v>1709</v>
      </c>
      <c r="C81" s="26" t="s">
        <v>209</v>
      </c>
      <c r="D81" s="69"/>
      <c r="E81" s="26" t="s">
        <v>210</v>
      </c>
      <c r="F81" s="15">
        <f>SUM(F82:F84)</f>
        <v>7185369000</v>
      </c>
      <c r="G81" s="202">
        <f t="shared" ref="G81:O81" si="34">SUM(G82:G84)</f>
        <v>0</v>
      </c>
      <c r="H81" s="202">
        <f t="shared" si="34"/>
        <v>-1591811575</v>
      </c>
      <c r="I81" s="202">
        <f t="shared" si="34"/>
        <v>5593557425</v>
      </c>
      <c r="J81" s="202">
        <f t="shared" si="34"/>
        <v>0</v>
      </c>
      <c r="K81" s="202">
        <f t="shared" si="34"/>
        <v>4861270986</v>
      </c>
      <c r="L81" s="202">
        <f t="shared" si="34"/>
        <v>2876123</v>
      </c>
      <c r="M81" s="202">
        <f t="shared" si="34"/>
        <v>4833310132</v>
      </c>
      <c r="N81" s="202">
        <f t="shared" si="34"/>
        <v>2876123</v>
      </c>
      <c r="O81" s="202">
        <f t="shared" si="34"/>
        <v>4833310132</v>
      </c>
      <c r="P81" s="230">
        <f t="shared" si="33"/>
        <v>0.86408519029372444</v>
      </c>
    </row>
    <row r="82" spans="1:16" s="7" customFormat="1">
      <c r="A82" s="107"/>
      <c r="B82" s="149" t="s">
        <v>1710</v>
      </c>
      <c r="C82" s="18" t="s">
        <v>211</v>
      </c>
      <c r="D82" s="30" t="s">
        <v>1483</v>
      </c>
      <c r="E82" s="17" t="s">
        <v>212</v>
      </c>
      <c r="F82" s="16">
        <v>1104619000</v>
      </c>
      <c r="G82" s="203">
        <v>0</v>
      </c>
      <c r="H82" s="203">
        <v>-275997151</v>
      </c>
      <c r="I82" s="203">
        <v>828621849</v>
      </c>
      <c r="J82" s="203">
        <v>0</v>
      </c>
      <c r="K82" s="203">
        <v>451587234</v>
      </c>
      <c r="L82" s="203">
        <v>905549</v>
      </c>
      <c r="M82" s="203">
        <v>451587234</v>
      </c>
      <c r="N82" s="203">
        <v>905549</v>
      </c>
      <c r="O82" s="203">
        <v>451587234</v>
      </c>
      <c r="P82" s="237">
        <f t="shared" si="33"/>
        <v>0.54498591190298196</v>
      </c>
    </row>
    <row r="83" spans="1:16" s="8" customFormat="1">
      <c r="A83" s="107"/>
      <c r="B83" s="149" t="s">
        <v>1711</v>
      </c>
      <c r="C83" s="18" t="s">
        <v>213</v>
      </c>
      <c r="D83" s="30" t="s">
        <v>1910</v>
      </c>
      <c r="E83" s="17" t="s">
        <v>214</v>
      </c>
      <c r="F83" s="16">
        <v>5936882000</v>
      </c>
      <c r="G83" s="203">
        <v>0</v>
      </c>
      <c r="H83" s="203">
        <v>-1320814424</v>
      </c>
      <c r="I83" s="203">
        <v>4616067576</v>
      </c>
      <c r="J83" s="203">
        <v>0</v>
      </c>
      <c r="K83" s="203">
        <v>4264216325</v>
      </c>
      <c r="L83" s="203">
        <v>1970574</v>
      </c>
      <c r="M83" s="203">
        <v>4236255471</v>
      </c>
      <c r="N83" s="203">
        <v>1970574</v>
      </c>
      <c r="O83" s="203">
        <v>4236255471</v>
      </c>
      <c r="P83" s="237">
        <f t="shared" si="33"/>
        <v>0.91771955268273564</v>
      </c>
    </row>
    <row r="84" spans="1:16" s="2" customFormat="1">
      <c r="A84" s="107"/>
      <c r="B84" s="149" t="s">
        <v>1712</v>
      </c>
      <c r="C84" s="18" t="s">
        <v>215</v>
      </c>
      <c r="D84" s="30" t="s">
        <v>1911</v>
      </c>
      <c r="E84" s="17" t="s">
        <v>216</v>
      </c>
      <c r="F84" s="16">
        <v>143868000</v>
      </c>
      <c r="G84" s="203">
        <v>0</v>
      </c>
      <c r="H84" s="203">
        <v>5000000</v>
      </c>
      <c r="I84" s="203">
        <v>148868000</v>
      </c>
      <c r="J84" s="203">
        <v>0</v>
      </c>
      <c r="K84" s="203">
        <v>145467427</v>
      </c>
      <c r="L84" s="203">
        <v>0</v>
      </c>
      <c r="M84" s="203">
        <v>145467427</v>
      </c>
      <c r="N84" s="203">
        <v>0</v>
      </c>
      <c r="O84" s="203">
        <v>145467427</v>
      </c>
      <c r="P84" s="237">
        <f t="shared" si="33"/>
        <v>0.97715712577585512</v>
      </c>
    </row>
    <row r="85" spans="1:16" s="2" customFormat="1">
      <c r="A85" s="134" t="s">
        <v>217</v>
      </c>
      <c r="B85" s="123" t="s">
        <v>1713</v>
      </c>
      <c r="C85" s="124" t="s">
        <v>218</v>
      </c>
      <c r="D85" s="67"/>
      <c r="E85" s="25" t="s">
        <v>219</v>
      </c>
      <c r="F85" s="68">
        <f>+F86</f>
        <v>7329466000</v>
      </c>
      <c r="G85" s="68">
        <f t="shared" ref="G85:O85" si="35">+G86</f>
        <v>0</v>
      </c>
      <c r="H85" s="68">
        <f t="shared" si="35"/>
        <v>0</v>
      </c>
      <c r="I85" s="68">
        <f t="shared" si="35"/>
        <v>7329466000</v>
      </c>
      <c r="J85" s="68">
        <f t="shared" si="35"/>
        <v>429266600</v>
      </c>
      <c r="K85" s="68">
        <f t="shared" si="35"/>
        <v>3387810800</v>
      </c>
      <c r="L85" s="68">
        <f t="shared" si="35"/>
        <v>429266600</v>
      </c>
      <c r="M85" s="68">
        <f t="shared" si="35"/>
        <v>3387810800</v>
      </c>
      <c r="N85" s="68">
        <f t="shared" si="35"/>
        <v>429266600</v>
      </c>
      <c r="O85" s="68">
        <f t="shared" si="35"/>
        <v>3387810800</v>
      </c>
      <c r="P85" s="229">
        <f t="shared" si="33"/>
        <v>0.46221795694256579</v>
      </c>
    </row>
    <row r="86" spans="1:16" s="7" customFormat="1">
      <c r="A86" s="106" t="s">
        <v>220</v>
      </c>
      <c r="B86" s="148" t="s">
        <v>1714</v>
      </c>
      <c r="C86" s="26" t="s">
        <v>221</v>
      </c>
      <c r="D86" s="69"/>
      <c r="E86" s="26" t="s">
        <v>222</v>
      </c>
      <c r="F86" s="15">
        <f>SUM(F87:F89)</f>
        <v>7329466000</v>
      </c>
      <c r="G86" s="202">
        <f t="shared" ref="G86:O86" si="36">SUM(G87:G89)</f>
        <v>0</v>
      </c>
      <c r="H86" s="202">
        <f t="shared" si="36"/>
        <v>0</v>
      </c>
      <c r="I86" s="202">
        <f t="shared" si="36"/>
        <v>7329466000</v>
      </c>
      <c r="J86" s="202">
        <f t="shared" si="36"/>
        <v>429266600</v>
      </c>
      <c r="K86" s="202">
        <f t="shared" si="36"/>
        <v>3387810800</v>
      </c>
      <c r="L86" s="202">
        <f t="shared" si="36"/>
        <v>429266600</v>
      </c>
      <c r="M86" s="202">
        <f t="shared" si="36"/>
        <v>3387810800</v>
      </c>
      <c r="N86" s="202">
        <f t="shared" si="36"/>
        <v>429266600</v>
      </c>
      <c r="O86" s="202">
        <f t="shared" si="36"/>
        <v>3387810800</v>
      </c>
      <c r="P86" s="230">
        <f t="shared" si="33"/>
        <v>0.46221795694256579</v>
      </c>
    </row>
    <row r="87" spans="1:16" s="8" customFormat="1">
      <c r="A87" s="107"/>
      <c r="B87" s="149" t="s">
        <v>1715</v>
      </c>
      <c r="C87" s="18" t="s">
        <v>223</v>
      </c>
      <c r="D87" s="30" t="s">
        <v>1483</v>
      </c>
      <c r="E87" s="17" t="s">
        <v>224</v>
      </c>
      <c r="F87" s="16">
        <v>1166734000</v>
      </c>
      <c r="G87" s="203">
        <v>0</v>
      </c>
      <c r="H87" s="203">
        <v>0</v>
      </c>
      <c r="I87" s="203">
        <v>1166734000</v>
      </c>
      <c r="J87" s="203">
        <v>71488300</v>
      </c>
      <c r="K87" s="203">
        <v>570625300</v>
      </c>
      <c r="L87" s="203">
        <v>71488300</v>
      </c>
      <c r="M87" s="203">
        <v>570625300</v>
      </c>
      <c r="N87" s="203">
        <v>71488300</v>
      </c>
      <c r="O87" s="203">
        <v>570625300</v>
      </c>
      <c r="P87" s="237">
        <f t="shared" si="33"/>
        <v>0.48907917314486421</v>
      </c>
    </row>
    <row r="88" spans="1:16" s="7" customFormat="1">
      <c r="A88" s="107"/>
      <c r="B88" s="149" t="s">
        <v>1716</v>
      </c>
      <c r="C88" s="18" t="s">
        <v>225</v>
      </c>
      <c r="D88" s="30" t="s">
        <v>1910</v>
      </c>
      <c r="E88" s="17" t="s">
        <v>226</v>
      </c>
      <c r="F88" s="16">
        <v>6063199000</v>
      </c>
      <c r="G88" s="203">
        <v>0</v>
      </c>
      <c r="H88" s="203">
        <v>0</v>
      </c>
      <c r="I88" s="203">
        <v>6063199000</v>
      </c>
      <c r="J88" s="203">
        <v>349848300</v>
      </c>
      <c r="K88" s="203">
        <v>2763196800</v>
      </c>
      <c r="L88" s="203">
        <v>349848300</v>
      </c>
      <c r="M88" s="203">
        <v>2763196800</v>
      </c>
      <c r="N88" s="203">
        <v>349848300</v>
      </c>
      <c r="O88" s="203">
        <v>2763196800</v>
      </c>
      <c r="P88" s="237">
        <f t="shared" si="33"/>
        <v>0.45573249368856278</v>
      </c>
    </row>
    <row r="89" spans="1:16" s="2" customFormat="1">
      <c r="A89" s="107"/>
      <c r="B89" s="149" t="s">
        <v>1717</v>
      </c>
      <c r="C89" s="18" t="s">
        <v>227</v>
      </c>
      <c r="D89" s="30" t="s">
        <v>1911</v>
      </c>
      <c r="E89" s="17" t="s">
        <v>228</v>
      </c>
      <c r="F89" s="16">
        <v>99533000</v>
      </c>
      <c r="G89" s="203">
        <v>0</v>
      </c>
      <c r="H89" s="203">
        <v>0</v>
      </c>
      <c r="I89" s="203">
        <v>99533000</v>
      </c>
      <c r="J89" s="203">
        <v>7930000</v>
      </c>
      <c r="K89" s="203">
        <v>53988700</v>
      </c>
      <c r="L89" s="203">
        <v>7930000</v>
      </c>
      <c r="M89" s="203">
        <v>53988700</v>
      </c>
      <c r="N89" s="203">
        <v>7930000</v>
      </c>
      <c r="O89" s="203">
        <v>53988700</v>
      </c>
      <c r="P89" s="237">
        <f t="shared" si="33"/>
        <v>0.54242010187575984</v>
      </c>
    </row>
    <row r="90" spans="1:16" s="2" customFormat="1">
      <c r="A90" s="134" t="s">
        <v>229</v>
      </c>
      <c r="B90" s="123" t="s">
        <v>1718</v>
      </c>
      <c r="C90" s="124" t="s">
        <v>230</v>
      </c>
      <c r="D90" s="67"/>
      <c r="E90" s="25" t="s">
        <v>231</v>
      </c>
      <c r="F90" s="68">
        <f>+F91</f>
        <v>957874000</v>
      </c>
      <c r="G90" s="68">
        <f t="shared" ref="G90:O90" si="37">+G91</f>
        <v>0</v>
      </c>
      <c r="H90" s="68">
        <f t="shared" si="37"/>
        <v>0</v>
      </c>
      <c r="I90" s="68">
        <f t="shared" si="37"/>
        <v>957874000</v>
      </c>
      <c r="J90" s="68">
        <f t="shared" si="37"/>
        <v>54716500</v>
      </c>
      <c r="K90" s="68">
        <f t="shared" si="37"/>
        <v>379133800</v>
      </c>
      <c r="L90" s="68">
        <f t="shared" si="37"/>
        <v>54716500</v>
      </c>
      <c r="M90" s="68">
        <f t="shared" si="37"/>
        <v>379133800</v>
      </c>
      <c r="N90" s="68">
        <f t="shared" si="37"/>
        <v>54716500</v>
      </c>
      <c r="O90" s="68">
        <f t="shared" si="37"/>
        <v>379133800</v>
      </c>
      <c r="P90" s="229">
        <f t="shared" si="33"/>
        <v>0.39580759055992748</v>
      </c>
    </row>
    <row r="91" spans="1:16" s="7" customFormat="1">
      <c r="A91" s="106" t="s">
        <v>232</v>
      </c>
      <c r="B91" s="148" t="s">
        <v>1719</v>
      </c>
      <c r="C91" s="26" t="s">
        <v>233</v>
      </c>
      <c r="D91" s="69"/>
      <c r="E91" s="26" t="s">
        <v>234</v>
      </c>
      <c r="F91" s="15">
        <f>SUM(F92:F94)</f>
        <v>957874000</v>
      </c>
      <c r="G91" s="202">
        <f t="shared" ref="G91:O91" si="38">SUM(G92:G94)</f>
        <v>0</v>
      </c>
      <c r="H91" s="202">
        <f t="shared" si="38"/>
        <v>0</v>
      </c>
      <c r="I91" s="202">
        <f t="shared" si="38"/>
        <v>957874000</v>
      </c>
      <c r="J91" s="202">
        <f t="shared" si="38"/>
        <v>54716500</v>
      </c>
      <c r="K91" s="202">
        <f t="shared" si="38"/>
        <v>379133800</v>
      </c>
      <c r="L91" s="202">
        <f t="shared" si="38"/>
        <v>54716500</v>
      </c>
      <c r="M91" s="202">
        <f t="shared" si="38"/>
        <v>379133800</v>
      </c>
      <c r="N91" s="202">
        <f t="shared" si="38"/>
        <v>54716500</v>
      </c>
      <c r="O91" s="202">
        <f t="shared" si="38"/>
        <v>379133800</v>
      </c>
      <c r="P91" s="230">
        <f t="shared" si="33"/>
        <v>0.39580759055992748</v>
      </c>
    </row>
    <row r="92" spans="1:16" s="7" customFormat="1">
      <c r="A92" s="107"/>
      <c r="B92" s="149" t="s">
        <v>1720</v>
      </c>
      <c r="C92" s="18" t="s">
        <v>235</v>
      </c>
      <c r="D92" s="30" t="s">
        <v>1483</v>
      </c>
      <c r="E92" s="17" t="s">
        <v>236</v>
      </c>
      <c r="F92" s="16">
        <v>153638000</v>
      </c>
      <c r="G92" s="203">
        <v>0</v>
      </c>
      <c r="H92" s="203">
        <v>0</v>
      </c>
      <c r="I92" s="203">
        <v>153638000</v>
      </c>
      <c r="J92" s="203">
        <v>8968900</v>
      </c>
      <c r="K92" s="203">
        <v>62328100</v>
      </c>
      <c r="L92" s="203">
        <v>8968900</v>
      </c>
      <c r="M92" s="203">
        <v>62328100</v>
      </c>
      <c r="N92" s="203">
        <v>8968900</v>
      </c>
      <c r="O92" s="203">
        <v>62328100</v>
      </c>
      <c r="P92" s="237">
        <f t="shared" si="33"/>
        <v>0.40568153711972299</v>
      </c>
    </row>
    <row r="93" spans="1:16" s="7" customFormat="1">
      <c r="A93" s="107"/>
      <c r="B93" s="149" t="s">
        <v>1721</v>
      </c>
      <c r="C93" s="18" t="s">
        <v>237</v>
      </c>
      <c r="D93" s="30" t="s">
        <v>1910</v>
      </c>
      <c r="E93" s="17" t="s">
        <v>238</v>
      </c>
      <c r="F93" s="16">
        <v>791247000</v>
      </c>
      <c r="G93" s="203">
        <v>0</v>
      </c>
      <c r="H93" s="203">
        <v>0</v>
      </c>
      <c r="I93" s="203">
        <v>791247000</v>
      </c>
      <c r="J93" s="203">
        <v>44920500</v>
      </c>
      <c r="K93" s="203">
        <v>311975100</v>
      </c>
      <c r="L93" s="203">
        <v>44920500</v>
      </c>
      <c r="M93" s="203">
        <v>311975100</v>
      </c>
      <c r="N93" s="203">
        <v>44920500</v>
      </c>
      <c r="O93" s="203">
        <v>311975100</v>
      </c>
      <c r="P93" s="237">
        <f t="shared" si="33"/>
        <v>0.39428282192539121</v>
      </c>
    </row>
    <row r="94" spans="1:16" s="2" customFormat="1">
      <c r="A94" s="107"/>
      <c r="B94" s="149" t="s">
        <v>1722</v>
      </c>
      <c r="C94" s="18" t="s">
        <v>239</v>
      </c>
      <c r="D94" s="30" t="s">
        <v>1911</v>
      </c>
      <c r="E94" s="17" t="s">
        <v>240</v>
      </c>
      <c r="F94" s="16">
        <v>12989000</v>
      </c>
      <c r="G94" s="203">
        <v>0</v>
      </c>
      <c r="H94" s="203">
        <v>0</v>
      </c>
      <c r="I94" s="203">
        <v>12989000</v>
      </c>
      <c r="J94" s="203">
        <v>827100</v>
      </c>
      <c r="K94" s="203">
        <v>4830600</v>
      </c>
      <c r="L94" s="203">
        <v>827100</v>
      </c>
      <c r="M94" s="203">
        <v>4830600</v>
      </c>
      <c r="N94" s="203">
        <v>827100</v>
      </c>
      <c r="O94" s="203">
        <v>4830600</v>
      </c>
      <c r="P94" s="237">
        <f t="shared" si="33"/>
        <v>0.37189929940719069</v>
      </c>
    </row>
    <row r="95" spans="1:16" s="2" customFormat="1">
      <c r="A95" s="134" t="s">
        <v>241</v>
      </c>
      <c r="B95" s="123" t="s">
        <v>1484</v>
      </c>
      <c r="C95" s="124" t="s">
        <v>242</v>
      </c>
      <c r="D95" s="67"/>
      <c r="E95" s="25" t="s">
        <v>243</v>
      </c>
      <c r="F95" s="68">
        <f>+F96</f>
        <v>5432095000</v>
      </c>
      <c r="G95" s="68">
        <f t="shared" ref="G95:O95" si="39">+G96</f>
        <v>0</v>
      </c>
      <c r="H95" s="68">
        <f t="shared" si="39"/>
        <v>0</v>
      </c>
      <c r="I95" s="68">
        <f t="shared" si="39"/>
        <v>5432095000</v>
      </c>
      <c r="J95" s="68">
        <f t="shared" si="39"/>
        <v>321961400</v>
      </c>
      <c r="K95" s="68">
        <f t="shared" si="39"/>
        <v>2540926400</v>
      </c>
      <c r="L95" s="68">
        <f t="shared" si="39"/>
        <v>321961400</v>
      </c>
      <c r="M95" s="68">
        <f t="shared" si="39"/>
        <v>2540926400</v>
      </c>
      <c r="N95" s="68">
        <f t="shared" si="39"/>
        <v>321961400</v>
      </c>
      <c r="O95" s="68">
        <f t="shared" si="39"/>
        <v>2540926400</v>
      </c>
      <c r="P95" s="229">
        <f t="shared" si="33"/>
        <v>0.46776177515304868</v>
      </c>
    </row>
    <row r="96" spans="1:16" s="7" customFormat="1">
      <c r="A96" s="106" t="s">
        <v>241</v>
      </c>
      <c r="B96" s="148" t="s">
        <v>1484</v>
      </c>
      <c r="C96" s="26" t="s">
        <v>242</v>
      </c>
      <c r="D96" s="69"/>
      <c r="E96" s="26" t="s">
        <v>243</v>
      </c>
      <c r="F96" s="15">
        <f>SUM(F97:F99)</f>
        <v>5432095000</v>
      </c>
      <c r="G96" s="202">
        <f t="shared" ref="G96:O96" si="40">SUM(G97:G99)</f>
        <v>0</v>
      </c>
      <c r="H96" s="202">
        <f t="shared" si="40"/>
        <v>0</v>
      </c>
      <c r="I96" s="202">
        <f t="shared" si="40"/>
        <v>5432095000</v>
      </c>
      <c r="J96" s="202">
        <f t="shared" si="40"/>
        <v>321961400</v>
      </c>
      <c r="K96" s="202">
        <f t="shared" si="40"/>
        <v>2540926400</v>
      </c>
      <c r="L96" s="202">
        <f t="shared" si="40"/>
        <v>321961400</v>
      </c>
      <c r="M96" s="202">
        <f t="shared" si="40"/>
        <v>2540926400</v>
      </c>
      <c r="N96" s="202">
        <f t="shared" si="40"/>
        <v>321961400</v>
      </c>
      <c r="O96" s="202">
        <f t="shared" si="40"/>
        <v>2540926400</v>
      </c>
      <c r="P96" s="230">
        <f t="shared" si="33"/>
        <v>0.46776177515304868</v>
      </c>
    </row>
    <row r="97" spans="1:16" s="7" customFormat="1">
      <c r="A97" s="107"/>
      <c r="B97" s="149" t="s">
        <v>1667</v>
      </c>
      <c r="C97" s="18" t="s">
        <v>244</v>
      </c>
      <c r="D97" s="30" t="s">
        <v>1483</v>
      </c>
      <c r="E97" s="17" t="s">
        <v>245</v>
      </c>
      <c r="F97" s="16">
        <v>810047000</v>
      </c>
      <c r="G97" s="203">
        <v>0</v>
      </c>
      <c r="H97" s="203">
        <v>0</v>
      </c>
      <c r="I97" s="203">
        <v>810047000</v>
      </c>
      <c r="J97" s="203">
        <v>53618300</v>
      </c>
      <c r="K97" s="203">
        <v>427983100</v>
      </c>
      <c r="L97" s="203">
        <v>53618300</v>
      </c>
      <c r="M97" s="203">
        <v>427983100</v>
      </c>
      <c r="N97" s="203">
        <v>53618300</v>
      </c>
      <c r="O97" s="203">
        <v>427983100</v>
      </c>
      <c r="P97" s="237">
        <f t="shared" si="33"/>
        <v>0.52834354055999222</v>
      </c>
    </row>
    <row r="98" spans="1:16" s="7" customFormat="1">
      <c r="A98" s="107"/>
      <c r="B98" s="149" t="s">
        <v>1668</v>
      </c>
      <c r="C98" s="18" t="s">
        <v>246</v>
      </c>
      <c r="D98" s="30" t="s">
        <v>1910</v>
      </c>
      <c r="E98" s="17" t="s">
        <v>247</v>
      </c>
      <c r="F98" s="16">
        <v>4547399000</v>
      </c>
      <c r="G98" s="203">
        <v>0</v>
      </c>
      <c r="H98" s="203">
        <v>0</v>
      </c>
      <c r="I98" s="203">
        <v>4547399000</v>
      </c>
      <c r="J98" s="203">
        <v>262395300</v>
      </c>
      <c r="K98" s="203">
        <v>2072450000</v>
      </c>
      <c r="L98" s="203">
        <v>262395300</v>
      </c>
      <c r="M98" s="203">
        <v>2072450000</v>
      </c>
      <c r="N98" s="203">
        <v>262395300</v>
      </c>
      <c r="O98" s="203">
        <v>2072450000</v>
      </c>
      <c r="P98" s="237">
        <f t="shared" si="33"/>
        <v>0.45574404181379291</v>
      </c>
    </row>
    <row r="99" spans="1:16" s="2" customFormat="1">
      <c r="A99" s="107"/>
      <c r="B99" s="149" t="s">
        <v>1669</v>
      </c>
      <c r="C99" s="18" t="s">
        <v>248</v>
      </c>
      <c r="D99" s="30" t="s">
        <v>1911</v>
      </c>
      <c r="E99" s="17" t="s">
        <v>249</v>
      </c>
      <c r="F99" s="16">
        <v>74649000</v>
      </c>
      <c r="G99" s="203">
        <v>0</v>
      </c>
      <c r="H99" s="203">
        <v>0</v>
      </c>
      <c r="I99" s="203">
        <v>74649000</v>
      </c>
      <c r="J99" s="203">
        <v>5947800</v>
      </c>
      <c r="K99" s="203">
        <v>40493300</v>
      </c>
      <c r="L99" s="203">
        <v>5947800</v>
      </c>
      <c r="M99" s="203">
        <v>40493300</v>
      </c>
      <c r="N99" s="203">
        <v>5947800</v>
      </c>
      <c r="O99" s="203">
        <v>40493300</v>
      </c>
      <c r="P99" s="237">
        <f t="shared" si="33"/>
        <v>0.54244932952886171</v>
      </c>
    </row>
    <row r="100" spans="1:16" s="2" customFormat="1">
      <c r="A100" s="105" t="s">
        <v>250</v>
      </c>
      <c r="B100" s="63" t="s">
        <v>1723</v>
      </c>
      <c r="C100" s="63" t="s">
        <v>251</v>
      </c>
      <c r="D100" s="63"/>
      <c r="E100" s="63" t="s">
        <v>252</v>
      </c>
      <c r="F100" s="64">
        <f>+F101+F103+F104+F105</f>
        <v>10137250000</v>
      </c>
      <c r="G100" s="64">
        <f t="shared" ref="G100:O100" si="41">+G101+G103+G104+G105</f>
        <v>0</v>
      </c>
      <c r="H100" s="64">
        <f t="shared" si="41"/>
        <v>-32525710</v>
      </c>
      <c r="I100" s="64">
        <f t="shared" si="41"/>
        <v>10104724290</v>
      </c>
      <c r="J100" s="64">
        <f t="shared" si="41"/>
        <v>67451659</v>
      </c>
      <c r="K100" s="64">
        <f t="shared" si="41"/>
        <v>8144778067</v>
      </c>
      <c r="L100" s="64">
        <f t="shared" si="41"/>
        <v>273238102</v>
      </c>
      <c r="M100" s="64">
        <f t="shared" si="41"/>
        <v>8034283570</v>
      </c>
      <c r="N100" s="64">
        <f t="shared" si="41"/>
        <v>795184825</v>
      </c>
      <c r="O100" s="64">
        <f t="shared" si="41"/>
        <v>3023443806</v>
      </c>
      <c r="P100" s="235">
        <f t="shared" si="33"/>
        <v>0.79510171078601488</v>
      </c>
    </row>
    <row r="101" spans="1:16" s="7" customFormat="1">
      <c r="A101" s="134" t="s">
        <v>253</v>
      </c>
      <c r="B101" s="123" t="s">
        <v>1478</v>
      </c>
      <c r="C101" s="124" t="s">
        <v>254</v>
      </c>
      <c r="D101" s="67"/>
      <c r="E101" s="25" t="s">
        <v>114</v>
      </c>
      <c r="F101" s="68">
        <f>SUM(F102:F102)</f>
        <v>96799000</v>
      </c>
      <c r="G101" s="68">
        <f t="shared" ref="G101:O101" si="42">SUM(G102:G102)</f>
        <v>0</v>
      </c>
      <c r="H101" s="68">
        <f t="shared" si="42"/>
        <v>0</v>
      </c>
      <c r="I101" s="68">
        <f t="shared" si="42"/>
        <v>96799000</v>
      </c>
      <c r="J101" s="68">
        <f t="shared" si="42"/>
        <v>1550485</v>
      </c>
      <c r="K101" s="68">
        <f t="shared" si="42"/>
        <v>11254644</v>
      </c>
      <c r="L101" s="68">
        <f t="shared" si="42"/>
        <v>1968415</v>
      </c>
      <c r="M101" s="68">
        <f t="shared" si="42"/>
        <v>9894748</v>
      </c>
      <c r="N101" s="68">
        <f t="shared" si="42"/>
        <v>1897878</v>
      </c>
      <c r="O101" s="68">
        <f t="shared" si="42"/>
        <v>9476818</v>
      </c>
      <c r="P101" s="229">
        <f t="shared" si="33"/>
        <v>0.10221952706122997</v>
      </c>
    </row>
    <row r="102" spans="1:16" s="2" customFormat="1">
      <c r="A102" s="107" t="s">
        <v>255</v>
      </c>
      <c r="B102" s="149" t="s">
        <v>1665</v>
      </c>
      <c r="C102" s="18" t="s">
        <v>256</v>
      </c>
      <c r="D102" s="30" t="s">
        <v>1483</v>
      </c>
      <c r="E102" s="17" t="s">
        <v>257</v>
      </c>
      <c r="F102" s="16">
        <v>96799000</v>
      </c>
      <c r="G102" s="203">
        <v>0</v>
      </c>
      <c r="H102" s="203">
        <v>0</v>
      </c>
      <c r="I102" s="203">
        <v>96799000</v>
      </c>
      <c r="J102" s="203">
        <v>1550485</v>
      </c>
      <c r="K102" s="203">
        <v>11254644</v>
      </c>
      <c r="L102" s="203">
        <v>1968415</v>
      </c>
      <c r="M102" s="203">
        <v>9894748</v>
      </c>
      <c r="N102" s="203">
        <v>1897878</v>
      </c>
      <c r="O102" s="203">
        <v>9476818</v>
      </c>
      <c r="P102" s="237">
        <f t="shared" si="33"/>
        <v>0.10221952706122997</v>
      </c>
    </row>
    <row r="103" spans="1:16" s="2" customFormat="1">
      <c r="A103" s="107" t="s">
        <v>258</v>
      </c>
      <c r="B103" s="149" t="s">
        <v>1663</v>
      </c>
      <c r="C103" s="18" t="s">
        <v>259</v>
      </c>
      <c r="D103" s="30" t="s">
        <v>1483</v>
      </c>
      <c r="E103" s="17" t="s">
        <v>260</v>
      </c>
      <c r="F103" s="16">
        <v>382816000</v>
      </c>
      <c r="G103" s="203">
        <v>0</v>
      </c>
      <c r="H103" s="203">
        <v>0</v>
      </c>
      <c r="I103" s="203">
        <v>382816000</v>
      </c>
      <c r="J103" s="203">
        <v>0</v>
      </c>
      <c r="K103" s="203">
        <v>0</v>
      </c>
      <c r="L103" s="203">
        <v>0</v>
      </c>
      <c r="M103" s="203">
        <v>0</v>
      </c>
      <c r="N103" s="203">
        <v>0</v>
      </c>
      <c r="O103" s="203">
        <v>0</v>
      </c>
      <c r="P103" s="237">
        <f t="shared" si="33"/>
        <v>0</v>
      </c>
    </row>
    <row r="104" spans="1:16" s="2" customFormat="1">
      <c r="A104" s="107" t="s">
        <v>261</v>
      </c>
      <c r="B104" s="149" t="s">
        <v>1664</v>
      </c>
      <c r="C104" s="18" t="s">
        <v>262</v>
      </c>
      <c r="D104" s="30" t="s">
        <v>1483</v>
      </c>
      <c r="E104" s="17" t="s">
        <v>263</v>
      </c>
      <c r="F104" s="16">
        <v>284402000</v>
      </c>
      <c r="G104" s="203">
        <v>0</v>
      </c>
      <c r="H104" s="203">
        <v>0</v>
      </c>
      <c r="I104" s="203">
        <v>284402000</v>
      </c>
      <c r="J104" s="203">
        <v>15489585</v>
      </c>
      <c r="K104" s="203">
        <v>123290497</v>
      </c>
      <c r="L104" s="203">
        <v>15489585</v>
      </c>
      <c r="M104" s="203">
        <v>123290497</v>
      </c>
      <c r="N104" s="203">
        <v>15489585</v>
      </c>
      <c r="O104" s="203">
        <v>123290497</v>
      </c>
      <c r="P104" s="237">
        <f t="shared" si="33"/>
        <v>0.43350784101377626</v>
      </c>
    </row>
    <row r="105" spans="1:16" s="2" customFormat="1">
      <c r="A105" s="134" t="s">
        <v>264</v>
      </c>
      <c r="B105" s="123" t="s">
        <v>1482</v>
      </c>
      <c r="C105" s="124" t="s">
        <v>265</v>
      </c>
      <c r="D105" s="67"/>
      <c r="E105" s="25" t="s">
        <v>1481</v>
      </c>
      <c r="F105" s="68">
        <f>F106</f>
        <v>9373233000</v>
      </c>
      <c r="G105" s="68">
        <f t="shared" ref="G105:O105" si="43">G106</f>
        <v>0</v>
      </c>
      <c r="H105" s="68">
        <f t="shared" si="43"/>
        <v>-32525710</v>
      </c>
      <c r="I105" s="68">
        <f t="shared" si="43"/>
        <v>9340707290</v>
      </c>
      <c r="J105" s="68">
        <f t="shared" si="43"/>
        <v>50411589</v>
      </c>
      <c r="K105" s="68">
        <f t="shared" si="43"/>
        <v>8010232926</v>
      </c>
      <c r="L105" s="68">
        <f t="shared" si="43"/>
        <v>255780102</v>
      </c>
      <c r="M105" s="68">
        <f t="shared" si="43"/>
        <v>7901098325</v>
      </c>
      <c r="N105" s="68">
        <f t="shared" si="43"/>
        <v>777797362</v>
      </c>
      <c r="O105" s="68">
        <f t="shared" si="43"/>
        <v>2890676491</v>
      </c>
      <c r="P105" s="229">
        <f t="shared" si="33"/>
        <v>0.84587794903484226</v>
      </c>
    </row>
    <row r="106" spans="1:16" s="8" customFormat="1">
      <c r="A106" s="106" t="s">
        <v>264</v>
      </c>
      <c r="B106" s="148" t="s">
        <v>1666</v>
      </c>
      <c r="C106" s="26" t="s">
        <v>265</v>
      </c>
      <c r="D106" s="69"/>
      <c r="E106" s="26" t="s">
        <v>1481</v>
      </c>
      <c r="F106" s="13">
        <f>+F107+F109+F111+F116+F118+F120+F122+F124+F126+F128+F130+F132</f>
        <v>9373233000</v>
      </c>
      <c r="G106" s="213">
        <f t="shared" ref="G106:O106" si="44">+G107+G109+G111+G116+G118+G120+G122+G124+G126+G128+G130+G132</f>
        <v>0</v>
      </c>
      <c r="H106" s="213">
        <f t="shared" si="44"/>
        <v>-32525710</v>
      </c>
      <c r="I106" s="213">
        <f t="shared" si="44"/>
        <v>9340707290</v>
      </c>
      <c r="J106" s="213">
        <f t="shared" si="44"/>
        <v>50411589</v>
      </c>
      <c r="K106" s="213">
        <f t="shared" si="44"/>
        <v>8010232926</v>
      </c>
      <c r="L106" s="213">
        <f t="shared" si="44"/>
        <v>255780102</v>
      </c>
      <c r="M106" s="213">
        <f t="shared" si="44"/>
        <v>7901098325</v>
      </c>
      <c r="N106" s="213">
        <f t="shared" si="44"/>
        <v>777797362</v>
      </c>
      <c r="O106" s="213">
        <f t="shared" si="44"/>
        <v>2890676491</v>
      </c>
      <c r="P106" s="241">
        <f t="shared" si="33"/>
        <v>0.84587794903484226</v>
      </c>
    </row>
    <row r="107" spans="1:16" s="8" customFormat="1">
      <c r="A107" s="107"/>
      <c r="B107" s="149" t="s">
        <v>1724</v>
      </c>
      <c r="C107" s="18" t="s">
        <v>266</v>
      </c>
      <c r="D107" s="30"/>
      <c r="E107" s="17" t="s">
        <v>267</v>
      </c>
      <c r="F107" s="16">
        <f>+F108</f>
        <v>351080000</v>
      </c>
      <c r="G107" s="203">
        <f t="shared" ref="G107:O107" si="45">+G108</f>
        <v>0</v>
      </c>
      <c r="H107" s="203">
        <f t="shared" si="45"/>
        <v>0</v>
      </c>
      <c r="I107" s="203">
        <f t="shared" si="45"/>
        <v>351080000</v>
      </c>
      <c r="J107" s="203">
        <f t="shared" si="45"/>
        <v>0</v>
      </c>
      <c r="K107" s="203">
        <f t="shared" si="45"/>
        <v>66443091</v>
      </c>
      <c r="L107" s="203">
        <f t="shared" si="45"/>
        <v>22806841</v>
      </c>
      <c r="M107" s="203">
        <f t="shared" si="45"/>
        <v>66443091</v>
      </c>
      <c r="N107" s="203">
        <f t="shared" si="45"/>
        <v>22806841</v>
      </c>
      <c r="O107" s="203">
        <f t="shared" si="45"/>
        <v>66443091</v>
      </c>
      <c r="P107" s="237">
        <f t="shared" si="33"/>
        <v>0.18925342087273556</v>
      </c>
    </row>
    <row r="108" spans="1:16" s="7" customFormat="1">
      <c r="A108" s="108"/>
      <c r="B108" s="150"/>
      <c r="C108" s="70" t="s">
        <v>266</v>
      </c>
      <c r="D108" s="33" t="s">
        <v>1911</v>
      </c>
      <c r="E108" s="34" t="s">
        <v>268</v>
      </c>
      <c r="F108" s="35">
        <v>351080000</v>
      </c>
      <c r="G108" s="210">
        <v>0</v>
      </c>
      <c r="H108" s="210">
        <v>0</v>
      </c>
      <c r="I108" s="210">
        <v>351080000</v>
      </c>
      <c r="J108" s="210">
        <v>0</v>
      </c>
      <c r="K108" s="210">
        <v>66443091</v>
      </c>
      <c r="L108" s="210">
        <v>22806841</v>
      </c>
      <c r="M108" s="210">
        <v>66443091</v>
      </c>
      <c r="N108" s="210">
        <v>22806841</v>
      </c>
      <c r="O108" s="210">
        <v>66443091</v>
      </c>
      <c r="P108" s="242">
        <f t="shared" si="33"/>
        <v>0.18925342087273556</v>
      </c>
    </row>
    <row r="109" spans="1:16" s="8" customFormat="1">
      <c r="A109" s="107"/>
      <c r="B109" s="149" t="s">
        <v>1725</v>
      </c>
      <c r="C109" s="18" t="s">
        <v>269</v>
      </c>
      <c r="D109" s="30"/>
      <c r="E109" s="17" t="s">
        <v>270</v>
      </c>
      <c r="F109" s="16">
        <f>+F110</f>
        <v>108797000</v>
      </c>
      <c r="G109" s="203">
        <f t="shared" ref="G109:O109" si="46">+G110</f>
        <v>0</v>
      </c>
      <c r="H109" s="203">
        <f t="shared" si="46"/>
        <v>0</v>
      </c>
      <c r="I109" s="203">
        <f t="shared" si="46"/>
        <v>108797000</v>
      </c>
      <c r="J109" s="203">
        <f t="shared" si="46"/>
        <v>0</v>
      </c>
      <c r="K109" s="203">
        <f t="shared" si="46"/>
        <v>108797000</v>
      </c>
      <c r="L109" s="203">
        <f t="shared" si="46"/>
        <v>0</v>
      </c>
      <c r="M109" s="203">
        <f t="shared" si="46"/>
        <v>108797000</v>
      </c>
      <c r="N109" s="203">
        <f t="shared" si="46"/>
        <v>0</v>
      </c>
      <c r="O109" s="203">
        <f t="shared" si="46"/>
        <v>108797000</v>
      </c>
      <c r="P109" s="237">
        <f t="shared" si="33"/>
        <v>1</v>
      </c>
    </row>
    <row r="110" spans="1:16" s="7" customFormat="1">
      <c r="A110" s="108"/>
      <c r="B110" s="150"/>
      <c r="C110" s="70" t="s">
        <v>269</v>
      </c>
      <c r="D110" s="33" t="s">
        <v>1929</v>
      </c>
      <c r="E110" s="34" t="s">
        <v>271</v>
      </c>
      <c r="F110" s="35">
        <v>108797000</v>
      </c>
      <c r="G110" s="210">
        <v>0</v>
      </c>
      <c r="H110" s="210">
        <v>0</v>
      </c>
      <c r="I110" s="210">
        <v>108797000</v>
      </c>
      <c r="J110" s="210">
        <v>0</v>
      </c>
      <c r="K110" s="210">
        <v>108797000</v>
      </c>
      <c r="L110" s="210">
        <v>0</v>
      </c>
      <c r="M110" s="210">
        <v>108797000</v>
      </c>
      <c r="N110" s="210">
        <v>0</v>
      </c>
      <c r="O110" s="210">
        <v>108797000</v>
      </c>
      <c r="P110" s="242">
        <f t="shared" si="33"/>
        <v>1</v>
      </c>
    </row>
    <row r="111" spans="1:16" s="8" customFormat="1">
      <c r="A111" s="107"/>
      <c r="B111" s="149" t="s">
        <v>1726</v>
      </c>
      <c r="C111" s="18" t="s">
        <v>272</v>
      </c>
      <c r="D111" s="30"/>
      <c r="E111" s="17" t="s">
        <v>273</v>
      </c>
      <c r="F111" s="16">
        <f>SUM(F112:F115)</f>
        <v>681700000</v>
      </c>
      <c r="G111" s="203">
        <f t="shared" ref="G111:O111" si="47">SUM(G112:G115)</f>
        <v>0</v>
      </c>
      <c r="H111" s="203">
        <f t="shared" si="47"/>
        <v>106207250</v>
      </c>
      <c r="I111" s="203">
        <f t="shared" si="47"/>
        <v>787907250</v>
      </c>
      <c r="J111" s="203">
        <f t="shared" si="47"/>
        <v>0</v>
      </c>
      <c r="K111" s="203">
        <f t="shared" si="47"/>
        <v>744134625</v>
      </c>
      <c r="L111" s="203">
        <f t="shared" si="47"/>
        <v>175090500</v>
      </c>
      <c r="M111" s="203">
        <f t="shared" si="47"/>
        <v>744134625</v>
      </c>
      <c r="N111" s="203">
        <f t="shared" si="47"/>
        <v>175090500</v>
      </c>
      <c r="O111" s="203">
        <f t="shared" si="47"/>
        <v>744134625</v>
      </c>
      <c r="P111" s="237">
        <f t="shared" si="33"/>
        <v>0.94444444444444442</v>
      </c>
    </row>
    <row r="112" spans="1:16" s="8" customFormat="1">
      <c r="A112" s="108"/>
      <c r="B112" s="150"/>
      <c r="C112" s="70" t="s">
        <v>272</v>
      </c>
      <c r="D112" s="33" t="s">
        <v>1929</v>
      </c>
      <c r="E112" s="34" t="s">
        <v>271</v>
      </c>
      <c r="F112" s="35">
        <v>151489000</v>
      </c>
      <c r="G112" s="210">
        <v>0</v>
      </c>
      <c r="H112" s="210">
        <v>23601500</v>
      </c>
      <c r="I112" s="210">
        <v>175090500</v>
      </c>
      <c r="J112" s="210">
        <v>0</v>
      </c>
      <c r="K112" s="210">
        <v>175090500</v>
      </c>
      <c r="L112" s="210">
        <v>0</v>
      </c>
      <c r="M112" s="210">
        <v>175090500</v>
      </c>
      <c r="N112" s="210">
        <v>0</v>
      </c>
      <c r="O112" s="210">
        <v>175090500</v>
      </c>
      <c r="P112" s="242">
        <f t="shared" si="33"/>
        <v>1</v>
      </c>
    </row>
    <row r="113" spans="1:16" s="8" customFormat="1">
      <c r="A113" s="108"/>
      <c r="B113" s="150"/>
      <c r="C113" s="70" t="s">
        <v>272</v>
      </c>
      <c r="D113" s="33" t="s">
        <v>1930</v>
      </c>
      <c r="E113" s="34" t="s">
        <v>274</v>
      </c>
      <c r="F113" s="35">
        <v>151489000</v>
      </c>
      <c r="G113" s="210">
        <v>0</v>
      </c>
      <c r="H113" s="210">
        <v>23601500</v>
      </c>
      <c r="I113" s="210">
        <v>175090500</v>
      </c>
      <c r="J113" s="210">
        <v>0</v>
      </c>
      <c r="K113" s="210">
        <v>175090500</v>
      </c>
      <c r="L113" s="210">
        <v>0</v>
      </c>
      <c r="M113" s="210">
        <v>175090500</v>
      </c>
      <c r="N113" s="210">
        <v>0</v>
      </c>
      <c r="O113" s="210">
        <v>175090500</v>
      </c>
      <c r="P113" s="242">
        <f t="shared" si="33"/>
        <v>1</v>
      </c>
    </row>
    <row r="114" spans="1:16" s="8" customFormat="1">
      <c r="A114" s="108"/>
      <c r="B114" s="150"/>
      <c r="C114" s="70" t="s">
        <v>272</v>
      </c>
      <c r="D114" s="33" t="s">
        <v>1931</v>
      </c>
      <c r="E114" s="34" t="s">
        <v>275</v>
      </c>
      <c r="F114" s="35">
        <v>189361000</v>
      </c>
      <c r="G114" s="210">
        <v>0</v>
      </c>
      <c r="H114" s="210">
        <v>29502125</v>
      </c>
      <c r="I114" s="210">
        <v>218863125</v>
      </c>
      <c r="J114" s="210">
        <v>0</v>
      </c>
      <c r="K114" s="210">
        <v>175090500</v>
      </c>
      <c r="L114" s="210">
        <v>175090500</v>
      </c>
      <c r="M114" s="210">
        <v>175090500</v>
      </c>
      <c r="N114" s="210">
        <v>175090500</v>
      </c>
      <c r="O114" s="210">
        <v>175090500</v>
      </c>
      <c r="P114" s="242">
        <f t="shared" si="33"/>
        <v>0.8</v>
      </c>
    </row>
    <row r="115" spans="1:16" s="7" customFormat="1">
      <c r="A115" s="108"/>
      <c r="B115" s="150"/>
      <c r="C115" s="70" t="s">
        <v>272</v>
      </c>
      <c r="D115" s="33" t="s">
        <v>1932</v>
      </c>
      <c r="E115" s="34" t="s">
        <v>276</v>
      </c>
      <c r="F115" s="35">
        <v>189361000</v>
      </c>
      <c r="G115" s="210">
        <v>0</v>
      </c>
      <c r="H115" s="210">
        <v>29502125</v>
      </c>
      <c r="I115" s="210">
        <v>218863125</v>
      </c>
      <c r="J115" s="210">
        <v>0</v>
      </c>
      <c r="K115" s="210">
        <v>218863125</v>
      </c>
      <c r="L115" s="210">
        <v>0</v>
      </c>
      <c r="M115" s="210">
        <v>218863125</v>
      </c>
      <c r="N115" s="210">
        <v>0</v>
      </c>
      <c r="O115" s="210">
        <v>218863125</v>
      </c>
      <c r="P115" s="242">
        <f t="shared" si="33"/>
        <v>1</v>
      </c>
    </row>
    <row r="116" spans="1:16" s="8" customFormat="1">
      <c r="A116" s="107"/>
      <c r="B116" s="149" t="s">
        <v>1727</v>
      </c>
      <c r="C116" s="18" t="s">
        <v>277</v>
      </c>
      <c r="D116" s="30"/>
      <c r="E116" s="17" t="s">
        <v>278</v>
      </c>
      <c r="F116" s="16">
        <f>+F117</f>
        <v>412554000</v>
      </c>
      <c r="G116" s="203">
        <f t="shared" ref="G116:O116" si="48">+G117</f>
        <v>0</v>
      </c>
      <c r="H116" s="203">
        <f t="shared" si="48"/>
        <v>0</v>
      </c>
      <c r="I116" s="203">
        <f t="shared" si="48"/>
        <v>412554000</v>
      </c>
      <c r="J116" s="203">
        <f t="shared" si="48"/>
        <v>27357136</v>
      </c>
      <c r="K116" s="203">
        <f t="shared" si="48"/>
        <v>214922430</v>
      </c>
      <c r="L116" s="203">
        <f t="shared" si="48"/>
        <v>27357136</v>
      </c>
      <c r="M116" s="203">
        <f t="shared" si="48"/>
        <v>214922430</v>
      </c>
      <c r="N116" s="203">
        <f t="shared" si="48"/>
        <v>27357136</v>
      </c>
      <c r="O116" s="203">
        <f t="shared" si="48"/>
        <v>214922430</v>
      </c>
      <c r="P116" s="237">
        <f t="shared" si="33"/>
        <v>0.52095587486729011</v>
      </c>
    </row>
    <row r="117" spans="1:16" s="7" customFormat="1">
      <c r="A117" s="108"/>
      <c r="B117" s="150"/>
      <c r="C117" s="70" t="s">
        <v>277</v>
      </c>
      <c r="D117" s="33" t="s">
        <v>1933</v>
      </c>
      <c r="E117" s="34" t="s">
        <v>279</v>
      </c>
      <c r="F117" s="35">
        <v>412554000</v>
      </c>
      <c r="G117" s="210">
        <v>0</v>
      </c>
      <c r="H117" s="210">
        <v>0</v>
      </c>
      <c r="I117" s="210">
        <v>412554000</v>
      </c>
      <c r="J117" s="210">
        <v>27357136</v>
      </c>
      <c r="K117" s="210">
        <v>214922430</v>
      </c>
      <c r="L117" s="210">
        <v>27357136</v>
      </c>
      <c r="M117" s="210">
        <v>214922430</v>
      </c>
      <c r="N117" s="210">
        <v>27357136</v>
      </c>
      <c r="O117" s="210">
        <v>214922430</v>
      </c>
      <c r="P117" s="242">
        <f t="shared" si="33"/>
        <v>0.52095587486729011</v>
      </c>
    </row>
    <row r="118" spans="1:16" s="8" customFormat="1">
      <c r="A118" s="107"/>
      <c r="B118" s="149" t="s">
        <v>1728</v>
      </c>
      <c r="C118" s="18" t="s">
        <v>280</v>
      </c>
      <c r="D118" s="30"/>
      <c r="E118" s="17" t="s">
        <v>281</v>
      </c>
      <c r="F118" s="16">
        <f>+F119</f>
        <v>44322000</v>
      </c>
      <c r="G118" s="203">
        <f t="shared" ref="G118:O118" si="49">+G119</f>
        <v>0</v>
      </c>
      <c r="H118" s="203">
        <f t="shared" si="49"/>
        <v>-73090</v>
      </c>
      <c r="I118" s="203">
        <f t="shared" si="49"/>
        <v>44248910</v>
      </c>
      <c r="J118" s="203">
        <f t="shared" si="49"/>
        <v>0</v>
      </c>
      <c r="K118" s="203">
        <f t="shared" si="49"/>
        <v>44248910</v>
      </c>
      <c r="L118" s="203">
        <f t="shared" si="49"/>
        <v>0</v>
      </c>
      <c r="M118" s="203">
        <f t="shared" si="49"/>
        <v>44248910</v>
      </c>
      <c r="N118" s="203">
        <f t="shared" si="49"/>
        <v>3725610</v>
      </c>
      <c r="O118" s="203">
        <f t="shared" si="49"/>
        <v>9133754</v>
      </c>
      <c r="P118" s="237">
        <f t="shared" si="33"/>
        <v>1</v>
      </c>
    </row>
    <row r="119" spans="1:16" s="8" customFormat="1">
      <c r="A119" s="108"/>
      <c r="B119" s="150"/>
      <c r="C119" s="70" t="s">
        <v>280</v>
      </c>
      <c r="D119" s="33" t="s">
        <v>1911</v>
      </c>
      <c r="E119" s="34" t="s">
        <v>268</v>
      </c>
      <c r="F119" s="35">
        <v>44322000</v>
      </c>
      <c r="G119" s="210">
        <v>0</v>
      </c>
      <c r="H119" s="210">
        <v>-73090</v>
      </c>
      <c r="I119" s="210">
        <v>44248910</v>
      </c>
      <c r="J119" s="210">
        <v>0</v>
      </c>
      <c r="K119" s="210">
        <v>44248910</v>
      </c>
      <c r="L119" s="210">
        <v>0</v>
      </c>
      <c r="M119" s="210">
        <v>44248910</v>
      </c>
      <c r="N119" s="210">
        <v>3725610</v>
      </c>
      <c r="O119" s="210">
        <v>9133754</v>
      </c>
      <c r="P119" s="242">
        <f t="shared" si="33"/>
        <v>1</v>
      </c>
    </row>
    <row r="120" spans="1:16" s="8" customFormat="1">
      <c r="A120" s="107"/>
      <c r="B120" s="149" t="s">
        <v>1729</v>
      </c>
      <c r="C120" s="18" t="s">
        <v>282</v>
      </c>
      <c r="D120" s="30"/>
      <c r="E120" s="17" t="s">
        <v>283</v>
      </c>
      <c r="F120" s="16">
        <f>+F121</f>
        <v>6386024000</v>
      </c>
      <c r="G120" s="203">
        <f t="shared" ref="G120:O120" si="50">+G121</f>
        <v>0</v>
      </c>
      <c r="H120" s="203">
        <f t="shared" si="50"/>
        <v>-138659870</v>
      </c>
      <c r="I120" s="203">
        <f t="shared" si="50"/>
        <v>6247364130</v>
      </c>
      <c r="J120" s="203">
        <f t="shared" si="50"/>
        <v>0</v>
      </c>
      <c r="K120" s="203">
        <f t="shared" si="50"/>
        <v>6247364130</v>
      </c>
      <c r="L120" s="203">
        <f t="shared" si="50"/>
        <v>0</v>
      </c>
      <c r="M120" s="203">
        <f t="shared" si="50"/>
        <v>6247364130</v>
      </c>
      <c r="N120" s="203">
        <f t="shared" si="50"/>
        <v>518291550</v>
      </c>
      <c r="O120" s="203">
        <f t="shared" si="50"/>
        <v>1273057352</v>
      </c>
      <c r="P120" s="237">
        <f t="shared" si="33"/>
        <v>1</v>
      </c>
    </row>
    <row r="121" spans="1:16" s="8" customFormat="1">
      <c r="A121" s="108"/>
      <c r="B121" s="150"/>
      <c r="C121" s="70" t="s">
        <v>282</v>
      </c>
      <c r="D121" s="33" t="s">
        <v>1934</v>
      </c>
      <c r="E121" s="34" t="s">
        <v>284</v>
      </c>
      <c r="F121" s="35">
        <v>6386024000</v>
      </c>
      <c r="G121" s="210">
        <v>0</v>
      </c>
      <c r="H121" s="210">
        <v>-138659870</v>
      </c>
      <c r="I121" s="210">
        <v>6247364130</v>
      </c>
      <c r="J121" s="210">
        <v>0</v>
      </c>
      <c r="K121" s="210">
        <v>6247364130</v>
      </c>
      <c r="L121" s="210">
        <v>0</v>
      </c>
      <c r="M121" s="210">
        <v>6247364130</v>
      </c>
      <c r="N121" s="210">
        <v>518291550</v>
      </c>
      <c r="O121" s="210">
        <v>1273057352</v>
      </c>
      <c r="P121" s="242">
        <f t="shared" si="33"/>
        <v>1</v>
      </c>
    </row>
    <row r="122" spans="1:16" s="8" customFormat="1">
      <c r="A122" s="107"/>
      <c r="B122" s="149" t="s">
        <v>1730</v>
      </c>
      <c r="C122" s="18" t="s">
        <v>285</v>
      </c>
      <c r="D122" s="30"/>
      <c r="E122" s="17" t="s">
        <v>286</v>
      </c>
      <c r="F122" s="16">
        <f>+F123</f>
        <v>231882000</v>
      </c>
      <c r="G122" s="203">
        <f t="shared" ref="G122:O122" si="51">+G123</f>
        <v>0</v>
      </c>
      <c r="H122" s="203">
        <f t="shared" si="51"/>
        <v>0</v>
      </c>
      <c r="I122" s="203">
        <f t="shared" si="51"/>
        <v>231882000</v>
      </c>
      <c r="J122" s="203">
        <f t="shared" si="51"/>
        <v>0</v>
      </c>
      <c r="K122" s="203">
        <f t="shared" si="51"/>
        <v>96270909</v>
      </c>
      <c r="L122" s="203">
        <f t="shared" si="51"/>
        <v>0</v>
      </c>
      <c r="M122" s="203">
        <f t="shared" si="51"/>
        <v>96270909</v>
      </c>
      <c r="N122" s="203">
        <f t="shared" si="51"/>
        <v>0</v>
      </c>
      <c r="O122" s="203">
        <f t="shared" si="51"/>
        <v>96270909</v>
      </c>
      <c r="P122" s="237">
        <f t="shared" si="33"/>
        <v>0.41517197971381997</v>
      </c>
    </row>
    <row r="123" spans="1:16" s="8" customFormat="1">
      <c r="A123" s="108"/>
      <c r="B123" s="150"/>
      <c r="C123" s="70" t="s">
        <v>285</v>
      </c>
      <c r="D123" s="33" t="s">
        <v>1934</v>
      </c>
      <c r="E123" s="34" t="s">
        <v>284</v>
      </c>
      <c r="F123" s="35">
        <v>231882000</v>
      </c>
      <c r="G123" s="210">
        <v>0</v>
      </c>
      <c r="H123" s="210">
        <v>0</v>
      </c>
      <c r="I123" s="210">
        <v>231882000</v>
      </c>
      <c r="J123" s="210">
        <v>0</v>
      </c>
      <c r="K123" s="210">
        <v>96270909</v>
      </c>
      <c r="L123" s="210">
        <v>0</v>
      </c>
      <c r="M123" s="210">
        <v>96270909</v>
      </c>
      <c r="N123" s="210">
        <v>0</v>
      </c>
      <c r="O123" s="210">
        <v>96270909</v>
      </c>
      <c r="P123" s="242">
        <f t="shared" si="33"/>
        <v>0.41517197971381997</v>
      </c>
    </row>
    <row r="124" spans="1:16" s="8" customFormat="1">
      <c r="A124" s="107"/>
      <c r="B124" s="149" t="s">
        <v>1731</v>
      </c>
      <c r="C124" s="18" t="s">
        <v>287</v>
      </c>
      <c r="D124" s="30"/>
      <c r="E124" s="17" t="s">
        <v>288</v>
      </c>
      <c r="F124" s="16">
        <f>+F125</f>
        <v>301548000</v>
      </c>
      <c r="G124" s="203">
        <f t="shared" ref="G124:O124" si="52">+G125</f>
        <v>0</v>
      </c>
      <c r="H124" s="203">
        <f t="shared" si="52"/>
        <v>0</v>
      </c>
      <c r="I124" s="203">
        <f t="shared" si="52"/>
        <v>301548000</v>
      </c>
      <c r="J124" s="203">
        <f t="shared" si="52"/>
        <v>15265695</v>
      </c>
      <c r="K124" s="203">
        <f t="shared" si="52"/>
        <v>130460814</v>
      </c>
      <c r="L124" s="203">
        <f t="shared" si="52"/>
        <v>15265695</v>
      </c>
      <c r="M124" s="203">
        <f t="shared" si="52"/>
        <v>130460814</v>
      </c>
      <c r="N124" s="203">
        <f t="shared" si="52"/>
        <v>15265695</v>
      </c>
      <c r="O124" s="203">
        <f t="shared" si="52"/>
        <v>130460814</v>
      </c>
      <c r="P124" s="237">
        <f t="shared" si="33"/>
        <v>0.43263697321819411</v>
      </c>
    </row>
    <row r="125" spans="1:16" s="8" customFormat="1">
      <c r="A125" s="108"/>
      <c r="B125" s="150"/>
      <c r="C125" s="70" t="s">
        <v>287</v>
      </c>
      <c r="D125" s="33" t="s">
        <v>1934</v>
      </c>
      <c r="E125" s="34" t="s">
        <v>284</v>
      </c>
      <c r="F125" s="35">
        <v>301548000</v>
      </c>
      <c r="G125" s="210">
        <v>0</v>
      </c>
      <c r="H125" s="210">
        <v>0</v>
      </c>
      <c r="I125" s="210">
        <v>301548000</v>
      </c>
      <c r="J125" s="210">
        <v>15265695</v>
      </c>
      <c r="K125" s="210">
        <v>130460814</v>
      </c>
      <c r="L125" s="210">
        <v>15265695</v>
      </c>
      <c r="M125" s="210">
        <v>130460814</v>
      </c>
      <c r="N125" s="210">
        <v>15265695</v>
      </c>
      <c r="O125" s="210">
        <v>130460814</v>
      </c>
      <c r="P125" s="242">
        <f t="shared" si="33"/>
        <v>0.43263697321819411</v>
      </c>
    </row>
    <row r="126" spans="1:16" s="8" customFormat="1">
      <c r="A126" s="107"/>
      <c r="B126" s="149" t="s">
        <v>1732</v>
      </c>
      <c r="C126" s="18" t="s">
        <v>289</v>
      </c>
      <c r="D126" s="30"/>
      <c r="E126" s="17" t="s">
        <v>290</v>
      </c>
      <c r="F126" s="16">
        <f>+F127</f>
        <v>158484000</v>
      </c>
      <c r="G126" s="203">
        <f t="shared" ref="G126:O126" si="53">+G127</f>
        <v>0</v>
      </c>
      <c r="H126" s="203">
        <f t="shared" si="53"/>
        <v>0</v>
      </c>
      <c r="I126" s="203">
        <f t="shared" si="53"/>
        <v>158484000</v>
      </c>
      <c r="J126" s="203">
        <f t="shared" si="53"/>
        <v>4584329</v>
      </c>
      <c r="K126" s="203">
        <f t="shared" si="53"/>
        <v>77933593</v>
      </c>
      <c r="L126" s="203">
        <f t="shared" si="53"/>
        <v>4584329</v>
      </c>
      <c r="M126" s="203">
        <f t="shared" si="53"/>
        <v>77933593</v>
      </c>
      <c r="N126" s="203">
        <f t="shared" si="53"/>
        <v>4584329</v>
      </c>
      <c r="O126" s="203">
        <f t="shared" si="53"/>
        <v>77933593</v>
      </c>
      <c r="P126" s="237">
        <f t="shared" si="33"/>
        <v>0.49174423285631358</v>
      </c>
    </row>
    <row r="127" spans="1:16" s="8" customFormat="1">
      <c r="A127" s="108"/>
      <c r="B127" s="150"/>
      <c r="C127" s="70" t="s">
        <v>289</v>
      </c>
      <c r="D127" s="33" t="s">
        <v>1911</v>
      </c>
      <c r="E127" s="34" t="s">
        <v>268</v>
      </c>
      <c r="F127" s="35">
        <v>158484000</v>
      </c>
      <c r="G127" s="210">
        <v>0</v>
      </c>
      <c r="H127" s="210">
        <v>0</v>
      </c>
      <c r="I127" s="210">
        <v>158484000</v>
      </c>
      <c r="J127" s="210">
        <v>4584329</v>
      </c>
      <c r="K127" s="210">
        <v>77933593</v>
      </c>
      <c r="L127" s="210">
        <v>4584329</v>
      </c>
      <c r="M127" s="210">
        <v>77933593</v>
      </c>
      <c r="N127" s="210">
        <v>4584329</v>
      </c>
      <c r="O127" s="210">
        <v>77933593</v>
      </c>
      <c r="P127" s="242">
        <f t="shared" si="33"/>
        <v>0.49174423285631358</v>
      </c>
    </row>
    <row r="128" spans="1:16" s="8" customFormat="1">
      <c r="A128" s="107"/>
      <c r="B128" s="149" t="s">
        <v>1733</v>
      </c>
      <c r="C128" s="18" t="s">
        <v>291</v>
      </c>
      <c r="D128" s="30"/>
      <c r="E128" s="17" t="s">
        <v>292</v>
      </c>
      <c r="F128" s="16">
        <f>+F129</f>
        <v>124812000</v>
      </c>
      <c r="G128" s="203">
        <f t="shared" ref="G128:O128" si="54">+G129</f>
        <v>0</v>
      </c>
      <c r="H128" s="203">
        <f t="shared" si="54"/>
        <v>0</v>
      </c>
      <c r="I128" s="203">
        <f t="shared" si="54"/>
        <v>124812000</v>
      </c>
      <c r="J128" s="203">
        <f t="shared" si="54"/>
        <v>0</v>
      </c>
      <c r="K128" s="203">
        <f t="shared" si="54"/>
        <v>21590646</v>
      </c>
      <c r="L128" s="203">
        <f t="shared" si="54"/>
        <v>0</v>
      </c>
      <c r="M128" s="203">
        <f t="shared" si="54"/>
        <v>21590646</v>
      </c>
      <c r="N128" s="203">
        <f t="shared" si="54"/>
        <v>0</v>
      </c>
      <c r="O128" s="203">
        <f t="shared" si="54"/>
        <v>21590646</v>
      </c>
      <c r="P128" s="237">
        <f t="shared" si="33"/>
        <v>0.1729853379482742</v>
      </c>
    </row>
    <row r="129" spans="1:16" s="8" customFormat="1">
      <c r="A129" s="108"/>
      <c r="B129" s="150"/>
      <c r="C129" s="70" t="s">
        <v>291</v>
      </c>
      <c r="D129" s="33" t="s">
        <v>1933</v>
      </c>
      <c r="E129" s="34" t="s">
        <v>293</v>
      </c>
      <c r="F129" s="35">
        <v>124812000</v>
      </c>
      <c r="G129" s="210">
        <v>0</v>
      </c>
      <c r="H129" s="210">
        <v>0</v>
      </c>
      <c r="I129" s="210">
        <v>124812000</v>
      </c>
      <c r="J129" s="210">
        <v>0</v>
      </c>
      <c r="K129" s="210">
        <v>21590646</v>
      </c>
      <c r="L129" s="210">
        <v>0</v>
      </c>
      <c r="M129" s="210">
        <v>21590646</v>
      </c>
      <c r="N129" s="210">
        <v>0</v>
      </c>
      <c r="O129" s="210">
        <v>21590646</v>
      </c>
      <c r="P129" s="242">
        <f t="shared" si="33"/>
        <v>0.1729853379482742</v>
      </c>
    </row>
    <row r="130" spans="1:16" s="8" customFormat="1">
      <c r="A130" s="107"/>
      <c r="B130" s="149" t="s">
        <v>1734</v>
      </c>
      <c r="C130" s="18" t="s">
        <v>294</v>
      </c>
      <c r="D130" s="30"/>
      <c r="E130" s="17" t="s">
        <v>295</v>
      </c>
      <c r="F130" s="16">
        <f>+F131</f>
        <v>228150000</v>
      </c>
      <c r="G130" s="203">
        <f t="shared" ref="G130:O130" si="55">+G131</f>
        <v>0</v>
      </c>
      <c r="H130" s="203">
        <f t="shared" si="55"/>
        <v>0</v>
      </c>
      <c r="I130" s="203">
        <f t="shared" si="55"/>
        <v>228150000</v>
      </c>
      <c r="J130" s="203">
        <f t="shared" si="55"/>
        <v>0</v>
      </c>
      <c r="K130" s="203">
        <f t="shared" si="55"/>
        <v>120150000</v>
      </c>
      <c r="L130" s="203">
        <f t="shared" si="55"/>
        <v>0</v>
      </c>
      <c r="M130" s="203">
        <f t="shared" si="55"/>
        <v>120150000</v>
      </c>
      <c r="N130" s="203">
        <f t="shared" si="55"/>
        <v>0</v>
      </c>
      <c r="O130" s="203">
        <f t="shared" si="55"/>
        <v>120150000</v>
      </c>
      <c r="P130" s="237">
        <f t="shared" si="33"/>
        <v>0.52662721893491127</v>
      </c>
    </row>
    <row r="131" spans="1:16" s="8" customFormat="1">
      <c r="A131" s="108"/>
      <c r="B131" s="150"/>
      <c r="C131" s="70" t="s">
        <v>294</v>
      </c>
      <c r="D131" s="33" t="s">
        <v>1935</v>
      </c>
      <c r="E131" s="34" t="s">
        <v>296</v>
      </c>
      <c r="F131" s="35">
        <v>228150000</v>
      </c>
      <c r="G131" s="210">
        <v>0</v>
      </c>
      <c r="H131" s="210">
        <v>0</v>
      </c>
      <c r="I131" s="210">
        <v>228150000</v>
      </c>
      <c r="J131" s="210">
        <v>0</v>
      </c>
      <c r="K131" s="210">
        <v>120150000</v>
      </c>
      <c r="L131" s="210">
        <v>0</v>
      </c>
      <c r="M131" s="210">
        <v>120150000</v>
      </c>
      <c r="N131" s="210">
        <v>0</v>
      </c>
      <c r="O131" s="210">
        <v>120150000</v>
      </c>
      <c r="P131" s="242">
        <f t="shared" si="33"/>
        <v>0.52662721893491127</v>
      </c>
    </row>
    <row r="132" spans="1:16" s="8" customFormat="1">
      <c r="A132" s="107"/>
      <c r="B132" s="149" t="s">
        <v>1471</v>
      </c>
      <c r="C132" s="18" t="s">
        <v>297</v>
      </c>
      <c r="D132" s="30"/>
      <c r="E132" s="17" t="s">
        <v>298</v>
      </c>
      <c r="F132" s="16">
        <f>SUM(F133:F134)</f>
        <v>343880000</v>
      </c>
      <c r="G132" s="203">
        <f t="shared" ref="G132:O132" si="56">SUM(G133:G134)</f>
        <v>0</v>
      </c>
      <c r="H132" s="203">
        <f t="shared" si="56"/>
        <v>0</v>
      </c>
      <c r="I132" s="203">
        <f t="shared" si="56"/>
        <v>343880000</v>
      </c>
      <c r="J132" s="203">
        <f t="shared" si="56"/>
        <v>3204429</v>
      </c>
      <c r="K132" s="203">
        <f t="shared" si="56"/>
        <v>137916778</v>
      </c>
      <c r="L132" s="203">
        <f t="shared" si="56"/>
        <v>10675601</v>
      </c>
      <c r="M132" s="203">
        <f t="shared" si="56"/>
        <v>28782177</v>
      </c>
      <c r="N132" s="203">
        <f t="shared" si="56"/>
        <v>10675701</v>
      </c>
      <c r="O132" s="203">
        <f t="shared" si="56"/>
        <v>27782277</v>
      </c>
      <c r="P132" s="237">
        <f t="shared" si="33"/>
        <v>8.3698316273118537E-2</v>
      </c>
    </row>
    <row r="133" spans="1:16" s="8" customFormat="1">
      <c r="A133" s="108"/>
      <c r="B133" s="150"/>
      <c r="C133" s="70" t="s">
        <v>297</v>
      </c>
      <c r="D133" s="33" t="s">
        <v>1935</v>
      </c>
      <c r="E133" s="34" t="s">
        <v>296</v>
      </c>
      <c r="F133" s="35">
        <v>245412000</v>
      </c>
      <c r="G133" s="210">
        <v>0</v>
      </c>
      <c r="H133" s="210">
        <v>0</v>
      </c>
      <c r="I133" s="210">
        <v>245412000</v>
      </c>
      <c r="J133" s="210">
        <v>3204429</v>
      </c>
      <c r="K133" s="210">
        <v>39448778</v>
      </c>
      <c r="L133" s="210">
        <v>10675601</v>
      </c>
      <c r="M133" s="210">
        <v>28782177</v>
      </c>
      <c r="N133" s="210">
        <v>10675701</v>
      </c>
      <c r="O133" s="210">
        <v>27782277</v>
      </c>
      <c r="P133" s="242">
        <f t="shared" si="33"/>
        <v>0.11728104982641435</v>
      </c>
    </row>
    <row r="134" spans="1:16" s="2" customFormat="1">
      <c r="A134" s="108"/>
      <c r="B134" s="150"/>
      <c r="C134" s="70" t="s">
        <v>297</v>
      </c>
      <c r="D134" s="33" t="s">
        <v>1932</v>
      </c>
      <c r="E134" s="34" t="s">
        <v>276</v>
      </c>
      <c r="F134" s="35">
        <v>98468000</v>
      </c>
      <c r="G134" s="210">
        <v>0</v>
      </c>
      <c r="H134" s="210">
        <v>0</v>
      </c>
      <c r="I134" s="210">
        <v>98468000</v>
      </c>
      <c r="J134" s="210">
        <v>0</v>
      </c>
      <c r="K134" s="210">
        <v>98468000</v>
      </c>
      <c r="L134" s="210">
        <v>0</v>
      </c>
      <c r="M134" s="210">
        <v>0</v>
      </c>
      <c r="N134" s="210">
        <v>0</v>
      </c>
      <c r="O134" s="210">
        <v>0</v>
      </c>
      <c r="P134" s="242">
        <f t="shared" si="33"/>
        <v>0</v>
      </c>
    </row>
    <row r="135" spans="1:16" s="2" customFormat="1">
      <c r="A135" s="104" t="s">
        <v>299</v>
      </c>
      <c r="B135" s="61" t="s">
        <v>1735</v>
      </c>
      <c r="C135" s="61" t="s">
        <v>300</v>
      </c>
      <c r="D135" s="61"/>
      <c r="E135" s="61" t="s">
        <v>301</v>
      </c>
      <c r="F135" s="62">
        <f>+F136+F208</f>
        <v>86312149000</v>
      </c>
      <c r="G135" s="62">
        <f t="shared" ref="G135:O135" si="57">+G136+G208</f>
        <v>100199760</v>
      </c>
      <c r="H135" s="62">
        <f t="shared" si="57"/>
        <v>13229176124</v>
      </c>
      <c r="I135" s="62">
        <f t="shared" si="57"/>
        <v>99541325124</v>
      </c>
      <c r="J135" s="62">
        <f t="shared" si="57"/>
        <v>1045500000</v>
      </c>
      <c r="K135" s="62">
        <f t="shared" si="57"/>
        <v>98121222719</v>
      </c>
      <c r="L135" s="62">
        <f t="shared" si="57"/>
        <v>10484094165</v>
      </c>
      <c r="M135" s="62">
        <f t="shared" si="57"/>
        <v>83827377381</v>
      </c>
      <c r="N135" s="62">
        <f t="shared" si="57"/>
        <v>6361790318</v>
      </c>
      <c r="O135" s="62">
        <f t="shared" si="57"/>
        <v>49004672373</v>
      </c>
      <c r="P135" s="234">
        <f t="shared" si="33"/>
        <v>0.84213644209151406</v>
      </c>
    </row>
    <row r="136" spans="1:16" s="2" customFormat="1">
      <c r="A136" s="105" t="s">
        <v>302</v>
      </c>
      <c r="B136" s="63" t="s">
        <v>1660</v>
      </c>
      <c r="C136" s="63" t="s">
        <v>303</v>
      </c>
      <c r="D136" s="63"/>
      <c r="E136" s="63" t="s">
        <v>76</v>
      </c>
      <c r="F136" s="64">
        <f>+F137</f>
        <v>64921783000</v>
      </c>
      <c r="G136" s="64">
        <f t="shared" ref="G136:O136" si="58">+G137</f>
        <v>60228580</v>
      </c>
      <c r="H136" s="64">
        <f t="shared" si="58"/>
        <v>12698473926</v>
      </c>
      <c r="I136" s="64">
        <f t="shared" si="58"/>
        <v>77620256926</v>
      </c>
      <c r="J136" s="64">
        <f t="shared" si="58"/>
        <v>0</v>
      </c>
      <c r="K136" s="64">
        <f t="shared" si="58"/>
        <v>76858911855</v>
      </c>
      <c r="L136" s="64">
        <f t="shared" si="58"/>
        <v>9345548079</v>
      </c>
      <c r="M136" s="64">
        <f t="shared" si="58"/>
        <v>71087422264</v>
      </c>
      <c r="N136" s="64">
        <f t="shared" si="58"/>
        <v>5828787784</v>
      </c>
      <c r="O136" s="64">
        <f t="shared" si="58"/>
        <v>39960573171</v>
      </c>
      <c r="P136" s="235">
        <f t="shared" si="33"/>
        <v>0.91583595673706497</v>
      </c>
    </row>
    <row r="137" spans="1:16" s="3" customFormat="1">
      <c r="A137" s="169" t="s">
        <v>304</v>
      </c>
      <c r="B137" s="146" t="s">
        <v>1661</v>
      </c>
      <c r="C137" s="147" t="s">
        <v>305</v>
      </c>
      <c r="D137" s="65"/>
      <c r="E137" s="32" t="s">
        <v>79</v>
      </c>
      <c r="F137" s="66">
        <f>+F138+F156+F173</f>
        <v>64921783000</v>
      </c>
      <c r="G137" s="66">
        <f t="shared" ref="G137:O137" si="59">+G138+G156+G173</f>
        <v>60228580</v>
      </c>
      <c r="H137" s="66">
        <f t="shared" si="59"/>
        <v>12698473926</v>
      </c>
      <c r="I137" s="66">
        <f t="shared" si="59"/>
        <v>77620256926</v>
      </c>
      <c r="J137" s="66">
        <f t="shared" si="59"/>
        <v>0</v>
      </c>
      <c r="K137" s="66">
        <f t="shared" si="59"/>
        <v>76858911855</v>
      </c>
      <c r="L137" s="66">
        <f t="shared" si="59"/>
        <v>9345548079</v>
      </c>
      <c r="M137" s="66">
        <f t="shared" si="59"/>
        <v>71087422264</v>
      </c>
      <c r="N137" s="66">
        <f t="shared" si="59"/>
        <v>5828787784</v>
      </c>
      <c r="O137" s="66">
        <f t="shared" si="59"/>
        <v>39960573171</v>
      </c>
      <c r="P137" s="236">
        <f t="shared" si="33"/>
        <v>0.91583595673706497</v>
      </c>
    </row>
    <row r="138" spans="1:16" s="3" customFormat="1">
      <c r="A138" s="134" t="s">
        <v>306</v>
      </c>
      <c r="B138" s="123" t="s">
        <v>1662</v>
      </c>
      <c r="C138" s="124" t="s">
        <v>307</v>
      </c>
      <c r="D138" s="67"/>
      <c r="E138" s="25" t="s">
        <v>82</v>
      </c>
      <c r="F138" s="68">
        <f>+F139+F149</f>
        <v>55574473000</v>
      </c>
      <c r="G138" s="68">
        <f t="shared" ref="G138:O138" si="60">+G139+G149</f>
        <v>53182890</v>
      </c>
      <c r="H138" s="68">
        <f t="shared" si="60"/>
        <v>12465978912</v>
      </c>
      <c r="I138" s="68">
        <f t="shared" si="60"/>
        <v>68040451912</v>
      </c>
      <c r="J138" s="68">
        <f t="shared" si="60"/>
        <v>0</v>
      </c>
      <c r="K138" s="68">
        <f t="shared" si="60"/>
        <v>67298701053</v>
      </c>
      <c r="L138" s="68">
        <f t="shared" si="60"/>
        <v>8496083193</v>
      </c>
      <c r="M138" s="68">
        <f t="shared" si="60"/>
        <v>62277707832</v>
      </c>
      <c r="N138" s="68">
        <f t="shared" si="60"/>
        <v>5794837848</v>
      </c>
      <c r="O138" s="68">
        <f t="shared" si="60"/>
        <v>37718487754</v>
      </c>
      <c r="P138" s="229">
        <f t="shared" si="33"/>
        <v>0.91530414748783218</v>
      </c>
    </row>
    <row r="139" spans="1:16" s="10" customFormat="1">
      <c r="A139" s="170"/>
      <c r="B139" s="125"/>
      <c r="C139" s="126" t="s">
        <v>308</v>
      </c>
      <c r="D139" s="29"/>
      <c r="E139" s="19" t="s">
        <v>309</v>
      </c>
      <c r="F139" s="20">
        <f>SUM(F140:F148)</f>
        <v>45536367000</v>
      </c>
      <c r="G139" s="20">
        <f t="shared" ref="G139:O139" si="61">SUM(G140:G148)</f>
        <v>53182890</v>
      </c>
      <c r="H139" s="20">
        <f t="shared" si="61"/>
        <v>11863769942</v>
      </c>
      <c r="I139" s="20">
        <f t="shared" si="61"/>
        <v>57400136942</v>
      </c>
      <c r="J139" s="20">
        <f t="shared" si="61"/>
        <v>0</v>
      </c>
      <c r="K139" s="20">
        <f t="shared" si="61"/>
        <v>57169250315</v>
      </c>
      <c r="L139" s="20">
        <f t="shared" si="61"/>
        <v>5136666724</v>
      </c>
      <c r="M139" s="20">
        <f t="shared" si="61"/>
        <v>53365897906</v>
      </c>
      <c r="N139" s="20">
        <f t="shared" si="61"/>
        <v>5186892308</v>
      </c>
      <c r="O139" s="20">
        <f t="shared" si="61"/>
        <v>32434106832</v>
      </c>
      <c r="P139" s="243">
        <f t="shared" si="33"/>
        <v>0.92971725764214819</v>
      </c>
    </row>
    <row r="140" spans="1:16" s="10" customFormat="1">
      <c r="A140" s="107"/>
      <c r="B140" s="149" t="s">
        <v>1652</v>
      </c>
      <c r="C140" s="18" t="s">
        <v>310</v>
      </c>
      <c r="D140" s="30" t="s">
        <v>1936</v>
      </c>
      <c r="E140" s="17" t="s">
        <v>311</v>
      </c>
      <c r="F140" s="16">
        <v>6962994000</v>
      </c>
      <c r="G140" s="203">
        <v>0</v>
      </c>
      <c r="H140" s="203">
        <v>2681972357</v>
      </c>
      <c r="I140" s="203">
        <v>9644966357</v>
      </c>
      <c r="J140" s="203">
        <v>0</v>
      </c>
      <c r="K140" s="203">
        <v>9644966357</v>
      </c>
      <c r="L140" s="203">
        <v>135316147</v>
      </c>
      <c r="M140" s="203">
        <v>8554500909</v>
      </c>
      <c r="N140" s="203">
        <v>810180556</v>
      </c>
      <c r="O140" s="203">
        <v>5216511490</v>
      </c>
      <c r="P140" s="237">
        <f t="shared" si="33"/>
        <v>0.88693942439637685</v>
      </c>
    </row>
    <row r="141" spans="1:16" s="10" customFormat="1">
      <c r="A141" s="107"/>
      <c r="B141" s="149" t="s">
        <v>1653</v>
      </c>
      <c r="C141" s="18" t="s">
        <v>312</v>
      </c>
      <c r="D141" s="30" t="s">
        <v>1937</v>
      </c>
      <c r="E141" s="17" t="s">
        <v>313</v>
      </c>
      <c r="F141" s="16">
        <v>10277017000</v>
      </c>
      <c r="G141" s="203">
        <v>0</v>
      </c>
      <c r="H141" s="203">
        <v>3278778862</v>
      </c>
      <c r="I141" s="203">
        <v>13555795862</v>
      </c>
      <c r="J141" s="203">
        <v>0</v>
      </c>
      <c r="K141" s="203">
        <v>13555795861</v>
      </c>
      <c r="L141" s="203">
        <v>325720801</v>
      </c>
      <c r="M141" s="203">
        <v>12162917781</v>
      </c>
      <c r="N141" s="203">
        <v>1189149565</v>
      </c>
      <c r="O141" s="203">
        <v>7267171970</v>
      </c>
      <c r="P141" s="237">
        <f t="shared" si="33"/>
        <v>0.89724852047200299</v>
      </c>
    </row>
    <row r="142" spans="1:16" s="10" customFormat="1">
      <c r="A142" s="107"/>
      <c r="B142" s="149" t="s">
        <v>1654</v>
      </c>
      <c r="C142" s="18" t="s">
        <v>314</v>
      </c>
      <c r="D142" s="30" t="s">
        <v>1938</v>
      </c>
      <c r="E142" s="17" t="s">
        <v>315</v>
      </c>
      <c r="F142" s="16">
        <v>5719735000</v>
      </c>
      <c r="G142" s="203">
        <v>0</v>
      </c>
      <c r="H142" s="203">
        <v>1671617025</v>
      </c>
      <c r="I142" s="203">
        <v>7391352025</v>
      </c>
      <c r="J142" s="203">
        <v>0</v>
      </c>
      <c r="K142" s="203">
        <v>7391352025</v>
      </c>
      <c r="L142" s="203">
        <v>-9049867</v>
      </c>
      <c r="M142" s="203">
        <v>7296067526</v>
      </c>
      <c r="N142" s="203">
        <v>707005317</v>
      </c>
      <c r="O142" s="203">
        <v>4403749159</v>
      </c>
      <c r="P142" s="237">
        <f t="shared" ref="P142:P205" si="62">IFERROR((M142/I142),0)</f>
        <v>0.98710865093724176</v>
      </c>
    </row>
    <row r="143" spans="1:16" s="10" customFormat="1">
      <c r="A143" s="107"/>
      <c r="B143" s="149" t="s">
        <v>1655</v>
      </c>
      <c r="C143" s="18" t="s">
        <v>316</v>
      </c>
      <c r="D143" s="30" t="s">
        <v>1939</v>
      </c>
      <c r="E143" s="17" t="s">
        <v>317</v>
      </c>
      <c r="F143" s="16">
        <v>7305980000</v>
      </c>
      <c r="G143" s="203">
        <v>0</v>
      </c>
      <c r="H143" s="203">
        <v>2531203679</v>
      </c>
      <c r="I143" s="203">
        <v>9837183679</v>
      </c>
      <c r="J143" s="203">
        <v>0</v>
      </c>
      <c r="K143" s="203">
        <v>9837183679</v>
      </c>
      <c r="L143" s="203">
        <v>101038400</v>
      </c>
      <c r="M143" s="203">
        <v>9716370567</v>
      </c>
      <c r="N143" s="203">
        <v>977575635</v>
      </c>
      <c r="O143" s="203">
        <v>6096319022</v>
      </c>
      <c r="P143" s="237">
        <f t="shared" si="62"/>
        <v>0.9877187296748452</v>
      </c>
    </row>
    <row r="144" spans="1:16" s="10" customFormat="1">
      <c r="A144" s="107"/>
      <c r="B144" s="149" t="s">
        <v>1656</v>
      </c>
      <c r="C144" s="18" t="s">
        <v>318</v>
      </c>
      <c r="D144" s="30" t="s">
        <v>1940</v>
      </c>
      <c r="E144" s="17" t="s">
        <v>319</v>
      </c>
      <c r="F144" s="16">
        <v>9939240000</v>
      </c>
      <c r="G144" s="203">
        <v>0</v>
      </c>
      <c r="H144" s="203">
        <v>313324681</v>
      </c>
      <c r="I144" s="203">
        <v>10252564681</v>
      </c>
      <c r="J144" s="203">
        <v>0</v>
      </c>
      <c r="K144" s="203">
        <v>10074986678</v>
      </c>
      <c r="L144" s="203">
        <v>3414484775</v>
      </c>
      <c r="M144" s="203">
        <v>9521973696</v>
      </c>
      <c r="N144" s="203">
        <v>924307561</v>
      </c>
      <c r="O144" s="203">
        <v>5739437609</v>
      </c>
      <c r="P144" s="237">
        <f t="shared" si="62"/>
        <v>0.92874066072912198</v>
      </c>
    </row>
    <row r="145" spans="1:16" s="10" customFormat="1">
      <c r="A145" s="107"/>
      <c r="B145" s="149" t="s">
        <v>1657</v>
      </c>
      <c r="C145" s="18" t="s">
        <v>320</v>
      </c>
      <c r="D145" s="30" t="s">
        <v>1941</v>
      </c>
      <c r="E145" s="17" t="s">
        <v>321</v>
      </c>
      <c r="F145" s="16">
        <v>2024201000</v>
      </c>
      <c r="G145" s="203">
        <v>53182890</v>
      </c>
      <c r="H145" s="203">
        <v>253308623</v>
      </c>
      <c r="I145" s="203">
        <v>2277509623</v>
      </c>
      <c r="J145" s="203">
        <v>0</v>
      </c>
      <c r="K145" s="203">
        <v>2224201000</v>
      </c>
      <c r="L145" s="203">
        <v>913369551</v>
      </c>
      <c r="M145" s="203">
        <v>2079061379</v>
      </c>
      <c r="N145" s="203">
        <v>200569220</v>
      </c>
      <c r="O145" s="203">
        <v>1267127273</v>
      </c>
      <c r="P145" s="237">
        <f t="shared" si="62"/>
        <v>0.9128661227175856</v>
      </c>
    </row>
    <row r="146" spans="1:16" s="10" customFormat="1">
      <c r="A146" s="107"/>
      <c r="B146" s="149"/>
      <c r="C146" s="18" t="s">
        <v>322</v>
      </c>
      <c r="D146" s="219"/>
      <c r="E146" s="219" t="s">
        <v>323</v>
      </c>
      <c r="F146" s="16">
        <v>0</v>
      </c>
      <c r="G146" s="203">
        <v>0</v>
      </c>
      <c r="H146" s="203">
        <v>0</v>
      </c>
      <c r="I146" s="203">
        <v>0</v>
      </c>
      <c r="J146" s="203">
        <v>0</v>
      </c>
      <c r="K146" s="203">
        <v>0</v>
      </c>
      <c r="L146" s="203">
        <v>0</v>
      </c>
      <c r="M146" s="203">
        <v>0</v>
      </c>
      <c r="N146" s="203">
        <v>0</v>
      </c>
      <c r="O146" s="203">
        <v>0</v>
      </c>
      <c r="P146" s="237">
        <f t="shared" si="62"/>
        <v>0</v>
      </c>
    </row>
    <row r="147" spans="1:16" s="10" customFormat="1">
      <c r="A147" s="107"/>
      <c r="B147" s="149" t="s">
        <v>1658</v>
      </c>
      <c r="C147" s="18" t="s">
        <v>324</v>
      </c>
      <c r="D147" s="30" t="s">
        <v>1942</v>
      </c>
      <c r="E147" s="17" t="s">
        <v>325</v>
      </c>
      <c r="F147" s="16">
        <v>2938672000</v>
      </c>
      <c r="G147" s="203">
        <v>0</v>
      </c>
      <c r="H147" s="203">
        <v>1135864715</v>
      </c>
      <c r="I147" s="203">
        <v>4074536715</v>
      </c>
      <c r="J147" s="203">
        <v>0</v>
      </c>
      <c r="K147" s="203">
        <v>4074536715</v>
      </c>
      <c r="L147" s="203">
        <v>119027527</v>
      </c>
      <c r="M147" s="203">
        <v>3820048900</v>
      </c>
      <c r="N147" s="203">
        <v>351634951</v>
      </c>
      <c r="O147" s="203">
        <v>2339123051</v>
      </c>
      <c r="P147" s="237">
        <f t="shared" si="62"/>
        <v>0.93754190161960538</v>
      </c>
    </row>
    <row r="148" spans="1:16" s="3" customFormat="1">
      <c r="A148" s="107"/>
      <c r="B148" s="149" t="s">
        <v>1659</v>
      </c>
      <c r="C148" s="18" t="s">
        <v>326</v>
      </c>
      <c r="D148" s="30" t="s">
        <v>1913</v>
      </c>
      <c r="E148" s="17" t="s">
        <v>327</v>
      </c>
      <c r="F148" s="16">
        <v>368528000</v>
      </c>
      <c r="G148" s="203">
        <v>0</v>
      </c>
      <c r="H148" s="203">
        <v>-2300000</v>
      </c>
      <c r="I148" s="203">
        <v>366228000</v>
      </c>
      <c r="J148" s="203">
        <v>0</v>
      </c>
      <c r="K148" s="203">
        <v>366228000</v>
      </c>
      <c r="L148" s="203">
        <v>136759390</v>
      </c>
      <c r="M148" s="203">
        <v>214957148</v>
      </c>
      <c r="N148" s="203">
        <v>26469503</v>
      </c>
      <c r="O148" s="203">
        <v>104667258</v>
      </c>
      <c r="P148" s="237">
        <f t="shared" si="62"/>
        <v>0.58694897167884486</v>
      </c>
    </row>
    <row r="149" spans="1:16" s="10" customFormat="1">
      <c r="A149" s="170"/>
      <c r="B149" s="125"/>
      <c r="C149" s="126" t="s">
        <v>328</v>
      </c>
      <c r="D149" s="29"/>
      <c r="E149" s="19" t="s">
        <v>329</v>
      </c>
      <c r="F149" s="20">
        <f>SUM(F150:F155)</f>
        <v>10038106000</v>
      </c>
      <c r="G149" s="20">
        <f t="shared" ref="G149:O149" si="63">SUM(G150:G155)</f>
        <v>0</v>
      </c>
      <c r="H149" s="20">
        <f t="shared" si="63"/>
        <v>602208970</v>
      </c>
      <c r="I149" s="20">
        <f t="shared" si="63"/>
        <v>10640314970</v>
      </c>
      <c r="J149" s="20">
        <f t="shared" si="63"/>
        <v>0</v>
      </c>
      <c r="K149" s="20">
        <f t="shared" si="63"/>
        <v>10129450738</v>
      </c>
      <c r="L149" s="20">
        <f t="shared" si="63"/>
        <v>3359416469</v>
      </c>
      <c r="M149" s="20">
        <f t="shared" si="63"/>
        <v>8911809926</v>
      </c>
      <c r="N149" s="20">
        <f t="shared" si="63"/>
        <v>607945540</v>
      </c>
      <c r="O149" s="20">
        <f t="shared" si="63"/>
        <v>5284380922</v>
      </c>
      <c r="P149" s="243">
        <f t="shared" si="62"/>
        <v>0.83755132729872561</v>
      </c>
    </row>
    <row r="150" spans="1:16" s="10" customFormat="1">
      <c r="A150" s="107"/>
      <c r="B150" s="149" t="s">
        <v>1736</v>
      </c>
      <c r="C150" s="18" t="s">
        <v>330</v>
      </c>
      <c r="D150" s="30" t="s">
        <v>1936</v>
      </c>
      <c r="E150" s="17" t="s">
        <v>331</v>
      </c>
      <c r="F150" s="16">
        <v>3289770000</v>
      </c>
      <c r="G150" s="203">
        <v>0</v>
      </c>
      <c r="H150" s="203">
        <v>-115500000</v>
      </c>
      <c r="I150" s="203">
        <v>3174270000</v>
      </c>
      <c r="J150" s="203">
        <v>0</v>
      </c>
      <c r="K150" s="203">
        <v>3034270000</v>
      </c>
      <c r="L150" s="203">
        <v>508104960</v>
      </c>
      <c r="M150" s="203">
        <v>2526771146</v>
      </c>
      <c r="N150" s="203">
        <v>223896292</v>
      </c>
      <c r="O150" s="203">
        <v>1593641166</v>
      </c>
      <c r="P150" s="237">
        <f t="shared" si="62"/>
        <v>0.79601645291673362</v>
      </c>
    </row>
    <row r="151" spans="1:16" s="10" customFormat="1">
      <c r="A151" s="107"/>
      <c r="B151" s="149" t="s">
        <v>1737</v>
      </c>
      <c r="C151" s="18" t="s">
        <v>332</v>
      </c>
      <c r="D151" s="30" t="s">
        <v>1937</v>
      </c>
      <c r="E151" s="17" t="s">
        <v>333</v>
      </c>
      <c r="F151" s="16">
        <v>4623678000</v>
      </c>
      <c r="G151" s="203">
        <v>0</v>
      </c>
      <c r="H151" s="203">
        <v>597708970</v>
      </c>
      <c r="I151" s="203">
        <v>5221386970</v>
      </c>
      <c r="J151" s="203">
        <v>0</v>
      </c>
      <c r="K151" s="203">
        <v>4852539152</v>
      </c>
      <c r="L151" s="203">
        <v>2153178903</v>
      </c>
      <c r="M151" s="203">
        <v>4253685513</v>
      </c>
      <c r="N151" s="203">
        <v>274399701</v>
      </c>
      <c r="O151" s="203">
        <v>2374906311</v>
      </c>
      <c r="P151" s="237">
        <f t="shared" si="62"/>
        <v>0.81466582297768286</v>
      </c>
    </row>
    <row r="152" spans="1:16" s="10" customFormat="1">
      <c r="A152" s="107"/>
      <c r="B152" s="149" t="s">
        <v>1738</v>
      </c>
      <c r="C152" s="18" t="s">
        <v>334</v>
      </c>
      <c r="D152" s="30" t="s">
        <v>1938</v>
      </c>
      <c r="E152" s="17" t="s">
        <v>335</v>
      </c>
      <c r="F152" s="16">
        <v>720850000</v>
      </c>
      <c r="G152" s="203">
        <v>0</v>
      </c>
      <c r="H152" s="203">
        <v>0</v>
      </c>
      <c r="I152" s="203">
        <v>720850000</v>
      </c>
      <c r="J152" s="203">
        <v>0</v>
      </c>
      <c r="K152" s="203">
        <v>720850000</v>
      </c>
      <c r="L152" s="203">
        <v>63374796</v>
      </c>
      <c r="M152" s="203">
        <v>714326253</v>
      </c>
      <c r="N152" s="203">
        <v>48112817</v>
      </c>
      <c r="O152" s="203">
        <v>472386576</v>
      </c>
      <c r="P152" s="237">
        <f t="shared" si="62"/>
        <v>0.99094992439481167</v>
      </c>
    </row>
    <row r="153" spans="1:16" s="10" customFormat="1">
      <c r="A153" s="107"/>
      <c r="B153" s="149" t="s">
        <v>1739</v>
      </c>
      <c r="C153" s="18" t="s">
        <v>336</v>
      </c>
      <c r="D153" s="30" t="s">
        <v>1939</v>
      </c>
      <c r="E153" s="17" t="s">
        <v>337</v>
      </c>
      <c r="F153" s="16">
        <v>1023307000</v>
      </c>
      <c r="G153" s="203">
        <v>0</v>
      </c>
      <c r="H153" s="203">
        <v>0</v>
      </c>
      <c r="I153" s="203">
        <v>1023307000</v>
      </c>
      <c r="J153" s="203">
        <v>0</v>
      </c>
      <c r="K153" s="203">
        <v>1023307000</v>
      </c>
      <c r="L153" s="203">
        <v>424293229</v>
      </c>
      <c r="M153" s="203">
        <v>963077847</v>
      </c>
      <c r="N153" s="203">
        <v>22845447</v>
      </c>
      <c r="O153" s="203">
        <v>561271000</v>
      </c>
      <c r="P153" s="237">
        <f t="shared" si="62"/>
        <v>0.94114263559225142</v>
      </c>
    </row>
    <row r="154" spans="1:16" s="10" customFormat="1">
      <c r="A154" s="107"/>
      <c r="B154" s="149" t="s">
        <v>1740</v>
      </c>
      <c r="C154" s="18" t="s">
        <v>338</v>
      </c>
      <c r="D154" s="30" t="s">
        <v>1940</v>
      </c>
      <c r="E154" s="17" t="s">
        <v>339</v>
      </c>
      <c r="F154" s="16">
        <v>380501000</v>
      </c>
      <c r="G154" s="203">
        <v>0</v>
      </c>
      <c r="H154" s="203">
        <v>120000000</v>
      </c>
      <c r="I154" s="203">
        <v>500501000</v>
      </c>
      <c r="J154" s="203">
        <v>0</v>
      </c>
      <c r="K154" s="203">
        <v>498484586</v>
      </c>
      <c r="L154" s="203">
        <v>210464581</v>
      </c>
      <c r="M154" s="203">
        <v>453949167</v>
      </c>
      <c r="N154" s="203">
        <v>38691283</v>
      </c>
      <c r="O154" s="203">
        <v>282175869</v>
      </c>
      <c r="P154" s="237">
        <f t="shared" si="62"/>
        <v>0.90698953049044861</v>
      </c>
    </row>
    <row r="155" spans="1:16" s="3" customFormat="1">
      <c r="A155" s="107"/>
      <c r="B155" s="149"/>
      <c r="C155" s="18" t="s">
        <v>340</v>
      </c>
      <c r="D155" s="30" t="s">
        <v>1942</v>
      </c>
      <c r="E155" s="219" t="s">
        <v>341</v>
      </c>
      <c r="F155" s="16">
        <v>0</v>
      </c>
      <c r="G155" s="203">
        <v>0</v>
      </c>
      <c r="H155" s="203">
        <v>0</v>
      </c>
      <c r="I155" s="203">
        <v>0</v>
      </c>
      <c r="J155" s="203">
        <v>0</v>
      </c>
      <c r="K155" s="203">
        <v>0</v>
      </c>
      <c r="L155" s="203">
        <v>0</v>
      </c>
      <c r="M155" s="203">
        <v>0</v>
      </c>
      <c r="N155" s="203">
        <v>0</v>
      </c>
      <c r="O155" s="203">
        <v>0</v>
      </c>
      <c r="P155" s="237">
        <f t="shared" si="62"/>
        <v>0</v>
      </c>
    </row>
    <row r="156" spans="1:16" s="3" customFormat="1">
      <c r="A156" s="134" t="s">
        <v>342</v>
      </c>
      <c r="B156" s="123" t="s">
        <v>1741</v>
      </c>
      <c r="C156" s="124" t="s">
        <v>343</v>
      </c>
      <c r="D156" s="67"/>
      <c r="E156" s="25" t="s">
        <v>344</v>
      </c>
      <c r="F156" s="68">
        <f>+F157+F166</f>
        <v>1504837000</v>
      </c>
      <c r="G156" s="68">
        <f t="shared" ref="G156:O156" si="64">+G157+G166</f>
        <v>0</v>
      </c>
      <c r="H156" s="68">
        <f t="shared" si="64"/>
        <v>88649874</v>
      </c>
      <c r="I156" s="68">
        <f t="shared" si="64"/>
        <v>1593486874</v>
      </c>
      <c r="J156" s="68">
        <f t="shared" si="64"/>
        <v>0</v>
      </c>
      <c r="K156" s="68">
        <f t="shared" si="64"/>
        <v>1590462991</v>
      </c>
      <c r="L156" s="68">
        <f t="shared" si="64"/>
        <v>0</v>
      </c>
      <c r="M156" s="68">
        <f t="shared" si="64"/>
        <v>1479580895</v>
      </c>
      <c r="N156" s="68">
        <f t="shared" si="64"/>
        <v>9593140</v>
      </c>
      <c r="O156" s="68">
        <f t="shared" si="64"/>
        <v>9667522</v>
      </c>
      <c r="P156" s="229">
        <f t="shared" si="62"/>
        <v>0.92851778018473974</v>
      </c>
    </row>
    <row r="157" spans="1:16" s="10" customFormat="1">
      <c r="A157" s="170"/>
      <c r="B157" s="125"/>
      <c r="C157" s="126" t="s">
        <v>345</v>
      </c>
      <c r="D157" s="29"/>
      <c r="E157" s="19" t="s">
        <v>346</v>
      </c>
      <c r="F157" s="20">
        <f>SUM(F158:F165)</f>
        <v>1504837000</v>
      </c>
      <c r="G157" s="20">
        <f t="shared" ref="G157:O157" si="65">SUM(G158:G165)</f>
        <v>0</v>
      </c>
      <c r="H157" s="20">
        <f t="shared" si="65"/>
        <v>88649874</v>
      </c>
      <c r="I157" s="20">
        <f t="shared" si="65"/>
        <v>1593486874</v>
      </c>
      <c r="J157" s="20">
        <f t="shared" si="65"/>
        <v>0</v>
      </c>
      <c r="K157" s="20">
        <f t="shared" si="65"/>
        <v>1590462991</v>
      </c>
      <c r="L157" s="20">
        <f t="shared" si="65"/>
        <v>0</v>
      </c>
      <c r="M157" s="20">
        <f t="shared" si="65"/>
        <v>1479580895</v>
      </c>
      <c r="N157" s="20">
        <f t="shared" si="65"/>
        <v>9593140</v>
      </c>
      <c r="O157" s="20">
        <f t="shared" si="65"/>
        <v>9667522</v>
      </c>
      <c r="P157" s="243">
        <f t="shared" si="62"/>
        <v>0.92851778018473974</v>
      </c>
    </row>
    <row r="158" spans="1:16" s="10" customFormat="1">
      <c r="A158" s="107"/>
      <c r="B158" s="149" t="s">
        <v>1646</v>
      </c>
      <c r="C158" s="18" t="s">
        <v>347</v>
      </c>
      <c r="D158" s="30" t="s">
        <v>1936</v>
      </c>
      <c r="E158" s="17" t="s">
        <v>348</v>
      </c>
      <c r="F158" s="16">
        <v>311544000</v>
      </c>
      <c r="G158" s="203">
        <v>0</v>
      </c>
      <c r="H158" s="203">
        <v>7000000</v>
      </c>
      <c r="I158" s="203">
        <v>318544000</v>
      </c>
      <c r="J158" s="203">
        <v>0</v>
      </c>
      <c r="K158" s="203">
        <v>318544000</v>
      </c>
      <c r="L158" s="203">
        <v>0</v>
      </c>
      <c r="M158" s="203">
        <v>316794922</v>
      </c>
      <c r="N158" s="203">
        <v>0</v>
      </c>
      <c r="O158" s="203">
        <v>0</v>
      </c>
      <c r="P158" s="237">
        <f t="shared" si="62"/>
        <v>0.9945091478728213</v>
      </c>
    </row>
    <row r="159" spans="1:16" s="10" customFormat="1">
      <c r="A159" s="107"/>
      <c r="B159" s="149" t="s">
        <v>1647</v>
      </c>
      <c r="C159" s="18" t="s">
        <v>349</v>
      </c>
      <c r="D159" s="30" t="s">
        <v>1937</v>
      </c>
      <c r="E159" s="17" t="s">
        <v>350</v>
      </c>
      <c r="F159" s="16">
        <v>321389000</v>
      </c>
      <c r="G159" s="203">
        <v>0</v>
      </c>
      <c r="H159" s="203">
        <v>0</v>
      </c>
      <c r="I159" s="203">
        <v>321389000</v>
      </c>
      <c r="J159" s="203">
        <v>0</v>
      </c>
      <c r="K159" s="203">
        <v>321389000</v>
      </c>
      <c r="L159" s="203">
        <v>0</v>
      </c>
      <c r="M159" s="203">
        <v>265657880</v>
      </c>
      <c r="N159" s="203">
        <v>0</v>
      </c>
      <c r="O159" s="203">
        <v>0</v>
      </c>
      <c r="P159" s="237">
        <f t="shared" si="62"/>
        <v>0.82659294499811753</v>
      </c>
    </row>
    <row r="160" spans="1:16" s="10" customFormat="1">
      <c r="A160" s="107"/>
      <c r="B160" s="149" t="s">
        <v>1648</v>
      </c>
      <c r="C160" s="18" t="s">
        <v>351</v>
      </c>
      <c r="D160" s="30" t="s">
        <v>1938</v>
      </c>
      <c r="E160" s="17" t="s">
        <v>352</v>
      </c>
      <c r="F160" s="16">
        <v>180578000</v>
      </c>
      <c r="G160" s="203">
        <v>0</v>
      </c>
      <c r="H160" s="203">
        <v>0</v>
      </c>
      <c r="I160" s="203">
        <v>180578000</v>
      </c>
      <c r="J160" s="203">
        <v>0</v>
      </c>
      <c r="K160" s="203">
        <v>180578000</v>
      </c>
      <c r="L160" s="203">
        <v>0</v>
      </c>
      <c r="M160" s="203">
        <v>172599397</v>
      </c>
      <c r="N160" s="203">
        <v>0</v>
      </c>
      <c r="O160" s="203">
        <v>74382</v>
      </c>
      <c r="P160" s="237">
        <f t="shared" si="62"/>
        <v>0.95581630652681948</v>
      </c>
    </row>
    <row r="161" spans="1:16" s="10" customFormat="1">
      <c r="A161" s="107"/>
      <c r="B161" s="149" t="s">
        <v>1649</v>
      </c>
      <c r="C161" s="18" t="s">
        <v>353</v>
      </c>
      <c r="D161" s="30" t="s">
        <v>1939</v>
      </c>
      <c r="E161" s="17" t="s">
        <v>354</v>
      </c>
      <c r="F161" s="16">
        <v>291778000</v>
      </c>
      <c r="G161" s="203">
        <v>0</v>
      </c>
      <c r="H161" s="203">
        <v>2700000</v>
      </c>
      <c r="I161" s="203">
        <v>294478000</v>
      </c>
      <c r="J161" s="203">
        <v>0</v>
      </c>
      <c r="K161" s="203">
        <v>294478000</v>
      </c>
      <c r="L161" s="203">
        <v>0</v>
      </c>
      <c r="M161" s="203">
        <v>294383019</v>
      </c>
      <c r="N161" s="203">
        <v>0</v>
      </c>
      <c r="O161" s="203">
        <v>0</v>
      </c>
      <c r="P161" s="237">
        <f t="shared" si="62"/>
        <v>0.99967745977628208</v>
      </c>
    </row>
    <row r="162" spans="1:16" s="10" customFormat="1">
      <c r="A162" s="107"/>
      <c r="B162" s="149" t="s">
        <v>1650</v>
      </c>
      <c r="C162" s="18" t="s">
        <v>355</v>
      </c>
      <c r="D162" s="30" t="s">
        <v>1940</v>
      </c>
      <c r="E162" s="17" t="s">
        <v>356</v>
      </c>
      <c r="F162" s="16">
        <v>237753000</v>
      </c>
      <c r="G162" s="203">
        <v>0</v>
      </c>
      <c r="H162" s="203">
        <v>18000000</v>
      </c>
      <c r="I162" s="203">
        <v>255753000</v>
      </c>
      <c r="J162" s="203">
        <v>0</v>
      </c>
      <c r="K162" s="203">
        <v>252729117</v>
      </c>
      <c r="L162" s="203">
        <v>0</v>
      </c>
      <c r="M162" s="203">
        <v>223171478</v>
      </c>
      <c r="N162" s="203">
        <v>9593140</v>
      </c>
      <c r="O162" s="203">
        <v>9593140</v>
      </c>
      <c r="P162" s="237">
        <f t="shared" si="62"/>
        <v>0.87260551391381524</v>
      </c>
    </row>
    <row r="163" spans="1:16" s="10" customFormat="1">
      <c r="A163" s="107"/>
      <c r="B163" s="149"/>
      <c r="C163" s="18" t="s">
        <v>357</v>
      </c>
      <c r="D163" s="30" t="s">
        <v>1941</v>
      </c>
      <c r="E163" s="219" t="s">
        <v>358</v>
      </c>
      <c r="F163" s="16">
        <v>0</v>
      </c>
      <c r="G163" s="203">
        <v>0</v>
      </c>
      <c r="H163" s="203">
        <v>16825874</v>
      </c>
      <c r="I163" s="203">
        <v>16825874</v>
      </c>
      <c r="J163" s="203">
        <v>0</v>
      </c>
      <c r="K163" s="203">
        <v>16825874</v>
      </c>
      <c r="L163" s="203">
        <v>0</v>
      </c>
      <c r="M163" s="203">
        <v>16825874</v>
      </c>
      <c r="N163" s="203">
        <v>0</v>
      </c>
      <c r="O163" s="203">
        <v>0</v>
      </c>
      <c r="P163" s="237">
        <f t="shared" si="62"/>
        <v>1</v>
      </c>
    </row>
    <row r="164" spans="1:16" s="10" customFormat="1">
      <c r="A164" s="107"/>
      <c r="B164" s="149" t="s">
        <v>1651</v>
      </c>
      <c r="C164" s="18" t="s">
        <v>359</v>
      </c>
      <c r="D164" s="30" t="s">
        <v>1942</v>
      </c>
      <c r="E164" s="17" t="s">
        <v>360</v>
      </c>
      <c r="F164" s="16">
        <v>152919000</v>
      </c>
      <c r="G164" s="203">
        <v>0</v>
      </c>
      <c r="H164" s="203">
        <v>53000000</v>
      </c>
      <c r="I164" s="203">
        <v>205919000</v>
      </c>
      <c r="J164" s="203">
        <v>0</v>
      </c>
      <c r="K164" s="203">
        <v>205919000</v>
      </c>
      <c r="L164" s="203">
        <v>0</v>
      </c>
      <c r="M164" s="203">
        <v>190148325</v>
      </c>
      <c r="N164" s="203">
        <v>0</v>
      </c>
      <c r="O164" s="203">
        <v>0</v>
      </c>
      <c r="P164" s="237">
        <f t="shared" si="62"/>
        <v>0.92341321101986706</v>
      </c>
    </row>
    <row r="165" spans="1:16" s="3" customFormat="1">
      <c r="A165" s="107"/>
      <c r="B165" s="149" t="s">
        <v>2013</v>
      </c>
      <c r="C165" s="18" t="s">
        <v>361</v>
      </c>
      <c r="D165" s="30" t="s">
        <v>1913</v>
      </c>
      <c r="E165" s="17" t="s">
        <v>362</v>
      </c>
      <c r="F165" s="16">
        <v>8876000</v>
      </c>
      <c r="G165" s="203">
        <v>0</v>
      </c>
      <c r="H165" s="203">
        <v>-8876000</v>
      </c>
      <c r="I165" s="203">
        <v>0</v>
      </c>
      <c r="J165" s="203">
        <v>0</v>
      </c>
      <c r="K165" s="203">
        <v>0</v>
      </c>
      <c r="L165" s="203">
        <v>0</v>
      </c>
      <c r="M165" s="203">
        <v>0</v>
      </c>
      <c r="N165" s="203">
        <v>0</v>
      </c>
      <c r="O165" s="203">
        <v>0</v>
      </c>
      <c r="P165" s="237">
        <f t="shared" si="62"/>
        <v>0</v>
      </c>
    </row>
    <row r="166" spans="1:16" s="10" customFormat="1">
      <c r="A166" s="170"/>
      <c r="B166" s="125"/>
      <c r="C166" s="126" t="s">
        <v>363</v>
      </c>
      <c r="D166" s="29"/>
      <c r="E166" s="19" t="s">
        <v>364</v>
      </c>
      <c r="F166" s="20">
        <f>SUM(F167:F172)</f>
        <v>0</v>
      </c>
      <c r="G166" s="20">
        <f t="shared" ref="G166:O166" si="66">SUM(G167:G172)</f>
        <v>0</v>
      </c>
      <c r="H166" s="20">
        <f t="shared" si="66"/>
        <v>0</v>
      </c>
      <c r="I166" s="20">
        <f t="shared" si="66"/>
        <v>0</v>
      </c>
      <c r="J166" s="20">
        <f t="shared" si="66"/>
        <v>0</v>
      </c>
      <c r="K166" s="20">
        <f t="shared" si="66"/>
        <v>0</v>
      </c>
      <c r="L166" s="20">
        <f t="shared" si="66"/>
        <v>0</v>
      </c>
      <c r="M166" s="20">
        <f t="shared" si="66"/>
        <v>0</v>
      </c>
      <c r="N166" s="20">
        <f t="shared" si="66"/>
        <v>0</v>
      </c>
      <c r="O166" s="20">
        <f t="shared" si="66"/>
        <v>0</v>
      </c>
      <c r="P166" s="243">
        <f t="shared" si="62"/>
        <v>0</v>
      </c>
    </row>
    <row r="167" spans="1:16" s="10" customFormat="1">
      <c r="A167" s="107"/>
      <c r="B167" s="149"/>
      <c r="C167" s="18" t="s">
        <v>365</v>
      </c>
      <c r="D167" s="30" t="s">
        <v>1936</v>
      </c>
      <c r="E167" s="219" t="s">
        <v>366</v>
      </c>
      <c r="F167" s="16">
        <v>0</v>
      </c>
      <c r="G167" s="203">
        <v>0</v>
      </c>
      <c r="H167" s="203">
        <v>0</v>
      </c>
      <c r="I167" s="203">
        <v>0</v>
      </c>
      <c r="J167" s="203">
        <v>0</v>
      </c>
      <c r="K167" s="203">
        <v>0</v>
      </c>
      <c r="L167" s="203">
        <v>0</v>
      </c>
      <c r="M167" s="203">
        <v>0</v>
      </c>
      <c r="N167" s="203">
        <v>0</v>
      </c>
      <c r="O167" s="203">
        <v>0</v>
      </c>
      <c r="P167" s="237">
        <f t="shared" si="62"/>
        <v>0</v>
      </c>
    </row>
    <row r="168" spans="1:16" s="10" customFormat="1">
      <c r="A168" s="107"/>
      <c r="B168" s="149"/>
      <c r="C168" s="18" t="s">
        <v>367</v>
      </c>
      <c r="D168" s="30" t="s">
        <v>1937</v>
      </c>
      <c r="E168" s="219" t="s">
        <v>368</v>
      </c>
      <c r="F168" s="16">
        <v>0</v>
      </c>
      <c r="G168" s="203">
        <v>0</v>
      </c>
      <c r="H168" s="203">
        <v>0</v>
      </c>
      <c r="I168" s="203">
        <v>0</v>
      </c>
      <c r="J168" s="203">
        <v>0</v>
      </c>
      <c r="K168" s="203">
        <v>0</v>
      </c>
      <c r="L168" s="203">
        <v>0</v>
      </c>
      <c r="M168" s="203">
        <v>0</v>
      </c>
      <c r="N168" s="203">
        <v>0</v>
      </c>
      <c r="O168" s="203">
        <v>0</v>
      </c>
      <c r="P168" s="237">
        <f t="shared" si="62"/>
        <v>0</v>
      </c>
    </row>
    <row r="169" spans="1:16" s="10" customFormat="1">
      <c r="A169" s="107"/>
      <c r="B169" s="149"/>
      <c r="C169" s="18" t="s">
        <v>369</v>
      </c>
      <c r="D169" s="30" t="s">
        <v>1938</v>
      </c>
      <c r="E169" s="219" t="s">
        <v>370</v>
      </c>
      <c r="F169" s="16">
        <v>0</v>
      </c>
      <c r="G169" s="203">
        <v>0</v>
      </c>
      <c r="H169" s="203">
        <v>0</v>
      </c>
      <c r="I169" s="203">
        <v>0</v>
      </c>
      <c r="J169" s="203">
        <v>0</v>
      </c>
      <c r="K169" s="203">
        <v>0</v>
      </c>
      <c r="L169" s="203">
        <v>0</v>
      </c>
      <c r="M169" s="203">
        <v>0</v>
      </c>
      <c r="N169" s="203">
        <v>0</v>
      </c>
      <c r="O169" s="203">
        <v>0</v>
      </c>
      <c r="P169" s="237">
        <f t="shared" si="62"/>
        <v>0</v>
      </c>
    </row>
    <row r="170" spans="1:16" s="10" customFormat="1">
      <c r="A170" s="107"/>
      <c r="B170" s="149"/>
      <c r="C170" s="18" t="s">
        <v>371</v>
      </c>
      <c r="D170" s="30" t="s">
        <v>1939</v>
      </c>
      <c r="E170" s="219" t="s">
        <v>372</v>
      </c>
      <c r="F170" s="16">
        <v>0</v>
      </c>
      <c r="G170" s="203">
        <v>0</v>
      </c>
      <c r="H170" s="203">
        <v>0</v>
      </c>
      <c r="I170" s="203">
        <v>0</v>
      </c>
      <c r="J170" s="203">
        <v>0</v>
      </c>
      <c r="K170" s="203">
        <v>0</v>
      </c>
      <c r="L170" s="203">
        <v>0</v>
      </c>
      <c r="M170" s="203">
        <v>0</v>
      </c>
      <c r="N170" s="203">
        <v>0</v>
      </c>
      <c r="O170" s="203">
        <v>0</v>
      </c>
      <c r="P170" s="237">
        <f t="shared" si="62"/>
        <v>0</v>
      </c>
    </row>
    <row r="171" spans="1:16" s="10" customFormat="1">
      <c r="A171" s="107"/>
      <c r="B171" s="149"/>
      <c r="C171" s="18" t="s">
        <v>373</v>
      </c>
      <c r="D171" s="30" t="s">
        <v>1940</v>
      </c>
      <c r="E171" s="219" t="s">
        <v>374</v>
      </c>
      <c r="F171" s="16">
        <v>0</v>
      </c>
      <c r="G171" s="203">
        <v>0</v>
      </c>
      <c r="H171" s="203">
        <v>0</v>
      </c>
      <c r="I171" s="203">
        <v>0</v>
      </c>
      <c r="J171" s="203">
        <v>0</v>
      </c>
      <c r="K171" s="203">
        <v>0</v>
      </c>
      <c r="L171" s="203">
        <v>0</v>
      </c>
      <c r="M171" s="203">
        <v>0</v>
      </c>
      <c r="N171" s="203">
        <v>0</v>
      </c>
      <c r="O171" s="203">
        <v>0</v>
      </c>
      <c r="P171" s="237">
        <f t="shared" si="62"/>
        <v>0</v>
      </c>
    </row>
    <row r="172" spans="1:16" s="3" customFormat="1">
      <c r="A172" s="107"/>
      <c r="B172" s="149"/>
      <c r="C172" s="18" t="s">
        <v>375</v>
      </c>
      <c r="D172" s="30" t="s">
        <v>1942</v>
      </c>
      <c r="E172" s="219" t="s">
        <v>376</v>
      </c>
      <c r="F172" s="16">
        <v>0</v>
      </c>
      <c r="G172" s="203">
        <v>0</v>
      </c>
      <c r="H172" s="203">
        <v>0</v>
      </c>
      <c r="I172" s="203">
        <v>0</v>
      </c>
      <c r="J172" s="203">
        <v>0</v>
      </c>
      <c r="K172" s="203">
        <v>0</v>
      </c>
      <c r="L172" s="203">
        <v>0</v>
      </c>
      <c r="M172" s="203">
        <v>0</v>
      </c>
      <c r="N172" s="203">
        <v>0</v>
      </c>
      <c r="O172" s="203">
        <v>0</v>
      </c>
      <c r="P172" s="237">
        <f t="shared" si="62"/>
        <v>0</v>
      </c>
    </row>
    <row r="173" spans="1:16" s="3" customFormat="1">
      <c r="A173" s="134" t="s">
        <v>377</v>
      </c>
      <c r="B173" s="123" t="s">
        <v>1920</v>
      </c>
      <c r="C173" s="124" t="s">
        <v>378</v>
      </c>
      <c r="D173" s="67"/>
      <c r="E173" s="25" t="s">
        <v>114</v>
      </c>
      <c r="F173" s="68">
        <f>+F174+F191</f>
        <v>7842473000</v>
      </c>
      <c r="G173" s="68">
        <f t="shared" ref="G173:O173" si="67">+G174+G191</f>
        <v>7045690</v>
      </c>
      <c r="H173" s="68">
        <f t="shared" si="67"/>
        <v>143845140</v>
      </c>
      <c r="I173" s="68">
        <f t="shared" si="67"/>
        <v>7986318140</v>
      </c>
      <c r="J173" s="68">
        <f t="shared" si="67"/>
        <v>0</v>
      </c>
      <c r="K173" s="68">
        <f t="shared" si="67"/>
        <v>7969747811</v>
      </c>
      <c r="L173" s="68">
        <f t="shared" si="67"/>
        <v>849464886</v>
      </c>
      <c r="M173" s="68">
        <f t="shared" si="67"/>
        <v>7330133537</v>
      </c>
      <c r="N173" s="68">
        <f t="shared" si="67"/>
        <v>24356796</v>
      </c>
      <c r="O173" s="68">
        <f t="shared" si="67"/>
        <v>2232417895</v>
      </c>
      <c r="P173" s="229">
        <f t="shared" si="62"/>
        <v>0.91783640577584102</v>
      </c>
    </row>
    <row r="174" spans="1:16" s="3" customFormat="1">
      <c r="A174" s="171" t="s">
        <v>379</v>
      </c>
      <c r="B174" s="151" t="s">
        <v>1921</v>
      </c>
      <c r="C174" s="152" t="s">
        <v>380</v>
      </c>
      <c r="D174" s="36"/>
      <c r="E174" s="37" t="s">
        <v>117</v>
      </c>
      <c r="F174" s="71">
        <f>+F175+F184</f>
        <v>4778651000</v>
      </c>
      <c r="G174" s="71">
        <f t="shared" ref="G174:O174" si="68">+G175+G184</f>
        <v>4318140</v>
      </c>
      <c r="H174" s="71">
        <f t="shared" si="68"/>
        <v>78431792</v>
      </c>
      <c r="I174" s="71">
        <f t="shared" si="68"/>
        <v>4857082792</v>
      </c>
      <c r="J174" s="71">
        <f t="shared" si="68"/>
        <v>0</v>
      </c>
      <c r="K174" s="71">
        <f t="shared" si="68"/>
        <v>4847319269</v>
      </c>
      <c r="L174" s="71">
        <f t="shared" si="68"/>
        <v>520583632</v>
      </c>
      <c r="M174" s="71">
        <f t="shared" si="68"/>
        <v>4468551764</v>
      </c>
      <c r="N174" s="71">
        <f t="shared" si="68"/>
        <v>14773629</v>
      </c>
      <c r="O174" s="71">
        <f t="shared" si="68"/>
        <v>1368204578</v>
      </c>
      <c r="P174" s="244">
        <f t="shared" si="62"/>
        <v>0.92000732854709799</v>
      </c>
    </row>
    <row r="175" spans="1:16" s="10" customFormat="1">
      <c r="A175" s="170"/>
      <c r="B175" s="125"/>
      <c r="C175" s="126" t="s">
        <v>381</v>
      </c>
      <c r="D175" s="29"/>
      <c r="E175" s="19" t="s">
        <v>382</v>
      </c>
      <c r="F175" s="20">
        <f>SUM(F176:F183)</f>
        <v>4479661000</v>
      </c>
      <c r="G175" s="20">
        <f t="shared" ref="G175:O175" si="69">SUM(G176:G183)</f>
        <v>4318140</v>
      </c>
      <c r="H175" s="20">
        <f t="shared" si="69"/>
        <v>23376754</v>
      </c>
      <c r="I175" s="20">
        <f t="shared" si="69"/>
        <v>4503037754</v>
      </c>
      <c r="J175" s="20">
        <f t="shared" si="69"/>
        <v>0</v>
      </c>
      <c r="K175" s="20">
        <f t="shared" si="69"/>
        <v>4495467491</v>
      </c>
      <c r="L175" s="20">
        <f t="shared" si="69"/>
        <v>388182620</v>
      </c>
      <c r="M175" s="20">
        <f t="shared" si="69"/>
        <v>4166944705</v>
      </c>
      <c r="N175" s="20">
        <f t="shared" si="69"/>
        <v>13436604</v>
      </c>
      <c r="O175" s="20">
        <f t="shared" si="69"/>
        <v>1212951755</v>
      </c>
      <c r="P175" s="243">
        <f t="shared" si="62"/>
        <v>0.92536303993866098</v>
      </c>
    </row>
    <row r="176" spans="1:16" s="10" customFormat="1">
      <c r="A176" s="107"/>
      <c r="B176" s="149" t="s">
        <v>1638</v>
      </c>
      <c r="C176" s="18" t="s">
        <v>383</v>
      </c>
      <c r="D176" s="30" t="s">
        <v>1936</v>
      </c>
      <c r="E176" s="17" t="s">
        <v>384</v>
      </c>
      <c r="F176" s="16">
        <v>752441000</v>
      </c>
      <c r="G176" s="203">
        <v>0</v>
      </c>
      <c r="H176" s="203">
        <v>3000000</v>
      </c>
      <c r="I176" s="203">
        <v>755441000</v>
      </c>
      <c r="J176" s="203">
        <v>0</v>
      </c>
      <c r="K176" s="203">
        <v>755441000</v>
      </c>
      <c r="L176" s="203">
        <v>10254943</v>
      </c>
      <c r="M176" s="203">
        <v>669297670</v>
      </c>
      <c r="N176" s="203">
        <v>0</v>
      </c>
      <c r="O176" s="203">
        <v>146679227</v>
      </c>
      <c r="P176" s="237">
        <f t="shared" si="62"/>
        <v>0.88596948007852372</v>
      </c>
    </row>
    <row r="177" spans="1:16" s="10" customFormat="1">
      <c r="A177" s="107"/>
      <c r="B177" s="149" t="s">
        <v>1639</v>
      </c>
      <c r="C177" s="18" t="s">
        <v>385</v>
      </c>
      <c r="D177" s="30" t="s">
        <v>1937</v>
      </c>
      <c r="E177" s="17" t="s">
        <v>386</v>
      </c>
      <c r="F177" s="16">
        <v>1003530000</v>
      </c>
      <c r="G177" s="203">
        <v>0</v>
      </c>
      <c r="H177" s="203">
        <v>2148277</v>
      </c>
      <c r="I177" s="203">
        <v>1005678277</v>
      </c>
      <c r="J177" s="203">
        <v>0</v>
      </c>
      <c r="K177" s="203">
        <v>1003530000</v>
      </c>
      <c r="L177" s="203">
        <v>25575597</v>
      </c>
      <c r="M177" s="203">
        <v>908452703</v>
      </c>
      <c r="N177" s="203">
        <v>497471</v>
      </c>
      <c r="O177" s="203">
        <v>290253384</v>
      </c>
      <c r="P177" s="237">
        <f t="shared" si="62"/>
        <v>0.90332338261294676</v>
      </c>
    </row>
    <row r="178" spans="1:16" s="9" customFormat="1">
      <c r="A178" s="107"/>
      <c r="B178" s="149" t="s">
        <v>1640</v>
      </c>
      <c r="C178" s="18" t="s">
        <v>387</v>
      </c>
      <c r="D178" s="30" t="s">
        <v>1938</v>
      </c>
      <c r="E178" s="17" t="s">
        <v>388</v>
      </c>
      <c r="F178" s="16">
        <v>566429000</v>
      </c>
      <c r="G178" s="203">
        <v>0</v>
      </c>
      <c r="H178" s="203">
        <v>700000</v>
      </c>
      <c r="I178" s="203">
        <v>567129000</v>
      </c>
      <c r="J178" s="203">
        <v>0</v>
      </c>
      <c r="K178" s="203">
        <v>566429000</v>
      </c>
      <c r="L178" s="203">
        <v>-2270916</v>
      </c>
      <c r="M178" s="203">
        <v>562925354</v>
      </c>
      <c r="N178" s="203">
        <v>996622</v>
      </c>
      <c r="O178" s="203">
        <v>178406788</v>
      </c>
      <c r="P178" s="237">
        <f t="shared" si="62"/>
        <v>0.99258784861997884</v>
      </c>
    </row>
    <row r="179" spans="1:16" s="9" customFormat="1">
      <c r="A179" s="107"/>
      <c r="B179" s="149" t="s">
        <v>1641</v>
      </c>
      <c r="C179" s="18" t="s">
        <v>389</v>
      </c>
      <c r="D179" s="30" t="s">
        <v>1939</v>
      </c>
      <c r="E179" s="17" t="s">
        <v>390</v>
      </c>
      <c r="F179" s="16">
        <v>836729000</v>
      </c>
      <c r="G179" s="203">
        <v>0</v>
      </c>
      <c r="H179" s="203">
        <v>0</v>
      </c>
      <c r="I179" s="203">
        <v>836729000</v>
      </c>
      <c r="J179" s="203">
        <v>0</v>
      </c>
      <c r="K179" s="203">
        <v>836729000</v>
      </c>
      <c r="L179" s="203">
        <v>8376410</v>
      </c>
      <c r="M179" s="203">
        <v>779485918</v>
      </c>
      <c r="N179" s="203">
        <v>0</v>
      </c>
      <c r="O179" s="203">
        <v>224589178</v>
      </c>
      <c r="P179" s="237">
        <f t="shared" si="62"/>
        <v>0.93158707060469992</v>
      </c>
    </row>
    <row r="180" spans="1:16" s="9" customFormat="1">
      <c r="A180" s="107"/>
      <c r="B180" s="149" t="s">
        <v>1642</v>
      </c>
      <c r="C180" s="18" t="s">
        <v>391</v>
      </c>
      <c r="D180" s="30" t="s">
        <v>1940</v>
      </c>
      <c r="E180" s="17" t="s">
        <v>392</v>
      </c>
      <c r="F180" s="16">
        <v>802271000</v>
      </c>
      <c r="G180" s="203">
        <v>0</v>
      </c>
      <c r="H180" s="203">
        <v>0</v>
      </c>
      <c r="I180" s="203">
        <v>802271000</v>
      </c>
      <c r="J180" s="203">
        <v>0</v>
      </c>
      <c r="K180" s="203">
        <v>801867154</v>
      </c>
      <c r="L180" s="203">
        <v>261059563</v>
      </c>
      <c r="M180" s="203">
        <v>757302853</v>
      </c>
      <c r="N180" s="203">
        <v>10993027</v>
      </c>
      <c r="O180" s="203">
        <v>250530734</v>
      </c>
      <c r="P180" s="237">
        <f t="shared" si="62"/>
        <v>0.94394893122149504</v>
      </c>
    </row>
    <row r="181" spans="1:16" s="9" customFormat="1">
      <c r="A181" s="107"/>
      <c r="B181" s="149" t="s">
        <v>1643</v>
      </c>
      <c r="C181" s="18" t="s">
        <v>393</v>
      </c>
      <c r="D181" s="30" t="s">
        <v>1941</v>
      </c>
      <c r="E181" s="17" t="s">
        <v>394</v>
      </c>
      <c r="F181" s="16">
        <v>152189000</v>
      </c>
      <c r="G181" s="203">
        <v>4318140</v>
      </c>
      <c r="H181" s="203">
        <v>13528477</v>
      </c>
      <c r="I181" s="203">
        <v>165717477</v>
      </c>
      <c r="J181" s="203">
        <v>0</v>
      </c>
      <c r="K181" s="203">
        <v>161399337</v>
      </c>
      <c r="L181" s="203">
        <v>66344421</v>
      </c>
      <c r="M181" s="203">
        <v>154305044</v>
      </c>
      <c r="N181" s="203">
        <v>676760</v>
      </c>
      <c r="O181" s="203">
        <v>69211437</v>
      </c>
      <c r="P181" s="237">
        <f t="shared" si="62"/>
        <v>0.9311331960478737</v>
      </c>
    </row>
    <row r="182" spans="1:16" s="9" customFormat="1">
      <c r="A182" s="107"/>
      <c r="B182" s="149" t="s">
        <v>1644</v>
      </c>
      <c r="C182" s="18" t="s">
        <v>395</v>
      </c>
      <c r="D182" s="30" t="s">
        <v>1942</v>
      </c>
      <c r="E182" s="17" t="s">
        <v>396</v>
      </c>
      <c r="F182" s="16">
        <v>337696000</v>
      </c>
      <c r="G182" s="203">
        <v>0</v>
      </c>
      <c r="H182" s="203">
        <v>4000000</v>
      </c>
      <c r="I182" s="203">
        <v>341696000</v>
      </c>
      <c r="J182" s="203">
        <v>0</v>
      </c>
      <c r="K182" s="203">
        <v>341696000</v>
      </c>
      <c r="L182" s="203">
        <v>9314294</v>
      </c>
      <c r="M182" s="203">
        <v>319601463</v>
      </c>
      <c r="N182" s="203">
        <v>0</v>
      </c>
      <c r="O182" s="203">
        <v>46962891</v>
      </c>
      <c r="P182" s="237">
        <f t="shared" si="62"/>
        <v>0.93533861385559092</v>
      </c>
    </row>
    <row r="183" spans="1:16" s="3" customFormat="1">
      <c r="A183" s="107"/>
      <c r="B183" s="149" t="s">
        <v>1645</v>
      </c>
      <c r="C183" s="18" t="s">
        <v>397</v>
      </c>
      <c r="D183" s="30" t="s">
        <v>1913</v>
      </c>
      <c r="E183" s="17" t="s">
        <v>398</v>
      </c>
      <c r="F183" s="16">
        <v>28376000</v>
      </c>
      <c r="G183" s="203">
        <v>0</v>
      </c>
      <c r="H183" s="203">
        <v>0</v>
      </c>
      <c r="I183" s="203">
        <v>28376000</v>
      </c>
      <c r="J183" s="203">
        <v>0</v>
      </c>
      <c r="K183" s="203">
        <v>28376000</v>
      </c>
      <c r="L183" s="203">
        <v>9528308</v>
      </c>
      <c r="M183" s="203">
        <v>15573700</v>
      </c>
      <c r="N183" s="203">
        <v>272724</v>
      </c>
      <c r="O183" s="203">
        <v>6318116</v>
      </c>
      <c r="P183" s="237">
        <f t="shared" si="62"/>
        <v>0.54883352128559348</v>
      </c>
    </row>
    <row r="184" spans="1:16" s="9" customFormat="1">
      <c r="A184" s="170"/>
      <c r="B184" s="125"/>
      <c r="C184" s="126" t="s">
        <v>399</v>
      </c>
      <c r="D184" s="29"/>
      <c r="E184" s="19" t="s">
        <v>400</v>
      </c>
      <c r="F184" s="20">
        <f>SUM(F185:F190)</f>
        <v>298990000</v>
      </c>
      <c r="G184" s="20">
        <f t="shared" ref="G184:O184" si="70">SUM(G185:G190)</f>
        <v>0</v>
      </c>
      <c r="H184" s="20">
        <f t="shared" si="70"/>
        <v>55055038</v>
      </c>
      <c r="I184" s="20">
        <f t="shared" si="70"/>
        <v>354045038</v>
      </c>
      <c r="J184" s="20">
        <f t="shared" si="70"/>
        <v>0</v>
      </c>
      <c r="K184" s="20">
        <f t="shared" si="70"/>
        <v>351851778</v>
      </c>
      <c r="L184" s="20">
        <f t="shared" si="70"/>
        <v>132401012</v>
      </c>
      <c r="M184" s="20">
        <f t="shared" si="70"/>
        <v>301607059</v>
      </c>
      <c r="N184" s="20">
        <f t="shared" si="70"/>
        <v>1337025</v>
      </c>
      <c r="O184" s="20">
        <f t="shared" si="70"/>
        <v>155252823</v>
      </c>
      <c r="P184" s="243">
        <f t="shared" si="62"/>
        <v>0.85188895939278775</v>
      </c>
    </row>
    <row r="185" spans="1:16" s="9" customFormat="1">
      <c r="A185" s="107"/>
      <c r="B185" s="149" t="s">
        <v>1742</v>
      </c>
      <c r="C185" s="18" t="s">
        <v>401</v>
      </c>
      <c r="D185" s="30" t="s">
        <v>1936</v>
      </c>
      <c r="E185" s="17" t="s">
        <v>402</v>
      </c>
      <c r="F185" s="16">
        <v>62881000</v>
      </c>
      <c r="G185" s="203">
        <v>0</v>
      </c>
      <c r="H185" s="203">
        <v>6000000</v>
      </c>
      <c r="I185" s="203">
        <v>68881000</v>
      </c>
      <c r="J185" s="203">
        <v>0</v>
      </c>
      <c r="K185" s="203">
        <v>68881000</v>
      </c>
      <c r="L185" s="203">
        <v>13738721</v>
      </c>
      <c r="M185" s="203">
        <v>55754995</v>
      </c>
      <c r="N185" s="203">
        <v>1337025</v>
      </c>
      <c r="O185" s="203">
        <v>32046488</v>
      </c>
      <c r="P185" s="237">
        <f t="shared" si="62"/>
        <v>0.80943939547915966</v>
      </c>
    </row>
    <row r="186" spans="1:16" s="9" customFormat="1">
      <c r="A186" s="107"/>
      <c r="B186" s="149" t="s">
        <v>1743</v>
      </c>
      <c r="C186" s="18" t="s">
        <v>403</v>
      </c>
      <c r="D186" s="30" t="s">
        <v>1937</v>
      </c>
      <c r="E186" s="17" t="s">
        <v>404</v>
      </c>
      <c r="F186" s="16">
        <v>151457000</v>
      </c>
      <c r="G186" s="203">
        <v>0</v>
      </c>
      <c r="H186" s="203">
        <v>34055038</v>
      </c>
      <c r="I186" s="203">
        <v>185512038</v>
      </c>
      <c r="J186" s="203">
        <v>0</v>
      </c>
      <c r="K186" s="203">
        <v>185512038</v>
      </c>
      <c r="L186" s="203">
        <v>85237978</v>
      </c>
      <c r="M186" s="203">
        <v>159837660</v>
      </c>
      <c r="N186" s="203">
        <v>0</v>
      </c>
      <c r="O186" s="203">
        <v>74599682</v>
      </c>
      <c r="P186" s="237">
        <f t="shared" si="62"/>
        <v>0.86160263087616984</v>
      </c>
    </row>
    <row r="187" spans="1:16" s="9" customFormat="1">
      <c r="A187" s="107"/>
      <c r="B187" s="149" t="s">
        <v>1744</v>
      </c>
      <c r="C187" s="18" t="s">
        <v>405</v>
      </c>
      <c r="D187" s="30" t="s">
        <v>1938</v>
      </c>
      <c r="E187" s="17" t="s">
        <v>406</v>
      </c>
      <c r="F187" s="16">
        <v>11418000</v>
      </c>
      <c r="G187" s="203">
        <v>0</v>
      </c>
      <c r="H187" s="203">
        <v>0</v>
      </c>
      <c r="I187" s="203">
        <v>11418000</v>
      </c>
      <c r="J187" s="203">
        <v>0</v>
      </c>
      <c r="K187" s="203">
        <v>11418000</v>
      </c>
      <c r="L187" s="203">
        <v>0</v>
      </c>
      <c r="M187" s="203">
        <v>10658036</v>
      </c>
      <c r="N187" s="203">
        <v>0</v>
      </c>
      <c r="O187" s="203">
        <v>6674598</v>
      </c>
      <c r="P187" s="237">
        <f t="shared" si="62"/>
        <v>0.93344158346470485</v>
      </c>
    </row>
    <row r="188" spans="1:16" s="9" customFormat="1">
      <c r="A188" s="107"/>
      <c r="B188" s="149" t="s">
        <v>1745</v>
      </c>
      <c r="C188" s="18" t="s">
        <v>407</v>
      </c>
      <c r="D188" s="30" t="s">
        <v>1939</v>
      </c>
      <c r="E188" s="17" t="s">
        <v>408</v>
      </c>
      <c r="F188" s="16">
        <v>49554000</v>
      </c>
      <c r="G188" s="203">
        <v>0</v>
      </c>
      <c r="H188" s="203">
        <v>0</v>
      </c>
      <c r="I188" s="203">
        <v>49554000</v>
      </c>
      <c r="J188" s="203">
        <v>0</v>
      </c>
      <c r="K188" s="203">
        <v>49554000</v>
      </c>
      <c r="L188" s="203">
        <v>19328963</v>
      </c>
      <c r="M188" s="203">
        <v>42774278</v>
      </c>
      <c r="N188" s="203">
        <v>0</v>
      </c>
      <c r="O188" s="203">
        <v>23445315</v>
      </c>
      <c r="P188" s="237">
        <f t="shared" si="62"/>
        <v>0.86318517173184806</v>
      </c>
    </row>
    <row r="189" spans="1:16" s="9" customFormat="1">
      <c r="A189" s="107"/>
      <c r="B189" s="149" t="s">
        <v>1746</v>
      </c>
      <c r="C189" s="18" t="s">
        <v>409</v>
      </c>
      <c r="D189" s="30" t="s">
        <v>1940</v>
      </c>
      <c r="E189" s="17" t="s">
        <v>410</v>
      </c>
      <c r="F189" s="16">
        <v>23680000</v>
      </c>
      <c r="G189" s="203">
        <v>0</v>
      </c>
      <c r="H189" s="203">
        <v>15000000</v>
      </c>
      <c r="I189" s="203">
        <v>38680000</v>
      </c>
      <c r="J189" s="203">
        <v>0</v>
      </c>
      <c r="K189" s="203">
        <v>36486740</v>
      </c>
      <c r="L189" s="203">
        <v>14095350</v>
      </c>
      <c r="M189" s="203">
        <v>32582090</v>
      </c>
      <c r="N189" s="203">
        <v>0</v>
      </c>
      <c r="O189" s="203">
        <v>18486740</v>
      </c>
      <c r="P189" s="237">
        <f t="shared" si="62"/>
        <v>0.84234979317476733</v>
      </c>
    </row>
    <row r="190" spans="1:16" s="3" customFormat="1">
      <c r="A190" s="107"/>
      <c r="B190" s="149"/>
      <c r="C190" s="18" t="s">
        <v>411</v>
      </c>
      <c r="D190" s="30" t="s">
        <v>1942</v>
      </c>
      <c r="E190" s="219" t="s">
        <v>412</v>
      </c>
      <c r="F190" s="16">
        <v>0</v>
      </c>
      <c r="G190" s="203">
        <v>0</v>
      </c>
      <c r="H190" s="203">
        <v>0</v>
      </c>
      <c r="I190" s="203">
        <v>0</v>
      </c>
      <c r="J190" s="203">
        <v>0</v>
      </c>
      <c r="K190" s="203">
        <v>0</v>
      </c>
      <c r="L190" s="203">
        <v>0</v>
      </c>
      <c r="M190" s="203">
        <v>0</v>
      </c>
      <c r="N190" s="203">
        <v>0</v>
      </c>
      <c r="O190" s="203">
        <v>0</v>
      </c>
      <c r="P190" s="237">
        <f t="shared" si="62"/>
        <v>0</v>
      </c>
    </row>
    <row r="191" spans="1:16" s="3" customFormat="1">
      <c r="A191" s="171" t="s">
        <v>413</v>
      </c>
      <c r="B191" s="151" t="s">
        <v>1922</v>
      </c>
      <c r="C191" s="152" t="s">
        <v>414</v>
      </c>
      <c r="D191" s="36"/>
      <c r="E191" s="37" t="s">
        <v>126</v>
      </c>
      <c r="F191" s="71">
        <f>+F192+F201</f>
        <v>3063822000</v>
      </c>
      <c r="G191" s="71">
        <f t="shared" ref="G191:O191" si="71">+G192+G201</f>
        <v>2727550</v>
      </c>
      <c r="H191" s="71">
        <f t="shared" si="71"/>
        <v>65413348</v>
      </c>
      <c r="I191" s="71">
        <f t="shared" si="71"/>
        <v>3129235348</v>
      </c>
      <c r="J191" s="71">
        <f t="shared" si="71"/>
        <v>0</v>
      </c>
      <c r="K191" s="71">
        <f t="shared" si="71"/>
        <v>3122428542</v>
      </c>
      <c r="L191" s="71">
        <f t="shared" si="71"/>
        <v>328881254</v>
      </c>
      <c r="M191" s="71">
        <f t="shared" si="71"/>
        <v>2861581773</v>
      </c>
      <c r="N191" s="71">
        <f t="shared" si="71"/>
        <v>9583167</v>
      </c>
      <c r="O191" s="71">
        <f t="shared" si="71"/>
        <v>864213317</v>
      </c>
      <c r="P191" s="244">
        <f t="shared" si="62"/>
        <v>0.91446678014452754</v>
      </c>
    </row>
    <row r="192" spans="1:16" s="10" customFormat="1">
      <c r="A192" s="170"/>
      <c r="B192" s="125"/>
      <c r="C192" s="126" t="s">
        <v>415</v>
      </c>
      <c r="D192" s="29"/>
      <c r="E192" s="19" t="s">
        <v>416</v>
      </c>
      <c r="F192" s="20">
        <f>SUM(F193:F200)</f>
        <v>2879341000</v>
      </c>
      <c r="G192" s="20">
        <f t="shared" ref="G192:O192" si="72">SUM(G193:G200)</f>
        <v>2727550</v>
      </c>
      <c r="H192" s="20">
        <f t="shared" si="72"/>
        <v>25233672</v>
      </c>
      <c r="I192" s="20">
        <f t="shared" si="72"/>
        <v>2904574672</v>
      </c>
      <c r="J192" s="20">
        <f t="shared" si="72"/>
        <v>0</v>
      </c>
      <c r="K192" s="20">
        <f t="shared" si="72"/>
        <v>2899286701</v>
      </c>
      <c r="L192" s="20">
        <f t="shared" si="72"/>
        <v>245250058</v>
      </c>
      <c r="M192" s="20">
        <f t="shared" si="72"/>
        <v>2671071447</v>
      </c>
      <c r="N192" s="20">
        <f t="shared" si="72"/>
        <v>8738634</v>
      </c>
      <c r="O192" s="20">
        <f t="shared" si="72"/>
        <v>766147754</v>
      </c>
      <c r="P192" s="243">
        <f t="shared" si="62"/>
        <v>0.91960846204059998</v>
      </c>
    </row>
    <row r="193" spans="1:17" s="10" customFormat="1">
      <c r="A193" s="107"/>
      <c r="B193" s="149" t="s">
        <v>1630</v>
      </c>
      <c r="C193" s="18" t="s">
        <v>417</v>
      </c>
      <c r="D193" s="30" t="s">
        <v>1936</v>
      </c>
      <c r="E193" s="17" t="s">
        <v>418</v>
      </c>
      <c r="F193" s="16">
        <v>482863000</v>
      </c>
      <c r="G193" s="203">
        <v>0</v>
      </c>
      <c r="H193" s="203">
        <v>10000000</v>
      </c>
      <c r="I193" s="203">
        <v>492863000</v>
      </c>
      <c r="J193" s="203">
        <v>0</v>
      </c>
      <c r="K193" s="203">
        <v>492863000</v>
      </c>
      <c r="L193" s="203">
        <v>6477540</v>
      </c>
      <c r="M193" s="203">
        <v>431064000</v>
      </c>
      <c r="N193" s="203">
        <v>0</v>
      </c>
      <c r="O193" s="203">
        <v>92650037</v>
      </c>
      <c r="P193" s="237">
        <f t="shared" si="62"/>
        <v>0.8746122147533899</v>
      </c>
    </row>
    <row r="194" spans="1:17" s="10" customFormat="1">
      <c r="A194" s="107"/>
      <c r="B194" s="149" t="s">
        <v>1631</v>
      </c>
      <c r="C194" s="18" t="s">
        <v>419</v>
      </c>
      <c r="D194" s="30" t="s">
        <v>1937</v>
      </c>
      <c r="E194" s="17" t="s">
        <v>420</v>
      </c>
      <c r="F194" s="16">
        <v>641950000</v>
      </c>
      <c r="G194" s="203">
        <v>0</v>
      </c>
      <c r="H194" s="203">
        <v>1484524</v>
      </c>
      <c r="I194" s="203">
        <v>643434524</v>
      </c>
      <c r="J194" s="203">
        <v>0</v>
      </c>
      <c r="K194" s="203">
        <v>641950000</v>
      </c>
      <c r="L194" s="203">
        <v>16154841</v>
      </c>
      <c r="M194" s="203">
        <v>580786409</v>
      </c>
      <c r="N194" s="203">
        <v>314228</v>
      </c>
      <c r="O194" s="203">
        <v>183338765</v>
      </c>
      <c r="P194" s="237">
        <f t="shared" si="62"/>
        <v>0.90263482504709369</v>
      </c>
    </row>
    <row r="195" spans="1:17" s="10" customFormat="1">
      <c r="A195" s="107"/>
      <c r="B195" s="149" t="s">
        <v>1632</v>
      </c>
      <c r="C195" s="18" t="s">
        <v>421</v>
      </c>
      <c r="D195" s="30" t="s">
        <v>1938</v>
      </c>
      <c r="E195" s="17" t="s">
        <v>422</v>
      </c>
      <c r="F195" s="16">
        <v>361546000</v>
      </c>
      <c r="G195" s="203">
        <v>0</v>
      </c>
      <c r="H195" s="203">
        <v>800000</v>
      </c>
      <c r="I195" s="203">
        <v>362346000</v>
      </c>
      <c r="J195" s="203">
        <v>0</v>
      </c>
      <c r="K195" s="203">
        <v>361546000</v>
      </c>
      <c r="L195" s="203">
        <v>-1434424</v>
      </c>
      <c r="M195" s="203">
        <v>360100474</v>
      </c>
      <c r="N195" s="203">
        <v>629518</v>
      </c>
      <c r="O195" s="203">
        <v>112651833</v>
      </c>
      <c r="P195" s="237">
        <f t="shared" si="62"/>
        <v>0.9938028127811539</v>
      </c>
    </row>
    <row r="196" spans="1:17" s="10" customFormat="1">
      <c r="A196" s="107"/>
      <c r="B196" s="149" t="s">
        <v>1633</v>
      </c>
      <c r="C196" s="18" t="s">
        <v>423</v>
      </c>
      <c r="D196" s="30" t="s">
        <v>1939</v>
      </c>
      <c r="E196" s="17" t="s">
        <v>424</v>
      </c>
      <c r="F196" s="16">
        <v>550398000</v>
      </c>
      <c r="G196" s="203">
        <v>0</v>
      </c>
      <c r="H196" s="203">
        <v>0</v>
      </c>
      <c r="I196" s="203">
        <v>550398000</v>
      </c>
      <c r="J196" s="203">
        <v>0</v>
      </c>
      <c r="K196" s="203">
        <v>550398000</v>
      </c>
      <c r="L196" s="203">
        <v>5345190</v>
      </c>
      <c r="M196" s="203">
        <v>500317120</v>
      </c>
      <c r="N196" s="203">
        <v>0</v>
      </c>
      <c r="O196" s="203">
        <v>141866760</v>
      </c>
      <c r="P196" s="237">
        <f t="shared" si="62"/>
        <v>0.90900969843640422</v>
      </c>
    </row>
    <row r="197" spans="1:17" s="10" customFormat="1">
      <c r="A197" s="107"/>
      <c r="B197" s="149" t="s">
        <v>1634</v>
      </c>
      <c r="C197" s="18" t="s">
        <v>425</v>
      </c>
      <c r="D197" s="30" t="s">
        <v>1940</v>
      </c>
      <c r="E197" s="17" t="s">
        <v>426</v>
      </c>
      <c r="F197" s="16">
        <v>512969000</v>
      </c>
      <c r="G197" s="203">
        <v>0</v>
      </c>
      <c r="H197" s="203">
        <v>0</v>
      </c>
      <c r="I197" s="203">
        <v>512969000</v>
      </c>
      <c r="J197" s="203">
        <v>0</v>
      </c>
      <c r="K197" s="203">
        <v>512693103</v>
      </c>
      <c r="L197" s="203">
        <v>164898461</v>
      </c>
      <c r="M197" s="203">
        <v>484199129</v>
      </c>
      <c r="N197" s="203">
        <v>7195144</v>
      </c>
      <c r="O197" s="203">
        <v>158267914</v>
      </c>
      <c r="P197" s="237">
        <f t="shared" si="62"/>
        <v>0.94391499096436626</v>
      </c>
      <c r="Q197" s="358"/>
    </row>
    <row r="198" spans="1:17" s="10" customFormat="1">
      <c r="A198" s="107"/>
      <c r="B198" s="149" t="s">
        <v>1635</v>
      </c>
      <c r="C198" s="18" t="s">
        <v>427</v>
      </c>
      <c r="D198" s="30" t="s">
        <v>1941</v>
      </c>
      <c r="E198" s="17" t="s">
        <v>428</v>
      </c>
      <c r="F198" s="16">
        <v>96120000</v>
      </c>
      <c r="G198" s="203">
        <v>2727550</v>
      </c>
      <c r="H198" s="203">
        <v>8949148</v>
      </c>
      <c r="I198" s="203">
        <v>105069148</v>
      </c>
      <c r="J198" s="203">
        <v>0</v>
      </c>
      <c r="K198" s="203">
        <v>102341598</v>
      </c>
      <c r="L198" s="203">
        <v>41906506</v>
      </c>
      <c r="M198" s="203">
        <v>97907822</v>
      </c>
      <c r="N198" s="203">
        <v>427477</v>
      </c>
      <c r="O198" s="203">
        <v>43717456</v>
      </c>
      <c r="P198" s="237">
        <f t="shared" si="62"/>
        <v>0.93184178099550208</v>
      </c>
    </row>
    <row r="199" spans="1:17" s="10" customFormat="1">
      <c r="A199" s="107"/>
      <c r="B199" s="149" t="s">
        <v>1636</v>
      </c>
      <c r="C199" s="18" t="s">
        <v>429</v>
      </c>
      <c r="D199" s="30" t="s">
        <v>1942</v>
      </c>
      <c r="E199" s="17" t="s">
        <v>430</v>
      </c>
      <c r="F199" s="16">
        <v>215338000</v>
      </c>
      <c r="G199" s="203">
        <v>0</v>
      </c>
      <c r="H199" s="203">
        <v>4000000</v>
      </c>
      <c r="I199" s="203">
        <v>219338000</v>
      </c>
      <c r="J199" s="203">
        <v>0</v>
      </c>
      <c r="K199" s="203">
        <v>219338000</v>
      </c>
      <c r="L199" s="203">
        <v>5883380</v>
      </c>
      <c r="M199" s="203">
        <v>206859353</v>
      </c>
      <c r="N199" s="203">
        <v>0</v>
      </c>
      <c r="O199" s="203">
        <v>29664146</v>
      </c>
      <c r="P199" s="237">
        <f t="shared" si="62"/>
        <v>0.94310768311920412</v>
      </c>
    </row>
    <row r="200" spans="1:17" s="3" customFormat="1">
      <c r="A200" s="107"/>
      <c r="B200" s="149" t="s">
        <v>1637</v>
      </c>
      <c r="C200" s="18" t="s">
        <v>431</v>
      </c>
      <c r="D200" s="30" t="s">
        <v>1913</v>
      </c>
      <c r="E200" s="17" t="s">
        <v>432</v>
      </c>
      <c r="F200" s="16">
        <v>18157000</v>
      </c>
      <c r="G200" s="203">
        <v>0</v>
      </c>
      <c r="H200" s="203">
        <v>0</v>
      </c>
      <c r="I200" s="203">
        <v>18157000</v>
      </c>
      <c r="J200" s="203">
        <v>0</v>
      </c>
      <c r="K200" s="203">
        <v>18157000</v>
      </c>
      <c r="L200" s="203">
        <v>6018564</v>
      </c>
      <c r="M200" s="203">
        <v>9837140</v>
      </c>
      <c r="N200" s="203">
        <v>172267</v>
      </c>
      <c r="O200" s="203">
        <v>3990843</v>
      </c>
      <c r="P200" s="237">
        <f t="shared" si="62"/>
        <v>0.54178223274770065</v>
      </c>
    </row>
    <row r="201" spans="1:17" s="10" customFormat="1">
      <c r="A201" s="170"/>
      <c r="B201" s="125"/>
      <c r="C201" s="126" t="s">
        <v>433</v>
      </c>
      <c r="D201" s="29"/>
      <c r="E201" s="19" t="s">
        <v>434</v>
      </c>
      <c r="F201" s="20">
        <f>SUM(F202:F207)</f>
        <v>184481000</v>
      </c>
      <c r="G201" s="20">
        <f t="shared" ref="G201:O201" si="73">SUM(G202:G207)</f>
        <v>0</v>
      </c>
      <c r="H201" s="20">
        <f t="shared" si="73"/>
        <v>40179676</v>
      </c>
      <c r="I201" s="20">
        <f t="shared" si="73"/>
        <v>224660676</v>
      </c>
      <c r="J201" s="20">
        <f t="shared" si="73"/>
        <v>0</v>
      </c>
      <c r="K201" s="20">
        <f t="shared" si="73"/>
        <v>223141841</v>
      </c>
      <c r="L201" s="20">
        <f t="shared" si="73"/>
        <v>83631196</v>
      </c>
      <c r="M201" s="20">
        <f t="shared" si="73"/>
        <v>190510326</v>
      </c>
      <c r="N201" s="20">
        <f t="shared" si="73"/>
        <v>844533</v>
      </c>
      <c r="O201" s="20">
        <f t="shared" si="73"/>
        <v>98065563</v>
      </c>
      <c r="P201" s="243">
        <f t="shared" si="62"/>
        <v>0.84799142151606455</v>
      </c>
    </row>
    <row r="202" spans="1:17" s="10" customFormat="1">
      <c r="A202" s="107"/>
      <c r="B202" s="149" t="s">
        <v>1747</v>
      </c>
      <c r="C202" s="18" t="s">
        <v>435</v>
      </c>
      <c r="D202" s="30" t="s">
        <v>1936</v>
      </c>
      <c r="E202" s="17" t="s">
        <v>436</v>
      </c>
      <c r="F202" s="16">
        <v>38920000</v>
      </c>
      <c r="G202" s="203">
        <v>0</v>
      </c>
      <c r="H202" s="203">
        <v>6000000</v>
      </c>
      <c r="I202" s="203">
        <v>44920000</v>
      </c>
      <c r="J202" s="203">
        <v>0</v>
      </c>
      <c r="K202" s="203">
        <v>44920000</v>
      </c>
      <c r="L202" s="203">
        <v>8678074</v>
      </c>
      <c r="M202" s="203">
        <v>35217688</v>
      </c>
      <c r="N202" s="203">
        <v>844533</v>
      </c>
      <c r="O202" s="203">
        <v>20242191</v>
      </c>
      <c r="P202" s="237">
        <f t="shared" si="62"/>
        <v>0.78400908281389137</v>
      </c>
    </row>
    <row r="203" spans="1:17" s="10" customFormat="1">
      <c r="A203" s="107"/>
      <c r="B203" s="149" t="s">
        <v>1748</v>
      </c>
      <c r="C203" s="18" t="s">
        <v>437</v>
      </c>
      <c r="D203" s="30" t="s">
        <v>1937</v>
      </c>
      <c r="E203" s="17" t="s">
        <v>438</v>
      </c>
      <c r="F203" s="16">
        <v>94128000</v>
      </c>
      <c r="G203" s="203">
        <v>0</v>
      </c>
      <c r="H203" s="203">
        <v>23179676</v>
      </c>
      <c r="I203" s="203">
        <v>117307676</v>
      </c>
      <c r="J203" s="203">
        <v>0</v>
      </c>
      <c r="K203" s="203">
        <v>117307676</v>
      </c>
      <c r="L203" s="203">
        <v>53840631</v>
      </c>
      <c r="M203" s="203">
        <v>100961573</v>
      </c>
      <c r="N203" s="203">
        <v>0</v>
      </c>
      <c r="O203" s="203">
        <v>47120942</v>
      </c>
      <c r="P203" s="237">
        <f t="shared" si="62"/>
        <v>0.86065615177646171</v>
      </c>
    </row>
    <row r="204" spans="1:17" s="10" customFormat="1">
      <c r="A204" s="107"/>
      <c r="B204" s="149" t="s">
        <v>1749</v>
      </c>
      <c r="C204" s="18" t="s">
        <v>439</v>
      </c>
      <c r="D204" s="30" t="s">
        <v>1938</v>
      </c>
      <c r="E204" s="17" t="s">
        <v>440</v>
      </c>
      <c r="F204" s="16">
        <v>6770000</v>
      </c>
      <c r="G204" s="203">
        <v>0</v>
      </c>
      <c r="H204" s="203">
        <v>0</v>
      </c>
      <c r="I204" s="203">
        <v>6770000</v>
      </c>
      <c r="J204" s="203">
        <v>0</v>
      </c>
      <c r="K204" s="203">
        <v>6770000</v>
      </c>
      <c r="L204" s="203">
        <v>0</v>
      </c>
      <c r="M204" s="203">
        <v>6732159</v>
      </c>
      <c r="N204" s="203">
        <v>0</v>
      </c>
      <c r="O204" s="203">
        <v>4216015</v>
      </c>
      <c r="P204" s="237">
        <f t="shared" si="62"/>
        <v>0.99441048744460858</v>
      </c>
    </row>
    <row r="205" spans="1:17" s="10" customFormat="1">
      <c r="A205" s="107"/>
      <c r="B205" s="149" t="s">
        <v>1750</v>
      </c>
      <c r="C205" s="18" t="s">
        <v>441</v>
      </c>
      <c r="D205" s="30" t="s">
        <v>1939</v>
      </c>
      <c r="E205" s="17" t="s">
        <v>442</v>
      </c>
      <c r="F205" s="16">
        <v>30467000</v>
      </c>
      <c r="G205" s="203">
        <v>0</v>
      </c>
      <c r="H205" s="203">
        <v>0</v>
      </c>
      <c r="I205" s="203">
        <v>30467000</v>
      </c>
      <c r="J205" s="203">
        <v>0</v>
      </c>
      <c r="K205" s="203">
        <v>30467000</v>
      </c>
      <c r="L205" s="203">
        <v>12209153</v>
      </c>
      <c r="M205" s="203">
        <v>27018403</v>
      </c>
      <c r="N205" s="203">
        <v>0</v>
      </c>
      <c r="O205" s="203">
        <v>14809250</v>
      </c>
      <c r="P205" s="237">
        <f t="shared" si="62"/>
        <v>0.88680877670922642</v>
      </c>
    </row>
    <row r="206" spans="1:17" s="10" customFormat="1">
      <c r="A206" s="107"/>
      <c r="B206" s="149" t="s">
        <v>1751</v>
      </c>
      <c r="C206" s="18" t="s">
        <v>443</v>
      </c>
      <c r="D206" s="30" t="s">
        <v>1940</v>
      </c>
      <c r="E206" s="17" t="s">
        <v>444</v>
      </c>
      <c r="F206" s="16">
        <v>14196000</v>
      </c>
      <c r="G206" s="203">
        <v>0</v>
      </c>
      <c r="H206" s="203">
        <v>11000000</v>
      </c>
      <c r="I206" s="203">
        <v>25196000</v>
      </c>
      <c r="J206" s="203">
        <v>0</v>
      </c>
      <c r="K206" s="203">
        <v>23677165</v>
      </c>
      <c r="L206" s="203">
        <v>8903338</v>
      </c>
      <c r="M206" s="203">
        <v>20580503</v>
      </c>
      <c r="N206" s="203">
        <v>0</v>
      </c>
      <c r="O206" s="203">
        <v>11677165</v>
      </c>
      <c r="P206" s="237">
        <f t="shared" ref="P206:P269" si="74">IFERROR((M206/I206),0)</f>
        <v>0.81681628036196219</v>
      </c>
    </row>
    <row r="207" spans="1:17" s="2" customFormat="1">
      <c r="A207" s="107"/>
      <c r="B207" s="149"/>
      <c r="C207" s="18" t="s">
        <v>445</v>
      </c>
      <c r="D207" s="30" t="s">
        <v>1942</v>
      </c>
      <c r="E207" s="219" t="s">
        <v>446</v>
      </c>
      <c r="F207" s="16">
        <v>0</v>
      </c>
      <c r="G207" s="203">
        <v>0</v>
      </c>
      <c r="H207" s="203">
        <v>0</v>
      </c>
      <c r="I207" s="203">
        <v>0</v>
      </c>
      <c r="J207" s="203">
        <v>0</v>
      </c>
      <c r="K207" s="203">
        <v>0</v>
      </c>
      <c r="L207" s="203">
        <v>0</v>
      </c>
      <c r="M207" s="203">
        <v>0</v>
      </c>
      <c r="N207" s="203">
        <v>0</v>
      </c>
      <c r="O207" s="203">
        <v>0</v>
      </c>
      <c r="P207" s="237">
        <f t="shared" si="74"/>
        <v>0</v>
      </c>
    </row>
    <row r="208" spans="1:17" s="2" customFormat="1">
      <c r="A208" s="105" t="s">
        <v>447</v>
      </c>
      <c r="B208" s="63" t="s">
        <v>1629</v>
      </c>
      <c r="C208" s="63" t="s">
        <v>448</v>
      </c>
      <c r="D208" s="63"/>
      <c r="E208" s="63" t="s">
        <v>162</v>
      </c>
      <c r="F208" s="64">
        <f>+F209+F244+F262+F297+F315+F333</f>
        <v>21390366000</v>
      </c>
      <c r="G208" s="64">
        <f t="shared" ref="G208:O208" si="75">+G209+G244+G262+G297+G315+G333</f>
        <v>39971180</v>
      </c>
      <c r="H208" s="64">
        <f t="shared" si="75"/>
        <v>530702198</v>
      </c>
      <c r="I208" s="64">
        <f t="shared" si="75"/>
        <v>21921068198</v>
      </c>
      <c r="J208" s="64">
        <f t="shared" si="75"/>
        <v>1045500000</v>
      </c>
      <c r="K208" s="64">
        <f t="shared" si="75"/>
        <v>21262310864</v>
      </c>
      <c r="L208" s="64">
        <f t="shared" si="75"/>
        <v>1138546086</v>
      </c>
      <c r="M208" s="64">
        <f t="shared" si="75"/>
        <v>12739955117</v>
      </c>
      <c r="N208" s="64">
        <f t="shared" si="75"/>
        <v>533002534</v>
      </c>
      <c r="O208" s="64">
        <f t="shared" si="75"/>
        <v>9044099202</v>
      </c>
      <c r="P208" s="235">
        <f t="shared" si="74"/>
        <v>0.58117401040531169</v>
      </c>
    </row>
    <row r="209" spans="1:16" s="3" customFormat="1">
      <c r="A209" s="169" t="s">
        <v>449</v>
      </c>
      <c r="B209" s="146" t="s">
        <v>1918</v>
      </c>
      <c r="C209" s="147" t="s">
        <v>450</v>
      </c>
      <c r="D209" s="65"/>
      <c r="E209" s="32" t="s">
        <v>165</v>
      </c>
      <c r="F209" s="66">
        <f>+F210+F227</f>
        <v>6560298000</v>
      </c>
      <c r="G209" s="66">
        <f t="shared" ref="G209:O209" si="76">+G210+G227</f>
        <v>19950000</v>
      </c>
      <c r="H209" s="66">
        <f t="shared" si="76"/>
        <v>264784239</v>
      </c>
      <c r="I209" s="66">
        <f t="shared" si="76"/>
        <v>6825082239</v>
      </c>
      <c r="J209" s="66">
        <f t="shared" si="76"/>
        <v>434500000</v>
      </c>
      <c r="K209" s="66">
        <f t="shared" si="76"/>
        <v>6500704189</v>
      </c>
      <c r="L209" s="66">
        <f t="shared" si="76"/>
        <v>219849700</v>
      </c>
      <c r="M209" s="66">
        <f t="shared" si="76"/>
        <v>3118531170</v>
      </c>
      <c r="N209" s="66">
        <f t="shared" si="76"/>
        <v>219849700</v>
      </c>
      <c r="O209" s="66">
        <f t="shared" si="76"/>
        <v>3118531170</v>
      </c>
      <c r="P209" s="236">
        <f t="shared" si="74"/>
        <v>0.4569221381949124</v>
      </c>
    </row>
    <row r="210" spans="1:16" s="3" customFormat="1">
      <c r="A210" s="134" t="s">
        <v>451</v>
      </c>
      <c r="B210" s="123" t="s">
        <v>1919</v>
      </c>
      <c r="C210" s="124" t="s">
        <v>452</v>
      </c>
      <c r="D210" s="67"/>
      <c r="E210" s="25" t="s">
        <v>168</v>
      </c>
      <c r="F210" s="68">
        <f>+F211+F220</f>
        <v>3852013000</v>
      </c>
      <c r="G210" s="68">
        <f t="shared" ref="G210:O210" si="77">+G211+G220</f>
        <v>8606460</v>
      </c>
      <c r="H210" s="68">
        <f t="shared" si="77"/>
        <v>311899740</v>
      </c>
      <c r="I210" s="68">
        <f t="shared" si="77"/>
        <v>4163912740</v>
      </c>
      <c r="J210" s="68">
        <f t="shared" si="77"/>
        <v>272000000</v>
      </c>
      <c r="K210" s="68">
        <f t="shared" si="77"/>
        <v>3977610060</v>
      </c>
      <c r="L210" s="68">
        <f t="shared" si="77"/>
        <v>150290800</v>
      </c>
      <c r="M210" s="68">
        <f t="shared" si="77"/>
        <v>2031347340</v>
      </c>
      <c r="N210" s="68">
        <f t="shared" si="77"/>
        <v>150290800</v>
      </c>
      <c r="O210" s="68">
        <f t="shared" si="77"/>
        <v>2031347340</v>
      </c>
      <c r="P210" s="229">
        <f t="shared" si="74"/>
        <v>0.48784579957360008</v>
      </c>
    </row>
    <row r="211" spans="1:16" s="10" customFormat="1">
      <c r="A211" s="170"/>
      <c r="B211" s="125"/>
      <c r="C211" s="126" t="s">
        <v>453</v>
      </c>
      <c r="D211" s="29"/>
      <c r="E211" s="19" t="s">
        <v>454</v>
      </c>
      <c r="F211" s="20">
        <f>SUM(F212:F219)</f>
        <v>3563567000</v>
      </c>
      <c r="G211" s="20">
        <f t="shared" ref="G211:O211" si="78">SUM(G212:G219)</f>
        <v>8606460</v>
      </c>
      <c r="H211" s="20">
        <f t="shared" si="78"/>
        <v>235278481</v>
      </c>
      <c r="I211" s="20">
        <f t="shared" si="78"/>
        <v>3798845481</v>
      </c>
      <c r="J211" s="20">
        <f t="shared" si="78"/>
        <v>250000000</v>
      </c>
      <c r="K211" s="20">
        <f t="shared" si="78"/>
        <v>3655505681</v>
      </c>
      <c r="L211" s="20">
        <f t="shared" si="78"/>
        <v>150290800</v>
      </c>
      <c r="M211" s="20">
        <f t="shared" si="78"/>
        <v>1875626500</v>
      </c>
      <c r="N211" s="20">
        <f t="shared" si="78"/>
        <v>150290800</v>
      </c>
      <c r="O211" s="20">
        <f t="shared" si="78"/>
        <v>1875626500</v>
      </c>
      <c r="P211" s="243">
        <f t="shared" si="74"/>
        <v>0.49373592829215684</v>
      </c>
    </row>
    <row r="212" spans="1:16" s="10" customFormat="1">
      <c r="A212" s="107"/>
      <c r="B212" s="149" t="s">
        <v>1621</v>
      </c>
      <c r="C212" s="18" t="s">
        <v>455</v>
      </c>
      <c r="D212" s="30" t="s">
        <v>1936</v>
      </c>
      <c r="E212" s="17" t="s">
        <v>456</v>
      </c>
      <c r="F212" s="16">
        <v>616835000</v>
      </c>
      <c r="G212" s="203">
        <v>0</v>
      </c>
      <c r="H212" s="203">
        <v>27000000</v>
      </c>
      <c r="I212" s="203">
        <v>643835000</v>
      </c>
      <c r="J212" s="203">
        <v>0</v>
      </c>
      <c r="K212" s="203">
        <v>643835000</v>
      </c>
      <c r="L212" s="203">
        <v>31655700</v>
      </c>
      <c r="M212" s="203">
        <v>314254830</v>
      </c>
      <c r="N212" s="203">
        <v>31655700</v>
      </c>
      <c r="O212" s="203">
        <v>314254830</v>
      </c>
      <c r="P212" s="237">
        <f t="shared" si="74"/>
        <v>0.48809839477505884</v>
      </c>
    </row>
    <row r="213" spans="1:16" s="10" customFormat="1">
      <c r="A213" s="107"/>
      <c r="B213" s="149" t="s">
        <v>1622</v>
      </c>
      <c r="C213" s="18" t="s">
        <v>457</v>
      </c>
      <c r="D213" s="30" t="s">
        <v>1937</v>
      </c>
      <c r="E213" s="17" t="s">
        <v>458</v>
      </c>
      <c r="F213" s="16">
        <v>874393000</v>
      </c>
      <c r="G213" s="203">
        <v>0</v>
      </c>
      <c r="H213" s="203">
        <v>0</v>
      </c>
      <c r="I213" s="203">
        <v>874393000</v>
      </c>
      <c r="J213" s="203">
        <v>0</v>
      </c>
      <c r="K213" s="203">
        <v>874393000</v>
      </c>
      <c r="L213" s="203">
        <v>31390200</v>
      </c>
      <c r="M213" s="203">
        <v>420330590</v>
      </c>
      <c r="N213" s="203">
        <v>31390200</v>
      </c>
      <c r="O213" s="203">
        <v>420330590</v>
      </c>
      <c r="P213" s="237">
        <f t="shared" si="74"/>
        <v>0.48071129343441676</v>
      </c>
    </row>
    <row r="214" spans="1:16" s="10" customFormat="1">
      <c r="A214" s="107"/>
      <c r="B214" s="149" t="s">
        <v>1623</v>
      </c>
      <c r="C214" s="18" t="s">
        <v>459</v>
      </c>
      <c r="D214" s="30" t="s">
        <v>1938</v>
      </c>
      <c r="E214" s="17" t="s">
        <v>460</v>
      </c>
      <c r="F214" s="16">
        <v>416870000</v>
      </c>
      <c r="G214" s="203">
        <v>0</v>
      </c>
      <c r="H214" s="203">
        <v>57000000</v>
      </c>
      <c r="I214" s="203">
        <v>473870000</v>
      </c>
      <c r="J214" s="203">
        <v>0</v>
      </c>
      <c r="K214" s="203">
        <v>473870000</v>
      </c>
      <c r="L214" s="203">
        <v>17693200</v>
      </c>
      <c r="M214" s="203">
        <v>254935180</v>
      </c>
      <c r="N214" s="203">
        <v>17693200</v>
      </c>
      <c r="O214" s="203">
        <v>254935180</v>
      </c>
      <c r="P214" s="237">
        <f t="shared" si="74"/>
        <v>0.5379854812501319</v>
      </c>
    </row>
    <row r="215" spans="1:16" s="10" customFormat="1">
      <c r="A215" s="107"/>
      <c r="B215" s="149" t="s">
        <v>1624</v>
      </c>
      <c r="C215" s="18" t="s">
        <v>461</v>
      </c>
      <c r="D215" s="30" t="s">
        <v>1939</v>
      </c>
      <c r="E215" s="17" t="s">
        <v>462</v>
      </c>
      <c r="F215" s="16">
        <v>708277000</v>
      </c>
      <c r="G215" s="203">
        <v>0</v>
      </c>
      <c r="H215" s="203">
        <v>0</v>
      </c>
      <c r="I215" s="203">
        <v>708277000</v>
      </c>
      <c r="J215" s="203">
        <v>0</v>
      </c>
      <c r="K215" s="203">
        <v>708277000</v>
      </c>
      <c r="L215" s="203">
        <v>28243600</v>
      </c>
      <c r="M215" s="203">
        <v>362679790</v>
      </c>
      <c r="N215" s="203">
        <v>28243600</v>
      </c>
      <c r="O215" s="203">
        <v>362679790</v>
      </c>
      <c r="P215" s="237">
        <f t="shared" si="74"/>
        <v>0.51205925082983073</v>
      </c>
    </row>
    <row r="216" spans="1:16" s="10" customFormat="1">
      <c r="A216" s="107"/>
      <c r="B216" s="149" t="s">
        <v>1625</v>
      </c>
      <c r="C216" s="18" t="s">
        <v>463</v>
      </c>
      <c r="D216" s="30" t="s">
        <v>1940</v>
      </c>
      <c r="E216" s="17" t="s">
        <v>464</v>
      </c>
      <c r="F216" s="16">
        <v>620538000</v>
      </c>
      <c r="G216" s="203">
        <v>0</v>
      </c>
      <c r="H216" s="203">
        <v>69000000</v>
      </c>
      <c r="I216" s="203">
        <v>689538000</v>
      </c>
      <c r="J216" s="203">
        <v>250000000</v>
      </c>
      <c r="K216" s="203">
        <v>554804660</v>
      </c>
      <c r="L216" s="203">
        <v>21565800</v>
      </c>
      <c r="M216" s="203">
        <v>326370460</v>
      </c>
      <c r="N216" s="203">
        <v>21565800</v>
      </c>
      <c r="O216" s="203">
        <v>326370460</v>
      </c>
      <c r="P216" s="237">
        <f t="shared" si="74"/>
        <v>0.4733175836574634</v>
      </c>
    </row>
    <row r="217" spans="1:16" s="10" customFormat="1">
      <c r="A217" s="107"/>
      <c r="B217" s="149" t="s">
        <v>1626</v>
      </c>
      <c r="C217" s="18" t="s">
        <v>465</v>
      </c>
      <c r="D217" s="30" t="s">
        <v>1941</v>
      </c>
      <c r="E217" s="17" t="s">
        <v>466</v>
      </c>
      <c r="F217" s="16">
        <v>70870000</v>
      </c>
      <c r="G217" s="203">
        <v>8606460</v>
      </c>
      <c r="H217" s="203">
        <v>64402481</v>
      </c>
      <c r="I217" s="203">
        <v>135272481</v>
      </c>
      <c r="J217" s="203">
        <v>0</v>
      </c>
      <c r="K217" s="203">
        <v>126666021</v>
      </c>
      <c r="L217" s="203">
        <v>5032000</v>
      </c>
      <c r="M217" s="203">
        <v>63751430</v>
      </c>
      <c r="N217" s="203">
        <v>5032000</v>
      </c>
      <c r="O217" s="203">
        <v>63751430</v>
      </c>
      <c r="P217" s="237">
        <f t="shared" si="74"/>
        <v>0.47128159052542251</v>
      </c>
    </row>
    <row r="218" spans="1:16" s="10" customFormat="1">
      <c r="A218" s="107"/>
      <c r="B218" s="149" t="s">
        <v>1627</v>
      </c>
      <c r="C218" s="18" t="s">
        <v>467</v>
      </c>
      <c r="D218" s="30" t="s">
        <v>1942</v>
      </c>
      <c r="E218" s="17" t="s">
        <v>468</v>
      </c>
      <c r="F218" s="16">
        <v>237454000</v>
      </c>
      <c r="G218" s="203">
        <v>0</v>
      </c>
      <c r="H218" s="203">
        <v>7000000</v>
      </c>
      <c r="I218" s="203">
        <v>244454000</v>
      </c>
      <c r="J218" s="203">
        <v>0</v>
      </c>
      <c r="K218" s="203">
        <v>244454000</v>
      </c>
      <c r="L218" s="203">
        <v>14710300</v>
      </c>
      <c r="M218" s="203">
        <v>125889110</v>
      </c>
      <c r="N218" s="203">
        <v>14710300</v>
      </c>
      <c r="O218" s="203">
        <v>125889110</v>
      </c>
      <c r="P218" s="237">
        <f t="shared" si="74"/>
        <v>0.51498077347885496</v>
      </c>
    </row>
    <row r="219" spans="1:16" s="3" customFormat="1">
      <c r="A219" s="107"/>
      <c r="B219" s="149" t="s">
        <v>1628</v>
      </c>
      <c r="C219" s="18" t="s">
        <v>469</v>
      </c>
      <c r="D219" s="30" t="s">
        <v>1913</v>
      </c>
      <c r="E219" s="17" t="s">
        <v>470</v>
      </c>
      <c r="F219" s="16">
        <v>18330000</v>
      </c>
      <c r="G219" s="203">
        <v>0</v>
      </c>
      <c r="H219" s="203">
        <v>10876000</v>
      </c>
      <c r="I219" s="203">
        <v>29206000</v>
      </c>
      <c r="J219" s="203">
        <v>0</v>
      </c>
      <c r="K219" s="203">
        <v>29206000</v>
      </c>
      <c r="L219" s="203">
        <v>0</v>
      </c>
      <c r="M219" s="203">
        <v>7415110</v>
      </c>
      <c r="N219" s="203">
        <v>0</v>
      </c>
      <c r="O219" s="203">
        <v>7415110</v>
      </c>
      <c r="P219" s="237">
        <f t="shared" si="74"/>
        <v>0.25388995411901666</v>
      </c>
    </row>
    <row r="220" spans="1:16" s="10" customFormat="1">
      <c r="A220" s="170"/>
      <c r="B220" s="125"/>
      <c r="C220" s="126" t="s">
        <v>471</v>
      </c>
      <c r="D220" s="29"/>
      <c r="E220" s="19" t="s">
        <v>472</v>
      </c>
      <c r="F220" s="20">
        <f>SUM(F221:F226)</f>
        <v>288446000</v>
      </c>
      <c r="G220" s="20">
        <f t="shared" ref="G220:O220" si="79">SUM(G221:G226)</f>
        <v>0</v>
      </c>
      <c r="H220" s="20">
        <f t="shared" si="79"/>
        <v>76621259</v>
      </c>
      <c r="I220" s="20">
        <f t="shared" si="79"/>
        <v>365067259</v>
      </c>
      <c r="J220" s="20">
        <f t="shared" si="79"/>
        <v>22000000</v>
      </c>
      <c r="K220" s="20">
        <f t="shared" si="79"/>
        <v>322104379</v>
      </c>
      <c r="L220" s="20">
        <f t="shared" si="79"/>
        <v>0</v>
      </c>
      <c r="M220" s="20">
        <f t="shared" si="79"/>
        <v>155720840</v>
      </c>
      <c r="N220" s="20">
        <f t="shared" si="79"/>
        <v>0</v>
      </c>
      <c r="O220" s="20">
        <f t="shared" si="79"/>
        <v>155720840</v>
      </c>
      <c r="P220" s="243">
        <f t="shared" si="74"/>
        <v>0.42655383675477732</v>
      </c>
    </row>
    <row r="221" spans="1:16" s="10" customFormat="1">
      <c r="A221" s="107"/>
      <c r="B221" s="149" t="s">
        <v>1752</v>
      </c>
      <c r="C221" s="18" t="s">
        <v>473</v>
      </c>
      <c r="D221" s="30" t="s">
        <v>1936</v>
      </c>
      <c r="E221" s="17" t="s">
        <v>474</v>
      </c>
      <c r="F221" s="16">
        <v>43175000</v>
      </c>
      <c r="G221" s="203">
        <v>0</v>
      </c>
      <c r="H221" s="203">
        <v>20000000</v>
      </c>
      <c r="I221" s="203">
        <v>63175000</v>
      </c>
      <c r="J221" s="203">
        <v>0</v>
      </c>
      <c r="K221" s="203">
        <v>26454750</v>
      </c>
      <c r="L221" s="203">
        <v>0</v>
      </c>
      <c r="M221" s="203">
        <v>26454750</v>
      </c>
      <c r="N221" s="203">
        <v>0</v>
      </c>
      <c r="O221" s="203">
        <v>26454750</v>
      </c>
      <c r="P221" s="237">
        <f t="shared" si="74"/>
        <v>0.41875346260387813</v>
      </c>
    </row>
    <row r="222" spans="1:16" s="10" customFormat="1">
      <c r="A222" s="107"/>
      <c r="B222" s="149" t="s">
        <v>1753</v>
      </c>
      <c r="C222" s="18" t="s">
        <v>475</v>
      </c>
      <c r="D222" s="30" t="s">
        <v>1937</v>
      </c>
      <c r="E222" s="17" t="s">
        <v>476</v>
      </c>
      <c r="F222" s="16">
        <v>156016000</v>
      </c>
      <c r="G222" s="203">
        <v>0</v>
      </c>
      <c r="H222" s="203">
        <v>31391259</v>
      </c>
      <c r="I222" s="203">
        <v>187407259</v>
      </c>
      <c r="J222" s="203">
        <v>0</v>
      </c>
      <c r="K222" s="203">
        <v>187407259</v>
      </c>
      <c r="L222" s="203">
        <v>0</v>
      </c>
      <c r="M222" s="203">
        <v>75092040</v>
      </c>
      <c r="N222" s="203">
        <v>0</v>
      </c>
      <c r="O222" s="203">
        <v>75092040</v>
      </c>
      <c r="P222" s="237">
        <f t="shared" si="74"/>
        <v>0.40068906829270684</v>
      </c>
    </row>
    <row r="223" spans="1:16" s="10" customFormat="1">
      <c r="A223" s="107"/>
      <c r="B223" s="149" t="s">
        <v>1754</v>
      </c>
      <c r="C223" s="18" t="s">
        <v>477</v>
      </c>
      <c r="D223" s="30" t="s">
        <v>1938</v>
      </c>
      <c r="E223" s="17" t="s">
        <v>478</v>
      </c>
      <c r="F223" s="16">
        <v>8032000</v>
      </c>
      <c r="G223" s="203">
        <v>0</v>
      </c>
      <c r="H223" s="203">
        <v>4230000</v>
      </c>
      <c r="I223" s="203">
        <v>12262000</v>
      </c>
      <c r="J223" s="203">
        <v>0</v>
      </c>
      <c r="K223" s="203">
        <v>12262000</v>
      </c>
      <c r="L223" s="203">
        <v>0</v>
      </c>
      <c r="M223" s="203">
        <v>8543780</v>
      </c>
      <c r="N223" s="203">
        <v>0</v>
      </c>
      <c r="O223" s="203">
        <v>8543780</v>
      </c>
      <c r="P223" s="237">
        <f t="shared" si="74"/>
        <v>0.69676887946501387</v>
      </c>
    </row>
    <row r="224" spans="1:16" s="10" customFormat="1">
      <c r="A224" s="107"/>
      <c r="B224" s="149" t="s">
        <v>1755</v>
      </c>
      <c r="C224" s="18" t="s">
        <v>479</v>
      </c>
      <c r="D224" s="30" t="s">
        <v>1939</v>
      </c>
      <c r="E224" s="17" t="s">
        <v>480</v>
      </c>
      <c r="F224" s="16">
        <v>49392000</v>
      </c>
      <c r="G224" s="203">
        <v>0</v>
      </c>
      <c r="H224" s="203">
        <v>0</v>
      </c>
      <c r="I224" s="203">
        <v>49392000</v>
      </c>
      <c r="J224" s="203">
        <v>0</v>
      </c>
      <c r="K224" s="203">
        <v>49392000</v>
      </c>
      <c r="L224" s="203">
        <v>0</v>
      </c>
      <c r="M224" s="203">
        <v>21041900</v>
      </c>
      <c r="N224" s="203">
        <v>0</v>
      </c>
      <c r="O224" s="203">
        <v>21041900</v>
      </c>
      <c r="P224" s="237">
        <f t="shared" si="74"/>
        <v>0.42601838354389376</v>
      </c>
    </row>
    <row r="225" spans="1:16" s="10" customFormat="1">
      <c r="A225" s="107"/>
      <c r="B225" s="149" t="s">
        <v>1756</v>
      </c>
      <c r="C225" s="18" t="s">
        <v>481</v>
      </c>
      <c r="D225" s="30" t="s">
        <v>1940</v>
      </c>
      <c r="E225" s="17" t="s">
        <v>482</v>
      </c>
      <c r="F225" s="16">
        <v>31831000</v>
      </c>
      <c r="G225" s="203">
        <v>0</v>
      </c>
      <c r="H225" s="203">
        <v>21000000</v>
      </c>
      <c r="I225" s="203">
        <v>52831000</v>
      </c>
      <c r="J225" s="203">
        <v>22000000</v>
      </c>
      <c r="K225" s="203">
        <v>46588370</v>
      </c>
      <c r="L225" s="203">
        <v>0</v>
      </c>
      <c r="M225" s="203">
        <v>24588370</v>
      </c>
      <c r="N225" s="203">
        <v>0</v>
      </c>
      <c r="O225" s="203">
        <v>24588370</v>
      </c>
      <c r="P225" s="237">
        <f t="shared" si="74"/>
        <v>0.46541557040374021</v>
      </c>
    </row>
    <row r="226" spans="1:16" s="3" customFormat="1">
      <c r="A226" s="107"/>
      <c r="B226" s="149"/>
      <c r="C226" s="18" t="s">
        <v>483</v>
      </c>
      <c r="D226" s="30" t="s">
        <v>1942</v>
      </c>
      <c r="E226" s="203" t="s">
        <v>484</v>
      </c>
      <c r="F226" s="16">
        <v>0</v>
      </c>
      <c r="G226" s="203">
        <v>0</v>
      </c>
      <c r="H226" s="203">
        <v>0</v>
      </c>
      <c r="I226" s="203">
        <v>0</v>
      </c>
      <c r="J226" s="203">
        <v>0</v>
      </c>
      <c r="K226" s="203">
        <v>0</v>
      </c>
      <c r="L226" s="203">
        <v>0</v>
      </c>
      <c r="M226" s="203">
        <v>0</v>
      </c>
      <c r="N226" s="203">
        <v>0</v>
      </c>
      <c r="O226" s="203">
        <v>0</v>
      </c>
      <c r="P226" s="237">
        <f t="shared" si="74"/>
        <v>0</v>
      </c>
    </row>
    <row r="227" spans="1:16" s="3" customFormat="1">
      <c r="A227" s="134" t="s">
        <v>485</v>
      </c>
      <c r="B227" s="123" t="s">
        <v>1700</v>
      </c>
      <c r="C227" s="124" t="s">
        <v>486</v>
      </c>
      <c r="D227" s="67"/>
      <c r="E227" s="25" t="s">
        <v>177</v>
      </c>
      <c r="F227" s="68">
        <f>+F228+F237</f>
        <v>2708285000</v>
      </c>
      <c r="G227" s="68">
        <f t="shared" ref="G227:N227" si="80">+G228+G237</f>
        <v>11343540</v>
      </c>
      <c r="H227" s="68">
        <f t="shared" si="80"/>
        <v>-47115501</v>
      </c>
      <c r="I227" s="68">
        <f t="shared" si="80"/>
        <v>2661169499</v>
      </c>
      <c r="J227" s="68">
        <f t="shared" si="80"/>
        <v>162500000</v>
      </c>
      <c r="K227" s="68">
        <f t="shared" si="80"/>
        <v>2523094129</v>
      </c>
      <c r="L227" s="68">
        <f t="shared" si="80"/>
        <v>69558900</v>
      </c>
      <c r="M227" s="68">
        <f t="shared" si="80"/>
        <v>1087183830</v>
      </c>
      <c r="N227" s="68">
        <f t="shared" si="80"/>
        <v>69558900</v>
      </c>
      <c r="O227" s="68">
        <f>+O228+O237</f>
        <v>1087183830</v>
      </c>
      <c r="P227" s="229">
        <f t="shared" si="74"/>
        <v>0.40853610805645268</v>
      </c>
    </row>
    <row r="228" spans="1:16" s="10" customFormat="1">
      <c r="A228" s="170"/>
      <c r="B228" s="125"/>
      <c r="C228" s="126" t="s">
        <v>487</v>
      </c>
      <c r="D228" s="29"/>
      <c r="E228" s="19" t="s">
        <v>488</v>
      </c>
      <c r="F228" s="20">
        <f>SUM(F229:F236)</f>
        <v>2562977000</v>
      </c>
      <c r="G228" s="20">
        <f t="shared" ref="G228:N228" si="81">SUM(G229:G236)</f>
        <v>11343540</v>
      </c>
      <c r="H228" s="20">
        <f t="shared" si="81"/>
        <v>-50329528</v>
      </c>
      <c r="I228" s="20">
        <f t="shared" si="81"/>
        <v>2512647472</v>
      </c>
      <c r="J228" s="20">
        <f t="shared" si="81"/>
        <v>160000000</v>
      </c>
      <c r="K228" s="20">
        <f t="shared" si="81"/>
        <v>2401168622</v>
      </c>
      <c r="L228" s="20">
        <f t="shared" si="81"/>
        <v>69558900</v>
      </c>
      <c r="M228" s="20">
        <f t="shared" si="81"/>
        <v>1036195390</v>
      </c>
      <c r="N228" s="20">
        <f t="shared" si="81"/>
        <v>69558900</v>
      </c>
      <c r="O228" s="20">
        <f>SUM(O229:O236)</f>
        <v>1036195390</v>
      </c>
      <c r="P228" s="243">
        <f t="shared" si="74"/>
        <v>0.41239187014771167</v>
      </c>
    </row>
    <row r="229" spans="1:16" s="10" customFormat="1">
      <c r="A229" s="107"/>
      <c r="B229" s="149" t="s">
        <v>1614</v>
      </c>
      <c r="C229" s="18" t="s">
        <v>489</v>
      </c>
      <c r="D229" s="30" t="s">
        <v>1936</v>
      </c>
      <c r="E229" s="17" t="s">
        <v>490</v>
      </c>
      <c r="F229" s="16">
        <v>389721000</v>
      </c>
      <c r="G229" s="203">
        <v>0</v>
      </c>
      <c r="H229" s="203">
        <v>0</v>
      </c>
      <c r="I229" s="203">
        <v>389721000</v>
      </c>
      <c r="J229" s="203">
        <v>0</v>
      </c>
      <c r="K229" s="203">
        <v>389721000</v>
      </c>
      <c r="L229" s="203">
        <v>12964800</v>
      </c>
      <c r="M229" s="203">
        <v>152955360</v>
      </c>
      <c r="N229" s="203">
        <v>12964800</v>
      </c>
      <c r="O229" s="203">
        <v>152955360</v>
      </c>
      <c r="P229" s="237">
        <f t="shared" si="74"/>
        <v>0.39247400063122079</v>
      </c>
    </row>
    <row r="230" spans="1:16" s="10" customFormat="1">
      <c r="A230" s="107"/>
      <c r="B230" s="149" t="s">
        <v>1615</v>
      </c>
      <c r="C230" s="18" t="s">
        <v>491</v>
      </c>
      <c r="D230" s="30" t="s">
        <v>1937</v>
      </c>
      <c r="E230" s="17" t="s">
        <v>492</v>
      </c>
      <c r="F230" s="16">
        <v>550027000</v>
      </c>
      <c r="G230" s="203">
        <v>0</v>
      </c>
      <c r="H230" s="203">
        <v>0</v>
      </c>
      <c r="I230" s="203">
        <v>550027000</v>
      </c>
      <c r="J230" s="203">
        <v>0</v>
      </c>
      <c r="K230" s="203">
        <v>550027000</v>
      </c>
      <c r="L230" s="203">
        <v>6786700</v>
      </c>
      <c r="M230" s="203">
        <v>205570480</v>
      </c>
      <c r="N230" s="203">
        <v>6786700</v>
      </c>
      <c r="O230" s="203">
        <v>205570480</v>
      </c>
      <c r="P230" s="237">
        <f t="shared" si="74"/>
        <v>0.37374616155206924</v>
      </c>
    </row>
    <row r="231" spans="1:16" s="10" customFormat="1">
      <c r="A231" s="107"/>
      <c r="B231" s="149" t="s">
        <v>1616</v>
      </c>
      <c r="C231" s="18" t="s">
        <v>493</v>
      </c>
      <c r="D231" s="30" t="s">
        <v>1938</v>
      </c>
      <c r="E231" s="17" t="s">
        <v>494</v>
      </c>
      <c r="F231" s="16">
        <v>341076000</v>
      </c>
      <c r="G231" s="203">
        <v>0</v>
      </c>
      <c r="H231" s="203">
        <v>-57000000</v>
      </c>
      <c r="I231" s="203">
        <v>284076000</v>
      </c>
      <c r="J231" s="203">
        <v>0</v>
      </c>
      <c r="K231" s="203">
        <v>284076000</v>
      </c>
      <c r="L231" s="203">
        <v>7968400</v>
      </c>
      <c r="M231" s="203">
        <v>136573750</v>
      </c>
      <c r="N231" s="203">
        <v>7968400</v>
      </c>
      <c r="O231" s="203">
        <v>136573750</v>
      </c>
      <c r="P231" s="237">
        <f t="shared" si="74"/>
        <v>0.48076483053830665</v>
      </c>
    </row>
    <row r="232" spans="1:16" s="10" customFormat="1">
      <c r="A232" s="107"/>
      <c r="B232" s="149" t="s">
        <v>1617</v>
      </c>
      <c r="C232" s="18" t="s">
        <v>495</v>
      </c>
      <c r="D232" s="30" t="s">
        <v>1939</v>
      </c>
      <c r="E232" s="17" t="s">
        <v>496</v>
      </c>
      <c r="F232" s="16">
        <v>472185000</v>
      </c>
      <c r="G232" s="203">
        <v>0</v>
      </c>
      <c r="H232" s="203">
        <v>0</v>
      </c>
      <c r="I232" s="203">
        <v>472185000</v>
      </c>
      <c r="J232" s="203">
        <v>0</v>
      </c>
      <c r="K232" s="203">
        <v>472185000</v>
      </c>
      <c r="L232" s="203">
        <v>14926400</v>
      </c>
      <c r="M232" s="203">
        <v>195545570</v>
      </c>
      <c r="N232" s="203">
        <v>14926400</v>
      </c>
      <c r="O232" s="203">
        <v>195545570</v>
      </c>
      <c r="P232" s="237">
        <f t="shared" si="74"/>
        <v>0.41412914429725639</v>
      </c>
    </row>
    <row r="233" spans="1:16" s="10" customFormat="1">
      <c r="A233" s="107"/>
      <c r="B233" s="149" t="s">
        <v>1618</v>
      </c>
      <c r="C233" s="18" t="s">
        <v>497</v>
      </c>
      <c r="D233" s="30" t="s">
        <v>1940</v>
      </c>
      <c r="E233" s="17" t="s">
        <v>498</v>
      </c>
      <c r="F233" s="16">
        <v>443813000</v>
      </c>
      <c r="G233" s="203">
        <v>0</v>
      </c>
      <c r="H233" s="203">
        <v>0</v>
      </c>
      <c r="I233" s="203">
        <v>443813000</v>
      </c>
      <c r="J233" s="203">
        <v>160000000</v>
      </c>
      <c r="K233" s="203">
        <v>343677690</v>
      </c>
      <c r="L233" s="203">
        <v>11567300</v>
      </c>
      <c r="M233" s="203">
        <v>195244990</v>
      </c>
      <c r="N233" s="203">
        <v>11567300</v>
      </c>
      <c r="O233" s="203">
        <v>195244990</v>
      </c>
      <c r="P233" s="237">
        <f t="shared" si="74"/>
        <v>0.43992625272355701</v>
      </c>
    </row>
    <row r="234" spans="1:16" s="10" customFormat="1">
      <c r="A234" s="107"/>
      <c r="B234" s="149" t="s">
        <v>1619</v>
      </c>
      <c r="C234" s="18" t="s">
        <v>499</v>
      </c>
      <c r="D234" s="30" t="s">
        <v>1941</v>
      </c>
      <c r="E234" s="17" t="s">
        <v>500</v>
      </c>
      <c r="F234" s="16">
        <v>129620000</v>
      </c>
      <c r="G234" s="203">
        <v>11343540</v>
      </c>
      <c r="H234" s="203">
        <v>-19329528</v>
      </c>
      <c r="I234" s="203">
        <v>110290472</v>
      </c>
      <c r="J234" s="203">
        <v>0</v>
      </c>
      <c r="K234" s="203">
        <v>98946932</v>
      </c>
      <c r="L234" s="203">
        <v>2259900</v>
      </c>
      <c r="M234" s="203">
        <v>45845620</v>
      </c>
      <c r="N234" s="203">
        <v>2259900</v>
      </c>
      <c r="O234" s="203">
        <v>45845620</v>
      </c>
      <c r="P234" s="237">
        <f t="shared" si="74"/>
        <v>0.41568069452091927</v>
      </c>
    </row>
    <row r="235" spans="1:16" s="10" customFormat="1">
      <c r="A235" s="107"/>
      <c r="B235" s="149" t="s">
        <v>1620</v>
      </c>
      <c r="C235" s="18" t="s">
        <v>501</v>
      </c>
      <c r="D235" s="30" t="s">
        <v>1942</v>
      </c>
      <c r="E235" s="17" t="s">
        <v>502</v>
      </c>
      <c r="F235" s="16">
        <v>216642000</v>
      </c>
      <c r="G235" s="203">
        <v>0</v>
      </c>
      <c r="H235" s="203">
        <v>26000000</v>
      </c>
      <c r="I235" s="203">
        <v>242642000</v>
      </c>
      <c r="J235" s="203">
        <v>0</v>
      </c>
      <c r="K235" s="203">
        <v>242642000</v>
      </c>
      <c r="L235" s="203">
        <v>13085400</v>
      </c>
      <c r="M235" s="203">
        <v>102872870</v>
      </c>
      <c r="N235" s="203">
        <v>13085400</v>
      </c>
      <c r="O235" s="203">
        <v>102872870</v>
      </c>
      <c r="P235" s="237">
        <f t="shared" si="74"/>
        <v>0.42396975791495289</v>
      </c>
    </row>
    <row r="236" spans="1:16" s="3" customFormat="1">
      <c r="A236" s="107"/>
      <c r="B236" s="149" t="s">
        <v>2014</v>
      </c>
      <c r="C236" s="18" t="s">
        <v>503</v>
      </c>
      <c r="D236" s="30" t="s">
        <v>1913</v>
      </c>
      <c r="E236" s="17" t="s">
        <v>504</v>
      </c>
      <c r="F236" s="16">
        <v>19893000</v>
      </c>
      <c r="G236" s="203">
        <v>0</v>
      </c>
      <c r="H236" s="203">
        <v>0</v>
      </c>
      <c r="I236" s="203">
        <v>19893000</v>
      </c>
      <c r="J236" s="203">
        <v>0</v>
      </c>
      <c r="K236" s="203">
        <v>19893000</v>
      </c>
      <c r="L236" s="203">
        <v>0</v>
      </c>
      <c r="M236" s="203">
        <v>1586750</v>
      </c>
      <c r="N236" s="203">
        <v>0</v>
      </c>
      <c r="O236" s="203">
        <v>1586750</v>
      </c>
      <c r="P236" s="237">
        <f t="shared" si="74"/>
        <v>7.9764238676921534E-2</v>
      </c>
    </row>
    <row r="237" spans="1:16" s="10" customFormat="1">
      <c r="A237" s="170"/>
      <c r="B237" s="125"/>
      <c r="C237" s="126" t="s">
        <v>505</v>
      </c>
      <c r="D237" s="29"/>
      <c r="E237" s="19" t="s">
        <v>506</v>
      </c>
      <c r="F237" s="20">
        <f>SUM(F238:F243)</f>
        <v>145308000</v>
      </c>
      <c r="G237" s="20">
        <f t="shared" ref="G237:O237" si="82">SUM(G238:G243)</f>
        <v>0</v>
      </c>
      <c r="H237" s="20">
        <f t="shared" si="82"/>
        <v>3214027</v>
      </c>
      <c r="I237" s="20">
        <f t="shared" si="82"/>
        <v>148522027</v>
      </c>
      <c r="J237" s="20">
        <f t="shared" si="82"/>
        <v>2500000</v>
      </c>
      <c r="K237" s="20">
        <f t="shared" si="82"/>
        <v>121925507</v>
      </c>
      <c r="L237" s="20">
        <f t="shared" si="82"/>
        <v>0</v>
      </c>
      <c r="M237" s="20">
        <f t="shared" si="82"/>
        <v>50988440</v>
      </c>
      <c r="N237" s="20">
        <f t="shared" si="82"/>
        <v>0</v>
      </c>
      <c r="O237" s="20">
        <f t="shared" si="82"/>
        <v>50988440</v>
      </c>
      <c r="P237" s="243">
        <f t="shared" si="74"/>
        <v>0.34330557581199722</v>
      </c>
    </row>
    <row r="238" spans="1:16" s="10" customFormat="1">
      <c r="A238" s="107"/>
      <c r="B238" s="149" t="s">
        <v>1609</v>
      </c>
      <c r="C238" s="18" t="s">
        <v>507</v>
      </c>
      <c r="D238" s="30" t="s">
        <v>1936</v>
      </c>
      <c r="E238" s="17" t="s">
        <v>508</v>
      </c>
      <c r="F238" s="16">
        <v>36604000</v>
      </c>
      <c r="G238" s="203">
        <v>0</v>
      </c>
      <c r="H238" s="203">
        <v>1500000</v>
      </c>
      <c r="I238" s="203">
        <v>38104000</v>
      </c>
      <c r="J238" s="203">
        <v>0</v>
      </c>
      <c r="K238" s="203">
        <v>14401550</v>
      </c>
      <c r="L238" s="203">
        <v>0</v>
      </c>
      <c r="M238" s="203">
        <v>14401550</v>
      </c>
      <c r="N238" s="203">
        <v>0</v>
      </c>
      <c r="O238" s="203">
        <v>14401550</v>
      </c>
      <c r="P238" s="237">
        <f t="shared" si="74"/>
        <v>0.37795375813562881</v>
      </c>
    </row>
    <row r="239" spans="1:16" s="10" customFormat="1">
      <c r="A239" s="107"/>
      <c r="B239" s="149" t="s">
        <v>1610</v>
      </c>
      <c r="C239" s="18" t="s">
        <v>509</v>
      </c>
      <c r="D239" s="30" t="s">
        <v>1937</v>
      </c>
      <c r="E239" s="17" t="s">
        <v>510</v>
      </c>
      <c r="F239" s="16">
        <v>62476000</v>
      </c>
      <c r="G239" s="203">
        <v>0</v>
      </c>
      <c r="H239" s="203">
        <v>3444027</v>
      </c>
      <c r="I239" s="203">
        <v>65920027</v>
      </c>
      <c r="J239" s="203">
        <v>0</v>
      </c>
      <c r="K239" s="203">
        <v>65920027</v>
      </c>
      <c r="L239" s="203">
        <v>0</v>
      </c>
      <c r="M239" s="203">
        <v>24820640</v>
      </c>
      <c r="N239" s="203">
        <v>0</v>
      </c>
      <c r="O239" s="203">
        <v>24820640</v>
      </c>
      <c r="P239" s="237">
        <f t="shared" si="74"/>
        <v>0.37652654480860576</v>
      </c>
    </row>
    <row r="240" spans="1:16" s="10" customFormat="1">
      <c r="A240" s="107"/>
      <c r="B240" s="149" t="s">
        <v>1611</v>
      </c>
      <c r="C240" s="18" t="s">
        <v>511</v>
      </c>
      <c r="D240" s="30" t="s">
        <v>1938</v>
      </c>
      <c r="E240" s="17" t="s">
        <v>512</v>
      </c>
      <c r="F240" s="16">
        <v>8032000</v>
      </c>
      <c r="G240" s="203">
        <v>0</v>
      </c>
      <c r="H240" s="203">
        <v>-4230000</v>
      </c>
      <c r="I240" s="203">
        <v>3802000</v>
      </c>
      <c r="J240" s="203">
        <v>0</v>
      </c>
      <c r="K240" s="203">
        <v>3802000</v>
      </c>
      <c r="L240" s="203">
        <v>0</v>
      </c>
      <c r="M240" s="203">
        <v>459690</v>
      </c>
      <c r="N240" s="203">
        <v>0</v>
      </c>
      <c r="O240" s="203">
        <v>459690</v>
      </c>
      <c r="P240" s="237">
        <f t="shared" si="74"/>
        <v>0.12090741714886902</v>
      </c>
    </row>
    <row r="241" spans="1:16" s="10" customFormat="1">
      <c r="A241" s="107"/>
      <c r="B241" s="149" t="s">
        <v>1612</v>
      </c>
      <c r="C241" s="18" t="s">
        <v>513</v>
      </c>
      <c r="D241" s="30" t="s">
        <v>1939</v>
      </c>
      <c r="E241" s="17" t="s">
        <v>514</v>
      </c>
      <c r="F241" s="16">
        <v>34670000</v>
      </c>
      <c r="G241" s="203">
        <v>0</v>
      </c>
      <c r="H241" s="203">
        <v>0</v>
      </c>
      <c r="I241" s="203">
        <v>34670000</v>
      </c>
      <c r="J241" s="203">
        <v>0</v>
      </c>
      <c r="K241" s="203">
        <v>34670000</v>
      </c>
      <c r="L241" s="203">
        <v>0</v>
      </c>
      <c r="M241" s="203">
        <v>10674630</v>
      </c>
      <c r="N241" s="203">
        <v>0</v>
      </c>
      <c r="O241" s="203">
        <v>10674630</v>
      </c>
      <c r="P241" s="237">
        <f t="shared" si="74"/>
        <v>0.30789241419094315</v>
      </c>
    </row>
    <row r="242" spans="1:16" s="10" customFormat="1">
      <c r="A242" s="107"/>
      <c r="B242" s="149" t="s">
        <v>1613</v>
      </c>
      <c r="C242" s="18" t="s">
        <v>515</v>
      </c>
      <c r="D242" s="30" t="s">
        <v>1940</v>
      </c>
      <c r="E242" s="17" t="s">
        <v>516</v>
      </c>
      <c r="F242" s="16">
        <v>3526000</v>
      </c>
      <c r="G242" s="203">
        <v>0</v>
      </c>
      <c r="H242" s="203">
        <v>2500000</v>
      </c>
      <c r="I242" s="203">
        <v>6026000</v>
      </c>
      <c r="J242" s="203">
        <v>2500000</v>
      </c>
      <c r="K242" s="203">
        <v>3131930</v>
      </c>
      <c r="L242" s="203">
        <v>0</v>
      </c>
      <c r="M242" s="203">
        <v>631930</v>
      </c>
      <c r="N242" s="203">
        <v>0</v>
      </c>
      <c r="O242" s="203">
        <v>631930</v>
      </c>
      <c r="P242" s="237">
        <f t="shared" si="74"/>
        <v>0.10486724195154332</v>
      </c>
    </row>
    <row r="243" spans="1:16" s="2" customFormat="1">
      <c r="A243" s="107"/>
      <c r="B243" s="149"/>
      <c r="C243" s="18" t="s">
        <v>517</v>
      </c>
      <c r="D243" s="30" t="s">
        <v>1942</v>
      </c>
      <c r="E243" s="203" t="s">
        <v>518</v>
      </c>
      <c r="F243" s="16">
        <v>0</v>
      </c>
      <c r="G243" s="203">
        <v>0</v>
      </c>
      <c r="H243" s="203">
        <v>0</v>
      </c>
      <c r="I243" s="203">
        <v>0</v>
      </c>
      <c r="J243" s="203">
        <v>0</v>
      </c>
      <c r="K243" s="203">
        <v>0</v>
      </c>
      <c r="L243" s="203">
        <v>0</v>
      </c>
      <c r="M243" s="203">
        <v>0</v>
      </c>
      <c r="N243" s="203">
        <v>0</v>
      </c>
      <c r="O243" s="203">
        <v>0</v>
      </c>
      <c r="P243" s="237">
        <f t="shared" si="74"/>
        <v>0</v>
      </c>
    </row>
    <row r="244" spans="1:16" s="3" customFormat="1">
      <c r="A244" s="169" t="s">
        <v>519</v>
      </c>
      <c r="B244" s="146" t="s">
        <v>1917</v>
      </c>
      <c r="C244" s="147" t="s">
        <v>520</v>
      </c>
      <c r="D244" s="65"/>
      <c r="E244" s="32" t="s">
        <v>186</v>
      </c>
      <c r="F244" s="66">
        <f>+F245</f>
        <v>4689738000</v>
      </c>
      <c r="G244" s="66">
        <f t="shared" ref="G244:O244" si="83">+G245</f>
        <v>8432590</v>
      </c>
      <c r="H244" s="66">
        <f t="shared" si="83"/>
        <v>51723212</v>
      </c>
      <c r="I244" s="66">
        <f t="shared" si="83"/>
        <v>4741461212</v>
      </c>
      <c r="J244" s="66">
        <f t="shared" si="83"/>
        <v>316000000</v>
      </c>
      <c r="K244" s="66">
        <f t="shared" si="83"/>
        <v>4576193922</v>
      </c>
      <c r="L244" s="66">
        <f t="shared" si="83"/>
        <v>156576800</v>
      </c>
      <c r="M244" s="66">
        <f t="shared" si="83"/>
        <v>2227903900</v>
      </c>
      <c r="N244" s="66">
        <f t="shared" si="83"/>
        <v>156576800</v>
      </c>
      <c r="O244" s="66">
        <f t="shared" si="83"/>
        <v>2227903900</v>
      </c>
      <c r="P244" s="236">
        <f t="shared" si="74"/>
        <v>0.46987706961758435</v>
      </c>
    </row>
    <row r="245" spans="1:16" s="3" customFormat="1">
      <c r="A245" s="134" t="s">
        <v>521</v>
      </c>
      <c r="B245" s="123" t="s">
        <v>1916</v>
      </c>
      <c r="C245" s="124" t="s">
        <v>522</v>
      </c>
      <c r="D245" s="67"/>
      <c r="E245" s="25" t="s">
        <v>189</v>
      </c>
      <c r="F245" s="68">
        <f>+F246+F255</f>
        <v>4689738000</v>
      </c>
      <c r="G245" s="68">
        <f t="shared" ref="G245:O245" si="84">+G246+G255</f>
        <v>8432590</v>
      </c>
      <c r="H245" s="68">
        <f t="shared" si="84"/>
        <v>51723212</v>
      </c>
      <c r="I245" s="68">
        <f t="shared" si="84"/>
        <v>4741461212</v>
      </c>
      <c r="J245" s="68">
        <f t="shared" si="84"/>
        <v>316000000</v>
      </c>
      <c r="K245" s="68">
        <f t="shared" si="84"/>
        <v>4576193922</v>
      </c>
      <c r="L245" s="68">
        <f t="shared" si="84"/>
        <v>156576800</v>
      </c>
      <c r="M245" s="68">
        <f t="shared" si="84"/>
        <v>2227903900</v>
      </c>
      <c r="N245" s="68">
        <f t="shared" si="84"/>
        <v>156576800</v>
      </c>
      <c r="O245" s="68">
        <f t="shared" si="84"/>
        <v>2227903900</v>
      </c>
      <c r="P245" s="229">
        <f t="shared" si="74"/>
        <v>0.46987706961758435</v>
      </c>
    </row>
    <row r="246" spans="1:16" s="10" customFormat="1">
      <c r="A246" s="170"/>
      <c r="B246" s="125"/>
      <c r="C246" s="126" t="s">
        <v>523</v>
      </c>
      <c r="D246" s="29"/>
      <c r="E246" s="19" t="s">
        <v>524</v>
      </c>
      <c r="F246" s="20">
        <f>SUM(F247:F254)</f>
        <v>4391525000</v>
      </c>
      <c r="G246" s="20">
        <f t="shared" ref="G246:O246" si="85">SUM(G247:G254)</f>
        <v>8432590</v>
      </c>
      <c r="H246" s="20">
        <f t="shared" si="85"/>
        <v>-847942</v>
      </c>
      <c r="I246" s="20">
        <f t="shared" si="85"/>
        <v>4390677058</v>
      </c>
      <c r="J246" s="20">
        <f t="shared" si="85"/>
        <v>300000000</v>
      </c>
      <c r="K246" s="20">
        <f t="shared" si="85"/>
        <v>4273089318</v>
      </c>
      <c r="L246" s="20">
        <f t="shared" si="85"/>
        <v>156576800</v>
      </c>
      <c r="M246" s="20">
        <f t="shared" si="85"/>
        <v>2081488420</v>
      </c>
      <c r="N246" s="20">
        <f t="shared" si="85"/>
        <v>156576800</v>
      </c>
      <c r="O246" s="20">
        <f t="shared" si="85"/>
        <v>2081488420</v>
      </c>
      <c r="P246" s="243">
        <f t="shared" si="74"/>
        <v>0.47407003350598054</v>
      </c>
    </row>
    <row r="247" spans="1:16" s="10" customFormat="1">
      <c r="A247" s="107"/>
      <c r="B247" s="149" t="s">
        <v>1601</v>
      </c>
      <c r="C247" s="18" t="s">
        <v>525</v>
      </c>
      <c r="D247" s="30" t="s">
        <v>1936</v>
      </c>
      <c r="E247" s="17" t="s">
        <v>526</v>
      </c>
      <c r="F247" s="16">
        <v>733050000</v>
      </c>
      <c r="G247" s="203">
        <v>0</v>
      </c>
      <c r="H247" s="203">
        <v>0</v>
      </c>
      <c r="I247" s="203">
        <v>733050000</v>
      </c>
      <c r="J247" s="203">
        <v>0</v>
      </c>
      <c r="K247" s="203">
        <v>733050000</v>
      </c>
      <c r="L247" s="203">
        <v>32462600</v>
      </c>
      <c r="M247" s="203">
        <v>338880660</v>
      </c>
      <c r="N247" s="203">
        <v>32462600</v>
      </c>
      <c r="O247" s="203">
        <v>338880660</v>
      </c>
      <c r="P247" s="237">
        <f t="shared" si="74"/>
        <v>0.46228860241456926</v>
      </c>
    </row>
    <row r="248" spans="1:16" s="10" customFormat="1">
      <c r="A248" s="107"/>
      <c r="B248" s="149" t="s">
        <v>1602</v>
      </c>
      <c r="C248" s="18" t="s">
        <v>527</v>
      </c>
      <c r="D248" s="30" t="s">
        <v>1937</v>
      </c>
      <c r="E248" s="17" t="s">
        <v>528</v>
      </c>
      <c r="F248" s="16">
        <v>1008964000</v>
      </c>
      <c r="G248" s="203">
        <v>0</v>
      </c>
      <c r="H248" s="203">
        <v>0</v>
      </c>
      <c r="I248" s="203">
        <v>1008964000</v>
      </c>
      <c r="J248" s="203">
        <v>0</v>
      </c>
      <c r="K248" s="203">
        <v>1008964000</v>
      </c>
      <c r="L248" s="203">
        <v>27040400</v>
      </c>
      <c r="M248" s="203">
        <v>444427620</v>
      </c>
      <c r="N248" s="203">
        <v>27040400</v>
      </c>
      <c r="O248" s="203">
        <v>444427620</v>
      </c>
      <c r="P248" s="237">
        <f t="shared" si="74"/>
        <v>0.44047916476702836</v>
      </c>
    </row>
    <row r="249" spans="1:16" s="10" customFormat="1">
      <c r="A249" s="107"/>
      <c r="B249" s="149" t="s">
        <v>1603</v>
      </c>
      <c r="C249" s="18" t="s">
        <v>529</v>
      </c>
      <c r="D249" s="30" t="s">
        <v>1938</v>
      </c>
      <c r="E249" s="17" t="s">
        <v>530</v>
      </c>
      <c r="F249" s="16">
        <v>536879000</v>
      </c>
      <c r="G249" s="203">
        <v>0</v>
      </c>
      <c r="H249" s="203">
        <v>0</v>
      </c>
      <c r="I249" s="203">
        <v>536879000</v>
      </c>
      <c r="J249" s="203">
        <v>0</v>
      </c>
      <c r="K249" s="203">
        <v>536879000</v>
      </c>
      <c r="L249" s="203">
        <v>18175900</v>
      </c>
      <c r="M249" s="203">
        <v>279043340</v>
      </c>
      <c r="N249" s="203">
        <v>18175900</v>
      </c>
      <c r="O249" s="203">
        <v>279043340</v>
      </c>
      <c r="P249" s="237">
        <f t="shared" si="74"/>
        <v>0.51975089359054838</v>
      </c>
    </row>
    <row r="250" spans="1:16" s="10" customFormat="1">
      <c r="A250" s="107"/>
      <c r="B250" s="149" t="s">
        <v>1604</v>
      </c>
      <c r="C250" s="18" t="s">
        <v>531</v>
      </c>
      <c r="D250" s="30" t="s">
        <v>1939</v>
      </c>
      <c r="E250" s="17" t="s">
        <v>532</v>
      </c>
      <c r="F250" s="16">
        <v>836160000</v>
      </c>
      <c r="G250" s="203">
        <v>0</v>
      </c>
      <c r="H250" s="203">
        <v>0</v>
      </c>
      <c r="I250" s="203">
        <v>836160000</v>
      </c>
      <c r="J250" s="203">
        <v>0</v>
      </c>
      <c r="K250" s="203">
        <v>836160000</v>
      </c>
      <c r="L250" s="203">
        <v>30576900</v>
      </c>
      <c r="M250" s="203">
        <v>398550260</v>
      </c>
      <c r="N250" s="203">
        <v>30576900</v>
      </c>
      <c r="O250" s="203">
        <v>398550260</v>
      </c>
      <c r="P250" s="237">
        <f t="shared" si="74"/>
        <v>0.47664353712208191</v>
      </c>
    </row>
    <row r="251" spans="1:16" s="10" customFormat="1">
      <c r="A251" s="107"/>
      <c r="B251" s="149" t="s">
        <v>1605</v>
      </c>
      <c r="C251" s="18" t="s">
        <v>533</v>
      </c>
      <c r="D251" s="30" t="s">
        <v>1940</v>
      </c>
      <c r="E251" s="17" t="s">
        <v>534</v>
      </c>
      <c r="F251" s="16">
        <v>760233000</v>
      </c>
      <c r="G251" s="203">
        <v>0</v>
      </c>
      <c r="H251" s="203">
        <v>0</v>
      </c>
      <c r="I251" s="203">
        <v>760233000</v>
      </c>
      <c r="J251" s="203">
        <v>300000000</v>
      </c>
      <c r="K251" s="203">
        <v>651077850</v>
      </c>
      <c r="L251" s="203">
        <v>23468000</v>
      </c>
      <c r="M251" s="203">
        <v>374545850</v>
      </c>
      <c r="N251" s="203">
        <v>23468000</v>
      </c>
      <c r="O251" s="203">
        <v>374545850</v>
      </c>
      <c r="P251" s="237">
        <f t="shared" si="74"/>
        <v>0.49267244384287451</v>
      </c>
    </row>
    <row r="252" spans="1:16" s="10" customFormat="1">
      <c r="A252" s="107"/>
      <c r="B252" s="149" t="s">
        <v>1606</v>
      </c>
      <c r="C252" s="18" t="s">
        <v>535</v>
      </c>
      <c r="D252" s="30" t="s">
        <v>1941</v>
      </c>
      <c r="E252" s="17" t="s">
        <v>536</v>
      </c>
      <c r="F252" s="16">
        <v>151957000</v>
      </c>
      <c r="G252" s="203">
        <v>8432590</v>
      </c>
      <c r="H252" s="203">
        <v>9152058</v>
      </c>
      <c r="I252" s="203">
        <v>161109058</v>
      </c>
      <c r="J252" s="203">
        <v>0</v>
      </c>
      <c r="K252" s="203">
        <v>152676468</v>
      </c>
      <c r="L252" s="203">
        <v>5165500</v>
      </c>
      <c r="M252" s="203">
        <v>77637150</v>
      </c>
      <c r="N252" s="203">
        <v>5165500</v>
      </c>
      <c r="O252" s="203">
        <v>77637150</v>
      </c>
      <c r="P252" s="237">
        <f t="shared" si="74"/>
        <v>0.48189189958518658</v>
      </c>
    </row>
    <row r="253" spans="1:16" s="10" customFormat="1">
      <c r="A253" s="107"/>
      <c r="B253" s="149" t="s">
        <v>1607</v>
      </c>
      <c r="C253" s="18" t="s">
        <v>537</v>
      </c>
      <c r="D253" s="30" t="s">
        <v>1942</v>
      </c>
      <c r="E253" s="17" t="s">
        <v>538</v>
      </c>
      <c r="F253" s="16">
        <v>337163000</v>
      </c>
      <c r="G253" s="203">
        <v>0</v>
      </c>
      <c r="H253" s="203">
        <v>-10000000</v>
      </c>
      <c r="I253" s="203">
        <v>327163000</v>
      </c>
      <c r="J253" s="203">
        <v>0</v>
      </c>
      <c r="K253" s="203">
        <v>327163000</v>
      </c>
      <c r="L253" s="203">
        <v>19687500</v>
      </c>
      <c r="M253" s="203">
        <v>162027880</v>
      </c>
      <c r="N253" s="203">
        <v>19687500</v>
      </c>
      <c r="O253" s="203">
        <v>162027880</v>
      </c>
      <c r="P253" s="237">
        <f t="shared" si="74"/>
        <v>0.49525123562261014</v>
      </c>
    </row>
    <row r="254" spans="1:16" s="3" customFormat="1">
      <c r="A254" s="107"/>
      <c r="B254" s="149" t="s">
        <v>1608</v>
      </c>
      <c r="C254" s="18" t="s">
        <v>539</v>
      </c>
      <c r="D254" s="30" t="s">
        <v>1913</v>
      </c>
      <c r="E254" s="17" t="s">
        <v>540</v>
      </c>
      <c r="F254" s="16">
        <v>27119000</v>
      </c>
      <c r="G254" s="203">
        <v>0</v>
      </c>
      <c r="H254" s="203">
        <v>0</v>
      </c>
      <c r="I254" s="203">
        <v>27119000</v>
      </c>
      <c r="J254" s="203">
        <v>0</v>
      </c>
      <c r="K254" s="203">
        <v>27119000</v>
      </c>
      <c r="L254" s="203">
        <v>0</v>
      </c>
      <c r="M254" s="203">
        <v>6375660</v>
      </c>
      <c r="N254" s="203">
        <v>0</v>
      </c>
      <c r="O254" s="203">
        <v>6375660</v>
      </c>
      <c r="P254" s="237">
        <f t="shared" si="74"/>
        <v>0.23509937682067922</v>
      </c>
    </row>
    <row r="255" spans="1:16" s="10" customFormat="1">
      <c r="A255" s="170"/>
      <c r="B255" s="125"/>
      <c r="C255" s="126" t="s">
        <v>541</v>
      </c>
      <c r="D255" s="29"/>
      <c r="E255" s="19" t="s">
        <v>542</v>
      </c>
      <c r="F255" s="20">
        <f>SUM(F256:F261)</f>
        <v>298213000</v>
      </c>
      <c r="G255" s="20">
        <f t="shared" ref="G255:O255" si="86">SUM(G256:G261)</f>
        <v>0</v>
      </c>
      <c r="H255" s="20">
        <f t="shared" si="86"/>
        <v>52571154</v>
      </c>
      <c r="I255" s="20">
        <f t="shared" si="86"/>
        <v>350784154</v>
      </c>
      <c r="J255" s="20">
        <f t="shared" si="86"/>
        <v>16000000</v>
      </c>
      <c r="K255" s="20">
        <f t="shared" si="86"/>
        <v>303104604</v>
      </c>
      <c r="L255" s="20">
        <f t="shared" si="86"/>
        <v>0</v>
      </c>
      <c r="M255" s="20">
        <f t="shared" si="86"/>
        <v>146415480</v>
      </c>
      <c r="N255" s="20">
        <f t="shared" si="86"/>
        <v>0</v>
      </c>
      <c r="O255" s="20">
        <f t="shared" si="86"/>
        <v>146415480</v>
      </c>
      <c r="P255" s="243">
        <f t="shared" si="74"/>
        <v>0.41739479486294012</v>
      </c>
    </row>
    <row r="256" spans="1:16" s="10" customFormat="1">
      <c r="A256" s="107"/>
      <c r="B256" s="149" t="s">
        <v>1757</v>
      </c>
      <c r="C256" s="18" t="s">
        <v>543</v>
      </c>
      <c r="D256" s="30" t="s">
        <v>1936</v>
      </c>
      <c r="E256" s="17" t="s">
        <v>544</v>
      </c>
      <c r="F256" s="16">
        <v>64696000</v>
      </c>
      <c r="G256" s="203">
        <v>0</v>
      </c>
      <c r="H256" s="203">
        <v>6000000</v>
      </c>
      <c r="I256" s="203">
        <v>70696000</v>
      </c>
      <c r="J256" s="203">
        <v>0</v>
      </c>
      <c r="K256" s="203">
        <v>28939450</v>
      </c>
      <c r="L256" s="203">
        <v>0</v>
      </c>
      <c r="M256" s="203">
        <v>28939450</v>
      </c>
      <c r="N256" s="203">
        <v>0</v>
      </c>
      <c r="O256" s="203">
        <v>28939450</v>
      </c>
      <c r="P256" s="237">
        <f t="shared" si="74"/>
        <v>0.40935059975104676</v>
      </c>
    </row>
    <row r="257" spans="1:18" s="10" customFormat="1">
      <c r="A257" s="107"/>
      <c r="B257" s="149" t="s">
        <v>1758</v>
      </c>
      <c r="C257" s="18" t="s">
        <v>545</v>
      </c>
      <c r="D257" s="30" t="s">
        <v>1937</v>
      </c>
      <c r="E257" s="17" t="s">
        <v>546</v>
      </c>
      <c r="F257" s="16">
        <v>146360000</v>
      </c>
      <c r="G257" s="203">
        <v>0</v>
      </c>
      <c r="H257" s="203">
        <v>32571154</v>
      </c>
      <c r="I257" s="203">
        <v>178931154</v>
      </c>
      <c r="J257" s="203">
        <v>0</v>
      </c>
      <c r="K257" s="203">
        <v>178931154</v>
      </c>
      <c r="L257" s="203">
        <v>0</v>
      </c>
      <c r="M257" s="203">
        <v>70769780</v>
      </c>
      <c r="N257" s="203">
        <v>0</v>
      </c>
      <c r="O257" s="203">
        <v>70769780</v>
      </c>
      <c r="P257" s="237">
        <f t="shared" si="74"/>
        <v>0.39551401987828233</v>
      </c>
    </row>
    <row r="258" spans="1:18" s="10" customFormat="1">
      <c r="A258" s="107"/>
      <c r="B258" s="149" t="s">
        <v>1759</v>
      </c>
      <c r="C258" s="18" t="s">
        <v>547</v>
      </c>
      <c r="D258" s="30" t="s">
        <v>1938</v>
      </c>
      <c r="E258" s="17" t="s">
        <v>548</v>
      </c>
      <c r="F258" s="16">
        <v>11397000</v>
      </c>
      <c r="G258" s="203">
        <v>0</v>
      </c>
      <c r="H258" s="203">
        <v>0</v>
      </c>
      <c r="I258" s="203">
        <v>11397000</v>
      </c>
      <c r="J258" s="203">
        <v>0</v>
      </c>
      <c r="K258" s="203">
        <v>11397000</v>
      </c>
      <c r="L258" s="203">
        <v>0</v>
      </c>
      <c r="M258" s="203">
        <v>6377620</v>
      </c>
      <c r="N258" s="203">
        <v>0</v>
      </c>
      <c r="O258" s="203">
        <v>6377620</v>
      </c>
      <c r="P258" s="237">
        <f t="shared" si="74"/>
        <v>0.55958761077476527</v>
      </c>
    </row>
    <row r="259" spans="1:18" s="10" customFormat="1">
      <c r="A259" s="107"/>
      <c r="B259" s="149" t="s">
        <v>1760</v>
      </c>
      <c r="C259" s="18" t="s">
        <v>549</v>
      </c>
      <c r="D259" s="30" t="s">
        <v>1939</v>
      </c>
      <c r="E259" s="17" t="s">
        <v>550</v>
      </c>
      <c r="F259" s="16">
        <v>49973000</v>
      </c>
      <c r="G259" s="203">
        <v>0</v>
      </c>
      <c r="H259" s="203">
        <v>0</v>
      </c>
      <c r="I259" s="203">
        <v>49973000</v>
      </c>
      <c r="J259" s="203">
        <v>0</v>
      </c>
      <c r="K259" s="203">
        <v>49973000</v>
      </c>
      <c r="L259" s="203">
        <v>0</v>
      </c>
      <c r="M259" s="203">
        <v>22464630</v>
      </c>
      <c r="N259" s="203">
        <v>0</v>
      </c>
      <c r="O259" s="203">
        <v>22464630</v>
      </c>
      <c r="P259" s="237">
        <f t="shared" si="74"/>
        <v>0.44953534908850779</v>
      </c>
    </row>
    <row r="260" spans="1:18" s="10" customFormat="1">
      <c r="A260" s="107"/>
      <c r="B260" s="149" t="s">
        <v>1761</v>
      </c>
      <c r="C260" s="18" t="s">
        <v>551</v>
      </c>
      <c r="D260" s="30" t="s">
        <v>1940</v>
      </c>
      <c r="E260" s="17" t="s">
        <v>552</v>
      </c>
      <c r="F260" s="16">
        <v>25787000</v>
      </c>
      <c r="G260" s="203">
        <v>0</v>
      </c>
      <c r="H260" s="203">
        <v>14000000</v>
      </c>
      <c r="I260" s="203">
        <v>39787000</v>
      </c>
      <c r="J260" s="203">
        <v>16000000</v>
      </c>
      <c r="K260" s="203">
        <v>33864000</v>
      </c>
      <c r="L260" s="203">
        <v>0</v>
      </c>
      <c r="M260" s="203">
        <v>17864000</v>
      </c>
      <c r="N260" s="203">
        <v>0</v>
      </c>
      <c r="O260" s="203">
        <v>17864000</v>
      </c>
      <c r="P260" s="237">
        <f t="shared" si="74"/>
        <v>0.44899087641692009</v>
      </c>
    </row>
    <row r="261" spans="1:18" s="2" customFormat="1">
      <c r="A261" s="107"/>
      <c r="B261" s="149"/>
      <c r="C261" s="18" t="s">
        <v>553</v>
      </c>
      <c r="D261" s="30" t="s">
        <v>1942</v>
      </c>
      <c r="E261" s="226" t="s">
        <v>554</v>
      </c>
      <c r="F261" s="16"/>
      <c r="G261" s="203">
        <v>0</v>
      </c>
      <c r="H261" s="203">
        <v>0</v>
      </c>
      <c r="I261" s="203">
        <v>0</v>
      </c>
      <c r="J261" s="203">
        <v>0</v>
      </c>
      <c r="K261" s="203">
        <v>0</v>
      </c>
      <c r="L261" s="203">
        <v>0</v>
      </c>
      <c r="M261" s="203">
        <v>0</v>
      </c>
      <c r="N261" s="203">
        <v>0</v>
      </c>
      <c r="O261" s="203">
        <v>0</v>
      </c>
      <c r="P261" s="237">
        <f t="shared" si="74"/>
        <v>0</v>
      </c>
    </row>
    <row r="262" spans="1:18" s="3" customFormat="1">
      <c r="A262" s="169" t="s">
        <v>555</v>
      </c>
      <c r="B262" s="146" t="s">
        <v>1599</v>
      </c>
      <c r="C262" s="147" t="s">
        <v>556</v>
      </c>
      <c r="D262" s="65"/>
      <c r="E262" s="32" t="s">
        <v>198</v>
      </c>
      <c r="F262" s="66">
        <f>+F263+F280</f>
        <v>5783599000</v>
      </c>
      <c r="G262" s="66">
        <f t="shared" ref="G262:O262" si="87">+G263+G280</f>
        <v>5168900</v>
      </c>
      <c r="H262" s="66">
        <f t="shared" si="87"/>
        <v>133669277</v>
      </c>
      <c r="I262" s="66">
        <f t="shared" si="87"/>
        <v>5917268277</v>
      </c>
      <c r="J262" s="66">
        <f t="shared" si="87"/>
        <v>0</v>
      </c>
      <c r="K262" s="66">
        <f t="shared" si="87"/>
        <v>5877702823</v>
      </c>
      <c r="L262" s="66">
        <f t="shared" si="87"/>
        <v>623128486</v>
      </c>
      <c r="M262" s="66">
        <f t="shared" si="87"/>
        <v>5333567497</v>
      </c>
      <c r="N262" s="66">
        <f t="shared" si="87"/>
        <v>17584934</v>
      </c>
      <c r="O262" s="66">
        <f t="shared" si="87"/>
        <v>1637711582</v>
      </c>
      <c r="P262" s="236">
        <f t="shared" si="74"/>
        <v>0.90135637718695238</v>
      </c>
    </row>
    <row r="263" spans="1:18" s="3" customFormat="1">
      <c r="A263" s="134" t="s">
        <v>557</v>
      </c>
      <c r="B263" s="123" t="s">
        <v>1600</v>
      </c>
      <c r="C263" s="124" t="s">
        <v>558</v>
      </c>
      <c r="D263" s="67"/>
      <c r="E263" s="25" t="s">
        <v>201</v>
      </c>
      <c r="F263" s="68">
        <f>+F264+F273</f>
        <v>5092994000</v>
      </c>
      <c r="G263" s="68">
        <f t="shared" ref="G263:O263" si="88">+G264+G273</f>
        <v>5168900</v>
      </c>
      <c r="H263" s="68">
        <f t="shared" si="88"/>
        <v>133169277</v>
      </c>
      <c r="I263" s="68">
        <f t="shared" si="88"/>
        <v>5226163277</v>
      </c>
      <c r="J263" s="68">
        <f t="shared" si="88"/>
        <v>0</v>
      </c>
      <c r="K263" s="68">
        <f t="shared" si="88"/>
        <v>5187097823</v>
      </c>
      <c r="L263" s="68">
        <f t="shared" si="88"/>
        <v>625846819</v>
      </c>
      <c r="M263" s="68">
        <f t="shared" si="88"/>
        <v>4648722903</v>
      </c>
      <c r="N263" s="68">
        <f t="shared" si="88"/>
        <v>16391954</v>
      </c>
      <c r="O263" s="68">
        <f t="shared" si="88"/>
        <v>1416124267</v>
      </c>
      <c r="P263" s="229">
        <f t="shared" si="74"/>
        <v>0.88950969508716327</v>
      </c>
    </row>
    <row r="264" spans="1:18" s="10" customFormat="1">
      <c r="A264" s="170"/>
      <c r="B264" s="125"/>
      <c r="C264" s="126" t="s">
        <v>559</v>
      </c>
      <c r="D264" s="29"/>
      <c r="E264" s="19" t="s">
        <v>560</v>
      </c>
      <c r="F264" s="20">
        <f>SUM(F265:F272)</f>
        <v>4738505000</v>
      </c>
      <c r="G264" s="20">
        <f t="shared" ref="G264:O264" si="89">SUM(G265:G272)</f>
        <v>5168900</v>
      </c>
      <c r="H264" s="20">
        <f t="shared" si="89"/>
        <v>68473354</v>
      </c>
      <c r="I264" s="20">
        <f t="shared" si="89"/>
        <v>4806978354</v>
      </c>
      <c r="J264" s="20">
        <f t="shared" si="89"/>
        <v>0</v>
      </c>
      <c r="K264" s="20">
        <f t="shared" si="89"/>
        <v>4769798878</v>
      </c>
      <c r="L264" s="20">
        <f t="shared" si="89"/>
        <v>467359978</v>
      </c>
      <c r="M264" s="20">
        <f t="shared" si="89"/>
        <v>4300450709</v>
      </c>
      <c r="N264" s="20">
        <f t="shared" si="89"/>
        <v>14791507</v>
      </c>
      <c r="O264" s="20">
        <f t="shared" si="89"/>
        <v>1238272962</v>
      </c>
      <c r="P264" s="243">
        <f t="shared" si="74"/>
        <v>0.89462660164081942</v>
      </c>
      <c r="Q264" s="358"/>
      <c r="R264" s="358"/>
    </row>
    <row r="265" spans="1:18" s="10" customFormat="1">
      <c r="A265" s="107"/>
      <c r="B265" s="149" t="s">
        <v>1592</v>
      </c>
      <c r="C265" s="18" t="s">
        <v>561</v>
      </c>
      <c r="D265" s="30" t="s">
        <v>1936</v>
      </c>
      <c r="E265" s="17" t="s">
        <v>562</v>
      </c>
      <c r="F265" s="16">
        <v>897921000</v>
      </c>
      <c r="G265" s="203">
        <v>0</v>
      </c>
      <c r="H265" s="203">
        <v>0</v>
      </c>
      <c r="I265" s="203">
        <v>897921000</v>
      </c>
      <c r="J265" s="203">
        <v>0</v>
      </c>
      <c r="K265" s="203">
        <v>897921000</v>
      </c>
      <c r="L265" s="203">
        <v>12275384</v>
      </c>
      <c r="M265" s="203">
        <v>797880585</v>
      </c>
      <c r="N265" s="203">
        <v>0</v>
      </c>
      <c r="O265" s="203">
        <v>175578172</v>
      </c>
      <c r="P265" s="237">
        <f t="shared" si="74"/>
        <v>0.88858661842188791</v>
      </c>
      <c r="Q265" s="358"/>
      <c r="R265" s="358"/>
    </row>
    <row r="266" spans="1:18" s="10" customFormat="1">
      <c r="A266" s="107"/>
      <c r="B266" s="149" t="s">
        <v>1593</v>
      </c>
      <c r="C266" s="18" t="s">
        <v>563</v>
      </c>
      <c r="D266" s="30" t="s">
        <v>1937</v>
      </c>
      <c r="E266" s="17" t="s">
        <v>564</v>
      </c>
      <c r="F266" s="16">
        <v>1169131000</v>
      </c>
      <c r="G266" s="203">
        <v>0</v>
      </c>
      <c r="H266" s="203">
        <v>31427665</v>
      </c>
      <c r="I266" s="203">
        <v>1200558665</v>
      </c>
      <c r="J266" s="203">
        <v>0</v>
      </c>
      <c r="K266" s="203">
        <v>1169131000</v>
      </c>
      <c r="L266" s="203">
        <v>30614530</v>
      </c>
      <c r="M266" s="203">
        <v>1084684180</v>
      </c>
      <c r="N266" s="203">
        <v>595482</v>
      </c>
      <c r="O266" s="203">
        <v>347439485</v>
      </c>
      <c r="P266" s="237">
        <f t="shared" si="74"/>
        <v>0.90348286312189496</v>
      </c>
      <c r="Q266" s="358"/>
      <c r="R266" s="358"/>
    </row>
    <row r="267" spans="1:18" s="10" customFormat="1">
      <c r="A267" s="107"/>
      <c r="B267" s="149"/>
      <c r="C267" s="18" t="s">
        <v>565</v>
      </c>
      <c r="D267" s="30" t="s">
        <v>1938</v>
      </c>
      <c r="E267" s="219" t="s">
        <v>566</v>
      </c>
      <c r="F267" s="16">
        <v>0</v>
      </c>
      <c r="G267" s="203">
        <v>0</v>
      </c>
      <c r="H267" s="203">
        <v>0</v>
      </c>
      <c r="I267" s="203">
        <v>0</v>
      </c>
      <c r="J267" s="203">
        <v>0</v>
      </c>
      <c r="K267" s="203">
        <v>0</v>
      </c>
      <c r="L267" s="203">
        <v>0</v>
      </c>
      <c r="M267" s="203">
        <v>0</v>
      </c>
      <c r="N267" s="203">
        <v>0</v>
      </c>
      <c r="O267" s="203">
        <v>0</v>
      </c>
      <c r="P267" s="237">
        <f t="shared" si="74"/>
        <v>0</v>
      </c>
    </row>
    <row r="268" spans="1:18" s="10" customFormat="1">
      <c r="A268" s="107"/>
      <c r="B268" s="149" t="s">
        <v>1594</v>
      </c>
      <c r="C268" s="18" t="s">
        <v>567</v>
      </c>
      <c r="D268" s="30" t="s">
        <v>1939</v>
      </c>
      <c r="E268" s="17" t="s">
        <v>568</v>
      </c>
      <c r="F268" s="16">
        <v>1102477000</v>
      </c>
      <c r="G268" s="203">
        <v>0</v>
      </c>
      <c r="H268" s="203">
        <v>0</v>
      </c>
      <c r="I268" s="203">
        <v>1102477000</v>
      </c>
      <c r="J268" s="203">
        <v>0</v>
      </c>
      <c r="K268" s="203">
        <v>1102477000</v>
      </c>
      <c r="L268" s="203">
        <v>10005516</v>
      </c>
      <c r="M268" s="203">
        <v>929917737</v>
      </c>
      <c r="N268" s="203">
        <v>0</v>
      </c>
      <c r="O268" s="203">
        <v>268838024</v>
      </c>
      <c r="P268" s="237">
        <f t="shared" si="74"/>
        <v>0.84348039641643313</v>
      </c>
    </row>
    <row r="269" spans="1:18" s="10" customFormat="1">
      <c r="A269" s="107"/>
      <c r="B269" s="149" t="s">
        <v>1595</v>
      </c>
      <c r="C269" s="18" t="s">
        <v>569</v>
      </c>
      <c r="D269" s="30" t="s">
        <v>1940</v>
      </c>
      <c r="E269" s="17" t="s">
        <v>570</v>
      </c>
      <c r="F269" s="16">
        <v>957878000</v>
      </c>
      <c r="G269" s="203">
        <v>0</v>
      </c>
      <c r="H269" s="203">
        <v>0</v>
      </c>
      <c r="I269" s="203">
        <v>957878000</v>
      </c>
      <c r="J269" s="203">
        <v>0</v>
      </c>
      <c r="K269" s="203">
        <v>957295089</v>
      </c>
      <c r="L269" s="203">
        <v>312493860</v>
      </c>
      <c r="M269" s="203">
        <v>904194876</v>
      </c>
      <c r="N269" s="203">
        <v>13059472</v>
      </c>
      <c r="O269" s="203">
        <v>299791207</v>
      </c>
      <c r="P269" s="237">
        <f t="shared" si="74"/>
        <v>0.94395619901490591</v>
      </c>
    </row>
    <row r="270" spans="1:18" s="10" customFormat="1">
      <c r="A270" s="107"/>
      <c r="B270" s="149" t="s">
        <v>1596</v>
      </c>
      <c r="C270" s="18" t="s">
        <v>571</v>
      </c>
      <c r="D270" s="30" t="s">
        <v>1941</v>
      </c>
      <c r="E270" s="17" t="s">
        <v>572</v>
      </c>
      <c r="F270" s="16">
        <v>167867000</v>
      </c>
      <c r="G270" s="203">
        <v>5168900</v>
      </c>
      <c r="H270" s="203">
        <v>30045689</v>
      </c>
      <c r="I270" s="203">
        <v>197912689</v>
      </c>
      <c r="J270" s="203">
        <v>0</v>
      </c>
      <c r="K270" s="203">
        <v>192743789</v>
      </c>
      <c r="L270" s="203">
        <v>79415688</v>
      </c>
      <c r="M270" s="203">
        <v>184532056</v>
      </c>
      <c r="N270" s="203">
        <v>810096</v>
      </c>
      <c r="O270" s="203">
        <v>82847563</v>
      </c>
      <c r="P270" s="237">
        <f t="shared" ref="P270:P333" si="90">IFERROR((M270/I270),0)</f>
        <v>0.93239123237823318</v>
      </c>
    </row>
    <row r="271" spans="1:18" s="10" customFormat="1">
      <c r="A271" s="107"/>
      <c r="B271" s="149" t="s">
        <v>1597</v>
      </c>
      <c r="C271" s="18" t="s">
        <v>573</v>
      </c>
      <c r="D271" s="30" t="s">
        <v>1942</v>
      </c>
      <c r="E271" s="17" t="s">
        <v>574</v>
      </c>
      <c r="F271" s="16">
        <v>409355000</v>
      </c>
      <c r="G271" s="203">
        <v>0</v>
      </c>
      <c r="H271" s="203">
        <v>7000000</v>
      </c>
      <c r="I271" s="203">
        <v>416355000</v>
      </c>
      <c r="J271" s="203">
        <v>0</v>
      </c>
      <c r="K271" s="203">
        <v>416355000</v>
      </c>
      <c r="L271" s="203">
        <v>11149411</v>
      </c>
      <c r="M271" s="203">
        <v>380599223</v>
      </c>
      <c r="N271" s="203">
        <v>0</v>
      </c>
      <c r="O271" s="203">
        <v>56215591</v>
      </c>
      <c r="P271" s="237">
        <f t="shared" si="90"/>
        <v>0.91412189837998825</v>
      </c>
    </row>
    <row r="272" spans="1:18" s="3" customFormat="1">
      <c r="A272" s="107"/>
      <c r="B272" s="149" t="s">
        <v>1598</v>
      </c>
      <c r="C272" s="18" t="s">
        <v>575</v>
      </c>
      <c r="D272" s="30" t="s">
        <v>1913</v>
      </c>
      <c r="E272" s="17" t="s">
        <v>576</v>
      </c>
      <c r="F272" s="16">
        <v>33876000</v>
      </c>
      <c r="G272" s="203">
        <v>0</v>
      </c>
      <c r="H272" s="203">
        <v>0</v>
      </c>
      <c r="I272" s="203">
        <v>33876000</v>
      </c>
      <c r="J272" s="203">
        <v>0</v>
      </c>
      <c r="K272" s="203">
        <v>33876000</v>
      </c>
      <c r="L272" s="203">
        <v>11405589</v>
      </c>
      <c r="M272" s="203">
        <v>18642052</v>
      </c>
      <c r="N272" s="203">
        <v>326457</v>
      </c>
      <c r="O272" s="203">
        <v>7562920</v>
      </c>
      <c r="P272" s="237">
        <f t="shared" si="90"/>
        <v>0.5503026331326013</v>
      </c>
    </row>
    <row r="273" spans="1:16" s="10" customFormat="1">
      <c r="A273" s="170"/>
      <c r="B273" s="125"/>
      <c r="C273" s="126" t="s">
        <v>577</v>
      </c>
      <c r="D273" s="29"/>
      <c r="E273" s="19" t="s">
        <v>578</v>
      </c>
      <c r="F273" s="20">
        <f>SUM(F274:F279)</f>
        <v>354489000</v>
      </c>
      <c r="G273" s="20">
        <f t="shared" ref="G273:O273" si="91">SUM(G274:G279)</f>
        <v>0</v>
      </c>
      <c r="H273" s="20">
        <f t="shared" si="91"/>
        <v>64695923</v>
      </c>
      <c r="I273" s="20">
        <f t="shared" si="91"/>
        <v>419184923</v>
      </c>
      <c r="J273" s="20">
        <f t="shared" si="91"/>
        <v>0</v>
      </c>
      <c r="K273" s="20">
        <f t="shared" si="91"/>
        <v>417298945</v>
      </c>
      <c r="L273" s="20">
        <f t="shared" si="91"/>
        <v>158486841</v>
      </c>
      <c r="M273" s="20">
        <f t="shared" si="91"/>
        <v>348272194</v>
      </c>
      <c r="N273" s="20">
        <f t="shared" si="91"/>
        <v>1600447</v>
      </c>
      <c r="O273" s="20">
        <f t="shared" si="91"/>
        <v>177851305</v>
      </c>
      <c r="P273" s="243">
        <f t="shared" si="90"/>
        <v>0.83083187130754699</v>
      </c>
    </row>
    <row r="274" spans="1:16" s="10" customFormat="1">
      <c r="A274" s="107"/>
      <c r="B274" s="149" t="s">
        <v>1762</v>
      </c>
      <c r="C274" s="18" t="s">
        <v>579</v>
      </c>
      <c r="D274" s="30" t="s">
        <v>1936</v>
      </c>
      <c r="E274" s="227" t="s">
        <v>580</v>
      </c>
      <c r="F274" s="16">
        <v>74991000</v>
      </c>
      <c r="G274" s="203">
        <v>0</v>
      </c>
      <c r="H274" s="203">
        <v>7000000</v>
      </c>
      <c r="I274" s="203">
        <v>81991000</v>
      </c>
      <c r="J274" s="203">
        <v>0</v>
      </c>
      <c r="K274" s="203">
        <v>81991000</v>
      </c>
      <c r="L274" s="203">
        <v>16445542</v>
      </c>
      <c r="M274" s="203">
        <v>66739921</v>
      </c>
      <c r="N274" s="203">
        <v>1600447</v>
      </c>
      <c r="O274" s="203">
        <v>38360332</v>
      </c>
      <c r="P274" s="237">
        <f t="shared" si="90"/>
        <v>0.81399081606517787</v>
      </c>
    </row>
    <row r="275" spans="1:16" s="10" customFormat="1">
      <c r="A275" s="107"/>
      <c r="B275" s="149" t="s">
        <v>1763</v>
      </c>
      <c r="C275" s="18" t="s">
        <v>581</v>
      </c>
      <c r="D275" s="30" t="s">
        <v>1937</v>
      </c>
      <c r="E275" s="227" t="s">
        <v>582</v>
      </c>
      <c r="F275" s="16">
        <v>181297000</v>
      </c>
      <c r="G275" s="203">
        <v>0</v>
      </c>
      <c r="H275" s="203">
        <v>40695923</v>
      </c>
      <c r="I275" s="203">
        <v>221992923</v>
      </c>
      <c r="J275" s="203">
        <v>0</v>
      </c>
      <c r="K275" s="203">
        <v>221992923</v>
      </c>
      <c r="L275" s="203">
        <v>102031684</v>
      </c>
      <c r="M275" s="203">
        <v>191329092</v>
      </c>
      <c r="N275" s="203">
        <v>0</v>
      </c>
      <c r="O275" s="203">
        <v>89297407</v>
      </c>
      <c r="P275" s="237">
        <f t="shared" si="90"/>
        <v>0.86187023178211852</v>
      </c>
    </row>
    <row r="276" spans="1:16" s="10" customFormat="1">
      <c r="A276" s="107"/>
      <c r="B276" s="149"/>
      <c r="C276" s="18" t="s">
        <v>583</v>
      </c>
      <c r="D276" s="30" t="s">
        <v>1938</v>
      </c>
      <c r="E276" s="228" t="s">
        <v>584</v>
      </c>
      <c r="F276" s="16">
        <v>0</v>
      </c>
      <c r="G276" s="203">
        <v>0</v>
      </c>
      <c r="H276" s="203">
        <v>0</v>
      </c>
      <c r="I276" s="203">
        <v>0</v>
      </c>
      <c r="J276" s="203">
        <v>0</v>
      </c>
      <c r="K276" s="203">
        <v>0</v>
      </c>
      <c r="L276" s="203">
        <v>0</v>
      </c>
      <c r="M276" s="203">
        <v>0</v>
      </c>
      <c r="N276" s="203">
        <v>0</v>
      </c>
      <c r="O276" s="203">
        <v>0</v>
      </c>
      <c r="P276" s="237">
        <f t="shared" si="90"/>
        <v>0</v>
      </c>
    </row>
    <row r="277" spans="1:16" s="10" customFormat="1">
      <c r="A277" s="107"/>
      <c r="B277" s="149" t="s">
        <v>1764</v>
      </c>
      <c r="C277" s="18" t="s">
        <v>585</v>
      </c>
      <c r="D277" s="30" t="s">
        <v>1939</v>
      </c>
      <c r="E277" s="227" t="s">
        <v>586</v>
      </c>
      <c r="F277" s="16">
        <v>69186000</v>
      </c>
      <c r="G277" s="203">
        <v>0</v>
      </c>
      <c r="H277" s="203">
        <v>0</v>
      </c>
      <c r="I277" s="203">
        <v>69186000</v>
      </c>
      <c r="J277" s="203">
        <v>0</v>
      </c>
      <c r="K277" s="203">
        <v>69186000</v>
      </c>
      <c r="L277" s="203">
        <v>23137181</v>
      </c>
      <c r="M277" s="203">
        <v>51201725</v>
      </c>
      <c r="N277" s="203">
        <v>0</v>
      </c>
      <c r="O277" s="203">
        <v>28064544</v>
      </c>
      <c r="P277" s="237">
        <f t="shared" si="90"/>
        <v>0.74005904373717224</v>
      </c>
    </row>
    <row r="278" spans="1:16" s="10" customFormat="1">
      <c r="A278" s="107"/>
      <c r="B278" s="149" t="s">
        <v>1765</v>
      </c>
      <c r="C278" s="18" t="s">
        <v>587</v>
      </c>
      <c r="D278" s="30" t="s">
        <v>1940</v>
      </c>
      <c r="E278" s="227" t="s">
        <v>588</v>
      </c>
      <c r="F278" s="16">
        <v>29015000</v>
      </c>
      <c r="G278" s="203">
        <v>0</v>
      </c>
      <c r="H278" s="203">
        <v>17000000</v>
      </c>
      <c r="I278" s="203">
        <v>46015000</v>
      </c>
      <c r="J278" s="203">
        <v>0</v>
      </c>
      <c r="K278" s="203">
        <v>44129022</v>
      </c>
      <c r="L278" s="203">
        <v>16872434</v>
      </c>
      <c r="M278" s="203">
        <v>39001456</v>
      </c>
      <c r="N278" s="203">
        <v>0</v>
      </c>
      <c r="O278" s="203">
        <v>22129022</v>
      </c>
      <c r="P278" s="237">
        <f t="shared" si="90"/>
        <v>0.84758135390633493</v>
      </c>
    </row>
    <row r="279" spans="1:16" s="3" customFormat="1">
      <c r="A279" s="107"/>
      <c r="B279" s="149"/>
      <c r="C279" s="18" t="s">
        <v>589</v>
      </c>
      <c r="D279" s="30" t="s">
        <v>1942</v>
      </c>
      <c r="E279" s="228" t="s">
        <v>590</v>
      </c>
      <c r="F279" s="16"/>
      <c r="G279" s="203">
        <v>0</v>
      </c>
      <c r="H279" s="203">
        <v>0</v>
      </c>
      <c r="I279" s="203">
        <v>0</v>
      </c>
      <c r="J279" s="203">
        <v>0</v>
      </c>
      <c r="K279" s="203">
        <v>0</v>
      </c>
      <c r="L279" s="203">
        <v>0</v>
      </c>
      <c r="M279" s="203">
        <v>0</v>
      </c>
      <c r="N279" s="203">
        <v>0</v>
      </c>
      <c r="O279" s="203">
        <v>0</v>
      </c>
      <c r="P279" s="237">
        <f t="shared" si="90"/>
        <v>0</v>
      </c>
    </row>
    <row r="280" spans="1:16" s="3" customFormat="1">
      <c r="A280" s="134" t="s">
        <v>591</v>
      </c>
      <c r="B280" s="123" t="s">
        <v>1923</v>
      </c>
      <c r="C280" s="124" t="s">
        <v>592</v>
      </c>
      <c r="D280" s="67"/>
      <c r="E280" s="25" t="s">
        <v>210</v>
      </c>
      <c r="F280" s="68">
        <f>+F281+F290</f>
        <v>690605000</v>
      </c>
      <c r="G280" s="68">
        <f t="shared" ref="G280:O280" si="92">+G281+G290</f>
        <v>0</v>
      </c>
      <c r="H280" s="68">
        <f t="shared" si="92"/>
        <v>500000</v>
      </c>
      <c r="I280" s="68">
        <f t="shared" si="92"/>
        <v>691105000</v>
      </c>
      <c r="J280" s="68">
        <f t="shared" si="92"/>
        <v>0</v>
      </c>
      <c r="K280" s="68">
        <f t="shared" si="92"/>
        <v>690605000</v>
      </c>
      <c r="L280" s="68">
        <f t="shared" si="92"/>
        <v>-2718333</v>
      </c>
      <c r="M280" s="68">
        <f t="shared" si="92"/>
        <v>684844594</v>
      </c>
      <c r="N280" s="68">
        <f t="shared" si="92"/>
        <v>1192980</v>
      </c>
      <c r="O280" s="68">
        <f t="shared" si="92"/>
        <v>221587315</v>
      </c>
      <c r="P280" s="229">
        <f t="shared" si="90"/>
        <v>0.99094145462701033</v>
      </c>
    </row>
    <row r="281" spans="1:16" s="10" customFormat="1">
      <c r="A281" s="170"/>
      <c r="B281" s="125"/>
      <c r="C281" s="126" t="s">
        <v>593</v>
      </c>
      <c r="D281" s="29"/>
      <c r="E281" s="19" t="s">
        <v>594</v>
      </c>
      <c r="F281" s="20">
        <f>SUM(F282:F289)</f>
        <v>676510000</v>
      </c>
      <c r="G281" s="20">
        <f t="shared" ref="G281:O281" si="93">SUM(G282:G289)</f>
        <v>0</v>
      </c>
      <c r="H281" s="20">
        <f t="shared" si="93"/>
        <v>500000</v>
      </c>
      <c r="I281" s="20">
        <f t="shared" si="93"/>
        <v>677010000</v>
      </c>
      <c r="J281" s="20">
        <f t="shared" si="93"/>
        <v>0</v>
      </c>
      <c r="K281" s="20">
        <f t="shared" si="93"/>
        <v>676510000</v>
      </c>
      <c r="L281" s="20">
        <f t="shared" si="93"/>
        <v>-2718333</v>
      </c>
      <c r="M281" s="20">
        <f t="shared" si="93"/>
        <v>672086694</v>
      </c>
      <c r="N281" s="20">
        <f t="shared" si="93"/>
        <v>1192980</v>
      </c>
      <c r="O281" s="20">
        <f t="shared" si="93"/>
        <v>213597679</v>
      </c>
      <c r="P281" s="243">
        <f t="shared" si="90"/>
        <v>0.99272786812602476</v>
      </c>
    </row>
    <row r="282" spans="1:16" s="10" customFormat="1">
      <c r="A282" s="107"/>
      <c r="B282" s="149"/>
      <c r="C282" s="18" t="s">
        <v>595</v>
      </c>
      <c r="D282" s="30" t="s">
        <v>1936</v>
      </c>
      <c r="E282" s="219" t="s">
        <v>596</v>
      </c>
      <c r="F282" s="16">
        <v>0</v>
      </c>
      <c r="G282" s="203"/>
      <c r="H282" s="203"/>
      <c r="I282" s="203"/>
      <c r="J282" s="203"/>
      <c r="K282" s="203"/>
      <c r="L282" s="203"/>
      <c r="M282" s="203"/>
      <c r="N282" s="203"/>
      <c r="O282" s="203"/>
      <c r="P282" s="237">
        <f t="shared" si="90"/>
        <v>0</v>
      </c>
    </row>
    <row r="283" spans="1:16" s="10" customFormat="1">
      <c r="A283" s="107"/>
      <c r="B283" s="149"/>
      <c r="C283" s="18" t="s">
        <v>597</v>
      </c>
      <c r="D283" s="30" t="s">
        <v>1937</v>
      </c>
      <c r="E283" s="219" t="s">
        <v>598</v>
      </c>
      <c r="F283" s="16">
        <v>0</v>
      </c>
      <c r="G283" s="203"/>
      <c r="H283" s="203"/>
      <c r="I283" s="203"/>
      <c r="J283" s="203"/>
      <c r="K283" s="203"/>
      <c r="L283" s="203"/>
      <c r="M283" s="203"/>
      <c r="N283" s="203"/>
      <c r="O283" s="203"/>
      <c r="P283" s="237">
        <f t="shared" si="90"/>
        <v>0</v>
      </c>
    </row>
    <row r="284" spans="1:16" s="10" customFormat="1">
      <c r="A284" s="107"/>
      <c r="B284" s="149" t="s">
        <v>1591</v>
      </c>
      <c r="C284" s="18" t="s">
        <v>599</v>
      </c>
      <c r="D284" s="30" t="s">
        <v>1938</v>
      </c>
      <c r="E284" s="222" t="s">
        <v>600</v>
      </c>
      <c r="F284" s="16">
        <v>676510000</v>
      </c>
      <c r="G284" s="203">
        <v>0</v>
      </c>
      <c r="H284" s="203">
        <v>500000</v>
      </c>
      <c r="I284" s="203">
        <v>677010000</v>
      </c>
      <c r="J284" s="203">
        <v>0</v>
      </c>
      <c r="K284" s="203">
        <v>676510000</v>
      </c>
      <c r="L284" s="203">
        <v>-2718333</v>
      </c>
      <c r="M284" s="203">
        <v>672086694</v>
      </c>
      <c r="N284" s="203">
        <v>1192980</v>
      </c>
      <c r="O284" s="203">
        <v>213597679</v>
      </c>
      <c r="P284" s="237">
        <f t="shared" si="90"/>
        <v>0.99272786812602476</v>
      </c>
    </row>
    <row r="285" spans="1:16" s="10" customFormat="1">
      <c r="A285" s="107"/>
      <c r="B285" s="149"/>
      <c r="C285" s="18" t="s">
        <v>601</v>
      </c>
      <c r="D285" s="30" t="s">
        <v>1939</v>
      </c>
      <c r="E285" s="223" t="s">
        <v>602</v>
      </c>
      <c r="F285" s="16">
        <v>0</v>
      </c>
      <c r="G285" s="203"/>
      <c r="H285" s="203"/>
      <c r="I285" s="203"/>
      <c r="J285" s="203"/>
      <c r="K285" s="203"/>
      <c r="L285" s="203"/>
      <c r="M285" s="203"/>
      <c r="N285" s="203"/>
      <c r="O285" s="203"/>
      <c r="P285" s="237">
        <f t="shared" si="90"/>
        <v>0</v>
      </c>
    </row>
    <row r="286" spans="1:16" s="10" customFormat="1">
      <c r="A286" s="107"/>
      <c r="B286" s="149"/>
      <c r="C286" s="18" t="s">
        <v>603</v>
      </c>
      <c r="D286" s="30" t="s">
        <v>1940</v>
      </c>
      <c r="E286" s="223" t="s">
        <v>604</v>
      </c>
      <c r="F286" s="16">
        <v>0</v>
      </c>
      <c r="G286" s="203"/>
      <c r="H286" s="203"/>
      <c r="I286" s="203"/>
      <c r="J286" s="203"/>
      <c r="K286" s="203"/>
      <c r="L286" s="203"/>
      <c r="M286" s="203"/>
      <c r="N286" s="203"/>
      <c r="O286" s="203"/>
      <c r="P286" s="237">
        <f t="shared" si="90"/>
        <v>0</v>
      </c>
    </row>
    <row r="287" spans="1:16" s="10" customFormat="1">
      <c r="A287" s="107"/>
      <c r="B287" s="149"/>
      <c r="C287" s="18" t="s">
        <v>605</v>
      </c>
      <c r="D287" s="30" t="s">
        <v>1941</v>
      </c>
      <c r="E287" s="223" t="s">
        <v>606</v>
      </c>
      <c r="F287" s="16">
        <v>0</v>
      </c>
      <c r="G287" s="203"/>
      <c r="H287" s="203"/>
      <c r="I287" s="203"/>
      <c r="J287" s="203"/>
      <c r="K287" s="203"/>
      <c r="L287" s="203"/>
      <c r="M287" s="203"/>
      <c r="N287" s="203"/>
      <c r="O287" s="203"/>
      <c r="P287" s="237">
        <f t="shared" si="90"/>
        <v>0</v>
      </c>
    </row>
    <row r="288" spans="1:16" s="10" customFormat="1">
      <c r="A288" s="107"/>
      <c r="B288" s="149"/>
      <c r="C288" s="18" t="s">
        <v>607</v>
      </c>
      <c r="D288" s="30" t="s">
        <v>1942</v>
      </c>
      <c r="E288" s="223" t="s">
        <v>608</v>
      </c>
      <c r="F288" s="16">
        <v>0</v>
      </c>
      <c r="G288" s="203"/>
      <c r="H288" s="203"/>
      <c r="I288" s="203"/>
      <c r="J288" s="203"/>
      <c r="K288" s="203"/>
      <c r="L288" s="203"/>
      <c r="M288" s="203"/>
      <c r="N288" s="203"/>
      <c r="O288" s="203"/>
      <c r="P288" s="237">
        <f t="shared" si="90"/>
        <v>0</v>
      </c>
    </row>
    <row r="289" spans="1:17" s="3" customFormat="1">
      <c r="A289" s="107"/>
      <c r="B289" s="149"/>
      <c r="C289" s="18" t="s">
        <v>609</v>
      </c>
      <c r="D289" s="30" t="s">
        <v>1913</v>
      </c>
      <c r="E289" s="223" t="s">
        <v>610</v>
      </c>
      <c r="F289" s="16">
        <v>0</v>
      </c>
      <c r="G289" s="203"/>
      <c r="H289" s="203"/>
      <c r="I289" s="203"/>
      <c r="J289" s="203"/>
      <c r="K289" s="203"/>
      <c r="L289" s="203"/>
      <c r="M289" s="203"/>
      <c r="N289" s="203"/>
      <c r="O289" s="203"/>
      <c r="P289" s="237">
        <f t="shared" si="90"/>
        <v>0</v>
      </c>
    </row>
    <row r="290" spans="1:17" s="10" customFormat="1">
      <c r="A290" s="170"/>
      <c r="B290" s="125"/>
      <c r="C290" s="126" t="s">
        <v>611</v>
      </c>
      <c r="D290" s="29"/>
      <c r="E290" s="19" t="s">
        <v>612</v>
      </c>
      <c r="F290" s="20">
        <f>SUM(F291:F296)</f>
        <v>14095000</v>
      </c>
      <c r="G290" s="20">
        <f t="shared" ref="G290:O290" si="94">SUM(G291:G296)</f>
        <v>0</v>
      </c>
      <c r="H290" s="20">
        <f t="shared" si="94"/>
        <v>0</v>
      </c>
      <c r="I290" s="20">
        <f t="shared" si="94"/>
        <v>14095000</v>
      </c>
      <c r="J290" s="20">
        <f t="shared" si="94"/>
        <v>0</v>
      </c>
      <c r="K290" s="20">
        <f t="shared" si="94"/>
        <v>14095000</v>
      </c>
      <c r="L290" s="20">
        <f t="shared" si="94"/>
        <v>0</v>
      </c>
      <c r="M290" s="20">
        <f t="shared" si="94"/>
        <v>12757900</v>
      </c>
      <c r="N290" s="20">
        <f t="shared" si="94"/>
        <v>0</v>
      </c>
      <c r="O290" s="20">
        <f t="shared" si="94"/>
        <v>7989636</v>
      </c>
      <c r="P290" s="243">
        <f t="shared" si="90"/>
        <v>0.90513657325292662</v>
      </c>
    </row>
    <row r="291" spans="1:17" s="10" customFormat="1">
      <c r="A291" s="107"/>
      <c r="B291" s="149"/>
      <c r="C291" s="18" t="s">
        <v>613</v>
      </c>
      <c r="D291" s="30" t="s">
        <v>1936</v>
      </c>
      <c r="E291" s="219" t="s">
        <v>614</v>
      </c>
      <c r="F291" s="16"/>
      <c r="G291" s="203"/>
      <c r="H291" s="203"/>
      <c r="I291" s="203"/>
      <c r="J291" s="203"/>
      <c r="K291" s="203"/>
      <c r="L291" s="203"/>
      <c r="M291" s="203"/>
      <c r="N291" s="203"/>
      <c r="O291" s="203"/>
      <c r="P291" s="237">
        <f t="shared" si="90"/>
        <v>0</v>
      </c>
    </row>
    <row r="292" spans="1:17" s="10" customFormat="1">
      <c r="A292" s="107"/>
      <c r="B292" s="149"/>
      <c r="C292" s="18" t="s">
        <v>615</v>
      </c>
      <c r="D292" s="30" t="s">
        <v>1937</v>
      </c>
      <c r="E292" s="219" t="s">
        <v>616</v>
      </c>
      <c r="F292" s="16"/>
      <c r="G292" s="203"/>
      <c r="H292" s="203"/>
      <c r="I292" s="203"/>
      <c r="J292" s="203"/>
      <c r="K292" s="203"/>
      <c r="L292" s="203"/>
      <c r="M292" s="203"/>
      <c r="N292" s="203"/>
      <c r="O292" s="203"/>
      <c r="P292" s="237">
        <f t="shared" si="90"/>
        <v>0</v>
      </c>
    </row>
    <row r="293" spans="1:17" s="10" customFormat="1">
      <c r="A293" s="107"/>
      <c r="B293" s="149" t="s">
        <v>1766</v>
      </c>
      <c r="C293" s="18" t="s">
        <v>617</v>
      </c>
      <c r="D293" s="30" t="s">
        <v>1938</v>
      </c>
      <c r="E293" s="17" t="s">
        <v>618</v>
      </c>
      <c r="F293" s="16">
        <v>14095000</v>
      </c>
      <c r="G293" s="203">
        <v>0</v>
      </c>
      <c r="H293" s="203">
        <v>0</v>
      </c>
      <c r="I293" s="203">
        <v>14095000</v>
      </c>
      <c r="J293" s="203">
        <v>0</v>
      </c>
      <c r="K293" s="203">
        <v>14095000</v>
      </c>
      <c r="L293" s="203">
        <v>0</v>
      </c>
      <c r="M293" s="203">
        <v>12757900</v>
      </c>
      <c r="N293" s="203">
        <v>0</v>
      </c>
      <c r="O293" s="203">
        <v>7989636</v>
      </c>
      <c r="P293" s="237">
        <f t="shared" si="90"/>
        <v>0.90513657325292662</v>
      </c>
    </row>
    <row r="294" spans="1:17" s="10" customFormat="1">
      <c r="A294" s="107"/>
      <c r="B294" s="149"/>
      <c r="C294" s="18" t="s">
        <v>619</v>
      </c>
      <c r="D294" s="30" t="s">
        <v>1939</v>
      </c>
      <c r="E294" s="219" t="s">
        <v>620</v>
      </c>
      <c r="F294" s="16"/>
      <c r="G294" s="203"/>
      <c r="H294" s="203"/>
      <c r="I294" s="203"/>
      <c r="J294" s="203"/>
      <c r="K294" s="203"/>
      <c r="L294" s="203"/>
      <c r="M294" s="203"/>
      <c r="N294" s="203"/>
      <c r="O294" s="203"/>
      <c r="P294" s="237">
        <f t="shared" si="90"/>
        <v>0</v>
      </c>
    </row>
    <row r="295" spans="1:17" s="10" customFormat="1">
      <c r="A295" s="107"/>
      <c r="B295" s="149"/>
      <c r="C295" s="18" t="s">
        <v>621</v>
      </c>
      <c r="D295" s="30" t="s">
        <v>1940</v>
      </c>
      <c r="E295" s="219" t="s">
        <v>622</v>
      </c>
      <c r="F295" s="16"/>
      <c r="G295" s="203"/>
      <c r="H295" s="203"/>
      <c r="I295" s="203"/>
      <c r="J295" s="203"/>
      <c r="K295" s="203"/>
      <c r="L295" s="203"/>
      <c r="M295" s="203"/>
      <c r="N295" s="203"/>
      <c r="O295" s="203"/>
      <c r="P295" s="237">
        <f t="shared" si="90"/>
        <v>0</v>
      </c>
    </row>
    <row r="296" spans="1:17" s="2" customFormat="1">
      <c r="A296" s="107"/>
      <c r="B296" s="149"/>
      <c r="C296" s="18" t="s">
        <v>623</v>
      </c>
      <c r="D296" s="30" t="s">
        <v>1942</v>
      </c>
      <c r="E296" s="219" t="s">
        <v>624</v>
      </c>
      <c r="F296" s="16"/>
      <c r="G296" s="203"/>
      <c r="H296" s="203"/>
      <c r="I296" s="203"/>
      <c r="J296" s="203"/>
      <c r="K296" s="203"/>
      <c r="L296" s="203"/>
      <c r="M296" s="203"/>
      <c r="N296" s="203"/>
      <c r="O296" s="203"/>
      <c r="P296" s="237">
        <f t="shared" si="90"/>
        <v>0</v>
      </c>
    </row>
    <row r="297" spans="1:17" s="3" customFormat="1">
      <c r="A297" s="169" t="s">
        <v>625</v>
      </c>
      <c r="B297" s="146" t="s">
        <v>1924</v>
      </c>
      <c r="C297" s="147" t="s">
        <v>626</v>
      </c>
      <c r="D297" s="65"/>
      <c r="E297" s="32" t="s">
        <v>219</v>
      </c>
      <c r="F297" s="66">
        <f>+F298</f>
        <v>2324082000</v>
      </c>
      <c r="G297" s="66">
        <f t="shared" ref="G297:O297" si="95">+G298</f>
        <v>3490440</v>
      </c>
      <c r="H297" s="66">
        <f t="shared" si="95"/>
        <v>26695641</v>
      </c>
      <c r="I297" s="66">
        <f t="shared" si="95"/>
        <v>2350777641</v>
      </c>
      <c r="J297" s="66">
        <f t="shared" si="95"/>
        <v>159000000</v>
      </c>
      <c r="K297" s="66">
        <f t="shared" si="95"/>
        <v>2285722001</v>
      </c>
      <c r="L297" s="66">
        <f t="shared" si="95"/>
        <v>73920800</v>
      </c>
      <c r="M297" s="66">
        <f t="shared" si="95"/>
        <v>1098762400</v>
      </c>
      <c r="N297" s="66">
        <f t="shared" si="95"/>
        <v>73920800</v>
      </c>
      <c r="O297" s="66">
        <f t="shared" si="95"/>
        <v>1098762400</v>
      </c>
      <c r="P297" s="236">
        <f t="shared" si="90"/>
        <v>0.46740379899674228</v>
      </c>
      <c r="Q297" s="359"/>
    </row>
    <row r="298" spans="1:17" s="3" customFormat="1">
      <c r="A298" s="134" t="s">
        <v>627</v>
      </c>
      <c r="B298" s="123" t="s">
        <v>1925</v>
      </c>
      <c r="C298" s="124" t="s">
        <v>628</v>
      </c>
      <c r="D298" s="67"/>
      <c r="E298" s="25" t="s">
        <v>222</v>
      </c>
      <c r="F298" s="68">
        <f>+F299+F308</f>
        <v>2324082000</v>
      </c>
      <c r="G298" s="68">
        <f t="shared" ref="G298:O298" si="96">+G299+G308</f>
        <v>3490440</v>
      </c>
      <c r="H298" s="68">
        <f t="shared" si="96"/>
        <v>26695641</v>
      </c>
      <c r="I298" s="68">
        <f t="shared" si="96"/>
        <v>2350777641</v>
      </c>
      <c r="J298" s="68">
        <f t="shared" si="96"/>
        <v>159000000</v>
      </c>
      <c r="K298" s="68">
        <f t="shared" si="96"/>
        <v>2285722001</v>
      </c>
      <c r="L298" s="68">
        <f t="shared" si="96"/>
        <v>73920800</v>
      </c>
      <c r="M298" s="68">
        <f t="shared" si="96"/>
        <v>1098762400</v>
      </c>
      <c r="N298" s="68">
        <f t="shared" si="96"/>
        <v>73920800</v>
      </c>
      <c r="O298" s="68">
        <f t="shared" si="96"/>
        <v>1098762400</v>
      </c>
      <c r="P298" s="229">
        <f t="shared" si="90"/>
        <v>0.46740379899674228</v>
      </c>
      <c r="Q298" s="359"/>
    </row>
    <row r="299" spans="1:17" s="10" customFormat="1">
      <c r="A299" s="170"/>
      <c r="B299" s="125"/>
      <c r="C299" s="126" t="s">
        <v>629</v>
      </c>
      <c r="D299" s="29"/>
      <c r="E299" s="19" t="s">
        <v>630</v>
      </c>
      <c r="F299" s="20">
        <f>SUM(F300:F307)</f>
        <v>2174509000</v>
      </c>
      <c r="G299" s="20">
        <f t="shared" ref="G299:O299" si="97">SUM(G300:G307)</f>
        <v>3490440</v>
      </c>
      <c r="H299" s="20">
        <f t="shared" si="97"/>
        <v>-1408902</v>
      </c>
      <c r="I299" s="20">
        <f t="shared" si="97"/>
        <v>2173100098</v>
      </c>
      <c r="J299" s="20">
        <f t="shared" si="97"/>
        <v>150000000</v>
      </c>
      <c r="K299" s="20">
        <f t="shared" si="97"/>
        <v>2130632308</v>
      </c>
      <c r="L299" s="20">
        <f t="shared" si="97"/>
        <v>73920800</v>
      </c>
      <c r="M299" s="20">
        <f t="shared" si="97"/>
        <v>1024111000</v>
      </c>
      <c r="N299" s="20">
        <f t="shared" si="97"/>
        <v>73920800</v>
      </c>
      <c r="O299" s="20">
        <f t="shared" si="97"/>
        <v>1024111000</v>
      </c>
      <c r="P299" s="243">
        <f t="shared" si="90"/>
        <v>0.47126729272274875</v>
      </c>
    </row>
    <row r="300" spans="1:17" s="10" customFormat="1">
      <c r="A300" s="107"/>
      <c r="B300" s="149" t="s">
        <v>1583</v>
      </c>
      <c r="C300" s="18" t="s">
        <v>631</v>
      </c>
      <c r="D300" s="30" t="s">
        <v>1936</v>
      </c>
      <c r="E300" s="17" t="s">
        <v>632</v>
      </c>
      <c r="F300" s="16">
        <v>374293000</v>
      </c>
      <c r="G300" s="203">
        <v>0</v>
      </c>
      <c r="H300" s="203">
        <v>0</v>
      </c>
      <c r="I300" s="203">
        <v>374293000</v>
      </c>
      <c r="J300" s="203">
        <v>0</v>
      </c>
      <c r="K300" s="203">
        <v>374293000</v>
      </c>
      <c r="L300" s="203">
        <v>15279800</v>
      </c>
      <c r="M300" s="203">
        <v>165398500</v>
      </c>
      <c r="N300" s="203">
        <v>15279800</v>
      </c>
      <c r="O300" s="203">
        <v>165398500</v>
      </c>
      <c r="P300" s="237">
        <f t="shared" si="90"/>
        <v>0.44189578752474667</v>
      </c>
    </row>
    <row r="301" spans="1:17" s="10" customFormat="1">
      <c r="A301" s="107"/>
      <c r="B301" s="149" t="s">
        <v>1584</v>
      </c>
      <c r="C301" s="18" t="s">
        <v>633</v>
      </c>
      <c r="D301" s="30" t="s">
        <v>1937</v>
      </c>
      <c r="E301" s="17" t="s">
        <v>634</v>
      </c>
      <c r="F301" s="16">
        <v>515556000</v>
      </c>
      <c r="G301" s="203">
        <v>0</v>
      </c>
      <c r="H301" s="203">
        <v>0</v>
      </c>
      <c r="I301" s="203">
        <v>515556000</v>
      </c>
      <c r="J301" s="203">
        <v>0</v>
      </c>
      <c r="K301" s="203">
        <v>515556000</v>
      </c>
      <c r="L301" s="203">
        <v>12727600</v>
      </c>
      <c r="M301" s="203">
        <v>219580300</v>
      </c>
      <c r="N301" s="203">
        <v>12727600</v>
      </c>
      <c r="O301" s="203">
        <v>219580300</v>
      </c>
      <c r="P301" s="237">
        <f t="shared" si="90"/>
        <v>0.42590969749164009</v>
      </c>
    </row>
    <row r="302" spans="1:17" s="10" customFormat="1">
      <c r="A302" s="107"/>
      <c r="B302" s="149" t="s">
        <v>1585</v>
      </c>
      <c r="C302" s="18" t="s">
        <v>635</v>
      </c>
      <c r="D302" s="30" t="s">
        <v>1938</v>
      </c>
      <c r="E302" s="17" t="s">
        <v>636</v>
      </c>
      <c r="F302" s="16">
        <v>274585000</v>
      </c>
      <c r="G302" s="203">
        <v>0</v>
      </c>
      <c r="H302" s="203">
        <v>0</v>
      </c>
      <c r="I302" s="203">
        <v>274585000</v>
      </c>
      <c r="J302" s="203">
        <v>0</v>
      </c>
      <c r="K302" s="203">
        <v>274585000</v>
      </c>
      <c r="L302" s="203">
        <v>8600600</v>
      </c>
      <c r="M302" s="203">
        <v>138254500</v>
      </c>
      <c r="N302" s="203">
        <v>8600600</v>
      </c>
      <c r="O302" s="203">
        <v>138254500</v>
      </c>
      <c r="P302" s="237">
        <f t="shared" si="90"/>
        <v>0.50350346887120567</v>
      </c>
    </row>
    <row r="303" spans="1:17" s="10" customFormat="1">
      <c r="A303" s="107"/>
      <c r="B303" s="149" t="s">
        <v>1586</v>
      </c>
      <c r="C303" s="18" t="s">
        <v>637</v>
      </c>
      <c r="D303" s="30" t="s">
        <v>1939</v>
      </c>
      <c r="E303" s="17" t="s">
        <v>638</v>
      </c>
      <c r="F303" s="16">
        <v>393487000</v>
      </c>
      <c r="G303" s="203">
        <v>0</v>
      </c>
      <c r="H303" s="203">
        <v>0</v>
      </c>
      <c r="I303" s="203">
        <v>393487000</v>
      </c>
      <c r="J303" s="203">
        <v>0</v>
      </c>
      <c r="K303" s="203">
        <v>393487000</v>
      </c>
      <c r="L303" s="203">
        <v>14412800</v>
      </c>
      <c r="M303" s="203">
        <v>195631500</v>
      </c>
      <c r="N303" s="203">
        <v>14412800</v>
      </c>
      <c r="O303" s="203">
        <v>195631500</v>
      </c>
      <c r="P303" s="237">
        <f t="shared" si="90"/>
        <v>0.49717398541756147</v>
      </c>
    </row>
    <row r="304" spans="1:17" s="10" customFormat="1">
      <c r="A304" s="107"/>
      <c r="B304" s="149" t="s">
        <v>1587</v>
      </c>
      <c r="C304" s="18" t="s">
        <v>639</v>
      </c>
      <c r="D304" s="30" t="s">
        <v>1940</v>
      </c>
      <c r="E304" s="17" t="s">
        <v>640</v>
      </c>
      <c r="F304" s="16">
        <v>362928000</v>
      </c>
      <c r="G304" s="203">
        <v>0</v>
      </c>
      <c r="H304" s="203">
        <v>0</v>
      </c>
      <c r="I304" s="203">
        <v>362928000</v>
      </c>
      <c r="J304" s="203">
        <v>150000000</v>
      </c>
      <c r="K304" s="203">
        <v>323950650</v>
      </c>
      <c r="L304" s="203">
        <v>11046200</v>
      </c>
      <c r="M304" s="203">
        <v>184996850</v>
      </c>
      <c r="N304" s="203">
        <v>11046200</v>
      </c>
      <c r="O304" s="203">
        <v>184996850</v>
      </c>
      <c r="P304" s="237">
        <f t="shared" si="90"/>
        <v>0.50973429991623687</v>
      </c>
    </row>
    <row r="305" spans="1:17" s="10" customFormat="1">
      <c r="A305" s="107"/>
      <c r="B305" s="149" t="s">
        <v>1588</v>
      </c>
      <c r="C305" s="18" t="s">
        <v>641</v>
      </c>
      <c r="D305" s="30" t="s">
        <v>1941</v>
      </c>
      <c r="E305" s="17" t="s">
        <v>642</v>
      </c>
      <c r="F305" s="16">
        <v>73174000</v>
      </c>
      <c r="G305" s="203">
        <v>3490440</v>
      </c>
      <c r="H305" s="203">
        <v>4591098</v>
      </c>
      <c r="I305" s="203">
        <v>77765098</v>
      </c>
      <c r="J305" s="203">
        <v>0</v>
      </c>
      <c r="K305" s="203">
        <v>74274658</v>
      </c>
      <c r="L305" s="203">
        <v>2567000</v>
      </c>
      <c r="M305" s="203">
        <v>38982400</v>
      </c>
      <c r="N305" s="203">
        <v>2567000</v>
      </c>
      <c r="O305" s="203">
        <v>38982400</v>
      </c>
      <c r="P305" s="237">
        <f t="shared" si="90"/>
        <v>0.5012840078977332</v>
      </c>
      <c r="Q305" s="358"/>
    </row>
    <row r="306" spans="1:17" s="10" customFormat="1">
      <c r="A306" s="107"/>
      <c r="B306" s="149" t="s">
        <v>1589</v>
      </c>
      <c r="C306" s="18" t="s">
        <v>643</v>
      </c>
      <c r="D306" s="30" t="s">
        <v>1942</v>
      </c>
      <c r="E306" s="17" t="s">
        <v>644</v>
      </c>
      <c r="F306" s="16">
        <v>166721000</v>
      </c>
      <c r="G306" s="203">
        <v>0</v>
      </c>
      <c r="H306" s="203">
        <v>-6000000</v>
      </c>
      <c r="I306" s="203">
        <v>160721000</v>
      </c>
      <c r="J306" s="203">
        <v>0</v>
      </c>
      <c r="K306" s="203">
        <v>160721000</v>
      </c>
      <c r="L306" s="203">
        <v>9286800</v>
      </c>
      <c r="M306" s="203">
        <v>77940450</v>
      </c>
      <c r="N306" s="203">
        <v>9286800</v>
      </c>
      <c r="O306" s="203">
        <v>77940450</v>
      </c>
      <c r="P306" s="237">
        <f t="shared" si="90"/>
        <v>0.48494254017832145</v>
      </c>
    </row>
    <row r="307" spans="1:17" s="3" customFormat="1">
      <c r="A307" s="107"/>
      <c r="B307" s="149" t="s">
        <v>1590</v>
      </c>
      <c r="C307" s="18" t="s">
        <v>645</v>
      </c>
      <c r="D307" s="30" t="s">
        <v>1913</v>
      </c>
      <c r="E307" s="17" t="s">
        <v>646</v>
      </c>
      <c r="F307" s="16">
        <v>13765000</v>
      </c>
      <c r="G307" s="203">
        <v>0</v>
      </c>
      <c r="H307" s="203">
        <v>0</v>
      </c>
      <c r="I307" s="203">
        <v>13765000</v>
      </c>
      <c r="J307" s="203">
        <v>0</v>
      </c>
      <c r="K307" s="203">
        <v>13765000</v>
      </c>
      <c r="L307" s="203">
        <v>0</v>
      </c>
      <c r="M307" s="203">
        <v>3326500</v>
      </c>
      <c r="N307" s="203">
        <v>0</v>
      </c>
      <c r="O307" s="203">
        <v>3326500</v>
      </c>
      <c r="P307" s="237">
        <f t="shared" si="90"/>
        <v>0.24166363966581911</v>
      </c>
    </row>
    <row r="308" spans="1:17" s="10" customFormat="1">
      <c r="A308" s="170"/>
      <c r="B308" s="125"/>
      <c r="C308" s="126" t="s">
        <v>647</v>
      </c>
      <c r="D308" s="29"/>
      <c r="E308" s="19" t="s">
        <v>648</v>
      </c>
      <c r="F308" s="20">
        <f>SUM(F309:F314)</f>
        <v>149573000</v>
      </c>
      <c r="G308" s="20">
        <f t="shared" ref="G308:O308" si="98">SUM(G309:G314)</f>
        <v>0</v>
      </c>
      <c r="H308" s="20">
        <f t="shared" si="98"/>
        <v>28104543</v>
      </c>
      <c r="I308" s="20">
        <f t="shared" si="98"/>
        <v>177677543</v>
      </c>
      <c r="J308" s="20">
        <f t="shared" si="98"/>
        <v>9000000</v>
      </c>
      <c r="K308" s="20">
        <f t="shared" si="98"/>
        <v>155089693</v>
      </c>
      <c r="L308" s="20">
        <f t="shared" si="98"/>
        <v>0</v>
      </c>
      <c r="M308" s="20">
        <f t="shared" si="98"/>
        <v>74651400</v>
      </c>
      <c r="N308" s="20">
        <f t="shared" si="98"/>
        <v>0</v>
      </c>
      <c r="O308" s="20">
        <f t="shared" si="98"/>
        <v>74651400</v>
      </c>
      <c r="P308" s="243">
        <f t="shared" si="90"/>
        <v>0.42015101480776329</v>
      </c>
    </row>
    <row r="309" spans="1:17" s="10" customFormat="1">
      <c r="A309" s="107"/>
      <c r="B309" s="149" t="s">
        <v>1767</v>
      </c>
      <c r="C309" s="18" t="s">
        <v>649</v>
      </c>
      <c r="D309" s="30" t="s">
        <v>1936</v>
      </c>
      <c r="E309" s="17" t="s">
        <v>650</v>
      </c>
      <c r="F309" s="16">
        <v>31571000</v>
      </c>
      <c r="G309" s="203">
        <v>0</v>
      </c>
      <c r="H309" s="203">
        <v>4500000</v>
      </c>
      <c r="I309" s="203">
        <v>36071000</v>
      </c>
      <c r="J309" s="203">
        <v>0</v>
      </c>
      <c r="K309" s="203">
        <v>14772600</v>
      </c>
      <c r="L309" s="203">
        <v>0</v>
      </c>
      <c r="M309" s="203">
        <v>14772600</v>
      </c>
      <c r="N309" s="203">
        <v>0</v>
      </c>
      <c r="O309" s="203">
        <v>14772600</v>
      </c>
      <c r="P309" s="237">
        <f t="shared" si="90"/>
        <v>0.40954229159158329</v>
      </c>
    </row>
    <row r="310" spans="1:17" s="10" customFormat="1">
      <c r="A310" s="107"/>
      <c r="B310" s="149" t="s">
        <v>1768</v>
      </c>
      <c r="C310" s="18" t="s">
        <v>651</v>
      </c>
      <c r="D310" s="30" t="s">
        <v>1937</v>
      </c>
      <c r="E310" s="17" t="s">
        <v>652</v>
      </c>
      <c r="F310" s="16">
        <v>74615000</v>
      </c>
      <c r="G310" s="203">
        <v>0</v>
      </c>
      <c r="H310" s="203">
        <v>16604543</v>
      </c>
      <c r="I310" s="203">
        <v>91219543</v>
      </c>
      <c r="J310" s="203">
        <v>0</v>
      </c>
      <c r="K310" s="203">
        <v>91219543</v>
      </c>
      <c r="L310" s="203">
        <v>0</v>
      </c>
      <c r="M310" s="203">
        <v>36051550</v>
      </c>
      <c r="N310" s="203">
        <v>0</v>
      </c>
      <c r="O310" s="203">
        <v>36051550</v>
      </c>
      <c r="P310" s="237">
        <f t="shared" si="90"/>
        <v>0.39521739327284289</v>
      </c>
    </row>
    <row r="311" spans="1:17" s="10" customFormat="1">
      <c r="A311" s="107"/>
      <c r="B311" s="149" t="s">
        <v>1769</v>
      </c>
      <c r="C311" s="18" t="s">
        <v>653</v>
      </c>
      <c r="D311" s="30" t="s">
        <v>1938</v>
      </c>
      <c r="E311" s="17" t="s">
        <v>654</v>
      </c>
      <c r="F311" s="16">
        <v>5801000</v>
      </c>
      <c r="G311" s="203">
        <v>0</v>
      </c>
      <c r="H311" s="203">
        <v>0</v>
      </c>
      <c r="I311" s="203">
        <v>5801000</v>
      </c>
      <c r="J311" s="203">
        <v>0</v>
      </c>
      <c r="K311" s="203">
        <v>5801000</v>
      </c>
      <c r="L311" s="203">
        <v>0</v>
      </c>
      <c r="M311" s="203">
        <v>3255000</v>
      </c>
      <c r="N311" s="203">
        <v>0</v>
      </c>
      <c r="O311" s="203">
        <v>3255000</v>
      </c>
      <c r="P311" s="237">
        <f t="shared" si="90"/>
        <v>0.5611101534218238</v>
      </c>
    </row>
    <row r="312" spans="1:17" s="10" customFormat="1">
      <c r="A312" s="107"/>
      <c r="B312" s="149" t="s">
        <v>1770</v>
      </c>
      <c r="C312" s="18" t="s">
        <v>655</v>
      </c>
      <c r="D312" s="30" t="s">
        <v>1939</v>
      </c>
      <c r="E312" s="17" t="s">
        <v>656</v>
      </c>
      <c r="F312" s="16">
        <v>25188000</v>
      </c>
      <c r="G312" s="203">
        <v>0</v>
      </c>
      <c r="H312" s="203">
        <v>0</v>
      </c>
      <c r="I312" s="203">
        <v>25188000</v>
      </c>
      <c r="J312" s="203">
        <v>0</v>
      </c>
      <c r="K312" s="203">
        <v>25188000</v>
      </c>
      <c r="L312" s="203">
        <v>0</v>
      </c>
      <c r="M312" s="203">
        <v>11463700</v>
      </c>
      <c r="N312" s="203">
        <v>0</v>
      </c>
      <c r="O312" s="203">
        <v>11463700</v>
      </c>
      <c r="P312" s="237">
        <f t="shared" si="90"/>
        <v>0.45512545656661901</v>
      </c>
    </row>
    <row r="313" spans="1:17" s="10" customFormat="1">
      <c r="A313" s="107"/>
      <c r="B313" s="149" t="s">
        <v>1771</v>
      </c>
      <c r="C313" s="18" t="s">
        <v>657</v>
      </c>
      <c r="D313" s="30" t="s">
        <v>1940</v>
      </c>
      <c r="E313" s="17" t="s">
        <v>658</v>
      </c>
      <c r="F313" s="16">
        <v>12398000</v>
      </c>
      <c r="G313" s="203">
        <v>0</v>
      </c>
      <c r="H313" s="203">
        <v>7000000</v>
      </c>
      <c r="I313" s="203">
        <v>19398000</v>
      </c>
      <c r="J313" s="203">
        <v>9000000</v>
      </c>
      <c r="K313" s="203">
        <v>18108550</v>
      </c>
      <c r="L313" s="203">
        <v>0</v>
      </c>
      <c r="M313" s="203">
        <v>9108550</v>
      </c>
      <c r="N313" s="203">
        <v>0</v>
      </c>
      <c r="O313" s="203">
        <v>9108550</v>
      </c>
      <c r="P313" s="237">
        <f t="shared" si="90"/>
        <v>0.46956129497886379</v>
      </c>
    </row>
    <row r="314" spans="1:17" s="2" customFormat="1">
      <c r="A314" s="107"/>
      <c r="B314" s="149"/>
      <c r="C314" s="18" t="s">
        <v>659</v>
      </c>
      <c r="D314" s="30" t="s">
        <v>1942</v>
      </c>
      <c r="E314" s="219" t="s">
        <v>660</v>
      </c>
      <c r="F314" s="16"/>
      <c r="G314" s="203">
        <v>0</v>
      </c>
      <c r="H314" s="203">
        <v>0</v>
      </c>
      <c r="I314" s="203">
        <v>0</v>
      </c>
      <c r="J314" s="203">
        <v>0</v>
      </c>
      <c r="K314" s="203">
        <v>0</v>
      </c>
      <c r="L314" s="203">
        <v>0</v>
      </c>
      <c r="M314" s="203">
        <v>0</v>
      </c>
      <c r="N314" s="203">
        <v>0</v>
      </c>
      <c r="O314" s="203">
        <v>0</v>
      </c>
      <c r="P314" s="237">
        <f t="shared" si="90"/>
        <v>0</v>
      </c>
    </row>
    <row r="315" spans="1:17" s="3" customFormat="1">
      <c r="A315" s="169" t="s">
        <v>661</v>
      </c>
      <c r="B315" s="146" t="s">
        <v>1926</v>
      </c>
      <c r="C315" s="147" t="s">
        <v>662</v>
      </c>
      <c r="D315" s="65"/>
      <c r="E315" s="32" t="s">
        <v>231</v>
      </c>
      <c r="F315" s="66">
        <f>+F316</f>
        <v>288000000</v>
      </c>
      <c r="G315" s="66">
        <f t="shared" ref="G315:O315" si="99">+G316</f>
        <v>434150</v>
      </c>
      <c r="H315" s="66">
        <f t="shared" si="99"/>
        <v>22614930</v>
      </c>
      <c r="I315" s="66">
        <f t="shared" si="99"/>
        <v>310614930</v>
      </c>
      <c r="J315" s="66">
        <f t="shared" si="99"/>
        <v>19500000</v>
      </c>
      <c r="K315" s="66">
        <f t="shared" si="99"/>
        <v>297348980</v>
      </c>
      <c r="L315" s="66">
        <f t="shared" si="99"/>
        <v>9633400</v>
      </c>
      <c r="M315" s="66">
        <f t="shared" si="99"/>
        <v>137061500</v>
      </c>
      <c r="N315" s="66">
        <f t="shared" si="99"/>
        <v>9633400</v>
      </c>
      <c r="O315" s="66">
        <f t="shared" si="99"/>
        <v>137061500</v>
      </c>
      <c r="P315" s="236">
        <f t="shared" si="90"/>
        <v>0.44125857053941353</v>
      </c>
      <c r="Q315" s="359"/>
    </row>
    <row r="316" spans="1:17" s="3" customFormat="1">
      <c r="A316" s="134" t="s">
        <v>663</v>
      </c>
      <c r="B316" s="123" t="s">
        <v>1927</v>
      </c>
      <c r="C316" s="124" t="s">
        <v>664</v>
      </c>
      <c r="D316" s="67"/>
      <c r="E316" s="25" t="s">
        <v>234</v>
      </c>
      <c r="F316" s="68">
        <f>+F317+F326</f>
        <v>288000000</v>
      </c>
      <c r="G316" s="68">
        <f t="shared" ref="G316:O316" si="100">+G317+G326</f>
        <v>434150</v>
      </c>
      <c r="H316" s="68">
        <f t="shared" si="100"/>
        <v>22614930</v>
      </c>
      <c r="I316" s="68">
        <f t="shared" si="100"/>
        <v>310614930</v>
      </c>
      <c r="J316" s="68">
        <f t="shared" si="100"/>
        <v>19500000</v>
      </c>
      <c r="K316" s="68">
        <f t="shared" si="100"/>
        <v>297348980</v>
      </c>
      <c r="L316" s="68">
        <f t="shared" si="100"/>
        <v>9633400</v>
      </c>
      <c r="M316" s="68">
        <f t="shared" si="100"/>
        <v>137061500</v>
      </c>
      <c r="N316" s="68">
        <f t="shared" si="100"/>
        <v>9633400</v>
      </c>
      <c r="O316" s="68">
        <f t="shared" si="100"/>
        <v>137061500</v>
      </c>
      <c r="P316" s="229">
        <f t="shared" si="90"/>
        <v>0.44125857053941353</v>
      </c>
      <c r="Q316" s="359"/>
    </row>
    <row r="317" spans="1:17" s="10" customFormat="1">
      <c r="A317" s="170"/>
      <c r="B317" s="125"/>
      <c r="C317" s="126" t="s">
        <v>665</v>
      </c>
      <c r="D317" s="29"/>
      <c r="E317" s="19" t="s">
        <v>666</v>
      </c>
      <c r="F317" s="20">
        <f>SUM(F318:F325)</f>
        <v>269404000</v>
      </c>
      <c r="G317" s="20">
        <f t="shared" ref="G317:O317" si="101">SUM(G318:G325)</f>
        <v>434150</v>
      </c>
      <c r="H317" s="20">
        <f t="shared" si="101"/>
        <v>17764590</v>
      </c>
      <c r="I317" s="20">
        <f t="shared" si="101"/>
        <v>287168590</v>
      </c>
      <c r="J317" s="20">
        <f t="shared" si="101"/>
        <v>18000000</v>
      </c>
      <c r="K317" s="20">
        <f t="shared" si="101"/>
        <v>277566240</v>
      </c>
      <c r="L317" s="20">
        <f t="shared" si="101"/>
        <v>9633400</v>
      </c>
      <c r="M317" s="20">
        <f t="shared" si="101"/>
        <v>128060750</v>
      </c>
      <c r="N317" s="20">
        <f t="shared" si="101"/>
        <v>9633400</v>
      </c>
      <c r="O317" s="20">
        <f t="shared" si="101"/>
        <v>128060750</v>
      </c>
      <c r="P317" s="243">
        <f t="shared" si="90"/>
        <v>0.44594274742930623</v>
      </c>
    </row>
    <row r="318" spans="1:17" s="10" customFormat="1">
      <c r="A318" s="107"/>
      <c r="B318" s="149" t="s">
        <v>1575</v>
      </c>
      <c r="C318" s="18" t="s">
        <v>667</v>
      </c>
      <c r="D318" s="30" t="s">
        <v>1936</v>
      </c>
      <c r="E318" s="17" t="s">
        <v>668</v>
      </c>
      <c r="F318" s="16">
        <v>44956000</v>
      </c>
      <c r="G318" s="203">
        <v>0</v>
      </c>
      <c r="H318" s="203">
        <v>10000000</v>
      </c>
      <c r="I318" s="203">
        <v>54956000</v>
      </c>
      <c r="J318" s="203">
        <v>0</v>
      </c>
      <c r="K318" s="203">
        <v>54956000</v>
      </c>
      <c r="L318" s="203">
        <v>1997300</v>
      </c>
      <c r="M318" s="203">
        <v>20848850</v>
      </c>
      <c r="N318" s="203">
        <v>1997300</v>
      </c>
      <c r="O318" s="203">
        <v>20848850</v>
      </c>
      <c r="P318" s="237">
        <f t="shared" si="90"/>
        <v>0.37937349879903925</v>
      </c>
    </row>
    <row r="319" spans="1:17" s="10" customFormat="1">
      <c r="A319" s="107"/>
      <c r="B319" s="149" t="s">
        <v>1576</v>
      </c>
      <c r="C319" s="18" t="s">
        <v>669</v>
      </c>
      <c r="D319" s="30" t="s">
        <v>1937</v>
      </c>
      <c r="E319" s="17" t="s">
        <v>670</v>
      </c>
      <c r="F319" s="16">
        <v>61962000</v>
      </c>
      <c r="G319" s="203">
        <v>0</v>
      </c>
      <c r="H319" s="203">
        <v>0</v>
      </c>
      <c r="I319" s="203">
        <v>61962000</v>
      </c>
      <c r="J319" s="203">
        <v>0</v>
      </c>
      <c r="K319" s="203">
        <v>61962000</v>
      </c>
      <c r="L319" s="203">
        <v>1663600</v>
      </c>
      <c r="M319" s="203">
        <v>27339850</v>
      </c>
      <c r="N319" s="203">
        <v>1663600</v>
      </c>
      <c r="O319" s="203">
        <v>27339850</v>
      </c>
      <c r="P319" s="237">
        <f t="shared" si="90"/>
        <v>0.44123575739969662</v>
      </c>
    </row>
    <row r="320" spans="1:17" s="10" customFormat="1">
      <c r="A320" s="107"/>
      <c r="B320" s="149" t="s">
        <v>1577</v>
      </c>
      <c r="C320" s="18" t="s">
        <v>671</v>
      </c>
      <c r="D320" s="30" t="s">
        <v>1938</v>
      </c>
      <c r="E320" s="17" t="s">
        <v>672</v>
      </c>
      <c r="F320" s="16">
        <v>32970000</v>
      </c>
      <c r="G320" s="203">
        <v>0</v>
      </c>
      <c r="H320" s="203">
        <v>0</v>
      </c>
      <c r="I320" s="203">
        <v>32970000</v>
      </c>
      <c r="J320" s="203">
        <v>0</v>
      </c>
      <c r="K320" s="203">
        <v>32970000</v>
      </c>
      <c r="L320" s="203">
        <v>1118300</v>
      </c>
      <c r="M320" s="203">
        <v>17168700</v>
      </c>
      <c r="N320" s="203">
        <v>1118300</v>
      </c>
      <c r="O320" s="203">
        <v>17168700</v>
      </c>
      <c r="P320" s="237">
        <f t="shared" si="90"/>
        <v>0.52073703366697</v>
      </c>
    </row>
    <row r="321" spans="1:17" s="10" customFormat="1">
      <c r="A321" s="107"/>
      <c r="B321" s="149" t="s">
        <v>1578</v>
      </c>
      <c r="C321" s="18" t="s">
        <v>673</v>
      </c>
      <c r="D321" s="30" t="s">
        <v>1939</v>
      </c>
      <c r="E321" s="17" t="s">
        <v>674</v>
      </c>
      <c r="F321" s="16">
        <v>51350000</v>
      </c>
      <c r="G321" s="203">
        <v>0</v>
      </c>
      <c r="H321" s="203">
        <v>0</v>
      </c>
      <c r="I321" s="203">
        <v>51350000</v>
      </c>
      <c r="J321" s="203">
        <v>0</v>
      </c>
      <c r="K321" s="203">
        <v>51350000</v>
      </c>
      <c r="L321" s="203">
        <v>1881300</v>
      </c>
      <c r="M321" s="203">
        <v>24518300</v>
      </c>
      <c r="N321" s="203">
        <v>1881300</v>
      </c>
      <c r="O321" s="203">
        <v>24518300</v>
      </c>
      <c r="P321" s="237">
        <f t="shared" si="90"/>
        <v>0.47747419668938657</v>
      </c>
    </row>
    <row r="322" spans="1:17" s="10" customFormat="1">
      <c r="A322" s="107"/>
      <c r="B322" s="149" t="s">
        <v>1579</v>
      </c>
      <c r="C322" s="18" t="s">
        <v>675</v>
      </c>
      <c r="D322" s="30" t="s">
        <v>1940</v>
      </c>
      <c r="E322" s="17" t="s">
        <v>676</v>
      </c>
      <c r="F322" s="16">
        <v>46772000</v>
      </c>
      <c r="G322" s="203">
        <v>0</v>
      </c>
      <c r="H322" s="203">
        <v>2000000</v>
      </c>
      <c r="I322" s="203">
        <v>48772000</v>
      </c>
      <c r="J322" s="203">
        <v>18000000</v>
      </c>
      <c r="K322" s="203">
        <v>39603800</v>
      </c>
      <c r="L322" s="203">
        <v>1443900</v>
      </c>
      <c r="M322" s="203">
        <v>23047700</v>
      </c>
      <c r="N322" s="203">
        <v>1443900</v>
      </c>
      <c r="O322" s="203">
        <v>23047700</v>
      </c>
      <c r="P322" s="237">
        <f t="shared" si="90"/>
        <v>0.47256007545312884</v>
      </c>
    </row>
    <row r="323" spans="1:17" s="10" customFormat="1">
      <c r="A323" s="107"/>
      <c r="B323" s="149" t="s">
        <v>1580</v>
      </c>
      <c r="C323" s="18" t="s">
        <v>677</v>
      </c>
      <c r="D323" s="30" t="s">
        <v>1941</v>
      </c>
      <c r="E323" s="17" t="s">
        <v>678</v>
      </c>
      <c r="F323" s="16">
        <v>9195000</v>
      </c>
      <c r="G323" s="203">
        <v>434150</v>
      </c>
      <c r="H323" s="203">
        <v>3464590</v>
      </c>
      <c r="I323" s="203">
        <v>12659590</v>
      </c>
      <c r="J323" s="203">
        <v>0</v>
      </c>
      <c r="K323" s="203">
        <v>12225440</v>
      </c>
      <c r="L323" s="203">
        <v>317600</v>
      </c>
      <c r="M323" s="203">
        <v>4775400</v>
      </c>
      <c r="N323" s="203">
        <v>317600</v>
      </c>
      <c r="O323" s="203">
        <v>4775400</v>
      </c>
      <c r="P323" s="237">
        <f t="shared" si="90"/>
        <v>0.37721600778540221</v>
      </c>
      <c r="Q323" s="358"/>
    </row>
    <row r="324" spans="1:17" s="10" customFormat="1">
      <c r="A324" s="107"/>
      <c r="B324" s="149" t="s">
        <v>1581</v>
      </c>
      <c r="C324" s="18" t="s">
        <v>679</v>
      </c>
      <c r="D324" s="30" t="s">
        <v>1942</v>
      </c>
      <c r="E324" s="17" t="s">
        <v>680</v>
      </c>
      <c r="F324" s="16">
        <v>20543000</v>
      </c>
      <c r="G324" s="203">
        <v>0</v>
      </c>
      <c r="H324" s="203">
        <v>2000000</v>
      </c>
      <c r="I324" s="203">
        <v>22543000</v>
      </c>
      <c r="J324" s="203">
        <v>0</v>
      </c>
      <c r="K324" s="203">
        <v>22543000</v>
      </c>
      <c r="L324" s="203">
        <v>1211400</v>
      </c>
      <c r="M324" s="203">
        <v>9969300</v>
      </c>
      <c r="N324" s="203">
        <v>1211400</v>
      </c>
      <c r="O324" s="203">
        <v>9969300</v>
      </c>
      <c r="P324" s="237">
        <f t="shared" si="90"/>
        <v>0.4422348400833962</v>
      </c>
    </row>
    <row r="325" spans="1:17" s="3" customFormat="1">
      <c r="A325" s="107"/>
      <c r="B325" s="149" t="s">
        <v>1582</v>
      </c>
      <c r="C325" s="18" t="s">
        <v>681</v>
      </c>
      <c r="D325" s="30" t="s">
        <v>1913</v>
      </c>
      <c r="E325" s="17" t="s">
        <v>682</v>
      </c>
      <c r="F325" s="16">
        <v>1656000</v>
      </c>
      <c r="G325" s="203">
        <v>0</v>
      </c>
      <c r="H325" s="203">
        <v>300000</v>
      </c>
      <c r="I325" s="203">
        <v>1956000</v>
      </c>
      <c r="J325" s="203">
        <v>0</v>
      </c>
      <c r="K325" s="203">
        <v>1956000</v>
      </c>
      <c r="L325" s="203">
        <v>0</v>
      </c>
      <c r="M325" s="203">
        <v>392650</v>
      </c>
      <c r="N325" s="203">
        <v>0</v>
      </c>
      <c r="O325" s="203">
        <v>392650</v>
      </c>
      <c r="P325" s="237">
        <f t="shared" si="90"/>
        <v>0.20074130879345603</v>
      </c>
    </row>
    <row r="326" spans="1:17" s="10" customFormat="1">
      <c r="A326" s="170"/>
      <c r="B326" s="125"/>
      <c r="C326" s="126" t="s">
        <v>683</v>
      </c>
      <c r="D326" s="29"/>
      <c r="E326" s="19" t="s">
        <v>684</v>
      </c>
      <c r="F326" s="20">
        <f>SUM(F327:F332)</f>
        <v>18596000</v>
      </c>
      <c r="G326" s="20">
        <f t="shared" ref="G326:O326" si="102">SUM(G327:G332)</f>
        <v>0</v>
      </c>
      <c r="H326" s="20">
        <f t="shared" si="102"/>
        <v>4850340</v>
      </c>
      <c r="I326" s="20">
        <f t="shared" si="102"/>
        <v>23446340</v>
      </c>
      <c r="J326" s="20">
        <f t="shared" si="102"/>
        <v>1500000</v>
      </c>
      <c r="K326" s="20">
        <f t="shared" si="102"/>
        <v>19782740</v>
      </c>
      <c r="L326" s="20">
        <f t="shared" si="102"/>
        <v>0</v>
      </c>
      <c r="M326" s="20">
        <f t="shared" si="102"/>
        <v>9000750</v>
      </c>
      <c r="N326" s="20">
        <f t="shared" si="102"/>
        <v>0</v>
      </c>
      <c r="O326" s="20">
        <f t="shared" si="102"/>
        <v>9000750</v>
      </c>
      <c r="P326" s="243">
        <f t="shared" si="90"/>
        <v>0.38388720798214138</v>
      </c>
    </row>
    <row r="327" spans="1:17" s="10" customFormat="1">
      <c r="A327" s="107"/>
      <c r="B327" s="149" t="s">
        <v>1772</v>
      </c>
      <c r="C327" s="18" t="s">
        <v>685</v>
      </c>
      <c r="D327" s="30" t="s">
        <v>1936</v>
      </c>
      <c r="E327" s="17" t="s">
        <v>686</v>
      </c>
      <c r="F327" s="16">
        <v>3957000</v>
      </c>
      <c r="G327" s="203">
        <v>0</v>
      </c>
      <c r="H327" s="203">
        <v>1000000</v>
      </c>
      <c r="I327" s="203">
        <v>4957000</v>
      </c>
      <c r="J327" s="203">
        <v>0</v>
      </c>
      <c r="K327" s="203">
        <v>1780300</v>
      </c>
      <c r="L327" s="203">
        <v>0</v>
      </c>
      <c r="M327" s="203">
        <v>1780300</v>
      </c>
      <c r="N327" s="203">
        <v>0</v>
      </c>
      <c r="O327" s="203">
        <v>1780300</v>
      </c>
      <c r="P327" s="237">
        <f t="shared" si="90"/>
        <v>0.35914867863627192</v>
      </c>
    </row>
    <row r="328" spans="1:17" s="10" customFormat="1">
      <c r="A328" s="107"/>
      <c r="B328" s="149" t="s">
        <v>1773</v>
      </c>
      <c r="C328" s="18" t="s">
        <v>687</v>
      </c>
      <c r="D328" s="30" t="s">
        <v>1937</v>
      </c>
      <c r="E328" s="17" t="s">
        <v>688</v>
      </c>
      <c r="F328" s="16">
        <v>8988000</v>
      </c>
      <c r="G328" s="203">
        <v>0</v>
      </c>
      <c r="H328" s="203">
        <v>2350340</v>
      </c>
      <c r="I328" s="203">
        <v>11338340</v>
      </c>
      <c r="J328" s="203">
        <v>0</v>
      </c>
      <c r="K328" s="203">
        <v>11338340</v>
      </c>
      <c r="L328" s="203">
        <v>0</v>
      </c>
      <c r="M328" s="203">
        <v>4348500</v>
      </c>
      <c r="N328" s="203">
        <v>0</v>
      </c>
      <c r="O328" s="203">
        <v>4348500</v>
      </c>
      <c r="P328" s="237">
        <f t="shared" si="90"/>
        <v>0.38352175009745693</v>
      </c>
    </row>
    <row r="329" spans="1:17" s="10" customFormat="1">
      <c r="A329" s="107"/>
      <c r="B329" s="149" t="s">
        <v>1774</v>
      </c>
      <c r="C329" s="18" t="s">
        <v>689</v>
      </c>
      <c r="D329" s="30" t="s">
        <v>1938</v>
      </c>
      <c r="E329" s="17" t="s">
        <v>690</v>
      </c>
      <c r="F329" s="16">
        <v>699000</v>
      </c>
      <c r="G329" s="203">
        <v>0</v>
      </c>
      <c r="H329" s="203">
        <v>0</v>
      </c>
      <c r="I329" s="203">
        <v>699000</v>
      </c>
      <c r="J329" s="203">
        <v>0</v>
      </c>
      <c r="K329" s="203">
        <v>699000</v>
      </c>
      <c r="L329" s="203">
        <v>0</v>
      </c>
      <c r="M329" s="203">
        <v>392150</v>
      </c>
      <c r="N329" s="203">
        <v>0</v>
      </c>
      <c r="O329" s="203">
        <v>392150</v>
      </c>
      <c r="P329" s="237">
        <f t="shared" si="90"/>
        <v>0.56101573676680971</v>
      </c>
    </row>
    <row r="330" spans="1:17" s="10" customFormat="1">
      <c r="A330" s="107"/>
      <c r="B330" s="149" t="s">
        <v>1775</v>
      </c>
      <c r="C330" s="18" t="s">
        <v>691</v>
      </c>
      <c r="D330" s="30" t="s">
        <v>1939</v>
      </c>
      <c r="E330" s="17" t="s">
        <v>692</v>
      </c>
      <c r="F330" s="16">
        <v>3367000</v>
      </c>
      <c r="G330" s="203">
        <v>0</v>
      </c>
      <c r="H330" s="203">
        <v>0</v>
      </c>
      <c r="I330" s="203">
        <v>3367000</v>
      </c>
      <c r="J330" s="203">
        <v>0</v>
      </c>
      <c r="K330" s="203">
        <v>3367000</v>
      </c>
      <c r="L330" s="203">
        <v>0</v>
      </c>
      <c r="M330" s="203">
        <v>1381700</v>
      </c>
      <c r="N330" s="203">
        <v>0</v>
      </c>
      <c r="O330" s="203">
        <v>1381700</v>
      </c>
      <c r="P330" s="237">
        <f t="shared" si="90"/>
        <v>0.41036531036531038</v>
      </c>
    </row>
    <row r="331" spans="1:17" s="10" customFormat="1">
      <c r="A331" s="107"/>
      <c r="B331" s="149" t="s">
        <v>1776</v>
      </c>
      <c r="C331" s="18" t="s">
        <v>693</v>
      </c>
      <c r="D331" s="30" t="s">
        <v>1940</v>
      </c>
      <c r="E331" s="17" t="s">
        <v>694</v>
      </c>
      <c r="F331" s="16">
        <v>1585000</v>
      </c>
      <c r="G331" s="203">
        <v>0</v>
      </c>
      <c r="H331" s="203">
        <v>1500000</v>
      </c>
      <c r="I331" s="203">
        <v>3085000</v>
      </c>
      <c r="J331" s="203">
        <v>1500000</v>
      </c>
      <c r="K331" s="203">
        <v>2598100</v>
      </c>
      <c r="L331" s="203">
        <v>0</v>
      </c>
      <c r="M331" s="203">
        <v>1098100</v>
      </c>
      <c r="N331" s="203">
        <v>0</v>
      </c>
      <c r="O331" s="203">
        <v>1098100</v>
      </c>
      <c r="P331" s="237">
        <f t="shared" si="90"/>
        <v>0.3559481361426256</v>
      </c>
    </row>
    <row r="332" spans="1:17" s="3" customFormat="1">
      <c r="A332" s="107"/>
      <c r="B332" s="149"/>
      <c r="C332" s="18" t="s">
        <v>695</v>
      </c>
      <c r="D332" s="30" t="s">
        <v>1942</v>
      </c>
      <c r="E332" s="219" t="s">
        <v>696</v>
      </c>
      <c r="F332" s="16">
        <v>0</v>
      </c>
      <c r="G332" s="203">
        <v>0</v>
      </c>
      <c r="H332" s="203">
        <v>0</v>
      </c>
      <c r="I332" s="203">
        <v>0</v>
      </c>
      <c r="J332" s="203">
        <v>0</v>
      </c>
      <c r="K332" s="203">
        <v>0</v>
      </c>
      <c r="L332" s="203">
        <v>0</v>
      </c>
      <c r="M332" s="203">
        <v>0</v>
      </c>
      <c r="N332" s="203">
        <v>0</v>
      </c>
      <c r="O332" s="203">
        <v>0</v>
      </c>
      <c r="P332" s="237">
        <f t="shared" si="90"/>
        <v>0</v>
      </c>
    </row>
    <row r="333" spans="1:17" s="3" customFormat="1">
      <c r="A333" s="134" t="s">
        <v>697</v>
      </c>
      <c r="B333" s="123" t="s">
        <v>1928</v>
      </c>
      <c r="C333" s="124" t="s">
        <v>698</v>
      </c>
      <c r="D333" s="67"/>
      <c r="E333" s="25" t="s">
        <v>243</v>
      </c>
      <c r="F333" s="68">
        <f>+F334+F343</f>
        <v>1744649000</v>
      </c>
      <c r="G333" s="68">
        <f t="shared" ref="G333:O333" si="103">+G334+G343</f>
        <v>2495100</v>
      </c>
      <c r="H333" s="68">
        <f t="shared" si="103"/>
        <v>31214899</v>
      </c>
      <c r="I333" s="68">
        <f t="shared" si="103"/>
        <v>1775863899</v>
      </c>
      <c r="J333" s="68">
        <f t="shared" si="103"/>
        <v>116500000</v>
      </c>
      <c r="K333" s="68">
        <f t="shared" si="103"/>
        <v>1724638949</v>
      </c>
      <c r="L333" s="68">
        <f t="shared" si="103"/>
        <v>55436900</v>
      </c>
      <c r="M333" s="68">
        <f t="shared" si="103"/>
        <v>824128650</v>
      </c>
      <c r="N333" s="68">
        <f t="shared" si="103"/>
        <v>55436900</v>
      </c>
      <c r="O333" s="68">
        <f t="shared" si="103"/>
        <v>824128650</v>
      </c>
      <c r="P333" s="229">
        <f t="shared" si="90"/>
        <v>0.46407196546090723</v>
      </c>
      <c r="Q333" s="359"/>
    </row>
    <row r="334" spans="1:17" s="10" customFormat="1">
      <c r="A334" s="170"/>
      <c r="B334" s="125"/>
      <c r="C334" s="126" t="s">
        <v>699</v>
      </c>
      <c r="D334" s="29"/>
      <c r="E334" s="19" t="s">
        <v>700</v>
      </c>
      <c r="F334" s="20">
        <f>SUM(F335:F342)</f>
        <v>1630255000</v>
      </c>
      <c r="G334" s="20">
        <f t="shared" ref="G334:O334" si="104">SUM(G335:G342)</f>
        <v>2495100</v>
      </c>
      <c r="H334" s="20">
        <f t="shared" si="104"/>
        <v>10261250</v>
      </c>
      <c r="I334" s="20">
        <f t="shared" si="104"/>
        <v>1640516250</v>
      </c>
      <c r="J334" s="20">
        <f t="shared" si="104"/>
        <v>110000000</v>
      </c>
      <c r="K334" s="20">
        <f t="shared" si="104"/>
        <v>1606346750</v>
      </c>
      <c r="L334" s="20">
        <f t="shared" si="104"/>
        <v>55436900</v>
      </c>
      <c r="M334" s="20">
        <f t="shared" si="104"/>
        <v>768139200</v>
      </c>
      <c r="N334" s="20">
        <f t="shared" si="104"/>
        <v>55436900</v>
      </c>
      <c r="O334" s="20">
        <f t="shared" si="104"/>
        <v>768139200</v>
      </c>
      <c r="P334" s="243">
        <f t="shared" ref="P334:P398" si="105">IFERROR((M334/I334),0)</f>
        <v>0.46823016839973391</v>
      </c>
    </row>
    <row r="335" spans="1:17" s="10" customFormat="1">
      <c r="A335" s="107"/>
      <c r="B335" s="149" t="s">
        <v>1567</v>
      </c>
      <c r="C335" s="18" t="s">
        <v>701</v>
      </c>
      <c r="D335" s="30" t="s">
        <v>1936</v>
      </c>
      <c r="E335" s="17" t="s">
        <v>702</v>
      </c>
      <c r="F335" s="16">
        <v>280485000</v>
      </c>
      <c r="G335" s="203">
        <v>0</v>
      </c>
      <c r="H335" s="203">
        <v>0</v>
      </c>
      <c r="I335" s="203">
        <v>280485000</v>
      </c>
      <c r="J335" s="203">
        <v>0</v>
      </c>
      <c r="K335" s="203">
        <v>280485000</v>
      </c>
      <c r="L335" s="203">
        <v>11459100</v>
      </c>
      <c r="M335" s="203">
        <v>124054700</v>
      </c>
      <c r="N335" s="203">
        <v>11459100</v>
      </c>
      <c r="O335" s="203">
        <v>124054700</v>
      </c>
      <c r="P335" s="237">
        <f t="shared" si="105"/>
        <v>0.44228639677701126</v>
      </c>
    </row>
    <row r="336" spans="1:17" s="10" customFormat="1">
      <c r="A336" s="107"/>
      <c r="B336" s="149" t="s">
        <v>1568</v>
      </c>
      <c r="C336" s="18" t="s">
        <v>703</v>
      </c>
      <c r="D336" s="30" t="s">
        <v>1937</v>
      </c>
      <c r="E336" s="17" t="s">
        <v>704</v>
      </c>
      <c r="F336" s="16">
        <v>386667000</v>
      </c>
      <c r="G336" s="203">
        <v>0</v>
      </c>
      <c r="H336" s="203">
        <v>0</v>
      </c>
      <c r="I336" s="203">
        <v>386667000</v>
      </c>
      <c r="J336" s="203">
        <v>0</v>
      </c>
      <c r="K336" s="203">
        <v>386667000</v>
      </c>
      <c r="L336" s="203">
        <v>9545200</v>
      </c>
      <c r="M336" s="203">
        <v>164701650</v>
      </c>
      <c r="N336" s="203">
        <v>9545200</v>
      </c>
      <c r="O336" s="203">
        <v>164701650</v>
      </c>
      <c r="P336" s="237">
        <f t="shared" si="105"/>
        <v>0.42595217590329665</v>
      </c>
    </row>
    <row r="337" spans="1:17" s="10" customFormat="1">
      <c r="A337" s="107"/>
      <c r="B337" s="149" t="s">
        <v>1569</v>
      </c>
      <c r="C337" s="18" t="s">
        <v>705</v>
      </c>
      <c r="D337" s="30" t="s">
        <v>1938</v>
      </c>
      <c r="E337" s="17" t="s">
        <v>706</v>
      </c>
      <c r="F337" s="16">
        <v>205939000</v>
      </c>
      <c r="G337" s="203">
        <v>0</v>
      </c>
      <c r="H337" s="203">
        <v>0</v>
      </c>
      <c r="I337" s="203">
        <v>205939000</v>
      </c>
      <c r="J337" s="203">
        <v>0</v>
      </c>
      <c r="K337" s="203">
        <v>205939000</v>
      </c>
      <c r="L337" s="203">
        <v>6450100</v>
      </c>
      <c r="M337" s="203">
        <v>103698750</v>
      </c>
      <c r="N337" s="203">
        <v>6450100</v>
      </c>
      <c r="O337" s="203">
        <v>103698750</v>
      </c>
      <c r="P337" s="237">
        <f t="shared" si="105"/>
        <v>0.50354109712099215</v>
      </c>
    </row>
    <row r="338" spans="1:17" s="10" customFormat="1">
      <c r="A338" s="107"/>
      <c r="B338" s="149" t="s">
        <v>1570</v>
      </c>
      <c r="C338" s="18" t="s">
        <v>707</v>
      </c>
      <c r="D338" s="30" t="s">
        <v>1939</v>
      </c>
      <c r="E338" s="17" t="s">
        <v>708</v>
      </c>
      <c r="F338" s="16">
        <v>295115000</v>
      </c>
      <c r="G338" s="203">
        <v>0</v>
      </c>
      <c r="H338" s="203">
        <v>0</v>
      </c>
      <c r="I338" s="203">
        <v>295115000</v>
      </c>
      <c r="J338" s="203">
        <v>0</v>
      </c>
      <c r="K338" s="203">
        <v>295115000</v>
      </c>
      <c r="L338" s="203">
        <v>10808900</v>
      </c>
      <c r="M338" s="203">
        <v>146734600</v>
      </c>
      <c r="N338" s="203">
        <v>10808900</v>
      </c>
      <c r="O338" s="203">
        <v>146734600</v>
      </c>
      <c r="P338" s="237">
        <f t="shared" si="105"/>
        <v>0.49721159547972826</v>
      </c>
    </row>
    <row r="339" spans="1:17" s="10" customFormat="1">
      <c r="A339" s="107"/>
      <c r="B339" s="149" t="s">
        <v>1571</v>
      </c>
      <c r="C339" s="18" t="s">
        <v>709</v>
      </c>
      <c r="D339" s="30" t="s">
        <v>1940</v>
      </c>
      <c r="E339" s="17" t="s">
        <v>710</v>
      </c>
      <c r="F339" s="16">
        <v>272147000</v>
      </c>
      <c r="G339" s="203">
        <v>0</v>
      </c>
      <c r="H339" s="203">
        <v>0</v>
      </c>
      <c r="I339" s="203">
        <v>272147000</v>
      </c>
      <c r="J339" s="203">
        <v>110000000</v>
      </c>
      <c r="K339" s="203">
        <v>240472600</v>
      </c>
      <c r="L339" s="203">
        <v>8284100</v>
      </c>
      <c r="M339" s="203">
        <v>138756700</v>
      </c>
      <c r="N339" s="203">
        <v>8284100</v>
      </c>
      <c r="O339" s="203">
        <v>138756700</v>
      </c>
      <c r="P339" s="237">
        <f t="shared" si="105"/>
        <v>0.50985937746879439</v>
      </c>
    </row>
    <row r="340" spans="1:17" s="10" customFormat="1">
      <c r="A340" s="107"/>
      <c r="B340" s="149" t="s">
        <v>1572</v>
      </c>
      <c r="C340" s="18" t="s">
        <v>711</v>
      </c>
      <c r="D340" s="30" t="s">
        <v>1941</v>
      </c>
      <c r="E340" s="17" t="s">
        <v>712</v>
      </c>
      <c r="F340" s="16">
        <v>54812000</v>
      </c>
      <c r="G340" s="203">
        <v>2495100</v>
      </c>
      <c r="H340" s="203">
        <v>6261250</v>
      </c>
      <c r="I340" s="203">
        <v>61073250</v>
      </c>
      <c r="J340" s="203">
        <v>0</v>
      </c>
      <c r="K340" s="203">
        <v>58578150</v>
      </c>
      <c r="L340" s="203">
        <v>1924900</v>
      </c>
      <c r="M340" s="203">
        <v>29241600</v>
      </c>
      <c r="N340" s="203">
        <v>1924900</v>
      </c>
      <c r="O340" s="203">
        <v>29241600</v>
      </c>
      <c r="P340" s="237">
        <f t="shared" si="105"/>
        <v>0.47879554469428104</v>
      </c>
      <c r="Q340" s="358"/>
    </row>
    <row r="341" spans="1:17" s="10" customFormat="1">
      <c r="A341" s="107"/>
      <c r="B341" s="149" t="s">
        <v>1573</v>
      </c>
      <c r="C341" s="18" t="s">
        <v>713</v>
      </c>
      <c r="D341" s="30" t="s">
        <v>1942</v>
      </c>
      <c r="E341" s="17" t="s">
        <v>714</v>
      </c>
      <c r="F341" s="16">
        <v>124807000</v>
      </c>
      <c r="G341" s="203">
        <v>0</v>
      </c>
      <c r="H341" s="203">
        <v>4000000</v>
      </c>
      <c r="I341" s="203">
        <v>128807000</v>
      </c>
      <c r="J341" s="203">
        <v>0</v>
      </c>
      <c r="K341" s="203">
        <v>128807000</v>
      </c>
      <c r="L341" s="203">
        <v>6964600</v>
      </c>
      <c r="M341" s="203">
        <v>58455650</v>
      </c>
      <c r="N341" s="203">
        <v>6964600</v>
      </c>
      <c r="O341" s="203">
        <v>58455650</v>
      </c>
      <c r="P341" s="237">
        <f t="shared" si="105"/>
        <v>0.45382354996234675</v>
      </c>
    </row>
    <row r="342" spans="1:17" s="3" customFormat="1">
      <c r="A342" s="107"/>
      <c r="B342" s="149" t="s">
        <v>1574</v>
      </c>
      <c r="C342" s="18" t="s">
        <v>715</v>
      </c>
      <c r="D342" s="30" t="s">
        <v>1913</v>
      </c>
      <c r="E342" s="17" t="s">
        <v>716</v>
      </c>
      <c r="F342" s="16">
        <v>10283000</v>
      </c>
      <c r="G342" s="203">
        <v>0</v>
      </c>
      <c r="H342" s="203">
        <v>0</v>
      </c>
      <c r="I342" s="203">
        <v>10283000</v>
      </c>
      <c r="J342" s="203">
        <v>0</v>
      </c>
      <c r="K342" s="203">
        <v>10283000</v>
      </c>
      <c r="L342" s="203">
        <v>0</v>
      </c>
      <c r="M342" s="203">
        <v>2495550</v>
      </c>
      <c r="N342" s="203">
        <v>0</v>
      </c>
      <c r="O342" s="203">
        <v>2495550</v>
      </c>
      <c r="P342" s="237">
        <f t="shared" si="105"/>
        <v>0.24268695905864046</v>
      </c>
    </row>
    <row r="343" spans="1:17" s="10" customFormat="1">
      <c r="A343" s="170"/>
      <c r="B343" s="125"/>
      <c r="C343" s="126" t="s">
        <v>717</v>
      </c>
      <c r="D343" s="29"/>
      <c r="E343" s="19" t="s">
        <v>718</v>
      </c>
      <c r="F343" s="20">
        <f>SUM(F344:F349)</f>
        <v>114394000</v>
      </c>
      <c r="G343" s="20">
        <f t="shared" ref="G343:O343" si="106">SUM(G344:G349)</f>
        <v>0</v>
      </c>
      <c r="H343" s="20">
        <f t="shared" si="106"/>
        <v>20953649</v>
      </c>
      <c r="I343" s="20">
        <f t="shared" si="106"/>
        <v>135347649</v>
      </c>
      <c r="J343" s="20">
        <f t="shared" si="106"/>
        <v>6500000</v>
      </c>
      <c r="K343" s="20">
        <f t="shared" si="106"/>
        <v>118292199</v>
      </c>
      <c r="L343" s="20">
        <f t="shared" si="106"/>
        <v>0</v>
      </c>
      <c r="M343" s="20">
        <f t="shared" si="106"/>
        <v>55989450</v>
      </c>
      <c r="N343" s="20">
        <f t="shared" si="106"/>
        <v>0</v>
      </c>
      <c r="O343" s="20">
        <f t="shared" si="106"/>
        <v>55989450</v>
      </c>
      <c r="P343" s="243">
        <f t="shared" si="105"/>
        <v>0.41367138929764491</v>
      </c>
    </row>
    <row r="344" spans="1:17" s="10" customFormat="1">
      <c r="A344" s="107"/>
      <c r="B344" s="149" t="s">
        <v>1562</v>
      </c>
      <c r="C344" s="18" t="s">
        <v>719</v>
      </c>
      <c r="D344" s="30" t="s">
        <v>1936</v>
      </c>
      <c r="E344" s="17" t="s">
        <v>720</v>
      </c>
      <c r="F344" s="16">
        <v>23668000</v>
      </c>
      <c r="G344" s="203">
        <v>0</v>
      </c>
      <c r="H344" s="203">
        <v>3500000</v>
      </c>
      <c r="I344" s="203">
        <v>27168000</v>
      </c>
      <c r="J344" s="203">
        <v>0</v>
      </c>
      <c r="K344" s="203">
        <v>11080500</v>
      </c>
      <c r="L344" s="203">
        <v>0</v>
      </c>
      <c r="M344" s="203">
        <v>11080500</v>
      </c>
      <c r="N344" s="203">
        <v>0</v>
      </c>
      <c r="O344" s="203">
        <v>11080500</v>
      </c>
      <c r="P344" s="237">
        <f t="shared" si="105"/>
        <v>0.407851148409894</v>
      </c>
    </row>
    <row r="345" spans="1:17" s="10" customFormat="1">
      <c r="A345" s="107"/>
      <c r="B345" s="149" t="s">
        <v>1563</v>
      </c>
      <c r="C345" s="18" t="s">
        <v>721</v>
      </c>
      <c r="D345" s="30" t="s">
        <v>1937</v>
      </c>
      <c r="E345" s="17" t="s">
        <v>722</v>
      </c>
      <c r="F345" s="16">
        <v>55961000</v>
      </c>
      <c r="G345" s="203">
        <v>0</v>
      </c>
      <c r="H345" s="203">
        <v>12453649</v>
      </c>
      <c r="I345" s="203">
        <v>68414649</v>
      </c>
      <c r="J345" s="203">
        <v>0</v>
      </c>
      <c r="K345" s="203">
        <v>68414649</v>
      </c>
      <c r="L345" s="203">
        <v>0</v>
      </c>
      <c r="M345" s="203">
        <v>27038350</v>
      </c>
      <c r="N345" s="203">
        <v>0</v>
      </c>
      <c r="O345" s="203">
        <v>27038350</v>
      </c>
      <c r="P345" s="237">
        <f t="shared" si="105"/>
        <v>0.39521287319620685</v>
      </c>
    </row>
    <row r="346" spans="1:17" s="10" customFormat="1">
      <c r="A346" s="107"/>
      <c r="B346" s="149" t="s">
        <v>1564</v>
      </c>
      <c r="C346" s="18" t="s">
        <v>723</v>
      </c>
      <c r="D346" s="30" t="s">
        <v>1938</v>
      </c>
      <c r="E346" s="17" t="s">
        <v>724</v>
      </c>
      <c r="F346" s="16">
        <v>4351000</v>
      </c>
      <c r="G346" s="203">
        <v>0</v>
      </c>
      <c r="H346" s="203">
        <v>0</v>
      </c>
      <c r="I346" s="203">
        <v>4351000</v>
      </c>
      <c r="J346" s="203">
        <v>0</v>
      </c>
      <c r="K346" s="203">
        <v>4351000</v>
      </c>
      <c r="L346" s="203">
        <v>0</v>
      </c>
      <c r="M346" s="203">
        <v>2441200</v>
      </c>
      <c r="N346" s="203">
        <v>0</v>
      </c>
      <c r="O346" s="203">
        <v>2441200</v>
      </c>
      <c r="P346" s="237">
        <f t="shared" si="105"/>
        <v>0.56106642151229602</v>
      </c>
    </row>
    <row r="347" spans="1:17" s="10" customFormat="1">
      <c r="A347" s="107"/>
      <c r="B347" s="149" t="s">
        <v>1565</v>
      </c>
      <c r="C347" s="18" t="s">
        <v>725</v>
      </c>
      <c r="D347" s="30" t="s">
        <v>1939</v>
      </c>
      <c r="E347" s="17" t="s">
        <v>726</v>
      </c>
      <c r="F347" s="16">
        <v>21115000</v>
      </c>
      <c r="G347" s="203">
        <v>0</v>
      </c>
      <c r="H347" s="203">
        <v>0</v>
      </c>
      <c r="I347" s="203">
        <v>21115000</v>
      </c>
      <c r="J347" s="203">
        <v>0</v>
      </c>
      <c r="K347" s="203">
        <v>21115000</v>
      </c>
      <c r="L347" s="203">
        <v>0</v>
      </c>
      <c r="M347" s="203">
        <v>8598350</v>
      </c>
      <c r="N347" s="203">
        <v>0</v>
      </c>
      <c r="O347" s="203">
        <v>8598350</v>
      </c>
      <c r="P347" s="237">
        <f t="shared" si="105"/>
        <v>0.40721524982240115</v>
      </c>
    </row>
    <row r="348" spans="1:17" s="10" customFormat="1">
      <c r="A348" s="107"/>
      <c r="B348" s="149" t="s">
        <v>1566</v>
      </c>
      <c r="C348" s="18" t="s">
        <v>727</v>
      </c>
      <c r="D348" s="30" t="s">
        <v>1940</v>
      </c>
      <c r="E348" s="17" t="s">
        <v>728</v>
      </c>
      <c r="F348" s="16">
        <v>9299000</v>
      </c>
      <c r="G348" s="203">
        <v>0</v>
      </c>
      <c r="H348" s="203">
        <v>5000000</v>
      </c>
      <c r="I348" s="203">
        <v>14299000</v>
      </c>
      <c r="J348" s="203">
        <v>6500000</v>
      </c>
      <c r="K348" s="203">
        <v>13331050</v>
      </c>
      <c r="L348" s="203">
        <v>0</v>
      </c>
      <c r="M348" s="203">
        <v>6831050</v>
      </c>
      <c r="N348" s="203">
        <v>0</v>
      </c>
      <c r="O348" s="203">
        <v>6831050</v>
      </c>
      <c r="P348" s="237">
        <f t="shared" si="105"/>
        <v>0.47772921183299533</v>
      </c>
    </row>
    <row r="349" spans="1:17" s="6" customFormat="1">
      <c r="A349" s="107"/>
      <c r="B349" s="149"/>
      <c r="C349" s="18" t="s">
        <v>729</v>
      </c>
      <c r="D349" s="30" t="s">
        <v>1942</v>
      </c>
      <c r="E349" s="219" t="s">
        <v>730</v>
      </c>
      <c r="F349" s="16">
        <v>0</v>
      </c>
      <c r="G349" s="203">
        <v>0</v>
      </c>
      <c r="H349" s="203">
        <v>0</v>
      </c>
      <c r="I349" s="203">
        <v>0</v>
      </c>
      <c r="J349" s="203">
        <v>0</v>
      </c>
      <c r="K349" s="203">
        <v>0</v>
      </c>
      <c r="L349" s="203">
        <v>0</v>
      </c>
      <c r="M349" s="203">
        <v>0</v>
      </c>
      <c r="N349" s="203">
        <v>0</v>
      </c>
      <c r="O349" s="203">
        <v>0</v>
      </c>
      <c r="P349" s="237">
        <f t="shared" si="105"/>
        <v>0</v>
      </c>
    </row>
    <row r="350" spans="1:17" s="6" customFormat="1">
      <c r="A350" s="103" t="s">
        <v>731</v>
      </c>
      <c r="B350" s="59" t="s">
        <v>1777</v>
      </c>
      <c r="C350" s="59" t="s">
        <v>732</v>
      </c>
      <c r="D350" s="59"/>
      <c r="E350" s="59" t="s">
        <v>733</v>
      </c>
      <c r="F350" s="193">
        <f>+F351+F376</f>
        <v>117669431000</v>
      </c>
      <c r="G350" s="193">
        <f t="shared" ref="G350:O350" si="107">+G351+G376</f>
        <v>12433319036</v>
      </c>
      <c r="H350" s="193">
        <f t="shared" si="107"/>
        <v>38219474364</v>
      </c>
      <c r="I350" s="193">
        <f t="shared" si="107"/>
        <v>155888905364</v>
      </c>
      <c r="J350" s="193">
        <f t="shared" si="107"/>
        <v>8744836249</v>
      </c>
      <c r="K350" s="193">
        <f t="shared" si="107"/>
        <v>121149431599</v>
      </c>
      <c r="L350" s="193">
        <f t="shared" si="107"/>
        <v>23917884636</v>
      </c>
      <c r="M350" s="193">
        <f t="shared" si="107"/>
        <v>112929848283</v>
      </c>
      <c r="N350" s="193">
        <f t="shared" si="107"/>
        <v>5157401978</v>
      </c>
      <c r="O350" s="193">
        <f t="shared" si="107"/>
        <v>64206635922</v>
      </c>
      <c r="P350" s="233">
        <f t="shared" si="105"/>
        <v>0.72442517970928866</v>
      </c>
      <c r="Q350" s="360"/>
    </row>
    <row r="351" spans="1:17" s="6" customFormat="1">
      <c r="A351" s="109" t="s">
        <v>734</v>
      </c>
      <c r="B351" s="153" t="s">
        <v>1778</v>
      </c>
      <c r="C351" s="38" t="s">
        <v>735</v>
      </c>
      <c r="D351" s="72"/>
      <c r="E351" s="38" t="s">
        <v>736</v>
      </c>
      <c r="F351" s="206">
        <f>+F352</f>
        <v>3380230000</v>
      </c>
      <c r="G351" s="206">
        <f t="shared" ref="G351:O351" si="108">+G352</f>
        <v>0</v>
      </c>
      <c r="H351" s="206">
        <f t="shared" si="108"/>
        <v>129363035</v>
      </c>
      <c r="I351" s="206">
        <f t="shared" si="108"/>
        <v>3509593035</v>
      </c>
      <c r="J351" s="206">
        <f t="shared" si="108"/>
        <v>-237759927</v>
      </c>
      <c r="K351" s="206">
        <f t="shared" si="108"/>
        <v>1986170101</v>
      </c>
      <c r="L351" s="206">
        <f t="shared" si="108"/>
        <v>522932101</v>
      </c>
      <c r="M351" s="206">
        <f t="shared" si="108"/>
        <v>522932101</v>
      </c>
      <c r="N351" s="206">
        <f t="shared" si="108"/>
        <v>0</v>
      </c>
      <c r="O351" s="206">
        <f t="shared" si="108"/>
        <v>0</v>
      </c>
      <c r="P351" s="238">
        <f t="shared" si="105"/>
        <v>0.14900078037110648</v>
      </c>
    </row>
    <row r="352" spans="1:17" s="6" customFormat="1">
      <c r="A352" s="172" t="s">
        <v>737</v>
      </c>
      <c r="B352" s="154" t="s">
        <v>1779</v>
      </c>
      <c r="C352" s="39" t="s">
        <v>738</v>
      </c>
      <c r="D352" s="73"/>
      <c r="E352" s="39" t="s">
        <v>739</v>
      </c>
      <c r="F352" s="207">
        <f>+F353+F358+F366</f>
        <v>3380230000</v>
      </c>
      <c r="G352" s="207">
        <f t="shared" ref="G352:O352" si="109">+G353+G358+G366</f>
        <v>0</v>
      </c>
      <c r="H352" s="207">
        <f t="shared" si="109"/>
        <v>129363035</v>
      </c>
      <c r="I352" s="207">
        <f t="shared" si="109"/>
        <v>3509593035</v>
      </c>
      <c r="J352" s="207">
        <f t="shared" si="109"/>
        <v>-237759927</v>
      </c>
      <c r="K352" s="207">
        <f t="shared" si="109"/>
        <v>1986170101</v>
      </c>
      <c r="L352" s="207">
        <f t="shared" si="109"/>
        <v>522932101</v>
      </c>
      <c r="M352" s="207">
        <f t="shared" si="109"/>
        <v>522932101</v>
      </c>
      <c r="N352" s="207">
        <f t="shared" si="109"/>
        <v>0</v>
      </c>
      <c r="O352" s="207">
        <f t="shared" si="109"/>
        <v>0</v>
      </c>
      <c r="P352" s="245">
        <f t="shared" si="105"/>
        <v>0.14900078037110648</v>
      </c>
    </row>
    <row r="353" spans="1:16" s="2" customFormat="1">
      <c r="A353" s="173" t="s">
        <v>740</v>
      </c>
      <c r="B353" s="155" t="s">
        <v>1531</v>
      </c>
      <c r="C353" s="156" t="s">
        <v>741</v>
      </c>
      <c r="D353" s="74"/>
      <c r="E353" s="40" t="s">
        <v>742</v>
      </c>
      <c r="F353" s="204">
        <f>+F354</f>
        <v>31356000</v>
      </c>
      <c r="G353" s="204">
        <f t="shared" ref="G353:O354" si="110">+G354</f>
        <v>0</v>
      </c>
      <c r="H353" s="204">
        <f t="shared" si="110"/>
        <v>0</v>
      </c>
      <c r="I353" s="204">
        <f t="shared" si="110"/>
        <v>31356000</v>
      </c>
      <c r="J353" s="204">
        <f t="shared" si="110"/>
        <v>0</v>
      </c>
      <c r="K353" s="204">
        <f t="shared" si="110"/>
        <v>0</v>
      </c>
      <c r="L353" s="204">
        <f t="shared" si="110"/>
        <v>0</v>
      </c>
      <c r="M353" s="204">
        <f t="shared" si="110"/>
        <v>0</v>
      </c>
      <c r="N353" s="204">
        <f t="shared" si="110"/>
        <v>0</v>
      </c>
      <c r="O353" s="204">
        <f t="shared" si="110"/>
        <v>0</v>
      </c>
      <c r="P353" s="246">
        <f t="shared" si="105"/>
        <v>0</v>
      </c>
    </row>
    <row r="354" spans="1:16" s="2" customFormat="1">
      <c r="A354" s="136" t="s">
        <v>743</v>
      </c>
      <c r="B354" s="125" t="s">
        <v>1780</v>
      </c>
      <c r="C354" s="126" t="s">
        <v>744</v>
      </c>
      <c r="D354" s="29"/>
      <c r="E354" s="19" t="s">
        <v>745</v>
      </c>
      <c r="F354" s="205">
        <f>+F355</f>
        <v>31356000</v>
      </c>
      <c r="G354" s="205">
        <f t="shared" si="110"/>
        <v>0</v>
      </c>
      <c r="H354" s="205">
        <f t="shared" si="110"/>
        <v>0</v>
      </c>
      <c r="I354" s="205">
        <f t="shared" si="110"/>
        <v>31356000</v>
      </c>
      <c r="J354" s="205">
        <f t="shared" si="110"/>
        <v>0</v>
      </c>
      <c r="K354" s="205">
        <f t="shared" si="110"/>
        <v>0</v>
      </c>
      <c r="L354" s="205">
        <f t="shared" si="110"/>
        <v>0</v>
      </c>
      <c r="M354" s="205">
        <f t="shared" si="110"/>
        <v>0</v>
      </c>
      <c r="N354" s="205">
        <f t="shared" si="110"/>
        <v>0</v>
      </c>
      <c r="O354" s="205">
        <f t="shared" si="110"/>
        <v>0</v>
      </c>
      <c r="P354" s="243">
        <f t="shared" si="105"/>
        <v>0</v>
      </c>
    </row>
    <row r="355" spans="1:16" s="8" customFormat="1">
      <c r="A355" s="107" t="s">
        <v>746</v>
      </c>
      <c r="B355" s="149" t="s">
        <v>2015</v>
      </c>
      <c r="C355" s="18" t="s">
        <v>747</v>
      </c>
      <c r="D355" s="219"/>
      <c r="E355" s="17" t="s">
        <v>748</v>
      </c>
      <c r="F355" s="16">
        <f>F356+F357</f>
        <v>31356000</v>
      </c>
      <c r="G355" s="203">
        <f t="shared" ref="G355:O355" si="111">G356+G357</f>
        <v>0</v>
      </c>
      <c r="H355" s="203">
        <f t="shared" si="111"/>
        <v>0</v>
      </c>
      <c r="I355" s="203">
        <f t="shared" si="111"/>
        <v>31356000</v>
      </c>
      <c r="J355" s="203">
        <f t="shared" si="111"/>
        <v>0</v>
      </c>
      <c r="K355" s="203">
        <f t="shared" si="111"/>
        <v>0</v>
      </c>
      <c r="L355" s="203">
        <f t="shared" si="111"/>
        <v>0</v>
      </c>
      <c r="M355" s="203">
        <f t="shared" si="111"/>
        <v>0</v>
      </c>
      <c r="N355" s="203">
        <f t="shared" si="111"/>
        <v>0</v>
      </c>
      <c r="O355" s="203">
        <f t="shared" si="111"/>
        <v>0</v>
      </c>
      <c r="P355" s="237">
        <f t="shared" si="105"/>
        <v>0</v>
      </c>
    </row>
    <row r="356" spans="1:16" s="8" customFormat="1">
      <c r="A356" s="108"/>
      <c r="B356" s="150"/>
      <c r="C356" s="70" t="s">
        <v>747</v>
      </c>
      <c r="D356" s="33" t="s">
        <v>1948</v>
      </c>
      <c r="E356" s="34" t="s">
        <v>1914</v>
      </c>
      <c r="F356" s="35">
        <v>0</v>
      </c>
      <c r="G356" s="210">
        <v>0</v>
      </c>
      <c r="H356" s="210">
        <v>0</v>
      </c>
      <c r="I356" s="210">
        <v>31356000</v>
      </c>
      <c r="J356" s="210">
        <v>0</v>
      </c>
      <c r="K356" s="210">
        <v>0</v>
      </c>
      <c r="L356" s="210">
        <v>0</v>
      </c>
      <c r="M356" s="210">
        <v>0</v>
      </c>
      <c r="N356" s="210">
        <v>0</v>
      </c>
      <c r="O356" s="210">
        <v>0</v>
      </c>
      <c r="P356" s="242">
        <f t="shared" si="105"/>
        <v>0</v>
      </c>
    </row>
    <row r="357" spans="1:16" s="6" customFormat="1">
      <c r="A357" s="108"/>
      <c r="B357" s="150"/>
      <c r="C357" s="70" t="s">
        <v>747</v>
      </c>
      <c r="D357" s="33" t="s">
        <v>1954</v>
      </c>
      <c r="E357" s="34" t="s">
        <v>918</v>
      </c>
      <c r="F357" s="35">
        <v>31356000</v>
      </c>
      <c r="G357" s="210">
        <v>0</v>
      </c>
      <c r="H357" s="210">
        <v>0</v>
      </c>
      <c r="I357" s="210">
        <v>0</v>
      </c>
      <c r="J357" s="210">
        <v>0</v>
      </c>
      <c r="K357" s="210">
        <v>0</v>
      </c>
      <c r="L357" s="210">
        <v>0</v>
      </c>
      <c r="M357" s="210">
        <v>0</v>
      </c>
      <c r="N357" s="210">
        <v>0</v>
      </c>
      <c r="O357" s="210">
        <v>0</v>
      </c>
      <c r="P357" s="242">
        <f t="shared" si="105"/>
        <v>0</v>
      </c>
    </row>
    <row r="358" spans="1:16" s="2" customFormat="1">
      <c r="A358" s="173" t="s">
        <v>749</v>
      </c>
      <c r="B358" s="155" t="s">
        <v>1781</v>
      </c>
      <c r="C358" s="156" t="s">
        <v>750</v>
      </c>
      <c r="D358" s="74"/>
      <c r="E358" s="40" t="s">
        <v>751</v>
      </c>
      <c r="F358" s="75">
        <f>+F359</f>
        <v>0</v>
      </c>
      <c r="G358" s="75">
        <f t="shared" ref="G358:O360" si="112">+G359</f>
        <v>0</v>
      </c>
      <c r="H358" s="75">
        <f t="shared" si="112"/>
        <v>0</v>
      </c>
      <c r="I358" s="75">
        <f t="shared" si="112"/>
        <v>0</v>
      </c>
      <c r="J358" s="75">
        <f t="shared" si="112"/>
        <v>0</v>
      </c>
      <c r="K358" s="75">
        <f t="shared" si="112"/>
        <v>0</v>
      </c>
      <c r="L358" s="75">
        <f t="shared" si="112"/>
        <v>0</v>
      </c>
      <c r="M358" s="75">
        <f t="shared" si="112"/>
        <v>0</v>
      </c>
      <c r="N358" s="75">
        <f t="shared" si="112"/>
        <v>0</v>
      </c>
      <c r="O358" s="75">
        <f t="shared" si="112"/>
        <v>0</v>
      </c>
      <c r="P358" s="246">
        <f t="shared" si="105"/>
        <v>0</v>
      </c>
    </row>
    <row r="359" spans="1:16" s="8" customFormat="1">
      <c r="A359" s="136" t="s">
        <v>752</v>
      </c>
      <c r="B359" s="125" t="s">
        <v>1782</v>
      </c>
      <c r="C359" s="126" t="s">
        <v>753</v>
      </c>
      <c r="D359" s="29"/>
      <c r="E359" s="19" t="s">
        <v>754</v>
      </c>
      <c r="F359" s="20">
        <f>+F360</f>
        <v>0</v>
      </c>
      <c r="G359" s="20">
        <f t="shared" si="112"/>
        <v>0</v>
      </c>
      <c r="H359" s="20">
        <f t="shared" si="112"/>
        <v>0</v>
      </c>
      <c r="I359" s="20">
        <f t="shared" si="112"/>
        <v>0</v>
      </c>
      <c r="J359" s="20">
        <f t="shared" si="112"/>
        <v>0</v>
      </c>
      <c r="K359" s="20">
        <f t="shared" si="112"/>
        <v>0</v>
      </c>
      <c r="L359" s="20">
        <f t="shared" si="112"/>
        <v>0</v>
      </c>
      <c r="M359" s="20">
        <f t="shared" si="112"/>
        <v>0</v>
      </c>
      <c r="N359" s="20">
        <f t="shared" si="112"/>
        <v>0</v>
      </c>
      <c r="O359" s="20">
        <f t="shared" si="112"/>
        <v>0</v>
      </c>
      <c r="P359" s="243">
        <f t="shared" si="105"/>
        <v>0</v>
      </c>
    </row>
    <row r="360" spans="1:16" s="8" customFormat="1">
      <c r="A360" s="134" t="s">
        <v>755</v>
      </c>
      <c r="B360" s="123" t="s">
        <v>1531</v>
      </c>
      <c r="C360" s="124" t="s">
        <v>756</v>
      </c>
      <c r="D360" s="67"/>
      <c r="E360" s="25" t="s">
        <v>757</v>
      </c>
      <c r="F360" s="68">
        <f>+F361</f>
        <v>0</v>
      </c>
      <c r="G360" s="68">
        <f t="shared" si="112"/>
        <v>0</v>
      </c>
      <c r="H360" s="68">
        <f t="shared" si="112"/>
        <v>0</v>
      </c>
      <c r="I360" s="68">
        <f t="shared" si="112"/>
        <v>0</v>
      </c>
      <c r="J360" s="68">
        <f t="shared" si="112"/>
        <v>0</v>
      </c>
      <c r="K360" s="68">
        <f t="shared" si="112"/>
        <v>0</v>
      </c>
      <c r="L360" s="68">
        <f t="shared" si="112"/>
        <v>0</v>
      </c>
      <c r="M360" s="68">
        <f t="shared" si="112"/>
        <v>0</v>
      </c>
      <c r="N360" s="68">
        <f t="shared" si="112"/>
        <v>0</v>
      </c>
      <c r="O360" s="68">
        <f t="shared" si="112"/>
        <v>0</v>
      </c>
      <c r="P360" s="229">
        <f t="shared" si="105"/>
        <v>0</v>
      </c>
    </row>
    <row r="361" spans="1:16" s="2" customFormat="1">
      <c r="A361" s="174" t="s">
        <v>758</v>
      </c>
      <c r="B361" s="157" t="s">
        <v>1531</v>
      </c>
      <c r="C361" s="158" t="s">
        <v>759</v>
      </c>
      <c r="D361" s="41"/>
      <c r="E361" s="42" t="s">
        <v>760</v>
      </c>
      <c r="F361" s="76">
        <f>+F362+F364</f>
        <v>0</v>
      </c>
      <c r="G361" s="76">
        <f t="shared" ref="G361:O361" si="113">+G362+G364</f>
        <v>0</v>
      </c>
      <c r="H361" s="76">
        <f t="shared" si="113"/>
        <v>0</v>
      </c>
      <c r="I361" s="76">
        <f t="shared" si="113"/>
        <v>0</v>
      </c>
      <c r="J361" s="76">
        <f t="shared" si="113"/>
        <v>0</v>
      </c>
      <c r="K361" s="76">
        <f t="shared" si="113"/>
        <v>0</v>
      </c>
      <c r="L361" s="76">
        <f t="shared" si="113"/>
        <v>0</v>
      </c>
      <c r="M361" s="76">
        <f t="shared" si="113"/>
        <v>0</v>
      </c>
      <c r="N361" s="76">
        <f t="shared" si="113"/>
        <v>0</v>
      </c>
      <c r="O361" s="76">
        <f t="shared" si="113"/>
        <v>0</v>
      </c>
      <c r="P361" s="247">
        <f t="shared" si="105"/>
        <v>0</v>
      </c>
    </row>
    <row r="362" spans="1:16" s="8" customFormat="1">
      <c r="A362" s="107"/>
      <c r="B362" s="149" t="s">
        <v>1783</v>
      </c>
      <c r="C362" s="18" t="s">
        <v>761</v>
      </c>
      <c r="D362" s="30"/>
      <c r="E362" s="17" t="s">
        <v>762</v>
      </c>
      <c r="F362" s="16">
        <f>+F363</f>
        <v>0</v>
      </c>
      <c r="G362" s="203">
        <f t="shared" ref="G362:O362" si="114">+G363</f>
        <v>0</v>
      </c>
      <c r="H362" s="203">
        <f t="shared" si="114"/>
        <v>0</v>
      </c>
      <c r="I362" s="203">
        <f t="shared" si="114"/>
        <v>0</v>
      </c>
      <c r="J362" s="203">
        <f t="shared" si="114"/>
        <v>0</v>
      </c>
      <c r="K362" s="203">
        <f t="shared" si="114"/>
        <v>0</v>
      </c>
      <c r="L362" s="203">
        <f t="shared" si="114"/>
        <v>0</v>
      </c>
      <c r="M362" s="203">
        <f t="shared" si="114"/>
        <v>0</v>
      </c>
      <c r="N362" s="203">
        <f t="shared" si="114"/>
        <v>0</v>
      </c>
      <c r="O362" s="203">
        <f t="shared" si="114"/>
        <v>0</v>
      </c>
      <c r="P362" s="237">
        <f t="shared" si="105"/>
        <v>0</v>
      </c>
    </row>
    <row r="363" spans="1:16" s="2" customFormat="1">
      <c r="A363" s="108"/>
      <c r="B363" s="150"/>
      <c r="C363" s="70" t="s">
        <v>761</v>
      </c>
      <c r="D363" s="33" t="s">
        <v>1943</v>
      </c>
      <c r="E363" s="34" t="s">
        <v>763</v>
      </c>
      <c r="F363" s="35">
        <v>0</v>
      </c>
      <c r="G363" s="210">
        <v>0</v>
      </c>
      <c r="H363" s="210">
        <v>0</v>
      </c>
      <c r="I363" s="210">
        <v>0</v>
      </c>
      <c r="J363" s="210">
        <v>0</v>
      </c>
      <c r="K363" s="210">
        <v>0</v>
      </c>
      <c r="L363" s="210">
        <v>0</v>
      </c>
      <c r="M363" s="210">
        <v>0</v>
      </c>
      <c r="N363" s="210">
        <v>0</v>
      </c>
      <c r="O363" s="210">
        <v>0</v>
      </c>
      <c r="P363" s="242">
        <f t="shared" si="105"/>
        <v>0</v>
      </c>
    </row>
    <row r="364" spans="1:16" s="8" customFormat="1">
      <c r="A364" s="107"/>
      <c r="B364" s="149" t="s">
        <v>1784</v>
      </c>
      <c r="C364" s="18" t="s">
        <v>764</v>
      </c>
      <c r="D364" s="30"/>
      <c r="E364" s="17" t="s">
        <v>765</v>
      </c>
      <c r="F364" s="16">
        <f>+F365</f>
        <v>0</v>
      </c>
      <c r="G364" s="203">
        <f t="shared" ref="G364:O364" si="115">+G365</f>
        <v>0</v>
      </c>
      <c r="H364" s="203">
        <f t="shared" si="115"/>
        <v>0</v>
      </c>
      <c r="I364" s="203">
        <f t="shared" si="115"/>
        <v>0</v>
      </c>
      <c r="J364" s="203">
        <f t="shared" si="115"/>
        <v>0</v>
      </c>
      <c r="K364" s="203">
        <f t="shared" si="115"/>
        <v>0</v>
      </c>
      <c r="L364" s="203">
        <f t="shared" si="115"/>
        <v>0</v>
      </c>
      <c r="M364" s="203">
        <f t="shared" si="115"/>
        <v>0</v>
      </c>
      <c r="N364" s="203">
        <f t="shared" si="115"/>
        <v>0</v>
      </c>
      <c r="O364" s="203">
        <f t="shared" si="115"/>
        <v>0</v>
      </c>
      <c r="P364" s="237">
        <f t="shared" si="105"/>
        <v>0</v>
      </c>
    </row>
    <row r="365" spans="1:16" s="6" customFormat="1">
      <c r="A365" s="108"/>
      <c r="B365" s="150"/>
      <c r="C365" s="70" t="s">
        <v>764</v>
      </c>
      <c r="D365" s="33" t="s">
        <v>1943</v>
      </c>
      <c r="E365" s="34" t="s">
        <v>763</v>
      </c>
      <c r="F365" s="35">
        <v>0</v>
      </c>
      <c r="G365" s="210">
        <v>0</v>
      </c>
      <c r="H365" s="210">
        <v>0</v>
      </c>
      <c r="I365" s="210">
        <v>0</v>
      </c>
      <c r="J365" s="210">
        <v>0</v>
      </c>
      <c r="K365" s="210">
        <v>0</v>
      </c>
      <c r="L365" s="210">
        <v>0</v>
      </c>
      <c r="M365" s="210">
        <v>0</v>
      </c>
      <c r="N365" s="210">
        <v>0</v>
      </c>
      <c r="O365" s="210">
        <v>0</v>
      </c>
      <c r="P365" s="242">
        <f t="shared" si="105"/>
        <v>0</v>
      </c>
    </row>
    <row r="366" spans="1:16" s="2" customFormat="1">
      <c r="A366" s="173" t="s">
        <v>766</v>
      </c>
      <c r="B366" s="155" t="s">
        <v>1785</v>
      </c>
      <c r="C366" s="156" t="s">
        <v>767</v>
      </c>
      <c r="D366" s="74"/>
      <c r="E366" s="40" t="s">
        <v>768</v>
      </c>
      <c r="F366" s="75">
        <f>+F367</f>
        <v>3348874000</v>
      </c>
      <c r="G366" s="75">
        <f t="shared" ref="G366:O369" si="116">+G367</f>
        <v>0</v>
      </c>
      <c r="H366" s="75">
        <f t="shared" si="116"/>
        <v>129363035</v>
      </c>
      <c r="I366" s="75">
        <f t="shared" si="116"/>
        <v>3478237035</v>
      </c>
      <c r="J366" s="75">
        <f t="shared" si="116"/>
        <v>-237759927</v>
      </c>
      <c r="K366" s="75">
        <f t="shared" si="116"/>
        <v>1986170101</v>
      </c>
      <c r="L366" s="75">
        <f t="shared" si="116"/>
        <v>522932101</v>
      </c>
      <c r="M366" s="75">
        <f t="shared" si="116"/>
        <v>522932101</v>
      </c>
      <c r="N366" s="75">
        <f t="shared" si="116"/>
        <v>0</v>
      </c>
      <c r="O366" s="75">
        <f t="shared" si="116"/>
        <v>0</v>
      </c>
      <c r="P366" s="246">
        <f t="shared" si="105"/>
        <v>0.15034400926042696</v>
      </c>
    </row>
    <row r="367" spans="1:16" s="2" customFormat="1">
      <c r="A367" s="136" t="s">
        <v>769</v>
      </c>
      <c r="B367" s="125" t="s">
        <v>1786</v>
      </c>
      <c r="C367" s="126" t="s">
        <v>770</v>
      </c>
      <c r="D367" s="29"/>
      <c r="E367" s="19" t="s">
        <v>771</v>
      </c>
      <c r="F367" s="20">
        <f>+F368</f>
        <v>3348874000</v>
      </c>
      <c r="G367" s="20">
        <f t="shared" si="116"/>
        <v>0</v>
      </c>
      <c r="H367" s="20">
        <f t="shared" si="116"/>
        <v>129363035</v>
      </c>
      <c r="I367" s="20">
        <f t="shared" si="116"/>
        <v>3478237035</v>
      </c>
      <c r="J367" s="20">
        <f t="shared" si="116"/>
        <v>-237759927</v>
      </c>
      <c r="K367" s="20">
        <f t="shared" si="116"/>
        <v>1986170101</v>
      </c>
      <c r="L367" s="20">
        <f t="shared" si="116"/>
        <v>522932101</v>
      </c>
      <c r="M367" s="20">
        <f t="shared" si="116"/>
        <v>522932101</v>
      </c>
      <c r="N367" s="20">
        <f t="shared" si="116"/>
        <v>0</v>
      </c>
      <c r="O367" s="20">
        <f t="shared" si="116"/>
        <v>0</v>
      </c>
      <c r="P367" s="243">
        <f t="shared" si="105"/>
        <v>0.15034400926042696</v>
      </c>
    </row>
    <row r="368" spans="1:16" s="8" customFormat="1">
      <c r="A368" s="134" t="s">
        <v>772</v>
      </c>
      <c r="B368" s="123" t="s">
        <v>1531</v>
      </c>
      <c r="C368" s="124" t="s">
        <v>773</v>
      </c>
      <c r="D368" s="67"/>
      <c r="E368" s="25" t="s">
        <v>774</v>
      </c>
      <c r="F368" s="68">
        <f>+F369</f>
        <v>3348874000</v>
      </c>
      <c r="G368" s="68">
        <f t="shared" si="116"/>
        <v>0</v>
      </c>
      <c r="H368" s="68">
        <f t="shared" si="116"/>
        <v>129363035</v>
      </c>
      <c r="I368" s="68">
        <f t="shared" si="116"/>
        <v>3478237035</v>
      </c>
      <c r="J368" s="68">
        <f t="shared" si="116"/>
        <v>-237759927</v>
      </c>
      <c r="K368" s="68">
        <f t="shared" si="116"/>
        <v>1986170101</v>
      </c>
      <c r="L368" s="68">
        <f t="shared" si="116"/>
        <v>522932101</v>
      </c>
      <c r="M368" s="68">
        <f t="shared" si="116"/>
        <v>522932101</v>
      </c>
      <c r="N368" s="68">
        <f t="shared" si="116"/>
        <v>0</v>
      </c>
      <c r="O368" s="68">
        <f t="shared" si="116"/>
        <v>0</v>
      </c>
      <c r="P368" s="229">
        <f t="shared" si="105"/>
        <v>0.15034400926042696</v>
      </c>
    </row>
    <row r="369" spans="1:17" s="2" customFormat="1">
      <c r="A369" s="174" t="s">
        <v>775</v>
      </c>
      <c r="B369" s="157" t="s">
        <v>1531</v>
      </c>
      <c r="C369" s="158" t="s">
        <v>776</v>
      </c>
      <c r="D369" s="41"/>
      <c r="E369" s="42" t="s">
        <v>777</v>
      </c>
      <c r="F369" s="76">
        <f>+F370</f>
        <v>3348874000</v>
      </c>
      <c r="G369" s="76">
        <f t="shared" si="116"/>
        <v>0</v>
      </c>
      <c r="H369" s="76">
        <f t="shared" si="116"/>
        <v>129363035</v>
      </c>
      <c r="I369" s="76">
        <f t="shared" si="116"/>
        <v>3478237035</v>
      </c>
      <c r="J369" s="76">
        <f t="shared" si="116"/>
        <v>-237759927</v>
      </c>
      <c r="K369" s="76">
        <f t="shared" si="116"/>
        <v>1986170101</v>
      </c>
      <c r="L369" s="76">
        <f t="shared" si="116"/>
        <v>522932101</v>
      </c>
      <c r="M369" s="76">
        <f t="shared" si="116"/>
        <v>522932101</v>
      </c>
      <c r="N369" s="76">
        <f t="shared" si="116"/>
        <v>0</v>
      </c>
      <c r="O369" s="76">
        <f t="shared" si="116"/>
        <v>0</v>
      </c>
      <c r="P369" s="247">
        <f t="shared" si="105"/>
        <v>0.15034400926042696</v>
      </c>
    </row>
    <row r="370" spans="1:17" s="8" customFormat="1">
      <c r="A370" s="107"/>
      <c r="B370" s="149" t="s">
        <v>1787</v>
      </c>
      <c r="C370" s="18" t="s">
        <v>778</v>
      </c>
      <c r="D370" s="30"/>
      <c r="E370" s="17" t="s">
        <v>779</v>
      </c>
      <c r="F370" s="203">
        <f>SUM(F371:F375)</f>
        <v>3348874000</v>
      </c>
      <c r="G370" s="203">
        <f t="shared" ref="G370:O370" si="117">SUM(G371:G375)</f>
        <v>0</v>
      </c>
      <c r="H370" s="203">
        <f t="shared" si="117"/>
        <v>129363035</v>
      </c>
      <c r="I370" s="203">
        <f t="shared" si="117"/>
        <v>3478237035</v>
      </c>
      <c r="J370" s="203">
        <f t="shared" si="117"/>
        <v>-237759927</v>
      </c>
      <c r="K370" s="203">
        <f t="shared" si="117"/>
        <v>1986170101</v>
      </c>
      <c r="L370" s="203">
        <f t="shared" si="117"/>
        <v>522932101</v>
      </c>
      <c r="M370" s="203">
        <f t="shared" si="117"/>
        <v>522932101</v>
      </c>
      <c r="N370" s="203">
        <f t="shared" si="117"/>
        <v>0</v>
      </c>
      <c r="O370" s="203">
        <f t="shared" si="117"/>
        <v>0</v>
      </c>
      <c r="P370" s="237">
        <f t="shared" si="105"/>
        <v>0.15034400926042696</v>
      </c>
    </row>
    <row r="371" spans="1:17" s="8" customFormat="1">
      <c r="A371" s="108"/>
      <c r="B371" s="150"/>
      <c r="C371" s="70" t="s">
        <v>778</v>
      </c>
      <c r="D371" s="33" t="s">
        <v>1944</v>
      </c>
      <c r="E371" s="34" t="s">
        <v>780</v>
      </c>
      <c r="F371" s="35">
        <v>1864636000</v>
      </c>
      <c r="G371" s="210">
        <v>0</v>
      </c>
      <c r="H371" s="210">
        <v>0</v>
      </c>
      <c r="I371" s="210">
        <v>1864636000</v>
      </c>
      <c r="J371" s="210">
        <v>-237759927</v>
      </c>
      <c r="K371" s="210">
        <v>522932101</v>
      </c>
      <c r="L371" s="210">
        <v>522932101</v>
      </c>
      <c r="M371" s="210">
        <v>522932101</v>
      </c>
      <c r="N371" s="210">
        <v>0</v>
      </c>
      <c r="O371" s="210">
        <v>0</v>
      </c>
      <c r="P371" s="242">
        <f t="shared" si="105"/>
        <v>0.28044728354488491</v>
      </c>
    </row>
    <row r="372" spans="1:17" s="8" customFormat="1">
      <c r="A372" s="108"/>
      <c r="B372" s="150"/>
      <c r="C372" s="70" t="s">
        <v>778</v>
      </c>
      <c r="D372" s="33" t="s">
        <v>1945</v>
      </c>
      <c r="E372" s="34" t="s">
        <v>781</v>
      </c>
      <c r="F372" s="35">
        <v>0</v>
      </c>
      <c r="G372" s="210">
        <v>0</v>
      </c>
      <c r="H372" s="210">
        <v>0</v>
      </c>
      <c r="I372" s="210">
        <v>0</v>
      </c>
      <c r="J372" s="210">
        <v>0</v>
      </c>
      <c r="K372" s="210">
        <v>0</v>
      </c>
      <c r="L372" s="210">
        <v>0</v>
      </c>
      <c r="M372" s="210">
        <v>0</v>
      </c>
      <c r="N372" s="210">
        <v>0</v>
      </c>
      <c r="O372" s="210">
        <v>0</v>
      </c>
      <c r="P372" s="242">
        <f t="shared" si="105"/>
        <v>0</v>
      </c>
    </row>
    <row r="373" spans="1:17" s="8" customFormat="1">
      <c r="A373" s="108"/>
      <c r="B373" s="150"/>
      <c r="C373" s="70" t="s">
        <v>778</v>
      </c>
      <c r="D373" s="33" t="s">
        <v>1946</v>
      </c>
      <c r="E373" s="34" t="s">
        <v>782</v>
      </c>
      <c r="F373" s="35">
        <v>21000000</v>
      </c>
      <c r="G373" s="210">
        <v>0</v>
      </c>
      <c r="H373" s="210">
        <v>0</v>
      </c>
      <c r="I373" s="210">
        <v>21000000</v>
      </c>
      <c r="J373" s="210">
        <v>0</v>
      </c>
      <c r="K373" s="210">
        <v>0</v>
      </c>
      <c r="L373" s="210">
        <v>0</v>
      </c>
      <c r="M373" s="210">
        <v>0</v>
      </c>
      <c r="N373" s="210">
        <v>0</v>
      </c>
      <c r="O373" s="210">
        <v>0</v>
      </c>
      <c r="P373" s="242">
        <f t="shared" si="105"/>
        <v>0</v>
      </c>
    </row>
    <row r="374" spans="1:17" s="8" customFormat="1">
      <c r="A374" s="108"/>
      <c r="B374" s="150"/>
      <c r="C374" s="70" t="s">
        <v>778</v>
      </c>
      <c r="D374" s="33" t="s">
        <v>1947</v>
      </c>
      <c r="E374" s="34" t="s">
        <v>783</v>
      </c>
      <c r="F374" s="35">
        <v>1463238000</v>
      </c>
      <c r="G374" s="210">
        <v>0</v>
      </c>
      <c r="H374" s="210">
        <v>0</v>
      </c>
      <c r="I374" s="210">
        <v>1463238000</v>
      </c>
      <c r="J374" s="210">
        <v>0</v>
      </c>
      <c r="K374" s="210">
        <v>1463238000</v>
      </c>
      <c r="L374" s="210">
        <v>0</v>
      </c>
      <c r="M374" s="210">
        <v>0</v>
      </c>
      <c r="N374" s="210">
        <v>0</v>
      </c>
      <c r="O374" s="210">
        <v>0</v>
      </c>
      <c r="P374" s="242">
        <f t="shared" si="105"/>
        <v>0</v>
      </c>
    </row>
    <row r="375" spans="1:17" s="6" customFormat="1">
      <c r="A375" s="108"/>
      <c r="B375" s="150"/>
      <c r="C375" s="70" t="s">
        <v>778</v>
      </c>
      <c r="D375" s="33" t="s">
        <v>1954</v>
      </c>
      <c r="E375" s="34" t="s">
        <v>918</v>
      </c>
      <c r="F375" s="35">
        <v>0</v>
      </c>
      <c r="G375" s="210">
        <v>0</v>
      </c>
      <c r="H375" s="210">
        <v>129363035</v>
      </c>
      <c r="I375" s="210">
        <v>129363035</v>
      </c>
      <c r="J375" s="210">
        <v>0</v>
      </c>
      <c r="K375" s="210">
        <v>0</v>
      </c>
      <c r="L375" s="210">
        <v>0</v>
      </c>
      <c r="M375" s="210">
        <v>0</v>
      </c>
      <c r="N375" s="210">
        <v>0</v>
      </c>
      <c r="O375" s="210">
        <v>0</v>
      </c>
      <c r="P375" s="242">
        <f t="shared" si="105"/>
        <v>0</v>
      </c>
    </row>
    <row r="376" spans="1:17" s="6" customFormat="1">
      <c r="A376" s="109" t="s">
        <v>784</v>
      </c>
      <c r="B376" s="153" t="s">
        <v>1788</v>
      </c>
      <c r="C376" s="38" t="s">
        <v>785</v>
      </c>
      <c r="D376" s="72"/>
      <c r="E376" s="38" t="s">
        <v>786</v>
      </c>
      <c r="F376" s="208">
        <f>+F377+F424</f>
        <v>114289201000</v>
      </c>
      <c r="G376" s="208">
        <f t="shared" ref="G376:O376" si="118">+G377+G424</f>
        <v>12433319036</v>
      </c>
      <c r="H376" s="208">
        <f t="shared" si="118"/>
        <v>38090111329</v>
      </c>
      <c r="I376" s="208">
        <f t="shared" si="118"/>
        <v>152379312329</v>
      </c>
      <c r="J376" s="208">
        <f t="shared" si="118"/>
        <v>8982596176</v>
      </c>
      <c r="K376" s="208">
        <f t="shared" si="118"/>
        <v>119163261498</v>
      </c>
      <c r="L376" s="208">
        <f t="shared" si="118"/>
        <v>23394952535</v>
      </c>
      <c r="M376" s="208">
        <f t="shared" si="118"/>
        <v>112406916182</v>
      </c>
      <c r="N376" s="208">
        <f t="shared" si="118"/>
        <v>5157401978</v>
      </c>
      <c r="O376" s="208">
        <f t="shared" si="118"/>
        <v>64206635922</v>
      </c>
      <c r="P376" s="248">
        <f t="shared" si="105"/>
        <v>0.73767832695887114</v>
      </c>
      <c r="Q376" s="360"/>
    </row>
    <row r="377" spans="1:17" s="6" customFormat="1">
      <c r="A377" s="172" t="s">
        <v>787</v>
      </c>
      <c r="B377" s="154" t="s">
        <v>1789</v>
      </c>
      <c r="C377" s="39" t="s">
        <v>788</v>
      </c>
      <c r="D377" s="73"/>
      <c r="E377" s="39" t="s">
        <v>789</v>
      </c>
      <c r="F377" s="209">
        <f>+F378+F383+F408</f>
        <v>920869000</v>
      </c>
      <c r="G377" s="209">
        <f t="shared" ref="G377:O377" si="119">+G378+G383+G408</f>
        <v>0</v>
      </c>
      <c r="H377" s="209">
        <f t="shared" si="119"/>
        <v>-12023576</v>
      </c>
      <c r="I377" s="209">
        <f t="shared" si="119"/>
        <v>908845424</v>
      </c>
      <c r="J377" s="209">
        <f t="shared" si="119"/>
        <v>-152399786</v>
      </c>
      <c r="K377" s="209">
        <f t="shared" si="119"/>
        <v>263284677</v>
      </c>
      <c r="L377" s="209">
        <f t="shared" si="119"/>
        <v>82956677</v>
      </c>
      <c r="M377" s="209">
        <f t="shared" si="119"/>
        <v>251787677</v>
      </c>
      <c r="N377" s="209">
        <f t="shared" si="119"/>
        <v>15344156</v>
      </c>
      <c r="O377" s="209">
        <f t="shared" si="119"/>
        <v>23517553</v>
      </c>
      <c r="P377" s="245">
        <f t="shared" si="105"/>
        <v>0.27704125514747602</v>
      </c>
    </row>
    <row r="378" spans="1:17" s="2" customFormat="1">
      <c r="A378" s="173" t="s">
        <v>790</v>
      </c>
      <c r="B378" s="155" t="s">
        <v>1790</v>
      </c>
      <c r="C378" s="156" t="s">
        <v>791</v>
      </c>
      <c r="D378" s="74"/>
      <c r="E378" s="40" t="s">
        <v>792</v>
      </c>
      <c r="F378" s="75">
        <f>+F379</f>
        <v>167232000</v>
      </c>
      <c r="G378" s="75">
        <f t="shared" ref="G378:O379" si="120">+G379</f>
        <v>0</v>
      </c>
      <c r="H378" s="75">
        <f t="shared" si="120"/>
        <v>0</v>
      </c>
      <c r="I378" s="75">
        <f t="shared" si="120"/>
        <v>167232000</v>
      </c>
      <c r="J378" s="75">
        <f t="shared" si="120"/>
        <v>0</v>
      </c>
      <c r="K378" s="75">
        <f t="shared" si="120"/>
        <v>0</v>
      </c>
      <c r="L378" s="75">
        <f t="shared" si="120"/>
        <v>0</v>
      </c>
      <c r="M378" s="75">
        <f t="shared" si="120"/>
        <v>0</v>
      </c>
      <c r="N378" s="75">
        <f t="shared" si="120"/>
        <v>0</v>
      </c>
      <c r="O378" s="75">
        <f t="shared" si="120"/>
        <v>0</v>
      </c>
      <c r="P378" s="246">
        <f t="shared" si="105"/>
        <v>0</v>
      </c>
    </row>
    <row r="379" spans="1:17" s="2" customFormat="1" ht="12.95" customHeight="1">
      <c r="A379" s="136" t="s">
        <v>793</v>
      </c>
      <c r="B379" s="125" t="s">
        <v>1561</v>
      </c>
      <c r="C379" s="126" t="s">
        <v>794</v>
      </c>
      <c r="D379" s="29"/>
      <c r="E379" s="19" t="s">
        <v>795</v>
      </c>
      <c r="F379" s="20">
        <f>+F380</f>
        <v>167232000</v>
      </c>
      <c r="G379" s="20">
        <f t="shared" si="120"/>
        <v>0</v>
      </c>
      <c r="H379" s="20">
        <f t="shared" si="120"/>
        <v>0</v>
      </c>
      <c r="I379" s="20">
        <f t="shared" si="120"/>
        <v>167232000</v>
      </c>
      <c r="J379" s="20">
        <f t="shared" si="120"/>
        <v>0</v>
      </c>
      <c r="K379" s="20">
        <f t="shared" si="120"/>
        <v>0</v>
      </c>
      <c r="L379" s="20">
        <f t="shared" si="120"/>
        <v>0</v>
      </c>
      <c r="M379" s="20">
        <f t="shared" si="120"/>
        <v>0</v>
      </c>
      <c r="N379" s="20">
        <f t="shared" si="120"/>
        <v>0</v>
      </c>
      <c r="O379" s="20">
        <f t="shared" si="120"/>
        <v>0</v>
      </c>
      <c r="P379" s="243">
        <f t="shared" si="105"/>
        <v>0</v>
      </c>
    </row>
    <row r="380" spans="1:17" s="8" customFormat="1">
      <c r="A380" s="107" t="s">
        <v>796</v>
      </c>
      <c r="B380" s="149" t="s">
        <v>1560</v>
      </c>
      <c r="C380" s="18" t="s">
        <v>797</v>
      </c>
      <c r="D380" s="30"/>
      <c r="E380" s="17" t="s">
        <v>798</v>
      </c>
      <c r="F380" s="203">
        <f>SUM(F381:F382)</f>
        <v>167232000</v>
      </c>
      <c r="G380" s="203">
        <f t="shared" ref="G380:O380" si="121">SUM(G381:G382)</f>
        <v>0</v>
      </c>
      <c r="H380" s="203">
        <f t="shared" si="121"/>
        <v>0</v>
      </c>
      <c r="I380" s="203">
        <f t="shared" si="121"/>
        <v>167232000</v>
      </c>
      <c r="J380" s="203">
        <f t="shared" si="121"/>
        <v>0</v>
      </c>
      <c r="K380" s="203">
        <f t="shared" si="121"/>
        <v>0</v>
      </c>
      <c r="L380" s="203">
        <f t="shared" si="121"/>
        <v>0</v>
      </c>
      <c r="M380" s="203">
        <f t="shared" si="121"/>
        <v>0</v>
      </c>
      <c r="N380" s="203">
        <f t="shared" si="121"/>
        <v>0</v>
      </c>
      <c r="O380" s="203">
        <f t="shared" si="121"/>
        <v>0</v>
      </c>
      <c r="P380" s="237">
        <f t="shared" si="105"/>
        <v>0</v>
      </c>
    </row>
    <row r="381" spans="1:17" s="8" customFormat="1">
      <c r="A381" s="108"/>
      <c r="B381" s="150"/>
      <c r="C381" s="70" t="s">
        <v>797</v>
      </c>
      <c r="D381" s="33" t="s">
        <v>1943</v>
      </c>
      <c r="E381" s="34" t="s">
        <v>763</v>
      </c>
      <c r="F381" s="35">
        <v>0</v>
      </c>
      <c r="G381" s="210">
        <v>0</v>
      </c>
      <c r="H381" s="210">
        <v>0</v>
      </c>
      <c r="I381" s="210">
        <v>0</v>
      </c>
      <c r="J381" s="210">
        <v>0</v>
      </c>
      <c r="K381" s="210">
        <v>0</v>
      </c>
      <c r="L381" s="210">
        <v>0</v>
      </c>
      <c r="M381" s="210">
        <v>0</v>
      </c>
      <c r="N381" s="210">
        <v>0</v>
      </c>
      <c r="O381" s="210">
        <v>0</v>
      </c>
      <c r="P381" s="242">
        <f t="shared" si="105"/>
        <v>0</v>
      </c>
    </row>
    <row r="382" spans="1:17" s="6" customFormat="1">
      <c r="A382" s="108"/>
      <c r="B382" s="150"/>
      <c r="C382" s="70" t="s">
        <v>797</v>
      </c>
      <c r="D382" s="33" t="s">
        <v>1933</v>
      </c>
      <c r="E382" s="34" t="s">
        <v>279</v>
      </c>
      <c r="F382" s="35">
        <v>167232000</v>
      </c>
      <c r="G382" s="210">
        <v>0</v>
      </c>
      <c r="H382" s="210">
        <v>0</v>
      </c>
      <c r="I382" s="210">
        <v>167232000</v>
      </c>
      <c r="J382" s="210">
        <v>0</v>
      </c>
      <c r="K382" s="210">
        <v>0</v>
      </c>
      <c r="L382" s="210">
        <v>0</v>
      </c>
      <c r="M382" s="210">
        <v>0</v>
      </c>
      <c r="N382" s="210">
        <v>0</v>
      </c>
      <c r="O382" s="210">
        <v>0</v>
      </c>
      <c r="P382" s="242">
        <f t="shared" si="105"/>
        <v>0</v>
      </c>
    </row>
    <row r="383" spans="1:17" s="2" customFormat="1">
      <c r="A383" s="173" t="s">
        <v>799</v>
      </c>
      <c r="B383" s="155" t="s">
        <v>1791</v>
      </c>
      <c r="C383" s="156" t="s">
        <v>800</v>
      </c>
      <c r="D383" s="74"/>
      <c r="E383" s="40" t="s">
        <v>801</v>
      </c>
      <c r="F383" s="75">
        <f>+F384+F392+F397+F400+F405</f>
        <v>593204000</v>
      </c>
      <c r="G383" s="75">
        <f t="shared" ref="G383:O383" si="122">+G384+G392+G397+G400+G405</f>
        <v>0</v>
      </c>
      <c r="H383" s="75">
        <f t="shared" si="122"/>
        <v>-21816253</v>
      </c>
      <c r="I383" s="75">
        <f t="shared" si="122"/>
        <v>571387747</v>
      </c>
      <c r="J383" s="75">
        <f t="shared" si="122"/>
        <v>-152399786</v>
      </c>
      <c r="K383" s="75">
        <f t="shared" si="122"/>
        <v>133492000</v>
      </c>
      <c r="L383" s="75">
        <f t="shared" si="122"/>
        <v>73164000</v>
      </c>
      <c r="M383" s="75">
        <f t="shared" si="122"/>
        <v>121995000</v>
      </c>
      <c r="N383" s="75">
        <f t="shared" si="122"/>
        <v>5551479</v>
      </c>
      <c r="O383" s="75">
        <f t="shared" si="122"/>
        <v>13724876</v>
      </c>
      <c r="P383" s="246">
        <f t="shared" si="105"/>
        <v>0.21350650349175235</v>
      </c>
    </row>
    <row r="384" spans="1:17" s="2" customFormat="1">
      <c r="A384" s="136" t="s">
        <v>802</v>
      </c>
      <c r="B384" s="125" t="s">
        <v>1559</v>
      </c>
      <c r="C384" s="126" t="s">
        <v>803</v>
      </c>
      <c r="D384" s="29"/>
      <c r="E384" s="19" t="s">
        <v>804</v>
      </c>
      <c r="F384" s="20">
        <f>+F385+F391</f>
        <v>320975000</v>
      </c>
      <c r="G384" s="20">
        <f t="shared" ref="G384:O384" si="123">+G385+G391</f>
        <v>0</v>
      </c>
      <c r="H384" s="20">
        <f t="shared" si="123"/>
        <v>-3052264</v>
      </c>
      <c r="I384" s="20">
        <f t="shared" si="123"/>
        <v>317922736</v>
      </c>
      <c r="J384" s="20">
        <f t="shared" si="123"/>
        <v>-73031775</v>
      </c>
      <c r="K384" s="20">
        <f t="shared" si="123"/>
        <v>11497000</v>
      </c>
      <c r="L384" s="20">
        <f t="shared" si="123"/>
        <v>0</v>
      </c>
      <c r="M384" s="20">
        <f t="shared" si="123"/>
        <v>0</v>
      </c>
      <c r="N384" s="20">
        <f t="shared" si="123"/>
        <v>0</v>
      </c>
      <c r="O384" s="20">
        <f t="shared" si="123"/>
        <v>0</v>
      </c>
      <c r="P384" s="243">
        <f t="shared" si="105"/>
        <v>0</v>
      </c>
    </row>
    <row r="385" spans="1:16" s="8" customFormat="1">
      <c r="A385" s="107" t="s">
        <v>805</v>
      </c>
      <c r="B385" s="149" t="s">
        <v>1792</v>
      </c>
      <c r="C385" s="18" t="s">
        <v>806</v>
      </c>
      <c r="D385" s="30"/>
      <c r="E385" s="17" t="s">
        <v>807</v>
      </c>
      <c r="F385" s="203">
        <f>SUM(F386:F389)</f>
        <v>320975000</v>
      </c>
      <c r="G385" s="203">
        <f>SUM(G386:G390)</f>
        <v>0</v>
      </c>
      <c r="H385" s="203">
        <f>SUM(H386:H390)</f>
        <v>-3052264</v>
      </c>
      <c r="I385" s="203">
        <f t="shared" ref="I385:O385" si="124">SUM(I386:I390)</f>
        <v>317922736</v>
      </c>
      <c r="J385" s="203">
        <f t="shared" si="124"/>
        <v>-73031775</v>
      </c>
      <c r="K385" s="203">
        <f t="shared" si="124"/>
        <v>11497000</v>
      </c>
      <c r="L385" s="203">
        <f t="shared" si="124"/>
        <v>0</v>
      </c>
      <c r="M385" s="203">
        <f t="shared" si="124"/>
        <v>0</v>
      </c>
      <c r="N385" s="203">
        <f t="shared" si="124"/>
        <v>0</v>
      </c>
      <c r="O385" s="203">
        <f t="shared" si="124"/>
        <v>0</v>
      </c>
      <c r="P385" s="237">
        <f t="shared" si="105"/>
        <v>0</v>
      </c>
    </row>
    <row r="386" spans="1:16" s="8" customFormat="1">
      <c r="A386" s="108"/>
      <c r="B386" s="150"/>
      <c r="C386" s="70" t="s">
        <v>806</v>
      </c>
      <c r="D386" s="33" t="s">
        <v>1948</v>
      </c>
      <c r="E386" s="34" t="s">
        <v>1914</v>
      </c>
      <c r="F386" s="35">
        <v>114045000</v>
      </c>
      <c r="G386" s="210">
        <v>0</v>
      </c>
      <c r="H386" s="210">
        <v>-41013225</v>
      </c>
      <c r="I386" s="210">
        <v>73031775</v>
      </c>
      <c r="J386" s="210">
        <v>-73031775</v>
      </c>
      <c r="K386" s="210">
        <v>0</v>
      </c>
      <c r="L386" s="210">
        <v>0</v>
      </c>
      <c r="M386" s="210">
        <v>0</v>
      </c>
      <c r="N386" s="210">
        <v>0</v>
      </c>
      <c r="O386" s="210">
        <v>0</v>
      </c>
      <c r="P386" s="242">
        <f t="shared" si="105"/>
        <v>0</v>
      </c>
    </row>
    <row r="387" spans="1:16" s="8" customFormat="1">
      <c r="A387" s="108"/>
      <c r="B387" s="150"/>
      <c r="C387" s="70" t="s">
        <v>806</v>
      </c>
      <c r="D387" s="33" t="s">
        <v>1949</v>
      </c>
      <c r="E387" s="34" t="s">
        <v>1912</v>
      </c>
      <c r="F387" s="35">
        <v>6073000</v>
      </c>
      <c r="G387" s="210">
        <v>0</v>
      </c>
      <c r="H387" s="210">
        <v>5320961</v>
      </c>
      <c r="I387" s="210">
        <v>11393961</v>
      </c>
      <c r="J387" s="210">
        <v>0</v>
      </c>
      <c r="K387" s="210">
        <v>0</v>
      </c>
      <c r="L387" s="210">
        <v>0</v>
      </c>
      <c r="M387" s="210">
        <v>0</v>
      </c>
      <c r="N387" s="210">
        <v>0</v>
      </c>
      <c r="O387" s="210">
        <v>0</v>
      </c>
      <c r="P387" s="242">
        <f t="shared" si="105"/>
        <v>0</v>
      </c>
    </row>
    <row r="388" spans="1:16" s="8" customFormat="1">
      <c r="A388" s="108"/>
      <c r="B388" s="150"/>
      <c r="C388" s="70" t="s">
        <v>806</v>
      </c>
      <c r="D388" s="33" t="s">
        <v>1950</v>
      </c>
      <c r="E388" s="34" t="s">
        <v>809</v>
      </c>
      <c r="F388" s="35">
        <v>11497000</v>
      </c>
      <c r="G388" s="210">
        <v>0</v>
      </c>
      <c r="H388" s="210">
        <v>0</v>
      </c>
      <c r="I388" s="210">
        <v>11497000</v>
      </c>
      <c r="J388" s="210">
        <v>0</v>
      </c>
      <c r="K388" s="210">
        <v>11497000</v>
      </c>
      <c r="L388" s="210">
        <v>0</v>
      </c>
      <c r="M388" s="210">
        <v>0</v>
      </c>
      <c r="N388" s="210">
        <v>0</v>
      </c>
      <c r="O388" s="210">
        <v>0</v>
      </c>
      <c r="P388" s="242">
        <f t="shared" si="105"/>
        <v>0</v>
      </c>
    </row>
    <row r="389" spans="1:16" s="7" customFormat="1">
      <c r="A389" s="108"/>
      <c r="B389" s="150"/>
      <c r="C389" s="70" t="s">
        <v>806</v>
      </c>
      <c r="D389" s="33" t="s">
        <v>1945</v>
      </c>
      <c r="E389" s="34" t="s">
        <v>781</v>
      </c>
      <c r="F389" s="35">
        <v>189360000</v>
      </c>
      <c r="G389" s="210">
        <v>0</v>
      </c>
      <c r="H389" s="210">
        <v>-189360000</v>
      </c>
      <c r="I389" s="210">
        <v>0</v>
      </c>
      <c r="J389" s="210">
        <v>0</v>
      </c>
      <c r="K389" s="210">
        <v>0</v>
      </c>
      <c r="L389" s="210">
        <v>0</v>
      </c>
      <c r="M389" s="210">
        <v>0</v>
      </c>
      <c r="N389" s="210">
        <v>0</v>
      </c>
      <c r="O389" s="210">
        <v>0</v>
      </c>
      <c r="P389" s="242">
        <f t="shared" si="105"/>
        <v>0</v>
      </c>
    </row>
    <row r="390" spans="1:16" s="7" customFormat="1">
      <c r="A390" s="108"/>
      <c r="B390" s="150"/>
      <c r="C390" s="70"/>
      <c r="D390" s="33" t="s">
        <v>1953</v>
      </c>
      <c r="E390" s="34" t="s">
        <v>2100</v>
      </c>
      <c r="F390" s="35">
        <v>0</v>
      </c>
      <c r="G390" s="210">
        <v>0</v>
      </c>
      <c r="H390" s="210">
        <v>222000000</v>
      </c>
      <c r="I390" s="210">
        <v>222000000</v>
      </c>
      <c r="J390" s="210">
        <v>0</v>
      </c>
      <c r="K390" s="210">
        <v>0</v>
      </c>
      <c r="L390" s="210">
        <v>0</v>
      </c>
      <c r="M390" s="210">
        <v>0</v>
      </c>
      <c r="N390" s="210">
        <v>0</v>
      </c>
      <c r="O390" s="210">
        <v>0</v>
      </c>
      <c r="P390" s="242">
        <f t="shared" si="105"/>
        <v>0</v>
      </c>
    </row>
    <row r="391" spans="1:16" s="2" customFormat="1">
      <c r="A391" s="107" t="s">
        <v>810</v>
      </c>
      <c r="B391" s="149" t="s">
        <v>1531</v>
      </c>
      <c r="C391" s="18" t="s">
        <v>811</v>
      </c>
      <c r="D391" s="30"/>
      <c r="E391" s="219" t="s">
        <v>812</v>
      </c>
      <c r="F391" s="16">
        <v>0</v>
      </c>
      <c r="G391" s="203">
        <v>0</v>
      </c>
      <c r="H391" s="203">
        <v>0</v>
      </c>
      <c r="I391" s="203">
        <v>0</v>
      </c>
      <c r="J391" s="203">
        <v>0</v>
      </c>
      <c r="K391" s="203">
        <v>0</v>
      </c>
      <c r="L391" s="203">
        <v>0</v>
      </c>
      <c r="M391" s="203">
        <v>0</v>
      </c>
      <c r="N391" s="203">
        <v>0</v>
      </c>
      <c r="O391" s="203">
        <v>0</v>
      </c>
      <c r="P391" s="237">
        <f t="shared" si="105"/>
        <v>0</v>
      </c>
    </row>
    <row r="392" spans="1:16" s="7" customFormat="1">
      <c r="A392" s="136" t="s">
        <v>813</v>
      </c>
      <c r="B392" s="125" t="s">
        <v>1793</v>
      </c>
      <c r="C392" s="126" t="s">
        <v>814</v>
      </c>
      <c r="D392" s="29"/>
      <c r="E392" s="19" t="s">
        <v>815</v>
      </c>
      <c r="F392" s="20">
        <f>+F393+F395</f>
        <v>70933000</v>
      </c>
      <c r="G392" s="20">
        <f t="shared" ref="G392:O392" si="125">+G393+G395</f>
        <v>0</v>
      </c>
      <c r="H392" s="20">
        <f t="shared" si="125"/>
        <v>0</v>
      </c>
      <c r="I392" s="20">
        <f t="shared" si="125"/>
        <v>70933000</v>
      </c>
      <c r="J392" s="20">
        <f t="shared" si="125"/>
        <v>0</v>
      </c>
      <c r="K392" s="20">
        <f t="shared" si="125"/>
        <v>48831000</v>
      </c>
      <c r="L392" s="20">
        <f t="shared" si="125"/>
        <v>0</v>
      </c>
      <c r="M392" s="20">
        <f t="shared" si="125"/>
        <v>48831000</v>
      </c>
      <c r="N392" s="20">
        <f t="shared" si="125"/>
        <v>5551479</v>
      </c>
      <c r="O392" s="20">
        <f t="shared" si="125"/>
        <v>13724876</v>
      </c>
      <c r="P392" s="243">
        <f t="shared" si="105"/>
        <v>0.68841018989750891</v>
      </c>
    </row>
    <row r="393" spans="1:16" s="8" customFormat="1">
      <c r="A393" s="107" t="s">
        <v>816</v>
      </c>
      <c r="B393" s="149" t="s">
        <v>1794</v>
      </c>
      <c r="C393" s="18" t="s">
        <v>817</v>
      </c>
      <c r="D393" s="30"/>
      <c r="E393" s="17" t="s">
        <v>818</v>
      </c>
      <c r="F393" s="203">
        <f>+F394</f>
        <v>48831000</v>
      </c>
      <c r="G393" s="203">
        <f t="shared" ref="G393:O393" si="126">+G394</f>
        <v>0</v>
      </c>
      <c r="H393" s="203">
        <f t="shared" si="126"/>
        <v>0</v>
      </c>
      <c r="I393" s="203">
        <f t="shared" si="126"/>
        <v>48831000</v>
      </c>
      <c r="J393" s="203">
        <f t="shared" si="126"/>
        <v>0</v>
      </c>
      <c r="K393" s="203">
        <f t="shared" si="126"/>
        <v>48831000</v>
      </c>
      <c r="L393" s="203">
        <f t="shared" si="126"/>
        <v>0</v>
      </c>
      <c r="M393" s="203">
        <f t="shared" si="126"/>
        <v>48831000</v>
      </c>
      <c r="N393" s="203">
        <f t="shared" si="126"/>
        <v>5551479</v>
      </c>
      <c r="O393" s="203">
        <f t="shared" si="126"/>
        <v>13724876</v>
      </c>
      <c r="P393" s="237">
        <f t="shared" si="105"/>
        <v>1</v>
      </c>
    </row>
    <row r="394" spans="1:16" s="2" customFormat="1">
      <c r="A394" s="108"/>
      <c r="B394" s="150"/>
      <c r="C394" s="70" t="s">
        <v>817</v>
      </c>
      <c r="D394" s="33" t="s">
        <v>1909</v>
      </c>
      <c r="E394" s="34" t="s">
        <v>819</v>
      </c>
      <c r="F394" s="35">
        <v>48831000</v>
      </c>
      <c r="G394" s="210">
        <v>0</v>
      </c>
      <c r="H394" s="210">
        <v>0</v>
      </c>
      <c r="I394" s="210">
        <v>48831000</v>
      </c>
      <c r="J394" s="210">
        <v>0</v>
      </c>
      <c r="K394" s="210">
        <v>48831000</v>
      </c>
      <c r="L394" s="210">
        <v>0</v>
      </c>
      <c r="M394" s="210">
        <v>48831000</v>
      </c>
      <c r="N394" s="210">
        <v>5551479</v>
      </c>
      <c r="O394" s="210">
        <v>13724876</v>
      </c>
      <c r="P394" s="242">
        <f t="shared" si="105"/>
        <v>1</v>
      </c>
    </row>
    <row r="395" spans="1:16" s="8" customFormat="1">
      <c r="A395" s="107" t="s">
        <v>820</v>
      </c>
      <c r="B395" s="149" t="s">
        <v>1795</v>
      </c>
      <c r="C395" s="18" t="s">
        <v>821</v>
      </c>
      <c r="D395" s="30"/>
      <c r="E395" s="17" t="s">
        <v>822</v>
      </c>
      <c r="F395" s="203">
        <f>SUM(F396:F396)</f>
        <v>22102000</v>
      </c>
      <c r="G395" s="203">
        <f t="shared" ref="G395:O395" si="127">SUM(G396:G396)</f>
        <v>0</v>
      </c>
      <c r="H395" s="203">
        <f t="shared" si="127"/>
        <v>0</v>
      </c>
      <c r="I395" s="203">
        <f t="shared" si="127"/>
        <v>22102000</v>
      </c>
      <c r="J395" s="203">
        <f t="shared" si="127"/>
        <v>0</v>
      </c>
      <c r="K395" s="203">
        <f t="shared" si="127"/>
        <v>0</v>
      </c>
      <c r="L395" s="203">
        <f t="shared" si="127"/>
        <v>0</v>
      </c>
      <c r="M395" s="203">
        <f t="shared" si="127"/>
        <v>0</v>
      </c>
      <c r="N395" s="203">
        <f t="shared" si="127"/>
        <v>0</v>
      </c>
      <c r="O395" s="203">
        <f t="shared" si="127"/>
        <v>0</v>
      </c>
      <c r="P395" s="237">
        <f t="shared" si="105"/>
        <v>0</v>
      </c>
    </row>
    <row r="396" spans="1:16" s="2" customFormat="1">
      <c r="A396" s="108"/>
      <c r="B396" s="150"/>
      <c r="C396" s="70" t="s">
        <v>821</v>
      </c>
      <c r="D396" s="33" t="s">
        <v>1909</v>
      </c>
      <c r="E396" s="34" t="s">
        <v>819</v>
      </c>
      <c r="F396" s="35">
        <v>22102000</v>
      </c>
      <c r="G396" s="210">
        <v>0</v>
      </c>
      <c r="H396" s="210">
        <v>0</v>
      </c>
      <c r="I396" s="210">
        <v>22102000</v>
      </c>
      <c r="J396" s="210">
        <v>0</v>
      </c>
      <c r="K396" s="210">
        <v>0</v>
      </c>
      <c r="L396" s="210">
        <v>0</v>
      </c>
      <c r="M396" s="210">
        <v>0</v>
      </c>
      <c r="N396" s="210">
        <v>0</v>
      </c>
      <c r="O396" s="210">
        <v>0</v>
      </c>
      <c r="P396" s="242">
        <f t="shared" si="105"/>
        <v>0</v>
      </c>
    </row>
    <row r="397" spans="1:16" s="7" customFormat="1">
      <c r="A397" s="136" t="s">
        <v>823</v>
      </c>
      <c r="B397" s="125" t="s">
        <v>1796</v>
      </c>
      <c r="C397" s="126" t="s">
        <v>824</v>
      </c>
      <c r="D397" s="29"/>
      <c r="E397" s="19" t="s">
        <v>825</v>
      </c>
      <c r="F397" s="20">
        <f>+F398</f>
        <v>73164000</v>
      </c>
      <c r="G397" s="20">
        <f t="shared" ref="G397:O398" si="128">+G398</f>
        <v>0</v>
      </c>
      <c r="H397" s="20">
        <f t="shared" si="128"/>
        <v>0</v>
      </c>
      <c r="I397" s="20">
        <f t="shared" si="128"/>
        <v>73164000</v>
      </c>
      <c r="J397" s="20">
        <f t="shared" si="128"/>
        <v>0</v>
      </c>
      <c r="K397" s="20">
        <f t="shared" si="128"/>
        <v>73164000</v>
      </c>
      <c r="L397" s="20">
        <f t="shared" si="128"/>
        <v>73164000</v>
      </c>
      <c r="M397" s="20">
        <f t="shared" si="128"/>
        <v>73164000</v>
      </c>
      <c r="N397" s="20">
        <f t="shared" si="128"/>
        <v>0</v>
      </c>
      <c r="O397" s="20">
        <f t="shared" si="128"/>
        <v>0</v>
      </c>
      <c r="P397" s="243">
        <f t="shared" si="105"/>
        <v>1</v>
      </c>
    </row>
    <row r="398" spans="1:16" s="8" customFormat="1">
      <c r="A398" s="107" t="s">
        <v>826</v>
      </c>
      <c r="B398" s="149" t="s">
        <v>1797</v>
      </c>
      <c r="C398" s="18" t="s">
        <v>827</v>
      </c>
      <c r="D398" s="30"/>
      <c r="E398" s="17" t="s">
        <v>828</v>
      </c>
      <c r="F398" s="203">
        <f>+F399</f>
        <v>73164000</v>
      </c>
      <c r="G398" s="203">
        <f t="shared" si="128"/>
        <v>0</v>
      </c>
      <c r="H398" s="203">
        <f t="shared" si="128"/>
        <v>0</v>
      </c>
      <c r="I398" s="203">
        <f t="shared" si="128"/>
        <v>73164000</v>
      </c>
      <c r="J398" s="203">
        <f t="shared" si="128"/>
        <v>0</v>
      </c>
      <c r="K398" s="203">
        <f t="shared" si="128"/>
        <v>73164000</v>
      </c>
      <c r="L398" s="203">
        <f t="shared" si="128"/>
        <v>73164000</v>
      </c>
      <c r="M398" s="203">
        <f t="shared" si="128"/>
        <v>73164000</v>
      </c>
      <c r="N398" s="203">
        <f t="shared" si="128"/>
        <v>0</v>
      </c>
      <c r="O398" s="203">
        <f t="shared" si="128"/>
        <v>0</v>
      </c>
      <c r="P398" s="237">
        <f t="shared" si="105"/>
        <v>1</v>
      </c>
    </row>
    <row r="399" spans="1:16" s="2" customFormat="1">
      <c r="A399" s="108"/>
      <c r="B399" s="150"/>
      <c r="C399" s="70" t="s">
        <v>827</v>
      </c>
      <c r="D399" s="33" t="s">
        <v>1943</v>
      </c>
      <c r="E399" s="34" t="s">
        <v>763</v>
      </c>
      <c r="F399" s="35">
        <v>73164000</v>
      </c>
      <c r="G399" s="210">
        <v>0</v>
      </c>
      <c r="H399" s="210">
        <v>0</v>
      </c>
      <c r="I399" s="210">
        <v>73164000</v>
      </c>
      <c r="J399" s="210">
        <v>0</v>
      </c>
      <c r="K399" s="210">
        <v>73164000</v>
      </c>
      <c r="L399" s="210">
        <v>73164000</v>
      </c>
      <c r="M399" s="210">
        <v>73164000</v>
      </c>
      <c r="N399" s="210">
        <v>0</v>
      </c>
      <c r="O399" s="210">
        <v>0</v>
      </c>
      <c r="P399" s="242">
        <f t="shared" ref="P399:P462" si="129">IFERROR((M399/I399),0)</f>
        <v>1</v>
      </c>
    </row>
    <row r="400" spans="1:16" s="7" customFormat="1">
      <c r="A400" s="136" t="s">
        <v>829</v>
      </c>
      <c r="B400" s="125" t="s">
        <v>1798</v>
      </c>
      <c r="C400" s="126" t="s">
        <v>830</v>
      </c>
      <c r="D400" s="29"/>
      <c r="E400" s="19" t="s">
        <v>831</v>
      </c>
      <c r="F400" s="20">
        <f>F401+F402+F403</f>
        <v>98132000</v>
      </c>
      <c r="G400" s="20">
        <f t="shared" ref="G400:O400" si="130">G401+G402+G403</f>
        <v>0</v>
      </c>
      <c r="H400" s="20">
        <f t="shared" si="130"/>
        <v>-18763989</v>
      </c>
      <c r="I400" s="20">
        <f t="shared" si="130"/>
        <v>79368011</v>
      </c>
      <c r="J400" s="20">
        <f t="shared" si="130"/>
        <v>-79368011</v>
      </c>
      <c r="K400" s="20">
        <f t="shared" si="130"/>
        <v>0</v>
      </c>
      <c r="L400" s="20">
        <f t="shared" si="130"/>
        <v>0</v>
      </c>
      <c r="M400" s="20">
        <f t="shared" si="130"/>
        <v>0</v>
      </c>
      <c r="N400" s="20">
        <f t="shared" si="130"/>
        <v>0</v>
      </c>
      <c r="O400" s="20">
        <f t="shared" si="130"/>
        <v>0</v>
      </c>
      <c r="P400" s="243">
        <f t="shared" si="129"/>
        <v>0</v>
      </c>
    </row>
    <row r="401" spans="1:16" s="7" customFormat="1">
      <c r="A401" s="107" t="s">
        <v>832</v>
      </c>
      <c r="B401" s="149" t="s">
        <v>1531</v>
      </c>
      <c r="C401" s="18" t="s">
        <v>833</v>
      </c>
      <c r="D401" s="219"/>
      <c r="E401" s="219" t="s">
        <v>834</v>
      </c>
      <c r="F401" s="16">
        <v>0</v>
      </c>
      <c r="G401" s="203">
        <v>0</v>
      </c>
      <c r="H401" s="203">
        <v>0</v>
      </c>
      <c r="I401" s="203">
        <v>0</v>
      </c>
      <c r="J401" s="203">
        <v>0</v>
      </c>
      <c r="K401" s="203">
        <v>0</v>
      </c>
      <c r="L401" s="203">
        <v>0</v>
      </c>
      <c r="M401" s="203">
        <v>0</v>
      </c>
      <c r="N401" s="203">
        <v>0</v>
      </c>
      <c r="O401" s="203">
        <v>0</v>
      </c>
      <c r="P401" s="237">
        <f t="shared" si="129"/>
        <v>0</v>
      </c>
    </row>
    <row r="402" spans="1:16" s="7" customFormat="1">
      <c r="A402" s="107" t="s">
        <v>835</v>
      </c>
      <c r="B402" s="149" t="s">
        <v>1531</v>
      </c>
      <c r="C402" s="18" t="s">
        <v>836</v>
      </c>
      <c r="D402" s="30"/>
      <c r="E402" s="219" t="s">
        <v>837</v>
      </c>
      <c r="F402" s="16">
        <v>0</v>
      </c>
      <c r="G402" s="203">
        <v>0</v>
      </c>
      <c r="H402" s="203">
        <v>0</v>
      </c>
      <c r="I402" s="203">
        <v>0</v>
      </c>
      <c r="J402" s="203">
        <v>0</v>
      </c>
      <c r="K402" s="203">
        <v>0</v>
      </c>
      <c r="L402" s="203">
        <v>0</v>
      </c>
      <c r="M402" s="203">
        <v>0</v>
      </c>
      <c r="N402" s="203">
        <v>0</v>
      </c>
      <c r="O402" s="203">
        <v>0</v>
      </c>
      <c r="P402" s="237">
        <f t="shared" si="129"/>
        <v>0</v>
      </c>
    </row>
    <row r="403" spans="1:16" s="8" customFormat="1">
      <c r="A403" s="107" t="s">
        <v>838</v>
      </c>
      <c r="B403" s="149" t="s">
        <v>1799</v>
      </c>
      <c r="C403" s="18" t="s">
        <v>839</v>
      </c>
      <c r="D403" s="30"/>
      <c r="E403" s="17" t="s">
        <v>840</v>
      </c>
      <c r="F403" s="16">
        <f>SUM(F404:F404)</f>
        <v>98132000</v>
      </c>
      <c r="G403" s="203">
        <f t="shared" ref="G403:O403" si="131">SUM(G404:G404)</f>
        <v>0</v>
      </c>
      <c r="H403" s="203">
        <f t="shared" si="131"/>
        <v>-18763989</v>
      </c>
      <c r="I403" s="203">
        <f t="shared" si="131"/>
        <v>79368011</v>
      </c>
      <c r="J403" s="203">
        <f t="shared" si="131"/>
        <v>-79368011</v>
      </c>
      <c r="K403" s="203">
        <f t="shared" si="131"/>
        <v>0</v>
      </c>
      <c r="L403" s="203">
        <f t="shared" si="131"/>
        <v>0</v>
      </c>
      <c r="M403" s="203">
        <f t="shared" si="131"/>
        <v>0</v>
      </c>
      <c r="N403" s="203">
        <f t="shared" si="131"/>
        <v>0</v>
      </c>
      <c r="O403" s="203">
        <f t="shared" si="131"/>
        <v>0</v>
      </c>
      <c r="P403" s="237">
        <f t="shared" si="129"/>
        <v>0</v>
      </c>
    </row>
    <row r="404" spans="1:16" s="2" customFormat="1">
      <c r="A404" s="108"/>
      <c r="B404" s="150"/>
      <c r="C404" s="70" t="s">
        <v>839</v>
      </c>
      <c r="D404" s="33" t="s">
        <v>1948</v>
      </c>
      <c r="E404" s="34" t="s">
        <v>1914</v>
      </c>
      <c r="F404" s="35">
        <v>98132000</v>
      </c>
      <c r="G404" s="210">
        <v>0</v>
      </c>
      <c r="H404" s="210">
        <v>-18763989</v>
      </c>
      <c r="I404" s="210">
        <v>79368011</v>
      </c>
      <c r="J404" s="210">
        <v>-79368011</v>
      </c>
      <c r="K404" s="210">
        <v>0</v>
      </c>
      <c r="L404" s="210">
        <v>0</v>
      </c>
      <c r="M404" s="210">
        <v>0</v>
      </c>
      <c r="N404" s="210">
        <v>0</v>
      </c>
      <c r="O404" s="210">
        <v>0</v>
      </c>
      <c r="P404" s="242">
        <f t="shared" si="129"/>
        <v>0</v>
      </c>
    </row>
    <row r="405" spans="1:16" s="2" customFormat="1">
      <c r="A405" s="136" t="s">
        <v>841</v>
      </c>
      <c r="B405" s="125" t="s">
        <v>1531</v>
      </c>
      <c r="C405" s="126" t="s">
        <v>842</v>
      </c>
      <c r="D405" s="29"/>
      <c r="E405" s="19" t="s">
        <v>843</v>
      </c>
      <c r="F405" s="20">
        <f>+F406</f>
        <v>30000000</v>
      </c>
      <c r="G405" s="20">
        <f t="shared" ref="G405:O406" si="132">+G406</f>
        <v>0</v>
      </c>
      <c r="H405" s="20">
        <f t="shared" si="132"/>
        <v>0</v>
      </c>
      <c r="I405" s="20">
        <f t="shared" si="132"/>
        <v>30000000</v>
      </c>
      <c r="J405" s="20">
        <f t="shared" si="132"/>
        <v>0</v>
      </c>
      <c r="K405" s="20">
        <f t="shared" si="132"/>
        <v>0</v>
      </c>
      <c r="L405" s="20">
        <f t="shared" si="132"/>
        <v>0</v>
      </c>
      <c r="M405" s="20">
        <f t="shared" si="132"/>
        <v>0</v>
      </c>
      <c r="N405" s="20">
        <f t="shared" si="132"/>
        <v>0</v>
      </c>
      <c r="O405" s="20">
        <f t="shared" si="132"/>
        <v>0</v>
      </c>
      <c r="P405" s="243">
        <f t="shared" si="129"/>
        <v>0</v>
      </c>
    </row>
    <row r="406" spans="1:16" s="8" customFormat="1">
      <c r="A406" s="107" t="s">
        <v>844</v>
      </c>
      <c r="B406" s="149" t="s">
        <v>2016</v>
      </c>
      <c r="C406" s="18" t="s">
        <v>845</v>
      </c>
      <c r="D406" s="30"/>
      <c r="E406" s="17" t="s">
        <v>846</v>
      </c>
      <c r="F406" s="16">
        <f>+F407</f>
        <v>30000000</v>
      </c>
      <c r="G406" s="203">
        <f t="shared" si="132"/>
        <v>0</v>
      </c>
      <c r="H406" s="203">
        <f t="shared" si="132"/>
        <v>0</v>
      </c>
      <c r="I406" s="203">
        <f t="shared" si="132"/>
        <v>30000000</v>
      </c>
      <c r="J406" s="203">
        <f t="shared" si="132"/>
        <v>0</v>
      </c>
      <c r="K406" s="203">
        <f t="shared" si="132"/>
        <v>0</v>
      </c>
      <c r="L406" s="203">
        <f t="shared" si="132"/>
        <v>0</v>
      </c>
      <c r="M406" s="203">
        <f t="shared" si="132"/>
        <v>0</v>
      </c>
      <c r="N406" s="203">
        <f t="shared" si="132"/>
        <v>0</v>
      </c>
      <c r="O406" s="203">
        <f>+O407</f>
        <v>0</v>
      </c>
      <c r="P406" s="237">
        <f t="shared" si="129"/>
        <v>0</v>
      </c>
    </row>
    <row r="407" spans="1:16" s="6" customFormat="1">
      <c r="A407" s="108"/>
      <c r="B407" s="150"/>
      <c r="C407" s="70" t="s">
        <v>845</v>
      </c>
      <c r="D407" s="33" t="s">
        <v>1913</v>
      </c>
      <c r="E407" s="34" t="s">
        <v>1094</v>
      </c>
      <c r="F407" s="35">
        <v>30000000</v>
      </c>
      <c r="G407" s="210">
        <v>0</v>
      </c>
      <c r="H407" s="210">
        <v>0</v>
      </c>
      <c r="I407" s="210">
        <v>30000000</v>
      </c>
      <c r="J407" s="210">
        <v>0</v>
      </c>
      <c r="K407" s="210">
        <v>0</v>
      </c>
      <c r="L407" s="210">
        <v>0</v>
      </c>
      <c r="M407" s="210">
        <v>0</v>
      </c>
      <c r="N407" s="210">
        <v>0</v>
      </c>
      <c r="O407" s="210">
        <v>0</v>
      </c>
      <c r="P407" s="242">
        <f t="shared" si="129"/>
        <v>0</v>
      </c>
    </row>
    <row r="408" spans="1:16" s="2" customFormat="1">
      <c r="A408" s="173" t="s">
        <v>847</v>
      </c>
      <c r="B408" s="155" t="s">
        <v>1800</v>
      </c>
      <c r="C408" s="156" t="s">
        <v>848</v>
      </c>
      <c r="D408" s="74"/>
      <c r="E408" s="40" t="s">
        <v>849</v>
      </c>
      <c r="F408" s="75">
        <f>+F409+F415+F418+F421</f>
        <v>160433000</v>
      </c>
      <c r="G408" s="75">
        <f t="shared" ref="G408:O408" si="133">+G409+G415+G418+G421</f>
        <v>0</v>
      </c>
      <c r="H408" s="75">
        <f t="shared" si="133"/>
        <v>9792677</v>
      </c>
      <c r="I408" s="75">
        <f t="shared" si="133"/>
        <v>170225677</v>
      </c>
      <c r="J408" s="75">
        <f t="shared" si="133"/>
        <v>0</v>
      </c>
      <c r="K408" s="75">
        <f t="shared" si="133"/>
        <v>129792677</v>
      </c>
      <c r="L408" s="75">
        <f t="shared" si="133"/>
        <v>9792677</v>
      </c>
      <c r="M408" s="75">
        <f t="shared" si="133"/>
        <v>129792677</v>
      </c>
      <c r="N408" s="75">
        <f t="shared" si="133"/>
        <v>9792677</v>
      </c>
      <c r="O408" s="75">
        <f t="shared" si="133"/>
        <v>9792677</v>
      </c>
      <c r="P408" s="246">
        <f t="shared" si="129"/>
        <v>0.76247414190046081</v>
      </c>
    </row>
    <row r="409" spans="1:16" s="2" customFormat="1">
      <c r="A409" s="136" t="s">
        <v>850</v>
      </c>
      <c r="B409" s="125" t="s">
        <v>1801</v>
      </c>
      <c r="C409" s="126" t="s">
        <v>851</v>
      </c>
      <c r="D409" s="29"/>
      <c r="E409" s="19" t="s">
        <v>852</v>
      </c>
      <c r="F409" s="20">
        <f>+F410+F411+F412</f>
        <v>160433000</v>
      </c>
      <c r="G409" s="20">
        <f t="shared" ref="G409:O409" si="134">+G410+G411+G412</f>
        <v>0</v>
      </c>
      <c r="H409" s="20">
        <f t="shared" si="134"/>
        <v>9792677</v>
      </c>
      <c r="I409" s="20">
        <f t="shared" si="134"/>
        <v>170225677</v>
      </c>
      <c r="J409" s="20">
        <f t="shared" si="134"/>
        <v>0</v>
      </c>
      <c r="K409" s="20">
        <f t="shared" si="134"/>
        <v>129792677</v>
      </c>
      <c r="L409" s="20">
        <f t="shared" si="134"/>
        <v>9792677</v>
      </c>
      <c r="M409" s="20">
        <f t="shared" si="134"/>
        <v>129792677</v>
      </c>
      <c r="N409" s="20">
        <f t="shared" si="134"/>
        <v>9792677</v>
      </c>
      <c r="O409" s="20">
        <f t="shared" si="134"/>
        <v>9792677</v>
      </c>
      <c r="P409" s="243">
        <f t="shared" si="129"/>
        <v>0.76247414190046081</v>
      </c>
    </row>
    <row r="410" spans="1:16">
      <c r="A410" s="107" t="s">
        <v>853</v>
      </c>
      <c r="B410" s="149" t="s">
        <v>1531</v>
      </c>
      <c r="C410" s="18" t="s">
        <v>854</v>
      </c>
      <c r="D410" s="30"/>
      <c r="E410" s="219" t="s">
        <v>855</v>
      </c>
      <c r="F410" s="16">
        <v>0</v>
      </c>
      <c r="G410" s="203">
        <v>0</v>
      </c>
      <c r="H410" s="203">
        <v>0</v>
      </c>
      <c r="I410" s="203">
        <v>0</v>
      </c>
      <c r="J410" s="203">
        <v>0</v>
      </c>
      <c r="K410" s="203">
        <v>0</v>
      </c>
      <c r="L410" s="203">
        <v>0</v>
      </c>
      <c r="M410" s="203">
        <v>0</v>
      </c>
      <c r="N410" s="203">
        <v>0</v>
      </c>
      <c r="O410" s="203">
        <v>0</v>
      </c>
      <c r="P410" s="237">
        <f t="shared" si="129"/>
        <v>0</v>
      </c>
    </row>
    <row r="411" spans="1:16" s="2" customFormat="1">
      <c r="A411" s="107" t="s">
        <v>856</v>
      </c>
      <c r="B411" s="149" t="s">
        <v>1802</v>
      </c>
      <c r="C411" s="18" t="s">
        <v>857</v>
      </c>
      <c r="D411" s="30"/>
      <c r="E411" s="17" t="s">
        <v>858</v>
      </c>
      <c r="F411" s="16">
        <v>0</v>
      </c>
      <c r="G411" s="203">
        <v>0</v>
      </c>
      <c r="H411" s="203">
        <v>0</v>
      </c>
      <c r="I411" s="203">
        <v>0</v>
      </c>
      <c r="J411" s="203">
        <v>0</v>
      </c>
      <c r="K411" s="203">
        <v>0</v>
      </c>
      <c r="L411" s="203">
        <v>0</v>
      </c>
      <c r="M411" s="203">
        <v>0</v>
      </c>
      <c r="N411" s="203">
        <v>0</v>
      </c>
      <c r="O411" s="203">
        <v>0</v>
      </c>
      <c r="P411" s="237">
        <f t="shared" si="129"/>
        <v>0</v>
      </c>
    </row>
    <row r="412" spans="1:16" s="8" customFormat="1">
      <c r="A412" s="107" t="s">
        <v>859</v>
      </c>
      <c r="B412" s="149" t="s">
        <v>1803</v>
      </c>
      <c r="C412" s="18" t="s">
        <v>860</v>
      </c>
      <c r="D412" s="30"/>
      <c r="E412" s="17" t="s">
        <v>861</v>
      </c>
      <c r="F412" s="16">
        <f>SUM(F413:F414)</f>
        <v>160433000</v>
      </c>
      <c r="G412" s="203">
        <f t="shared" ref="G412:O412" si="135">SUM(G413:G414)</f>
        <v>0</v>
      </c>
      <c r="H412" s="203">
        <f t="shared" si="135"/>
        <v>9792677</v>
      </c>
      <c r="I412" s="203">
        <f t="shared" si="135"/>
        <v>170225677</v>
      </c>
      <c r="J412" s="203">
        <f t="shared" si="135"/>
        <v>0</v>
      </c>
      <c r="K412" s="203">
        <f t="shared" si="135"/>
        <v>129792677</v>
      </c>
      <c r="L412" s="203">
        <f t="shared" si="135"/>
        <v>9792677</v>
      </c>
      <c r="M412" s="203">
        <f t="shared" si="135"/>
        <v>129792677</v>
      </c>
      <c r="N412" s="203">
        <f t="shared" si="135"/>
        <v>9792677</v>
      </c>
      <c r="O412" s="203">
        <f t="shared" si="135"/>
        <v>9792677</v>
      </c>
      <c r="P412" s="237">
        <f t="shared" si="129"/>
        <v>0.76247414190046081</v>
      </c>
    </row>
    <row r="413" spans="1:16" s="8" customFormat="1">
      <c r="A413" s="108"/>
      <c r="B413" s="150"/>
      <c r="C413" s="70" t="s">
        <v>860</v>
      </c>
      <c r="D413" s="33" t="s">
        <v>1909</v>
      </c>
      <c r="E413" s="34" t="s">
        <v>819</v>
      </c>
      <c r="F413" s="35">
        <v>120000000</v>
      </c>
      <c r="G413" s="210">
        <v>0</v>
      </c>
      <c r="H413" s="210">
        <v>9792677</v>
      </c>
      <c r="I413" s="210">
        <v>129792677</v>
      </c>
      <c r="J413" s="210">
        <v>0</v>
      </c>
      <c r="K413" s="210">
        <v>129792677</v>
      </c>
      <c r="L413" s="210">
        <v>9792677</v>
      </c>
      <c r="M413" s="210">
        <v>129792677</v>
      </c>
      <c r="N413" s="210">
        <v>9792677</v>
      </c>
      <c r="O413" s="210">
        <v>9792677</v>
      </c>
      <c r="P413" s="242">
        <f t="shared" si="129"/>
        <v>1</v>
      </c>
    </row>
    <row r="414" spans="1:16" s="2" customFormat="1">
      <c r="A414" s="108"/>
      <c r="B414" s="150"/>
      <c r="C414" s="70" t="s">
        <v>860</v>
      </c>
      <c r="D414" s="33" t="s">
        <v>1944</v>
      </c>
      <c r="E414" s="34" t="s">
        <v>780</v>
      </c>
      <c r="F414" s="35">
        <v>40433000</v>
      </c>
      <c r="G414" s="210">
        <v>0</v>
      </c>
      <c r="H414" s="210">
        <v>0</v>
      </c>
      <c r="I414" s="210">
        <v>40433000</v>
      </c>
      <c r="J414" s="210">
        <v>0</v>
      </c>
      <c r="K414" s="210">
        <v>0</v>
      </c>
      <c r="L414" s="210">
        <v>0</v>
      </c>
      <c r="M414" s="210">
        <v>0</v>
      </c>
      <c r="N414" s="210">
        <v>0</v>
      </c>
      <c r="O414" s="210">
        <v>0</v>
      </c>
      <c r="P414" s="242">
        <f t="shared" si="129"/>
        <v>0</v>
      </c>
    </row>
    <row r="415" spans="1:16" s="2" customFormat="1">
      <c r="A415" s="136" t="s">
        <v>862</v>
      </c>
      <c r="B415" s="125" t="s">
        <v>1804</v>
      </c>
      <c r="C415" s="126" t="s">
        <v>863</v>
      </c>
      <c r="D415" s="29"/>
      <c r="E415" s="19" t="s">
        <v>864</v>
      </c>
      <c r="F415" s="20">
        <f>+F416</f>
        <v>0</v>
      </c>
      <c r="G415" s="20">
        <f t="shared" ref="G415:O416" si="136">+G416</f>
        <v>0</v>
      </c>
      <c r="H415" s="20">
        <f t="shared" si="136"/>
        <v>0</v>
      </c>
      <c r="I415" s="20">
        <f t="shared" si="136"/>
        <v>0</v>
      </c>
      <c r="J415" s="20">
        <f t="shared" si="136"/>
        <v>0</v>
      </c>
      <c r="K415" s="20">
        <f t="shared" si="136"/>
        <v>0</v>
      </c>
      <c r="L415" s="20">
        <f t="shared" si="136"/>
        <v>0</v>
      </c>
      <c r="M415" s="20">
        <f t="shared" si="136"/>
        <v>0</v>
      </c>
      <c r="N415" s="20">
        <f t="shared" si="136"/>
        <v>0</v>
      </c>
      <c r="O415" s="20">
        <f t="shared" si="136"/>
        <v>0</v>
      </c>
      <c r="P415" s="243">
        <f t="shared" si="129"/>
        <v>0</v>
      </c>
    </row>
    <row r="416" spans="1:16" s="8" customFormat="1">
      <c r="A416" s="107" t="s">
        <v>865</v>
      </c>
      <c r="B416" s="149" t="s">
        <v>1558</v>
      </c>
      <c r="C416" s="18" t="s">
        <v>866</v>
      </c>
      <c r="D416" s="30"/>
      <c r="E416" s="17" t="s">
        <v>867</v>
      </c>
      <c r="F416" s="203">
        <f>+F417</f>
        <v>0</v>
      </c>
      <c r="G416" s="203">
        <f t="shared" si="136"/>
        <v>0</v>
      </c>
      <c r="H416" s="203">
        <f t="shared" si="136"/>
        <v>0</v>
      </c>
      <c r="I416" s="203">
        <f t="shared" si="136"/>
        <v>0</v>
      </c>
      <c r="J416" s="203">
        <f t="shared" si="136"/>
        <v>0</v>
      </c>
      <c r="K416" s="203">
        <f t="shared" si="136"/>
        <v>0</v>
      </c>
      <c r="L416" s="203">
        <f t="shared" si="136"/>
        <v>0</v>
      </c>
      <c r="M416" s="203">
        <f t="shared" si="136"/>
        <v>0</v>
      </c>
      <c r="N416" s="203">
        <f t="shared" si="136"/>
        <v>0</v>
      </c>
      <c r="O416" s="203">
        <f t="shared" si="136"/>
        <v>0</v>
      </c>
      <c r="P416" s="237">
        <f t="shared" si="129"/>
        <v>0</v>
      </c>
    </row>
    <row r="417" spans="1:16" s="2" customFormat="1">
      <c r="A417" s="108"/>
      <c r="B417" s="150"/>
      <c r="C417" s="70" t="s">
        <v>866</v>
      </c>
      <c r="D417" s="33" t="s">
        <v>1943</v>
      </c>
      <c r="E417" s="34" t="s">
        <v>868</v>
      </c>
      <c r="F417" s="210">
        <v>0</v>
      </c>
      <c r="G417" s="210">
        <v>0</v>
      </c>
      <c r="H417" s="210">
        <v>0</v>
      </c>
      <c r="I417" s="210">
        <v>0</v>
      </c>
      <c r="J417" s="210">
        <v>0</v>
      </c>
      <c r="K417" s="210">
        <v>0</v>
      </c>
      <c r="L417" s="210">
        <v>0</v>
      </c>
      <c r="M417" s="210">
        <v>0</v>
      </c>
      <c r="N417" s="210">
        <v>0</v>
      </c>
      <c r="O417" s="210">
        <v>0</v>
      </c>
      <c r="P417" s="242">
        <f t="shared" si="129"/>
        <v>0</v>
      </c>
    </row>
    <row r="418" spans="1:16" s="2" customFormat="1">
      <c r="A418" s="136" t="s">
        <v>869</v>
      </c>
      <c r="B418" s="125" t="s">
        <v>1780</v>
      </c>
      <c r="C418" s="126" t="s">
        <v>870</v>
      </c>
      <c r="D418" s="29"/>
      <c r="E418" s="19" t="s">
        <v>745</v>
      </c>
      <c r="F418" s="20">
        <f>+F419</f>
        <v>0</v>
      </c>
      <c r="G418" s="20">
        <f t="shared" ref="G418:O419" si="137">+G419</f>
        <v>0</v>
      </c>
      <c r="H418" s="20">
        <f t="shared" si="137"/>
        <v>0</v>
      </c>
      <c r="I418" s="20">
        <f t="shared" si="137"/>
        <v>0</v>
      </c>
      <c r="J418" s="20">
        <f t="shared" si="137"/>
        <v>0</v>
      </c>
      <c r="K418" s="20">
        <f t="shared" si="137"/>
        <v>0</v>
      </c>
      <c r="L418" s="20">
        <f t="shared" si="137"/>
        <v>0</v>
      </c>
      <c r="M418" s="20">
        <f t="shared" si="137"/>
        <v>0</v>
      </c>
      <c r="N418" s="20">
        <f t="shared" si="137"/>
        <v>0</v>
      </c>
      <c r="O418" s="20">
        <f t="shared" si="137"/>
        <v>0</v>
      </c>
      <c r="P418" s="243">
        <f t="shared" si="129"/>
        <v>0</v>
      </c>
    </row>
    <row r="419" spans="1:16" s="8" customFormat="1">
      <c r="A419" s="107" t="s">
        <v>871</v>
      </c>
      <c r="B419" s="149" t="s">
        <v>1805</v>
      </c>
      <c r="C419" s="18" t="s">
        <v>872</v>
      </c>
      <c r="D419" s="30"/>
      <c r="E419" s="17" t="s">
        <v>873</v>
      </c>
      <c r="F419" s="203">
        <f>+F420</f>
        <v>0</v>
      </c>
      <c r="G419" s="203">
        <f t="shared" si="137"/>
        <v>0</v>
      </c>
      <c r="H419" s="203">
        <f t="shared" si="137"/>
        <v>0</v>
      </c>
      <c r="I419" s="203">
        <f t="shared" si="137"/>
        <v>0</v>
      </c>
      <c r="J419" s="203">
        <f t="shared" si="137"/>
        <v>0</v>
      </c>
      <c r="K419" s="203">
        <f t="shared" si="137"/>
        <v>0</v>
      </c>
      <c r="L419" s="203">
        <f t="shared" si="137"/>
        <v>0</v>
      </c>
      <c r="M419" s="203">
        <f t="shared" si="137"/>
        <v>0</v>
      </c>
      <c r="N419" s="203">
        <f t="shared" si="137"/>
        <v>0</v>
      </c>
      <c r="O419" s="203">
        <f t="shared" si="137"/>
        <v>0</v>
      </c>
      <c r="P419" s="237">
        <f t="shared" si="129"/>
        <v>0</v>
      </c>
    </row>
    <row r="420" spans="1:16" s="2" customFormat="1">
      <c r="A420" s="108"/>
      <c r="B420" s="150"/>
      <c r="C420" s="70" t="s">
        <v>872</v>
      </c>
      <c r="D420" s="33" t="s">
        <v>1945</v>
      </c>
      <c r="E420" s="34" t="s">
        <v>781</v>
      </c>
      <c r="F420" s="210">
        <v>0</v>
      </c>
      <c r="G420" s="210">
        <v>0</v>
      </c>
      <c r="H420" s="210">
        <v>0</v>
      </c>
      <c r="I420" s="210">
        <v>0</v>
      </c>
      <c r="J420" s="210">
        <v>0</v>
      </c>
      <c r="K420" s="210">
        <v>0</v>
      </c>
      <c r="L420" s="210">
        <v>0</v>
      </c>
      <c r="M420" s="210">
        <v>0</v>
      </c>
      <c r="N420" s="210">
        <v>0</v>
      </c>
      <c r="O420" s="210">
        <v>0</v>
      </c>
      <c r="P420" s="242">
        <f t="shared" si="129"/>
        <v>0</v>
      </c>
    </row>
    <row r="421" spans="1:16" s="2" customFormat="1">
      <c r="A421" s="136" t="s">
        <v>874</v>
      </c>
      <c r="B421" s="125" t="s">
        <v>1806</v>
      </c>
      <c r="C421" s="126" t="s">
        <v>875</v>
      </c>
      <c r="D421" s="29"/>
      <c r="E421" s="19" t="s">
        <v>876</v>
      </c>
      <c r="F421" s="20">
        <f>+F422+F423</f>
        <v>0</v>
      </c>
      <c r="G421" s="20">
        <f t="shared" ref="G421:N421" si="138">+G422+G423</f>
        <v>0</v>
      </c>
      <c r="H421" s="20">
        <f t="shared" si="138"/>
        <v>0</v>
      </c>
      <c r="I421" s="20">
        <f t="shared" si="138"/>
        <v>0</v>
      </c>
      <c r="J421" s="20">
        <f t="shared" si="138"/>
        <v>0</v>
      </c>
      <c r="K421" s="20">
        <f t="shared" si="138"/>
        <v>0</v>
      </c>
      <c r="L421" s="20">
        <f t="shared" si="138"/>
        <v>0</v>
      </c>
      <c r="M421" s="20">
        <f t="shared" si="138"/>
        <v>0</v>
      </c>
      <c r="N421" s="20">
        <f t="shared" si="138"/>
        <v>0</v>
      </c>
      <c r="O421" s="20"/>
      <c r="P421" s="243">
        <f t="shared" si="129"/>
        <v>0</v>
      </c>
    </row>
    <row r="422" spans="1:16" s="2" customFormat="1">
      <c r="A422" s="107" t="s">
        <v>877</v>
      </c>
      <c r="B422" s="149" t="s">
        <v>1807</v>
      </c>
      <c r="C422" s="18" t="s">
        <v>878</v>
      </c>
      <c r="D422" s="30"/>
      <c r="E422" s="17" t="s">
        <v>879</v>
      </c>
      <c r="F422" s="203">
        <v>0</v>
      </c>
      <c r="G422" s="203">
        <v>0</v>
      </c>
      <c r="H422" s="203">
        <v>0</v>
      </c>
      <c r="I422" s="203">
        <v>0</v>
      </c>
      <c r="J422" s="203">
        <v>0</v>
      </c>
      <c r="K422" s="203">
        <v>0</v>
      </c>
      <c r="L422" s="203">
        <v>0</v>
      </c>
      <c r="M422" s="203">
        <v>0</v>
      </c>
      <c r="N422" s="203">
        <v>0</v>
      </c>
      <c r="O422" s="203">
        <v>0</v>
      </c>
      <c r="P422" s="237">
        <f t="shared" si="129"/>
        <v>0</v>
      </c>
    </row>
    <row r="423" spans="1:16" s="6" customFormat="1">
      <c r="A423" s="107" t="s">
        <v>880</v>
      </c>
      <c r="B423" s="149" t="s">
        <v>1808</v>
      </c>
      <c r="C423" s="18" t="s">
        <v>881</v>
      </c>
      <c r="D423" s="30"/>
      <c r="E423" s="17" t="s">
        <v>882</v>
      </c>
      <c r="F423" s="203">
        <v>0</v>
      </c>
      <c r="G423" s="203">
        <v>0</v>
      </c>
      <c r="H423" s="203">
        <v>0</v>
      </c>
      <c r="I423" s="203">
        <v>0</v>
      </c>
      <c r="J423" s="203">
        <v>0</v>
      </c>
      <c r="K423" s="203">
        <v>0</v>
      </c>
      <c r="L423" s="203">
        <v>0</v>
      </c>
      <c r="M423" s="203">
        <v>0</v>
      </c>
      <c r="N423" s="203">
        <v>0</v>
      </c>
      <c r="O423" s="203">
        <v>0</v>
      </c>
      <c r="P423" s="237">
        <f t="shared" si="129"/>
        <v>0</v>
      </c>
    </row>
    <row r="424" spans="1:16" s="6" customFormat="1">
      <c r="A424" s="172" t="s">
        <v>883</v>
      </c>
      <c r="B424" s="154" t="s">
        <v>1809</v>
      </c>
      <c r="C424" s="39" t="s">
        <v>884</v>
      </c>
      <c r="D424" s="73"/>
      <c r="E424" s="39" t="s">
        <v>885</v>
      </c>
      <c r="F424" s="209">
        <f t="shared" ref="F424:O424" si="139">+F425+F430+F484+F521+F771+F818</f>
        <v>113368332000</v>
      </c>
      <c r="G424" s="209">
        <f t="shared" si="139"/>
        <v>12433319036</v>
      </c>
      <c r="H424" s="209">
        <f t="shared" si="139"/>
        <v>38102134905</v>
      </c>
      <c r="I424" s="209">
        <f t="shared" si="139"/>
        <v>151470466905</v>
      </c>
      <c r="J424" s="209">
        <f t="shared" si="139"/>
        <v>9134995962</v>
      </c>
      <c r="K424" s="209">
        <f t="shared" si="139"/>
        <v>118899976821</v>
      </c>
      <c r="L424" s="209">
        <f t="shared" si="139"/>
        <v>23311995858</v>
      </c>
      <c r="M424" s="209">
        <f t="shared" si="139"/>
        <v>112155128505</v>
      </c>
      <c r="N424" s="209">
        <f t="shared" si="139"/>
        <v>5142057822</v>
      </c>
      <c r="O424" s="209">
        <f t="shared" si="139"/>
        <v>64183118369</v>
      </c>
      <c r="P424" s="245">
        <f t="shared" si="129"/>
        <v>0.74044221818727218</v>
      </c>
    </row>
    <row r="425" spans="1:16" s="2" customFormat="1">
      <c r="A425" s="173" t="s">
        <v>886</v>
      </c>
      <c r="B425" s="155" t="s">
        <v>1810</v>
      </c>
      <c r="C425" s="156" t="s">
        <v>887</v>
      </c>
      <c r="D425" s="74"/>
      <c r="E425" s="40" t="s">
        <v>888</v>
      </c>
      <c r="F425" s="75">
        <f>+F426</f>
        <v>0</v>
      </c>
      <c r="G425" s="75">
        <f t="shared" ref="G425:O428" si="140">+G426</f>
        <v>0</v>
      </c>
      <c r="H425" s="75">
        <f t="shared" si="140"/>
        <v>0</v>
      </c>
      <c r="I425" s="75">
        <f t="shared" si="140"/>
        <v>0</v>
      </c>
      <c r="J425" s="75">
        <f t="shared" si="140"/>
        <v>0</v>
      </c>
      <c r="K425" s="75">
        <f t="shared" si="140"/>
        <v>0</v>
      </c>
      <c r="L425" s="75">
        <f t="shared" si="140"/>
        <v>0</v>
      </c>
      <c r="M425" s="75">
        <f t="shared" si="140"/>
        <v>0</v>
      </c>
      <c r="N425" s="75">
        <f t="shared" si="140"/>
        <v>0</v>
      </c>
      <c r="O425" s="75">
        <f t="shared" si="140"/>
        <v>0</v>
      </c>
      <c r="P425" s="246">
        <f t="shared" si="129"/>
        <v>0</v>
      </c>
    </row>
    <row r="426" spans="1:16" s="2" customFormat="1">
      <c r="A426" s="136" t="s">
        <v>889</v>
      </c>
      <c r="B426" s="125" t="s">
        <v>1811</v>
      </c>
      <c r="C426" s="126" t="s">
        <v>890</v>
      </c>
      <c r="D426" s="29"/>
      <c r="E426" s="19" t="s">
        <v>891</v>
      </c>
      <c r="F426" s="20">
        <f>+F427</f>
        <v>0</v>
      </c>
      <c r="G426" s="20">
        <f t="shared" si="140"/>
        <v>0</v>
      </c>
      <c r="H426" s="20">
        <f t="shared" si="140"/>
        <v>0</v>
      </c>
      <c r="I426" s="20">
        <f t="shared" si="140"/>
        <v>0</v>
      </c>
      <c r="J426" s="20">
        <f t="shared" si="140"/>
        <v>0</v>
      </c>
      <c r="K426" s="20">
        <f t="shared" si="140"/>
        <v>0</v>
      </c>
      <c r="L426" s="20">
        <f t="shared" si="140"/>
        <v>0</v>
      </c>
      <c r="M426" s="20">
        <f t="shared" si="140"/>
        <v>0</v>
      </c>
      <c r="N426" s="20">
        <f t="shared" si="140"/>
        <v>0</v>
      </c>
      <c r="O426" s="20">
        <f t="shared" si="140"/>
        <v>0</v>
      </c>
      <c r="P426" s="243">
        <f t="shared" si="129"/>
        <v>0</v>
      </c>
    </row>
    <row r="427" spans="1:16" s="8" customFormat="1">
      <c r="A427" s="134" t="s">
        <v>892</v>
      </c>
      <c r="B427" s="123" t="s">
        <v>1531</v>
      </c>
      <c r="C427" s="124" t="s">
        <v>893</v>
      </c>
      <c r="D427" s="67"/>
      <c r="E427" s="25" t="s">
        <v>894</v>
      </c>
      <c r="F427" s="68">
        <f>+F428</f>
        <v>0</v>
      </c>
      <c r="G427" s="68">
        <f t="shared" si="140"/>
        <v>0</v>
      </c>
      <c r="H427" s="68">
        <f t="shared" si="140"/>
        <v>0</v>
      </c>
      <c r="I427" s="68">
        <f t="shared" si="140"/>
        <v>0</v>
      </c>
      <c r="J427" s="68">
        <f t="shared" si="140"/>
        <v>0</v>
      </c>
      <c r="K427" s="68">
        <f t="shared" si="140"/>
        <v>0</v>
      </c>
      <c r="L427" s="68">
        <f t="shared" si="140"/>
        <v>0</v>
      </c>
      <c r="M427" s="68">
        <f t="shared" si="140"/>
        <v>0</v>
      </c>
      <c r="N427" s="68">
        <f t="shared" si="140"/>
        <v>0</v>
      </c>
      <c r="O427" s="68">
        <f t="shared" si="140"/>
        <v>0</v>
      </c>
      <c r="P427" s="229">
        <f t="shared" si="129"/>
        <v>0</v>
      </c>
    </row>
    <row r="428" spans="1:16" s="8" customFormat="1">
      <c r="A428" s="107" t="s">
        <v>895</v>
      </c>
      <c r="B428" s="149" t="s">
        <v>1812</v>
      </c>
      <c r="C428" s="18" t="s">
        <v>896</v>
      </c>
      <c r="D428" s="30"/>
      <c r="E428" s="17" t="s">
        <v>897</v>
      </c>
      <c r="F428" s="203">
        <f>+F429</f>
        <v>0</v>
      </c>
      <c r="G428" s="203">
        <f t="shared" si="140"/>
        <v>0</v>
      </c>
      <c r="H428" s="203">
        <f t="shared" si="140"/>
        <v>0</v>
      </c>
      <c r="I428" s="203">
        <f t="shared" si="140"/>
        <v>0</v>
      </c>
      <c r="J428" s="203">
        <f t="shared" si="140"/>
        <v>0</v>
      </c>
      <c r="K428" s="203">
        <f t="shared" si="140"/>
        <v>0</v>
      </c>
      <c r="L428" s="203">
        <f t="shared" si="140"/>
        <v>0</v>
      </c>
      <c r="M428" s="203">
        <f t="shared" si="140"/>
        <v>0</v>
      </c>
      <c r="N428" s="203">
        <f t="shared" si="140"/>
        <v>0</v>
      </c>
      <c r="O428" s="203">
        <f t="shared" si="140"/>
        <v>0</v>
      </c>
      <c r="P428" s="237">
        <f t="shared" si="129"/>
        <v>0</v>
      </c>
    </row>
    <row r="429" spans="1:16" s="6" customFormat="1">
      <c r="A429" s="108"/>
      <c r="B429" s="150"/>
      <c r="C429" s="70" t="s">
        <v>896</v>
      </c>
      <c r="D429" s="33" t="s">
        <v>1909</v>
      </c>
      <c r="E429" s="34" t="s">
        <v>819</v>
      </c>
      <c r="F429" s="210">
        <v>0</v>
      </c>
      <c r="G429" s="210">
        <v>0</v>
      </c>
      <c r="H429" s="210">
        <v>0</v>
      </c>
      <c r="I429" s="210">
        <v>0</v>
      </c>
      <c r="J429" s="210">
        <v>0</v>
      </c>
      <c r="K429" s="210">
        <v>0</v>
      </c>
      <c r="L429" s="210">
        <v>0</v>
      </c>
      <c r="M429" s="210">
        <v>0</v>
      </c>
      <c r="N429" s="210">
        <v>0</v>
      </c>
      <c r="O429" s="210">
        <v>0</v>
      </c>
      <c r="P429" s="242">
        <f t="shared" si="129"/>
        <v>0</v>
      </c>
    </row>
    <row r="430" spans="1:16" s="2" customFormat="1">
      <c r="A430" s="173" t="s">
        <v>898</v>
      </c>
      <c r="B430" s="155" t="s">
        <v>1813</v>
      </c>
      <c r="C430" s="156" t="s">
        <v>899</v>
      </c>
      <c r="D430" s="74"/>
      <c r="E430" s="40" t="s">
        <v>900</v>
      </c>
      <c r="F430" s="75">
        <f t="shared" ref="F430:O430" si="141">+F431+F450+F478+F480</f>
        <v>9353509000</v>
      </c>
      <c r="G430" s="75">
        <f t="shared" si="141"/>
        <v>0</v>
      </c>
      <c r="H430" s="75">
        <f t="shared" si="141"/>
        <v>1119329779</v>
      </c>
      <c r="I430" s="75">
        <f t="shared" si="141"/>
        <v>10472838779</v>
      </c>
      <c r="J430" s="75">
        <f t="shared" si="141"/>
        <v>82689852</v>
      </c>
      <c r="K430" s="75">
        <f t="shared" si="141"/>
        <v>6815720864</v>
      </c>
      <c r="L430" s="75">
        <f t="shared" si="141"/>
        <v>80771162</v>
      </c>
      <c r="M430" s="75">
        <f t="shared" si="141"/>
        <v>6709488471</v>
      </c>
      <c r="N430" s="75">
        <f t="shared" si="141"/>
        <v>97250839</v>
      </c>
      <c r="O430" s="75">
        <f t="shared" si="141"/>
        <v>1406087866</v>
      </c>
      <c r="P430" s="246">
        <f t="shared" si="129"/>
        <v>0.64065614038227903</v>
      </c>
    </row>
    <row r="431" spans="1:16" s="2" customFormat="1">
      <c r="A431" s="136" t="s">
        <v>901</v>
      </c>
      <c r="B431" s="125" t="s">
        <v>1814</v>
      </c>
      <c r="C431" s="126" t="s">
        <v>902</v>
      </c>
      <c r="D431" s="29"/>
      <c r="E431" s="19" t="s">
        <v>903</v>
      </c>
      <c r="F431" s="20">
        <f>+F432+F447</f>
        <v>5182728000</v>
      </c>
      <c r="G431" s="20">
        <f t="shared" ref="G431:O431" si="142">+G432+G447</f>
        <v>0</v>
      </c>
      <c r="H431" s="20">
        <f t="shared" si="142"/>
        <v>202462067</v>
      </c>
      <c r="I431" s="20">
        <f t="shared" si="142"/>
        <v>5385190067</v>
      </c>
      <c r="J431" s="20">
        <f t="shared" si="142"/>
        <v>22563792</v>
      </c>
      <c r="K431" s="20">
        <f t="shared" si="142"/>
        <v>2696340411</v>
      </c>
      <c r="L431" s="20">
        <f t="shared" si="142"/>
        <v>35167693</v>
      </c>
      <c r="M431" s="20">
        <f t="shared" si="142"/>
        <v>2662586312</v>
      </c>
      <c r="N431" s="20">
        <f t="shared" si="142"/>
        <v>55717273</v>
      </c>
      <c r="O431" s="20">
        <f t="shared" si="142"/>
        <v>114305618</v>
      </c>
      <c r="P431" s="243">
        <f t="shared" si="129"/>
        <v>0.49442754645116593</v>
      </c>
    </row>
    <row r="432" spans="1:16" s="6" customFormat="1">
      <c r="A432" s="134" t="s">
        <v>904</v>
      </c>
      <c r="B432" s="123" t="s">
        <v>1531</v>
      </c>
      <c r="C432" s="124" t="s">
        <v>905</v>
      </c>
      <c r="D432" s="67"/>
      <c r="E432" s="25" t="s">
        <v>906</v>
      </c>
      <c r="F432" s="68">
        <f>+F433</f>
        <v>457575000</v>
      </c>
      <c r="G432" s="68">
        <f t="shared" ref="G432:O432" si="143">+G433</f>
        <v>0</v>
      </c>
      <c r="H432" s="68">
        <f t="shared" si="143"/>
        <v>202462067</v>
      </c>
      <c r="I432" s="68">
        <f t="shared" si="143"/>
        <v>660037067</v>
      </c>
      <c r="J432" s="68">
        <f t="shared" si="143"/>
        <v>22563792</v>
      </c>
      <c r="K432" s="68">
        <f t="shared" si="143"/>
        <v>334112811</v>
      </c>
      <c r="L432" s="68">
        <f t="shared" si="143"/>
        <v>35167693</v>
      </c>
      <c r="M432" s="68">
        <f t="shared" si="143"/>
        <v>300358712</v>
      </c>
      <c r="N432" s="68">
        <f t="shared" si="143"/>
        <v>55717273</v>
      </c>
      <c r="O432" s="68">
        <f t="shared" si="143"/>
        <v>114305618</v>
      </c>
      <c r="P432" s="229">
        <f t="shared" si="129"/>
        <v>0.45506340024991354</v>
      </c>
    </row>
    <row r="433" spans="1:16" s="8" customFormat="1">
      <c r="A433" s="107"/>
      <c r="B433" s="149" t="s">
        <v>1557</v>
      </c>
      <c r="C433" s="18" t="s">
        <v>907</v>
      </c>
      <c r="D433" s="30"/>
      <c r="E433" s="17" t="s">
        <v>903</v>
      </c>
      <c r="F433" s="203">
        <f>SUM(F434:F446)</f>
        <v>457575000</v>
      </c>
      <c r="G433" s="203">
        <f t="shared" ref="G433:O433" si="144">SUM(G434:G446)</f>
        <v>0</v>
      </c>
      <c r="H433" s="203">
        <f t="shared" si="144"/>
        <v>202462067</v>
      </c>
      <c r="I433" s="203">
        <f t="shared" si="144"/>
        <v>660037067</v>
      </c>
      <c r="J433" s="203">
        <f t="shared" si="144"/>
        <v>22563792</v>
      </c>
      <c r="K433" s="203">
        <f t="shared" si="144"/>
        <v>334112811</v>
      </c>
      <c r="L433" s="203">
        <f t="shared" si="144"/>
        <v>35167693</v>
      </c>
      <c r="M433" s="203">
        <f t="shared" si="144"/>
        <v>300358712</v>
      </c>
      <c r="N433" s="203">
        <f t="shared" si="144"/>
        <v>55717273</v>
      </c>
      <c r="O433" s="203">
        <f t="shared" si="144"/>
        <v>114305618</v>
      </c>
      <c r="P433" s="237">
        <f t="shared" si="129"/>
        <v>0.45506340024991354</v>
      </c>
    </row>
    <row r="434" spans="1:16" s="8" customFormat="1">
      <c r="A434" s="108"/>
      <c r="B434" s="150"/>
      <c r="C434" s="70" t="s">
        <v>907</v>
      </c>
      <c r="D434" s="33" t="s">
        <v>1936</v>
      </c>
      <c r="E434" s="34" t="s">
        <v>908</v>
      </c>
      <c r="F434" s="35">
        <v>37195000</v>
      </c>
      <c r="G434" s="210">
        <v>0</v>
      </c>
      <c r="H434" s="210">
        <v>22805000</v>
      </c>
      <c r="I434" s="210">
        <v>60000000</v>
      </c>
      <c r="J434" s="210">
        <v>0</v>
      </c>
      <c r="K434" s="210">
        <v>0</v>
      </c>
      <c r="L434" s="210">
        <v>0</v>
      </c>
      <c r="M434" s="210">
        <v>0</v>
      </c>
      <c r="N434" s="210">
        <v>0</v>
      </c>
      <c r="O434" s="210">
        <v>0</v>
      </c>
      <c r="P434" s="242">
        <f t="shared" si="129"/>
        <v>0</v>
      </c>
    </row>
    <row r="435" spans="1:16" s="8" customFormat="1">
      <c r="A435" s="108"/>
      <c r="B435" s="150"/>
      <c r="C435" s="70" t="s">
        <v>907</v>
      </c>
      <c r="D435" s="33" t="s">
        <v>1937</v>
      </c>
      <c r="E435" s="34" t="s">
        <v>909</v>
      </c>
      <c r="F435" s="35">
        <v>77817000</v>
      </c>
      <c r="G435" s="210">
        <v>0</v>
      </c>
      <c r="H435" s="210">
        <v>0</v>
      </c>
      <c r="I435" s="210">
        <v>77817000</v>
      </c>
      <c r="J435" s="210">
        <v>0</v>
      </c>
      <c r="K435" s="210">
        <v>0</v>
      </c>
      <c r="L435" s="210">
        <v>0</v>
      </c>
      <c r="M435" s="210">
        <v>0</v>
      </c>
      <c r="N435" s="210">
        <v>0</v>
      </c>
      <c r="O435" s="210">
        <v>0</v>
      </c>
      <c r="P435" s="242">
        <f t="shared" si="129"/>
        <v>0</v>
      </c>
    </row>
    <row r="436" spans="1:16" s="8" customFormat="1">
      <c r="A436" s="108"/>
      <c r="B436" s="150"/>
      <c r="C436" s="70" t="s">
        <v>907</v>
      </c>
      <c r="D436" s="33" t="s">
        <v>1938</v>
      </c>
      <c r="E436" s="34" t="s">
        <v>910</v>
      </c>
      <c r="F436" s="35">
        <v>39783000</v>
      </c>
      <c r="G436" s="210">
        <v>0</v>
      </c>
      <c r="H436" s="210">
        <v>0</v>
      </c>
      <c r="I436" s="210">
        <v>39783000</v>
      </c>
      <c r="J436" s="210">
        <v>0</v>
      </c>
      <c r="K436" s="210">
        <v>34599204</v>
      </c>
      <c r="L436" s="210">
        <v>0</v>
      </c>
      <c r="M436" s="210">
        <v>34599204</v>
      </c>
      <c r="N436" s="210">
        <v>0</v>
      </c>
      <c r="O436" s="210">
        <v>0</v>
      </c>
      <c r="P436" s="242">
        <f t="shared" si="129"/>
        <v>0.86969821280446424</v>
      </c>
    </row>
    <row r="437" spans="1:16" s="8" customFormat="1">
      <c r="A437" s="108"/>
      <c r="B437" s="150"/>
      <c r="C437" s="70" t="s">
        <v>907</v>
      </c>
      <c r="D437" s="33" t="s">
        <v>1939</v>
      </c>
      <c r="E437" s="34" t="s">
        <v>911</v>
      </c>
      <c r="F437" s="35">
        <v>19501000</v>
      </c>
      <c r="G437" s="210">
        <v>0</v>
      </c>
      <c r="H437" s="210">
        <v>0</v>
      </c>
      <c r="I437" s="210">
        <v>19501000</v>
      </c>
      <c r="J437" s="210">
        <v>-111860</v>
      </c>
      <c r="K437" s="210">
        <v>19389140</v>
      </c>
      <c r="L437" s="210">
        <v>19389140</v>
      </c>
      <c r="M437" s="210">
        <v>19389140</v>
      </c>
      <c r="N437" s="210">
        <v>0</v>
      </c>
      <c r="O437" s="210">
        <v>0</v>
      </c>
      <c r="P437" s="242">
        <f t="shared" si="129"/>
        <v>0.9942638839033896</v>
      </c>
    </row>
    <row r="438" spans="1:16" s="8" customFormat="1">
      <c r="A438" s="108"/>
      <c r="B438" s="150"/>
      <c r="C438" s="70" t="s">
        <v>907</v>
      </c>
      <c r="D438" s="33" t="s">
        <v>1940</v>
      </c>
      <c r="E438" s="34" t="s">
        <v>912</v>
      </c>
      <c r="F438" s="35">
        <v>14366000</v>
      </c>
      <c r="G438" s="210">
        <v>0</v>
      </c>
      <c r="H438" s="210">
        <v>0</v>
      </c>
      <c r="I438" s="210">
        <v>14366000</v>
      </c>
      <c r="J438" s="210">
        <v>0</v>
      </c>
      <c r="K438" s="210">
        <v>14366000</v>
      </c>
      <c r="L438" s="210">
        <v>0</v>
      </c>
      <c r="M438" s="210">
        <v>14366000</v>
      </c>
      <c r="N438" s="210">
        <v>0</v>
      </c>
      <c r="O438" s="210">
        <v>0</v>
      </c>
      <c r="P438" s="242">
        <f t="shared" si="129"/>
        <v>1</v>
      </c>
    </row>
    <row r="439" spans="1:16" s="8" customFormat="1">
      <c r="A439" s="108"/>
      <c r="B439" s="150"/>
      <c r="C439" s="70" t="s">
        <v>907</v>
      </c>
      <c r="D439" s="33" t="s">
        <v>1942</v>
      </c>
      <c r="E439" s="34" t="s">
        <v>913</v>
      </c>
      <c r="F439" s="35">
        <v>26724000</v>
      </c>
      <c r="G439" s="210">
        <v>0</v>
      </c>
      <c r="H439" s="210">
        <v>0</v>
      </c>
      <c r="I439" s="210">
        <v>26724000</v>
      </c>
      <c r="J439" s="210">
        <v>0</v>
      </c>
      <c r="K439" s="210">
        <v>26724000</v>
      </c>
      <c r="L439" s="210">
        <v>0</v>
      </c>
      <c r="M439" s="210">
        <v>0</v>
      </c>
      <c r="N439" s="210">
        <v>0</v>
      </c>
      <c r="O439" s="210">
        <v>0</v>
      </c>
      <c r="P439" s="242">
        <f t="shared" si="129"/>
        <v>0</v>
      </c>
    </row>
    <row r="440" spans="1:16" s="8" customFormat="1">
      <c r="A440" s="108"/>
      <c r="B440" s="150"/>
      <c r="C440" s="70" t="s">
        <v>907</v>
      </c>
      <c r="D440" s="33" t="s">
        <v>1913</v>
      </c>
      <c r="E440" s="34" t="s">
        <v>914</v>
      </c>
      <c r="F440" s="35">
        <v>7500000</v>
      </c>
      <c r="G440" s="210">
        <v>0</v>
      </c>
      <c r="H440" s="210">
        <v>3000000</v>
      </c>
      <c r="I440" s="210">
        <v>10500000</v>
      </c>
      <c r="J440" s="210">
        <v>0</v>
      </c>
      <c r="K440" s="210">
        <v>7075200</v>
      </c>
      <c r="L440" s="210">
        <v>0</v>
      </c>
      <c r="M440" s="210">
        <v>7075200</v>
      </c>
      <c r="N440" s="210">
        <v>0</v>
      </c>
      <c r="O440" s="210">
        <v>7075200</v>
      </c>
      <c r="P440" s="242">
        <f t="shared" si="129"/>
        <v>0.67382857142857144</v>
      </c>
    </row>
    <row r="441" spans="1:16" s="8" customFormat="1">
      <c r="A441" s="108"/>
      <c r="B441" s="150"/>
      <c r="C441" s="70" t="s">
        <v>907</v>
      </c>
      <c r="D441" s="33" t="s">
        <v>1943</v>
      </c>
      <c r="E441" s="34" t="s">
        <v>763</v>
      </c>
      <c r="F441" s="35">
        <v>56823000</v>
      </c>
      <c r="G441" s="210">
        <v>0</v>
      </c>
      <c r="H441" s="210">
        <v>0</v>
      </c>
      <c r="I441" s="210">
        <v>56823000</v>
      </c>
      <c r="J441" s="210">
        <v>-133000</v>
      </c>
      <c r="K441" s="210">
        <v>2000000</v>
      </c>
      <c r="L441" s="210">
        <v>0</v>
      </c>
      <c r="M441" s="210">
        <v>2000000</v>
      </c>
      <c r="N441" s="210">
        <v>0</v>
      </c>
      <c r="O441" s="210">
        <v>2000000</v>
      </c>
      <c r="P441" s="242">
        <f t="shared" si="129"/>
        <v>3.5197015293103144E-2</v>
      </c>
    </row>
    <row r="442" spans="1:16" s="8" customFormat="1">
      <c r="A442" s="108"/>
      <c r="B442" s="150"/>
      <c r="C442" s="70" t="s">
        <v>907</v>
      </c>
      <c r="D442" s="33" t="s">
        <v>1951</v>
      </c>
      <c r="E442" s="34" t="s">
        <v>915</v>
      </c>
      <c r="F442" s="35">
        <v>74130000</v>
      </c>
      <c r="G442" s="210">
        <v>0</v>
      </c>
      <c r="H442" s="210">
        <v>0</v>
      </c>
      <c r="I442" s="210">
        <v>74130000</v>
      </c>
      <c r="J442" s="210">
        <v>22808652</v>
      </c>
      <c r="K442" s="210">
        <v>27630197</v>
      </c>
      <c r="L442" s="210">
        <v>15778553</v>
      </c>
      <c r="M442" s="210">
        <v>20600098</v>
      </c>
      <c r="N442" s="210">
        <v>-182447</v>
      </c>
      <c r="O442" s="210">
        <v>4639098</v>
      </c>
      <c r="P442" s="242">
        <f t="shared" si="129"/>
        <v>0.27789151490624581</v>
      </c>
    </row>
    <row r="443" spans="1:16" s="8" customFormat="1">
      <c r="A443" s="108"/>
      <c r="B443" s="150"/>
      <c r="C443" s="70" t="s">
        <v>907</v>
      </c>
      <c r="D443" s="33" t="s">
        <v>1952</v>
      </c>
      <c r="E443" s="34" t="s">
        <v>916</v>
      </c>
      <c r="F443" s="35">
        <v>1146000</v>
      </c>
      <c r="G443" s="210">
        <v>0</v>
      </c>
      <c r="H443" s="210">
        <v>4224000</v>
      </c>
      <c r="I443" s="210">
        <v>5370000</v>
      </c>
      <c r="J443" s="210">
        <v>0</v>
      </c>
      <c r="K443" s="210">
        <v>5370000</v>
      </c>
      <c r="L443" s="210">
        <v>0</v>
      </c>
      <c r="M443" s="210">
        <v>5370000</v>
      </c>
      <c r="N443" s="210">
        <v>0</v>
      </c>
      <c r="O443" s="210">
        <v>5370000</v>
      </c>
      <c r="P443" s="242">
        <f t="shared" si="129"/>
        <v>1</v>
      </c>
    </row>
    <row r="444" spans="1:16" s="8" customFormat="1">
      <c r="A444" s="108"/>
      <c r="B444" s="150"/>
      <c r="C444" s="70" t="s">
        <v>907</v>
      </c>
      <c r="D444" s="33" t="s">
        <v>1953</v>
      </c>
      <c r="E444" s="34" t="s">
        <v>917</v>
      </c>
      <c r="F444" s="35">
        <v>66878000</v>
      </c>
      <c r="G444" s="210">
        <v>0</v>
      </c>
      <c r="H444" s="210">
        <v>69433067</v>
      </c>
      <c r="I444" s="210">
        <v>136311067</v>
      </c>
      <c r="J444" s="210">
        <v>0</v>
      </c>
      <c r="K444" s="210">
        <v>63787500</v>
      </c>
      <c r="L444" s="210">
        <v>0</v>
      </c>
      <c r="M444" s="210">
        <v>63787500</v>
      </c>
      <c r="N444" s="210">
        <v>55899720</v>
      </c>
      <c r="O444" s="210">
        <v>55899720</v>
      </c>
      <c r="P444" s="242">
        <f t="shared" si="129"/>
        <v>0.46795540086264603</v>
      </c>
    </row>
    <row r="445" spans="1:16" s="8" customFormat="1">
      <c r="A445" s="108"/>
      <c r="B445" s="150"/>
      <c r="C445" s="70" t="s">
        <v>907</v>
      </c>
      <c r="D445" s="33" t="s">
        <v>1954</v>
      </c>
      <c r="E445" s="34" t="s">
        <v>918</v>
      </c>
      <c r="F445" s="35">
        <v>30194000</v>
      </c>
      <c r="G445" s="210">
        <v>0</v>
      </c>
      <c r="H445" s="210">
        <v>103000000</v>
      </c>
      <c r="I445" s="210">
        <v>133194000</v>
      </c>
      <c r="J445" s="210">
        <v>0</v>
      </c>
      <c r="K445" s="210">
        <v>133171570</v>
      </c>
      <c r="L445" s="210">
        <v>0</v>
      </c>
      <c r="M445" s="210">
        <v>133171570</v>
      </c>
      <c r="N445" s="210">
        <v>0</v>
      </c>
      <c r="O445" s="210">
        <v>39321600</v>
      </c>
      <c r="P445" s="242">
        <f t="shared" si="129"/>
        <v>0.99983159902097696</v>
      </c>
    </row>
    <row r="446" spans="1:16" s="2" customFormat="1">
      <c r="A446" s="108"/>
      <c r="B446" s="150"/>
      <c r="C446" s="70" t="s">
        <v>907</v>
      </c>
      <c r="D446" s="33" t="s">
        <v>1955</v>
      </c>
      <c r="E446" s="34" t="s">
        <v>919</v>
      </c>
      <c r="F446" s="35">
        <v>5518000</v>
      </c>
      <c r="G446" s="210">
        <v>0</v>
      </c>
      <c r="H446" s="210">
        <v>0</v>
      </c>
      <c r="I446" s="210">
        <v>5518000</v>
      </c>
      <c r="J446" s="210">
        <v>0</v>
      </c>
      <c r="K446" s="210">
        <v>0</v>
      </c>
      <c r="L446" s="210">
        <v>0</v>
      </c>
      <c r="M446" s="210">
        <v>0</v>
      </c>
      <c r="N446" s="210">
        <v>0</v>
      </c>
      <c r="O446" s="210">
        <v>0</v>
      </c>
      <c r="P446" s="242">
        <f t="shared" si="129"/>
        <v>0</v>
      </c>
    </row>
    <row r="447" spans="1:16" s="7" customFormat="1">
      <c r="A447" s="134" t="s">
        <v>920</v>
      </c>
      <c r="B447" s="123" t="s">
        <v>1531</v>
      </c>
      <c r="C447" s="124" t="s">
        <v>921</v>
      </c>
      <c r="D447" s="67"/>
      <c r="E447" s="25" t="s">
        <v>922</v>
      </c>
      <c r="F447" s="68">
        <f>+F448</f>
        <v>4725153000</v>
      </c>
      <c r="G447" s="68">
        <f t="shared" ref="G447:O448" si="145">+G448</f>
        <v>0</v>
      </c>
      <c r="H447" s="68">
        <f t="shared" si="145"/>
        <v>0</v>
      </c>
      <c r="I447" s="68">
        <f t="shared" si="145"/>
        <v>4725153000</v>
      </c>
      <c r="J447" s="68">
        <f t="shared" si="145"/>
        <v>0</v>
      </c>
      <c r="K447" s="68">
        <f t="shared" si="145"/>
        <v>2362227600</v>
      </c>
      <c r="L447" s="68">
        <f t="shared" si="145"/>
        <v>0</v>
      </c>
      <c r="M447" s="68">
        <f t="shared" si="145"/>
        <v>2362227600</v>
      </c>
      <c r="N447" s="68">
        <f t="shared" si="145"/>
        <v>0</v>
      </c>
      <c r="O447" s="68">
        <f t="shared" si="145"/>
        <v>0</v>
      </c>
      <c r="P447" s="229">
        <f t="shared" si="129"/>
        <v>0.49992616112113197</v>
      </c>
    </row>
    <row r="448" spans="1:16" s="8" customFormat="1">
      <c r="A448" s="107"/>
      <c r="B448" s="149" t="s">
        <v>1815</v>
      </c>
      <c r="C448" s="18" t="s">
        <v>923</v>
      </c>
      <c r="D448" s="30"/>
      <c r="E448" s="17" t="s">
        <v>924</v>
      </c>
      <c r="F448" s="203">
        <f>+F449</f>
        <v>4725153000</v>
      </c>
      <c r="G448" s="203">
        <f t="shared" si="145"/>
        <v>0</v>
      </c>
      <c r="H448" s="203">
        <f t="shared" si="145"/>
        <v>0</v>
      </c>
      <c r="I448" s="203">
        <f t="shared" si="145"/>
        <v>4725153000</v>
      </c>
      <c r="J448" s="203">
        <f t="shared" si="145"/>
        <v>0</v>
      </c>
      <c r="K448" s="203">
        <f t="shared" si="145"/>
        <v>2362227600</v>
      </c>
      <c r="L448" s="203">
        <f t="shared" si="145"/>
        <v>0</v>
      </c>
      <c r="M448" s="203">
        <f t="shared" si="145"/>
        <v>2362227600</v>
      </c>
      <c r="N448" s="203">
        <f t="shared" si="145"/>
        <v>0</v>
      </c>
      <c r="O448" s="203">
        <f t="shared" si="145"/>
        <v>0</v>
      </c>
      <c r="P448" s="237">
        <f t="shared" si="129"/>
        <v>0.49992616112113197</v>
      </c>
    </row>
    <row r="449" spans="1:16" s="2" customFormat="1">
      <c r="A449" s="108"/>
      <c r="B449" s="150"/>
      <c r="C449" s="70" t="s">
        <v>923</v>
      </c>
      <c r="D449" s="33" t="s">
        <v>1943</v>
      </c>
      <c r="E449" s="34" t="s">
        <v>763</v>
      </c>
      <c r="F449" s="210">
        <v>4725153000</v>
      </c>
      <c r="G449" s="210">
        <v>0</v>
      </c>
      <c r="H449" s="210">
        <v>0</v>
      </c>
      <c r="I449" s="210">
        <v>4725153000</v>
      </c>
      <c r="J449" s="210">
        <v>0</v>
      </c>
      <c r="K449" s="210">
        <v>2362227600</v>
      </c>
      <c r="L449" s="210">
        <v>0</v>
      </c>
      <c r="M449" s="210">
        <v>2362227600</v>
      </c>
      <c r="N449" s="210">
        <v>0</v>
      </c>
      <c r="O449" s="210">
        <v>0</v>
      </c>
      <c r="P449" s="242">
        <f t="shared" si="129"/>
        <v>0.49992616112113197</v>
      </c>
    </row>
    <row r="450" spans="1:16" s="5" customFormat="1">
      <c r="A450" s="136" t="s">
        <v>925</v>
      </c>
      <c r="B450" s="125" t="s">
        <v>1816</v>
      </c>
      <c r="C450" s="126" t="s">
        <v>926</v>
      </c>
      <c r="D450" s="29"/>
      <c r="E450" s="19" t="s">
        <v>927</v>
      </c>
      <c r="F450" s="20">
        <f>F451+F452+F462</f>
        <v>4106648000</v>
      </c>
      <c r="G450" s="20">
        <f t="shared" ref="G450:O450" si="146">G451+G452+G462</f>
        <v>0</v>
      </c>
      <c r="H450" s="20">
        <f t="shared" si="146"/>
        <v>916867712</v>
      </c>
      <c r="I450" s="20">
        <f t="shared" si="146"/>
        <v>5023515712</v>
      </c>
      <c r="J450" s="20">
        <f t="shared" si="146"/>
        <v>60126060</v>
      </c>
      <c r="K450" s="20">
        <f t="shared" si="146"/>
        <v>4090359862</v>
      </c>
      <c r="L450" s="20">
        <f t="shared" si="146"/>
        <v>45603469</v>
      </c>
      <c r="M450" s="20">
        <f t="shared" si="146"/>
        <v>4017881568</v>
      </c>
      <c r="N450" s="20">
        <f t="shared" si="146"/>
        <v>35958463</v>
      </c>
      <c r="O450" s="20">
        <f t="shared" si="146"/>
        <v>1285946984</v>
      </c>
      <c r="P450" s="243">
        <f t="shared" si="129"/>
        <v>0.79981467130723294</v>
      </c>
    </row>
    <row r="451" spans="1:16" s="5" customFormat="1">
      <c r="A451" s="107" t="s">
        <v>928</v>
      </c>
      <c r="B451" s="149" t="s">
        <v>1531</v>
      </c>
      <c r="C451" s="18" t="s">
        <v>929</v>
      </c>
      <c r="D451" s="30"/>
      <c r="E451" s="219" t="s">
        <v>930</v>
      </c>
      <c r="F451" s="16">
        <v>0</v>
      </c>
      <c r="G451" s="203">
        <v>0</v>
      </c>
      <c r="H451" s="203">
        <v>0</v>
      </c>
      <c r="I451" s="203">
        <v>0</v>
      </c>
      <c r="J451" s="203">
        <v>0</v>
      </c>
      <c r="K451" s="203">
        <v>0</v>
      </c>
      <c r="L451" s="203">
        <v>0</v>
      </c>
      <c r="M451" s="203">
        <v>0</v>
      </c>
      <c r="N451" s="203">
        <v>0</v>
      </c>
      <c r="O451" s="203">
        <v>0</v>
      </c>
      <c r="P451" s="237">
        <f t="shared" si="129"/>
        <v>0</v>
      </c>
    </row>
    <row r="452" spans="1:16" s="8" customFormat="1">
      <c r="A452" s="107" t="s">
        <v>931</v>
      </c>
      <c r="B452" s="149" t="s">
        <v>1817</v>
      </c>
      <c r="C452" s="18" t="s">
        <v>932</v>
      </c>
      <c r="D452" s="30"/>
      <c r="E452" s="17" t="s">
        <v>933</v>
      </c>
      <c r="F452" s="16">
        <f>SUM(F453:F461)</f>
        <v>3032038000</v>
      </c>
      <c r="G452" s="16">
        <f t="shared" ref="G452:O452" si="147">SUM(G453:G461)</f>
        <v>0</v>
      </c>
      <c r="H452" s="16">
        <f t="shared" si="147"/>
        <v>1052889712</v>
      </c>
      <c r="I452" s="16">
        <f t="shared" si="147"/>
        <v>4084927712</v>
      </c>
      <c r="J452" s="16">
        <f t="shared" si="147"/>
        <v>0</v>
      </c>
      <c r="K452" s="16">
        <f t="shared" si="147"/>
        <v>3757627061</v>
      </c>
      <c r="L452" s="16">
        <f t="shared" si="147"/>
        <v>31342991</v>
      </c>
      <c r="M452" s="16">
        <f t="shared" si="147"/>
        <v>3739752959</v>
      </c>
      <c r="N452" s="16">
        <f t="shared" si="147"/>
        <v>25599745</v>
      </c>
      <c r="O452" s="16">
        <f t="shared" si="147"/>
        <v>1015770135</v>
      </c>
      <c r="P452" s="237">
        <f t="shared" si="129"/>
        <v>0.9155004011488368</v>
      </c>
    </row>
    <row r="453" spans="1:16" s="8" customFormat="1">
      <c r="A453" s="108"/>
      <c r="B453" s="150"/>
      <c r="C453" s="70" t="s">
        <v>932</v>
      </c>
      <c r="D453" s="33" t="s">
        <v>1936</v>
      </c>
      <c r="E453" s="34" t="s">
        <v>908</v>
      </c>
      <c r="F453" s="35">
        <v>550624000</v>
      </c>
      <c r="G453" s="210">
        <v>0</v>
      </c>
      <c r="H453" s="210">
        <v>266217877</v>
      </c>
      <c r="I453" s="210">
        <v>816841877</v>
      </c>
      <c r="J453" s="210">
        <v>0</v>
      </c>
      <c r="K453" s="210">
        <v>816841877</v>
      </c>
      <c r="L453" s="210">
        <v>0</v>
      </c>
      <c r="M453" s="210">
        <v>816765985</v>
      </c>
      <c r="N453" s="210">
        <v>0</v>
      </c>
      <c r="O453" s="210">
        <v>133559531</v>
      </c>
      <c r="P453" s="242">
        <f t="shared" si="129"/>
        <v>0.99990709095341834</v>
      </c>
    </row>
    <row r="454" spans="1:16" s="8" customFormat="1">
      <c r="A454" s="108"/>
      <c r="B454" s="150"/>
      <c r="C454" s="70" t="s">
        <v>932</v>
      </c>
      <c r="D454" s="33" t="s">
        <v>1937</v>
      </c>
      <c r="E454" s="34" t="s">
        <v>909</v>
      </c>
      <c r="F454" s="35">
        <v>476371000</v>
      </c>
      <c r="G454" s="210">
        <v>0</v>
      </c>
      <c r="H454" s="210">
        <v>294935631</v>
      </c>
      <c r="I454" s="210">
        <v>771306631</v>
      </c>
      <c r="J454" s="210">
        <v>0</v>
      </c>
      <c r="K454" s="210">
        <v>755453455</v>
      </c>
      <c r="L454" s="210">
        <v>0</v>
      </c>
      <c r="M454" s="210">
        <v>755301304</v>
      </c>
      <c r="N454" s="210">
        <v>0</v>
      </c>
      <c r="O454" s="210">
        <v>179237859</v>
      </c>
      <c r="P454" s="242">
        <f t="shared" si="129"/>
        <v>0.97924907377076598</v>
      </c>
    </row>
    <row r="455" spans="1:16" s="8" customFormat="1">
      <c r="A455" s="108"/>
      <c r="B455" s="150"/>
      <c r="C455" s="70" t="s">
        <v>932</v>
      </c>
      <c r="D455" s="33" t="s">
        <v>1938</v>
      </c>
      <c r="E455" s="34" t="s">
        <v>910</v>
      </c>
      <c r="F455" s="35">
        <v>1063195000</v>
      </c>
      <c r="G455" s="210">
        <v>0</v>
      </c>
      <c r="H455" s="210">
        <v>300441145</v>
      </c>
      <c r="I455" s="210">
        <v>1363636145</v>
      </c>
      <c r="J455" s="210">
        <v>0</v>
      </c>
      <c r="K455" s="210">
        <v>1321685182</v>
      </c>
      <c r="L455" s="210">
        <v>0</v>
      </c>
      <c r="M455" s="210">
        <v>1305640183</v>
      </c>
      <c r="N455" s="210">
        <v>0</v>
      </c>
      <c r="O455" s="210">
        <v>353921756</v>
      </c>
      <c r="P455" s="242">
        <f t="shared" si="129"/>
        <v>0.95746962104762923</v>
      </c>
    </row>
    <row r="456" spans="1:16" s="8" customFormat="1">
      <c r="A456" s="108"/>
      <c r="B456" s="150"/>
      <c r="C456" s="70" t="s">
        <v>932</v>
      </c>
      <c r="D456" s="33" t="s">
        <v>1939</v>
      </c>
      <c r="E456" s="34" t="s">
        <v>911</v>
      </c>
      <c r="F456" s="35">
        <v>160000000</v>
      </c>
      <c r="G456" s="210">
        <v>0</v>
      </c>
      <c r="H456" s="210">
        <v>409374</v>
      </c>
      <c r="I456" s="210">
        <v>160409374</v>
      </c>
      <c r="J456" s="210">
        <v>0</v>
      </c>
      <c r="K456" s="210">
        <v>159433236</v>
      </c>
      <c r="L456" s="210">
        <v>0</v>
      </c>
      <c r="M456" s="210">
        <v>159415605</v>
      </c>
      <c r="N456" s="210">
        <v>0</v>
      </c>
      <c r="O456" s="210">
        <v>112821695</v>
      </c>
      <c r="P456" s="242">
        <f t="shared" si="129"/>
        <v>0.99380479472477712</v>
      </c>
    </row>
    <row r="457" spans="1:16" s="8" customFormat="1">
      <c r="A457" s="108"/>
      <c r="B457" s="150"/>
      <c r="C457" s="70" t="s">
        <v>932</v>
      </c>
      <c r="D457" s="33" t="s">
        <v>1940</v>
      </c>
      <c r="E457" s="34" t="s">
        <v>912</v>
      </c>
      <c r="F457" s="35">
        <v>115000000</v>
      </c>
      <c r="G457" s="210">
        <v>0</v>
      </c>
      <c r="H457" s="210">
        <v>219266</v>
      </c>
      <c r="I457" s="210">
        <v>115219266</v>
      </c>
      <c r="J457" s="210">
        <v>0</v>
      </c>
      <c r="K457" s="210">
        <v>114430105</v>
      </c>
      <c r="L457" s="210">
        <v>0</v>
      </c>
      <c r="M457" s="210">
        <v>114416905</v>
      </c>
      <c r="N457" s="210">
        <v>0</v>
      </c>
      <c r="O457" s="210">
        <v>6647953</v>
      </c>
      <c r="P457" s="242">
        <f t="shared" si="129"/>
        <v>0.99303622538265435</v>
      </c>
    </row>
    <row r="458" spans="1:16" s="8" customFormat="1">
      <c r="A458" s="108"/>
      <c r="B458" s="150"/>
      <c r="C458" s="70" t="s">
        <v>932</v>
      </c>
      <c r="D458" s="33" t="s">
        <v>1942</v>
      </c>
      <c r="E458" s="34" t="s">
        <v>913</v>
      </c>
      <c r="F458" s="35">
        <v>358046000</v>
      </c>
      <c r="G458" s="210">
        <v>0</v>
      </c>
      <c r="H458" s="210">
        <v>45169280</v>
      </c>
      <c r="I458" s="210">
        <v>403215280</v>
      </c>
      <c r="J458" s="210">
        <v>0</v>
      </c>
      <c r="K458" s="210">
        <v>394865311</v>
      </c>
      <c r="L458" s="210">
        <v>0</v>
      </c>
      <c r="M458" s="210">
        <v>393307985</v>
      </c>
      <c r="N458" s="210">
        <v>0</v>
      </c>
      <c r="O458" s="210">
        <v>142818995</v>
      </c>
      <c r="P458" s="242">
        <f t="shared" si="129"/>
        <v>0.97542926696627175</v>
      </c>
    </row>
    <row r="459" spans="1:16" s="8" customFormat="1">
      <c r="A459" s="108"/>
      <c r="B459" s="150"/>
      <c r="C459" s="70" t="s">
        <v>932</v>
      </c>
      <c r="D459" s="33" t="s">
        <v>1913</v>
      </c>
      <c r="E459" s="34" t="s">
        <v>914</v>
      </c>
      <c r="F459" s="35">
        <v>78004000</v>
      </c>
      <c r="G459" s="210">
        <v>0</v>
      </c>
      <c r="H459" s="210">
        <v>0</v>
      </c>
      <c r="I459" s="210">
        <v>78004000</v>
      </c>
      <c r="J459" s="210">
        <v>0</v>
      </c>
      <c r="K459" s="210">
        <v>0</v>
      </c>
      <c r="L459" s="210">
        <v>0</v>
      </c>
      <c r="M459" s="210">
        <v>0</v>
      </c>
      <c r="N459" s="210">
        <v>0</v>
      </c>
      <c r="O459" s="210">
        <v>0</v>
      </c>
      <c r="P459" s="242">
        <f t="shared" si="129"/>
        <v>0</v>
      </c>
    </row>
    <row r="460" spans="1:16" s="8" customFormat="1">
      <c r="A460" s="108"/>
      <c r="B460" s="150"/>
      <c r="C460" s="70" t="s">
        <v>932</v>
      </c>
      <c r="D460" s="33" t="s">
        <v>1943</v>
      </c>
      <c r="E460" s="34" t="s">
        <v>763</v>
      </c>
      <c r="F460" s="35">
        <v>31355999.999999996</v>
      </c>
      <c r="G460" s="210">
        <v>0</v>
      </c>
      <c r="H460" s="210">
        <v>163023</v>
      </c>
      <c r="I460" s="210">
        <v>31519022.999999996</v>
      </c>
      <c r="J460" s="210">
        <v>0</v>
      </c>
      <c r="K460" s="210">
        <v>31518917</v>
      </c>
      <c r="L460" s="210">
        <v>31342991</v>
      </c>
      <c r="M460" s="210">
        <v>31506014</v>
      </c>
      <c r="N460" s="210">
        <v>0</v>
      </c>
      <c r="O460" s="210">
        <v>163023</v>
      </c>
      <c r="P460" s="242">
        <f t="shared" si="129"/>
        <v>0.99958726512557206</v>
      </c>
    </row>
    <row r="461" spans="1:16" s="5" customFormat="1">
      <c r="A461" s="108"/>
      <c r="B461" s="150"/>
      <c r="C461" s="70" t="s">
        <v>932</v>
      </c>
      <c r="D461" s="33" t="s">
        <v>1955</v>
      </c>
      <c r="E461" s="34" t="s">
        <v>919</v>
      </c>
      <c r="F461" s="35">
        <v>199442000</v>
      </c>
      <c r="G461" s="210">
        <v>0</v>
      </c>
      <c r="H461" s="210">
        <v>145334116</v>
      </c>
      <c r="I461" s="210">
        <v>344776116</v>
      </c>
      <c r="J461" s="210">
        <v>0</v>
      </c>
      <c r="K461" s="210">
        <v>163398978</v>
      </c>
      <c r="L461" s="210">
        <v>0</v>
      </c>
      <c r="M461" s="210">
        <v>163398978</v>
      </c>
      <c r="N461" s="210">
        <v>25599745</v>
      </c>
      <c r="O461" s="210">
        <v>86599323</v>
      </c>
      <c r="P461" s="242">
        <f t="shared" si="129"/>
        <v>0.47392777636604039</v>
      </c>
    </row>
    <row r="462" spans="1:16" s="8" customFormat="1">
      <c r="A462" s="107" t="s">
        <v>934</v>
      </c>
      <c r="B462" s="149" t="s">
        <v>1818</v>
      </c>
      <c r="C462" s="18" t="s">
        <v>935</v>
      </c>
      <c r="D462" s="30"/>
      <c r="E462" s="17" t="s">
        <v>936</v>
      </c>
      <c r="F462" s="16">
        <f>SUM(F463:F477)</f>
        <v>1074610000</v>
      </c>
      <c r="G462" s="16">
        <f t="shared" ref="G462:O462" si="148">SUM(G463:G477)</f>
        <v>0</v>
      </c>
      <c r="H462" s="16">
        <f t="shared" si="148"/>
        <v>-136022000</v>
      </c>
      <c r="I462" s="16">
        <f t="shared" si="148"/>
        <v>938588000</v>
      </c>
      <c r="J462" s="16">
        <f t="shared" si="148"/>
        <v>60126060</v>
      </c>
      <c r="K462" s="16">
        <f>SUM(K463:K477)</f>
        <v>332732801</v>
      </c>
      <c r="L462" s="16">
        <f t="shared" si="148"/>
        <v>14260478</v>
      </c>
      <c r="M462" s="16">
        <f t="shared" si="148"/>
        <v>278128609</v>
      </c>
      <c r="N462" s="16">
        <f t="shared" si="148"/>
        <v>10358718</v>
      </c>
      <c r="O462" s="16">
        <f t="shared" si="148"/>
        <v>270176849</v>
      </c>
      <c r="P462" s="237">
        <f t="shared" si="129"/>
        <v>0.2963266193473601</v>
      </c>
    </row>
    <row r="463" spans="1:16" s="8" customFormat="1">
      <c r="A463" s="108"/>
      <c r="B463" s="150"/>
      <c r="C463" s="70" t="s">
        <v>935</v>
      </c>
      <c r="D463" s="33" t="s">
        <v>1936</v>
      </c>
      <c r="E463" s="34" t="s">
        <v>908</v>
      </c>
      <c r="F463" s="35">
        <v>165763000</v>
      </c>
      <c r="G463" s="210">
        <v>0</v>
      </c>
      <c r="H463" s="210">
        <v>-20000000</v>
      </c>
      <c r="I463" s="210">
        <v>145763000</v>
      </c>
      <c r="J463" s="210">
        <v>9557309</v>
      </c>
      <c r="K463" s="210">
        <v>83094241</v>
      </c>
      <c r="L463" s="210">
        <v>3427579</v>
      </c>
      <c r="M463" s="210">
        <v>76964511</v>
      </c>
      <c r="N463" s="210">
        <v>4163159</v>
      </c>
      <c r="O463" s="210">
        <v>73650091</v>
      </c>
      <c r="P463" s="242">
        <f t="shared" ref="P463:P527" si="149">IFERROR((M463/I463),0)</f>
        <v>0.52801129916371092</v>
      </c>
    </row>
    <row r="464" spans="1:16" s="8" customFormat="1">
      <c r="A464" s="108"/>
      <c r="B464" s="150"/>
      <c r="C464" s="70" t="s">
        <v>935</v>
      </c>
      <c r="D464" s="33" t="s">
        <v>1937</v>
      </c>
      <c r="E464" s="34" t="s">
        <v>909</v>
      </c>
      <c r="F464" s="35">
        <v>165578000</v>
      </c>
      <c r="G464" s="210">
        <v>0</v>
      </c>
      <c r="H464" s="210">
        <v>0</v>
      </c>
      <c r="I464" s="210">
        <v>165578000</v>
      </c>
      <c r="J464" s="210">
        <v>4473390</v>
      </c>
      <c r="K464" s="210">
        <v>58507371</v>
      </c>
      <c r="L464" s="210">
        <v>912238</v>
      </c>
      <c r="M464" s="210">
        <v>48160589</v>
      </c>
      <c r="N464" s="210">
        <v>912238</v>
      </c>
      <c r="O464" s="210">
        <v>48160589</v>
      </c>
      <c r="P464" s="242">
        <f t="shared" si="149"/>
        <v>0.29086345408206404</v>
      </c>
    </row>
    <row r="465" spans="1:16" s="8" customFormat="1">
      <c r="A465" s="108"/>
      <c r="B465" s="150"/>
      <c r="C465" s="70" t="s">
        <v>935</v>
      </c>
      <c r="D465" s="33" t="s">
        <v>1938</v>
      </c>
      <c r="E465" s="34" t="s">
        <v>910</v>
      </c>
      <c r="F465" s="35">
        <v>64562000</v>
      </c>
      <c r="G465" s="210">
        <v>0</v>
      </c>
      <c r="H465" s="210">
        <v>-2700000</v>
      </c>
      <c r="I465" s="210">
        <v>61862000</v>
      </c>
      <c r="J465" s="210">
        <v>15051550</v>
      </c>
      <c r="K465" s="210">
        <v>33612981</v>
      </c>
      <c r="L465" s="210">
        <v>9051550</v>
      </c>
      <c r="M465" s="210">
        <v>27612981</v>
      </c>
      <c r="N465" s="210">
        <v>4414210</v>
      </c>
      <c r="O465" s="210">
        <v>22975641</v>
      </c>
      <c r="P465" s="242">
        <f t="shared" si="149"/>
        <v>0.44636418156541979</v>
      </c>
    </row>
    <row r="466" spans="1:16" s="8" customFormat="1">
      <c r="A466" s="108"/>
      <c r="B466" s="150"/>
      <c r="C466" s="70" t="s">
        <v>935</v>
      </c>
      <c r="D466" s="33" t="s">
        <v>1939</v>
      </c>
      <c r="E466" s="34" t="s">
        <v>911</v>
      </c>
      <c r="F466" s="35">
        <v>44031000</v>
      </c>
      <c r="G466" s="210">
        <v>0</v>
      </c>
      <c r="H466" s="210">
        <v>-8494000</v>
      </c>
      <c r="I466" s="210">
        <v>35537000</v>
      </c>
      <c r="J466" s="210">
        <v>10776000</v>
      </c>
      <c r="K466" s="210">
        <v>18378920</v>
      </c>
      <c r="L466" s="210">
        <v>0</v>
      </c>
      <c r="M466" s="210">
        <v>7602920</v>
      </c>
      <c r="N466" s="210">
        <v>0</v>
      </c>
      <c r="O466" s="210">
        <v>7602920</v>
      </c>
      <c r="P466" s="242">
        <f t="shared" si="149"/>
        <v>0.21394377690857416</v>
      </c>
    </row>
    <row r="467" spans="1:16" s="8" customFormat="1">
      <c r="A467" s="108"/>
      <c r="B467" s="150"/>
      <c r="C467" s="70" t="s">
        <v>935</v>
      </c>
      <c r="D467" s="33" t="s">
        <v>1940</v>
      </c>
      <c r="E467" s="34" t="s">
        <v>912</v>
      </c>
      <c r="F467" s="35">
        <v>39717000</v>
      </c>
      <c r="G467" s="210">
        <v>0</v>
      </c>
      <c r="H467" s="210">
        <v>0</v>
      </c>
      <c r="I467" s="210">
        <v>39717000</v>
      </c>
      <c r="J467" s="210">
        <v>0</v>
      </c>
      <c r="K467" s="210">
        <v>2746397</v>
      </c>
      <c r="L467" s="210">
        <v>0</v>
      </c>
      <c r="M467" s="210">
        <v>2746397</v>
      </c>
      <c r="N467" s="210">
        <v>0</v>
      </c>
      <c r="O467" s="210">
        <v>2746397</v>
      </c>
      <c r="P467" s="242">
        <f t="shared" si="149"/>
        <v>6.9149155273560442E-2</v>
      </c>
    </row>
    <row r="468" spans="1:16" s="8" customFormat="1">
      <c r="A468" s="108"/>
      <c r="B468" s="150"/>
      <c r="C468" s="70" t="s">
        <v>935</v>
      </c>
      <c r="D468" s="33" t="s">
        <v>1942</v>
      </c>
      <c r="E468" s="34" t="s">
        <v>913</v>
      </c>
      <c r="F468" s="35">
        <v>48279000</v>
      </c>
      <c r="G468" s="210">
        <v>0</v>
      </c>
      <c r="H468" s="210">
        <v>0</v>
      </c>
      <c r="I468" s="210">
        <v>48279000</v>
      </c>
      <c r="J468" s="210">
        <v>0</v>
      </c>
      <c r="K468" s="210">
        <v>7639620</v>
      </c>
      <c r="L468" s="210">
        <v>0</v>
      </c>
      <c r="M468" s="210">
        <v>7639620</v>
      </c>
      <c r="N468" s="210">
        <v>0</v>
      </c>
      <c r="O468" s="210">
        <v>7639620</v>
      </c>
      <c r="P468" s="242">
        <f t="shared" si="149"/>
        <v>0.15823898589448829</v>
      </c>
    </row>
    <row r="469" spans="1:16" s="8" customFormat="1">
      <c r="A469" s="108"/>
      <c r="B469" s="150"/>
      <c r="C469" s="70" t="s">
        <v>935</v>
      </c>
      <c r="D469" s="33" t="s">
        <v>1913</v>
      </c>
      <c r="E469" s="34" t="s">
        <v>914</v>
      </c>
      <c r="F469" s="35">
        <v>4420000</v>
      </c>
      <c r="G469" s="210">
        <v>0</v>
      </c>
      <c r="H469" s="210">
        <v>0</v>
      </c>
      <c r="I469" s="210">
        <v>4420000</v>
      </c>
      <c r="J469" s="210">
        <v>0</v>
      </c>
      <c r="K469" s="210">
        <v>0</v>
      </c>
      <c r="L469" s="210">
        <v>0</v>
      </c>
      <c r="M469" s="210">
        <v>0</v>
      </c>
      <c r="N469" s="210">
        <v>0</v>
      </c>
      <c r="O469" s="210">
        <v>0</v>
      </c>
      <c r="P469" s="242">
        <f t="shared" si="149"/>
        <v>0</v>
      </c>
    </row>
    <row r="470" spans="1:16" s="8" customFormat="1">
      <c r="A470" s="108"/>
      <c r="B470" s="150"/>
      <c r="C470" s="70" t="s">
        <v>935</v>
      </c>
      <c r="D470" s="33" t="s">
        <v>1943</v>
      </c>
      <c r="E470" s="34" t="s">
        <v>763</v>
      </c>
      <c r="F470" s="35">
        <v>144837000</v>
      </c>
      <c r="G470" s="210">
        <v>0</v>
      </c>
      <c r="H470" s="210">
        <v>0</v>
      </c>
      <c r="I470" s="210">
        <v>144837000</v>
      </c>
      <c r="J470" s="210">
        <v>380000</v>
      </c>
      <c r="K470" s="210">
        <v>15280000</v>
      </c>
      <c r="L470" s="210">
        <v>0</v>
      </c>
      <c r="M470" s="210">
        <v>13700000</v>
      </c>
      <c r="N470" s="210">
        <v>0</v>
      </c>
      <c r="O470" s="210">
        <v>13700000</v>
      </c>
      <c r="P470" s="242">
        <f t="shared" si="149"/>
        <v>9.4589089804400811E-2</v>
      </c>
    </row>
    <row r="471" spans="1:16" s="8" customFormat="1">
      <c r="A471" s="108"/>
      <c r="B471" s="150"/>
      <c r="C471" s="70" t="s">
        <v>935</v>
      </c>
      <c r="D471" s="33" t="s">
        <v>1951</v>
      </c>
      <c r="E471" s="34" t="s">
        <v>915</v>
      </c>
      <c r="F471" s="35">
        <v>212287000</v>
      </c>
      <c r="G471" s="210">
        <v>0</v>
      </c>
      <c r="H471" s="210">
        <v>-100000000</v>
      </c>
      <c r="I471" s="210">
        <v>112287000</v>
      </c>
      <c r="J471" s="210">
        <v>20513640</v>
      </c>
      <c r="K471" s="210">
        <v>83496480</v>
      </c>
      <c r="L471" s="210">
        <v>1494940</v>
      </c>
      <c r="M471" s="210">
        <v>64477780</v>
      </c>
      <c r="N471" s="210">
        <v>1494940</v>
      </c>
      <c r="O471" s="210">
        <v>64477780</v>
      </c>
      <c r="P471" s="242">
        <f t="shared" si="149"/>
        <v>0.5742230178025951</v>
      </c>
    </row>
    <row r="472" spans="1:16" s="8" customFormat="1">
      <c r="A472" s="108"/>
      <c r="B472" s="150"/>
      <c r="C472" s="70" t="s">
        <v>935</v>
      </c>
      <c r="D472" s="33" t="s">
        <v>1952</v>
      </c>
      <c r="E472" s="34" t="s">
        <v>916</v>
      </c>
      <c r="F472" s="35">
        <v>11467000</v>
      </c>
      <c r="G472" s="210">
        <v>0</v>
      </c>
      <c r="H472" s="210">
        <v>0</v>
      </c>
      <c r="I472" s="210">
        <v>11467000</v>
      </c>
      <c r="J472" s="210">
        <v>0</v>
      </c>
      <c r="K472" s="210">
        <v>851700</v>
      </c>
      <c r="L472" s="210">
        <v>0</v>
      </c>
      <c r="M472" s="210">
        <v>851700</v>
      </c>
      <c r="N472" s="210">
        <v>0</v>
      </c>
      <c r="O472" s="210">
        <v>851700</v>
      </c>
      <c r="P472" s="242">
        <f t="shared" si="149"/>
        <v>7.4274003662684218E-2</v>
      </c>
    </row>
    <row r="473" spans="1:16" s="8" customFormat="1">
      <c r="A473" s="108"/>
      <c r="B473" s="150"/>
      <c r="C473" s="70" t="s">
        <v>935</v>
      </c>
      <c r="D473" s="33" t="s">
        <v>1956</v>
      </c>
      <c r="E473" s="34" t="s">
        <v>1463</v>
      </c>
      <c r="F473" s="35">
        <v>4828000</v>
      </c>
      <c r="G473" s="210">
        <v>0</v>
      </c>
      <c r="H473" s="210">
        <v>-4828000</v>
      </c>
      <c r="I473" s="210">
        <v>0</v>
      </c>
      <c r="J473" s="210">
        <v>0</v>
      </c>
      <c r="K473" s="210">
        <v>0</v>
      </c>
      <c r="L473" s="210">
        <v>0</v>
      </c>
      <c r="M473" s="210">
        <v>0</v>
      </c>
      <c r="N473" s="210">
        <v>0</v>
      </c>
      <c r="O473" s="210">
        <v>0</v>
      </c>
      <c r="P473" s="242">
        <f t="shared" si="149"/>
        <v>0</v>
      </c>
    </row>
    <row r="474" spans="1:16" s="8" customFormat="1">
      <c r="A474" s="108"/>
      <c r="B474" s="150"/>
      <c r="C474" s="70" t="s">
        <v>935</v>
      </c>
      <c r="D474" s="33" t="s">
        <v>1954</v>
      </c>
      <c r="E474" s="34" t="s">
        <v>918</v>
      </c>
      <c r="F474" s="35">
        <v>44943000</v>
      </c>
      <c r="G474" s="210">
        <v>0</v>
      </c>
      <c r="H474" s="210">
        <v>-2000000</v>
      </c>
      <c r="I474" s="210">
        <v>42943000</v>
      </c>
      <c r="J474" s="210">
        <v>0</v>
      </c>
      <c r="K474" s="210">
        <v>0</v>
      </c>
      <c r="L474" s="210">
        <v>0</v>
      </c>
      <c r="M474" s="210">
        <v>0</v>
      </c>
      <c r="N474" s="210">
        <v>0</v>
      </c>
      <c r="O474" s="210">
        <v>0</v>
      </c>
      <c r="P474" s="242">
        <f t="shared" si="149"/>
        <v>0</v>
      </c>
    </row>
    <row r="475" spans="1:16" s="8" customFormat="1">
      <c r="A475" s="108"/>
      <c r="B475" s="150"/>
      <c r="C475" s="70" t="s">
        <v>935</v>
      </c>
      <c r="D475" s="33" t="s">
        <v>1957</v>
      </c>
      <c r="E475" s="34" t="s">
        <v>937</v>
      </c>
      <c r="F475" s="35">
        <v>100000000</v>
      </c>
      <c r="G475" s="210">
        <v>0</v>
      </c>
      <c r="H475" s="210">
        <v>0</v>
      </c>
      <c r="I475" s="210">
        <v>100000000</v>
      </c>
      <c r="J475" s="210">
        <v>-625829</v>
      </c>
      <c r="K475" s="210">
        <v>9198971</v>
      </c>
      <c r="L475" s="210">
        <v>-625829</v>
      </c>
      <c r="M475" s="210">
        <v>8445991</v>
      </c>
      <c r="N475" s="210">
        <v>-625829</v>
      </c>
      <c r="O475" s="210">
        <v>8445991</v>
      </c>
      <c r="P475" s="242">
        <f t="shared" si="149"/>
        <v>8.4459909999999999E-2</v>
      </c>
    </row>
    <row r="476" spans="1:16" s="2" customFormat="1">
      <c r="A476" s="108"/>
      <c r="B476" s="150"/>
      <c r="C476" s="70" t="s">
        <v>935</v>
      </c>
      <c r="D476" s="33" t="s">
        <v>1955</v>
      </c>
      <c r="E476" s="34" t="s">
        <v>919</v>
      </c>
      <c r="F476" s="35">
        <v>23898000</v>
      </c>
      <c r="G476" s="210">
        <v>0</v>
      </c>
      <c r="H476" s="210">
        <v>-1200000</v>
      </c>
      <c r="I476" s="210">
        <v>22698000</v>
      </c>
      <c r="J476" s="210">
        <v>0</v>
      </c>
      <c r="K476" s="210">
        <v>17830430</v>
      </c>
      <c r="L476" s="210">
        <v>0</v>
      </c>
      <c r="M476" s="210">
        <v>17830430</v>
      </c>
      <c r="N476" s="210">
        <v>0</v>
      </c>
      <c r="O476" s="210">
        <v>17830430</v>
      </c>
      <c r="P476" s="242">
        <f t="shared" si="149"/>
        <v>0.78555070931359594</v>
      </c>
    </row>
    <row r="477" spans="1:16" s="2" customFormat="1">
      <c r="A477" s="108"/>
      <c r="B477" s="150"/>
      <c r="C477" s="70"/>
      <c r="D477" s="33" t="s">
        <v>1953</v>
      </c>
      <c r="E477" s="34" t="s">
        <v>917</v>
      </c>
      <c r="F477" s="35">
        <v>0</v>
      </c>
      <c r="G477" s="210">
        <v>0</v>
      </c>
      <c r="H477" s="210">
        <v>3200000</v>
      </c>
      <c r="I477" s="210">
        <v>3200000</v>
      </c>
      <c r="J477" s="210">
        <v>0</v>
      </c>
      <c r="K477" s="210">
        <v>2095690</v>
      </c>
      <c r="L477" s="210">
        <v>0</v>
      </c>
      <c r="M477" s="210">
        <v>2095690</v>
      </c>
      <c r="N477" s="210">
        <v>0</v>
      </c>
      <c r="O477" s="210">
        <v>2095690</v>
      </c>
      <c r="P477" s="242">
        <f t="shared" si="149"/>
        <v>0.65490312500000003</v>
      </c>
    </row>
    <row r="478" spans="1:16" s="9" customFormat="1">
      <c r="A478" s="136" t="s">
        <v>938</v>
      </c>
      <c r="B478" s="125" t="s">
        <v>1819</v>
      </c>
      <c r="C478" s="126" t="s">
        <v>939</v>
      </c>
      <c r="D478" s="29"/>
      <c r="E478" s="19" t="s">
        <v>940</v>
      </c>
      <c r="F478" s="20">
        <f>+F479</f>
        <v>0</v>
      </c>
      <c r="G478" s="20">
        <f t="shared" ref="G478:O478" si="150">+G479</f>
        <v>0</v>
      </c>
      <c r="H478" s="20">
        <f t="shared" si="150"/>
        <v>0</v>
      </c>
      <c r="I478" s="20">
        <f t="shared" si="150"/>
        <v>0</v>
      </c>
      <c r="J478" s="20">
        <f t="shared" si="150"/>
        <v>0</v>
      </c>
      <c r="K478" s="20">
        <f t="shared" si="150"/>
        <v>0</v>
      </c>
      <c r="L478" s="20">
        <f t="shared" si="150"/>
        <v>0</v>
      </c>
      <c r="M478" s="20">
        <f t="shared" si="150"/>
        <v>0</v>
      </c>
      <c r="N478" s="20">
        <f t="shared" si="150"/>
        <v>0</v>
      </c>
      <c r="O478" s="20">
        <f t="shared" si="150"/>
        <v>0</v>
      </c>
      <c r="P478" s="243">
        <f t="shared" si="149"/>
        <v>0</v>
      </c>
    </row>
    <row r="479" spans="1:16" s="2" customFormat="1">
      <c r="A479" s="107" t="s">
        <v>941</v>
      </c>
      <c r="B479" s="149" t="s">
        <v>1820</v>
      </c>
      <c r="C479" s="18" t="s">
        <v>942</v>
      </c>
      <c r="D479" s="30"/>
      <c r="E479" s="17" t="s">
        <v>943</v>
      </c>
      <c r="F479" s="16">
        <v>0</v>
      </c>
      <c r="G479" s="203">
        <v>0</v>
      </c>
      <c r="H479" s="203">
        <v>0</v>
      </c>
      <c r="I479" s="203">
        <v>0</v>
      </c>
      <c r="J479" s="203">
        <v>0</v>
      </c>
      <c r="K479" s="203">
        <v>0</v>
      </c>
      <c r="L479" s="203">
        <v>0</v>
      </c>
      <c r="M479" s="203">
        <v>0</v>
      </c>
      <c r="N479" s="203">
        <v>0</v>
      </c>
      <c r="O479" s="203">
        <v>0</v>
      </c>
      <c r="P479" s="237">
        <f t="shared" si="149"/>
        <v>0</v>
      </c>
    </row>
    <row r="480" spans="1:16">
      <c r="A480" s="136" t="s">
        <v>944</v>
      </c>
      <c r="B480" s="125" t="s">
        <v>1531</v>
      </c>
      <c r="C480" s="126" t="s">
        <v>945</v>
      </c>
      <c r="D480" s="29"/>
      <c r="E480" s="19" t="s">
        <v>946</v>
      </c>
      <c r="F480" s="20">
        <f>+F481</f>
        <v>64133000</v>
      </c>
      <c r="G480" s="20">
        <f t="shared" ref="G480:O480" si="151">+G481</f>
        <v>0</v>
      </c>
      <c r="H480" s="20">
        <f t="shared" si="151"/>
        <v>0</v>
      </c>
      <c r="I480" s="20">
        <f t="shared" si="151"/>
        <v>64133000</v>
      </c>
      <c r="J480" s="20">
        <f t="shared" si="151"/>
        <v>0</v>
      </c>
      <c r="K480" s="20">
        <f t="shared" si="151"/>
        <v>29020591</v>
      </c>
      <c r="L480" s="20">
        <f t="shared" si="151"/>
        <v>0</v>
      </c>
      <c r="M480" s="20">
        <f t="shared" si="151"/>
        <v>29020591</v>
      </c>
      <c r="N480" s="20">
        <f t="shared" si="151"/>
        <v>5575103</v>
      </c>
      <c r="O480" s="20">
        <f t="shared" si="151"/>
        <v>5835264</v>
      </c>
      <c r="P480" s="243">
        <f t="shared" si="149"/>
        <v>0.45250636957572543</v>
      </c>
    </row>
    <row r="481" spans="1:16" s="8" customFormat="1">
      <c r="A481" s="107" t="s">
        <v>947</v>
      </c>
      <c r="B481" s="149" t="s">
        <v>1821</v>
      </c>
      <c r="C481" s="18" t="s">
        <v>948</v>
      </c>
      <c r="D481" s="30"/>
      <c r="E481" s="17" t="s">
        <v>949</v>
      </c>
      <c r="F481" s="16">
        <f>SUM(F482:F483)</f>
        <v>64133000</v>
      </c>
      <c r="G481" s="16">
        <f t="shared" ref="G481:O481" si="152">SUM(G482:G483)</f>
        <v>0</v>
      </c>
      <c r="H481" s="16">
        <f t="shared" si="152"/>
        <v>0</v>
      </c>
      <c r="I481" s="16">
        <f t="shared" si="152"/>
        <v>64133000</v>
      </c>
      <c r="J481" s="16">
        <f t="shared" si="152"/>
        <v>0</v>
      </c>
      <c r="K481" s="16">
        <f t="shared" si="152"/>
        <v>29020591</v>
      </c>
      <c r="L481" s="16">
        <f t="shared" si="152"/>
        <v>0</v>
      </c>
      <c r="M481" s="16">
        <f t="shared" si="152"/>
        <v>29020591</v>
      </c>
      <c r="N481" s="16">
        <f t="shared" si="152"/>
        <v>5575103</v>
      </c>
      <c r="O481" s="16">
        <f t="shared" si="152"/>
        <v>5835264</v>
      </c>
      <c r="P481" s="237">
        <f t="shared" si="149"/>
        <v>0.45250636957572543</v>
      </c>
    </row>
    <row r="482" spans="1:16" s="8" customFormat="1">
      <c r="A482" s="108"/>
      <c r="B482" s="150"/>
      <c r="C482" s="70" t="s">
        <v>948</v>
      </c>
      <c r="D482" s="33" t="s">
        <v>1909</v>
      </c>
      <c r="E482" s="34" t="s">
        <v>819</v>
      </c>
      <c r="F482" s="35">
        <v>56348000</v>
      </c>
      <c r="G482" s="210">
        <v>0</v>
      </c>
      <c r="H482" s="210">
        <v>0</v>
      </c>
      <c r="I482" s="210">
        <v>56348000</v>
      </c>
      <c r="J482" s="210">
        <v>0</v>
      </c>
      <c r="K482" s="210">
        <v>26961000</v>
      </c>
      <c r="L482" s="210">
        <v>0</v>
      </c>
      <c r="M482" s="210">
        <v>26961000</v>
      </c>
      <c r="N482" s="210">
        <v>5141505</v>
      </c>
      <c r="O482" s="210">
        <v>5141505</v>
      </c>
      <c r="P482" s="242">
        <f t="shared" si="149"/>
        <v>0.47847306026833253</v>
      </c>
    </row>
    <row r="483" spans="1:16" s="6" customFormat="1">
      <c r="A483" s="108"/>
      <c r="B483" s="150"/>
      <c r="C483" s="70" t="s">
        <v>948</v>
      </c>
      <c r="D483" s="33" t="s">
        <v>1957</v>
      </c>
      <c r="E483" s="34" t="s">
        <v>937</v>
      </c>
      <c r="F483" s="35">
        <v>7785000</v>
      </c>
      <c r="G483" s="210">
        <v>0</v>
      </c>
      <c r="H483" s="210">
        <v>0</v>
      </c>
      <c r="I483" s="210">
        <v>7785000</v>
      </c>
      <c r="J483" s="210">
        <v>0</v>
      </c>
      <c r="K483" s="210">
        <v>2059591</v>
      </c>
      <c r="L483" s="210">
        <v>0</v>
      </c>
      <c r="M483" s="210">
        <v>2059591</v>
      </c>
      <c r="N483" s="210">
        <v>433598</v>
      </c>
      <c r="O483" s="210">
        <v>693759</v>
      </c>
      <c r="P483" s="242">
        <f t="shared" si="149"/>
        <v>0.26455889531149646</v>
      </c>
    </row>
    <row r="484" spans="1:16" s="2" customFormat="1">
      <c r="A484" s="173" t="s">
        <v>950</v>
      </c>
      <c r="B484" s="155" t="s">
        <v>1822</v>
      </c>
      <c r="C484" s="156" t="s">
        <v>951</v>
      </c>
      <c r="D484" s="74"/>
      <c r="E484" s="40" t="s">
        <v>952</v>
      </c>
      <c r="F484" s="75">
        <f>+F485+F508+F518</f>
        <v>7997616000</v>
      </c>
      <c r="G484" s="75">
        <f t="shared" ref="G484:O484" si="153">+G485+G508+G518</f>
        <v>0</v>
      </c>
      <c r="H484" s="75">
        <f t="shared" si="153"/>
        <v>3400527089</v>
      </c>
      <c r="I484" s="75">
        <f t="shared" si="153"/>
        <v>11398143089</v>
      </c>
      <c r="J484" s="75">
        <f t="shared" si="153"/>
        <v>-88932942</v>
      </c>
      <c r="K484" s="75">
        <f t="shared" si="153"/>
        <v>9587613303</v>
      </c>
      <c r="L484" s="75">
        <f t="shared" si="153"/>
        <v>5187340909</v>
      </c>
      <c r="M484" s="75">
        <f t="shared" si="153"/>
        <v>9580562855</v>
      </c>
      <c r="N484" s="75">
        <f t="shared" si="153"/>
        <v>789192290</v>
      </c>
      <c r="O484" s="75">
        <f t="shared" si="153"/>
        <v>1233449439</v>
      </c>
      <c r="P484" s="246">
        <f t="shared" si="149"/>
        <v>0.84053716295647396</v>
      </c>
    </row>
    <row r="485" spans="1:16" s="6" customFormat="1" ht="11.25" customHeight="1">
      <c r="A485" s="136" t="s">
        <v>953</v>
      </c>
      <c r="B485" s="125" t="s">
        <v>1823</v>
      </c>
      <c r="C485" s="126" t="s">
        <v>954</v>
      </c>
      <c r="D485" s="29"/>
      <c r="E485" s="19" t="s">
        <v>955</v>
      </c>
      <c r="F485" s="20">
        <f>+F486+F505</f>
        <v>5323056000</v>
      </c>
      <c r="G485" s="20">
        <f t="shared" ref="G485:O485" si="154">+G486+G505</f>
        <v>0</v>
      </c>
      <c r="H485" s="20">
        <f t="shared" si="154"/>
        <v>0</v>
      </c>
      <c r="I485" s="20">
        <f t="shared" si="154"/>
        <v>5323056000</v>
      </c>
      <c r="J485" s="20">
        <f t="shared" si="154"/>
        <v>-198157277</v>
      </c>
      <c r="K485" s="20">
        <f t="shared" si="154"/>
        <v>4544587437</v>
      </c>
      <c r="L485" s="20">
        <f t="shared" si="154"/>
        <v>3911833689</v>
      </c>
      <c r="M485" s="20">
        <f t="shared" si="154"/>
        <v>4544587437</v>
      </c>
      <c r="N485" s="20">
        <f t="shared" si="154"/>
        <v>54332770</v>
      </c>
      <c r="O485" s="20">
        <f t="shared" si="154"/>
        <v>241983799</v>
      </c>
      <c r="P485" s="243">
        <f t="shared" si="149"/>
        <v>0.85375533096026046</v>
      </c>
    </row>
    <row r="486" spans="1:16" s="8" customFormat="1">
      <c r="A486" s="134" t="s">
        <v>956</v>
      </c>
      <c r="B486" s="123" t="s">
        <v>1531</v>
      </c>
      <c r="C486" s="124" t="s">
        <v>957</v>
      </c>
      <c r="D486" s="67"/>
      <c r="E486" s="25" t="s">
        <v>958</v>
      </c>
      <c r="F486" s="68">
        <f>+F487+F490+F495</f>
        <v>5253168000</v>
      </c>
      <c r="G486" s="68">
        <f t="shared" ref="G486:O486" si="155">+G487+G490+G495</f>
        <v>0</v>
      </c>
      <c r="H486" s="68">
        <f t="shared" si="155"/>
        <v>0</v>
      </c>
      <c r="I486" s="68">
        <f t="shared" si="155"/>
        <v>5253168000</v>
      </c>
      <c r="J486" s="68">
        <f t="shared" si="155"/>
        <v>-198157277</v>
      </c>
      <c r="K486" s="68">
        <f t="shared" si="155"/>
        <v>4544587437</v>
      </c>
      <c r="L486" s="68">
        <f t="shared" si="155"/>
        <v>3911833689</v>
      </c>
      <c r="M486" s="68">
        <f t="shared" si="155"/>
        <v>4544587437</v>
      </c>
      <c r="N486" s="68">
        <f t="shared" si="155"/>
        <v>54332770</v>
      </c>
      <c r="O486" s="68">
        <f t="shared" si="155"/>
        <v>241983799</v>
      </c>
      <c r="P486" s="229">
        <f t="shared" si="149"/>
        <v>0.86511366798092126</v>
      </c>
    </row>
    <row r="487" spans="1:16" s="11" customFormat="1">
      <c r="A487" s="174" t="s">
        <v>959</v>
      </c>
      <c r="B487" s="157" t="s">
        <v>1531</v>
      </c>
      <c r="C487" s="158" t="s">
        <v>960</v>
      </c>
      <c r="D487" s="41"/>
      <c r="E487" s="42" t="s">
        <v>961</v>
      </c>
      <c r="F487" s="76">
        <f>+F488</f>
        <v>186775000</v>
      </c>
      <c r="G487" s="76">
        <f t="shared" ref="G487:O488" si="156">+G488</f>
        <v>0</v>
      </c>
      <c r="H487" s="76">
        <f t="shared" si="156"/>
        <v>0</v>
      </c>
      <c r="I487" s="76">
        <f t="shared" si="156"/>
        <v>186775000</v>
      </c>
      <c r="J487" s="76">
        <f t="shared" si="156"/>
        <v>10315500</v>
      </c>
      <c r="K487" s="76">
        <f t="shared" si="156"/>
        <v>136404900</v>
      </c>
      <c r="L487" s="76">
        <f t="shared" si="156"/>
        <v>10315500</v>
      </c>
      <c r="M487" s="76">
        <f t="shared" si="156"/>
        <v>136404900</v>
      </c>
      <c r="N487" s="76">
        <f t="shared" si="156"/>
        <v>10315500</v>
      </c>
      <c r="O487" s="76">
        <f t="shared" si="156"/>
        <v>136404900</v>
      </c>
      <c r="P487" s="247">
        <f t="shared" si="149"/>
        <v>0.73031669120599652</v>
      </c>
    </row>
    <row r="488" spans="1:16" s="8" customFormat="1">
      <c r="A488" s="107"/>
      <c r="B488" s="149" t="s">
        <v>1548</v>
      </c>
      <c r="C488" s="18" t="s">
        <v>962</v>
      </c>
      <c r="D488" s="30"/>
      <c r="E488" s="17" t="s">
        <v>963</v>
      </c>
      <c r="F488" s="16">
        <f>+F489</f>
        <v>186775000</v>
      </c>
      <c r="G488" s="203">
        <f t="shared" si="156"/>
        <v>0</v>
      </c>
      <c r="H488" s="203">
        <f t="shared" si="156"/>
        <v>0</v>
      </c>
      <c r="I488" s="203">
        <f t="shared" si="156"/>
        <v>186775000</v>
      </c>
      <c r="J488" s="203">
        <f t="shared" si="156"/>
        <v>10315500</v>
      </c>
      <c r="K488" s="203">
        <f t="shared" si="156"/>
        <v>136404900</v>
      </c>
      <c r="L488" s="203">
        <f t="shared" si="156"/>
        <v>10315500</v>
      </c>
      <c r="M488" s="203">
        <f t="shared" si="156"/>
        <v>136404900</v>
      </c>
      <c r="N488" s="203">
        <f t="shared" si="156"/>
        <v>10315500</v>
      </c>
      <c r="O488" s="203">
        <f t="shared" si="156"/>
        <v>136404900</v>
      </c>
      <c r="P488" s="237">
        <f t="shared" si="149"/>
        <v>0.73031669120599652</v>
      </c>
    </row>
    <row r="489" spans="1:16" s="8" customFormat="1">
      <c r="A489" s="108"/>
      <c r="B489" s="150"/>
      <c r="C489" s="70" t="s">
        <v>962</v>
      </c>
      <c r="D489" s="33" t="s">
        <v>1933</v>
      </c>
      <c r="E489" s="34" t="s">
        <v>279</v>
      </c>
      <c r="F489" s="35">
        <v>186775000</v>
      </c>
      <c r="G489" s="210">
        <v>0</v>
      </c>
      <c r="H489" s="210">
        <v>0</v>
      </c>
      <c r="I489" s="210">
        <v>186775000</v>
      </c>
      <c r="J489" s="210">
        <v>10315500</v>
      </c>
      <c r="K489" s="210">
        <v>136404900</v>
      </c>
      <c r="L489" s="210">
        <v>10315500</v>
      </c>
      <c r="M489" s="210">
        <v>136404900</v>
      </c>
      <c r="N489" s="210">
        <v>10315500</v>
      </c>
      <c r="O489" s="210">
        <v>136404900</v>
      </c>
      <c r="P489" s="242">
        <f t="shared" si="149"/>
        <v>0.73031669120599652</v>
      </c>
    </row>
    <row r="490" spans="1:16" s="7" customFormat="1">
      <c r="A490" s="174" t="s">
        <v>964</v>
      </c>
      <c r="B490" s="157" t="s">
        <v>1531</v>
      </c>
      <c r="C490" s="158" t="s">
        <v>965</v>
      </c>
      <c r="D490" s="41"/>
      <c r="E490" s="42" t="s">
        <v>966</v>
      </c>
      <c r="F490" s="76">
        <f>+F491+F493</f>
        <v>534717000</v>
      </c>
      <c r="G490" s="76">
        <f t="shared" ref="G490:O490" si="157">+G491+G493</f>
        <v>0</v>
      </c>
      <c r="H490" s="76">
        <f t="shared" si="157"/>
        <v>0</v>
      </c>
      <c r="I490" s="76">
        <f t="shared" si="157"/>
        <v>534717000</v>
      </c>
      <c r="J490" s="76">
        <f t="shared" si="157"/>
        <v>-85800</v>
      </c>
      <c r="K490" s="76">
        <f t="shared" si="157"/>
        <v>511690220</v>
      </c>
      <c r="L490" s="76">
        <f t="shared" si="157"/>
        <v>11215700</v>
      </c>
      <c r="M490" s="76">
        <f t="shared" si="157"/>
        <v>511690220</v>
      </c>
      <c r="N490" s="76">
        <f t="shared" si="157"/>
        <v>40889302</v>
      </c>
      <c r="O490" s="76">
        <f t="shared" si="157"/>
        <v>96261103</v>
      </c>
      <c r="P490" s="247">
        <f t="shared" si="149"/>
        <v>0.95693651034098415</v>
      </c>
    </row>
    <row r="491" spans="1:16" s="8" customFormat="1">
      <c r="A491" s="107" t="s">
        <v>967</v>
      </c>
      <c r="B491" s="149" t="s">
        <v>1549</v>
      </c>
      <c r="C491" s="18" t="s">
        <v>968</v>
      </c>
      <c r="D491" s="30"/>
      <c r="E491" s="17" t="s">
        <v>969</v>
      </c>
      <c r="F491" s="16">
        <f>+F492</f>
        <v>520000000</v>
      </c>
      <c r="G491" s="203">
        <f t="shared" ref="G491:O491" si="158">+G492</f>
        <v>0</v>
      </c>
      <c r="H491" s="203">
        <f t="shared" si="158"/>
        <v>0</v>
      </c>
      <c r="I491" s="203">
        <f t="shared" si="158"/>
        <v>520000000</v>
      </c>
      <c r="J491" s="203">
        <f t="shared" si="158"/>
        <v>0</v>
      </c>
      <c r="K491" s="203">
        <f t="shared" si="158"/>
        <v>500474520</v>
      </c>
      <c r="L491" s="203">
        <f t="shared" si="158"/>
        <v>0</v>
      </c>
      <c r="M491" s="203">
        <f t="shared" si="158"/>
        <v>500474520</v>
      </c>
      <c r="N491" s="203">
        <f t="shared" si="158"/>
        <v>40889302</v>
      </c>
      <c r="O491" s="203">
        <f t="shared" si="158"/>
        <v>96261103</v>
      </c>
      <c r="P491" s="237">
        <f t="shared" si="149"/>
        <v>0.96245099999999995</v>
      </c>
    </row>
    <row r="492" spans="1:16" s="7" customFormat="1">
      <c r="A492" s="108"/>
      <c r="B492" s="150"/>
      <c r="C492" s="70" t="s">
        <v>968</v>
      </c>
      <c r="D492" s="33" t="s">
        <v>1933</v>
      </c>
      <c r="E492" s="34" t="s">
        <v>279</v>
      </c>
      <c r="F492" s="35">
        <v>520000000</v>
      </c>
      <c r="G492" s="210">
        <v>0</v>
      </c>
      <c r="H492" s="210">
        <v>0</v>
      </c>
      <c r="I492" s="210">
        <v>520000000</v>
      </c>
      <c r="J492" s="210">
        <v>0</v>
      </c>
      <c r="K492" s="210">
        <v>500474520</v>
      </c>
      <c r="L492" s="210">
        <v>0</v>
      </c>
      <c r="M492" s="210">
        <v>500474520</v>
      </c>
      <c r="N492" s="210">
        <v>40889302</v>
      </c>
      <c r="O492" s="210">
        <v>96261103</v>
      </c>
      <c r="P492" s="242">
        <f t="shared" si="149"/>
        <v>0.96245099999999995</v>
      </c>
    </row>
    <row r="493" spans="1:16" s="8" customFormat="1">
      <c r="A493" s="107" t="s">
        <v>970</v>
      </c>
      <c r="B493" s="149" t="s">
        <v>1550</v>
      </c>
      <c r="C493" s="18" t="s">
        <v>971</v>
      </c>
      <c r="D493" s="30"/>
      <c r="E493" s="17" t="s">
        <v>972</v>
      </c>
      <c r="F493" s="16">
        <f>+F494</f>
        <v>14717000</v>
      </c>
      <c r="G493" s="203">
        <f t="shared" ref="G493:O493" si="159">+G494</f>
        <v>0</v>
      </c>
      <c r="H493" s="203">
        <f t="shared" si="159"/>
        <v>0</v>
      </c>
      <c r="I493" s="203">
        <f t="shared" si="159"/>
        <v>14717000</v>
      </c>
      <c r="J493" s="203">
        <f t="shared" si="159"/>
        <v>-85800</v>
      </c>
      <c r="K493" s="203">
        <f t="shared" si="159"/>
        <v>11215700</v>
      </c>
      <c r="L493" s="203">
        <f t="shared" si="159"/>
        <v>11215700</v>
      </c>
      <c r="M493" s="203">
        <f t="shared" si="159"/>
        <v>11215700</v>
      </c>
      <c r="N493" s="203">
        <f t="shared" si="159"/>
        <v>0</v>
      </c>
      <c r="O493" s="203">
        <f t="shared" si="159"/>
        <v>0</v>
      </c>
      <c r="P493" s="237">
        <f t="shared" si="149"/>
        <v>0.76209145885710405</v>
      </c>
    </row>
    <row r="494" spans="1:16" s="8" customFormat="1">
      <c r="A494" s="108"/>
      <c r="B494" s="150"/>
      <c r="C494" s="70" t="s">
        <v>971</v>
      </c>
      <c r="D494" s="33" t="s">
        <v>1909</v>
      </c>
      <c r="E494" s="34" t="s">
        <v>819</v>
      </c>
      <c r="F494" s="35">
        <v>14717000</v>
      </c>
      <c r="G494" s="210">
        <v>0</v>
      </c>
      <c r="H494" s="210">
        <v>0</v>
      </c>
      <c r="I494" s="210">
        <v>14717000</v>
      </c>
      <c r="J494" s="210">
        <v>-85800</v>
      </c>
      <c r="K494" s="210">
        <v>11215700</v>
      </c>
      <c r="L494" s="210">
        <v>11215700</v>
      </c>
      <c r="M494" s="210">
        <v>11215700</v>
      </c>
      <c r="N494" s="210">
        <v>0</v>
      </c>
      <c r="O494" s="210">
        <v>0</v>
      </c>
      <c r="P494" s="242">
        <f t="shared" si="149"/>
        <v>0.76209145885710405</v>
      </c>
    </row>
    <row r="495" spans="1:16" s="7" customFormat="1">
      <c r="A495" s="174" t="s">
        <v>973</v>
      </c>
      <c r="B495" s="157" t="s">
        <v>1531</v>
      </c>
      <c r="C495" s="158" t="s">
        <v>974</v>
      </c>
      <c r="D495" s="41"/>
      <c r="E495" s="42" t="s">
        <v>975</v>
      </c>
      <c r="F495" s="76">
        <f>+F496+F498+F500+F502</f>
        <v>4531676000</v>
      </c>
      <c r="G495" s="76">
        <f t="shared" ref="G495:N495" si="160">+G496+G498+G500+G502</f>
        <v>0</v>
      </c>
      <c r="H495" s="76">
        <f t="shared" si="160"/>
        <v>0</v>
      </c>
      <c r="I495" s="76">
        <f t="shared" si="160"/>
        <v>4531676000</v>
      </c>
      <c r="J495" s="76">
        <f t="shared" si="160"/>
        <v>-208386977</v>
      </c>
      <c r="K495" s="76">
        <f t="shared" si="160"/>
        <v>3896492317</v>
      </c>
      <c r="L495" s="76">
        <f t="shared" si="160"/>
        <v>3890302489</v>
      </c>
      <c r="M495" s="76">
        <f t="shared" si="160"/>
        <v>3896492317</v>
      </c>
      <c r="N495" s="76">
        <f t="shared" si="160"/>
        <v>3127968</v>
      </c>
      <c r="O495" s="76">
        <f>+O496+O498+O500+O502</f>
        <v>9317796</v>
      </c>
      <c r="P495" s="247">
        <f t="shared" si="149"/>
        <v>0.85983470949820773</v>
      </c>
    </row>
    <row r="496" spans="1:16" s="8" customFormat="1">
      <c r="A496" s="107" t="s">
        <v>976</v>
      </c>
      <c r="B496" s="149" t="s">
        <v>1551</v>
      </c>
      <c r="C496" s="18" t="s">
        <v>977</v>
      </c>
      <c r="D496" s="30"/>
      <c r="E496" s="17" t="s">
        <v>978</v>
      </c>
      <c r="F496" s="16">
        <f>+F497</f>
        <v>32478000</v>
      </c>
      <c r="G496" s="203">
        <f t="shared" ref="G496:O496" si="161">+G497</f>
        <v>0</v>
      </c>
      <c r="H496" s="203">
        <f t="shared" si="161"/>
        <v>0</v>
      </c>
      <c r="I496" s="203">
        <f t="shared" si="161"/>
        <v>32478000</v>
      </c>
      <c r="J496" s="203">
        <f t="shared" si="161"/>
        <v>-627606</v>
      </c>
      <c r="K496" s="203">
        <f t="shared" si="161"/>
        <v>27196260</v>
      </c>
      <c r="L496" s="203">
        <f t="shared" si="161"/>
        <v>27196260</v>
      </c>
      <c r="M496" s="203">
        <f t="shared" si="161"/>
        <v>27196260</v>
      </c>
      <c r="N496" s="203">
        <f t="shared" si="161"/>
        <v>0</v>
      </c>
      <c r="O496" s="203">
        <f t="shared" si="161"/>
        <v>0</v>
      </c>
      <c r="P496" s="237">
        <f t="shared" si="149"/>
        <v>0.83737483835211524</v>
      </c>
    </row>
    <row r="497" spans="1:16" s="7" customFormat="1">
      <c r="A497" s="108"/>
      <c r="B497" s="150"/>
      <c r="C497" s="70" t="s">
        <v>977</v>
      </c>
      <c r="D497" s="33" t="s">
        <v>1909</v>
      </c>
      <c r="E497" s="34" t="s">
        <v>819</v>
      </c>
      <c r="F497" s="35">
        <v>32478000</v>
      </c>
      <c r="G497" s="210">
        <v>0</v>
      </c>
      <c r="H497" s="210">
        <v>0</v>
      </c>
      <c r="I497" s="210">
        <v>32478000</v>
      </c>
      <c r="J497" s="210">
        <v>-627606</v>
      </c>
      <c r="K497" s="210">
        <v>27196260</v>
      </c>
      <c r="L497" s="210">
        <v>27196260</v>
      </c>
      <c r="M497" s="210">
        <v>27196260</v>
      </c>
      <c r="N497" s="210">
        <v>0</v>
      </c>
      <c r="O497" s="210">
        <v>0</v>
      </c>
      <c r="P497" s="242">
        <f t="shared" si="149"/>
        <v>0.83737483835211524</v>
      </c>
    </row>
    <row r="498" spans="1:16" s="8" customFormat="1">
      <c r="A498" s="107" t="s">
        <v>979</v>
      </c>
      <c r="B498" s="149" t="s">
        <v>1552</v>
      </c>
      <c r="C498" s="18" t="s">
        <v>980</v>
      </c>
      <c r="D498" s="30"/>
      <c r="E498" s="17" t="s">
        <v>981</v>
      </c>
      <c r="F498" s="16">
        <f>+F499</f>
        <v>2759273000</v>
      </c>
      <c r="G498" s="203">
        <f t="shared" ref="G498:O498" si="162">+G499</f>
        <v>0</v>
      </c>
      <c r="H498" s="203">
        <f t="shared" si="162"/>
        <v>0</v>
      </c>
      <c r="I498" s="203">
        <f t="shared" si="162"/>
        <v>2759273000</v>
      </c>
      <c r="J498" s="203">
        <f t="shared" si="162"/>
        <v>-141911101</v>
      </c>
      <c r="K498" s="203">
        <f t="shared" si="162"/>
        <v>2263462457</v>
      </c>
      <c r="L498" s="203">
        <f t="shared" si="162"/>
        <v>2257272629</v>
      </c>
      <c r="M498" s="203">
        <f t="shared" si="162"/>
        <v>2263462457</v>
      </c>
      <c r="N498" s="203">
        <f t="shared" si="162"/>
        <v>3127968</v>
      </c>
      <c r="O498" s="203">
        <f t="shared" si="162"/>
        <v>9317796</v>
      </c>
      <c r="P498" s="237">
        <f t="shared" si="149"/>
        <v>0.82031116783297631</v>
      </c>
    </row>
    <row r="499" spans="1:16" s="7" customFormat="1">
      <c r="A499" s="108"/>
      <c r="B499" s="150"/>
      <c r="C499" s="70" t="s">
        <v>980</v>
      </c>
      <c r="D499" s="33" t="s">
        <v>1909</v>
      </c>
      <c r="E499" s="34" t="s">
        <v>819</v>
      </c>
      <c r="F499" s="35">
        <v>2759273000</v>
      </c>
      <c r="G499" s="210">
        <v>0</v>
      </c>
      <c r="H499" s="210">
        <v>0</v>
      </c>
      <c r="I499" s="210">
        <v>2759273000</v>
      </c>
      <c r="J499" s="210">
        <v>-141911101</v>
      </c>
      <c r="K499" s="210">
        <v>2263462457</v>
      </c>
      <c r="L499" s="210">
        <v>2257272629</v>
      </c>
      <c r="M499" s="210">
        <v>2263462457</v>
      </c>
      <c r="N499" s="210">
        <v>3127968</v>
      </c>
      <c r="O499" s="210">
        <v>9317796</v>
      </c>
      <c r="P499" s="242">
        <f t="shared" si="149"/>
        <v>0.82031116783297631</v>
      </c>
    </row>
    <row r="500" spans="1:16" s="8" customFormat="1">
      <c r="A500" s="107" t="s">
        <v>982</v>
      </c>
      <c r="B500" s="149" t="s">
        <v>1553</v>
      </c>
      <c r="C500" s="18" t="s">
        <v>983</v>
      </c>
      <c r="D500" s="30"/>
      <c r="E500" s="17" t="s">
        <v>984</v>
      </c>
      <c r="F500" s="16">
        <f>+F501</f>
        <v>1739925000</v>
      </c>
      <c r="G500" s="203">
        <f t="shared" ref="G500:O500" si="163">+G501</f>
        <v>0</v>
      </c>
      <c r="H500" s="203">
        <f t="shared" si="163"/>
        <v>0</v>
      </c>
      <c r="I500" s="203">
        <f t="shared" si="163"/>
        <v>1739925000</v>
      </c>
      <c r="J500" s="203">
        <f t="shared" si="163"/>
        <v>-65848270</v>
      </c>
      <c r="K500" s="203">
        <f t="shared" si="163"/>
        <v>1605833600</v>
      </c>
      <c r="L500" s="203">
        <f t="shared" si="163"/>
        <v>1605833600</v>
      </c>
      <c r="M500" s="203">
        <f t="shared" si="163"/>
        <v>1605833600</v>
      </c>
      <c r="N500" s="203">
        <f t="shared" si="163"/>
        <v>0</v>
      </c>
      <c r="O500" s="203">
        <f t="shared" si="163"/>
        <v>0</v>
      </c>
      <c r="P500" s="237">
        <f t="shared" si="149"/>
        <v>0.92293265514318146</v>
      </c>
    </row>
    <row r="501" spans="1:16" s="7" customFormat="1">
      <c r="A501" s="108"/>
      <c r="B501" s="150"/>
      <c r="C501" s="70" t="s">
        <v>983</v>
      </c>
      <c r="D501" s="33" t="s">
        <v>1909</v>
      </c>
      <c r="E501" s="34" t="s">
        <v>819</v>
      </c>
      <c r="F501" s="35">
        <v>1739925000</v>
      </c>
      <c r="G501" s="210">
        <v>0</v>
      </c>
      <c r="H501" s="210">
        <v>0</v>
      </c>
      <c r="I501" s="210">
        <v>1739925000</v>
      </c>
      <c r="J501" s="210">
        <v>-65848270</v>
      </c>
      <c r="K501" s="210">
        <v>1605833600</v>
      </c>
      <c r="L501" s="210">
        <v>1605833600</v>
      </c>
      <c r="M501" s="210">
        <v>1605833600</v>
      </c>
      <c r="N501" s="210">
        <v>0</v>
      </c>
      <c r="O501" s="210">
        <v>0</v>
      </c>
      <c r="P501" s="242">
        <f t="shared" si="149"/>
        <v>0.92293265514318146</v>
      </c>
    </row>
    <row r="502" spans="1:16" s="8" customFormat="1">
      <c r="A502" s="107" t="s">
        <v>1991</v>
      </c>
      <c r="B502" s="149" t="s">
        <v>2017</v>
      </c>
      <c r="C502" s="18" t="s">
        <v>1992</v>
      </c>
      <c r="D502" s="30"/>
      <c r="E502" s="17" t="s">
        <v>1993</v>
      </c>
      <c r="F502" s="16">
        <f>SUM(F503:F504)</f>
        <v>0</v>
      </c>
      <c r="G502" s="203">
        <f t="shared" ref="G502:O502" si="164">SUM(G503:G504)</f>
        <v>0</v>
      </c>
      <c r="H502" s="203">
        <f t="shared" si="164"/>
        <v>0</v>
      </c>
      <c r="I502" s="203">
        <f t="shared" si="164"/>
        <v>0</v>
      </c>
      <c r="J502" s="203">
        <f t="shared" si="164"/>
        <v>0</v>
      </c>
      <c r="K502" s="203">
        <f t="shared" si="164"/>
        <v>0</v>
      </c>
      <c r="L502" s="203">
        <f t="shared" si="164"/>
        <v>0</v>
      </c>
      <c r="M502" s="203">
        <f t="shared" si="164"/>
        <v>0</v>
      </c>
      <c r="N502" s="203">
        <f t="shared" si="164"/>
        <v>0</v>
      </c>
      <c r="O502" s="203">
        <f t="shared" si="164"/>
        <v>0</v>
      </c>
      <c r="P502" s="237">
        <f t="shared" si="149"/>
        <v>0</v>
      </c>
    </row>
    <row r="503" spans="1:16" s="8" customFormat="1">
      <c r="A503" s="108"/>
      <c r="B503" s="150"/>
      <c r="C503" s="70" t="s">
        <v>1992</v>
      </c>
      <c r="D503" s="33" t="s">
        <v>1954</v>
      </c>
      <c r="E503" s="34" t="s">
        <v>1020</v>
      </c>
      <c r="F503" s="35">
        <v>0</v>
      </c>
      <c r="G503" s="210">
        <v>0</v>
      </c>
      <c r="H503" s="210">
        <v>0</v>
      </c>
      <c r="I503" s="210">
        <v>0</v>
      </c>
      <c r="J503" s="210">
        <v>0</v>
      </c>
      <c r="K503" s="210">
        <v>0</v>
      </c>
      <c r="L503" s="210">
        <v>0</v>
      </c>
      <c r="M503" s="210">
        <v>0</v>
      </c>
      <c r="N503" s="210">
        <v>0</v>
      </c>
      <c r="O503" s="210">
        <v>0</v>
      </c>
      <c r="P503" s="242">
        <f t="shared" si="149"/>
        <v>0</v>
      </c>
    </row>
    <row r="504" spans="1:16" s="6" customFormat="1">
      <c r="A504" s="108"/>
      <c r="B504" s="150"/>
      <c r="C504" s="70" t="s">
        <v>1992</v>
      </c>
      <c r="D504" s="33" t="s">
        <v>1909</v>
      </c>
      <c r="E504" s="34" t="s">
        <v>819</v>
      </c>
      <c r="F504" s="35">
        <v>0</v>
      </c>
      <c r="G504" s="210">
        <v>0</v>
      </c>
      <c r="H504" s="210">
        <v>0</v>
      </c>
      <c r="I504" s="210">
        <v>0</v>
      </c>
      <c r="J504" s="210">
        <v>0</v>
      </c>
      <c r="K504" s="210">
        <v>0</v>
      </c>
      <c r="L504" s="210">
        <v>0</v>
      </c>
      <c r="M504" s="210">
        <v>0</v>
      </c>
      <c r="N504" s="210">
        <v>0</v>
      </c>
      <c r="O504" s="210">
        <v>0</v>
      </c>
      <c r="P504" s="242">
        <f t="shared" si="149"/>
        <v>0</v>
      </c>
    </row>
    <row r="505" spans="1:16" s="7" customFormat="1">
      <c r="A505" s="134" t="s">
        <v>985</v>
      </c>
      <c r="B505" s="123" t="s">
        <v>1531</v>
      </c>
      <c r="C505" s="124" t="s">
        <v>986</v>
      </c>
      <c r="D505" s="67"/>
      <c r="E505" s="25" t="s">
        <v>987</v>
      </c>
      <c r="F505" s="68">
        <f>+F506</f>
        <v>69888000</v>
      </c>
      <c r="G505" s="68">
        <f t="shared" ref="G505:O506" si="165">+G506</f>
        <v>0</v>
      </c>
      <c r="H505" s="68">
        <f t="shared" si="165"/>
        <v>0</v>
      </c>
      <c r="I505" s="68">
        <f t="shared" si="165"/>
        <v>69888000</v>
      </c>
      <c r="J505" s="68">
        <f t="shared" si="165"/>
        <v>0</v>
      </c>
      <c r="K505" s="68">
        <f t="shared" si="165"/>
        <v>0</v>
      </c>
      <c r="L505" s="68">
        <f t="shared" si="165"/>
        <v>0</v>
      </c>
      <c r="M505" s="68">
        <f t="shared" si="165"/>
        <v>0</v>
      </c>
      <c r="N505" s="68">
        <f t="shared" si="165"/>
        <v>0</v>
      </c>
      <c r="O505" s="68">
        <f t="shared" si="165"/>
        <v>0</v>
      </c>
      <c r="P505" s="229">
        <f t="shared" si="149"/>
        <v>0</v>
      </c>
    </row>
    <row r="506" spans="1:16" s="8" customFormat="1">
      <c r="A506" s="107" t="s">
        <v>988</v>
      </c>
      <c r="B506" s="149" t="s">
        <v>1554</v>
      </c>
      <c r="C506" s="18" t="s">
        <v>989</v>
      </c>
      <c r="D506" s="30"/>
      <c r="E506" s="17" t="s">
        <v>990</v>
      </c>
      <c r="F506" s="203">
        <f>+F507</f>
        <v>69888000</v>
      </c>
      <c r="G506" s="203">
        <f t="shared" si="165"/>
        <v>0</v>
      </c>
      <c r="H506" s="203">
        <f t="shared" si="165"/>
        <v>0</v>
      </c>
      <c r="I506" s="203">
        <f t="shared" si="165"/>
        <v>69888000</v>
      </c>
      <c r="J506" s="203">
        <f t="shared" si="165"/>
        <v>0</v>
      </c>
      <c r="K506" s="203">
        <f t="shared" si="165"/>
        <v>0</v>
      </c>
      <c r="L506" s="203">
        <f t="shared" si="165"/>
        <v>0</v>
      </c>
      <c r="M506" s="203">
        <f t="shared" si="165"/>
        <v>0</v>
      </c>
      <c r="N506" s="203">
        <f t="shared" si="165"/>
        <v>0</v>
      </c>
      <c r="O506" s="203">
        <f t="shared" si="165"/>
        <v>0</v>
      </c>
      <c r="P506" s="237">
        <f t="shared" si="149"/>
        <v>0</v>
      </c>
    </row>
    <row r="507" spans="1:16" s="2" customFormat="1">
      <c r="A507" s="108"/>
      <c r="B507" s="150"/>
      <c r="C507" s="70" t="s">
        <v>989</v>
      </c>
      <c r="D507" s="33" t="s">
        <v>1933</v>
      </c>
      <c r="E507" s="34" t="s">
        <v>279</v>
      </c>
      <c r="F507" s="35">
        <v>69888000</v>
      </c>
      <c r="G507" s="210">
        <v>0</v>
      </c>
      <c r="H507" s="210">
        <v>0</v>
      </c>
      <c r="I507" s="210">
        <v>69888000</v>
      </c>
      <c r="J507" s="210">
        <v>0</v>
      </c>
      <c r="K507" s="210">
        <v>0</v>
      </c>
      <c r="L507" s="210">
        <v>0</v>
      </c>
      <c r="M507" s="210">
        <v>0</v>
      </c>
      <c r="N507" s="210">
        <v>0</v>
      </c>
      <c r="O507" s="210">
        <v>0</v>
      </c>
      <c r="P507" s="242">
        <f t="shared" si="149"/>
        <v>0</v>
      </c>
    </row>
    <row r="508" spans="1:16" s="2" customFormat="1">
      <c r="A508" s="136" t="s">
        <v>991</v>
      </c>
      <c r="B508" s="125" t="s">
        <v>1555</v>
      </c>
      <c r="C508" s="126" t="s">
        <v>992</v>
      </c>
      <c r="D508" s="29"/>
      <c r="E508" s="19" t="s">
        <v>993</v>
      </c>
      <c r="F508" s="20">
        <f>+F509+F517</f>
        <v>2549082000</v>
      </c>
      <c r="G508" s="20">
        <f t="shared" ref="G508:O508" si="166">+G509+G517</f>
        <v>0</v>
      </c>
      <c r="H508" s="20">
        <f t="shared" si="166"/>
        <v>3400527089</v>
      </c>
      <c r="I508" s="20">
        <f t="shared" si="166"/>
        <v>5949609089</v>
      </c>
      <c r="J508" s="20">
        <f t="shared" si="166"/>
        <v>109224335</v>
      </c>
      <c r="K508" s="20">
        <f t="shared" si="166"/>
        <v>5043025866</v>
      </c>
      <c r="L508" s="20">
        <f t="shared" si="166"/>
        <v>1275507220</v>
      </c>
      <c r="M508" s="20">
        <f t="shared" si="166"/>
        <v>5035975418</v>
      </c>
      <c r="N508" s="20">
        <f t="shared" si="166"/>
        <v>734859520</v>
      </c>
      <c r="O508" s="20">
        <f t="shared" si="166"/>
        <v>991465640</v>
      </c>
      <c r="P508" s="243">
        <f t="shared" si="149"/>
        <v>0.84643803360305103</v>
      </c>
    </row>
    <row r="509" spans="1:16" s="8" customFormat="1">
      <c r="A509" s="107" t="s">
        <v>994</v>
      </c>
      <c r="B509" s="149" t="s">
        <v>1556</v>
      </c>
      <c r="C509" s="18" t="s">
        <v>995</v>
      </c>
      <c r="D509" s="30"/>
      <c r="E509" s="17" t="s">
        <v>996</v>
      </c>
      <c r="F509" s="203">
        <f>SUM(F510:F516)</f>
        <v>2549082000</v>
      </c>
      <c r="G509" s="203">
        <f t="shared" ref="G509:O509" si="167">SUM(G510:G516)</f>
        <v>0</v>
      </c>
      <c r="H509" s="203">
        <f t="shared" si="167"/>
        <v>3400527089</v>
      </c>
      <c r="I509" s="203">
        <f t="shared" si="167"/>
        <v>5949609089</v>
      </c>
      <c r="J509" s="203">
        <f t="shared" si="167"/>
        <v>109224335</v>
      </c>
      <c r="K509" s="203">
        <f t="shared" si="167"/>
        <v>5043025866</v>
      </c>
      <c r="L509" s="203">
        <f t="shared" si="167"/>
        <v>1275507220</v>
      </c>
      <c r="M509" s="203">
        <f t="shared" si="167"/>
        <v>5035975418</v>
      </c>
      <c r="N509" s="203">
        <f t="shared" si="167"/>
        <v>734859520</v>
      </c>
      <c r="O509" s="203">
        <f t="shared" si="167"/>
        <v>991465640</v>
      </c>
      <c r="P509" s="237">
        <f t="shared" si="149"/>
        <v>0.84643803360305103</v>
      </c>
    </row>
    <row r="510" spans="1:16" s="8" customFormat="1">
      <c r="A510" s="108"/>
      <c r="B510" s="150"/>
      <c r="C510" s="70" t="s">
        <v>995</v>
      </c>
      <c r="D510" s="33" t="s">
        <v>1958</v>
      </c>
      <c r="E510" s="34" t="s">
        <v>997</v>
      </c>
      <c r="F510" s="35">
        <v>121176000</v>
      </c>
      <c r="G510" s="210">
        <v>0</v>
      </c>
      <c r="H510" s="210">
        <v>7050448</v>
      </c>
      <c r="I510" s="210">
        <v>128226448</v>
      </c>
      <c r="J510" s="210">
        <v>109224335</v>
      </c>
      <c r="K510" s="210">
        <v>109224335</v>
      </c>
      <c r="L510" s="210">
        <v>102173887</v>
      </c>
      <c r="M510" s="210">
        <v>102173887</v>
      </c>
      <c r="N510" s="210">
        <v>0</v>
      </c>
      <c r="O510" s="210">
        <v>0</v>
      </c>
      <c r="P510" s="242">
        <f t="shared" si="149"/>
        <v>0.79682381126240043</v>
      </c>
    </row>
    <row r="511" spans="1:16" s="8" customFormat="1">
      <c r="A511" s="108"/>
      <c r="B511" s="150"/>
      <c r="C511" s="70" t="s">
        <v>995</v>
      </c>
      <c r="D511" s="33" t="s">
        <v>1940</v>
      </c>
      <c r="E511" s="34" t="s">
        <v>912</v>
      </c>
      <c r="F511" s="35">
        <v>274640000</v>
      </c>
      <c r="G511" s="210">
        <v>0</v>
      </c>
      <c r="H511" s="210">
        <v>611964234</v>
      </c>
      <c r="I511" s="210">
        <v>886604234</v>
      </c>
      <c r="J511" s="210">
        <v>0</v>
      </c>
      <c r="K511" s="210">
        <v>273262446</v>
      </c>
      <c r="L511" s="210">
        <v>0</v>
      </c>
      <c r="M511" s="210">
        <v>273262446</v>
      </c>
      <c r="N511" s="210">
        <v>110846335</v>
      </c>
      <c r="O511" s="210">
        <v>110846335</v>
      </c>
      <c r="P511" s="242">
        <f t="shared" si="149"/>
        <v>0.30821243066610488</v>
      </c>
    </row>
    <row r="512" spans="1:16" s="8" customFormat="1">
      <c r="A512" s="108"/>
      <c r="B512" s="150"/>
      <c r="C512" s="70" t="s">
        <v>995</v>
      </c>
      <c r="D512" s="33" t="s">
        <v>1945</v>
      </c>
      <c r="E512" s="34" t="s">
        <v>781</v>
      </c>
      <c r="F512" s="35">
        <v>203928000</v>
      </c>
      <c r="G512" s="210">
        <v>0</v>
      </c>
      <c r="H512" s="210">
        <v>64464461</v>
      </c>
      <c r="I512" s="210">
        <v>268392461</v>
      </c>
      <c r="J512" s="210">
        <v>0</v>
      </c>
      <c r="K512" s="210">
        <v>239992690</v>
      </c>
      <c r="L512" s="210">
        <v>0</v>
      </c>
      <c r="M512" s="210">
        <v>239992690</v>
      </c>
      <c r="N512" s="210">
        <v>0</v>
      </c>
      <c r="O512" s="210">
        <v>57684478</v>
      </c>
      <c r="P512" s="242">
        <f t="shared" si="149"/>
        <v>0.89418566045340597</v>
      </c>
    </row>
    <row r="513" spans="1:16" s="8" customFormat="1">
      <c r="A513" s="108"/>
      <c r="B513" s="150"/>
      <c r="C513" s="70" t="s">
        <v>995</v>
      </c>
      <c r="D513" s="33" t="s">
        <v>1937</v>
      </c>
      <c r="E513" s="34" t="s">
        <v>998</v>
      </c>
      <c r="F513" s="35">
        <v>759085000</v>
      </c>
      <c r="G513" s="210">
        <v>0</v>
      </c>
      <c r="H513" s="210">
        <v>1230634280</v>
      </c>
      <c r="I513" s="210">
        <v>1989719280</v>
      </c>
      <c r="J513" s="210">
        <v>0</v>
      </c>
      <c r="K513" s="210">
        <v>1743879729</v>
      </c>
      <c r="L513" s="210">
        <v>0</v>
      </c>
      <c r="M513" s="210">
        <v>1743879729</v>
      </c>
      <c r="N513" s="210">
        <v>305013185</v>
      </c>
      <c r="O513" s="210">
        <v>503934827</v>
      </c>
      <c r="P513" s="242">
        <f t="shared" si="149"/>
        <v>0.87644510787471486</v>
      </c>
    </row>
    <row r="514" spans="1:16" s="8" customFormat="1">
      <c r="A514" s="108"/>
      <c r="B514" s="150"/>
      <c r="C514" s="70" t="s">
        <v>995</v>
      </c>
      <c r="D514" s="33" t="s">
        <v>1942</v>
      </c>
      <c r="E514" s="34" t="s">
        <v>913</v>
      </c>
      <c r="F514" s="35">
        <v>627588000</v>
      </c>
      <c r="G514" s="210">
        <v>0</v>
      </c>
      <c r="H514" s="210">
        <v>1166245333</v>
      </c>
      <c r="I514" s="210">
        <v>1793833333</v>
      </c>
      <c r="J514" s="210">
        <v>0</v>
      </c>
      <c r="K514" s="210">
        <v>1793833333</v>
      </c>
      <c r="L514" s="210">
        <v>450000000</v>
      </c>
      <c r="M514" s="210">
        <v>1793833333</v>
      </c>
      <c r="N514" s="210">
        <v>159500000</v>
      </c>
      <c r="O514" s="210">
        <v>159500000</v>
      </c>
      <c r="P514" s="242">
        <f t="shared" si="149"/>
        <v>1</v>
      </c>
    </row>
    <row r="515" spans="1:16" s="8" customFormat="1">
      <c r="A515" s="108"/>
      <c r="B515" s="150"/>
      <c r="C515" s="70" t="s">
        <v>995</v>
      </c>
      <c r="D515" s="33" t="s">
        <v>1936</v>
      </c>
      <c r="E515" s="34" t="s">
        <v>908</v>
      </c>
      <c r="F515" s="35">
        <v>562665000</v>
      </c>
      <c r="G515" s="210">
        <v>0</v>
      </c>
      <c r="H515" s="210">
        <v>320168333</v>
      </c>
      <c r="I515" s="210">
        <v>882833333</v>
      </c>
      <c r="J515" s="210">
        <v>0</v>
      </c>
      <c r="K515" s="210">
        <v>882833333</v>
      </c>
      <c r="L515" s="210">
        <v>723333333</v>
      </c>
      <c r="M515" s="210">
        <v>882833333</v>
      </c>
      <c r="N515" s="210">
        <v>159500000</v>
      </c>
      <c r="O515" s="210">
        <v>159500000</v>
      </c>
      <c r="P515" s="242">
        <f t="shared" si="149"/>
        <v>1</v>
      </c>
    </row>
    <row r="516" spans="1:16" s="2" customFormat="1">
      <c r="A516" s="108"/>
      <c r="B516" s="150"/>
      <c r="C516" s="70" t="s">
        <v>995</v>
      </c>
      <c r="D516" s="33" t="s">
        <v>1959</v>
      </c>
      <c r="E516" s="34" t="s">
        <v>999</v>
      </c>
      <c r="F516" s="35">
        <v>0</v>
      </c>
      <c r="G516" s="210">
        <v>0</v>
      </c>
      <c r="H516" s="210">
        <v>0</v>
      </c>
      <c r="I516" s="210">
        <v>0</v>
      </c>
      <c r="J516" s="210">
        <v>0</v>
      </c>
      <c r="K516" s="210">
        <v>0</v>
      </c>
      <c r="L516" s="210">
        <v>0</v>
      </c>
      <c r="M516" s="210">
        <v>0</v>
      </c>
      <c r="N516" s="210">
        <v>0</v>
      </c>
      <c r="O516" s="210">
        <v>0</v>
      </c>
      <c r="P516" s="242">
        <f t="shared" si="149"/>
        <v>0</v>
      </c>
    </row>
    <row r="517" spans="1:16" s="2" customFormat="1">
      <c r="A517" s="107" t="s">
        <v>1000</v>
      </c>
      <c r="B517" s="149" t="s">
        <v>1824</v>
      </c>
      <c r="C517" s="18" t="s">
        <v>1001</v>
      </c>
      <c r="D517" s="30"/>
      <c r="E517" s="17" t="s">
        <v>1002</v>
      </c>
      <c r="F517" s="16">
        <v>0</v>
      </c>
      <c r="G517" s="203">
        <v>0</v>
      </c>
      <c r="H517" s="203">
        <v>0</v>
      </c>
      <c r="I517" s="203">
        <v>0</v>
      </c>
      <c r="J517" s="203">
        <v>0</v>
      </c>
      <c r="K517" s="203">
        <v>0</v>
      </c>
      <c r="L517" s="203">
        <v>0</v>
      </c>
      <c r="M517" s="203">
        <v>0</v>
      </c>
      <c r="N517" s="203">
        <v>0</v>
      </c>
      <c r="O517" s="203">
        <v>0</v>
      </c>
      <c r="P517" s="237">
        <f t="shared" si="149"/>
        <v>0</v>
      </c>
    </row>
    <row r="518" spans="1:16" s="7" customFormat="1">
      <c r="A518" s="136" t="s">
        <v>1003</v>
      </c>
      <c r="B518" s="125" t="s">
        <v>1547</v>
      </c>
      <c r="C518" s="126" t="s">
        <v>1004</v>
      </c>
      <c r="D518" s="29"/>
      <c r="E518" s="19" t="s">
        <v>1005</v>
      </c>
      <c r="F518" s="20">
        <f>+F519</f>
        <v>125478000</v>
      </c>
      <c r="G518" s="20">
        <f t="shared" ref="G518:O518" si="168">+G519</f>
        <v>0</v>
      </c>
      <c r="H518" s="20">
        <f t="shared" si="168"/>
        <v>0</v>
      </c>
      <c r="I518" s="20">
        <f t="shared" si="168"/>
        <v>125478000</v>
      </c>
      <c r="J518" s="20">
        <f t="shared" si="168"/>
        <v>0</v>
      </c>
      <c r="K518" s="20">
        <f t="shared" si="168"/>
        <v>0</v>
      </c>
      <c r="L518" s="20">
        <f t="shared" si="168"/>
        <v>0</v>
      </c>
      <c r="M518" s="20">
        <f t="shared" si="168"/>
        <v>0</v>
      </c>
      <c r="N518" s="20">
        <f t="shared" si="168"/>
        <v>0</v>
      </c>
      <c r="O518" s="20">
        <f t="shared" si="168"/>
        <v>0</v>
      </c>
      <c r="P518" s="243">
        <f t="shared" si="149"/>
        <v>0</v>
      </c>
    </row>
    <row r="519" spans="1:16" s="8" customFormat="1">
      <c r="A519" s="107" t="s">
        <v>1006</v>
      </c>
      <c r="B519" s="149" t="s">
        <v>1825</v>
      </c>
      <c r="C519" s="18" t="s">
        <v>1007</v>
      </c>
      <c r="D519" s="30"/>
      <c r="E519" s="17" t="s">
        <v>1008</v>
      </c>
      <c r="F519" s="16">
        <f>SUM(F520:F520)</f>
        <v>125478000</v>
      </c>
      <c r="G519" s="203">
        <f t="shared" ref="G519:O519" si="169">SUM(G520:G520)</f>
        <v>0</v>
      </c>
      <c r="H519" s="203">
        <f t="shared" si="169"/>
        <v>0</v>
      </c>
      <c r="I519" s="203">
        <f t="shared" si="169"/>
        <v>125478000</v>
      </c>
      <c r="J519" s="203">
        <f t="shared" si="169"/>
        <v>0</v>
      </c>
      <c r="K519" s="203">
        <f t="shared" si="169"/>
        <v>0</v>
      </c>
      <c r="L519" s="203">
        <f t="shared" si="169"/>
        <v>0</v>
      </c>
      <c r="M519" s="203">
        <f t="shared" si="169"/>
        <v>0</v>
      </c>
      <c r="N519" s="203">
        <f t="shared" si="169"/>
        <v>0</v>
      </c>
      <c r="O519" s="203">
        <f t="shared" si="169"/>
        <v>0</v>
      </c>
      <c r="P519" s="237">
        <f t="shared" si="149"/>
        <v>0</v>
      </c>
    </row>
    <row r="520" spans="1:16" s="6" customFormat="1">
      <c r="A520" s="108"/>
      <c r="B520" s="150"/>
      <c r="C520" s="70" t="s">
        <v>1007</v>
      </c>
      <c r="D520" s="33" t="s">
        <v>1943</v>
      </c>
      <c r="E520" s="34" t="s">
        <v>763</v>
      </c>
      <c r="F520" s="35">
        <v>125478000</v>
      </c>
      <c r="G520" s="210">
        <v>0</v>
      </c>
      <c r="H520" s="210">
        <v>0</v>
      </c>
      <c r="I520" s="210">
        <v>125478000</v>
      </c>
      <c r="J520" s="210">
        <v>0</v>
      </c>
      <c r="K520" s="210">
        <v>0</v>
      </c>
      <c r="L520" s="210">
        <v>0</v>
      </c>
      <c r="M520" s="210">
        <v>0</v>
      </c>
      <c r="N520" s="210">
        <v>0</v>
      </c>
      <c r="O520" s="210">
        <v>0</v>
      </c>
      <c r="P520" s="242">
        <f t="shared" si="149"/>
        <v>0</v>
      </c>
    </row>
    <row r="521" spans="1:16" s="2" customFormat="1">
      <c r="A521" s="173" t="s">
        <v>1009</v>
      </c>
      <c r="B521" s="155" t="s">
        <v>1531</v>
      </c>
      <c r="C521" s="156" t="s">
        <v>1010</v>
      </c>
      <c r="D521" s="74"/>
      <c r="E521" s="40" t="s">
        <v>1011</v>
      </c>
      <c r="F521" s="75">
        <f t="shared" ref="F521:O521" si="170">+F522+F530+F540+F635+F649+F710+F718+F753</f>
        <v>91282416000</v>
      </c>
      <c r="G521" s="75">
        <f t="shared" si="170"/>
        <v>12327819036</v>
      </c>
      <c r="H521" s="75">
        <f t="shared" si="170"/>
        <v>27962197944</v>
      </c>
      <c r="I521" s="75">
        <f t="shared" si="170"/>
        <v>119244613944</v>
      </c>
      <c r="J521" s="75">
        <f t="shared" si="170"/>
        <v>8565175947</v>
      </c>
      <c r="K521" s="75">
        <f t="shared" si="170"/>
        <v>97721390378</v>
      </c>
      <c r="L521" s="75">
        <f t="shared" si="170"/>
        <v>17811999944</v>
      </c>
      <c r="M521" s="75">
        <f t="shared" si="170"/>
        <v>92145414295</v>
      </c>
      <c r="N521" s="75">
        <f t="shared" si="170"/>
        <v>4143329828</v>
      </c>
      <c r="O521" s="75">
        <f t="shared" si="170"/>
        <v>57980422404</v>
      </c>
      <c r="P521" s="246">
        <f t="shared" si="149"/>
        <v>0.77274277845600303</v>
      </c>
    </row>
    <row r="522" spans="1:16" s="2" customFormat="1">
      <c r="A522" s="136" t="s">
        <v>1012</v>
      </c>
      <c r="B522" s="125" t="s">
        <v>1826</v>
      </c>
      <c r="C522" s="126" t="s">
        <v>1013</v>
      </c>
      <c r="D522" s="29"/>
      <c r="E522" s="19" t="s">
        <v>1014</v>
      </c>
      <c r="F522" s="20">
        <f>+F523</f>
        <v>584972000</v>
      </c>
      <c r="G522" s="20">
        <f t="shared" ref="G522:O522" si="171">+G523</f>
        <v>0</v>
      </c>
      <c r="H522" s="20">
        <f t="shared" si="171"/>
        <v>-20239120</v>
      </c>
      <c r="I522" s="20">
        <f t="shared" si="171"/>
        <v>564732880</v>
      </c>
      <c r="J522" s="20">
        <f t="shared" si="171"/>
        <v>1000000</v>
      </c>
      <c r="K522" s="20">
        <f t="shared" si="171"/>
        <v>183831670</v>
      </c>
      <c r="L522" s="20">
        <f t="shared" si="171"/>
        <v>10478712</v>
      </c>
      <c r="M522" s="20">
        <f t="shared" si="171"/>
        <v>87987718</v>
      </c>
      <c r="N522" s="20">
        <f t="shared" si="171"/>
        <v>8373400</v>
      </c>
      <c r="O522" s="20">
        <f t="shared" si="171"/>
        <v>52517870</v>
      </c>
      <c r="P522" s="243">
        <f t="shared" si="149"/>
        <v>0.15580413522230191</v>
      </c>
    </row>
    <row r="523" spans="1:16" s="8" customFormat="1">
      <c r="A523" s="107" t="s">
        <v>1015</v>
      </c>
      <c r="B523" s="149" t="s">
        <v>1827</v>
      </c>
      <c r="C523" s="18" t="s">
        <v>1016</v>
      </c>
      <c r="D523" s="30"/>
      <c r="E523" s="17" t="s">
        <v>1017</v>
      </c>
      <c r="F523" s="203">
        <f>SUM(F524:F529)</f>
        <v>584972000</v>
      </c>
      <c r="G523" s="203">
        <f t="shared" ref="G523:O523" si="172">SUM(G524:G529)</f>
        <v>0</v>
      </c>
      <c r="H523" s="203">
        <f t="shared" si="172"/>
        <v>-20239120</v>
      </c>
      <c r="I523" s="203">
        <f t="shared" si="172"/>
        <v>564732880</v>
      </c>
      <c r="J523" s="203">
        <f t="shared" si="172"/>
        <v>1000000</v>
      </c>
      <c r="K523" s="203">
        <f t="shared" si="172"/>
        <v>183831670</v>
      </c>
      <c r="L523" s="203">
        <f t="shared" si="172"/>
        <v>10478712</v>
      </c>
      <c r="M523" s="203">
        <f t="shared" si="172"/>
        <v>87987718</v>
      </c>
      <c r="N523" s="203">
        <f t="shared" si="172"/>
        <v>8373400</v>
      </c>
      <c r="O523" s="203">
        <f t="shared" si="172"/>
        <v>52517870</v>
      </c>
      <c r="P523" s="237">
        <f t="shared" si="149"/>
        <v>0.15580413522230191</v>
      </c>
    </row>
    <row r="524" spans="1:16" s="8" customFormat="1">
      <c r="A524" s="108"/>
      <c r="B524" s="150"/>
      <c r="C524" s="70" t="s">
        <v>1016</v>
      </c>
      <c r="D524" s="33" t="s">
        <v>1960</v>
      </c>
      <c r="E524" s="34" t="s">
        <v>1018</v>
      </c>
      <c r="F524" s="35">
        <v>60000000</v>
      </c>
      <c r="G524" s="210">
        <v>0</v>
      </c>
      <c r="H524" s="210">
        <v>0</v>
      </c>
      <c r="I524" s="210">
        <v>60000000</v>
      </c>
      <c r="J524" s="210">
        <v>0</v>
      </c>
      <c r="K524" s="210">
        <v>24512670</v>
      </c>
      <c r="L524" s="210">
        <v>0</v>
      </c>
      <c r="M524" s="210">
        <v>24512656</v>
      </c>
      <c r="N524" s="210">
        <v>0</v>
      </c>
      <c r="O524" s="210">
        <v>0</v>
      </c>
      <c r="P524" s="242">
        <f t="shared" si="149"/>
        <v>0.40854426666666666</v>
      </c>
    </row>
    <row r="525" spans="1:16" s="8" customFormat="1">
      <c r="A525" s="108"/>
      <c r="B525" s="150"/>
      <c r="C525" s="70" t="s">
        <v>1016</v>
      </c>
      <c r="D525" s="33" t="s">
        <v>1940</v>
      </c>
      <c r="E525" s="34" t="s">
        <v>912</v>
      </c>
      <c r="F525" s="35">
        <v>10000000</v>
      </c>
      <c r="G525" s="210">
        <v>0</v>
      </c>
      <c r="H525" s="210">
        <v>0</v>
      </c>
      <c r="I525" s="210">
        <v>10000000</v>
      </c>
      <c r="J525" s="210">
        <v>1000000</v>
      </c>
      <c r="K525" s="210">
        <v>3000000</v>
      </c>
      <c r="L525" s="210">
        <v>0</v>
      </c>
      <c r="M525" s="210">
        <v>2000000</v>
      </c>
      <c r="N525" s="210">
        <v>0</v>
      </c>
      <c r="O525" s="210">
        <v>2000000</v>
      </c>
      <c r="P525" s="242">
        <f t="shared" si="149"/>
        <v>0.2</v>
      </c>
    </row>
    <row r="526" spans="1:16" s="8" customFormat="1">
      <c r="A526" s="108"/>
      <c r="B526" s="150"/>
      <c r="C526" s="70" t="s">
        <v>1016</v>
      </c>
      <c r="D526" s="33" t="s">
        <v>1938</v>
      </c>
      <c r="E526" s="34" t="s">
        <v>1019</v>
      </c>
      <c r="F526" s="35">
        <v>4569000</v>
      </c>
      <c r="G526" s="210">
        <v>0</v>
      </c>
      <c r="H526" s="210">
        <v>0</v>
      </c>
      <c r="I526" s="210">
        <v>4569000</v>
      </c>
      <c r="J526" s="210">
        <v>0</v>
      </c>
      <c r="K526" s="210">
        <v>4569000</v>
      </c>
      <c r="L526" s="210">
        <v>1435440</v>
      </c>
      <c r="M526" s="210">
        <v>3349360</v>
      </c>
      <c r="N526" s="210">
        <v>0</v>
      </c>
      <c r="O526" s="210">
        <v>1435440</v>
      </c>
      <c r="P526" s="242">
        <f t="shared" si="149"/>
        <v>0.73306193915517615</v>
      </c>
    </row>
    <row r="527" spans="1:16" s="8" customFormat="1">
      <c r="A527" s="108"/>
      <c r="B527" s="150"/>
      <c r="C527" s="70" t="s">
        <v>1016</v>
      </c>
      <c r="D527" s="33" t="s">
        <v>1942</v>
      </c>
      <c r="E527" s="34" t="s">
        <v>913</v>
      </c>
      <c r="F527" s="35">
        <v>2132000</v>
      </c>
      <c r="G527" s="210">
        <v>0</v>
      </c>
      <c r="H527" s="210">
        <v>0</v>
      </c>
      <c r="I527" s="210">
        <v>2132000</v>
      </c>
      <c r="J527" s="210">
        <v>0</v>
      </c>
      <c r="K527" s="210">
        <v>1750000</v>
      </c>
      <c r="L527" s="210">
        <v>0</v>
      </c>
      <c r="M527" s="210">
        <v>1750000</v>
      </c>
      <c r="N527" s="210">
        <v>0</v>
      </c>
      <c r="O527" s="210">
        <v>1750000</v>
      </c>
      <c r="P527" s="242">
        <f t="shared" si="149"/>
        <v>0.82082551594746722</v>
      </c>
    </row>
    <row r="528" spans="1:16" s="8" customFormat="1">
      <c r="A528" s="108"/>
      <c r="B528" s="150"/>
      <c r="C528" s="70" t="s">
        <v>1016</v>
      </c>
      <c r="D528" s="33" t="s">
        <v>1954</v>
      </c>
      <c r="E528" s="34" t="s">
        <v>1020</v>
      </c>
      <c r="F528" s="35">
        <v>461237000</v>
      </c>
      <c r="G528" s="210">
        <v>0</v>
      </c>
      <c r="H528" s="210">
        <v>0</v>
      </c>
      <c r="I528" s="210">
        <v>461237000</v>
      </c>
      <c r="J528" s="210">
        <v>0</v>
      </c>
      <c r="K528" s="210">
        <v>150000000</v>
      </c>
      <c r="L528" s="210">
        <v>9043272</v>
      </c>
      <c r="M528" s="210">
        <v>56375702</v>
      </c>
      <c r="N528" s="210">
        <v>8373400</v>
      </c>
      <c r="O528" s="210">
        <v>47332430</v>
      </c>
      <c r="P528" s="242">
        <f t="shared" ref="P528:P591" si="173">IFERROR((M528/I528),0)</f>
        <v>0.12222718905898702</v>
      </c>
    </row>
    <row r="529" spans="1:18" s="2" customFormat="1">
      <c r="A529" s="108"/>
      <c r="B529" s="150"/>
      <c r="C529" s="70" t="s">
        <v>1016</v>
      </c>
      <c r="D529" s="33" t="s">
        <v>1936</v>
      </c>
      <c r="E529" s="34" t="s">
        <v>908</v>
      </c>
      <c r="F529" s="35">
        <v>47034000</v>
      </c>
      <c r="G529" s="210">
        <v>0</v>
      </c>
      <c r="H529" s="210">
        <v>-20239120</v>
      </c>
      <c r="I529" s="210">
        <v>26794880</v>
      </c>
      <c r="J529" s="210">
        <v>0</v>
      </c>
      <c r="K529" s="210">
        <v>0</v>
      </c>
      <c r="L529" s="210">
        <v>0</v>
      </c>
      <c r="M529" s="210">
        <v>0</v>
      </c>
      <c r="N529" s="210">
        <v>0</v>
      </c>
      <c r="O529" s="210">
        <v>0</v>
      </c>
      <c r="P529" s="242">
        <f t="shared" si="173"/>
        <v>0</v>
      </c>
    </row>
    <row r="530" spans="1:18" s="7" customFormat="1">
      <c r="A530" s="136" t="s">
        <v>1021</v>
      </c>
      <c r="B530" s="125" t="s">
        <v>1828</v>
      </c>
      <c r="C530" s="126" t="s">
        <v>1022</v>
      </c>
      <c r="D530" s="29"/>
      <c r="E530" s="19" t="s">
        <v>1023</v>
      </c>
      <c r="F530" s="20">
        <f>+F531+F532+F536+F537</f>
        <v>1841083000</v>
      </c>
      <c r="G530" s="20">
        <f t="shared" ref="G530:O530" si="174">+G531+G532+G536+G537</f>
        <v>0</v>
      </c>
      <c r="H530" s="20">
        <f t="shared" si="174"/>
        <v>691663913</v>
      </c>
      <c r="I530" s="20">
        <f t="shared" si="174"/>
        <v>2532746913</v>
      </c>
      <c r="J530" s="20">
        <f t="shared" si="174"/>
        <v>70526168</v>
      </c>
      <c r="K530" s="20">
        <f t="shared" si="174"/>
        <v>1932020463</v>
      </c>
      <c r="L530" s="20">
        <f t="shared" si="174"/>
        <v>281325876</v>
      </c>
      <c r="M530" s="20">
        <f t="shared" si="174"/>
        <v>1844558011</v>
      </c>
      <c r="N530" s="20">
        <f t="shared" si="174"/>
        <v>118871914</v>
      </c>
      <c r="O530" s="20">
        <f t="shared" si="174"/>
        <v>1276593649</v>
      </c>
      <c r="P530" s="243">
        <f t="shared" si="173"/>
        <v>0.7282835886729595</v>
      </c>
    </row>
    <row r="531" spans="1:18" s="2" customFormat="1">
      <c r="A531" s="107" t="s">
        <v>1024</v>
      </c>
      <c r="B531" s="149" t="s">
        <v>1531</v>
      </c>
      <c r="C531" s="18" t="s">
        <v>1025</v>
      </c>
      <c r="D531" s="30"/>
      <c r="E531" s="219" t="s">
        <v>1026</v>
      </c>
      <c r="F531" s="16">
        <v>0</v>
      </c>
      <c r="G531" s="203">
        <v>0</v>
      </c>
      <c r="H531" s="203">
        <v>0</v>
      </c>
      <c r="I531" s="203">
        <v>0</v>
      </c>
      <c r="J531" s="203">
        <v>0</v>
      </c>
      <c r="K531" s="203">
        <v>0</v>
      </c>
      <c r="L531" s="203">
        <v>0</v>
      </c>
      <c r="M531" s="203">
        <v>0</v>
      </c>
      <c r="N531" s="203">
        <v>0</v>
      </c>
      <c r="O531" s="203">
        <v>0</v>
      </c>
      <c r="P531" s="237">
        <f t="shared" si="173"/>
        <v>0</v>
      </c>
    </row>
    <row r="532" spans="1:18" s="8" customFormat="1">
      <c r="A532" s="107" t="s">
        <v>1027</v>
      </c>
      <c r="B532" s="149" t="s">
        <v>1829</v>
      </c>
      <c r="C532" s="18" t="s">
        <v>1028</v>
      </c>
      <c r="D532" s="30"/>
      <c r="E532" s="17" t="s">
        <v>1029</v>
      </c>
      <c r="F532" s="16">
        <f>SUM(F533:F535)</f>
        <v>1968000</v>
      </c>
      <c r="G532" s="203">
        <f t="shared" ref="G532:O532" si="175">SUM(G533:G535)</f>
        <v>0</v>
      </c>
      <c r="H532" s="203">
        <f t="shared" si="175"/>
        <v>1300000</v>
      </c>
      <c r="I532" s="203">
        <f t="shared" si="175"/>
        <v>3268000</v>
      </c>
      <c r="J532" s="203">
        <f t="shared" si="175"/>
        <v>0</v>
      </c>
      <c r="K532" s="203">
        <f t="shared" si="175"/>
        <v>2874446</v>
      </c>
      <c r="L532" s="203">
        <f t="shared" si="175"/>
        <v>525385</v>
      </c>
      <c r="M532" s="203">
        <f t="shared" si="175"/>
        <v>2874446</v>
      </c>
      <c r="N532" s="203">
        <f t="shared" si="175"/>
        <v>525385</v>
      </c>
      <c r="O532" s="203">
        <f t="shared" si="175"/>
        <v>2874446</v>
      </c>
      <c r="P532" s="237">
        <f t="shared" si="173"/>
        <v>0.87957343941248467</v>
      </c>
    </row>
    <row r="533" spans="1:18" s="8" customFormat="1">
      <c r="A533" s="108"/>
      <c r="B533" s="150"/>
      <c r="C533" s="70" t="s">
        <v>1028</v>
      </c>
      <c r="D533" s="33" t="s">
        <v>1933</v>
      </c>
      <c r="E533" s="34" t="s">
        <v>279</v>
      </c>
      <c r="F533" s="35">
        <v>372000</v>
      </c>
      <c r="G533" s="210">
        <v>0</v>
      </c>
      <c r="H533" s="210">
        <v>0</v>
      </c>
      <c r="I533" s="210">
        <v>372000</v>
      </c>
      <c r="J533" s="210">
        <v>0</v>
      </c>
      <c r="K533" s="210">
        <v>357000</v>
      </c>
      <c r="L533" s="210">
        <v>0</v>
      </c>
      <c r="M533" s="210">
        <v>357000</v>
      </c>
      <c r="N533" s="210">
        <v>0</v>
      </c>
      <c r="O533" s="210">
        <v>357000</v>
      </c>
      <c r="P533" s="242">
        <f t="shared" si="173"/>
        <v>0.95967741935483875</v>
      </c>
    </row>
    <row r="534" spans="1:18" s="8" customFormat="1">
      <c r="A534" s="108"/>
      <c r="B534" s="150"/>
      <c r="C534" s="70" t="s">
        <v>1028</v>
      </c>
      <c r="D534" s="33" t="s">
        <v>1961</v>
      </c>
      <c r="E534" s="34" t="s">
        <v>1030</v>
      </c>
      <c r="F534" s="35">
        <v>0</v>
      </c>
      <c r="G534" s="210">
        <v>0</v>
      </c>
      <c r="H534" s="210">
        <v>2020000</v>
      </c>
      <c r="I534" s="210">
        <v>2020000</v>
      </c>
      <c r="J534" s="210">
        <v>0</v>
      </c>
      <c r="K534" s="210">
        <v>1992061</v>
      </c>
      <c r="L534" s="210">
        <v>0</v>
      </c>
      <c r="M534" s="210">
        <v>1992061</v>
      </c>
      <c r="N534" s="210">
        <v>0</v>
      </c>
      <c r="O534" s="210">
        <v>1992061</v>
      </c>
      <c r="P534" s="242">
        <f t="shared" si="173"/>
        <v>0.9861688118811881</v>
      </c>
    </row>
    <row r="535" spans="1:18" s="7" customFormat="1">
      <c r="A535" s="108"/>
      <c r="B535" s="150"/>
      <c r="C535" s="70" t="s">
        <v>1028</v>
      </c>
      <c r="D535" s="33" t="s">
        <v>1955</v>
      </c>
      <c r="E535" s="34" t="s">
        <v>919</v>
      </c>
      <c r="F535" s="35">
        <v>1596000</v>
      </c>
      <c r="G535" s="210">
        <v>0</v>
      </c>
      <c r="H535" s="210">
        <v>-720000</v>
      </c>
      <c r="I535" s="210">
        <v>876000</v>
      </c>
      <c r="J535" s="210">
        <v>0</v>
      </c>
      <c r="K535" s="210">
        <v>525385</v>
      </c>
      <c r="L535" s="210">
        <v>525385</v>
      </c>
      <c r="M535" s="210">
        <v>525385</v>
      </c>
      <c r="N535" s="210">
        <v>525385</v>
      </c>
      <c r="O535" s="210">
        <v>525385</v>
      </c>
      <c r="P535" s="242">
        <f t="shared" si="173"/>
        <v>0.59975456621004564</v>
      </c>
    </row>
    <row r="536" spans="1:18" s="2" customFormat="1">
      <c r="A536" s="107" t="s">
        <v>1031</v>
      </c>
      <c r="B536" s="149" t="s">
        <v>1830</v>
      </c>
      <c r="C536" s="18" t="s">
        <v>1032</v>
      </c>
      <c r="D536" s="30"/>
      <c r="E536" s="17" t="s">
        <v>1033</v>
      </c>
      <c r="F536" s="16">
        <v>0</v>
      </c>
      <c r="G536" s="203">
        <v>0</v>
      </c>
      <c r="H536" s="203">
        <v>0</v>
      </c>
      <c r="I536" s="203">
        <v>0</v>
      </c>
      <c r="J536" s="203">
        <v>0</v>
      </c>
      <c r="K536" s="203">
        <v>0</v>
      </c>
      <c r="L536" s="203">
        <v>0</v>
      </c>
      <c r="M536" s="203">
        <v>0</v>
      </c>
      <c r="N536" s="203">
        <v>0</v>
      </c>
      <c r="O536" s="203">
        <v>0</v>
      </c>
      <c r="P536" s="237">
        <f t="shared" si="173"/>
        <v>0</v>
      </c>
    </row>
    <row r="537" spans="1:18" s="8" customFormat="1">
      <c r="A537" s="107" t="s">
        <v>1034</v>
      </c>
      <c r="B537" s="149" t="s">
        <v>1831</v>
      </c>
      <c r="C537" s="18" t="s">
        <v>1035</v>
      </c>
      <c r="D537" s="30"/>
      <c r="E537" s="17" t="s">
        <v>1036</v>
      </c>
      <c r="F537" s="16">
        <f>SUM(F538:F539)</f>
        <v>1839115000</v>
      </c>
      <c r="G537" s="203">
        <f t="shared" ref="G537:O537" si="176">SUM(G538:G539)</f>
        <v>0</v>
      </c>
      <c r="H537" s="203">
        <f t="shared" si="176"/>
        <v>690363913</v>
      </c>
      <c r="I537" s="203">
        <f t="shared" si="176"/>
        <v>2529478913</v>
      </c>
      <c r="J537" s="203">
        <f t="shared" si="176"/>
        <v>70526168</v>
      </c>
      <c r="K537" s="203">
        <f t="shared" si="176"/>
        <v>1929146017</v>
      </c>
      <c r="L537" s="203">
        <f t="shared" si="176"/>
        <v>280800491</v>
      </c>
      <c r="M537" s="203">
        <f t="shared" si="176"/>
        <v>1841683565</v>
      </c>
      <c r="N537" s="203">
        <f t="shared" si="176"/>
        <v>118346529</v>
      </c>
      <c r="O537" s="203">
        <f t="shared" si="176"/>
        <v>1273719203</v>
      </c>
      <c r="P537" s="237">
        <f t="shared" si="173"/>
        <v>0.72808812737471518</v>
      </c>
    </row>
    <row r="538" spans="1:18" s="8" customFormat="1">
      <c r="A538" s="108"/>
      <c r="B538" s="150"/>
      <c r="C538" s="70" t="s">
        <v>1035</v>
      </c>
      <c r="D538" s="33" t="s">
        <v>1962</v>
      </c>
      <c r="E538" s="34" t="s">
        <v>1037</v>
      </c>
      <c r="F538" s="35">
        <v>785075000</v>
      </c>
      <c r="G538" s="210">
        <v>0</v>
      </c>
      <c r="H538" s="210">
        <v>310484408</v>
      </c>
      <c r="I538" s="210">
        <v>1095559408</v>
      </c>
      <c r="J538" s="210">
        <v>24236588</v>
      </c>
      <c r="K538" s="210">
        <v>879151333</v>
      </c>
      <c r="L538" s="210">
        <v>234510911</v>
      </c>
      <c r="M538" s="210">
        <v>807495347</v>
      </c>
      <c r="N538" s="210">
        <v>28776556</v>
      </c>
      <c r="O538" s="210">
        <v>474066692</v>
      </c>
      <c r="P538" s="242">
        <f t="shared" si="173"/>
        <v>0.73706212652960945</v>
      </c>
    </row>
    <row r="539" spans="1:18" s="2" customFormat="1">
      <c r="A539" s="108"/>
      <c r="B539" s="150"/>
      <c r="C539" s="70" t="s">
        <v>1035</v>
      </c>
      <c r="D539" s="33" t="s">
        <v>1963</v>
      </c>
      <c r="E539" s="34" t="s">
        <v>1038</v>
      </c>
      <c r="F539" s="35">
        <v>1054040000</v>
      </c>
      <c r="G539" s="210">
        <v>0</v>
      </c>
      <c r="H539" s="210">
        <v>379879505</v>
      </c>
      <c r="I539" s="210">
        <v>1433919505</v>
      </c>
      <c r="J539" s="210">
        <v>46289580</v>
      </c>
      <c r="K539" s="210">
        <v>1049994684</v>
      </c>
      <c r="L539" s="210">
        <v>46289580</v>
      </c>
      <c r="M539" s="210">
        <v>1034188218</v>
      </c>
      <c r="N539" s="210">
        <v>89569973</v>
      </c>
      <c r="O539" s="210">
        <v>799652511</v>
      </c>
      <c r="P539" s="242">
        <f t="shared" si="173"/>
        <v>0.72123171098087546</v>
      </c>
    </row>
    <row r="540" spans="1:18" s="2" customFormat="1">
      <c r="A540" s="136" t="s">
        <v>1039</v>
      </c>
      <c r="B540" s="125" t="s">
        <v>1546</v>
      </c>
      <c r="C540" s="126" t="s">
        <v>1040</v>
      </c>
      <c r="D540" s="29"/>
      <c r="E540" s="19" t="s">
        <v>1041</v>
      </c>
      <c r="F540" s="20">
        <f>+F541+F619+F622</f>
        <v>54944773000</v>
      </c>
      <c r="G540" s="20">
        <f t="shared" ref="G540:O540" si="177">+G541+G619+G622</f>
        <v>656320000</v>
      </c>
      <c r="H540" s="20">
        <f t="shared" si="177"/>
        <v>14601810861</v>
      </c>
      <c r="I540" s="20">
        <f t="shared" si="177"/>
        <v>69546583861</v>
      </c>
      <c r="J540" s="20">
        <f t="shared" si="177"/>
        <v>6898947220</v>
      </c>
      <c r="K540" s="20">
        <f t="shared" si="177"/>
        <v>64666077693</v>
      </c>
      <c r="L540" s="20">
        <f t="shared" si="177"/>
        <v>15812314989</v>
      </c>
      <c r="M540" s="20">
        <f t="shared" si="177"/>
        <v>62056333103</v>
      </c>
      <c r="N540" s="20">
        <f t="shared" si="177"/>
        <v>3671280121</v>
      </c>
      <c r="O540" s="20">
        <f t="shared" si="177"/>
        <v>38146785196</v>
      </c>
      <c r="P540" s="243">
        <f t="shared" si="173"/>
        <v>0.89229879683277513</v>
      </c>
      <c r="Q540" s="354"/>
      <c r="R540" s="354"/>
    </row>
    <row r="541" spans="1:18" s="8" customFormat="1">
      <c r="A541" s="134" t="s">
        <v>1042</v>
      </c>
      <c r="B541" s="123" t="s">
        <v>1546</v>
      </c>
      <c r="C541" s="124" t="s">
        <v>1043</v>
      </c>
      <c r="D541" s="67"/>
      <c r="E541" s="25" t="s">
        <v>1044</v>
      </c>
      <c r="F541" s="68">
        <f>+F542+F613</f>
        <v>54520677000</v>
      </c>
      <c r="G541" s="68">
        <f t="shared" ref="G541:O541" si="178">+G542+G613</f>
        <v>656320000</v>
      </c>
      <c r="H541" s="68">
        <f t="shared" si="178"/>
        <v>14686810861</v>
      </c>
      <c r="I541" s="68">
        <f t="shared" si="178"/>
        <v>69207487861</v>
      </c>
      <c r="J541" s="68">
        <f t="shared" si="178"/>
        <v>6899178658</v>
      </c>
      <c r="K541" s="68">
        <f t="shared" si="178"/>
        <v>64416098131</v>
      </c>
      <c r="L541" s="68">
        <f t="shared" si="178"/>
        <v>15765286427</v>
      </c>
      <c r="M541" s="68">
        <f t="shared" si="178"/>
        <v>61811966987</v>
      </c>
      <c r="N541" s="68">
        <f t="shared" si="178"/>
        <v>3671280121</v>
      </c>
      <c r="O541" s="68">
        <f t="shared" si="178"/>
        <v>38061232196</v>
      </c>
      <c r="P541" s="229">
        <f t="shared" si="173"/>
        <v>0.89313987398511618</v>
      </c>
      <c r="Q541" s="356"/>
      <c r="R541" s="356"/>
    </row>
    <row r="542" spans="1:18" s="2" customFormat="1">
      <c r="A542" s="174" t="s">
        <v>1045</v>
      </c>
      <c r="B542" s="157" t="s">
        <v>1531</v>
      </c>
      <c r="C542" s="158" t="s">
        <v>1046</v>
      </c>
      <c r="D542" s="41"/>
      <c r="E542" s="42" t="s">
        <v>1047</v>
      </c>
      <c r="F542" s="76">
        <f>+F543+F551+F553+F555+F557+F559+F561+F563+F578+F593+F596+F600+F602+F608+F610</f>
        <v>51373981000</v>
      </c>
      <c r="G542" s="76">
        <f t="shared" ref="G542:O542" si="179">+G543+G551+G553+G555+G557+G559+G561+G563+G578+G593+G596+G600+G602+G608+G610</f>
        <v>656320000</v>
      </c>
      <c r="H542" s="76">
        <f t="shared" si="179"/>
        <v>14026236403</v>
      </c>
      <c r="I542" s="76">
        <f t="shared" si="179"/>
        <v>65400217403</v>
      </c>
      <c r="J542" s="76">
        <f t="shared" si="179"/>
        <v>6937649837</v>
      </c>
      <c r="K542" s="76">
        <f t="shared" si="179"/>
        <v>60798032643</v>
      </c>
      <c r="L542" s="76">
        <f t="shared" si="179"/>
        <v>14539468434</v>
      </c>
      <c r="M542" s="76">
        <f t="shared" si="179"/>
        <v>58377098465</v>
      </c>
      <c r="N542" s="76">
        <f t="shared" si="179"/>
        <v>3507232718</v>
      </c>
      <c r="O542" s="76">
        <f t="shared" si="179"/>
        <v>36074646304</v>
      </c>
      <c r="P542" s="247">
        <f t="shared" si="173"/>
        <v>0.89261321725089804</v>
      </c>
    </row>
    <row r="543" spans="1:18" s="8" customFormat="1">
      <c r="A543" s="107"/>
      <c r="B543" s="149" t="s">
        <v>1832</v>
      </c>
      <c r="C543" s="18" t="s">
        <v>1048</v>
      </c>
      <c r="D543" s="30"/>
      <c r="E543" s="17" t="s">
        <v>1049</v>
      </c>
      <c r="F543" s="203">
        <f>SUM(F544:F550)</f>
        <v>2610107000</v>
      </c>
      <c r="G543" s="203">
        <f t="shared" ref="G543:O543" si="180">SUM(G544:G550)</f>
        <v>0</v>
      </c>
      <c r="H543" s="203">
        <f t="shared" si="180"/>
        <v>85410460</v>
      </c>
      <c r="I543" s="203">
        <f t="shared" si="180"/>
        <v>2695517460</v>
      </c>
      <c r="J543" s="203">
        <f t="shared" si="180"/>
        <v>0</v>
      </c>
      <c r="K543" s="203">
        <f t="shared" si="180"/>
        <v>1155863046</v>
      </c>
      <c r="L543" s="203">
        <f t="shared" si="180"/>
        <v>203104980</v>
      </c>
      <c r="M543" s="203">
        <f t="shared" si="180"/>
        <v>885442986</v>
      </c>
      <c r="N543" s="203">
        <f t="shared" si="180"/>
        <v>399206340</v>
      </c>
      <c r="O543" s="203">
        <f t="shared" si="180"/>
        <v>882456120</v>
      </c>
      <c r="P543" s="237">
        <f t="shared" si="173"/>
        <v>0.3284872011179627</v>
      </c>
    </row>
    <row r="544" spans="1:18" s="8" customFormat="1">
      <c r="A544" s="108"/>
      <c r="B544" s="150"/>
      <c r="C544" s="70" t="s">
        <v>1048</v>
      </c>
      <c r="D544" s="33" t="s">
        <v>1943</v>
      </c>
      <c r="E544" s="34" t="s">
        <v>763</v>
      </c>
      <c r="F544" s="35">
        <v>37468000</v>
      </c>
      <c r="G544" s="210">
        <v>0</v>
      </c>
      <c r="H544" s="210">
        <v>0</v>
      </c>
      <c r="I544" s="210">
        <v>37468000</v>
      </c>
      <c r="J544" s="210">
        <v>0</v>
      </c>
      <c r="K544" s="210">
        <v>14007240</v>
      </c>
      <c r="L544" s="210">
        <v>0</v>
      </c>
      <c r="M544" s="210">
        <v>10505430</v>
      </c>
      <c r="N544" s="210">
        <v>10505430</v>
      </c>
      <c r="O544" s="210">
        <v>10505430</v>
      </c>
      <c r="P544" s="242">
        <f t="shared" si="173"/>
        <v>0.2803840610654425</v>
      </c>
    </row>
    <row r="545" spans="1:16" s="8" customFormat="1">
      <c r="A545" s="108"/>
      <c r="B545" s="150"/>
      <c r="C545" s="70" t="s">
        <v>1048</v>
      </c>
      <c r="D545" s="33" t="s">
        <v>1936</v>
      </c>
      <c r="E545" s="34" t="s">
        <v>908</v>
      </c>
      <c r="F545" s="35">
        <v>846071000</v>
      </c>
      <c r="G545" s="210">
        <v>0</v>
      </c>
      <c r="H545" s="210">
        <v>85410460</v>
      </c>
      <c r="I545" s="210">
        <v>931481460</v>
      </c>
      <c r="J545" s="210">
        <v>0</v>
      </c>
      <c r="K545" s="210">
        <v>0</v>
      </c>
      <c r="L545" s="210">
        <v>0</v>
      </c>
      <c r="M545" s="210">
        <v>0</v>
      </c>
      <c r="N545" s="210">
        <v>0</v>
      </c>
      <c r="O545" s="210">
        <v>0</v>
      </c>
      <c r="P545" s="242">
        <f t="shared" si="173"/>
        <v>0</v>
      </c>
    </row>
    <row r="546" spans="1:16" s="8" customFormat="1">
      <c r="A546" s="108"/>
      <c r="B546" s="150"/>
      <c r="C546" s="70" t="s">
        <v>1048</v>
      </c>
      <c r="D546" s="33" t="s">
        <v>1937</v>
      </c>
      <c r="E546" s="34" t="s">
        <v>909</v>
      </c>
      <c r="F546" s="35">
        <v>445400000</v>
      </c>
      <c r="G546" s="210">
        <v>0</v>
      </c>
      <c r="H546" s="210">
        <v>0</v>
      </c>
      <c r="I546" s="210">
        <v>445400000</v>
      </c>
      <c r="J546" s="210">
        <v>0</v>
      </c>
      <c r="K546" s="210">
        <v>223600896</v>
      </c>
      <c r="L546" s="210">
        <v>0</v>
      </c>
      <c r="M546" s="210">
        <v>223600896</v>
      </c>
      <c r="N546" s="210">
        <v>0</v>
      </c>
      <c r="O546" s="210">
        <v>220614030</v>
      </c>
      <c r="P546" s="242">
        <f t="shared" si="173"/>
        <v>0.50202266726537947</v>
      </c>
    </row>
    <row r="547" spans="1:16" s="8" customFormat="1">
      <c r="A547" s="108"/>
      <c r="B547" s="150"/>
      <c r="C547" s="70" t="s">
        <v>1048</v>
      </c>
      <c r="D547" s="33" t="s">
        <v>1938</v>
      </c>
      <c r="E547" s="34" t="s">
        <v>910</v>
      </c>
      <c r="F547" s="35">
        <v>529554000</v>
      </c>
      <c r="G547" s="210">
        <v>0</v>
      </c>
      <c r="H547" s="210">
        <v>0</v>
      </c>
      <c r="I547" s="210">
        <v>529554000</v>
      </c>
      <c r="J547" s="210">
        <v>0</v>
      </c>
      <c r="K547" s="210">
        <v>529554000</v>
      </c>
      <c r="L547" s="210">
        <v>0</v>
      </c>
      <c r="M547" s="210">
        <v>262635750</v>
      </c>
      <c r="N547" s="210">
        <v>0</v>
      </c>
      <c r="O547" s="210">
        <v>262635750</v>
      </c>
      <c r="P547" s="242">
        <f t="shared" si="173"/>
        <v>0.4959565030195221</v>
      </c>
    </row>
    <row r="548" spans="1:16" s="8" customFormat="1">
      <c r="A548" s="108"/>
      <c r="B548" s="150"/>
      <c r="C548" s="70" t="s">
        <v>1048</v>
      </c>
      <c r="D548" s="33" t="s">
        <v>1939</v>
      </c>
      <c r="E548" s="34" t="s">
        <v>911</v>
      </c>
      <c r="F548" s="35">
        <v>408406000</v>
      </c>
      <c r="G548" s="210">
        <v>0</v>
      </c>
      <c r="H548" s="210">
        <v>0</v>
      </c>
      <c r="I548" s="210">
        <v>408406000</v>
      </c>
      <c r="J548" s="210">
        <v>0</v>
      </c>
      <c r="K548" s="210">
        <v>203104980</v>
      </c>
      <c r="L548" s="210">
        <v>203104980</v>
      </c>
      <c r="M548" s="210">
        <v>203104980</v>
      </c>
      <c r="N548" s="210">
        <v>203104980</v>
      </c>
      <c r="O548" s="210">
        <v>203104980</v>
      </c>
      <c r="P548" s="242">
        <f t="shared" si="173"/>
        <v>0.49731144988075593</v>
      </c>
    </row>
    <row r="549" spans="1:16" s="8" customFormat="1">
      <c r="A549" s="108"/>
      <c r="B549" s="150"/>
      <c r="C549" s="70" t="s">
        <v>1048</v>
      </c>
      <c r="D549" s="33" t="s">
        <v>1940</v>
      </c>
      <c r="E549" s="34" t="s">
        <v>912</v>
      </c>
      <c r="F549" s="35">
        <v>196935000</v>
      </c>
      <c r="G549" s="210">
        <v>0</v>
      </c>
      <c r="H549" s="210">
        <v>0</v>
      </c>
      <c r="I549" s="210">
        <v>196935000</v>
      </c>
      <c r="J549" s="210">
        <v>0</v>
      </c>
      <c r="K549" s="210">
        <v>112057920</v>
      </c>
      <c r="L549" s="210">
        <v>0</v>
      </c>
      <c r="M549" s="210">
        <v>112057920</v>
      </c>
      <c r="N549" s="210">
        <v>112057920</v>
      </c>
      <c r="O549" s="210">
        <v>112057920</v>
      </c>
      <c r="P549" s="242">
        <f t="shared" si="173"/>
        <v>0.56900967324244045</v>
      </c>
    </row>
    <row r="550" spans="1:16" s="7" customFormat="1">
      <c r="A550" s="108"/>
      <c r="B550" s="150"/>
      <c r="C550" s="70" t="s">
        <v>1048</v>
      </c>
      <c r="D550" s="33" t="s">
        <v>1942</v>
      </c>
      <c r="E550" s="34" t="s">
        <v>913</v>
      </c>
      <c r="F550" s="35">
        <v>146273000</v>
      </c>
      <c r="G550" s="210">
        <v>0</v>
      </c>
      <c r="H550" s="210">
        <v>0</v>
      </c>
      <c r="I550" s="210">
        <v>146273000</v>
      </c>
      <c r="J550" s="210">
        <v>0</v>
      </c>
      <c r="K550" s="210">
        <v>73538010</v>
      </c>
      <c r="L550" s="210">
        <v>0</v>
      </c>
      <c r="M550" s="210">
        <v>73538010</v>
      </c>
      <c r="N550" s="210">
        <v>73538010</v>
      </c>
      <c r="O550" s="210">
        <v>73538010</v>
      </c>
      <c r="P550" s="242">
        <f t="shared" si="173"/>
        <v>0.50274493583915003</v>
      </c>
    </row>
    <row r="551" spans="1:16" s="8" customFormat="1">
      <c r="A551" s="107"/>
      <c r="B551" s="149" t="s">
        <v>1833</v>
      </c>
      <c r="C551" s="18" t="s">
        <v>1050</v>
      </c>
      <c r="D551" s="30"/>
      <c r="E551" s="17" t="s">
        <v>1051</v>
      </c>
      <c r="F551" s="16">
        <f>+F552</f>
        <v>850489000</v>
      </c>
      <c r="G551" s="203">
        <f t="shared" ref="G551:O551" si="181">+G552</f>
        <v>0</v>
      </c>
      <c r="H551" s="203">
        <f t="shared" si="181"/>
        <v>4752693</v>
      </c>
      <c r="I551" s="203">
        <f t="shared" si="181"/>
        <v>855241693</v>
      </c>
      <c r="J551" s="203">
        <f t="shared" si="181"/>
        <v>425244390</v>
      </c>
      <c r="K551" s="203">
        <f t="shared" si="181"/>
        <v>428808910</v>
      </c>
      <c r="L551" s="203">
        <f t="shared" si="181"/>
        <v>425244390</v>
      </c>
      <c r="M551" s="203">
        <f t="shared" si="181"/>
        <v>428808910</v>
      </c>
      <c r="N551" s="203">
        <f t="shared" si="181"/>
        <v>425244390</v>
      </c>
      <c r="O551" s="203">
        <f t="shared" si="181"/>
        <v>428808910</v>
      </c>
      <c r="P551" s="237">
        <f t="shared" si="173"/>
        <v>0.50138915526420669</v>
      </c>
    </row>
    <row r="552" spans="1:16" s="7" customFormat="1">
      <c r="A552" s="108"/>
      <c r="B552" s="150"/>
      <c r="C552" s="70" t="s">
        <v>1050</v>
      </c>
      <c r="D552" s="33" t="s">
        <v>1933</v>
      </c>
      <c r="E552" s="34" t="s">
        <v>279</v>
      </c>
      <c r="F552" s="35">
        <v>850489000</v>
      </c>
      <c r="G552" s="210">
        <v>0</v>
      </c>
      <c r="H552" s="210">
        <v>4752693</v>
      </c>
      <c r="I552" s="210">
        <v>855241693</v>
      </c>
      <c r="J552" s="210">
        <v>425244390</v>
      </c>
      <c r="K552" s="210">
        <v>428808910</v>
      </c>
      <c r="L552" s="210">
        <v>425244390</v>
      </c>
      <c r="M552" s="210">
        <v>428808910</v>
      </c>
      <c r="N552" s="210">
        <v>425244390</v>
      </c>
      <c r="O552" s="210">
        <v>428808910</v>
      </c>
      <c r="P552" s="242">
        <f t="shared" si="173"/>
        <v>0.50138915526420669</v>
      </c>
    </row>
    <row r="553" spans="1:16" s="8" customFormat="1">
      <c r="A553" s="107"/>
      <c r="B553" s="149" t="s">
        <v>1834</v>
      </c>
      <c r="C553" s="18" t="s">
        <v>1052</v>
      </c>
      <c r="D553" s="30"/>
      <c r="E553" s="17" t="s">
        <v>1053</v>
      </c>
      <c r="F553" s="16">
        <f>+F554</f>
        <v>2131992000</v>
      </c>
      <c r="G553" s="203">
        <f t="shared" ref="G553:O553" si="182">+G554</f>
        <v>0</v>
      </c>
      <c r="H553" s="203">
        <f t="shared" si="182"/>
        <v>501645176</v>
      </c>
      <c r="I553" s="203">
        <f t="shared" si="182"/>
        <v>2633637176</v>
      </c>
      <c r="J553" s="203">
        <f t="shared" si="182"/>
        <v>88121064</v>
      </c>
      <c r="K553" s="203">
        <f t="shared" si="182"/>
        <v>2579615586</v>
      </c>
      <c r="L553" s="203">
        <f t="shared" si="182"/>
        <v>78242025</v>
      </c>
      <c r="M553" s="203">
        <f t="shared" si="182"/>
        <v>2533381665</v>
      </c>
      <c r="N553" s="203">
        <f t="shared" si="182"/>
        <v>0</v>
      </c>
      <c r="O553" s="203">
        <f t="shared" si="182"/>
        <v>1678918889</v>
      </c>
      <c r="P553" s="237">
        <f t="shared" si="173"/>
        <v>0.96193267929477311</v>
      </c>
    </row>
    <row r="554" spans="1:16" s="2" customFormat="1">
      <c r="A554" s="108"/>
      <c r="B554" s="150"/>
      <c r="C554" s="70" t="s">
        <v>1052</v>
      </c>
      <c r="D554" s="33" t="s">
        <v>1940</v>
      </c>
      <c r="E554" s="34" t="s">
        <v>1054</v>
      </c>
      <c r="F554" s="35">
        <v>2131992000</v>
      </c>
      <c r="G554" s="210">
        <v>0</v>
      </c>
      <c r="H554" s="210">
        <v>501645176</v>
      </c>
      <c r="I554" s="210">
        <v>2633637176</v>
      </c>
      <c r="J554" s="210">
        <v>88121064</v>
      </c>
      <c r="K554" s="210">
        <v>2579615586</v>
      </c>
      <c r="L554" s="210">
        <v>78242025</v>
      </c>
      <c r="M554" s="210">
        <v>2533381665</v>
      </c>
      <c r="N554" s="210">
        <v>0</v>
      </c>
      <c r="O554" s="210">
        <v>1678918889</v>
      </c>
      <c r="P554" s="242">
        <f t="shared" si="173"/>
        <v>0.96193267929477311</v>
      </c>
    </row>
    <row r="555" spans="1:16" s="8" customFormat="1">
      <c r="A555" s="107"/>
      <c r="B555" s="149" t="s">
        <v>1835</v>
      </c>
      <c r="C555" s="18" t="s">
        <v>1055</v>
      </c>
      <c r="D555" s="30"/>
      <c r="E555" s="17" t="s">
        <v>1056</v>
      </c>
      <c r="F555" s="16">
        <f>SUM(F556:F556)</f>
        <v>3259024000</v>
      </c>
      <c r="G555" s="203">
        <f t="shared" ref="G555:O555" si="183">SUM(G556:G556)</f>
        <v>0</v>
      </c>
      <c r="H555" s="203">
        <f t="shared" si="183"/>
        <v>958536471</v>
      </c>
      <c r="I555" s="203">
        <f t="shared" si="183"/>
        <v>4217560471</v>
      </c>
      <c r="J555" s="203">
        <f t="shared" si="183"/>
        <v>990060049</v>
      </c>
      <c r="K555" s="203">
        <f t="shared" si="183"/>
        <v>4076308102</v>
      </c>
      <c r="L555" s="203">
        <f t="shared" si="183"/>
        <v>1506874518</v>
      </c>
      <c r="M555" s="203">
        <f t="shared" si="183"/>
        <v>3898156056</v>
      </c>
      <c r="N555" s="203">
        <f t="shared" si="183"/>
        <v>27380321</v>
      </c>
      <c r="O555" s="203">
        <f t="shared" si="183"/>
        <v>2318365420</v>
      </c>
      <c r="P555" s="237">
        <f t="shared" si="173"/>
        <v>0.92426797026474694</v>
      </c>
    </row>
    <row r="556" spans="1:16" s="7" customFormat="1">
      <c r="A556" s="108"/>
      <c r="B556" s="150"/>
      <c r="C556" s="70" t="s">
        <v>1055</v>
      </c>
      <c r="D556" s="33" t="s">
        <v>1937</v>
      </c>
      <c r="E556" s="34" t="s">
        <v>998</v>
      </c>
      <c r="F556" s="35">
        <v>3259024000</v>
      </c>
      <c r="G556" s="210">
        <v>0</v>
      </c>
      <c r="H556" s="210">
        <v>958536471</v>
      </c>
      <c r="I556" s="210">
        <v>4217560471</v>
      </c>
      <c r="J556" s="210">
        <v>990060049</v>
      </c>
      <c r="K556" s="210">
        <v>4076308102</v>
      </c>
      <c r="L556" s="210">
        <v>1506874518</v>
      </c>
      <c r="M556" s="210">
        <v>3898156056</v>
      </c>
      <c r="N556" s="210">
        <v>27380321</v>
      </c>
      <c r="O556" s="210">
        <v>2318365420</v>
      </c>
      <c r="P556" s="242">
        <f t="shared" si="173"/>
        <v>0.92426797026474694</v>
      </c>
    </row>
    <row r="557" spans="1:16" s="8" customFormat="1">
      <c r="A557" s="107"/>
      <c r="B557" s="149" t="s">
        <v>1836</v>
      </c>
      <c r="C557" s="18" t="s">
        <v>1057</v>
      </c>
      <c r="D557" s="30"/>
      <c r="E557" s="17" t="s">
        <v>1058</v>
      </c>
      <c r="F557" s="16">
        <f>+F558</f>
        <v>2474762000</v>
      </c>
      <c r="G557" s="203">
        <f t="shared" ref="G557:O557" si="184">+G558</f>
        <v>0</v>
      </c>
      <c r="H557" s="203">
        <f t="shared" si="184"/>
        <v>747831294</v>
      </c>
      <c r="I557" s="203">
        <f t="shared" si="184"/>
        <v>3222593294</v>
      </c>
      <c r="J557" s="203">
        <f t="shared" si="184"/>
        <v>299484269</v>
      </c>
      <c r="K557" s="203">
        <f t="shared" si="184"/>
        <v>3195097206</v>
      </c>
      <c r="L557" s="203">
        <f t="shared" si="184"/>
        <v>423613337</v>
      </c>
      <c r="M557" s="203">
        <f t="shared" si="184"/>
        <v>3107239592</v>
      </c>
      <c r="N557" s="203">
        <f t="shared" si="184"/>
        <v>269105037</v>
      </c>
      <c r="O557" s="203">
        <f t="shared" si="184"/>
        <v>1860342201</v>
      </c>
      <c r="P557" s="237">
        <f t="shared" si="173"/>
        <v>0.96420469743582848</v>
      </c>
    </row>
    <row r="558" spans="1:16" s="7" customFormat="1">
      <c r="A558" s="108"/>
      <c r="B558" s="150"/>
      <c r="C558" s="70" t="s">
        <v>1057</v>
      </c>
      <c r="D558" s="33" t="s">
        <v>1936</v>
      </c>
      <c r="E558" s="34" t="s">
        <v>908</v>
      </c>
      <c r="F558" s="35">
        <v>2474762000</v>
      </c>
      <c r="G558" s="210">
        <v>0</v>
      </c>
      <c r="H558" s="210">
        <v>747831294</v>
      </c>
      <c r="I558" s="210">
        <v>3222593294</v>
      </c>
      <c r="J558" s="210">
        <v>299484269</v>
      </c>
      <c r="K558" s="210">
        <v>3195097206</v>
      </c>
      <c r="L558" s="210">
        <v>423613337</v>
      </c>
      <c r="M558" s="210">
        <v>3107239592</v>
      </c>
      <c r="N558" s="210">
        <v>269105037</v>
      </c>
      <c r="O558" s="210">
        <v>1860342201</v>
      </c>
      <c r="P558" s="242">
        <f t="shared" si="173"/>
        <v>0.96420469743582848</v>
      </c>
    </row>
    <row r="559" spans="1:16" s="8" customFormat="1">
      <c r="A559" s="107"/>
      <c r="B559" s="149" t="s">
        <v>1837</v>
      </c>
      <c r="C559" s="18" t="s">
        <v>1059</v>
      </c>
      <c r="D559" s="30"/>
      <c r="E559" s="17" t="s">
        <v>1060</v>
      </c>
      <c r="F559" s="16">
        <f>+F560</f>
        <v>2646162000</v>
      </c>
      <c r="G559" s="203">
        <f t="shared" ref="G559:O559" si="185">+G560</f>
        <v>0</v>
      </c>
      <c r="H559" s="203">
        <f t="shared" si="185"/>
        <v>599133262</v>
      </c>
      <c r="I559" s="203">
        <f t="shared" si="185"/>
        <v>3245295262</v>
      </c>
      <c r="J559" s="203">
        <f t="shared" si="185"/>
        <v>740831546</v>
      </c>
      <c r="K559" s="203">
        <f t="shared" si="185"/>
        <v>3190197372</v>
      </c>
      <c r="L559" s="203">
        <f t="shared" si="185"/>
        <v>898944514</v>
      </c>
      <c r="M559" s="203">
        <f t="shared" si="185"/>
        <v>2941640659</v>
      </c>
      <c r="N559" s="203">
        <f t="shared" si="185"/>
        <v>259837572</v>
      </c>
      <c r="O559" s="203">
        <f t="shared" si="185"/>
        <v>2016085370</v>
      </c>
      <c r="P559" s="237">
        <f t="shared" si="173"/>
        <v>0.90643236485888656</v>
      </c>
    </row>
    <row r="560" spans="1:16" s="8" customFormat="1">
      <c r="A560" s="108"/>
      <c r="B560" s="150"/>
      <c r="C560" s="70" t="s">
        <v>1059</v>
      </c>
      <c r="D560" s="33" t="s">
        <v>1938</v>
      </c>
      <c r="E560" s="34" t="s">
        <v>1019</v>
      </c>
      <c r="F560" s="35">
        <v>2646162000</v>
      </c>
      <c r="G560" s="210">
        <v>0</v>
      </c>
      <c r="H560" s="210">
        <v>599133262</v>
      </c>
      <c r="I560" s="210">
        <v>3245295262</v>
      </c>
      <c r="J560" s="210">
        <v>740831546</v>
      </c>
      <c r="K560" s="210">
        <v>3190197372</v>
      </c>
      <c r="L560" s="210">
        <v>898944514</v>
      </c>
      <c r="M560" s="210">
        <v>2941640659</v>
      </c>
      <c r="N560" s="210">
        <v>259837572</v>
      </c>
      <c r="O560" s="210">
        <v>2016085370</v>
      </c>
      <c r="P560" s="242">
        <f t="shared" si="173"/>
        <v>0.90643236485888656</v>
      </c>
    </row>
    <row r="561" spans="1:18" s="8" customFormat="1">
      <c r="A561" s="107"/>
      <c r="B561" s="149" t="s">
        <v>1838</v>
      </c>
      <c r="C561" s="18" t="s">
        <v>1061</v>
      </c>
      <c r="D561" s="30"/>
      <c r="E561" s="17" t="s">
        <v>1062</v>
      </c>
      <c r="F561" s="16">
        <f>+F562</f>
        <v>3186492000</v>
      </c>
      <c r="G561" s="203">
        <f t="shared" ref="G561:O561" si="186">+G562</f>
        <v>0</v>
      </c>
      <c r="H561" s="203">
        <f t="shared" si="186"/>
        <v>919762824</v>
      </c>
      <c r="I561" s="203">
        <f t="shared" si="186"/>
        <v>4106254824</v>
      </c>
      <c r="J561" s="203">
        <f t="shared" si="186"/>
        <v>331935772</v>
      </c>
      <c r="K561" s="203">
        <f t="shared" si="186"/>
        <v>4005723224</v>
      </c>
      <c r="L561" s="203">
        <f t="shared" si="186"/>
        <v>580404638</v>
      </c>
      <c r="M561" s="203">
        <f t="shared" si="186"/>
        <v>3973385830</v>
      </c>
      <c r="N561" s="203">
        <f t="shared" si="186"/>
        <v>370095257</v>
      </c>
      <c r="O561" s="203">
        <f t="shared" si="186"/>
        <v>2571773689</v>
      </c>
      <c r="P561" s="237">
        <f t="shared" si="173"/>
        <v>0.96764229213846764</v>
      </c>
      <c r="Q561" s="356"/>
      <c r="R561" s="356"/>
    </row>
    <row r="562" spans="1:18">
      <c r="A562" s="108"/>
      <c r="B562" s="150"/>
      <c r="C562" s="70" t="s">
        <v>1061</v>
      </c>
      <c r="D562" s="33" t="s">
        <v>1939</v>
      </c>
      <c r="E562" s="34" t="s">
        <v>911</v>
      </c>
      <c r="F562" s="35">
        <v>3186492000</v>
      </c>
      <c r="G562" s="210">
        <v>0</v>
      </c>
      <c r="H562" s="210">
        <v>919762824</v>
      </c>
      <c r="I562" s="210">
        <v>4106254824</v>
      </c>
      <c r="J562" s="210">
        <v>331935772</v>
      </c>
      <c r="K562" s="210">
        <v>4005723224</v>
      </c>
      <c r="L562" s="210">
        <v>580404638</v>
      </c>
      <c r="M562" s="210">
        <v>3973385830</v>
      </c>
      <c r="N562" s="210">
        <v>370095257</v>
      </c>
      <c r="O562" s="210">
        <v>2571773689</v>
      </c>
      <c r="P562" s="242">
        <f t="shared" si="173"/>
        <v>0.96764229213846764</v>
      </c>
    </row>
    <row r="563" spans="1:18" s="8" customFormat="1">
      <c r="A563" s="107"/>
      <c r="B563" s="149" t="s">
        <v>1839</v>
      </c>
      <c r="C563" s="18" t="s">
        <v>1063</v>
      </c>
      <c r="D563" s="30"/>
      <c r="E563" s="17" t="s">
        <v>1064</v>
      </c>
      <c r="F563" s="16">
        <f>SUM(F564:F577)</f>
        <v>10587495000</v>
      </c>
      <c r="G563" s="203">
        <f t="shared" ref="G563:O563" si="187">SUM(G564:G577)</f>
        <v>656320000</v>
      </c>
      <c r="H563" s="203">
        <f t="shared" si="187"/>
        <v>2746757529</v>
      </c>
      <c r="I563" s="203">
        <f t="shared" si="187"/>
        <v>13334252529</v>
      </c>
      <c r="J563" s="203">
        <f t="shared" si="187"/>
        <v>1105846985</v>
      </c>
      <c r="K563" s="203">
        <f t="shared" si="187"/>
        <v>12205570733</v>
      </c>
      <c r="L563" s="203">
        <f t="shared" si="187"/>
        <v>3854719085</v>
      </c>
      <c r="M563" s="203">
        <f t="shared" si="187"/>
        <v>11601605542</v>
      </c>
      <c r="N563" s="203">
        <f t="shared" si="187"/>
        <v>350376727</v>
      </c>
      <c r="O563" s="203">
        <f t="shared" si="187"/>
        <v>6997190043</v>
      </c>
      <c r="P563" s="237">
        <f t="shared" si="173"/>
        <v>0.87006043396645194</v>
      </c>
    </row>
    <row r="564" spans="1:18" s="8" customFormat="1">
      <c r="A564" s="108"/>
      <c r="B564" s="150"/>
      <c r="C564" s="70" t="s">
        <v>1063</v>
      </c>
      <c r="D564" s="33" t="s">
        <v>1954</v>
      </c>
      <c r="E564" s="34" t="s">
        <v>918</v>
      </c>
      <c r="F564" s="35">
        <v>741156000</v>
      </c>
      <c r="G564" s="210">
        <v>656320000</v>
      </c>
      <c r="H564" s="210">
        <v>724507859</v>
      </c>
      <c r="I564" s="210">
        <v>1465663859</v>
      </c>
      <c r="J564" s="210">
        <v>-134723802</v>
      </c>
      <c r="K564" s="210">
        <v>671827581</v>
      </c>
      <c r="L564" s="210">
        <v>132458201</v>
      </c>
      <c r="M564" s="210">
        <v>624408181</v>
      </c>
      <c r="N564" s="210">
        <v>45083559</v>
      </c>
      <c r="O564" s="210">
        <v>454532558</v>
      </c>
      <c r="P564" s="242">
        <f t="shared" si="173"/>
        <v>0.42602413723022697</v>
      </c>
    </row>
    <row r="565" spans="1:18" s="8" customFormat="1">
      <c r="A565" s="108"/>
      <c r="B565" s="150"/>
      <c r="C565" s="70" t="s">
        <v>1063</v>
      </c>
      <c r="D565" s="33" t="s">
        <v>1964</v>
      </c>
      <c r="E565" s="34" t="s">
        <v>1990</v>
      </c>
      <c r="F565" s="35">
        <v>1750010000</v>
      </c>
      <c r="G565" s="210">
        <v>0</v>
      </c>
      <c r="H565" s="210">
        <v>469954547</v>
      </c>
      <c r="I565" s="210">
        <v>2219964547</v>
      </c>
      <c r="J565" s="210">
        <v>68178569</v>
      </c>
      <c r="K565" s="210">
        <v>2128995265</v>
      </c>
      <c r="L565" s="210">
        <v>613874975</v>
      </c>
      <c r="M565" s="210">
        <v>2016497102</v>
      </c>
      <c r="N565" s="210">
        <v>64925071</v>
      </c>
      <c r="O565" s="210">
        <v>1207623018</v>
      </c>
      <c r="P565" s="242">
        <f t="shared" si="173"/>
        <v>0.90834653405841081</v>
      </c>
    </row>
    <row r="566" spans="1:18" s="8" customFormat="1">
      <c r="A566" s="108"/>
      <c r="B566" s="150"/>
      <c r="C566" s="70" t="s">
        <v>1063</v>
      </c>
      <c r="D566" s="33" t="s">
        <v>1965</v>
      </c>
      <c r="E566" s="34" t="s">
        <v>1065</v>
      </c>
      <c r="F566" s="35">
        <v>171054000</v>
      </c>
      <c r="G566" s="210">
        <v>0</v>
      </c>
      <c r="H566" s="210">
        <v>17042970</v>
      </c>
      <c r="I566" s="210">
        <v>188096970</v>
      </c>
      <c r="J566" s="210">
        <v>51757396</v>
      </c>
      <c r="K566" s="210">
        <v>186507540</v>
      </c>
      <c r="L566" s="210">
        <v>79023558</v>
      </c>
      <c r="M566" s="210">
        <v>186507540</v>
      </c>
      <c r="N566" s="210">
        <v>6050364</v>
      </c>
      <c r="O566" s="210">
        <v>112937212</v>
      </c>
      <c r="P566" s="242">
        <f t="shared" si="173"/>
        <v>0.99154994362748106</v>
      </c>
    </row>
    <row r="567" spans="1:18" s="8" customFormat="1">
      <c r="A567" s="108"/>
      <c r="B567" s="150"/>
      <c r="C567" s="70" t="s">
        <v>1063</v>
      </c>
      <c r="D567" s="33" t="s">
        <v>1966</v>
      </c>
      <c r="E567" s="34" t="s">
        <v>1464</v>
      </c>
      <c r="F567" s="35">
        <v>292592000</v>
      </c>
      <c r="G567" s="210">
        <v>0</v>
      </c>
      <c r="H567" s="210">
        <v>71106097</v>
      </c>
      <c r="I567" s="210">
        <v>363698097</v>
      </c>
      <c r="J567" s="210">
        <v>40666534</v>
      </c>
      <c r="K567" s="210">
        <v>352387691</v>
      </c>
      <c r="L567" s="210">
        <v>146903579</v>
      </c>
      <c r="M567" s="210">
        <v>352387691</v>
      </c>
      <c r="N567" s="210">
        <v>3301796</v>
      </c>
      <c r="O567" s="210">
        <v>205484112</v>
      </c>
      <c r="P567" s="242">
        <f t="shared" si="173"/>
        <v>0.96890166296360902</v>
      </c>
    </row>
    <row r="568" spans="1:18" s="8" customFormat="1">
      <c r="A568" s="108"/>
      <c r="B568" s="150"/>
      <c r="C568" s="70" t="s">
        <v>1063</v>
      </c>
      <c r="D568" s="33" t="s">
        <v>1967</v>
      </c>
      <c r="E568" s="34" t="s">
        <v>1066</v>
      </c>
      <c r="F568" s="35">
        <v>576824000</v>
      </c>
      <c r="G568" s="210">
        <v>0</v>
      </c>
      <c r="H568" s="210">
        <v>-230934609</v>
      </c>
      <c r="I568" s="210">
        <v>345889391</v>
      </c>
      <c r="J568" s="210">
        <v>-1317205</v>
      </c>
      <c r="K568" s="210">
        <v>283945619</v>
      </c>
      <c r="L568" s="210">
        <v>75080718</v>
      </c>
      <c r="M568" s="210">
        <v>283945619</v>
      </c>
      <c r="N568" s="210">
        <v>14146789</v>
      </c>
      <c r="O568" s="210">
        <v>194735671</v>
      </c>
      <c r="P568" s="242">
        <f t="shared" si="173"/>
        <v>0.82091450732005833</v>
      </c>
    </row>
    <row r="569" spans="1:18" s="8" customFormat="1">
      <c r="A569" s="108"/>
      <c r="B569" s="150"/>
      <c r="C569" s="70" t="s">
        <v>1063</v>
      </c>
      <c r="D569" s="33" t="s">
        <v>1968</v>
      </c>
      <c r="E569" s="34" t="s">
        <v>1067</v>
      </c>
      <c r="F569" s="35">
        <v>715725000</v>
      </c>
      <c r="G569" s="210">
        <v>0</v>
      </c>
      <c r="H569" s="210">
        <v>58317681</v>
      </c>
      <c r="I569" s="210">
        <v>774042681</v>
      </c>
      <c r="J569" s="210">
        <v>-12627606</v>
      </c>
      <c r="K569" s="210">
        <v>761415075</v>
      </c>
      <c r="L569" s="210">
        <v>304581832</v>
      </c>
      <c r="M569" s="210">
        <v>732937084</v>
      </c>
      <c r="N569" s="210">
        <v>21163103</v>
      </c>
      <c r="O569" s="210">
        <v>447533765</v>
      </c>
      <c r="P569" s="242">
        <f t="shared" si="173"/>
        <v>0.94689492193518976</v>
      </c>
    </row>
    <row r="570" spans="1:18" s="8" customFormat="1">
      <c r="A570" s="108"/>
      <c r="B570" s="150"/>
      <c r="C570" s="70" t="s">
        <v>1063</v>
      </c>
      <c r="D570" s="33" t="s">
        <v>1956</v>
      </c>
      <c r="E570" s="34" t="s">
        <v>1463</v>
      </c>
      <c r="F570" s="35">
        <v>103532000</v>
      </c>
      <c r="G570" s="210">
        <v>0</v>
      </c>
      <c r="H570" s="210">
        <v>23710088</v>
      </c>
      <c r="I570" s="210">
        <v>127242088</v>
      </c>
      <c r="J570" s="210">
        <v>0</v>
      </c>
      <c r="K570" s="210">
        <v>127242088</v>
      </c>
      <c r="L570" s="210">
        <v>54532324</v>
      </c>
      <c r="M570" s="210">
        <v>127242088</v>
      </c>
      <c r="N570" s="210">
        <v>403944</v>
      </c>
      <c r="O570" s="210">
        <v>72709764</v>
      </c>
      <c r="P570" s="242">
        <f t="shared" si="173"/>
        <v>1</v>
      </c>
    </row>
    <row r="571" spans="1:18" s="8" customFormat="1">
      <c r="A571" s="108"/>
      <c r="B571" s="150"/>
      <c r="C571" s="70" t="s">
        <v>1063</v>
      </c>
      <c r="D571" s="33" t="s">
        <v>1969</v>
      </c>
      <c r="E571" s="34" t="s">
        <v>1068</v>
      </c>
      <c r="F571" s="35">
        <v>670711000</v>
      </c>
      <c r="G571" s="210">
        <v>0</v>
      </c>
      <c r="H571" s="210">
        <v>227096472</v>
      </c>
      <c r="I571" s="210">
        <v>897807472</v>
      </c>
      <c r="J571" s="210">
        <v>240521788</v>
      </c>
      <c r="K571" s="210">
        <v>895963380</v>
      </c>
      <c r="L571" s="210">
        <v>280828273</v>
      </c>
      <c r="M571" s="210">
        <v>653860945</v>
      </c>
      <c r="N571" s="210">
        <v>41913492</v>
      </c>
      <c r="O571" s="210">
        <v>412873757</v>
      </c>
      <c r="P571" s="242">
        <f t="shared" si="173"/>
        <v>0.72828637028763776</v>
      </c>
    </row>
    <row r="572" spans="1:18" s="8" customFormat="1">
      <c r="A572" s="108"/>
      <c r="B572" s="150"/>
      <c r="C572" s="70" t="s">
        <v>1063</v>
      </c>
      <c r="D572" s="33" t="s">
        <v>1970</v>
      </c>
      <c r="E572" s="34" t="s">
        <v>1069</v>
      </c>
      <c r="F572" s="35">
        <v>995969000</v>
      </c>
      <c r="G572" s="210">
        <v>0</v>
      </c>
      <c r="H572" s="210">
        <v>296929915</v>
      </c>
      <c r="I572" s="210">
        <v>1292898915</v>
      </c>
      <c r="J572" s="210">
        <v>-7209506</v>
      </c>
      <c r="K572" s="210">
        <v>1281544603</v>
      </c>
      <c r="L572" s="210">
        <v>101872686</v>
      </c>
      <c r="M572" s="210">
        <v>1219337361</v>
      </c>
      <c r="N572" s="210">
        <v>106158001</v>
      </c>
      <c r="O572" s="210">
        <v>790182947</v>
      </c>
      <c r="P572" s="242">
        <f t="shared" si="173"/>
        <v>0.94310339876803129</v>
      </c>
    </row>
    <row r="573" spans="1:18" s="8" customFormat="1">
      <c r="A573" s="108"/>
      <c r="B573" s="150"/>
      <c r="C573" s="70" t="s">
        <v>1063</v>
      </c>
      <c r="D573" s="33" t="s">
        <v>1945</v>
      </c>
      <c r="E573" s="34" t="s">
        <v>781</v>
      </c>
      <c r="F573" s="35">
        <v>828154000</v>
      </c>
      <c r="G573" s="210">
        <v>0</v>
      </c>
      <c r="H573" s="210">
        <v>47362088</v>
      </c>
      <c r="I573" s="210">
        <v>875516088</v>
      </c>
      <c r="J573" s="210">
        <v>-1738712</v>
      </c>
      <c r="K573" s="210">
        <v>871230779</v>
      </c>
      <c r="L573" s="210">
        <v>260288652</v>
      </c>
      <c r="M573" s="210">
        <v>871230778</v>
      </c>
      <c r="N573" s="210">
        <v>2994447</v>
      </c>
      <c r="O573" s="210">
        <v>452253964</v>
      </c>
      <c r="P573" s="242">
        <f t="shared" si="173"/>
        <v>0.99510538977097585</v>
      </c>
    </row>
    <row r="574" spans="1:18" s="8" customFormat="1">
      <c r="A574" s="108"/>
      <c r="B574" s="150"/>
      <c r="C574" s="70" t="s">
        <v>1063</v>
      </c>
      <c r="D574" s="33" t="s">
        <v>1950</v>
      </c>
      <c r="E574" s="34" t="s">
        <v>809</v>
      </c>
      <c r="F574" s="35">
        <v>2870744000</v>
      </c>
      <c r="G574" s="210">
        <v>0</v>
      </c>
      <c r="H574" s="210">
        <v>835986906</v>
      </c>
      <c r="I574" s="210">
        <v>3706730906</v>
      </c>
      <c r="J574" s="210">
        <v>866545811</v>
      </c>
      <c r="K574" s="210">
        <v>3572015879</v>
      </c>
      <c r="L574" s="210">
        <v>1385059315</v>
      </c>
      <c r="M574" s="210">
        <v>3460755920</v>
      </c>
      <c r="N574" s="210">
        <v>4737554</v>
      </c>
      <c r="O574" s="210">
        <v>2001480834</v>
      </c>
      <c r="P574" s="242">
        <f t="shared" si="173"/>
        <v>0.93364099195821149</v>
      </c>
    </row>
    <row r="575" spans="1:18" s="8" customFormat="1">
      <c r="A575" s="108"/>
      <c r="B575" s="150"/>
      <c r="C575" s="70" t="s">
        <v>1063</v>
      </c>
      <c r="D575" s="33" t="s">
        <v>1951</v>
      </c>
      <c r="E575" s="34" t="s">
        <v>915</v>
      </c>
      <c r="F575" s="35">
        <v>274586000</v>
      </c>
      <c r="G575" s="210">
        <v>0</v>
      </c>
      <c r="H575" s="210">
        <v>62882123</v>
      </c>
      <c r="I575" s="210">
        <v>337468123</v>
      </c>
      <c r="J575" s="210">
        <v>-2142659</v>
      </c>
      <c r="K575" s="210">
        <v>335325464</v>
      </c>
      <c r="L575" s="210">
        <v>142486538</v>
      </c>
      <c r="M575" s="210">
        <v>335325464</v>
      </c>
      <c r="N575" s="210">
        <v>5251260</v>
      </c>
      <c r="O575" s="210">
        <v>197018857</v>
      </c>
      <c r="P575" s="242">
        <f t="shared" si="173"/>
        <v>0.99365078105465976</v>
      </c>
    </row>
    <row r="576" spans="1:18" s="8" customFormat="1">
      <c r="A576" s="108"/>
      <c r="B576" s="150"/>
      <c r="C576" s="70" t="s">
        <v>1063</v>
      </c>
      <c r="D576" s="33" t="s">
        <v>1971</v>
      </c>
      <c r="E576" s="34" t="s">
        <v>1070</v>
      </c>
      <c r="F576" s="35">
        <v>238575000</v>
      </c>
      <c r="G576" s="210">
        <v>0</v>
      </c>
      <c r="H576" s="210">
        <v>55838039</v>
      </c>
      <c r="I576" s="210">
        <v>294413039</v>
      </c>
      <c r="J576" s="210">
        <v>-526882</v>
      </c>
      <c r="K576" s="210">
        <v>293886157</v>
      </c>
      <c r="L576" s="210">
        <v>126337591</v>
      </c>
      <c r="M576" s="210">
        <v>293886157</v>
      </c>
      <c r="N576" s="210">
        <v>11275281</v>
      </c>
      <c r="O576" s="210">
        <v>174661476</v>
      </c>
      <c r="P576" s="242">
        <f t="shared" si="173"/>
        <v>0.9982103985550721</v>
      </c>
    </row>
    <row r="577" spans="1:16" s="2" customFormat="1">
      <c r="A577" s="108"/>
      <c r="B577" s="150"/>
      <c r="C577" s="70" t="s">
        <v>1063</v>
      </c>
      <c r="D577" s="33" t="s">
        <v>1952</v>
      </c>
      <c r="E577" s="34" t="s">
        <v>916</v>
      </c>
      <c r="F577" s="35">
        <v>357863000</v>
      </c>
      <c r="G577" s="210">
        <v>0</v>
      </c>
      <c r="H577" s="210">
        <v>86957353</v>
      </c>
      <c r="I577" s="210">
        <v>444820353</v>
      </c>
      <c r="J577" s="210">
        <v>-1536741</v>
      </c>
      <c r="K577" s="210">
        <v>443283612</v>
      </c>
      <c r="L577" s="210">
        <v>151390843</v>
      </c>
      <c r="M577" s="210">
        <v>443283612</v>
      </c>
      <c r="N577" s="210">
        <v>22972066</v>
      </c>
      <c r="O577" s="210">
        <v>273162108</v>
      </c>
      <c r="P577" s="242">
        <f t="shared" si="173"/>
        <v>0.99654525475366451</v>
      </c>
    </row>
    <row r="578" spans="1:16" s="8" customFormat="1">
      <c r="A578" s="107"/>
      <c r="B578" s="149" t="s">
        <v>1840</v>
      </c>
      <c r="C578" s="18" t="s">
        <v>1071</v>
      </c>
      <c r="D578" s="30"/>
      <c r="E578" s="17" t="s">
        <v>1072</v>
      </c>
      <c r="F578" s="16">
        <f>SUM(F579:F592)</f>
        <v>12349850000</v>
      </c>
      <c r="G578" s="203">
        <f t="shared" ref="G578:O578" si="188">SUM(G579:G592)</f>
        <v>0</v>
      </c>
      <c r="H578" s="203">
        <f t="shared" si="188"/>
        <v>4072482106</v>
      </c>
      <c r="I578" s="203">
        <f t="shared" si="188"/>
        <v>16422332106</v>
      </c>
      <c r="J578" s="203">
        <f t="shared" si="188"/>
        <v>747220047</v>
      </c>
      <c r="K578" s="203">
        <f t="shared" si="188"/>
        <v>15976501285</v>
      </c>
      <c r="L578" s="203">
        <f t="shared" si="188"/>
        <v>2626762779</v>
      </c>
      <c r="M578" s="203">
        <f t="shared" si="188"/>
        <v>15521591138</v>
      </c>
      <c r="N578" s="203">
        <f t="shared" si="188"/>
        <v>845220123</v>
      </c>
      <c r="O578" s="203">
        <f t="shared" si="188"/>
        <v>9088639796</v>
      </c>
      <c r="P578" s="237">
        <f t="shared" si="173"/>
        <v>0.9451514582590308</v>
      </c>
    </row>
    <row r="579" spans="1:16" s="8" customFormat="1">
      <c r="A579" s="108"/>
      <c r="B579" s="150"/>
      <c r="C579" s="70" t="s">
        <v>1071</v>
      </c>
      <c r="D579" s="33" t="s">
        <v>1972</v>
      </c>
      <c r="E579" s="34" t="s">
        <v>1073</v>
      </c>
      <c r="F579" s="35">
        <v>721506000</v>
      </c>
      <c r="G579" s="210">
        <v>0</v>
      </c>
      <c r="H579" s="210">
        <v>281599494</v>
      </c>
      <c r="I579" s="210">
        <v>1003105494</v>
      </c>
      <c r="J579" s="210">
        <v>-1457707</v>
      </c>
      <c r="K579" s="210">
        <v>1001392509</v>
      </c>
      <c r="L579" s="210">
        <v>463182225</v>
      </c>
      <c r="M579" s="210">
        <v>1001392509</v>
      </c>
      <c r="N579" s="210">
        <v>3574023</v>
      </c>
      <c r="O579" s="210">
        <v>537806341</v>
      </c>
      <c r="P579" s="242">
        <f t="shared" si="173"/>
        <v>0.99829231819559749</v>
      </c>
    </row>
    <row r="580" spans="1:16" s="8" customFormat="1">
      <c r="A580" s="108"/>
      <c r="B580" s="150"/>
      <c r="C580" s="70" t="s">
        <v>1071</v>
      </c>
      <c r="D580" s="33" t="s">
        <v>1953</v>
      </c>
      <c r="E580" s="34" t="s">
        <v>917</v>
      </c>
      <c r="F580" s="35">
        <v>654563000</v>
      </c>
      <c r="G580" s="210">
        <v>0</v>
      </c>
      <c r="H580" s="210">
        <v>199864419</v>
      </c>
      <c r="I580" s="210">
        <v>854427419</v>
      </c>
      <c r="J580" s="210">
        <v>3565238</v>
      </c>
      <c r="K580" s="210">
        <v>853338532</v>
      </c>
      <c r="L580" s="210">
        <v>191583192</v>
      </c>
      <c r="M580" s="210">
        <v>751395596</v>
      </c>
      <c r="N580" s="210">
        <v>31700751</v>
      </c>
      <c r="O580" s="210">
        <v>478584731</v>
      </c>
      <c r="P580" s="242">
        <f t="shared" si="173"/>
        <v>0.87941418930517723</v>
      </c>
    </row>
    <row r="581" spans="1:16" s="8" customFormat="1">
      <c r="A581" s="108"/>
      <c r="B581" s="150"/>
      <c r="C581" s="70" t="s">
        <v>1071</v>
      </c>
      <c r="D581" s="33" t="s">
        <v>1959</v>
      </c>
      <c r="E581" s="34" t="s">
        <v>999</v>
      </c>
      <c r="F581" s="35">
        <v>271711479</v>
      </c>
      <c r="G581" s="210">
        <v>0</v>
      </c>
      <c r="H581" s="210">
        <v>104509314</v>
      </c>
      <c r="I581" s="210">
        <v>376220314</v>
      </c>
      <c r="J581" s="210">
        <v>170323488</v>
      </c>
      <c r="K581" s="210">
        <v>374226942</v>
      </c>
      <c r="L581" s="210">
        <v>150565403</v>
      </c>
      <c r="M581" s="210">
        <v>354468857</v>
      </c>
      <c r="N581" s="210">
        <v>0</v>
      </c>
      <c r="O581" s="210">
        <v>203903454</v>
      </c>
      <c r="P581" s="242">
        <f t="shared" si="173"/>
        <v>0.94218425696173336</v>
      </c>
    </row>
    <row r="582" spans="1:16" s="8" customFormat="1">
      <c r="A582" s="108"/>
      <c r="B582" s="150"/>
      <c r="C582" s="70" t="s">
        <v>1071</v>
      </c>
      <c r="D582" s="33" t="s">
        <v>1973</v>
      </c>
      <c r="E582" s="34" t="s">
        <v>1074</v>
      </c>
      <c r="F582" s="35">
        <v>454525000</v>
      </c>
      <c r="G582" s="210">
        <v>0</v>
      </c>
      <c r="H582" s="210">
        <v>94982377</v>
      </c>
      <c r="I582" s="210">
        <v>549507377</v>
      </c>
      <c r="J582" s="210">
        <v>0</v>
      </c>
      <c r="K582" s="210">
        <v>535637207</v>
      </c>
      <c r="L582" s="210">
        <v>233733719</v>
      </c>
      <c r="M582" s="210">
        <v>535637207</v>
      </c>
      <c r="N582" s="210">
        <v>0</v>
      </c>
      <c r="O582" s="210">
        <v>294518357</v>
      </c>
      <c r="P582" s="242">
        <f t="shared" si="173"/>
        <v>0.97475890118941932</v>
      </c>
    </row>
    <row r="583" spans="1:16" s="8" customFormat="1">
      <c r="A583" s="108"/>
      <c r="B583" s="150"/>
      <c r="C583" s="70" t="s">
        <v>1071</v>
      </c>
      <c r="D583" s="33" t="s">
        <v>1974</v>
      </c>
      <c r="E583" s="34" t="s">
        <v>1075</v>
      </c>
      <c r="F583" s="35">
        <v>1522334000</v>
      </c>
      <c r="G583" s="210">
        <v>0</v>
      </c>
      <c r="H583" s="210">
        <v>700582287</v>
      </c>
      <c r="I583" s="210">
        <v>2222916287</v>
      </c>
      <c r="J583" s="210">
        <v>-1317206</v>
      </c>
      <c r="K583" s="210">
        <v>2221599081</v>
      </c>
      <c r="L583" s="210">
        <v>262123936</v>
      </c>
      <c r="M583" s="210">
        <v>2205134016</v>
      </c>
      <c r="N583" s="210">
        <v>177453952</v>
      </c>
      <c r="O583" s="210">
        <v>1330825572</v>
      </c>
      <c r="P583" s="242">
        <f t="shared" si="173"/>
        <v>0.99200047653436441</v>
      </c>
    </row>
    <row r="584" spans="1:16" s="8" customFormat="1">
      <c r="A584" s="108"/>
      <c r="B584" s="150"/>
      <c r="C584" s="70" t="s">
        <v>1071</v>
      </c>
      <c r="D584" s="33" t="s">
        <v>1957</v>
      </c>
      <c r="E584" s="34" t="s">
        <v>937</v>
      </c>
      <c r="F584" s="35">
        <v>1091972000</v>
      </c>
      <c r="G584" s="210">
        <v>0</v>
      </c>
      <c r="H584" s="210">
        <v>376974819</v>
      </c>
      <c r="I584" s="210">
        <v>1468946819</v>
      </c>
      <c r="J584" s="210">
        <v>248521587</v>
      </c>
      <c r="K584" s="210">
        <v>1433093348</v>
      </c>
      <c r="L584" s="210">
        <v>153902309</v>
      </c>
      <c r="M584" s="210">
        <v>1291827431</v>
      </c>
      <c r="N584" s="210">
        <v>94109951</v>
      </c>
      <c r="O584" s="210">
        <v>806911352</v>
      </c>
      <c r="P584" s="242">
        <f t="shared" si="173"/>
        <v>0.87942423394158287</v>
      </c>
    </row>
    <row r="585" spans="1:16" s="8" customFormat="1">
      <c r="A585" s="108"/>
      <c r="B585" s="150"/>
      <c r="C585" s="70" t="s">
        <v>1071</v>
      </c>
      <c r="D585" s="33" t="s">
        <v>1933</v>
      </c>
      <c r="E585" s="34" t="s">
        <v>279</v>
      </c>
      <c r="F585" s="35">
        <v>1640488000</v>
      </c>
      <c r="G585" s="210">
        <v>0</v>
      </c>
      <c r="H585" s="210">
        <v>299097342</v>
      </c>
      <c r="I585" s="210">
        <v>1939585342</v>
      </c>
      <c r="J585" s="210">
        <v>-1580647</v>
      </c>
      <c r="K585" s="210">
        <v>1917192843</v>
      </c>
      <c r="L585" s="210">
        <v>170973291</v>
      </c>
      <c r="M585" s="210">
        <v>1846063743</v>
      </c>
      <c r="N585" s="210">
        <v>78681088</v>
      </c>
      <c r="O585" s="210">
        <v>1009559113</v>
      </c>
      <c r="P585" s="242">
        <f t="shared" si="173"/>
        <v>0.95178268417745138</v>
      </c>
    </row>
    <row r="586" spans="1:16" s="8" customFormat="1">
      <c r="A586" s="108"/>
      <c r="B586" s="150"/>
      <c r="C586" s="70" t="s">
        <v>1071</v>
      </c>
      <c r="D586" s="33" t="s">
        <v>1961</v>
      </c>
      <c r="E586" s="34" t="s">
        <v>1030</v>
      </c>
      <c r="F586" s="35">
        <v>472757000</v>
      </c>
      <c r="G586" s="210">
        <v>0</v>
      </c>
      <c r="H586" s="210">
        <v>186223385</v>
      </c>
      <c r="I586" s="210">
        <v>658980385</v>
      </c>
      <c r="J586" s="210">
        <v>0</v>
      </c>
      <c r="K586" s="210">
        <v>658980385</v>
      </c>
      <c r="L586" s="210">
        <v>0</v>
      </c>
      <c r="M586" s="210">
        <v>658980385</v>
      </c>
      <c r="N586" s="210">
        <v>58207316</v>
      </c>
      <c r="O586" s="210">
        <v>363860480</v>
      </c>
      <c r="P586" s="242">
        <f t="shared" si="173"/>
        <v>1</v>
      </c>
    </row>
    <row r="587" spans="1:16" s="8" customFormat="1">
      <c r="A587" s="108"/>
      <c r="B587" s="150"/>
      <c r="C587" s="70" t="s">
        <v>1071</v>
      </c>
      <c r="D587" s="33" t="s">
        <v>1975</v>
      </c>
      <c r="E587" s="34" t="s">
        <v>1076</v>
      </c>
      <c r="F587" s="35">
        <v>897175521</v>
      </c>
      <c r="G587" s="210">
        <v>0</v>
      </c>
      <c r="H587" s="210">
        <v>156487426</v>
      </c>
      <c r="I587" s="210">
        <v>1053663426</v>
      </c>
      <c r="J587" s="210">
        <v>-1413801</v>
      </c>
      <c r="K587" s="210">
        <v>943812873</v>
      </c>
      <c r="L587" s="210">
        <v>0</v>
      </c>
      <c r="M587" s="210">
        <v>943812873</v>
      </c>
      <c r="N587" s="210">
        <v>99637815</v>
      </c>
      <c r="O587" s="210">
        <v>579601155</v>
      </c>
      <c r="P587" s="242">
        <f t="shared" si="173"/>
        <v>0.89574417191548228</v>
      </c>
    </row>
    <row r="588" spans="1:16" s="8" customFormat="1">
      <c r="A588" s="108"/>
      <c r="B588" s="150"/>
      <c r="C588" s="70" t="s">
        <v>1071</v>
      </c>
      <c r="D588" s="33" t="s">
        <v>1946</v>
      </c>
      <c r="E588" s="34" t="s">
        <v>782</v>
      </c>
      <c r="F588" s="35">
        <v>337178000</v>
      </c>
      <c r="G588" s="210">
        <v>0</v>
      </c>
      <c r="H588" s="210">
        <v>91300208</v>
      </c>
      <c r="I588" s="210">
        <v>428478208</v>
      </c>
      <c r="J588" s="210">
        <v>0</v>
      </c>
      <c r="K588" s="210">
        <v>422506876</v>
      </c>
      <c r="L588" s="210">
        <v>0</v>
      </c>
      <c r="M588" s="210">
        <v>422506876</v>
      </c>
      <c r="N588" s="210">
        <v>46312950</v>
      </c>
      <c r="O588" s="210">
        <v>261280908</v>
      </c>
      <c r="P588" s="242">
        <f t="shared" si="173"/>
        <v>0.98606386068530238</v>
      </c>
    </row>
    <row r="589" spans="1:16" s="8" customFormat="1">
      <c r="A589" s="108"/>
      <c r="B589" s="150"/>
      <c r="C589" s="70" t="s">
        <v>1071</v>
      </c>
      <c r="D589" s="33" t="s">
        <v>1976</v>
      </c>
      <c r="E589" s="34" t="s">
        <v>1077</v>
      </c>
      <c r="F589" s="35">
        <v>747450000</v>
      </c>
      <c r="G589" s="210">
        <v>0</v>
      </c>
      <c r="H589" s="210">
        <v>192525538</v>
      </c>
      <c r="I589" s="210">
        <v>939975538</v>
      </c>
      <c r="J589" s="210">
        <v>0</v>
      </c>
      <c r="K589" s="210">
        <v>933811007</v>
      </c>
      <c r="L589" s="210">
        <v>0</v>
      </c>
      <c r="M589" s="210">
        <v>933811007</v>
      </c>
      <c r="N589" s="210">
        <v>101424837</v>
      </c>
      <c r="O589" s="210">
        <v>567715647</v>
      </c>
      <c r="P589" s="242">
        <f t="shared" si="173"/>
        <v>0.99344181763164141</v>
      </c>
    </row>
    <row r="590" spans="1:16" s="8" customFormat="1">
      <c r="A590" s="108"/>
      <c r="B590" s="150"/>
      <c r="C590" s="70" t="s">
        <v>1071</v>
      </c>
      <c r="D590" s="33" t="s">
        <v>1909</v>
      </c>
      <c r="E590" s="34" t="s">
        <v>819</v>
      </c>
      <c r="F590" s="35">
        <v>2247952000</v>
      </c>
      <c r="G590" s="210">
        <v>0</v>
      </c>
      <c r="H590" s="210">
        <v>611424822</v>
      </c>
      <c r="I590" s="210">
        <v>2859376822</v>
      </c>
      <c r="J590" s="210">
        <v>330579095</v>
      </c>
      <c r="K590" s="210">
        <v>2828699116</v>
      </c>
      <c r="L590" s="210">
        <v>770846330</v>
      </c>
      <c r="M590" s="210">
        <v>2748059774</v>
      </c>
      <c r="N590" s="210">
        <v>10405923</v>
      </c>
      <c r="O590" s="210">
        <v>1515322125</v>
      </c>
      <c r="P590" s="242">
        <f t="shared" si="173"/>
        <v>0.96106947250060626</v>
      </c>
    </row>
    <row r="591" spans="1:16" s="8" customFormat="1">
      <c r="A591" s="108"/>
      <c r="B591" s="150"/>
      <c r="C591" s="70" t="s">
        <v>1071</v>
      </c>
      <c r="D591" s="33" t="s">
        <v>1948</v>
      </c>
      <c r="E591" s="34" t="s">
        <v>808</v>
      </c>
      <c r="F591" s="35">
        <v>486199000</v>
      </c>
      <c r="G591" s="210">
        <v>0</v>
      </c>
      <c r="H591" s="210">
        <v>172952079</v>
      </c>
      <c r="I591" s="210">
        <v>659151079</v>
      </c>
      <c r="J591" s="210">
        <v>0</v>
      </c>
      <c r="K591" s="210">
        <v>599328562</v>
      </c>
      <c r="L591" s="210">
        <v>192707179</v>
      </c>
      <c r="M591" s="210">
        <v>599328562</v>
      </c>
      <c r="N591" s="210">
        <v>28258454</v>
      </c>
      <c r="O591" s="210">
        <v>356637816</v>
      </c>
      <c r="P591" s="242">
        <f t="shared" si="173"/>
        <v>0.90924308719822333</v>
      </c>
    </row>
    <row r="592" spans="1:16" s="7" customFormat="1">
      <c r="A592" s="108"/>
      <c r="B592" s="150"/>
      <c r="C592" s="70" t="s">
        <v>1071</v>
      </c>
      <c r="D592" s="33" t="s">
        <v>1977</v>
      </c>
      <c r="E592" s="34" t="s">
        <v>1078</v>
      </c>
      <c r="F592" s="35">
        <v>804039000</v>
      </c>
      <c r="G592" s="210">
        <v>0</v>
      </c>
      <c r="H592" s="210">
        <v>603958596</v>
      </c>
      <c r="I592" s="210">
        <v>1407997596</v>
      </c>
      <c r="J592" s="210">
        <v>0</v>
      </c>
      <c r="K592" s="210">
        <v>1252882004</v>
      </c>
      <c r="L592" s="210">
        <v>37145195</v>
      </c>
      <c r="M592" s="210">
        <v>1229172302</v>
      </c>
      <c r="N592" s="210">
        <v>115453063</v>
      </c>
      <c r="O592" s="210">
        <v>782112745</v>
      </c>
      <c r="P592" s="242">
        <f t="shared" ref="P592:P655" si="189">IFERROR((M592/I592),0)</f>
        <v>0.87299318229801859</v>
      </c>
    </row>
    <row r="593" spans="1:16" s="8" customFormat="1">
      <c r="A593" s="107"/>
      <c r="B593" s="149" t="s">
        <v>1545</v>
      </c>
      <c r="C593" s="18" t="s">
        <v>1079</v>
      </c>
      <c r="D593" s="30"/>
      <c r="E593" s="17" t="s">
        <v>1080</v>
      </c>
      <c r="F593" s="16">
        <f>SUM(F594:F595)</f>
        <v>2172401000</v>
      </c>
      <c r="G593" s="203">
        <f t="shared" ref="G593:O593" si="190">SUM(G594:G595)</f>
        <v>0</v>
      </c>
      <c r="H593" s="203">
        <f t="shared" si="190"/>
        <v>849491883</v>
      </c>
      <c r="I593" s="203">
        <f t="shared" si="190"/>
        <v>3021892883</v>
      </c>
      <c r="J593" s="203">
        <f t="shared" si="190"/>
        <v>383315662</v>
      </c>
      <c r="K593" s="203">
        <f t="shared" si="190"/>
        <v>2721285560</v>
      </c>
      <c r="L593" s="203">
        <f t="shared" si="190"/>
        <v>993875648</v>
      </c>
      <c r="M593" s="203">
        <f t="shared" si="190"/>
        <v>2684930678</v>
      </c>
      <c r="N593" s="203">
        <f t="shared" si="190"/>
        <v>100232317</v>
      </c>
      <c r="O593" s="203">
        <f t="shared" si="190"/>
        <v>1543290904</v>
      </c>
      <c r="P593" s="237">
        <f t="shared" si="189"/>
        <v>0.88849300155686561</v>
      </c>
    </row>
    <row r="594" spans="1:16" s="8" customFormat="1">
      <c r="A594" s="108"/>
      <c r="B594" s="150"/>
      <c r="C594" s="70" t="s">
        <v>1079</v>
      </c>
      <c r="D594" s="33" t="s">
        <v>1955</v>
      </c>
      <c r="E594" s="34" t="s">
        <v>919</v>
      </c>
      <c r="F594" s="35">
        <v>1406956000</v>
      </c>
      <c r="G594" s="210">
        <v>0</v>
      </c>
      <c r="H594" s="210">
        <v>579334824</v>
      </c>
      <c r="I594" s="210">
        <v>1986290824</v>
      </c>
      <c r="J594" s="210">
        <v>385440754</v>
      </c>
      <c r="K594" s="210">
        <v>1705561836</v>
      </c>
      <c r="L594" s="210">
        <v>562991283</v>
      </c>
      <c r="M594" s="210">
        <v>1669206954</v>
      </c>
      <c r="N594" s="210">
        <v>100232317</v>
      </c>
      <c r="O594" s="210">
        <v>985941624</v>
      </c>
      <c r="P594" s="242">
        <f t="shared" si="189"/>
        <v>0.84036382478903304</v>
      </c>
    </row>
    <row r="595" spans="1:16" s="7" customFormat="1">
      <c r="A595" s="108"/>
      <c r="B595" s="150"/>
      <c r="C595" s="70" t="s">
        <v>1079</v>
      </c>
      <c r="D595" s="33" t="s">
        <v>1958</v>
      </c>
      <c r="E595" s="34" t="s">
        <v>1081</v>
      </c>
      <c r="F595" s="35">
        <v>765445000</v>
      </c>
      <c r="G595" s="210">
        <v>0</v>
      </c>
      <c r="H595" s="210">
        <v>270157059</v>
      </c>
      <c r="I595" s="35">
        <v>1035602059</v>
      </c>
      <c r="J595" s="210">
        <v>-2125092</v>
      </c>
      <c r="K595" s="210">
        <v>1015723724</v>
      </c>
      <c r="L595" s="210">
        <v>430884365</v>
      </c>
      <c r="M595" s="210">
        <v>1015723724</v>
      </c>
      <c r="N595" s="210">
        <v>0</v>
      </c>
      <c r="O595" s="210">
        <v>557349280</v>
      </c>
      <c r="P595" s="242">
        <f t="shared" si="189"/>
        <v>0.98080504492314846</v>
      </c>
    </row>
    <row r="596" spans="1:16" s="8" customFormat="1">
      <c r="A596" s="107"/>
      <c r="B596" s="149" t="s">
        <v>1544</v>
      </c>
      <c r="C596" s="18" t="s">
        <v>1082</v>
      </c>
      <c r="D596" s="30"/>
      <c r="E596" s="17" t="s">
        <v>1083</v>
      </c>
      <c r="F596" s="16">
        <f>SUM(F597:F599)</f>
        <v>1084298000</v>
      </c>
      <c r="G596" s="203">
        <f t="shared" ref="G596:O596" si="191">SUM(G597:G599)</f>
        <v>0</v>
      </c>
      <c r="H596" s="203">
        <f t="shared" si="191"/>
        <v>308005883</v>
      </c>
      <c r="I596" s="203">
        <f t="shared" si="191"/>
        <v>1392303883</v>
      </c>
      <c r="J596" s="203">
        <f t="shared" si="191"/>
        <v>292165006</v>
      </c>
      <c r="K596" s="203">
        <f t="shared" si="191"/>
        <v>1352726338</v>
      </c>
      <c r="L596" s="203">
        <f t="shared" si="191"/>
        <v>295264821</v>
      </c>
      <c r="M596" s="203">
        <f t="shared" si="191"/>
        <v>1317890635</v>
      </c>
      <c r="N596" s="203">
        <f t="shared" si="191"/>
        <v>52060361</v>
      </c>
      <c r="O596" s="203">
        <f t="shared" si="191"/>
        <v>861224207</v>
      </c>
      <c r="P596" s="237">
        <f t="shared" si="189"/>
        <v>0.94655387454665307</v>
      </c>
    </row>
    <row r="597" spans="1:16" s="8" customFormat="1">
      <c r="A597" s="108"/>
      <c r="B597" s="150"/>
      <c r="C597" s="70" t="s">
        <v>1082</v>
      </c>
      <c r="D597" s="33" t="s">
        <v>1960</v>
      </c>
      <c r="E597" s="34" t="s">
        <v>1018</v>
      </c>
      <c r="F597" s="35">
        <v>479713000</v>
      </c>
      <c r="G597" s="210">
        <v>0</v>
      </c>
      <c r="H597" s="210">
        <v>141092059</v>
      </c>
      <c r="I597" s="210">
        <v>620805059</v>
      </c>
      <c r="J597" s="210">
        <v>14489257</v>
      </c>
      <c r="K597" s="210">
        <v>587421031</v>
      </c>
      <c r="L597" s="210">
        <v>52424775</v>
      </c>
      <c r="M597" s="210">
        <v>587421031</v>
      </c>
      <c r="N597" s="210">
        <v>50352383</v>
      </c>
      <c r="O597" s="210">
        <v>373594649</v>
      </c>
      <c r="P597" s="242">
        <f t="shared" si="189"/>
        <v>0.94622461992533469</v>
      </c>
    </row>
    <row r="598" spans="1:16" s="8" customFormat="1">
      <c r="A598" s="108"/>
      <c r="B598" s="150"/>
      <c r="C598" s="70" t="s">
        <v>1082</v>
      </c>
      <c r="D598" s="33" t="s">
        <v>1978</v>
      </c>
      <c r="E598" s="34" t="s">
        <v>1465</v>
      </c>
      <c r="F598" s="35">
        <v>363507000</v>
      </c>
      <c r="G598" s="210">
        <v>0</v>
      </c>
      <c r="H598" s="210">
        <v>166913824</v>
      </c>
      <c r="I598" s="210">
        <v>530420824</v>
      </c>
      <c r="J598" s="210">
        <v>169981020</v>
      </c>
      <c r="K598" s="210">
        <v>530368518</v>
      </c>
      <c r="L598" s="210">
        <v>135145317</v>
      </c>
      <c r="M598" s="210">
        <v>495532815</v>
      </c>
      <c r="N598" s="210">
        <v>737636</v>
      </c>
      <c r="O598" s="210">
        <v>360387498</v>
      </c>
      <c r="P598" s="242">
        <f t="shared" si="189"/>
        <v>0.93422579314118326</v>
      </c>
    </row>
    <row r="599" spans="1:16" s="7" customFormat="1">
      <c r="A599" s="108"/>
      <c r="B599" s="150"/>
      <c r="C599" s="70" t="s">
        <v>1082</v>
      </c>
      <c r="D599" s="33" t="s">
        <v>1979</v>
      </c>
      <c r="E599" s="34" t="s">
        <v>1466</v>
      </c>
      <c r="F599" s="35">
        <v>241078000</v>
      </c>
      <c r="G599" s="210">
        <v>0</v>
      </c>
      <c r="H599" s="210">
        <v>0</v>
      </c>
      <c r="I599" s="210">
        <v>241078000</v>
      </c>
      <c r="J599" s="210">
        <v>107694729</v>
      </c>
      <c r="K599" s="210">
        <v>234936789</v>
      </c>
      <c r="L599" s="210">
        <v>107694729</v>
      </c>
      <c r="M599" s="210">
        <v>234936789</v>
      </c>
      <c r="N599" s="210">
        <v>970342</v>
      </c>
      <c r="O599" s="210">
        <v>127242060</v>
      </c>
      <c r="P599" s="242">
        <f t="shared" si="189"/>
        <v>0.97452604136420573</v>
      </c>
    </row>
    <row r="600" spans="1:16" s="8" customFormat="1">
      <c r="A600" s="107"/>
      <c r="B600" s="149" t="s">
        <v>1841</v>
      </c>
      <c r="C600" s="18" t="s">
        <v>1084</v>
      </c>
      <c r="D600" s="30"/>
      <c r="E600" s="17" t="s">
        <v>1085</v>
      </c>
      <c r="F600" s="16">
        <f>+F601</f>
        <v>1910610000</v>
      </c>
      <c r="G600" s="203">
        <f t="shared" ref="G600:O600" si="192">+G601</f>
        <v>0</v>
      </c>
      <c r="H600" s="203">
        <f t="shared" si="192"/>
        <v>539555294</v>
      </c>
      <c r="I600" s="203">
        <f t="shared" si="192"/>
        <v>2450165294</v>
      </c>
      <c r="J600" s="203">
        <f t="shared" si="192"/>
        <v>-17650557</v>
      </c>
      <c r="K600" s="203">
        <f t="shared" si="192"/>
        <v>2335704351</v>
      </c>
      <c r="L600" s="203">
        <f t="shared" si="192"/>
        <v>609760895</v>
      </c>
      <c r="M600" s="203">
        <f t="shared" si="192"/>
        <v>2335704351</v>
      </c>
      <c r="N600" s="203">
        <f t="shared" si="192"/>
        <v>166854843</v>
      </c>
      <c r="O600" s="203">
        <f t="shared" si="192"/>
        <v>1505434433</v>
      </c>
      <c r="P600" s="237">
        <f t="shared" si="189"/>
        <v>0.95328439951365995</v>
      </c>
    </row>
    <row r="601" spans="1:16" s="7" customFormat="1">
      <c r="A601" s="108"/>
      <c r="B601" s="150"/>
      <c r="C601" s="70" t="s">
        <v>1084</v>
      </c>
      <c r="D601" s="33" t="s">
        <v>1942</v>
      </c>
      <c r="E601" s="34" t="s">
        <v>913</v>
      </c>
      <c r="F601" s="35">
        <v>1910610000</v>
      </c>
      <c r="G601" s="210">
        <v>0</v>
      </c>
      <c r="H601" s="210">
        <v>539555294</v>
      </c>
      <c r="I601" s="210">
        <v>2450165294</v>
      </c>
      <c r="J601" s="210">
        <v>-17650557</v>
      </c>
      <c r="K601" s="210">
        <v>2335704351</v>
      </c>
      <c r="L601" s="210">
        <v>609760895</v>
      </c>
      <c r="M601" s="210">
        <v>2335704351</v>
      </c>
      <c r="N601" s="210">
        <v>166854843</v>
      </c>
      <c r="O601" s="210">
        <v>1505434433</v>
      </c>
      <c r="P601" s="242">
        <f t="shared" si="189"/>
        <v>0.95328439951365995</v>
      </c>
    </row>
    <row r="602" spans="1:16" s="8" customFormat="1">
      <c r="A602" s="107"/>
      <c r="B602" s="149" t="s">
        <v>1842</v>
      </c>
      <c r="C602" s="18" t="s">
        <v>1086</v>
      </c>
      <c r="D602" s="30"/>
      <c r="E602" s="17" t="s">
        <v>1087</v>
      </c>
      <c r="F602" s="16">
        <f>SUM(F603:F607)</f>
        <v>933793000</v>
      </c>
      <c r="G602" s="203">
        <f t="shared" ref="G602:O602" si="193">SUM(G603:G607)</f>
        <v>0</v>
      </c>
      <c r="H602" s="203">
        <f t="shared" si="193"/>
        <v>219715999</v>
      </c>
      <c r="I602" s="203">
        <f t="shared" si="193"/>
        <v>1153508999</v>
      </c>
      <c r="J602" s="203">
        <f t="shared" si="193"/>
        <v>475335688</v>
      </c>
      <c r="K602" s="203">
        <f t="shared" si="193"/>
        <v>1140788086</v>
      </c>
      <c r="L602" s="203">
        <f t="shared" si="193"/>
        <v>475335688</v>
      </c>
      <c r="M602" s="203">
        <f t="shared" si="193"/>
        <v>1140788086</v>
      </c>
      <c r="N602" s="203">
        <f t="shared" si="193"/>
        <v>6059147</v>
      </c>
      <c r="O602" s="203">
        <f t="shared" si="193"/>
        <v>665452398</v>
      </c>
      <c r="P602" s="237">
        <f t="shared" si="189"/>
        <v>0.98897198633818373</v>
      </c>
    </row>
    <row r="603" spans="1:16" s="8" customFormat="1">
      <c r="A603" s="108"/>
      <c r="B603" s="150"/>
      <c r="C603" s="70" t="s">
        <v>1086</v>
      </c>
      <c r="D603" s="33" t="s">
        <v>1980</v>
      </c>
      <c r="E603" s="34" t="s">
        <v>1462</v>
      </c>
      <c r="F603" s="35">
        <v>205093000</v>
      </c>
      <c r="G603" s="210">
        <v>0</v>
      </c>
      <c r="H603" s="210">
        <v>48257176</v>
      </c>
      <c r="I603" s="210">
        <v>253350176</v>
      </c>
      <c r="J603" s="210">
        <v>107852816</v>
      </c>
      <c r="K603" s="210">
        <v>253272344</v>
      </c>
      <c r="L603" s="210">
        <v>107852816</v>
      </c>
      <c r="M603" s="210">
        <v>253272344</v>
      </c>
      <c r="N603" s="210">
        <v>0</v>
      </c>
      <c r="O603" s="210">
        <v>145419528</v>
      </c>
      <c r="P603" s="242">
        <f t="shared" si="189"/>
        <v>0.99969278884574364</v>
      </c>
    </row>
    <row r="604" spans="1:16" s="8" customFormat="1">
      <c r="A604" s="108"/>
      <c r="B604" s="150"/>
      <c r="C604" s="70" t="s">
        <v>1086</v>
      </c>
      <c r="D604" s="33" t="s">
        <v>1981</v>
      </c>
      <c r="E604" s="34" t="s">
        <v>1088</v>
      </c>
      <c r="F604" s="35">
        <v>161872000</v>
      </c>
      <c r="G604" s="210">
        <v>0</v>
      </c>
      <c r="H604" s="210">
        <v>38087529</v>
      </c>
      <c r="I604" s="210">
        <v>199959529</v>
      </c>
      <c r="J604" s="210">
        <v>84222144</v>
      </c>
      <c r="K604" s="210">
        <v>193286790</v>
      </c>
      <c r="L604" s="210">
        <v>84222144</v>
      </c>
      <c r="M604" s="210">
        <v>193286790</v>
      </c>
      <c r="N604" s="210">
        <v>0</v>
      </c>
      <c r="O604" s="210">
        <v>109064646</v>
      </c>
      <c r="P604" s="242">
        <f t="shared" si="189"/>
        <v>0.96662955232306036</v>
      </c>
    </row>
    <row r="605" spans="1:16" s="8" customFormat="1">
      <c r="A605" s="108"/>
      <c r="B605" s="150"/>
      <c r="C605" s="70" t="s">
        <v>1086</v>
      </c>
      <c r="D605" s="33" t="s">
        <v>1982</v>
      </c>
      <c r="E605" s="34" t="s">
        <v>1089</v>
      </c>
      <c r="F605" s="35">
        <v>185330000</v>
      </c>
      <c r="G605" s="210">
        <v>0</v>
      </c>
      <c r="H605" s="210">
        <v>43607059</v>
      </c>
      <c r="I605" s="210">
        <v>228937059</v>
      </c>
      <c r="J605" s="210">
        <v>96138465</v>
      </c>
      <c r="K605" s="210">
        <v>228912813</v>
      </c>
      <c r="L605" s="210">
        <v>96138465</v>
      </c>
      <c r="M605" s="210">
        <v>228912813</v>
      </c>
      <c r="N605" s="210">
        <v>0</v>
      </c>
      <c r="O605" s="210">
        <v>132774348</v>
      </c>
      <c r="P605" s="242">
        <f t="shared" si="189"/>
        <v>0.99989409316208611</v>
      </c>
    </row>
    <row r="606" spans="1:16" s="8" customFormat="1">
      <c r="A606" s="108"/>
      <c r="B606" s="150"/>
      <c r="C606" s="70" t="s">
        <v>1086</v>
      </c>
      <c r="D606" s="33" t="s">
        <v>1983</v>
      </c>
      <c r="E606" s="34" t="s">
        <v>1090</v>
      </c>
      <c r="F606" s="35">
        <v>273200000</v>
      </c>
      <c r="G606" s="210">
        <v>0</v>
      </c>
      <c r="H606" s="210">
        <v>64282353</v>
      </c>
      <c r="I606" s="210">
        <v>337482353</v>
      </c>
      <c r="J606" s="210">
        <v>131984025</v>
      </c>
      <c r="K606" s="210">
        <v>337468137</v>
      </c>
      <c r="L606" s="210">
        <v>131984025</v>
      </c>
      <c r="M606" s="210">
        <v>337468137</v>
      </c>
      <c r="N606" s="210">
        <v>0</v>
      </c>
      <c r="O606" s="210">
        <v>205484112</v>
      </c>
      <c r="P606" s="242">
        <f t="shared" si="189"/>
        <v>0.99995787631598032</v>
      </c>
    </row>
    <row r="607" spans="1:16" s="7" customFormat="1">
      <c r="A607" s="108"/>
      <c r="B607" s="150"/>
      <c r="C607" s="70" t="s">
        <v>1086</v>
      </c>
      <c r="D607" s="33" t="s">
        <v>1984</v>
      </c>
      <c r="E607" s="34" t="s">
        <v>1091</v>
      </c>
      <c r="F607" s="35">
        <v>108298000</v>
      </c>
      <c r="G607" s="210">
        <v>0</v>
      </c>
      <c r="H607" s="210">
        <v>25481882</v>
      </c>
      <c r="I607" s="210">
        <v>133779882</v>
      </c>
      <c r="J607" s="210">
        <v>55138238</v>
      </c>
      <c r="K607" s="210">
        <v>127848002</v>
      </c>
      <c r="L607" s="210">
        <v>55138238</v>
      </c>
      <c r="M607" s="210">
        <v>127848002</v>
      </c>
      <c r="N607" s="210">
        <v>6059147</v>
      </c>
      <c r="O607" s="210">
        <v>72709764</v>
      </c>
      <c r="P607" s="242">
        <f t="shared" si="189"/>
        <v>0.95565940176266562</v>
      </c>
    </row>
    <row r="608" spans="1:16" s="8" customFormat="1">
      <c r="A608" s="107"/>
      <c r="B608" s="149" t="s">
        <v>1843</v>
      </c>
      <c r="C608" s="18" t="s">
        <v>1092</v>
      </c>
      <c r="D608" s="30"/>
      <c r="E608" s="17" t="s">
        <v>1093</v>
      </c>
      <c r="F608" s="16">
        <f>+F609</f>
        <v>420095000</v>
      </c>
      <c r="G608" s="203">
        <f t="shared" ref="G608:O608" si="194">+G609</f>
        <v>0</v>
      </c>
      <c r="H608" s="203">
        <f t="shared" si="194"/>
        <v>354000000</v>
      </c>
      <c r="I608" s="203">
        <f t="shared" si="194"/>
        <v>774095000</v>
      </c>
      <c r="J608" s="203">
        <f t="shared" si="194"/>
        <v>46277816</v>
      </c>
      <c r="K608" s="203">
        <f t="shared" si="194"/>
        <v>739760269</v>
      </c>
      <c r="L608" s="203">
        <f t="shared" si="194"/>
        <v>128734881</v>
      </c>
      <c r="M608" s="203">
        <f t="shared" si="194"/>
        <v>739760269</v>
      </c>
      <c r="N608" s="203">
        <f t="shared" si="194"/>
        <v>40499687</v>
      </c>
      <c r="O608" s="203">
        <f t="shared" si="194"/>
        <v>451994742</v>
      </c>
      <c r="P608" s="237">
        <f t="shared" si="189"/>
        <v>0.95564532647801625</v>
      </c>
    </row>
    <row r="609" spans="1:16">
      <c r="A609" s="108"/>
      <c r="B609" s="150"/>
      <c r="C609" s="70" t="s">
        <v>1092</v>
      </c>
      <c r="D609" s="33" t="s">
        <v>1942</v>
      </c>
      <c r="E609" s="34" t="s">
        <v>1094</v>
      </c>
      <c r="F609" s="35">
        <v>420095000</v>
      </c>
      <c r="G609" s="210">
        <v>0</v>
      </c>
      <c r="H609" s="210">
        <v>354000000</v>
      </c>
      <c r="I609" s="210">
        <v>774095000</v>
      </c>
      <c r="J609" s="210">
        <v>46277816</v>
      </c>
      <c r="K609" s="210">
        <v>739760269</v>
      </c>
      <c r="L609" s="210">
        <v>128734881</v>
      </c>
      <c r="M609" s="210">
        <v>739760269</v>
      </c>
      <c r="N609" s="210">
        <v>40499687</v>
      </c>
      <c r="O609" s="210">
        <v>451994742</v>
      </c>
      <c r="P609" s="242">
        <f t="shared" si="189"/>
        <v>0.95564532647801625</v>
      </c>
    </row>
    <row r="610" spans="1:16" s="8" customFormat="1">
      <c r="A610" s="107"/>
      <c r="B610" s="149" t="s">
        <v>1543</v>
      </c>
      <c r="C610" s="18" t="s">
        <v>1095</v>
      </c>
      <c r="D610" s="30"/>
      <c r="E610" s="17" t="s">
        <v>1096</v>
      </c>
      <c r="F610" s="16">
        <f>SUM(F611:F612)</f>
        <v>4756411000</v>
      </c>
      <c r="G610" s="203">
        <f t="shared" ref="G610:O610" si="195">SUM(G611:G612)</f>
        <v>0</v>
      </c>
      <c r="H610" s="203">
        <f t="shared" si="195"/>
        <v>1119155529</v>
      </c>
      <c r="I610" s="203">
        <f t="shared" si="195"/>
        <v>5875566529</v>
      </c>
      <c r="J610" s="203">
        <f t="shared" si="195"/>
        <v>1029462100</v>
      </c>
      <c r="K610" s="203">
        <f t="shared" si="195"/>
        <v>5694082575</v>
      </c>
      <c r="L610" s="203">
        <f t="shared" si="195"/>
        <v>1438586235</v>
      </c>
      <c r="M610" s="203">
        <f t="shared" si="195"/>
        <v>5266772068</v>
      </c>
      <c r="N610" s="203">
        <f t="shared" si="195"/>
        <v>195060596</v>
      </c>
      <c r="O610" s="203">
        <f t="shared" si="195"/>
        <v>3204669182</v>
      </c>
      <c r="P610" s="237">
        <f t="shared" si="189"/>
        <v>0.89638540249775456</v>
      </c>
    </row>
    <row r="611" spans="1:16" s="8" customFormat="1">
      <c r="A611" s="108"/>
      <c r="B611" s="150"/>
      <c r="C611" s="70" t="s">
        <v>1095</v>
      </c>
      <c r="D611" s="33" t="s">
        <v>1943</v>
      </c>
      <c r="E611" s="34" t="s">
        <v>763</v>
      </c>
      <c r="F611" s="35">
        <v>4548231000</v>
      </c>
      <c r="G611" s="210">
        <v>0</v>
      </c>
      <c r="H611" s="210">
        <v>1070172000</v>
      </c>
      <c r="I611" s="210">
        <v>5618403000</v>
      </c>
      <c r="J611" s="210">
        <v>918685088</v>
      </c>
      <c r="K611" s="210">
        <v>5437886035</v>
      </c>
      <c r="L611" s="210">
        <v>1365876471</v>
      </c>
      <c r="M611" s="210">
        <v>5048642776</v>
      </c>
      <c r="N611" s="210">
        <v>193848766</v>
      </c>
      <c r="O611" s="210">
        <v>3059249654</v>
      </c>
      <c r="P611" s="242">
        <f t="shared" si="189"/>
        <v>0.89859036028565409</v>
      </c>
    </row>
    <row r="612" spans="1:16" s="8" customFormat="1">
      <c r="A612" s="108"/>
      <c r="B612" s="150"/>
      <c r="C612" s="70" t="s">
        <v>1095</v>
      </c>
      <c r="D612" s="33" t="s">
        <v>1985</v>
      </c>
      <c r="E612" s="34" t="s">
        <v>1097</v>
      </c>
      <c r="F612" s="35">
        <v>208180000</v>
      </c>
      <c r="G612" s="210">
        <v>0</v>
      </c>
      <c r="H612" s="210">
        <v>48983529</v>
      </c>
      <c r="I612" s="210">
        <v>257163529</v>
      </c>
      <c r="J612" s="210">
        <v>110777012</v>
      </c>
      <c r="K612" s="210">
        <v>256196540</v>
      </c>
      <c r="L612" s="210">
        <v>72709764</v>
      </c>
      <c r="M612" s="210">
        <v>218129292</v>
      </c>
      <c r="N612" s="210">
        <v>1211830</v>
      </c>
      <c r="O612" s="210">
        <v>145419528</v>
      </c>
      <c r="P612" s="242">
        <f t="shared" si="189"/>
        <v>0.84821239173459939</v>
      </c>
    </row>
    <row r="613" spans="1:16" s="2" customFormat="1">
      <c r="A613" s="174" t="s">
        <v>1098</v>
      </c>
      <c r="B613" s="157" t="s">
        <v>1531</v>
      </c>
      <c r="C613" s="158" t="s">
        <v>1099</v>
      </c>
      <c r="D613" s="41"/>
      <c r="E613" s="42" t="s">
        <v>1100</v>
      </c>
      <c r="F613" s="76">
        <f>+F614+F616</f>
        <v>3146696000</v>
      </c>
      <c r="G613" s="76">
        <f>+G614+G616</f>
        <v>0</v>
      </c>
      <c r="H613" s="76">
        <f t="shared" ref="H613:O613" si="196">+H614+H616</f>
        <v>660574458</v>
      </c>
      <c r="I613" s="76">
        <f t="shared" si="196"/>
        <v>3807270458</v>
      </c>
      <c r="J613" s="76">
        <f t="shared" si="196"/>
        <v>-38471179</v>
      </c>
      <c r="K613" s="76">
        <f t="shared" si="196"/>
        <v>3618065488</v>
      </c>
      <c r="L613" s="76">
        <f t="shared" si="196"/>
        <v>1225817993</v>
      </c>
      <c r="M613" s="76">
        <f t="shared" si="196"/>
        <v>3434868522</v>
      </c>
      <c r="N613" s="76">
        <f t="shared" si="196"/>
        <v>164047403</v>
      </c>
      <c r="O613" s="76">
        <f t="shared" si="196"/>
        <v>1986585892</v>
      </c>
      <c r="P613" s="247">
        <f t="shared" si="189"/>
        <v>0.90218663472738247</v>
      </c>
    </row>
    <row r="614" spans="1:16" s="8" customFormat="1">
      <c r="A614" s="107" t="s">
        <v>1101</v>
      </c>
      <c r="B614" s="149" t="s">
        <v>1844</v>
      </c>
      <c r="C614" s="18" t="s">
        <v>1102</v>
      </c>
      <c r="D614" s="30"/>
      <c r="E614" s="17" t="s">
        <v>1103</v>
      </c>
      <c r="F614" s="203">
        <f>SUM(F615:F615)</f>
        <v>98972000</v>
      </c>
      <c r="G614" s="203">
        <f t="shared" ref="G614:O614" si="197">SUM(G615:G615)</f>
        <v>0</v>
      </c>
      <c r="H614" s="203">
        <f t="shared" si="197"/>
        <v>0</v>
      </c>
      <c r="I614" s="203">
        <f t="shared" si="197"/>
        <v>98972000</v>
      </c>
      <c r="J614" s="203">
        <f t="shared" si="197"/>
        <v>0</v>
      </c>
      <c r="K614" s="203">
        <f t="shared" si="197"/>
        <v>0</v>
      </c>
      <c r="L614" s="203">
        <f t="shared" si="197"/>
        <v>0</v>
      </c>
      <c r="M614" s="203">
        <f t="shared" si="197"/>
        <v>0</v>
      </c>
      <c r="N614" s="203">
        <f t="shared" si="197"/>
        <v>0</v>
      </c>
      <c r="O614" s="203">
        <f t="shared" si="197"/>
        <v>0</v>
      </c>
      <c r="P614" s="237">
        <f t="shared" si="189"/>
        <v>0</v>
      </c>
    </row>
    <row r="615" spans="1:16" s="2" customFormat="1">
      <c r="A615" s="108"/>
      <c r="B615" s="150"/>
      <c r="C615" s="70" t="s">
        <v>1102</v>
      </c>
      <c r="D615" s="33" t="s">
        <v>1953</v>
      </c>
      <c r="E615" s="34" t="s">
        <v>917</v>
      </c>
      <c r="F615" s="35">
        <v>98972000</v>
      </c>
      <c r="G615" s="210">
        <v>0</v>
      </c>
      <c r="H615" s="210">
        <v>0</v>
      </c>
      <c r="I615" s="210">
        <v>98972000</v>
      </c>
      <c r="J615" s="210">
        <v>0</v>
      </c>
      <c r="K615" s="210">
        <v>0</v>
      </c>
      <c r="L615" s="210">
        <v>0</v>
      </c>
      <c r="M615" s="210">
        <v>0</v>
      </c>
      <c r="N615" s="210">
        <v>0</v>
      </c>
      <c r="O615" s="210">
        <v>0</v>
      </c>
      <c r="P615" s="242">
        <f t="shared" si="189"/>
        <v>0</v>
      </c>
    </row>
    <row r="616" spans="1:16" s="8" customFormat="1">
      <c r="A616" s="107" t="s">
        <v>1104</v>
      </c>
      <c r="B616" s="149" t="s">
        <v>1845</v>
      </c>
      <c r="C616" s="18" t="s">
        <v>1105</v>
      </c>
      <c r="D616" s="30"/>
      <c r="E616" s="17" t="s">
        <v>1106</v>
      </c>
      <c r="F616" s="16">
        <f>SUM(F617:F618)</f>
        <v>3047724000</v>
      </c>
      <c r="G616" s="203">
        <f t="shared" ref="G616:O616" si="198">SUM(G617:G618)</f>
        <v>0</v>
      </c>
      <c r="H616" s="203">
        <f t="shared" si="198"/>
        <v>660574458</v>
      </c>
      <c r="I616" s="203">
        <f t="shared" si="198"/>
        <v>3708298458</v>
      </c>
      <c r="J616" s="203">
        <f t="shared" si="198"/>
        <v>-38471179</v>
      </c>
      <c r="K616" s="203">
        <f t="shared" si="198"/>
        <v>3618065488</v>
      </c>
      <c r="L616" s="203">
        <f t="shared" si="198"/>
        <v>1225817993</v>
      </c>
      <c r="M616" s="203">
        <f t="shared" si="198"/>
        <v>3434868522</v>
      </c>
      <c r="N616" s="203">
        <f t="shared" si="198"/>
        <v>164047403</v>
      </c>
      <c r="O616" s="203">
        <f t="shared" si="198"/>
        <v>1986585892</v>
      </c>
      <c r="P616" s="237">
        <f t="shared" si="189"/>
        <v>0.92626539123081553</v>
      </c>
    </row>
    <row r="617" spans="1:16" s="8" customFormat="1">
      <c r="A617" s="108"/>
      <c r="B617" s="150"/>
      <c r="C617" s="70" t="s">
        <v>1105</v>
      </c>
      <c r="D617" s="33" t="s">
        <v>1947</v>
      </c>
      <c r="E617" s="34" t="s">
        <v>783</v>
      </c>
      <c r="F617" s="35">
        <v>1846888000</v>
      </c>
      <c r="G617" s="210">
        <v>0</v>
      </c>
      <c r="H617" s="210">
        <v>372691431</v>
      </c>
      <c r="I617" s="210">
        <v>2219579431</v>
      </c>
      <c r="J617" s="210">
        <v>2054849</v>
      </c>
      <c r="K617" s="210">
        <v>2191672228</v>
      </c>
      <c r="L617" s="210">
        <v>998810759</v>
      </c>
      <c r="M617" s="210">
        <v>2191672228</v>
      </c>
      <c r="N617" s="210">
        <v>108636950</v>
      </c>
      <c r="O617" s="210">
        <v>1170093997</v>
      </c>
      <c r="P617" s="242">
        <f t="shared" si="189"/>
        <v>0.98742680590285214</v>
      </c>
    </row>
    <row r="618" spans="1:16" s="2" customFormat="1">
      <c r="A618" s="108"/>
      <c r="B618" s="150"/>
      <c r="C618" s="70" t="s">
        <v>1105</v>
      </c>
      <c r="D618" s="33" t="s">
        <v>1944</v>
      </c>
      <c r="E618" s="34" t="s">
        <v>780</v>
      </c>
      <c r="F618" s="35">
        <v>1200836000</v>
      </c>
      <c r="G618" s="210">
        <v>0</v>
      </c>
      <c r="H618" s="210">
        <v>287883027</v>
      </c>
      <c r="I618" s="210">
        <v>1488719027</v>
      </c>
      <c r="J618" s="210">
        <v>-40526028</v>
      </c>
      <c r="K618" s="210">
        <v>1426393260</v>
      </c>
      <c r="L618" s="210">
        <v>227007234</v>
      </c>
      <c r="M618" s="210">
        <v>1243196294</v>
      </c>
      <c r="N618" s="210">
        <v>55410453</v>
      </c>
      <c r="O618" s="210">
        <v>816491895</v>
      </c>
      <c r="P618" s="242">
        <f t="shared" si="189"/>
        <v>0.83507785650139343</v>
      </c>
    </row>
    <row r="619" spans="1:16" s="2" customFormat="1">
      <c r="A619" s="134" t="s">
        <v>1107</v>
      </c>
      <c r="B619" s="123" t="s">
        <v>1531</v>
      </c>
      <c r="C619" s="124" t="s">
        <v>1108</v>
      </c>
      <c r="D619" s="67"/>
      <c r="E619" s="25" t="s">
        <v>1109</v>
      </c>
      <c r="F619" s="68">
        <f>+F620</f>
        <v>2000000</v>
      </c>
      <c r="G619" s="68">
        <f t="shared" ref="G619:O619" si="199">+G620</f>
        <v>0</v>
      </c>
      <c r="H619" s="68">
        <f t="shared" si="199"/>
        <v>0</v>
      </c>
      <c r="I619" s="68">
        <f t="shared" si="199"/>
        <v>2000000</v>
      </c>
      <c r="J619" s="68">
        <f t="shared" si="199"/>
        <v>0</v>
      </c>
      <c r="K619" s="68">
        <f t="shared" si="199"/>
        <v>0</v>
      </c>
      <c r="L619" s="68">
        <f t="shared" si="199"/>
        <v>0</v>
      </c>
      <c r="M619" s="68">
        <f t="shared" si="199"/>
        <v>0</v>
      </c>
      <c r="N619" s="68">
        <f t="shared" si="199"/>
        <v>0</v>
      </c>
      <c r="O619" s="68">
        <f t="shared" si="199"/>
        <v>0</v>
      </c>
      <c r="P619" s="229">
        <f t="shared" si="189"/>
        <v>0</v>
      </c>
    </row>
    <row r="620" spans="1:16" s="8" customFormat="1">
      <c r="A620" s="107" t="s">
        <v>1110</v>
      </c>
      <c r="B620" s="149" t="s">
        <v>1846</v>
      </c>
      <c r="C620" s="18" t="s">
        <v>1111</v>
      </c>
      <c r="D620" s="30"/>
      <c r="E620" s="17" t="s">
        <v>1112</v>
      </c>
      <c r="F620" s="16">
        <f>SUM(F621:F621)</f>
        <v>2000000</v>
      </c>
      <c r="G620" s="203">
        <f t="shared" ref="G620:O620" si="200">SUM(G621:G621)</f>
        <v>0</v>
      </c>
      <c r="H620" s="203">
        <f t="shared" si="200"/>
        <v>0</v>
      </c>
      <c r="I620" s="203">
        <f t="shared" si="200"/>
        <v>2000000</v>
      </c>
      <c r="J620" s="203">
        <f t="shared" si="200"/>
        <v>0</v>
      </c>
      <c r="K620" s="203">
        <f t="shared" si="200"/>
        <v>0</v>
      </c>
      <c r="L620" s="203">
        <f t="shared" si="200"/>
        <v>0</v>
      </c>
      <c r="M620" s="203">
        <f t="shared" si="200"/>
        <v>0</v>
      </c>
      <c r="N620" s="203">
        <f t="shared" si="200"/>
        <v>0</v>
      </c>
      <c r="O620" s="203">
        <f t="shared" si="200"/>
        <v>0</v>
      </c>
      <c r="P620" s="237">
        <f t="shared" si="189"/>
        <v>0</v>
      </c>
    </row>
    <row r="621" spans="1:16" s="2" customFormat="1">
      <c r="A621" s="108"/>
      <c r="B621" s="150"/>
      <c r="C621" s="70" t="s">
        <v>1111</v>
      </c>
      <c r="D621" s="33" t="s">
        <v>1974</v>
      </c>
      <c r="E621" s="34" t="s">
        <v>1075</v>
      </c>
      <c r="F621" s="35">
        <v>2000000</v>
      </c>
      <c r="G621" s="210">
        <v>0</v>
      </c>
      <c r="H621" s="210">
        <v>0</v>
      </c>
      <c r="I621" s="210">
        <v>2000000</v>
      </c>
      <c r="J621" s="210">
        <v>0</v>
      </c>
      <c r="K621" s="210">
        <v>0</v>
      </c>
      <c r="L621" s="210">
        <v>0</v>
      </c>
      <c r="M621" s="210">
        <v>0</v>
      </c>
      <c r="N621" s="210">
        <v>0</v>
      </c>
      <c r="O621" s="210">
        <v>0</v>
      </c>
      <c r="P621" s="242">
        <f t="shared" si="189"/>
        <v>0</v>
      </c>
    </row>
    <row r="622" spans="1:16" s="2" customFormat="1">
      <c r="A622" s="134" t="s">
        <v>1113</v>
      </c>
      <c r="B622" s="123" t="s">
        <v>1531</v>
      </c>
      <c r="C622" s="124" t="s">
        <v>1114</v>
      </c>
      <c r="D622" s="67"/>
      <c r="E622" s="25" t="s">
        <v>1115</v>
      </c>
      <c r="F622" s="68">
        <f>+F623+F632+F634</f>
        <v>422096000</v>
      </c>
      <c r="G622" s="68">
        <f t="shared" ref="G622:O622" si="201">+G623+G632+G634</f>
        <v>0</v>
      </c>
      <c r="H622" s="68">
        <f t="shared" si="201"/>
        <v>-85000000</v>
      </c>
      <c r="I622" s="68">
        <f t="shared" si="201"/>
        <v>337096000</v>
      </c>
      <c r="J622" s="68">
        <f t="shared" si="201"/>
        <v>-231438</v>
      </c>
      <c r="K622" s="68">
        <f t="shared" si="201"/>
        <v>249979562</v>
      </c>
      <c r="L622" s="68">
        <f t="shared" si="201"/>
        <v>47028562</v>
      </c>
      <c r="M622" s="68">
        <f t="shared" si="201"/>
        <v>244366116</v>
      </c>
      <c r="N622" s="68">
        <f t="shared" si="201"/>
        <v>0</v>
      </c>
      <c r="O622" s="68">
        <f t="shared" si="201"/>
        <v>85553000</v>
      </c>
      <c r="P622" s="229">
        <f t="shared" si="189"/>
        <v>0.72491550181550657</v>
      </c>
    </row>
    <row r="623" spans="1:16" s="8" customFormat="1">
      <c r="A623" s="107" t="s">
        <v>1116</v>
      </c>
      <c r="B623" s="149" t="s">
        <v>1847</v>
      </c>
      <c r="C623" s="18" t="s">
        <v>1117</v>
      </c>
      <c r="D623" s="30"/>
      <c r="E623" s="17" t="s">
        <v>1118</v>
      </c>
      <c r="F623" s="16">
        <f>SUM(F624:F631)</f>
        <v>422096000</v>
      </c>
      <c r="G623" s="203">
        <f t="shared" ref="G623:O623" si="202">SUM(G624:G631)</f>
        <v>0</v>
      </c>
      <c r="H623" s="203">
        <f t="shared" si="202"/>
        <v>-85000000</v>
      </c>
      <c r="I623" s="203">
        <f t="shared" si="202"/>
        <v>337096000</v>
      </c>
      <c r="J623" s="203">
        <f t="shared" si="202"/>
        <v>-231438</v>
      </c>
      <c r="K623" s="203">
        <f t="shared" si="202"/>
        <v>249979562</v>
      </c>
      <c r="L623" s="203">
        <f t="shared" si="202"/>
        <v>47028562</v>
      </c>
      <c r="M623" s="203">
        <f t="shared" si="202"/>
        <v>244366116</v>
      </c>
      <c r="N623" s="203">
        <f t="shared" si="202"/>
        <v>0</v>
      </c>
      <c r="O623" s="203">
        <f t="shared" si="202"/>
        <v>85553000</v>
      </c>
      <c r="P623" s="237">
        <f t="shared" si="189"/>
        <v>0.72491550181550657</v>
      </c>
    </row>
    <row r="624" spans="1:16" s="8" customFormat="1">
      <c r="A624" s="108"/>
      <c r="B624" s="150"/>
      <c r="C624" s="70" t="s">
        <v>1117</v>
      </c>
      <c r="D624" s="33" t="s">
        <v>1945</v>
      </c>
      <c r="E624" s="34" t="s">
        <v>781</v>
      </c>
      <c r="F624" s="35">
        <v>163553000</v>
      </c>
      <c r="G624" s="210">
        <v>0</v>
      </c>
      <c r="H624" s="210">
        <v>-78000000</v>
      </c>
      <c r="I624" s="210">
        <v>85553000</v>
      </c>
      <c r="J624" s="210">
        <v>0</v>
      </c>
      <c r="K624" s="210">
        <v>85553000</v>
      </c>
      <c r="L624" s="210">
        <v>0</v>
      </c>
      <c r="M624" s="210">
        <v>85553000</v>
      </c>
      <c r="N624" s="210">
        <v>0</v>
      </c>
      <c r="O624" s="210">
        <v>85553000</v>
      </c>
      <c r="P624" s="242">
        <f t="shared" si="189"/>
        <v>1</v>
      </c>
    </row>
    <row r="625" spans="1:16" s="8" customFormat="1">
      <c r="A625" s="108"/>
      <c r="B625" s="150"/>
      <c r="C625" s="70" t="s">
        <v>1117</v>
      </c>
      <c r="D625" s="33" t="s">
        <v>1951</v>
      </c>
      <c r="E625" s="34" t="s">
        <v>915</v>
      </c>
      <c r="F625" s="35">
        <v>15793000</v>
      </c>
      <c r="G625" s="210">
        <v>0</v>
      </c>
      <c r="H625" s="210">
        <v>0</v>
      </c>
      <c r="I625" s="210">
        <v>15793000</v>
      </c>
      <c r="J625" s="210">
        <v>0</v>
      </c>
      <c r="K625" s="210">
        <v>15793000</v>
      </c>
      <c r="L625" s="210">
        <v>0</v>
      </c>
      <c r="M625" s="210">
        <v>15793000</v>
      </c>
      <c r="N625" s="210">
        <v>0</v>
      </c>
      <c r="O625" s="210">
        <v>0</v>
      </c>
      <c r="P625" s="242">
        <f t="shared" si="189"/>
        <v>1</v>
      </c>
    </row>
    <row r="626" spans="1:16" s="8" customFormat="1">
      <c r="A626" s="108"/>
      <c r="B626" s="150"/>
      <c r="C626" s="70" t="s">
        <v>1117</v>
      </c>
      <c r="D626" s="33" t="s">
        <v>1937</v>
      </c>
      <c r="E626" s="34" t="s">
        <v>909</v>
      </c>
      <c r="F626" s="35">
        <v>23630000</v>
      </c>
      <c r="G626" s="210">
        <v>0</v>
      </c>
      <c r="H626" s="210">
        <v>0</v>
      </c>
      <c r="I626" s="210">
        <v>23630000</v>
      </c>
      <c r="J626" s="210">
        <v>0</v>
      </c>
      <c r="K626" s="210">
        <v>0</v>
      </c>
      <c r="L626" s="210">
        <v>0</v>
      </c>
      <c r="M626" s="210">
        <v>0</v>
      </c>
      <c r="N626" s="210">
        <v>0</v>
      </c>
      <c r="O626" s="210">
        <v>0</v>
      </c>
      <c r="P626" s="242">
        <f t="shared" si="189"/>
        <v>0</v>
      </c>
    </row>
    <row r="627" spans="1:16" s="8" customFormat="1">
      <c r="A627" s="108"/>
      <c r="B627" s="150"/>
      <c r="C627" s="70" t="s">
        <v>1117</v>
      </c>
      <c r="D627" s="33" t="s">
        <v>1942</v>
      </c>
      <c r="E627" s="34" t="s">
        <v>913</v>
      </c>
      <c r="F627" s="35">
        <v>47260000</v>
      </c>
      <c r="G627" s="210">
        <v>0</v>
      </c>
      <c r="H627" s="210">
        <v>0</v>
      </c>
      <c r="I627" s="210">
        <v>47260000</v>
      </c>
      <c r="J627" s="210">
        <v>-231438</v>
      </c>
      <c r="K627" s="210">
        <v>47028562</v>
      </c>
      <c r="L627" s="210">
        <v>47028562</v>
      </c>
      <c r="M627" s="210">
        <v>47028562</v>
      </c>
      <c r="N627" s="210">
        <v>0</v>
      </c>
      <c r="O627" s="210">
        <v>0</v>
      </c>
      <c r="P627" s="242">
        <f t="shared" si="189"/>
        <v>0.99510287769784178</v>
      </c>
    </row>
    <row r="628" spans="1:16" s="8" customFormat="1">
      <c r="A628" s="108"/>
      <c r="B628" s="150"/>
      <c r="C628" s="70" t="s">
        <v>1117</v>
      </c>
      <c r="D628" s="33" t="s">
        <v>1913</v>
      </c>
      <c r="E628" s="34" t="s">
        <v>914</v>
      </c>
      <c r="F628" s="35">
        <v>40000000</v>
      </c>
      <c r="G628" s="210">
        <v>0</v>
      </c>
      <c r="H628" s="210">
        <v>-7000000</v>
      </c>
      <c r="I628" s="210">
        <v>33000000</v>
      </c>
      <c r="J628" s="210">
        <v>0</v>
      </c>
      <c r="K628" s="210">
        <v>0</v>
      </c>
      <c r="L628" s="210">
        <v>0</v>
      </c>
      <c r="M628" s="210">
        <v>0</v>
      </c>
      <c r="N628" s="210">
        <v>0</v>
      </c>
      <c r="O628" s="210">
        <v>0</v>
      </c>
      <c r="P628" s="242">
        <f t="shared" si="189"/>
        <v>0</v>
      </c>
    </row>
    <row r="629" spans="1:16" s="8" customFormat="1">
      <c r="A629" s="108"/>
      <c r="B629" s="150"/>
      <c r="C629" s="70" t="s">
        <v>1117</v>
      </c>
      <c r="D629" s="33" t="s">
        <v>1943</v>
      </c>
      <c r="E629" s="34" t="s">
        <v>763</v>
      </c>
      <c r="F629" s="35">
        <v>30255000</v>
      </c>
      <c r="G629" s="210">
        <v>0</v>
      </c>
      <c r="H629" s="210">
        <v>0</v>
      </c>
      <c r="I629" s="210">
        <v>30255000</v>
      </c>
      <c r="J629" s="210">
        <v>0</v>
      </c>
      <c r="K629" s="210">
        <v>0</v>
      </c>
      <c r="L629" s="210">
        <v>0</v>
      </c>
      <c r="M629" s="210">
        <v>0</v>
      </c>
      <c r="N629" s="210">
        <v>0</v>
      </c>
      <c r="O629" s="210">
        <v>0</v>
      </c>
      <c r="P629" s="242">
        <f t="shared" si="189"/>
        <v>0</v>
      </c>
    </row>
    <row r="630" spans="1:16" s="8" customFormat="1">
      <c r="A630" s="108"/>
      <c r="B630" s="150"/>
      <c r="C630" s="70" t="s">
        <v>1117</v>
      </c>
      <c r="D630" s="33" t="s">
        <v>1970</v>
      </c>
      <c r="E630" s="34" t="s">
        <v>1069</v>
      </c>
      <c r="F630" s="35">
        <v>52259999.999999993</v>
      </c>
      <c r="G630" s="210">
        <v>0</v>
      </c>
      <c r="H630" s="210">
        <v>0</v>
      </c>
      <c r="I630" s="210">
        <v>52260000</v>
      </c>
      <c r="J630" s="210">
        <v>0</v>
      </c>
      <c r="K630" s="210">
        <v>52260000</v>
      </c>
      <c r="L630" s="210">
        <v>0</v>
      </c>
      <c r="M630" s="210">
        <v>52260000</v>
      </c>
      <c r="N630" s="210">
        <v>0</v>
      </c>
      <c r="O630" s="210">
        <v>0</v>
      </c>
      <c r="P630" s="242">
        <f t="shared" si="189"/>
        <v>1</v>
      </c>
    </row>
    <row r="631" spans="1:16" s="2" customFormat="1">
      <c r="A631" s="108"/>
      <c r="B631" s="150"/>
      <c r="C631" s="70" t="s">
        <v>1117</v>
      </c>
      <c r="D631" s="33" t="s">
        <v>1954</v>
      </c>
      <c r="E631" s="34" t="s">
        <v>1020</v>
      </c>
      <c r="F631" s="35">
        <v>49345000</v>
      </c>
      <c r="G631" s="210">
        <v>0</v>
      </c>
      <c r="H631" s="210">
        <v>0</v>
      </c>
      <c r="I631" s="210">
        <v>49345000</v>
      </c>
      <c r="J631" s="210">
        <v>0</v>
      </c>
      <c r="K631" s="210">
        <v>49345000</v>
      </c>
      <c r="L631" s="210">
        <v>0</v>
      </c>
      <c r="M631" s="210">
        <v>43731554</v>
      </c>
      <c r="N631" s="210">
        <v>0</v>
      </c>
      <c r="O631" s="210">
        <v>0</v>
      </c>
      <c r="P631" s="242">
        <f t="shared" si="189"/>
        <v>0.88624083493768369</v>
      </c>
    </row>
    <row r="632" spans="1:16" s="8" customFormat="1">
      <c r="A632" s="107" t="s">
        <v>1119</v>
      </c>
      <c r="B632" s="149" t="s">
        <v>1542</v>
      </c>
      <c r="C632" s="18" t="s">
        <v>1120</v>
      </c>
      <c r="D632" s="30"/>
      <c r="E632" s="17" t="s">
        <v>1121</v>
      </c>
      <c r="F632" s="16">
        <f>+F633</f>
        <v>0</v>
      </c>
      <c r="G632" s="203">
        <f t="shared" ref="G632:O632" si="203">+G633</f>
        <v>0</v>
      </c>
      <c r="H632" s="203">
        <f t="shared" si="203"/>
        <v>0</v>
      </c>
      <c r="I632" s="203">
        <f t="shared" si="203"/>
        <v>0</v>
      </c>
      <c r="J632" s="203">
        <f t="shared" si="203"/>
        <v>0</v>
      </c>
      <c r="K632" s="203">
        <f t="shared" si="203"/>
        <v>0</v>
      </c>
      <c r="L632" s="203">
        <f t="shared" si="203"/>
        <v>0</v>
      </c>
      <c r="M632" s="203">
        <f t="shared" si="203"/>
        <v>0</v>
      </c>
      <c r="N632" s="203">
        <f t="shared" si="203"/>
        <v>0</v>
      </c>
      <c r="O632" s="203">
        <f t="shared" si="203"/>
        <v>0</v>
      </c>
      <c r="P632" s="237">
        <f t="shared" si="189"/>
        <v>0</v>
      </c>
    </row>
    <row r="633" spans="1:16" s="2" customFormat="1">
      <c r="A633" s="108"/>
      <c r="B633" s="150"/>
      <c r="C633" s="70" t="s">
        <v>1120</v>
      </c>
      <c r="D633" s="33" t="s">
        <v>1955</v>
      </c>
      <c r="E633" s="34" t="s">
        <v>1122</v>
      </c>
      <c r="F633" s="35">
        <v>0</v>
      </c>
      <c r="G633" s="210">
        <v>0</v>
      </c>
      <c r="H633" s="210">
        <v>0</v>
      </c>
      <c r="I633" s="210">
        <v>0</v>
      </c>
      <c r="J633" s="210">
        <v>0</v>
      </c>
      <c r="K633" s="210">
        <v>0</v>
      </c>
      <c r="L633" s="210">
        <v>0</v>
      </c>
      <c r="M633" s="210">
        <v>0</v>
      </c>
      <c r="N633" s="210">
        <v>0</v>
      </c>
      <c r="O633" s="210">
        <v>0</v>
      </c>
      <c r="P633" s="242">
        <f t="shared" si="189"/>
        <v>0</v>
      </c>
    </row>
    <row r="634" spans="1:16" s="2" customFormat="1">
      <c r="A634" s="107" t="s">
        <v>1123</v>
      </c>
      <c r="B634" s="149" t="s">
        <v>1848</v>
      </c>
      <c r="C634" s="18" t="s">
        <v>1124</v>
      </c>
      <c r="D634" s="30"/>
      <c r="E634" s="17" t="s">
        <v>1125</v>
      </c>
      <c r="F634" s="203">
        <v>0</v>
      </c>
      <c r="G634" s="203">
        <v>0</v>
      </c>
      <c r="H634" s="203">
        <v>0</v>
      </c>
      <c r="I634" s="203">
        <v>0</v>
      </c>
      <c r="J634" s="203">
        <v>0</v>
      </c>
      <c r="K634" s="203">
        <v>0</v>
      </c>
      <c r="L634" s="203">
        <v>0</v>
      </c>
      <c r="M634" s="203">
        <v>0</v>
      </c>
      <c r="N634" s="203">
        <v>0</v>
      </c>
      <c r="O634" s="203">
        <v>0</v>
      </c>
      <c r="P634" s="237">
        <f t="shared" si="189"/>
        <v>0</v>
      </c>
    </row>
    <row r="635" spans="1:16" s="2" customFormat="1">
      <c r="A635" s="136" t="s">
        <v>1126</v>
      </c>
      <c r="B635" s="125" t="s">
        <v>1541</v>
      </c>
      <c r="C635" s="126" t="s">
        <v>1127</v>
      </c>
      <c r="D635" s="29"/>
      <c r="E635" s="19" t="s">
        <v>1128</v>
      </c>
      <c r="F635" s="20">
        <f>+F636+F641+F644</f>
        <v>1210553000</v>
      </c>
      <c r="G635" s="20">
        <f t="shared" ref="G635:O635" si="204">+G636+G641+G644</f>
        <v>0</v>
      </c>
      <c r="H635" s="20">
        <f t="shared" si="204"/>
        <v>17281589</v>
      </c>
      <c r="I635" s="20">
        <f t="shared" si="204"/>
        <v>1227834589</v>
      </c>
      <c r="J635" s="20">
        <f t="shared" si="204"/>
        <v>633883488</v>
      </c>
      <c r="K635" s="20">
        <f t="shared" si="204"/>
        <v>1202216668</v>
      </c>
      <c r="L635" s="20">
        <f t="shared" si="204"/>
        <v>646758158</v>
      </c>
      <c r="M635" s="20">
        <f t="shared" si="204"/>
        <v>1050871357</v>
      </c>
      <c r="N635" s="20">
        <f t="shared" si="204"/>
        <v>30929742</v>
      </c>
      <c r="O635" s="20">
        <f t="shared" si="204"/>
        <v>185027471</v>
      </c>
      <c r="P635" s="243">
        <f t="shared" si="189"/>
        <v>0.85587371981096716</v>
      </c>
    </row>
    <row r="636" spans="1:16" s="7" customFormat="1">
      <c r="A636" s="134" t="s">
        <v>1129</v>
      </c>
      <c r="B636" s="123" t="s">
        <v>1531</v>
      </c>
      <c r="C636" s="124" t="s">
        <v>1130</v>
      </c>
      <c r="D636" s="67"/>
      <c r="E636" s="25" t="s">
        <v>1131</v>
      </c>
      <c r="F636" s="68">
        <f>+F637+F639</f>
        <v>269868000</v>
      </c>
      <c r="G636" s="68">
        <f t="shared" ref="G636:O636" si="205">+G637+G639</f>
        <v>0</v>
      </c>
      <c r="H636" s="68">
        <f t="shared" si="205"/>
        <v>0</v>
      </c>
      <c r="I636" s="68">
        <f t="shared" si="205"/>
        <v>269868000</v>
      </c>
      <c r="J636" s="68">
        <f t="shared" si="205"/>
        <v>0</v>
      </c>
      <c r="K636" s="68">
        <f t="shared" si="205"/>
        <v>269868000</v>
      </c>
      <c r="L636" s="68">
        <f t="shared" si="205"/>
        <v>12874670</v>
      </c>
      <c r="M636" s="68">
        <f t="shared" si="205"/>
        <v>118522689</v>
      </c>
      <c r="N636" s="68">
        <f t="shared" si="205"/>
        <v>12874670</v>
      </c>
      <c r="O636" s="68">
        <f t="shared" si="205"/>
        <v>118507219</v>
      </c>
      <c r="P636" s="229">
        <f t="shared" si="189"/>
        <v>0.43918763617768686</v>
      </c>
    </row>
    <row r="637" spans="1:16" s="8" customFormat="1">
      <c r="A637" s="107" t="s">
        <v>1132</v>
      </c>
      <c r="B637" s="149" t="s">
        <v>1849</v>
      </c>
      <c r="C637" s="18" t="s">
        <v>1133</v>
      </c>
      <c r="D637" s="30"/>
      <c r="E637" s="17" t="s">
        <v>1134</v>
      </c>
      <c r="F637" s="16">
        <f>+F638</f>
        <v>25004000</v>
      </c>
      <c r="G637" s="203">
        <f t="shared" ref="G637:O637" si="206">+G638</f>
        <v>0</v>
      </c>
      <c r="H637" s="203">
        <f t="shared" si="206"/>
        <v>0</v>
      </c>
      <c r="I637" s="203">
        <f t="shared" si="206"/>
        <v>25004000</v>
      </c>
      <c r="J637" s="203">
        <f t="shared" si="206"/>
        <v>0</v>
      </c>
      <c r="K637" s="203">
        <f t="shared" si="206"/>
        <v>25004000</v>
      </c>
      <c r="L637" s="203">
        <f t="shared" si="206"/>
        <v>273100</v>
      </c>
      <c r="M637" s="203">
        <f t="shared" si="206"/>
        <v>2548150</v>
      </c>
      <c r="N637" s="203">
        <f t="shared" si="206"/>
        <v>273100</v>
      </c>
      <c r="O637" s="203">
        <f t="shared" si="206"/>
        <v>2548150</v>
      </c>
      <c r="P637" s="237">
        <f t="shared" si="189"/>
        <v>0.10190969444888817</v>
      </c>
    </row>
    <row r="638" spans="1:16" s="7" customFormat="1">
      <c r="A638" s="108"/>
      <c r="B638" s="150"/>
      <c r="C638" s="70" t="s">
        <v>1133</v>
      </c>
      <c r="D638" s="33" t="s">
        <v>1909</v>
      </c>
      <c r="E638" s="34" t="s">
        <v>819</v>
      </c>
      <c r="F638" s="35">
        <v>25004000</v>
      </c>
      <c r="G638" s="210">
        <v>0</v>
      </c>
      <c r="H638" s="210">
        <v>0</v>
      </c>
      <c r="I638" s="210">
        <v>25004000</v>
      </c>
      <c r="J638" s="210">
        <v>0</v>
      </c>
      <c r="K638" s="210">
        <v>25004000</v>
      </c>
      <c r="L638" s="210">
        <v>273100</v>
      </c>
      <c r="M638" s="210">
        <v>2548150</v>
      </c>
      <c r="N638" s="210">
        <v>273100</v>
      </c>
      <c r="O638" s="210">
        <v>2548150</v>
      </c>
      <c r="P638" s="242">
        <f t="shared" si="189"/>
        <v>0.10190969444888817</v>
      </c>
    </row>
    <row r="639" spans="1:16" s="8" customFormat="1">
      <c r="A639" s="107" t="s">
        <v>1135</v>
      </c>
      <c r="B639" s="149" t="s">
        <v>1850</v>
      </c>
      <c r="C639" s="18" t="s">
        <v>1136</v>
      </c>
      <c r="D639" s="30"/>
      <c r="E639" s="17" t="s">
        <v>1137</v>
      </c>
      <c r="F639" s="16">
        <f>+F640</f>
        <v>244864000</v>
      </c>
      <c r="G639" s="203">
        <f t="shared" ref="G639:O639" si="207">+G640</f>
        <v>0</v>
      </c>
      <c r="H639" s="203">
        <f t="shared" si="207"/>
        <v>0</v>
      </c>
      <c r="I639" s="203">
        <f t="shared" si="207"/>
        <v>244864000</v>
      </c>
      <c r="J639" s="203">
        <f t="shared" si="207"/>
        <v>0</v>
      </c>
      <c r="K639" s="203">
        <f t="shared" si="207"/>
        <v>244864000</v>
      </c>
      <c r="L639" s="203">
        <f t="shared" si="207"/>
        <v>12601570</v>
      </c>
      <c r="M639" s="203">
        <f t="shared" si="207"/>
        <v>115974539</v>
      </c>
      <c r="N639" s="203">
        <f t="shared" si="207"/>
        <v>12601570</v>
      </c>
      <c r="O639" s="203">
        <f t="shared" si="207"/>
        <v>115959069</v>
      </c>
      <c r="P639" s="237">
        <f t="shared" si="189"/>
        <v>0.47362837738499741</v>
      </c>
    </row>
    <row r="640" spans="1:16" s="2" customFormat="1">
      <c r="A640" s="108"/>
      <c r="B640" s="150"/>
      <c r="C640" s="70" t="s">
        <v>1136</v>
      </c>
      <c r="D640" s="33" t="s">
        <v>1909</v>
      </c>
      <c r="E640" s="34" t="s">
        <v>819</v>
      </c>
      <c r="F640" s="35">
        <v>244864000</v>
      </c>
      <c r="G640" s="210">
        <v>0</v>
      </c>
      <c r="H640" s="210">
        <v>0</v>
      </c>
      <c r="I640" s="210">
        <v>244864000</v>
      </c>
      <c r="J640" s="210">
        <v>0</v>
      </c>
      <c r="K640" s="210">
        <v>244864000</v>
      </c>
      <c r="L640" s="210">
        <v>12601570</v>
      </c>
      <c r="M640" s="210">
        <v>115974539</v>
      </c>
      <c r="N640" s="210">
        <v>12601570</v>
      </c>
      <c r="O640" s="210">
        <v>115959069</v>
      </c>
      <c r="P640" s="242">
        <f t="shared" si="189"/>
        <v>0.47362837738499741</v>
      </c>
    </row>
    <row r="641" spans="1:16" s="7" customFormat="1">
      <c r="A641" s="134" t="s">
        <v>1138</v>
      </c>
      <c r="B641" s="123" t="s">
        <v>1531</v>
      </c>
      <c r="C641" s="124" t="s">
        <v>1139</v>
      </c>
      <c r="D641" s="67"/>
      <c r="E641" s="25" t="s">
        <v>1140</v>
      </c>
      <c r="F641" s="68">
        <f>+F642</f>
        <v>883885000</v>
      </c>
      <c r="G641" s="68">
        <f t="shared" ref="G641:O642" si="208">+G642</f>
        <v>0</v>
      </c>
      <c r="H641" s="68">
        <f t="shared" si="208"/>
        <v>0</v>
      </c>
      <c r="I641" s="68">
        <f t="shared" si="208"/>
        <v>883885000</v>
      </c>
      <c r="J641" s="68">
        <f t="shared" si="208"/>
        <v>633883488</v>
      </c>
      <c r="K641" s="68">
        <f t="shared" si="208"/>
        <v>883883488</v>
      </c>
      <c r="L641" s="68">
        <f t="shared" si="208"/>
        <v>633883488</v>
      </c>
      <c r="M641" s="68">
        <f t="shared" si="208"/>
        <v>883883488</v>
      </c>
      <c r="N641" s="68">
        <f t="shared" si="208"/>
        <v>18055072</v>
      </c>
      <c r="O641" s="68">
        <f t="shared" si="208"/>
        <v>18055072</v>
      </c>
      <c r="P641" s="229">
        <f t="shared" si="189"/>
        <v>0.9999982893702235</v>
      </c>
    </row>
    <row r="642" spans="1:16" s="8" customFormat="1">
      <c r="A642" s="107" t="s">
        <v>1141</v>
      </c>
      <c r="B642" s="149" t="s">
        <v>1851</v>
      </c>
      <c r="C642" s="18" t="s">
        <v>1142</v>
      </c>
      <c r="D642" s="30"/>
      <c r="E642" s="17" t="s">
        <v>1143</v>
      </c>
      <c r="F642" s="16">
        <f>+F643</f>
        <v>883885000</v>
      </c>
      <c r="G642" s="203">
        <f t="shared" si="208"/>
        <v>0</v>
      </c>
      <c r="H642" s="203">
        <f t="shared" si="208"/>
        <v>0</v>
      </c>
      <c r="I642" s="203">
        <f t="shared" si="208"/>
        <v>883885000</v>
      </c>
      <c r="J642" s="203">
        <f t="shared" si="208"/>
        <v>633883488</v>
      </c>
      <c r="K642" s="203">
        <f t="shared" si="208"/>
        <v>883883488</v>
      </c>
      <c r="L642" s="203">
        <f t="shared" si="208"/>
        <v>633883488</v>
      </c>
      <c r="M642" s="203">
        <f t="shared" si="208"/>
        <v>883883488</v>
      </c>
      <c r="N642" s="203">
        <f t="shared" si="208"/>
        <v>18055072</v>
      </c>
      <c r="O642" s="203">
        <f t="shared" si="208"/>
        <v>18055072</v>
      </c>
      <c r="P642" s="237">
        <f t="shared" si="189"/>
        <v>0.9999982893702235</v>
      </c>
    </row>
    <row r="643" spans="1:16" s="2" customFormat="1">
      <c r="A643" s="108"/>
      <c r="B643" s="150"/>
      <c r="C643" s="70" t="s">
        <v>1142</v>
      </c>
      <c r="D643" s="33" t="s">
        <v>1944</v>
      </c>
      <c r="E643" s="34" t="s">
        <v>780</v>
      </c>
      <c r="F643" s="35">
        <v>883885000</v>
      </c>
      <c r="G643" s="210">
        <v>0</v>
      </c>
      <c r="H643" s="210">
        <v>0</v>
      </c>
      <c r="I643" s="210">
        <v>883885000</v>
      </c>
      <c r="J643" s="210">
        <v>633883488</v>
      </c>
      <c r="K643" s="210">
        <v>883883488</v>
      </c>
      <c r="L643" s="210">
        <v>633883488</v>
      </c>
      <c r="M643" s="210">
        <v>883883488</v>
      </c>
      <c r="N643" s="210">
        <v>18055072</v>
      </c>
      <c r="O643" s="210">
        <v>18055072</v>
      </c>
      <c r="P643" s="242">
        <f t="shared" si="189"/>
        <v>0.9999982893702235</v>
      </c>
    </row>
    <row r="644" spans="1:16" s="7" customFormat="1">
      <c r="A644" s="134" t="s">
        <v>1144</v>
      </c>
      <c r="B644" s="123" t="s">
        <v>1531</v>
      </c>
      <c r="C644" s="124" t="s">
        <v>1145</v>
      </c>
      <c r="D644" s="67"/>
      <c r="E644" s="25" t="s">
        <v>1146</v>
      </c>
      <c r="F644" s="68">
        <f>+F645+F647</f>
        <v>56800000</v>
      </c>
      <c r="G644" s="68">
        <f t="shared" ref="G644:O644" si="209">+G645+G647</f>
        <v>0</v>
      </c>
      <c r="H644" s="68">
        <f t="shared" si="209"/>
        <v>17281589</v>
      </c>
      <c r="I644" s="68">
        <f t="shared" si="209"/>
        <v>74081589</v>
      </c>
      <c r="J644" s="68">
        <f t="shared" si="209"/>
        <v>0</v>
      </c>
      <c r="K644" s="68">
        <f t="shared" si="209"/>
        <v>48465180</v>
      </c>
      <c r="L644" s="68">
        <f t="shared" si="209"/>
        <v>0</v>
      </c>
      <c r="M644" s="68">
        <f t="shared" si="209"/>
        <v>48465180</v>
      </c>
      <c r="N644" s="68">
        <f t="shared" si="209"/>
        <v>0</v>
      </c>
      <c r="O644" s="68">
        <f t="shared" si="209"/>
        <v>48465180</v>
      </c>
      <c r="P644" s="229">
        <f t="shared" si="189"/>
        <v>0.65421355905311374</v>
      </c>
    </row>
    <row r="645" spans="1:16" s="8" customFormat="1">
      <c r="A645" s="107" t="s">
        <v>1147</v>
      </c>
      <c r="B645" s="149" t="s">
        <v>1852</v>
      </c>
      <c r="C645" s="18" t="s">
        <v>1148</v>
      </c>
      <c r="D645" s="30"/>
      <c r="E645" s="17" t="s">
        <v>1149</v>
      </c>
      <c r="F645" s="16">
        <f>+F646</f>
        <v>54500000</v>
      </c>
      <c r="G645" s="203">
        <f t="shared" ref="G645:O645" si="210">+G646</f>
        <v>0</v>
      </c>
      <c r="H645" s="203">
        <f t="shared" si="210"/>
        <v>17281589</v>
      </c>
      <c r="I645" s="203">
        <f t="shared" si="210"/>
        <v>71781589</v>
      </c>
      <c r="J645" s="203">
        <f t="shared" si="210"/>
        <v>0</v>
      </c>
      <c r="K645" s="203">
        <f t="shared" si="210"/>
        <v>48465180</v>
      </c>
      <c r="L645" s="203">
        <f t="shared" si="210"/>
        <v>0</v>
      </c>
      <c r="M645" s="203">
        <f t="shared" si="210"/>
        <v>48465180</v>
      </c>
      <c r="N645" s="203">
        <f t="shared" si="210"/>
        <v>0</v>
      </c>
      <c r="O645" s="203">
        <f t="shared" si="210"/>
        <v>48465180</v>
      </c>
      <c r="P645" s="237">
        <f t="shared" si="189"/>
        <v>0.67517563591410601</v>
      </c>
    </row>
    <row r="646" spans="1:16" s="2" customFormat="1">
      <c r="A646" s="108"/>
      <c r="B646" s="150"/>
      <c r="C646" s="70" t="s">
        <v>1148</v>
      </c>
      <c r="D646" s="33" t="s">
        <v>1958</v>
      </c>
      <c r="E646" s="34" t="s">
        <v>997</v>
      </c>
      <c r="F646" s="35">
        <v>54500000</v>
      </c>
      <c r="G646" s="210">
        <v>0</v>
      </c>
      <c r="H646" s="210">
        <v>17281589</v>
      </c>
      <c r="I646" s="210">
        <v>71781589</v>
      </c>
      <c r="J646" s="210">
        <v>0</v>
      </c>
      <c r="K646" s="210">
        <v>48465180</v>
      </c>
      <c r="L646" s="210">
        <v>0</v>
      </c>
      <c r="M646" s="210">
        <v>48465180</v>
      </c>
      <c r="N646" s="210">
        <v>0</v>
      </c>
      <c r="O646" s="210">
        <v>48465180</v>
      </c>
      <c r="P646" s="242">
        <f t="shared" si="189"/>
        <v>0.67517563591410601</v>
      </c>
    </row>
    <row r="647" spans="1:16" s="8" customFormat="1">
      <c r="A647" s="107" t="s">
        <v>1150</v>
      </c>
      <c r="B647" s="149" t="s">
        <v>1540</v>
      </c>
      <c r="C647" s="18" t="s">
        <v>1151</v>
      </c>
      <c r="D647" s="30"/>
      <c r="E647" s="17" t="s">
        <v>1152</v>
      </c>
      <c r="F647" s="16">
        <f>+F648</f>
        <v>2300000</v>
      </c>
      <c r="G647" s="203">
        <f t="shared" ref="G647:O647" si="211">+G648</f>
        <v>0</v>
      </c>
      <c r="H647" s="203">
        <f t="shared" si="211"/>
        <v>0</v>
      </c>
      <c r="I647" s="203">
        <f t="shared" si="211"/>
        <v>2300000</v>
      </c>
      <c r="J647" s="203">
        <f t="shared" si="211"/>
        <v>0</v>
      </c>
      <c r="K647" s="203">
        <f t="shared" si="211"/>
        <v>0</v>
      </c>
      <c r="L647" s="203">
        <f t="shared" si="211"/>
        <v>0</v>
      </c>
      <c r="M647" s="203">
        <f t="shared" si="211"/>
        <v>0</v>
      </c>
      <c r="N647" s="203">
        <f t="shared" si="211"/>
        <v>0</v>
      </c>
      <c r="O647" s="203">
        <f t="shared" si="211"/>
        <v>0</v>
      </c>
      <c r="P647" s="237">
        <f t="shared" si="189"/>
        <v>0</v>
      </c>
    </row>
    <row r="648" spans="1:16" s="2" customFormat="1">
      <c r="A648" s="108"/>
      <c r="B648" s="150"/>
      <c r="C648" s="70" t="s">
        <v>1151</v>
      </c>
      <c r="D648" s="33" t="s">
        <v>1958</v>
      </c>
      <c r="E648" s="34" t="s">
        <v>997</v>
      </c>
      <c r="F648" s="35">
        <v>2300000</v>
      </c>
      <c r="G648" s="210">
        <v>0</v>
      </c>
      <c r="H648" s="210">
        <v>0</v>
      </c>
      <c r="I648" s="210">
        <v>2300000</v>
      </c>
      <c r="J648" s="210">
        <v>0</v>
      </c>
      <c r="K648" s="210">
        <v>0</v>
      </c>
      <c r="L648" s="210">
        <v>0</v>
      </c>
      <c r="M648" s="210">
        <v>0</v>
      </c>
      <c r="N648" s="210">
        <v>0</v>
      </c>
      <c r="O648" s="210">
        <v>0</v>
      </c>
      <c r="P648" s="242">
        <f t="shared" si="189"/>
        <v>0</v>
      </c>
    </row>
    <row r="649" spans="1:16" s="5" customFormat="1">
      <c r="A649" s="136" t="s">
        <v>1153</v>
      </c>
      <c r="B649" s="125" t="s">
        <v>1539</v>
      </c>
      <c r="C649" s="126" t="s">
        <v>1154</v>
      </c>
      <c r="D649" s="29"/>
      <c r="E649" s="19" t="s">
        <v>1155</v>
      </c>
      <c r="F649" s="20">
        <f>+F650+F655+F665</f>
        <v>26662703000</v>
      </c>
      <c r="G649" s="20">
        <f t="shared" ref="G649:O649" si="212">+G650+G655+G665</f>
        <v>11671499036</v>
      </c>
      <c r="H649" s="20">
        <f t="shared" si="212"/>
        <v>12588749053</v>
      </c>
      <c r="I649" s="20">
        <f t="shared" si="212"/>
        <v>39251452053</v>
      </c>
      <c r="J649" s="20">
        <f t="shared" si="212"/>
        <v>684548310</v>
      </c>
      <c r="K649" s="20">
        <f t="shared" si="212"/>
        <v>24914862042</v>
      </c>
      <c r="L649" s="20">
        <f t="shared" si="212"/>
        <v>560592913</v>
      </c>
      <c r="M649" s="20">
        <f t="shared" si="212"/>
        <v>24573381168</v>
      </c>
      <c r="N649" s="20">
        <f t="shared" si="212"/>
        <v>66488412</v>
      </c>
      <c r="O649" s="20">
        <f t="shared" si="212"/>
        <v>16142182827</v>
      </c>
      <c r="P649" s="243">
        <f t="shared" si="189"/>
        <v>0.6260502448372951</v>
      </c>
    </row>
    <row r="650" spans="1:16" s="7" customFormat="1">
      <c r="A650" s="134" t="s">
        <v>1156</v>
      </c>
      <c r="B650" s="123" t="s">
        <v>1531</v>
      </c>
      <c r="C650" s="124" t="s">
        <v>1157</v>
      </c>
      <c r="D650" s="67"/>
      <c r="E650" s="25" t="s">
        <v>1158</v>
      </c>
      <c r="F650" s="68">
        <f>+F653+F651</f>
        <v>17078731000</v>
      </c>
      <c r="G650" s="68">
        <f t="shared" ref="G650:O650" si="213">+G653+G651</f>
        <v>8437333289</v>
      </c>
      <c r="H650" s="68">
        <f t="shared" si="213"/>
        <v>8449034313</v>
      </c>
      <c r="I650" s="68">
        <f t="shared" si="213"/>
        <v>25527765313</v>
      </c>
      <c r="J650" s="68">
        <f t="shared" si="213"/>
        <v>0</v>
      </c>
      <c r="K650" s="68">
        <f t="shared" si="213"/>
        <v>16902923398</v>
      </c>
      <c r="L650" s="68">
        <f t="shared" si="213"/>
        <v>0</v>
      </c>
      <c r="M650" s="68">
        <f t="shared" si="213"/>
        <v>16891222374</v>
      </c>
      <c r="N650" s="68">
        <f t="shared" si="213"/>
        <v>0</v>
      </c>
      <c r="O650" s="68">
        <f t="shared" si="213"/>
        <v>11091468197</v>
      </c>
      <c r="P650" s="229">
        <f t="shared" si="189"/>
        <v>0.66168041608397876</v>
      </c>
    </row>
    <row r="651" spans="1:16" s="8" customFormat="1">
      <c r="A651" s="107" t="s">
        <v>1159</v>
      </c>
      <c r="B651" s="149" t="s">
        <v>2011</v>
      </c>
      <c r="C651" s="18" t="s">
        <v>1160</v>
      </c>
      <c r="D651" s="30"/>
      <c r="E651" s="17" t="s">
        <v>1161</v>
      </c>
      <c r="F651" s="16">
        <f>+F652</f>
        <v>95472000</v>
      </c>
      <c r="G651" s="217">
        <f t="shared" ref="G651:O651" si="214">+G652</f>
        <v>0</v>
      </c>
      <c r="H651" s="217">
        <f t="shared" si="214"/>
        <v>0</v>
      </c>
      <c r="I651" s="217">
        <f t="shared" si="214"/>
        <v>95472000</v>
      </c>
      <c r="J651" s="217">
        <f t="shared" si="214"/>
        <v>0</v>
      </c>
      <c r="K651" s="217">
        <f t="shared" si="214"/>
        <v>0</v>
      </c>
      <c r="L651" s="217">
        <f t="shared" si="214"/>
        <v>0</v>
      </c>
      <c r="M651" s="217">
        <f t="shared" si="214"/>
        <v>0</v>
      </c>
      <c r="N651" s="217">
        <f t="shared" si="214"/>
        <v>0</v>
      </c>
      <c r="O651" s="217">
        <f t="shared" si="214"/>
        <v>0</v>
      </c>
      <c r="P651" s="237">
        <f t="shared" si="189"/>
        <v>0</v>
      </c>
    </row>
    <row r="652" spans="1:16" s="7" customFormat="1">
      <c r="A652" s="108"/>
      <c r="B652" s="150"/>
      <c r="C652" s="70" t="s">
        <v>1160</v>
      </c>
      <c r="D652" s="33" t="s">
        <v>1909</v>
      </c>
      <c r="E652" s="34" t="s">
        <v>819</v>
      </c>
      <c r="F652" s="35">
        <v>95472000</v>
      </c>
      <c r="G652" s="210">
        <v>0</v>
      </c>
      <c r="H652" s="210">
        <v>0</v>
      </c>
      <c r="I652" s="210">
        <v>95472000</v>
      </c>
      <c r="J652" s="210">
        <v>0</v>
      </c>
      <c r="K652" s="210">
        <v>0</v>
      </c>
      <c r="L652" s="210">
        <v>0</v>
      </c>
      <c r="M652" s="210">
        <v>0</v>
      </c>
      <c r="N652" s="210">
        <v>0</v>
      </c>
      <c r="O652" s="210">
        <v>0</v>
      </c>
      <c r="P652" s="242">
        <f t="shared" si="189"/>
        <v>0</v>
      </c>
    </row>
    <row r="653" spans="1:16" s="8" customFormat="1">
      <c r="A653" s="107" t="s">
        <v>1162</v>
      </c>
      <c r="B653" s="149" t="s">
        <v>1853</v>
      </c>
      <c r="C653" s="18" t="s">
        <v>1163</v>
      </c>
      <c r="D653" s="30"/>
      <c r="E653" s="17" t="s">
        <v>1164</v>
      </c>
      <c r="F653" s="16">
        <f>+F654</f>
        <v>16983259000</v>
      </c>
      <c r="G653" s="203">
        <f t="shared" ref="G653:O653" si="215">+G654</f>
        <v>8437333289</v>
      </c>
      <c r="H653" s="203">
        <f t="shared" si="215"/>
        <v>8449034313</v>
      </c>
      <c r="I653" s="203">
        <f t="shared" si="215"/>
        <v>25432293313</v>
      </c>
      <c r="J653" s="203">
        <f t="shared" si="215"/>
        <v>0</v>
      </c>
      <c r="K653" s="203">
        <f t="shared" si="215"/>
        <v>16902923398</v>
      </c>
      <c r="L653" s="203">
        <f t="shared" si="215"/>
        <v>0</v>
      </c>
      <c r="M653" s="203">
        <f t="shared" si="215"/>
        <v>16891222374</v>
      </c>
      <c r="N653" s="203">
        <f t="shared" si="215"/>
        <v>0</v>
      </c>
      <c r="O653" s="203">
        <f t="shared" si="215"/>
        <v>11091468197</v>
      </c>
      <c r="P653" s="237">
        <f t="shared" si="189"/>
        <v>0.66416434279506609</v>
      </c>
    </row>
    <row r="654" spans="1:16" s="5" customFormat="1">
      <c r="A654" s="108"/>
      <c r="B654" s="150"/>
      <c r="C654" s="70" t="s">
        <v>1163</v>
      </c>
      <c r="D654" s="33" t="s">
        <v>1909</v>
      </c>
      <c r="E654" s="34" t="s">
        <v>819</v>
      </c>
      <c r="F654" s="35">
        <v>16983259000</v>
      </c>
      <c r="G654" s="210">
        <v>8437333289</v>
      </c>
      <c r="H654" s="210">
        <v>8449034313</v>
      </c>
      <c r="I654" s="210">
        <v>25432293313</v>
      </c>
      <c r="J654" s="210">
        <v>0</v>
      </c>
      <c r="K654" s="210">
        <v>16902923398</v>
      </c>
      <c r="L654" s="210">
        <v>0</v>
      </c>
      <c r="M654" s="210">
        <v>16891222374</v>
      </c>
      <c r="N654" s="210">
        <v>0</v>
      </c>
      <c r="O654" s="210">
        <v>11091468197</v>
      </c>
      <c r="P654" s="242">
        <f t="shared" si="189"/>
        <v>0.66416434279506609</v>
      </c>
    </row>
    <row r="655" spans="1:16" s="2" customFormat="1">
      <c r="A655" s="134" t="s">
        <v>1165</v>
      </c>
      <c r="B655" s="123" t="s">
        <v>1531</v>
      </c>
      <c r="C655" s="124" t="s">
        <v>1166</v>
      </c>
      <c r="D655" s="67"/>
      <c r="E655" s="25" t="s">
        <v>1167</v>
      </c>
      <c r="F655" s="68">
        <f>+F656+F661+F663</f>
        <v>7034678000</v>
      </c>
      <c r="G655" s="68">
        <f t="shared" ref="G655:O655" si="216">+G656+G661+G663</f>
        <v>3191765747</v>
      </c>
      <c r="H655" s="68">
        <f t="shared" si="216"/>
        <v>3192765747</v>
      </c>
      <c r="I655" s="68">
        <f t="shared" si="216"/>
        <v>10227443747</v>
      </c>
      <c r="J655" s="68">
        <f t="shared" si="216"/>
        <v>575238750</v>
      </c>
      <c r="K655" s="68">
        <f t="shared" si="216"/>
        <v>6846248702</v>
      </c>
      <c r="L655" s="68">
        <f t="shared" si="216"/>
        <v>347903750</v>
      </c>
      <c r="M655" s="68">
        <f t="shared" si="216"/>
        <v>6618913702</v>
      </c>
      <c r="N655" s="68">
        <f t="shared" si="216"/>
        <v>0</v>
      </c>
      <c r="O655" s="68">
        <f t="shared" si="216"/>
        <v>4575356789</v>
      </c>
      <c r="P655" s="229">
        <f t="shared" si="189"/>
        <v>0.64717185112277109</v>
      </c>
    </row>
    <row r="656" spans="1:16" s="8" customFormat="1">
      <c r="A656" s="107" t="s">
        <v>1168</v>
      </c>
      <c r="B656" s="149" t="s">
        <v>1854</v>
      </c>
      <c r="C656" s="18" t="s">
        <v>1169</v>
      </c>
      <c r="D656" s="30"/>
      <c r="E656" s="17" t="s">
        <v>1170</v>
      </c>
      <c r="F656" s="203">
        <f>SUM(F657:F660)</f>
        <v>243542000</v>
      </c>
      <c r="G656" s="203">
        <f t="shared" ref="G656:O656" si="217">SUM(G657:G660)</f>
        <v>0</v>
      </c>
      <c r="H656" s="203">
        <f t="shared" si="217"/>
        <v>1000000</v>
      </c>
      <c r="I656" s="203">
        <f t="shared" si="217"/>
        <v>244542000</v>
      </c>
      <c r="J656" s="203">
        <f t="shared" si="217"/>
        <v>227335000</v>
      </c>
      <c r="K656" s="203">
        <f t="shared" si="217"/>
        <v>227335000</v>
      </c>
      <c r="L656" s="203">
        <f t="shared" si="217"/>
        <v>0</v>
      </c>
      <c r="M656" s="203">
        <f t="shared" si="217"/>
        <v>0</v>
      </c>
      <c r="N656" s="203">
        <f t="shared" si="217"/>
        <v>0</v>
      </c>
      <c r="O656" s="203">
        <f t="shared" si="217"/>
        <v>0</v>
      </c>
      <c r="P656" s="237">
        <f t="shared" ref="P656:P720" si="218">IFERROR((M656/I656),0)</f>
        <v>0</v>
      </c>
    </row>
    <row r="657" spans="1:16" s="8" customFormat="1">
      <c r="A657" s="108"/>
      <c r="B657" s="150"/>
      <c r="C657" s="70" t="s">
        <v>1169</v>
      </c>
      <c r="D657" s="33" t="s">
        <v>1950</v>
      </c>
      <c r="E657" s="34" t="s">
        <v>809</v>
      </c>
      <c r="F657" s="35">
        <v>94724000</v>
      </c>
      <c r="G657" s="210">
        <v>0</v>
      </c>
      <c r="H657" s="210">
        <v>0</v>
      </c>
      <c r="I657" s="210">
        <v>94724000</v>
      </c>
      <c r="J657" s="210">
        <v>94724000</v>
      </c>
      <c r="K657" s="210">
        <v>94724000</v>
      </c>
      <c r="L657" s="210">
        <v>0</v>
      </c>
      <c r="M657" s="210">
        <v>0</v>
      </c>
      <c r="N657" s="210">
        <v>0</v>
      </c>
      <c r="O657" s="210">
        <v>0</v>
      </c>
      <c r="P657" s="242">
        <f t="shared" si="218"/>
        <v>0</v>
      </c>
    </row>
    <row r="658" spans="1:16" s="8" customFormat="1">
      <c r="A658" s="108"/>
      <c r="B658" s="150"/>
      <c r="C658" s="70" t="s">
        <v>1169</v>
      </c>
      <c r="D658" s="33" t="s">
        <v>1949</v>
      </c>
      <c r="E658" s="34" t="s">
        <v>1912</v>
      </c>
      <c r="F658" s="35">
        <v>1207000</v>
      </c>
      <c r="G658" s="210">
        <v>0</v>
      </c>
      <c r="H658" s="210">
        <v>1000000</v>
      </c>
      <c r="I658" s="210">
        <v>2207000</v>
      </c>
      <c r="J658" s="210">
        <v>0</v>
      </c>
      <c r="K658" s="210">
        <v>0</v>
      </c>
      <c r="L658" s="210">
        <v>0</v>
      </c>
      <c r="M658" s="210">
        <v>0</v>
      </c>
      <c r="N658" s="210">
        <v>0</v>
      </c>
      <c r="O658" s="210">
        <v>0</v>
      </c>
      <c r="P658" s="242">
        <f t="shared" si="218"/>
        <v>0</v>
      </c>
    </row>
    <row r="659" spans="1:16" s="8" customFormat="1">
      <c r="A659" s="108"/>
      <c r="B659" s="150"/>
      <c r="C659" s="70" t="s">
        <v>1169</v>
      </c>
      <c r="D659" s="33" t="s">
        <v>1909</v>
      </c>
      <c r="E659" s="34" t="s">
        <v>819</v>
      </c>
      <c r="F659" s="35">
        <v>132611000</v>
      </c>
      <c r="G659" s="210">
        <v>0</v>
      </c>
      <c r="H659" s="210">
        <v>0</v>
      </c>
      <c r="I659" s="210">
        <v>132611000</v>
      </c>
      <c r="J659" s="210">
        <v>132611000</v>
      </c>
      <c r="K659" s="210">
        <v>132611000</v>
      </c>
      <c r="L659" s="210">
        <v>0</v>
      </c>
      <c r="M659" s="210">
        <v>0</v>
      </c>
      <c r="N659" s="210">
        <v>0</v>
      </c>
      <c r="O659" s="210">
        <v>0</v>
      </c>
      <c r="P659" s="242">
        <f t="shared" si="218"/>
        <v>0</v>
      </c>
    </row>
    <row r="660" spans="1:16" s="7" customFormat="1">
      <c r="A660" s="108"/>
      <c r="B660" s="150"/>
      <c r="C660" s="70" t="s">
        <v>1169</v>
      </c>
      <c r="D660" s="33" t="s">
        <v>1973</v>
      </c>
      <c r="E660" s="34" t="s">
        <v>1074</v>
      </c>
      <c r="F660" s="35">
        <v>15000000</v>
      </c>
      <c r="G660" s="210">
        <v>0</v>
      </c>
      <c r="H660" s="210">
        <v>0</v>
      </c>
      <c r="I660" s="210">
        <v>15000000</v>
      </c>
      <c r="J660" s="210">
        <v>0</v>
      </c>
      <c r="K660" s="210">
        <v>0</v>
      </c>
      <c r="L660" s="210">
        <v>0</v>
      </c>
      <c r="M660" s="210">
        <v>0</v>
      </c>
      <c r="N660" s="210">
        <v>0</v>
      </c>
      <c r="O660" s="210">
        <v>0</v>
      </c>
      <c r="P660" s="242">
        <f t="shared" si="218"/>
        <v>0</v>
      </c>
    </row>
    <row r="661" spans="1:16" s="8" customFormat="1">
      <c r="A661" s="107" t="s">
        <v>1171</v>
      </c>
      <c r="B661" s="149" t="s">
        <v>1855</v>
      </c>
      <c r="C661" s="18" t="s">
        <v>1172</v>
      </c>
      <c r="D661" s="30"/>
      <c r="E661" s="17" t="s">
        <v>1173</v>
      </c>
      <c r="F661" s="16">
        <f>+F662</f>
        <v>6697204000</v>
      </c>
      <c r="G661" s="225">
        <f t="shared" ref="G661:O661" si="219">+G662</f>
        <v>3191765747</v>
      </c>
      <c r="H661" s="225">
        <f t="shared" si="219"/>
        <v>3191765747</v>
      </c>
      <c r="I661" s="225">
        <f t="shared" si="219"/>
        <v>9888969747</v>
      </c>
      <c r="J661" s="225">
        <f t="shared" si="219"/>
        <v>347903750</v>
      </c>
      <c r="K661" s="225">
        <f t="shared" si="219"/>
        <v>6618913702</v>
      </c>
      <c r="L661" s="225">
        <f t="shared" si="219"/>
        <v>347903750</v>
      </c>
      <c r="M661" s="225">
        <f t="shared" si="219"/>
        <v>6618913702</v>
      </c>
      <c r="N661" s="225">
        <f t="shared" si="219"/>
        <v>0</v>
      </c>
      <c r="O661" s="225">
        <f t="shared" si="219"/>
        <v>4575356789</v>
      </c>
      <c r="P661" s="237">
        <f t="shared" si="218"/>
        <v>0.66932287906007282</v>
      </c>
    </row>
    <row r="662" spans="1:16" s="7" customFormat="1">
      <c r="A662" s="108"/>
      <c r="B662" s="150"/>
      <c r="C662" s="70" t="s">
        <v>1172</v>
      </c>
      <c r="D662" s="33" t="s">
        <v>1909</v>
      </c>
      <c r="E662" s="34" t="s">
        <v>819</v>
      </c>
      <c r="F662" s="35">
        <v>6697204000</v>
      </c>
      <c r="G662" s="224">
        <v>3191765747</v>
      </c>
      <c r="H662" s="224">
        <v>3191765747</v>
      </c>
      <c r="I662" s="224">
        <v>9888969747</v>
      </c>
      <c r="J662" s="224">
        <v>347903750</v>
      </c>
      <c r="K662" s="224">
        <v>6618913702</v>
      </c>
      <c r="L662" s="224">
        <v>347903750</v>
      </c>
      <c r="M662" s="224">
        <v>6618913702</v>
      </c>
      <c r="N662" s="224">
        <v>0</v>
      </c>
      <c r="O662" s="224">
        <v>4575356789</v>
      </c>
      <c r="P662" s="242">
        <f t="shared" si="218"/>
        <v>0.66932287906007282</v>
      </c>
    </row>
    <row r="663" spans="1:16" s="8" customFormat="1">
      <c r="A663" s="107" t="s">
        <v>1174</v>
      </c>
      <c r="B663" s="149" t="s">
        <v>1856</v>
      </c>
      <c r="C663" s="18" t="s">
        <v>1175</v>
      </c>
      <c r="D663" s="30"/>
      <c r="E663" s="17" t="s">
        <v>1176</v>
      </c>
      <c r="F663" s="16">
        <f>+F664</f>
        <v>93932000</v>
      </c>
      <c r="G663" s="225">
        <f t="shared" ref="G663:O663" si="220">+G664</f>
        <v>0</v>
      </c>
      <c r="H663" s="225">
        <f t="shared" si="220"/>
        <v>0</v>
      </c>
      <c r="I663" s="225">
        <f t="shared" si="220"/>
        <v>93932000</v>
      </c>
      <c r="J663" s="225">
        <f t="shared" si="220"/>
        <v>0</v>
      </c>
      <c r="K663" s="225">
        <f t="shared" si="220"/>
        <v>0</v>
      </c>
      <c r="L663" s="225">
        <f t="shared" si="220"/>
        <v>0</v>
      </c>
      <c r="M663" s="225">
        <f t="shared" si="220"/>
        <v>0</v>
      </c>
      <c r="N663" s="225">
        <f t="shared" si="220"/>
        <v>0</v>
      </c>
      <c r="O663" s="225">
        <f t="shared" si="220"/>
        <v>0</v>
      </c>
      <c r="P663" s="237">
        <f t="shared" si="218"/>
        <v>0</v>
      </c>
    </row>
    <row r="664" spans="1:16" s="5" customFormat="1">
      <c r="A664" s="108"/>
      <c r="B664" s="150"/>
      <c r="C664" s="70" t="s">
        <v>1175</v>
      </c>
      <c r="D664" s="33" t="s">
        <v>1909</v>
      </c>
      <c r="E664" s="34" t="s">
        <v>819</v>
      </c>
      <c r="F664" s="35">
        <v>93932000</v>
      </c>
      <c r="G664" s="224">
        <v>0</v>
      </c>
      <c r="H664" s="224">
        <v>0</v>
      </c>
      <c r="I664" s="224">
        <v>93932000</v>
      </c>
      <c r="J664" s="224">
        <v>0</v>
      </c>
      <c r="K664" s="224">
        <v>0</v>
      </c>
      <c r="L664" s="224">
        <v>0</v>
      </c>
      <c r="M664" s="224">
        <v>0</v>
      </c>
      <c r="N664" s="224">
        <v>0</v>
      </c>
      <c r="O664" s="224">
        <v>0</v>
      </c>
      <c r="P664" s="242">
        <f t="shared" si="218"/>
        <v>0</v>
      </c>
    </row>
    <row r="665" spans="1:16" s="8" customFormat="1">
      <c r="A665" s="134" t="s">
        <v>1177</v>
      </c>
      <c r="B665" s="123" t="s">
        <v>1531</v>
      </c>
      <c r="C665" s="124" t="s">
        <v>1178</v>
      </c>
      <c r="D665" s="67"/>
      <c r="E665" s="25" t="s">
        <v>1179</v>
      </c>
      <c r="F665" s="68">
        <f t="shared" ref="F665:O665" si="221">+F666+F675+F708</f>
        <v>2549294000</v>
      </c>
      <c r="G665" s="68">
        <f t="shared" si="221"/>
        <v>42400000</v>
      </c>
      <c r="H665" s="68">
        <f t="shared" si="221"/>
        <v>946948993</v>
      </c>
      <c r="I665" s="68">
        <f t="shared" si="221"/>
        <v>3496242993</v>
      </c>
      <c r="J665" s="68">
        <f t="shared" si="221"/>
        <v>109309560</v>
      </c>
      <c r="K665" s="68">
        <f t="shared" si="221"/>
        <v>1165689942</v>
      </c>
      <c r="L665" s="68">
        <f t="shared" si="221"/>
        <v>212689163</v>
      </c>
      <c r="M665" s="68">
        <f t="shared" si="221"/>
        <v>1063245092</v>
      </c>
      <c r="N665" s="68">
        <f t="shared" si="221"/>
        <v>66488412</v>
      </c>
      <c r="O665" s="68">
        <f t="shared" si="221"/>
        <v>475357841</v>
      </c>
      <c r="P665" s="229">
        <f t="shared" si="218"/>
        <v>0.30411075378020785</v>
      </c>
    </row>
    <row r="666" spans="1:16" s="7" customFormat="1">
      <c r="A666" s="174" t="s">
        <v>1180</v>
      </c>
      <c r="B666" s="157" t="s">
        <v>1531</v>
      </c>
      <c r="C666" s="158" t="s">
        <v>1181</v>
      </c>
      <c r="D666" s="41"/>
      <c r="E666" s="42" t="s">
        <v>1182</v>
      </c>
      <c r="F666" s="76">
        <f>+F667</f>
        <v>387458000</v>
      </c>
      <c r="G666" s="76">
        <f t="shared" ref="G666:O666" si="222">+G667</f>
        <v>0</v>
      </c>
      <c r="H666" s="76">
        <f t="shared" si="222"/>
        <v>4076000</v>
      </c>
      <c r="I666" s="76">
        <f t="shared" si="222"/>
        <v>391534000</v>
      </c>
      <c r="J666" s="76">
        <f t="shared" si="222"/>
        <v>4600000</v>
      </c>
      <c r="K666" s="76">
        <f t="shared" si="222"/>
        <v>345956236</v>
      </c>
      <c r="L666" s="76">
        <f t="shared" si="222"/>
        <v>0</v>
      </c>
      <c r="M666" s="76">
        <f t="shared" si="222"/>
        <v>341356236</v>
      </c>
      <c r="N666" s="76">
        <f t="shared" si="222"/>
        <v>0</v>
      </c>
      <c r="O666" s="76">
        <f t="shared" si="222"/>
        <v>68691602</v>
      </c>
      <c r="P666" s="247">
        <f t="shared" si="218"/>
        <v>0.87184315027558268</v>
      </c>
    </row>
    <row r="667" spans="1:16" s="8" customFormat="1">
      <c r="A667" s="107" t="s">
        <v>1183</v>
      </c>
      <c r="B667" s="149" t="s">
        <v>1857</v>
      </c>
      <c r="C667" s="18" t="s">
        <v>1184</v>
      </c>
      <c r="D667" s="30"/>
      <c r="E667" s="17" t="s">
        <v>1185</v>
      </c>
      <c r="F667" s="203">
        <f>SUM(F668:F674)</f>
        <v>387458000</v>
      </c>
      <c r="G667" s="203">
        <f t="shared" ref="G667:O667" si="223">SUM(G668:G674)</f>
        <v>0</v>
      </c>
      <c r="H667" s="203">
        <f t="shared" si="223"/>
        <v>4076000</v>
      </c>
      <c r="I667" s="203">
        <f t="shared" si="223"/>
        <v>391534000</v>
      </c>
      <c r="J667" s="203">
        <f t="shared" si="223"/>
        <v>4600000</v>
      </c>
      <c r="K667" s="203">
        <f t="shared" si="223"/>
        <v>345956236</v>
      </c>
      <c r="L667" s="203">
        <f t="shared" si="223"/>
        <v>0</v>
      </c>
      <c r="M667" s="203">
        <f t="shared" si="223"/>
        <v>341356236</v>
      </c>
      <c r="N667" s="203">
        <f t="shared" si="223"/>
        <v>0</v>
      </c>
      <c r="O667" s="203">
        <f t="shared" si="223"/>
        <v>68691602</v>
      </c>
      <c r="P667" s="237">
        <f t="shared" si="218"/>
        <v>0.87184315027558268</v>
      </c>
    </row>
    <row r="668" spans="1:16" s="8" customFormat="1">
      <c r="A668" s="108"/>
      <c r="B668" s="150"/>
      <c r="C668" s="70" t="s">
        <v>1184</v>
      </c>
      <c r="D668" s="33" t="s">
        <v>1954</v>
      </c>
      <c r="E668" s="34" t="s">
        <v>1020</v>
      </c>
      <c r="F668" s="35">
        <v>0</v>
      </c>
      <c r="G668" s="210">
        <v>0</v>
      </c>
      <c r="H668" s="210">
        <v>0</v>
      </c>
      <c r="I668" s="210">
        <v>0</v>
      </c>
      <c r="J668" s="210">
        <v>0</v>
      </c>
      <c r="K668" s="210">
        <v>0</v>
      </c>
      <c r="L668" s="210">
        <v>0</v>
      </c>
      <c r="M668" s="210">
        <v>0</v>
      </c>
      <c r="N668" s="210">
        <v>0</v>
      </c>
      <c r="O668" s="210">
        <v>0</v>
      </c>
      <c r="P668" s="242">
        <f t="shared" si="218"/>
        <v>0</v>
      </c>
    </row>
    <row r="669" spans="1:16" s="8" customFormat="1">
      <c r="A669" s="108"/>
      <c r="B669" s="150"/>
      <c r="C669" s="70" t="s">
        <v>1184</v>
      </c>
      <c r="D669" s="33" t="s">
        <v>1956</v>
      </c>
      <c r="E669" s="34" t="s">
        <v>1463</v>
      </c>
      <c r="F669" s="35">
        <v>2500000</v>
      </c>
      <c r="G669" s="210">
        <v>0</v>
      </c>
      <c r="H669" s="210">
        <v>10300000</v>
      </c>
      <c r="I669" s="210">
        <v>12800000</v>
      </c>
      <c r="J669" s="210">
        <v>0</v>
      </c>
      <c r="K669" s="210">
        <v>12118294</v>
      </c>
      <c r="L669" s="210">
        <v>0</v>
      </c>
      <c r="M669" s="210">
        <v>12118294</v>
      </c>
      <c r="N669" s="210">
        <v>0</v>
      </c>
      <c r="O669" s="210">
        <v>0</v>
      </c>
      <c r="P669" s="242">
        <f t="shared" si="218"/>
        <v>0.94674171875000002</v>
      </c>
    </row>
    <row r="670" spans="1:16" s="8" customFormat="1">
      <c r="A670" s="108"/>
      <c r="B670" s="150"/>
      <c r="C670" s="70" t="s">
        <v>1184</v>
      </c>
      <c r="D670" s="33" t="s">
        <v>1940</v>
      </c>
      <c r="E670" s="34" t="s">
        <v>912</v>
      </c>
      <c r="F670" s="35">
        <v>30000000</v>
      </c>
      <c r="G670" s="210">
        <v>0</v>
      </c>
      <c r="H670" s="210">
        <v>0</v>
      </c>
      <c r="I670" s="210">
        <v>30000000</v>
      </c>
      <c r="J670" s="210">
        <v>4600000</v>
      </c>
      <c r="K670" s="210">
        <v>4600000</v>
      </c>
      <c r="L670" s="210">
        <v>0</v>
      </c>
      <c r="M670" s="210">
        <v>0</v>
      </c>
      <c r="N670" s="210">
        <v>0</v>
      </c>
      <c r="O670" s="210">
        <v>0</v>
      </c>
      <c r="P670" s="242">
        <f t="shared" si="218"/>
        <v>0</v>
      </c>
    </row>
    <row r="671" spans="1:16" s="8" customFormat="1">
      <c r="A671" s="108"/>
      <c r="B671" s="150"/>
      <c r="C671" s="70" t="s">
        <v>1184</v>
      </c>
      <c r="D671" s="33" t="s">
        <v>1936</v>
      </c>
      <c r="E671" s="34" t="s">
        <v>908</v>
      </c>
      <c r="F671" s="35">
        <v>13639000</v>
      </c>
      <c r="G671" s="210">
        <v>0</v>
      </c>
      <c r="H671" s="210">
        <v>0</v>
      </c>
      <c r="I671" s="210">
        <v>13639000</v>
      </c>
      <c r="J671" s="210">
        <v>0</v>
      </c>
      <c r="K671" s="210">
        <v>0</v>
      </c>
      <c r="L671" s="210">
        <v>0</v>
      </c>
      <c r="M671" s="210">
        <v>0</v>
      </c>
      <c r="N671" s="210">
        <v>0</v>
      </c>
      <c r="O671" s="210">
        <v>0</v>
      </c>
      <c r="P671" s="242">
        <f t="shared" si="218"/>
        <v>0</v>
      </c>
    </row>
    <row r="672" spans="1:16" s="8" customFormat="1">
      <c r="A672" s="108"/>
      <c r="B672" s="150"/>
      <c r="C672" s="70" t="s">
        <v>1184</v>
      </c>
      <c r="D672" s="33" t="s">
        <v>1938</v>
      </c>
      <c r="E672" s="34" t="s">
        <v>1019</v>
      </c>
      <c r="F672" s="35">
        <v>7857000</v>
      </c>
      <c r="G672" s="210">
        <v>0</v>
      </c>
      <c r="H672" s="210">
        <v>-2000000</v>
      </c>
      <c r="I672" s="210">
        <v>5857000</v>
      </c>
      <c r="J672" s="210">
        <v>0</v>
      </c>
      <c r="K672" s="210">
        <v>0</v>
      </c>
      <c r="L672" s="210">
        <v>0</v>
      </c>
      <c r="M672" s="210">
        <v>0</v>
      </c>
      <c r="N672" s="210">
        <v>0</v>
      </c>
      <c r="O672" s="210">
        <v>0</v>
      </c>
      <c r="P672" s="242">
        <f t="shared" si="218"/>
        <v>0</v>
      </c>
    </row>
    <row r="673" spans="1:16" s="8" customFormat="1">
      <c r="A673" s="108"/>
      <c r="B673" s="150"/>
      <c r="C673" s="70" t="s">
        <v>1184</v>
      </c>
      <c r="D673" s="33" t="s">
        <v>1952</v>
      </c>
      <c r="E673" s="34" t="s">
        <v>916</v>
      </c>
      <c r="F673" s="35">
        <v>4224000</v>
      </c>
      <c r="G673" s="210">
        <v>0</v>
      </c>
      <c r="H673" s="210">
        <v>-4224000</v>
      </c>
      <c r="I673" s="210">
        <v>0</v>
      </c>
      <c r="J673" s="210">
        <v>0</v>
      </c>
      <c r="K673" s="210">
        <v>0</v>
      </c>
      <c r="L673" s="210">
        <v>0</v>
      </c>
      <c r="M673" s="210">
        <v>0</v>
      </c>
      <c r="N673" s="210">
        <v>0</v>
      </c>
      <c r="O673" s="210">
        <v>0</v>
      </c>
      <c r="P673" s="242">
        <f t="shared" si="218"/>
        <v>0</v>
      </c>
    </row>
    <row r="674" spans="1:16" s="8" customFormat="1">
      <c r="A674" s="108"/>
      <c r="B674" s="150"/>
      <c r="C674" s="70" t="s">
        <v>1184</v>
      </c>
      <c r="D674" s="33" t="s">
        <v>1945</v>
      </c>
      <c r="E674" s="34" t="s">
        <v>781</v>
      </c>
      <c r="F674" s="35">
        <v>329238000</v>
      </c>
      <c r="G674" s="210">
        <v>0</v>
      </c>
      <c r="H674" s="210">
        <v>0</v>
      </c>
      <c r="I674" s="210">
        <v>329238000</v>
      </c>
      <c r="J674" s="210">
        <v>0</v>
      </c>
      <c r="K674" s="210">
        <v>329237942</v>
      </c>
      <c r="L674" s="210">
        <v>0</v>
      </c>
      <c r="M674" s="210">
        <v>329237942</v>
      </c>
      <c r="N674" s="210">
        <v>0</v>
      </c>
      <c r="O674" s="210">
        <v>68691602</v>
      </c>
      <c r="P674" s="242">
        <f t="shared" si="218"/>
        <v>0.99999982383564479</v>
      </c>
    </row>
    <row r="675" spans="1:16" s="8" customFormat="1">
      <c r="A675" s="174" t="s">
        <v>1186</v>
      </c>
      <c r="B675" s="157" t="s">
        <v>1539</v>
      </c>
      <c r="C675" s="158" t="s">
        <v>1187</v>
      </c>
      <c r="D675" s="41"/>
      <c r="E675" s="42" t="s">
        <v>1188</v>
      </c>
      <c r="F675" s="76">
        <f>+F676</f>
        <v>2161836000</v>
      </c>
      <c r="G675" s="76">
        <f t="shared" ref="G675:O675" si="224">+G676</f>
        <v>42400000</v>
      </c>
      <c r="H675" s="76">
        <f t="shared" si="224"/>
        <v>942872993</v>
      </c>
      <c r="I675" s="76">
        <f t="shared" si="224"/>
        <v>3104708993</v>
      </c>
      <c r="J675" s="76">
        <f t="shared" si="224"/>
        <v>104709560</v>
      </c>
      <c r="K675" s="76">
        <f t="shared" si="224"/>
        <v>819733706</v>
      </c>
      <c r="L675" s="76">
        <f t="shared" si="224"/>
        <v>212689163</v>
      </c>
      <c r="M675" s="76">
        <f t="shared" si="224"/>
        <v>721888856</v>
      </c>
      <c r="N675" s="76">
        <f t="shared" si="224"/>
        <v>66488412</v>
      </c>
      <c r="O675" s="76">
        <f t="shared" si="224"/>
        <v>406666239</v>
      </c>
      <c r="P675" s="247">
        <f t="shared" si="218"/>
        <v>0.23251417689309989</v>
      </c>
    </row>
    <row r="676" spans="1:16" s="2" customFormat="1">
      <c r="A676" s="175" t="s">
        <v>1189</v>
      </c>
      <c r="B676" s="159" t="s">
        <v>1531</v>
      </c>
      <c r="C676" s="160" t="s">
        <v>1190</v>
      </c>
      <c r="D676" s="43"/>
      <c r="E676" s="44" t="s">
        <v>1191</v>
      </c>
      <c r="F676" s="77">
        <f>+F677+F693</f>
        <v>2161836000</v>
      </c>
      <c r="G676" s="77">
        <f t="shared" ref="G676:O676" si="225">+G677+G693</f>
        <v>42400000</v>
      </c>
      <c r="H676" s="77">
        <f t="shared" si="225"/>
        <v>942872993</v>
      </c>
      <c r="I676" s="77">
        <f t="shared" si="225"/>
        <v>3104708993</v>
      </c>
      <c r="J676" s="77">
        <f t="shared" si="225"/>
        <v>104709560</v>
      </c>
      <c r="K676" s="77">
        <f t="shared" si="225"/>
        <v>819733706</v>
      </c>
      <c r="L676" s="77">
        <f t="shared" si="225"/>
        <v>212689163</v>
      </c>
      <c r="M676" s="77">
        <f t="shared" si="225"/>
        <v>721888856</v>
      </c>
      <c r="N676" s="77">
        <f t="shared" si="225"/>
        <v>66488412</v>
      </c>
      <c r="O676" s="77">
        <f t="shared" si="225"/>
        <v>406666239</v>
      </c>
      <c r="P676" s="249">
        <f t="shared" si="218"/>
        <v>0.23251417689309989</v>
      </c>
    </row>
    <row r="677" spans="1:16" s="8" customFormat="1">
      <c r="A677" s="107"/>
      <c r="B677" s="149" t="s">
        <v>1538</v>
      </c>
      <c r="C677" s="18" t="s">
        <v>1192</v>
      </c>
      <c r="D677" s="30"/>
      <c r="E677" s="17" t="s">
        <v>1191</v>
      </c>
      <c r="F677" s="203">
        <f>SUM(F678:F692)</f>
        <v>1707156000</v>
      </c>
      <c r="G677" s="203">
        <f t="shared" ref="G677:I677" si="226">SUM(G678:G692)</f>
        <v>28000000</v>
      </c>
      <c r="H677" s="203">
        <f t="shared" si="226"/>
        <v>-50365007</v>
      </c>
      <c r="I677" s="203">
        <f t="shared" si="226"/>
        <v>1656790993</v>
      </c>
      <c r="J677" s="203">
        <f>SUM(J678:J692)</f>
        <v>82582584</v>
      </c>
      <c r="K677" s="203">
        <f t="shared" ref="K677:O677" si="227">SUM(K678:K692)</f>
        <v>716049933</v>
      </c>
      <c r="L677" s="203">
        <f t="shared" si="227"/>
        <v>209045413</v>
      </c>
      <c r="M677" s="203">
        <f t="shared" si="227"/>
        <v>641063762</v>
      </c>
      <c r="N677" s="203">
        <f t="shared" si="227"/>
        <v>66488412</v>
      </c>
      <c r="O677" s="203">
        <f t="shared" si="227"/>
        <v>357737412</v>
      </c>
      <c r="P677" s="237">
        <f t="shared" si="218"/>
        <v>0.38693097965193973</v>
      </c>
    </row>
    <row r="678" spans="1:16" s="8" customFormat="1">
      <c r="A678" s="108"/>
      <c r="B678" s="150"/>
      <c r="C678" s="70" t="s">
        <v>1192</v>
      </c>
      <c r="D678" s="33" t="s">
        <v>1955</v>
      </c>
      <c r="E678" s="34" t="s">
        <v>919</v>
      </c>
      <c r="F678" s="35">
        <v>10975000</v>
      </c>
      <c r="G678" s="210">
        <v>0</v>
      </c>
      <c r="H678" s="210">
        <v>0</v>
      </c>
      <c r="I678" s="210">
        <v>10975000</v>
      </c>
      <c r="J678" s="210">
        <v>0</v>
      </c>
      <c r="K678" s="210">
        <v>0</v>
      </c>
      <c r="L678" s="210">
        <v>0</v>
      </c>
      <c r="M678" s="210">
        <v>0</v>
      </c>
      <c r="N678" s="210">
        <v>0</v>
      </c>
      <c r="O678" s="210">
        <v>0</v>
      </c>
      <c r="P678" s="242">
        <f t="shared" si="218"/>
        <v>0</v>
      </c>
    </row>
    <row r="679" spans="1:16" s="8" customFormat="1">
      <c r="A679" s="108"/>
      <c r="B679" s="150"/>
      <c r="C679" s="70" t="s">
        <v>1192</v>
      </c>
      <c r="D679" s="33" t="s">
        <v>1943</v>
      </c>
      <c r="E679" s="34" t="s">
        <v>763</v>
      </c>
      <c r="F679" s="35">
        <v>154055000</v>
      </c>
      <c r="G679" s="210">
        <v>0</v>
      </c>
      <c r="H679" s="210">
        <v>0</v>
      </c>
      <c r="I679" s="210">
        <v>154055000</v>
      </c>
      <c r="J679" s="210">
        <v>0</v>
      </c>
      <c r="K679" s="210">
        <v>53049450</v>
      </c>
      <c r="L679" s="210">
        <v>45249000</v>
      </c>
      <c r="M679" s="210">
        <v>53049450</v>
      </c>
      <c r="N679" s="210">
        <v>53049450</v>
      </c>
      <c r="O679" s="210">
        <v>53049450</v>
      </c>
      <c r="P679" s="242">
        <f t="shared" si="218"/>
        <v>0.34435396449320049</v>
      </c>
    </row>
    <row r="680" spans="1:16" s="8" customFormat="1">
      <c r="A680" s="108"/>
      <c r="B680" s="150"/>
      <c r="C680" s="70" t="s">
        <v>1192</v>
      </c>
      <c r="D680" s="33" t="s">
        <v>1956</v>
      </c>
      <c r="E680" s="34" t="s">
        <v>1463</v>
      </c>
      <c r="F680" s="35">
        <v>3273000</v>
      </c>
      <c r="G680" s="210">
        <v>0</v>
      </c>
      <c r="H680" s="210">
        <v>-3273000</v>
      </c>
      <c r="I680" s="210">
        <v>0</v>
      </c>
      <c r="J680" s="210">
        <v>0</v>
      </c>
      <c r="K680" s="210">
        <v>0</v>
      </c>
      <c r="L680" s="210">
        <v>0</v>
      </c>
      <c r="M680" s="210">
        <v>0</v>
      </c>
      <c r="N680" s="210">
        <v>0</v>
      </c>
      <c r="O680" s="210">
        <v>0</v>
      </c>
      <c r="P680" s="242">
        <f t="shared" si="218"/>
        <v>0</v>
      </c>
    </row>
    <row r="681" spans="1:16" s="8" customFormat="1">
      <c r="A681" s="108"/>
      <c r="B681" s="150"/>
      <c r="C681" s="70" t="s">
        <v>1192</v>
      </c>
      <c r="D681" s="33" t="s">
        <v>1951</v>
      </c>
      <c r="E681" s="34" t="s">
        <v>1193</v>
      </c>
      <c r="F681" s="35">
        <v>30000000</v>
      </c>
      <c r="G681" s="210">
        <v>0</v>
      </c>
      <c r="H681" s="210">
        <v>0</v>
      </c>
      <c r="I681" s="210">
        <v>30000000</v>
      </c>
      <c r="J681" s="210">
        <v>0</v>
      </c>
      <c r="K681" s="210">
        <v>4481856</v>
      </c>
      <c r="L681" s="210">
        <v>0</v>
      </c>
      <c r="M681" s="210">
        <v>4481856</v>
      </c>
      <c r="N681" s="210">
        <v>0</v>
      </c>
      <c r="O681" s="210">
        <v>4481856</v>
      </c>
      <c r="P681" s="242">
        <f t="shared" si="218"/>
        <v>0.14939520000000001</v>
      </c>
    </row>
    <row r="682" spans="1:16" s="8" customFormat="1">
      <c r="A682" s="108"/>
      <c r="B682" s="150"/>
      <c r="C682" s="70" t="s">
        <v>1192</v>
      </c>
      <c r="D682" s="33" t="s">
        <v>1940</v>
      </c>
      <c r="E682" s="34" t="s">
        <v>912</v>
      </c>
      <c r="F682" s="35">
        <v>403128000</v>
      </c>
      <c r="G682" s="210">
        <v>0</v>
      </c>
      <c r="H682" s="210">
        <v>0</v>
      </c>
      <c r="I682" s="210">
        <v>403128000</v>
      </c>
      <c r="J682" s="210">
        <v>63365300</v>
      </c>
      <c r="K682" s="210">
        <v>105704800</v>
      </c>
      <c r="L682" s="210">
        <v>4500000</v>
      </c>
      <c r="M682" s="210">
        <v>42339500</v>
      </c>
      <c r="N682" s="210">
        <v>4500000</v>
      </c>
      <c r="O682" s="210">
        <v>42339500</v>
      </c>
      <c r="P682" s="242">
        <f t="shared" si="218"/>
        <v>0.1050274354547439</v>
      </c>
    </row>
    <row r="683" spans="1:16" s="8" customFormat="1">
      <c r="A683" s="108"/>
      <c r="B683" s="150"/>
      <c r="C683" s="70" t="s">
        <v>1192</v>
      </c>
      <c r="D683" s="33" t="s">
        <v>1937</v>
      </c>
      <c r="E683" s="34" t="s">
        <v>909</v>
      </c>
      <c r="F683" s="35">
        <v>124280000</v>
      </c>
      <c r="G683" s="210">
        <v>0</v>
      </c>
      <c r="H683" s="210">
        <v>0</v>
      </c>
      <c r="I683" s="210">
        <v>124280000</v>
      </c>
      <c r="J683" s="210">
        <v>1853352</v>
      </c>
      <c r="K683" s="210">
        <v>9115132</v>
      </c>
      <c r="L683" s="210">
        <v>1443352</v>
      </c>
      <c r="M683" s="210">
        <v>8255132</v>
      </c>
      <c r="N683" s="210">
        <v>1443352</v>
      </c>
      <c r="O683" s="210">
        <v>8255132</v>
      </c>
      <c r="P683" s="242">
        <f t="shared" si="218"/>
        <v>6.6423656260057931E-2</v>
      </c>
    </row>
    <row r="684" spans="1:16" s="8" customFormat="1">
      <c r="A684" s="108"/>
      <c r="B684" s="150"/>
      <c r="C684" s="70" t="s">
        <v>1192</v>
      </c>
      <c r="D684" s="33" t="s">
        <v>1936</v>
      </c>
      <c r="E684" s="34" t="s">
        <v>908</v>
      </c>
      <c r="F684" s="35">
        <v>234637000</v>
      </c>
      <c r="G684" s="210">
        <v>0</v>
      </c>
      <c r="H684" s="210">
        <v>-135092007</v>
      </c>
      <c r="I684" s="210">
        <v>99544993</v>
      </c>
      <c r="J684" s="210">
        <v>7056865</v>
      </c>
      <c r="K684" s="210">
        <v>57637997</v>
      </c>
      <c r="L684" s="210">
        <v>7056865</v>
      </c>
      <c r="M684" s="210">
        <v>57637997</v>
      </c>
      <c r="N684" s="210">
        <v>7525610</v>
      </c>
      <c r="O684" s="210">
        <v>56187997</v>
      </c>
      <c r="P684" s="242">
        <f t="shared" si="218"/>
        <v>0.57901452662717046</v>
      </c>
    </row>
    <row r="685" spans="1:16" s="8" customFormat="1">
      <c r="A685" s="108"/>
      <c r="B685" s="150"/>
      <c r="C685" s="70" t="s">
        <v>1192</v>
      </c>
      <c r="D685" s="33" t="s">
        <v>1938</v>
      </c>
      <c r="E685" s="34" t="s">
        <v>1019</v>
      </c>
      <c r="F685" s="35">
        <v>92546000</v>
      </c>
      <c r="G685" s="210">
        <v>0</v>
      </c>
      <c r="H685" s="210">
        <v>0</v>
      </c>
      <c r="I685" s="210">
        <v>92546000</v>
      </c>
      <c r="J685" s="210">
        <v>1454806</v>
      </c>
      <c r="K685" s="210">
        <v>13534158</v>
      </c>
      <c r="L685" s="210">
        <v>829076</v>
      </c>
      <c r="M685" s="210">
        <v>12908428</v>
      </c>
      <c r="N685" s="210">
        <v>0</v>
      </c>
      <c r="O685" s="210">
        <v>12079352</v>
      </c>
      <c r="P685" s="242">
        <f t="shared" si="218"/>
        <v>0.13948120934454217</v>
      </c>
    </row>
    <row r="686" spans="1:16" s="8" customFormat="1">
      <c r="A686" s="108"/>
      <c r="B686" s="150"/>
      <c r="C686" s="70" t="s">
        <v>1192</v>
      </c>
      <c r="D686" s="33" t="s">
        <v>1942</v>
      </c>
      <c r="E686" s="34" t="s">
        <v>913</v>
      </c>
      <c r="F686" s="35">
        <v>31853000</v>
      </c>
      <c r="G686" s="210">
        <v>0</v>
      </c>
      <c r="H686" s="210">
        <v>0</v>
      </c>
      <c r="I686" s="210">
        <v>31853000</v>
      </c>
      <c r="J686" s="210">
        <v>2000000</v>
      </c>
      <c r="K686" s="210">
        <v>6789950</v>
      </c>
      <c r="L686" s="210">
        <v>0</v>
      </c>
      <c r="M686" s="210">
        <v>3539950</v>
      </c>
      <c r="N686" s="210">
        <v>0</v>
      </c>
      <c r="O686" s="210">
        <v>3539950</v>
      </c>
      <c r="P686" s="242">
        <f t="shared" si="218"/>
        <v>0.11113395912472923</v>
      </c>
    </row>
    <row r="687" spans="1:16" s="8" customFormat="1">
      <c r="A687" s="108"/>
      <c r="B687" s="150"/>
      <c r="C687" s="70" t="s">
        <v>1192</v>
      </c>
      <c r="D687" s="33" t="s">
        <v>1939</v>
      </c>
      <c r="E687" s="34" t="s">
        <v>911</v>
      </c>
      <c r="F687" s="35">
        <v>149932000</v>
      </c>
      <c r="G687" s="210">
        <v>0</v>
      </c>
      <c r="H687" s="210">
        <v>-40000000</v>
      </c>
      <c r="I687" s="210">
        <v>109932000</v>
      </c>
      <c r="J687" s="210">
        <v>6855141</v>
      </c>
      <c r="K687" s="210">
        <v>45974310</v>
      </c>
      <c r="L687" s="210">
        <v>-30000</v>
      </c>
      <c r="M687" s="210">
        <v>39089169</v>
      </c>
      <c r="N687" s="210">
        <v>-30000</v>
      </c>
      <c r="O687" s="210">
        <v>5576175</v>
      </c>
      <c r="P687" s="242">
        <f t="shared" si="218"/>
        <v>0.35557589236982862</v>
      </c>
    </row>
    <row r="688" spans="1:16" s="8" customFormat="1">
      <c r="A688" s="108"/>
      <c r="B688" s="150"/>
      <c r="C688" s="70" t="s">
        <v>1192</v>
      </c>
      <c r="D688" s="33" t="s">
        <v>1913</v>
      </c>
      <c r="E688" s="34" t="s">
        <v>914</v>
      </c>
      <c r="F688" s="35">
        <v>26129999.999999996</v>
      </c>
      <c r="G688" s="210">
        <v>0</v>
      </c>
      <c r="H688" s="210">
        <v>0</v>
      </c>
      <c r="I688" s="210">
        <v>26129999.999999996</v>
      </c>
      <c r="J688" s="210">
        <v>0</v>
      </c>
      <c r="K688" s="210">
        <v>0</v>
      </c>
      <c r="L688" s="210">
        <v>0</v>
      </c>
      <c r="M688" s="210">
        <v>0</v>
      </c>
      <c r="N688" s="210">
        <v>0</v>
      </c>
      <c r="O688" s="210">
        <v>0</v>
      </c>
      <c r="P688" s="242">
        <f t="shared" si="218"/>
        <v>0</v>
      </c>
    </row>
    <row r="689" spans="1:16" s="8" customFormat="1">
      <c r="A689" s="108"/>
      <c r="B689" s="150"/>
      <c r="C689" s="70" t="s">
        <v>1192</v>
      </c>
      <c r="D689" s="33" t="s">
        <v>1970</v>
      </c>
      <c r="E689" s="34" t="s">
        <v>1069</v>
      </c>
      <c r="F689" s="35">
        <v>103442000</v>
      </c>
      <c r="G689" s="210">
        <v>0</v>
      </c>
      <c r="H689" s="210">
        <v>0</v>
      </c>
      <c r="I689" s="210">
        <v>103442000</v>
      </c>
      <c r="J689" s="210">
        <v>0</v>
      </c>
      <c r="K689" s="210">
        <v>97537160</v>
      </c>
      <c r="L689" s="210">
        <v>0</v>
      </c>
      <c r="M689" s="210">
        <v>97537160</v>
      </c>
      <c r="N689" s="210">
        <v>0</v>
      </c>
      <c r="O689" s="210">
        <v>0</v>
      </c>
      <c r="P689" s="242">
        <f t="shared" si="218"/>
        <v>0.94291641692929373</v>
      </c>
    </row>
    <row r="690" spans="1:16" s="8" customFormat="1">
      <c r="A690" s="108"/>
      <c r="B690" s="150"/>
      <c r="C690" s="70" t="s">
        <v>1192</v>
      </c>
      <c r="D690" s="33" t="s">
        <v>1945</v>
      </c>
      <c r="E690" s="34" t="s">
        <v>781</v>
      </c>
      <c r="F690" s="35">
        <v>172673000</v>
      </c>
      <c r="G690" s="210">
        <v>0</v>
      </c>
      <c r="H690" s="210">
        <v>150000000</v>
      </c>
      <c r="I690" s="210">
        <v>322673000</v>
      </c>
      <c r="J690" s="210">
        <v>-2880</v>
      </c>
      <c r="K690" s="210">
        <v>321425120</v>
      </c>
      <c r="L690" s="210">
        <v>149997120</v>
      </c>
      <c r="M690" s="210">
        <v>321425120</v>
      </c>
      <c r="N690" s="210">
        <v>0</v>
      </c>
      <c r="O690" s="210">
        <v>171428000</v>
      </c>
      <c r="P690" s="242">
        <f t="shared" si="218"/>
        <v>0.996132679213941</v>
      </c>
    </row>
    <row r="691" spans="1:16" s="8" customFormat="1">
      <c r="A691" s="108"/>
      <c r="B691" s="150"/>
      <c r="C691" s="70" t="s">
        <v>1192</v>
      </c>
      <c r="D691" s="33" t="s">
        <v>1954</v>
      </c>
      <c r="E691" s="34" t="s">
        <v>1020</v>
      </c>
      <c r="F691" s="35">
        <v>167232000</v>
      </c>
      <c r="G691" s="210">
        <v>28000000</v>
      </c>
      <c r="H691" s="210">
        <v>-22000000</v>
      </c>
      <c r="I691" s="210">
        <v>145232000</v>
      </c>
      <c r="J691" s="210">
        <v>0</v>
      </c>
      <c r="K691" s="210">
        <v>0</v>
      </c>
      <c r="L691" s="210">
        <v>0</v>
      </c>
      <c r="M691" s="210">
        <v>0</v>
      </c>
      <c r="N691" s="210">
        <v>0</v>
      </c>
      <c r="O691" s="210">
        <v>0</v>
      </c>
      <c r="P691" s="242">
        <f t="shared" si="218"/>
        <v>0</v>
      </c>
    </row>
    <row r="692" spans="1:16" s="2" customFormat="1">
      <c r="A692" s="108"/>
      <c r="B692" s="150"/>
      <c r="C692" s="70" t="s">
        <v>1192</v>
      </c>
      <c r="D692" s="33" t="s">
        <v>1966</v>
      </c>
      <c r="E692" s="34" t="s">
        <v>1464</v>
      </c>
      <c r="F692" s="35">
        <v>3000000</v>
      </c>
      <c r="G692" s="210">
        <v>0</v>
      </c>
      <c r="H692" s="210">
        <v>0</v>
      </c>
      <c r="I692" s="210">
        <v>3000000</v>
      </c>
      <c r="J692" s="210">
        <v>0</v>
      </c>
      <c r="K692" s="210">
        <v>800000</v>
      </c>
      <c r="L692" s="210">
        <v>0</v>
      </c>
      <c r="M692" s="210">
        <v>800000</v>
      </c>
      <c r="N692" s="210">
        <v>0</v>
      </c>
      <c r="O692" s="210">
        <v>800000</v>
      </c>
      <c r="P692" s="242">
        <f t="shared" si="218"/>
        <v>0.26666666666666666</v>
      </c>
    </row>
    <row r="693" spans="1:16" s="8" customFormat="1">
      <c r="A693" s="107"/>
      <c r="B693" s="149" t="s">
        <v>1858</v>
      </c>
      <c r="C693" s="18" t="s">
        <v>1194</v>
      </c>
      <c r="D693" s="30"/>
      <c r="E693" s="17" t="s">
        <v>1195</v>
      </c>
      <c r="F693" s="16">
        <f>SUM(F694:F706)</f>
        <v>454680000</v>
      </c>
      <c r="G693" s="16">
        <f t="shared" ref="G693:O693" si="228">SUM(G694:G707)</f>
        <v>14400000</v>
      </c>
      <c r="H693" s="16">
        <f t="shared" si="228"/>
        <v>993238000</v>
      </c>
      <c r="I693" s="16">
        <f t="shared" si="228"/>
        <v>1447918000</v>
      </c>
      <c r="J693" s="16">
        <f t="shared" si="228"/>
        <v>22126976</v>
      </c>
      <c r="K693" s="16">
        <f t="shared" si="228"/>
        <v>103683773</v>
      </c>
      <c r="L693" s="16">
        <f t="shared" si="228"/>
        <v>3643750</v>
      </c>
      <c r="M693" s="16">
        <f t="shared" si="228"/>
        <v>80825094</v>
      </c>
      <c r="N693" s="16">
        <f t="shared" si="228"/>
        <v>0</v>
      </c>
      <c r="O693" s="16">
        <f t="shared" si="228"/>
        <v>48928827</v>
      </c>
      <c r="P693" s="237">
        <f t="shared" si="218"/>
        <v>5.5821596250616404E-2</v>
      </c>
    </row>
    <row r="694" spans="1:16" s="8" customFormat="1">
      <c r="A694" s="108"/>
      <c r="B694" s="150"/>
      <c r="C694" s="70" t="s">
        <v>1194</v>
      </c>
      <c r="D694" s="33" t="s">
        <v>1951</v>
      </c>
      <c r="E694" s="34" t="s">
        <v>915</v>
      </c>
      <c r="F694" s="35">
        <v>21795000</v>
      </c>
      <c r="G694" s="210">
        <v>0</v>
      </c>
      <c r="H694" s="210">
        <v>0</v>
      </c>
      <c r="I694" s="210">
        <v>21795000</v>
      </c>
      <c r="J694" s="210">
        <v>18483226</v>
      </c>
      <c r="K694" s="210">
        <v>18483226</v>
      </c>
      <c r="L694" s="210">
        <v>0</v>
      </c>
      <c r="M694" s="210">
        <v>0</v>
      </c>
      <c r="N694" s="210">
        <v>0</v>
      </c>
      <c r="O694" s="210">
        <v>0</v>
      </c>
      <c r="P694" s="242">
        <f t="shared" si="218"/>
        <v>0</v>
      </c>
    </row>
    <row r="695" spans="1:16" s="8" customFormat="1">
      <c r="A695" s="108"/>
      <c r="B695" s="150"/>
      <c r="C695" s="70" t="s">
        <v>1194</v>
      </c>
      <c r="D695" s="33" t="s">
        <v>1940</v>
      </c>
      <c r="E695" s="34" t="s">
        <v>912</v>
      </c>
      <c r="F695" s="35">
        <v>13500000</v>
      </c>
      <c r="G695" s="210">
        <v>0</v>
      </c>
      <c r="H695" s="210">
        <v>0</v>
      </c>
      <c r="I695" s="210">
        <v>13500000</v>
      </c>
      <c r="J695" s="210">
        <v>0</v>
      </c>
      <c r="K695" s="210">
        <v>9484394</v>
      </c>
      <c r="L695" s="210">
        <v>0</v>
      </c>
      <c r="M695" s="210">
        <v>5984394</v>
      </c>
      <c r="N695" s="210">
        <v>0</v>
      </c>
      <c r="O695" s="210">
        <v>0</v>
      </c>
      <c r="P695" s="242">
        <f t="shared" si="218"/>
        <v>0.44328844444444443</v>
      </c>
    </row>
    <row r="696" spans="1:16" s="8" customFormat="1">
      <c r="A696" s="108"/>
      <c r="B696" s="150"/>
      <c r="C696" s="70" t="s">
        <v>1194</v>
      </c>
      <c r="D696" s="33" t="s">
        <v>1937</v>
      </c>
      <c r="E696" s="34" t="s">
        <v>909</v>
      </c>
      <c r="F696" s="35">
        <v>17237000</v>
      </c>
      <c r="G696" s="210">
        <v>0</v>
      </c>
      <c r="H696" s="210">
        <v>0</v>
      </c>
      <c r="I696" s="210">
        <v>17237000</v>
      </c>
      <c r="J696" s="210">
        <v>0</v>
      </c>
      <c r="K696" s="210">
        <v>0</v>
      </c>
      <c r="L696" s="210">
        <v>0</v>
      </c>
      <c r="M696" s="210">
        <v>0</v>
      </c>
      <c r="N696" s="210">
        <v>0</v>
      </c>
      <c r="O696" s="210">
        <v>0</v>
      </c>
      <c r="P696" s="242">
        <f t="shared" si="218"/>
        <v>0</v>
      </c>
    </row>
    <row r="697" spans="1:16" s="8" customFormat="1">
      <c r="A697" s="108"/>
      <c r="B697" s="150"/>
      <c r="C697" s="70" t="s">
        <v>1194</v>
      </c>
      <c r="D697" s="33" t="s">
        <v>1936</v>
      </c>
      <c r="E697" s="34" t="s">
        <v>908</v>
      </c>
      <c r="F697" s="35">
        <v>57008000</v>
      </c>
      <c r="G697" s="210">
        <v>0</v>
      </c>
      <c r="H697" s="210">
        <v>-22008000</v>
      </c>
      <c r="I697" s="210">
        <v>35000000</v>
      </c>
      <c r="J697" s="210">
        <v>0</v>
      </c>
      <c r="K697" s="210">
        <v>0</v>
      </c>
      <c r="L697" s="210">
        <v>0</v>
      </c>
      <c r="M697" s="210">
        <v>0</v>
      </c>
      <c r="N697" s="210">
        <v>0</v>
      </c>
      <c r="O697" s="210">
        <v>0</v>
      </c>
      <c r="P697" s="242">
        <f t="shared" si="218"/>
        <v>0</v>
      </c>
    </row>
    <row r="698" spans="1:16" s="8" customFormat="1">
      <c r="A698" s="108"/>
      <c r="B698" s="150"/>
      <c r="C698" s="70" t="s">
        <v>1194</v>
      </c>
      <c r="D698" s="33" t="s">
        <v>1938</v>
      </c>
      <c r="E698" s="34" t="s">
        <v>1019</v>
      </c>
      <c r="F698" s="35">
        <v>25785000</v>
      </c>
      <c r="G698" s="210">
        <v>0</v>
      </c>
      <c r="H698" s="210">
        <v>0</v>
      </c>
      <c r="I698" s="210">
        <v>25785000</v>
      </c>
      <c r="J698" s="210">
        <v>0</v>
      </c>
      <c r="K698" s="210">
        <v>875453</v>
      </c>
      <c r="L698" s="210">
        <v>0</v>
      </c>
      <c r="M698" s="210">
        <v>0</v>
      </c>
      <c r="N698" s="210">
        <v>0</v>
      </c>
      <c r="O698" s="210">
        <v>0</v>
      </c>
      <c r="P698" s="242">
        <f t="shared" si="218"/>
        <v>0</v>
      </c>
    </row>
    <row r="699" spans="1:16" s="8" customFormat="1">
      <c r="A699" s="108"/>
      <c r="B699" s="150"/>
      <c r="C699" s="70" t="s">
        <v>1194</v>
      </c>
      <c r="D699" s="33" t="s">
        <v>1942</v>
      </c>
      <c r="E699" s="34" t="s">
        <v>913</v>
      </c>
      <c r="F699" s="35">
        <v>5954000</v>
      </c>
      <c r="G699" s="210">
        <v>0</v>
      </c>
      <c r="H699" s="210">
        <v>46000</v>
      </c>
      <c r="I699" s="210">
        <v>6000000</v>
      </c>
      <c r="J699" s="210">
        <v>0</v>
      </c>
      <c r="K699" s="210">
        <v>0</v>
      </c>
      <c r="L699" s="210">
        <v>0</v>
      </c>
      <c r="M699" s="210">
        <v>0</v>
      </c>
      <c r="N699" s="210">
        <v>0</v>
      </c>
      <c r="O699" s="210">
        <v>0</v>
      </c>
      <c r="P699" s="242">
        <f t="shared" si="218"/>
        <v>0</v>
      </c>
    </row>
    <row r="700" spans="1:16" s="8" customFormat="1">
      <c r="A700" s="108"/>
      <c r="B700" s="150"/>
      <c r="C700" s="70" t="s">
        <v>1194</v>
      </c>
      <c r="D700" s="33" t="s">
        <v>1939</v>
      </c>
      <c r="E700" s="34" t="s">
        <v>911</v>
      </c>
      <c r="F700" s="35">
        <v>5126000</v>
      </c>
      <c r="G700" s="210">
        <v>0</v>
      </c>
      <c r="H700" s="210">
        <v>0</v>
      </c>
      <c r="I700" s="210">
        <v>5126000</v>
      </c>
      <c r="J700" s="210">
        <v>0</v>
      </c>
      <c r="K700" s="210">
        <v>0</v>
      </c>
      <c r="L700" s="210">
        <v>0</v>
      </c>
      <c r="M700" s="210">
        <v>0</v>
      </c>
      <c r="N700" s="210">
        <v>0</v>
      </c>
      <c r="O700" s="210">
        <v>0</v>
      </c>
      <c r="P700" s="242">
        <f t="shared" si="218"/>
        <v>0</v>
      </c>
    </row>
    <row r="701" spans="1:16" s="8" customFormat="1">
      <c r="A701" s="108"/>
      <c r="B701" s="150"/>
      <c r="C701" s="70" t="s">
        <v>1194</v>
      </c>
      <c r="D701" s="33" t="s">
        <v>1943</v>
      </c>
      <c r="E701" s="34" t="s">
        <v>763</v>
      </c>
      <c r="F701" s="35">
        <v>0</v>
      </c>
      <c r="G701" s="210">
        <v>0</v>
      </c>
      <c r="H701" s="210">
        <v>0</v>
      </c>
      <c r="I701" s="210">
        <v>0</v>
      </c>
      <c r="J701" s="210">
        <v>0</v>
      </c>
      <c r="K701" s="210">
        <v>0</v>
      </c>
      <c r="L701" s="210">
        <v>0</v>
      </c>
      <c r="M701" s="210">
        <v>0</v>
      </c>
      <c r="N701" s="210">
        <v>0</v>
      </c>
      <c r="O701" s="210">
        <v>0</v>
      </c>
      <c r="P701" s="242">
        <f t="shared" si="218"/>
        <v>0</v>
      </c>
    </row>
    <row r="702" spans="1:16" s="8" customFormat="1">
      <c r="A702" s="108"/>
      <c r="B702" s="150"/>
      <c r="C702" s="70" t="s">
        <v>1194</v>
      </c>
      <c r="D702" s="33" t="s">
        <v>1952</v>
      </c>
      <c r="E702" s="34" t="s">
        <v>916</v>
      </c>
      <c r="F702" s="35">
        <v>5180000</v>
      </c>
      <c r="G702" s="210">
        <v>0</v>
      </c>
      <c r="H702" s="210">
        <v>0</v>
      </c>
      <c r="I702" s="210">
        <v>5180000</v>
      </c>
      <c r="J702" s="210">
        <v>0</v>
      </c>
      <c r="K702" s="210">
        <v>0</v>
      </c>
      <c r="L702" s="210">
        <v>0</v>
      </c>
      <c r="M702" s="210">
        <v>0</v>
      </c>
      <c r="N702" s="210">
        <v>0</v>
      </c>
      <c r="O702" s="210">
        <v>0</v>
      </c>
      <c r="P702" s="242">
        <f t="shared" si="218"/>
        <v>0</v>
      </c>
    </row>
    <row r="703" spans="1:16" s="8" customFormat="1">
      <c r="A703" s="108"/>
      <c r="B703" s="150"/>
      <c r="C703" s="70" t="s">
        <v>1194</v>
      </c>
      <c r="D703" s="33" t="s">
        <v>1955</v>
      </c>
      <c r="E703" s="34" t="s">
        <v>919</v>
      </c>
      <c r="F703" s="35">
        <v>36168000</v>
      </c>
      <c r="G703" s="210">
        <v>0</v>
      </c>
      <c r="H703" s="210">
        <v>0</v>
      </c>
      <c r="I703" s="210">
        <v>36168000</v>
      </c>
      <c r="J703" s="210">
        <v>0</v>
      </c>
      <c r="K703" s="210">
        <v>34558965</v>
      </c>
      <c r="L703" s="210">
        <v>0</v>
      </c>
      <c r="M703" s="210">
        <v>34558965</v>
      </c>
      <c r="N703" s="210">
        <v>0</v>
      </c>
      <c r="O703" s="210">
        <v>34558965</v>
      </c>
      <c r="P703" s="242">
        <f t="shared" si="218"/>
        <v>0.95551219309887192</v>
      </c>
    </row>
    <row r="704" spans="1:16" s="8" customFormat="1">
      <c r="A704" s="108"/>
      <c r="B704" s="150"/>
      <c r="C704" s="70" t="s">
        <v>1194</v>
      </c>
      <c r="D704" s="33" t="s">
        <v>1950</v>
      </c>
      <c r="E704" s="34" t="s">
        <v>809</v>
      </c>
      <c r="F704" s="35">
        <v>245249000</v>
      </c>
      <c r="G704" s="210">
        <v>0</v>
      </c>
      <c r="H704" s="210">
        <v>1000000000</v>
      </c>
      <c r="I704" s="210">
        <v>1245249000</v>
      </c>
      <c r="J704" s="210">
        <v>3643750</v>
      </c>
      <c r="K704" s="210">
        <v>25911873</v>
      </c>
      <c r="L704" s="210">
        <v>3643750</v>
      </c>
      <c r="M704" s="210">
        <v>25911873</v>
      </c>
      <c r="N704" s="210">
        <v>0</v>
      </c>
      <c r="O704" s="210">
        <v>0</v>
      </c>
      <c r="P704" s="242">
        <f t="shared" si="218"/>
        <v>2.080858768005435E-2</v>
      </c>
    </row>
    <row r="705" spans="1:16" s="8" customFormat="1">
      <c r="A705" s="108"/>
      <c r="B705" s="150"/>
      <c r="C705" s="70" t="s">
        <v>1194</v>
      </c>
      <c r="D705" s="33" t="s">
        <v>1945</v>
      </c>
      <c r="E705" s="34" t="s">
        <v>781</v>
      </c>
      <c r="F705" s="35">
        <v>15677999.999999998</v>
      </c>
      <c r="G705" s="210">
        <v>0</v>
      </c>
      <c r="H705" s="210">
        <v>0</v>
      </c>
      <c r="I705" s="210">
        <v>15677999.999999998</v>
      </c>
      <c r="J705" s="210">
        <v>0</v>
      </c>
      <c r="K705" s="210">
        <v>9800000</v>
      </c>
      <c r="L705" s="210">
        <v>0</v>
      </c>
      <c r="M705" s="210">
        <v>9800000</v>
      </c>
      <c r="N705" s="210">
        <v>0</v>
      </c>
      <c r="O705" s="210">
        <v>9800000</v>
      </c>
      <c r="P705" s="242">
        <f t="shared" si="218"/>
        <v>0.62507972955734159</v>
      </c>
    </row>
    <row r="706" spans="1:16" s="8" customFormat="1">
      <c r="A706" s="108"/>
      <c r="B706" s="150"/>
      <c r="C706" s="70" t="s">
        <v>1194</v>
      </c>
      <c r="D706" s="33" t="s">
        <v>1954</v>
      </c>
      <c r="E706" s="34" t="s">
        <v>1020</v>
      </c>
      <c r="F706" s="35">
        <v>6000000</v>
      </c>
      <c r="G706" s="210">
        <v>14400000</v>
      </c>
      <c r="H706" s="210">
        <v>14400000</v>
      </c>
      <c r="I706" s="210">
        <v>20400000</v>
      </c>
      <c r="J706" s="210">
        <v>0</v>
      </c>
      <c r="K706" s="210">
        <v>4569862</v>
      </c>
      <c r="L706" s="210">
        <v>0</v>
      </c>
      <c r="M706" s="210">
        <v>4569862</v>
      </c>
      <c r="N706" s="210">
        <v>0</v>
      </c>
      <c r="O706" s="210">
        <v>4569862</v>
      </c>
      <c r="P706" s="242">
        <f t="shared" si="218"/>
        <v>0.22401284313725489</v>
      </c>
    </row>
    <row r="707" spans="1:16" s="8" customFormat="1">
      <c r="A707" s="108"/>
      <c r="B707" s="150"/>
      <c r="C707" s="70"/>
      <c r="D707" s="33" t="s">
        <v>1949</v>
      </c>
      <c r="E707" s="34" t="s">
        <v>1912</v>
      </c>
      <c r="F707" s="35">
        <v>0</v>
      </c>
      <c r="G707" s="210">
        <v>0</v>
      </c>
      <c r="H707" s="210">
        <v>800000</v>
      </c>
      <c r="I707" s="210">
        <v>800000</v>
      </c>
      <c r="J707" s="210">
        <v>0</v>
      </c>
      <c r="K707" s="210">
        <v>0</v>
      </c>
      <c r="L707" s="210">
        <v>0</v>
      </c>
      <c r="M707" s="210">
        <v>0</v>
      </c>
      <c r="N707" s="210">
        <v>0</v>
      </c>
      <c r="O707" s="210">
        <v>0</v>
      </c>
      <c r="P707" s="242">
        <f t="shared" si="218"/>
        <v>0</v>
      </c>
    </row>
    <row r="708" spans="1:16" s="2" customFormat="1">
      <c r="A708" s="174" t="s">
        <v>1196</v>
      </c>
      <c r="B708" s="157" t="s">
        <v>1531</v>
      </c>
      <c r="C708" s="158" t="s">
        <v>1197</v>
      </c>
      <c r="D708" s="41"/>
      <c r="E708" s="42" t="s">
        <v>1198</v>
      </c>
      <c r="F708" s="76">
        <f>+F709</f>
        <v>0</v>
      </c>
      <c r="G708" s="76">
        <f t="shared" ref="G708:O708" si="229">+G709</f>
        <v>0</v>
      </c>
      <c r="H708" s="76">
        <f t="shared" si="229"/>
        <v>0</v>
      </c>
      <c r="I708" s="76">
        <f t="shared" si="229"/>
        <v>0</v>
      </c>
      <c r="J708" s="76">
        <f t="shared" si="229"/>
        <v>0</v>
      </c>
      <c r="K708" s="76">
        <f t="shared" si="229"/>
        <v>0</v>
      </c>
      <c r="L708" s="76">
        <f t="shared" si="229"/>
        <v>0</v>
      </c>
      <c r="M708" s="76">
        <f t="shared" si="229"/>
        <v>0</v>
      </c>
      <c r="N708" s="76">
        <f t="shared" si="229"/>
        <v>0</v>
      </c>
      <c r="O708" s="76">
        <f t="shared" si="229"/>
        <v>0</v>
      </c>
      <c r="P708" s="247">
        <f t="shared" si="218"/>
        <v>0</v>
      </c>
    </row>
    <row r="709" spans="1:16" s="2" customFormat="1">
      <c r="A709" s="107" t="s">
        <v>1199</v>
      </c>
      <c r="B709" s="149" t="s">
        <v>1859</v>
      </c>
      <c r="C709" s="18" t="s">
        <v>1200</v>
      </c>
      <c r="D709" s="30"/>
      <c r="E709" s="17" t="s">
        <v>1198</v>
      </c>
      <c r="F709" s="203">
        <v>0</v>
      </c>
      <c r="G709" s="203">
        <v>0</v>
      </c>
      <c r="H709" s="203">
        <v>0</v>
      </c>
      <c r="I709" s="203">
        <v>0</v>
      </c>
      <c r="J709" s="203">
        <v>0</v>
      </c>
      <c r="K709" s="203">
        <v>0</v>
      </c>
      <c r="L709" s="203">
        <v>0</v>
      </c>
      <c r="M709" s="203">
        <v>0</v>
      </c>
      <c r="N709" s="203">
        <v>0</v>
      </c>
      <c r="O709" s="203">
        <v>0</v>
      </c>
      <c r="P709" s="237">
        <f t="shared" si="218"/>
        <v>0</v>
      </c>
    </row>
    <row r="710" spans="1:16" s="5" customFormat="1">
      <c r="A710" s="136" t="s">
        <v>1201</v>
      </c>
      <c r="B710" s="125"/>
      <c r="C710" s="126" t="s">
        <v>1202</v>
      </c>
      <c r="D710" s="29"/>
      <c r="E710" s="19" t="s">
        <v>1203</v>
      </c>
      <c r="F710" s="20">
        <f>+F711</f>
        <v>3834443000</v>
      </c>
      <c r="G710" s="20">
        <f t="shared" ref="G710:O710" si="230">+G711</f>
        <v>0</v>
      </c>
      <c r="H710" s="20">
        <f t="shared" si="230"/>
        <v>0</v>
      </c>
      <c r="I710" s="20">
        <f t="shared" si="230"/>
        <v>3834443000</v>
      </c>
      <c r="J710" s="20">
        <f t="shared" si="230"/>
        <v>0</v>
      </c>
      <c r="K710" s="20">
        <f t="shared" si="230"/>
        <v>3834429319</v>
      </c>
      <c r="L710" s="20">
        <f t="shared" si="230"/>
        <v>247523519</v>
      </c>
      <c r="M710" s="20">
        <f t="shared" si="230"/>
        <v>2003781077</v>
      </c>
      <c r="N710" s="20">
        <f t="shared" si="230"/>
        <v>247386239</v>
      </c>
      <c r="O710" s="20">
        <f t="shared" si="230"/>
        <v>1973177347</v>
      </c>
      <c r="P710" s="243">
        <f t="shared" si="218"/>
        <v>0.52257422447015123</v>
      </c>
    </row>
    <row r="711" spans="1:16" s="7" customFormat="1">
      <c r="A711" s="134" t="s">
        <v>1204</v>
      </c>
      <c r="B711" s="123" t="s">
        <v>1860</v>
      </c>
      <c r="C711" s="124" t="s">
        <v>1205</v>
      </c>
      <c r="D711" s="67"/>
      <c r="E711" s="25" t="s">
        <v>1206</v>
      </c>
      <c r="F711" s="68">
        <f>+F712+F714+F716</f>
        <v>3834443000</v>
      </c>
      <c r="G711" s="68">
        <f t="shared" ref="G711:O711" si="231">+G712+G714+G716</f>
        <v>0</v>
      </c>
      <c r="H711" s="68">
        <f t="shared" si="231"/>
        <v>0</v>
      </c>
      <c r="I711" s="68">
        <f t="shared" si="231"/>
        <v>3834443000</v>
      </c>
      <c r="J711" s="68">
        <f t="shared" si="231"/>
        <v>0</v>
      </c>
      <c r="K711" s="68">
        <f t="shared" si="231"/>
        <v>3834429319</v>
      </c>
      <c r="L711" s="68">
        <f t="shared" si="231"/>
        <v>247523519</v>
      </c>
      <c r="M711" s="68">
        <f t="shared" si="231"/>
        <v>2003781077</v>
      </c>
      <c r="N711" s="68">
        <f t="shared" si="231"/>
        <v>247386239</v>
      </c>
      <c r="O711" s="68">
        <f t="shared" si="231"/>
        <v>1973177347</v>
      </c>
      <c r="P711" s="229">
        <f t="shared" si="218"/>
        <v>0.52257422447015123</v>
      </c>
    </row>
    <row r="712" spans="1:16" s="8" customFormat="1">
      <c r="A712" s="107" t="s">
        <v>1207</v>
      </c>
      <c r="B712" s="149" t="s">
        <v>1861</v>
      </c>
      <c r="C712" s="18" t="s">
        <v>1208</v>
      </c>
      <c r="D712" s="30"/>
      <c r="E712" s="17" t="s">
        <v>1209</v>
      </c>
      <c r="F712" s="203">
        <f>+F713</f>
        <v>3457425000</v>
      </c>
      <c r="G712" s="203">
        <f t="shared" ref="G712:O712" si="232">+G713</f>
        <v>0</v>
      </c>
      <c r="H712" s="203">
        <f t="shared" si="232"/>
        <v>0</v>
      </c>
      <c r="I712" s="203">
        <f t="shared" si="232"/>
        <v>3457425000</v>
      </c>
      <c r="J712" s="203">
        <f t="shared" si="232"/>
        <v>0</v>
      </c>
      <c r="K712" s="203">
        <f t="shared" si="232"/>
        <v>3457425000</v>
      </c>
      <c r="L712" s="203">
        <f t="shared" si="232"/>
        <v>224637230</v>
      </c>
      <c r="M712" s="203">
        <f t="shared" si="232"/>
        <v>1742028459</v>
      </c>
      <c r="N712" s="203">
        <f t="shared" si="232"/>
        <v>224637230</v>
      </c>
      <c r="O712" s="203">
        <f t="shared" si="232"/>
        <v>1711583149</v>
      </c>
      <c r="P712" s="237">
        <f t="shared" si="218"/>
        <v>0.50385140935812056</v>
      </c>
    </row>
    <row r="713" spans="1:16" s="7" customFormat="1">
      <c r="A713" s="108"/>
      <c r="B713" s="150"/>
      <c r="C713" s="70" t="s">
        <v>1208</v>
      </c>
      <c r="D713" s="33" t="s">
        <v>1909</v>
      </c>
      <c r="E713" s="34" t="s">
        <v>819</v>
      </c>
      <c r="F713" s="210">
        <v>3457425000</v>
      </c>
      <c r="G713" s="210">
        <v>0</v>
      </c>
      <c r="H713" s="210">
        <v>0</v>
      </c>
      <c r="I713" s="210">
        <v>3457425000</v>
      </c>
      <c r="J713" s="210">
        <v>0</v>
      </c>
      <c r="K713" s="210">
        <v>3457425000</v>
      </c>
      <c r="L713" s="210">
        <v>224637230</v>
      </c>
      <c r="M713" s="210">
        <v>1742028459</v>
      </c>
      <c r="N713" s="210">
        <v>224637230</v>
      </c>
      <c r="O713" s="210">
        <v>1711583149</v>
      </c>
      <c r="P713" s="242">
        <f t="shared" si="218"/>
        <v>0.50385140935812056</v>
      </c>
    </row>
    <row r="714" spans="1:16" s="8" customFormat="1">
      <c r="A714" s="107" t="s">
        <v>1210</v>
      </c>
      <c r="B714" s="149" t="s">
        <v>1862</v>
      </c>
      <c r="C714" s="18" t="s">
        <v>1211</v>
      </c>
      <c r="D714" s="30"/>
      <c r="E714" s="17" t="s">
        <v>1212</v>
      </c>
      <c r="F714" s="203">
        <f>+F715</f>
        <v>15866000</v>
      </c>
      <c r="G714" s="203">
        <f t="shared" ref="G714:O714" si="233">+G715</f>
        <v>0</v>
      </c>
      <c r="H714" s="203">
        <f t="shared" si="233"/>
        <v>0</v>
      </c>
      <c r="I714" s="203">
        <f t="shared" si="233"/>
        <v>15866000</v>
      </c>
      <c r="J714" s="203">
        <f t="shared" si="233"/>
        <v>0</v>
      </c>
      <c r="K714" s="203">
        <f t="shared" si="233"/>
        <v>15852319</v>
      </c>
      <c r="L714" s="203">
        <f t="shared" si="233"/>
        <v>228860</v>
      </c>
      <c r="M714" s="203">
        <f t="shared" si="233"/>
        <v>3967741</v>
      </c>
      <c r="N714" s="203">
        <f t="shared" si="233"/>
        <v>91580</v>
      </c>
      <c r="O714" s="203">
        <f t="shared" si="233"/>
        <v>3809321</v>
      </c>
      <c r="P714" s="237">
        <f t="shared" si="218"/>
        <v>0.25007821757216692</v>
      </c>
    </row>
    <row r="715" spans="1:16" s="7" customFormat="1">
      <c r="A715" s="108"/>
      <c r="B715" s="150"/>
      <c r="C715" s="70" t="s">
        <v>1211</v>
      </c>
      <c r="D715" s="33" t="s">
        <v>1909</v>
      </c>
      <c r="E715" s="34" t="s">
        <v>819</v>
      </c>
      <c r="F715" s="210">
        <v>15866000</v>
      </c>
      <c r="G715" s="210">
        <v>0</v>
      </c>
      <c r="H715" s="210">
        <v>0</v>
      </c>
      <c r="I715" s="210">
        <v>15866000</v>
      </c>
      <c r="J715" s="210">
        <v>0</v>
      </c>
      <c r="K715" s="210">
        <v>15852319</v>
      </c>
      <c r="L715" s="210">
        <v>228860</v>
      </c>
      <c r="M715" s="210">
        <v>3967741</v>
      </c>
      <c r="N715" s="210">
        <v>91580</v>
      </c>
      <c r="O715" s="210">
        <v>3809321</v>
      </c>
      <c r="P715" s="242">
        <f t="shared" si="218"/>
        <v>0.25007821757216692</v>
      </c>
    </row>
    <row r="716" spans="1:16" s="8" customFormat="1">
      <c r="A716" s="107" t="s">
        <v>1213</v>
      </c>
      <c r="B716" s="149" t="s">
        <v>1863</v>
      </c>
      <c r="C716" s="18" t="s">
        <v>1214</v>
      </c>
      <c r="D716" s="30"/>
      <c r="E716" s="17" t="s">
        <v>1215</v>
      </c>
      <c r="F716" s="203">
        <f>+F717</f>
        <v>361152000</v>
      </c>
      <c r="G716" s="203">
        <f t="shared" ref="G716:O716" si="234">+G717</f>
        <v>0</v>
      </c>
      <c r="H716" s="203">
        <f t="shared" si="234"/>
        <v>0</v>
      </c>
      <c r="I716" s="203">
        <f t="shared" si="234"/>
        <v>361152000</v>
      </c>
      <c r="J716" s="203">
        <f t="shared" si="234"/>
        <v>0</v>
      </c>
      <c r="K716" s="203">
        <f t="shared" si="234"/>
        <v>361152000</v>
      </c>
      <c r="L716" s="203">
        <f t="shared" si="234"/>
        <v>22657429</v>
      </c>
      <c r="M716" s="203">
        <f t="shared" si="234"/>
        <v>257784877</v>
      </c>
      <c r="N716" s="203">
        <f t="shared" si="234"/>
        <v>22657429</v>
      </c>
      <c r="O716" s="203">
        <f t="shared" si="234"/>
        <v>257784877</v>
      </c>
      <c r="P716" s="237">
        <f t="shared" si="218"/>
        <v>0.71378499080719471</v>
      </c>
    </row>
    <row r="717" spans="1:16" s="2" customFormat="1">
      <c r="A717" s="108"/>
      <c r="B717" s="150"/>
      <c r="C717" s="70" t="s">
        <v>1214</v>
      </c>
      <c r="D717" s="33" t="s">
        <v>1909</v>
      </c>
      <c r="E717" s="34" t="s">
        <v>819</v>
      </c>
      <c r="F717" s="210">
        <v>361152000</v>
      </c>
      <c r="G717" s="210">
        <v>0</v>
      </c>
      <c r="H717" s="210">
        <v>0</v>
      </c>
      <c r="I717" s="210">
        <v>361152000</v>
      </c>
      <c r="J717" s="210">
        <v>0</v>
      </c>
      <c r="K717" s="210">
        <v>361152000</v>
      </c>
      <c r="L717" s="210">
        <v>22657429</v>
      </c>
      <c r="M717" s="210">
        <v>257784877</v>
      </c>
      <c r="N717" s="210">
        <v>22657429</v>
      </c>
      <c r="O717" s="210">
        <v>257784877</v>
      </c>
      <c r="P717" s="242">
        <f t="shared" si="218"/>
        <v>0.71378499080719471</v>
      </c>
    </row>
    <row r="718" spans="1:16" s="5" customFormat="1">
      <c r="A718" s="136" t="s">
        <v>1216</v>
      </c>
      <c r="B718" s="125" t="s">
        <v>1864</v>
      </c>
      <c r="C718" s="126" t="s">
        <v>1217</v>
      </c>
      <c r="D718" s="29"/>
      <c r="E718" s="19" t="s">
        <v>1218</v>
      </c>
      <c r="F718" s="20">
        <f>+F719+F725+F730+F733</f>
        <v>1491265000</v>
      </c>
      <c r="G718" s="20">
        <f t="shared" ref="G718:O718" si="235">+G719+G725+G730+G733</f>
        <v>0</v>
      </c>
      <c r="H718" s="20">
        <f t="shared" si="235"/>
        <v>73693248</v>
      </c>
      <c r="I718" s="20">
        <f t="shared" si="235"/>
        <v>1564958248</v>
      </c>
      <c r="J718" s="20">
        <f t="shared" si="235"/>
        <v>-1239</v>
      </c>
      <c r="K718" s="20">
        <f t="shared" si="235"/>
        <v>405066983</v>
      </c>
      <c r="L718" s="20">
        <f t="shared" si="235"/>
        <v>141996797</v>
      </c>
      <c r="M718" s="20">
        <f t="shared" si="235"/>
        <v>225964341</v>
      </c>
      <c r="N718" s="20">
        <f t="shared" si="235"/>
        <v>0</v>
      </c>
      <c r="O718" s="20">
        <f t="shared" si="235"/>
        <v>53967544</v>
      </c>
      <c r="P718" s="243">
        <f t="shared" si="218"/>
        <v>0.14439001250594385</v>
      </c>
    </row>
    <row r="719" spans="1:16" s="8" customFormat="1">
      <c r="A719" s="134" t="s">
        <v>1219</v>
      </c>
      <c r="B719" s="123" t="s">
        <v>1531</v>
      </c>
      <c r="C719" s="124" t="s">
        <v>1220</v>
      </c>
      <c r="D719" s="67"/>
      <c r="E719" s="25" t="s">
        <v>1221</v>
      </c>
      <c r="F719" s="68">
        <f>+F720+F722</f>
        <v>326236000</v>
      </c>
      <c r="G719" s="68">
        <f t="shared" ref="G719:O719" si="236">+G720+G722</f>
        <v>0</v>
      </c>
      <c r="H719" s="68">
        <f t="shared" si="236"/>
        <v>53586544</v>
      </c>
      <c r="I719" s="68">
        <f t="shared" si="236"/>
        <v>379822544</v>
      </c>
      <c r="J719" s="68">
        <f t="shared" si="236"/>
        <v>0</v>
      </c>
      <c r="K719" s="68">
        <f t="shared" si="236"/>
        <v>131960482</v>
      </c>
      <c r="L719" s="68">
        <f t="shared" si="236"/>
        <v>0</v>
      </c>
      <c r="M719" s="68">
        <f t="shared" si="236"/>
        <v>53967544</v>
      </c>
      <c r="N719" s="68">
        <f t="shared" si="236"/>
        <v>0</v>
      </c>
      <c r="O719" s="68">
        <f t="shared" si="236"/>
        <v>53967544</v>
      </c>
      <c r="P719" s="229">
        <f t="shared" si="218"/>
        <v>0.14208620539385361</v>
      </c>
    </row>
    <row r="720" spans="1:16" s="8" customFormat="1">
      <c r="A720" s="107" t="s">
        <v>1222</v>
      </c>
      <c r="B720" s="149" t="s">
        <v>1537</v>
      </c>
      <c r="C720" s="18" t="s">
        <v>1223</v>
      </c>
      <c r="D720" s="30"/>
      <c r="E720" s="17" t="s">
        <v>1224</v>
      </c>
      <c r="F720" s="203">
        <f>+F721</f>
        <v>78291000</v>
      </c>
      <c r="G720" s="203">
        <f t="shared" ref="G720:O720" si="237">+G721</f>
        <v>0</v>
      </c>
      <c r="H720" s="203">
        <f t="shared" si="237"/>
        <v>0</v>
      </c>
      <c r="I720" s="203">
        <f t="shared" si="237"/>
        <v>78291000</v>
      </c>
      <c r="J720" s="203">
        <f t="shared" si="237"/>
        <v>0</v>
      </c>
      <c r="K720" s="203">
        <f t="shared" si="237"/>
        <v>77992938</v>
      </c>
      <c r="L720" s="203">
        <f t="shared" si="237"/>
        <v>0</v>
      </c>
      <c r="M720" s="203">
        <f t="shared" si="237"/>
        <v>0</v>
      </c>
      <c r="N720" s="203">
        <f t="shared" si="237"/>
        <v>0</v>
      </c>
      <c r="O720" s="203">
        <f t="shared" si="237"/>
        <v>0</v>
      </c>
      <c r="P720" s="237">
        <f t="shared" si="218"/>
        <v>0</v>
      </c>
    </row>
    <row r="721" spans="1:16" s="5" customFormat="1">
      <c r="A721" s="108"/>
      <c r="B721" s="150"/>
      <c r="C721" s="70" t="s">
        <v>1223</v>
      </c>
      <c r="D721" s="33" t="s">
        <v>1909</v>
      </c>
      <c r="E721" s="34" t="s">
        <v>819</v>
      </c>
      <c r="F721" s="210">
        <v>78291000</v>
      </c>
      <c r="G721" s="210">
        <v>0</v>
      </c>
      <c r="H721" s="210">
        <v>0</v>
      </c>
      <c r="I721" s="210">
        <v>78291000</v>
      </c>
      <c r="J721" s="210">
        <v>0</v>
      </c>
      <c r="K721" s="210">
        <v>77992938</v>
      </c>
      <c r="L721" s="210">
        <v>0</v>
      </c>
      <c r="M721" s="210">
        <v>0</v>
      </c>
      <c r="N721" s="210">
        <v>0</v>
      </c>
      <c r="O721" s="210">
        <v>0</v>
      </c>
      <c r="P721" s="242">
        <f t="shared" ref="P721:P784" si="238">IFERROR((M721/I721),0)</f>
        <v>0</v>
      </c>
    </row>
    <row r="722" spans="1:16" s="8" customFormat="1">
      <c r="A722" s="107" t="s">
        <v>1225</v>
      </c>
      <c r="B722" s="149" t="s">
        <v>1865</v>
      </c>
      <c r="C722" s="18" t="s">
        <v>1226</v>
      </c>
      <c r="D722" s="30"/>
      <c r="E722" s="17" t="s">
        <v>1227</v>
      </c>
      <c r="F722" s="16">
        <f>SUM(F723:F724)</f>
        <v>247945000</v>
      </c>
      <c r="G722" s="203">
        <f t="shared" ref="G722:O722" si="239">SUM(G723:G724)</f>
        <v>0</v>
      </c>
      <c r="H722" s="203">
        <f t="shared" si="239"/>
        <v>53586544</v>
      </c>
      <c r="I722" s="203">
        <f t="shared" si="239"/>
        <v>301531544</v>
      </c>
      <c r="J722" s="203">
        <f t="shared" si="239"/>
        <v>0</v>
      </c>
      <c r="K722" s="203">
        <f t="shared" si="239"/>
        <v>53967544</v>
      </c>
      <c r="L722" s="203">
        <f t="shared" si="239"/>
        <v>0</v>
      </c>
      <c r="M722" s="203">
        <f t="shared" si="239"/>
        <v>53967544</v>
      </c>
      <c r="N722" s="203">
        <f t="shared" si="239"/>
        <v>0</v>
      </c>
      <c r="O722" s="203">
        <f t="shared" si="239"/>
        <v>53967544</v>
      </c>
      <c r="P722" s="237">
        <f t="shared" si="238"/>
        <v>0.17897810386299087</v>
      </c>
    </row>
    <row r="723" spans="1:16" s="8" customFormat="1">
      <c r="A723" s="108"/>
      <c r="B723" s="150"/>
      <c r="C723" s="70" t="s">
        <v>1226</v>
      </c>
      <c r="D723" s="33" t="s">
        <v>1909</v>
      </c>
      <c r="E723" s="34" t="s">
        <v>819</v>
      </c>
      <c r="F723" s="35">
        <v>3819000</v>
      </c>
      <c r="G723" s="210">
        <v>0</v>
      </c>
      <c r="H723" s="210">
        <v>-381000</v>
      </c>
      <c r="I723" s="210">
        <v>3438000</v>
      </c>
      <c r="J723" s="210">
        <v>0</v>
      </c>
      <c r="K723" s="210">
        <v>0</v>
      </c>
      <c r="L723" s="210">
        <v>0</v>
      </c>
      <c r="M723" s="210">
        <v>0</v>
      </c>
      <c r="N723" s="210">
        <v>0</v>
      </c>
      <c r="O723" s="210">
        <v>0</v>
      </c>
      <c r="P723" s="242">
        <f t="shared" si="238"/>
        <v>0</v>
      </c>
    </row>
    <row r="724" spans="1:16" s="5" customFormat="1">
      <c r="A724" s="108"/>
      <c r="B724" s="150"/>
      <c r="C724" s="70" t="s">
        <v>1226</v>
      </c>
      <c r="D724" s="33" t="s">
        <v>1944</v>
      </c>
      <c r="E724" s="34" t="s">
        <v>780</v>
      </c>
      <c r="F724" s="35">
        <v>244126000</v>
      </c>
      <c r="G724" s="210">
        <v>0</v>
      </c>
      <c r="H724" s="210">
        <v>53967544</v>
      </c>
      <c r="I724" s="210">
        <v>298093544</v>
      </c>
      <c r="J724" s="210">
        <v>0</v>
      </c>
      <c r="K724" s="210">
        <v>53967544</v>
      </c>
      <c r="L724" s="210">
        <v>0</v>
      </c>
      <c r="M724" s="210">
        <v>53967544</v>
      </c>
      <c r="N724" s="210">
        <v>0</v>
      </c>
      <c r="O724" s="210">
        <v>53967544</v>
      </c>
      <c r="P724" s="242">
        <f t="shared" si="238"/>
        <v>0.1810423106647355</v>
      </c>
    </row>
    <row r="725" spans="1:16" s="5" customFormat="1">
      <c r="A725" s="134" t="s">
        <v>1228</v>
      </c>
      <c r="B725" s="123" t="s">
        <v>1531</v>
      </c>
      <c r="C725" s="124" t="s">
        <v>1229</v>
      </c>
      <c r="D725" s="67"/>
      <c r="E725" s="25" t="s">
        <v>1230</v>
      </c>
      <c r="F725" s="68">
        <f>+F726</f>
        <v>548780000</v>
      </c>
      <c r="G725" s="68">
        <f t="shared" ref="G725:O725" si="240">+G726</f>
        <v>0</v>
      </c>
      <c r="H725" s="68">
        <f t="shared" si="240"/>
        <v>0</v>
      </c>
      <c r="I725" s="68">
        <f t="shared" si="240"/>
        <v>548780000</v>
      </c>
      <c r="J725" s="68">
        <f t="shared" si="240"/>
        <v>0</v>
      </c>
      <c r="K725" s="68">
        <f t="shared" si="240"/>
        <v>57489036</v>
      </c>
      <c r="L725" s="68">
        <f t="shared" si="240"/>
        <v>57489036</v>
      </c>
      <c r="M725" s="68">
        <f t="shared" si="240"/>
        <v>57489036</v>
      </c>
      <c r="N725" s="68">
        <f t="shared" si="240"/>
        <v>0</v>
      </c>
      <c r="O725" s="68">
        <f t="shared" si="240"/>
        <v>0</v>
      </c>
      <c r="P725" s="229">
        <f t="shared" si="238"/>
        <v>0.10475789205145961</v>
      </c>
    </row>
    <row r="726" spans="1:16" s="8" customFormat="1">
      <c r="A726" s="107" t="s">
        <v>1231</v>
      </c>
      <c r="B726" s="149" t="s">
        <v>1866</v>
      </c>
      <c r="C726" s="18" t="s">
        <v>1232</v>
      </c>
      <c r="D726" s="30"/>
      <c r="E726" s="17" t="s">
        <v>1230</v>
      </c>
      <c r="F726" s="203">
        <f>SUM(F727:F729)</f>
        <v>548780000</v>
      </c>
      <c r="G726" s="203">
        <f t="shared" ref="G726:O726" si="241">SUM(G727:G729)</f>
        <v>0</v>
      </c>
      <c r="H726" s="203">
        <f t="shared" si="241"/>
        <v>0</v>
      </c>
      <c r="I726" s="203">
        <f t="shared" si="241"/>
        <v>548780000</v>
      </c>
      <c r="J726" s="203">
        <f t="shared" si="241"/>
        <v>0</v>
      </c>
      <c r="K726" s="203">
        <f t="shared" si="241"/>
        <v>57489036</v>
      </c>
      <c r="L726" s="203">
        <f t="shared" si="241"/>
        <v>57489036</v>
      </c>
      <c r="M726" s="203">
        <f t="shared" si="241"/>
        <v>57489036</v>
      </c>
      <c r="N726" s="203">
        <f t="shared" si="241"/>
        <v>0</v>
      </c>
      <c r="O726" s="203">
        <f t="shared" si="241"/>
        <v>0</v>
      </c>
      <c r="P726" s="237">
        <f t="shared" si="238"/>
        <v>0.10475789205145961</v>
      </c>
    </row>
    <row r="727" spans="1:16" s="8" customFormat="1">
      <c r="A727" s="108"/>
      <c r="B727" s="150"/>
      <c r="C727" s="70" t="s">
        <v>1232</v>
      </c>
      <c r="D727" s="33" t="s">
        <v>1909</v>
      </c>
      <c r="E727" s="34" t="s">
        <v>819</v>
      </c>
      <c r="F727" s="35">
        <v>95472000</v>
      </c>
      <c r="G727" s="210">
        <v>0</v>
      </c>
      <c r="H727" s="210">
        <v>0</v>
      </c>
      <c r="I727" s="210">
        <v>95472000</v>
      </c>
      <c r="J727" s="210">
        <v>0</v>
      </c>
      <c r="K727" s="210">
        <v>0</v>
      </c>
      <c r="L727" s="210">
        <v>0</v>
      </c>
      <c r="M727" s="210">
        <v>0</v>
      </c>
      <c r="N727" s="210">
        <v>0</v>
      </c>
      <c r="O727" s="210">
        <v>0</v>
      </c>
      <c r="P727" s="242">
        <f t="shared" si="238"/>
        <v>0</v>
      </c>
    </row>
    <row r="728" spans="1:16" s="8" customFormat="1">
      <c r="A728" s="108"/>
      <c r="B728" s="150"/>
      <c r="C728" s="70" t="s">
        <v>1232</v>
      </c>
      <c r="D728" s="33" t="s">
        <v>1944</v>
      </c>
      <c r="E728" s="34" t="s">
        <v>780</v>
      </c>
      <c r="F728" s="35">
        <v>353850000</v>
      </c>
      <c r="G728" s="210">
        <v>0</v>
      </c>
      <c r="H728" s="210">
        <v>0</v>
      </c>
      <c r="I728" s="210">
        <v>353850000</v>
      </c>
      <c r="J728" s="210">
        <v>0</v>
      </c>
      <c r="K728" s="210">
        <v>0</v>
      </c>
      <c r="L728" s="210">
        <v>0</v>
      </c>
      <c r="M728" s="210">
        <v>0</v>
      </c>
      <c r="N728" s="210">
        <v>0</v>
      </c>
      <c r="O728" s="210">
        <v>0</v>
      </c>
      <c r="P728" s="242">
        <f t="shared" si="238"/>
        <v>0</v>
      </c>
    </row>
    <row r="729" spans="1:16" s="5" customFormat="1">
      <c r="A729" s="108"/>
      <c r="B729" s="150"/>
      <c r="C729" s="70" t="s">
        <v>1232</v>
      </c>
      <c r="D729" s="33" t="s">
        <v>1950</v>
      </c>
      <c r="E729" s="34" t="s">
        <v>1233</v>
      </c>
      <c r="F729" s="35">
        <v>99458000</v>
      </c>
      <c r="G729" s="210">
        <v>0</v>
      </c>
      <c r="H729" s="210">
        <v>0</v>
      </c>
      <c r="I729" s="210">
        <v>99458000</v>
      </c>
      <c r="J729" s="210">
        <v>0</v>
      </c>
      <c r="K729" s="210">
        <v>57489036</v>
      </c>
      <c r="L729" s="210">
        <v>57489036</v>
      </c>
      <c r="M729" s="210">
        <v>57489036</v>
      </c>
      <c r="N729" s="210">
        <v>0</v>
      </c>
      <c r="O729" s="210">
        <v>0</v>
      </c>
      <c r="P729" s="242">
        <f t="shared" si="238"/>
        <v>0.57802324599328359</v>
      </c>
    </row>
    <row r="730" spans="1:16" s="7" customFormat="1">
      <c r="A730" s="134" t="s">
        <v>1234</v>
      </c>
      <c r="B730" s="123" t="s">
        <v>1531</v>
      </c>
      <c r="C730" s="124" t="s">
        <v>1235</v>
      </c>
      <c r="D730" s="67"/>
      <c r="E730" s="25" t="s">
        <v>1236</v>
      </c>
      <c r="F730" s="68">
        <f>+F731</f>
        <v>81003000</v>
      </c>
      <c r="G730" s="68">
        <f t="shared" ref="G730:O731" si="242">+G731</f>
        <v>0</v>
      </c>
      <c r="H730" s="68">
        <f t="shared" si="242"/>
        <v>20106704</v>
      </c>
      <c r="I730" s="68">
        <f t="shared" si="242"/>
        <v>101109704</v>
      </c>
      <c r="J730" s="68">
        <f t="shared" si="242"/>
        <v>0</v>
      </c>
      <c r="K730" s="68">
        <f t="shared" si="242"/>
        <v>101109704</v>
      </c>
      <c r="L730" s="68">
        <f t="shared" si="242"/>
        <v>0</v>
      </c>
      <c r="M730" s="68">
        <f t="shared" si="242"/>
        <v>0</v>
      </c>
      <c r="N730" s="68">
        <f t="shared" si="242"/>
        <v>0</v>
      </c>
      <c r="O730" s="68">
        <f t="shared" si="242"/>
        <v>0</v>
      </c>
      <c r="P730" s="229">
        <f t="shared" si="238"/>
        <v>0</v>
      </c>
    </row>
    <row r="731" spans="1:16" s="8" customFormat="1">
      <c r="A731" s="107" t="s">
        <v>1237</v>
      </c>
      <c r="B731" s="149" t="s">
        <v>1867</v>
      </c>
      <c r="C731" s="18" t="s">
        <v>1238</v>
      </c>
      <c r="D731" s="30"/>
      <c r="E731" s="17" t="s">
        <v>1239</v>
      </c>
      <c r="F731" s="203">
        <f>+F732</f>
        <v>81003000</v>
      </c>
      <c r="G731" s="203">
        <f t="shared" si="242"/>
        <v>0</v>
      </c>
      <c r="H731" s="203">
        <f t="shared" si="242"/>
        <v>20106704</v>
      </c>
      <c r="I731" s="203">
        <f t="shared" si="242"/>
        <v>101109704</v>
      </c>
      <c r="J731" s="203">
        <f t="shared" si="242"/>
        <v>0</v>
      </c>
      <c r="K731" s="203">
        <f t="shared" si="242"/>
        <v>101109704</v>
      </c>
      <c r="L731" s="203">
        <f t="shared" si="242"/>
        <v>0</v>
      </c>
      <c r="M731" s="203">
        <f t="shared" si="242"/>
        <v>0</v>
      </c>
      <c r="N731" s="203">
        <f t="shared" si="242"/>
        <v>0</v>
      </c>
      <c r="O731" s="203">
        <f t="shared" si="242"/>
        <v>0</v>
      </c>
      <c r="P731" s="237">
        <f t="shared" si="238"/>
        <v>0</v>
      </c>
    </row>
    <row r="732" spans="1:16" s="5" customFormat="1">
      <c r="A732" s="108"/>
      <c r="B732" s="150"/>
      <c r="C732" s="70" t="s">
        <v>1238</v>
      </c>
      <c r="D732" s="33" t="s">
        <v>1909</v>
      </c>
      <c r="E732" s="34" t="s">
        <v>819</v>
      </c>
      <c r="F732" s="35">
        <v>81003000</v>
      </c>
      <c r="G732" s="210">
        <v>0</v>
      </c>
      <c r="H732" s="210">
        <v>20106704</v>
      </c>
      <c r="I732" s="210">
        <v>101109704</v>
      </c>
      <c r="J732" s="210">
        <v>0</v>
      </c>
      <c r="K732" s="210">
        <v>101109704</v>
      </c>
      <c r="L732" s="210">
        <v>0</v>
      </c>
      <c r="M732" s="210">
        <v>0</v>
      </c>
      <c r="N732" s="210">
        <v>0</v>
      </c>
      <c r="O732" s="210">
        <v>0</v>
      </c>
      <c r="P732" s="242">
        <f t="shared" si="238"/>
        <v>0</v>
      </c>
    </row>
    <row r="733" spans="1:16" s="7" customFormat="1">
      <c r="A733" s="134" t="s">
        <v>1240</v>
      </c>
      <c r="B733" s="123" t="s">
        <v>1531</v>
      </c>
      <c r="C733" s="124" t="s">
        <v>1241</v>
      </c>
      <c r="D733" s="67"/>
      <c r="E733" s="25" t="s">
        <v>1242</v>
      </c>
      <c r="F733" s="68">
        <f>+F734+F736+F738+F739+F740+F742+F744+F746+F747+F749+F751</f>
        <v>535246000</v>
      </c>
      <c r="G733" s="68">
        <f t="shared" ref="G733:O733" si="243">+G734+G736+G738+G739+G740+G742+G744+G746+G747+G749+G751</f>
        <v>0</v>
      </c>
      <c r="H733" s="68">
        <f t="shared" si="243"/>
        <v>0</v>
      </c>
      <c r="I733" s="68">
        <f t="shared" si="243"/>
        <v>535246000</v>
      </c>
      <c r="J733" s="68">
        <f t="shared" si="243"/>
        <v>-1239</v>
      </c>
      <c r="K733" s="68">
        <f t="shared" si="243"/>
        <v>114507761</v>
      </c>
      <c r="L733" s="68">
        <f t="shared" si="243"/>
        <v>84507761</v>
      </c>
      <c r="M733" s="68">
        <f t="shared" si="243"/>
        <v>114507761</v>
      </c>
      <c r="N733" s="68">
        <f t="shared" si="243"/>
        <v>0</v>
      </c>
      <c r="O733" s="68">
        <f t="shared" si="243"/>
        <v>0</v>
      </c>
      <c r="P733" s="229">
        <f t="shared" si="238"/>
        <v>0.21393482809773451</v>
      </c>
    </row>
    <row r="734" spans="1:16" s="8" customFormat="1">
      <c r="A734" s="107" t="s">
        <v>1243</v>
      </c>
      <c r="B734" s="149" t="s">
        <v>1531</v>
      </c>
      <c r="C734" s="18" t="s">
        <v>1244</v>
      </c>
      <c r="D734" s="30"/>
      <c r="E734" s="219" t="s">
        <v>1245</v>
      </c>
      <c r="F734" s="16">
        <f>+F735</f>
        <v>0</v>
      </c>
      <c r="G734" s="203">
        <f t="shared" ref="G734:O734" si="244">+G735</f>
        <v>0</v>
      </c>
      <c r="H734" s="203">
        <f t="shared" si="244"/>
        <v>0</v>
      </c>
      <c r="I734" s="203">
        <f t="shared" si="244"/>
        <v>0</v>
      </c>
      <c r="J734" s="203">
        <f t="shared" si="244"/>
        <v>0</v>
      </c>
      <c r="K734" s="203">
        <f t="shared" si="244"/>
        <v>0</v>
      </c>
      <c r="L734" s="203">
        <f t="shared" si="244"/>
        <v>0</v>
      </c>
      <c r="M734" s="203">
        <f t="shared" si="244"/>
        <v>0</v>
      </c>
      <c r="N734" s="203">
        <f t="shared" si="244"/>
        <v>0</v>
      </c>
      <c r="O734" s="203">
        <f t="shared" si="244"/>
        <v>0</v>
      </c>
      <c r="P734" s="237">
        <f t="shared" si="238"/>
        <v>0</v>
      </c>
    </row>
    <row r="735" spans="1:16" s="8" customFormat="1">
      <c r="A735" s="108"/>
      <c r="B735" s="150"/>
      <c r="C735" s="70" t="s">
        <v>1244</v>
      </c>
      <c r="D735" s="33" t="s">
        <v>1909</v>
      </c>
      <c r="E735" s="34" t="s">
        <v>819</v>
      </c>
      <c r="F735" s="35"/>
      <c r="G735" s="210">
        <v>0</v>
      </c>
      <c r="H735" s="210">
        <v>0</v>
      </c>
      <c r="I735" s="210">
        <v>0</v>
      </c>
      <c r="J735" s="210">
        <v>0</v>
      </c>
      <c r="K735" s="210">
        <v>0</v>
      </c>
      <c r="L735" s="210">
        <v>0</v>
      </c>
      <c r="M735" s="210">
        <v>0</v>
      </c>
      <c r="N735" s="210">
        <v>0</v>
      </c>
      <c r="O735" s="210">
        <v>0</v>
      </c>
      <c r="P735" s="242">
        <f t="shared" si="238"/>
        <v>0</v>
      </c>
    </row>
    <row r="736" spans="1:16" s="8" customFormat="1">
      <c r="A736" s="107" t="s">
        <v>1246</v>
      </c>
      <c r="B736" s="149" t="s">
        <v>1868</v>
      </c>
      <c r="C736" s="18" t="s">
        <v>1247</v>
      </c>
      <c r="D736" s="30"/>
      <c r="E736" s="17" t="s">
        <v>1248</v>
      </c>
      <c r="F736" s="16">
        <f>+F737</f>
        <v>110509000</v>
      </c>
      <c r="G736" s="203">
        <f t="shared" ref="G736:O736" si="245">+G737</f>
        <v>0</v>
      </c>
      <c r="H736" s="203">
        <f t="shared" si="245"/>
        <v>0</v>
      </c>
      <c r="I736" s="203">
        <f t="shared" si="245"/>
        <v>110509000</v>
      </c>
      <c r="J736" s="203">
        <f t="shared" si="245"/>
        <v>0</v>
      </c>
      <c r="K736" s="203">
        <f t="shared" si="245"/>
        <v>0</v>
      </c>
      <c r="L736" s="203">
        <f t="shared" si="245"/>
        <v>0</v>
      </c>
      <c r="M736" s="203">
        <f t="shared" si="245"/>
        <v>0</v>
      </c>
      <c r="N736" s="203">
        <f t="shared" si="245"/>
        <v>0</v>
      </c>
      <c r="O736" s="203">
        <f t="shared" si="245"/>
        <v>0</v>
      </c>
      <c r="P736" s="237">
        <f t="shared" si="238"/>
        <v>0</v>
      </c>
    </row>
    <row r="737" spans="1:16" s="8" customFormat="1">
      <c r="A737" s="108"/>
      <c r="B737" s="150"/>
      <c r="C737" s="70" t="s">
        <v>1247</v>
      </c>
      <c r="D737" s="33" t="s">
        <v>1909</v>
      </c>
      <c r="E737" s="34" t="s">
        <v>819</v>
      </c>
      <c r="F737" s="35">
        <v>110509000</v>
      </c>
      <c r="G737" s="210">
        <v>0</v>
      </c>
      <c r="H737" s="210">
        <v>0</v>
      </c>
      <c r="I737" s="210">
        <v>110509000</v>
      </c>
      <c r="J737" s="210">
        <v>0</v>
      </c>
      <c r="K737" s="210">
        <v>0</v>
      </c>
      <c r="L737" s="210">
        <v>0</v>
      </c>
      <c r="M737" s="210">
        <v>0</v>
      </c>
      <c r="N737" s="210">
        <v>0</v>
      </c>
      <c r="O737" s="210">
        <v>0</v>
      </c>
      <c r="P737" s="242">
        <f t="shared" si="238"/>
        <v>0</v>
      </c>
    </row>
    <row r="738" spans="1:16" s="8" customFormat="1">
      <c r="A738" s="107" t="s">
        <v>1249</v>
      </c>
      <c r="B738" s="149" t="s">
        <v>1531</v>
      </c>
      <c r="C738" s="18" t="s">
        <v>1250</v>
      </c>
      <c r="D738" s="30"/>
      <c r="E738" s="27" t="s">
        <v>1251</v>
      </c>
      <c r="F738" s="21">
        <v>0</v>
      </c>
      <c r="G738" s="214">
        <v>0</v>
      </c>
      <c r="H738" s="214">
        <v>0</v>
      </c>
      <c r="I738" s="214">
        <v>0</v>
      </c>
      <c r="J738" s="214">
        <v>0</v>
      </c>
      <c r="K738" s="214">
        <v>0</v>
      </c>
      <c r="L738" s="214">
        <v>0</v>
      </c>
      <c r="M738" s="214">
        <v>0</v>
      </c>
      <c r="N738" s="214">
        <v>0</v>
      </c>
      <c r="O738" s="214">
        <v>0</v>
      </c>
      <c r="P738" s="250">
        <f t="shared" si="238"/>
        <v>0</v>
      </c>
    </row>
    <row r="739" spans="1:16" s="8" customFormat="1">
      <c r="A739" s="107" t="s">
        <v>1252</v>
      </c>
      <c r="B739" s="149" t="s">
        <v>1531</v>
      </c>
      <c r="C739" s="18" t="s">
        <v>1253</v>
      </c>
      <c r="D739" s="30"/>
      <c r="E739" s="27" t="s">
        <v>1254</v>
      </c>
      <c r="F739" s="21">
        <v>0</v>
      </c>
      <c r="G739" s="214">
        <v>0</v>
      </c>
      <c r="H739" s="214">
        <v>0</v>
      </c>
      <c r="I739" s="214">
        <v>0</v>
      </c>
      <c r="J739" s="214">
        <v>0</v>
      </c>
      <c r="K739" s="214">
        <v>0</v>
      </c>
      <c r="L739" s="214">
        <v>0</v>
      </c>
      <c r="M739" s="214">
        <v>0</v>
      </c>
      <c r="N739" s="214">
        <v>0</v>
      </c>
      <c r="O739" s="214">
        <v>0</v>
      </c>
      <c r="P739" s="250">
        <f t="shared" si="238"/>
        <v>0</v>
      </c>
    </row>
    <row r="740" spans="1:16" s="8" customFormat="1">
      <c r="A740" s="107" t="s">
        <v>1255</v>
      </c>
      <c r="B740" s="149" t="s">
        <v>1869</v>
      </c>
      <c r="C740" s="18" t="s">
        <v>1256</v>
      </c>
      <c r="D740" s="30"/>
      <c r="E740" s="27" t="s">
        <v>1257</v>
      </c>
      <c r="F740" s="21">
        <f>SUM(F741:F741)</f>
        <v>35000000</v>
      </c>
      <c r="G740" s="214">
        <f t="shared" ref="G740:O740" si="246">SUM(G741:G741)</f>
        <v>0</v>
      </c>
      <c r="H740" s="214">
        <f t="shared" si="246"/>
        <v>0</v>
      </c>
      <c r="I740" s="214">
        <f t="shared" si="246"/>
        <v>35000000</v>
      </c>
      <c r="J740" s="214">
        <f t="shared" si="246"/>
        <v>0</v>
      </c>
      <c r="K740" s="214">
        <f t="shared" si="246"/>
        <v>0</v>
      </c>
      <c r="L740" s="214">
        <f t="shared" si="246"/>
        <v>0</v>
      </c>
      <c r="M740" s="214">
        <f t="shared" si="246"/>
        <v>0</v>
      </c>
      <c r="N740" s="214">
        <f t="shared" si="246"/>
        <v>0</v>
      </c>
      <c r="O740" s="214">
        <f t="shared" si="246"/>
        <v>0</v>
      </c>
      <c r="P740" s="250">
        <f t="shared" si="238"/>
        <v>0</v>
      </c>
    </row>
    <row r="741" spans="1:16" s="8" customFormat="1">
      <c r="A741" s="108"/>
      <c r="B741" s="150"/>
      <c r="C741" s="70" t="s">
        <v>1256</v>
      </c>
      <c r="D741" s="33" t="s">
        <v>1958</v>
      </c>
      <c r="E741" s="34" t="s">
        <v>997</v>
      </c>
      <c r="F741" s="35">
        <v>35000000</v>
      </c>
      <c r="G741" s="210">
        <v>0</v>
      </c>
      <c r="H741" s="210">
        <v>0</v>
      </c>
      <c r="I741" s="210">
        <v>35000000</v>
      </c>
      <c r="J741" s="210">
        <v>0</v>
      </c>
      <c r="K741" s="210">
        <v>0</v>
      </c>
      <c r="L741" s="210">
        <v>0</v>
      </c>
      <c r="M741" s="210">
        <v>0</v>
      </c>
      <c r="N741" s="210">
        <v>0</v>
      </c>
      <c r="O741" s="210">
        <v>0</v>
      </c>
      <c r="P741" s="251">
        <f t="shared" si="238"/>
        <v>0</v>
      </c>
    </row>
    <row r="742" spans="1:16" s="8" customFormat="1">
      <c r="A742" s="107" t="s">
        <v>1258</v>
      </c>
      <c r="B742" s="149" t="s">
        <v>1870</v>
      </c>
      <c r="C742" s="18" t="s">
        <v>1259</v>
      </c>
      <c r="D742" s="30"/>
      <c r="E742" s="27" t="s">
        <v>1260</v>
      </c>
      <c r="F742" s="21">
        <f>+F743</f>
        <v>50000000</v>
      </c>
      <c r="G742" s="214">
        <f t="shared" ref="G742:O742" si="247">+G743</f>
        <v>0</v>
      </c>
      <c r="H742" s="214">
        <f t="shared" si="247"/>
        <v>0</v>
      </c>
      <c r="I742" s="214">
        <f t="shared" si="247"/>
        <v>50000000</v>
      </c>
      <c r="J742" s="214">
        <f t="shared" si="247"/>
        <v>0</v>
      </c>
      <c r="K742" s="214">
        <f t="shared" si="247"/>
        <v>0</v>
      </c>
      <c r="L742" s="214">
        <f t="shared" si="247"/>
        <v>0</v>
      </c>
      <c r="M742" s="214">
        <f t="shared" si="247"/>
        <v>0</v>
      </c>
      <c r="N742" s="214">
        <f t="shared" si="247"/>
        <v>0</v>
      </c>
      <c r="O742" s="214">
        <f t="shared" si="247"/>
        <v>0</v>
      </c>
      <c r="P742" s="252">
        <f t="shared" si="238"/>
        <v>0</v>
      </c>
    </row>
    <row r="743" spans="1:16" s="8" customFormat="1">
      <c r="A743" s="108"/>
      <c r="B743" s="150"/>
      <c r="C743" s="70" t="s">
        <v>1259</v>
      </c>
      <c r="D743" s="33" t="s">
        <v>1943</v>
      </c>
      <c r="E743" s="34" t="s">
        <v>763</v>
      </c>
      <c r="F743" s="35">
        <v>50000000</v>
      </c>
      <c r="G743" s="210">
        <v>0</v>
      </c>
      <c r="H743" s="210">
        <v>0</v>
      </c>
      <c r="I743" s="210">
        <v>50000000</v>
      </c>
      <c r="J743" s="210">
        <v>0</v>
      </c>
      <c r="K743" s="210">
        <v>0</v>
      </c>
      <c r="L743" s="210">
        <v>0</v>
      </c>
      <c r="M743" s="210">
        <v>0</v>
      </c>
      <c r="N743" s="210">
        <v>0</v>
      </c>
      <c r="O743" s="210">
        <v>0</v>
      </c>
      <c r="P743" s="251">
        <f t="shared" si="238"/>
        <v>0</v>
      </c>
    </row>
    <row r="744" spans="1:16" s="8" customFormat="1">
      <c r="A744" s="107" t="s">
        <v>1261</v>
      </c>
      <c r="B744" s="149" t="s">
        <v>1871</v>
      </c>
      <c r="C744" s="18" t="s">
        <v>1262</v>
      </c>
      <c r="D744" s="30"/>
      <c r="E744" s="27" t="s">
        <v>1263</v>
      </c>
      <c r="F744" s="21">
        <f>+F745</f>
        <v>161447000</v>
      </c>
      <c r="G744" s="214">
        <f t="shared" ref="G744:O744" si="248">+G745</f>
        <v>0</v>
      </c>
      <c r="H744" s="214">
        <f t="shared" si="248"/>
        <v>0</v>
      </c>
      <c r="I744" s="214">
        <f t="shared" si="248"/>
        <v>161447000</v>
      </c>
      <c r="J744" s="214">
        <f t="shared" si="248"/>
        <v>0</v>
      </c>
      <c r="K744" s="214">
        <f t="shared" si="248"/>
        <v>30000000</v>
      </c>
      <c r="L744" s="214">
        <f t="shared" si="248"/>
        <v>0</v>
      </c>
      <c r="M744" s="214">
        <f t="shared" si="248"/>
        <v>30000000</v>
      </c>
      <c r="N744" s="214">
        <f t="shared" si="248"/>
        <v>0</v>
      </c>
      <c r="O744" s="214">
        <f t="shared" si="248"/>
        <v>0</v>
      </c>
      <c r="P744" s="252">
        <f t="shared" si="238"/>
        <v>0.18581949494261274</v>
      </c>
    </row>
    <row r="745" spans="1:16" s="8" customFormat="1">
      <c r="A745" s="108"/>
      <c r="B745" s="150"/>
      <c r="C745" s="70" t="s">
        <v>1262</v>
      </c>
      <c r="D745" s="33" t="s">
        <v>1909</v>
      </c>
      <c r="E745" s="34" t="s">
        <v>819</v>
      </c>
      <c r="F745" s="35">
        <v>161447000</v>
      </c>
      <c r="G745" s="210">
        <v>0</v>
      </c>
      <c r="H745" s="210">
        <v>0</v>
      </c>
      <c r="I745" s="210">
        <v>161447000</v>
      </c>
      <c r="J745" s="210">
        <v>0</v>
      </c>
      <c r="K745" s="210">
        <v>30000000</v>
      </c>
      <c r="L745" s="210">
        <v>0</v>
      </c>
      <c r="M745" s="210">
        <v>30000000</v>
      </c>
      <c r="N745" s="210">
        <v>0</v>
      </c>
      <c r="O745" s="210">
        <v>0</v>
      </c>
      <c r="P745" s="251">
        <f t="shared" si="238"/>
        <v>0.18581949494261274</v>
      </c>
    </row>
    <row r="746" spans="1:16" s="8" customFormat="1">
      <c r="A746" s="107" t="s">
        <v>1264</v>
      </c>
      <c r="B746" s="149" t="s">
        <v>1531</v>
      </c>
      <c r="C746" s="18" t="s">
        <v>1265</v>
      </c>
      <c r="D746" s="30"/>
      <c r="E746" s="27" t="s">
        <v>1266</v>
      </c>
      <c r="F746" s="21">
        <v>0</v>
      </c>
      <c r="G746" s="214">
        <v>0</v>
      </c>
      <c r="H746" s="214">
        <v>0</v>
      </c>
      <c r="I746" s="214">
        <v>0</v>
      </c>
      <c r="J746" s="214">
        <v>0</v>
      </c>
      <c r="K746" s="214">
        <v>0</v>
      </c>
      <c r="L746" s="214">
        <v>0</v>
      </c>
      <c r="M746" s="214">
        <v>0</v>
      </c>
      <c r="N746" s="214">
        <v>0</v>
      </c>
      <c r="O746" s="214">
        <v>0</v>
      </c>
      <c r="P746" s="252">
        <f t="shared" si="238"/>
        <v>0</v>
      </c>
    </row>
    <row r="747" spans="1:16" s="8" customFormat="1">
      <c r="A747" s="107" t="s">
        <v>1267</v>
      </c>
      <c r="B747" s="149" t="s">
        <v>1872</v>
      </c>
      <c r="C747" s="18" t="s">
        <v>1268</v>
      </c>
      <c r="D747" s="30"/>
      <c r="E747" s="27" t="s">
        <v>1269</v>
      </c>
      <c r="F747" s="21">
        <f>+F748</f>
        <v>68193000</v>
      </c>
      <c r="G747" s="214">
        <f t="shared" ref="G747:O747" si="249">+G748</f>
        <v>0</v>
      </c>
      <c r="H747" s="214">
        <f t="shared" si="249"/>
        <v>0</v>
      </c>
      <c r="I747" s="214">
        <f t="shared" si="249"/>
        <v>68193000</v>
      </c>
      <c r="J747" s="214">
        <f t="shared" si="249"/>
        <v>0</v>
      </c>
      <c r="K747" s="214">
        <f t="shared" si="249"/>
        <v>0</v>
      </c>
      <c r="L747" s="214">
        <f t="shared" si="249"/>
        <v>0</v>
      </c>
      <c r="M747" s="214">
        <f t="shared" si="249"/>
        <v>0</v>
      </c>
      <c r="N747" s="214">
        <f t="shared" si="249"/>
        <v>0</v>
      </c>
      <c r="O747" s="214">
        <f t="shared" si="249"/>
        <v>0</v>
      </c>
      <c r="P747" s="252">
        <f t="shared" si="238"/>
        <v>0</v>
      </c>
    </row>
    <row r="748" spans="1:16" s="8" customFormat="1">
      <c r="A748" s="108"/>
      <c r="B748" s="150"/>
      <c r="C748" s="70" t="s">
        <v>1268</v>
      </c>
      <c r="D748" s="33" t="s">
        <v>1945</v>
      </c>
      <c r="E748" s="34" t="s">
        <v>781</v>
      </c>
      <c r="F748" s="35">
        <v>68193000</v>
      </c>
      <c r="G748" s="210">
        <v>0</v>
      </c>
      <c r="H748" s="210">
        <v>0</v>
      </c>
      <c r="I748" s="210">
        <v>68193000</v>
      </c>
      <c r="J748" s="210">
        <v>0</v>
      </c>
      <c r="K748" s="210">
        <v>0</v>
      </c>
      <c r="L748" s="210">
        <v>0</v>
      </c>
      <c r="M748" s="210">
        <v>0</v>
      </c>
      <c r="N748" s="210">
        <v>0</v>
      </c>
      <c r="O748" s="210">
        <v>0</v>
      </c>
      <c r="P748" s="251">
        <f t="shared" si="238"/>
        <v>0</v>
      </c>
    </row>
    <row r="749" spans="1:16" s="8" customFormat="1">
      <c r="A749" s="107" t="s">
        <v>1270</v>
      </c>
      <c r="B749" s="149" t="s">
        <v>1536</v>
      </c>
      <c r="C749" s="18" t="s">
        <v>1271</v>
      </c>
      <c r="D749" s="30"/>
      <c r="E749" s="27" t="s">
        <v>1272</v>
      </c>
      <c r="F749" s="21">
        <f>+F750</f>
        <v>84509000</v>
      </c>
      <c r="G749" s="214">
        <f t="shared" ref="G749:O749" si="250">+G750</f>
        <v>0</v>
      </c>
      <c r="H749" s="214">
        <f t="shared" si="250"/>
        <v>0</v>
      </c>
      <c r="I749" s="214">
        <f t="shared" si="250"/>
        <v>84509000</v>
      </c>
      <c r="J749" s="214">
        <f t="shared" si="250"/>
        <v>-1239</v>
      </c>
      <c r="K749" s="214">
        <f t="shared" si="250"/>
        <v>84507761</v>
      </c>
      <c r="L749" s="214">
        <f t="shared" si="250"/>
        <v>84507761</v>
      </c>
      <c r="M749" s="214">
        <f t="shared" si="250"/>
        <v>84507761</v>
      </c>
      <c r="N749" s="214">
        <f t="shared" si="250"/>
        <v>0</v>
      </c>
      <c r="O749" s="214">
        <f t="shared" si="250"/>
        <v>0</v>
      </c>
      <c r="P749" s="252">
        <f t="shared" si="238"/>
        <v>0.99998533883965024</v>
      </c>
    </row>
    <row r="750" spans="1:16" s="8" customFormat="1">
      <c r="A750" s="108"/>
      <c r="B750" s="150"/>
      <c r="C750" s="70" t="s">
        <v>1271</v>
      </c>
      <c r="D750" s="33" t="s">
        <v>1909</v>
      </c>
      <c r="E750" s="34" t="s">
        <v>819</v>
      </c>
      <c r="F750" s="35">
        <v>84509000</v>
      </c>
      <c r="G750" s="210">
        <v>0</v>
      </c>
      <c r="H750" s="210">
        <v>0</v>
      </c>
      <c r="I750" s="210">
        <v>84509000</v>
      </c>
      <c r="J750" s="210">
        <v>-1239</v>
      </c>
      <c r="K750" s="210">
        <v>84507761</v>
      </c>
      <c r="L750" s="210">
        <v>84507761</v>
      </c>
      <c r="M750" s="210">
        <v>84507761</v>
      </c>
      <c r="N750" s="210">
        <v>0</v>
      </c>
      <c r="O750" s="210">
        <v>0</v>
      </c>
      <c r="P750" s="251">
        <f t="shared" si="238"/>
        <v>0.99998533883965024</v>
      </c>
    </row>
    <row r="751" spans="1:16" s="8" customFormat="1">
      <c r="A751" s="107" t="s">
        <v>1273</v>
      </c>
      <c r="B751" s="149" t="s">
        <v>1535</v>
      </c>
      <c r="C751" s="18" t="s">
        <v>1274</v>
      </c>
      <c r="D751" s="30"/>
      <c r="E751" s="27" t="s">
        <v>1275</v>
      </c>
      <c r="F751" s="21">
        <f>SUM(F752:F752)</f>
        <v>25588000</v>
      </c>
      <c r="G751" s="214">
        <f t="shared" ref="G751:O751" si="251">SUM(G752:G752)</f>
        <v>0</v>
      </c>
      <c r="H751" s="214">
        <f t="shared" si="251"/>
        <v>0</v>
      </c>
      <c r="I751" s="214">
        <f t="shared" si="251"/>
        <v>25588000</v>
      </c>
      <c r="J751" s="214">
        <f t="shared" si="251"/>
        <v>0</v>
      </c>
      <c r="K751" s="214">
        <f t="shared" si="251"/>
        <v>0</v>
      </c>
      <c r="L751" s="214">
        <f t="shared" si="251"/>
        <v>0</v>
      </c>
      <c r="M751" s="214">
        <f t="shared" si="251"/>
        <v>0</v>
      </c>
      <c r="N751" s="214">
        <f t="shared" si="251"/>
        <v>0</v>
      </c>
      <c r="O751" s="214">
        <f t="shared" si="251"/>
        <v>0</v>
      </c>
      <c r="P751" s="252">
        <f t="shared" si="238"/>
        <v>0</v>
      </c>
    </row>
    <row r="752" spans="1:16" s="2" customFormat="1">
      <c r="A752" s="108"/>
      <c r="B752" s="150"/>
      <c r="C752" s="70" t="s">
        <v>1274</v>
      </c>
      <c r="D752" s="33" t="s">
        <v>1950</v>
      </c>
      <c r="E752" s="34" t="s">
        <v>1233</v>
      </c>
      <c r="F752" s="35">
        <v>25588000</v>
      </c>
      <c r="G752" s="210">
        <v>0</v>
      </c>
      <c r="H752" s="210">
        <v>0</v>
      </c>
      <c r="I752" s="210">
        <v>25588000</v>
      </c>
      <c r="J752" s="210">
        <v>0</v>
      </c>
      <c r="K752" s="210">
        <v>0</v>
      </c>
      <c r="L752" s="210">
        <v>0</v>
      </c>
      <c r="M752" s="210">
        <v>0</v>
      </c>
      <c r="N752" s="210">
        <v>0</v>
      </c>
      <c r="O752" s="210">
        <v>0</v>
      </c>
      <c r="P752" s="251">
        <f t="shared" si="238"/>
        <v>0</v>
      </c>
    </row>
    <row r="753" spans="1:16" s="2" customFormat="1">
      <c r="A753" s="136" t="s">
        <v>1276</v>
      </c>
      <c r="B753" s="125" t="s">
        <v>1534</v>
      </c>
      <c r="C753" s="126" t="s">
        <v>1277</v>
      </c>
      <c r="D753" s="29"/>
      <c r="E753" s="19" t="s">
        <v>1278</v>
      </c>
      <c r="F753" s="20">
        <f>+F754</f>
        <v>712624000</v>
      </c>
      <c r="G753" s="20">
        <f t="shared" ref="G753:O754" si="252">+G754</f>
        <v>0</v>
      </c>
      <c r="H753" s="20">
        <f t="shared" si="252"/>
        <v>9238400</v>
      </c>
      <c r="I753" s="20">
        <f t="shared" si="252"/>
        <v>721862400</v>
      </c>
      <c r="J753" s="20">
        <f t="shared" si="252"/>
        <v>276272000</v>
      </c>
      <c r="K753" s="20">
        <f t="shared" si="252"/>
        <v>582885540</v>
      </c>
      <c r="L753" s="20">
        <f t="shared" si="252"/>
        <v>111008980</v>
      </c>
      <c r="M753" s="20">
        <f t="shared" si="252"/>
        <v>302537520</v>
      </c>
      <c r="N753" s="20">
        <f t="shared" si="252"/>
        <v>0</v>
      </c>
      <c r="O753" s="20">
        <f t="shared" si="252"/>
        <v>150170500</v>
      </c>
      <c r="P753" s="243">
        <f t="shared" si="238"/>
        <v>0.41910691012580792</v>
      </c>
    </row>
    <row r="754" spans="1:16" s="8" customFormat="1">
      <c r="A754" s="134" t="s">
        <v>1279</v>
      </c>
      <c r="B754" s="123" t="s">
        <v>1531</v>
      </c>
      <c r="C754" s="124" t="s">
        <v>1280</v>
      </c>
      <c r="D754" s="67"/>
      <c r="E754" s="25" t="s">
        <v>1281</v>
      </c>
      <c r="F754" s="68">
        <f>+F755</f>
        <v>712624000</v>
      </c>
      <c r="G754" s="68">
        <f t="shared" si="252"/>
        <v>0</v>
      </c>
      <c r="H754" s="68">
        <f t="shared" si="252"/>
        <v>9238400</v>
      </c>
      <c r="I754" s="68">
        <f t="shared" si="252"/>
        <v>721862400</v>
      </c>
      <c r="J754" s="68">
        <f t="shared" si="252"/>
        <v>276272000</v>
      </c>
      <c r="K754" s="68">
        <f t="shared" si="252"/>
        <v>582885540</v>
      </c>
      <c r="L754" s="68">
        <f t="shared" si="252"/>
        <v>111008980</v>
      </c>
      <c r="M754" s="68">
        <f t="shared" si="252"/>
        <v>302537520</v>
      </c>
      <c r="N754" s="68">
        <f t="shared" si="252"/>
        <v>0</v>
      </c>
      <c r="O754" s="68">
        <f t="shared" si="252"/>
        <v>150170500</v>
      </c>
      <c r="P754" s="229">
        <f t="shared" si="238"/>
        <v>0.41910691012580792</v>
      </c>
    </row>
    <row r="755" spans="1:16" s="2" customFormat="1">
      <c r="A755" s="174" t="s">
        <v>1282</v>
      </c>
      <c r="B755" s="157" t="s">
        <v>1531</v>
      </c>
      <c r="C755" s="158" t="s">
        <v>1283</v>
      </c>
      <c r="D755" s="41"/>
      <c r="E755" s="42" t="s">
        <v>1284</v>
      </c>
      <c r="F755" s="76">
        <f>+F756+F762</f>
        <v>712624000</v>
      </c>
      <c r="G755" s="76">
        <f t="shared" ref="G755:O755" si="253">+G756+G762</f>
        <v>0</v>
      </c>
      <c r="H755" s="76">
        <f t="shared" si="253"/>
        <v>9238400</v>
      </c>
      <c r="I755" s="76">
        <f t="shared" si="253"/>
        <v>721862400</v>
      </c>
      <c r="J755" s="76">
        <f t="shared" si="253"/>
        <v>276272000</v>
      </c>
      <c r="K755" s="76">
        <f t="shared" si="253"/>
        <v>582885540</v>
      </c>
      <c r="L755" s="76">
        <f t="shared" si="253"/>
        <v>111008980</v>
      </c>
      <c r="M755" s="76">
        <f t="shared" si="253"/>
        <v>302537520</v>
      </c>
      <c r="N755" s="76">
        <f t="shared" si="253"/>
        <v>0</v>
      </c>
      <c r="O755" s="76">
        <f t="shared" si="253"/>
        <v>150170500</v>
      </c>
      <c r="P755" s="247">
        <f t="shared" si="238"/>
        <v>0.41910691012580792</v>
      </c>
    </row>
    <row r="756" spans="1:16" s="8" customFormat="1">
      <c r="A756" s="110"/>
      <c r="B756" s="127" t="s">
        <v>1873</v>
      </c>
      <c r="C756" s="78" t="s">
        <v>1285</v>
      </c>
      <c r="D756" s="31"/>
      <c r="E756" s="28" t="s">
        <v>1286</v>
      </c>
      <c r="F756" s="214">
        <f>SUM(F757:F761)</f>
        <v>530962000</v>
      </c>
      <c r="G756" s="214">
        <f t="shared" ref="G756:O756" si="254">SUM(G757:G761)</f>
        <v>0</v>
      </c>
      <c r="H756" s="214">
        <f t="shared" si="254"/>
        <v>44360000</v>
      </c>
      <c r="I756" s="214">
        <f t="shared" si="254"/>
        <v>575322000</v>
      </c>
      <c r="J756" s="214">
        <f t="shared" si="254"/>
        <v>276272000</v>
      </c>
      <c r="K756" s="214">
        <f t="shared" si="254"/>
        <v>546988000</v>
      </c>
      <c r="L756" s="214">
        <f t="shared" si="254"/>
        <v>111008980</v>
      </c>
      <c r="M756" s="214">
        <f t="shared" si="254"/>
        <v>266639980</v>
      </c>
      <c r="N756" s="214">
        <f t="shared" si="254"/>
        <v>0</v>
      </c>
      <c r="O756" s="214">
        <f t="shared" si="254"/>
        <v>146838500</v>
      </c>
      <c r="P756" s="252">
        <f t="shared" si="238"/>
        <v>0.46346216553512642</v>
      </c>
    </row>
    <row r="757" spans="1:16" s="8" customFormat="1">
      <c r="A757" s="108"/>
      <c r="B757" s="150"/>
      <c r="C757" s="70" t="s">
        <v>1285</v>
      </c>
      <c r="D757" s="33" t="s">
        <v>1938</v>
      </c>
      <c r="E757" s="34" t="s">
        <v>1019</v>
      </c>
      <c r="F757" s="35">
        <v>28334000</v>
      </c>
      <c r="G757" s="210">
        <v>0</v>
      </c>
      <c r="H757" s="210">
        <v>0</v>
      </c>
      <c r="I757" s="210">
        <v>28334000</v>
      </c>
      <c r="J757" s="210">
        <v>0</v>
      </c>
      <c r="K757" s="210">
        <v>0</v>
      </c>
      <c r="L757" s="210">
        <v>0</v>
      </c>
      <c r="M757" s="210">
        <v>0</v>
      </c>
      <c r="N757" s="210">
        <v>0</v>
      </c>
      <c r="O757" s="210">
        <v>0</v>
      </c>
      <c r="P757" s="242">
        <f t="shared" si="238"/>
        <v>0</v>
      </c>
    </row>
    <row r="758" spans="1:16" s="8" customFormat="1">
      <c r="A758" s="108"/>
      <c r="B758" s="150"/>
      <c r="C758" s="70" t="s">
        <v>1285</v>
      </c>
      <c r="D758" s="33" t="s">
        <v>1945</v>
      </c>
      <c r="E758" s="34" t="s">
        <v>781</v>
      </c>
      <c r="F758" s="35">
        <v>170000000</v>
      </c>
      <c r="G758" s="210">
        <v>0</v>
      </c>
      <c r="H758" s="210">
        <v>69360000</v>
      </c>
      <c r="I758" s="210">
        <v>239360000</v>
      </c>
      <c r="J758" s="210">
        <v>0</v>
      </c>
      <c r="K758" s="210">
        <v>239360000</v>
      </c>
      <c r="L758" s="210">
        <v>79900000</v>
      </c>
      <c r="M758" s="210">
        <v>235531000</v>
      </c>
      <c r="N758" s="210">
        <v>0</v>
      </c>
      <c r="O758" s="210">
        <v>146838500</v>
      </c>
      <c r="P758" s="242">
        <f t="shared" si="238"/>
        <v>0.98400317513368984</v>
      </c>
    </row>
    <row r="759" spans="1:16" s="8" customFormat="1">
      <c r="A759" s="108"/>
      <c r="B759" s="150"/>
      <c r="C759" s="70" t="s">
        <v>1285</v>
      </c>
      <c r="D759" s="33" t="s">
        <v>1954</v>
      </c>
      <c r="E759" s="34" t="s">
        <v>1020</v>
      </c>
      <c r="F759" s="35">
        <v>25000000</v>
      </c>
      <c r="G759" s="210">
        <v>0</v>
      </c>
      <c r="H759" s="210">
        <v>-25000000</v>
      </c>
      <c r="I759" s="210">
        <v>0</v>
      </c>
      <c r="J759" s="210">
        <v>0</v>
      </c>
      <c r="K759" s="210">
        <v>0</v>
      </c>
      <c r="L759" s="210">
        <v>0</v>
      </c>
      <c r="M759" s="210">
        <v>0</v>
      </c>
      <c r="N759" s="210">
        <v>0</v>
      </c>
      <c r="O759" s="210">
        <v>0</v>
      </c>
      <c r="P759" s="242">
        <f t="shared" si="238"/>
        <v>0</v>
      </c>
    </row>
    <row r="760" spans="1:16" s="8" customFormat="1">
      <c r="A760" s="108"/>
      <c r="B760" s="150"/>
      <c r="C760" s="70" t="s">
        <v>1285</v>
      </c>
      <c r="D760" s="33" t="s">
        <v>1950</v>
      </c>
      <c r="E760" s="34" t="s">
        <v>1233</v>
      </c>
      <c r="F760" s="35">
        <v>31355999.999999996</v>
      </c>
      <c r="G760" s="210">
        <v>0</v>
      </c>
      <c r="H760" s="210">
        <v>0</v>
      </c>
      <c r="I760" s="210">
        <v>31355999.999999996</v>
      </c>
      <c r="J760" s="210">
        <v>0</v>
      </c>
      <c r="K760" s="210">
        <v>31356000</v>
      </c>
      <c r="L760" s="210">
        <v>31108980</v>
      </c>
      <c r="M760" s="210">
        <v>31108980</v>
      </c>
      <c r="N760" s="210">
        <v>0</v>
      </c>
      <c r="O760" s="210">
        <v>0</v>
      </c>
      <c r="P760" s="242">
        <f t="shared" si="238"/>
        <v>0.99212208189820139</v>
      </c>
    </row>
    <row r="761" spans="1:16" s="2" customFormat="1">
      <c r="A761" s="108"/>
      <c r="B761" s="150"/>
      <c r="C761" s="70" t="s">
        <v>1285</v>
      </c>
      <c r="D761" s="33" t="s">
        <v>1953</v>
      </c>
      <c r="E761" s="34" t="s">
        <v>1289</v>
      </c>
      <c r="F761" s="35">
        <v>276272000</v>
      </c>
      <c r="G761" s="210">
        <v>0</v>
      </c>
      <c r="H761" s="210">
        <v>0</v>
      </c>
      <c r="I761" s="210">
        <v>276272000</v>
      </c>
      <c r="J761" s="210">
        <v>276272000</v>
      </c>
      <c r="K761" s="210">
        <v>276272000</v>
      </c>
      <c r="L761" s="210">
        <v>0</v>
      </c>
      <c r="M761" s="210">
        <v>0</v>
      </c>
      <c r="N761" s="210">
        <v>0</v>
      </c>
      <c r="O761" s="210">
        <v>0</v>
      </c>
      <c r="P761" s="242">
        <f t="shared" si="238"/>
        <v>0</v>
      </c>
    </row>
    <row r="762" spans="1:16" s="8" customFormat="1">
      <c r="A762" s="110"/>
      <c r="B762" s="127" t="s">
        <v>1874</v>
      </c>
      <c r="C762" s="78" t="s">
        <v>1287</v>
      </c>
      <c r="D762" s="31"/>
      <c r="E762" s="28" t="s">
        <v>1288</v>
      </c>
      <c r="F762" s="214">
        <f>SUM(F763:F770)</f>
        <v>181662000</v>
      </c>
      <c r="G762" s="214">
        <f t="shared" ref="G762:O762" si="255">SUM(G763:G770)</f>
        <v>0</v>
      </c>
      <c r="H762" s="214">
        <f t="shared" si="255"/>
        <v>-35121600</v>
      </c>
      <c r="I762" s="214">
        <f t="shared" si="255"/>
        <v>146540400</v>
      </c>
      <c r="J762" s="214">
        <f t="shared" si="255"/>
        <v>0</v>
      </c>
      <c r="K762" s="214">
        <f t="shared" si="255"/>
        <v>35897540</v>
      </c>
      <c r="L762" s="214">
        <f t="shared" si="255"/>
        <v>0</v>
      </c>
      <c r="M762" s="214">
        <f t="shared" si="255"/>
        <v>35897540</v>
      </c>
      <c r="N762" s="214">
        <f t="shared" si="255"/>
        <v>0</v>
      </c>
      <c r="O762" s="214">
        <f t="shared" si="255"/>
        <v>3332000</v>
      </c>
      <c r="P762" s="250">
        <f t="shared" si="238"/>
        <v>0.24496684873249971</v>
      </c>
    </row>
    <row r="763" spans="1:16" s="8" customFormat="1">
      <c r="A763" s="108"/>
      <c r="B763" s="150"/>
      <c r="C763" s="70" t="s">
        <v>1287</v>
      </c>
      <c r="D763" s="33" t="s">
        <v>1943</v>
      </c>
      <c r="E763" s="34" t="s">
        <v>763</v>
      </c>
      <c r="F763" s="35">
        <v>38644000</v>
      </c>
      <c r="G763" s="210">
        <v>0</v>
      </c>
      <c r="H763" s="210">
        <v>0</v>
      </c>
      <c r="I763" s="210">
        <v>38644000</v>
      </c>
      <c r="J763" s="210">
        <v>0</v>
      </c>
      <c r="K763" s="210">
        <v>0</v>
      </c>
      <c r="L763" s="210">
        <v>0</v>
      </c>
      <c r="M763" s="210">
        <v>0</v>
      </c>
      <c r="N763" s="210">
        <v>0</v>
      </c>
      <c r="O763" s="210">
        <v>0</v>
      </c>
      <c r="P763" s="242">
        <f t="shared" si="238"/>
        <v>0</v>
      </c>
    </row>
    <row r="764" spans="1:16" s="8" customFormat="1">
      <c r="A764" s="108"/>
      <c r="B764" s="150"/>
      <c r="C764" s="70" t="s">
        <v>1287</v>
      </c>
      <c r="D764" s="33" t="s">
        <v>1936</v>
      </c>
      <c r="E764" s="34" t="s">
        <v>908</v>
      </c>
      <c r="F764" s="35">
        <v>38734000</v>
      </c>
      <c r="G764" s="210">
        <v>0</v>
      </c>
      <c r="H764" s="210">
        <v>-36734000</v>
      </c>
      <c r="I764" s="210">
        <v>2000000</v>
      </c>
      <c r="J764" s="210">
        <v>0</v>
      </c>
      <c r="K764" s="210">
        <v>0</v>
      </c>
      <c r="L764" s="210">
        <v>0</v>
      </c>
      <c r="M764" s="210">
        <v>0</v>
      </c>
      <c r="N764" s="210">
        <v>0</v>
      </c>
      <c r="O764" s="210">
        <v>0</v>
      </c>
      <c r="P764" s="242">
        <f t="shared" si="238"/>
        <v>0</v>
      </c>
    </row>
    <row r="765" spans="1:16" s="8" customFormat="1">
      <c r="A765" s="108"/>
      <c r="B765" s="150"/>
      <c r="C765" s="70" t="s">
        <v>1287</v>
      </c>
      <c r="D765" s="33" t="s">
        <v>1939</v>
      </c>
      <c r="E765" s="34" t="s">
        <v>911</v>
      </c>
      <c r="F765" s="35">
        <v>42244000</v>
      </c>
      <c r="G765" s="210">
        <v>0</v>
      </c>
      <c r="H765" s="210">
        <v>0</v>
      </c>
      <c r="I765" s="210">
        <v>42244000</v>
      </c>
      <c r="J765" s="210">
        <v>0</v>
      </c>
      <c r="K765" s="210">
        <v>32565540</v>
      </c>
      <c r="L765" s="210">
        <v>0</v>
      </c>
      <c r="M765" s="210">
        <v>32565540</v>
      </c>
      <c r="N765" s="210">
        <v>0</v>
      </c>
      <c r="O765" s="210">
        <v>0</v>
      </c>
      <c r="P765" s="242">
        <f t="shared" si="238"/>
        <v>0.77089148754852765</v>
      </c>
    </row>
    <row r="766" spans="1:16" s="8" customFormat="1">
      <c r="A766" s="108"/>
      <c r="B766" s="150"/>
      <c r="C766" s="70" t="s">
        <v>1287</v>
      </c>
      <c r="D766" s="33" t="s">
        <v>1940</v>
      </c>
      <c r="E766" s="34" t="s">
        <v>912</v>
      </c>
      <c r="F766" s="35">
        <v>25084000</v>
      </c>
      <c r="G766" s="210">
        <v>0</v>
      </c>
      <c r="H766" s="210">
        <v>0</v>
      </c>
      <c r="I766" s="210">
        <v>25084000</v>
      </c>
      <c r="J766" s="210">
        <v>0</v>
      </c>
      <c r="K766" s="210">
        <v>0</v>
      </c>
      <c r="L766" s="210">
        <v>0</v>
      </c>
      <c r="M766" s="210">
        <v>0</v>
      </c>
      <c r="N766" s="210">
        <v>0</v>
      </c>
      <c r="O766" s="210">
        <v>0</v>
      </c>
      <c r="P766" s="242">
        <f t="shared" si="238"/>
        <v>0</v>
      </c>
    </row>
    <row r="767" spans="1:16" s="8" customFormat="1">
      <c r="A767" s="108"/>
      <c r="B767" s="150"/>
      <c r="C767" s="70" t="s">
        <v>1287</v>
      </c>
      <c r="D767" s="33" t="s">
        <v>1956</v>
      </c>
      <c r="E767" s="34" t="s">
        <v>1463</v>
      </c>
      <c r="F767" s="35">
        <v>6956000</v>
      </c>
      <c r="G767" s="210">
        <v>0</v>
      </c>
      <c r="H767" s="210">
        <v>-1367000</v>
      </c>
      <c r="I767" s="210">
        <v>5589000</v>
      </c>
      <c r="J767" s="210">
        <v>0</v>
      </c>
      <c r="K767" s="210">
        <v>0</v>
      </c>
      <c r="L767" s="210">
        <v>0</v>
      </c>
      <c r="M767" s="210">
        <v>0</v>
      </c>
      <c r="N767" s="210">
        <v>0</v>
      </c>
      <c r="O767" s="210">
        <v>0</v>
      </c>
      <c r="P767" s="242">
        <f t="shared" si="238"/>
        <v>0</v>
      </c>
    </row>
    <row r="768" spans="1:16" s="8" customFormat="1">
      <c r="A768" s="108"/>
      <c r="B768" s="150"/>
      <c r="C768" s="70" t="s">
        <v>1287</v>
      </c>
      <c r="D768" s="33" t="s">
        <v>1952</v>
      </c>
      <c r="E768" s="34" t="s">
        <v>916</v>
      </c>
      <c r="F768" s="35">
        <v>10000000</v>
      </c>
      <c r="G768" s="210">
        <v>0</v>
      </c>
      <c r="H768" s="210">
        <v>0</v>
      </c>
      <c r="I768" s="210">
        <v>10000000</v>
      </c>
      <c r="J768" s="210">
        <v>0</v>
      </c>
      <c r="K768" s="210">
        <v>0</v>
      </c>
      <c r="L768" s="210">
        <v>0</v>
      </c>
      <c r="M768" s="210">
        <v>0</v>
      </c>
      <c r="N768" s="210">
        <v>0</v>
      </c>
      <c r="O768" s="210">
        <v>0</v>
      </c>
      <c r="P768" s="242">
        <f t="shared" si="238"/>
        <v>0</v>
      </c>
    </row>
    <row r="769" spans="1:16" s="8" customFormat="1">
      <c r="A769" s="108"/>
      <c r="B769" s="150"/>
      <c r="C769" s="70" t="s">
        <v>1287</v>
      </c>
      <c r="D769" s="33" t="s">
        <v>1913</v>
      </c>
      <c r="E769" s="34" t="s">
        <v>1094</v>
      </c>
      <c r="F769" s="35">
        <v>20000000</v>
      </c>
      <c r="G769" s="210">
        <v>0</v>
      </c>
      <c r="H769" s="210">
        <v>-20000000</v>
      </c>
      <c r="I769" s="210">
        <v>0</v>
      </c>
      <c r="J769" s="210">
        <v>0</v>
      </c>
      <c r="K769" s="210">
        <v>0</v>
      </c>
      <c r="L769" s="210">
        <v>0</v>
      </c>
      <c r="M769" s="210">
        <v>0</v>
      </c>
      <c r="N769" s="210">
        <v>0</v>
      </c>
      <c r="O769" s="210">
        <v>0</v>
      </c>
      <c r="P769" s="242">
        <f t="shared" si="238"/>
        <v>0</v>
      </c>
    </row>
    <row r="770" spans="1:16" s="6" customFormat="1">
      <c r="A770" s="108"/>
      <c r="B770" s="150"/>
      <c r="C770" s="70" t="s">
        <v>1287</v>
      </c>
      <c r="D770" s="33" t="s">
        <v>1957</v>
      </c>
      <c r="E770" s="34" t="s">
        <v>937</v>
      </c>
      <c r="F770" s="35"/>
      <c r="G770" s="210">
        <v>0</v>
      </c>
      <c r="H770" s="210">
        <v>22979400</v>
      </c>
      <c r="I770" s="210">
        <v>22979400</v>
      </c>
      <c r="J770" s="210">
        <v>0</v>
      </c>
      <c r="K770" s="210">
        <v>3332000</v>
      </c>
      <c r="L770" s="210">
        <v>0</v>
      </c>
      <c r="M770" s="210">
        <v>3332000</v>
      </c>
      <c r="N770" s="210">
        <v>0</v>
      </c>
      <c r="O770" s="210">
        <v>3332000</v>
      </c>
      <c r="P770" s="242">
        <f t="shared" si="238"/>
        <v>0.14499943427591669</v>
      </c>
    </row>
    <row r="771" spans="1:16" s="2" customFormat="1">
      <c r="A771" s="173" t="s">
        <v>1290</v>
      </c>
      <c r="B771" s="155" t="s">
        <v>1875</v>
      </c>
      <c r="C771" s="156" t="s">
        <v>1291</v>
      </c>
      <c r="D771" s="74"/>
      <c r="E771" s="40" t="s">
        <v>1292</v>
      </c>
      <c r="F771" s="75">
        <f>+F772+F776+F803+F807+F814</f>
        <v>4056134000</v>
      </c>
      <c r="G771" s="75">
        <f t="shared" ref="G771:O771" si="256">+G772+G776+G803+G807+G814</f>
        <v>105500000</v>
      </c>
      <c r="H771" s="75">
        <f t="shared" si="256"/>
        <v>5543914133</v>
      </c>
      <c r="I771" s="75">
        <f t="shared" si="256"/>
        <v>9600048133</v>
      </c>
      <c r="J771" s="75">
        <f t="shared" si="256"/>
        <v>534474978</v>
      </c>
      <c r="K771" s="75">
        <f t="shared" si="256"/>
        <v>4331070098</v>
      </c>
      <c r="L771" s="75">
        <f t="shared" si="256"/>
        <v>207687411</v>
      </c>
      <c r="M771" s="75">
        <f t="shared" si="256"/>
        <v>3304285302</v>
      </c>
      <c r="N771" s="75">
        <f t="shared" si="256"/>
        <v>100167001</v>
      </c>
      <c r="O771" s="75">
        <f t="shared" si="256"/>
        <v>3162192661</v>
      </c>
      <c r="P771" s="246">
        <f t="shared" si="238"/>
        <v>0.34419465988317038</v>
      </c>
    </row>
    <row r="772" spans="1:16" s="2" customFormat="1">
      <c r="A772" s="136" t="s">
        <v>1293</v>
      </c>
      <c r="B772" s="125"/>
      <c r="C772" s="126" t="s">
        <v>1294</v>
      </c>
      <c r="D772" s="29"/>
      <c r="E772" s="19" t="s">
        <v>1295</v>
      </c>
      <c r="F772" s="20">
        <f>+F773</f>
        <v>325401000</v>
      </c>
      <c r="G772" s="20">
        <f t="shared" ref="G772:O774" si="257">+G773</f>
        <v>0</v>
      </c>
      <c r="H772" s="20">
        <f t="shared" si="257"/>
        <v>0</v>
      </c>
      <c r="I772" s="20">
        <f t="shared" si="257"/>
        <v>325401000</v>
      </c>
      <c r="J772" s="20">
        <f t="shared" si="257"/>
        <v>0</v>
      </c>
      <c r="K772" s="20">
        <f t="shared" si="257"/>
        <v>325401000</v>
      </c>
      <c r="L772" s="20">
        <f t="shared" si="257"/>
        <v>17509050</v>
      </c>
      <c r="M772" s="20">
        <f t="shared" si="257"/>
        <v>203787720</v>
      </c>
      <c r="N772" s="20">
        <f t="shared" si="257"/>
        <v>17509050</v>
      </c>
      <c r="O772" s="20">
        <f t="shared" si="257"/>
        <v>203787720</v>
      </c>
      <c r="P772" s="243">
        <f t="shared" si="238"/>
        <v>0.62626642204541472</v>
      </c>
    </row>
    <row r="773" spans="1:16" s="7" customFormat="1">
      <c r="A773" s="134" t="s">
        <v>1296</v>
      </c>
      <c r="B773" s="123" t="s">
        <v>1531</v>
      </c>
      <c r="C773" s="124" t="s">
        <v>1297</v>
      </c>
      <c r="D773" s="67"/>
      <c r="E773" s="25" t="s">
        <v>1298</v>
      </c>
      <c r="F773" s="68">
        <f>+F774</f>
        <v>325401000</v>
      </c>
      <c r="G773" s="68">
        <f t="shared" si="257"/>
        <v>0</v>
      </c>
      <c r="H773" s="68">
        <f t="shared" si="257"/>
        <v>0</v>
      </c>
      <c r="I773" s="68">
        <f t="shared" si="257"/>
        <v>325401000</v>
      </c>
      <c r="J773" s="68">
        <f t="shared" si="257"/>
        <v>0</v>
      </c>
      <c r="K773" s="68">
        <f t="shared" si="257"/>
        <v>325401000</v>
      </c>
      <c r="L773" s="68">
        <f t="shared" si="257"/>
        <v>17509050</v>
      </c>
      <c r="M773" s="68">
        <f t="shared" si="257"/>
        <v>203787720</v>
      </c>
      <c r="N773" s="68">
        <f t="shared" si="257"/>
        <v>17509050</v>
      </c>
      <c r="O773" s="68">
        <f t="shared" si="257"/>
        <v>203787720</v>
      </c>
      <c r="P773" s="229">
        <f t="shared" si="238"/>
        <v>0.62626642204541472</v>
      </c>
    </row>
    <row r="774" spans="1:16" s="8" customFormat="1">
      <c r="A774" s="110"/>
      <c r="B774" s="127" t="s">
        <v>2012</v>
      </c>
      <c r="C774" s="78" t="s">
        <v>1299</v>
      </c>
      <c r="D774" s="31"/>
      <c r="E774" s="28" t="s">
        <v>1300</v>
      </c>
      <c r="F774" s="214">
        <f>+F775</f>
        <v>325401000</v>
      </c>
      <c r="G774" s="214">
        <f t="shared" si="257"/>
        <v>0</v>
      </c>
      <c r="H774" s="214">
        <f t="shared" si="257"/>
        <v>0</v>
      </c>
      <c r="I774" s="214">
        <f t="shared" si="257"/>
        <v>325401000</v>
      </c>
      <c r="J774" s="214">
        <f t="shared" si="257"/>
        <v>0</v>
      </c>
      <c r="K774" s="214">
        <f t="shared" si="257"/>
        <v>325401000</v>
      </c>
      <c r="L774" s="214">
        <f t="shared" si="257"/>
        <v>17509050</v>
      </c>
      <c r="M774" s="214">
        <f t="shared" si="257"/>
        <v>203787720</v>
      </c>
      <c r="N774" s="214">
        <f t="shared" si="257"/>
        <v>17509050</v>
      </c>
      <c r="O774" s="214">
        <f t="shared" si="257"/>
        <v>203787720</v>
      </c>
      <c r="P774" s="250">
        <f t="shared" si="238"/>
        <v>0.62626642204541472</v>
      </c>
    </row>
    <row r="775" spans="1:16" s="2" customFormat="1">
      <c r="A775" s="108"/>
      <c r="B775" s="150"/>
      <c r="C775" s="70" t="s">
        <v>1299</v>
      </c>
      <c r="D775" s="33" t="s">
        <v>1986</v>
      </c>
      <c r="E775" s="34" t="s">
        <v>1301</v>
      </c>
      <c r="F775" s="35">
        <v>325401000</v>
      </c>
      <c r="G775" s="210">
        <v>0</v>
      </c>
      <c r="H775" s="210">
        <v>0</v>
      </c>
      <c r="I775" s="210">
        <v>325401000</v>
      </c>
      <c r="J775" s="210">
        <v>0</v>
      </c>
      <c r="K775" s="210">
        <v>325401000</v>
      </c>
      <c r="L775" s="210">
        <v>17509050</v>
      </c>
      <c r="M775" s="210">
        <v>203787720</v>
      </c>
      <c r="N775" s="210">
        <v>17509050</v>
      </c>
      <c r="O775" s="210">
        <v>203787720</v>
      </c>
      <c r="P775" s="242">
        <f t="shared" si="238"/>
        <v>0.62626642204541472</v>
      </c>
    </row>
    <row r="776" spans="1:16" s="2" customFormat="1">
      <c r="A776" s="136" t="s">
        <v>1302</v>
      </c>
      <c r="B776" s="125" t="s">
        <v>1533</v>
      </c>
      <c r="C776" s="126" t="s">
        <v>1303</v>
      </c>
      <c r="D776" s="29"/>
      <c r="E776" s="19" t="s">
        <v>1304</v>
      </c>
      <c r="F776" s="20">
        <f>+F777+F782</f>
        <v>3450410000</v>
      </c>
      <c r="G776" s="20">
        <f t="shared" ref="G776:O776" si="258">+G777+G782</f>
        <v>105500000</v>
      </c>
      <c r="H776" s="20">
        <f t="shared" si="258"/>
        <v>5054103193</v>
      </c>
      <c r="I776" s="20">
        <f t="shared" si="258"/>
        <v>8504513193</v>
      </c>
      <c r="J776" s="20">
        <f t="shared" si="258"/>
        <v>483222772</v>
      </c>
      <c r="K776" s="20">
        <f t="shared" si="258"/>
        <v>3315906251</v>
      </c>
      <c r="L776" s="20">
        <f t="shared" si="258"/>
        <v>140220410</v>
      </c>
      <c r="M776" s="20">
        <f t="shared" si="258"/>
        <v>2752270985</v>
      </c>
      <c r="N776" s="20">
        <f t="shared" si="258"/>
        <v>32700000</v>
      </c>
      <c r="O776" s="20">
        <f t="shared" si="258"/>
        <v>2621650575</v>
      </c>
      <c r="P776" s="243">
        <f t="shared" si="238"/>
        <v>0.32362475341508945</v>
      </c>
    </row>
    <row r="777" spans="1:16" s="7" customFormat="1">
      <c r="A777" s="134" t="s">
        <v>1305</v>
      </c>
      <c r="B777" s="123" t="s">
        <v>1531</v>
      </c>
      <c r="C777" s="124" t="s">
        <v>1306</v>
      </c>
      <c r="D777" s="67"/>
      <c r="E777" s="25" t="s">
        <v>1307</v>
      </c>
      <c r="F777" s="68">
        <f>+F778+F780</f>
        <v>414790000</v>
      </c>
      <c r="G777" s="68">
        <f t="shared" ref="G777:O777" si="259">+G778+G780</f>
        <v>105500000</v>
      </c>
      <c r="H777" s="68">
        <f t="shared" si="259"/>
        <v>105500000</v>
      </c>
      <c r="I777" s="68">
        <f t="shared" si="259"/>
        <v>520290000</v>
      </c>
      <c r="J777" s="68">
        <f t="shared" si="259"/>
        <v>0</v>
      </c>
      <c r="K777" s="68">
        <f t="shared" si="259"/>
        <v>0</v>
      </c>
      <c r="L777" s="68">
        <f t="shared" si="259"/>
        <v>0</v>
      </c>
      <c r="M777" s="68">
        <f t="shared" si="259"/>
        <v>0</v>
      </c>
      <c r="N777" s="68">
        <f t="shared" si="259"/>
        <v>0</v>
      </c>
      <c r="O777" s="68">
        <f t="shared" si="259"/>
        <v>0</v>
      </c>
      <c r="P777" s="229">
        <f t="shared" si="238"/>
        <v>0</v>
      </c>
    </row>
    <row r="778" spans="1:16" s="8" customFormat="1">
      <c r="A778" s="110"/>
      <c r="B778" s="127" t="s">
        <v>1876</v>
      </c>
      <c r="C778" s="78" t="s">
        <v>1308</v>
      </c>
      <c r="D778" s="31"/>
      <c r="E778" s="28" t="s">
        <v>1309</v>
      </c>
      <c r="F778" s="214">
        <f>+F779</f>
        <v>364790000</v>
      </c>
      <c r="G778" s="214">
        <v>0</v>
      </c>
      <c r="H778" s="214">
        <v>0</v>
      </c>
      <c r="I778" s="214">
        <v>364790000</v>
      </c>
      <c r="J778" s="214">
        <v>0</v>
      </c>
      <c r="K778" s="214">
        <v>0</v>
      </c>
      <c r="L778" s="214">
        <v>0</v>
      </c>
      <c r="M778" s="214">
        <v>0</v>
      </c>
      <c r="N778" s="214">
        <v>0</v>
      </c>
      <c r="O778" s="214">
        <v>0</v>
      </c>
      <c r="P778" s="250">
        <f t="shared" si="238"/>
        <v>0</v>
      </c>
    </row>
    <row r="779" spans="1:16" s="7" customFormat="1">
      <c r="A779" s="108"/>
      <c r="B779" s="150"/>
      <c r="C779" s="70" t="s">
        <v>1308</v>
      </c>
      <c r="D779" s="33" t="s">
        <v>1933</v>
      </c>
      <c r="E779" s="34" t="s">
        <v>279</v>
      </c>
      <c r="F779" s="35">
        <v>364790000</v>
      </c>
      <c r="G779" s="210">
        <v>105500000</v>
      </c>
      <c r="H779" s="210">
        <v>105500000</v>
      </c>
      <c r="I779" s="210">
        <v>155500000</v>
      </c>
      <c r="J779" s="210">
        <v>0</v>
      </c>
      <c r="K779" s="210">
        <v>0</v>
      </c>
      <c r="L779" s="210">
        <v>0</v>
      </c>
      <c r="M779" s="210">
        <v>0</v>
      </c>
      <c r="N779" s="210">
        <v>0</v>
      </c>
      <c r="O779" s="210">
        <v>0</v>
      </c>
      <c r="P779" s="242">
        <f t="shared" si="238"/>
        <v>0</v>
      </c>
    </row>
    <row r="780" spans="1:16" s="8" customFormat="1">
      <c r="A780" s="110"/>
      <c r="B780" s="127" t="s">
        <v>1532</v>
      </c>
      <c r="C780" s="78" t="s">
        <v>1310</v>
      </c>
      <c r="D780" s="31"/>
      <c r="E780" s="28" t="s">
        <v>1311</v>
      </c>
      <c r="F780" s="21">
        <f>+F781</f>
        <v>50000000</v>
      </c>
      <c r="G780" s="214">
        <f t="shared" ref="G780:O780" si="260">+G781</f>
        <v>105500000</v>
      </c>
      <c r="H780" s="214">
        <f t="shared" si="260"/>
        <v>105500000</v>
      </c>
      <c r="I780" s="214">
        <f t="shared" si="260"/>
        <v>155500000</v>
      </c>
      <c r="J780" s="214">
        <f t="shared" si="260"/>
        <v>0</v>
      </c>
      <c r="K780" s="214">
        <f t="shared" si="260"/>
        <v>0</v>
      </c>
      <c r="L780" s="214">
        <f t="shared" si="260"/>
        <v>0</v>
      </c>
      <c r="M780" s="214">
        <f t="shared" si="260"/>
        <v>0</v>
      </c>
      <c r="N780" s="214">
        <f t="shared" si="260"/>
        <v>0</v>
      </c>
      <c r="O780" s="214">
        <f t="shared" si="260"/>
        <v>0</v>
      </c>
      <c r="P780" s="250">
        <f t="shared" si="238"/>
        <v>0</v>
      </c>
    </row>
    <row r="781" spans="1:16" s="2" customFormat="1">
      <c r="A781" s="108"/>
      <c r="B781" s="150"/>
      <c r="C781" s="70" t="s">
        <v>1317</v>
      </c>
      <c r="D781" s="33" t="s">
        <v>1954</v>
      </c>
      <c r="E781" s="34" t="s">
        <v>1020</v>
      </c>
      <c r="F781" s="35">
        <v>50000000</v>
      </c>
      <c r="G781" s="210">
        <v>105500000</v>
      </c>
      <c r="H781" s="210">
        <v>105500000</v>
      </c>
      <c r="I781" s="210">
        <v>155500000</v>
      </c>
      <c r="J781" s="210">
        <v>0</v>
      </c>
      <c r="K781" s="210">
        <v>0</v>
      </c>
      <c r="L781" s="210">
        <v>0</v>
      </c>
      <c r="M781" s="210">
        <v>0</v>
      </c>
      <c r="N781" s="210">
        <v>0</v>
      </c>
      <c r="O781" s="210">
        <v>0</v>
      </c>
      <c r="P781" s="242">
        <f t="shared" si="238"/>
        <v>0</v>
      </c>
    </row>
    <row r="782" spans="1:16" s="7" customFormat="1">
      <c r="A782" s="134" t="s">
        <v>1312</v>
      </c>
      <c r="B782" s="123" t="s">
        <v>1531</v>
      </c>
      <c r="C782" s="124" t="s">
        <v>1313</v>
      </c>
      <c r="D782" s="67"/>
      <c r="E782" s="25" t="s">
        <v>1314</v>
      </c>
      <c r="F782" s="68">
        <f>+F783+F785+F787+F789+F791+F793+F795+F797+F798+F800+F802</f>
        <v>3035620000</v>
      </c>
      <c r="G782" s="68">
        <f t="shared" ref="G782:O782" si="261">+G783+G785+G787+G789+G791+G793+G795+G797+G798+G800+G802</f>
        <v>0</v>
      </c>
      <c r="H782" s="68">
        <f t="shared" si="261"/>
        <v>4948603193</v>
      </c>
      <c r="I782" s="68">
        <f t="shared" si="261"/>
        <v>7984223193</v>
      </c>
      <c r="J782" s="68">
        <f t="shared" si="261"/>
        <v>483222772</v>
      </c>
      <c r="K782" s="68">
        <f t="shared" si="261"/>
        <v>3315906251</v>
      </c>
      <c r="L782" s="68">
        <f t="shared" si="261"/>
        <v>140220410</v>
      </c>
      <c r="M782" s="68">
        <f t="shared" si="261"/>
        <v>2752270985</v>
      </c>
      <c r="N782" s="68">
        <f t="shared" si="261"/>
        <v>32700000</v>
      </c>
      <c r="O782" s="68">
        <f t="shared" si="261"/>
        <v>2621650575</v>
      </c>
      <c r="P782" s="229">
        <f t="shared" si="238"/>
        <v>0.34471368328142377</v>
      </c>
    </row>
    <row r="783" spans="1:16" s="8" customFormat="1">
      <c r="A783" s="110"/>
      <c r="B783" s="127" t="s">
        <v>1877</v>
      </c>
      <c r="C783" s="78" t="s">
        <v>1315</v>
      </c>
      <c r="D783" s="31"/>
      <c r="E783" s="28" t="s">
        <v>1316</v>
      </c>
      <c r="F783" s="21">
        <f>+F784</f>
        <v>1580000000</v>
      </c>
      <c r="G783" s="214">
        <f t="shared" ref="G783:O783" si="262">+G784</f>
        <v>0</v>
      </c>
      <c r="H783" s="214">
        <f t="shared" si="262"/>
        <v>80000000</v>
      </c>
      <c r="I783" s="214">
        <f t="shared" si="262"/>
        <v>1660000000</v>
      </c>
      <c r="J783" s="214">
        <f t="shared" si="262"/>
        <v>0</v>
      </c>
      <c r="K783" s="214">
        <f t="shared" si="262"/>
        <v>572247000</v>
      </c>
      <c r="L783" s="214">
        <f t="shared" si="262"/>
        <v>0</v>
      </c>
      <c r="M783" s="214">
        <f t="shared" si="262"/>
        <v>570823500</v>
      </c>
      <c r="N783" s="214">
        <f t="shared" si="262"/>
        <v>0</v>
      </c>
      <c r="O783" s="214">
        <f t="shared" si="262"/>
        <v>570823500</v>
      </c>
      <c r="P783" s="250">
        <f t="shared" si="238"/>
        <v>0.34386957831325299</v>
      </c>
    </row>
    <row r="784" spans="1:16" s="7" customFormat="1">
      <c r="A784" s="108"/>
      <c r="B784" s="150"/>
      <c r="C784" s="70" t="s">
        <v>1315</v>
      </c>
      <c r="D784" s="33" t="s">
        <v>1954</v>
      </c>
      <c r="E784" s="34" t="s">
        <v>1020</v>
      </c>
      <c r="F784" s="35">
        <v>1580000000</v>
      </c>
      <c r="G784" s="210">
        <v>0</v>
      </c>
      <c r="H784" s="210">
        <v>80000000</v>
      </c>
      <c r="I784" s="210">
        <v>1660000000</v>
      </c>
      <c r="J784" s="210">
        <v>0</v>
      </c>
      <c r="K784" s="210">
        <v>572247000</v>
      </c>
      <c r="L784" s="210">
        <v>0</v>
      </c>
      <c r="M784" s="210">
        <v>570823500</v>
      </c>
      <c r="N784" s="210">
        <v>0</v>
      </c>
      <c r="O784" s="210">
        <v>570823500</v>
      </c>
      <c r="P784" s="242">
        <f t="shared" si="238"/>
        <v>0.34386957831325299</v>
      </c>
    </row>
    <row r="785" spans="1:16" s="8" customFormat="1">
      <c r="A785" s="110"/>
      <c r="B785" s="127" t="s">
        <v>1878</v>
      </c>
      <c r="C785" s="78" t="s">
        <v>1317</v>
      </c>
      <c r="D785" s="31"/>
      <c r="E785" s="28" t="s">
        <v>1318</v>
      </c>
      <c r="F785" s="21">
        <f>+F786</f>
        <v>50000000</v>
      </c>
      <c r="G785" s="214">
        <f t="shared" ref="G785:O785" si="263">+G786</f>
        <v>0</v>
      </c>
      <c r="H785" s="214">
        <f t="shared" si="263"/>
        <v>0</v>
      </c>
      <c r="I785" s="214">
        <f t="shared" si="263"/>
        <v>50000000</v>
      </c>
      <c r="J785" s="214">
        <f t="shared" si="263"/>
        <v>0</v>
      </c>
      <c r="K785" s="214">
        <f t="shared" si="263"/>
        <v>0</v>
      </c>
      <c r="L785" s="214">
        <f t="shared" si="263"/>
        <v>0</v>
      </c>
      <c r="M785" s="214">
        <f t="shared" si="263"/>
        <v>0</v>
      </c>
      <c r="N785" s="214">
        <f t="shared" si="263"/>
        <v>0</v>
      </c>
      <c r="O785" s="214">
        <f t="shared" si="263"/>
        <v>0</v>
      </c>
      <c r="P785" s="250">
        <f t="shared" ref="P785:P848" si="264">IFERROR((M785/I785),0)</f>
        <v>0</v>
      </c>
    </row>
    <row r="786" spans="1:16" s="7" customFormat="1">
      <c r="A786" s="108"/>
      <c r="B786" s="150"/>
      <c r="C786" s="70" t="s">
        <v>1317</v>
      </c>
      <c r="D786" s="33" t="s">
        <v>1954</v>
      </c>
      <c r="E786" s="34" t="s">
        <v>1020</v>
      </c>
      <c r="F786" s="35">
        <v>50000000</v>
      </c>
      <c r="G786" s="210">
        <v>0</v>
      </c>
      <c r="H786" s="210">
        <v>0</v>
      </c>
      <c r="I786" s="210">
        <v>50000000</v>
      </c>
      <c r="J786" s="210">
        <v>0</v>
      </c>
      <c r="K786" s="210">
        <v>0</v>
      </c>
      <c r="L786" s="210">
        <v>0</v>
      </c>
      <c r="M786" s="210">
        <v>0</v>
      </c>
      <c r="N786" s="210">
        <v>0</v>
      </c>
      <c r="O786" s="210">
        <v>0</v>
      </c>
      <c r="P786" s="242">
        <f t="shared" si="264"/>
        <v>0</v>
      </c>
    </row>
    <row r="787" spans="1:16" s="8" customFormat="1">
      <c r="A787" s="110"/>
      <c r="B787" s="127" t="s">
        <v>1879</v>
      </c>
      <c r="C787" s="78" t="s">
        <v>1319</v>
      </c>
      <c r="D787" s="31"/>
      <c r="E787" s="28" t="s">
        <v>1320</v>
      </c>
      <c r="F787" s="21">
        <f>+F788</f>
        <v>251425000</v>
      </c>
      <c r="G787" s="214">
        <f t="shared" ref="G787:O787" si="265">+G788</f>
        <v>0</v>
      </c>
      <c r="H787" s="214">
        <f t="shared" si="265"/>
        <v>276568220</v>
      </c>
      <c r="I787" s="214">
        <f t="shared" si="265"/>
        <v>527993220</v>
      </c>
      <c r="J787" s="214">
        <f t="shared" si="265"/>
        <v>107351240</v>
      </c>
      <c r="K787" s="214">
        <f t="shared" si="265"/>
        <v>315450039</v>
      </c>
      <c r="L787" s="214">
        <f t="shared" si="265"/>
        <v>67564210</v>
      </c>
      <c r="M787" s="214">
        <f t="shared" si="265"/>
        <v>211349959</v>
      </c>
      <c r="N787" s="214">
        <f t="shared" si="265"/>
        <v>32700000</v>
      </c>
      <c r="O787" s="214">
        <f t="shared" si="265"/>
        <v>153385749</v>
      </c>
      <c r="P787" s="250">
        <f t="shared" si="264"/>
        <v>0.40028915333420378</v>
      </c>
    </row>
    <row r="788" spans="1:16" s="7" customFormat="1">
      <c r="A788" s="108"/>
      <c r="B788" s="150"/>
      <c r="C788" s="70" t="s">
        <v>1319</v>
      </c>
      <c r="D788" s="33" t="s">
        <v>1940</v>
      </c>
      <c r="E788" s="34" t="s">
        <v>912</v>
      </c>
      <c r="F788" s="35">
        <v>251425000</v>
      </c>
      <c r="G788" s="210">
        <v>0</v>
      </c>
      <c r="H788" s="210">
        <v>276568220</v>
      </c>
      <c r="I788" s="210">
        <v>527993220</v>
      </c>
      <c r="J788" s="210">
        <v>107351240</v>
      </c>
      <c r="K788" s="210">
        <v>315450039</v>
      </c>
      <c r="L788" s="210">
        <v>67564210</v>
      </c>
      <c r="M788" s="210">
        <v>211349959</v>
      </c>
      <c r="N788" s="210">
        <v>32700000</v>
      </c>
      <c r="O788" s="210">
        <v>153385749</v>
      </c>
      <c r="P788" s="242">
        <f t="shared" si="264"/>
        <v>0.40028915333420378</v>
      </c>
    </row>
    <row r="789" spans="1:16" s="8" customFormat="1">
      <c r="A789" s="110"/>
      <c r="B789" s="127" t="s">
        <v>1880</v>
      </c>
      <c r="C789" s="78" t="s">
        <v>1321</v>
      </c>
      <c r="D789" s="31"/>
      <c r="E789" s="28" t="s">
        <v>1322</v>
      </c>
      <c r="F789" s="21">
        <f>+F790</f>
        <v>412597000</v>
      </c>
      <c r="G789" s="214">
        <f t="shared" ref="G789:O789" si="266">+G790</f>
        <v>0</v>
      </c>
      <c r="H789" s="214">
        <f t="shared" si="266"/>
        <v>992603549</v>
      </c>
      <c r="I789" s="214">
        <f t="shared" si="266"/>
        <v>1405200549</v>
      </c>
      <c r="J789" s="214">
        <f t="shared" si="266"/>
        <v>79280200</v>
      </c>
      <c r="K789" s="214">
        <f t="shared" si="266"/>
        <v>435922185</v>
      </c>
      <c r="L789" s="214">
        <f t="shared" si="266"/>
        <v>72656200</v>
      </c>
      <c r="M789" s="214">
        <f t="shared" si="266"/>
        <v>429298185</v>
      </c>
      <c r="N789" s="214">
        <f t="shared" si="266"/>
        <v>0</v>
      </c>
      <c r="O789" s="214">
        <f t="shared" si="266"/>
        <v>356641985</v>
      </c>
      <c r="P789" s="250">
        <f t="shared" si="264"/>
        <v>0.30550670173414513</v>
      </c>
    </row>
    <row r="790" spans="1:16" s="7" customFormat="1">
      <c r="A790" s="108"/>
      <c r="B790" s="150"/>
      <c r="C790" s="70" t="s">
        <v>1321</v>
      </c>
      <c r="D790" s="33" t="s">
        <v>1937</v>
      </c>
      <c r="E790" s="34" t="s">
        <v>909</v>
      </c>
      <c r="F790" s="35">
        <v>412597000</v>
      </c>
      <c r="G790" s="210">
        <v>0</v>
      </c>
      <c r="H790" s="210">
        <v>992603549</v>
      </c>
      <c r="I790" s="210">
        <v>1405200549</v>
      </c>
      <c r="J790" s="210">
        <v>79280200</v>
      </c>
      <c r="K790" s="210">
        <v>435922185</v>
      </c>
      <c r="L790" s="210">
        <v>72656200</v>
      </c>
      <c r="M790" s="210">
        <v>429298185</v>
      </c>
      <c r="N790" s="210">
        <v>0</v>
      </c>
      <c r="O790" s="210">
        <v>356641985</v>
      </c>
      <c r="P790" s="242">
        <f t="shared" si="264"/>
        <v>0.30550670173414513</v>
      </c>
    </row>
    <row r="791" spans="1:16" s="8" customFormat="1">
      <c r="A791" s="110"/>
      <c r="B791" s="127" t="s">
        <v>1881</v>
      </c>
      <c r="C791" s="78" t="s">
        <v>1323</v>
      </c>
      <c r="D791" s="31"/>
      <c r="E791" s="28" t="s">
        <v>1324</v>
      </c>
      <c r="F791" s="21">
        <f>+F792</f>
        <v>339690000</v>
      </c>
      <c r="G791" s="214">
        <f t="shared" ref="G791:O791" si="267">+G792</f>
        <v>0</v>
      </c>
      <c r="H791" s="214">
        <f t="shared" si="267"/>
        <v>523659000</v>
      </c>
      <c r="I791" s="214">
        <f t="shared" si="267"/>
        <v>863349000</v>
      </c>
      <c r="J791" s="214">
        <f t="shared" si="267"/>
        <v>-3408668</v>
      </c>
      <c r="K791" s="214">
        <f t="shared" si="267"/>
        <v>413681524</v>
      </c>
      <c r="L791" s="214">
        <f t="shared" si="267"/>
        <v>0</v>
      </c>
      <c r="M791" s="214">
        <f t="shared" si="267"/>
        <v>413681524</v>
      </c>
      <c r="N791" s="214">
        <f t="shared" si="267"/>
        <v>0</v>
      </c>
      <c r="O791" s="214">
        <f t="shared" si="267"/>
        <v>413681524</v>
      </c>
      <c r="P791" s="250">
        <f t="shared" si="264"/>
        <v>0.47915909325197575</v>
      </c>
    </row>
    <row r="792" spans="1:16" s="7" customFormat="1">
      <c r="A792" s="108"/>
      <c r="B792" s="150"/>
      <c r="C792" s="70" t="s">
        <v>1323</v>
      </c>
      <c r="D792" s="33" t="s">
        <v>1936</v>
      </c>
      <c r="E792" s="34" t="s">
        <v>908</v>
      </c>
      <c r="F792" s="35">
        <v>339690000</v>
      </c>
      <c r="G792" s="210">
        <v>0</v>
      </c>
      <c r="H792" s="210">
        <v>523659000</v>
      </c>
      <c r="I792" s="210">
        <v>863349000</v>
      </c>
      <c r="J792" s="210">
        <v>-3408668</v>
      </c>
      <c r="K792" s="210">
        <v>413681524</v>
      </c>
      <c r="L792" s="210">
        <v>0</v>
      </c>
      <c r="M792" s="210">
        <v>413681524</v>
      </c>
      <c r="N792" s="210">
        <v>0</v>
      </c>
      <c r="O792" s="210">
        <v>413681524</v>
      </c>
      <c r="P792" s="242">
        <f t="shared" si="264"/>
        <v>0.47915909325197575</v>
      </c>
    </row>
    <row r="793" spans="1:16" s="8" customFormat="1">
      <c r="A793" s="110"/>
      <c r="B793" s="127" t="s">
        <v>1882</v>
      </c>
      <c r="C793" s="78" t="s">
        <v>1325</v>
      </c>
      <c r="D793" s="31"/>
      <c r="E793" s="28" t="s">
        <v>1326</v>
      </c>
      <c r="F793" s="21">
        <f>+F794</f>
        <v>139787000</v>
      </c>
      <c r="G793" s="214">
        <f t="shared" ref="G793:O793" si="268">+G794</f>
        <v>0</v>
      </c>
      <c r="H793" s="214">
        <f t="shared" si="268"/>
        <v>2152583114</v>
      </c>
      <c r="I793" s="214">
        <f t="shared" si="268"/>
        <v>2292370114</v>
      </c>
      <c r="J793" s="214">
        <f t="shared" si="268"/>
        <v>0</v>
      </c>
      <c r="K793" s="214">
        <f t="shared" si="268"/>
        <v>731131920</v>
      </c>
      <c r="L793" s="214">
        <f t="shared" si="268"/>
        <v>0</v>
      </c>
      <c r="M793" s="214">
        <f t="shared" si="268"/>
        <v>731131920</v>
      </c>
      <c r="N793" s="214">
        <f t="shared" si="268"/>
        <v>0</v>
      </c>
      <c r="O793" s="214">
        <f t="shared" si="268"/>
        <v>731131920</v>
      </c>
      <c r="P793" s="250">
        <f t="shared" si="264"/>
        <v>0.31894148136673883</v>
      </c>
    </row>
    <row r="794" spans="1:16" s="7" customFormat="1">
      <c r="A794" s="108"/>
      <c r="B794" s="150"/>
      <c r="C794" s="70" t="s">
        <v>1325</v>
      </c>
      <c r="D794" s="33" t="s">
        <v>1938</v>
      </c>
      <c r="E794" s="34" t="s">
        <v>1019</v>
      </c>
      <c r="F794" s="35">
        <v>139787000</v>
      </c>
      <c r="G794" s="210">
        <v>0</v>
      </c>
      <c r="H794" s="210">
        <v>2152583114</v>
      </c>
      <c r="I794" s="210">
        <v>2292370114</v>
      </c>
      <c r="J794" s="210">
        <v>0</v>
      </c>
      <c r="K794" s="210">
        <v>731131920</v>
      </c>
      <c r="L794" s="210">
        <v>0</v>
      </c>
      <c r="M794" s="210">
        <v>731131920</v>
      </c>
      <c r="N794" s="210">
        <v>0</v>
      </c>
      <c r="O794" s="210">
        <v>731131920</v>
      </c>
      <c r="P794" s="242">
        <f t="shared" si="264"/>
        <v>0.31894148136673883</v>
      </c>
    </row>
    <row r="795" spans="1:16" s="8" customFormat="1">
      <c r="A795" s="110"/>
      <c r="B795" s="127" t="s">
        <v>1883</v>
      </c>
      <c r="C795" s="78" t="s">
        <v>1327</v>
      </c>
      <c r="D795" s="31"/>
      <c r="E795" s="28" t="s">
        <v>1328</v>
      </c>
      <c r="F795" s="21">
        <f>+F796</f>
        <v>21506000</v>
      </c>
      <c r="G795" s="214">
        <v>0</v>
      </c>
      <c r="H795" s="214">
        <v>350837400</v>
      </c>
      <c r="I795" s="214">
        <v>372343400</v>
      </c>
      <c r="J795" s="214">
        <v>0</v>
      </c>
      <c r="K795" s="214">
        <v>141419798</v>
      </c>
      <c r="L795" s="214">
        <v>0</v>
      </c>
      <c r="M795" s="214">
        <v>141419798</v>
      </c>
      <c r="N795" s="214">
        <v>0</v>
      </c>
      <c r="O795" s="214">
        <v>141419798</v>
      </c>
      <c r="P795" s="250">
        <f t="shared" si="264"/>
        <v>0.37981013763101479</v>
      </c>
    </row>
    <row r="796" spans="1:16" s="7" customFormat="1">
      <c r="A796" s="108"/>
      <c r="B796" s="150"/>
      <c r="C796" s="70" t="s">
        <v>1327</v>
      </c>
      <c r="D796" s="33" t="s">
        <v>1939</v>
      </c>
      <c r="E796" s="34" t="s">
        <v>911</v>
      </c>
      <c r="F796" s="35">
        <v>21506000</v>
      </c>
      <c r="G796" s="210">
        <v>0</v>
      </c>
      <c r="H796" s="210">
        <v>350837400</v>
      </c>
      <c r="I796" s="210">
        <v>372343400</v>
      </c>
      <c r="J796" s="210">
        <v>0</v>
      </c>
      <c r="K796" s="210">
        <v>141419798</v>
      </c>
      <c r="L796" s="210">
        <v>0</v>
      </c>
      <c r="M796" s="210">
        <v>141419798</v>
      </c>
      <c r="N796" s="210">
        <v>0</v>
      </c>
      <c r="O796" s="210">
        <v>141419798</v>
      </c>
      <c r="P796" s="242">
        <f t="shared" si="264"/>
        <v>0.37981013763101479</v>
      </c>
    </row>
    <row r="797" spans="1:16" s="7" customFormat="1">
      <c r="A797" s="110"/>
      <c r="B797" s="127" t="s">
        <v>1994</v>
      </c>
      <c r="C797" s="78" t="s">
        <v>1995</v>
      </c>
      <c r="D797" s="31"/>
      <c r="E797" s="28" t="s">
        <v>1996</v>
      </c>
      <c r="F797" s="21">
        <v>0</v>
      </c>
      <c r="G797" s="214">
        <v>0</v>
      </c>
      <c r="H797" s="214">
        <v>0</v>
      </c>
      <c r="I797" s="214">
        <v>0</v>
      </c>
      <c r="J797" s="214">
        <v>0</v>
      </c>
      <c r="K797" s="214">
        <v>0</v>
      </c>
      <c r="L797" s="214">
        <v>0</v>
      </c>
      <c r="M797" s="214">
        <v>0</v>
      </c>
      <c r="N797" s="214">
        <v>0</v>
      </c>
      <c r="O797" s="214">
        <v>0</v>
      </c>
      <c r="P797" s="250">
        <f t="shared" si="264"/>
        <v>0</v>
      </c>
    </row>
    <row r="798" spans="1:16" s="8" customFormat="1">
      <c r="A798" s="110"/>
      <c r="B798" s="127" t="s">
        <v>1884</v>
      </c>
      <c r="C798" s="78" t="s">
        <v>1329</v>
      </c>
      <c r="D798" s="31"/>
      <c r="E798" s="28" t="s">
        <v>1330</v>
      </c>
      <c r="F798" s="21">
        <f>+F799</f>
        <v>240615000</v>
      </c>
      <c r="G798" s="214">
        <f t="shared" ref="G798:O798" si="269">+G799</f>
        <v>0</v>
      </c>
      <c r="H798" s="214">
        <f t="shared" si="269"/>
        <v>572351910</v>
      </c>
      <c r="I798" s="214">
        <f t="shared" si="269"/>
        <v>812966910</v>
      </c>
      <c r="J798" s="214">
        <f t="shared" si="269"/>
        <v>300000000</v>
      </c>
      <c r="K798" s="214">
        <f t="shared" si="269"/>
        <v>706053785</v>
      </c>
      <c r="L798" s="214">
        <f t="shared" si="269"/>
        <v>0</v>
      </c>
      <c r="M798" s="214">
        <f t="shared" si="269"/>
        <v>254566099</v>
      </c>
      <c r="N798" s="214">
        <f t="shared" si="269"/>
        <v>0</v>
      </c>
      <c r="O798" s="214">
        <f t="shared" si="269"/>
        <v>254566099</v>
      </c>
      <c r="P798" s="250">
        <f t="shared" si="264"/>
        <v>0.31313217779060648</v>
      </c>
    </row>
    <row r="799" spans="1:16" s="7" customFormat="1">
      <c r="A799" s="108"/>
      <c r="B799" s="150"/>
      <c r="C799" s="70" t="s">
        <v>1329</v>
      </c>
      <c r="D799" s="33" t="s">
        <v>1942</v>
      </c>
      <c r="E799" s="34" t="s">
        <v>913</v>
      </c>
      <c r="F799" s="35">
        <v>240615000</v>
      </c>
      <c r="G799" s="210">
        <v>0</v>
      </c>
      <c r="H799" s="210">
        <v>572351910</v>
      </c>
      <c r="I799" s="210">
        <v>812966910</v>
      </c>
      <c r="J799" s="210">
        <v>300000000</v>
      </c>
      <c r="K799" s="210">
        <v>706053785</v>
      </c>
      <c r="L799" s="210">
        <v>0</v>
      </c>
      <c r="M799" s="210">
        <v>254566099</v>
      </c>
      <c r="N799" s="210">
        <v>0</v>
      </c>
      <c r="O799" s="210">
        <v>254566099</v>
      </c>
      <c r="P799" s="242">
        <f t="shared" si="264"/>
        <v>0.31313217779060648</v>
      </c>
    </row>
    <row r="800" spans="1:16" s="8" customFormat="1">
      <c r="A800" s="110"/>
      <c r="B800" s="127"/>
      <c r="C800" s="78" t="s">
        <v>1331</v>
      </c>
      <c r="D800" s="31"/>
      <c r="E800" s="28" t="s">
        <v>1332</v>
      </c>
      <c r="F800" s="21">
        <f>+F801</f>
        <v>0</v>
      </c>
      <c r="G800" s="214">
        <f t="shared" ref="G800:O800" si="270">+G801</f>
        <v>0</v>
      </c>
      <c r="H800" s="214">
        <f t="shared" si="270"/>
        <v>0</v>
      </c>
      <c r="I800" s="214">
        <f t="shared" si="270"/>
        <v>0</v>
      </c>
      <c r="J800" s="214">
        <f t="shared" si="270"/>
        <v>0</v>
      </c>
      <c r="K800" s="214">
        <f t="shared" si="270"/>
        <v>0</v>
      </c>
      <c r="L800" s="214">
        <f t="shared" si="270"/>
        <v>0</v>
      </c>
      <c r="M800" s="214">
        <f t="shared" si="270"/>
        <v>0</v>
      </c>
      <c r="N800" s="214">
        <f t="shared" si="270"/>
        <v>0</v>
      </c>
      <c r="O800" s="214">
        <f t="shared" si="270"/>
        <v>0</v>
      </c>
      <c r="P800" s="250">
        <f t="shared" si="264"/>
        <v>0</v>
      </c>
    </row>
    <row r="801" spans="1:17" s="7" customFormat="1">
      <c r="A801" s="108"/>
      <c r="B801" s="150"/>
      <c r="C801" s="70" t="s">
        <v>1331</v>
      </c>
      <c r="D801" s="33" t="s">
        <v>1913</v>
      </c>
      <c r="E801" s="34" t="s">
        <v>1094</v>
      </c>
      <c r="F801" s="35"/>
      <c r="G801" s="210"/>
      <c r="H801" s="210"/>
      <c r="I801" s="210"/>
      <c r="J801" s="210"/>
      <c r="K801" s="210"/>
      <c r="L801" s="210"/>
      <c r="M801" s="210"/>
      <c r="N801" s="210"/>
      <c r="O801" s="210"/>
      <c r="P801" s="242">
        <f t="shared" si="264"/>
        <v>0</v>
      </c>
    </row>
    <row r="802" spans="1:17" s="2" customFormat="1">
      <c r="A802" s="110"/>
      <c r="B802" s="127" t="s">
        <v>1885</v>
      </c>
      <c r="C802" s="78" t="s">
        <v>1333</v>
      </c>
      <c r="D802" s="31"/>
      <c r="E802" s="28" t="s">
        <v>1334</v>
      </c>
      <c r="F802" s="214">
        <v>0</v>
      </c>
      <c r="G802" s="214">
        <v>0</v>
      </c>
      <c r="H802" s="214">
        <v>0</v>
      </c>
      <c r="I802" s="214">
        <v>0</v>
      </c>
      <c r="J802" s="214">
        <v>0</v>
      </c>
      <c r="K802" s="214">
        <v>0</v>
      </c>
      <c r="L802" s="214">
        <v>0</v>
      </c>
      <c r="M802" s="214">
        <v>0</v>
      </c>
      <c r="N802" s="214">
        <v>0</v>
      </c>
      <c r="O802" s="214">
        <v>0</v>
      </c>
      <c r="P802" s="250">
        <f t="shared" si="264"/>
        <v>0</v>
      </c>
    </row>
    <row r="803" spans="1:17" s="2" customFormat="1">
      <c r="A803" s="136" t="s">
        <v>1335</v>
      </c>
      <c r="B803" s="125" t="s">
        <v>1886</v>
      </c>
      <c r="C803" s="126" t="s">
        <v>1336</v>
      </c>
      <c r="D803" s="29"/>
      <c r="E803" s="19" t="s">
        <v>1337</v>
      </c>
      <c r="F803" s="20">
        <f>+F804</f>
        <v>150000000</v>
      </c>
      <c r="G803" s="20">
        <f t="shared" ref="G803:O805" si="271">+G804</f>
        <v>0</v>
      </c>
      <c r="H803" s="20">
        <f t="shared" si="271"/>
        <v>0</v>
      </c>
      <c r="I803" s="20">
        <f t="shared" si="271"/>
        <v>150000000</v>
      </c>
      <c r="J803" s="20">
        <f t="shared" si="271"/>
        <v>51252206</v>
      </c>
      <c r="K803" s="20">
        <f t="shared" si="271"/>
        <v>112628907</v>
      </c>
      <c r="L803" s="20">
        <f t="shared" si="271"/>
        <v>0</v>
      </c>
      <c r="M803" s="20">
        <f t="shared" si="271"/>
        <v>11376701</v>
      </c>
      <c r="N803" s="20">
        <f t="shared" si="271"/>
        <v>0</v>
      </c>
      <c r="O803" s="20">
        <f t="shared" si="271"/>
        <v>0</v>
      </c>
      <c r="P803" s="243">
        <f t="shared" si="264"/>
        <v>7.5844673333333334E-2</v>
      </c>
    </row>
    <row r="804" spans="1:17" s="7" customFormat="1">
      <c r="A804" s="134" t="s">
        <v>1338</v>
      </c>
      <c r="B804" s="123" t="s">
        <v>1531</v>
      </c>
      <c r="C804" s="124" t="s">
        <v>1339</v>
      </c>
      <c r="D804" s="67"/>
      <c r="E804" s="25" t="s">
        <v>1340</v>
      </c>
      <c r="F804" s="68">
        <f>+F805</f>
        <v>150000000</v>
      </c>
      <c r="G804" s="68">
        <f t="shared" si="271"/>
        <v>0</v>
      </c>
      <c r="H804" s="68">
        <f t="shared" si="271"/>
        <v>0</v>
      </c>
      <c r="I804" s="68">
        <f t="shared" si="271"/>
        <v>150000000</v>
      </c>
      <c r="J804" s="68">
        <f t="shared" si="271"/>
        <v>51252206</v>
      </c>
      <c r="K804" s="68">
        <f t="shared" si="271"/>
        <v>112628907</v>
      </c>
      <c r="L804" s="68">
        <f t="shared" si="271"/>
        <v>0</v>
      </c>
      <c r="M804" s="68">
        <f t="shared" si="271"/>
        <v>11376701</v>
      </c>
      <c r="N804" s="68">
        <f t="shared" si="271"/>
        <v>0</v>
      </c>
      <c r="O804" s="68">
        <f t="shared" si="271"/>
        <v>0</v>
      </c>
      <c r="P804" s="229">
        <f t="shared" si="264"/>
        <v>7.5844673333333334E-2</v>
      </c>
    </row>
    <row r="805" spans="1:17" s="8" customFormat="1">
      <c r="A805" s="110"/>
      <c r="B805" s="127" t="s">
        <v>1530</v>
      </c>
      <c r="C805" s="78" t="s">
        <v>1341</v>
      </c>
      <c r="D805" s="31"/>
      <c r="E805" s="28" t="s">
        <v>1342</v>
      </c>
      <c r="F805" s="214">
        <f>+F806</f>
        <v>150000000</v>
      </c>
      <c r="G805" s="214">
        <f t="shared" si="271"/>
        <v>0</v>
      </c>
      <c r="H805" s="214">
        <f t="shared" si="271"/>
        <v>0</v>
      </c>
      <c r="I805" s="214">
        <f t="shared" si="271"/>
        <v>150000000</v>
      </c>
      <c r="J805" s="214">
        <f t="shared" si="271"/>
        <v>51252206</v>
      </c>
      <c r="K805" s="214">
        <f t="shared" si="271"/>
        <v>112628907</v>
      </c>
      <c r="L805" s="214">
        <f t="shared" si="271"/>
        <v>0</v>
      </c>
      <c r="M805" s="214">
        <f t="shared" si="271"/>
        <v>11376701</v>
      </c>
      <c r="N805" s="214">
        <f t="shared" si="271"/>
        <v>0</v>
      </c>
      <c r="O805" s="214">
        <f t="shared" si="271"/>
        <v>0</v>
      </c>
      <c r="P805" s="250">
        <f t="shared" si="264"/>
        <v>7.5844673333333334E-2</v>
      </c>
    </row>
    <row r="806" spans="1:17" s="2" customFormat="1">
      <c r="A806" s="108"/>
      <c r="B806" s="150"/>
      <c r="C806" s="70" t="s">
        <v>1341</v>
      </c>
      <c r="D806" s="33" t="s">
        <v>1933</v>
      </c>
      <c r="E806" s="34" t="s">
        <v>279</v>
      </c>
      <c r="F806" s="35">
        <v>150000000</v>
      </c>
      <c r="G806" s="210">
        <v>0</v>
      </c>
      <c r="H806" s="210">
        <v>0</v>
      </c>
      <c r="I806" s="210">
        <v>150000000</v>
      </c>
      <c r="J806" s="210">
        <v>51252206</v>
      </c>
      <c r="K806" s="210">
        <v>112628907</v>
      </c>
      <c r="L806" s="210">
        <v>0</v>
      </c>
      <c r="M806" s="210">
        <v>11376701</v>
      </c>
      <c r="N806" s="210">
        <v>0</v>
      </c>
      <c r="O806" s="210">
        <v>0</v>
      </c>
      <c r="P806" s="242">
        <f t="shared" si="264"/>
        <v>7.5844673333333334E-2</v>
      </c>
      <c r="Q806" s="354"/>
    </row>
    <row r="807" spans="1:17" s="7" customFormat="1">
      <c r="A807" s="136" t="s">
        <v>1343</v>
      </c>
      <c r="B807" s="125" t="s">
        <v>1887</v>
      </c>
      <c r="C807" s="126" t="s">
        <v>1344</v>
      </c>
      <c r="D807" s="29"/>
      <c r="E807" s="19" t="s">
        <v>1345</v>
      </c>
      <c r="F807" s="20">
        <f>+F808+F810+F812</f>
        <v>126491000</v>
      </c>
      <c r="G807" s="20">
        <f t="shared" ref="G807:O807" si="272">+G808+G810+G812</f>
        <v>0</v>
      </c>
      <c r="H807" s="20">
        <f t="shared" si="272"/>
        <v>480642940</v>
      </c>
      <c r="I807" s="20">
        <f t="shared" si="272"/>
        <v>607133940</v>
      </c>
      <c r="J807" s="20">
        <f t="shared" si="272"/>
        <v>0</v>
      </c>
      <c r="K807" s="20">
        <f t="shared" si="272"/>
        <v>577133940</v>
      </c>
      <c r="L807" s="20">
        <f t="shared" si="272"/>
        <v>49957951</v>
      </c>
      <c r="M807" s="20">
        <f t="shared" si="272"/>
        <v>336849896</v>
      </c>
      <c r="N807" s="20">
        <f t="shared" si="272"/>
        <v>49957951</v>
      </c>
      <c r="O807" s="20">
        <f t="shared" si="272"/>
        <v>336754366</v>
      </c>
      <c r="P807" s="243">
        <f t="shared" si="264"/>
        <v>0.55481974208195317</v>
      </c>
      <c r="Q807" s="355"/>
    </row>
    <row r="808" spans="1:17" s="8" customFormat="1">
      <c r="A808" s="110" t="s">
        <v>1346</v>
      </c>
      <c r="B808" s="127" t="s">
        <v>1888</v>
      </c>
      <c r="C808" s="78" t="s">
        <v>1347</v>
      </c>
      <c r="D808" s="31"/>
      <c r="E808" s="28" t="s">
        <v>1348</v>
      </c>
      <c r="F808" s="21">
        <f>+F809</f>
        <v>36491000</v>
      </c>
      <c r="G808" s="214">
        <f t="shared" ref="G808:O808" si="273">+G809</f>
        <v>0</v>
      </c>
      <c r="H808" s="214">
        <f t="shared" si="273"/>
        <v>318588460</v>
      </c>
      <c r="I808" s="214">
        <f t="shared" si="273"/>
        <v>355079460</v>
      </c>
      <c r="J808" s="214">
        <f t="shared" si="273"/>
        <v>0</v>
      </c>
      <c r="K808" s="214">
        <f t="shared" si="273"/>
        <v>355079460</v>
      </c>
      <c r="L808" s="214">
        <f t="shared" si="273"/>
        <v>30166631</v>
      </c>
      <c r="M808" s="214">
        <f t="shared" si="273"/>
        <v>221533613</v>
      </c>
      <c r="N808" s="214">
        <f t="shared" si="273"/>
        <v>30166631</v>
      </c>
      <c r="O808" s="214">
        <f t="shared" si="273"/>
        <v>221533613</v>
      </c>
      <c r="P808" s="250">
        <f t="shared" si="264"/>
        <v>0.62389869861805014</v>
      </c>
      <c r="Q808" s="356"/>
    </row>
    <row r="809" spans="1:17" s="7" customFormat="1">
      <c r="A809" s="108"/>
      <c r="B809" s="150"/>
      <c r="C809" s="70" t="s">
        <v>1347</v>
      </c>
      <c r="D809" s="33" t="s">
        <v>1909</v>
      </c>
      <c r="E809" s="34" t="s">
        <v>819</v>
      </c>
      <c r="F809" s="35">
        <v>36491000</v>
      </c>
      <c r="G809" s="210">
        <v>0</v>
      </c>
      <c r="H809" s="210">
        <v>318588460</v>
      </c>
      <c r="I809" s="210">
        <v>355079460</v>
      </c>
      <c r="J809" s="210">
        <v>0</v>
      </c>
      <c r="K809" s="210">
        <v>355079460</v>
      </c>
      <c r="L809" s="210">
        <v>30166631</v>
      </c>
      <c r="M809" s="210">
        <v>221533613</v>
      </c>
      <c r="N809" s="210">
        <v>30166631</v>
      </c>
      <c r="O809" s="210">
        <v>221533613</v>
      </c>
      <c r="P809" s="242">
        <f t="shared" si="264"/>
        <v>0.62389869861805014</v>
      </c>
      <c r="Q809" s="355"/>
    </row>
    <row r="810" spans="1:17" s="8" customFormat="1">
      <c r="A810" s="110" t="s">
        <v>1349</v>
      </c>
      <c r="B810" s="127" t="s">
        <v>1889</v>
      </c>
      <c r="C810" s="78" t="s">
        <v>1350</v>
      </c>
      <c r="D810" s="31"/>
      <c r="E810" s="28" t="s">
        <v>1351</v>
      </c>
      <c r="F810" s="21">
        <f>SUM(F811:F811)</f>
        <v>30000000</v>
      </c>
      <c r="G810" s="214">
        <f t="shared" ref="G810:O810" si="274">SUM(G811:G811)</f>
        <v>0</v>
      </c>
      <c r="H810" s="214">
        <f t="shared" si="274"/>
        <v>0</v>
      </c>
      <c r="I810" s="214">
        <f t="shared" si="274"/>
        <v>30000000</v>
      </c>
      <c r="J810" s="214">
        <f t="shared" si="274"/>
        <v>0</v>
      </c>
      <c r="K810" s="214">
        <f t="shared" si="274"/>
        <v>0</v>
      </c>
      <c r="L810" s="214">
        <f t="shared" si="274"/>
        <v>0</v>
      </c>
      <c r="M810" s="214">
        <f t="shared" si="274"/>
        <v>0</v>
      </c>
      <c r="N810" s="214">
        <f t="shared" si="274"/>
        <v>0</v>
      </c>
      <c r="O810" s="214">
        <f t="shared" si="274"/>
        <v>0</v>
      </c>
      <c r="P810" s="250">
        <f t="shared" si="264"/>
        <v>0</v>
      </c>
    </row>
    <row r="811" spans="1:17" s="7" customFormat="1">
      <c r="A811" s="108"/>
      <c r="B811" s="150"/>
      <c r="C811" s="70" t="s">
        <v>1350</v>
      </c>
      <c r="D811" s="33" t="s">
        <v>1974</v>
      </c>
      <c r="E811" s="34" t="s">
        <v>1075</v>
      </c>
      <c r="F811" s="35">
        <v>30000000</v>
      </c>
      <c r="G811" s="210">
        <v>0</v>
      </c>
      <c r="H811" s="210">
        <v>0</v>
      </c>
      <c r="I811" s="210">
        <v>30000000</v>
      </c>
      <c r="J811" s="210">
        <v>0</v>
      </c>
      <c r="K811" s="210">
        <v>0</v>
      </c>
      <c r="L811" s="210">
        <v>0</v>
      </c>
      <c r="M811" s="210">
        <v>0</v>
      </c>
      <c r="N811" s="210">
        <v>0</v>
      </c>
      <c r="O811" s="210">
        <v>0</v>
      </c>
      <c r="P811" s="242">
        <f t="shared" si="264"/>
        <v>0</v>
      </c>
    </row>
    <row r="812" spans="1:17" s="8" customFormat="1">
      <c r="A812" s="110" t="s">
        <v>1352</v>
      </c>
      <c r="B812" s="127" t="s">
        <v>1890</v>
      </c>
      <c r="C812" s="78" t="s">
        <v>1353</v>
      </c>
      <c r="D812" s="31"/>
      <c r="E812" s="28" t="s">
        <v>1354</v>
      </c>
      <c r="F812" s="21">
        <f>+F813</f>
        <v>60000000</v>
      </c>
      <c r="G812" s="214">
        <v>0</v>
      </c>
      <c r="H812" s="214">
        <v>162054480</v>
      </c>
      <c r="I812" s="214">
        <v>222054480</v>
      </c>
      <c r="J812" s="214">
        <v>0</v>
      </c>
      <c r="K812" s="214">
        <v>222054480</v>
      </c>
      <c r="L812" s="214">
        <v>19791320</v>
      </c>
      <c r="M812" s="214">
        <v>115316283</v>
      </c>
      <c r="N812" s="214">
        <v>19791320</v>
      </c>
      <c r="O812" s="214">
        <v>115220753</v>
      </c>
      <c r="P812" s="250">
        <f t="shared" si="264"/>
        <v>0.51931527344100425</v>
      </c>
    </row>
    <row r="813" spans="1:17" s="2" customFormat="1">
      <c r="A813" s="108"/>
      <c r="B813" s="150"/>
      <c r="C813" s="70" t="s">
        <v>1353</v>
      </c>
      <c r="D813" s="33" t="s">
        <v>1909</v>
      </c>
      <c r="E813" s="34" t="s">
        <v>819</v>
      </c>
      <c r="F813" s="35">
        <v>60000000</v>
      </c>
      <c r="G813" s="210">
        <v>0</v>
      </c>
      <c r="H813" s="210">
        <v>162054480</v>
      </c>
      <c r="I813" s="210">
        <v>222054480</v>
      </c>
      <c r="J813" s="210">
        <v>0</v>
      </c>
      <c r="K813" s="210">
        <v>222054480</v>
      </c>
      <c r="L813" s="210">
        <v>19791320</v>
      </c>
      <c r="M813" s="210">
        <v>115316283</v>
      </c>
      <c r="N813" s="210">
        <v>19791320</v>
      </c>
      <c r="O813" s="210">
        <v>115220753</v>
      </c>
      <c r="P813" s="242">
        <f t="shared" si="264"/>
        <v>0.51931527344100425</v>
      </c>
    </row>
    <row r="814" spans="1:17" s="2" customFormat="1">
      <c r="A814" s="136" t="s">
        <v>1355</v>
      </c>
      <c r="B814" s="125" t="s">
        <v>1891</v>
      </c>
      <c r="C814" s="126" t="s">
        <v>1356</v>
      </c>
      <c r="D814" s="29"/>
      <c r="E814" s="19" t="s">
        <v>1357</v>
      </c>
      <c r="F814" s="20">
        <f>+F815</f>
        <v>3832000</v>
      </c>
      <c r="G814" s="20">
        <f t="shared" ref="G814:O815" si="275">+G815</f>
        <v>0</v>
      </c>
      <c r="H814" s="20">
        <f t="shared" si="275"/>
        <v>9168000</v>
      </c>
      <c r="I814" s="20">
        <f t="shared" si="275"/>
        <v>13000000</v>
      </c>
      <c r="J814" s="20">
        <f t="shared" si="275"/>
        <v>0</v>
      </c>
      <c r="K814" s="20">
        <f t="shared" si="275"/>
        <v>0</v>
      </c>
      <c r="L814" s="20">
        <f t="shared" si="275"/>
        <v>0</v>
      </c>
      <c r="M814" s="20">
        <f t="shared" si="275"/>
        <v>0</v>
      </c>
      <c r="N814" s="20">
        <f t="shared" si="275"/>
        <v>0</v>
      </c>
      <c r="O814" s="20">
        <f t="shared" si="275"/>
        <v>0</v>
      </c>
      <c r="P814" s="243">
        <f t="shared" si="264"/>
        <v>0</v>
      </c>
    </row>
    <row r="815" spans="1:17" s="2" customFormat="1">
      <c r="A815" s="134" t="s">
        <v>1358</v>
      </c>
      <c r="B815" s="123"/>
      <c r="C815" s="124" t="s">
        <v>1359</v>
      </c>
      <c r="D815" s="67"/>
      <c r="E815" s="25" t="s">
        <v>1360</v>
      </c>
      <c r="F815" s="68">
        <f>+F816</f>
        <v>3832000</v>
      </c>
      <c r="G815" s="68">
        <f t="shared" si="275"/>
        <v>0</v>
      </c>
      <c r="H815" s="68">
        <f t="shared" si="275"/>
        <v>9168000</v>
      </c>
      <c r="I815" s="68">
        <f t="shared" si="275"/>
        <v>13000000</v>
      </c>
      <c r="J815" s="68">
        <f t="shared" si="275"/>
        <v>0</v>
      </c>
      <c r="K815" s="68">
        <f t="shared" si="275"/>
        <v>0</v>
      </c>
      <c r="L815" s="68">
        <f t="shared" si="275"/>
        <v>0</v>
      </c>
      <c r="M815" s="68">
        <f t="shared" si="275"/>
        <v>0</v>
      </c>
      <c r="N815" s="68">
        <f t="shared" si="275"/>
        <v>0</v>
      </c>
      <c r="O815" s="68">
        <f t="shared" si="275"/>
        <v>0</v>
      </c>
      <c r="P815" s="229">
        <f t="shared" si="264"/>
        <v>0</v>
      </c>
    </row>
    <row r="816" spans="1:17" s="8" customFormat="1">
      <c r="A816" s="110" t="s">
        <v>1361</v>
      </c>
      <c r="B816" s="127" t="s">
        <v>1892</v>
      </c>
      <c r="C816" s="78" t="s">
        <v>1362</v>
      </c>
      <c r="D816" s="31"/>
      <c r="E816" s="28" t="s">
        <v>1363</v>
      </c>
      <c r="F816" s="214">
        <f>SUM(F817:F817)</f>
        <v>3832000</v>
      </c>
      <c r="G816" s="214">
        <f t="shared" ref="G816:O816" si="276">SUM(G817:G817)</f>
        <v>0</v>
      </c>
      <c r="H816" s="214">
        <f t="shared" si="276"/>
        <v>9168000</v>
      </c>
      <c r="I816" s="214">
        <f t="shared" si="276"/>
        <v>13000000</v>
      </c>
      <c r="J816" s="214">
        <f t="shared" si="276"/>
        <v>0</v>
      </c>
      <c r="K816" s="214">
        <f t="shared" si="276"/>
        <v>0</v>
      </c>
      <c r="L816" s="214">
        <f t="shared" si="276"/>
        <v>0</v>
      </c>
      <c r="M816" s="214">
        <f t="shared" si="276"/>
        <v>0</v>
      </c>
      <c r="N816" s="214">
        <f t="shared" si="276"/>
        <v>0</v>
      </c>
      <c r="O816" s="214">
        <f t="shared" si="276"/>
        <v>0</v>
      </c>
      <c r="P816" s="250">
        <f t="shared" si="264"/>
        <v>0</v>
      </c>
    </row>
    <row r="817" spans="1:16" s="6" customFormat="1">
      <c r="A817" s="108"/>
      <c r="B817" s="150"/>
      <c r="C817" s="70" t="s">
        <v>1362</v>
      </c>
      <c r="D817" s="33" t="s">
        <v>1956</v>
      </c>
      <c r="E817" s="34" t="s">
        <v>1463</v>
      </c>
      <c r="F817" s="35">
        <v>3832000</v>
      </c>
      <c r="G817" s="210">
        <v>0</v>
      </c>
      <c r="H817" s="210">
        <v>9168000</v>
      </c>
      <c r="I817" s="210">
        <v>13000000</v>
      </c>
      <c r="J817" s="210">
        <v>0</v>
      </c>
      <c r="K817" s="210">
        <v>0</v>
      </c>
      <c r="L817" s="210">
        <v>0</v>
      </c>
      <c r="M817" s="210">
        <v>0</v>
      </c>
      <c r="N817" s="210">
        <v>0</v>
      </c>
      <c r="O817" s="210">
        <v>0</v>
      </c>
      <c r="P817" s="242">
        <f t="shared" si="264"/>
        <v>0</v>
      </c>
    </row>
    <row r="818" spans="1:16" s="7" customFormat="1">
      <c r="A818" s="173" t="s">
        <v>1364</v>
      </c>
      <c r="B818" s="155" t="s">
        <v>1893</v>
      </c>
      <c r="C818" s="156" t="s">
        <v>1365</v>
      </c>
      <c r="D818" s="74"/>
      <c r="E818" s="40" t="s">
        <v>1366</v>
      </c>
      <c r="F818" s="75">
        <f>+F819+F821+F836</f>
        <v>678657000</v>
      </c>
      <c r="G818" s="75">
        <f t="shared" ref="G818:O818" si="277">+G819+G821+G836</f>
        <v>0</v>
      </c>
      <c r="H818" s="75">
        <f t="shared" si="277"/>
        <v>76165960</v>
      </c>
      <c r="I818" s="75">
        <f t="shared" si="277"/>
        <v>754822960</v>
      </c>
      <c r="J818" s="75">
        <f t="shared" si="277"/>
        <v>41588127</v>
      </c>
      <c r="K818" s="75">
        <f t="shared" si="277"/>
        <v>444182178</v>
      </c>
      <c r="L818" s="75">
        <f t="shared" si="277"/>
        <v>24196432</v>
      </c>
      <c r="M818" s="75">
        <f t="shared" si="277"/>
        <v>415377582</v>
      </c>
      <c r="N818" s="75">
        <f t="shared" si="277"/>
        <v>12117864</v>
      </c>
      <c r="O818" s="75">
        <f t="shared" si="277"/>
        <v>400965999</v>
      </c>
      <c r="P818" s="246">
        <f t="shared" si="264"/>
        <v>0.55029802220112645</v>
      </c>
    </row>
    <row r="819" spans="1:16" s="8" customFormat="1">
      <c r="A819" s="110"/>
      <c r="B819" s="127" t="s">
        <v>1529</v>
      </c>
      <c r="C819" s="78" t="s">
        <v>1367</v>
      </c>
      <c r="D819" s="31"/>
      <c r="E819" s="28" t="s">
        <v>1368</v>
      </c>
      <c r="F819" s="21">
        <f>+F820</f>
        <v>0</v>
      </c>
      <c r="G819" s="214">
        <f t="shared" ref="G819:O819" si="278">+G820</f>
        <v>0</v>
      </c>
      <c r="H819" s="214">
        <f t="shared" si="278"/>
        <v>6165960</v>
      </c>
      <c r="I819" s="214">
        <f t="shared" si="278"/>
        <v>6165960</v>
      </c>
      <c r="J819" s="214">
        <f t="shared" si="278"/>
        <v>0</v>
      </c>
      <c r="K819" s="214">
        <f t="shared" si="278"/>
        <v>6165960</v>
      </c>
      <c r="L819" s="214">
        <f t="shared" si="278"/>
        <v>0</v>
      </c>
      <c r="M819" s="214">
        <f t="shared" si="278"/>
        <v>6165960</v>
      </c>
      <c r="N819" s="214">
        <f t="shared" si="278"/>
        <v>0</v>
      </c>
      <c r="O819" s="214">
        <f t="shared" si="278"/>
        <v>6165960</v>
      </c>
      <c r="P819" s="250">
        <f t="shared" si="264"/>
        <v>1</v>
      </c>
    </row>
    <row r="820" spans="1:16" s="2" customFormat="1">
      <c r="A820" s="108"/>
      <c r="B820" s="150"/>
      <c r="C820" s="70" t="s">
        <v>1367</v>
      </c>
      <c r="D820" s="33" t="s">
        <v>1986</v>
      </c>
      <c r="E820" s="34" t="s">
        <v>1301</v>
      </c>
      <c r="F820" s="35">
        <v>0</v>
      </c>
      <c r="G820" s="210">
        <v>0</v>
      </c>
      <c r="H820" s="210">
        <v>6165960</v>
      </c>
      <c r="I820" s="210">
        <v>6165960</v>
      </c>
      <c r="J820" s="210">
        <v>0</v>
      </c>
      <c r="K820" s="210">
        <v>6165960</v>
      </c>
      <c r="L820" s="210">
        <v>0</v>
      </c>
      <c r="M820" s="210">
        <v>6165960</v>
      </c>
      <c r="N820" s="210">
        <v>0</v>
      </c>
      <c r="O820" s="210">
        <v>6165960</v>
      </c>
      <c r="P820" s="242">
        <f t="shared" si="264"/>
        <v>1</v>
      </c>
    </row>
    <row r="821" spans="1:16" s="8" customFormat="1">
      <c r="A821" s="110"/>
      <c r="B821" s="127" t="s">
        <v>1528</v>
      </c>
      <c r="C821" s="78" t="s">
        <v>1369</v>
      </c>
      <c r="D821" s="31"/>
      <c r="E821" s="28" t="s">
        <v>1370</v>
      </c>
      <c r="F821" s="21">
        <f>SUM(F822:F835)</f>
        <v>645482000</v>
      </c>
      <c r="G821" s="214">
        <f t="shared" ref="G821:O821" si="279">SUM(G822:G835)</f>
        <v>0</v>
      </c>
      <c r="H821" s="214">
        <f t="shared" si="279"/>
        <v>70000000</v>
      </c>
      <c r="I821" s="214">
        <f t="shared" si="279"/>
        <v>715482000</v>
      </c>
      <c r="J821" s="214">
        <f t="shared" si="279"/>
        <v>41588127</v>
      </c>
      <c r="K821" s="214">
        <f t="shared" si="279"/>
        <v>425124455</v>
      </c>
      <c r="L821" s="214">
        <f t="shared" si="279"/>
        <v>24196432</v>
      </c>
      <c r="M821" s="214">
        <f t="shared" si="279"/>
        <v>396319859</v>
      </c>
      <c r="N821" s="214">
        <f t="shared" si="279"/>
        <v>12117864</v>
      </c>
      <c r="O821" s="214">
        <f t="shared" si="279"/>
        <v>381908276</v>
      </c>
      <c r="P821" s="250">
        <f t="shared" si="264"/>
        <v>0.55392009722117397</v>
      </c>
    </row>
    <row r="822" spans="1:16" s="8" customFormat="1">
      <c r="A822" s="108"/>
      <c r="B822" s="150"/>
      <c r="C822" s="70" t="s">
        <v>1369</v>
      </c>
      <c r="D822" s="33" t="s">
        <v>1957</v>
      </c>
      <c r="E822" s="34" t="s">
        <v>1371</v>
      </c>
      <c r="F822" s="35">
        <v>50000000</v>
      </c>
      <c r="G822" s="210">
        <v>0</v>
      </c>
      <c r="H822" s="210">
        <v>0</v>
      </c>
      <c r="I822" s="210">
        <v>50000000</v>
      </c>
      <c r="J822" s="210">
        <v>0</v>
      </c>
      <c r="K822" s="210">
        <v>15126375</v>
      </c>
      <c r="L822" s="210">
        <v>0</v>
      </c>
      <c r="M822" s="210">
        <v>14632721</v>
      </c>
      <c r="N822" s="210">
        <v>0</v>
      </c>
      <c r="O822" s="210">
        <v>14632721</v>
      </c>
      <c r="P822" s="242">
        <f t="shared" si="264"/>
        <v>0.29265442000000003</v>
      </c>
    </row>
    <row r="823" spans="1:16" s="8" customFormat="1">
      <c r="A823" s="108"/>
      <c r="B823" s="150"/>
      <c r="C823" s="70" t="s">
        <v>1369</v>
      </c>
      <c r="D823" s="33" t="s">
        <v>1955</v>
      </c>
      <c r="E823" s="34" t="s">
        <v>919</v>
      </c>
      <c r="F823" s="35">
        <v>26255000</v>
      </c>
      <c r="G823" s="210">
        <v>0</v>
      </c>
      <c r="H823" s="210">
        <v>0</v>
      </c>
      <c r="I823" s="210">
        <v>26255000</v>
      </c>
      <c r="J823" s="210">
        <v>0</v>
      </c>
      <c r="K823" s="210">
        <v>24768508</v>
      </c>
      <c r="L823" s="210">
        <v>0</v>
      </c>
      <c r="M823" s="210">
        <v>21602428</v>
      </c>
      <c r="N823" s="210">
        <v>0</v>
      </c>
      <c r="O823" s="210">
        <v>21602428</v>
      </c>
      <c r="P823" s="242">
        <f t="shared" si="264"/>
        <v>0.82279291563511714</v>
      </c>
    </row>
    <row r="824" spans="1:16" s="8" customFormat="1">
      <c r="A824" s="108"/>
      <c r="B824" s="150"/>
      <c r="C824" s="70" t="s">
        <v>1369</v>
      </c>
      <c r="D824" s="33" t="s">
        <v>1951</v>
      </c>
      <c r="E824" s="34" t="s">
        <v>1193</v>
      </c>
      <c r="F824" s="35">
        <v>64575000</v>
      </c>
      <c r="G824" s="210">
        <v>0</v>
      </c>
      <c r="H824" s="210">
        <v>100000000</v>
      </c>
      <c r="I824" s="210">
        <v>164575000</v>
      </c>
      <c r="J824" s="210">
        <v>0</v>
      </c>
      <c r="K824" s="210">
        <v>164575000</v>
      </c>
      <c r="L824" s="210">
        <v>0</v>
      </c>
      <c r="M824" s="210">
        <v>161083260</v>
      </c>
      <c r="N824" s="210">
        <v>0</v>
      </c>
      <c r="O824" s="210">
        <v>161083260</v>
      </c>
      <c r="P824" s="242">
        <f t="shared" si="264"/>
        <v>0.97878329029317945</v>
      </c>
    </row>
    <row r="825" spans="1:16" s="8" customFormat="1">
      <c r="A825" s="108"/>
      <c r="B825" s="150"/>
      <c r="C825" s="70" t="s">
        <v>1369</v>
      </c>
      <c r="D825" s="33" t="s">
        <v>1940</v>
      </c>
      <c r="E825" s="34" t="s">
        <v>912</v>
      </c>
      <c r="F825" s="35">
        <v>22499000</v>
      </c>
      <c r="G825" s="210">
        <v>0</v>
      </c>
      <c r="H825" s="210">
        <v>2641050</v>
      </c>
      <c r="I825" s="210">
        <v>25140050</v>
      </c>
      <c r="J825" s="210">
        <v>4650228</v>
      </c>
      <c r="K825" s="210">
        <v>7291278</v>
      </c>
      <c r="L825" s="210">
        <v>2850228</v>
      </c>
      <c r="M825" s="210">
        <v>5491278</v>
      </c>
      <c r="N825" s="210">
        <v>0</v>
      </c>
      <c r="O825" s="210">
        <v>2641050</v>
      </c>
      <c r="P825" s="242">
        <f t="shared" si="264"/>
        <v>0.21842748920547095</v>
      </c>
    </row>
    <row r="826" spans="1:16" s="8" customFormat="1">
      <c r="A826" s="108"/>
      <c r="B826" s="150"/>
      <c r="C826" s="70" t="s">
        <v>1369</v>
      </c>
      <c r="D826" s="33" t="s">
        <v>1937</v>
      </c>
      <c r="E826" s="34" t="s">
        <v>909</v>
      </c>
      <c r="F826" s="35">
        <v>65438000</v>
      </c>
      <c r="G826" s="210">
        <v>0</v>
      </c>
      <c r="H826" s="210">
        <v>0</v>
      </c>
      <c r="I826" s="210">
        <v>65438000</v>
      </c>
      <c r="J826" s="210">
        <v>5111948</v>
      </c>
      <c r="K826" s="210">
        <v>29455211</v>
      </c>
      <c r="L826" s="210">
        <v>2509504</v>
      </c>
      <c r="M826" s="210">
        <v>23970740</v>
      </c>
      <c r="N826" s="210">
        <v>2509504</v>
      </c>
      <c r="O826" s="210">
        <v>23970740</v>
      </c>
      <c r="P826" s="242">
        <f t="shared" si="264"/>
        <v>0.36631223448149391</v>
      </c>
    </row>
    <row r="827" spans="1:16" s="8" customFormat="1">
      <c r="A827" s="108"/>
      <c r="B827" s="150"/>
      <c r="C827" s="70" t="s">
        <v>1369</v>
      </c>
      <c r="D827" s="33" t="s">
        <v>1936</v>
      </c>
      <c r="E827" s="34" t="s">
        <v>908</v>
      </c>
      <c r="F827" s="35">
        <v>215853000</v>
      </c>
      <c r="G827" s="210">
        <v>0</v>
      </c>
      <c r="H827" s="210">
        <v>-20000000</v>
      </c>
      <c r="I827" s="210">
        <v>195853000</v>
      </c>
      <c r="J827" s="210">
        <v>16073317</v>
      </c>
      <c r="K827" s="210">
        <v>131836210</v>
      </c>
      <c r="L827" s="210">
        <v>11731571</v>
      </c>
      <c r="M827" s="210">
        <v>127494464</v>
      </c>
      <c r="N827" s="210">
        <v>5277925</v>
      </c>
      <c r="O827" s="210">
        <v>119577368</v>
      </c>
      <c r="P827" s="242">
        <f t="shared" si="264"/>
        <v>0.65097018682379126</v>
      </c>
    </row>
    <row r="828" spans="1:16" s="8" customFormat="1">
      <c r="A828" s="108"/>
      <c r="B828" s="150"/>
      <c r="C828" s="70" t="s">
        <v>1369</v>
      </c>
      <c r="D828" s="33" t="s">
        <v>1938</v>
      </c>
      <c r="E828" s="34" t="s">
        <v>1019</v>
      </c>
      <c r="F828" s="35">
        <v>61727000</v>
      </c>
      <c r="G828" s="210">
        <v>0</v>
      </c>
      <c r="H828" s="210">
        <v>0</v>
      </c>
      <c r="I828" s="210">
        <v>61727000</v>
      </c>
      <c r="J828" s="210">
        <v>9653899</v>
      </c>
      <c r="K828" s="210">
        <v>27312926</v>
      </c>
      <c r="L828" s="210">
        <v>7105129</v>
      </c>
      <c r="M828" s="210">
        <v>24764156</v>
      </c>
      <c r="N828" s="210">
        <v>3460870</v>
      </c>
      <c r="O828" s="210">
        <v>21119897</v>
      </c>
      <c r="P828" s="242">
        <f t="shared" si="264"/>
        <v>0.40118839405770568</v>
      </c>
    </row>
    <row r="829" spans="1:16" s="8" customFormat="1">
      <c r="A829" s="108"/>
      <c r="B829" s="150"/>
      <c r="C829" s="70" t="s">
        <v>1369</v>
      </c>
      <c r="D829" s="33" t="s">
        <v>1942</v>
      </c>
      <c r="E829" s="34" t="s">
        <v>913</v>
      </c>
      <c r="F829" s="35">
        <v>16576000</v>
      </c>
      <c r="G829" s="210">
        <v>0</v>
      </c>
      <c r="H829" s="210">
        <v>0</v>
      </c>
      <c r="I829" s="210">
        <v>16576000</v>
      </c>
      <c r="J829" s="210">
        <v>0</v>
      </c>
      <c r="K829" s="210">
        <v>5865157</v>
      </c>
      <c r="L829" s="210">
        <v>0</v>
      </c>
      <c r="M829" s="210">
        <v>4485757</v>
      </c>
      <c r="N829" s="210">
        <v>0</v>
      </c>
      <c r="O829" s="210">
        <v>4485757</v>
      </c>
      <c r="P829" s="242">
        <f t="shared" si="264"/>
        <v>0.27061757963320465</v>
      </c>
    </row>
    <row r="830" spans="1:16" s="8" customFormat="1">
      <c r="A830" s="108"/>
      <c r="B830" s="150"/>
      <c r="C830" s="70" t="s">
        <v>1369</v>
      </c>
      <c r="D830" s="33" t="s">
        <v>1939</v>
      </c>
      <c r="E830" s="34" t="s">
        <v>911</v>
      </c>
      <c r="F830" s="35">
        <v>50000000</v>
      </c>
      <c r="G830" s="210">
        <v>0</v>
      </c>
      <c r="H830" s="210">
        <v>0</v>
      </c>
      <c r="I830" s="210">
        <v>50000000</v>
      </c>
      <c r="J830" s="210">
        <v>6098735</v>
      </c>
      <c r="K830" s="210">
        <v>17085435</v>
      </c>
      <c r="L830" s="210">
        <v>0</v>
      </c>
      <c r="M830" s="210">
        <v>10986700</v>
      </c>
      <c r="N830" s="210">
        <v>869565</v>
      </c>
      <c r="O830" s="210">
        <v>10986700</v>
      </c>
      <c r="P830" s="242">
        <f t="shared" si="264"/>
        <v>0.21973400000000001</v>
      </c>
    </row>
    <row r="831" spans="1:16" s="8" customFormat="1">
      <c r="A831" s="108"/>
      <c r="B831" s="150"/>
      <c r="C831" s="70" t="s">
        <v>1369</v>
      </c>
      <c r="D831" s="33" t="s">
        <v>1945</v>
      </c>
      <c r="E831" s="34" t="s">
        <v>781</v>
      </c>
      <c r="F831" s="35">
        <v>32333000</v>
      </c>
      <c r="G831" s="210">
        <v>0</v>
      </c>
      <c r="H831" s="210">
        <v>0</v>
      </c>
      <c r="I831" s="210">
        <v>32333000</v>
      </c>
      <c r="J831" s="210">
        <v>0</v>
      </c>
      <c r="K831" s="210">
        <v>0</v>
      </c>
      <c r="L831" s="210">
        <v>0</v>
      </c>
      <c r="M831" s="210">
        <v>0</v>
      </c>
      <c r="N831" s="210">
        <v>0</v>
      </c>
      <c r="O831" s="210">
        <v>0</v>
      </c>
      <c r="P831" s="242">
        <f t="shared" si="264"/>
        <v>0</v>
      </c>
    </row>
    <row r="832" spans="1:16" s="8" customFormat="1">
      <c r="A832" s="108"/>
      <c r="B832" s="150"/>
      <c r="C832" s="70" t="s">
        <v>1369</v>
      </c>
      <c r="D832" s="33" t="s">
        <v>1913</v>
      </c>
      <c r="E832" s="34" t="s">
        <v>914</v>
      </c>
      <c r="F832" s="35">
        <v>5226000</v>
      </c>
      <c r="G832" s="210">
        <v>0</v>
      </c>
      <c r="H832" s="210">
        <v>0</v>
      </c>
      <c r="I832" s="210">
        <v>5226000</v>
      </c>
      <c r="J832" s="210">
        <v>0</v>
      </c>
      <c r="K832" s="210">
        <v>0</v>
      </c>
      <c r="L832" s="210">
        <v>0</v>
      </c>
      <c r="M832" s="210">
        <v>0</v>
      </c>
      <c r="N832" s="210">
        <v>0</v>
      </c>
      <c r="O832" s="210">
        <v>0</v>
      </c>
      <c r="P832" s="242">
        <f t="shared" si="264"/>
        <v>0</v>
      </c>
    </row>
    <row r="833" spans="1:16" s="8" customFormat="1">
      <c r="A833" s="108"/>
      <c r="B833" s="150"/>
      <c r="C833" s="70" t="s">
        <v>1369</v>
      </c>
      <c r="D833" s="33" t="s">
        <v>1952</v>
      </c>
      <c r="E833" s="34" t="s">
        <v>1998</v>
      </c>
      <c r="F833" s="35">
        <v>4500000</v>
      </c>
      <c r="G833" s="210">
        <v>0</v>
      </c>
      <c r="H833" s="210">
        <v>0</v>
      </c>
      <c r="I833" s="210">
        <v>4500000</v>
      </c>
      <c r="J833" s="210">
        <v>0</v>
      </c>
      <c r="K833" s="210">
        <v>1016040</v>
      </c>
      <c r="L833" s="210">
        <v>0</v>
      </c>
      <c r="M833" s="210">
        <v>1016040</v>
      </c>
      <c r="N833" s="210">
        <v>0</v>
      </c>
      <c r="O833" s="210">
        <v>1016040</v>
      </c>
      <c r="P833" s="242">
        <f t="shared" si="264"/>
        <v>0.22578666666666666</v>
      </c>
    </row>
    <row r="834" spans="1:16" s="8" customFormat="1">
      <c r="A834" s="108"/>
      <c r="B834" s="150"/>
      <c r="C834" s="70" t="s">
        <v>1369</v>
      </c>
      <c r="D834" s="33" t="s">
        <v>1956</v>
      </c>
      <c r="E834" s="34" t="s">
        <v>1463</v>
      </c>
      <c r="F834" s="35">
        <v>10000000</v>
      </c>
      <c r="G834" s="210">
        <v>0</v>
      </c>
      <c r="H834" s="210">
        <v>-10000000</v>
      </c>
      <c r="I834" s="210">
        <v>0</v>
      </c>
      <c r="J834" s="210">
        <v>0</v>
      </c>
      <c r="K834" s="210">
        <v>0</v>
      </c>
      <c r="L834" s="210">
        <v>0</v>
      </c>
      <c r="M834" s="210">
        <v>0</v>
      </c>
      <c r="N834" s="210">
        <v>0</v>
      </c>
      <c r="O834" s="210">
        <v>0</v>
      </c>
      <c r="P834" s="242">
        <f t="shared" si="264"/>
        <v>0</v>
      </c>
    </row>
    <row r="835" spans="1:16" s="7" customFormat="1">
      <c r="A835" s="108"/>
      <c r="B835" s="150"/>
      <c r="C835" s="70" t="s">
        <v>1369</v>
      </c>
      <c r="D835" s="33" t="s">
        <v>1954</v>
      </c>
      <c r="E835" s="34" t="s">
        <v>1020</v>
      </c>
      <c r="F835" s="35">
        <v>20500000</v>
      </c>
      <c r="G835" s="210">
        <v>0</v>
      </c>
      <c r="H835" s="210">
        <v>-2641050</v>
      </c>
      <c r="I835" s="210">
        <v>17858950</v>
      </c>
      <c r="J835" s="210">
        <v>0</v>
      </c>
      <c r="K835" s="210">
        <v>792315</v>
      </c>
      <c r="L835" s="210">
        <v>0</v>
      </c>
      <c r="M835" s="210">
        <v>792315</v>
      </c>
      <c r="N835" s="210">
        <v>0</v>
      </c>
      <c r="O835" s="210">
        <v>792315</v>
      </c>
      <c r="P835" s="242">
        <f t="shared" si="264"/>
        <v>4.4365150246795021E-2</v>
      </c>
    </row>
    <row r="836" spans="1:16" s="8" customFormat="1">
      <c r="A836" s="110"/>
      <c r="B836" s="127" t="s">
        <v>1527</v>
      </c>
      <c r="C836" s="78" t="s">
        <v>1372</v>
      </c>
      <c r="D836" s="31"/>
      <c r="E836" s="28" t="s">
        <v>1373</v>
      </c>
      <c r="F836" s="21">
        <f>SUM(F837:F839)</f>
        <v>33175000</v>
      </c>
      <c r="G836" s="21">
        <f t="shared" ref="G836:O836" si="280">SUM(G837:G839)</f>
        <v>0</v>
      </c>
      <c r="H836" s="21">
        <f t="shared" si="280"/>
        <v>0</v>
      </c>
      <c r="I836" s="21">
        <f t="shared" si="280"/>
        <v>33175000</v>
      </c>
      <c r="J836" s="21">
        <f t="shared" si="280"/>
        <v>0</v>
      </c>
      <c r="K836" s="21">
        <f t="shared" si="280"/>
        <v>12891763</v>
      </c>
      <c r="L836" s="21">
        <f t="shared" si="280"/>
        <v>0</v>
      </c>
      <c r="M836" s="21">
        <f t="shared" si="280"/>
        <v>12891763</v>
      </c>
      <c r="N836" s="21">
        <f t="shared" si="280"/>
        <v>0</v>
      </c>
      <c r="O836" s="21">
        <f t="shared" si="280"/>
        <v>12891763</v>
      </c>
      <c r="P836" s="250">
        <f t="shared" si="264"/>
        <v>0.38859873398643557</v>
      </c>
    </row>
    <row r="837" spans="1:16" s="8" customFormat="1">
      <c r="A837" s="108"/>
      <c r="B837" s="150"/>
      <c r="C837" s="70" t="s">
        <v>1372</v>
      </c>
      <c r="D837" s="33" t="s">
        <v>1929</v>
      </c>
      <c r="E837" s="34" t="s">
        <v>271</v>
      </c>
      <c r="F837" s="35">
        <v>5226000</v>
      </c>
      <c r="G837" s="210">
        <v>0</v>
      </c>
      <c r="H837" s="210">
        <v>0</v>
      </c>
      <c r="I837" s="210">
        <v>5226000</v>
      </c>
      <c r="J837" s="210">
        <v>0</v>
      </c>
      <c r="K837" s="210">
        <v>4860283</v>
      </c>
      <c r="L837" s="210">
        <v>0</v>
      </c>
      <c r="M837" s="210">
        <v>4860283</v>
      </c>
      <c r="N837" s="210">
        <v>0</v>
      </c>
      <c r="O837" s="210">
        <v>4860283</v>
      </c>
      <c r="P837" s="242">
        <f t="shared" si="264"/>
        <v>0.93001970914657484</v>
      </c>
    </row>
    <row r="838" spans="1:16" s="8" customFormat="1">
      <c r="A838" s="108"/>
      <c r="B838" s="150"/>
      <c r="C838" s="70" t="s">
        <v>1372</v>
      </c>
      <c r="D838" s="33" t="s">
        <v>1930</v>
      </c>
      <c r="E838" s="34" t="s">
        <v>274</v>
      </c>
      <c r="F838" s="35">
        <v>5226000</v>
      </c>
      <c r="G838" s="210">
        <v>0</v>
      </c>
      <c r="H838" s="210">
        <v>0</v>
      </c>
      <c r="I838" s="210">
        <v>5226000</v>
      </c>
      <c r="J838" s="210">
        <v>0</v>
      </c>
      <c r="K838" s="210">
        <v>0</v>
      </c>
      <c r="L838" s="210">
        <v>0</v>
      </c>
      <c r="M838" s="210">
        <v>0</v>
      </c>
      <c r="N838" s="210">
        <v>0</v>
      </c>
      <c r="O838" s="210">
        <v>0</v>
      </c>
      <c r="P838" s="242">
        <f t="shared" si="264"/>
        <v>0</v>
      </c>
    </row>
    <row r="839" spans="1:16" s="6" customFormat="1">
      <c r="A839" s="108"/>
      <c r="B839" s="150"/>
      <c r="C839" s="70" t="s">
        <v>1372</v>
      </c>
      <c r="D839" s="33" t="s">
        <v>1932</v>
      </c>
      <c r="E839" s="34" t="s">
        <v>276</v>
      </c>
      <c r="F839" s="35">
        <v>22723000</v>
      </c>
      <c r="G839" s="210">
        <v>0</v>
      </c>
      <c r="H839" s="210">
        <v>0</v>
      </c>
      <c r="I839" s="210">
        <v>22723000</v>
      </c>
      <c r="J839" s="210">
        <v>0</v>
      </c>
      <c r="K839" s="210">
        <v>8031480</v>
      </c>
      <c r="L839" s="210">
        <v>0</v>
      </c>
      <c r="M839" s="210">
        <v>8031480</v>
      </c>
      <c r="N839" s="210">
        <v>0</v>
      </c>
      <c r="O839" s="210">
        <v>8031480</v>
      </c>
      <c r="P839" s="242">
        <f t="shared" si="264"/>
        <v>0.35345156889495227</v>
      </c>
    </row>
    <row r="840" spans="1:16" s="6" customFormat="1">
      <c r="A840" s="103" t="s">
        <v>1374</v>
      </c>
      <c r="B840" s="59" t="s">
        <v>1894</v>
      </c>
      <c r="C840" s="59" t="s">
        <v>1375</v>
      </c>
      <c r="D840" s="59"/>
      <c r="E840" s="59" t="s">
        <v>1376</v>
      </c>
      <c r="F840" s="60">
        <f>+F841+F853</f>
        <v>43570264000</v>
      </c>
      <c r="G840" s="60">
        <f t="shared" ref="G840:O840" si="281">+G841+G853</f>
        <v>0</v>
      </c>
      <c r="H840" s="60">
        <f t="shared" si="281"/>
        <v>61057583921</v>
      </c>
      <c r="I840" s="60">
        <f t="shared" si="281"/>
        <v>104627847921</v>
      </c>
      <c r="J840" s="60">
        <f t="shared" si="281"/>
        <v>6881912156</v>
      </c>
      <c r="K840" s="60">
        <f t="shared" si="281"/>
        <v>62501255408</v>
      </c>
      <c r="L840" s="60">
        <f t="shared" si="281"/>
        <v>6773340498</v>
      </c>
      <c r="M840" s="60">
        <f t="shared" si="281"/>
        <v>61002591858</v>
      </c>
      <c r="N840" s="60">
        <f t="shared" si="281"/>
        <v>6732470297</v>
      </c>
      <c r="O840" s="60">
        <f t="shared" si="281"/>
        <v>60958206407</v>
      </c>
      <c r="P840" s="233">
        <f t="shared" si="264"/>
        <v>0.58304354978284978</v>
      </c>
    </row>
    <row r="841" spans="1:16" s="2" customFormat="1">
      <c r="A841" s="176" t="s">
        <v>1377</v>
      </c>
      <c r="B841" s="161" t="s">
        <v>1895</v>
      </c>
      <c r="C841" s="162" t="s">
        <v>1378</v>
      </c>
      <c r="D841" s="79"/>
      <c r="E841" s="45" t="s">
        <v>1379</v>
      </c>
      <c r="F841" s="80">
        <f>+F842</f>
        <v>43070264000</v>
      </c>
      <c r="G841" s="80">
        <f t="shared" ref="G841:O841" si="282">+G842</f>
        <v>0</v>
      </c>
      <c r="H841" s="80">
        <f t="shared" si="282"/>
        <v>59674590217</v>
      </c>
      <c r="I841" s="80">
        <f t="shared" si="282"/>
        <v>102744854217</v>
      </c>
      <c r="J841" s="80">
        <f t="shared" si="282"/>
        <v>6693522689</v>
      </c>
      <c r="K841" s="80">
        <f t="shared" si="282"/>
        <v>60931849602</v>
      </c>
      <c r="L841" s="80">
        <f t="shared" si="282"/>
        <v>6773340498</v>
      </c>
      <c r="M841" s="80">
        <f t="shared" si="282"/>
        <v>60549480086</v>
      </c>
      <c r="N841" s="80">
        <f t="shared" si="282"/>
        <v>6732470297</v>
      </c>
      <c r="O841" s="80">
        <f t="shared" si="282"/>
        <v>60505094635</v>
      </c>
      <c r="P841" s="253">
        <f t="shared" si="264"/>
        <v>0.58931885735238676</v>
      </c>
    </row>
    <row r="842" spans="1:16" s="8" customFormat="1">
      <c r="A842" s="177" t="s">
        <v>1380</v>
      </c>
      <c r="B842" s="163" t="s">
        <v>1896</v>
      </c>
      <c r="C842" s="164" t="s">
        <v>1381</v>
      </c>
      <c r="D842" s="46"/>
      <c r="E842" s="47" t="s">
        <v>1382</v>
      </c>
      <c r="F842" s="81">
        <f>+F843+F846+F849</f>
        <v>43070264000</v>
      </c>
      <c r="G842" s="81">
        <f t="shared" ref="G842:O842" si="283">+G843+G846+G849</f>
        <v>0</v>
      </c>
      <c r="H842" s="81">
        <f t="shared" si="283"/>
        <v>59674590217</v>
      </c>
      <c r="I842" s="81">
        <f t="shared" si="283"/>
        <v>102744854217</v>
      </c>
      <c r="J842" s="81">
        <f t="shared" si="283"/>
        <v>6693522689</v>
      </c>
      <c r="K842" s="81">
        <f t="shared" si="283"/>
        <v>60931849602</v>
      </c>
      <c r="L842" s="81">
        <f t="shared" si="283"/>
        <v>6773340498</v>
      </c>
      <c r="M842" s="81">
        <f t="shared" si="283"/>
        <v>60549480086</v>
      </c>
      <c r="N842" s="81">
        <f t="shared" si="283"/>
        <v>6732470297</v>
      </c>
      <c r="O842" s="81">
        <f t="shared" si="283"/>
        <v>60505094635</v>
      </c>
      <c r="P842" s="254">
        <f t="shared" si="264"/>
        <v>0.58931885735238676</v>
      </c>
    </row>
    <row r="843" spans="1:16" s="8" customFormat="1">
      <c r="A843" s="178" t="s">
        <v>1383</v>
      </c>
      <c r="B843" s="165" t="s">
        <v>1526</v>
      </c>
      <c r="C843" s="166" t="s">
        <v>1384</v>
      </c>
      <c r="D843" s="52"/>
      <c r="E843" s="53" t="s">
        <v>1385</v>
      </c>
      <c r="F843" s="82">
        <f>+F844</f>
        <v>40386904000</v>
      </c>
      <c r="G843" s="82">
        <f t="shared" ref="G843:O844" si="284">+G844</f>
        <v>0</v>
      </c>
      <c r="H843" s="82">
        <f t="shared" si="284"/>
        <v>59674590217</v>
      </c>
      <c r="I843" s="82">
        <f t="shared" si="284"/>
        <v>100061494217</v>
      </c>
      <c r="J843" s="82">
        <f t="shared" si="284"/>
        <v>6634004770</v>
      </c>
      <c r="K843" s="82">
        <f t="shared" si="284"/>
        <v>59948994364</v>
      </c>
      <c r="L843" s="82">
        <f t="shared" si="284"/>
        <v>6657885926</v>
      </c>
      <c r="M843" s="82">
        <f t="shared" si="284"/>
        <v>59637469483</v>
      </c>
      <c r="N843" s="82">
        <f t="shared" si="284"/>
        <v>6645945348</v>
      </c>
      <c r="O843" s="82">
        <f t="shared" si="284"/>
        <v>59622013655</v>
      </c>
      <c r="P843" s="255">
        <f t="shared" si="264"/>
        <v>0.59600818426383106</v>
      </c>
    </row>
    <row r="844" spans="1:16" s="8" customFormat="1">
      <c r="A844" s="110" t="s">
        <v>1386</v>
      </c>
      <c r="B844" s="127" t="s">
        <v>1525</v>
      </c>
      <c r="C844" s="78" t="s">
        <v>1387</v>
      </c>
      <c r="D844" s="31"/>
      <c r="E844" s="28" t="s">
        <v>1388</v>
      </c>
      <c r="F844" s="214">
        <f>+F845</f>
        <v>40386904000</v>
      </c>
      <c r="G844" s="214">
        <f t="shared" si="284"/>
        <v>0</v>
      </c>
      <c r="H844" s="214">
        <f t="shared" si="284"/>
        <v>59674590217</v>
      </c>
      <c r="I844" s="214">
        <f t="shared" si="284"/>
        <v>100061494217</v>
      </c>
      <c r="J844" s="214">
        <f t="shared" si="284"/>
        <v>6634004770</v>
      </c>
      <c r="K844" s="214">
        <f t="shared" si="284"/>
        <v>59948994364</v>
      </c>
      <c r="L844" s="214">
        <f t="shared" si="284"/>
        <v>6657885926</v>
      </c>
      <c r="M844" s="214">
        <f t="shared" si="284"/>
        <v>59637469483</v>
      </c>
      <c r="N844" s="214">
        <f t="shared" si="284"/>
        <v>6645945348</v>
      </c>
      <c r="O844" s="214">
        <f t="shared" si="284"/>
        <v>59622013655</v>
      </c>
      <c r="P844" s="250">
        <f t="shared" si="264"/>
        <v>0.59600818426383106</v>
      </c>
    </row>
    <row r="845" spans="1:16" s="8" customFormat="1">
      <c r="A845" s="108"/>
      <c r="B845" s="150"/>
      <c r="C845" s="70" t="s">
        <v>1387</v>
      </c>
      <c r="D845" s="33" t="s">
        <v>1934</v>
      </c>
      <c r="E845" s="34" t="s">
        <v>284</v>
      </c>
      <c r="F845" s="35">
        <v>40386904000</v>
      </c>
      <c r="G845" s="210">
        <v>0</v>
      </c>
      <c r="H845" s="210">
        <v>59674590217</v>
      </c>
      <c r="I845" s="210">
        <v>100061494217</v>
      </c>
      <c r="J845" s="210">
        <v>6634004770</v>
      </c>
      <c r="K845" s="210">
        <v>59948994364</v>
      </c>
      <c r="L845" s="210">
        <v>6657885926</v>
      </c>
      <c r="M845" s="210">
        <v>59637469483</v>
      </c>
      <c r="N845" s="210">
        <v>6645945348</v>
      </c>
      <c r="O845" s="210">
        <v>59622013655</v>
      </c>
      <c r="P845" s="242">
        <f t="shared" si="264"/>
        <v>0.59600818426383106</v>
      </c>
    </row>
    <row r="846" spans="1:16" s="7" customFormat="1">
      <c r="A846" s="178" t="s">
        <v>1389</v>
      </c>
      <c r="B846" s="165" t="s">
        <v>1524</v>
      </c>
      <c r="C846" s="166" t="s">
        <v>1390</v>
      </c>
      <c r="D846" s="52"/>
      <c r="E846" s="53" t="s">
        <v>1391</v>
      </c>
      <c r="F846" s="82">
        <f>+F847</f>
        <v>1268760000</v>
      </c>
      <c r="G846" s="82">
        <f t="shared" ref="G846:O847" si="285">+G847</f>
        <v>0</v>
      </c>
      <c r="H846" s="82">
        <f t="shared" si="285"/>
        <v>0</v>
      </c>
      <c r="I846" s="82">
        <f t="shared" si="285"/>
        <v>1268760000</v>
      </c>
      <c r="J846" s="82">
        <f t="shared" si="285"/>
        <v>46532919</v>
      </c>
      <c r="K846" s="82">
        <f t="shared" si="285"/>
        <v>655042238</v>
      </c>
      <c r="L846" s="82">
        <f t="shared" si="285"/>
        <v>102469572</v>
      </c>
      <c r="M846" s="82">
        <f t="shared" si="285"/>
        <v>584197603</v>
      </c>
      <c r="N846" s="82">
        <f t="shared" si="285"/>
        <v>73539949</v>
      </c>
      <c r="O846" s="82">
        <f t="shared" si="285"/>
        <v>555267980</v>
      </c>
      <c r="P846" s="255">
        <f t="shared" si="264"/>
        <v>0.46044768356505567</v>
      </c>
    </row>
    <row r="847" spans="1:16" s="8" customFormat="1">
      <c r="A847" s="110" t="s">
        <v>1392</v>
      </c>
      <c r="B847" s="127" t="s">
        <v>1523</v>
      </c>
      <c r="C847" s="78" t="s">
        <v>1393</v>
      </c>
      <c r="D847" s="31"/>
      <c r="E847" s="28" t="s">
        <v>1394</v>
      </c>
      <c r="F847" s="21">
        <f>+F848</f>
        <v>1268760000</v>
      </c>
      <c r="G847" s="214">
        <f t="shared" si="285"/>
        <v>0</v>
      </c>
      <c r="H847" s="214">
        <f t="shared" si="285"/>
        <v>0</v>
      </c>
      <c r="I847" s="214">
        <f t="shared" si="285"/>
        <v>1268760000</v>
      </c>
      <c r="J847" s="214">
        <f t="shared" si="285"/>
        <v>46532919</v>
      </c>
      <c r="K847" s="214">
        <f t="shared" si="285"/>
        <v>655042238</v>
      </c>
      <c r="L847" s="214">
        <f t="shared" si="285"/>
        <v>102469572</v>
      </c>
      <c r="M847" s="214">
        <f t="shared" si="285"/>
        <v>584197603</v>
      </c>
      <c r="N847" s="214">
        <f t="shared" si="285"/>
        <v>73539949</v>
      </c>
      <c r="O847" s="214">
        <f t="shared" si="285"/>
        <v>555267980</v>
      </c>
      <c r="P847" s="250">
        <f t="shared" si="264"/>
        <v>0.46044768356505567</v>
      </c>
    </row>
    <row r="848" spans="1:16" s="8" customFormat="1">
      <c r="A848" s="108"/>
      <c r="B848" s="150"/>
      <c r="C848" s="70" t="s">
        <v>1393</v>
      </c>
      <c r="D848" s="33" t="s">
        <v>1934</v>
      </c>
      <c r="E848" s="34" t="s">
        <v>284</v>
      </c>
      <c r="F848" s="35">
        <v>1268760000</v>
      </c>
      <c r="G848" s="35">
        <v>0</v>
      </c>
      <c r="H848" s="35">
        <v>0</v>
      </c>
      <c r="I848" s="35">
        <v>1268760000</v>
      </c>
      <c r="J848" s="35">
        <v>46532919</v>
      </c>
      <c r="K848" s="35">
        <v>655042238</v>
      </c>
      <c r="L848" s="35">
        <v>102469572</v>
      </c>
      <c r="M848" s="35">
        <v>584197603</v>
      </c>
      <c r="N848" s="35">
        <v>73539949</v>
      </c>
      <c r="O848" s="35">
        <v>555267980</v>
      </c>
      <c r="P848" s="242">
        <f t="shared" si="264"/>
        <v>0.46044768356505567</v>
      </c>
    </row>
    <row r="849" spans="1:16" s="8" customFormat="1">
      <c r="A849" s="178" t="s">
        <v>1395</v>
      </c>
      <c r="B849" s="165" t="s">
        <v>1897</v>
      </c>
      <c r="C849" s="166" t="s">
        <v>1396</v>
      </c>
      <c r="D849" s="52"/>
      <c r="E849" s="53" t="s">
        <v>1397</v>
      </c>
      <c r="F849" s="82">
        <f>+F850</f>
        <v>1414600000</v>
      </c>
      <c r="G849" s="82">
        <f t="shared" ref="G849:O851" si="286">+G850</f>
        <v>0</v>
      </c>
      <c r="H849" s="82">
        <f t="shared" si="286"/>
        <v>0</v>
      </c>
      <c r="I849" s="82">
        <f t="shared" si="286"/>
        <v>1414600000</v>
      </c>
      <c r="J849" s="82">
        <f t="shared" si="286"/>
        <v>12985000</v>
      </c>
      <c r="K849" s="82">
        <f t="shared" si="286"/>
        <v>327813000</v>
      </c>
      <c r="L849" s="82">
        <f t="shared" si="286"/>
        <v>12985000</v>
      </c>
      <c r="M849" s="82">
        <f t="shared" si="286"/>
        <v>327813000</v>
      </c>
      <c r="N849" s="82">
        <f t="shared" si="286"/>
        <v>12985000</v>
      </c>
      <c r="O849" s="82">
        <f t="shared" si="286"/>
        <v>327813000</v>
      </c>
      <c r="P849" s="255">
        <f t="shared" ref="P849:P899" si="287">IFERROR((M849/I849),0)</f>
        <v>0.23173547292520855</v>
      </c>
    </row>
    <row r="850" spans="1:16" s="7" customFormat="1">
      <c r="A850" s="179" t="s">
        <v>1398</v>
      </c>
      <c r="B850" s="167" t="s">
        <v>1898</v>
      </c>
      <c r="C850" s="168" t="s">
        <v>1399</v>
      </c>
      <c r="D850" s="83"/>
      <c r="E850" s="51" t="s">
        <v>1400</v>
      </c>
      <c r="F850" s="84">
        <f>+F851</f>
        <v>1414600000</v>
      </c>
      <c r="G850" s="84">
        <f t="shared" si="286"/>
        <v>0</v>
      </c>
      <c r="H850" s="84">
        <f t="shared" si="286"/>
        <v>0</v>
      </c>
      <c r="I850" s="84">
        <f t="shared" si="286"/>
        <v>1414600000</v>
      </c>
      <c r="J850" s="84">
        <f t="shared" si="286"/>
        <v>12985000</v>
      </c>
      <c r="K850" s="84">
        <f t="shared" si="286"/>
        <v>327813000</v>
      </c>
      <c r="L850" s="84">
        <f t="shared" si="286"/>
        <v>12985000</v>
      </c>
      <c r="M850" s="84">
        <f t="shared" si="286"/>
        <v>327813000</v>
      </c>
      <c r="N850" s="84">
        <f t="shared" si="286"/>
        <v>12985000</v>
      </c>
      <c r="O850" s="84">
        <f t="shared" si="286"/>
        <v>327813000</v>
      </c>
      <c r="P850" s="256">
        <f t="shared" si="287"/>
        <v>0.23173547292520855</v>
      </c>
    </row>
    <row r="851" spans="1:16" s="8" customFormat="1">
      <c r="A851" s="110" t="s">
        <v>1401</v>
      </c>
      <c r="B851" s="127" t="s">
        <v>1899</v>
      </c>
      <c r="C851" s="78" t="s">
        <v>1402</v>
      </c>
      <c r="D851" s="31"/>
      <c r="E851" s="28" t="s">
        <v>1403</v>
      </c>
      <c r="F851" s="21">
        <f>+F852</f>
        <v>1414600000</v>
      </c>
      <c r="G851" s="214">
        <f t="shared" si="286"/>
        <v>0</v>
      </c>
      <c r="H851" s="214">
        <f t="shared" si="286"/>
        <v>0</v>
      </c>
      <c r="I851" s="214">
        <f t="shared" si="286"/>
        <v>1414600000</v>
      </c>
      <c r="J851" s="214">
        <f t="shared" si="286"/>
        <v>12985000</v>
      </c>
      <c r="K851" s="214">
        <f t="shared" si="286"/>
        <v>327813000</v>
      </c>
      <c r="L851" s="214">
        <f t="shared" si="286"/>
        <v>12985000</v>
      </c>
      <c r="M851" s="214">
        <f t="shared" si="286"/>
        <v>327813000</v>
      </c>
      <c r="N851" s="214">
        <f t="shared" si="286"/>
        <v>12985000</v>
      </c>
      <c r="O851" s="214">
        <f t="shared" si="286"/>
        <v>327813000</v>
      </c>
      <c r="P851" s="250">
        <f t="shared" si="287"/>
        <v>0.23173547292520855</v>
      </c>
    </row>
    <row r="852" spans="1:16" s="6" customFormat="1">
      <c r="A852" s="108"/>
      <c r="B852" s="150"/>
      <c r="C852" s="70" t="s">
        <v>1402</v>
      </c>
      <c r="D852" s="33" t="s">
        <v>1934</v>
      </c>
      <c r="E852" s="34" t="s">
        <v>284</v>
      </c>
      <c r="F852" s="35">
        <v>1414600000</v>
      </c>
      <c r="G852" s="210">
        <v>0</v>
      </c>
      <c r="H852" s="210">
        <v>0</v>
      </c>
      <c r="I852" s="210">
        <v>1414600000</v>
      </c>
      <c r="J852" s="210">
        <v>12985000</v>
      </c>
      <c r="K852" s="210">
        <v>327813000</v>
      </c>
      <c r="L852" s="210">
        <v>12985000</v>
      </c>
      <c r="M852" s="210">
        <v>327813000</v>
      </c>
      <c r="N852" s="210">
        <v>12985000</v>
      </c>
      <c r="O852" s="210">
        <v>327813000</v>
      </c>
      <c r="P852" s="242">
        <f t="shared" si="287"/>
        <v>0.23173547292520855</v>
      </c>
    </row>
    <row r="853" spans="1:16" s="2" customFormat="1">
      <c r="A853" s="176" t="s">
        <v>1404</v>
      </c>
      <c r="B853" s="161" t="s">
        <v>1900</v>
      </c>
      <c r="C853" s="162" t="s">
        <v>1405</v>
      </c>
      <c r="D853" s="79"/>
      <c r="E853" s="45" t="s">
        <v>1406</v>
      </c>
      <c r="F853" s="80">
        <f>+F854</f>
        <v>500000000</v>
      </c>
      <c r="G853" s="80">
        <f t="shared" ref="G853:O853" si="288">+G854</f>
        <v>0</v>
      </c>
      <c r="H853" s="80">
        <f t="shared" si="288"/>
        <v>1382993704</v>
      </c>
      <c r="I853" s="80">
        <f t="shared" si="288"/>
        <v>1882993704</v>
      </c>
      <c r="J853" s="80">
        <f t="shared" si="288"/>
        <v>188389467</v>
      </c>
      <c r="K853" s="80">
        <f t="shared" si="288"/>
        <v>1569405806</v>
      </c>
      <c r="L853" s="80">
        <f t="shared" si="288"/>
        <v>0</v>
      </c>
      <c r="M853" s="80">
        <f t="shared" si="288"/>
        <v>453111772</v>
      </c>
      <c r="N853" s="80">
        <f t="shared" si="288"/>
        <v>0</v>
      </c>
      <c r="O853" s="80">
        <f t="shared" si="288"/>
        <v>453111772</v>
      </c>
      <c r="P853" s="253">
        <f t="shared" si="287"/>
        <v>0.24063371589478241</v>
      </c>
    </row>
    <row r="854" spans="1:16" s="7" customFormat="1">
      <c r="A854" s="177" t="s">
        <v>1407</v>
      </c>
      <c r="B854" s="163" t="s">
        <v>1901</v>
      </c>
      <c r="C854" s="164" t="s">
        <v>1408</v>
      </c>
      <c r="D854" s="46"/>
      <c r="E854" s="47" t="s">
        <v>1409</v>
      </c>
      <c r="F854" s="81">
        <f>+F855+F857</f>
        <v>500000000</v>
      </c>
      <c r="G854" s="81">
        <f t="shared" ref="G854:O854" si="289">+G855+G857</f>
        <v>0</v>
      </c>
      <c r="H854" s="81">
        <f t="shared" si="289"/>
        <v>1382993704</v>
      </c>
      <c r="I854" s="81">
        <f t="shared" si="289"/>
        <v>1882993704</v>
      </c>
      <c r="J854" s="81">
        <f t="shared" si="289"/>
        <v>188389467</v>
      </c>
      <c r="K854" s="81">
        <f t="shared" si="289"/>
        <v>1569405806</v>
      </c>
      <c r="L854" s="81">
        <f t="shared" si="289"/>
        <v>0</v>
      </c>
      <c r="M854" s="81">
        <f t="shared" si="289"/>
        <v>453111772</v>
      </c>
      <c r="N854" s="81">
        <f t="shared" si="289"/>
        <v>0</v>
      </c>
      <c r="O854" s="81">
        <f t="shared" si="289"/>
        <v>453111772</v>
      </c>
      <c r="P854" s="254">
        <f t="shared" si="287"/>
        <v>0.24063371589478241</v>
      </c>
    </row>
    <row r="855" spans="1:16" s="8" customFormat="1">
      <c r="A855" s="110" t="s">
        <v>1410</v>
      </c>
      <c r="B855" s="127" t="s">
        <v>1522</v>
      </c>
      <c r="C855" s="78" t="s">
        <v>1411</v>
      </c>
      <c r="D855" s="31"/>
      <c r="E855" s="28" t="s">
        <v>1412</v>
      </c>
      <c r="F855" s="214">
        <f>+F856</f>
        <v>500000000</v>
      </c>
      <c r="G855" s="214">
        <f t="shared" ref="G855:O855" si="290">+G856</f>
        <v>0</v>
      </c>
      <c r="H855" s="214">
        <f t="shared" si="290"/>
        <v>1382993704</v>
      </c>
      <c r="I855" s="214">
        <f t="shared" si="290"/>
        <v>1882993704</v>
      </c>
      <c r="J855" s="214">
        <f t="shared" si="290"/>
        <v>188389467</v>
      </c>
      <c r="K855" s="214">
        <f t="shared" si="290"/>
        <v>1569405806</v>
      </c>
      <c r="L855" s="214">
        <f t="shared" si="290"/>
        <v>0</v>
      </c>
      <c r="M855" s="214">
        <f t="shared" si="290"/>
        <v>453111772</v>
      </c>
      <c r="N855" s="214">
        <f t="shared" si="290"/>
        <v>0</v>
      </c>
      <c r="O855" s="214">
        <f t="shared" si="290"/>
        <v>453111772</v>
      </c>
      <c r="P855" s="250">
        <f t="shared" si="287"/>
        <v>0.24063371589478241</v>
      </c>
    </row>
    <row r="856" spans="1:16" s="7" customFormat="1">
      <c r="A856" s="108"/>
      <c r="B856" s="150"/>
      <c r="C856" s="70" t="s">
        <v>1411</v>
      </c>
      <c r="D856" s="33" t="s">
        <v>1933</v>
      </c>
      <c r="E856" s="34" t="s">
        <v>279</v>
      </c>
      <c r="F856" s="35">
        <v>500000000</v>
      </c>
      <c r="G856" s="210">
        <v>0</v>
      </c>
      <c r="H856" s="210">
        <v>1382993704</v>
      </c>
      <c r="I856" s="210">
        <v>1882993704</v>
      </c>
      <c r="J856" s="210">
        <v>188389467</v>
      </c>
      <c r="K856" s="210">
        <v>1569405806</v>
      </c>
      <c r="L856" s="210">
        <v>0</v>
      </c>
      <c r="M856" s="210">
        <v>453111772</v>
      </c>
      <c r="N856" s="210">
        <v>0</v>
      </c>
      <c r="O856" s="210">
        <v>453111772</v>
      </c>
      <c r="P856" s="242">
        <f t="shared" si="287"/>
        <v>0.24063371589478241</v>
      </c>
    </row>
    <row r="857" spans="1:16" s="6" customFormat="1">
      <c r="A857" s="110" t="s">
        <v>1413</v>
      </c>
      <c r="B857" s="127"/>
      <c r="C857" s="78" t="s">
        <v>1414</v>
      </c>
      <c r="D857" s="31"/>
      <c r="E857" s="28" t="s">
        <v>1415</v>
      </c>
      <c r="F857" s="21">
        <v>0</v>
      </c>
      <c r="G857" s="21">
        <v>0</v>
      </c>
      <c r="H857" s="21">
        <v>0</v>
      </c>
      <c r="I857" s="21">
        <v>0</v>
      </c>
      <c r="J857" s="21">
        <v>0</v>
      </c>
      <c r="K857" s="21">
        <v>0</v>
      </c>
      <c r="L857" s="21">
        <v>0</v>
      </c>
      <c r="M857" s="21">
        <v>0</v>
      </c>
      <c r="N857" s="21">
        <v>0</v>
      </c>
      <c r="O857" s="21">
        <v>0</v>
      </c>
      <c r="P857" s="250">
        <f t="shared" si="287"/>
        <v>0</v>
      </c>
    </row>
    <row r="858" spans="1:16" s="6" customFormat="1">
      <c r="A858" s="103" t="s">
        <v>1416</v>
      </c>
      <c r="B858" s="59" t="s">
        <v>1902</v>
      </c>
      <c r="C858" s="59" t="s">
        <v>1417</v>
      </c>
      <c r="D858" s="59"/>
      <c r="E858" s="59" t="s">
        <v>1418</v>
      </c>
      <c r="F858" s="60">
        <f>+F859</f>
        <v>3179272000</v>
      </c>
      <c r="G858" s="60">
        <f t="shared" ref="G858:O858" si="291">+G859</f>
        <v>0</v>
      </c>
      <c r="H858" s="60">
        <f t="shared" si="291"/>
        <v>0</v>
      </c>
      <c r="I858" s="60">
        <f t="shared" si="291"/>
        <v>3179272000</v>
      </c>
      <c r="J858" s="60">
        <f t="shared" si="291"/>
        <v>0</v>
      </c>
      <c r="K858" s="60">
        <f t="shared" si="291"/>
        <v>2313093652</v>
      </c>
      <c r="L858" s="60">
        <f t="shared" si="291"/>
        <v>309000000</v>
      </c>
      <c r="M858" s="60">
        <f t="shared" si="291"/>
        <v>1233167766</v>
      </c>
      <c r="N858" s="60">
        <f t="shared" si="291"/>
        <v>209000000</v>
      </c>
      <c r="O858" s="60">
        <f t="shared" si="291"/>
        <v>1033167766</v>
      </c>
      <c r="P858" s="233">
        <f t="shared" si="287"/>
        <v>0.38787740275132171</v>
      </c>
    </row>
    <row r="859" spans="1:16" s="7" customFormat="1">
      <c r="A859" s="176" t="s">
        <v>1419</v>
      </c>
      <c r="B859" s="161" t="s">
        <v>1903</v>
      </c>
      <c r="C859" s="162" t="s">
        <v>1420</v>
      </c>
      <c r="D859" s="79"/>
      <c r="E859" s="45" t="s">
        <v>1421</v>
      </c>
      <c r="F859" s="80">
        <f t="shared" ref="F859:O859" si="292">+F860+F862</f>
        <v>3179272000</v>
      </c>
      <c r="G859" s="80">
        <f t="shared" si="292"/>
        <v>0</v>
      </c>
      <c r="H859" s="80">
        <f t="shared" si="292"/>
        <v>0</v>
      </c>
      <c r="I859" s="80">
        <f t="shared" si="292"/>
        <v>3179272000</v>
      </c>
      <c r="J859" s="80">
        <f t="shared" si="292"/>
        <v>0</v>
      </c>
      <c r="K859" s="80">
        <f t="shared" si="292"/>
        <v>2313093652</v>
      </c>
      <c r="L859" s="80">
        <f t="shared" si="292"/>
        <v>309000000</v>
      </c>
      <c r="M859" s="80">
        <f t="shared" si="292"/>
        <v>1233167766</v>
      </c>
      <c r="N859" s="80">
        <f t="shared" si="292"/>
        <v>209000000</v>
      </c>
      <c r="O859" s="80">
        <f t="shared" si="292"/>
        <v>1033167766</v>
      </c>
      <c r="P859" s="253">
        <f t="shared" si="287"/>
        <v>0.38787740275132171</v>
      </c>
    </row>
    <row r="860" spans="1:16" s="8" customFormat="1">
      <c r="A860" s="110" t="s">
        <v>1422</v>
      </c>
      <c r="B860" s="127" t="s">
        <v>1521</v>
      </c>
      <c r="C860" s="78" t="s">
        <v>1423</v>
      </c>
      <c r="D860" s="31"/>
      <c r="E860" s="28" t="s">
        <v>1424</v>
      </c>
      <c r="F860" s="21">
        <f t="shared" ref="F860:O860" si="293">+F861</f>
        <v>1509370000</v>
      </c>
      <c r="G860" s="214">
        <f t="shared" si="293"/>
        <v>0</v>
      </c>
      <c r="H860" s="214">
        <f t="shared" si="293"/>
        <v>0</v>
      </c>
      <c r="I860" s="214">
        <f t="shared" si="293"/>
        <v>1509370000</v>
      </c>
      <c r="J860" s="214">
        <f t="shared" si="293"/>
        <v>0</v>
      </c>
      <c r="K860" s="214">
        <f t="shared" si="293"/>
        <v>659422924</v>
      </c>
      <c r="L860" s="214">
        <f t="shared" si="293"/>
        <v>0</v>
      </c>
      <c r="M860" s="214">
        <f t="shared" si="293"/>
        <v>28790683</v>
      </c>
      <c r="N860" s="214">
        <f t="shared" si="293"/>
        <v>0</v>
      </c>
      <c r="O860" s="214">
        <f t="shared" si="293"/>
        <v>28790683</v>
      </c>
      <c r="P860" s="250">
        <f t="shared" si="287"/>
        <v>1.9074635775190973E-2</v>
      </c>
    </row>
    <row r="861" spans="1:16" s="7" customFormat="1">
      <c r="A861" s="108"/>
      <c r="B861" s="150"/>
      <c r="C861" s="70" t="s">
        <v>1423</v>
      </c>
      <c r="D861" s="33" t="s">
        <v>1933</v>
      </c>
      <c r="E861" s="34" t="s">
        <v>279</v>
      </c>
      <c r="F861" s="35">
        <v>1509370000</v>
      </c>
      <c r="G861" s="210">
        <v>0</v>
      </c>
      <c r="H861" s="210">
        <v>0</v>
      </c>
      <c r="I861" s="210">
        <v>1509370000</v>
      </c>
      <c r="J861" s="210">
        <v>0</v>
      </c>
      <c r="K861" s="210">
        <v>659422924</v>
      </c>
      <c r="L861" s="210">
        <v>0</v>
      </c>
      <c r="M861" s="210">
        <v>28790683</v>
      </c>
      <c r="N861" s="210">
        <v>0</v>
      </c>
      <c r="O861" s="210">
        <v>28790683</v>
      </c>
      <c r="P861" s="242">
        <f t="shared" si="287"/>
        <v>1.9074635775190973E-2</v>
      </c>
    </row>
    <row r="862" spans="1:16" s="8" customFormat="1">
      <c r="A862" s="110" t="s">
        <v>1425</v>
      </c>
      <c r="B862" s="127" t="s">
        <v>1520</v>
      </c>
      <c r="C862" s="78" t="s">
        <v>1426</v>
      </c>
      <c r="D862" s="31"/>
      <c r="E862" s="28" t="s">
        <v>1427</v>
      </c>
      <c r="F862" s="21">
        <f>+F863</f>
        <v>1669902000</v>
      </c>
      <c r="G862" s="214">
        <f t="shared" ref="G862:O862" si="294">+G863</f>
        <v>0</v>
      </c>
      <c r="H862" s="214">
        <f t="shared" si="294"/>
        <v>0</v>
      </c>
      <c r="I862" s="214">
        <f t="shared" si="294"/>
        <v>1669902000</v>
      </c>
      <c r="J862" s="214">
        <f t="shared" si="294"/>
        <v>0</v>
      </c>
      <c r="K862" s="214">
        <f t="shared" si="294"/>
        <v>1653670728</v>
      </c>
      <c r="L862" s="214">
        <f t="shared" si="294"/>
        <v>309000000</v>
      </c>
      <c r="M862" s="214">
        <f t="shared" si="294"/>
        <v>1204377083</v>
      </c>
      <c r="N862" s="214">
        <f t="shared" si="294"/>
        <v>209000000</v>
      </c>
      <c r="O862" s="214">
        <f t="shared" si="294"/>
        <v>1004377083</v>
      </c>
      <c r="P862" s="250">
        <f t="shared" si="287"/>
        <v>0.72122620548990302</v>
      </c>
    </row>
    <row r="863" spans="1:16" s="6" customFormat="1">
      <c r="A863" s="108"/>
      <c r="B863" s="150"/>
      <c r="C863" s="70" t="s">
        <v>1426</v>
      </c>
      <c r="D863" s="33" t="s">
        <v>1933</v>
      </c>
      <c r="E863" s="34" t="s">
        <v>279</v>
      </c>
      <c r="F863" s="35">
        <v>1669902000</v>
      </c>
      <c r="G863" s="210">
        <v>0</v>
      </c>
      <c r="H863" s="210">
        <v>0</v>
      </c>
      <c r="I863" s="210">
        <v>1669902000</v>
      </c>
      <c r="J863" s="210">
        <v>0</v>
      </c>
      <c r="K863" s="210">
        <v>1653670728</v>
      </c>
      <c r="L863" s="210">
        <v>309000000</v>
      </c>
      <c r="M863" s="210">
        <v>1204377083</v>
      </c>
      <c r="N863" s="210">
        <v>209000000</v>
      </c>
      <c r="O863" s="210">
        <v>1004377083</v>
      </c>
      <c r="P863" s="242">
        <f t="shared" si="287"/>
        <v>0.72122620548990302</v>
      </c>
    </row>
    <row r="864" spans="1:16" s="6" customFormat="1">
      <c r="A864" s="103" t="s">
        <v>1428</v>
      </c>
      <c r="B864" s="59" t="s">
        <v>1904</v>
      </c>
      <c r="C864" s="59" t="s">
        <v>1429</v>
      </c>
      <c r="D864" s="59"/>
      <c r="E864" s="59" t="s">
        <v>1430</v>
      </c>
      <c r="F864" s="60">
        <f>+F865+F873</f>
        <v>888360000</v>
      </c>
      <c r="G864" s="60">
        <f t="shared" ref="G864:O864" si="295">+G865+G873</f>
        <v>0</v>
      </c>
      <c r="H864" s="60">
        <f t="shared" si="295"/>
        <v>381000</v>
      </c>
      <c r="I864" s="60">
        <f t="shared" si="295"/>
        <v>888741000</v>
      </c>
      <c r="J864" s="60">
        <f t="shared" si="295"/>
        <v>0</v>
      </c>
      <c r="K864" s="60">
        <f t="shared" si="295"/>
        <v>793610826</v>
      </c>
      <c r="L864" s="60">
        <f t="shared" si="295"/>
        <v>0</v>
      </c>
      <c r="M864" s="60">
        <f t="shared" si="295"/>
        <v>779546826</v>
      </c>
      <c r="N864" s="60">
        <f t="shared" si="295"/>
        <v>0</v>
      </c>
      <c r="O864" s="60">
        <f t="shared" si="295"/>
        <v>779546826</v>
      </c>
      <c r="P864" s="233">
        <f t="shared" si="287"/>
        <v>0.8771361127707622</v>
      </c>
    </row>
    <row r="865" spans="1:16" s="2" customFormat="1">
      <c r="A865" s="176" t="s">
        <v>1431</v>
      </c>
      <c r="B865" s="161" t="s">
        <v>1905</v>
      </c>
      <c r="C865" s="162" t="s">
        <v>1432</v>
      </c>
      <c r="D865" s="79"/>
      <c r="E865" s="45" t="s">
        <v>1433</v>
      </c>
      <c r="F865" s="80">
        <f>+F866+F868</f>
        <v>888360000</v>
      </c>
      <c r="G865" s="80">
        <f t="shared" ref="G865:O865" si="296">+G866+G868</f>
        <v>0</v>
      </c>
      <c r="H865" s="80">
        <f t="shared" si="296"/>
        <v>381000</v>
      </c>
      <c r="I865" s="80">
        <f t="shared" si="296"/>
        <v>888741000</v>
      </c>
      <c r="J865" s="80">
        <f t="shared" si="296"/>
        <v>0</v>
      </c>
      <c r="K865" s="80">
        <f t="shared" si="296"/>
        <v>793610826</v>
      </c>
      <c r="L865" s="80">
        <f t="shared" si="296"/>
        <v>0</v>
      </c>
      <c r="M865" s="80">
        <f t="shared" si="296"/>
        <v>779546826</v>
      </c>
      <c r="N865" s="80">
        <f t="shared" si="296"/>
        <v>0</v>
      </c>
      <c r="O865" s="80">
        <f t="shared" si="296"/>
        <v>779546826</v>
      </c>
      <c r="P865" s="253">
        <f t="shared" si="287"/>
        <v>0.8771361127707622</v>
      </c>
    </row>
    <row r="866" spans="1:16" s="7" customFormat="1">
      <c r="A866" s="177" t="s">
        <v>1434</v>
      </c>
      <c r="B866" s="163"/>
      <c r="C866" s="164" t="s">
        <v>1435</v>
      </c>
      <c r="D866" s="46"/>
      <c r="E866" s="47" t="s">
        <v>1436</v>
      </c>
      <c r="F866" s="81">
        <f>+F867</f>
        <v>0</v>
      </c>
      <c r="G866" s="81">
        <f t="shared" ref="G866:O866" si="297">+G867</f>
        <v>0</v>
      </c>
      <c r="H866" s="81">
        <f t="shared" si="297"/>
        <v>0</v>
      </c>
      <c r="I866" s="81">
        <f t="shared" si="297"/>
        <v>0</v>
      </c>
      <c r="J866" s="81">
        <f t="shared" si="297"/>
        <v>0</v>
      </c>
      <c r="K866" s="81">
        <f t="shared" si="297"/>
        <v>0</v>
      </c>
      <c r="L866" s="81">
        <f t="shared" si="297"/>
        <v>0</v>
      </c>
      <c r="M866" s="81">
        <f t="shared" si="297"/>
        <v>0</v>
      </c>
      <c r="N866" s="81">
        <f t="shared" si="297"/>
        <v>0</v>
      </c>
      <c r="O866" s="81">
        <f t="shared" si="297"/>
        <v>0</v>
      </c>
      <c r="P866" s="254">
        <f t="shared" si="287"/>
        <v>0</v>
      </c>
    </row>
    <row r="867" spans="1:16" s="2" customFormat="1">
      <c r="A867" s="110" t="s">
        <v>1437</v>
      </c>
      <c r="B867" s="127"/>
      <c r="C867" s="78" t="s">
        <v>1438</v>
      </c>
      <c r="D867" s="31"/>
      <c r="E867" s="218" t="s">
        <v>1439</v>
      </c>
      <c r="F867" s="21">
        <v>0</v>
      </c>
      <c r="G867" s="214">
        <v>0</v>
      </c>
      <c r="H867" s="214">
        <v>0</v>
      </c>
      <c r="I867" s="214">
        <v>0</v>
      </c>
      <c r="J867" s="214">
        <v>0</v>
      </c>
      <c r="K867" s="214">
        <v>0</v>
      </c>
      <c r="L867" s="214">
        <v>0</v>
      </c>
      <c r="M867" s="214">
        <v>0</v>
      </c>
      <c r="N867" s="214">
        <v>0</v>
      </c>
      <c r="O867" s="214">
        <v>0</v>
      </c>
      <c r="P867" s="250">
        <f t="shared" si="287"/>
        <v>0</v>
      </c>
    </row>
    <row r="868" spans="1:16" s="7" customFormat="1">
      <c r="A868" s="177" t="s">
        <v>1440</v>
      </c>
      <c r="B868" s="163" t="s">
        <v>1906</v>
      </c>
      <c r="C868" s="164" t="s">
        <v>1441</v>
      </c>
      <c r="D868" s="46"/>
      <c r="E868" s="47" t="s">
        <v>1442</v>
      </c>
      <c r="F868" s="81">
        <f>+F869+F871</f>
        <v>888360000</v>
      </c>
      <c r="G868" s="81">
        <f t="shared" ref="G868:O868" si="298">+G869+G871</f>
        <v>0</v>
      </c>
      <c r="H868" s="81">
        <f t="shared" si="298"/>
        <v>381000</v>
      </c>
      <c r="I868" s="81">
        <f t="shared" si="298"/>
        <v>888741000</v>
      </c>
      <c r="J868" s="81">
        <f t="shared" si="298"/>
        <v>0</v>
      </c>
      <c r="K868" s="81">
        <f t="shared" si="298"/>
        <v>793610826</v>
      </c>
      <c r="L868" s="81">
        <f t="shared" si="298"/>
        <v>0</v>
      </c>
      <c r="M868" s="81">
        <f t="shared" si="298"/>
        <v>779546826</v>
      </c>
      <c r="N868" s="81">
        <f t="shared" si="298"/>
        <v>0</v>
      </c>
      <c r="O868" s="81">
        <f t="shared" si="298"/>
        <v>779546826</v>
      </c>
      <c r="P868" s="254">
        <f t="shared" si="287"/>
        <v>0.8771361127707622</v>
      </c>
    </row>
    <row r="869" spans="1:16" s="8" customFormat="1">
      <c r="A869" s="110" t="s">
        <v>1443</v>
      </c>
      <c r="B869" s="127" t="s">
        <v>1519</v>
      </c>
      <c r="C869" s="78" t="s">
        <v>1444</v>
      </c>
      <c r="D869" s="31"/>
      <c r="E869" s="28" t="s">
        <v>1445</v>
      </c>
      <c r="F869" s="21">
        <f>+F870</f>
        <v>2030000</v>
      </c>
      <c r="G869" s="214">
        <f t="shared" ref="G869:O869" si="299">+G870</f>
        <v>0</v>
      </c>
      <c r="H869" s="214">
        <f t="shared" si="299"/>
        <v>381000</v>
      </c>
      <c r="I869" s="214">
        <f t="shared" si="299"/>
        <v>2411000</v>
      </c>
      <c r="J869" s="214">
        <f t="shared" si="299"/>
        <v>0</v>
      </c>
      <c r="K869" s="214">
        <f t="shared" si="299"/>
        <v>2411000</v>
      </c>
      <c r="L869" s="214">
        <f t="shared" si="299"/>
        <v>0</v>
      </c>
      <c r="M869" s="214">
        <f t="shared" si="299"/>
        <v>1967000</v>
      </c>
      <c r="N869" s="214">
        <f t="shared" si="299"/>
        <v>0</v>
      </c>
      <c r="O869" s="214">
        <f t="shared" si="299"/>
        <v>1967000</v>
      </c>
      <c r="P869" s="250">
        <f t="shared" si="287"/>
        <v>0.8158440481128163</v>
      </c>
    </row>
    <row r="870" spans="1:16" s="7" customFormat="1">
      <c r="A870" s="108"/>
      <c r="B870" s="150"/>
      <c r="C870" s="70" t="s">
        <v>1444</v>
      </c>
      <c r="D870" s="33" t="s">
        <v>1909</v>
      </c>
      <c r="E870" s="34" t="s">
        <v>819</v>
      </c>
      <c r="F870" s="35">
        <v>2030000</v>
      </c>
      <c r="G870" s="210">
        <v>0</v>
      </c>
      <c r="H870" s="210">
        <v>381000</v>
      </c>
      <c r="I870" s="210">
        <v>2411000</v>
      </c>
      <c r="J870" s="210">
        <v>0</v>
      </c>
      <c r="K870" s="210">
        <v>2411000</v>
      </c>
      <c r="L870" s="210">
        <v>0</v>
      </c>
      <c r="M870" s="210">
        <v>1967000</v>
      </c>
      <c r="N870" s="210">
        <v>0</v>
      </c>
      <c r="O870" s="210">
        <v>1967000</v>
      </c>
      <c r="P870" s="242">
        <f t="shared" si="287"/>
        <v>0.8158440481128163</v>
      </c>
    </row>
    <row r="871" spans="1:16" s="8" customFormat="1">
      <c r="A871" s="110" t="s">
        <v>1446</v>
      </c>
      <c r="B871" s="127" t="s">
        <v>1518</v>
      </c>
      <c r="C871" s="78" t="s">
        <v>1447</v>
      </c>
      <c r="D871" s="31"/>
      <c r="E871" s="28" t="s">
        <v>1448</v>
      </c>
      <c r="F871" s="21">
        <f>+F872</f>
        <v>886330000</v>
      </c>
      <c r="G871" s="214">
        <f t="shared" ref="G871:O871" si="300">+G872</f>
        <v>0</v>
      </c>
      <c r="H871" s="214">
        <f t="shared" si="300"/>
        <v>0</v>
      </c>
      <c r="I871" s="214">
        <f t="shared" si="300"/>
        <v>886330000</v>
      </c>
      <c r="J871" s="214">
        <f t="shared" si="300"/>
        <v>0</v>
      </c>
      <c r="K871" s="214">
        <f t="shared" si="300"/>
        <v>791199826</v>
      </c>
      <c r="L871" s="214">
        <f t="shared" si="300"/>
        <v>0</v>
      </c>
      <c r="M871" s="214">
        <f t="shared" si="300"/>
        <v>777579826</v>
      </c>
      <c r="N871" s="214">
        <f t="shared" si="300"/>
        <v>0</v>
      </c>
      <c r="O871" s="214">
        <f t="shared" si="300"/>
        <v>777579826</v>
      </c>
      <c r="P871" s="250">
        <f t="shared" si="287"/>
        <v>0.87730283980007451</v>
      </c>
    </row>
    <row r="872" spans="1:16" s="6" customFormat="1">
      <c r="A872" s="108"/>
      <c r="B872" s="150"/>
      <c r="C872" s="70" t="s">
        <v>1447</v>
      </c>
      <c r="D872" s="33" t="s">
        <v>1909</v>
      </c>
      <c r="E872" s="34" t="s">
        <v>819</v>
      </c>
      <c r="F872" s="35">
        <v>886330000</v>
      </c>
      <c r="G872" s="210">
        <v>0</v>
      </c>
      <c r="H872" s="210">
        <v>0</v>
      </c>
      <c r="I872" s="210">
        <v>886330000</v>
      </c>
      <c r="J872" s="210">
        <v>0</v>
      </c>
      <c r="K872" s="210">
        <v>791199826</v>
      </c>
      <c r="L872" s="210">
        <v>0</v>
      </c>
      <c r="M872" s="210">
        <v>777579826</v>
      </c>
      <c r="N872" s="210">
        <v>0</v>
      </c>
      <c r="O872" s="210">
        <v>777579826</v>
      </c>
      <c r="P872" s="242">
        <f t="shared" si="287"/>
        <v>0.87730283980007451</v>
      </c>
    </row>
    <row r="873" spans="1:16" s="2" customFormat="1">
      <c r="A873" s="176" t="s">
        <v>1449</v>
      </c>
      <c r="B873" s="161" t="s">
        <v>1907</v>
      </c>
      <c r="C873" s="162" t="s">
        <v>1450</v>
      </c>
      <c r="D873" s="79"/>
      <c r="E873" s="45" t="s">
        <v>1451</v>
      </c>
      <c r="F873" s="80">
        <f>+F874</f>
        <v>0</v>
      </c>
      <c r="G873" s="80">
        <f t="shared" ref="G873:O873" si="301">+G874</f>
        <v>0</v>
      </c>
      <c r="H873" s="80">
        <f t="shared" si="301"/>
        <v>0</v>
      </c>
      <c r="I873" s="80">
        <f t="shared" si="301"/>
        <v>0</v>
      </c>
      <c r="J873" s="80">
        <f t="shared" si="301"/>
        <v>0</v>
      </c>
      <c r="K873" s="80">
        <f t="shared" si="301"/>
        <v>0</v>
      </c>
      <c r="L873" s="80">
        <f t="shared" si="301"/>
        <v>0</v>
      </c>
      <c r="M873" s="80">
        <f t="shared" si="301"/>
        <v>0</v>
      </c>
      <c r="N873" s="80">
        <f t="shared" si="301"/>
        <v>0</v>
      </c>
      <c r="O873" s="80">
        <f t="shared" si="301"/>
        <v>0</v>
      </c>
      <c r="P873" s="253">
        <f t="shared" si="287"/>
        <v>0</v>
      </c>
    </row>
    <row r="874" spans="1:16" s="7" customFormat="1">
      <c r="A874" s="177" t="s">
        <v>1452</v>
      </c>
      <c r="B874" s="163" t="s">
        <v>1908</v>
      </c>
      <c r="C874" s="164" t="s">
        <v>1453</v>
      </c>
      <c r="D874" s="46"/>
      <c r="E874" s="47" t="s">
        <v>1454</v>
      </c>
      <c r="F874" s="81">
        <f>+F875+F876</f>
        <v>0</v>
      </c>
      <c r="G874" s="81">
        <f t="shared" ref="G874:O874" si="302">+G875+G876</f>
        <v>0</v>
      </c>
      <c r="H874" s="81">
        <f t="shared" si="302"/>
        <v>0</v>
      </c>
      <c r="I874" s="81">
        <f t="shared" si="302"/>
        <v>0</v>
      </c>
      <c r="J874" s="81">
        <f t="shared" si="302"/>
        <v>0</v>
      </c>
      <c r="K874" s="81">
        <f t="shared" si="302"/>
        <v>0</v>
      </c>
      <c r="L874" s="81">
        <f t="shared" si="302"/>
        <v>0</v>
      </c>
      <c r="M874" s="81">
        <f t="shared" si="302"/>
        <v>0</v>
      </c>
      <c r="N874" s="81">
        <f t="shared" si="302"/>
        <v>0</v>
      </c>
      <c r="O874" s="81">
        <f t="shared" si="302"/>
        <v>0</v>
      </c>
      <c r="P874" s="254">
        <f t="shared" si="287"/>
        <v>0</v>
      </c>
    </row>
    <row r="875" spans="1:16" s="8" customFormat="1">
      <c r="A875" s="110" t="s">
        <v>1455</v>
      </c>
      <c r="B875" s="127"/>
      <c r="C875" s="78" t="s">
        <v>1456</v>
      </c>
      <c r="D875" s="31"/>
      <c r="E875" s="28" t="s">
        <v>1457</v>
      </c>
      <c r="F875" s="21">
        <v>0</v>
      </c>
      <c r="G875" s="214">
        <v>0</v>
      </c>
      <c r="H875" s="214">
        <v>0</v>
      </c>
      <c r="I875" s="214">
        <v>0</v>
      </c>
      <c r="J875" s="214">
        <v>0</v>
      </c>
      <c r="K875" s="214">
        <v>0</v>
      </c>
      <c r="L875" s="214">
        <v>0</v>
      </c>
      <c r="M875" s="214">
        <v>0</v>
      </c>
      <c r="N875" s="214">
        <v>0</v>
      </c>
      <c r="O875" s="214">
        <v>0</v>
      </c>
      <c r="P875" s="250">
        <f t="shared" si="287"/>
        <v>0</v>
      </c>
    </row>
    <row r="876" spans="1:16" ht="15.75" customHeight="1" thickBot="1">
      <c r="A876" s="119" t="s">
        <v>1458</v>
      </c>
      <c r="B876" s="139" t="s">
        <v>1517</v>
      </c>
      <c r="C876" s="140" t="s">
        <v>1459</v>
      </c>
      <c r="D876" s="120"/>
      <c r="E876" s="121" t="s">
        <v>1460</v>
      </c>
      <c r="F876" s="122">
        <v>0</v>
      </c>
      <c r="G876" s="214">
        <v>0</v>
      </c>
      <c r="H876" s="214">
        <v>0</v>
      </c>
      <c r="I876" s="214">
        <v>0</v>
      </c>
      <c r="J876" s="214">
        <v>0</v>
      </c>
      <c r="K876" s="214">
        <v>0</v>
      </c>
      <c r="L876" s="214">
        <v>0</v>
      </c>
      <c r="M876" s="214">
        <v>0</v>
      </c>
      <c r="N876" s="214">
        <v>0</v>
      </c>
      <c r="O876" s="214">
        <v>0</v>
      </c>
      <c r="P876" s="257">
        <f t="shared" si="287"/>
        <v>0</v>
      </c>
    </row>
    <row r="877" spans="1:16">
      <c r="A877" s="180"/>
      <c r="B877" s="180" t="s">
        <v>1999</v>
      </c>
      <c r="C877" s="24"/>
      <c r="D877" s="58"/>
      <c r="E877" s="24" t="s">
        <v>2000</v>
      </c>
      <c r="F877" s="181">
        <f>+F878+F891</f>
        <v>43528101000</v>
      </c>
      <c r="G877" s="181">
        <f t="shared" ref="G877:O877" si="303">+G878+G891</f>
        <v>1661273725</v>
      </c>
      <c r="H877" s="181">
        <f t="shared" si="303"/>
        <v>10800762293</v>
      </c>
      <c r="I877" s="181">
        <f t="shared" si="303"/>
        <v>54328863293</v>
      </c>
      <c r="J877" s="181">
        <f t="shared" si="303"/>
        <v>7036067317</v>
      </c>
      <c r="K877" s="181">
        <f t="shared" si="303"/>
        <v>20750586884</v>
      </c>
      <c r="L877" s="181">
        <f t="shared" si="303"/>
        <v>3431805195</v>
      </c>
      <c r="M877" s="181">
        <f t="shared" si="303"/>
        <v>13895636430</v>
      </c>
      <c r="N877" s="181">
        <f t="shared" si="303"/>
        <v>1050982426</v>
      </c>
      <c r="O877" s="181">
        <f t="shared" si="303"/>
        <v>8166802753</v>
      </c>
      <c r="P877" s="258">
        <f t="shared" si="287"/>
        <v>0.25576895204045952</v>
      </c>
    </row>
    <row r="878" spans="1:16">
      <c r="A878" s="111" t="s">
        <v>21</v>
      </c>
      <c r="B878" s="91" t="s">
        <v>1509</v>
      </c>
      <c r="C878" s="91" t="s">
        <v>0</v>
      </c>
      <c r="D878" s="92"/>
      <c r="E878" s="91" t="s">
        <v>1</v>
      </c>
      <c r="F878" s="142">
        <f t="shared" ref="F878:O878" si="304">F879</f>
        <v>43316311000</v>
      </c>
      <c r="G878" s="142">
        <f t="shared" si="304"/>
        <v>1278780064</v>
      </c>
      <c r="H878" s="142">
        <f t="shared" si="304"/>
        <v>10418268632</v>
      </c>
      <c r="I878" s="142">
        <f t="shared" si="304"/>
        <v>53734579632</v>
      </c>
      <c r="J878" s="142">
        <f t="shared" si="304"/>
        <v>7036067317</v>
      </c>
      <c r="K878" s="142">
        <f t="shared" si="304"/>
        <v>20746386884</v>
      </c>
      <c r="L878" s="142">
        <f t="shared" si="304"/>
        <v>3431805195</v>
      </c>
      <c r="M878" s="142">
        <f t="shared" si="304"/>
        <v>13891436430</v>
      </c>
      <c r="N878" s="142">
        <f t="shared" si="304"/>
        <v>1050982426</v>
      </c>
      <c r="O878" s="142">
        <f t="shared" si="304"/>
        <v>8162602753</v>
      </c>
      <c r="P878" s="259">
        <f t="shared" si="287"/>
        <v>0.25851949573505878</v>
      </c>
    </row>
    <row r="879" spans="1:16">
      <c r="A879" s="112" t="s">
        <v>29</v>
      </c>
      <c r="B879" s="93" t="s">
        <v>1507</v>
      </c>
      <c r="C879" s="93" t="s">
        <v>30</v>
      </c>
      <c r="D879" s="94"/>
      <c r="E879" s="93" t="s">
        <v>31</v>
      </c>
      <c r="F879" s="187">
        <f t="shared" ref="F879:O880" si="305">+F880</f>
        <v>43316311000</v>
      </c>
      <c r="G879" s="187">
        <f t="shared" si="305"/>
        <v>1278780064</v>
      </c>
      <c r="H879" s="187">
        <f t="shared" si="305"/>
        <v>10418268632</v>
      </c>
      <c r="I879" s="187">
        <f t="shared" si="305"/>
        <v>53734579632</v>
      </c>
      <c r="J879" s="187">
        <f t="shared" si="305"/>
        <v>7036067317</v>
      </c>
      <c r="K879" s="187">
        <f t="shared" si="305"/>
        <v>20746386884</v>
      </c>
      <c r="L879" s="187">
        <f t="shared" si="305"/>
        <v>3431805195</v>
      </c>
      <c r="M879" s="187">
        <f t="shared" si="305"/>
        <v>13891436430</v>
      </c>
      <c r="N879" s="187">
        <f t="shared" si="305"/>
        <v>1050982426</v>
      </c>
      <c r="O879" s="187">
        <f t="shared" si="305"/>
        <v>8162602753</v>
      </c>
      <c r="P879" s="260">
        <f t="shared" si="287"/>
        <v>0.25851949573505878</v>
      </c>
    </row>
    <row r="880" spans="1:16">
      <c r="A880" s="113" t="s">
        <v>32</v>
      </c>
      <c r="B880" s="48" t="s">
        <v>1508</v>
      </c>
      <c r="C880" s="48" t="s">
        <v>33</v>
      </c>
      <c r="D880" s="85"/>
      <c r="E880" s="48" t="s">
        <v>34</v>
      </c>
      <c r="F880" s="143">
        <f t="shared" si="305"/>
        <v>43316311000</v>
      </c>
      <c r="G880" s="143">
        <f t="shared" si="305"/>
        <v>1278780064</v>
      </c>
      <c r="H880" s="143">
        <f t="shared" si="305"/>
        <v>10418268632</v>
      </c>
      <c r="I880" s="143">
        <f t="shared" si="305"/>
        <v>53734579632</v>
      </c>
      <c r="J880" s="143">
        <f t="shared" si="305"/>
        <v>7036067317</v>
      </c>
      <c r="K880" s="143">
        <f t="shared" si="305"/>
        <v>20746386884</v>
      </c>
      <c r="L880" s="143">
        <f t="shared" si="305"/>
        <v>3431805195</v>
      </c>
      <c r="M880" s="143">
        <f t="shared" si="305"/>
        <v>13891436430</v>
      </c>
      <c r="N880" s="143">
        <f t="shared" si="305"/>
        <v>1050982426</v>
      </c>
      <c r="O880" s="143">
        <f t="shared" si="305"/>
        <v>8162602753</v>
      </c>
      <c r="P880" s="261">
        <f t="shared" si="287"/>
        <v>0.25851949573505878</v>
      </c>
    </row>
    <row r="881" spans="1:16">
      <c r="A881" s="114" t="s">
        <v>35</v>
      </c>
      <c r="B881" s="49" t="s">
        <v>1506</v>
      </c>
      <c r="C881" s="49" t="s">
        <v>36</v>
      </c>
      <c r="D881" s="86"/>
      <c r="E881" s="49" t="s">
        <v>37</v>
      </c>
      <c r="F881" s="144">
        <f t="shared" ref="F881:O881" si="306">SUM(F882:F890)</f>
        <v>43316311000</v>
      </c>
      <c r="G881" s="144">
        <f t="shared" si="306"/>
        <v>1278780064</v>
      </c>
      <c r="H881" s="144">
        <f t="shared" si="306"/>
        <v>10418268632</v>
      </c>
      <c r="I881" s="144">
        <f t="shared" si="306"/>
        <v>53734579632</v>
      </c>
      <c r="J881" s="144">
        <f t="shared" si="306"/>
        <v>7036067317</v>
      </c>
      <c r="K881" s="144">
        <f t="shared" si="306"/>
        <v>20746386884</v>
      </c>
      <c r="L881" s="144">
        <f t="shared" si="306"/>
        <v>3431805195</v>
      </c>
      <c r="M881" s="144">
        <f t="shared" si="306"/>
        <v>13891436430</v>
      </c>
      <c r="N881" s="144">
        <f t="shared" si="306"/>
        <v>1050982426</v>
      </c>
      <c r="O881" s="144">
        <f t="shared" si="306"/>
        <v>8162602753</v>
      </c>
      <c r="P881" s="262">
        <f t="shared" si="287"/>
        <v>0.25851949573505878</v>
      </c>
    </row>
    <row r="882" spans="1:16">
      <c r="A882" s="110" t="s">
        <v>38</v>
      </c>
      <c r="B882" s="127" t="s">
        <v>1490</v>
      </c>
      <c r="C882" s="78" t="s">
        <v>39</v>
      </c>
      <c r="D882" s="31" t="s">
        <v>1974</v>
      </c>
      <c r="E882" s="28" t="s">
        <v>40</v>
      </c>
      <c r="F882" s="138">
        <v>0</v>
      </c>
      <c r="G882" s="215">
        <v>0</v>
      </c>
      <c r="H882" s="215">
        <v>346985635</v>
      </c>
      <c r="I882" s="215">
        <v>346985635</v>
      </c>
      <c r="J882" s="215">
        <v>47909519</v>
      </c>
      <c r="K882" s="215">
        <v>47909519</v>
      </c>
      <c r="L882" s="215">
        <v>0</v>
      </c>
      <c r="M882" s="215">
        <v>47909519</v>
      </c>
      <c r="N882" s="215">
        <v>0</v>
      </c>
      <c r="O882" s="215">
        <v>47909519</v>
      </c>
      <c r="P882" s="263">
        <f t="shared" si="287"/>
        <v>0.13807349402231017</v>
      </c>
    </row>
    <row r="883" spans="1:16">
      <c r="A883" s="110" t="s">
        <v>41</v>
      </c>
      <c r="B883" s="127" t="s">
        <v>1491</v>
      </c>
      <c r="C883" s="78" t="s">
        <v>42</v>
      </c>
      <c r="D883" s="31" t="s">
        <v>1974</v>
      </c>
      <c r="E883" s="28" t="s">
        <v>43</v>
      </c>
      <c r="F883" s="138">
        <v>16072252000</v>
      </c>
      <c r="G883" s="215">
        <v>0</v>
      </c>
      <c r="H883" s="215">
        <v>1398412287</v>
      </c>
      <c r="I883" s="215">
        <v>17470664287</v>
      </c>
      <c r="J883" s="215">
        <v>307668942</v>
      </c>
      <c r="K883" s="215">
        <v>868344475</v>
      </c>
      <c r="L883" s="215">
        <v>103765500</v>
      </c>
      <c r="M883" s="215">
        <v>448967244</v>
      </c>
      <c r="N883" s="215">
        <v>403943</v>
      </c>
      <c r="O883" s="215">
        <v>225632875</v>
      </c>
      <c r="P883" s="263">
        <f t="shared" si="287"/>
        <v>2.5698349909572617E-2</v>
      </c>
    </row>
    <row r="884" spans="1:16">
      <c r="A884" s="110" t="s">
        <v>44</v>
      </c>
      <c r="B884" s="127" t="s">
        <v>1492</v>
      </c>
      <c r="C884" s="78" t="s">
        <v>45</v>
      </c>
      <c r="D884" s="31" t="s">
        <v>1974</v>
      </c>
      <c r="E884" s="28" t="s">
        <v>46</v>
      </c>
      <c r="F884" s="138">
        <v>1762733000</v>
      </c>
      <c r="G884" s="215">
        <v>0</v>
      </c>
      <c r="H884" s="215">
        <v>0</v>
      </c>
      <c r="I884" s="215">
        <v>1762733000</v>
      </c>
      <c r="J884" s="215">
        <v>325196158</v>
      </c>
      <c r="K884" s="215">
        <v>1520165290</v>
      </c>
      <c r="L884" s="215">
        <v>24236588</v>
      </c>
      <c r="M884" s="215">
        <v>1219205720</v>
      </c>
      <c r="N884" s="215">
        <v>63524454</v>
      </c>
      <c r="O884" s="215">
        <v>1125034289</v>
      </c>
      <c r="P884" s="263">
        <f t="shared" si="287"/>
        <v>0.69165649023419884</v>
      </c>
    </row>
    <row r="885" spans="1:16">
      <c r="A885" s="110" t="s">
        <v>47</v>
      </c>
      <c r="B885" s="127" t="s">
        <v>1493</v>
      </c>
      <c r="C885" s="78" t="s">
        <v>48</v>
      </c>
      <c r="D885" s="31" t="s">
        <v>1974</v>
      </c>
      <c r="E885" s="28" t="s">
        <v>49</v>
      </c>
      <c r="F885" s="138">
        <v>6466642400</v>
      </c>
      <c r="G885" s="215">
        <v>0</v>
      </c>
      <c r="H885" s="215">
        <v>0</v>
      </c>
      <c r="I885" s="215">
        <v>6466642000</v>
      </c>
      <c r="J885" s="215">
        <v>1573331127</v>
      </c>
      <c r="K885" s="215">
        <v>4484328970</v>
      </c>
      <c r="L885" s="215">
        <v>1206843133</v>
      </c>
      <c r="M885" s="215">
        <v>4006006034</v>
      </c>
      <c r="N885" s="215">
        <v>150022643</v>
      </c>
      <c r="O885" s="215">
        <v>2707469772</v>
      </c>
      <c r="P885" s="263">
        <f t="shared" si="287"/>
        <v>0.61948783217008152</v>
      </c>
    </row>
    <row r="886" spans="1:16">
      <c r="A886" s="110" t="s">
        <v>50</v>
      </c>
      <c r="B886" s="127" t="s">
        <v>1494</v>
      </c>
      <c r="C886" s="78" t="s">
        <v>51</v>
      </c>
      <c r="D886" s="31" t="s">
        <v>1974</v>
      </c>
      <c r="E886" s="28" t="s">
        <v>52</v>
      </c>
      <c r="F886" s="138">
        <v>2565693000</v>
      </c>
      <c r="G886" s="215">
        <v>0</v>
      </c>
      <c r="H886" s="215">
        <v>0</v>
      </c>
      <c r="I886" s="215">
        <v>2565693000</v>
      </c>
      <c r="J886" s="215">
        <v>210683056</v>
      </c>
      <c r="K886" s="215">
        <v>1225247076</v>
      </c>
      <c r="L886" s="215">
        <v>184248922</v>
      </c>
      <c r="M886" s="215">
        <v>1123056712</v>
      </c>
      <c r="N886" s="215">
        <v>62118528</v>
      </c>
      <c r="O886" s="215">
        <v>937927590</v>
      </c>
      <c r="P886" s="263">
        <f t="shared" si="287"/>
        <v>0.43772061271555091</v>
      </c>
    </row>
    <row r="887" spans="1:16">
      <c r="A887" s="110" t="s">
        <v>53</v>
      </c>
      <c r="B887" s="127" t="s">
        <v>1495</v>
      </c>
      <c r="C887" s="78" t="s">
        <v>54</v>
      </c>
      <c r="D887" s="31" t="s">
        <v>1974</v>
      </c>
      <c r="E887" s="28" t="s">
        <v>55</v>
      </c>
      <c r="F887" s="138">
        <v>574376000</v>
      </c>
      <c r="G887" s="215">
        <v>0</v>
      </c>
      <c r="H887" s="215">
        <v>1150011870</v>
      </c>
      <c r="I887" s="215">
        <v>1724387870</v>
      </c>
      <c r="J887" s="215">
        <v>867927022</v>
      </c>
      <c r="K887" s="215">
        <v>1540007292</v>
      </c>
      <c r="L887" s="215">
        <v>407086764</v>
      </c>
      <c r="M887" s="215">
        <v>749995422</v>
      </c>
      <c r="N887" s="215">
        <v>1879217</v>
      </c>
      <c r="O887" s="215">
        <v>342776937</v>
      </c>
      <c r="P887" s="263">
        <f t="shared" si="287"/>
        <v>0.43493429468394484</v>
      </c>
    </row>
    <row r="888" spans="1:16">
      <c r="A888" s="110" t="s">
        <v>56</v>
      </c>
      <c r="B888" s="127" t="s">
        <v>1496</v>
      </c>
      <c r="C888" s="78" t="s">
        <v>57</v>
      </c>
      <c r="D888" s="31" t="s">
        <v>1974</v>
      </c>
      <c r="E888" s="28" t="s">
        <v>58</v>
      </c>
      <c r="F888" s="138">
        <v>7937309000</v>
      </c>
      <c r="G888" s="215">
        <v>0</v>
      </c>
      <c r="H888" s="215">
        <v>1313535937</v>
      </c>
      <c r="I888" s="215">
        <v>9250844937</v>
      </c>
      <c r="J888" s="215">
        <v>1014706255</v>
      </c>
      <c r="K888" s="215">
        <v>4289585940</v>
      </c>
      <c r="L888" s="215">
        <v>534141648</v>
      </c>
      <c r="M888" s="215">
        <v>3263353353</v>
      </c>
      <c r="N888" s="215">
        <v>646184833</v>
      </c>
      <c r="O888" s="215">
        <v>866846941</v>
      </c>
      <c r="P888" s="263">
        <f t="shared" si="287"/>
        <v>0.35276273413121206</v>
      </c>
    </row>
    <row r="889" spans="1:16">
      <c r="A889" s="110" t="s">
        <v>59</v>
      </c>
      <c r="B889" s="127" t="s">
        <v>1497</v>
      </c>
      <c r="C889" s="78" t="s">
        <v>60</v>
      </c>
      <c r="D889" s="31" t="s">
        <v>1974</v>
      </c>
      <c r="E889" s="28" t="s">
        <v>61</v>
      </c>
      <c r="F889" s="138">
        <v>5952979000</v>
      </c>
      <c r="G889" s="215">
        <v>1278780064</v>
      </c>
      <c r="H889" s="215">
        <v>6209322903</v>
      </c>
      <c r="I889" s="215">
        <v>12162301903</v>
      </c>
      <c r="J889" s="215">
        <v>2698762990</v>
      </c>
      <c r="K889" s="215">
        <v>5130790211</v>
      </c>
      <c r="L889" s="215">
        <v>602226492</v>
      </c>
      <c r="M889" s="215">
        <v>1392934315</v>
      </c>
      <c r="N889" s="215">
        <v>1413801</v>
      </c>
      <c r="O889" s="215">
        <v>790707823</v>
      </c>
      <c r="P889" s="263">
        <f t="shared" si="287"/>
        <v>0.11452883887518148</v>
      </c>
    </row>
    <row r="890" spans="1:16" ht="12.75" thickBot="1">
      <c r="A890" s="119" t="s">
        <v>62</v>
      </c>
      <c r="B890" s="139" t="s">
        <v>1498</v>
      </c>
      <c r="C890" s="140" t="s">
        <v>63</v>
      </c>
      <c r="D890" s="120" t="s">
        <v>1974</v>
      </c>
      <c r="E890" s="121" t="s">
        <v>64</v>
      </c>
      <c r="F890" s="141">
        <v>1984326600</v>
      </c>
      <c r="G890" s="216">
        <v>0</v>
      </c>
      <c r="H890" s="216">
        <v>0</v>
      </c>
      <c r="I890" s="216">
        <v>1984327000</v>
      </c>
      <c r="J890" s="216">
        <v>-10117752</v>
      </c>
      <c r="K890" s="216">
        <v>1640008111</v>
      </c>
      <c r="L890" s="216">
        <v>369256148</v>
      </c>
      <c r="M890" s="216">
        <v>1640008111</v>
      </c>
      <c r="N890" s="216">
        <v>125435007</v>
      </c>
      <c r="O890" s="216">
        <v>1118297007</v>
      </c>
      <c r="P890" s="264">
        <f t="shared" si="287"/>
        <v>0.82648077207032911</v>
      </c>
    </row>
    <row r="891" spans="1:16">
      <c r="A891" s="115" t="s">
        <v>22</v>
      </c>
      <c r="B891" s="89" t="s">
        <v>1499</v>
      </c>
      <c r="C891" s="89" t="s">
        <v>2</v>
      </c>
      <c r="D891" s="89"/>
      <c r="E891" s="89" t="s">
        <v>3</v>
      </c>
      <c r="F891" s="130">
        <f t="shared" ref="F891:O894" si="307">+F892</f>
        <v>211790000</v>
      </c>
      <c r="G891" s="130">
        <f t="shared" si="307"/>
        <v>382493661</v>
      </c>
      <c r="H891" s="130">
        <f t="shared" si="307"/>
        <v>382493661</v>
      </c>
      <c r="I891" s="130">
        <f t="shared" si="307"/>
        <v>594283661</v>
      </c>
      <c r="J891" s="130">
        <f t="shared" si="307"/>
        <v>0</v>
      </c>
      <c r="K891" s="130">
        <f t="shared" si="307"/>
        <v>4200000</v>
      </c>
      <c r="L891" s="130">
        <f t="shared" si="307"/>
        <v>0</v>
      </c>
      <c r="M891" s="130">
        <f t="shared" si="307"/>
        <v>4200000</v>
      </c>
      <c r="N891" s="130">
        <f t="shared" si="307"/>
        <v>0</v>
      </c>
      <c r="O891" s="130">
        <f t="shared" si="307"/>
        <v>4200000</v>
      </c>
      <c r="P891" s="265">
        <f t="shared" si="287"/>
        <v>7.0673321102799093E-3</v>
      </c>
    </row>
    <row r="892" spans="1:16">
      <c r="A892" s="116" t="s">
        <v>23</v>
      </c>
      <c r="B892" s="95" t="s">
        <v>1500</v>
      </c>
      <c r="C892" s="95" t="s">
        <v>4</v>
      </c>
      <c r="D892" s="95"/>
      <c r="E892" s="95" t="s">
        <v>5</v>
      </c>
      <c r="F892" s="131">
        <f t="shared" si="307"/>
        <v>211790000</v>
      </c>
      <c r="G892" s="131">
        <f t="shared" si="307"/>
        <v>382493661</v>
      </c>
      <c r="H892" s="131">
        <f t="shared" si="307"/>
        <v>382493661</v>
      </c>
      <c r="I892" s="131">
        <f t="shared" si="307"/>
        <v>594283661</v>
      </c>
      <c r="J892" s="131">
        <f t="shared" si="307"/>
        <v>0</v>
      </c>
      <c r="K892" s="131">
        <f t="shared" si="307"/>
        <v>4200000</v>
      </c>
      <c r="L892" s="131">
        <f t="shared" si="307"/>
        <v>0</v>
      </c>
      <c r="M892" s="131">
        <f t="shared" si="307"/>
        <v>4200000</v>
      </c>
      <c r="N892" s="131">
        <f t="shared" si="307"/>
        <v>0</v>
      </c>
      <c r="O892" s="131">
        <f t="shared" si="307"/>
        <v>4200000</v>
      </c>
      <c r="P892" s="266">
        <f t="shared" si="287"/>
        <v>7.0673321102799093E-3</v>
      </c>
    </row>
    <row r="893" spans="1:16">
      <c r="A893" s="117" t="s">
        <v>24</v>
      </c>
      <c r="B893" s="90" t="s">
        <v>1501</v>
      </c>
      <c r="C893" s="90" t="s">
        <v>6</v>
      </c>
      <c r="D893" s="90"/>
      <c r="E893" s="90" t="s">
        <v>7</v>
      </c>
      <c r="F893" s="132">
        <f t="shared" si="307"/>
        <v>211790000</v>
      </c>
      <c r="G893" s="132">
        <f t="shared" si="307"/>
        <v>382493661</v>
      </c>
      <c r="H893" s="132">
        <f t="shared" si="307"/>
        <v>382493661</v>
      </c>
      <c r="I893" s="132">
        <f t="shared" si="307"/>
        <v>594283661</v>
      </c>
      <c r="J893" s="132">
        <f t="shared" si="307"/>
        <v>0</v>
      </c>
      <c r="K893" s="132">
        <f t="shared" si="307"/>
        <v>4200000</v>
      </c>
      <c r="L893" s="132">
        <f t="shared" si="307"/>
        <v>0</v>
      </c>
      <c r="M893" s="132">
        <f t="shared" si="307"/>
        <v>4200000</v>
      </c>
      <c r="N893" s="132">
        <f t="shared" si="307"/>
        <v>0</v>
      </c>
      <c r="O893" s="132">
        <f t="shared" si="307"/>
        <v>4200000</v>
      </c>
      <c r="P893" s="267">
        <f t="shared" si="287"/>
        <v>7.0673321102799093E-3</v>
      </c>
    </row>
    <row r="894" spans="1:16">
      <c r="A894" s="118" t="s">
        <v>25</v>
      </c>
      <c r="B894" s="96" t="s">
        <v>1502</v>
      </c>
      <c r="C894" s="96" t="s">
        <v>8</v>
      </c>
      <c r="D894" s="96"/>
      <c r="E894" s="96" t="s">
        <v>9</v>
      </c>
      <c r="F894" s="133">
        <f>+F895</f>
        <v>211790000</v>
      </c>
      <c r="G894" s="133">
        <f t="shared" si="307"/>
        <v>382493661</v>
      </c>
      <c r="H894" s="133">
        <f t="shared" si="307"/>
        <v>382493661</v>
      </c>
      <c r="I894" s="133">
        <f t="shared" si="307"/>
        <v>594283661</v>
      </c>
      <c r="J894" s="133">
        <f t="shared" si="307"/>
        <v>0</v>
      </c>
      <c r="K894" s="133">
        <f t="shared" si="307"/>
        <v>4200000</v>
      </c>
      <c r="L894" s="133">
        <f t="shared" si="307"/>
        <v>0</v>
      </c>
      <c r="M894" s="133">
        <f t="shared" si="307"/>
        <v>4200000</v>
      </c>
      <c r="N894" s="133">
        <f t="shared" si="307"/>
        <v>0</v>
      </c>
      <c r="O894" s="133">
        <f t="shared" si="307"/>
        <v>4200000</v>
      </c>
      <c r="P894" s="268">
        <f t="shared" si="287"/>
        <v>7.0673321102799093E-3</v>
      </c>
    </row>
    <row r="895" spans="1:16">
      <c r="A895" s="134" t="s">
        <v>26</v>
      </c>
      <c r="B895" s="123" t="s">
        <v>1503</v>
      </c>
      <c r="C895" s="124" t="s">
        <v>10</v>
      </c>
      <c r="D895" s="67"/>
      <c r="E895" s="25" t="s">
        <v>11</v>
      </c>
      <c r="F895" s="135">
        <f t="shared" ref="F895:O895" si="308">+F896+F898</f>
        <v>211790000</v>
      </c>
      <c r="G895" s="135">
        <f t="shared" si="308"/>
        <v>382493661</v>
      </c>
      <c r="H895" s="135">
        <f t="shared" si="308"/>
        <v>382493661</v>
      </c>
      <c r="I895" s="135">
        <f t="shared" si="308"/>
        <v>594283661</v>
      </c>
      <c r="J895" s="135">
        <f t="shared" si="308"/>
        <v>0</v>
      </c>
      <c r="K895" s="135">
        <f t="shared" si="308"/>
        <v>4200000</v>
      </c>
      <c r="L895" s="135">
        <f t="shared" si="308"/>
        <v>0</v>
      </c>
      <c r="M895" s="135">
        <f t="shared" si="308"/>
        <v>4200000</v>
      </c>
      <c r="N895" s="135">
        <f t="shared" si="308"/>
        <v>0</v>
      </c>
      <c r="O895" s="135">
        <f t="shared" si="308"/>
        <v>4200000</v>
      </c>
      <c r="P895" s="269">
        <f t="shared" si="287"/>
        <v>7.0673321102799093E-3</v>
      </c>
    </row>
    <row r="896" spans="1:16">
      <c r="A896" s="136" t="s">
        <v>27</v>
      </c>
      <c r="B896" s="125"/>
      <c r="C896" s="126" t="s">
        <v>12</v>
      </c>
      <c r="D896" s="29"/>
      <c r="E896" s="19" t="s">
        <v>13</v>
      </c>
      <c r="F896" s="137">
        <f t="shared" ref="F896:O896" si="309">+F897</f>
        <v>50887000</v>
      </c>
      <c r="G896" s="137">
        <f t="shared" si="309"/>
        <v>0</v>
      </c>
      <c r="H896" s="137">
        <f t="shared" si="309"/>
        <v>0</v>
      </c>
      <c r="I896" s="137">
        <f t="shared" si="309"/>
        <v>50887000</v>
      </c>
      <c r="J896" s="137">
        <f t="shared" si="309"/>
        <v>0</v>
      </c>
      <c r="K896" s="137">
        <f t="shared" si="309"/>
        <v>4200000</v>
      </c>
      <c r="L896" s="137">
        <f t="shared" si="309"/>
        <v>0</v>
      </c>
      <c r="M896" s="137">
        <f t="shared" si="309"/>
        <v>4200000</v>
      </c>
      <c r="N896" s="137">
        <f t="shared" si="309"/>
        <v>0</v>
      </c>
      <c r="O896" s="137">
        <f t="shared" si="309"/>
        <v>4200000</v>
      </c>
      <c r="P896" s="270">
        <f t="shared" si="287"/>
        <v>8.2535814648141956E-2</v>
      </c>
    </row>
    <row r="897" spans="1:16">
      <c r="A897" s="110"/>
      <c r="B897" s="127" t="s">
        <v>1504</v>
      </c>
      <c r="C897" s="78" t="s">
        <v>14</v>
      </c>
      <c r="D897" s="31" t="s">
        <v>1957</v>
      </c>
      <c r="E897" s="28" t="s">
        <v>15</v>
      </c>
      <c r="F897" s="138">
        <v>50887000</v>
      </c>
      <c r="G897" s="215">
        <v>0</v>
      </c>
      <c r="H897" s="215">
        <v>0</v>
      </c>
      <c r="I897" s="215">
        <v>50887000</v>
      </c>
      <c r="J897" s="215">
        <v>0</v>
      </c>
      <c r="K897" s="215">
        <v>4200000</v>
      </c>
      <c r="L897" s="215">
        <v>0</v>
      </c>
      <c r="M897" s="215">
        <v>4200000</v>
      </c>
      <c r="N897" s="215">
        <v>0</v>
      </c>
      <c r="O897" s="215">
        <v>4200000</v>
      </c>
      <c r="P897" s="263">
        <f t="shared" si="287"/>
        <v>8.2535814648141956E-2</v>
      </c>
    </row>
    <row r="898" spans="1:16">
      <c r="A898" s="136" t="s">
        <v>28</v>
      </c>
      <c r="B898" s="125"/>
      <c r="C898" s="126" t="s">
        <v>16</v>
      </c>
      <c r="D898" s="29"/>
      <c r="E898" s="19" t="s">
        <v>17</v>
      </c>
      <c r="F898" s="137">
        <f t="shared" ref="F898:O898" si="310">+F899</f>
        <v>160903000</v>
      </c>
      <c r="G898" s="137">
        <f t="shared" si="310"/>
        <v>382493661</v>
      </c>
      <c r="H898" s="137">
        <f t="shared" si="310"/>
        <v>382493661</v>
      </c>
      <c r="I898" s="137">
        <f t="shared" si="310"/>
        <v>543396661</v>
      </c>
      <c r="J898" s="137">
        <f t="shared" si="310"/>
        <v>0</v>
      </c>
      <c r="K898" s="137">
        <f t="shared" si="310"/>
        <v>0</v>
      </c>
      <c r="L898" s="137">
        <f t="shared" si="310"/>
        <v>0</v>
      </c>
      <c r="M898" s="137">
        <f t="shared" si="310"/>
        <v>0</v>
      </c>
      <c r="N898" s="137">
        <f t="shared" si="310"/>
        <v>0</v>
      </c>
      <c r="O898" s="137">
        <f t="shared" si="310"/>
        <v>0</v>
      </c>
      <c r="P898" s="270">
        <f t="shared" si="287"/>
        <v>0</v>
      </c>
    </row>
    <row r="899" spans="1:16" ht="12.75" thickBot="1">
      <c r="A899" s="119"/>
      <c r="B899" s="139" t="s">
        <v>1505</v>
      </c>
      <c r="C899" s="140" t="s">
        <v>18</v>
      </c>
      <c r="D899" s="120" t="s">
        <v>1957</v>
      </c>
      <c r="E899" s="121" t="s">
        <v>19</v>
      </c>
      <c r="F899" s="141">
        <v>160903000</v>
      </c>
      <c r="G899" s="216">
        <v>382493661</v>
      </c>
      <c r="H899" s="216">
        <v>382493661</v>
      </c>
      <c r="I899" s="216">
        <v>543396661</v>
      </c>
      <c r="J899" s="216">
        <v>0</v>
      </c>
      <c r="K899" s="216">
        <v>0</v>
      </c>
      <c r="L899" s="216">
        <v>0</v>
      </c>
      <c r="M899" s="216">
        <v>0</v>
      </c>
      <c r="N899" s="216">
        <v>0</v>
      </c>
      <c r="O899" s="216">
        <v>0</v>
      </c>
      <c r="P899" s="264">
        <f t="shared" si="287"/>
        <v>0</v>
      </c>
    </row>
  </sheetData>
  <protectedRanges>
    <protectedRange sqref="G1547:XFD1547 G1496:XFD1496 G1474:XFD1475 G1477:XFD1478 G1562:XFD1563 G1499:XFD1499 G1519:XFD1521 G1471:XFD1471 G1502:XFD1502 G1468:XFD1469 G1487:XFD1487 G1433:XFD1433 G1529:XFD1531 G1510:XFD1511 G1489:XFD1491 G1504:XFD1505" name="Rango5"/>
    <protectedRange sqref="G1372:XFD1373 G1387:XFD1387 G1321:XFD1321 G1385:XFD1385 G1310:XFD1312 G1360:XFD1360 G1348:XFD1348 G1338:XFD1339 G1392:XFD1392 G1418:XFD1418 G1307:XFD1307 G1336:XFD1336 G1363:XFD1364 G1353:XFD1353 G1410:XFD1410 G1376:XFD1378 G1395:XFD1398 G1283:XFD1287 G1289:XFD1293 G1342:XFD1345 G1465:XFD1465" name="Rango4"/>
    <protectedRange sqref="G1256:XFD1256 G1229:XFD1233 G1258:XFD1258 G1215:XFD1220 G1261:XFD1262 G1253:XFD1253 G1238:XFD1242 G1266:XFD1272 G1245:XFD1247" name="Rango3"/>
    <protectedRange sqref="G1066:XFD1066 G1191:XFD1191 G1021:XFD1022 G1198:XFD1199 G1000:XFD1004 G1073:XFD1076 G1038:XFD1040 G1180:XFD1182 G1162:XFD1164 G1127:XFD1129 G1109:XFD1111 G1145:XFD1146 G1138:XFD1138 G1120:XFD1120 G1092:XFD1093 G1056:XFD1057" name="Rango2"/>
    <protectedRange algorithmName="SHA-512" hashValue="/yOoSJ0JfP+uHcKjxjbuNCQZ/yCSSPUNYy8yW+UIm5HOAGfwSmNQyz0FOeJAqkyoET2ZmH/OAMFEuNR0Rn/MMQ==" saltValue="EUZHpkbFDytx+5nx/y3tRw==" spinCount="100000" sqref="P879:P881 G882:P885 Q879:XFD885 G889:XFD889 G899:XFD901 G954:XFD955 G913:XFD914 G909:XFD909 G904:XFD905 G959:XFD960 G968:XFD971 G916:XFD917 G921:XFD922 G925:XFD927 G931:XFD931 G935:XFD936 G940:XFD941 G945:XFD945 G949:XFD950 G964:XFD965" name="Rango1"/>
    <protectedRange sqref="A1725 E1725 C1725" name="Rango8_3"/>
    <protectedRange sqref="F1725" name="Rango8_1_2"/>
    <protectedRange sqref="E1738:E1743 E1745 A1745 A1738:A1743 C1745 C1738:C1743" name="Rango8_4"/>
    <protectedRange sqref="F1738:F1743 F1745" name="Rango8_1_3"/>
    <protectedRange sqref="A1434:B1434 E1434 E1475 A1497:E1497 E1478 A1563:E1564 A1530:E1532 A1520:E1522 A1511:E1512 A1505:E1506 A1500:E1500 A1503:E1503 A1488:E1488 A1479:E1479 A1476:E1476 A1472:E1472 A1469:E1470 A1548:E1548 A1490:E1492" name="Rango5_2"/>
    <protectedRange sqref="E1290 C1413:D1413 A1411:E1411 C1407:D1409 A1396:E1399 A1393:E1393 A1388:E1388 A1386:E1386 A1377:E1379 A1373:E1374 A1364:E1365 A1361:E1361 A1339:E1340 A1337:E1337 A1322:E1322 A1311:E1313 A1308:E1308 A1291:E1294 A1354:E1354 A1349:E1349 A1285:E1288 A1343:E1346 E1284 A1466:E1466 A1478:D1478 A1475:D1475 C1464:D1464 C1458:D1458 C1456:D1456 C1452:D1452 C1449:D1449 C1434:D1434 A1419:E1419 C1417:D1417 C1415:D1415" name="Rango4_2"/>
    <protectedRange sqref="D1216:E1221 D1222:D1225 D1279:D1280 A1267:E1273 A1259:E1259 A1257:E1257 A1254:E1254 A1246:E1248 A1239:E1243 A1230:E1234 A1290:D1290 D1282 A1262:E1263 A1216:C1225 A1279:C1282 A1284:D1284" name="Rango3_2"/>
    <protectedRange sqref="A1139:E1139 A1128:E1130 A1121:E1121 A1110:E1112 C1103:E1103 A1093:E1094 C1086:E1086 A1074:E1077 A1067:E1067 A1057:E1058 C1050:E1050 A1039:E1041 C1032:E1032 A1022:E1023 C1015:E1015 A1001:E1005 C1209:E1209 A1199:E1200 A1181:E1183 A1192:E1192 C1174:D1174 A1163:E1165 C1156:E1156 A1146:E1147" name="Rango2_2"/>
    <protectedRange algorithmName="SHA-512" hashValue="/yOoSJ0JfP+uHcKjxjbuNCQZ/yCSSPUNYy8yW+UIm5HOAGfwSmNQyz0FOeJAqkyoET2ZmH/OAMFEuNR0Rn/MMQ==" saltValue="EUZHpkbFDytx+5nx/y3tRw==" spinCount="100000" sqref="A922:B923 A880:B886 A965:B966 A936:B937 A890:B890 A917:B918 A926:B928 A932:B932 A941:B942 A946:B946 A950:B951 A955:B956 A960:B961 A969:B972" name="Rango1_3"/>
    <protectedRange sqref="F1687:F1690 F1720:F1721 F1711:F1713 F1705:F1706 F1700:F1701 F1696:F1697 F1715 F1693" name="Rango7_1_1"/>
    <protectedRange sqref="F1614 F1628:F1629 F1571:F1572 F1657 F1606:F1609 F1586 F1633 F1583 F1575 F1664:F1666 F1653:F1654 F1623:F1625 F1578:F1579 F1668 F1671 F1604 F1593" name="Rango6_1_1"/>
    <protectedRange sqref="F1434 F1472 F1563:F1564 F1500 F1475:F1476 F1530:F1532 F1469:F1470 F1511:F1512 F1520:F1522 F1488 F1478:F1479 F1505:F1506 F1497 F1548 F1490:F1492 F1503" name="Rango5_1_1"/>
    <protectedRange sqref="F1396:F1399 F1393 F1466 F1291:F1294 F1311:F1313 F1308 F1337 F1339:F1340 F1343:F1346 F1349 F1361 F1386 F1388 F1322 F1373:F1374 F1364:F1365 F1354 F1411 F1419 F1377:F1379 F1284:F1288" name="Rango4_1_1"/>
    <protectedRange sqref="F1267:F1273 F1230:F1234 F1239:F1243 F1262:F1263 F1246:F1248 F1257 F1254 F1259 F1216:F1221" name="Rango3_1_1"/>
    <protectedRange sqref="F1039:F1041 F1074:F1077 F1067 F1146:F1147 F1139 F1192 F1121 F1093:F1094 F1199:F1200 F1057:F1058 F1181:F1183 F1163:F1165 F1128:F1130 F1110:F1112 F1001:F1005 F1022:F1023" name="Rango2_1_1"/>
    <protectedRange algorithmName="SHA-512" hashValue="/yOoSJ0JfP+uHcKjxjbuNCQZ/yCSSPUNYy8yW+UIm5HOAGfwSmNQyz0FOeJAqkyoET2ZmH/OAMFEuNR0Rn/MMQ==" saltValue="EUZHpkbFDytx+5nx/y3tRw==" spinCount="100000" sqref="G880:O881 F969:F972 F901:F902 F914:F915 F910 F905:F906 F890 F922:F923 F917:F918 F965:F966 F955:F956 F950:F951 F946 F941:F942 F936:F937 F932 F926:F928 F880:F886 F960:F961" name="Rango1_1_1"/>
    <protectedRange algorithmName="SHA-512" hashValue="/yOoSJ0JfP+uHcKjxjbuNCQZ/yCSSPUNYy8yW+UIm5HOAGfwSmNQyz0FOeJAqkyoET2ZmH/OAMFEuNR0Rn/MMQ==" saltValue="EUZHpkbFDytx+5nx/y3tRw==" spinCount="100000" sqref="E901:E902 C905:E906 C955:E956 C950:E951 C946:E946 C941:E942 C932:E932 C926:E928 C917:E918 C914:E915 C910:E910 C901:C902 C890:E890 C936:E937 C965:E966 C880:E886 C922:E923 C969:E972 C960:E961" name="Rango1_2_1"/>
    <protectedRange sqref="A578:B578 E578 E619 A641:E641 E622 A710:E711 A675:E677 A665:E667 A655:E656 A649:E650 A644:E644 A647:E647 A632:E632 A623:E623 A620:E620 A616:E616 A613:E614 A693:E693 A634:E636 P577 P631 P709:P710 P692 P612:P613 P618:P619 P622 P634 P655 P665:P666 P674:P676 G621:P621 G640:P640 G643:P643 G646:P646 G648:P648 G633:P633 G615:P615 Q615:XFD615 Q633:XFD635 Q648:XFD649 Q646:XFD646 Q643:XFD643 Q640:XFD640 Q664:XFD666 Q654:XFD655 Q621:XFD622 Q674:XFD676 Q618:XFD619 Q612:XFD613 Q692:XFD692 Q709:XFD710 Q631:XFD631 Q577:XFD577 G654:P654 G664:P664" name="Rango5_3"/>
    <protectedRange sqref="E429 C557:D557 A555:E555 C551:D553 A540:E543 A537:E537 A532:E532 A530:E530 A521:E523 A517:E518 A508:E509 A505:E505 A480:E481 A478:E478 A462:E462 A450:E452 A447:E447 A430:E433 A495:E495 A490:E490 A424:E427 E423 P446 P536 P479:P480 P504 P529 P461 P531 A484:E487 A610:E610 A622:D622 A619:D619 C608:D608 C602:D602 C600:D600 C596:D596 C593:D593 C578:D578 A563:E563 C561:D561 C559:D559 P428 P422:P426 P430:P432 P483:P486 P508 P516:P517 P521:P522 P539:P542 G489:P489 G507:P507 G429:P429 G609:P609 G554:P554 G562:P562 Q562:XFD562 Q554:XFD554 Q494:XFD494 Q520:XFD522 Q609:XFD609 Q428:XFD432 Q507:XFD508 Q489:XFD489 Q539:XFD542 Q516:XFD517 Q483:XFD486 Q449:XFD451 Q422:XFD426 Q531:XFD531 Q461:XFD461 Q529:XFD529 Q504:XFD504 Q479:XFD480 Q536:XFD536 Q446:XFD446 Q476:XFD477 P476:P477 G520:P520 G494:P494 P449:P452" name="Rango4_3"/>
    <protectedRange sqref="D350:E355 D358:D361 D418:D419 A405:E412 A397:E397 A395:E395 A392:E392 A383:E385 A376:E380 A366:E370 A429:D429 D421 A350:C361 A418:C421 P391 A400:E401 A423:D423 P350 P366:P369 P375:P379 P382:P384 P400 P408:P411 P405:P406 G394:P394 G396:P396 G399:P399 G356:P356 G357:O357 P352:P355 G349:P349 Q349:XFD356 Q365:XFD369 Q404:XFD411 Q399:XFD400 Q396:XFD396 Q394:XFD394 Q382:XFD384 Q375:XFD379 Q391:XFD391 G407:P407 G365:P365 G404:P404" name="Rango3_3"/>
    <protectedRange sqref="A273:E273 A262:E264 A255:E255 A244:E246 C237:E237 A227:E228 C220:E220 A208:E211 A201:E201 A191:E192 C184:E184 A173:E175 C166:E166 A156:E157 C149:E149 G296:P296 A135:E139 C343:E343 A333:E334 A315:E317 A326:E326 C308:D308 A297:E299 C290:E290 A280:E281 P134:P138 P156 P173:P174 P191 P208:P210 P227 P244:P245 P262:P263 P280 P315:P316 P333 G325:P325 G254:P254 G272:P272 G200:P200 G155:P155 G190:P190 G207:P207 G279:P279 G172:P172 G226:P226 G243:P243 G261:P261 G332:P332 G314:P314 Q314:XFD316 Q332:XFD333 Q261:XFD263 Q243:XFD245 Q226:XFD227 Q172:XFD174 Q279:XFD280 Q207:XFD210 Q190:XFD191 Q155:XFD156 Q200:XFD200 Q272:XFD272 Q254:XFD254 Q325:XFD325 Q134:XFD138 Q296:XFD298" name="Rango2_3"/>
    <protectedRange algorithmName="SHA-512" hashValue="/yOoSJ0JfP+uHcKjxjbuNCQZ/yCSSPUNYy8yW+UIm5HOAGfwSmNQyz0FOeJAqkyoET2ZmH/OAMFEuNR0Rn/MMQ==" saltValue="EUZHpkbFDytx+5nx/y3tRw==" spinCount="100000" sqref="A14:B20 A100:B101 A71:B72 A27:B28 A24:B25 A56:B58 A61:B63 A67:B67 A76:B77 A81:B81 A85:B86 A90:B91 A103:B106 A30:B31 A33:B34 A95:B96 P27 P30 P33 P36 P105 G102:P104 G26:P26 G29:P29 G32:P32 G35:P35 G51:XFD51 Q35:XFD36 Q32:XFD33 Q29:XFD30 Q26:XFD27 Q102:XFD105 P39:XFD40 P99:XFD100 P94:XFD95 P89:XFD90 P84:XFD85 P75:XFD76 P70:XFD71 P48:XFD49 P60:XFD62 P23:XFD24 P44:XFD44 P80:XFD80 Q66:XFD66 P55:XFD57 A52:B52 Q13:XFD19" name="Rango1_4"/>
    <protectedRange sqref="F873:O874 F864:O866 F868:O868 F853:O854 F849:O850 F840:O843 F846:O846 F858:O859" name="Rango7_1_2"/>
    <protectedRange sqref="F718:O719 F722:O722 F725:O726 F730:O730 F821:O821 F814:O816 F818:O818 F807:O807 F803:O804 F782:O782 F776:O777 F771:O773 F762:O762 F753:O756 F740:O740 F733:O733 F751:O751" name="Rango6_1_2"/>
    <protectedRange sqref="P635:P636 F649:P650 F578:O578 F613:O614 F616:O616 F622:O623 F632:O632 F634:O636 F647:O647 F655:O656 F665:O667 F710:O711 F619:O620 F641:O641 F644:O644 F675:O677 F693:O693" name="Rango5_1_2"/>
    <protectedRange sqref="F430:O433 F478:O478 F484:O487 F490:O490 F495:O495 F505:O505 F508:O509 F517:O518 F521:O523 F530:O530 F537:O537 F540:O543 F555:O555 F563:O563 F610:O610 F423:O427 F532:O532 F447:O447 F450:O452 F462:O462 F480:O481" name="Rango4_1_2"/>
    <protectedRange sqref="F405:F412 F350:F357 F366:O370 F376:O380 F392:O392 F395:O395 G408:O412 F400:O401 G350:O350 G352:O355 G351:P351 F397:O397 G405:O406 F383:O385" name="Rango3_1_2"/>
    <protectedRange sqref="F135:O139 F156:O157 F173:O175 F191:O192 F201:O201 F208:O211 F227:O228 F244:O246 F255:O255 F262:O264 F273:O273 F280:O281 F315:O317 F326:O326 F333:O334 F297:P299" name="Rango2_1_2"/>
    <protectedRange algorithmName="SHA-512" hashValue="/yOoSJ0JfP+uHcKjxjbuNCQZ/yCSSPUNYy8yW+UIm5HOAGfwSmNQyz0FOeJAqkyoET2ZmH/OAMFEuNR0Rn/MMQ==" saltValue="EUZHpkbFDytx+5nx/y3tRw==" spinCount="100000" sqref="F103:F106 F24:O25 F27:O28 F30:O31 F33:O34 F36:O37 F61:O63 F49:O50 F67:O67 F71:O72 F76:O77 F81:O81 F85:O86 F90:O91 F95:O96 F40:O41 F45:O45 G105:O106 F52:O52 F56:O58 F100:O101 F14:P20" name="Rango1_1_2"/>
    <protectedRange algorithmName="SHA-512" hashValue="/yOoSJ0JfP+uHcKjxjbuNCQZ/yCSSPUNYy8yW+UIm5HOAGfwSmNQyz0FOeJAqkyoET2ZmH/OAMFEuNR0Rn/MMQ==" saltValue="EUZHpkbFDytx+5nx/y3tRw==" spinCount="100000" sqref="E36:E37 C40:E41 C90:E91 C85:E86 C81:E81 C76:E77 C67:E67 C61:E63 C49:E50 C45:E45 C36:C37 C24:E25 C27:E28 C71:E72 C100:E101 C14:E20 C56:E58 C103:E106 C30:E31 C33:E34 C95:E96 C52:E52" name="Rango1_2_2"/>
    <protectedRange algorithmName="SHA-512" hashValue="/yOoSJ0JfP+uHcKjxjbuNCQZ/yCSSPUNYy8yW+UIm5HOAGfwSmNQyz0FOeJAqkyoET2ZmH/OAMFEuNR0Rn/MMQ==" saltValue="EUZHpkbFDytx+5nx/y3tRw==" spinCount="100000" sqref="G897:O897 G890:O890" name="Rango1_1"/>
    <protectedRange sqref="E891:E896 E898 A898 A891:A896 C898 C891:C896" name="Rango8_4_1"/>
    <protectedRange sqref="F898:O898 F891:O896" name="Rango8_1_3_1"/>
  </protectedRanges>
  <mergeCells count="23">
    <mergeCell ref="J11:J12"/>
    <mergeCell ref="K11:K12"/>
    <mergeCell ref="L11:L12"/>
    <mergeCell ref="M11:M12"/>
    <mergeCell ref="N11:N12"/>
    <mergeCell ref="O11:O12"/>
    <mergeCell ref="P10:P12"/>
    <mergeCell ref="A11:A12"/>
    <mergeCell ref="B11:B12"/>
    <mergeCell ref="C11:C12"/>
    <mergeCell ref="D11:D12"/>
    <mergeCell ref="E11:E12"/>
    <mergeCell ref="F11:F12"/>
    <mergeCell ref="G11:H11"/>
    <mergeCell ref="I11:I12"/>
    <mergeCell ref="C2:O2"/>
    <mergeCell ref="C3:O3"/>
    <mergeCell ref="C4:O4"/>
    <mergeCell ref="C10:E10"/>
    <mergeCell ref="F10:I10"/>
    <mergeCell ref="J10:K10"/>
    <mergeCell ref="L10:M10"/>
    <mergeCell ref="N10:O10"/>
  </mergeCells>
  <conditionalFormatting sqref="D108">
    <cfRule type="duplicateValues" dxfId="263" priority="14"/>
  </conditionalFormatting>
  <conditionalFormatting sqref="D110">
    <cfRule type="duplicateValues" dxfId="262" priority="15"/>
  </conditionalFormatting>
  <conditionalFormatting sqref="D112:D115">
    <cfRule type="duplicateValues" dxfId="261" priority="16"/>
  </conditionalFormatting>
  <conditionalFormatting sqref="D117">
    <cfRule type="duplicateValues" dxfId="260" priority="17"/>
  </conditionalFormatting>
  <conditionalFormatting sqref="D119">
    <cfRule type="duplicateValues" dxfId="259" priority="18"/>
  </conditionalFormatting>
  <conditionalFormatting sqref="D121">
    <cfRule type="duplicateValues" dxfId="258" priority="19"/>
  </conditionalFormatting>
  <conditionalFormatting sqref="D123">
    <cfRule type="duplicateValues" dxfId="257" priority="20"/>
  </conditionalFormatting>
  <conditionalFormatting sqref="D125">
    <cfRule type="duplicateValues" dxfId="256" priority="21"/>
  </conditionalFormatting>
  <conditionalFormatting sqref="D127">
    <cfRule type="duplicateValues" dxfId="255" priority="22"/>
  </conditionalFormatting>
  <conditionalFormatting sqref="D129">
    <cfRule type="duplicateValues" dxfId="254" priority="23"/>
  </conditionalFormatting>
  <conditionalFormatting sqref="D131">
    <cfRule type="duplicateValues" dxfId="253" priority="24"/>
  </conditionalFormatting>
  <conditionalFormatting sqref="D133:D134">
    <cfRule type="duplicateValues" dxfId="252" priority="25"/>
  </conditionalFormatting>
  <conditionalFormatting sqref="D356">
    <cfRule type="duplicateValues" dxfId="251" priority="8"/>
  </conditionalFormatting>
  <conditionalFormatting sqref="D357">
    <cfRule type="duplicateValues" dxfId="250" priority="9"/>
  </conditionalFormatting>
  <conditionalFormatting sqref="D363">
    <cfRule type="duplicateValues" dxfId="249" priority="26"/>
  </conditionalFormatting>
  <conditionalFormatting sqref="D365">
    <cfRule type="duplicateValues" dxfId="248" priority="27"/>
  </conditionalFormatting>
  <conditionalFormatting sqref="D371:D374">
    <cfRule type="duplicateValues" dxfId="247" priority="28"/>
  </conditionalFormatting>
  <conditionalFormatting sqref="D375">
    <cfRule type="duplicateValues" dxfId="246" priority="12"/>
  </conditionalFormatting>
  <conditionalFormatting sqref="D381:D382">
    <cfRule type="duplicateValues" dxfId="245" priority="29"/>
  </conditionalFormatting>
  <conditionalFormatting sqref="D386:D390">
    <cfRule type="duplicateValues" dxfId="244" priority="30"/>
  </conditionalFormatting>
  <conditionalFormatting sqref="D394">
    <cfRule type="duplicateValues" dxfId="243" priority="31"/>
  </conditionalFormatting>
  <conditionalFormatting sqref="D396">
    <cfRule type="duplicateValues" dxfId="242" priority="32"/>
  </conditionalFormatting>
  <conditionalFormatting sqref="D399">
    <cfRule type="duplicateValues" dxfId="241" priority="33"/>
  </conditionalFormatting>
  <conditionalFormatting sqref="D404">
    <cfRule type="duplicateValues" dxfId="240" priority="34"/>
  </conditionalFormatting>
  <conditionalFormatting sqref="D407">
    <cfRule type="duplicateValues" dxfId="239" priority="6"/>
  </conditionalFormatting>
  <conditionalFormatting sqref="D413:D414">
    <cfRule type="duplicateValues" dxfId="238" priority="35"/>
  </conditionalFormatting>
  <conditionalFormatting sqref="D417">
    <cfRule type="duplicateValues" dxfId="237" priority="36"/>
  </conditionalFormatting>
  <conditionalFormatting sqref="D420">
    <cfRule type="duplicateValues" dxfId="236" priority="37"/>
  </conditionalFormatting>
  <conditionalFormatting sqref="D429">
    <cfRule type="duplicateValues" dxfId="235" priority="38"/>
  </conditionalFormatting>
  <conditionalFormatting sqref="D434:D446">
    <cfRule type="duplicateValues" dxfId="234" priority="39"/>
  </conditionalFormatting>
  <conditionalFormatting sqref="D449">
    <cfRule type="duplicateValues" dxfId="233" priority="42"/>
  </conditionalFormatting>
  <conditionalFormatting sqref="D453:D460">
    <cfRule type="duplicateValues" dxfId="232" priority="40"/>
  </conditionalFormatting>
  <conditionalFormatting sqref="D461">
    <cfRule type="duplicateValues" dxfId="231" priority="13"/>
  </conditionalFormatting>
  <conditionalFormatting sqref="D463:D477">
    <cfRule type="duplicateValues" dxfId="230" priority="41"/>
  </conditionalFormatting>
  <conditionalFormatting sqref="D482:D483">
    <cfRule type="duplicateValues" dxfId="229" priority="43"/>
  </conditionalFormatting>
  <conditionalFormatting sqref="D489">
    <cfRule type="duplicateValues" dxfId="228" priority="44"/>
  </conditionalFormatting>
  <conditionalFormatting sqref="D492">
    <cfRule type="duplicateValues" dxfId="227" priority="45"/>
  </conditionalFormatting>
  <conditionalFormatting sqref="D494">
    <cfRule type="duplicateValues" dxfId="226" priority="46"/>
  </conditionalFormatting>
  <conditionalFormatting sqref="D497">
    <cfRule type="duplicateValues" dxfId="225" priority="47"/>
  </conditionalFormatting>
  <conditionalFormatting sqref="D499">
    <cfRule type="duplicateValues" dxfId="224" priority="48"/>
  </conditionalFormatting>
  <conditionalFormatting sqref="D501">
    <cfRule type="duplicateValues" dxfId="223" priority="49"/>
  </conditionalFormatting>
  <conditionalFormatting sqref="D503">
    <cfRule type="duplicateValues" dxfId="222" priority="11"/>
  </conditionalFormatting>
  <conditionalFormatting sqref="D504">
    <cfRule type="duplicateValues" dxfId="221" priority="10"/>
  </conditionalFormatting>
  <conditionalFormatting sqref="D507">
    <cfRule type="duplicateValues" dxfId="220" priority="50"/>
  </conditionalFormatting>
  <conditionalFormatting sqref="D510:D516">
    <cfRule type="duplicateValues" dxfId="219" priority="51"/>
  </conditionalFormatting>
  <conditionalFormatting sqref="D520">
    <cfRule type="duplicateValues" dxfId="218" priority="52"/>
  </conditionalFormatting>
  <conditionalFormatting sqref="D524:D529">
    <cfRule type="duplicateValues" dxfId="217" priority="53"/>
  </conditionalFormatting>
  <conditionalFormatting sqref="D533:D535">
    <cfRule type="duplicateValues" dxfId="216" priority="54"/>
  </conditionalFormatting>
  <conditionalFormatting sqref="D538:D539">
    <cfRule type="duplicateValues" dxfId="215" priority="55"/>
  </conditionalFormatting>
  <conditionalFormatting sqref="D544:D550">
    <cfRule type="duplicateValues" dxfId="214" priority="56"/>
  </conditionalFormatting>
  <conditionalFormatting sqref="D552">
    <cfRule type="duplicateValues" dxfId="213" priority="57"/>
  </conditionalFormatting>
  <conditionalFormatting sqref="D554">
    <cfRule type="duplicateValues" dxfId="212" priority="58"/>
  </conditionalFormatting>
  <conditionalFormatting sqref="D556">
    <cfRule type="duplicateValues" dxfId="211" priority="59"/>
  </conditionalFormatting>
  <conditionalFormatting sqref="D558">
    <cfRule type="duplicateValues" dxfId="210" priority="60"/>
  </conditionalFormatting>
  <conditionalFormatting sqref="D560">
    <cfRule type="duplicateValues" dxfId="209" priority="61"/>
  </conditionalFormatting>
  <conditionalFormatting sqref="D562">
    <cfRule type="duplicateValues" dxfId="208" priority="62"/>
  </conditionalFormatting>
  <conditionalFormatting sqref="D564:D577">
    <cfRule type="duplicateValues" dxfId="207" priority="131"/>
  </conditionalFormatting>
  <conditionalFormatting sqref="D579:D592">
    <cfRule type="duplicateValues" dxfId="206" priority="63"/>
  </conditionalFormatting>
  <conditionalFormatting sqref="D594:D595">
    <cfRule type="duplicateValues" dxfId="205" priority="64"/>
  </conditionalFormatting>
  <conditionalFormatting sqref="D597:D599">
    <cfRule type="duplicateValues" dxfId="204" priority="65"/>
  </conditionalFormatting>
  <conditionalFormatting sqref="D601">
    <cfRule type="duplicateValues" dxfId="203" priority="66"/>
  </conditionalFormatting>
  <conditionalFormatting sqref="D603:D607">
    <cfRule type="duplicateValues" dxfId="202" priority="67"/>
  </conditionalFormatting>
  <conditionalFormatting sqref="D609">
    <cfRule type="duplicateValues" dxfId="201" priority="68"/>
  </conditionalFormatting>
  <conditionalFormatting sqref="D611:D612">
    <cfRule type="duplicateValues" dxfId="200" priority="69"/>
  </conditionalFormatting>
  <conditionalFormatting sqref="D615">
    <cfRule type="duplicateValues" dxfId="199" priority="70"/>
  </conditionalFormatting>
  <conditionalFormatting sqref="D617:D618">
    <cfRule type="duplicateValues" dxfId="198" priority="71"/>
  </conditionalFormatting>
  <conditionalFormatting sqref="D621">
    <cfRule type="duplicateValues" dxfId="197" priority="72"/>
  </conditionalFormatting>
  <conditionalFormatting sqref="D624:D631">
    <cfRule type="duplicateValues" dxfId="196" priority="73"/>
  </conditionalFormatting>
  <conditionalFormatting sqref="D633">
    <cfRule type="duplicateValues" dxfId="195" priority="74"/>
  </conditionalFormatting>
  <conditionalFormatting sqref="D638">
    <cfRule type="duplicateValues" dxfId="194" priority="75"/>
  </conditionalFormatting>
  <conditionalFormatting sqref="D640">
    <cfRule type="duplicateValues" dxfId="193" priority="76"/>
  </conditionalFormatting>
  <conditionalFormatting sqref="D643">
    <cfRule type="duplicateValues" dxfId="192" priority="77"/>
  </conditionalFormatting>
  <conditionalFormatting sqref="D646">
    <cfRule type="duplicateValues" dxfId="191" priority="78"/>
  </conditionalFormatting>
  <conditionalFormatting sqref="D648">
    <cfRule type="duplicateValues" dxfId="190" priority="79"/>
  </conditionalFormatting>
  <conditionalFormatting sqref="D652">
    <cfRule type="duplicateValues" dxfId="189" priority="80"/>
  </conditionalFormatting>
  <conditionalFormatting sqref="D654">
    <cfRule type="duplicateValues" dxfId="188" priority="81"/>
  </conditionalFormatting>
  <conditionalFormatting sqref="D657:D659">
    <cfRule type="duplicateValues" dxfId="187" priority="82"/>
  </conditionalFormatting>
  <conditionalFormatting sqref="D660">
    <cfRule type="duplicateValues" dxfId="186" priority="5"/>
  </conditionalFormatting>
  <conditionalFormatting sqref="D662">
    <cfRule type="duplicateValues" dxfId="185" priority="83"/>
  </conditionalFormatting>
  <conditionalFormatting sqref="D664">
    <cfRule type="duplicateValues" dxfId="184" priority="84"/>
  </conditionalFormatting>
  <conditionalFormatting sqref="D668:D674">
    <cfRule type="duplicateValues" dxfId="183" priority="85"/>
  </conditionalFormatting>
  <conditionalFormatting sqref="D678:D692">
    <cfRule type="duplicateValues" dxfId="182" priority="86"/>
  </conditionalFormatting>
  <conditionalFormatting sqref="D694:D705">
    <cfRule type="duplicateValues" dxfId="181" priority="87"/>
  </conditionalFormatting>
  <conditionalFormatting sqref="D706:D707">
    <cfRule type="duplicateValues" dxfId="180" priority="4"/>
  </conditionalFormatting>
  <conditionalFormatting sqref="D713">
    <cfRule type="duplicateValues" dxfId="179" priority="88"/>
  </conditionalFormatting>
  <conditionalFormatting sqref="D715">
    <cfRule type="duplicateValues" dxfId="178" priority="89"/>
  </conditionalFormatting>
  <conditionalFormatting sqref="D717">
    <cfRule type="duplicateValues" dxfId="177" priority="90"/>
  </conditionalFormatting>
  <conditionalFormatting sqref="D721">
    <cfRule type="duplicateValues" dxfId="176" priority="91"/>
  </conditionalFormatting>
  <conditionalFormatting sqref="D723:D724">
    <cfRule type="duplicateValues" dxfId="175" priority="92"/>
  </conditionalFormatting>
  <conditionalFormatting sqref="D727:D729">
    <cfRule type="duplicateValues" dxfId="174" priority="93"/>
  </conditionalFormatting>
  <conditionalFormatting sqref="D732">
    <cfRule type="duplicateValues" dxfId="173" priority="94"/>
  </conditionalFormatting>
  <conditionalFormatting sqref="D735">
    <cfRule type="duplicateValues" dxfId="172" priority="95"/>
  </conditionalFormatting>
  <conditionalFormatting sqref="D737">
    <cfRule type="duplicateValues" dxfId="171" priority="96"/>
  </conditionalFormatting>
  <conditionalFormatting sqref="D741">
    <cfRule type="duplicateValues" dxfId="170" priority="97"/>
  </conditionalFormatting>
  <conditionalFormatting sqref="D743">
    <cfRule type="duplicateValues" dxfId="169" priority="98"/>
  </conditionalFormatting>
  <conditionalFormatting sqref="D745">
    <cfRule type="duplicateValues" dxfId="168" priority="99"/>
  </conditionalFormatting>
  <conditionalFormatting sqref="D748">
    <cfRule type="duplicateValues" dxfId="167" priority="100"/>
  </conditionalFormatting>
  <conditionalFormatting sqref="D750">
    <cfRule type="duplicateValues" dxfId="166" priority="101"/>
  </conditionalFormatting>
  <conditionalFormatting sqref="D752">
    <cfRule type="duplicateValues" dxfId="165" priority="3"/>
  </conditionalFormatting>
  <conditionalFormatting sqref="D757:D759">
    <cfRule type="duplicateValues" dxfId="164" priority="102"/>
  </conditionalFormatting>
  <conditionalFormatting sqref="D760">
    <cfRule type="duplicateValues" dxfId="163" priority="2"/>
  </conditionalFormatting>
  <conditionalFormatting sqref="D761">
    <cfRule type="duplicateValues" dxfId="162" priority="1"/>
  </conditionalFormatting>
  <conditionalFormatting sqref="D763:D770">
    <cfRule type="duplicateValues" dxfId="161" priority="103"/>
  </conditionalFormatting>
  <conditionalFormatting sqref="D775">
    <cfRule type="duplicateValues" dxfId="160" priority="104"/>
  </conditionalFormatting>
  <conditionalFormatting sqref="D779">
    <cfRule type="duplicateValues" dxfId="159" priority="105"/>
  </conditionalFormatting>
  <conditionalFormatting sqref="D781">
    <cfRule type="duplicateValues" dxfId="158" priority="7"/>
  </conditionalFormatting>
  <conditionalFormatting sqref="D784">
    <cfRule type="duplicateValues" dxfId="157" priority="106"/>
  </conditionalFormatting>
  <conditionalFormatting sqref="D786">
    <cfRule type="duplicateValues" dxfId="156" priority="107"/>
  </conditionalFormatting>
  <conditionalFormatting sqref="D788">
    <cfRule type="duplicateValues" dxfId="155" priority="108"/>
  </conditionalFormatting>
  <conditionalFormatting sqref="D790">
    <cfRule type="duplicateValues" dxfId="154" priority="109"/>
  </conditionalFormatting>
  <conditionalFormatting sqref="D792">
    <cfRule type="duplicateValues" dxfId="153" priority="110"/>
  </conditionalFormatting>
  <conditionalFormatting sqref="D794">
    <cfRule type="duplicateValues" dxfId="152" priority="111"/>
  </conditionalFormatting>
  <conditionalFormatting sqref="D796">
    <cfRule type="duplicateValues" dxfId="151" priority="112"/>
  </conditionalFormatting>
  <conditionalFormatting sqref="D799">
    <cfRule type="duplicateValues" dxfId="150" priority="113"/>
  </conditionalFormatting>
  <conditionalFormatting sqref="D801">
    <cfRule type="duplicateValues" dxfId="149" priority="114"/>
  </conditionalFormatting>
  <conditionalFormatting sqref="D806">
    <cfRule type="duplicateValues" dxfId="148" priority="115"/>
  </conditionalFormatting>
  <conditionalFormatting sqref="D809">
    <cfRule type="duplicateValues" dxfId="147" priority="116"/>
  </conditionalFormatting>
  <conditionalFormatting sqref="D811">
    <cfRule type="duplicateValues" dxfId="146" priority="117"/>
  </conditionalFormatting>
  <conditionalFormatting sqref="D813">
    <cfRule type="duplicateValues" dxfId="145" priority="118"/>
  </conditionalFormatting>
  <conditionalFormatting sqref="D817">
    <cfRule type="duplicateValues" dxfId="144" priority="119"/>
  </conditionalFormatting>
  <conditionalFormatting sqref="D820">
    <cfRule type="duplicateValues" dxfId="143" priority="120"/>
  </conditionalFormatting>
  <conditionalFormatting sqref="D822:D835">
    <cfRule type="duplicateValues" dxfId="142" priority="121"/>
  </conditionalFormatting>
  <conditionalFormatting sqref="D837:D839">
    <cfRule type="duplicateValues" dxfId="141" priority="122"/>
  </conditionalFormatting>
  <conditionalFormatting sqref="D845">
    <cfRule type="duplicateValues" dxfId="140" priority="123"/>
  </conditionalFormatting>
  <conditionalFormatting sqref="D848">
    <cfRule type="duplicateValues" dxfId="139" priority="124"/>
  </conditionalFormatting>
  <conditionalFormatting sqref="D852">
    <cfRule type="duplicateValues" dxfId="138" priority="125"/>
  </conditionalFormatting>
  <conditionalFormatting sqref="D856">
    <cfRule type="duplicateValues" dxfId="137" priority="126"/>
  </conditionalFormatting>
  <conditionalFormatting sqref="D861">
    <cfRule type="duplicateValues" dxfId="136" priority="127"/>
  </conditionalFormatting>
  <conditionalFormatting sqref="D863">
    <cfRule type="duplicateValues" dxfId="135" priority="128"/>
  </conditionalFormatting>
  <conditionalFormatting sqref="D870">
    <cfRule type="duplicateValues" dxfId="134" priority="129"/>
  </conditionalFormatting>
  <conditionalFormatting sqref="D872">
    <cfRule type="duplicateValues" dxfId="133" priority="130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9340-7C1B-40CB-B89D-E1DB40CDE58C}">
  <sheetPr codeName="Hoja6"/>
  <dimension ref="A2:R898"/>
  <sheetViews>
    <sheetView topLeftCell="B1" zoomScale="90" zoomScaleNormal="90" workbookViewId="0">
      <selection activeCell="K27" sqref="K27"/>
    </sheetView>
  </sheetViews>
  <sheetFormatPr baseColWidth="10" defaultColWidth="6" defaultRowHeight="12"/>
  <cols>
    <col min="1" max="1" width="19.85546875" style="4" hidden="1" customWidth="1"/>
    <col min="2" max="2" width="24.5703125" style="87" customWidth="1"/>
    <col min="3" max="3" width="20.28515625" style="4" customWidth="1"/>
    <col min="4" max="4" width="11.5703125" style="88" customWidth="1"/>
    <col min="5" max="5" width="48" style="4" customWidth="1"/>
    <col min="6" max="6" width="19.28515625" style="3" customWidth="1"/>
    <col min="7" max="7" width="19.28515625" style="97" customWidth="1"/>
    <col min="8" max="8" width="17" style="97" bestFit="1" customWidth="1"/>
    <col min="9" max="15" width="15.5703125" style="97" customWidth="1"/>
    <col min="16" max="16" width="10.85546875" style="239" customWidth="1"/>
    <col min="17" max="17" width="6" style="4"/>
    <col min="18" max="18" width="14.42578125" style="4" bestFit="1" customWidth="1"/>
    <col min="19" max="16384" width="6" style="4"/>
  </cols>
  <sheetData>
    <row r="2" spans="1:18" ht="18.95" customHeight="1">
      <c r="A2" s="100"/>
      <c r="B2" s="100"/>
      <c r="C2" s="367" t="s">
        <v>2021</v>
      </c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</row>
    <row r="3" spans="1:18" s="1" customFormat="1" ht="20.100000000000001" customHeight="1">
      <c r="A3" s="100"/>
      <c r="B3" s="100"/>
      <c r="C3" s="368" t="s">
        <v>1987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240"/>
    </row>
    <row r="4" spans="1:18" s="1" customFormat="1" ht="18.75">
      <c r="A4" s="22"/>
      <c r="B4" s="22"/>
      <c r="C4" s="369" t="s">
        <v>2101</v>
      </c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240"/>
    </row>
    <row r="5" spans="1:18" s="1" customFormat="1" ht="18.75">
      <c r="A5" s="22"/>
      <c r="B5" s="22"/>
      <c r="C5" s="186"/>
      <c r="D5" s="186"/>
      <c r="E5" s="186"/>
      <c r="F5" s="186"/>
      <c r="G5" s="211"/>
      <c r="H5" s="211"/>
      <c r="I5" s="211"/>
      <c r="J5" s="211"/>
      <c r="K5" s="211"/>
      <c r="L5" s="188"/>
      <c r="M5" s="211"/>
      <c r="N5" s="211"/>
      <c r="O5" s="211"/>
      <c r="P5" s="240"/>
    </row>
    <row r="6" spans="1:18" s="1" customFormat="1" ht="18.75">
      <c r="A6" s="22"/>
      <c r="B6" s="22"/>
      <c r="C6" s="186"/>
      <c r="D6" s="186"/>
      <c r="E6" s="186"/>
      <c r="F6" s="240"/>
      <c r="G6" s="98"/>
      <c r="H6" s="98"/>
      <c r="I6" s="98"/>
      <c r="J6" s="98"/>
      <c r="K6" s="98"/>
      <c r="L6" s="98"/>
      <c r="M6" s="98"/>
      <c r="N6" s="98"/>
      <c r="O6" s="98"/>
      <c r="P6" s="98"/>
    </row>
    <row r="7" spans="1:18" s="1" customFormat="1" ht="12" customHeight="1">
      <c r="A7" s="99"/>
      <c r="B7" s="189"/>
      <c r="C7" s="99"/>
      <c r="D7" s="99"/>
      <c r="E7" s="99"/>
      <c r="F7" s="240"/>
      <c r="G7" s="98"/>
      <c r="H7" s="98"/>
      <c r="I7" s="98"/>
      <c r="J7" s="98"/>
      <c r="K7" s="98"/>
      <c r="L7" s="98"/>
      <c r="M7" s="98"/>
      <c r="N7" s="98"/>
      <c r="O7" s="98"/>
      <c r="P7" s="98"/>
    </row>
    <row r="8" spans="1:18" s="1" customFormat="1" ht="18.75" customHeight="1">
      <c r="A8" s="190"/>
      <c r="B8" s="191"/>
      <c r="C8" s="190"/>
      <c r="D8" s="192"/>
      <c r="E8" s="190"/>
      <c r="F8" s="301">
        <f>+F9-F13</f>
        <v>0</v>
      </c>
      <c r="G8" s="302">
        <f t="shared" ref="G8:O8" si="0">+G9-G13</f>
        <v>0</v>
      </c>
      <c r="H8" s="302">
        <f t="shared" si="0"/>
        <v>0</v>
      </c>
      <c r="I8" s="302">
        <f t="shared" si="0"/>
        <v>0</v>
      </c>
      <c r="J8" s="302">
        <f t="shared" si="0"/>
        <v>0</v>
      </c>
      <c r="K8" s="302">
        <f t="shared" si="0"/>
        <v>0</v>
      </c>
      <c r="L8" s="302">
        <f t="shared" si="0"/>
        <v>0</v>
      </c>
      <c r="M8" s="302">
        <f t="shared" si="0"/>
        <v>0</v>
      </c>
      <c r="N8" s="302">
        <f t="shared" si="0"/>
        <v>0</v>
      </c>
      <c r="O8" s="302">
        <f t="shared" si="0"/>
        <v>0</v>
      </c>
      <c r="P8" s="240"/>
    </row>
    <row r="9" spans="1:18" s="1" customFormat="1" ht="18.75" customHeight="1" thickBot="1">
      <c r="A9" s="55"/>
      <c r="B9" s="56"/>
      <c r="C9" s="57"/>
      <c r="D9" s="23"/>
      <c r="E9" s="23"/>
      <c r="F9" s="303">
        <v>505039654000</v>
      </c>
      <c r="G9" s="304">
        <v>12533518796</v>
      </c>
      <c r="H9" s="305">
        <v>108948092774</v>
      </c>
      <c r="I9" s="305">
        <v>613987746774</v>
      </c>
      <c r="J9" s="304">
        <v>30729102067</v>
      </c>
      <c r="K9" s="304">
        <v>423175367995</v>
      </c>
      <c r="L9" s="306">
        <v>55845987005</v>
      </c>
      <c r="M9" s="306">
        <v>397629315710</v>
      </c>
      <c r="N9" s="304">
        <v>33348072457</v>
      </c>
      <c r="O9" s="304">
        <v>308766636586</v>
      </c>
      <c r="P9" s="240"/>
    </row>
    <row r="10" spans="1:18" s="1" customFormat="1" ht="14.25" customHeight="1">
      <c r="A10" s="128"/>
      <c r="B10" s="129"/>
      <c r="C10" s="392" t="s">
        <v>1468</v>
      </c>
      <c r="D10" s="392"/>
      <c r="E10" s="392"/>
      <c r="F10" s="371" t="s">
        <v>2006</v>
      </c>
      <c r="G10" s="372"/>
      <c r="H10" s="372"/>
      <c r="I10" s="373"/>
      <c r="J10" s="374" t="s">
        <v>2007</v>
      </c>
      <c r="K10" s="375"/>
      <c r="L10" s="376" t="s">
        <v>2008</v>
      </c>
      <c r="M10" s="377"/>
      <c r="N10" s="376" t="s">
        <v>2009</v>
      </c>
      <c r="O10" s="377"/>
      <c r="P10" s="390" t="s">
        <v>2010</v>
      </c>
    </row>
    <row r="11" spans="1:18" ht="11.45" customHeight="1">
      <c r="A11" s="378" t="s">
        <v>20</v>
      </c>
      <c r="B11" s="379" t="s">
        <v>1469</v>
      </c>
      <c r="C11" s="380" t="s">
        <v>1988</v>
      </c>
      <c r="D11" s="381" t="s">
        <v>1461</v>
      </c>
      <c r="E11" s="380" t="s">
        <v>1467</v>
      </c>
      <c r="F11" s="362" t="s">
        <v>1997</v>
      </c>
      <c r="G11" s="364" t="s">
        <v>2002</v>
      </c>
      <c r="H11" s="364"/>
      <c r="I11" s="365" t="s">
        <v>2003</v>
      </c>
      <c r="J11" s="382" t="s">
        <v>2005</v>
      </c>
      <c r="K11" s="384" t="s">
        <v>2004</v>
      </c>
      <c r="L11" s="386" t="s">
        <v>2005</v>
      </c>
      <c r="M11" s="388" t="s">
        <v>2004</v>
      </c>
      <c r="N11" s="386" t="s">
        <v>2005</v>
      </c>
      <c r="O11" s="388" t="s">
        <v>2004</v>
      </c>
      <c r="P11" s="390"/>
    </row>
    <row r="12" spans="1:18" s="6" customFormat="1" ht="21" customHeight="1" thickBot="1">
      <c r="A12" s="378"/>
      <c r="B12" s="379"/>
      <c r="C12" s="380"/>
      <c r="D12" s="381"/>
      <c r="E12" s="380"/>
      <c r="F12" s="363"/>
      <c r="G12" s="212" t="s">
        <v>2005</v>
      </c>
      <c r="H12" s="212" t="s">
        <v>2004</v>
      </c>
      <c r="I12" s="366"/>
      <c r="J12" s="383"/>
      <c r="K12" s="385"/>
      <c r="L12" s="387"/>
      <c r="M12" s="389"/>
      <c r="N12" s="387"/>
      <c r="O12" s="389"/>
      <c r="P12" s="391"/>
      <c r="R12" s="361"/>
    </row>
    <row r="13" spans="1:18" s="6" customFormat="1">
      <c r="A13" s="102" t="s">
        <v>65</v>
      </c>
      <c r="B13" s="145" t="s">
        <v>1670</v>
      </c>
      <c r="C13" s="24" t="s">
        <v>66</v>
      </c>
      <c r="D13" s="58"/>
      <c r="E13" s="24" t="s">
        <v>67</v>
      </c>
      <c r="F13" s="14">
        <f>+F14+F349+F839+F857+F863</f>
        <v>505039654000</v>
      </c>
      <c r="G13" s="198">
        <f t="shared" ref="G13:O13" si="1">+G14+G349+G839+G857+G863</f>
        <v>12533518796</v>
      </c>
      <c r="H13" s="198">
        <f t="shared" si="1"/>
        <v>108948092774</v>
      </c>
      <c r="I13" s="198">
        <f t="shared" si="1"/>
        <v>613987746774</v>
      </c>
      <c r="J13" s="198">
        <f t="shared" si="1"/>
        <v>30729102067</v>
      </c>
      <c r="K13" s="198">
        <f t="shared" si="1"/>
        <v>423175367995</v>
      </c>
      <c r="L13" s="198">
        <f t="shared" si="1"/>
        <v>55845987005</v>
      </c>
      <c r="M13" s="198">
        <f t="shared" si="1"/>
        <v>397629315710</v>
      </c>
      <c r="N13" s="198">
        <f>+N14+N349+N839+N857+N863</f>
        <v>33348072457</v>
      </c>
      <c r="O13" s="198">
        <f t="shared" si="1"/>
        <v>308766636586</v>
      </c>
      <c r="P13" s="232">
        <f>IFERROR((M13/I13),0)</f>
        <v>0.64761767282688398</v>
      </c>
    </row>
    <row r="14" spans="1:18" s="2" customFormat="1">
      <c r="A14" s="103" t="s">
        <v>68</v>
      </c>
      <c r="B14" s="59" t="s">
        <v>1671</v>
      </c>
      <c r="C14" s="59" t="s">
        <v>69</v>
      </c>
      <c r="D14" s="59"/>
      <c r="E14" s="59" t="s">
        <v>70</v>
      </c>
      <c r="F14" s="60">
        <f>+F15+F134</f>
        <v>339732327000</v>
      </c>
      <c r="G14" s="193">
        <f t="shared" ref="G14:O14" si="2">+G15+G134</f>
        <v>100199760</v>
      </c>
      <c r="H14" s="193">
        <f t="shared" si="2"/>
        <v>9670653489</v>
      </c>
      <c r="I14" s="193">
        <f t="shared" si="2"/>
        <v>349402980489</v>
      </c>
      <c r="J14" s="193">
        <f t="shared" si="2"/>
        <v>15102353662</v>
      </c>
      <c r="K14" s="193">
        <f t="shared" si="2"/>
        <v>236417976510</v>
      </c>
      <c r="L14" s="193">
        <f t="shared" si="2"/>
        <v>24845761871</v>
      </c>
      <c r="M14" s="193">
        <f t="shared" si="2"/>
        <v>221684160977</v>
      </c>
      <c r="N14" s="193">
        <f t="shared" si="2"/>
        <v>21249200182</v>
      </c>
      <c r="O14" s="193">
        <f t="shared" si="2"/>
        <v>181789079665</v>
      </c>
      <c r="P14" s="233">
        <v>0.23740675222371063</v>
      </c>
    </row>
    <row r="15" spans="1:18" s="2" customFormat="1">
      <c r="A15" s="104" t="s">
        <v>71</v>
      </c>
      <c r="B15" s="61" t="s">
        <v>1672</v>
      </c>
      <c r="C15" s="61" t="s">
        <v>72</v>
      </c>
      <c r="D15" s="61"/>
      <c r="E15" s="61" t="s">
        <v>73</v>
      </c>
      <c r="F15" s="62">
        <f>+F16+F60+F99</f>
        <v>253420178000</v>
      </c>
      <c r="G15" s="194">
        <f t="shared" ref="G15:O15" si="3">+G16+G60+G99</f>
        <v>0</v>
      </c>
      <c r="H15" s="194">
        <f t="shared" si="3"/>
        <v>-3558522635</v>
      </c>
      <c r="I15" s="194">
        <f t="shared" si="3"/>
        <v>249861655365</v>
      </c>
      <c r="J15" s="194">
        <f t="shared" si="3"/>
        <v>14056853662</v>
      </c>
      <c r="K15" s="194">
        <f t="shared" si="3"/>
        <v>138296753791</v>
      </c>
      <c r="L15" s="194">
        <f t="shared" si="3"/>
        <v>14361667706</v>
      </c>
      <c r="M15" s="194">
        <f t="shared" si="3"/>
        <v>137856783596</v>
      </c>
      <c r="N15" s="194">
        <f t="shared" si="3"/>
        <v>14887409864</v>
      </c>
      <c r="O15" s="194">
        <f t="shared" si="3"/>
        <v>132784407292</v>
      </c>
      <c r="P15" s="234">
        <v>0.23740675222371063</v>
      </c>
    </row>
    <row r="16" spans="1:18" s="2" customFormat="1">
      <c r="A16" s="105" t="s">
        <v>74</v>
      </c>
      <c r="B16" s="63" t="s">
        <v>1673</v>
      </c>
      <c r="C16" s="63" t="s">
        <v>75</v>
      </c>
      <c r="D16" s="63"/>
      <c r="E16" s="63" t="s">
        <v>76</v>
      </c>
      <c r="F16" s="64">
        <f>+F17+F51</f>
        <v>183865598000</v>
      </c>
      <c r="G16" s="195">
        <f t="shared" ref="G16:O16" si="4">+G17+G51</f>
        <v>0</v>
      </c>
      <c r="H16" s="195">
        <f t="shared" si="4"/>
        <v>-1834185350</v>
      </c>
      <c r="I16" s="195">
        <f t="shared" si="4"/>
        <v>182031412650</v>
      </c>
      <c r="J16" s="195">
        <f t="shared" si="4"/>
        <v>11012166320</v>
      </c>
      <c r="K16" s="195">
        <f t="shared" si="4"/>
        <v>96431716152</v>
      </c>
      <c r="L16" s="195">
        <f t="shared" si="4"/>
        <v>11108317798</v>
      </c>
      <c r="M16" s="195">
        <f t="shared" si="4"/>
        <v>96153501032</v>
      </c>
      <c r="N16" s="195">
        <f t="shared" si="4"/>
        <v>11110743801</v>
      </c>
      <c r="O16" s="195">
        <f t="shared" si="4"/>
        <v>96102235345</v>
      </c>
      <c r="P16" s="235">
        <v>0.23740675222371063</v>
      </c>
    </row>
    <row r="17" spans="1:16" s="5" customFormat="1">
      <c r="A17" s="169" t="s">
        <v>77</v>
      </c>
      <c r="B17" s="146"/>
      <c r="C17" s="147" t="s">
        <v>78</v>
      </c>
      <c r="D17" s="65"/>
      <c r="E17" s="32" t="s">
        <v>79</v>
      </c>
      <c r="F17" s="66">
        <f>+F18+F23+F26+F29+F32+F35+F39+F48</f>
        <v>170051047000</v>
      </c>
      <c r="G17" s="196">
        <f t="shared" ref="G17:O17" si="5">+G18+G23+G26+G29+G32+G35+G39+G48</f>
        <v>0</v>
      </c>
      <c r="H17" s="196">
        <f t="shared" si="5"/>
        <v>-882993704</v>
      </c>
      <c r="I17" s="196">
        <f t="shared" si="5"/>
        <v>169168053296</v>
      </c>
      <c r="J17" s="196">
        <f t="shared" si="5"/>
        <v>10928069092</v>
      </c>
      <c r="K17" s="196">
        <f t="shared" si="5"/>
        <v>85139230520</v>
      </c>
      <c r="L17" s="196">
        <f t="shared" si="5"/>
        <v>11014774851</v>
      </c>
      <c r="M17" s="196">
        <f t="shared" si="5"/>
        <v>84913790848</v>
      </c>
      <c r="N17" s="196">
        <f t="shared" si="5"/>
        <v>11014382506</v>
      </c>
      <c r="O17" s="196">
        <f t="shared" si="5"/>
        <v>84874336780</v>
      </c>
      <c r="P17" s="236">
        <v>0.23740675222371063</v>
      </c>
    </row>
    <row r="18" spans="1:16" s="5" customFormat="1">
      <c r="A18" s="134" t="s">
        <v>80</v>
      </c>
      <c r="B18" s="123" t="s">
        <v>1470</v>
      </c>
      <c r="C18" s="124" t="s">
        <v>81</v>
      </c>
      <c r="D18" s="67"/>
      <c r="E18" s="25" t="s">
        <v>82</v>
      </c>
      <c r="F18" s="68">
        <f>+F19</f>
        <v>137847199000</v>
      </c>
      <c r="G18" s="197">
        <f t="shared" ref="G18:O18" si="6">+G19</f>
        <v>0</v>
      </c>
      <c r="H18" s="197">
        <f t="shared" si="6"/>
        <v>-882993704</v>
      </c>
      <c r="I18" s="197">
        <f t="shared" si="6"/>
        <v>136964205296</v>
      </c>
      <c r="J18" s="197">
        <f t="shared" si="6"/>
        <v>9973723386</v>
      </c>
      <c r="K18" s="197">
        <f t="shared" si="6"/>
        <v>79163609530</v>
      </c>
      <c r="L18" s="197">
        <f t="shared" si="6"/>
        <v>10009017915</v>
      </c>
      <c r="M18" s="197">
        <f t="shared" si="6"/>
        <v>79046667804</v>
      </c>
      <c r="N18" s="197">
        <f t="shared" si="6"/>
        <v>10010541176</v>
      </c>
      <c r="O18" s="197">
        <f t="shared" si="6"/>
        <v>79022119760</v>
      </c>
      <c r="P18" s="229">
        <v>0.23740675222371063</v>
      </c>
    </row>
    <row r="19" spans="1:16" s="7" customFormat="1">
      <c r="A19" s="106"/>
      <c r="B19" s="148" t="s">
        <v>1470</v>
      </c>
      <c r="C19" s="26" t="s">
        <v>81</v>
      </c>
      <c r="D19" s="69"/>
      <c r="E19" s="26" t="s">
        <v>1485</v>
      </c>
      <c r="F19" s="15">
        <f>SUM(F20:F22)</f>
        <v>137847199000</v>
      </c>
      <c r="G19" s="199">
        <f t="shared" ref="G19:O19" si="7">SUM(G20:G22)</f>
        <v>0</v>
      </c>
      <c r="H19" s="199">
        <f t="shared" si="7"/>
        <v>-882993704</v>
      </c>
      <c r="I19" s="199">
        <f t="shared" si="7"/>
        <v>136964205296</v>
      </c>
      <c r="J19" s="199">
        <f t="shared" si="7"/>
        <v>9973723386</v>
      </c>
      <c r="K19" s="199">
        <f t="shared" si="7"/>
        <v>79163609530</v>
      </c>
      <c r="L19" s="199">
        <f t="shared" si="7"/>
        <v>10009017915</v>
      </c>
      <c r="M19" s="199">
        <f t="shared" si="7"/>
        <v>79046667804</v>
      </c>
      <c r="N19" s="199">
        <f t="shared" si="7"/>
        <v>10010541176</v>
      </c>
      <c r="O19" s="199">
        <f t="shared" si="7"/>
        <v>79022119760</v>
      </c>
      <c r="P19" s="230">
        <v>0.23740675222371063</v>
      </c>
    </row>
    <row r="20" spans="1:16" s="8" customFormat="1">
      <c r="A20" s="107"/>
      <c r="B20" s="149" t="s">
        <v>1510</v>
      </c>
      <c r="C20" s="18" t="s">
        <v>83</v>
      </c>
      <c r="D20" s="30" t="s">
        <v>1483</v>
      </c>
      <c r="E20" s="17" t="s">
        <v>84</v>
      </c>
      <c r="F20" s="16">
        <v>17229718000</v>
      </c>
      <c r="G20" s="203">
        <v>0</v>
      </c>
      <c r="H20" s="203">
        <v>0</v>
      </c>
      <c r="I20" s="203">
        <v>17229718000</v>
      </c>
      <c r="J20" s="203">
        <v>1254694045</v>
      </c>
      <c r="K20" s="203">
        <v>10032071169</v>
      </c>
      <c r="L20" s="203">
        <v>1260814251</v>
      </c>
      <c r="M20" s="203">
        <v>9976421376</v>
      </c>
      <c r="N20" s="203">
        <v>1262337512</v>
      </c>
      <c r="O20" s="203">
        <v>9970301170</v>
      </c>
      <c r="P20" s="237">
        <v>0.23740675222371063</v>
      </c>
    </row>
    <row r="21" spans="1:16" s="7" customFormat="1">
      <c r="A21" s="107"/>
      <c r="B21" s="149" t="s">
        <v>1511</v>
      </c>
      <c r="C21" s="18" t="s">
        <v>85</v>
      </c>
      <c r="D21" s="30" t="s">
        <v>1910</v>
      </c>
      <c r="E21" s="17" t="s">
        <v>86</v>
      </c>
      <c r="F21" s="16">
        <v>119040611000</v>
      </c>
      <c r="G21" s="203">
        <v>0</v>
      </c>
      <c r="H21" s="203">
        <v>-882993704</v>
      </c>
      <c r="I21" s="203">
        <v>118157617296</v>
      </c>
      <c r="J21" s="203">
        <v>8612498726</v>
      </c>
      <c r="K21" s="203">
        <v>68133103310</v>
      </c>
      <c r="L21" s="203">
        <v>8626482424</v>
      </c>
      <c r="M21" s="203">
        <v>68071811377</v>
      </c>
      <c r="N21" s="203">
        <v>8626482424</v>
      </c>
      <c r="O21" s="203">
        <v>68053383539</v>
      </c>
      <c r="P21" s="237">
        <v>0.23740675222371063</v>
      </c>
    </row>
    <row r="22" spans="1:16" s="5" customFormat="1">
      <c r="A22" s="107"/>
      <c r="B22" s="149" t="s">
        <v>1512</v>
      </c>
      <c r="C22" s="18" t="s">
        <v>87</v>
      </c>
      <c r="D22" s="30" t="s">
        <v>1911</v>
      </c>
      <c r="E22" s="17" t="s">
        <v>88</v>
      </c>
      <c r="F22" s="16">
        <v>1576870000</v>
      </c>
      <c r="G22" s="203">
        <v>0</v>
      </c>
      <c r="H22" s="203">
        <v>0</v>
      </c>
      <c r="I22" s="203">
        <v>1576870000</v>
      </c>
      <c r="J22" s="203">
        <v>106530615</v>
      </c>
      <c r="K22" s="203">
        <v>998435051</v>
      </c>
      <c r="L22" s="203">
        <v>121721240</v>
      </c>
      <c r="M22" s="203">
        <v>998435051</v>
      </c>
      <c r="N22" s="203">
        <v>121721240</v>
      </c>
      <c r="O22" s="203">
        <v>998435051</v>
      </c>
      <c r="P22" s="237">
        <v>0.23740675222371063</v>
      </c>
    </row>
    <row r="23" spans="1:16" s="5" customFormat="1">
      <c r="A23" s="134" t="s">
        <v>89</v>
      </c>
      <c r="B23" s="123" t="s">
        <v>1678</v>
      </c>
      <c r="C23" s="124" t="s">
        <v>90</v>
      </c>
      <c r="D23" s="67"/>
      <c r="E23" s="25" t="s">
        <v>91</v>
      </c>
      <c r="F23" s="68">
        <f>+F24</f>
        <v>232386000</v>
      </c>
      <c r="G23" s="68">
        <f t="shared" ref="G23:O24" si="8">+G24</f>
        <v>0</v>
      </c>
      <c r="H23" s="68">
        <f t="shared" si="8"/>
        <v>0</v>
      </c>
      <c r="I23" s="68">
        <f t="shared" si="8"/>
        <v>232386000</v>
      </c>
      <c r="J23" s="68">
        <f t="shared" si="8"/>
        <v>13695907</v>
      </c>
      <c r="K23" s="68">
        <f t="shared" si="8"/>
        <v>110111232</v>
      </c>
      <c r="L23" s="68">
        <f t="shared" si="8"/>
        <v>13695907</v>
      </c>
      <c r="M23" s="68">
        <f t="shared" si="8"/>
        <v>110111232</v>
      </c>
      <c r="N23" s="68">
        <f t="shared" si="8"/>
        <v>13695907</v>
      </c>
      <c r="O23" s="68">
        <f t="shared" si="8"/>
        <v>110111232</v>
      </c>
      <c r="P23" s="229">
        <v>0.23740675222371063</v>
      </c>
    </row>
    <row r="24" spans="1:16" s="7" customFormat="1">
      <c r="A24" s="106" t="s">
        <v>89</v>
      </c>
      <c r="B24" s="148" t="s">
        <v>1678</v>
      </c>
      <c r="C24" s="26" t="s">
        <v>90</v>
      </c>
      <c r="D24" s="69"/>
      <c r="E24" s="26" t="s">
        <v>91</v>
      </c>
      <c r="F24" s="202">
        <f>+F25</f>
        <v>232386000</v>
      </c>
      <c r="G24" s="202">
        <f t="shared" si="8"/>
        <v>0</v>
      </c>
      <c r="H24" s="202">
        <f t="shared" si="8"/>
        <v>0</v>
      </c>
      <c r="I24" s="202">
        <f t="shared" si="8"/>
        <v>232386000</v>
      </c>
      <c r="J24" s="202">
        <f t="shared" si="8"/>
        <v>13695907</v>
      </c>
      <c r="K24" s="202">
        <f t="shared" si="8"/>
        <v>110111232</v>
      </c>
      <c r="L24" s="202">
        <f t="shared" si="8"/>
        <v>13695907</v>
      </c>
      <c r="M24" s="202">
        <f t="shared" si="8"/>
        <v>110111232</v>
      </c>
      <c r="N24" s="202">
        <f t="shared" si="8"/>
        <v>13695907</v>
      </c>
      <c r="O24" s="202">
        <f t="shared" si="8"/>
        <v>110111232</v>
      </c>
      <c r="P24" s="230">
        <v>0.23740675222371063</v>
      </c>
    </row>
    <row r="25" spans="1:16" s="5" customFormat="1">
      <c r="A25" s="107"/>
      <c r="B25" s="149" t="s">
        <v>1513</v>
      </c>
      <c r="C25" s="18" t="s">
        <v>92</v>
      </c>
      <c r="D25" s="30" t="s">
        <v>1483</v>
      </c>
      <c r="E25" s="17" t="s">
        <v>93</v>
      </c>
      <c r="F25" s="16">
        <v>232386000</v>
      </c>
      <c r="G25" s="203">
        <v>0</v>
      </c>
      <c r="H25" s="203">
        <v>0</v>
      </c>
      <c r="I25" s="203">
        <v>232386000</v>
      </c>
      <c r="J25" s="203">
        <v>13695907</v>
      </c>
      <c r="K25" s="203">
        <v>110111232</v>
      </c>
      <c r="L25" s="203">
        <v>13695907</v>
      </c>
      <c r="M25" s="203">
        <v>110111232</v>
      </c>
      <c r="N25" s="203">
        <v>13695907</v>
      </c>
      <c r="O25" s="203">
        <v>110111232</v>
      </c>
      <c r="P25" s="237">
        <v>0.23740675222371063</v>
      </c>
    </row>
    <row r="26" spans="1:16" s="5" customFormat="1">
      <c r="A26" s="134" t="s">
        <v>94</v>
      </c>
      <c r="B26" s="123" t="s">
        <v>1486</v>
      </c>
      <c r="C26" s="124" t="s">
        <v>95</v>
      </c>
      <c r="D26" s="67"/>
      <c r="E26" s="25" t="s">
        <v>96</v>
      </c>
      <c r="F26" s="68">
        <f>+F27</f>
        <v>879556000</v>
      </c>
      <c r="G26" s="68">
        <f t="shared" ref="G26:O27" si="9">+G27</f>
        <v>0</v>
      </c>
      <c r="H26" s="68">
        <f t="shared" si="9"/>
        <v>0</v>
      </c>
      <c r="I26" s="68">
        <f t="shared" si="9"/>
        <v>879556000</v>
      </c>
      <c r="J26" s="68">
        <f t="shared" si="9"/>
        <v>68936516</v>
      </c>
      <c r="K26" s="68">
        <f t="shared" si="9"/>
        <v>540508571</v>
      </c>
      <c r="L26" s="68">
        <f t="shared" si="9"/>
        <v>68936516</v>
      </c>
      <c r="M26" s="68">
        <f t="shared" si="9"/>
        <v>540508571</v>
      </c>
      <c r="N26" s="68">
        <f t="shared" si="9"/>
        <v>68936516</v>
      </c>
      <c r="O26" s="68">
        <f t="shared" si="9"/>
        <v>540508571</v>
      </c>
      <c r="P26" s="229">
        <v>0.23740675222371063</v>
      </c>
    </row>
    <row r="27" spans="1:16" s="8" customFormat="1">
      <c r="A27" s="106" t="s">
        <v>94</v>
      </c>
      <c r="B27" s="148" t="s">
        <v>1486</v>
      </c>
      <c r="C27" s="26" t="s">
        <v>95</v>
      </c>
      <c r="D27" s="69"/>
      <c r="E27" s="26" t="s">
        <v>96</v>
      </c>
      <c r="F27" s="15">
        <f>+F28</f>
        <v>879556000</v>
      </c>
      <c r="G27" s="202">
        <f t="shared" si="9"/>
        <v>0</v>
      </c>
      <c r="H27" s="202">
        <f t="shared" si="9"/>
        <v>0</v>
      </c>
      <c r="I27" s="202">
        <f t="shared" si="9"/>
        <v>879556000</v>
      </c>
      <c r="J27" s="202">
        <f t="shared" si="9"/>
        <v>68936516</v>
      </c>
      <c r="K27" s="202">
        <f t="shared" si="9"/>
        <v>540508571</v>
      </c>
      <c r="L27" s="202">
        <f t="shared" si="9"/>
        <v>68936516</v>
      </c>
      <c r="M27" s="202">
        <f t="shared" si="9"/>
        <v>540508571</v>
      </c>
      <c r="N27" s="202">
        <f t="shared" si="9"/>
        <v>68936516</v>
      </c>
      <c r="O27" s="202">
        <f t="shared" si="9"/>
        <v>540508571</v>
      </c>
      <c r="P27" s="230">
        <v>0.23740675222371063</v>
      </c>
    </row>
    <row r="28" spans="1:16" s="5" customFormat="1">
      <c r="A28" s="107"/>
      <c r="B28" s="149" t="s">
        <v>1514</v>
      </c>
      <c r="C28" s="18" t="s">
        <v>97</v>
      </c>
      <c r="D28" s="30" t="s">
        <v>1483</v>
      </c>
      <c r="E28" s="17" t="s">
        <v>98</v>
      </c>
      <c r="F28" s="16">
        <v>879556000</v>
      </c>
      <c r="G28" s="203">
        <v>0</v>
      </c>
      <c r="H28" s="203">
        <v>0</v>
      </c>
      <c r="I28" s="203">
        <v>879556000</v>
      </c>
      <c r="J28" s="203">
        <v>68936516</v>
      </c>
      <c r="K28" s="203">
        <v>540508571</v>
      </c>
      <c r="L28" s="203">
        <v>68936516</v>
      </c>
      <c r="M28" s="203">
        <v>540508571</v>
      </c>
      <c r="N28" s="203">
        <v>68936516</v>
      </c>
      <c r="O28" s="203">
        <v>540508571</v>
      </c>
      <c r="P28" s="237">
        <v>0.23740675222371063</v>
      </c>
    </row>
    <row r="29" spans="1:16" s="5" customFormat="1">
      <c r="A29" s="134" t="s">
        <v>99</v>
      </c>
      <c r="B29" s="123" t="s">
        <v>1487</v>
      </c>
      <c r="C29" s="124" t="s">
        <v>100</v>
      </c>
      <c r="D29" s="67"/>
      <c r="E29" s="25" t="s">
        <v>101</v>
      </c>
      <c r="F29" s="68">
        <f>+F30</f>
        <v>89520000</v>
      </c>
      <c r="G29" s="68">
        <f t="shared" ref="G29:O30" si="10">+G30</f>
        <v>0</v>
      </c>
      <c r="H29" s="68">
        <f t="shared" si="10"/>
        <v>0</v>
      </c>
      <c r="I29" s="68">
        <f t="shared" si="10"/>
        <v>89520000</v>
      </c>
      <c r="J29" s="68">
        <f t="shared" si="10"/>
        <v>6554973</v>
      </c>
      <c r="K29" s="68">
        <f t="shared" si="10"/>
        <v>57670022</v>
      </c>
      <c r="L29" s="68">
        <f t="shared" si="10"/>
        <v>6554973</v>
      </c>
      <c r="M29" s="68">
        <f t="shared" si="10"/>
        <v>57670022</v>
      </c>
      <c r="N29" s="68">
        <f t="shared" si="10"/>
        <v>6554973</v>
      </c>
      <c r="O29" s="68">
        <f t="shared" si="10"/>
        <v>57670022</v>
      </c>
      <c r="P29" s="229">
        <v>0.23740675222371063</v>
      </c>
    </row>
    <row r="30" spans="1:16" s="7" customFormat="1">
      <c r="A30" s="106" t="s">
        <v>99</v>
      </c>
      <c r="B30" s="148" t="s">
        <v>1487</v>
      </c>
      <c r="C30" s="26" t="s">
        <v>100</v>
      </c>
      <c r="D30" s="69"/>
      <c r="E30" s="26" t="s">
        <v>101</v>
      </c>
      <c r="F30" s="15">
        <f>+F31</f>
        <v>89520000</v>
      </c>
      <c r="G30" s="202">
        <f t="shared" si="10"/>
        <v>0</v>
      </c>
      <c r="H30" s="202">
        <f t="shared" si="10"/>
        <v>0</v>
      </c>
      <c r="I30" s="202">
        <f t="shared" si="10"/>
        <v>89520000</v>
      </c>
      <c r="J30" s="202">
        <f t="shared" si="10"/>
        <v>6554973</v>
      </c>
      <c r="K30" s="202">
        <f t="shared" si="10"/>
        <v>57670022</v>
      </c>
      <c r="L30" s="202">
        <f t="shared" si="10"/>
        <v>6554973</v>
      </c>
      <c r="M30" s="202">
        <f t="shared" si="10"/>
        <v>57670022</v>
      </c>
      <c r="N30" s="202">
        <f t="shared" si="10"/>
        <v>6554973</v>
      </c>
      <c r="O30" s="202">
        <f t="shared" si="10"/>
        <v>57670022</v>
      </c>
      <c r="P30" s="230">
        <v>0.23740675222371063</v>
      </c>
    </row>
    <row r="31" spans="1:16" s="5" customFormat="1">
      <c r="A31" s="107" t="s">
        <v>99</v>
      </c>
      <c r="B31" s="149" t="s">
        <v>1515</v>
      </c>
      <c r="C31" s="18" t="s">
        <v>100</v>
      </c>
      <c r="D31" s="30" t="s">
        <v>1911</v>
      </c>
      <c r="E31" s="17" t="s">
        <v>101</v>
      </c>
      <c r="F31" s="16">
        <v>89520000</v>
      </c>
      <c r="G31" s="203">
        <v>0</v>
      </c>
      <c r="H31" s="203">
        <v>0</v>
      </c>
      <c r="I31" s="203">
        <v>89520000</v>
      </c>
      <c r="J31" s="203">
        <v>6554973</v>
      </c>
      <c r="K31" s="203">
        <v>57670022</v>
      </c>
      <c r="L31" s="203">
        <v>6554973</v>
      </c>
      <c r="M31" s="203">
        <v>57670022</v>
      </c>
      <c r="N31" s="203">
        <v>6554973</v>
      </c>
      <c r="O31" s="203">
        <v>57670022</v>
      </c>
      <c r="P31" s="237">
        <v>0.23740675222371063</v>
      </c>
    </row>
    <row r="32" spans="1:16" s="5" customFormat="1">
      <c r="A32" s="134" t="s">
        <v>102</v>
      </c>
      <c r="B32" s="123" t="s">
        <v>1488</v>
      </c>
      <c r="C32" s="124" t="s">
        <v>103</v>
      </c>
      <c r="D32" s="67"/>
      <c r="E32" s="25" t="s">
        <v>104</v>
      </c>
      <c r="F32" s="68">
        <f>+F33</f>
        <v>92533000</v>
      </c>
      <c r="G32" s="68">
        <f t="shared" ref="G32:O33" si="11">+G33</f>
        <v>0</v>
      </c>
      <c r="H32" s="68">
        <f t="shared" si="11"/>
        <v>0</v>
      </c>
      <c r="I32" s="68">
        <f t="shared" si="11"/>
        <v>92533000</v>
      </c>
      <c r="J32" s="68">
        <f t="shared" si="11"/>
        <v>6050899</v>
      </c>
      <c r="K32" s="68">
        <f t="shared" si="11"/>
        <v>53235236</v>
      </c>
      <c r="L32" s="68">
        <f t="shared" si="11"/>
        <v>6050899</v>
      </c>
      <c r="M32" s="68">
        <f t="shared" si="11"/>
        <v>53235236</v>
      </c>
      <c r="N32" s="68">
        <f t="shared" si="11"/>
        <v>6050899</v>
      </c>
      <c r="O32" s="68">
        <f t="shared" si="11"/>
        <v>53235236</v>
      </c>
      <c r="P32" s="229">
        <v>0.23740675222371063</v>
      </c>
    </row>
    <row r="33" spans="1:16" s="7" customFormat="1">
      <c r="A33" s="106" t="s">
        <v>102</v>
      </c>
      <c r="B33" s="148" t="s">
        <v>1488</v>
      </c>
      <c r="C33" s="26" t="s">
        <v>103</v>
      </c>
      <c r="D33" s="69"/>
      <c r="E33" s="26" t="s">
        <v>104</v>
      </c>
      <c r="F33" s="15">
        <f>+F34</f>
        <v>92533000</v>
      </c>
      <c r="G33" s="202">
        <f t="shared" si="11"/>
        <v>0</v>
      </c>
      <c r="H33" s="202">
        <f t="shared" si="11"/>
        <v>0</v>
      </c>
      <c r="I33" s="202">
        <f t="shared" si="11"/>
        <v>92533000</v>
      </c>
      <c r="J33" s="202">
        <f t="shared" si="11"/>
        <v>6050899</v>
      </c>
      <c r="K33" s="202">
        <f t="shared" si="11"/>
        <v>53235236</v>
      </c>
      <c r="L33" s="202">
        <f t="shared" si="11"/>
        <v>6050899</v>
      </c>
      <c r="M33" s="202">
        <f t="shared" si="11"/>
        <v>53235236</v>
      </c>
      <c r="N33" s="202">
        <f t="shared" si="11"/>
        <v>6050899</v>
      </c>
      <c r="O33" s="202">
        <f t="shared" si="11"/>
        <v>53235236</v>
      </c>
      <c r="P33" s="230">
        <v>0.23740675222371063</v>
      </c>
    </row>
    <row r="34" spans="1:16" s="5" customFormat="1">
      <c r="A34" s="107" t="s">
        <v>102</v>
      </c>
      <c r="B34" s="149" t="s">
        <v>1516</v>
      </c>
      <c r="C34" s="18" t="s">
        <v>103</v>
      </c>
      <c r="D34" s="30" t="s">
        <v>1911</v>
      </c>
      <c r="E34" s="17" t="s">
        <v>104</v>
      </c>
      <c r="F34" s="16">
        <v>92533000</v>
      </c>
      <c r="G34" s="203">
        <v>0</v>
      </c>
      <c r="H34" s="203">
        <v>0</v>
      </c>
      <c r="I34" s="203">
        <v>92533000</v>
      </c>
      <c r="J34" s="203">
        <v>6050899</v>
      </c>
      <c r="K34" s="203">
        <v>53235236</v>
      </c>
      <c r="L34" s="203">
        <v>6050899</v>
      </c>
      <c r="M34" s="203">
        <v>53235236</v>
      </c>
      <c r="N34" s="203">
        <v>6050899</v>
      </c>
      <c r="O34" s="203">
        <v>53235236</v>
      </c>
      <c r="P34" s="237">
        <v>0.23740675222371063</v>
      </c>
    </row>
    <row r="35" spans="1:16" s="5" customFormat="1">
      <c r="A35" s="134" t="s">
        <v>105</v>
      </c>
      <c r="B35" s="123" t="s">
        <v>1489</v>
      </c>
      <c r="C35" s="124" t="s">
        <v>106</v>
      </c>
      <c r="D35" s="67"/>
      <c r="E35" s="25" t="s">
        <v>107</v>
      </c>
      <c r="F35" s="68">
        <f>+F36</f>
        <v>4044818000</v>
      </c>
      <c r="G35" s="68">
        <f t="shared" ref="G35:O35" si="12">+G36</f>
        <v>0</v>
      </c>
      <c r="H35" s="68">
        <f t="shared" si="12"/>
        <v>0</v>
      </c>
      <c r="I35" s="68">
        <f t="shared" si="12"/>
        <v>4044818000</v>
      </c>
      <c r="J35" s="68">
        <f t="shared" si="12"/>
        <v>521204267</v>
      </c>
      <c r="K35" s="68">
        <f t="shared" si="12"/>
        <v>2397348052</v>
      </c>
      <c r="L35" s="68">
        <f t="shared" si="12"/>
        <v>523352825</v>
      </c>
      <c r="M35" s="68">
        <f t="shared" si="12"/>
        <v>2385667678</v>
      </c>
      <c r="N35" s="68">
        <f t="shared" si="12"/>
        <v>522785607</v>
      </c>
      <c r="O35" s="68">
        <f t="shared" si="12"/>
        <v>2383519120</v>
      </c>
      <c r="P35" s="229">
        <v>0.23740675222371063</v>
      </c>
    </row>
    <row r="36" spans="1:16" s="7" customFormat="1">
      <c r="A36" s="106" t="s">
        <v>105</v>
      </c>
      <c r="B36" s="148" t="s">
        <v>1489</v>
      </c>
      <c r="C36" s="26" t="s">
        <v>106</v>
      </c>
      <c r="D36" s="69"/>
      <c r="E36" s="26" t="s">
        <v>107</v>
      </c>
      <c r="F36" s="202">
        <f>SUM(F37:F38)</f>
        <v>4044818000</v>
      </c>
      <c r="G36" s="202">
        <f t="shared" ref="G36:O36" si="13">SUM(G37:G38)</f>
        <v>0</v>
      </c>
      <c r="H36" s="202">
        <f t="shared" si="13"/>
        <v>0</v>
      </c>
      <c r="I36" s="202">
        <f t="shared" si="13"/>
        <v>4044818000</v>
      </c>
      <c r="J36" s="202">
        <f t="shared" si="13"/>
        <v>521204267</v>
      </c>
      <c r="K36" s="202">
        <f t="shared" si="13"/>
        <v>2397348052</v>
      </c>
      <c r="L36" s="202">
        <f t="shared" si="13"/>
        <v>523352825</v>
      </c>
      <c r="M36" s="202">
        <f t="shared" si="13"/>
        <v>2385667678</v>
      </c>
      <c r="N36" s="202">
        <f t="shared" si="13"/>
        <v>522785607</v>
      </c>
      <c r="O36" s="202">
        <f t="shared" si="13"/>
        <v>2383519120</v>
      </c>
      <c r="P36" s="230">
        <v>0.23740675222371063</v>
      </c>
    </row>
    <row r="37" spans="1:16" s="7" customFormat="1">
      <c r="A37" s="107"/>
      <c r="B37" s="149" t="s">
        <v>1674</v>
      </c>
      <c r="C37" s="18" t="s">
        <v>108</v>
      </c>
      <c r="D37" s="30" t="s">
        <v>1483</v>
      </c>
      <c r="E37" s="17" t="s">
        <v>109</v>
      </c>
      <c r="F37" s="16">
        <v>572800000</v>
      </c>
      <c r="G37" s="203">
        <v>0</v>
      </c>
      <c r="H37" s="203">
        <v>0</v>
      </c>
      <c r="I37" s="203">
        <v>572800000</v>
      </c>
      <c r="J37" s="203">
        <v>13717222</v>
      </c>
      <c r="K37" s="203">
        <v>367856662</v>
      </c>
      <c r="L37" s="203">
        <v>15865780</v>
      </c>
      <c r="M37" s="203">
        <v>361243215</v>
      </c>
      <c r="N37" s="203">
        <v>15298562</v>
      </c>
      <c r="O37" s="203">
        <v>359094657</v>
      </c>
      <c r="P37" s="237">
        <v>0.23740675222371063</v>
      </c>
    </row>
    <row r="38" spans="1:16" s="2" customFormat="1">
      <c r="A38" s="107"/>
      <c r="B38" s="149" t="s">
        <v>1675</v>
      </c>
      <c r="C38" s="18" t="s">
        <v>110</v>
      </c>
      <c r="D38" s="30" t="s">
        <v>1910</v>
      </c>
      <c r="E38" s="17" t="s">
        <v>111</v>
      </c>
      <c r="F38" s="16">
        <v>3472018000</v>
      </c>
      <c r="G38" s="203">
        <v>0</v>
      </c>
      <c r="H38" s="203">
        <v>0</v>
      </c>
      <c r="I38" s="203">
        <v>3472018000</v>
      </c>
      <c r="J38" s="203">
        <v>507487045</v>
      </c>
      <c r="K38" s="203">
        <v>2029491390</v>
      </c>
      <c r="L38" s="203">
        <v>507487045</v>
      </c>
      <c r="M38" s="203">
        <v>2024424463</v>
      </c>
      <c r="N38" s="203">
        <v>507487045</v>
      </c>
      <c r="O38" s="203">
        <v>2024424463</v>
      </c>
      <c r="P38" s="237">
        <v>0.23740675222371063</v>
      </c>
    </row>
    <row r="39" spans="1:16" s="5" customFormat="1">
      <c r="A39" s="134" t="s">
        <v>112</v>
      </c>
      <c r="B39" s="123" t="s">
        <v>1679</v>
      </c>
      <c r="C39" s="124" t="s">
        <v>113</v>
      </c>
      <c r="D39" s="67"/>
      <c r="E39" s="25" t="s">
        <v>114</v>
      </c>
      <c r="F39" s="68">
        <f>+F40+F44</f>
        <v>22992436000</v>
      </c>
      <c r="G39" s="68">
        <f t="shared" ref="G39:O39" si="14">+G40+G44</f>
        <v>0</v>
      </c>
      <c r="H39" s="68">
        <f t="shared" si="14"/>
        <v>0</v>
      </c>
      <c r="I39" s="68">
        <f t="shared" si="14"/>
        <v>22992436000</v>
      </c>
      <c r="J39" s="68">
        <f t="shared" si="14"/>
        <v>23942177</v>
      </c>
      <c r="K39" s="68">
        <f t="shared" si="14"/>
        <v>390355453</v>
      </c>
      <c r="L39" s="68">
        <f t="shared" si="14"/>
        <v>73204849</v>
      </c>
      <c r="M39" s="68">
        <f t="shared" si="14"/>
        <v>293537881</v>
      </c>
      <c r="N39" s="68">
        <f t="shared" si="14"/>
        <v>71856461</v>
      </c>
      <c r="O39" s="68">
        <f t="shared" si="14"/>
        <v>280780415</v>
      </c>
      <c r="P39" s="229">
        <v>0.23740675222371063</v>
      </c>
    </row>
    <row r="40" spans="1:16" s="8" customFormat="1">
      <c r="A40" s="106" t="s">
        <v>115</v>
      </c>
      <c r="B40" s="148" t="s">
        <v>1680</v>
      </c>
      <c r="C40" s="26" t="s">
        <v>116</v>
      </c>
      <c r="D40" s="69"/>
      <c r="E40" s="26" t="s">
        <v>117</v>
      </c>
      <c r="F40" s="15">
        <f>SUM(F41:F43)</f>
        <v>14300185000</v>
      </c>
      <c r="G40" s="202">
        <f t="shared" ref="G40:O40" si="15">SUM(G41:G43)</f>
        <v>0</v>
      </c>
      <c r="H40" s="202">
        <f t="shared" si="15"/>
        <v>0</v>
      </c>
      <c r="I40" s="202">
        <f t="shared" si="15"/>
        <v>14300185000</v>
      </c>
      <c r="J40" s="202">
        <f t="shared" si="15"/>
        <v>0</v>
      </c>
      <c r="K40" s="202">
        <f t="shared" si="15"/>
        <v>119171591</v>
      </c>
      <c r="L40" s="202">
        <f t="shared" si="15"/>
        <v>25898987</v>
      </c>
      <c r="M40" s="202">
        <f t="shared" si="15"/>
        <v>81636831</v>
      </c>
      <c r="N40" s="202">
        <f t="shared" si="15"/>
        <v>25009514</v>
      </c>
      <c r="O40" s="202">
        <f t="shared" si="15"/>
        <v>79143364</v>
      </c>
      <c r="P40" s="230">
        <v>0.23740675222371063</v>
      </c>
    </row>
    <row r="41" spans="1:16" s="7" customFormat="1">
      <c r="A41" s="107"/>
      <c r="B41" s="149" t="s">
        <v>1681</v>
      </c>
      <c r="C41" s="18" t="s">
        <v>118</v>
      </c>
      <c r="D41" s="30" t="s">
        <v>1483</v>
      </c>
      <c r="E41" s="17" t="s">
        <v>119</v>
      </c>
      <c r="F41" s="16">
        <v>2287604000</v>
      </c>
      <c r="G41" s="203">
        <v>0</v>
      </c>
      <c r="H41" s="203">
        <v>0</v>
      </c>
      <c r="I41" s="203">
        <v>2287604000</v>
      </c>
      <c r="J41" s="203">
        <v>0</v>
      </c>
      <c r="K41" s="203">
        <v>10705113</v>
      </c>
      <c r="L41" s="203">
        <v>889473</v>
      </c>
      <c r="M41" s="203">
        <v>10705113</v>
      </c>
      <c r="N41" s="203">
        <v>0</v>
      </c>
      <c r="O41" s="203">
        <v>9815640</v>
      </c>
      <c r="P41" s="237">
        <v>0.23740675222371063</v>
      </c>
    </row>
    <row r="42" spans="1:16" s="8" customFormat="1">
      <c r="A42" s="107"/>
      <c r="B42" s="149" t="s">
        <v>1682</v>
      </c>
      <c r="C42" s="18" t="s">
        <v>120</v>
      </c>
      <c r="D42" s="30" t="s">
        <v>1910</v>
      </c>
      <c r="E42" s="17" t="s">
        <v>121</v>
      </c>
      <c r="F42" s="16">
        <v>11659997000</v>
      </c>
      <c r="G42" s="203">
        <v>0</v>
      </c>
      <c r="H42" s="203">
        <v>0</v>
      </c>
      <c r="I42" s="203">
        <v>11659997000</v>
      </c>
      <c r="J42" s="203">
        <v>0</v>
      </c>
      <c r="K42" s="203">
        <v>99081875</v>
      </c>
      <c r="L42" s="203">
        <v>15624911</v>
      </c>
      <c r="M42" s="203">
        <v>61547115</v>
      </c>
      <c r="N42" s="203">
        <v>15624911</v>
      </c>
      <c r="O42" s="203">
        <v>59943121</v>
      </c>
      <c r="P42" s="237">
        <v>0.23740675222371063</v>
      </c>
    </row>
    <row r="43" spans="1:16" s="2" customFormat="1">
      <c r="A43" s="107"/>
      <c r="B43" s="149" t="s">
        <v>1683</v>
      </c>
      <c r="C43" s="18" t="s">
        <v>122</v>
      </c>
      <c r="D43" s="30" t="s">
        <v>1911</v>
      </c>
      <c r="E43" s="17" t="s">
        <v>123</v>
      </c>
      <c r="F43" s="16">
        <v>352584000</v>
      </c>
      <c r="G43" s="203">
        <v>0</v>
      </c>
      <c r="H43" s="203">
        <v>0</v>
      </c>
      <c r="I43" s="203">
        <v>352584000</v>
      </c>
      <c r="J43" s="203">
        <v>0</v>
      </c>
      <c r="K43" s="203">
        <v>9384603</v>
      </c>
      <c r="L43" s="203">
        <v>9384603</v>
      </c>
      <c r="M43" s="203">
        <v>9384603</v>
      </c>
      <c r="N43" s="203">
        <v>9384603</v>
      </c>
      <c r="O43" s="203">
        <v>9384603</v>
      </c>
      <c r="P43" s="237">
        <v>0.23740675222371063</v>
      </c>
    </row>
    <row r="44" spans="1:16" s="8" customFormat="1">
      <c r="A44" s="106" t="s">
        <v>124</v>
      </c>
      <c r="B44" s="148" t="s">
        <v>1684</v>
      </c>
      <c r="C44" s="26" t="s">
        <v>125</v>
      </c>
      <c r="D44" s="69"/>
      <c r="E44" s="26" t="s">
        <v>126</v>
      </c>
      <c r="F44" s="15">
        <f>SUM(F45:F47)</f>
        <v>8692251000</v>
      </c>
      <c r="G44" s="202">
        <f t="shared" ref="G44:O44" si="16">SUM(G45:G47)</f>
        <v>0</v>
      </c>
      <c r="H44" s="202">
        <f t="shared" si="16"/>
        <v>0</v>
      </c>
      <c r="I44" s="202">
        <f t="shared" si="16"/>
        <v>8692251000</v>
      </c>
      <c r="J44" s="202">
        <f t="shared" si="16"/>
        <v>23942177</v>
      </c>
      <c r="K44" s="202">
        <f t="shared" si="16"/>
        <v>271183862</v>
      </c>
      <c r="L44" s="202">
        <f t="shared" si="16"/>
        <v>47305862</v>
      </c>
      <c r="M44" s="202">
        <f t="shared" si="16"/>
        <v>211901050</v>
      </c>
      <c r="N44" s="202">
        <f t="shared" si="16"/>
        <v>46846947</v>
      </c>
      <c r="O44" s="202">
        <f t="shared" si="16"/>
        <v>201637051</v>
      </c>
      <c r="P44" s="230">
        <v>0.23740675222371063</v>
      </c>
    </row>
    <row r="45" spans="1:16" s="7" customFormat="1">
      <c r="A45" s="107"/>
      <c r="B45" s="149" t="s">
        <v>1685</v>
      </c>
      <c r="C45" s="18" t="s">
        <v>127</v>
      </c>
      <c r="D45" s="30" t="s">
        <v>1483</v>
      </c>
      <c r="E45" s="17" t="s">
        <v>128</v>
      </c>
      <c r="F45" s="16">
        <v>1123826000</v>
      </c>
      <c r="G45" s="203">
        <v>0</v>
      </c>
      <c r="H45" s="203">
        <v>0</v>
      </c>
      <c r="I45" s="203">
        <v>1123826000</v>
      </c>
      <c r="J45" s="203">
        <v>23942177</v>
      </c>
      <c r="K45" s="203">
        <v>142040649</v>
      </c>
      <c r="L45" s="203">
        <v>28702337</v>
      </c>
      <c r="M45" s="203">
        <v>124497523</v>
      </c>
      <c r="N45" s="203">
        <v>28243422</v>
      </c>
      <c r="O45" s="203">
        <v>119737363</v>
      </c>
      <c r="P45" s="237">
        <v>0.23740675222371063</v>
      </c>
    </row>
    <row r="46" spans="1:16" s="7" customFormat="1">
      <c r="A46" s="107"/>
      <c r="B46" s="149" t="s">
        <v>1686</v>
      </c>
      <c r="C46" s="18" t="s">
        <v>129</v>
      </c>
      <c r="D46" s="30" t="s">
        <v>1910</v>
      </c>
      <c r="E46" s="17" t="s">
        <v>130</v>
      </c>
      <c r="F46" s="16">
        <v>7310152000</v>
      </c>
      <c r="G46" s="203">
        <v>0</v>
      </c>
      <c r="H46" s="203">
        <v>0</v>
      </c>
      <c r="I46" s="203">
        <v>7310152000</v>
      </c>
      <c r="J46" s="203">
        <v>0</v>
      </c>
      <c r="K46" s="203">
        <v>83669104</v>
      </c>
      <c r="L46" s="203">
        <v>9160703</v>
      </c>
      <c r="M46" s="203">
        <v>41929418</v>
      </c>
      <c r="N46" s="203">
        <v>9160703</v>
      </c>
      <c r="O46" s="203">
        <v>36425579</v>
      </c>
      <c r="P46" s="237">
        <v>0.23740675222371063</v>
      </c>
    </row>
    <row r="47" spans="1:16" s="2" customFormat="1">
      <c r="A47" s="107"/>
      <c r="B47" s="149" t="s">
        <v>1687</v>
      </c>
      <c r="C47" s="18" t="s">
        <v>131</v>
      </c>
      <c r="D47" s="30" t="s">
        <v>1911</v>
      </c>
      <c r="E47" s="17" t="s">
        <v>132</v>
      </c>
      <c r="F47" s="16">
        <v>258273000</v>
      </c>
      <c r="G47" s="203">
        <v>0</v>
      </c>
      <c r="H47" s="203">
        <v>0</v>
      </c>
      <c r="I47" s="203">
        <v>258273000</v>
      </c>
      <c r="J47" s="203">
        <v>0</v>
      </c>
      <c r="K47" s="203">
        <v>45474109</v>
      </c>
      <c r="L47" s="203">
        <v>9442822</v>
      </c>
      <c r="M47" s="203">
        <v>45474109</v>
      </c>
      <c r="N47" s="203">
        <v>9442822</v>
      </c>
      <c r="O47" s="203">
        <v>45474109</v>
      </c>
      <c r="P47" s="237">
        <v>0.23740675222371063</v>
      </c>
    </row>
    <row r="48" spans="1:16" s="5" customFormat="1">
      <c r="A48" s="134" t="s">
        <v>133</v>
      </c>
      <c r="B48" s="123" t="s">
        <v>1688</v>
      </c>
      <c r="C48" s="124" t="s">
        <v>134</v>
      </c>
      <c r="D48" s="67"/>
      <c r="E48" s="25" t="s">
        <v>135</v>
      </c>
      <c r="F48" s="200">
        <f>+F50</f>
        <v>3872599000</v>
      </c>
      <c r="G48" s="68">
        <f t="shared" ref="G48:O48" si="17">+G50</f>
        <v>0</v>
      </c>
      <c r="H48" s="68">
        <f t="shared" si="17"/>
        <v>0</v>
      </c>
      <c r="I48" s="68">
        <f t="shared" si="17"/>
        <v>3872599000</v>
      </c>
      <c r="J48" s="68">
        <f t="shared" si="17"/>
        <v>313960967</v>
      </c>
      <c r="K48" s="68">
        <f t="shared" si="17"/>
        <v>2426392424</v>
      </c>
      <c r="L48" s="68">
        <f t="shared" si="17"/>
        <v>313960967</v>
      </c>
      <c r="M48" s="68">
        <f t="shared" si="17"/>
        <v>2426392424</v>
      </c>
      <c r="N48" s="68">
        <f t="shared" si="17"/>
        <v>313960967</v>
      </c>
      <c r="O48" s="68">
        <f t="shared" si="17"/>
        <v>2426392424</v>
      </c>
      <c r="P48" s="229">
        <v>0.23740675222371063</v>
      </c>
    </row>
    <row r="49" spans="1:16" s="8" customFormat="1">
      <c r="A49" s="106" t="s">
        <v>133</v>
      </c>
      <c r="B49" s="148" t="s">
        <v>1688</v>
      </c>
      <c r="C49" s="26" t="s">
        <v>134</v>
      </c>
      <c r="D49" s="69"/>
      <c r="E49" s="26" t="s">
        <v>135</v>
      </c>
      <c r="F49" s="201">
        <f>+F50</f>
        <v>3872599000</v>
      </c>
      <c r="G49" s="202">
        <f t="shared" ref="G49:O49" si="18">+G50</f>
        <v>0</v>
      </c>
      <c r="H49" s="202">
        <f t="shared" si="18"/>
        <v>0</v>
      </c>
      <c r="I49" s="202">
        <f t="shared" si="18"/>
        <v>3872599000</v>
      </c>
      <c r="J49" s="202">
        <f t="shared" si="18"/>
        <v>313960967</v>
      </c>
      <c r="K49" s="202">
        <f t="shared" si="18"/>
        <v>2426392424</v>
      </c>
      <c r="L49" s="202">
        <f t="shared" si="18"/>
        <v>313960967</v>
      </c>
      <c r="M49" s="202">
        <f t="shared" si="18"/>
        <v>2426392424</v>
      </c>
      <c r="N49" s="202">
        <f t="shared" si="18"/>
        <v>313960967</v>
      </c>
      <c r="O49" s="202">
        <f t="shared" si="18"/>
        <v>2426392424</v>
      </c>
      <c r="P49" s="230">
        <v>0.23740675222371063</v>
      </c>
    </row>
    <row r="50" spans="1:16" s="2" customFormat="1">
      <c r="A50" s="107"/>
      <c r="B50" s="149" t="s">
        <v>1676</v>
      </c>
      <c r="C50" s="18" t="s">
        <v>136</v>
      </c>
      <c r="D50" s="30" t="s">
        <v>1483</v>
      </c>
      <c r="E50" s="17" t="s">
        <v>137</v>
      </c>
      <c r="F50" s="16">
        <v>3872599000</v>
      </c>
      <c r="G50" s="203">
        <v>0</v>
      </c>
      <c r="H50" s="203">
        <v>0</v>
      </c>
      <c r="I50" s="203">
        <v>3872599000</v>
      </c>
      <c r="J50" s="203">
        <v>313960967</v>
      </c>
      <c r="K50" s="203">
        <v>2426392424</v>
      </c>
      <c r="L50" s="203">
        <v>313960967</v>
      </c>
      <c r="M50" s="203">
        <v>2426392424</v>
      </c>
      <c r="N50" s="203">
        <v>313960967</v>
      </c>
      <c r="O50" s="203">
        <v>2426392424</v>
      </c>
      <c r="P50" s="237">
        <v>0.23740675222371063</v>
      </c>
    </row>
    <row r="51" spans="1:16" s="5" customFormat="1">
      <c r="A51" s="169" t="s">
        <v>138</v>
      </c>
      <c r="B51" s="146" t="s">
        <v>1677</v>
      </c>
      <c r="C51" s="147" t="s">
        <v>139</v>
      </c>
      <c r="D51" s="65"/>
      <c r="E51" s="32" t="s">
        <v>140</v>
      </c>
      <c r="F51" s="66">
        <f>+F52+F56</f>
        <v>13814551000</v>
      </c>
      <c r="G51" s="66">
        <f t="shared" ref="G51:O51" si="19">+G52+G56</f>
        <v>0</v>
      </c>
      <c r="H51" s="66">
        <f t="shared" si="19"/>
        <v>-951191646</v>
      </c>
      <c r="I51" s="66">
        <f t="shared" si="19"/>
        <v>12863359354</v>
      </c>
      <c r="J51" s="66">
        <f t="shared" si="19"/>
        <v>84097228</v>
      </c>
      <c r="K51" s="66">
        <f t="shared" si="19"/>
        <v>11292485632</v>
      </c>
      <c r="L51" s="66">
        <f t="shared" si="19"/>
        <v>93542947</v>
      </c>
      <c r="M51" s="66">
        <f t="shared" si="19"/>
        <v>11239710184</v>
      </c>
      <c r="N51" s="66">
        <f t="shared" si="19"/>
        <v>96361295</v>
      </c>
      <c r="O51" s="66">
        <f t="shared" si="19"/>
        <v>11227898565</v>
      </c>
      <c r="P51" s="236">
        <v>0.23740675222371063</v>
      </c>
    </row>
    <row r="52" spans="1:16" s="8" customFormat="1">
      <c r="A52" s="134" t="s">
        <v>141</v>
      </c>
      <c r="B52" s="123" t="s">
        <v>1689</v>
      </c>
      <c r="C52" s="124" t="s">
        <v>142</v>
      </c>
      <c r="D52" s="67"/>
      <c r="E52" s="25" t="s">
        <v>143</v>
      </c>
      <c r="F52" s="68">
        <f>SUM(F53:F55)</f>
        <v>12787384000</v>
      </c>
      <c r="G52" s="68">
        <f t="shared" ref="G52:O52" si="20">SUM(G53:G55)</f>
        <v>0</v>
      </c>
      <c r="H52" s="68">
        <f t="shared" si="20"/>
        <v>-951191646</v>
      </c>
      <c r="I52" s="68">
        <f t="shared" si="20"/>
        <v>11836192354</v>
      </c>
      <c r="J52" s="68">
        <f t="shared" si="20"/>
        <v>13553703</v>
      </c>
      <c r="K52" s="68">
        <f t="shared" si="20"/>
        <v>10720612031</v>
      </c>
      <c r="L52" s="68">
        <f t="shared" si="20"/>
        <v>22999422</v>
      </c>
      <c r="M52" s="68">
        <f t="shared" si="20"/>
        <v>10667836583</v>
      </c>
      <c r="N52" s="68">
        <f t="shared" si="20"/>
        <v>25817770</v>
      </c>
      <c r="O52" s="68">
        <f t="shared" si="20"/>
        <v>10656024964</v>
      </c>
      <c r="P52" s="229">
        <v>0.23740675222371063</v>
      </c>
    </row>
    <row r="53" spans="1:16" s="7" customFormat="1">
      <c r="A53" s="107"/>
      <c r="B53" s="149" t="s">
        <v>1479</v>
      </c>
      <c r="C53" s="18" t="s">
        <v>144</v>
      </c>
      <c r="D53" s="30" t="s">
        <v>1483</v>
      </c>
      <c r="E53" s="17" t="s">
        <v>145</v>
      </c>
      <c r="F53" s="16">
        <v>2421498000</v>
      </c>
      <c r="G53" s="203">
        <v>0</v>
      </c>
      <c r="H53" s="203">
        <v>-250000000</v>
      </c>
      <c r="I53" s="203">
        <v>2171498000</v>
      </c>
      <c r="J53" s="203">
        <v>0</v>
      </c>
      <c r="K53" s="203">
        <v>2101834677</v>
      </c>
      <c r="L53" s="203">
        <v>6654632</v>
      </c>
      <c r="M53" s="203">
        <v>2071924372</v>
      </c>
      <c r="N53" s="203">
        <v>9472980</v>
      </c>
      <c r="O53" s="203">
        <v>2065269740</v>
      </c>
      <c r="P53" s="237">
        <v>0.23740675222371063</v>
      </c>
    </row>
    <row r="54" spans="1:16" s="7" customFormat="1">
      <c r="A54" s="107"/>
      <c r="B54" s="149" t="s">
        <v>1690</v>
      </c>
      <c r="C54" s="18" t="s">
        <v>146</v>
      </c>
      <c r="D54" s="30" t="s">
        <v>1910</v>
      </c>
      <c r="E54" s="17" t="s">
        <v>147</v>
      </c>
      <c r="F54" s="16">
        <v>10097192000</v>
      </c>
      <c r="G54" s="203">
        <v>0</v>
      </c>
      <c r="H54" s="203">
        <v>-701191646</v>
      </c>
      <c r="I54" s="203">
        <v>9396000354</v>
      </c>
      <c r="J54" s="203">
        <v>13553703</v>
      </c>
      <c r="K54" s="203">
        <v>8380016359</v>
      </c>
      <c r="L54" s="203">
        <v>13553703</v>
      </c>
      <c r="M54" s="203">
        <v>8357151216</v>
      </c>
      <c r="N54" s="203">
        <v>13553703</v>
      </c>
      <c r="O54" s="203">
        <v>8351994229</v>
      </c>
      <c r="P54" s="237">
        <v>0.23740675222371063</v>
      </c>
    </row>
    <row r="55" spans="1:16" s="5" customFormat="1">
      <c r="A55" s="107"/>
      <c r="B55" s="149" t="s">
        <v>1691</v>
      </c>
      <c r="C55" s="18" t="s">
        <v>148</v>
      </c>
      <c r="D55" s="30" t="s">
        <v>1911</v>
      </c>
      <c r="E55" s="17" t="s">
        <v>149</v>
      </c>
      <c r="F55" s="16">
        <v>268694000</v>
      </c>
      <c r="G55" s="203">
        <v>0</v>
      </c>
      <c r="H55" s="203">
        <v>0</v>
      </c>
      <c r="I55" s="203">
        <v>268694000</v>
      </c>
      <c r="J55" s="203">
        <v>0</v>
      </c>
      <c r="K55" s="203">
        <v>238760995</v>
      </c>
      <c r="L55" s="203">
        <v>2791087</v>
      </c>
      <c r="M55" s="203">
        <v>238760995</v>
      </c>
      <c r="N55" s="203">
        <v>2791087</v>
      </c>
      <c r="O55" s="203">
        <v>238760995</v>
      </c>
      <c r="P55" s="237">
        <v>0.23740675222371063</v>
      </c>
    </row>
    <row r="56" spans="1:16" s="5" customFormat="1">
      <c r="A56" s="134" t="s">
        <v>150</v>
      </c>
      <c r="B56" s="123" t="s">
        <v>1692</v>
      </c>
      <c r="C56" s="124" t="s">
        <v>151</v>
      </c>
      <c r="D56" s="67"/>
      <c r="E56" s="25" t="s">
        <v>152</v>
      </c>
      <c r="F56" s="68">
        <f>+F57</f>
        <v>1027167000</v>
      </c>
      <c r="G56" s="68">
        <f t="shared" ref="G56:O56" si="21">+G57</f>
        <v>0</v>
      </c>
      <c r="H56" s="68">
        <f t="shared" si="21"/>
        <v>0</v>
      </c>
      <c r="I56" s="68">
        <f t="shared" si="21"/>
        <v>1027167000</v>
      </c>
      <c r="J56" s="68">
        <f t="shared" si="21"/>
        <v>70543525</v>
      </c>
      <c r="K56" s="68">
        <f t="shared" si="21"/>
        <v>571873601</v>
      </c>
      <c r="L56" s="68">
        <f t="shared" si="21"/>
        <v>70543525</v>
      </c>
      <c r="M56" s="68">
        <f t="shared" si="21"/>
        <v>571873601</v>
      </c>
      <c r="N56" s="68">
        <f t="shared" si="21"/>
        <v>70543525</v>
      </c>
      <c r="O56" s="68">
        <f t="shared" si="21"/>
        <v>571873601</v>
      </c>
      <c r="P56" s="229">
        <v>0.23740675222371063</v>
      </c>
    </row>
    <row r="57" spans="1:16" s="8" customFormat="1">
      <c r="A57" s="106" t="s">
        <v>153</v>
      </c>
      <c r="B57" s="148" t="s">
        <v>1480</v>
      </c>
      <c r="C57" s="26" t="s">
        <v>154</v>
      </c>
      <c r="D57" s="69"/>
      <c r="E57" s="26" t="s">
        <v>155</v>
      </c>
      <c r="F57" s="15">
        <f>SUM(F58:F59)</f>
        <v>1027167000</v>
      </c>
      <c r="G57" s="202">
        <f t="shared" ref="G57:O57" si="22">SUM(G58:G59)</f>
        <v>0</v>
      </c>
      <c r="H57" s="202">
        <f t="shared" si="22"/>
        <v>0</v>
      </c>
      <c r="I57" s="202">
        <f t="shared" si="22"/>
        <v>1027167000</v>
      </c>
      <c r="J57" s="202">
        <f t="shared" si="22"/>
        <v>70543525</v>
      </c>
      <c r="K57" s="202">
        <f t="shared" si="22"/>
        <v>571873601</v>
      </c>
      <c r="L57" s="202">
        <f t="shared" si="22"/>
        <v>70543525</v>
      </c>
      <c r="M57" s="202">
        <f t="shared" si="22"/>
        <v>571873601</v>
      </c>
      <c r="N57" s="202">
        <f t="shared" si="22"/>
        <v>70543525</v>
      </c>
      <c r="O57" s="202">
        <f t="shared" si="22"/>
        <v>571873601</v>
      </c>
      <c r="P57" s="230">
        <v>0.23740675222371063</v>
      </c>
    </row>
    <row r="58" spans="1:16" s="8" customFormat="1">
      <c r="A58" s="107"/>
      <c r="B58" s="149" t="s">
        <v>1693</v>
      </c>
      <c r="C58" s="18" t="s">
        <v>156</v>
      </c>
      <c r="D58" s="30" t="s">
        <v>1483</v>
      </c>
      <c r="E58" s="17" t="s">
        <v>157</v>
      </c>
      <c r="F58" s="16">
        <v>831631000</v>
      </c>
      <c r="G58" s="203">
        <v>0</v>
      </c>
      <c r="H58" s="203">
        <v>0</v>
      </c>
      <c r="I58" s="203">
        <v>831631000</v>
      </c>
      <c r="J58" s="203">
        <v>57128210</v>
      </c>
      <c r="K58" s="203">
        <v>454843346</v>
      </c>
      <c r="L58" s="203">
        <v>57128210</v>
      </c>
      <c r="M58" s="203">
        <v>454843346</v>
      </c>
      <c r="N58" s="203">
        <v>57128210</v>
      </c>
      <c r="O58" s="203">
        <v>454843346</v>
      </c>
      <c r="P58" s="237">
        <v>0.23740675222371063</v>
      </c>
    </row>
    <row r="59" spans="1:16" s="2" customFormat="1">
      <c r="A59" s="107"/>
      <c r="B59" s="149" t="s">
        <v>1694</v>
      </c>
      <c r="C59" s="18" t="s">
        <v>158</v>
      </c>
      <c r="D59" s="30" t="s">
        <v>1911</v>
      </c>
      <c r="E59" s="17" t="s">
        <v>159</v>
      </c>
      <c r="F59" s="16">
        <v>195536000</v>
      </c>
      <c r="G59" s="203">
        <v>0</v>
      </c>
      <c r="H59" s="203">
        <v>0</v>
      </c>
      <c r="I59" s="203">
        <v>195536000</v>
      </c>
      <c r="J59" s="203">
        <v>13415315</v>
      </c>
      <c r="K59" s="203">
        <v>117030255</v>
      </c>
      <c r="L59" s="203">
        <v>13415315</v>
      </c>
      <c r="M59" s="203">
        <v>117030255</v>
      </c>
      <c r="N59" s="203">
        <v>13415315</v>
      </c>
      <c r="O59" s="203">
        <v>117030255</v>
      </c>
      <c r="P59" s="237">
        <v>0.23740675222371063</v>
      </c>
    </row>
    <row r="60" spans="1:16" s="2" customFormat="1">
      <c r="A60" s="105" t="s">
        <v>160</v>
      </c>
      <c r="B60" s="63" t="s">
        <v>1477</v>
      </c>
      <c r="C60" s="63" t="s">
        <v>161</v>
      </c>
      <c r="D60" s="63"/>
      <c r="E60" s="63" t="s">
        <v>162</v>
      </c>
      <c r="F60" s="64">
        <f>+F61+F70+F75+F84+F89+F94</f>
        <v>59417330000</v>
      </c>
      <c r="G60" s="64">
        <f t="shared" ref="G60:O60" si="23">+G61+G70+G75+G84+G89+G94</f>
        <v>0</v>
      </c>
      <c r="H60" s="64">
        <f t="shared" si="23"/>
        <v>-1691811575</v>
      </c>
      <c r="I60" s="64">
        <f t="shared" si="23"/>
        <v>57725518425</v>
      </c>
      <c r="J60" s="64">
        <f t="shared" si="23"/>
        <v>2977235683</v>
      </c>
      <c r="K60" s="64">
        <f t="shared" si="23"/>
        <v>33720259572</v>
      </c>
      <c r="L60" s="64">
        <f t="shared" si="23"/>
        <v>2980111806</v>
      </c>
      <c r="M60" s="64">
        <f t="shared" si="23"/>
        <v>33668998994</v>
      </c>
      <c r="N60" s="64">
        <f t="shared" si="23"/>
        <v>2981481238</v>
      </c>
      <c r="O60" s="64">
        <f t="shared" si="23"/>
        <v>33658728141</v>
      </c>
      <c r="P60" s="235">
        <v>0.23740675222371063</v>
      </c>
    </row>
    <row r="61" spans="1:16" s="2" customFormat="1">
      <c r="A61" s="134" t="s">
        <v>163</v>
      </c>
      <c r="B61" s="123" t="s">
        <v>1695</v>
      </c>
      <c r="C61" s="124" t="s">
        <v>164</v>
      </c>
      <c r="D61" s="67"/>
      <c r="E61" s="25" t="s">
        <v>165</v>
      </c>
      <c r="F61" s="68">
        <f>+F62+F66</f>
        <v>17859361000</v>
      </c>
      <c r="G61" s="68">
        <f t="shared" ref="G61:O61" si="24">+G62+G66</f>
        <v>0</v>
      </c>
      <c r="H61" s="68">
        <f t="shared" si="24"/>
        <v>0</v>
      </c>
      <c r="I61" s="68">
        <f t="shared" si="24"/>
        <v>17859361000</v>
      </c>
      <c r="J61" s="68">
        <f t="shared" si="24"/>
        <v>1271149275</v>
      </c>
      <c r="K61" s="68">
        <f t="shared" si="24"/>
        <v>8777285325</v>
      </c>
      <c r="L61" s="68">
        <f t="shared" si="24"/>
        <v>1271149275</v>
      </c>
      <c r="M61" s="68">
        <f t="shared" si="24"/>
        <v>8777285325</v>
      </c>
      <c r="N61" s="68">
        <f t="shared" si="24"/>
        <v>1271149275</v>
      </c>
      <c r="O61" s="68">
        <f t="shared" si="24"/>
        <v>8777285325</v>
      </c>
      <c r="P61" s="229">
        <v>0.23740675222371063</v>
      </c>
    </row>
    <row r="62" spans="1:16" s="8" customFormat="1">
      <c r="A62" s="106" t="s">
        <v>166</v>
      </c>
      <c r="B62" s="148" t="s">
        <v>1696</v>
      </c>
      <c r="C62" s="26" t="s">
        <v>167</v>
      </c>
      <c r="D62" s="69"/>
      <c r="E62" s="26" t="s">
        <v>168</v>
      </c>
      <c r="F62" s="15">
        <f>SUM(F63:F65)</f>
        <v>15547240000</v>
      </c>
      <c r="G62" s="202">
        <f t="shared" ref="G62:O62" si="25">SUM(G63:G65)</f>
        <v>0</v>
      </c>
      <c r="H62" s="202">
        <f t="shared" si="25"/>
        <v>0</v>
      </c>
      <c r="I62" s="202">
        <f t="shared" si="25"/>
        <v>15547240000</v>
      </c>
      <c r="J62" s="202">
        <f t="shared" si="25"/>
        <v>1145963475</v>
      </c>
      <c r="K62" s="202">
        <f t="shared" si="25"/>
        <v>7929885000</v>
      </c>
      <c r="L62" s="202">
        <f t="shared" si="25"/>
        <v>1145963475</v>
      </c>
      <c r="M62" s="202">
        <f t="shared" si="25"/>
        <v>7929885000</v>
      </c>
      <c r="N62" s="202">
        <f t="shared" si="25"/>
        <v>1145963475</v>
      </c>
      <c r="O62" s="202">
        <f t="shared" si="25"/>
        <v>7929885000</v>
      </c>
      <c r="P62" s="230">
        <v>0.23740675222371063</v>
      </c>
    </row>
    <row r="63" spans="1:16" s="7" customFormat="1">
      <c r="A63" s="107"/>
      <c r="B63" s="149" t="s">
        <v>1697</v>
      </c>
      <c r="C63" s="18" t="s">
        <v>169</v>
      </c>
      <c r="D63" s="30" t="s">
        <v>1483</v>
      </c>
      <c r="E63" s="17" t="s">
        <v>170</v>
      </c>
      <c r="F63" s="16">
        <v>2417048000</v>
      </c>
      <c r="G63" s="203">
        <v>0</v>
      </c>
      <c r="H63" s="203">
        <v>0</v>
      </c>
      <c r="I63" s="203">
        <v>2417048000</v>
      </c>
      <c r="J63" s="203">
        <v>177741825</v>
      </c>
      <c r="K63" s="203">
        <v>1218869700</v>
      </c>
      <c r="L63" s="203">
        <v>177741825</v>
      </c>
      <c r="M63" s="203">
        <v>1218869700</v>
      </c>
      <c r="N63" s="203">
        <v>177741825</v>
      </c>
      <c r="O63" s="203">
        <v>1218869700</v>
      </c>
      <c r="P63" s="237">
        <v>0.23740675222371063</v>
      </c>
    </row>
    <row r="64" spans="1:16" s="7" customFormat="1">
      <c r="A64" s="107"/>
      <c r="B64" s="149" t="s">
        <v>1698</v>
      </c>
      <c r="C64" s="18" t="s">
        <v>171</v>
      </c>
      <c r="D64" s="30" t="s">
        <v>1910</v>
      </c>
      <c r="E64" s="17" t="s">
        <v>172</v>
      </c>
      <c r="F64" s="16">
        <v>12937333000</v>
      </c>
      <c r="G64" s="203">
        <v>0</v>
      </c>
      <c r="H64" s="203">
        <v>0</v>
      </c>
      <c r="I64" s="203">
        <v>12937333000</v>
      </c>
      <c r="J64" s="203">
        <v>950505300</v>
      </c>
      <c r="K64" s="203">
        <v>6602986500</v>
      </c>
      <c r="L64" s="203">
        <v>950505300</v>
      </c>
      <c r="M64" s="203">
        <v>6602986500</v>
      </c>
      <c r="N64" s="203">
        <v>950505300</v>
      </c>
      <c r="O64" s="203">
        <v>6602986500</v>
      </c>
      <c r="P64" s="237">
        <v>0.23740675222371063</v>
      </c>
    </row>
    <row r="65" spans="1:16" s="5" customFormat="1">
      <c r="A65" s="107"/>
      <c r="B65" s="149" t="s">
        <v>1699</v>
      </c>
      <c r="C65" s="18" t="s">
        <v>173</v>
      </c>
      <c r="D65" s="30" t="s">
        <v>1911</v>
      </c>
      <c r="E65" s="17" t="s">
        <v>174</v>
      </c>
      <c r="F65" s="16">
        <v>192859000</v>
      </c>
      <c r="G65" s="203">
        <v>0</v>
      </c>
      <c r="H65" s="203">
        <v>0</v>
      </c>
      <c r="I65" s="203">
        <v>192859000</v>
      </c>
      <c r="J65" s="203">
        <v>17716350</v>
      </c>
      <c r="K65" s="203">
        <v>108028800</v>
      </c>
      <c r="L65" s="203">
        <v>17716350</v>
      </c>
      <c r="M65" s="203">
        <v>108028800</v>
      </c>
      <c r="N65" s="203">
        <v>17716350</v>
      </c>
      <c r="O65" s="203">
        <v>108028800</v>
      </c>
      <c r="P65" s="237">
        <v>0.23740675222371063</v>
      </c>
    </row>
    <row r="66" spans="1:16" s="8" customFormat="1">
      <c r="A66" s="106" t="s">
        <v>175</v>
      </c>
      <c r="B66" s="148" t="s">
        <v>1915</v>
      </c>
      <c r="C66" s="26" t="s">
        <v>176</v>
      </c>
      <c r="D66" s="69"/>
      <c r="E66" s="26" t="s">
        <v>177</v>
      </c>
      <c r="F66" s="15">
        <f>SUM(F67:F69)</f>
        <v>2312121000</v>
      </c>
      <c r="G66" s="202">
        <f t="shared" ref="G66:O66" si="26">SUM(G67:G69)</f>
        <v>0</v>
      </c>
      <c r="H66" s="202">
        <f t="shared" si="26"/>
        <v>0</v>
      </c>
      <c r="I66" s="202">
        <f t="shared" si="26"/>
        <v>2312121000</v>
      </c>
      <c r="J66" s="202">
        <f t="shared" si="26"/>
        <v>125185800</v>
      </c>
      <c r="K66" s="202">
        <f t="shared" si="26"/>
        <v>847400325</v>
      </c>
      <c r="L66" s="202">
        <f t="shared" si="26"/>
        <v>125185800</v>
      </c>
      <c r="M66" s="202">
        <f t="shared" si="26"/>
        <v>847400325</v>
      </c>
      <c r="N66" s="202">
        <f t="shared" si="26"/>
        <v>125185800</v>
      </c>
      <c r="O66" s="202">
        <f t="shared" si="26"/>
        <v>847400325</v>
      </c>
      <c r="P66" s="230">
        <v>0.23740675222371063</v>
      </c>
    </row>
    <row r="67" spans="1:16" s="7" customFormat="1">
      <c r="A67" s="107"/>
      <c r="B67" s="149" t="s">
        <v>1701</v>
      </c>
      <c r="C67" s="18" t="s">
        <v>178</v>
      </c>
      <c r="D67" s="30" t="s">
        <v>1483</v>
      </c>
      <c r="E67" s="17" t="s">
        <v>179</v>
      </c>
      <c r="F67" s="16">
        <v>507885000</v>
      </c>
      <c r="G67" s="203">
        <v>0</v>
      </c>
      <c r="H67" s="203">
        <v>0</v>
      </c>
      <c r="I67" s="203">
        <v>507885000</v>
      </c>
      <c r="J67" s="203">
        <v>33607950</v>
      </c>
      <c r="K67" s="203">
        <v>224876625</v>
      </c>
      <c r="L67" s="203">
        <v>33607950</v>
      </c>
      <c r="M67" s="203">
        <v>224876625</v>
      </c>
      <c r="N67" s="203">
        <v>33607950</v>
      </c>
      <c r="O67" s="203">
        <v>224876625</v>
      </c>
      <c r="P67" s="237">
        <v>0.23740675222371063</v>
      </c>
    </row>
    <row r="68" spans="1:16" s="7" customFormat="1">
      <c r="A68" s="107"/>
      <c r="B68" s="149" t="s">
        <v>1702</v>
      </c>
      <c r="C68" s="18" t="s">
        <v>180</v>
      </c>
      <c r="D68" s="30" t="s">
        <v>1910</v>
      </c>
      <c r="E68" s="17" t="s">
        <v>181</v>
      </c>
      <c r="F68" s="16">
        <v>1764182000</v>
      </c>
      <c r="G68" s="203">
        <v>0</v>
      </c>
      <c r="H68" s="203">
        <v>0</v>
      </c>
      <c r="I68" s="203">
        <v>1764182000</v>
      </c>
      <c r="J68" s="203">
        <v>90301725</v>
      </c>
      <c r="K68" s="203">
        <v>613718400</v>
      </c>
      <c r="L68" s="203">
        <v>90301725</v>
      </c>
      <c r="M68" s="203">
        <v>613718400</v>
      </c>
      <c r="N68" s="203">
        <v>90301725</v>
      </c>
      <c r="O68" s="203">
        <v>613718400</v>
      </c>
      <c r="P68" s="237">
        <v>0.23740675222371063</v>
      </c>
    </row>
    <row r="69" spans="1:16" s="5" customFormat="1">
      <c r="A69" s="107"/>
      <c r="B69" s="149" t="s">
        <v>1703</v>
      </c>
      <c r="C69" s="18" t="s">
        <v>182</v>
      </c>
      <c r="D69" s="30" t="s">
        <v>1911</v>
      </c>
      <c r="E69" s="17" t="s">
        <v>183</v>
      </c>
      <c r="F69" s="16">
        <v>40054000</v>
      </c>
      <c r="G69" s="203">
        <v>0</v>
      </c>
      <c r="H69" s="203">
        <v>0</v>
      </c>
      <c r="I69" s="203">
        <v>40054000</v>
      </c>
      <c r="J69" s="203">
        <v>1276125</v>
      </c>
      <c r="K69" s="203">
        <v>8805300</v>
      </c>
      <c r="L69" s="203">
        <v>1276125</v>
      </c>
      <c r="M69" s="203">
        <v>8805300</v>
      </c>
      <c r="N69" s="203">
        <v>1276125</v>
      </c>
      <c r="O69" s="203">
        <v>8805300</v>
      </c>
      <c r="P69" s="237">
        <v>0.23740675222371063</v>
      </c>
    </row>
    <row r="70" spans="1:16" s="5" customFormat="1">
      <c r="A70" s="134" t="s">
        <v>184</v>
      </c>
      <c r="B70" s="123" t="s">
        <v>1704</v>
      </c>
      <c r="C70" s="124" t="s">
        <v>185</v>
      </c>
      <c r="D70" s="67"/>
      <c r="E70" s="25" t="s">
        <v>186</v>
      </c>
      <c r="F70" s="68">
        <f>+F71</f>
        <v>12565168000</v>
      </c>
      <c r="G70" s="68">
        <f t="shared" ref="G70:O70" si="27">+G71</f>
        <v>0</v>
      </c>
      <c r="H70" s="68">
        <f t="shared" si="27"/>
        <v>0</v>
      </c>
      <c r="I70" s="68">
        <f t="shared" si="27"/>
        <v>12565168000</v>
      </c>
      <c r="J70" s="68">
        <f t="shared" si="27"/>
        <v>900141908</v>
      </c>
      <c r="K70" s="68">
        <f t="shared" si="27"/>
        <v>6215452900</v>
      </c>
      <c r="L70" s="68">
        <f t="shared" si="27"/>
        <v>900141908</v>
      </c>
      <c r="M70" s="68">
        <f t="shared" si="27"/>
        <v>6215452900</v>
      </c>
      <c r="N70" s="68">
        <f t="shared" si="27"/>
        <v>900141908</v>
      </c>
      <c r="O70" s="68">
        <f t="shared" si="27"/>
        <v>6215452900</v>
      </c>
      <c r="P70" s="229">
        <v>0.23740675222371063</v>
      </c>
    </row>
    <row r="71" spans="1:16" s="7" customFormat="1">
      <c r="A71" s="106" t="s">
        <v>187</v>
      </c>
      <c r="B71" s="148" t="s">
        <v>1705</v>
      </c>
      <c r="C71" s="26" t="s">
        <v>188</v>
      </c>
      <c r="D71" s="69"/>
      <c r="E71" s="26" t="s">
        <v>189</v>
      </c>
      <c r="F71" s="15">
        <f>SUM(F72:F74)</f>
        <v>12565168000</v>
      </c>
      <c r="G71" s="202">
        <f t="shared" ref="G71:O71" si="28">SUM(G72:G74)</f>
        <v>0</v>
      </c>
      <c r="H71" s="202">
        <f t="shared" si="28"/>
        <v>0</v>
      </c>
      <c r="I71" s="202">
        <f t="shared" si="28"/>
        <v>12565168000</v>
      </c>
      <c r="J71" s="202">
        <f t="shared" si="28"/>
        <v>900141908</v>
      </c>
      <c r="K71" s="202">
        <f t="shared" si="28"/>
        <v>6215452900</v>
      </c>
      <c r="L71" s="202">
        <f t="shared" si="28"/>
        <v>900141908</v>
      </c>
      <c r="M71" s="202">
        <f t="shared" si="28"/>
        <v>6215452900</v>
      </c>
      <c r="N71" s="202">
        <f t="shared" si="28"/>
        <v>900141908</v>
      </c>
      <c r="O71" s="202">
        <f t="shared" si="28"/>
        <v>6215452900</v>
      </c>
      <c r="P71" s="230">
        <v>0.23740675222371063</v>
      </c>
    </row>
    <row r="72" spans="1:16" s="7" customFormat="1">
      <c r="A72" s="107"/>
      <c r="B72" s="149" t="s">
        <v>1706</v>
      </c>
      <c r="C72" s="18" t="s">
        <v>190</v>
      </c>
      <c r="D72" s="30" t="s">
        <v>1483</v>
      </c>
      <c r="E72" s="17" t="s">
        <v>191</v>
      </c>
      <c r="F72" s="16">
        <v>2002645000</v>
      </c>
      <c r="G72" s="203">
        <v>0</v>
      </c>
      <c r="H72" s="203">
        <v>0</v>
      </c>
      <c r="I72" s="203">
        <v>2002645000</v>
      </c>
      <c r="J72" s="203">
        <v>149707032</v>
      </c>
      <c r="K72" s="203">
        <v>1022735164</v>
      </c>
      <c r="L72" s="203">
        <v>149707032</v>
      </c>
      <c r="M72" s="203">
        <v>1022735164</v>
      </c>
      <c r="N72" s="203">
        <v>149707032</v>
      </c>
      <c r="O72" s="203">
        <v>1022735164</v>
      </c>
      <c r="P72" s="237">
        <v>0.23740675222371063</v>
      </c>
    </row>
    <row r="73" spans="1:16" s="8" customFormat="1">
      <c r="A73" s="107"/>
      <c r="B73" s="149" t="s">
        <v>1707</v>
      </c>
      <c r="C73" s="18" t="s">
        <v>192</v>
      </c>
      <c r="D73" s="30" t="s">
        <v>1910</v>
      </c>
      <c r="E73" s="17" t="s">
        <v>193</v>
      </c>
      <c r="F73" s="16">
        <v>10413573000</v>
      </c>
      <c r="G73" s="203">
        <v>0</v>
      </c>
      <c r="H73" s="203">
        <v>0</v>
      </c>
      <c r="I73" s="203">
        <v>10413573000</v>
      </c>
      <c r="J73" s="203">
        <v>736981756</v>
      </c>
      <c r="K73" s="203">
        <v>5109958200</v>
      </c>
      <c r="L73" s="203">
        <v>736981756</v>
      </c>
      <c r="M73" s="203">
        <v>5109958200</v>
      </c>
      <c r="N73" s="203">
        <v>736981756</v>
      </c>
      <c r="O73" s="203">
        <v>5109958200</v>
      </c>
      <c r="P73" s="237">
        <v>0.23740675222371063</v>
      </c>
    </row>
    <row r="74" spans="1:16" s="2" customFormat="1">
      <c r="A74" s="107"/>
      <c r="B74" s="149" t="s">
        <v>1708</v>
      </c>
      <c r="C74" s="18" t="s">
        <v>194</v>
      </c>
      <c r="D74" s="30" t="s">
        <v>1911</v>
      </c>
      <c r="E74" s="17" t="s">
        <v>195</v>
      </c>
      <c r="F74" s="16">
        <v>148950000</v>
      </c>
      <c r="G74" s="203">
        <v>0</v>
      </c>
      <c r="H74" s="203">
        <v>0</v>
      </c>
      <c r="I74" s="203">
        <v>148950000</v>
      </c>
      <c r="J74" s="203">
        <v>13453120</v>
      </c>
      <c r="K74" s="203">
        <v>82759536</v>
      </c>
      <c r="L74" s="203">
        <v>13453120</v>
      </c>
      <c r="M74" s="203">
        <v>82759536</v>
      </c>
      <c r="N74" s="203">
        <v>13453120</v>
      </c>
      <c r="O74" s="203">
        <v>82759536</v>
      </c>
      <c r="P74" s="237">
        <v>0.23740675222371063</v>
      </c>
    </row>
    <row r="75" spans="1:16" s="5" customFormat="1">
      <c r="A75" s="134" t="s">
        <v>196</v>
      </c>
      <c r="B75" s="123" t="s">
        <v>1472</v>
      </c>
      <c r="C75" s="124" t="s">
        <v>197</v>
      </c>
      <c r="D75" s="67"/>
      <c r="E75" s="25" t="s">
        <v>198</v>
      </c>
      <c r="F75" s="68">
        <f>+F76+F80</f>
        <v>15273366000</v>
      </c>
      <c r="G75" s="68">
        <f t="shared" ref="G75:O75" si="29">+G76+G80</f>
        <v>0</v>
      </c>
      <c r="H75" s="68">
        <f t="shared" si="29"/>
        <v>-1691811575</v>
      </c>
      <c r="I75" s="68">
        <f t="shared" si="29"/>
        <v>13581554425</v>
      </c>
      <c r="J75" s="68">
        <f t="shared" si="29"/>
        <v>0</v>
      </c>
      <c r="K75" s="68">
        <f t="shared" si="29"/>
        <v>12419650347</v>
      </c>
      <c r="L75" s="68">
        <f t="shared" si="29"/>
        <v>2876123</v>
      </c>
      <c r="M75" s="68">
        <f t="shared" si="29"/>
        <v>12368389769</v>
      </c>
      <c r="N75" s="68">
        <f t="shared" si="29"/>
        <v>4245555</v>
      </c>
      <c r="O75" s="68">
        <f t="shared" si="29"/>
        <v>12358118916</v>
      </c>
      <c r="P75" s="229">
        <v>0.23740675222371063</v>
      </c>
    </row>
    <row r="76" spans="1:16" s="7" customFormat="1">
      <c r="A76" s="106" t="s">
        <v>199</v>
      </c>
      <c r="B76" s="148" t="s">
        <v>1473</v>
      </c>
      <c r="C76" s="26" t="s">
        <v>200</v>
      </c>
      <c r="D76" s="69"/>
      <c r="E76" s="26" t="s">
        <v>201</v>
      </c>
      <c r="F76" s="15">
        <f>SUM(F77:F79)</f>
        <v>8087997000</v>
      </c>
      <c r="G76" s="202">
        <f t="shared" ref="G76:O76" si="30">SUM(G77:G79)</f>
        <v>0</v>
      </c>
      <c r="H76" s="202">
        <f t="shared" si="30"/>
        <v>-100000000</v>
      </c>
      <c r="I76" s="202">
        <f t="shared" si="30"/>
        <v>7987997000</v>
      </c>
      <c r="J76" s="202">
        <f t="shared" si="30"/>
        <v>0</v>
      </c>
      <c r="K76" s="202">
        <f t="shared" si="30"/>
        <v>7558379361</v>
      </c>
      <c r="L76" s="202">
        <f t="shared" si="30"/>
        <v>0</v>
      </c>
      <c r="M76" s="202">
        <f t="shared" si="30"/>
        <v>7535079637</v>
      </c>
      <c r="N76" s="202">
        <f t="shared" si="30"/>
        <v>1369432</v>
      </c>
      <c r="O76" s="202">
        <f t="shared" si="30"/>
        <v>7524808784</v>
      </c>
      <c r="P76" s="230">
        <v>0.23740675222371063</v>
      </c>
    </row>
    <row r="77" spans="1:16" s="7" customFormat="1">
      <c r="A77" s="107"/>
      <c r="B77" s="149" t="s">
        <v>1474</v>
      </c>
      <c r="C77" s="18" t="s">
        <v>202</v>
      </c>
      <c r="D77" s="30" t="s">
        <v>1483</v>
      </c>
      <c r="E77" s="17" t="s">
        <v>203</v>
      </c>
      <c r="F77" s="16">
        <v>1245634000</v>
      </c>
      <c r="G77" s="203">
        <v>0</v>
      </c>
      <c r="H77" s="203">
        <v>-50000000</v>
      </c>
      <c r="I77" s="203">
        <v>1195634000</v>
      </c>
      <c r="J77" s="203">
        <v>0</v>
      </c>
      <c r="K77" s="203">
        <v>1103288053</v>
      </c>
      <c r="L77" s="203">
        <v>0</v>
      </c>
      <c r="M77" s="203">
        <v>1102117925</v>
      </c>
      <c r="N77" s="203">
        <v>1369432</v>
      </c>
      <c r="O77" s="203">
        <v>1101691733</v>
      </c>
      <c r="P77" s="237">
        <v>0.23740675222371063</v>
      </c>
    </row>
    <row r="78" spans="1:16" s="8" customFormat="1">
      <c r="A78" s="107"/>
      <c r="B78" s="149" t="s">
        <v>1475</v>
      </c>
      <c r="C78" s="18" t="s">
        <v>204</v>
      </c>
      <c r="D78" s="30" t="s">
        <v>1910</v>
      </c>
      <c r="E78" s="17" t="s">
        <v>205</v>
      </c>
      <c r="F78" s="16">
        <v>6694782000</v>
      </c>
      <c r="G78" s="203">
        <v>0</v>
      </c>
      <c r="H78" s="203">
        <v>-50000000</v>
      </c>
      <c r="I78" s="203">
        <v>6644782000</v>
      </c>
      <c r="J78" s="203">
        <v>0</v>
      </c>
      <c r="K78" s="203">
        <v>6386981699</v>
      </c>
      <c r="L78" s="203">
        <v>0</v>
      </c>
      <c r="M78" s="203">
        <v>6364852103</v>
      </c>
      <c r="N78" s="203">
        <v>0</v>
      </c>
      <c r="O78" s="203">
        <v>6355007442</v>
      </c>
      <c r="P78" s="237">
        <v>0.23740675222371063</v>
      </c>
    </row>
    <row r="79" spans="1:16" s="2" customFormat="1">
      <c r="A79" s="107"/>
      <c r="B79" s="149" t="s">
        <v>1476</v>
      </c>
      <c r="C79" s="18" t="s">
        <v>206</v>
      </c>
      <c r="D79" s="30" t="s">
        <v>1911</v>
      </c>
      <c r="E79" s="17" t="s">
        <v>207</v>
      </c>
      <c r="F79" s="16">
        <v>147581000</v>
      </c>
      <c r="G79" s="203">
        <v>0</v>
      </c>
      <c r="H79" s="203">
        <v>0</v>
      </c>
      <c r="I79" s="203">
        <v>147581000</v>
      </c>
      <c r="J79" s="203">
        <v>0</v>
      </c>
      <c r="K79" s="203">
        <v>68109609</v>
      </c>
      <c r="L79" s="203">
        <v>0</v>
      </c>
      <c r="M79" s="203">
        <v>68109609</v>
      </c>
      <c r="N79" s="203">
        <v>0</v>
      </c>
      <c r="O79" s="203">
        <v>68109609</v>
      </c>
      <c r="P79" s="237">
        <v>0.23740675222371063</v>
      </c>
    </row>
    <row r="80" spans="1:16" s="8" customFormat="1">
      <c r="A80" s="106" t="s">
        <v>208</v>
      </c>
      <c r="B80" s="148" t="s">
        <v>1709</v>
      </c>
      <c r="C80" s="26" t="s">
        <v>209</v>
      </c>
      <c r="D80" s="69"/>
      <c r="E80" s="26" t="s">
        <v>210</v>
      </c>
      <c r="F80" s="15">
        <f>SUM(F81:F83)</f>
        <v>7185369000</v>
      </c>
      <c r="G80" s="202">
        <f t="shared" ref="G80:O80" si="31">SUM(G81:G83)</f>
        <v>0</v>
      </c>
      <c r="H80" s="202">
        <f t="shared" si="31"/>
        <v>-1591811575</v>
      </c>
      <c r="I80" s="202">
        <f t="shared" si="31"/>
        <v>5593557425</v>
      </c>
      <c r="J80" s="202">
        <f t="shared" si="31"/>
        <v>0</v>
      </c>
      <c r="K80" s="202">
        <f t="shared" si="31"/>
        <v>4861270986</v>
      </c>
      <c r="L80" s="202">
        <f t="shared" si="31"/>
        <v>2876123</v>
      </c>
      <c r="M80" s="202">
        <f t="shared" si="31"/>
        <v>4833310132</v>
      </c>
      <c r="N80" s="202">
        <f t="shared" si="31"/>
        <v>2876123</v>
      </c>
      <c r="O80" s="202">
        <f t="shared" si="31"/>
        <v>4833310132</v>
      </c>
      <c r="P80" s="230">
        <v>0.23740675222371063</v>
      </c>
    </row>
    <row r="81" spans="1:16" s="7" customFormat="1">
      <c r="A81" s="107"/>
      <c r="B81" s="149" t="s">
        <v>1710</v>
      </c>
      <c r="C81" s="18" t="s">
        <v>211</v>
      </c>
      <c r="D81" s="30" t="s">
        <v>1483</v>
      </c>
      <c r="E81" s="17" t="s">
        <v>212</v>
      </c>
      <c r="F81" s="16">
        <v>1104619000</v>
      </c>
      <c r="G81" s="203">
        <v>0</v>
      </c>
      <c r="H81" s="203">
        <v>-275997151</v>
      </c>
      <c r="I81" s="203">
        <v>828621849</v>
      </c>
      <c r="J81" s="203">
        <v>0</v>
      </c>
      <c r="K81" s="203">
        <v>451587234</v>
      </c>
      <c r="L81" s="203">
        <v>905549</v>
      </c>
      <c r="M81" s="203">
        <v>451587234</v>
      </c>
      <c r="N81" s="203">
        <v>905549</v>
      </c>
      <c r="O81" s="203">
        <v>451587234</v>
      </c>
      <c r="P81" s="237">
        <v>0.23740675222371063</v>
      </c>
    </row>
    <row r="82" spans="1:16" s="8" customFormat="1">
      <c r="A82" s="107"/>
      <c r="B82" s="149" t="s">
        <v>1711</v>
      </c>
      <c r="C82" s="18" t="s">
        <v>213</v>
      </c>
      <c r="D82" s="30" t="s">
        <v>1910</v>
      </c>
      <c r="E82" s="17" t="s">
        <v>214</v>
      </c>
      <c r="F82" s="16">
        <v>5936882000</v>
      </c>
      <c r="G82" s="203">
        <v>0</v>
      </c>
      <c r="H82" s="203">
        <v>-1320814424</v>
      </c>
      <c r="I82" s="203">
        <v>4616067576</v>
      </c>
      <c r="J82" s="203">
        <v>0</v>
      </c>
      <c r="K82" s="203">
        <v>4264216325</v>
      </c>
      <c r="L82" s="203">
        <v>1970574</v>
      </c>
      <c r="M82" s="203">
        <v>4236255471</v>
      </c>
      <c r="N82" s="203">
        <v>1970574</v>
      </c>
      <c r="O82" s="203">
        <v>4236255471</v>
      </c>
      <c r="P82" s="237">
        <v>0.23740675222371063</v>
      </c>
    </row>
    <row r="83" spans="1:16" s="2" customFormat="1">
      <c r="A83" s="107"/>
      <c r="B83" s="149" t="s">
        <v>1712</v>
      </c>
      <c r="C83" s="18" t="s">
        <v>215</v>
      </c>
      <c r="D83" s="30" t="s">
        <v>1911</v>
      </c>
      <c r="E83" s="17" t="s">
        <v>216</v>
      </c>
      <c r="F83" s="16">
        <v>143868000</v>
      </c>
      <c r="G83" s="203">
        <v>0</v>
      </c>
      <c r="H83" s="203">
        <v>5000000</v>
      </c>
      <c r="I83" s="203">
        <v>148868000</v>
      </c>
      <c r="J83" s="203">
        <v>0</v>
      </c>
      <c r="K83" s="203">
        <v>145467427</v>
      </c>
      <c r="L83" s="203">
        <v>0</v>
      </c>
      <c r="M83" s="203">
        <v>145467427</v>
      </c>
      <c r="N83" s="203">
        <v>0</v>
      </c>
      <c r="O83" s="203">
        <v>145467427</v>
      </c>
      <c r="P83" s="237">
        <v>0.23740675222371063</v>
      </c>
    </row>
    <row r="84" spans="1:16" s="2" customFormat="1">
      <c r="A84" s="134" t="s">
        <v>217</v>
      </c>
      <c r="B84" s="123" t="s">
        <v>1713</v>
      </c>
      <c r="C84" s="124" t="s">
        <v>218</v>
      </c>
      <c r="D84" s="67"/>
      <c r="E84" s="25" t="s">
        <v>219</v>
      </c>
      <c r="F84" s="68">
        <f>+F85</f>
        <v>7329466000</v>
      </c>
      <c r="G84" s="68">
        <f t="shared" ref="G84:O84" si="32">+G85</f>
        <v>0</v>
      </c>
      <c r="H84" s="68">
        <f t="shared" si="32"/>
        <v>0</v>
      </c>
      <c r="I84" s="68">
        <f t="shared" si="32"/>
        <v>7329466000</v>
      </c>
      <c r="J84" s="68">
        <f t="shared" si="32"/>
        <v>429266600</v>
      </c>
      <c r="K84" s="68">
        <f t="shared" si="32"/>
        <v>3387810800</v>
      </c>
      <c r="L84" s="68">
        <f t="shared" si="32"/>
        <v>429266600</v>
      </c>
      <c r="M84" s="68">
        <f t="shared" si="32"/>
        <v>3387810800</v>
      </c>
      <c r="N84" s="68">
        <f t="shared" si="32"/>
        <v>429266600</v>
      </c>
      <c r="O84" s="68">
        <f t="shared" si="32"/>
        <v>3387810800</v>
      </c>
      <c r="P84" s="229">
        <v>0.23740675222371063</v>
      </c>
    </row>
    <row r="85" spans="1:16" s="7" customFormat="1">
      <c r="A85" s="106" t="s">
        <v>220</v>
      </c>
      <c r="B85" s="148" t="s">
        <v>1714</v>
      </c>
      <c r="C85" s="26" t="s">
        <v>221</v>
      </c>
      <c r="D85" s="69"/>
      <c r="E85" s="26" t="s">
        <v>222</v>
      </c>
      <c r="F85" s="15">
        <f>SUM(F86:F88)</f>
        <v>7329466000</v>
      </c>
      <c r="G85" s="202">
        <f t="shared" ref="G85:O85" si="33">SUM(G86:G88)</f>
        <v>0</v>
      </c>
      <c r="H85" s="202">
        <f t="shared" si="33"/>
        <v>0</v>
      </c>
      <c r="I85" s="202">
        <f t="shared" si="33"/>
        <v>7329466000</v>
      </c>
      <c r="J85" s="202">
        <f t="shared" si="33"/>
        <v>429266600</v>
      </c>
      <c r="K85" s="202">
        <f t="shared" si="33"/>
        <v>3387810800</v>
      </c>
      <c r="L85" s="202">
        <f t="shared" si="33"/>
        <v>429266600</v>
      </c>
      <c r="M85" s="202">
        <f t="shared" si="33"/>
        <v>3387810800</v>
      </c>
      <c r="N85" s="202">
        <f t="shared" si="33"/>
        <v>429266600</v>
      </c>
      <c r="O85" s="202">
        <f t="shared" si="33"/>
        <v>3387810800</v>
      </c>
      <c r="P85" s="230">
        <v>0.23740675222371063</v>
      </c>
    </row>
    <row r="86" spans="1:16" s="8" customFormat="1">
      <c r="A86" s="107"/>
      <c r="B86" s="149" t="s">
        <v>1715</v>
      </c>
      <c r="C86" s="18" t="s">
        <v>223</v>
      </c>
      <c r="D86" s="30" t="s">
        <v>1483</v>
      </c>
      <c r="E86" s="17" t="s">
        <v>224</v>
      </c>
      <c r="F86" s="16">
        <v>1166734000</v>
      </c>
      <c r="G86" s="203">
        <v>0</v>
      </c>
      <c r="H86" s="203">
        <v>0</v>
      </c>
      <c r="I86" s="203">
        <v>1166734000</v>
      </c>
      <c r="J86" s="203">
        <v>71488300</v>
      </c>
      <c r="K86" s="203">
        <v>570625300</v>
      </c>
      <c r="L86" s="203">
        <v>71488300</v>
      </c>
      <c r="M86" s="203">
        <v>570625300</v>
      </c>
      <c r="N86" s="203">
        <v>71488300</v>
      </c>
      <c r="O86" s="203">
        <v>570625300</v>
      </c>
      <c r="P86" s="237">
        <v>0.23740675222371063</v>
      </c>
    </row>
    <row r="87" spans="1:16" s="7" customFormat="1">
      <c r="A87" s="107"/>
      <c r="B87" s="149" t="s">
        <v>1716</v>
      </c>
      <c r="C87" s="18" t="s">
        <v>225</v>
      </c>
      <c r="D87" s="30" t="s">
        <v>1910</v>
      </c>
      <c r="E87" s="17" t="s">
        <v>226</v>
      </c>
      <c r="F87" s="16">
        <v>6063199000</v>
      </c>
      <c r="G87" s="203">
        <v>0</v>
      </c>
      <c r="H87" s="203">
        <v>0</v>
      </c>
      <c r="I87" s="203">
        <v>6063199000</v>
      </c>
      <c r="J87" s="203">
        <v>349848300</v>
      </c>
      <c r="K87" s="203">
        <v>2763196800</v>
      </c>
      <c r="L87" s="203">
        <v>349848300</v>
      </c>
      <c r="M87" s="203">
        <v>2763196800</v>
      </c>
      <c r="N87" s="203">
        <v>349848300</v>
      </c>
      <c r="O87" s="203">
        <v>2763196800</v>
      </c>
      <c r="P87" s="237">
        <v>0.23740675222371063</v>
      </c>
    </row>
    <row r="88" spans="1:16" s="2" customFormat="1">
      <c r="A88" s="107"/>
      <c r="B88" s="149" t="s">
        <v>1717</v>
      </c>
      <c r="C88" s="18" t="s">
        <v>227</v>
      </c>
      <c r="D88" s="30" t="s">
        <v>1911</v>
      </c>
      <c r="E88" s="17" t="s">
        <v>228</v>
      </c>
      <c r="F88" s="16">
        <v>99533000</v>
      </c>
      <c r="G88" s="203">
        <v>0</v>
      </c>
      <c r="H88" s="203">
        <v>0</v>
      </c>
      <c r="I88" s="203">
        <v>99533000</v>
      </c>
      <c r="J88" s="203">
        <v>7930000</v>
      </c>
      <c r="K88" s="203">
        <v>53988700</v>
      </c>
      <c r="L88" s="203">
        <v>7930000</v>
      </c>
      <c r="M88" s="203">
        <v>53988700</v>
      </c>
      <c r="N88" s="203">
        <v>7930000</v>
      </c>
      <c r="O88" s="203">
        <v>53988700</v>
      </c>
      <c r="P88" s="237">
        <v>0.23740675222371063</v>
      </c>
    </row>
    <row r="89" spans="1:16" s="2" customFormat="1">
      <c r="A89" s="134" t="s">
        <v>229</v>
      </c>
      <c r="B89" s="123" t="s">
        <v>1718</v>
      </c>
      <c r="C89" s="124" t="s">
        <v>230</v>
      </c>
      <c r="D89" s="67"/>
      <c r="E89" s="25" t="s">
        <v>231</v>
      </c>
      <c r="F89" s="68">
        <f>+F90</f>
        <v>957874000</v>
      </c>
      <c r="G89" s="68">
        <f t="shared" ref="G89:O89" si="34">+G90</f>
        <v>0</v>
      </c>
      <c r="H89" s="68">
        <f t="shared" si="34"/>
        <v>0</v>
      </c>
      <c r="I89" s="68">
        <f t="shared" si="34"/>
        <v>957874000</v>
      </c>
      <c r="J89" s="68">
        <f t="shared" si="34"/>
        <v>54716500</v>
      </c>
      <c r="K89" s="68">
        <f t="shared" si="34"/>
        <v>379133800</v>
      </c>
      <c r="L89" s="68">
        <f t="shared" si="34"/>
        <v>54716500</v>
      </c>
      <c r="M89" s="68">
        <f t="shared" si="34"/>
        <v>379133800</v>
      </c>
      <c r="N89" s="68">
        <f t="shared" si="34"/>
        <v>54716500</v>
      </c>
      <c r="O89" s="68">
        <f t="shared" si="34"/>
        <v>379133800</v>
      </c>
      <c r="P89" s="229">
        <v>0.23740675222371063</v>
      </c>
    </row>
    <row r="90" spans="1:16" s="7" customFormat="1">
      <c r="A90" s="106" t="s">
        <v>232</v>
      </c>
      <c r="B90" s="148" t="s">
        <v>1719</v>
      </c>
      <c r="C90" s="26" t="s">
        <v>233</v>
      </c>
      <c r="D90" s="69"/>
      <c r="E90" s="26" t="s">
        <v>234</v>
      </c>
      <c r="F90" s="15">
        <f>SUM(F91:F93)</f>
        <v>957874000</v>
      </c>
      <c r="G90" s="202">
        <f t="shared" ref="G90:O90" si="35">SUM(G91:G93)</f>
        <v>0</v>
      </c>
      <c r="H90" s="202">
        <f t="shared" si="35"/>
        <v>0</v>
      </c>
      <c r="I90" s="202">
        <f t="shared" si="35"/>
        <v>957874000</v>
      </c>
      <c r="J90" s="202">
        <f t="shared" si="35"/>
        <v>54716500</v>
      </c>
      <c r="K90" s="202">
        <f t="shared" si="35"/>
        <v>379133800</v>
      </c>
      <c r="L90" s="202">
        <f t="shared" si="35"/>
        <v>54716500</v>
      </c>
      <c r="M90" s="202">
        <f t="shared" si="35"/>
        <v>379133800</v>
      </c>
      <c r="N90" s="202">
        <f t="shared" si="35"/>
        <v>54716500</v>
      </c>
      <c r="O90" s="202">
        <f t="shared" si="35"/>
        <v>379133800</v>
      </c>
      <c r="P90" s="230">
        <v>0.23740675222371063</v>
      </c>
    </row>
    <row r="91" spans="1:16" s="7" customFormat="1">
      <c r="A91" s="107"/>
      <c r="B91" s="149" t="s">
        <v>1720</v>
      </c>
      <c r="C91" s="18" t="s">
        <v>235</v>
      </c>
      <c r="D91" s="30" t="s">
        <v>1483</v>
      </c>
      <c r="E91" s="17" t="s">
        <v>236</v>
      </c>
      <c r="F91" s="16">
        <v>153638000</v>
      </c>
      <c r="G91" s="203">
        <v>0</v>
      </c>
      <c r="H91" s="203">
        <v>0</v>
      </c>
      <c r="I91" s="203">
        <v>153638000</v>
      </c>
      <c r="J91" s="203">
        <v>8968900</v>
      </c>
      <c r="K91" s="203">
        <v>62328100</v>
      </c>
      <c r="L91" s="203">
        <v>8968900</v>
      </c>
      <c r="M91" s="203">
        <v>62328100</v>
      </c>
      <c r="N91" s="203">
        <v>8968900</v>
      </c>
      <c r="O91" s="203">
        <v>62328100</v>
      </c>
      <c r="P91" s="237">
        <v>0.23740675222371063</v>
      </c>
    </row>
    <row r="92" spans="1:16" s="7" customFormat="1">
      <c r="A92" s="107"/>
      <c r="B92" s="149" t="s">
        <v>1721</v>
      </c>
      <c r="C92" s="18" t="s">
        <v>237</v>
      </c>
      <c r="D92" s="30" t="s">
        <v>1910</v>
      </c>
      <c r="E92" s="17" t="s">
        <v>238</v>
      </c>
      <c r="F92" s="16">
        <v>791247000</v>
      </c>
      <c r="G92" s="203">
        <v>0</v>
      </c>
      <c r="H92" s="203">
        <v>0</v>
      </c>
      <c r="I92" s="203">
        <v>791247000</v>
      </c>
      <c r="J92" s="203">
        <v>44920500</v>
      </c>
      <c r="K92" s="203">
        <v>311975100</v>
      </c>
      <c r="L92" s="203">
        <v>44920500</v>
      </c>
      <c r="M92" s="203">
        <v>311975100</v>
      </c>
      <c r="N92" s="203">
        <v>44920500</v>
      </c>
      <c r="O92" s="203">
        <v>311975100</v>
      </c>
      <c r="P92" s="237">
        <v>0.23740675222371063</v>
      </c>
    </row>
    <row r="93" spans="1:16" s="2" customFormat="1">
      <c r="A93" s="107"/>
      <c r="B93" s="149" t="s">
        <v>1722</v>
      </c>
      <c r="C93" s="18" t="s">
        <v>239</v>
      </c>
      <c r="D93" s="30" t="s">
        <v>1911</v>
      </c>
      <c r="E93" s="17" t="s">
        <v>240</v>
      </c>
      <c r="F93" s="16">
        <v>12989000</v>
      </c>
      <c r="G93" s="203">
        <v>0</v>
      </c>
      <c r="H93" s="203">
        <v>0</v>
      </c>
      <c r="I93" s="203">
        <v>12989000</v>
      </c>
      <c r="J93" s="203">
        <v>827100</v>
      </c>
      <c r="K93" s="203">
        <v>4830600</v>
      </c>
      <c r="L93" s="203">
        <v>827100</v>
      </c>
      <c r="M93" s="203">
        <v>4830600</v>
      </c>
      <c r="N93" s="203">
        <v>827100</v>
      </c>
      <c r="O93" s="203">
        <v>4830600</v>
      </c>
      <c r="P93" s="237">
        <v>0.23740675222371063</v>
      </c>
    </row>
    <row r="94" spans="1:16" s="2" customFormat="1">
      <c r="A94" s="134" t="s">
        <v>241</v>
      </c>
      <c r="B94" s="123" t="s">
        <v>1484</v>
      </c>
      <c r="C94" s="124" t="s">
        <v>242</v>
      </c>
      <c r="D94" s="67"/>
      <c r="E94" s="25" t="s">
        <v>243</v>
      </c>
      <c r="F94" s="68">
        <f>+F95</f>
        <v>5432095000</v>
      </c>
      <c r="G94" s="68">
        <f t="shared" ref="G94:O94" si="36">+G95</f>
        <v>0</v>
      </c>
      <c r="H94" s="68">
        <f t="shared" si="36"/>
        <v>0</v>
      </c>
      <c r="I94" s="68">
        <f t="shared" si="36"/>
        <v>5432095000</v>
      </c>
      <c r="J94" s="68">
        <f t="shared" si="36"/>
        <v>321961400</v>
      </c>
      <c r="K94" s="68">
        <f t="shared" si="36"/>
        <v>2540926400</v>
      </c>
      <c r="L94" s="68">
        <f t="shared" si="36"/>
        <v>321961400</v>
      </c>
      <c r="M94" s="68">
        <f t="shared" si="36"/>
        <v>2540926400</v>
      </c>
      <c r="N94" s="68">
        <f t="shared" si="36"/>
        <v>321961400</v>
      </c>
      <c r="O94" s="68">
        <f t="shared" si="36"/>
        <v>2540926400</v>
      </c>
      <c r="P94" s="229">
        <v>0.23740675222371063</v>
      </c>
    </row>
    <row r="95" spans="1:16" s="7" customFormat="1">
      <c r="A95" s="106" t="s">
        <v>241</v>
      </c>
      <c r="B95" s="148" t="s">
        <v>1484</v>
      </c>
      <c r="C95" s="26" t="s">
        <v>242</v>
      </c>
      <c r="D95" s="69"/>
      <c r="E95" s="26" t="s">
        <v>243</v>
      </c>
      <c r="F95" s="15">
        <f>SUM(F96:F98)</f>
        <v>5432095000</v>
      </c>
      <c r="G95" s="202">
        <f t="shared" ref="G95:O95" si="37">SUM(G96:G98)</f>
        <v>0</v>
      </c>
      <c r="H95" s="202">
        <f t="shared" si="37"/>
        <v>0</v>
      </c>
      <c r="I95" s="202">
        <f t="shared" si="37"/>
        <v>5432095000</v>
      </c>
      <c r="J95" s="202">
        <f t="shared" si="37"/>
        <v>321961400</v>
      </c>
      <c r="K95" s="202">
        <f t="shared" si="37"/>
        <v>2540926400</v>
      </c>
      <c r="L95" s="202">
        <f t="shared" si="37"/>
        <v>321961400</v>
      </c>
      <c r="M95" s="202">
        <f t="shared" si="37"/>
        <v>2540926400</v>
      </c>
      <c r="N95" s="202">
        <f t="shared" si="37"/>
        <v>321961400</v>
      </c>
      <c r="O95" s="202">
        <f t="shared" si="37"/>
        <v>2540926400</v>
      </c>
      <c r="P95" s="230">
        <v>0.23740675222371063</v>
      </c>
    </row>
    <row r="96" spans="1:16" s="7" customFormat="1">
      <c r="A96" s="107"/>
      <c r="B96" s="149" t="s">
        <v>1667</v>
      </c>
      <c r="C96" s="18" t="s">
        <v>244</v>
      </c>
      <c r="D96" s="30" t="s">
        <v>1483</v>
      </c>
      <c r="E96" s="17" t="s">
        <v>245</v>
      </c>
      <c r="F96" s="16">
        <v>810047000</v>
      </c>
      <c r="G96" s="203">
        <v>0</v>
      </c>
      <c r="H96" s="203">
        <v>0</v>
      </c>
      <c r="I96" s="203">
        <v>810047000</v>
      </c>
      <c r="J96" s="203">
        <v>53618300</v>
      </c>
      <c r="K96" s="203">
        <v>427983100</v>
      </c>
      <c r="L96" s="203">
        <v>53618300</v>
      </c>
      <c r="M96" s="203">
        <v>427983100</v>
      </c>
      <c r="N96" s="203">
        <v>53618300</v>
      </c>
      <c r="O96" s="203">
        <v>427983100</v>
      </c>
      <c r="P96" s="237">
        <v>0.23740675222371063</v>
      </c>
    </row>
    <row r="97" spans="1:16" s="7" customFormat="1">
      <c r="A97" s="107"/>
      <c r="B97" s="149" t="s">
        <v>1668</v>
      </c>
      <c r="C97" s="18" t="s">
        <v>246</v>
      </c>
      <c r="D97" s="30" t="s">
        <v>1910</v>
      </c>
      <c r="E97" s="17" t="s">
        <v>247</v>
      </c>
      <c r="F97" s="16">
        <v>4547399000</v>
      </c>
      <c r="G97" s="203">
        <v>0</v>
      </c>
      <c r="H97" s="203">
        <v>0</v>
      </c>
      <c r="I97" s="203">
        <v>4547399000</v>
      </c>
      <c r="J97" s="203">
        <v>262395300</v>
      </c>
      <c r="K97" s="203">
        <v>2072450000</v>
      </c>
      <c r="L97" s="203">
        <v>262395300</v>
      </c>
      <c r="M97" s="203">
        <v>2072450000</v>
      </c>
      <c r="N97" s="203">
        <v>262395300</v>
      </c>
      <c r="O97" s="203">
        <v>2072450000</v>
      </c>
      <c r="P97" s="237">
        <v>0.23740675222371063</v>
      </c>
    </row>
    <row r="98" spans="1:16" s="2" customFormat="1">
      <c r="A98" s="107"/>
      <c r="B98" s="149" t="s">
        <v>1669</v>
      </c>
      <c r="C98" s="18" t="s">
        <v>248</v>
      </c>
      <c r="D98" s="30" t="s">
        <v>1911</v>
      </c>
      <c r="E98" s="17" t="s">
        <v>249</v>
      </c>
      <c r="F98" s="16">
        <v>74649000</v>
      </c>
      <c r="G98" s="203">
        <v>0</v>
      </c>
      <c r="H98" s="203">
        <v>0</v>
      </c>
      <c r="I98" s="203">
        <v>74649000</v>
      </c>
      <c r="J98" s="203">
        <v>5947800</v>
      </c>
      <c r="K98" s="203">
        <v>40493300</v>
      </c>
      <c r="L98" s="203">
        <v>5947800</v>
      </c>
      <c r="M98" s="203">
        <v>40493300</v>
      </c>
      <c r="N98" s="203">
        <v>5947800</v>
      </c>
      <c r="O98" s="203">
        <v>40493300</v>
      </c>
      <c r="P98" s="237">
        <v>0.23740675222371063</v>
      </c>
    </row>
    <row r="99" spans="1:16" s="2" customFormat="1">
      <c r="A99" s="105" t="s">
        <v>250</v>
      </c>
      <c r="B99" s="63" t="s">
        <v>1723</v>
      </c>
      <c r="C99" s="63" t="s">
        <v>251</v>
      </c>
      <c r="D99" s="63"/>
      <c r="E99" s="63" t="s">
        <v>252</v>
      </c>
      <c r="F99" s="64">
        <f>+F100+F102+F103+F104</f>
        <v>10137250000</v>
      </c>
      <c r="G99" s="64">
        <f t="shared" ref="G99:O99" si="38">+G100+G102+G103+G104</f>
        <v>0</v>
      </c>
      <c r="H99" s="64">
        <f t="shared" si="38"/>
        <v>-32525710</v>
      </c>
      <c r="I99" s="64">
        <f t="shared" si="38"/>
        <v>10104724290</v>
      </c>
      <c r="J99" s="64">
        <f t="shared" si="38"/>
        <v>67451659</v>
      </c>
      <c r="K99" s="64">
        <f t="shared" si="38"/>
        <v>8144778067</v>
      </c>
      <c r="L99" s="64">
        <f t="shared" si="38"/>
        <v>273238102</v>
      </c>
      <c r="M99" s="64">
        <f t="shared" si="38"/>
        <v>8034283570</v>
      </c>
      <c r="N99" s="64">
        <f t="shared" si="38"/>
        <v>795184825</v>
      </c>
      <c r="O99" s="64">
        <f t="shared" si="38"/>
        <v>3023443806</v>
      </c>
      <c r="P99" s="235">
        <v>0.23740675222371063</v>
      </c>
    </row>
    <row r="100" spans="1:16" s="7" customFormat="1">
      <c r="A100" s="134" t="s">
        <v>253</v>
      </c>
      <c r="B100" s="123" t="s">
        <v>1478</v>
      </c>
      <c r="C100" s="124" t="s">
        <v>254</v>
      </c>
      <c r="D100" s="67"/>
      <c r="E100" s="25" t="s">
        <v>114</v>
      </c>
      <c r="F100" s="68">
        <f>SUM(F101:F101)</f>
        <v>96799000</v>
      </c>
      <c r="G100" s="68">
        <f t="shared" ref="G100:O100" si="39">SUM(G101:G101)</f>
        <v>0</v>
      </c>
      <c r="H100" s="68">
        <f t="shared" si="39"/>
        <v>0</v>
      </c>
      <c r="I100" s="68">
        <f t="shared" si="39"/>
        <v>96799000</v>
      </c>
      <c r="J100" s="68">
        <f t="shared" si="39"/>
        <v>1550485</v>
      </c>
      <c r="K100" s="68">
        <f t="shared" si="39"/>
        <v>11254644</v>
      </c>
      <c r="L100" s="68">
        <f t="shared" si="39"/>
        <v>1968415</v>
      </c>
      <c r="M100" s="68">
        <f t="shared" si="39"/>
        <v>9894748</v>
      </c>
      <c r="N100" s="68">
        <f t="shared" si="39"/>
        <v>1897878</v>
      </c>
      <c r="O100" s="68">
        <f t="shared" si="39"/>
        <v>9476818</v>
      </c>
      <c r="P100" s="229">
        <v>0.23740675222371063</v>
      </c>
    </row>
    <row r="101" spans="1:16" s="2" customFormat="1">
      <c r="A101" s="107" t="s">
        <v>255</v>
      </c>
      <c r="B101" s="149" t="s">
        <v>1665</v>
      </c>
      <c r="C101" s="18" t="s">
        <v>256</v>
      </c>
      <c r="D101" s="30" t="s">
        <v>1483</v>
      </c>
      <c r="E101" s="17" t="s">
        <v>257</v>
      </c>
      <c r="F101" s="16">
        <v>96799000</v>
      </c>
      <c r="G101" s="203">
        <v>0</v>
      </c>
      <c r="H101" s="203">
        <v>0</v>
      </c>
      <c r="I101" s="203">
        <v>96799000</v>
      </c>
      <c r="J101" s="203">
        <v>1550485</v>
      </c>
      <c r="K101" s="203">
        <v>11254644</v>
      </c>
      <c r="L101" s="203">
        <v>1968415</v>
      </c>
      <c r="M101" s="203">
        <v>9894748</v>
      </c>
      <c r="N101" s="203">
        <v>1897878</v>
      </c>
      <c r="O101" s="203">
        <v>9476818</v>
      </c>
      <c r="P101" s="237">
        <v>0.23740675222371063</v>
      </c>
    </row>
    <row r="102" spans="1:16" s="2" customFormat="1">
      <c r="A102" s="107" t="s">
        <v>258</v>
      </c>
      <c r="B102" s="149" t="s">
        <v>1663</v>
      </c>
      <c r="C102" s="18" t="s">
        <v>259</v>
      </c>
      <c r="D102" s="30" t="s">
        <v>1483</v>
      </c>
      <c r="E102" s="17" t="s">
        <v>260</v>
      </c>
      <c r="F102" s="16">
        <v>382816000</v>
      </c>
      <c r="G102" s="203">
        <v>0</v>
      </c>
      <c r="H102" s="203">
        <v>0</v>
      </c>
      <c r="I102" s="203">
        <v>382816000</v>
      </c>
      <c r="J102" s="203">
        <v>0</v>
      </c>
      <c r="K102" s="203">
        <v>0</v>
      </c>
      <c r="L102" s="203">
        <v>0</v>
      </c>
      <c r="M102" s="203">
        <v>0</v>
      </c>
      <c r="N102" s="203">
        <v>0</v>
      </c>
      <c r="O102" s="203">
        <v>0</v>
      </c>
      <c r="P102" s="237">
        <v>0.23740675222371063</v>
      </c>
    </row>
    <row r="103" spans="1:16" s="2" customFormat="1">
      <c r="A103" s="107" t="s">
        <v>261</v>
      </c>
      <c r="B103" s="149" t="s">
        <v>1664</v>
      </c>
      <c r="C103" s="18" t="s">
        <v>262</v>
      </c>
      <c r="D103" s="30" t="s">
        <v>1483</v>
      </c>
      <c r="E103" s="17" t="s">
        <v>263</v>
      </c>
      <c r="F103" s="16">
        <v>284402000</v>
      </c>
      <c r="G103" s="203">
        <v>0</v>
      </c>
      <c r="H103" s="203">
        <v>0</v>
      </c>
      <c r="I103" s="203">
        <v>284402000</v>
      </c>
      <c r="J103" s="203">
        <v>15489585</v>
      </c>
      <c r="K103" s="203">
        <v>123290497</v>
      </c>
      <c r="L103" s="203">
        <v>15489585</v>
      </c>
      <c r="M103" s="203">
        <v>123290497</v>
      </c>
      <c r="N103" s="203">
        <v>15489585</v>
      </c>
      <c r="O103" s="203">
        <v>123290497</v>
      </c>
      <c r="P103" s="237">
        <v>0.23740675222371063</v>
      </c>
    </row>
    <row r="104" spans="1:16" s="2" customFormat="1">
      <c r="A104" s="134" t="s">
        <v>264</v>
      </c>
      <c r="B104" s="123" t="s">
        <v>1482</v>
      </c>
      <c r="C104" s="124" t="s">
        <v>265</v>
      </c>
      <c r="D104" s="67"/>
      <c r="E104" s="25" t="s">
        <v>1481</v>
      </c>
      <c r="F104" s="68">
        <f>F105</f>
        <v>9373233000</v>
      </c>
      <c r="G104" s="68">
        <f t="shared" ref="G104:O104" si="40">G105</f>
        <v>0</v>
      </c>
      <c r="H104" s="68">
        <f t="shared" si="40"/>
        <v>-32525710</v>
      </c>
      <c r="I104" s="68">
        <f t="shared" si="40"/>
        <v>9340707290</v>
      </c>
      <c r="J104" s="68">
        <f t="shared" si="40"/>
        <v>50411589</v>
      </c>
      <c r="K104" s="68">
        <f t="shared" si="40"/>
        <v>8010232926</v>
      </c>
      <c r="L104" s="68">
        <f t="shared" si="40"/>
        <v>255780102</v>
      </c>
      <c r="M104" s="68">
        <f t="shared" si="40"/>
        <v>7901098325</v>
      </c>
      <c r="N104" s="68">
        <f t="shared" si="40"/>
        <v>777797362</v>
      </c>
      <c r="O104" s="68">
        <f t="shared" si="40"/>
        <v>2890676491</v>
      </c>
      <c r="P104" s="229">
        <v>0.23740675222371063</v>
      </c>
    </row>
    <row r="105" spans="1:16" s="8" customFormat="1">
      <c r="A105" s="106" t="s">
        <v>264</v>
      </c>
      <c r="B105" s="148" t="s">
        <v>1666</v>
      </c>
      <c r="C105" s="26" t="s">
        <v>265</v>
      </c>
      <c r="D105" s="69"/>
      <c r="E105" s="26" t="s">
        <v>1481</v>
      </c>
      <c r="F105" s="13">
        <f>+F106+F108+F110+F115+F117+F119+F121+F123+F125+F127+F129+F131</f>
        <v>9373233000</v>
      </c>
      <c r="G105" s="213">
        <f t="shared" ref="G105:O105" si="41">+G106+G108+G110+G115+G117+G119+G121+G123+G125+G127+G129+G131</f>
        <v>0</v>
      </c>
      <c r="H105" s="213">
        <f t="shared" si="41"/>
        <v>-32525710</v>
      </c>
      <c r="I105" s="213">
        <f t="shared" si="41"/>
        <v>9340707290</v>
      </c>
      <c r="J105" s="213">
        <f t="shared" si="41"/>
        <v>50411589</v>
      </c>
      <c r="K105" s="213">
        <f t="shared" si="41"/>
        <v>8010232926</v>
      </c>
      <c r="L105" s="213">
        <f t="shared" si="41"/>
        <v>255780102</v>
      </c>
      <c r="M105" s="213">
        <f t="shared" si="41"/>
        <v>7901098325</v>
      </c>
      <c r="N105" s="213">
        <f t="shared" si="41"/>
        <v>777797362</v>
      </c>
      <c r="O105" s="213">
        <f t="shared" si="41"/>
        <v>2890676491</v>
      </c>
      <c r="P105" s="241">
        <v>0.23740675222371063</v>
      </c>
    </row>
    <row r="106" spans="1:16" s="8" customFormat="1">
      <c r="A106" s="107"/>
      <c r="B106" s="149" t="s">
        <v>1724</v>
      </c>
      <c r="C106" s="18" t="s">
        <v>266</v>
      </c>
      <c r="D106" s="30"/>
      <c r="E106" s="17" t="s">
        <v>267</v>
      </c>
      <c r="F106" s="16">
        <f>+F107</f>
        <v>351080000</v>
      </c>
      <c r="G106" s="203">
        <f t="shared" ref="G106:O106" si="42">+G107</f>
        <v>0</v>
      </c>
      <c r="H106" s="203">
        <f t="shared" si="42"/>
        <v>0</v>
      </c>
      <c r="I106" s="203">
        <f t="shared" si="42"/>
        <v>351080000</v>
      </c>
      <c r="J106" s="203">
        <f t="shared" si="42"/>
        <v>0</v>
      </c>
      <c r="K106" s="203">
        <f t="shared" si="42"/>
        <v>66443091</v>
      </c>
      <c r="L106" s="203">
        <f t="shared" si="42"/>
        <v>22806841</v>
      </c>
      <c r="M106" s="203">
        <f t="shared" si="42"/>
        <v>66443091</v>
      </c>
      <c r="N106" s="203">
        <f t="shared" si="42"/>
        <v>22806841</v>
      </c>
      <c r="O106" s="203">
        <f t="shared" si="42"/>
        <v>66443091</v>
      </c>
      <c r="P106" s="237">
        <v>0.23740675222371063</v>
      </c>
    </row>
    <row r="107" spans="1:16" s="7" customFormat="1">
      <c r="A107" s="108"/>
      <c r="B107" s="150"/>
      <c r="C107" s="70" t="s">
        <v>266</v>
      </c>
      <c r="D107" s="33" t="s">
        <v>1911</v>
      </c>
      <c r="E107" s="34" t="s">
        <v>268</v>
      </c>
      <c r="F107" s="35">
        <v>351080000</v>
      </c>
      <c r="G107" s="210">
        <v>0</v>
      </c>
      <c r="H107" s="210">
        <v>0</v>
      </c>
      <c r="I107" s="210">
        <v>351080000</v>
      </c>
      <c r="J107" s="210">
        <v>0</v>
      </c>
      <c r="K107" s="210">
        <v>66443091</v>
      </c>
      <c r="L107" s="210">
        <v>22806841</v>
      </c>
      <c r="M107" s="210">
        <v>66443091</v>
      </c>
      <c r="N107" s="210">
        <v>22806841</v>
      </c>
      <c r="O107" s="210">
        <v>66443091</v>
      </c>
      <c r="P107" s="242">
        <v>0.23740675222371063</v>
      </c>
    </row>
    <row r="108" spans="1:16" s="8" customFormat="1">
      <c r="A108" s="107"/>
      <c r="B108" s="149" t="s">
        <v>1725</v>
      </c>
      <c r="C108" s="18" t="s">
        <v>269</v>
      </c>
      <c r="D108" s="30"/>
      <c r="E108" s="17" t="s">
        <v>270</v>
      </c>
      <c r="F108" s="16">
        <f>+F109</f>
        <v>108797000</v>
      </c>
      <c r="G108" s="203">
        <f t="shared" ref="G108:O108" si="43">+G109</f>
        <v>0</v>
      </c>
      <c r="H108" s="203">
        <f t="shared" si="43"/>
        <v>0</v>
      </c>
      <c r="I108" s="203">
        <f t="shared" si="43"/>
        <v>108797000</v>
      </c>
      <c r="J108" s="203">
        <f t="shared" si="43"/>
        <v>0</v>
      </c>
      <c r="K108" s="203">
        <f t="shared" si="43"/>
        <v>108797000</v>
      </c>
      <c r="L108" s="203">
        <f t="shared" si="43"/>
        <v>0</v>
      </c>
      <c r="M108" s="203">
        <f t="shared" si="43"/>
        <v>108797000</v>
      </c>
      <c r="N108" s="203">
        <f t="shared" si="43"/>
        <v>0</v>
      </c>
      <c r="O108" s="203">
        <f t="shared" si="43"/>
        <v>108797000</v>
      </c>
      <c r="P108" s="237">
        <v>0.23740675222371063</v>
      </c>
    </row>
    <row r="109" spans="1:16" s="7" customFormat="1">
      <c r="A109" s="108"/>
      <c r="B109" s="150"/>
      <c r="C109" s="70" t="s">
        <v>269</v>
      </c>
      <c r="D109" s="33" t="s">
        <v>1929</v>
      </c>
      <c r="E109" s="34" t="s">
        <v>271</v>
      </c>
      <c r="F109" s="35">
        <v>108797000</v>
      </c>
      <c r="G109" s="210">
        <v>0</v>
      </c>
      <c r="H109" s="210">
        <v>0</v>
      </c>
      <c r="I109" s="210">
        <v>108797000</v>
      </c>
      <c r="J109" s="210">
        <v>0</v>
      </c>
      <c r="K109" s="210">
        <v>108797000</v>
      </c>
      <c r="L109" s="210">
        <v>0</v>
      </c>
      <c r="M109" s="210">
        <v>108797000</v>
      </c>
      <c r="N109" s="210">
        <v>0</v>
      </c>
      <c r="O109" s="210">
        <v>108797000</v>
      </c>
      <c r="P109" s="242">
        <v>0.23740675222371063</v>
      </c>
    </row>
    <row r="110" spans="1:16" s="8" customFormat="1">
      <c r="A110" s="107"/>
      <c r="B110" s="149" t="s">
        <v>1726</v>
      </c>
      <c r="C110" s="18" t="s">
        <v>272</v>
      </c>
      <c r="D110" s="30"/>
      <c r="E110" s="17" t="s">
        <v>273</v>
      </c>
      <c r="F110" s="16">
        <f>SUM(F111:F114)</f>
        <v>681700000</v>
      </c>
      <c r="G110" s="203">
        <f t="shared" ref="G110:O110" si="44">SUM(G111:G114)</f>
        <v>0</v>
      </c>
      <c r="H110" s="203">
        <f t="shared" si="44"/>
        <v>106207250</v>
      </c>
      <c r="I110" s="203">
        <f t="shared" si="44"/>
        <v>787907250</v>
      </c>
      <c r="J110" s="203">
        <f t="shared" si="44"/>
        <v>0</v>
      </c>
      <c r="K110" s="203">
        <f t="shared" si="44"/>
        <v>744134625</v>
      </c>
      <c r="L110" s="203">
        <f t="shared" si="44"/>
        <v>175090500</v>
      </c>
      <c r="M110" s="203">
        <f t="shared" si="44"/>
        <v>744134625</v>
      </c>
      <c r="N110" s="203">
        <f t="shared" si="44"/>
        <v>175090500</v>
      </c>
      <c r="O110" s="203">
        <f t="shared" si="44"/>
        <v>744134625</v>
      </c>
      <c r="P110" s="237">
        <v>0.23740675222371063</v>
      </c>
    </row>
    <row r="111" spans="1:16" s="8" customFormat="1">
      <c r="A111" s="108"/>
      <c r="B111" s="150"/>
      <c r="C111" s="70" t="s">
        <v>272</v>
      </c>
      <c r="D111" s="33" t="s">
        <v>1929</v>
      </c>
      <c r="E111" s="34" t="s">
        <v>271</v>
      </c>
      <c r="F111" s="35">
        <v>151489000</v>
      </c>
      <c r="G111" s="210">
        <v>0</v>
      </c>
      <c r="H111" s="210">
        <v>23601500</v>
      </c>
      <c r="I111" s="210">
        <v>175090500</v>
      </c>
      <c r="J111" s="210">
        <v>0</v>
      </c>
      <c r="K111" s="210">
        <v>175090500</v>
      </c>
      <c r="L111" s="210">
        <v>0</v>
      </c>
      <c r="M111" s="210">
        <v>175090500</v>
      </c>
      <c r="N111" s="210">
        <v>0</v>
      </c>
      <c r="O111" s="210">
        <v>175090500</v>
      </c>
      <c r="P111" s="242">
        <v>0.23740675222371063</v>
      </c>
    </row>
    <row r="112" spans="1:16" s="8" customFormat="1">
      <c r="A112" s="108"/>
      <c r="B112" s="150"/>
      <c r="C112" s="70" t="s">
        <v>272</v>
      </c>
      <c r="D112" s="33" t="s">
        <v>1930</v>
      </c>
      <c r="E112" s="34" t="s">
        <v>274</v>
      </c>
      <c r="F112" s="35">
        <v>151489000</v>
      </c>
      <c r="G112" s="210">
        <v>0</v>
      </c>
      <c r="H112" s="210">
        <v>23601500</v>
      </c>
      <c r="I112" s="210">
        <v>175090500</v>
      </c>
      <c r="J112" s="210">
        <v>0</v>
      </c>
      <c r="K112" s="210">
        <v>175090500</v>
      </c>
      <c r="L112" s="210">
        <v>0</v>
      </c>
      <c r="M112" s="210">
        <v>175090500</v>
      </c>
      <c r="N112" s="210">
        <v>0</v>
      </c>
      <c r="O112" s="210">
        <v>175090500</v>
      </c>
      <c r="P112" s="242">
        <v>0.23740675222371063</v>
      </c>
    </row>
    <row r="113" spans="1:16" s="8" customFormat="1">
      <c r="A113" s="108"/>
      <c r="B113" s="150"/>
      <c r="C113" s="70" t="s">
        <v>272</v>
      </c>
      <c r="D113" s="33" t="s">
        <v>1931</v>
      </c>
      <c r="E113" s="34" t="s">
        <v>275</v>
      </c>
      <c r="F113" s="35">
        <v>189361000</v>
      </c>
      <c r="G113" s="210">
        <v>0</v>
      </c>
      <c r="H113" s="210">
        <v>29502125</v>
      </c>
      <c r="I113" s="210">
        <v>218863125</v>
      </c>
      <c r="J113" s="210">
        <v>0</v>
      </c>
      <c r="K113" s="210">
        <v>175090500</v>
      </c>
      <c r="L113" s="210">
        <v>175090500</v>
      </c>
      <c r="M113" s="210">
        <v>175090500</v>
      </c>
      <c r="N113" s="210">
        <v>175090500</v>
      </c>
      <c r="O113" s="210">
        <v>175090500</v>
      </c>
      <c r="P113" s="242">
        <v>0.23740675222371063</v>
      </c>
    </row>
    <row r="114" spans="1:16" s="7" customFormat="1">
      <c r="A114" s="108"/>
      <c r="B114" s="150"/>
      <c r="C114" s="70" t="s">
        <v>272</v>
      </c>
      <c r="D114" s="33" t="s">
        <v>1932</v>
      </c>
      <c r="E114" s="34" t="s">
        <v>276</v>
      </c>
      <c r="F114" s="35">
        <v>189361000</v>
      </c>
      <c r="G114" s="210">
        <v>0</v>
      </c>
      <c r="H114" s="210">
        <v>29502125</v>
      </c>
      <c r="I114" s="210">
        <v>218863125</v>
      </c>
      <c r="J114" s="210">
        <v>0</v>
      </c>
      <c r="K114" s="210">
        <v>218863125</v>
      </c>
      <c r="L114" s="210">
        <v>0</v>
      </c>
      <c r="M114" s="210">
        <v>218863125</v>
      </c>
      <c r="N114" s="210">
        <v>0</v>
      </c>
      <c r="O114" s="210">
        <v>218863125</v>
      </c>
      <c r="P114" s="242">
        <v>0.23740675222371063</v>
      </c>
    </row>
    <row r="115" spans="1:16" s="8" customFormat="1">
      <c r="A115" s="107"/>
      <c r="B115" s="149" t="s">
        <v>1727</v>
      </c>
      <c r="C115" s="18" t="s">
        <v>277</v>
      </c>
      <c r="D115" s="30"/>
      <c r="E115" s="17" t="s">
        <v>278</v>
      </c>
      <c r="F115" s="16">
        <f>+F116</f>
        <v>412554000</v>
      </c>
      <c r="G115" s="203">
        <f t="shared" ref="G115:O115" si="45">+G116</f>
        <v>0</v>
      </c>
      <c r="H115" s="203">
        <f t="shared" si="45"/>
        <v>0</v>
      </c>
      <c r="I115" s="203">
        <f t="shared" si="45"/>
        <v>412554000</v>
      </c>
      <c r="J115" s="203">
        <f t="shared" si="45"/>
        <v>27357136</v>
      </c>
      <c r="K115" s="203">
        <f t="shared" si="45"/>
        <v>214922430</v>
      </c>
      <c r="L115" s="203">
        <f t="shared" si="45"/>
        <v>27357136</v>
      </c>
      <c r="M115" s="203">
        <f t="shared" si="45"/>
        <v>214922430</v>
      </c>
      <c r="N115" s="203">
        <f t="shared" si="45"/>
        <v>27357136</v>
      </c>
      <c r="O115" s="203">
        <f t="shared" si="45"/>
        <v>214922430</v>
      </c>
      <c r="P115" s="237">
        <v>0.23740675222371063</v>
      </c>
    </row>
    <row r="116" spans="1:16" s="7" customFormat="1">
      <c r="A116" s="108"/>
      <c r="B116" s="150"/>
      <c r="C116" s="70" t="s">
        <v>277</v>
      </c>
      <c r="D116" s="33" t="s">
        <v>1933</v>
      </c>
      <c r="E116" s="34" t="s">
        <v>279</v>
      </c>
      <c r="F116" s="35">
        <v>412554000</v>
      </c>
      <c r="G116" s="210">
        <v>0</v>
      </c>
      <c r="H116" s="210">
        <v>0</v>
      </c>
      <c r="I116" s="210">
        <v>412554000</v>
      </c>
      <c r="J116" s="210">
        <v>27357136</v>
      </c>
      <c r="K116" s="210">
        <v>214922430</v>
      </c>
      <c r="L116" s="210">
        <v>27357136</v>
      </c>
      <c r="M116" s="210">
        <v>214922430</v>
      </c>
      <c r="N116" s="210">
        <v>27357136</v>
      </c>
      <c r="O116" s="210">
        <v>214922430</v>
      </c>
      <c r="P116" s="242">
        <v>0.23740675222371063</v>
      </c>
    </row>
    <row r="117" spans="1:16" s="8" customFormat="1">
      <c r="A117" s="107"/>
      <c r="B117" s="149" t="s">
        <v>1728</v>
      </c>
      <c r="C117" s="18" t="s">
        <v>280</v>
      </c>
      <c r="D117" s="30"/>
      <c r="E117" s="17" t="s">
        <v>281</v>
      </c>
      <c r="F117" s="16">
        <f>+F118</f>
        <v>44322000</v>
      </c>
      <c r="G117" s="203">
        <f t="shared" ref="G117:O117" si="46">+G118</f>
        <v>0</v>
      </c>
      <c r="H117" s="203">
        <f t="shared" si="46"/>
        <v>-73090</v>
      </c>
      <c r="I117" s="203">
        <f t="shared" si="46"/>
        <v>44248910</v>
      </c>
      <c r="J117" s="203">
        <f t="shared" si="46"/>
        <v>0</v>
      </c>
      <c r="K117" s="203">
        <f t="shared" si="46"/>
        <v>44248910</v>
      </c>
      <c r="L117" s="203">
        <f t="shared" si="46"/>
        <v>0</v>
      </c>
      <c r="M117" s="203">
        <f t="shared" si="46"/>
        <v>44248910</v>
      </c>
      <c r="N117" s="203">
        <f t="shared" si="46"/>
        <v>3725610</v>
      </c>
      <c r="O117" s="203">
        <f t="shared" si="46"/>
        <v>9133754</v>
      </c>
      <c r="P117" s="237">
        <v>0.23740675222371063</v>
      </c>
    </row>
    <row r="118" spans="1:16" s="8" customFormat="1">
      <c r="A118" s="108"/>
      <c r="B118" s="150"/>
      <c r="C118" s="70" t="s">
        <v>280</v>
      </c>
      <c r="D118" s="33" t="s">
        <v>1911</v>
      </c>
      <c r="E118" s="34" t="s">
        <v>268</v>
      </c>
      <c r="F118" s="35">
        <v>44322000</v>
      </c>
      <c r="G118" s="210">
        <v>0</v>
      </c>
      <c r="H118" s="210">
        <v>-73090</v>
      </c>
      <c r="I118" s="210">
        <v>44248910</v>
      </c>
      <c r="J118" s="210">
        <v>0</v>
      </c>
      <c r="K118" s="210">
        <v>44248910</v>
      </c>
      <c r="L118" s="210">
        <v>0</v>
      </c>
      <c r="M118" s="210">
        <v>44248910</v>
      </c>
      <c r="N118" s="210">
        <v>3725610</v>
      </c>
      <c r="O118" s="210">
        <v>9133754</v>
      </c>
      <c r="P118" s="242">
        <v>0.23740675222371063</v>
      </c>
    </row>
    <row r="119" spans="1:16" s="8" customFormat="1">
      <c r="A119" s="107"/>
      <c r="B119" s="149" t="s">
        <v>1729</v>
      </c>
      <c r="C119" s="18" t="s">
        <v>282</v>
      </c>
      <c r="D119" s="30"/>
      <c r="E119" s="17" t="s">
        <v>283</v>
      </c>
      <c r="F119" s="16">
        <f>+F120</f>
        <v>6386024000</v>
      </c>
      <c r="G119" s="203">
        <f t="shared" ref="G119:O119" si="47">+G120</f>
        <v>0</v>
      </c>
      <c r="H119" s="203">
        <f t="shared" si="47"/>
        <v>-138659870</v>
      </c>
      <c r="I119" s="203">
        <f t="shared" si="47"/>
        <v>6247364130</v>
      </c>
      <c r="J119" s="203">
        <f t="shared" si="47"/>
        <v>0</v>
      </c>
      <c r="K119" s="203">
        <f t="shared" si="47"/>
        <v>6247364130</v>
      </c>
      <c r="L119" s="203">
        <f t="shared" si="47"/>
        <v>0</v>
      </c>
      <c r="M119" s="203">
        <f t="shared" si="47"/>
        <v>6247364130</v>
      </c>
      <c r="N119" s="203">
        <f t="shared" si="47"/>
        <v>518291550</v>
      </c>
      <c r="O119" s="203">
        <f t="shared" si="47"/>
        <v>1273057352</v>
      </c>
      <c r="P119" s="237">
        <v>0.23740675222371063</v>
      </c>
    </row>
    <row r="120" spans="1:16" s="8" customFormat="1">
      <c r="A120" s="108"/>
      <c r="B120" s="150"/>
      <c r="C120" s="70" t="s">
        <v>282</v>
      </c>
      <c r="D120" s="33" t="s">
        <v>1934</v>
      </c>
      <c r="E120" s="34" t="s">
        <v>284</v>
      </c>
      <c r="F120" s="35">
        <v>6386024000</v>
      </c>
      <c r="G120" s="210">
        <v>0</v>
      </c>
      <c r="H120" s="210">
        <v>-138659870</v>
      </c>
      <c r="I120" s="210">
        <v>6247364130</v>
      </c>
      <c r="J120" s="210">
        <v>0</v>
      </c>
      <c r="K120" s="210">
        <v>6247364130</v>
      </c>
      <c r="L120" s="210">
        <v>0</v>
      </c>
      <c r="M120" s="210">
        <v>6247364130</v>
      </c>
      <c r="N120" s="210">
        <v>518291550</v>
      </c>
      <c r="O120" s="210">
        <v>1273057352</v>
      </c>
      <c r="P120" s="242">
        <v>0.23740675222371063</v>
      </c>
    </row>
    <row r="121" spans="1:16" s="8" customFormat="1">
      <c r="A121" s="107"/>
      <c r="B121" s="149" t="s">
        <v>1730</v>
      </c>
      <c r="C121" s="18" t="s">
        <v>285</v>
      </c>
      <c r="D121" s="30"/>
      <c r="E121" s="17" t="s">
        <v>286</v>
      </c>
      <c r="F121" s="16">
        <f>+F122</f>
        <v>231882000</v>
      </c>
      <c r="G121" s="203">
        <f t="shared" ref="G121:O121" si="48">+G122</f>
        <v>0</v>
      </c>
      <c r="H121" s="203">
        <f t="shared" si="48"/>
        <v>0</v>
      </c>
      <c r="I121" s="203">
        <f t="shared" si="48"/>
        <v>231882000</v>
      </c>
      <c r="J121" s="203">
        <f t="shared" si="48"/>
        <v>0</v>
      </c>
      <c r="K121" s="203">
        <f t="shared" si="48"/>
        <v>96270909</v>
      </c>
      <c r="L121" s="203">
        <f t="shared" si="48"/>
        <v>0</v>
      </c>
      <c r="M121" s="203">
        <f t="shared" si="48"/>
        <v>96270909</v>
      </c>
      <c r="N121" s="203">
        <f t="shared" si="48"/>
        <v>0</v>
      </c>
      <c r="O121" s="203">
        <f t="shared" si="48"/>
        <v>96270909</v>
      </c>
      <c r="P121" s="237">
        <v>0.23740675222371063</v>
      </c>
    </row>
    <row r="122" spans="1:16" s="8" customFormat="1">
      <c r="A122" s="108"/>
      <c r="B122" s="150"/>
      <c r="C122" s="70" t="s">
        <v>285</v>
      </c>
      <c r="D122" s="33" t="s">
        <v>1934</v>
      </c>
      <c r="E122" s="34" t="s">
        <v>284</v>
      </c>
      <c r="F122" s="35">
        <v>231882000</v>
      </c>
      <c r="G122" s="210">
        <v>0</v>
      </c>
      <c r="H122" s="210">
        <v>0</v>
      </c>
      <c r="I122" s="210">
        <v>231882000</v>
      </c>
      <c r="J122" s="210">
        <v>0</v>
      </c>
      <c r="K122" s="210">
        <v>96270909</v>
      </c>
      <c r="L122" s="210">
        <v>0</v>
      </c>
      <c r="M122" s="210">
        <v>96270909</v>
      </c>
      <c r="N122" s="210">
        <v>0</v>
      </c>
      <c r="O122" s="210">
        <v>96270909</v>
      </c>
      <c r="P122" s="242">
        <v>0.23740675222371063</v>
      </c>
    </row>
    <row r="123" spans="1:16" s="8" customFormat="1">
      <c r="A123" s="107"/>
      <c r="B123" s="149" t="s">
        <v>1731</v>
      </c>
      <c r="C123" s="18" t="s">
        <v>287</v>
      </c>
      <c r="D123" s="30"/>
      <c r="E123" s="17" t="s">
        <v>288</v>
      </c>
      <c r="F123" s="16">
        <f>+F124</f>
        <v>301548000</v>
      </c>
      <c r="G123" s="203">
        <f t="shared" ref="G123:O123" si="49">+G124</f>
        <v>0</v>
      </c>
      <c r="H123" s="203">
        <f t="shared" si="49"/>
        <v>0</v>
      </c>
      <c r="I123" s="203">
        <f t="shared" si="49"/>
        <v>301548000</v>
      </c>
      <c r="J123" s="203">
        <f t="shared" si="49"/>
        <v>15265695</v>
      </c>
      <c r="K123" s="203">
        <f t="shared" si="49"/>
        <v>130460814</v>
      </c>
      <c r="L123" s="203">
        <f t="shared" si="49"/>
        <v>15265695</v>
      </c>
      <c r="M123" s="203">
        <f t="shared" si="49"/>
        <v>130460814</v>
      </c>
      <c r="N123" s="203">
        <f t="shared" si="49"/>
        <v>15265695</v>
      </c>
      <c r="O123" s="203">
        <f t="shared" si="49"/>
        <v>130460814</v>
      </c>
      <c r="P123" s="237">
        <v>0.23740675222371063</v>
      </c>
    </row>
    <row r="124" spans="1:16" s="8" customFormat="1">
      <c r="A124" s="108"/>
      <c r="B124" s="150"/>
      <c r="C124" s="70" t="s">
        <v>287</v>
      </c>
      <c r="D124" s="33" t="s">
        <v>1934</v>
      </c>
      <c r="E124" s="34" t="s">
        <v>284</v>
      </c>
      <c r="F124" s="35">
        <v>301548000</v>
      </c>
      <c r="G124" s="210">
        <v>0</v>
      </c>
      <c r="H124" s="210">
        <v>0</v>
      </c>
      <c r="I124" s="210">
        <v>301548000</v>
      </c>
      <c r="J124" s="210">
        <v>15265695</v>
      </c>
      <c r="K124" s="210">
        <v>130460814</v>
      </c>
      <c r="L124" s="210">
        <v>15265695</v>
      </c>
      <c r="M124" s="210">
        <v>130460814</v>
      </c>
      <c r="N124" s="210">
        <v>15265695</v>
      </c>
      <c r="O124" s="210">
        <v>130460814</v>
      </c>
      <c r="P124" s="242">
        <v>0.23740675222371063</v>
      </c>
    </row>
    <row r="125" spans="1:16" s="8" customFormat="1">
      <c r="A125" s="107"/>
      <c r="B125" s="149" t="s">
        <v>1732</v>
      </c>
      <c r="C125" s="18" t="s">
        <v>289</v>
      </c>
      <c r="D125" s="30"/>
      <c r="E125" s="17" t="s">
        <v>290</v>
      </c>
      <c r="F125" s="16">
        <f>+F126</f>
        <v>158484000</v>
      </c>
      <c r="G125" s="203">
        <f t="shared" ref="G125:O125" si="50">+G126</f>
        <v>0</v>
      </c>
      <c r="H125" s="203">
        <f t="shared" si="50"/>
        <v>0</v>
      </c>
      <c r="I125" s="203">
        <f t="shared" si="50"/>
        <v>158484000</v>
      </c>
      <c r="J125" s="203">
        <f t="shared" si="50"/>
        <v>4584329</v>
      </c>
      <c r="K125" s="203">
        <f t="shared" si="50"/>
        <v>77933593</v>
      </c>
      <c r="L125" s="203">
        <f t="shared" si="50"/>
        <v>4584329</v>
      </c>
      <c r="M125" s="203">
        <f t="shared" si="50"/>
        <v>77933593</v>
      </c>
      <c r="N125" s="203">
        <f t="shared" si="50"/>
        <v>4584329</v>
      </c>
      <c r="O125" s="203">
        <f t="shared" si="50"/>
        <v>77933593</v>
      </c>
      <c r="P125" s="237">
        <v>0.23740675222371063</v>
      </c>
    </row>
    <row r="126" spans="1:16" s="8" customFormat="1">
      <c r="A126" s="108"/>
      <c r="B126" s="150"/>
      <c r="C126" s="70" t="s">
        <v>289</v>
      </c>
      <c r="D126" s="33" t="s">
        <v>1911</v>
      </c>
      <c r="E126" s="34" t="s">
        <v>268</v>
      </c>
      <c r="F126" s="35">
        <v>158484000</v>
      </c>
      <c r="G126" s="210">
        <v>0</v>
      </c>
      <c r="H126" s="210">
        <v>0</v>
      </c>
      <c r="I126" s="210">
        <v>158484000</v>
      </c>
      <c r="J126" s="210">
        <v>4584329</v>
      </c>
      <c r="K126" s="210">
        <v>77933593</v>
      </c>
      <c r="L126" s="210">
        <v>4584329</v>
      </c>
      <c r="M126" s="210">
        <v>77933593</v>
      </c>
      <c r="N126" s="210">
        <v>4584329</v>
      </c>
      <c r="O126" s="210">
        <v>77933593</v>
      </c>
      <c r="P126" s="242">
        <v>0.23740675222371063</v>
      </c>
    </row>
    <row r="127" spans="1:16" s="8" customFormat="1">
      <c r="A127" s="107"/>
      <c r="B127" s="149" t="s">
        <v>1733</v>
      </c>
      <c r="C127" s="18" t="s">
        <v>291</v>
      </c>
      <c r="D127" s="30"/>
      <c r="E127" s="17" t="s">
        <v>292</v>
      </c>
      <c r="F127" s="16">
        <f>+F128</f>
        <v>124812000</v>
      </c>
      <c r="G127" s="203">
        <f t="shared" ref="G127:O127" si="51">+G128</f>
        <v>0</v>
      </c>
      <c r="H127" s="203">
        <f t="shared" si="51"/>
        <v>0</v>
      </c>
      <c r="I127" s="203">
        <f t="shared" si="51"/>
        <v>124812000</v>
      </c>
      <c r="J127" s="203">
        <f t="shared" si="51"/>
        <v>0</v>
      </c>
      <c r="K127" s="203">
        <f t="shared" si="51"/>
        <v>21590646</v>
      </c>
      <c r="L127" s="203">
        <f t="shared" si="51"/>
        <v>0</v>
      </c>
      <c r="M127" s="203">
        <f t="shared" si="51"/>
        <v>21590646</v>
      </c>
      <c r="N127" s="203">
        <f t="shared" si="51"/>
        <v>0</v>
      </c>
      <c r="O127" s="203">
        <f t="shared" si="51"/>
        <v>21590646</v>
      </c>
      <c r="P127" s="237">
        <v>0.23740675222371063</v>
      </c>
    </row>
    <row r="128" spans="1:16" s="8" customFormat="1">
      <c r="A128" s="108"/>
      <c r="B128" s="150"/>
      <c r="C128" s="70" t="s">
        <v>291</v>
      </c>
      <c r="D128" s="33" t="s">
        <v>1933</v>
      </c>
      <c r="E128" s="34" t="s">
        <v>293</v>
      </c>
      <c r="F128" s="35">
        <v>124812000</v>
      </c>
      <c r="G128" s="210">
        <v>0</v>
      </c>
      <c r="H128" s="210">
        <v>0</v>
      </c>
      <c r="I128" s="210">
        <v>124812000</v>
      </c>
      <c r="J128" s="210">
        <v>0</v>
      </c>
      <c r="K128" s="210">
        <v>21590646</v>
      </c>
      <c r="L128" s="210">
        <v>0</v>
      </c>
      <c r="M128" s="210">
        <v>21590646</v>
      </c>
      <c r="N128" s="210">
        <v>0</v>
      </c>
      <c r="O128" s="210">
        <v>21590646</v>
      </c>
      <c r="P128" s="242">
        <v>0.23740675222371063</v>
      </c>
    </row>
    <row r="129" spans="1:16" s="8" customFormat="1">
      <c r="A129" s="107"/>
      <c r="B129" s="149" t="s">
        <v>1734</v>
      </c>
      <c r="C129" s="18" t="s">
        <v>294</v>
      </c>
      <c r="D129" s="30"/>
      <c r="E129" s="17" t="s">
        <v>295</v>
      </c>
      <c r="F129" s="16">
        <f>+F130</f>
        <v>228150000</v>
      </c>
      <c r="G129" s="203">
        <f t="shared" ref="G129:O129" si="52">+G130</f>
        <v>0</v>
      </c>
      <c r="H129" s="203">
        <f t="shared" si="52"/>
        <v>0</v>
      </c>
      <c r="I129" s="203">
        <f t="shared" si="52"/>
        <v>228150000</v>
      </c>
      <c r="J129" s="203">
        <f t="shared" si="52"/>
        <v>0</v>
      </c>
      <c r="K129" s="203">
        <f t="shared" si="52"/>
        <v>120150000</v>
      </c>
      <c r="L129" s="203">
        <f t="shared" si="52"/>
        <v>0</v>
      </c>
      <c r="M129" s="203">
        <f t="shared" si="52"/>
        <v>120150000</v>
      </c>
      <c r="N129" s="203">
        <f t="shared" si="52"/>
        <v>0</v>
      </c>
      <c r="O129" s="203">
        <f t="shared" si="52"/>
        <v>120150000</v>
      </c>
      <c r="P129" s="237">
        <v>0.23740675222371063</v>
      </c>
    </row>
    <row r="130" spans="1:16" s="8" customFormat="1">
      <c r="A130" s="108"/>
      <c r="B130" s="150"/>
      <c r="C130" s="70" t="s">
        <v>294</v>
      </c>
      <c r="D130" s="33" t="s">
        <v>1935</v>
      </c>
      <c r="E130" s="34" t="s">
        <v>296</v>
      </c>
      <c r="F130" s="35">
        <v>228150000</v>
      </c>
      <c r="G130" s="210">
        <v>0</v>
      </c>
      <c r="H130" s="210">
        <v>0</v>
      </c>
      <c r="I130" s="210">
        <v>228150000</v>
      </c>
      <c r="J130" s="210">
        <v>0</v>
      </c>
      <c r="K130" s="210">
        <v>120150000</v>
      </c>
      <c r="L130" s="210">
        <v>0</v>
      </c>
      <c r="M130" s="210">
        <v>120150000</v>
      </c>
      <c r="N130" s="210">
        <v>0</v>
      </c>
      <c r="O130" s="210">
        <v>120150000</v>
      </c>
      <c r="P130" s="242">
        <v>0.23740675222371063</v>
      </c>
    </row>
    <row r="131" spans="1:16" s="8" customFormat="1">
      <c r="A131" s="107"/>
      <c r="B131" s="149" t="s">
        <v>1471</v>
      </c>
      <c r="C131" s="18" t="s">
        <v>297</v>
      </c>
      <c r="D131" s="30"/>
      <c r="E131" s="17" t="s">
        <v>298</v>
      </c>
      <c r="F131" s="16">
        <f>SUM(F132:F133)</f>
        <v>343880000</v>
      </c>
      <c r="G131" s="203">
        <f t="shared" ref="G131:O131" si="53">SUM(G132:G133)</f>
        <v>0</v>
      </c>
      <c r="H131" s="203">
        <f t="shared" si="53"/>
        <v>0</v>
      </c>
      <c r="I131" s="203">
        <f t="shared" si="53"/>
        <v>343880000</v>
      </c>
      <c r="J131" s="203">
        <f t="shared" si="53"/>
        <v>3204429</v>
      </c>
      <c r="K131" s="203">
        <f t="shared" si="53"/>
        <v>137916778</v>
      </c>
      <c r="L131" s="203">
        <f t="shared" si="53"/>
        <v>10675601</v>
      </c>
      <c r="M131" s="203">
        <f t="shared" si="53"/>
        <v>28782177</v>
      </c>
      <c r="N131" s="203">
        <f t="shared" si="53"/>
        <v>10675701</v>
      </c>
      <c r="O131" s="203">
        <f t="shared" si="53"/>
        <v>27782277</v>
      </c>
      <c r="P131" s="237">
        <v>0.23740675222371063</v>
      </c>
    </row>
    <row r="132" spans="1:16" s="8" customFormat="1">
      <c r="A132" s="108"/>
      <c r="B132" s="150"/>
      <c r="C132" s="70" t="s">
        <v>297</v>
      </c>
      <c r="D132" s="33" t="s">
        <v>1935</v>
      </c>
      <c r="E132" s="34" t="s">
        <v>296</v>
      </c>
      <c r="F132" s="35">
        <v>245412000</v>
      </c>
      <c r="G132" s="210">
        <v>0</v>
      </c>
      <c r="H132" s="210">
        <v>0</v>
      </c>
      <c r="I132" s="210">
        <v>245412000</v>
      </c>
      <c r="J132" s="210">
        <v>3204429</v>
      </c>
      <c r="K132" s="210">
        <v>39448778</v>
      </c>
      <c r="L132" s="210">
        <v>10675601</v>
      </c>
      <c r="M132" s="210">
        <v>28782177</v>
      </c>
      <c r="N132" s="210">
        <v>10675701</v>
      </c>
      <c r="O132" s="210">
        <v>27782277</v>
      </c>
      <c r="P132" s="242">
        <v>0.23740675222371063</v>
      </c>
    </row>
    <row r="133" spans="1:16" s="2" customFormat="1">
      <c r="A133" s="108"/>
      <c r="B133" s="150"/>
      <c r="C133" s="70" t="s">
        <v>297</v>
      </c>
      <c r="D133" s="33" t="s">
        <v>1932</v>
      </c>
      <c r="E133" s="34" t="s">
        <v>276</v>
      </c>
      <c r="F133" s="35">
        <v>98468000</v>
      </c>
      <c r="G133" s="210">
        <v>0</v>
      </c>
      <c r="H133" s="210">
        <v>0</v>
      </c>
      <c r="I133" s="210">
        <v>98468000</v>
      </c>
      <c r="J133" s="210">
        <v>0</v>
      </c>
      <c r="K133" s="210">
        <v>98468000</v>
      </c>
      <c r="L133" s="210">
        <v>0</v>
      </c>
      <c r="M133" s="210">
        <v>0</v>
      </c>
      <c r="N133" s="210">
        <v>0</v>
      </c>
      <c r="O133" s="210">
        <v>0</v>
      </c>
      <c r="P133" s="242">
        <v>0.23740675222371063</v>
      </c>
    </row>
    <row r="134" spans="1:16" s="2" customFormat="1">
      <c r="A134" s="104" t="s">
        <v>299</v>
      </c>
      <c r="B134" s="61" t="s">
        <v>1735</v>
      </c>
      <c r="C134" s="61" t="s">
        <v>300</v>
      </c>
      <c r="D134" s="61"/>
      <c r="E134" s="61" t="s">
        <v>301</v>
      </c>
      <c r="F134" s="62">
        <f>+F135+F207</f>
        <v>86312149000</v>
      </c>
      <c r="G134" s="62">
        <f t="shared" ref="G134:O134" si="54">+G135+G207</f>
        <v>100199760</v>
      </c>
      <c r="H134" s="62">
        <f t="shared" si="54"/>
        <v>13229176124</v>
      </c>
      <c r="I134" s="62">
        <f t="shared" si="54"/>
        <v>99541325124</v>
      </c>
      <c r="J134" s="62">
        <f t="shared" si="54"/>
        <v>1045500000</v>
      </c>
      <c r="K134" s="62">
        <f t="shared" si="54"/>
        <v>98121222719</v>
      </c>
      <c r="L134" s="62">
        <f t="shared" si="54"/>
        <v>10484094165</v>
      </c>
      <c r="M134" s="62">
        <f t="shared" si="54"/>
        <v>83827377381</v>
      </c>
      <c r="N134" s="62">
        <f t="shared" si="54"/>
        <v>6361790318</v>
      </c>
      <c r="O134" s="62">
        <f t="shared" si="54"/>
        <v>49004672373</v>
      </c>
      <c r="P134" s="234">
        <v>0.23740675222371063</v>
      </c>
    </row>
    <row r="135" spans="1:16" s="2" customFormat="1">
      <c r="A135" s="105" t="s">
        <v>302</v>
      </c>
      <c r="B135" s="63" t="s">
        <v>1660</v>
      </c>
      <c r="C135" s="63" t="s">
        <v>303</v>
      </c>
      <c r="D135" s="63"/>
      <c r="E135" s="63" t="s">
        <v>76</v>
      </c>
      <c r="F135" s="64">
        <f>+F136</f>
        <v>64921783000</v>
      </c>
      <c r="G135" s="64">
        <f t="shared" ref="G135:O135" si="55">+G136</f>
        <v>60228580</v>
      </c>
      <c r="H135" s="64">
        <f t="shared" si="55"/>
        <v>12698473926</v>
      </c>
      <c r="I135" s="64">
        <f t="shared" si="55"/>
        <v>77620256926</v>
      </c>
      <c r="J135" s="64">
        <f t="shared" si="55"/>
        <v>0</v>
      </c>
      <c r="K135" s="64">
        <f t="shared" si="55"/>
        <v>76858911855</v>
      </c>
      <c r="L135" s="64">
        <f t="shared" si="55"/>
        <v>9345548079</v>
      </c>
      <c r="M135" s="64">
        <f t="shared" si="55"/>
        <v>71087422264</v>
      </c>
      <c r="N135" s="64">
        <f t="shared" si="55"/>
        <v>5828787784</v>
      </c>
      <c r="O135" s="64">
        <f t="shared" si="55"/>
        <v>39960573171</v>
      </c>
      <c r="P135" s="235">
        <v>0.23740675222371063</v>
      </c>
    </row>
    <row r="136" spans="1:16" s="3" customFormat="1">
      <c r="A136" s="169" t="s">
        <v>304</v>
      </c>
      <c r="B136" s="146" t="s">
        <v>1661</v>
      </c>
      <c r="C136" s="147" t="s">
        <v>305</v>
      </c>
      <c r="D136" s="65"/>
      <c r="E136" s="32" t="s">
        <v>79</v>
      </c>
      <c r="F136" s="66">
        <f>+F137+F155+F172</f>
        <v>64921783000</v>
      </c>
      <c r="G136" s="66">
        <f t="shared" ref="G136:O136" si="56">+G137+G155+G172</f>
        <v>60228580</v>
      </c>
      <c r="H136" s="66">
        <f t="shared" si="56"/>
        <v>12698473926</v>
      </c>
      <c r="I136" s="66">
        <f t="shared" si="56"/>
        <v>77620256926</v>
      </c>
      <c r="J136" s="66">
        <f t="shared" si="56"/>
        <v>0</v>
      </c>
      <c r="K136" s="66">
        <f t="shared" si="56"/>
        <v>76858911855</v>
      </c>
      <c r="L136" s="66">
        <f t="shared" si="56"/>
        <v>9345548079</v>
      </c>
      <c r="M136" s="66">
        <f t="shared" si="56"/>
        <v>71087422264</v>
      </c>
      <c r="N136" s="66">
        <f t="shared" si="56"/>
        <v>5828787784</v>
      </c>
      <c r="O136" s="66">
        <f t="shared" si="56"/>
        <v>39960573171</v>
      </c>
      <c r="P136" s="236">
        <v>0.23740675222371063</v>
      </c>
    </row>
    <row r="137" spans="1:16" s="3" customFormat="1">
      <c r="A137" s="134" t="s">
        <v>306</v>
      </c>
      <c r="B137" s="123" t="s">
        <v>1662</v>
      </c>
      <c r="C137" s="124" t="s">
        <v>307</v>
      </c>
      <c r="D137" s="67"/>
      <c r="E137" s="25" t="s">
        <v>82</v>
      </c>
      <c r="F137" s="68">
        <f>+F138+F148</f>
        <v>55574473000</v>
      </c>
      <c r="G137" s="68">
        <f t="shared" ref="G137:O137" si="57">+G138+G148</f>
        <v>53182890</v>
      </c>
      <c r="H137" s="68">
        <f t="shared" si="57"/>
        <v>12465978912</v>
      </c>
      <c r="I137" s="68">
        <f t="shared" si="57"/>
        <v>68040451912</v>
      </c>
      <c r="J137" s="68">
        <f t="shared" si="57"/>
        <v>0</v>
      </c>
      <c r="K137" s="68">
        <f t="shared" si="57"/>
        <v>67298701053</v>
      </c>
      <c r="L137" s="68">
        <f t="shared" si="57"/>
        <v>8496083193</v>
      </c>
      <c r="M137" s="68">
        <f t="shared" si="57"/>
        <v>62277707832</v>
      </c>
      <c r="N137" s="68">
        <f t="shared" si="57"/>
        <v>5794837848</v>
      </c>
      <c r="O137" s="68">
        <f t="shared" si="57"/>
        <v>37718487754</v>
      </c>
      <c r="P137" s="229">
        <v>0.23740675222371063</v>
      </c>
    </row>
    <row r="138" spans="1:16" s="10" customFormat="1">
      <c r="A138" s="170"/>
      <c r="B138" s="125"/>
      <c r="C138" s="126" t="s">
        <v>308</v>
      </c>
      <c r="D138" s="29"/>
      <c r="E138" s="19" t="s">
        <v>309</v>
      </c>
      <c r="F138" s="20">
        <f>SUM(F139:F147)</f>
        <v>45536367000</v>
      </c>
      <c r="G138" s="20">
        <f t="shared" ref="G138:O138" si="58">SUM(G139:G147)</f>
        <v>53182890</v>
      </c>
      <c r="H138" s="20">
        <f t="shared" si="58"/>
        <v>11863769942</v>
      </c>
      <c r="I138" s="20">
        <f t="shared" si="58"/>
        <v>57400136942</v>
      </c>
      <c r="J138" s="20">
        <f t="shared" si="58"/>
        <v>0</v>
      </c>
      <c r="K138" s="20">
        <f t="shared" si="58"/>
        <v>57169250315</v>
      </c>
      <c r="L138" s="20">
        <f t="shared" si="58"/>
        <v>5136666724</v>
      </c>
      <c r="M138" s="20">
        <f t="shared" si="58"/>
        <v>53365897906</v>
      </c>
      <c r="N138" s="20">
        <f t="shared" si="58"/>
        <v>5186892308</v>
      </c>
      <c r="O138" s="20">
        <f t="shared" si="58"/>
        <v>32434106832</v>
      </c>
      <c r="P138" s="243">
        <v>0.23740675222371063</v>
      </c>
    </row>
    <row r="139" spans="1:16" s="10" customFormat="1">
      <c r="A139" s="107"/>
      <c r="B139" s="149" t="s">
        <v>1652</v>
      </c>
      <c r="C139" s="18" t="s">
        <v>310</v>
      </c>
      <c r="D139" s="30" t="s">
        <v>1936</v>
      </c>
      <c r="E139" s="17" t="s">
        <v>311</v>
      </c>
      <c r="F139" s="16">
        <v>6962994000</v>
      </c>
      <c r="G139" s="203">
        <v>0</v>
      </c>
      <c r="H139" s="203">
        <v>2681972357</v>
      </c>
      <c r="I139" s="203">
        <v>9644966357</v>
      </c>
      <c r="J139" s="203">
        <v>0</v>
      </c>
      <c r="K139" s="203">
        <v>9644966357</v>
      </c>
      <c r="L139" s="203">
        <v>135316147</v>
      </c>
      <c r="M139" s="203">
        <v>8554500909</v>
      </c>
      <c r="N139" s="203">
        <v>810180556</v>
      </c>
      <c r="O139" s="203">
        <v>5216511490</v>
      </c>
      <c r="P139" s="237">
        <v>0.23740675222371063</v>
      </c>
    </row>
    <row r="140" spans="1:16" s="10" customFormat="1">
      <c r="A140" s="107"/>
      <c r="B140" s="149" t="s">
        <v>1653</v>
      </c>
      <c r="C140" s="18" t="s">
        <v>312</v>
      </c>
      <c r="D140" s="30" t="s">
        <v>1937</v>
      </c>
      <c r="E140" s="17" t="s">
        <v>313</v>
      </c>
      <c r="F140" s="16">
        <v>10277017000</v>
      </c>
      <c r="G140" s="203">
        <v>0</v>
      </c>
      <c r="H140" s="203">
        <v>3278778862</v>
      </c>
      <c r="I140" s="203">
        <v>13555795862</v>
      </c>
      <c r="J140" s="203">
        <v>0</v>
      </c>
      <c r="K140" s="203">
        <v>13555795861</v>
      </c>
      <c r="L140" s="203">
        <v>325720801</v>
      </c>
      <c r="M140" s="203">
        <v>12162917781</v>
      </c>
      <c r="N140" s="203">
        <v>1189149565</v>
      </c>
      <c r="O140" s="203">
        <v>7267171970</v>
      </c>
      <c r="P140" s="237">
        <v>0.23740675222371063</v>
      </c>
    </row>
    <row r="141" spans="1:16" s="10" customFormat="1">
      <c r="A141" s="107"/>
      <c r="B141" s="149" t="s">
        <v>1654</v>
      </c>
      <c r="C141" s="18" t="s">
        <v>314</v>
      </c>
      <c r="D141" s="30" t="s">
        <v>1938</v>
      </c>
      <c r="E141" s="17" t="s">
        <v>315</v>
      </c>
      <c r="F141" s="16">
        <v>5719735000</v>
      </c>
      <c r="G141" s="203">
        <v>0</v>
      </c>
      <c r="H141" s="203">
        <v>1671617025</v>
      </c>
      <c r="I141" s="203">
        <v>7391352025</v>
      </c>
      <c r="J141" s="203">
        <v>0</v>
      </c>
      <c r="K141" s="203">
        <v>7391352025</v>
      </c>
      <c r="L141" s="203">
        <v>-9049867</v>
      </c>
      <c r="M141" s="203">
        <v>7296067526</v>
      </c>
      <c r="N141" s="203">
        <v>707005317</v>
      </c>
      <c r="O141" s="203">
        <v>4403749159</v>
      </c>
      <c r="P141" s="237">
        <v>0.23740675222371063</v>
      </c>
    </row>
    <row r="142" spans="1:16" s="10" customFormat="1">
      <c r="A142" s="107"/>
      <c r="B142" s="149" t="s">
        <v>1655</v>
      </c>
      <c r="C142" s="18" t="s">
        <v>316</v>
      </c>
      <c r="D142" s="30" t="s">
        <v>1939</v>
      </c>
      <c r="E142" s="17" t="s">
        <v>317</v>
      </c>
      <c r="F142" s="16">
        <v>7305980000</v>
      </c>
      <c r="G142" s="203">
        <v>0</v>
      </c>
      <c r="H142" s="203">
        <v>2531203679</v>
      </c>
      <c r="I142" s="203">
        <v>9837183679</v>
      </c>
      <c r="J142" s="203">
        <v>0</v>
      </c>
      <c r="K142" s="203">
        <v>9837183679</v>
      </c>
      <c r="L142" s="203">
        <v>101038400</v>
      </c>
      <c r="M142" s="203">
        <v>9716370567</v>
      </c>
      <c r="N142" s="203">
        <v>977575635</v>
      </c>
      <c r="O142" s="203">
        <v>6096319022</v>
      </c>
      <c r="P142" s="237">
        <v>0.23740675222371063</v>
      </c>
    </row>
    <row r="143" spans="1:16" s="10" customFormat="1">
      <c r="A143" s="107"/>
      <c r="B143" s="149" t="s">
        <v>1656</v>
      </c>
      <c r="C143" s="18" t="s">
        <v>318</v>
      </c>
      <c r="D143" s="30" t="s">
        <v>1940</v>
      </c>
      <c r="E143" s="17" t="s">
        <v>319</v>
      </c>
      <c r="F143" s="16">
        <v>9939240000</v>
      </c>
      <c r="G143" s="203">
        <v>0</v>
      </c>
      <c r="H143" s="203">
        <v>313324681</v>
      </c>
      <c r="I143" s="203">
        <v>10252564681</v>
      </c>
      <c r="J143" s="203">
        <v>0</v>
      </c>
      <c r="K143" s="203">
        <v>10074986678</v>
      </c>
      <c r="L143" s="203">
        <v>3414484775</v>
      </c>
      <c r="M143" s="203">
        <v>9521973696</v>
      </c>
      <c r="N143" s="203">
        <v>924307561</v>
      </c>
      <c r="O143" s="203">
        <v>5739437609</v>
      </c>
      <c r="P143" s="237">
        <v>0.23740675222371063</v>
      </c>
    </row>
    <row r="144" spans="1:16" s="10" customFormat="1">
      <c r="A144" s="107"/>
      <c r="B144" s="149" t="s">
        <v>1657</v>
      </c>
      <c r="C144" s="18" t="s">
        <v>320</v>
      </c>
      <c r="D144" s="30" t="s">
        <v>1941</v>
      </c>
      <c r="E144" s="17" t="s">
        <v>321</v>
      </c>
      <c r="F144" s="16">
        <v>2024201000</v>
      </c>
      <c r="G144" s="203">
        <v>53182890</v>
      </c>
      <c r="H144" s="203">
        <v>253308623</v>
      </c>
      <c r="I144" s="203">
        <v>2277509623</v>
      </c>
      <c r="J144" s="203">
        <v>0</v>
      </c>
      <c r="K144" s="203">
        <v>2224201000</v>
      </c>
      <c r="L144" s="203">
        <v>913369551</v>
      </c>
      <c r="M144" s="203">
        <v>2079061379</v>
      </c>
      <c r="N144" s="203">
        <v>200569220</v>
      </c>
      <c r="O144" s="203">
        <v>1267127273</v>
      </c>
      <c r="P144" s="237">
        <v>0.23740675222371063</v>
      </c>
    </row>
    <row r="145" spans="1:16" s="10" customFormat="1">
      <c r="A145" s="107"/>
      <c r="B145" s="149"/>
      <c r="C145" s="18" t="s">
        <v>322</v>
      </c>
      <c r="D145" s="219"/>
      <c r="E145" s="219" t="s">
        <v>323</v>
      </c>
      <c r="F145" s="16">
        <v>0</v>
      </c>
      <c r="G145" s="203">
        <v>0</v>
      </c>
      <c r="H145" s="203">
        <v>0</v>
      </c>
      <c r="I145" s="203">
        <v>0</v>
      </c>
      <c r="J145" s="203">
        <v>0</v>
      </c>
      <c r="K145" s="203">
        <v>0</v>
      </c>
      <c r="L145" s="203">
        <v>0</v>
      </c>
      <c r="M145" s="203">
        <v>0</v>
      </c>
      <c r="N145" s="203">
        <v>0</v>
      </c>
      <c r="O145" s="203">
        <v>0</v>
      </c>
      <c r="P145" s="237">
        <v>0.23740675222371063</v>
      </c>
    </row>
    <row r="146" spans="1:16" s="10" customFormat="1">
      <c r="A146" s="107"/>
      <c r="B146" s="149" t="s">
        <v>1658</v>
      </c>
      <c r="C146" s="18" t="s">
        <v>324</v>
      </c>
      <c r="D146" s="30" t="s">
        <v>1942</v>
      </c>
      <c r="E146" s="17" t="s">
        <v>325</v>
      </c>
      <c r="F146" s="16">
        <v>2938672000</v>
      </c>
      <c r="G146" s="203">
        <v>0</v>
      </c>
      <c r="H146" s="203">
        <v>1135864715</v>
      </c>
      <c r="I146" s="203">
        <v>4074536715</v>
      </c>
      <c r="J146" s="203">
        <v>0</v>
      </c>
      <c r="K146" s="203">
        <v>4074536715</v>
      </c>
      <c r="L146" s="203">
        <v>119027527</v>
      </c>
      <c r="M146" s="203">
        <v>3820048900</v>
      </c>
      <c r="N146" s="203">
        <v>351634951</v>
      </c>
      <c r="O146" s="203">
        <v>2339123051</v>
      </c>
      <c r="P146" s="237">
        <v>0.23740675222371063</v>
      </c>
    </row>
    <row r="147" spans="1:16" s="3" customFormat="1">
      <c r="A147" s="107"/>
      <c r="B147" s="149" t="s">
        <v>1659</v>
      </c>
      <c r="C147" s="18" t="s">
        <v>326</v>
      </c>
      <c r="D147" s="30" t="s">
        <v>1913</v>
      </c>
      <c r="E147" s="17" t="s">
        <v>327</v>
      </c>
      <c r="F147" s="16">
        <v>368528000</v>
      </c>
      <c r="G147" s="203">
        <v>0</v>
      </c>
      <c r="H147" s="203">
        <v>-2300000</v>
      </c>
      <c r="I147" s="203">
        <v>366228000</v>
      </c>
      <c r="J147" s="203">
        <v>0</v>
      </c>
      <c r="K147" s="203">
        <v>366228000</v>
      </c>
      <c r="L147" s="203">
        <v>136759390</v>
      </c>
      <c r="M147" s="203">
        <v>214957148</v>
      </c>
      <c r="N147" s="203">
        <v>26469503</v>
      </c>
      <c r="O147" s="203">
        <v>104667258</v>
      </c>
      <c r="P147" s="237">
        <v>0.23740675222371063</v>
      </c>
    </row>
    <row r="148" spans="1:16" s="10" customFormat="1">
      <c r="A148" s="170"/>
      <c r="B148" s="125"/>
      <c r="C148" s="126" t="s">
        <v>328</v>
      </c>
      <c r="D148" s="29"/>
      <c r="E148" s="19" t="s">
        <v>329</v>
      </c>
      <c r="F148" s="20">
        <f>SUM(F149:F154)</f>
        <v>10038106000</v>
      </c>
      <c r="G148" s="20">
        <f t="shared" ref="G148:O148" si="59">SUM(G149:G154)</f>
        <v>0</v>
      </c>
      <c r="H148" s="20">
        <f t="shared" si="59"/>
        <v>602208970</v>
      </c>
      <c r="I148" s="20">
        <f t="shared" si="59"/>
        <v>10640314970</v>
      </c>
      <c r="J148" s="20">
        <f t="shared" si="59"/>
        <v>0</v>
      </c>
      <c r="K148" s="20">
        <f t="shared" si="59"/>
        <v>10129450738</v>
      </c>
      <c r="L148" s="20">
        <f t="shared" si="59"/>
        <v>3359416469</v>
      </c>
      <c r="M148" s="20">
        <f t="shared" si="59"/>
        <v>8911809926</v>
      </c>
      <c r="N148" s="20">
        <f t="shared" si="59"/>
        <v>607945540</v>
      </c>
      <c r="O148" s="20">
        <f t="shared" si="59"/>
        <v>5284380922</v>
      </c>
      <c r="P148" s="243">
        <v>0.23740675222371063</v>
      </c>
    </row>
    <row r="149" spans="1:16" s="10" customFormat="1">
      <c r="A149" s="107"/>
      <c r="B149" s="149" t="s">
        <v>1736</v>
      </c>
      <c r="C149" s="18" t="s">
        <v>330</v>
      </c>
      <c r="D149" s="30" t="s">
        <v>1936</v>
      </c>
      <c r="E149" s="17" t="s">
        <v>331</v>
      </c>
      <c r="F149" s="16">
        <v>3289770000</v>
      </c>
      <c r="G149" s="203">
        <v>0</v>
      </c>
      <c r="H149" s="203">
        <v>-115500000</v>
      </c>
      <c r="I149" s="203">
        <v>3174270000</v>
      </c>
      <c r="J149" s="203">
        <v>0</v>
      </c>
      <c r="K149" s="203">
        <v>3034270000</v>
      </c>
      <c r="L149" s="203">
        <v>508104960</v>
      </c>
      <c r="M149" s="203">
        <v>2526771146</v>
      </c>
      <c r="N149" s="203">
        <v>223896292</v>
      </c>
      <c r="O149" s="203">
        <v>1593641166</v>
      </c>
      <c r="P149" s="237">
        <v>0.23740675222371063</v>
      </c>
    </row>
    <row r="150" spans="1:16" s="10" customFormat="1">
      <c r="A150" s="107"/>
      <c r="B150" s="149" t="s">
        <v>1737</v>
      </c>
      <c r="C150" s="18" t="s">
        <v>332</v>
      </c>
      <c r="D150" s="30" t="s">
        <v>1937</v>
      </c>
      <c r="E150" s="17" t="s">
        <v>333</v>
      </c>
      <c r="F150" s="16">
        <v>4623678000</v>
      </c>
      <c r="G150" s="203">
        <v>0</v>
      </c>
      <c r="H150" s="203">
        <v>597708970</v>
      </c>
      <c r="I150" s="203">
        <v>5221386970</v>
      </c>
      <c r="J150" s="203">
        <v>0</v>
      </c>
      <c r="K150" s="203">
        <v>4852539152</v>
      </c>
      <c r="L150" s="203">
        <v>2153178903</v>
      </c>
      <c r="M150" s="203">
        <v>4253685513</v>
      </c>
      <c r="N150" s="203">
        <v>274399701</v>
      </c>
      <c r="O150" s="203">
        <v>2374906311</v>
      </c>
      <c r="P150" s="237">
        <v>0.23740675222371063</v>
      </c>
    </row>
    <row r="151" spans="1:16" s="10" customFormat="1">
      <c r="A151" s="107"/>
      <c r="B151" s="149" t="s">
        <v>1738</v>
      </c>
      <c r="C151" s="18" t="s">
        <v>334</v>
      </c>
      <c r="D151" s="30" t="s">
        <v>1938</v>
      </c>
      <c r="E151" s="17" t="s">
        <v>335</v>
      </c>
      <c r="F151" s="16">
        <v>720850000</v>
      </c>
      <c r="G151" s="203">
        <v>0</v>
      </c>
      <c r="H151" s="203">
        <v>0</v>
      </c>
      <c r="I151" s="203">
        <v>720850000</v>
      </c>
      <c r="J151" s="203">
        <v>0</v>
      </c>
      <c r="K151" s="203">
        <v>720850000</v>
      </c>
      <c r="L151" s="203">
        <v>63374796</v>
      </c>
      <c r="M151" s="203">
        <v>714326253</v>
      </c>
      <c r="N151" s="203">
        <v>48112817</v>
      </c>
      <c r="O151" s="203">
        <v>472386576</v>
      </c>
      <c r="P151" s="237">
        <v>0.23740675222371063</v>
      </c>
    </row>
    <row r="152" spans="1:16" s="10" customFormat="1">
      <c r="A152" s="107"/>
      <c r="B152" s="149" t="s">
        <v>1739</v>
      </c>
      <c r="C152" s="18" t="s">
        <v>336</v>
      </c>
      <c r="D152" s="30" t="s">
        <v>1939</v>
      </c>
      <c r="E152" s="17" t="s">
        <v>337</v>
      </c>
      <c r="F152" s="16">
        <v>1023307000</v>
      </c>
      <c r="G152" s="203">
        <v>0</v>
      </c>
      <c r="H152" s="203">
        <v>0</v>
      </c>
      <c r="I152" s="203">
        <v>1023307000</v>
      </c>
      <c r="J152" s="203">
        <v>0</v>
      </c>
      <c r="K152" s="203">
        <v>1023307000</v>
      </c>
      <c r="L152" s="203">
        <v>424293229</v>
      </c>
      <c r="M152" s="203">
        <v>963077847</v>
      </c>
      <c r="N152" s="203">
        <v>22845447</v>
      </c>
      <c r="O152" s="203">
        <v>561271000</v>
      </c>
      <c r="P152" s="237">
        <v>0.23740675222371063</v>
      </c>
    </row>
    <row r="153" spans="1:16" s="10" customFormat="1">
      <c r="A153" s="107"/>
      <c r="B153" s="149" t="s">
        <v>1740</v>
      </c>
      <c r="C153" s="18" t="s">
        <v>338</v>
      </c>
      <c r="D153" s="30" t="s">
        <v>1940</v>
      </c>
      <c r="E153" s="17" t="s">
        <v>339</v>
      </c>
      <c r="F153" s="16">
        <v>380501000</v>
      </c>
      <c r="G153" s="203">
        <v>0</v>
      </c>
      <c r="H153" s="203">
        <v>120000000</v>
      </c>
      <c r="I153" s="203">
        <v>500501000</v>
      </c>
      <c r="J153" s="203">
        <v>0</v>
      </c>
      <c r="K153" s="203">
        <v>498484586</v>
      </c>
      <c r="L153" s="203">
        <v>210464581</v>
      </c>
      <c r="M153" s="203">
        <v>453949167</v>
      </c>
      <c r="N153" s="203">
        <v>38691283</v>
      </c>
      <c r="O153" s="203">
        <v>282175869</v>
      </c>
      <c r="P153" s="237">
        <v>0.23740675222371063</v>
      </c>
    </row>
    <row r="154" spans="1:16" s="3" customFormat="1">
      <c r="A154" s="107"/>
      <c r="B154" s="149"/>
      <c r="C154" s="18" t="s">
        <v>340</v>
      </c>
      <c r="D154" s="30" t="s">
        <v>1942</v>
      </c>
      <c r="E154" s="219" t="s">
        <v>341</v>
      </c>
      <c r="F154" s="16">
        <v>0</v>
      </c>
      <c r="G154" s="203">
        <v>0</v>
      </c>
      <c r="H154" s="203">
        <v>0</v>
      </c>
      <c r="I154" s="203">
        <v>0</v>
      </c>
      <c r="J154" s="203">
        <v>0</v>
      </c>
      <c r="K154" s="203">
        <v>0</v>
      </c>
      <c r="L154" s="203">
        <v>0</v>
      </c>
      <c r="M154" s="203">
        <v>0</v>
      </c>
      <c r="N154" s="203">
        <v>0</v>
      </c>
      <c r="O154" s="203">
        <v>0</v>
      </c>
      <c r="P154" s="237">
        <v>0.23740675222371063</v>
      </c>
    </row>
    <row r="155" spans="1:16" s="3" customFormat="1">
      <c r="A155" s="134" t="s">
        <v>342</v>
      </c>
      <c r="B155" s="123" t="s">
        <v>1741</v>
      </c>
      <c r="C155" s="124" t="s">
        <v>343</v>
      </c>
      <c r="D155" s="67"/>
      <c r="E155" s="25" t="s">
        <v>344</v>
      </c>
      <c r="F155" s="68">
        <f>+F156+F165</f>
        <v>1504837000</v>
      </c>
      <c r="G155" s="68">
        <f t="shared" ref="G155:O155" si="60">+G156+G165</f>
        <v>0</v>
      </c>
      <c r="H155" s="68">
        <f t="shared" si="60"/>
        <v>88649874</v>
      </c>
      <c r="I155" s="68">
        <f t="shared" si="60"/>
        <v>1593486874</v>
      </c>
      <c r="J155" s="68">
        <f t="shared" si="60"/>
        <v>0</v>
      </c>
      <c r="K155" s="68">
        <f t="shared" si="60"/>
        <v>1590462991</v>
      </c>
      <c r="L155" s="68">
        <f t="shared" si="60"/>
        <v>0</v>
      </c>
      <c r="M155" s="68">
        <f t="shared" si="60"/>
        <v>1479580895</v>
      </c>
      <c r="N155" s="68">
        <f t="shared" si="60"/>
        <v>9593140</v>
      </c>
      <c r="O155" s="68">
        <f t="shared" si="60"/>
        <v>9667522</v>
      </c>
      <c r="P155" s="229">
        <v>0.23740675222371063</v>
      </c>
    </row>
    <row r="156" spans="1:16" s="10" customFormat="1">
      <c r="A156" s="170"/>
      <c r="B156" s="125"/>
      <c r="C156" s="126" t="s">
        <v>345</v>
      </c>
      <c r="D156" s="29"/>
      <c r="E156" s="19" t="s">
        <v>346</v>
      </c>
      <c r="F156" s="20">
        <f>SUM(F157:F164)</f>
        <v>1504837000</v>
      </c>
      <c r="G156" s="20">
        <f t="shared" ref="G156:O156" si="61">SUM(G157:G164)</f>
        <v>0</v>
      </c>
      <c r="H156" s="20">
        <f t="shared" si="61"/>
        <v>88649874</v>
      </c>
      <c r="I156" s="20">
        <f t="shared" si="61"/>
        <v>1593486874</v>
      </c>
      <c r="J156" s="20">
        <f t="shared" si="61"/>
        <v>0</v>
      </c>
      <c r="K156" s="20">
        <f t="shared" si="61"/>
        <v>1590462991</v>
      </c>
      <c r="L156" s="20">
        <f t="shared" si="61"/>
        <v>0</v>
      </c>
      <c r="M156" s="20">
        <f t="shared" si="61"/>
        <v>1479580895</v>
      </c>
      <c r="N156" s="20">
        <f t="shared" si="61"/>
        <v>9593140</v>
      </c>
      <c r="O156" s="20">
        <f t="shared" si="61"/>
        <v>9667522</v>
      </c>
      <c r="P156" s="243">
        <v>0.23740675222371063</v>
      </c>
    </row>
    <row r="157" spans="1:16" s="10" customFormat="1">
      <c r="A157" s="107"/>
      <c r="B157" s="149" t="s">
        <v>1646</v>
      </c>
      <c r="C157" s="18" t="s">
        <v>347</v>
      </c>
      <c r="D157" s="30" t="s">
        <v>1936</v>
      </c>
      <c r="E157" s="17" t="s">
        <v>348</v>
      </c>
      <c r="F157" s="16">
        <v>311544000</v>
      </c>
      <c r="G157" s="203">
        <v>0</v>
      </c>
      <c r="H157" s="203">
        <v>7000000</v>
      </c>
      <c r="I157" s="203">
        <v>318544000</v>
      </c>
      <c r="J157" s="203">
        <v>0</v>
      </c>
      <c r="K157" s="203">
        <v>318544000</v>
      </c>
      <c r="L157" s="203">
        <v>0</v>
      </c>
      <c r="M157" s="203">
        <v>316794922</v>
      </c>
      <c r="N157" s="203">
        <v>0</v>
      </c>
      <c r="O157" s="203">
        <v>0</v>
      </c>
      <c r="P157" s="237">
        <v>0.23740675222371063</v>
      </c>
    </row>
    <row r="158" spans="1:16" s="10" customFormat="1">
      <c r="A158" s="107"/>
      <c r="B158" s="149" t="s">
        <v>1647</v>
      </c>
      <c r="C158" s="18" t="s">
        <v>349</v>
      </c>
      <c r="D158" s="30" t="s">
        <v>1937</v>
      </c>
      <c r="E158" s="17" t="s">
        <v>350</v>
      </c>
      <c r="F158" s="16">
        <v>321389000</v>
      </c>
      <c r="G158" s="203">
        <v>0</v>
      </c>
      <c r="H158" s="203">
        <v>0</v>
      </c>
      <c r="I158" s="203">
        <v>321389000</v>
      </c>
      <c r="J158" s="203">
        <v>0</v>
      </c>
      <c r="K158" s="203">
        <v>321389000</v>
      </c>
      <c r="L158" s="203">
        <v>0</v>
      </c>
      <c r="M158" s="203">
        <v>265657880</v>
      </c>
      <c r="N158" s="203">
        <v>0</v>
      </c>
      <c r="O158" s="203">
        <v>0</v>
      </c>
      <c r="P158" s="237">
        <v>0.23740675222371063</v>
      </c>
    </row>
    <row r="159" spans="1:16" s="10" customFormat="1">
      <c r="A159" s="107"/>
      <c r="B159" s="149" t="s">
        <v>1648</v>
      </c>
      <c r="C159" s="18" t="s">
        <v>351</v>
      </c>
      <c r="D159" s="30" t="s">
        <v>1938</v>
      </c>
      <c r="E159" s="17" t="s">
        <v>352</v>
      </c>
      <c r="F159" s="16">
        <v>180578000</v>
      </c>
      <c r="G159" s="203">
        <v>0</v>
      </c>
      <c r="H159" s="203">
        <v>0</v>
      </c>
      <c r="I159" s="203">
        <v>180578000</v>
      </c>
      <c r="J159" s="203">
        <v>0</v>
      </c>
      <c r="K159" s="203">
        <v>180578000</v>
      </c>
      <c r="L159" s="203">
        <v>0</v>
      </c>
      <c r="M159" s="203">
        <v>172599397</v>
      </c>
      <c r="N159" s="203">
        <v>0</v>
      </c>
      <c r="O159" s="203">
        <v>74382</v>
      </c>
      <c r="P159" s="237">
        <v>0.23740675222371063</v>
      </c>
    </row>
    <row r="160" spans="1:16" s="10" customFormat="1">
      <c r="A160" s="107"/>
      <c r="B160" s="149" t="s">
        <v>1649</v>
      </c>
      <c r="C160" s="18" t="s">
        <v>353</v>
      </c>
      <c r="D160" s="30" t="s">
        <v>1939</v>
      </c>
      <c r="E160" s="17" t="s">
        <v>354</v>
      </c>
      <c r="F160" s="16">
        <v>291778000</v>
      </c>
      <c r="G160" s="203">
        <v>0</v>
      </c>
      <c r="H160" s="203">
        <v>2700000</v>
      </c>
      <c r="I160" s="203">
        <v>294478000</v>
      </c>
      <c r="J160" s="203">
        <v>0</v>
      </c>
      <c r="K160" s="203">
        <v>294478000</v>
      </c>
      <c r="L160" s="203">
        <v>0</v>
      </c>
      <c r="M160" s="203">
        <v>294383019</v>
      </c>
      <c r="N160" s="203">
        <v>0</v>
      </c>
      <c r="O160" s="203">
        <v>0</v>
      </c>
      <c r="P160" s="237">
        <v>0.23740675222371063</v>
      </c>
    </row>
    <row r="161" spans="1:16" s="10" customFormat="1">
      <c r="A161" s="107"/>
      <c r="B161" s="149" t="s">
        <v>1650</v>
      </c>
      <c r="C161" s="18" t="s">
        <v>355</v>
      </c>
      <c r="D161" s="30" t="s">
        <v>1940</v>
      </c>
      <c r="E161" s="17" t="s">
        <v>356</v>
      </c>
      <c r="F161" s="16">
        <v>237753000</v>
      </c>
      <c r="G161" s="203">
        <v>0</v>
      </c>
      <c r="H161" s="203">
        <v>18000000</v>
      </c>
      <c r="I161" s="203">
        <v>255753000</v>
      </c>
      <c r="J161" s="203">
        <v>0</v>
      </c>
      <c r="K161" s="203">
        <v>252729117</v>
      </c>
      <c r="L161" s="203">
        <v>0</v>
      </c>
      <c r="M161" s="203">
        <v>223171478</v>
      </c>
      <c r="N161" s="203">
        <v>9593140</v>
      </c>
      <c r="O161" s="203">
        <v>9593140</v>
      </c>
      <c r="P161" s="237">
        <v>0.23740675222371063</v>
      </c>
    </row>
    <row r="162" spans="1:16" s="10" customFormat="1">
      <c r="A162" s="107"/>
      <c r="B162" s="149"/>
      <c r="C162" s="18" t="s">
        <v>357</v>
      </c>
      <c r="D162" s="30" t="s">
        <v>1941</v>
      </c>
      <c r="E162" s="219" t="s">
        <v>358</v>
      </c>
      <c r="F162" s="16">
        <v>0</v>
      </c>
      <c r="G162" s="203">
        <v>0</v>
      </c>
      <c r="H162" s="203">
        <v>16825874</v>
      </c>
      <c r="I162" s="203">
        <v>16825874</v>
      </c>
      <c r="J162" s="203">
        <v>0</v>
      </c>
      <c r="K162" s="203">
        <v>16825874</v>
      </c>
      <c r="L162" s="203">
        <v>0</v>
      </c>
      <c r="M162" s="203">
        <v>16825874</v>
      </c>
      <c r="N162" s="203">
        <v>0</v>
      </c>
      <c r="O162" s="203">
        <v>0</v>
      </c>
      <c r="P162" s="237">
        <v>0.23740675222371063</v>
      </c>
    </row>
    <row r="163" spans="1:16" s="10" customFormat="1">
      <c r="A163" s="107"/>
      <c r="B163" s="149" t="s">
        <v>1651</v>
      </c>
      <c r="C163" s="18" t="s">
        <v>359</v>
      </c>
      <c r="D163" s="30" t="s">
        <v>1942</v>
      </c>
      <c r="E163" s="17" t="s">
        <v>360</v>
      </c>
      <c r="F163" s="16">
        <v>152919000</v>
      </c>
      <c r="G163" s="203">
        <v>0</v>
      </c>
      <c r="H163" s="203">
        <v>53000000</v>
      </c>
      <c r="I163" s="203">
        <v>205919000</v>
      </c>
      <c r="J163" s="203">
        <v>0</v>
      </c>
      <c r="K163" s="203">
        <v>205919000</v>
      </c>
      <c r="L163" s="203">
        <v>0</v>
      </c>
      <c r="M163" s="203">
        <v>190148325</v>
      </c>
      <c r="N163" s="203">
        <v>0</v>
      </c>
      <c r="O163" s="203">
        <v>0</v>
      </c>
      <c r="P163" s="237">
        <v>0.23740675222371063</v>
      </c>
    </row>
    <row r="164" spans="1:16" s="3" customFormat="1">
      <c r="A164" s="107"/>
      <c r="B164" s="149" t="s">
        <v>2013</v>
      </c>
      <c r="C164" s="18" t="s">
        <v>361</v>
      </c>
      <c r="D164" s="30" t="s">
        <v>1913</v>
      </c>
      <c r="E164" s="17" t="s">
        <v>362</v>
      </c>
      <c r="F164" s="16">
        <v>8876000</v>
      </c>
      <c r="G164" s="203">
        <v>0</v>
      </c>
      <c r="H164" s="203">
        <v>-8876000</v>
      </c>
      <c r="I164" s="203">
        <v>0</v>
      </c>
      <c r="J164" s="203">
        <v>0</v>
      </c>
      <c r="K164" s="203">
        <v>0</v>
      </c>
      <c r="L164" s="203">
        <v>0</v>
      </c>
      <c r="M164" s="203">
        <v>0</v>
      </c>
      <c r="N164" s="203">
        <v>0</v>
      </c>
      <c r="O164" s="203">
        <v>0</v>
      </c>
      <c r="P164" s="237">
        <v>0.23740675222371063</v>
      </c>
    </row>
    <row r="165" spans="1:16" s="10" customFormat="1">
      <c r="A165" s="170"/>
      <c r="B165" s="125"/>
      <c r="C165" s="126" t="s">
        <v>363</v>
      </c>
      <c r="D165" s="29"/>
      <c r="E165" s="19" t="s">
        <v>364</v>
      </c>
      <c r="F165" s="20">
        <f>SUM(F166:F171)</f>
        <v>0</v>
      </c>
      <c r="G165" s="20">
        <f t="shared" ref="G165:O165" si="62">SUM(G166:G171)</f>
        <v>0</v>
      </c>
      <c r="H165" s="20">
        <f t="shared" si="62"/>
        <v>0</v>
      </c>
      <c r="I165" s="20">
        <f t="shared" si="62"/>
        <v>0</v>
      </c>
      <c r="J165" s="20">
        <f t="shared" si="62"/>
        <v>0</v>
      </c>
      <c r="K165" s="20">
        <f t="shared" si="62"/>
        <v>0</v>
      </c>
      <c r="L165" s="20">
        <f t="shared" si="62"/>
        <v>0</v>
      </c>
      <c r="M165" s="20">
        <f t="shared" si="62"/>
        <v>0</v>
      </c>
      <c r="N165" s="20">
        <f t="shared" si="62"/>
        <v>0</v>
      </c>
      <c r="O165" s="20">
        <f t="shared" si="62"/>
        <v>0</v>
      </c>
      <c r="P165" s="243">
        <v>0.23740675222371063</v>
      </c>
    </row>
    <row r="166" spans="1:16" s="10" customFormat="1">
      <c r="A166" s="107"/>
      <c r="B166" s="149"/>
      <c r="C166" s="18" t="s">
        <v>365</v>
      </c>
      <c r="D166" s="30" t="s">
        <v>1936</v>
      </c>
      <c r="E166" s="219" t="s">
        <v>366</v>
      </c>
      <c r="F166" s="16">
        <v>0</v>
      </c>
      <c r="G166" s="203">
        <v>0</v>
      </c>
      <c r="H166" s="203">
        <v>0</v>
      </c>
      <c r="I166" s="203">
        <v>0</v>
      </c>
      <c r="J166" s="203">
        <v>0</v>
      </c>
      <c r="K166" s="203">
        <v>0</v>
      </c>
      <c r="L166" s="203">
        <v>0</v>
      </c>
      <c r="M166" s="203">
        <v>0</v>
      </c>
      <c r="N166" s="203">
        <v>0</v>
      </c>
      <c r="O166" s="203">
        <v>0</v>
      </c>
      <c r="P166" s="237">
        <v>0.23740675222371063</v>
      </c>
    </row>
    <row r="167" spans="1:16" s="10" customFormat="1">
      <c r="A167" s="107"/>
      <c r="B167" s="149"/>
      <c r="C167" s="18" t="s">
        <v>367</v>
      </c>
      <c r="D167" s="30" t="s">
        <v>1937</v>
      </c>
      <c r="E167" s="219" t="s">
        <v>368</v>
      </c>
      <c r="F167" s="16">
        <v>0</v>
      </c>
      <c r="G167" s="203">
        <v>0</v>
      </c>
      <c r="H167" s="203">
        <v>0</v>
      </c>
      <c r="I167" s="203">
        <v>0</v>
      </c>
      <c r="J167" s="203">
        <v>0</v>
      </c>
      <c r="K167" s="203">
        <v>0</v>
      </c>
      <c r="L167" s="203">
        <v>0</v>
      </c>
      <c r="M167" s="203">
        <v>0</v>
      </c>
      <c r="N167" s="203">
        <v>0</v>
      </c>
      <c r="O167" s="203">
        <v>0</v>
      </c>
      <c r="P167" s="237">
        <v>0.23740675222371063</v>
      </c>
    </row>
    <row r="168" spans="1:16" s="10" customFormat="1">
      <c r="A168" s="107"/>
      <c r="B168" s="149"/>
      <c r="C168" s="18" t="s">
        <v>369</v>
      </c>
      <c r="D168" s="30" t="s">
        <v>1938</v>
      </c>
      <c r="E168" s="219" t="s">
        <v>370</v>
      </c>
      <c r="F168" s="16">
        <v>0</v>
      </c>
      <c r="G168" s="203">
        <v>0</v>
      </c>
      <c r="H168" s="203">
        <v>0</v>
      </c>
      <c r="I168" s="203">
        <v>0</v>
      </c>
      <c r="J168" s="203">
        <v>0</v>
      </c>
      <c r="K168" s="203">
        <v>0</v>
      </c>
      <c r="L168" s="203">
        <v>0</v>
      </c>
      <c r="M168" s="203">
        <v>0</v>
      </c>
      <c r="N168" s="203">
        <v>0</v>
      </c>
      <c r="O168" s="203">
        <v>0</v>
      </c>
      <c r="P168" s="237">
        <v>0.23740675222371063</v>
      </c>
    </row>
    <row r="169" spans="1:16" s="10" customFormat="1">
      <c r="A169" s="107"/>
      <c r="B169" s="149"/>
      <c r="C169" s="18" t="s">
        <v>371</v>
      </c>
      <c r="D169" s="30" t="s">
        <v>1939</v>
      </c>
      <c r="E169" s="219" t="s">
        <v>372</v>
      </c>
      <c r="F169" s="16">
        <v>0</v>
      </c>
      <c r="G169" s="203">
        <v>0</v>
      </c>
      <c r="H169" s="203">
        <v>0</v>
      </c>
      <c r="I169" s="203">
        <v>0</v>
      </c>
      <c r="J169" s="203">
        <v>0</v>
      </c>
      <c r="K169" s="203">
        <v>0</v>
      </c>
      <c r="L169" s="203">
        <v>0</v>
      </c>
      <c r="M169" s="203">
        <v>0</v>
      </c>
      <c r="N169" s="203">
        <v>0</v>
      </c>
      <c r="O169" s="203">
        <v>0</v>
      </c>
      <c r="P169" s="237">
        <v>0.23740675222371063</v>
      </c>
    </row>
    <row r="170" spans="1:16" s="10" customFormat="1">
      <c r="A170" s="107"/>
      <c r="B170" s="149"/>
      <c r="C170" s="18" t="s">
        <v>373</v>
      </c>
      <c r="D170" s="30" t="s">
        <v>1940</v>
      </c>
      <c r="E170" s="219" t="s">
        <v>374</v>
      </c>
      <c r="F170" s="16">
        <v>0</v>
      </c>
      <c r="G170" s="203">
        <v>0</v>
      </c>
      <c r="H170" s="203">
        <v>0</v>
      </c>
      <c r="I170" s="203">
        <v>0</v>
      </c>
      <c r="J170" s="203">
        <v>0</v>
      </c>
      <c r="K170" s="203">
        <v>0</v>
      </c>
      <c r="L170" s="203">
        <v>0</v>
      </c>
      <c r="M170" s="203">
        <v>0</v>
      </c>
      <c r="N170" s="203">
        <v>0</v>
      </c>
      <c r="O170" s="203">
        <v>0</v>
      </c>
      <c r="P170" s="237">
        <v>0.23740675222371063</v>
      </c>
    </row>
    <row r="171" spans="1:16" s="3" customFormat="1">
      <c r="A171" s="107"/>
      <c r="B171" s="149"/>
      <c r="C171" s="18" t="s">
        <v>375</v>
      </c>
      <c r="D171" s="30" t="s">
        <v>1942</v>
      </c>
      <c r="E171" s="219" t="s">
        <v>376</v>
      </c>
      <c r="F171" s="16">
        <v>0</v>
      </c>
      <c r="G171" s="203">
        <v>0</v>
      </c>
      <c r="H171" s="203">
        <v>0</v>
      </c>
      <c r="I171" s="203">
        <v>0</v>
      </c>
      <c r="J171" s="203">
        <v>0</v>
      </c>
      <c r="K171" s="203">
        <v>0</v>
      </c>
      <c r="L171" s="203">
        <v>0</v>
      </c>
      <c r="M171" s="203">
        <v>0</v>
      </c>
      <c r="N171" s="203">
        <v>0</v>
      </c>
      <c r="O171" s="203">
        <v>0</v>
      </c>
      <c r="P171" s="237">
        <v>0.23740675222371063</v>
      </c>
    </row>
    <row r="172" spans="1:16" s="3" customFormat="1">
      <c r="A172" s="134" t="s">
        <v>377</v>
      </c>
      <c r="B172" s="123" t="s">
        <v>1920</v>
      </c>
      <c r="C172" s="124" t="s">
        <v>378</v>
      </c>
      <c r="D172" s="67"/>
      <c r="E172" s="25" t="s">
        <v>114</v>
      </c>
      <c r="F172" s="68">
        <f>+F173+F190</f>
        <v>7842473000</v>
      </c>
      <c r="G172" s="68">
        <f t="shared" ref="G172:O172" si="63">+G173+G190</f>
        <v>7045690</v>
      </c>
      <c r="H172" s="68">
        <f t="shared" si="63"/>
        <v>143845140</v>
      </c>
      <c r="I172" s="68">
        <f t="shared" si="63"/>
        <v>7986318140</v>
      </c>
      <c r="J172" s="68">
        <f t="shared" si="63"/>
        <v>0</v>
      </c>
      <c r="K172" s="68">
        <f t="shared" si="63"/>
        <v>7969747811</v>
      </c>
      <c r="L172" s="68">
        <f t="shared" si="63"/>
        <v>849464886</v>
      </c>
      <c r="M172" s="68">
        <f t="shared" si="63"/>
        <v>7330133537</v>
      </c>
      <c r="N172" s="68">
        <f t="shared" si="63"/>
        <v>24356796</v>
      </c>
      <c r="O172" s="68">
        <f t="shared" si="63"/>
        <v>2232417895</v>
      </c>
      <c r="P172" s="229">
        <v>0.23740675222371063</v>
      </c>
    </row>
    <row r="173" spans="1:16" s="3" customFormat="1">
      <c r="A173" s="171" t="s">
        <v>379</v>
      </c>
      <c r="B173" s="151" t="s">
        <v>1921</v>
      </c>
      <c r="C173" s="152" t="s">
        <v>380</v>
      </c>
      <c r="D173" s="36"/>
      <c r="E173" s="37" t="s">
        <v>117</v>
      </c>
      <c r="F173" s="71">
        <f>+F174+F183</f>
        <v>4778651000</v>
      </c>
      <c r="G173" s="71">
        <f t="shared" ref="G173:O173" si="64">+G174+G183</f>
        <v>4318140</v>
      </c>
      <c r="H173" s="71">
        <f t="shared" si="64"/>
        <v>78431792</v>
      </c>
      <c r="I173" s="71">
        <f t="shared" si="64"/>
        <v>4857082792</v>
      </c>
      <c r="J173" s="71">
        <f t="shared" si="64"/>
        <v>0</v>
      </c>
      <c r="K173" s="71">
        <f t="shared" si="64"/>
        <v>4847319269</v>
      </c>
      <c r="L173" s="71">
        <f t="shared" si="64"/>
        <v>520583632</v>
      </c>
      <c r="M173" s="71">
        <f t="shared" si="64"/>
        <v>4468551764</v>
      </c>
      <c r="N173" s="71">
        <f t="shared" si="64"/>
        <v>14773629</v>
      </c>
      <c r="O173" s="71">
        <f t="shared" si="64"/>
        <v>1368204578</v>
      </c>
      <c r="P173" s="244">
        <v>0.23740675222371063</v>
      </c>
    </row>
    <row r="174" spans="1:16" s="10" customFormat="1">
      <c r="A174" s="170"/>
      <c r="B174" s="125"/>
      <c r="C174" s="126" t="s">
        <v>381</v>
      </c>
      <c r="D174" s="29"/>
      <c r="E174" s="19" t="s">
        <v>382</v>
      </c>
      <c r="F174" s="20">
        <f>SUM(F175:F182)</f>
        <v>4479661000</v>
      </c>
      <c r="G174" s="20">
        <f t="shared" ref="G174:O174" si="65">SUM(G175:G182)</f>
        <v>4318140</v>
      </c>
      <c r="H174" s="20">
        <f t="shared" si="65"/>
        <v>23376754</v>
      </c>
      <c r="I174" s="20">
        <f t="shared" si="65"/>
        <v>4503037754</v>
      </c>
      <c r="J174" s="20">
        <f t="shared" si="65"/>
        <v>0</v>
      </c>
      <c r="K174" s="20">
        <f t="shared" si="65"/>
        <v>4495467491</v>
      </c>
      <c r="L174" s="20">
        <f t="shared" si="65"/>
        <v>388182620</v>
      </c>
      <c r="M174" s="20">
        <f t="shared" si="65"/>
        <v>4166944705</v>
      </c>
      <c r="N174" s="20">
        <f t="shared" si="65"/>
        <v>13436604</v>
      </c>
      <c r="O174" s="20">
        <f t="shared" si="65"/>
        <v>1212951755</v>
      </c>
      <c r="P174" s="243">
        <v>0.23740675222371063</v>
      </c>
    </row>
    <row r="175" spans="1:16" s="10" customFormat="1">
      <c r="A175" s="107"/>
      <c r="B175" s="149" t="s">
        <v>1638</v>
      </c>
      <c r="C175" s="18" t="s">
        <v>383</v>
      </c>
      <c r="D175" s="30" t="s">
        <v>1936</v>
      </c>
      <c r="E175" s="17" t="s">
        <v>384</v>
      </c>
      <c r="F175" s="16">
        <v>752441000</v>
      </c>
      <c r="G175" s="203">
        <v>0</v>
      </c>
      <c r="H175" s="203">
        <v>3000000</v>
      </c>
      <c r="I175" s="203">
        <v>755441000</v>
      </c>
      <c r="J175" s="203">
        <v>0</v>
      </c>
      <c r="K175" s="203">
        <v>755441000</v>
      </c>
      <c r="L175" s="203">
        <v>10254943</v>
      </c>
      <c r="M175" s="203">
        <v>669297670</v>
      </c>
      <c r="N175" s="203">
        <v>0</v>
      </c>
      <c r="O175" s="203">
        <v>146679227</v>
      </c>
      <c r="P175" s="237">
        <v>0.23740675222371063</v>
      </c>
    </row>
    <row r="176" spans="1:16" s="10" customFormat="1">
      <c r="A176" s="107"/>
      <c r="B176" s="149" t="s">
        <v>1639</v>
      </c>
      <c r="C176" s="18" t="s">
        <v>385</v>
      </c>
      <c r="D176" s="30" t="s">
        <v>1937</v>
      </c>
      <c r="E176" s="17" t="s">
        <v>386</v>
      </c>
      <c r="F176" s="16">
        <v>1003530000</v>
      </c>
      <c r="G176" s="203">
        <v>0</v>
      </c>
      <c r="H176" s="203">
        <v>2148277</v>
      </c>
      <c r="I176" s="203">
        <v>1005678277</v>
      </c>
      <c r="J176" s="203">
        <v>0</v>
      </c>
      <c r="K176" s="203">
        <v>1003530000</v>
      </c>
      <c r="L176" s="203">
        <v>25575597</v>
      </c>
      <c r="M176" s="203">
        <v>908452703</v>
      </c>
      <c r="N176" s="203">
        <v>497471</v>
      </c>
      <c r="O176" s="203">
        <v>290253384</v>
      </c>
      <c r="P176" s="237">
        <v>0.23740675222371063</v>
      </c>
    </row>
    <row r="177" spans="1:16" s="9" customFormat="1">
      <c r="A177" s="107"/>
      <c r="B177" s="149" t="s">
        <v>1640</v>
      </c>
      <c r="C177" s="18" t="s">
        <v>387</v>
      </c>
      <c r="D177" s="30" t="s">
        <v>1938</v>
      </c>
      <c r="E177" s="17" t="s">
        <v>388</v>
      </c>
      <c r="F177" s="16">
        <v>566429000</v>
      </c>
      <c r="G177" s="203">
        <v>0</v>
      </c>
      <c r="H177" s="203">
        <v>700000</v>
      </c>
      <c r="I177" s="203">
        <v>567129000</v>
      </c>
      <c r="J177" s="203">
        <v>0</v>
      </c>
      <c r="K177" s="203">
        <v>566429000</v>
      </c>
      <c r="L177" s="203">
        <v>-2270916</v>
      </c>
      <c r="M177" s="203">
        <v>562925354</v>
      </c>
      <c r="N177" s="203">
        <v>996622</v>
      </c>
      <c r="O177" s="203">
        <v>178406788</v>
      </c>
      <c r="P177" s="237">
        <v>0.23740675222371063</v>
      </c>
    </row>
    <row r="178" spans="1:16" s="9" customFormat="1">
      <c r="A178" s="107"/>
      <c r="B178" s="149" t="s">
        <v>1641</v>
      </c>
      <c r="C178" s="18" t="s">
        <v>389</v>
      </c>
      <c r="D178" s="30" t="s">
        <v>1939</v>
      </c>
      <c r="E178" s="17" t="s">
        <v>390</v>
      </c>
      <c r="F178" s="16">
        <v>836729000</v>
      </c>
      <c r="G178" s="203">
        <v>0</v>
      </c>
      <c r="H178" s="203">
        <v>0</v>
      </c>
      <c r="I178" s="203">
        <v>836729000</v>
      </c>
      <c r="J178" s="203">
        <v>0</v>
      </c>
      <c r="K178" s="203">
        <v>836729000</v>
      </c>
      <c r="L178" s="203">
        <v>8376410</v>
      </c>
      <c r="M178" s="203">
        <v>779485918</v>
      </c>
      <c r="N178" s="203">
        <v>0</v>
      </c>
      <c r="O178" s="203">
        <v>224589178</v>
      </c>
      <c r="P178" s="237">
        <v>0.23740675222371063</v>
      </c>
    </row>
    <row r="179" spans="1:16" s="9" customFormat="1">
      <c r="A179" s="107"/>
      <c r="B179" s="149" t="s">
        <v>1642</v>
      </c>
      <c r="C179" s="18" t="s">
        <v>391</v>
      </c>
      <c r="D179" s="30" t="s">
        <v>1940</v>
      </c>
      <c r="E179" s="17" t="s">
        <v>392</v>
      </c>
      <c r="F179" s="16">
        <v>802271000</v>
      </c>
      <c r="G179" s="203">
        <v>0</v>
      </c>
      <c r="H179" s="203">
        <v>0</v>
      </c>
      <c r="I179" s="203">
        <v>802271000</v>
      </c>
      <c r="J179" s="203">
        <v>0</v>
      </c>
      <c r="K179" s="203">
        <v>801867154</v>
      </c>
      <c r="L179" s="203">
        <v>261059563</v>
      </c>
      <c r="M179" s="203">
        <v>757302853</v>
      </c>
      <c r="N179" s="203">
        <v>10993027</v>
      </c>
      <c r="O179" s="203">
        <v>250530734</v>
      </c>
      <c r="P179" s="237">
        <v>0.23740675222371063</v>
      </c>
    </row>
    <row r="180" spans="1:16" s="9" customFormat="1">
      <c r="A180" s="107"/>
      <c r="B180" s="149" t="s">
        <v>1643</v>
      </c>
      <c r="C180" s="18" t="s">
        <v>393</v>
      </c>
      <c r="D180" s="30" t="s">
        <v>1941</v>
      </c>
      <c r="E180" s="17" t="s">
        <v>394</v>
      </c>
      <c r="F180" s="16">
        <v>152189000</v>
      </c>
      <c r="G180" s="203">
        <v>4318140</v>
      </c>
      <c r="H180" s="203">
        <v>13528477</v>
      </c>
      <c r="I180" s="203">
        <v>165717477</v>
      </c>
      <c r="J180" s="203">
        <v>0</v>
      </c>
      <c r="K180" s="203">
        <v>161399337</v>
      </c>
      <c r="L180" s="203">
        <v>66344421</v>
      </c>
      <c r="M180" s="203">
        <v>154305044</v>
      </c>
      <c r="N180" s="203">
        <v>676760</v>
      </c>
      <c r="O180" s="203">
        <v>69211437</v>
      </c>
      <c r="P180" s="237">
        <v>0.23740675222371063</v>
      </c>
    </row>
    <row r="181" spans="1:16" s="9" customFormat="1">
      <c r="A181" s="107"/>
      <c r="B181" s="149" t="s">
        <v>1644</v>
      </c>
      <c r="C181" s="18" t="s">
        <v>395</v>
      </c>
      <c r="D181" s="30" t="s">
        <v>1942</v>
      </c>
      <c r="E181" s="17" t="s">
        <v>396</v>
      </c>
      <c r="F181" s="16">
        <v>337696000</v>
      </c>
      <c r="G181" s="203">
        <v>0</v>
      </c>
      <c r="H181" s="203">
        <v>4000000</v>
      </c>
      <c r="I181" s="203">
        <v>341696000</v>
      </c>
      <c r="J181" s="203">
        <v>0</v>
      </c>
      <c r="K181" s="203">
        <v>341696000</v>
      </c>
      <c r="L181" s="203">
        <v>9314294</v>
      </c>
      <c r="M181" s="203">
        <v>319601463</v>
      </c>
      <c r="N181" s="203">
        <v>0</v>
      </c>
      <c r="O181" s="203">
        <v>46962891</v>
      </c>
      <c r="P181" s="237">
        <v>0.23740675222371063</v>
      </c>
    </row>
    <row r="182" spans="1:16" s="3" customFormat="1">
      <c r="A182" s="107"/>
      <c r="B182" s="149" t="s">
        <v>1645</v>
      </c>
      <c r="C182" s="18" t="s">
        <v>397</v>
      </c>
      <c r="D182" s="30" t="s">
        <v>1913</v>
      </c>
      <c r="E182" s="17" t="s">
        <v>398</v>
      </c>
      <c r="F182" s="16">
        <v>28376000</v>
      </c>
      <c r="G182" s="203">
        <v>0</v>
      </c>
      <c r="H182" s="203">
        <v>0</v>
      </c>
      <c r="I182" s="203">
        <v>28376000</v>
      </c>
      <c r="J182" s="203">
        <v>0</v>
      </c>
      <c r="K182" s="203">
        <v>28376000</v>
      </c>
      <c r="L182" s="203">
        <v>9528308</v>
      </c>
      <c r="M182" s="203">
        <v>15573700</v>
      </c>
      <c r="N182" s="203">
        <v>272724</v>
      </c>
      <c r="O182" s="203">
        <v>6318116</v>
      </c>
      <c r="P182" s="237">
        <v>0.23740675222371063</v>
      </c>
    </row>
    <row r="183" spans="1:16" s="9" customFormat="1">
      <c r="A183" s="170"/>
      <c r="B183" s="125"/>
      <c r="C183" s="126" t="s">
        <v>399</v>
      </c>
      <c r="D183" s="29"/>
      <c r="E183" s="19" t="s">
        <v>400</v>
      </c>
      <c r="F183" s="20">
        <f>SUM(F184:F189)</f>
        <v>298990000</v>
      </c>
      <c r="G183" s="20">
        <f t="shared" ref="G183:O183" si="66">SUM(G184:G189)</f>
        <v>0</v>
      </c>
      <c r="H183" s="20">
        <f t="shared" si="66"/>
        <v>55055038</v>
      </c>
      <c r="I183" s="20">
        <f t="shared" si="66"/>
        <v>354045038</v>
      </c>
      <c r="J183" s="20">
        <f t="shared" si="66"/>
        <v>0</v>
      </c>
      <c r="K183" s="20">
        <f t="shared" si="66"/>
        <v>351851778</v>
      </c>
      <c r="L183" s="20">
        <f t="shared" si="66"/>
        <v>132401012</v>
      </c>
      <c r="M183" s="20">
        <f t="shared" si="66"/>
        <v>301607059</v>
      </c>
      <c r="N183" s="20">
        <f t="shared" si="66"/>
        <v>1337025</v>
      </c>
      <c r="O183" s="20">
        <f t="shared" si="66"/>
        <v>155252823</v>
      </c>
      <c r="P183" s="243">
        <v>0.23740675222371063</v>
      </c>
    </row>
    <row r="184" spans="1:16" s="9" customFormat="1">
      <c r="A184" s="107"/>
      <c r="B184" s="149" t="s">
        <v>1742</v>
      </c>
      <c r="C184" s="18" t="s">
        <v>401</v>
      </c>
      <c r="D184" s="30" t="s">
        <v>1936</v>
      </c>
      <c r="E184" s="17" t="s">
        <v>402</v>
      </c>
      <c r="F184" s="16">
        <v>62881000</v>
      </c>
      <c r="G184" s="203">
        <v>0</v>
      </c>
      <c r="H184" s="203">
        <v>6000000</v>
      </c>
      <c r="I184" s="203">
        <v>68881000</v>
      </c>
      <c r="J184" s="203">
        <v>0</v>
      </c>
      <c r="K184" s="203">
        <v>68881000</v>
      </c>
      <c r="L184" s="203">
        <v>13738721</v>
      </c>
      <c r="M184" s="203">
        <v>55754995</v>
      </c>
      <c r="N184" s="203">
        <v>1337025</v>
      </c>
      <c r="O184" s="203">
        <v>32046488</v>
      </c>
      <c r="P184" s="237">
        <v>0.23740675222371063</v>
      </c>
    </row>
    <row r="185" spans="1:16" s="9" customFormat="1">
      <c r="A185" s="107"/>
      <c r="B185" s="149" t="s">
        <v>1743</v>
      </c>
      <c r="C185" s="18" t="s">
        <v>403</v>
      </c>
      <c r="D185" s="30" t="s">
        <v>1937</v>
      </c>
      <c r="E185" s="17" t="s">
        <v>404</v>
      </c>
      <c r="F185" s="16">
        <v>151457000</v>
      </c>
      <c r="G185" s="203">
        <v>0</v>
      </c>
      <c r="H185" s="203">
        <v>34055038</v>
      </c>
      <c r="I185" s="203">
        <v>185512038</v>
      </c>
      <c r="J185" s="203">
        <v>0</v>
      </c>
      <c r="K185" s="203">
        <v>185512038</v>
      </c>
      <c r="L185" s="203">
        <v>85237978</v>
      </c>
      <c r="M185" s="203">
        <v>159837660</v>
      </c>
      <c r="N185" s="203">
        <v>0</v>
      </c>
      <c r="O185" s="203">
        <v>74599682</v>
      </c>
      <c r="P185" s="237">
        <v>0.23740675222371063</v>
      </c>
    </row>
    <row r="186" spans="1:16" s="9" customFormat="1">
      <c r="A186" s="107"/>
      <c r="B186" s="149" t="s">
        <v>1744</v>
      </c>
      <c r="C186" s="18" t="s">
        <v>405</v>
      </c>
      <c r="D186" s="30" t="s">
        <v>1938</v>
      </c>
      <c r="E186" s="17" t="s">
        <v>406</v>
      </c>
      <c r="F186" s="16">
        <v>11418000</v>
      </c>
      <c r="G186" s="203">
        <v>0</v>
      </c>
      <c r="H186" s="203">
        <v>0</v>
      </c>
      <c r="I186" s="203">
        <v>11418000</v>
      </c>
      <c r="J186" s="203">
        <v>0</v>
      </c>
      <c r="K186" s="203">
        <v>11418000</v>
      </c>
      <c r="L186" s="203">
        <v>0</v>
      </c>
      <c r="M186" s="203">
        <v>10658036</v>
      </c>
      <c r="N186" s="203">
        <v>0</v>
      </c>
      <c r="O186" s="203">
        <v>6674598</v>
      </c>
      <c r="P186" s="237">
        <v>0.23740675222371063</v>
      </c>
    </row>
    <row r="187" spans="1:16" s="9" customFormat="1">
      <c r="A187" s="107"/>
      <c r="B187" s="149" t="s">
        <v>1745</v>
      </c>
      <c r="C187" s="18" t="s">
        <v>407</v>
      </c>
      <c r="D187" s="30" t="s">
        <v>1939</v>
      </c>
      <c r="E187" s="17" t="s">
        <v>408</v>
      </c>
      <c r="F187" s="16">
        <v>49554000</v>
      </c>
      <c r="G187" s="203">
        <v>0</v>
      </c>
      <c r="H187" s="203">
        <v>0</v>
      </c>
      <c r="I187" s="203">
        <v>49554000</v>
      </c>
      <c r="J187" s="203">
        <v>0</v>
      </c>
      <c r="K187" s="203">
        <v>49554000</v>
      </c>
      <c r="L187" s="203">
        <v>19328963</v>
      </c>
      <c r="M187" s="203">
        <v>42774278</v>
      </c>
      <c r="N187" s="203">
        <v>0</v>
      </c>
      <c r="O187" s="203">
        <v>23445315</v>
      </c>
      <c r="P187" s="237">
        <v>0.23740675222371063</v>
      </c>
    </row>
    <row r="188" spans="1:16" s="9" customFormat="1">
      <c r="A188" s="107"/>
      <c r="B188" s="149" t="s">
        <v>1746</v>
      </c>
      <c r="C188" s="18" t="s">
        <v>409</v>
      </c>
      <c r="D188" s="30" t="s">
        <v>1940</v>
      </c>
      <c r="E188" s="17" t="s">
        <v>410</v>
      </c>
      <c r="F188" s="16">
        <v>23680000</v>
      </c>
      <c r="G188" s="203">
        <v>0</v>
      </c>
      <c r="H188" s="203">
        <v>15000000</v>
      </c>
      <c r="I188" s="203">
        <v>38680000</v>
      </c>
      <c r="J188" s="203">
        <v>0</v>
      </c>
      <c r="K188" s="203">
        <v>36486740</v>
      </c>
      <c r="L188" s="203">
        <v>14095350</v>
      </c>
      <c r="M188" s="203">
        <v>32582090</v>
      </c>
      <c r="N188" s="203">
        <v>0</v>
      </c>
      <c r="O188" s="203">
        <v>18486740</v>
      </c>
      <c r="P188" s="237">
        <v>0.23740675222371063</v>
      </c>
    </row>
    <row r="189" spans="1:16" s="3" customFormat="1">
      <c r="A189" s="107"/>
      <c r="B189" s="149"/>
      <c r="C189" s="18" t="s">
        <v>411</v>
      </c>
      <c r="D189" s="30" t="s">
        <v>1942</v>
      </c>
      <c r="E189" s="219" t="s">
        <v>412</v>
      </c>
      <c r="F189" s="16">
        <v>0</v>
      </c>
      <c r="G189" s="203">
        <v>0</v>
      </c>
      <c r="H189" s="203">
        <v>0</v>
      </c>
      <c r="I189" s="203">
        <v>0</v>
      </c>
      <c r="J189" s="203">
        <v>0</v>
      </c>
      <c r="K189" s="203">
        <v>0</v>
      </c>
      <c r="L189" s="203">
        <v>0</v>
      </c>
      <c r="M189" s="203">
        <v>0</v>
      </c>
      <c r="N189" s="203">
        <v>0</v>
      </c>
      <c r="O189" s="203">
        <v>0</v>
      </c>
      <c r="P189" s="237">
        <v>0.23740675222371063</v>
      </c>
    </row>
    <row r="190" spans="1:16" s="3" customFormat="1">
      <c r="A190" s="171" t="s">
        <v>413</v>
      </c>
      <c r="B190" s="151" t="s">
        <v>1922</v>
      </c>
      <c r="C190" s="152" t="s">
        <v>414</v>
      </c>
      <c r="D190" s="36"/>
      <c r="E190" s="37" t="s">
        <v>126</v>
      </c>
      <c r="F190" s="71">
        <f>+F191+F200</f>
        <v>3063822000</v>
      </c>
      <c r="G190" s="71">
        <f t="shared" ref="G190:O190" si="67">+G191+G200</f>
        <v>2727550</v>
      </c>
      <c r="H190" s="71">
        <f t="shared" si="67"/>
        <v>65413348</v>
      </c>
      <c r="I190" s="71">
        <f t="shared" si="67"/>
        <v>3129235348</v>
      </c>
      <c r="J190" s="71">
        <f t="shared" si="67"/>
        <v>0</v>
      </c>
      <c r="K190" s="71">
        <f t="shared" si="67"/>
        <v>3122428542</v>
      </c>
      <c r="L190" s="71">
        <f t="shared" si="67"/>
        <v>328881254</v>
      </c>
      <c r="M190" s="71">
        <f t="shared" si="67"/>
        <v>2861581773</v>
      </c>
      <c r="N190" s="71">
        <f t="shared" si="67"/>
        <v>9583167</v>
      </c>
      <c r="O190" s="71">
        <f t="shared" si="67"/>
        <v>864213317</v>
      </c>
      <c r="P190" s="244">
        <v>0.23740675222371063</v>
      </c>
    </row>
    <row r="191" spans="1:16" s="10" customFormat="1">
      <c r="A191" s="170"/>
      <c r="B191" s="125"/>
      <c r="C191" s="126" t="s">
        <v>415</v>
      </c>
      <c r="D191" s="29"/>
      <c r="E191" s="19" t="s">
        <v>416</v>
      </c>
      <c r="F191" s="20">
        <f>SUM(F192:F199)</f>
        <v>2879341000</v>
      </c>
      <c r="G191" s="20">
        <f t="shared" ref="G191:O191" si="68">SUM(G192:G199)</f>
        <v>2727550</v>
      </c>
      <c r="H191" s="20">
        <f t="shared" si="68"/>
        <v>25233672</v>
      </c>
      <c r="I191" s="20">
        <f t="shared" si="68"/>
        <v>2904574672</v>
      </c>
      <c r="J191" s="20">
        <f t="shared" si="68"/>
        <v>0</v>
      </c>
      <c r="K191" s="20">
        <f t="shared" si="68"/>
        <v>2899286701</v>
      </c>
      <c r="L191" s="20">
        <f t="shared" si="68"/>
        <v>245250058</v>
      </c>
      <c r="M191" s="20">
        <f t="shared" si="68"/>
        <v>2671071447</v>
      </c>
      <c r="N191" s="20">
        <f t="shared" si="68"/>
        <v>8738634</v>
      </c>
      <c r="O191" s="20">
        <f t="shared" si="68"/>
        <v>766147754</v>
      </c>
      <c r="P191" s="243">
        <v>0.23740675222371063</v>
      </c>
    </row>
    <row r="192" spans="1:16" s="10" customFormat="1">
      <c r="A192" s="107"/>
      <c r="B192" s="149" t="s">
        <v>1630</v>
      </c>
      <c r="C192" s="18" t="s">
        <v>417</v>
      </c>
      <c r="D192" s="30" t="s">
        <v>1936</v>
      </c>
      <c r="E192" s="17" t="s">
        <v>418</v>
      </c>
      <c r="F192" s="16">
        <v>482863000</v>
      </c>
      <c r="G192" s="203">
        <v>0</v>
      </c>
      <c r="H192" s="203">
        <v>10000000</v>
      </c>
      <c r="I192" s="203">
        <v>492863000</v>
      </c>
      <c r="J192" s="203">
        <v>0</v>
      </c>
      <c r="K192" s="203">
        <v>492863000</v>
      </c>
      <c r="L192" s="203">
        <v>6477540</v>
      </c>
      <c r="M192" s="203">
        <v>431064000</v>
      </c>
      <c r="N192" s="203">
        <v>0</v>
      </c>
      <c r="O192" s="203">
        <v>92650037</v>
      </c>
      <c r="P192" s="237">
        <v>0.23740675222371063</v>
      </c>
    </row>
    <row r="193" spans="1:16" s="10" customFormat="1">
      <c r="A193" s="107"/>
      <c r="B193" s="149" t="s">
        <v>1631</v>
      </c>
      <c r="C193" s="18" t="s">
        <v>419</v>
      </c>
      <c r="D193" s="30" t="s">
        <v>1937</v>
      </c>
      <c r="E193" s="17" t="s">
        <v>420</v>
      </c>
      <c r="F193" s="16">
        <v>641950000</v>
      </c>
      <c r="G193" s="203">
        <v>0</v>
      </c>
      <c r="H193" s="203">
        <v>1484524</v>
      </c>
      <c r="I193" s="203">
        <v>643434524</v>
      </c>
      <c r="J193" s="203">
        <v>0</v>
      </c>
      <c r="K193" s="203">
        <v>641950000</v>
      </c>
      <c r="L193" s="203">
        <v>16154841</v>
      </c>
      <c r="M193" s="203">
        <v>580786409</v>
      </c>
      <c r="N193" s="203">
        <v>314228</v>
      </c>
      <c r="O193" s="203">
        <v>183338765</v>
      </c>
      <c r="P193" s="237">
        <v>0.23740675222371063</v>
      </c>
    </row>
    <row r="194" spans="1:16" s="10" customFormat="1">
      <c r="A194" s="107"/>
      <c r="B194" s="149" t="s">
        <v>1632</v>
      </c>
      <c r="C194" s="18" t="s">
        <v>421</v>
      </c>
      <c r="D194" s="30" t="s">
        <v>1938</v>
      </c>
      <c r="E194" s="17" t="s">
        <v>422</v>
      </c>
      <c r="F194" s="16">
        <v>361546000</v>
      </c>
      <c r="G194" s="203">
        <v>0</v>
      </c>
      <c r="H194" s="203">
        <v>800000</v>
      </c>
      <c r="I194" s="203">
        <v>362346000</v>
      </c>
      <c r="J194" s="203">
        <v>0</v>
      </c>
      <c r="K194" s="203">
        <v>361546000</v>
      </c>
      <c r="L194" s="203">
        <v>-1434424</v>
      </c>
      <c r="M194" s="203">
        <v>360100474</v>
      </c>
      <c r="N194" s="203">
        <v>629518</v>
      </c>
      <c r="O194" s="203">
        <v>112651833</v>
      </c>
      <c r="P194" s="237">
        <v>0.23740675222371063</v>
      </c>
    </row>
    <row r="195" spans="1:16" s="10" customFormat="1">
      <c r="A195" s="107"/>
      <c r="B195" s="149" t="s">
        <v>1633</v>
      </c>
      <c r="C195" s="18" t="s">
        <v>423</v>
      </c>
      <c r="D195" s="30" t="s">
        <v>1939</v>
      </c>
      <c r="E195" s="17" t="s">
        <v>424</v>
      </c>
      <c r="F195" s="16">
        <v>550398000</v>
      </c>
      <c r="G195" s="203">
        <v>0</v>
      </c>
      <c r="H195" s="203">
        <v>0</v>
      </c>
      <c r="I195" s="203">
        <v>550398000</v>
      </c>
      <c r="J195" s="203">
        <v>0</v>
      </c>
      <c r="K195" s="203">
        <v>550398000</v>
      </c>
      <c r="L195" s="203">
        <v>5345190</v>
      </c>
      <c r="M195" s="203">
        <v>500317120</v>
      </c>
      <c r="N195" s="203">
        <v>0</v>
      </c>
      <c r="O195" s="203">
        <v>141866760</v>
      </c>
      <c r="P195" s="237">
        <v>0.23740675222371063</v>
      </c>
    </row>
    <row r="196" spans="1:16" s="10" customFormat="1">
      <c r="A196" s="107"/>
      <c r="B196" s="149" t="s">
        <v>1634</v>
      </c>
      <c r="C196" s="18" t="s">
        <v>425</v>
      </c>
      <c r="D196" s="30" t="s">
        <v>1940</v>
      </c>
      <c r="E196" s="17" t="s">
        <v>426</v>
      </c>
      <c r="F196" s="16">
        <v>512969000</v>
      </c>
      <c r="G196" s="203">
        <v>0</v>
      </c>
      <c r="H196" s="203">
        <v>0</v>
      </c>
      <c r="I196" s="203">
        <v>512969000</v>
      </c>
      <c r="J196" s="203">
        <v>0</v>
      </c>
      <c r="K196" s="203">
        <v>512693103</v>
      </c>
      <c r="L196" s="203">
        <v>164898461</v>
      </c>
      <c r="M196" s="203">
        <v>484199129</v>
      </c>
      <c r="N196" s="203">
        <v>7195144</v>
      </c>
      <c r="O196" s="203">
        <v>158267914</v>
      </c>
      <c r="P196" s="237">
        <v>0.23740675222371063</v>
      </c>
    </row>
    <row r="197" spans="1:16" s="10" customFormat="1">
      <c r="A197" s="107"/>
      <c r="B197" s="149" t="s">
        <v>1635</v>
      </c>
      <c r="C197" s="18" t="s">
        <v>427</v>
      </c>
      <c r="D197" s="30" t="s">
        <v>1941</v>
      </c>
      <c r="E197" s="17" t="s">
        <v>428</v>
      </c>
      <c r="F197" s="16">
        <v>96120000</v>
      </c>
      <c r="G197" s="203">
        <v>2727550</v>
      </c>
      <c r="H197" s="203">
        <v>8949148</v>
      </c>
      <c r="I197" s="203">
        <v>105069148</v>
      </c>
      <c r="J197" s="203">
        <v>0</v>
      </c>
      <c r="K197" s="203">
        <v>102341598</v>
      </c>
      <c r="L197" s="203">
        <v>41906506</v>
      </c>
      <c r="M197" s="203">
        <v>97907822</v>
      </c>
      <c r="N197" s="203">
        <v>427477</v>
      </c>
      <c r="O197" s="203">
        <v>43717456</v>
      </c>
      <c r="P197" s="237">
        <v>0.23740675222371063</v>
      </c>
    </row>
    <row r="198" spans="1:16" s="10" customFormat="1">
      <c r="A198" s="107"/>
      <c r="B198" s="149" t="s">
        <v>1636</v>
      </c>
      <c r="C198" s="18" t="s">
        <v>429</v>
      </c>
      <c r="D198" s="30" t="s">
        <v>1942</v>
      </c>
      <c r="E198" s="17" t="s">
        <v>430</v>
      </c>
      <c r="F198" s="16">
        <v>215338000</v>
      </c>
      <c r="G198" s="203">
        <v>0</v>
      </c>
      <c r="H198" s="203">
        <v>4000000</v>
      </c>
      <c r="I198" s="203">
        <v>219338000</v>
      </c>
      <c r="J198" s="203">
        <v>0</v>
      </c>
      <c r="K198" s="203">
        <v>219338000</v>
      </c>
      <c r="L198" s="203">
        <v>5883380</v>
      </c>
      <c r="M198" s="203">
        <v>206859353</v>
      </c>
      <c r="N198" s="203">
        <v>0</v>
      </c>
      <c r="O198" s="203">
        <v>29664146</v>
      </c>
      <c r="P198" s="237">
        <v>0.23740675222371063</v>
      </c>
    </row>
    <row r="199" spans="1:16" s="3" customFormat="1">
      <c r="A199" s="107"/>
      <c r="B199" s="149" t="s">
        <v>1637</v>
      </c>
      <c r="C199" s="18" t="s">
        <v>431</v>
      </c>
      <c r="D199" s="30" t="s">
        <v>1913</v>
      </c>
      <c r="E199" s="17" t="s">
        <v>432</v>
      </c>
      <c r="F199" s="16">
        <v>18157000</v>
      </c>
      <c r="G199" s="203">
        <v>0</v>
      </c>
      <c r="H199" s="203">
        <v>0</v>
      </c>
      <c r="I199" s="203">
        <v>18157000</v>
      </c>
      <c r="J199" s="203">
        <v>0</v>
      </c>
      <c r="K199" s="203">
        <v>18157000</v>
      </c>
      <c r="L199" s="203">
        <v>6018564</v>
      </c>
      <c r="M199" s="203">
        <v>9837140</v>
      </c>
      <c r="N199" s="203">
        <v>172267</v>
      </c>
      <c r="O199" s="203">
        <v>3990843</v>
      </c>
      <c r="P199" s="237">
        <v>0.23740675222371063</v>
      </c>
    </row>
    <row r="200" spans="1:16" s="10" customFormat="1">
      <c r="A200" s="170"/>
      <c r="B200" s="125"/>
      <c r="C200" s="126" t="s">
        <v>433</v>
      </c>
      <c r="D200" s="29"/>
      <c r="E200" s="19" t="s">
        <v>434</v>
      </c>
      <c r="F200" s="20">
        <f>SUM(F201:F206)</f>
        <v>184481000</v>
      </c>
      <c r="G200" s="20">
        <f t="shared" ref="G200:O200" si="69">SUM(G201:G206)</f>
        <v>0</v>
      </c>
      <c r="H200" s="20">
        <f t="shared" si="69"/>
        <v>40179676</v>
      </c>
      <c r="I200" s="20">
        <f t="shared" si="69"/>
        <v>224660676</v>
      </c>
      <c r="J200" s="20">
        <f t="shared" si="69"/>
        <v>0</v>
      </c>
      <c r="K200" s="20">
        <f t="shared" si="69"/>
        <v>223141841</v>
      </c>
      <c r="L200" s="20">
        <f t="shared" si="69"/>
        <v>83631196</v>
      </c>
      <c r="M200" s="20">
        <f t="shared" si="69"/>
        <v>190510326</v>
      </c>
      <c r="N200" s="20">
        <f t="shared" si="69"/>
        <v>844533</v>
      </c>
      <c r="O200" s="20">
        <f t="shared" si="69"/>
        <v>98065563</v>
      </c>
      <c r="P200" s="243">
        <v>0.23740675222371063</v>
      </c>
    </row>
    <row r="201" spans="1:16" s="10" customFormat="1">
      <c r="A201" s="107"/>
      <c r="B201" s="149" t="s">
        <v>1747</v>
      </c>
      <c r="C201" s="18" t="s">
        <v>435</v>
      </c>
      <c r="D201" s="30" t="s">
        <v>1936</v>
      </c>
      <c r="E201" s="17" t="s">
        <v>436</v>
      </c>
      <c r="F201" s="16">
        <v>38920000</v>
      </c>
      <c r="G201" s="203">
        <v>0</v>
      </c>
      <c r="H201" s="203">
        <v>6000000</v>
      </c>
      <c r="I201" s="203">
        <v>44920000</v>
      </c>
      <c r="J201" s="203">
        <v>0</v>
      </c>
      <c r="K201" s="203">
        <v>44920000</v>
      </c>
      <c r="L201" s="203">
        <v>8678074</v>
      </c>
      <c r="M201" s="203">
        <v>35217688</v>
      </c>
      <c r="N201" s="203">
        <v>844533</v>
      </c>
      <c r="O201" s="203">
        <v>20242191</v>
      </c>
      <c r="P201" s="237">
        <v>0.23740675222371063</v>
      </c>
    </row>
    <row r="202" spans="1:16" s="10" customFormat="1">
      <c r="A202" s="107"/>
      <c r="B202" s="149" t="s">
        <v>1748</v>
      </c>
      <c r="C202" s="18" t="s">
        <v>437</v>
      </c>
      <c r="D202" s="30" t="s">
        <v>1937</v>
      </c>
      <c r="E202" s="17" t="s">
        <v>438</v>
      </c>
      <c r="F202" s="16">
        <v>94128000</v>
      </c>
      <c r="G202" s="203">
        <v>0</v>
      </c>
      <c r="H202" s="203">
        <v>23179676</v>
      </c>
      <c r="I202" s="203">
        <v>117307676</v>
      </c>
      <c r="J202" s="203">
        <v>0</v>
      </c>
      <c r="K202" s="203">
        <v>117307676</v>
      </c>
      <c r="L202" s="203">
        <v>53840631</v>
      </c>
      <c r="M202" s="203">
        <v>100961573</v>
      </c>
      <c r="N202" s="203">
        <v>0</v>
      </c>
      <c r="O202" s="203">
        <v>47120942</v>
      </c>
      <c r="P202" s="237">
        <v>0.23740675222371063</v>
      </c>
    </row>
    <row r="203" spans="1:16" s="10" customFormat="1">
      <c r="A203" s="107"/>
      <c r="B203" s="149" t="s">
        <v>1749</v>
      </c>
      <c r="C203" s="18" t="s">
        <v>439</v>
      </c>
      <c r="D203" s="30" t="s">
        <v>1938</v>
      </c>
      <c r="E203" s="17" t="s">
        <v>440</v>
      </c>
      <c r="F203" s="16">
        <v>6770000</v>
      </c>
      <c r="G203" s="203">
        <v>0</v>
      </c>
      <c r="H203" s="203">
        <v>0</v>
      </c>
      <c r="I203" s="203">
        <v>6770000</v>
      </c>
      <c r="J203" s="203">
        <v>0</v>
      </c>
      <c r="K203" s="203">
        <v>6770000</v>
      </c>
      <c r="L203" s="203">
        <v>0</v>
      </c>
      <c r="M203" s="203">
        <v>6732159</v>
      </c>
      <c r="N203" s="203">
        <v>0</v>
      </c>
      <c r="O203" s="203">
        <v>4216015</v>
      </c>
      <c r="P203" s="237">
        <v>0.23740675222371063</v>
      </c>
    </row>
    <row r="204" spans="1:16" s="10" customFormat="1">
      <c r="A204" s="107"/>
      <c r="B204" s="149" t="s">
        <v>1750</v>
      </c>
      <c r="C204" s="18" t="s">
        <v>441</v>
      </c>
      <c r="D204" s="30" t="s">
        <v>1939</v>
      </c>
      <c r="E204" s="17" t="s">
        <v>442</v>
      </c>
      <c r="F204" s="16">
        <v>30467000</v>
      </c>
      <c r="G204" s="203">
        <v>0</v>
      </c>
      <c r="H204" s="203">
        <v>0</v>
      </c>
      <c r="I204" s="203">
        <v>30467000</v>
      </c>
      <c r="J204" s="203">
        <v>0</v>
      </c>
      <c r="K204" s="203">
        <v>30467000</v>
      </c>
      <c r="L204" s="203">
        <v>12209153</v>
      </c>
      <c r="M204" s="203">
        <v>27018403</v>
      </c>
      <c r="N204" s="203">
        <v>0</v>
      </c>
      <c r="O204" s="203">
        <v>14809250</v>
      </c>
      <c r="P204" s="237">
        <v>0.23740675222371063</v>
      </c>
    </row>
    <row r="205" spans="1:16" s="10" customFormat="1">
      <c r="A205" s="107"/>
      <c r="B205" s="149" t="s">
        <v>1751</v>
      </c>
      <c r="C205" s="18" t="s">
        <v>443</v>
      </c>
      <c r="D205" s="30" t="s">
        <v>1940</v>
      </c>
      <c r="E205" s="17" t="s">
        <v>444</v>
      </c>
      <c r="F205" s="16">
        <v>14196000</v>
      </c>
      <c r="G205" s="203">
        <v>0</v>
      </c>
      <c r="H205" s="203">
        <v>11000000</v>
      </c>
      <c r="I205" s="203">
        <v>25196000</v>
      </c>
      <c r="J205" s="203">
        <v>0</v>
      </c>
      <c r="K205" s="203">
        <v>23677165</v>
      </c>
      <c r="L205" s="203">
        <v>8903338</v>
      </c>
      <c r="M205" s="203">
        <v>20580503</v>
      </c>
      <c r="N205" s="203">
        <v>0</v>
      </c>
      <c r="O205" s="203">
        <v>11677165</v>
      </c>
      <c r="P205" s="237">
        <v>0.23740675222371063</v>
      </c>
    </row>
    <row r="206" spans="1:16" s="2" customFormat="1">
      <c r="A206" s="107"/>
      <c r="B206" s="149"/>
      <c r="C206" s="18" t="s">
        <v>445</v>
      </c>
      <c r="D206" s="30" t="s">
        <v>1942</v>
      </c>
      <c r="E206" s="219" t="s">
        <v>446</v>
      </c>
      <c r="F206" s="16">
        <v>0</v>
      </c>
      <c r="G206" s="203">
        <v>0</v>
      </c>
      <c r="H206" s="203">
        <v>0</v>
      </c>
      <c r="I206" s="203">
        <v>0</v>
      </c>
      <c r="J206" s="203">
        <v>0</v>
      </c>
      <c r="K206" s="203">
        <v>0</v>
      </c>
      <c r="L206" s="203">
        <v>0</v>
      </c>
      <c r="M206" s="203">
        <v>0</v>
      </c>
      <c r="N206" s="203">
        <v>0</v>
      </c>
      <c r="O206" s="203">
        <v>0</v>
      </c>
      <c r="P206" s="237">
        <v>0.23740675222371063</v>
      </c>
    </row>
    <row r="207" spans="1:16" s="2" customFormat="1">
      <c r="A207" s="105" t="s">
        <v>447</v>
      </c>
      <c r="B207" s="63" t="s">
        <v>1629</v>
      </c>
      <c r="C207" s="63" t="s">
        <v>448</v>
      </c>
      <c r="D207" s="63"/>
      <c r="E207" s="63" t="s">
        <v>162</v>
      </c>
      <c r="F207" s="64">
        <f>+F208+F243+F261+F296+F314+F332</f>
        <v>21390366000</v>
      </c>
      <c r="G207" s="64">
        <f t="shared" ref="G207:O207" si="70">+G208+G243+G261+G296+G314+G332</f>
        <v>39971180</v>
      </c>
      <c r="H207" s="64">
        <f t="shared" si="70"/>
        <v>530702198</v>
      </c>
      <c r="I207" s="64">
        <f t="shared" si="70"/>
        <v>21921068198</v>
      </c>
      <c r="J207" s="64">
        <f t="shared" si="70"/>
        <v>1045500000</v>
      </c>
      <c r="K207" s="64">
        <f t="shared" si="70"/>
        <v>21262310864</v>
      </c>
      <c r="L207" s="64">
        <f t="shared" si="70"/>
        <v>1138546086</v>
      </c>
      <c r="M207" s="64">
        <f t="shared" si="70"/>
        <v>12739955117</v>
      </c>
      <c r="N207" s="64">
        <f t="shared" si="70"/>
        <v>533002534</v>
      </c>
      <c r="O207" s="64">
        <f t="shared" si="70"/>
        <v>9044099202</v>
      </c>
      <c r="P207" s="235">
        <v>0.23740675222371063</v>
      </c>
    </row>
    <row r="208" spans="1:16" s="3" customFormat="1">
      <c r="A208" s="169" t="s">
        <v>449</v>
      </c>
      <c r="B208" s="146" t="s">
        <v>1918</v>
      </c>
      <c r="C208" s="147" t="s">
        <v>450</v>
      </c>
      <c r="D208" s="65"/>
      <c r="E208" s="32" t="s">
        <v>165</v>
      </c>
      <c r="F208" s="66">
        <f>+F209+F226</f>
        <v>6560298000</v>
      </c>
      <c r="G208" s="66">
        <f t="shared" ref="G208:O208" si="71">+G209+G226</f>
        <v>19950000</v>
      </c>
      <c r="H208" s="66">
        <f t="shared" si="71"/>
        <v>264784239</v>
      </c>
      <c r="I208" s="66">
        <f t="shared" si="71"/>
        <v>6825082239</v>
      </c>
      <c r="J208" s="66">
        <f t="shared" si="71"/>
        <v>434500000</v>
      </c>
      <c r="K208" s="66">
        <f t="shared" si="71"/>
        <v>6500704189</v>
      </c>
      <c r="L208" s="66">
        <f t="shared" si="71"/>
        <v>219849700</v>
      </c>
      <c r="M208" s="66">
        <f t="shared" si="71"/>
        <v>3118531170</v>
      </c>
      <c r="N208" s="66">
        <f t="shared" si="71"/>
        <v>219849700</v>
      </c>
      <c r="O208" s="66">
        <f t="shared" si="71"/>
        <v>3118531170</v>
      </c>
      <c r="P208" s="236">
        <v>0.23740675222371063</v>
      </c>
    </row>
    <row r="209" spans="1:16" s="3" customFormat="1">
      <c r="A209" s="134" t="s">
        <v>451</v>
      </c>
      <c r="B209" s="123" t="s">
        <v>1919</v>
      </c>
      <c r="C209" s="124" t="s">
        <v>452</v>
      </c>
      <c r="D209" s="67"/>
      <c r="E209" s="25" t="s">
        <v>168</v>
      </c>
      <c r="F209" s="68">
        <f>+F210+F219</f>
        <v>3852013000</v>
      </c>
      <c r="G209" s="68">
        <f t="shared" ref="G209:O209" si="72">+G210+G219</f>
        <v>8606460</v>
      </c>
      <c r="H209" s="68">
        <f t="shared" si="72"/>
        <v>311899740</v>
      </c>
      <c r="I209" s="68">
        <f t="shared" si="72"/>
        <v>4163912740</v>
      </c>
      <c r="J209" s="68">
        <f t="shared" si="72"/>
        <v>272000000</v>
      </c>
      <c r="K209" s="68">
        <f t="shared" si="72"/>
        <v>3977610060</v>
      </c>
      <c r="L209" s="68">
        <f t="shared" si="72"/>
        <v>150290800</v>
      </c>
      <c r="M209" s="68">
        <f t="shared" si="72"/>
        <v>2031347340</v>
      </c>
      <c r="N209" s="68">
        <f t="shared" si="72"/>
        <v>150290800</v>
      </c>
      <c r="O209" s="68">
        <f t="shared" si="72"/>
        <v>2031347340</v>
      </c>
      <c r="P209" s="229">
        <v>0.23740675222371063</v>
      </c>
    </row>
    <row r="210" spans="1:16" s="10" customFormat="1">
      <c r="A210" s="170"/>
      <c r="B210" s="125"/>
      <c r="C210" s="126" t="s">
        <v>453</v>
      </c>
      <c r="D210" s="29"/>
      <c r="E210" s="19" t="s">
        <v>454</v>
      </c>
      <c r="F210" s="20">
        <f>SUM(F211:F218)</f>
        <v>3563567000</v>
      </c>
      <c r="G210" s="20">
        <f t="shared" ref="G210:O210" si="73">SUM(G211:G218)</f>
        <v>8606460</v>
      </c>
      <c r="H210" s="20">
        <f t="shared" si="73"/>
        <v>235278481</v>
      </c>
      <c r="I210" s="20">
        <f t="shared" si="73"/>
        <v>3798845481</v>
      </c>
      <c r="J210" s="20">
        <f t="shared" si="73"/>
        <v>250000000</v>
      </c>
      <c r="K210" s="20">
        <f t="shared" si="73"/>
        <v>3655505681</v>
      </c>
      <c r="L210" s="20">
        <f t="shared" si="73"/>
        <v>150290800</v>
      </c>
      <c r="M210" s="20">
        <f t="shared" si="73"/>
        <v>1875626500</v>
      </c>
      <c r="N210" s="20">
        <f t="shared" si="73"/>
        <v>150290800</v>
      </c>
      <c r="O210" s="20">
        <f t="shared" si="73"/>
        <v>1875626500</v>
      </c>
      <c r="P210" s="243">
        <v>0.23740675222371063</v>
      </c>
    </row>
    <row r="211" spans="1:16" s="10" customFormat="1">
      <c r="A211" s="107"/>
      <c r="B211" s="149" t="s">
        <v>1621</v>
      </c>
      <c r="C211" s="18" t="s">
        <v>455</v>
      </c>
      <c r="D211" s="30" t="s">
        <v>1936</v>
      </c>
      <c r="E211" s="17" t="s">
        <v>456</v>
      </c>
      <c r="F211" s="16">
        <v>616835000</v>
      </c>
      <c r="G211" s="203">
        <v>0</v>
      </c>
      <c r="H211" s="203">
        <v>27000000</v>
      </c>
      <c r="I211" s="203">
        <v>643835000</v>
      </c>
      <c r="J211" s="203">
        <v>0</v>
      </c>
      <c r="K211" s="203">
        <v>643835000</v>
      </c>
      <c r="L211" s="203">
        <v>31655700</v>
      </c>
      <c r="M211" s="203">
        <v>314254830</v>
      </c>
      <c r="N211" s="203">
        <v>31655700</v>
      </c>
      <c r="O211" s="203">
        <v>314254830</v>
      </c>
      <c r="P211" s="237">
        <v>0.23740675222371063</v>
      </c>
    </row>
    <row r="212" spans="1:16" s="10" customFormat="1">
      <c r="A212" s="107"/>
      <c r="B212" s="149" t="s">
        <v>1622</v>
      </c>
      <c r="C212" s="18" t="s">
        <v>457</v>
      </c>
      <c r="D212" s="30" t="s">
        <v>1937</v>
      </c>
      <c r="E212" s="17" t="s">
        <v>458</v>
      </c>
      <c r="F212" s="16">
        <v>874393000</v>
      </c>
      <c r="G212" s="203">
        <v>0</v>
      </c>
      <c r="H212" s="203">
        <v>0</v>
      </c>
      <c r="I212" s="203">
        <v>874393000</v>
      </c>
      <c r="J212" s="203">
        <v>0</v>
      </c>
      <c r="K212" s="203">
        <v>874393000</v>
      </c>
      <c r="L212" s="203">
        <v>31390200</v>
      </c>
      <c r="M212" s="203">
        <v>420330590</v>
      </c>
      <c r="N212" s="203">
        <v>31390200</v>
      </c>
      <c r="O212" s="203">
        <v>420330590</v>
      </c>
      <c r="P212" s="237">
        <v>0.23740675222371063</v>
      </c>
    </row>
    <row r="213" spans="1:16" s="10" customFormat="1">
      <c r="A213" s="107"/>
      <c r="B213" s="149" t="s">
        <v>1623</v>
      </c>
      <c r="C213" s="18" t="s">
        <v>459</v>
      </c>
      <c r="D213" s="30" t="s">
        <v>1938</v>
      </c>
      <c r="E213" s="17" t="s">
        <v>460</v>
      </c>
      <c r="F213" s="16">
        <v>416870000</v>
      </c>
      <c r="G213" s="203">
        <v>0</v>
      </c>
      <c r="H213" s="203">
        <v>57000000</v>
      </c>
      <c r="I213" s="203">
        <v>473870000</v>
      </c>
      <c r="J213" s="203">
        <v>0</v>
      </c>
      <c r="K213" s="203">
        <v>473870000</v>
      </c>
      <c r="L213" s="203">
        <v>17693200</v>
      </c>
      <c r="M213" s="203">
        <v>254935180</v>
      </c>
      <c r="N213" s="203">
        <v>17693200</v>
      </c>
      <c r="O213" s="203">
        <v>254935180</v>
      </c>
      <c r="P213" s="237">
        <v>0.23740675222371063</v>
      </c>
    </row>
    <row r="214" spans="1:16" s="10" customFormat="1">
      <c r="A214" s="107"/>
      <c r="B214" s="149" t="s">
        <v>1624</v>
      </c>
      <c r="C214" s="18" t="s">
        <v>461</v>
      </c>
      <c r="D214" s="30" t="s">
        <v>1939</v>
      </c>
      <c r="E214" s="17" t="s">
        <v>462</v>
      </c>
      <c r="F214" s="16">
        <v>708277000</v>
      </c>
      <c r="G214" s="203">
        <v>0</v>
      </c>
      <c r="H214" s="203">
        <v>0</v>
      </c>
      <c r="I214" s="203">
        <v>708277000</v>
      </c>
      <c r="J214" s="203">
        <v>0</v>
      </c>
      <c r="K214" s="203">
        <v>708277000</v>
      </c>
      <c r="L214" s="203">
        <v>28243600</v>
      </c>
      <c r="M214" s="203">
        <v>362679790</v>
      </c>
      <c r="N214" s="203">
        <v>28243600</v>
      </c>
      <c r="O214" s="203">
        <v>362679790</v>
      </c>
      <c r="P214" s="237">
        <v>0.23740675222371063</v>
      </c>
    </row>
    <row r="215" spans="1:16" s="10" customFormat="1">
      <c r="A215" s="107"/>
      <c r="B215" s="149" t="s">
        <v>1625</v>
      </c>
      <c r="C215" s="18" t="s">
        <v>463</v>
      </c>
      <c r="D215" s="30" t="s">
        <v>1940</v>
      </c>
      <c r="E215" s="17" t="s">
        <v>464</v>
      </c>
      <c r="F215" s="16">
        <v>620538000</v>
      </c>
      <c r="G215" s="203">
        <v>0</v>
      </c>
      <c r="H215" s="203">
        <v>69000000</v>
      </c>
      <c r="I215" s="203">
        <v>689538000</v>
      </c>
      <c r="J215" s="203">
        <v>250000000</v>
      </c>
      <c r="K215" s="203">
        <v>554804660</v>
      </c>
      <c r="L215" s="203">
        <v>21565800</v>
      </c>
      <c r="M215" s="203">
        <v>326370460</v>
      </c>
      <c r="N215" s="203">
        <v>21565800</v>
      </c>
      <c r="O215" s="203">
        <v>326370460</v>
      </c>
      <c r="P215" s="237">
        <v>0.23740675222371063</v>
      </c>
    </row>
    <row r="216" spans="1:16" s="10" customFormat="1">
      <c r="A216" s="107"/>
      <c r="B216" s="149" t="s">
        <v>1626</v>
      </c>
      <c r="C216" s="18" t="s">
        <v>465</v>
      </c>
      <c r="D216" s="30" t="s">
        <v>1941</v>
      </c>
      <c r="E216" s="17" t="s">
        <v>466</v>
      </c>
      <c r="F216" s="16">
        <v>70870000</v>
      </c>
      <c r="G216" s="203">
        <v>8606460</v>
      </c>
      <c r="H216" s="203">
        <v>64402481</v>
      </c>
      <c r="I216" s="203">
        <v>135272481</v>
      </c>
      <c r="J216" s="203">
        <v>0</v>
      </c>
      <c r="K216" s="203">
        <v>126666021</v>
      </c>
      <c r="L216" s="203">
        <v>5032000</v>
      </c>
      <c r="M216" s="203">
        <v>63751430</v>
      </c>
      <c r="N216" s="203">
        <v>5032000</v>
      </c>
      <c r="O216" s="203">
        <v>63751430</v>
      </c>
      <c r="P216" s="237">
        <v>0.23740675222371063</v>
      </c>
    </row>
    <row r="217" spans="1:16" s="10" customFormat="1">
      <c r="A217" s="107"/>
      <c r="B217" s="149" t="s">
        <v>1627</v>
      </c>
      <c r="C217" s="18" t="s">
        <v>467</v>
      </c>
      <c r="D217" s="30" t="s">
        <v>1942</v>
      </c>
      <c r="E217" s="17" t="s">
        <v>468</v>
      </c>
      <c r="F217" s="16">
        <v>237454000</v>
      </c>
      <c r="G217" s="203">
        <v>0</v>
      </c>
      <c r="H217" s="203">
        <v>7000000</v>
      </c>
      <c r="I217" s="203">
        <v>244454000</v>
      </c>
      <c r="J217" s="203">
        <v>0</v>
      </c>
      <c r="K217" s="203">
        <v>244454000</v>
      </c>
      <c r="L217" s="203">
        <v>14710300</v>
      </c>
      <c r="M217" s="203">
        <v>125889110</v>
      </c>
      <c r="N217" s="203">
        <v>14710300</v>
      </c>
      <c r="O217" s="203">
        <v>125889110</v>
      </c>
      <c r="P217" s="237">
        <v>0.23740675222371063</v>
      </c>
    </row>
    <row r="218" spans="1:16" s="3" customFormat="1">
      <c r="A218" s="107"/>
      <c r="B218" s="149" t="s">
        <v>1628</v>
      </c>
      <c r="C218" s="18" t="s">
        <v>469</v>
      </c>
      <c r="D218" s="30" t="s">
        <v>1913</v>
      </c>
      <c r="E218" s="17" t="s">
        <v>470</v>
      </c>
      <c r="F218" s="16">
        <v>18330000</v>
      </c>
      <c r="G218" s="203">
        <v>0</v>
      </c>
      <c r="H218" s="203">
        <v>10876000</v>
      </c>
      <c r="I218" s="203">
        <v>29206000</v>
      </c>
      <c r="J218" s="203">
        <v>0</v>
      </c>
      <c r="K218" s="203">
        <v>29206000</v>
      </c>
      <c r="L218" s="203">
        <v>0</v>
      </c>
      <c r="M218" s="203">
        <v>7415110</v>
      </c>
      <c r="N218" s="203">
        <v>0</v>
      </c>
      <c r="O218" s="203">
        <v>7415110</v>
      </c>
      <c r="P218" s="237">
        <v>0.23740675222371063</v>
      </c>
    </row>
    <row r="219" spans="1:16" s="10" customFormat="1">
      <c r="A219" s="170"/>
      <c r="B219" s="125"/>
      <c r="C219" s="126" t="s">
        <v>471</v>
      </c>
      <c r="D219" s="29"/>
      <c r="E219" s="19" t="s">
        <v>472</v>
      </c>
      <c r="F219" s="20">
        <f>SUM(F220:F225)</f>
        <v>288446000</v>
      </c>
      <c r="G219" s="20">
        <f t="shared" ref="G219:O219" si="74">SUM(G220:G225)</f>
        <v>0</v>
      </c>
      <c r="H219" s="20">
        <f t="shared" si="74"/>
        <v>76621259</v>
      </c>
      <c r="I219" s="20">
        <f t="shared" si="74"/>
        <v>365067259</v>
      </c>
      <c r="J219" s="20">
        <f t="shared" si="74"/>
        <v>22000000</v>
      </c>
      <c r="K219" s="20">
        <f t="shared" si="74"/>
        <v>322104379</v>
      </c>
      <c r="L219" s="20">
        <f t="shared" si="74"/>
        <v>0</v>
      </c>
      <c r="M219" s="20">
        <f t="shared" si="74"/>
        <v>155720840</v>
      </c>
      <c r="N219" s="20">
        <f t="shared" si="74"/>
        <v>0</v>
      </c>
      <c r="O219" s="20">
        <f t="shared" si="74"/>
        <v>155720840</v>
      </c>
      <c r="P219" s="243">
        <v>0.23740675222371063</v>
      </c>
    </row>
    <row r="220" spans="1:16" s="10" customFormat="1">
      <c r="A220" s="107"/>
      <c r="B220" s="149" t="s">
        <v>1752</v>
      </c>
      <c r="C220" s="18" t="s">
        <v>473</v>
      </c>
      <c r="D220" s="30" t="s">
        <v>1936</v>
      </c>
      <c r="E220" s="17" t="s">
        <v>474</v>
      </c>
      <c r="F220" s="16">
        <v>43175000</v>
      </c>
      <c r="G220" s="203">
        <v>0</v>
      </c>
      <c r="H220" s="203">
        <v>20000000</v>
      </c>
      <c r="I220" s="203">
        <v>63175000</v>
      </c>
      <c r="J220" s="203">
        <v>0</v>
      </c>
      <c r="K220" s="203">
        <v>26454750</v>
      </c>
      <c r="L220" s="203">
        <v>0</v>
      </c>
      <c r="M220" s="203">
        <v>26454750</v>
      </c>
      <c r="N220" s="203">
        <v>0</v>
      </c>
      <c r="O220" s="203">
        <v>26454750</v>
      </c>
      <c r="P220" s="237">
        <v>0.23740675222371063</v>
      </c>
    </row>
    <row r="221" spans="1:16" s="10" customFormat="1">
      <c r="A221" s="107"/>
      <c r="B221" s="149" t="s">
        <v>1753</v>
      </c>
      <c r="C221" s="18" t="s">
        <v>475</v>
      </c>
      <c r="D221" s="30" t="s">
        <v>1937</v>
      </c>
      <c r="E221" s="17" t="s">
        <v>476</v>
      </c>
      <c r="F221" s="16">
        <v>156016000</v>
      </c>
      <c r="G221" s="203">
        <v>0</v>
      </c>
      <c r="H221" s="203">
        <v>31391259</v>
      </c>
      <c r="I221" s="203">
        <v>187407259</v>
      </c>
      <c r="J221" s="203">
        <v>0</v>
      </c>
      <c r="K221" s="203">
        <v>187407259</v>
      </c>
      <c r="L221" s="203">
        <v>0</v>
      </c>
      <c r="M221" s="203">
        <v>75092040</v>
      </c>
      <c r="N221" s="203">
        <v>0</v>
      </c>
      <c r="O221" s="203">
        <v>75092040</v>
      </c>
      <c r="P221" s="237">
        <v>0.23740675222371063</v>
      </c>
    </row>
    <row r="222" spans="1:16" s="10" customFormat="1">
      <c r="A222" s="107"/>
      <c r="B222" s="149" t="s">
        <v>1754</v>
      </c>
      <c r="C222" s="18" t="s">
        <v>477</v>
      </c>
      <c r="D222" s="30" t="s">
        <v>1938</v>
      </c>
      <c r="E222" s="17" t="s">
        <v>478</v>
      </c>
      <c r="F222" s="16">
        <v>8032000</v>
      </c>
      <c r="G222" s="203">
        <v>0</v>
      </c>
      <c r="H222" s="203">
        <v>4230000</v>
      </c>
      <c r="I222" s="203">
        <v>12262000</v>
      </c>
      <c r="J222" s="203">
        <v>0</v>
      </c>
      <c r="K222" s="203">
        <v>12262000</v>
      </c>
      <c r="L222" s="203">
        <v>0</v>
      </c>
      <c r="M222" s="203">
        <v>8543780</v>
      </c>
      <c r="N222" s="203">
        <v>0</v>
      </c>
      <c r="O222" s="203">
        <v>8543780</v>
      </c>
      <c r="P222" s="237">
        <v>0.23740675222371063</v>
      </c>
    </row>
    <row r="223" spans="1:16" s="10" customFormat="1">
      <c r="A223" s="107"/>
      <c r="B223" s="149" t="s">
        <v>1755</v>
      </c>
      <c r="C223" s="18" t="s">
        <v>479</v>
      </c>
      <c r="D223" s="30" t="s">
        <v>1939</v>
      </c>
      <c r="E223" s="17" t="s">
        <v>480</v>
      </c>
      <c r="F223" s="16">
        <v>49392000</v>
      </c>
      <c r="G223" s="203">
        <v>0</v>
      </c>
      <c r="H223" s="203">
        <v>0</v>
      </c>
      <c r="I223" s="203">
        <v>49392000</v>
      </c>
      <c r="J223" s="203">
        <v>0</v>
      </c>
      <c r="K223" s="203">
        <v>49392000</v>
      </c>
      <c r="L223" s="203">
        <v>0</v>
      </c>
      <c r="M223" s="203">
        <v>21041900</v>
      </c>
      <c r="N223" s="203">
        <v>0</v>
      </c>
      <c r="O223" s="203">
        <v>21041900</v>
      </c>
      <c r="P223" s="237">
        <v>0.23740675222371063</v>
      </c>
    </row>
    <row r="224" spans="1:16" s="10" customFormat="1">
      <c r="A224" s="107"/>
      <c r="B224" s="149" t="s">
        <v>1756</v>
      </c>
      <c r="C224" s="18" t="s">
        <v>481</v>
      </c>
      <c r="D224" s="30" t="s">
        <v>1940</v>
      </c>
      <c r="E224" s="17" t="s">
        <v>482</v>
      </c>
      <c r="F224" s="16">
        <v>31831000</v>
      </c>
      <c r="G224" s="203">
        <v>0</v>
      </c>
      <c r="H224" s="203">
        <v>21000000</v>
      </c>
      <c r="I224" s="203">
        <v>52831000</v>
      </c>
      <c r="J224" s="203">
        <v>22000000</v>
      </c>
      <c r="K224" s="203">
        <v>46588370</v>
      </c>
      <c r="L224" s="203">
        <v>0</v>
      </c>
      <c r="M224" s="203">
        <v>24588370</v>
      </c>
      <c r="N224" s="203">
        <v>0</v>
      </c>
      <c r="O224" s="203">
        <v>24588370</v>
      </c>
      <c r="P224" s="237">
        <v>0.23740675222371063</v>
      </c>
    </row>
    <row r="225" spans="1:16" s="3" customFormat="1">
      <c r="A225" s="107"/>
      <c r="B225" s="149"/>
      <c r="C225" s="18" t="s">
        <v>483</v>
      </c>
      <c r="D225" s="30" t="s">
        <v>1942</v>
      </c>
      <c r="E225" s="203" t="s">
        <v>484</v>
      </c>
      <c r="F225" s="16"/>
      <c r="G225" s="203">
        <v>0</v>
      </c>
      <c r="H225" s="203">
        <v>0</v>
      </c>
      <c r="I225" s="203">
        <v>0</v>
      </c>
      <c r="J225" s="203">
        <v>0</v>
      </c>
      <c r="K225" s="203">
        <v>0</v>
      </c>
      <c r="L225" s="203">
        <v>0</v>
      </c>
      <c r="M225" s="203">
        <v>0</v>
      </c>
      <c r="N225" s="203">
        <v>0</v>
      </c>
      <c r="O225" s="203">
        <v>0</v>
      </c>
      <c r="P225" s="237">
        <v>0.23740675222371063</v>
      </c>
    </row>
    <row r="226" spans="1:16" s="3" customFormat="1">
      <c r="A226" s="134" t="s">
        <v>485</v>
      </c>
      <c r="B226" s="123" t="s">
        <v>1700</v>
      </c>
      <c r="C226" s="124" t="s">
        <v>486</v>
      </c>
      <c r="D226" s="67"/>
      <c r="E226" s="25" t="s">
        <v>177</v>
      </c>
      <c r="F226" s="68">
        <f>+F227+F236</f>
        <v>2708285000</v>
      </c>
      <c r="G226" s="68">
        <f t="shared" ref="G226:N226" si="75">+G227+G236</f>
        <v>11343540</v>
      </c>
      <c r="H226" s="68">
        <f t="shared" si="75"/>
        <v>-47115501</v>
      </c>
      <c r="I226" s="68">
        <f t="shared" si="75"/>
        <v>2661169499</v>
      </c>
      <c r="J226" s="68">
        <f t="shared" si="75"/>
        <v>162500000</v>
      </c>
      <c r="K226" s="68">
        <f t="shared" si="75"/>
        <v>2523094129</v>
      </c>
      <c r="L226" s="68">
        <f t="shared" si="75"/>
        <v>69558900</v>
      </c>
      <c r="M226" s="68">
        <f t="shared" si="75"/>
        <v>1087183830</v>
      </c>
      <c r="N226" s="68">
        <f t="shared" si="75"/>
        <v>69558900</v>
      </c>
      <c r="O226" s="68">
        <f>+O227+O236</f>
        <v>1087183830</v>
      </c>
      <c r="P226" s="229">
        <v>0.23740675222371063</v>
      </c>
    </row>
    <row r="227" spans="1:16" s="10" customFormat="1">
      <c r="A227" s="170"/>
      <c r="B227" s="125"/>
      <c r="C227" s="126" t="s">
        <v>487</v>
      </c>
      <c r="D227" s="29"/>
      <c r="E227" s="19" t="s">
        <v>488</v>
      </c>
      <c r="F227" s="20">
        <f>SUM(F228:F235)</f>
        <v>2562977000</v>
      </c>
      <c r="G227" s="20">
        <f t="shared" ref="G227:N227" si="76">SUM(G228:G235)</f>
        <v>11343540</v>
      </c>
      <c r="H227" s="20">
        <f t="shared" si="76"/>
        <v>-50329528</v>
      </c>
      <c r="I227" s="20">
        <f t="shared" si="76"/>
        <v>2512647472</v>
      </c>
      <c r="J227" s="20">
        <f t="shared" si="76"/>
        <v>160000000</v>
      </c>
      <c r="K227" s="20">
        <f t="shared" si="76"/>
        <v>2401168622</v>
      </c>
      <c r="L227" s="20">
        <f t="shared" si="76"/>
        <v>69558900</v>
      </c>
      <c r="M227" s="20">
        <f t="shared" si="76"/>
        <v>1036195390</v>
      </c>
      <c r="N227" s="20">
        <f t="shared" si="76"/>
        <v>69558900</v>
      </c>
      <c r="O227" s="20">
        <f>SUM(O228:O235)</f>
        <v>1036195390</v>
      </c>
      <c r="P227" s="243">
        <v>0.23740675222371063</v>
      </c>
    </row>
    <row r="228" spans="1:16" s="10" customFormat="1">
      <c r="A228" s="107"/>
      <c r="B228" s="149" t="s">
        <v>1614</v>
      </c>
      <c r="C228" s="18" t="s">
        <v>489</v>
      </c>
      <c r="D228" s="30" t="s">
        <v>1936</v>
      </c>
      <c r="E228" s="17" t="s">
        <v>490</v>
      </c>
      <c r="F228" s="16">
        <v>389721000</v>
      </c>
      <c r="G228" s="203">
        <v>0</v>
      </c>
      <c r="H228" s="203">
        <v>0</v>
      </c>
      <c r="I228" s="203">
        <v>389721000</v>
      </c>
      <c r="J228" s="203">
        <v>0</v>
      </c>
      <c r="K228" s="203">
        <v>389721000</v>
      </c>
      <c r="L228" s="203">
        <v>12964800</v>
      </c>
      <c r="M228" s="203">
        <v>152955360</v>
      </c>
      <c r="N228" s="203">
        <v>12964800</v>
      </c>
      <c r="O228" s="203">
        <v>152955360</v>
      </c>
      <c r="P228" s="237">
        <v>0.23740675222371063</v>
      </c>
    </row>
    <row r="229" spans="1:16" s="10" customFormat="1">
      <c r="A229" s="107"/>
      <c r="B229" s="149" t="s">
        <v>1615</v>
      </c>
      <c r="C229" s="18" t="s">
        <v>491</v>
      </c>
      <c r="D229" s="30" t="s">
        <v>1937</v>
      </c>
      <c r="E229" s="17" t="s">
        <v>492</v>
      </c>
      <c r="F229" s="16">
        <v>550027000</v>
      </c>
      <c r="G229" s="203">
        <v>0</v>
      </c>
      <c r="H229" s="203">
        <v>0</v>
      </c>
      <c r="I229" s="203">
        <v>550027000</v>
      </c>
      <c r="J229" s="203">
        <v>0</v>
      </c>
      <c r="K229" s="203">
        <v>550027000</v>
      </c>
      <c r="L229" s="203">
        <v>6786700</v>
      </c>
      <c r="M229" s="203">
        <v>205570480</v>
      </c>
      <c r="N229" s="203">
        <v>6786700</v>
      </c>
      <c r="O229" s="203">
        <v>205570480</v>
      </c>
      <c r="P229" s="237">
        <v>0.23740675222371063</v>
      </c>
    </row>
    <row r="230" spans="1:16" s="10" customFormat="1">
      <c r="A230" s="107"/>
      <c r="B230" s="149" t="s">
        <v>1616</v>
      </c>
      <c r="C230" s="18" t="s">
        <v>493</v>
      </c>
      <c r="D230" s="30" t="s">
        <v>1938</v>
      </c>
      <c r="E230" s="17" t="s">
        <v>494</v>
      </c>
      <c r="F230" s="16">
        <v>341076000</v>
      </c>
      <c r="G230" s="203">
        <v>0</v>
      </c>
      <c r="H230" s="203">
        <v>-57000000</v>
      </c>
      <c r="I230" s="203">
        <v>284076000</v>
      </c>
      <c r="J230" s="203">
        <v>0</v>
      </c>
      <c r="K230" s="203">
        <v>284076000</v>
      </c>
      <c r="L230" s="203">
        <v>7968400</v>
      </c>
      <c r="M230" s="203">
        <v>136573750</v>
      </c>
      <c r="N230" s="203">
        <v>7968400</v>
      </c>
      <c r="O230" s="203">
        <v>136573750</v>
      </c>
      <c r="P230" s="237">
        <v>0.23740675222371063</v>
      </c>
    </row>
    <row r="231" spans="1:16" s="10" customFormat="1">
      <c r="A231" s="107"/>
      <c r="B231" s="149" t="s">
        <v>1617</v>
      </c>
      <c r="C231" s="18" t="s">
        <v>495</v>
      </c>
      <c r="D231" s="30" t="s">
        <v>1939</v>
      </c>
      <c r="E231" s="17" t="s">
        <v>496</v>
      </c>
      <c r="F231" s="16">
        <v>472185000</v>
      </c>
      <c r="G231" s="203">
        <v>0</v>
      </c>
      <c r="H231" s="203">
        <v>0</v>
      </c>
      <c r="I231" s="203">
        <v>472185000</v>
      </c>
      <c r="J231" s="203">
        <v>0</v>
      </c>
      <c r="K231" s="203">
        <v>472185000</v>
      </c>
      <c r="L231" s="203">
        <v>14926400</v>
      </c>
      <c r="M231" s="203">
        <v>195545570</v>
      </c>
      <c r="N231" s="203">
        <v>14926400</v>
      </c>
      <c r="O231" s="203">
        <v>195545570</v>
      </c>
      <c r="P231" s="237">
        <v>0.23740675222371063</v>
      </c>
    </row>
    <row r="232" spans="1:16" s="10" customFormat="1">
      <c r="A232" s="107"/>
      <c r="B232" s="149" t="s">
        <v>1618</v>
      </c>
      <c r="C232" s="18" t="s">
        <v>497</v>
      </c>
      <c r="D232" s="30" t="s">
        <v>1940</v>
      </c>
      <c r="E232" s="17" t="s">
        <v>498</v>
      </c>
      <c r="F232" s="16">
        <v>443813000</v>
      </c>
      <c r="G232" s="203">
        <v>0</v>
      </c>
      <c r="H232" s="203">
        <v>0</v>
      </c>
      <c r="I232" s="203">
        <v>443813000</v>
      </c>
      <c r="J232" s="203">
        <v>160000000</v>
      </c>
      <c r="K232" s="203">
        <v>343677690</v>
      </c>
      <c r="L232" s="203">
        <v>11567300</v>
      </c>
      <c r="M232" s="203">
        <v>195244990</v>
      </c>
      <c r="N232" s="203">
        <v>11567300</v>
      </c>
      <c r="O232" s="203">
        <v>195244990</v>
      </c>
      <c r="P232" s="237">
        <v>0.23740675222371063</v>
      </c>
    </row>
    <row r="233" spans="1:16" s="10" customFormat="1">
      <c r="A233" s="107"/>
      <c r="B233" s="149" t="s">
        <v>1619</v>
      </c>
      <c r="C233" s="18" t="s">
        <v>499</v>
      </c>
      <c r="D233" s="30" t="s">
        <v>1941</v>
      </c>
      <c r="E233" s="17" t="s">
        <v>500</v>
      </c>
      <c r="F233" s="16">
        <v>129620000</v>
      </c>
      <c r="G233" s="203">
        <v>11343540</v>
      </c>
      <c r="H233" s="203">
        <v>-19329528</v>
      </c>
      <c r="I233" s="203">
        <v>110290472</v>
      </c>
      <c r="J233" s="203">
        <v>0</v>
      </c>
      <c r="K233" s="203">
        <v>98946932</v>
      </c>
      <c r="L233" s="203">
        <v>2259900</v>
      </c>
      <c r="M233" s="203">
        <v>45845620</v>
      </c>
      <c r="N233" s="203">
        <v>2259900</v>
      </c>
      <c r="O233" s="203">
        <v>45845620</v>
      </c>
      <c r="P233" s="237">
        <v>0.23740675222371063</v>
      </c>
    </row>
    <row r="234" spans="1:16" s="10" customFormat="1">
      <c r="A234" s="107"/>
      <c r="B234" s="149" t="s">
        <v>1620</v>
      </c>
      <c r="C234" s="18" t="s">
        <v>501</v>
      </c>
      <c r="D234" s="30" t="s">
        <v>1942</v>
      </c>
      <c r="E234" s="17" t="s">
        <v>502</v>
      </c>
      <c r="F234" s="16">
        <v>216642000</v>
      </c>
      <c r="G234" s="203">
        <v>0</v>
      </c>
      <c r="H234" s="203">
        <v>26000000</v>
      </c>
      <c r="I234" s="203">
        <v>242642000</v>
      </c>
      <c r="J234" s="203">
        <v>0</v>
      </c>
      <c r="K234" s="203">
        <v>242642000</v>
      </c>
      <c r="L234" s="203">
        <v>13085400</v>
      </c>
      <c r="M234" s="203">
        <v>102872870</v>
      </c>
      <c r="N234" s="203">
        <v>13085400</v>
      </c>
      <c r="O234" s="203">
        <v>102872870</v>
      </c>
      <c r="P234" s="237">
        <v>0.23740675222371063</v>
      </c>
    </row>
    <row r="235" spans="1:16" s="3" customFormat="1">
      <c r="A235" s="107"/>
      <c r="B235" s="149" t="s">
        <v>2014</v>
      </c>
      <c r="C235" s="18" t="s">
        <v>503</v>
      </c>
      <c r="D235" s="30" t="s">
        <v>1913</v>
      </c>
      <c r="E235" s="17" t="s">
        <v>504</v>
      </c>
      <c r="F235" s="16">
        <v>19893000</v>
      </c>
      <c r="G235" s="203">
        <v>0</v>
      </c>
      <c r="H235" s="203">
        <v>0</v>
      </c>
      <c r="I235" s="203">
        <v>19893000</v>
      </c>
      <c r="J235" s="203">
        <v>0</v>
      </c>
      <c r="K235" s="203">
        <v>19893000</v>
      </c>
      <c r="L235" s="203">
        <v>0</v>
      </c>
      <c r="M235" s="203">
        <v>1586750</v>
      </c>
      <c r="N235" s="203">
        <v>0</v>
      </c>
      <c r="O235" s="203">
        <v>1586750</v>
      </c>
      <c r="P235" s="237">
        <v>0.23740675222371063</v>
      </c>
    </row>
    <row r="236" spans="1:16" s="10" customFormat="1">
      <c r="A236" s="170"/>
      <c r="B236" s="125"/>
      <c r="C236" s="126" t="s">
        <v>505</v>
      </c>
      <c r="D236" s="29"/>
      <c r="E236" s="19" t="s">
        <v>506</v>
      </c>
      <c r="F236" s="20">
        <f>SUM(F237:F242)</f>
        <v>145308000</v>
      </c>
      <c r="G236" s="20">
        <f t="shared" ref="G236:O236" si="77">SUM(G237:G242)</f>
        <v>0</v>
      </c>
      <c r="H236" s="20">
        <f t="shared" si="77"/>
        <v>3214027</v>
      </c>
      <c r="I236" s="20">
        <f t="shared" si="77"/>
        <v>148522027</v>
      </c>
      <c r="J236" s="20">
        <f t="shared" si="77"/>
        <v>2500000</v>
      </c>
      <c r="K236" s="20">
        <f t="shared" si="77"/>
        <v>121925507</v>
      </c>
      <c r="L236" s="20">
        <f t="shared" si="77"/>
        <v>0</v>
      </c>
      <c r="M236" s="20">
        <f t="shared" si="77"/>
        <v>50988440</v>
      </c>
      <c r="N236" s="20">
        <f t="shared" si="77"/>
        <v>0</v>
      </c>
      <c r="O236" s="20">
        <f t="shared" si="77"/>
        <v>50988440</v>
      </c>
      <c r="P236" s="243">
        <v>0.23740675222371063</v>
      </c>
    </row>
    <row r="237" spans="1:16" s="10" customFormat="1">
      <c r="A237" s="107"/>
      <c r="B237" s="149" t="s">
        <v>1609</v>
      </c>
      <c r="C237" s="18" t="s">
        <v>507</v>
      </c>
      <c r="D237" s="30" t="s">
        <v>1936</v>
      </c>
      <c r="E237" s="17" t="s">
        <v>508</v>
      </c>
      <c r="F237" s="16">
        <v>36604000</v>
      </c>
      <c r="G237" s="203">
        <v>0</v>
      </c>
      <c r="H237" s="203">
        <v>1500000</v>
      </c>
      <c r="I237" s="203">
        <v>38104000</v>
      </c>
      <c r="J237" s="203">
        <v>0</v>
      </c>
      <c r="K237" s="203">
        <v>14401550</v>
      </c>
      <c r="L237" s="203">
        <v>0</v>
      </c>
      <c r="M237" s="203">
        <v>14401550</v>
      </c>
      <c r="N237" s="203">
        <v>0</v>
      </c>
      <c r="O237" s="203">
        <v>14401550</v>
      </c>
      <c r="P237" s="237">
        <v>0.23740675222371063</v>
      </c>
    </row>
    <row r="238" spans="1:16" s="10" customFormat="1">
      <c r="A238" s="107"/>
      <c r="B238" s="149" t="s">
        <v>1610</v>
      </c>
      <c r="C238" s="18" t="s">
        <v>509</v>
      </c>
      <c r="D238" s="30" t="s">
        <v>1937</v>
      </c>
      <c r="E238" s="17" t="s">
        <v>510</v>
      </c>
      <c r="F238" s="16">
        <v>62476000</v>
      </c>
      <c r="G238" s="203">
        <v>0</v>
      </c>
      <c r="H238" s="203">
        <v>3444027</v>
      </c>
      <c r="I238" s="203">
        <v>65920027</v>
      </c>
      <c r="J238" s="203">
        <v>0</v>
      </c>
      <c r="K238" s="203">
        <v>65920027</v>
      </c>
      <c r="L238" s="203">
        <v>0</v>
      </c>
      <c r="M238" s="203">
        <v>24820640</v>
      </c>
      <c r="N238" s="203">
        <v>0</v>
      </c>
      <c r="O238" s="203">
        <v>24820640</v>
      </c>
      <c r="P238" s="237">
        <v>0.23740675222371063</v>
      </c>
    </row>
    <row r="239" spans="1:16" s="10" customFormat="1">
      <c r="A239" s="107"/>
      <c r="B239" s="149" t="s">
        <v>1611</v>
      </c>
      <c r="C239" s="18" t="s">
        <v>511</v>
      </c>
      <c r="D239" s="30" t="s">
        <v>1938</v>
      </c>
      <c r="E239" s="17" t="s">
        <v>512</v>
      </c>
      <c r="F239" s="16">
        <v>8032000</v>
      </c>
      <c r="G239" s="203">
        <v>0</v>
      </c>
      <c r="H239" s="203">
        <v>-4230000</v>
      </c>
      <c r="I239" s="203">
        <v>3802000</v>
      </c>
      <c r="J239" s="203">
        <v>0</v>
      </c>
      <c r="K239" s="203">
        <v>3802000</v>
      </c>
      <c r="L239" s="203">
        <v>0</v>
      </c>
      <c r="M239" s="203">
        <v>459690</v>
      </c>
      <c r="N239" s="203">
        <v>0</v>
      </c>
      <c r="O239" s="203">
        <v>459690</v>
      </c>
      <c r="P239" s="237">
        <v>0.23740675222371063</v>
      </c>
    </row>
    <row r="240" spans="1:16" s="10" customFormat="1">
      <c r="A240" s="107"/>
      <c r="B240" s="149" t="s">
        <v>1612</v>
      </c>
      <c r="C240" s="18" t="s">
        <v>513</v>
      </c>
      <c r="D240" s="30" t="s">
        <v>1939</v>
      </c>
      <c r="E240" s="17" t="s">
        <v>514</v>
      </c>
      <c r="F240" s="16">
        <v>34670000</v>
      </c>
      <c r="G240" s="203">
        <v>0</v>
      </c>
      <c r="H240" s="203">
        <v>0</v>
      </c>
      <c r="I240" s="203">
        <v>34670000</v>
      </c>
      <c r="J240" s="203">
        <v>0</v>
      </c>
      <c r="K240" s="203">
        <v>34670000</v>
      </c>
      <c r="L240" s="203">
        <v>0</v>
      </c>
      <c r="M240" s="203">
        <v>10674630</v>
      </c>
      <c r="N240" s="203">
        <v>0</v>
      </c>
      <c r="O240" s="203">
        <v>10674630</v>
      </c>
      <c r="P240" s="237">
        <v>0.23740675222371063</v>
      </c>
    </row>
    <row r="241" spans="1:16" s="10" customFormat="1">
      <c r="A241" s="107"/>
      <c r="B241" s="149" t="s">
        <v>1613</v>
      </c>
      <c r="C241" s="18" t="s">
        <v>515</v>
      </c>
      <c r="D241" s="30" t="s">
        <v>1940</v>
      </c>
      <c r="E241" s="17" t="s">
        <v>516</v>
      </c>
      <c r="F241" s="16">
        <v>3526000</v>
      </c>
      <c r="G241" s="203">
        <v>0</v>
      </c>
      <c r="H241" s="203">
        <v>2500000</v>
      </c>
      <c r="I241" s="203">
        <v>6026000</v>
      </c>
      <c r="J241" s="203">
        <v>2500000</v>
      </c>
      <c r="K241" s="203">
        <v>3131930</v>
      </c>
      <c r="L241" s="203">
        <v>0</v>
      </c>
      <c r="M241" s="203">
        <v>631930</v>
      </c>
      <c r="N241" s="203">
        <v>0</v>
      </c>
      <c r="O241" s="203">
        <v>631930</v>
      </c>
      <c r="P241" s="237">
        <v>0.23740675222371063</v>
      </c>
    </row>
    <row r="242" spans="1:16" s="2" customFormat="1">
      <c r="A242" s="107"/>
      <c r="B242" s="149"/>
      <c r="C242" s="18" t="s">
        <v>517</v>
      </c>
      <c r="D242" s="30" t="s">
        <v>1942</v>
      </c>
      <c r="E242" s="203" t="s">
        <v>518</v>
      </c>
      <c r="F242" s="16"/>
      <c r="G242" s="203">
        <v>0</v>
      </c>
      <c r="H242" s="203">
        <v>0</v>
      </c>
      <c r="I242" s="203">
        <v>0</v>
      </c>
      <c r="J242" s="203">
        <v>0</v>
      </c>
      <c r="K242" s="203">
        <v>0</v>
      </c>
      <c r="L242" s="203">
        <v>0</v>
      </c>
      <c r="M242" s="203">
        <v>0</v>
      </c>
      <c r="N242" s="203">
        <v>0</v>
      </c>
      <c r="O242" s="203">
        <v>0</v>
      </c>
      <c r="P242" s="237">
        <v>0.23740675222371063</v>
      </c>
    </row>
    <row r="243" spans="1:16" s="3" customFormat="1">
      <c r="A243" s="169" t="s">
        <v>519</v>
      </c>
      <c r="B243" s="146" t="s">
        <v>1917</v>
      </c>
      <c r="C243" s="147" t="s">
        <v>520</v>
      </c>
      <c r="D243" s="65"/>
      <c r="E243" s="32" t="s">
        <v>186</v>
      </c>
      <c r="F243" s="66">
        <f>+F244</f>
        <v>4689738000</v>
      </c>
      <c r="G243" s="66">
        <f t="shared" ref="G243:O243" si="78">+G244</f>
        <v>8432590</v>
      </c>
      <c r="H243" s="66">
        <f t="shared" si="78"/>
        <v>51723212</v>
      </c>
      <c r="I243" s="66">
        <f t="shared" si="78"/>
        <v>4741461212</v>
      </c>
      <c r="J243" s="66">
        <f t="shared" si="78"/>
        <v>316000000</v>
      </c>
      <c r="K243" s="66">
        <f t="shared" si="78"/>
        <v>4576193922</v>
      </c>
      <c r="L243" s="66">
        <f t="shared" si="78"/>
        <v>156576800</v>
      </c>
      <c r="M243" s="66">
        <f t="shared" si="78"/>
        <v>2227903900</v>
      </c>
      <c r="N243" s="66">
        <f t="shared" si="78"/>
        <v>156576800</v>
      </c>
      <c r="O243" s="66">
        <f t="shared" si="78"/>
        <v>2227903900</v>
      </c>
      <c r="P243" s="236">
        <v>0.23740675222371063</v>
      </c>
    </row>
    <row r="244" spans="1:16" s="3" customFormat="1">
      <c r="A244" s="134" t="s">
        <v>521</v>
      </c>
      <c r="B244" s="123" t="s">
        <v>1916</v>
      </c>
      <c r="C244" s="124" t="s">
        <v>522</v>
      </c>
      <c r="D244" s="67"/>
      <c r="E244" s="25" t="s">
        <v>189</v>
      </c>
      <c r="F244" s="68">
        <f>+F245+F254</f>
        <v>4689738000</v>
      </c>
      <c r="G244" s="68">
        <f t="shared" ref="G244:O244" si="79">+G245+G254</f>
        <v>8432590</v>
      </c>
      <c r="H244" s="68">
        <f t="shared" si="79"/>
        <v>51723212</v>
      </c>
      <c r="I244" s="68">
        <f t="shared" si="79"/>
        <v>4741461212</v>
      </c>
      <c r="J244" s="68">
        <f t="shared" si="79"/>
        <v>316000000</v>
      </c>
      <c r="K244" s="68">
        <f t="shared" si="79"/>
        <v>4576193922</v>
      </c>
      <c r="L244" s="68">
        <f t="shared" si="79"/>
        <v>156576800</v>
      </c>
      <c r="M244" s="68">
        <f t="shared" si="79"/>
        <v>2227903900</v>
      </c>
      <c r="N244" s="68">
        <f t="shared" si="79"/>
        <v>156576800</v>
      </c>
      <c r="O244" s="68">
        <f t="shared" si="79"/>
        <v>2227903900</v>
      </c>
      <c r="P244" s="229">
        <v>0.23740675222371063</v>
      </c>
    </row>
    <row r="245" spans="1:16" s="10" customFormat="1">
      <c r="A245" s="170"/>
      <c r="B245" s="125"/>
      <c r="C245" s="126" t="s">
        <v>523</v>
      </c>
      <c r="D245" s="29"/>
      <c r="E245" s="19" t="s">
        <v>524</v>
      </c>
      <c r="F245" s="20">
        <f>SUM(F246:F253)</f>
        <v>4391525000</v>
      </c>
      <c r="G245" s="20">
        <f t="shared" ref="G245:O245" si="80">SUM(G246:G253)</f>
        <v>8432590</v>
      </c>
      <c r="H245" s="20">
        <f t="shared" si="80"/>
        <v>-847942</v>
      </c>
      <c r="I245" s="20">
        <f t="shared" si="80"/>
        <v>4390677058</v>
      </c>
      <c r="J245" s="20">
        <f t="shared" si="80"/>
        <v>300000000</v>
      </c>
      <c r="K245" s="20">
        <f t="shared" si="80"/>
        <v>4273089318</v>
      </c>
      <c r="L245" s="20">
        <f t="shared" si="80"/>
        <v>156576800</v>
      </c>
      <c r="M245" s="20">
        <f t="shared" si="80"/>
        <v>2081488420</v>
      </c>
      <c r="N245" s="20">
        <f t="shared" si="80"/>
        <v>156576800</v>
      </c>
      <c r="O245" s="20">
        <f t="shared" si="80"/>
        <v>2081488420</v>
      </c>
      <c r="P245" s="243">
        <v>0.23740675222371063</v>
      </c>
    </row>
    <row r="246" spans="1:16" s="10" customFormat="1">
      <c r="A246" s="107"/>
      <c r="B246" s="149" t="s">
        <v>1601</v>
      </c>
      <c r="C246" s="18" t="s">
        <v>525</v>
      </c>
      <c r="D246" s="30" t="s">
        <v>1936</v>
      </c>
      <c r="E246" s="17" t="s">
        <v>526</v>
      </c>
      <c r="F246" s="16">
        <v>733050000</v>
      </c>
      <c r="G246" s="203">
        <v>0</v>
      </c>
      <c r="H246" s="203">
        <v>0</v>
      </c>
      <c r="I246" s="203">
        <v>733050000</v>
      </c>
      <c r="J246" s="203">
        <v>0</v>
      </c>
      <c r="K246" s="203">
        <v>733050000</v>
      </c>
      <c r="L246" s="203">
        <v>32462600</v>
      </c>
      <c r="M246" s="203">
        <v>338880660</v>
      </c>
      <c r="N246" s="203">
        <v>32462600</v>
      </c>
      <c r="O246" s="203">
        <v>338880660</v>
      </c>
      <c r="P246" s="237">
        <v>0.23740675222371063</v>
      </c>
    </row>
    <row r="247" spans="1:16" s="10" customFormat="1">
      <c r="A247" s="107"/>
      <c r="B247" s="149" t="s">
        <v>1602</v>
      </c>
      <c r="C247" s="18" t="s">
        <v>527</v>
      </c>
      <c r="D247" s="30" t="s">
        <v>1937</v>
      </c>
      <c r="E247" s="17" t="s">
        <v>528</v>
      </c>
      <c r="F247" s="16">
        <v>1008964000</v>
      </c>
      <c r="G247" s="203">
        <v>0</v>
      </c>
      <c r="H247" s="203">
        <v>0</v>
      </c>
      <c r="I247" s="203">
        <v>1008964000</v>
      </c>
      <c r="J247" s="203">
        <v>0</v>
      </c>
      <c r="K247" s="203">
        <v>1008964000</v>
      </c>
      <c r="L247" s="203">
        <v>27040400</v>
      </c>
      <c r="M247" s="203">
        <v>444427620</v>
      </c>
      <c r="N247" s="203">
        <v>27040400</v>
      </c>
      <c r="O247" s="203">
        <v>444427620</v>
      </c>
      <c r="P247" s="237">
        <v>0.23740675222371063</v>
      </c>
    </row>
    <row r="248" spans="1:16" s="10" customFormat="1">
      <c r="A248" s="107"/>
      <c r="B248" s="149" t="s">
        <v>1603</v>
      </c>
      <c r="C248" s="18" t="s">
        <v>529</v>
      </c>
      <c r="D248" s="30" t="s">
        <v>1938</v>
      </c>
      <c r="E248" s="17" t="s">
        <v>530</v>
      </c>
      <c r="F248" s="16">
        <v>536879000</v>
      </c>
      <c r="G248" s="203">
        <v>0</v>
      </c>
      <c r="H248" s="203">
        <v>0</v>
      </c>
      <c r="I248" s="203">
        <v>536879000</v>
      </c>
      <c r="J248" s="203">
        <v>0</v>
      </c>
      <c r="K248" s="203">
        <v>536879000</v>
      </c>
      <c r="L248" s="203">
        <v>18175900</v>
      </c>
      <c r="M248" s="203">
        <v>279043340</v>
      </c>
      <c r="N248" s="203">
        <v>18175900</v>
      </c>
      <c r="O248" s="203">
        <v>279043340</v>
      </c>
      <c r="P248" s="237">
        <v>0.23740675222371063</v>
      </c>
    </row>
    <row r="249" spans="1:16" s="10" customFormat="1">
      <c r="A249" s="107"/>
      <c r="B249" s="149" t="s">
        <v>1604</v>
      </c>
      <c r="C249" s="18" t="s">
        <v>531</v>
      </c>
      <c r="D249" s="30" t="s">
        <v>1939</v>
      </c>
      <c r="E249" s="17" t="s">
        <v>532</v>
      </c>
      <c r="F249" s="16">
        <v>836160000</v>
      </c>
      <c r="G249" s="203">
        <v>0</v>
      </c>
      <c r="H249" s="203">
        <v>0</v>
      </c>
      <c r="I249" s="203">
        <v>836160000</v>
      </c>
      <c r="J249" s="203">
        <v>0</v>
      </c>
      <c r="K249" s="203">
        <v>836160000</v>
      </c>
      <c r="L249" s="203">
        <v>30576900</v>
      </c>
      <c r="M249" s="203">
        <v>398550260</v>
      </c>
      <c r="N249" s="203">
        <v>30576900</v>
      </c>
      <c r="O249" s="203">
        <v>398550260</v>
      </c>
      <c r="P249" s="237">
        <v>0.23740675222371063</v>
      </c>
    </row>
    <row r="250" spans="1:16" s="10" customFormat="1">
      <c r="A250" s="107"/>
      <c r="B250" s="149" t="s">
        <v>1605</v>
      </c>
      <c r="C250" s="18" t="s">
        <v>533</v>
      </c>
      <c r="D250" s="30" t="s">
        <v>1940</v>
      </c>
      <c r="E250" s="17" t="s">
        <v>534</v>
      </c>
      <c r="F250" s="16">
        <v>760233000</v>
      </c>
      <c r="G250" s="203">
        <v>0</v>
      </c>
      <c r="H250" s="203">
        <v>0</v>
      </c>
      <c r="I250" s="203">
        <v>760233000</v>
      </c>
      <c r="J250" s="203">
        <v>300000000</v>
      </c>
      <c r="K250" s="203">
        <v>651077850</v>
      </c>
      <c r="L250" s="203">
        <v>23468000</v>
      </c>
      <c r="M250" s="203">
        <v>374545850</v>
      </c>
      <c r="N250" s="203">
        <v>23468000</v>
      </c>
      <c r="O250" s="203">
        <v>374545850</v>
      </c>
      <c r="P250" s="237">
        <v>0.23740675222371063</v>
      </c>
    </row>
    <row r="251" spans="1:16" s="10" customFormat="1">
      <c r="A251" s="107"/>
      <c r="B251" s="149" t="s">
        <v>1606</v>
      </c>
      <c r="C251" s="18" t="s">
        <v>535</v>
      </c>
      <c r="D251" s="30" t="s">
        <v>1941</v>
      </c>
      <c r="E251" s="17" t="s">
        <v>536</v>
      </c>
      <c r="F251" s="16">
        <v>151957000</v>
      </c>
      <c r="G251" s="203">
        <v>8432590</v>
      </c>
      <c r="H251" s="203">
        <v>9152058</v>
      </c>
      <c r="I251" s="203">
        <v>161109058</v>
      </c>
      <c r="J251" s="203">
        <v>0</v>
      </c>
      <c r="K251" s="203">
        <v>152676468</v>
      </c>
      <c r="L251" s="203">
        <v>5165500</v>
      </c>
      <c r="M251" s="203">
        <v>77637150</v>
      </c>
      <c r="N251" s="203">
        <v>5165500</v>
      </c>
      <c r="O251" s="203">
        <v>77637150</v>
      </c>
      <c r="P251" s="237">
        <v>0.23740675222371063</v>
      </c>
    </row>
    <row r="252" spans="1:16" s="10" customFormat="1">
      <c r="A252" s="107"/>
      <c r="B252" s="149" t="s">
        <v>1607</v>
      </c>
      <c r="C252" s="18" t="s">
        <v>537</v>
      </c>
      <c r="D252" s="30" t="s">
        <v>1942</v>
      </c>
      <c r="E252" s="17" t="s">
        <v>538</v>
      </c>
      <c r="F252" s="16">
        <v>337163000</v>
      </c>
      <c r="G252" s="203">
        <v>0</v>
      </c>
      <c r="H252" s="203">
        <v>-10000000</v>
      </c>
      <c r="I252" s="203">
        <v>327163000</v>
      </c>
      <c r="J252" s="203">
        <v>0</v>
      </c>
      <c r="K252" s="203">
        <v>327163000</v>
      </c>
      <c r="L252" s="203">
        <v>19687500</v>
      </c>
      <c r="M252" s="203">
        <v>162027880</v>
      </c>
      <c r="N252" s="203">
        <v>19687500</v>
      </c>
      <c r="O252" s="203">
        <v>162027880</v>
      </c>
      <c r="P252" s="237">
        <v>0.23740675222371063</v>
      </c>
    </row>
    <row r="253" spans="1:16" s="3" customFormat="1">
      <c r="A253" s="107"/>
      <c r="B253" s="149" t="s">
        <v>1608</v>
      </c>
      <c r="C253" s="18" t="s">
        <v>539</v>
      </c>
      <c r="D253" s="30" t="s">
        <v>1913</v>
      </c>
      <c r="E253" s="17" t="s">
        <v>540</v>
      </c>
      <c r="F253" s="16">
        <v>27119000</v>
      </c>
      <c r="G253" s="203">
        <v>0</v>
      </c>
      <c r="H253" s="203">
        <v>0</v>
      </c>
      <c r="I253" s="203">
        <v>27119000</v>
      </c>
      <c r="J253" s="203">
        <v>0</v>
      </c>
      <c r="K253" s="203">
        <v>27119000</v>
      </c>
      <c r="L253" s="203">
        <v>0</v>
      </c>
      <c r="M253" s="203">
        <v>6375660</v>
      </c>
      <c r="N253" s="203">
        <v>0</v>
      </c>
      <c r="O253" s="203">
        <v>6375660</v>
      </c>
      <c r="P253" s="237">
        <v>0.23740675222371063</v>
      </c>
    </row>
    <row r="254" spans="1:16" s="10" customFormat="1">
      <c r="A254" s="170"/>
      <c r="B254" s="125"/>
      <c r="C254" s="126" t="s">
        <v>541</v>
      </c>
      <c r="D254" s="29"/>
      <c r="E254" s="19" t="s">
        <v>542</v>
      </c>
      <c r="F254" s="20">
        <f>SUM(F255:F260)</f>
        <v>298213000</v>
      </c>
      <c r="G254" s="20">
        <f t="shared" ref="G254:O254" si="81">SUM(G255:G260)</f>
        <v>0</v>
      </c>
      <c r="H254" s="20">
        <f t="shared" si="81"/>
        <v>52571154</v>
      </c>
      <c r="I254" s="20">
        <f t="shared" si="81"/>
        <v>350784154</v>
      </c>
      <c r="J254" s="20">
        <f t="shared" si="81"/>
        <v>16000000</v>
      </c>
      <c r="K254" s="20">
        <f t="shared" si="81"/>
        <v>303104604</v>
      </c>
      <c r="L254" s="20">
        <f t="shared" si="81"/>
        <v>0</v>
      </c>
      <c r="M254" s="20">
        <f t="shared" si="81"/>
        <v>146415480</v>
      </c>
      <c r="N254" s="20">
        <f t="shared" si="81"/>
        <v>0</v>
      </c>
      <c r="O254" s="20">
        <f t="shared" si="81"/>
        <v>146415480</v>
      </c>
      <c r="P254" s="243">
        <v>0.23740675222371063</v>
      </c>
    </row>
    <row r="255" spans="1:16" s="10" customFormat="1">
      <c r="A255" s="107"/>
      <c r="B255" s="149" t="s">
        <v>1757</v>
      </c>
      <c r="C255" s="18" t="s">
        <v>543</v>
      </c>
      <c r="D255" s="30" t="s">
        <v>1936</v>
      </c>
      <c r="E255" s="17" t="s">
        <v>544</v>
      </c>
      <c r="F255" s="16">
        <v>64696000</v>
      </c>
      <c r="G255" s="203">
        <v>0</v>
      </c>
      <c r="H255" s="203">
        <v>6000000</v>
      </c>
      <c r="I255" s="203">
        <v>70696000</v>
      </c>
      <c r="J255" s="203">
        <v>0</v>
      </c>
      <c r="K255" s="203">
        <v>28939450</v>
      </c>
      <c r="L255" s="203">
        <v>0</v>
      </c>
      <c r="M255" s="203">
        <v>28939450</v>
      </c>
      <c r="N255" s="203">
        <v>0</v>
      </c>
      <c r="O255" s="203">
        <v>28939450</v>
      </c>
      <c r="P255" s="237">
        <v>0.23740675222371063</v>
      </c>
    </row>
    <row r="256" spans="1:16" s="10" customFormat="1">
      <c r="A256" s="107"/>
      <c r="B256" s="149" t="s">
        <v>1758</v>
      </c>
      <c r="C256" s="18" t="s">
        <v>545</v>
      </c>
      <c r="D256" s="30" t="s">
        <v>1937</v>
      </c>
      <c r="E256" s="17" t="s">
        <v>546</v>
      </c>
      <c r="F256" s="16">
        <v>146360000</v>
      </c>
      <c r="G256" s="203">
        <v>0</v>
      </c>
      <c r="H256" s="203">
        <v>32571154</v>
      </c>
      <c r="I256" s="203">
        <v>178931154</v>
      </c>
      <c r="J256" s="203">
        <v>0</v>
      </c>
      <c r="K256" s="203">
        <v>178931154</v>
      </c>
      <c r="L256" s="203">
        <v>0</v>
      </c>
      <c r="M256" s="203">
        <v>70769780</v>
      </c>
      <c r="N256" s="203">
        <v>0</v>
      </c>
      <c r="O256" s="203">
        <v>70769780</v>
      </c>
      <c r="P256" s="237">
        <v>0.23740675222371063</v>
      </c>
    </row>
    <row r="257" spans="1:16" s="10" customFormat="1">
      <c r="A257" s="107"/>
      <c r="B257" s="149" t="s">
        <v>1759</v>
      </c>
      <c r="C257" s="18" t="s">
        <v>547</v>
      </c>
      <c r="D257" s="30" t="s">
        <v>1938</v>
      </c>
      <c r="E257" s="17" t="s">
        <v>548</v>
      </c>
      <c r="F257" s="16">
        <v>11397000</v>
      </c>
      <c r="G257" s="203">
        <v>0</v>
      </c>
      <c r="H257" s="203">
        <v>0</v>
      </c>
      <c r="I257" s="203">
        <v>11397000</v>
      </c>
      <c r="J257" s="203">
        <v>0</v>
      </c>
      <c r="K257" s="203">
        <v>11397000</v>
      </c>
      <c r="L257" s="203">
        <v>0</v>
      </c>
      <c r="M257" s="203">
        <v>6377620</v>
      </c>
      <c r="N257" s="203">
        <v>0</v>
      </c>
      <c r="O257" s="203">
        <v>6377620</v>
      </c>
      <c r="P257" s="237">
        <v>0.23740675222371063</v>
      </c>
    </row>
    <row r="258" spans="1:16" s="10" customFormat="1">
      <c r="A258" s="107"/>
      <c r="B258" s="149" t="s">
        <v>1760</v>
      </c>
      <c r="C258" s="18" t="s">
        <v>549</v>
      </c>
      <c r="D258" s="30" t="s">
        <v>1939</v>
      </c>
      <c r="E258" s="17" t="s">
        <v>550</v>
      </c>
      <c r="F258" s="16">
        <v>49973000</v>
      </c>
      <c r="G258" s="203">
        <v>0</v>
      </c>
      <c r="H258" s="203">
        <v>0</v>
      </c>
      <c r="I258" s="203">
        <v>49973000</v>
      </c>
      <c r="J258" s="203">
        <v>0</v>
      </c>
      <c r="K258" s="203">
        <v>49973000</v>
      </c>
      <c r="L258" s="203">
        <v>0</v>
      </c>
      <c r="M258" s="203">
        <v>22464630</v>
      </c>
      <c r="N258" s="203">
        <v>0</v>
      </c>
      <c r="O258" s="203">
        <v>22464630</v>
      </c>
      <c r="P258" s="237">
        <v>0.23740675222371063</v>
      </c>
    </row>
    <row r="259" spans="1:16" s="10" customFormat="1">
      <c r="A259" s="107"/>
      <c r="B259" s="149" t="s">
        <v>1761</v>
      </c>
      <c r="C259" s="18" t="s">
        <v>551</v>
      </c>
      <c r="D259" s="30" t="s">
        <v>1940</v>
      </c>
      <c r="E259" s="17" t="s">
        <v>552</v>
      </c>
      <c r="F259" s="16">
        <v>25787000</v>
      </c>
      <c r="G259" s="203">
        <v>0</v>
      </c>
      <c r="H259" s="203">
        <v>14000000</v>
      </c>
      <c r="I259" s="203">
        <v>39787000</v>
      </c>
      <c r="J259" s="203">
        <v>16000000</v>
      </c>
      <c r="K259" s="203">
        <v>33864000</v>
      </c>
      <c r="L259" s="203">
        <v>0</v>
      </c>
      <c r="M259" s="203">
        <v>17864000</v>
      </c>
      <c r="N259" s="203">
        <v>0</v>
      </c>
      <c r="O259" s="203">
        <v>17864000</v>
      </c>
      <c r="P259" s="237">
        <v>0.23740675222371063</v>
      </c>
    </row>
    <row r="260" spans="1:16" s="2" customFormat="1">
      <c r="A260" s="107"/>
      <c r="B260" s="149"/>
      <c r="C260" s="18" t="s">
        <v>553</v>
      </c>
      <c r="D260" s="30" t="s">
        <v>1942</v>
      </c>
      <c r="E260" s="226" t="s">
        <v>554</v>
      </c>
      <c r="F260" s="16"/>
      <c r="G260" s="203">
        <v>0</v>
      </c>
      <c r="H260" s="203">
        <v>0</v>
      </c>
      <c r="I260" s="203">
        <v>0</v>
      </c>
      <c r="J260" s="203">
        <v>0</v>
      </c>
      <c r="K260" s="203">
        <v>0</v>
      </c>
      <c r="L260" s="203">
        <v>0</v>
      </c>
      <c r="M260" s="203">
        <v>0</v>
      </c>
      <c r="N260" s="203">
        <v>0</v>
      </c>
      <c r="O260" s="203">
        <v>0</v>
      </c>
      <c r="P260" s="237">
        <v>0.23740675222371063</v>
      </c>
    </row>
    <row r="261" spans="1:16" s="3" customFormat="1">
      <c r="A261" s="169" t="s">
        <v>555</v>
      </c>
      <c r="B261" s="146" t="s">
        <v>1599</v>
      </c>
      <c r="C261" s="147" t="s">
        <v>556</v>
      </c>
      <c r="D261" s="65"/>
      <c r="E261" s="32" t="s">
        <v>198</v>
      </c>
      <c r="F261" s="66">
        <f>+F262+F279</f>
        <v>5783599000</v>
      </c>
      <c r="G261" s="66">
        <f t="shared" ref="G261:O261" si="82">+G262+G279</f>
        <v>5168900</v>
      </c>
      <c r="H261" s="66">
        <f t="shared" si="82"/>
        <v>133669277</v>
      </c>
      <c r="I261" s="66">
        <f t="shared" si="82"/>
        <v>5917268277</v>
      </c>
      <c r="J261" s="66">
        <f t="shared" si="82"/>
        <v>0</v>
      </c>
      <c r="K261" s="66">
        <f t="shared" si="82"/>
        <v>5877702823</v>
      </c>
      <c r="L261" s="66">
        <f t="shared" si="82"/>
        <v>623128486</v>
      </c>
      <c r="M261" s="66">
        <f t="shared" si="82"/>
        <v>5333567497</v>
      </c>
      <c r="N261" s="66">
        <f t="shared" si="82"/>
        <v>17584934</v>
      </c>
      <c r="O261" s="66">
        <f t="shared" si="82"/>
        <v>1637711582</v>
      </c>
      <c r="P261" s="236">
        <v>0.23740675222371063</v>
      </c>
    </row>
    <row r="262" spans="1:16" s="3" customFormat="1">
      <c r="A262" s="134" t="s">
        <v>557</v>
      </c>
      <c r="B262" s="123" t="s">
        <v>1600</v>
      </c>
      <c r="C262" s="124" t="s">
        <v>558</v>
      </c>
      <c r="D262" s="67"/>
      <c r="E262" s="25" t="s">
        <v>201</v>
      </c>
      <c r="F262" s="68">
        <f>+F263+F272</f>
        <v>5092994000</v>
      </c>
      <c r="G262" s="68">
        <f t="shared" ref="G262:O262" si="83">+G263+G272</f>
        <v>5168900</v>
      </c>
      <c r="H262" s="68">
        <f t="shared" si="83"/>
        <v>133169277</v>
      </c>
      <c r="I262" s="68">
        <f t="shared" si="83"/>
        <v>5226163277</v>
      </c>
      <c r="J262" s="68">
        <f t="shared" si="83"/>
        <v>0</v>
      </c>
      <c r="K262" s="68">
        <f t="shared" si="83"/>
        <v>5187097823</v>
      </c>
      <c r="L262" s="68">
        <f t="shared" si="83"/>
        <v>625846819</v>
      </c>
      <c r="M262" s="68">
        <f t="shared" si="83"/>
        <v>4648722903</v>
      </c>
      <c r="N262" s="68">
        <f t="shared" si="83"/>
        <v>16391954</v>
      </c>
      <c r="O262" s="68">
        <f t="shared" si="83"/>
        <v>1416124267</v>
      </c>
      <c r="P262" s="229">
        <v>0.23740675222371063</v>
      </c>
    </row>
    <row r="263" spans="1:16" s="10" customFormat="1">
      <c r="A263" s="170"/>
      <c r="B263" s="125"/>
      <c r="C263" s="126" t="s">
        <v>559</v>
      </c>
      <c r="D263" s="29"/>
      <c r="E263" s="19" t="s">
        <v>560</v>
      </c>
      <c r="F263" s="20">
        <f>SUM(F264:F271)</f>
        <v>4738505000</v>
      </c>
      <c r="G263" s="20">
        <f t="shared" ref="G263:O263" si="84">SUM(G264:G271)</f>
        <v>5168900</v>
      </c>
      <c r="H263" s="20">
        <f t="shared" si="84"/>
        <v>68473354</v>
      </c>
      <c r="I263" s="20">
        <f t="shared" si="84"/>
        <v>4806978354</v>
      </c>
      <c r="J263" s="20">
        <f t="shared" si="84"/>
        <v>0</v>
      </c>
      <c r="K263" s="20">
        <f t="shared" si="84"/>
        <v>4769798878</v>
      </c>
      <c r="L263" s="20">
        <f t="shared" si="84"/>
        <v>467359978</v>
      </c>
      <c r="M263" s="20">
        <f t="shared" si="84"/>
        <v>4300450709</v>
      </c>
      <c r="N263" s="20">
        <f t="shared" si="84"/>
        <v>14791507</v>
      </c>
      <c r="O263" s="20">
        <f t="shared" si="84"/>
        <v>1238272962</v>
      </c>
      <c r="P263" s="243">
        <v>0.23740675222371063</v>
      </c>
    </row>
    <row r="264" spans="1:16" s="10" customFormat="1">
      <c r="A264" s="107"/>
      <c r="B264" s="149" t="s">
        <v>1592</v>
      </c>
      <c r="C264" s="18" t="s">
        <v>561</v>
      </c>
      <c r="D264" s="30" t="s">
        <v>1936</v>
      </c>
      <c r="E264" s="17" t="s">
        <v>562</v>
      </c>
      <c r="F264" s="16">
        <v>897921000</v>
      </c>
      <c r="G264" s="203">
        <v>0</v>
      </c>
      <c r="H264" s="203">
        <v>0</v>
      </c>
      <c r="I264" s="203">
        <v>897921000</v>
      </c>
      <c r="J264" s="203">
        <v>0</v>
      </c>
      <c r="K264" s="203">
        <v>897921000</v>
      </c>
      <c r="L264" s="203">
        <v>12275384</v>
      </c>
      <c r="M264" s="203">
        <v>797880585</v>
      </c>
      <c r="N264" s="203">
        <v>0</v>
      </c>
      <c r="O264" s="203">
        <v>175578172</v>
      </c>
      <c r="P264" s="237">
        <v>0.23740675222371063</v>
      </c>
    </row>
    <row r="265" spans="1:16" s="10" customFormat="1">
      <c r="A265" s="107"/>
      <c r="B265" s="149" t="s">
        <v>1593</v>
      </c>
      <c r="C265" s="18" t="s">
        <v>563</v>
      </c>
      <c r="D265" s="30" t="s">
        <v>1937</v>
      </c>
      <c r="E265" s="17" t="s">
        <v>564</v>
      </c>
      <c r="F265" s="16">
        <v>1169131000</v>
      </c>
      <c r="G265" s="203">
        <v>0</v>
      </c>
      <c r="H265" s="203">
        <v>31427665</v>
      </c>
      <c r="I265" s="203">
        <v>1200558665</v>
      </c>
      <c r="J265" s="203">
        <v>0</v>
      </c>
      <c r="K265" s="203">
        <v>1169131000</v>
      </c>
      <c r="L265" s="203">
        <v>30614530</v>
      </c>
      <c r="M265" s="203">
        <v>1084684180</v>
      </c>
      <c r="N265" s="203">
        <v>595482</v>
      </c>
      <c r="O265" s="203">
        <v>347439485</v>
      </c>
      <c r="P265" s="237">
        <v>0.23740675222371063</v>
      </c>
    </row>
    <row r="266" spans="1:16" s="10" customFormat="1">
      <c r="A266" s="107"/>
      <c r="B266" s="149"/>
      <c r="C266" s="18" t="s">
        <v>565</v>
      </c>
      <c r="D266" s="30" t="s">
        <v>1938</v>
      </c>
      <c r="E266" s="219" t="s">
        <v>566</v>
      </c>
      <c r="F266" s="16">
        <v>0</v>
      </c>
      <c r="G266" s="203">
        <v>0</v>
      </c>
      <c r="H266" s="203">
        <v>0</v>
      </c>
      <c r="I266" s="203">
        <v>0</v>
      </c>
      <c r="J266" s="203">
        <v>0</v>
      </c>
      <c r="K266" s="203">
        <v>0</v>
      </c>
      <c r="L266" s="203">
        <v>0</v>
      </c>
      <c r="M266" s="203">
        <v>0</v>
      </c>
      <c r="N266" s="203">
        <v>0</v>
      </c>
      <c r="O266" s="203">
        <v>0</v>
      </c>
      <c r="P266" s="237">
        <v>0.23740675222371063</v>
      </c>
    </row>
    <row r="267" spans="1:16" s="10" customFormat="1">
      <c r="A267" s="107"/>
      <c r="B267" s="149" t="s">
        <v>1594</v>
      </c>
      <c r="C267" s="18" t="s">
        <v>567</v>
      </c>
      <c r="D267" s="30" t="s">
        <v>1939</v>
      </c>
      <c r="E267" s="17" t="s">
        <v>568</v>
      </c>
      <c r="F267" s="16">
        <v>1102477000</v>
      </c>
      <c r="G267" s="203">
        <v>0</v>
      </c>
      <c r="H267" s="203">
        <v>0</v>
      </c>
      <c r="I267" s="203">
        <v>1102477000</v>
      </c>
      <c r="J267" s="203">
        <v>0</v>
      </c>
      <c r="K267" s="203">
        <v>1102477000</v>
      </c>
      <c r="L267" s="203">
        <v>10005516</v>
      </c>
      <c r="M267" s="203">
        <v>929917737</v>
      </c>
      <c r="N267" s="203">
        <v>0</v>
      </c>
      <c r="O267" s="203">
        <v>268838024</v>
      </c>
      <c r="P267" s="237">
        <v>0.23740675222371063</v>
      </c>
    </row>
    <row r="268" spans="1:16" s="10" customFormat="1">
      <c r="A268" s="107"/>
      <c r="B268" s="149" t="s">
        <v>1595</v>
      </c>
      <c r="C268" s="18" t="s">
        <v>569</v>
      </c>
      <c r="D268" s="30" t="s">
        <v>1940</v>
      </c>
      <c r="E268" s="17" t="s">
        <v>570</v>
      </c>
      <c r="F268" s="16">
        <v>957878000</v>
      </c>
      <c r="G268" s="203">
        <v>0</v>
      </c>
      <c r="H268" s="203">
        <v>0</v>
      </c>
      <c r="I268" s="203">
        <v>957878000</v>
      </c>
      <c r="J268" s="203">
        <v>0</v>
      </c>
      <c r="K268" s="203">
        <v>957295089</v>
      </c>
      <c r="L268" s="203">
        <v>312493860</v>
      </c>
      <c r="M268" s="203">
        <v>904194876</v>
      </c>
      <c r="N268" s="203">
        <v>13059472</v>
      </c>
      <c r="O268" s="203">
        <v>299791207</v>
      </c>
      <c r="P268" s="237">
        <v>0.23740675222371063</v>
      </c>
    </row>
    <row r="269" spans="1:16" s="10" customFormat="1">
      <c r="A269" s="107"/>
      <c r="B269" s="149" t="s">
        <v>1596</v>
      </c>
      <c r="C269" s="18" t="s">
        <v>571</v>
      </c>
      <c r="D269" s="30" t="s">
        <v>1941</v>
      </c>
      <c r="E269" s="17" t="s">
        <v>572</v>
      </c>
      <c r="F269" s="16">
        <v>167867000</v>
      </c>
      <c r="G269" s="203">
        <v>5168900</v>
      </c>
      <c r="H269" s="203">
        <v>30045689</v>
      </c>
      <c r="I269" s="203">
        <v>197912689</v>
      </c>
      <c r="J269" s="203">
        <v>0</v>
      </c>
      <c r="K269" s="203">
        <v>192743789</v>
      </c>
      <c r="L269" s="203">
        <v>79415688</v>
      </c>
      <c r="M269" s="203">
        <v>184532056</v>
      </c>
      <c r="N269" s="203">
        <v>810096</v>
      </c>
      <c r="O269" s="203">
        <v>82847563</v>
      </c>
      <c r="P269" s="237">
        <v>0.23740675222371063</v>
      </c>
    </row>
    <row r="270" spans="1:16" s="10" customFormat="1">
      <c r="A270" s="107"/>
      <c r="B270" s="149" t="s">
        <v>1597</v>
      </c>
      <c r="C270" s="18" t="s">
        <v>573</v>
      </c>
      <c r="D270" s="30" t="s">
        <v>1942</v>
      </c>
      <c r="E270" s="17" t="s">
        <v>574</v>
      </c>
      <c r="F270" s="16">
        <v>409355000</v>
      </c>
      <c r="G270" s="203">
        <v>0</v>
      </c>
      <c r="H270" s="203">
        <v>7000000</v>
      </c>
      <c r="I270" s="203">
        <v>416355000</v>
      </c>
      <c r="J270" s="203">
        <v>0</v>
      </c>
      <c r="K270" s="203">
        <v>416355000</v>
      </c>
      <c r="L270" s="203">
        <v>11149411</v>
      </c>
      <c r="M270" s="203">
        <v>380599223</v>
      </c>
      <c r="N270" s="203">
        <v>0</v>
      </c>
      <c r="O270" s="203">
        <v>56215591</v>
      </c>
      <c r="P270" s="237">
        <v>0.23740675222371063</v>
      </c>
    </row>
    <row r="271" spans="1:16" s="3" customFormat="1">
      <c r="A271" s="107"/>
      <c r="B271" s="149" t="s">
        <v>1598</v>
      </c>
      <c r="C271" s="18" t="s">
        <v>575</v>
      </c>
      <c r="D271" s="30" t="s">
        <v>1913</v>
      </c>
      <c r="E271" s="17" t="s">
        <v>576</v>
      </c>
      <c r="F271" s="16">
        <v>33876000</v>
      </c>
      <c r="G271" s="203">
        <v>0</v>
      </c>
      <c r="H271" s="203">
        <v>0</v>
      </c>
      <c r="I271" s="203">
        <v>33876000</v>
      </c>
      <c r="J271" s="203">
        <v>0</v>
      </c>
      <c r="K271" s="203">
        <v>33876000</v>
      </c>
      <c r="L271" s="203">
        <v>11405589</v>
      </c>
      <c r="M271" s="203">
        <v>18642052</v>
      </c>
      <c r="N271" s="203">
        <v>326457</v>
      </c>
      <c r="O271" s="203">
        <v>7562920</v>
      </c>
      <c r="P271" s="237">
        <v>0.23740675222371063</v>
      </c>
    </row>
    <row r="272" spans="1:16" s="10" customFormat="1">
      <c r="A272" s="170"/>
      <c r="B272" s="125"/>
      <c r="C272" s="126" t="s">
        <v>577</v>
      </c>
      <c r="D272" s="29"/>
      <c r="E272" s="19" t="s">
        <v>578</v>
      </c>
      <c r="F272" s="20">
        <f>SUM(F273:F278)</f>
        <v>354489000</v>
      </c>
      <c r="G272" s="20">
        <f t="shared" ref="G272:O272" si="85">SUM(G273:G278)</f>
        <v>0</v>
      </c>
      <c r="H272" s="20">
        <f t="shared" si="85"/>
        <v>64695923</v>
      </c>
      <c r="I272" s="20">
        <f t="shared" si="85"/>
        <v>419184923</v>
      </c>
      <c r="J272" s="20">
        <f t="shared" si="85"/>
        <v>0</v>
      </c>
      <c r="K272" s="20">
        <f t="shared" si="85"/>
        <v>417298945</v>
      </c>
      <c r="L272" s="20">
        <f t="shared" si="85"/>
        <v>158486841</v>
      </c>
      <c r="M272" s="20">
        <f t="shared" si="85"/>
        <v>348272194</v>
      </c>
      <c r="N272" s="20">
        <f t="shared" si="85"/>
        <v>1600447</v>
      </c>
      <c r="O272" s="20">
        <f t="shared" si="85"/>
        <v>177851305</v>
      </c>
      <c r="P272" s="243">
        <v>0.23740675222371063</v>
      </c>
    </row>
    <row r="273" spans="1:16" s="10" customFormat="1">
      <c r="A273" s="107"/>
      <c r="B273" s="149" t="s">
        <v>1762</v>
      </c>
      <c r="C273" s="18" t="s">
        <v>579</v>
      </c>
      <c r="D273" s="30" t="s">
        <v>1936</v>
      </c>
      <c r="E273" s="227" t="s">
        <v>580</v>
      </c>
      <c r="F273" s="16">
        <v>74991000</v>
      </c>
      <c r="G273" s="203">
        <v>0</v>
      </c>
      <c r="H273" s="203">
        <v>7000000</v>
      </c>
      <c r="I273" s="203">
        <v>81991000</v>
      </c>
      <c r="J273" s="203">
        <v>0</v>
      </c>
      <c r="K273" s="203">
        <v>81991000</v>
      </c>
      <c r="L273" s="203">
        <v>16445542</v>
      </c>
      <c r="M273" s="203">
        <v>66739921</v>
      </c>
      <c r="N273" s="203">
        <v>1600447</v>
      </c>
      <c r="O273" s="203">
        <v>38360332</v>
      </c>
      <c r="P273" s="237">
        <v>0.23740675222371063</v>
      </c>
    </row>
    <row r="274" spans="1:16" s="10" customFormat="1">
      <c r="A274" s="107"/>
      <c r="B274" s="149" t="s">
        <v>1763</v>
      </c>
      <c r="C274" s="18" t="s">
        <v>581</v>
      </c>
      <c r="D274" s="30" t="s">
        <v>1937</v>
      </c>
      <c r="E274" s="227" t="s">
        <v>582</v>
      </c>
      <c r="F274" s="16">
        <v>181297000</v>
      </c>
      <c r="G274" s="203">
        <v>0</v>
      </c>
      <c r="H274" s="203">
        <v>40695923</v>
      </c>
      <c r="I274" s="203">
        <v>221992923</v>
      </c>
      <c r="J274" s="203">
        <v>0</v>
      </c>
      <c r="K274" s="203">
        <v>221992923</v>
      </c>
      <c r="L274" s="203">
        <v>102031684</v>
      </c>
      <c r="M274" s="203">
        <v>191329092</v>
      </c>
      <c r="N274" s="203">
        <v>0</v>
      </c>
      <c r="O274" s="203">
        <v>89297407</v>
      </c>
      <c r="P274" s="237">
        <v>0.23740675222371063</v>
      </c>
    </row>
    <row r="275" spans="1:16" s="10" customFormat="1">
      <c r="A275" s="107"/>
      <c r="B275" s="149"/>
      <c r="C275" s="18" t="s">
        <v>583</v>
      </c>
      <c r="D275" s="30" t="s">
        <v>1938</v>
      </c>
      <c r="E275" s="228" t="s">
        <v>584</v>
      </c>
      <c r="F275" s="16">
        <v>0</v>
      </c>
      <c r="G275" s="203">
        <v>0</v>
      </c>
      <c r="H275" s="203">
        <v>0</v>
      </c>
      <c r="I275" s="203">
        <v>0</v>
      </c>
      <c r="J275" s="203">
        <v>0</v>
      </c>
      <c r="K275" s="203">
        <v>0</v>
      </c>
      <c r="L275" s="203">
        <v>0</v>
      </c>
      <c r="M275" s="203">
        <v>0</v>
      </c>
      <c r="N275" s="203">
        <v>0</v>
      </c>
      <c r="O275" s="203">
        <v>0</v>
      </c>
      <c r="P275" s="237">
        <v>0.23740675222371063</v>
      </c>
    </row>
    <row r="276" spans="1:16" s="10" customFormat="1">
      <c r="A276" s="107"/>
      <c r="B276" s="149" t="s">
        <v>1764</v>
      </c>
      <c r="C276" s="18" t="s">
        <v>585</v>
      </c>
      <c r="D276" s="30" t="s">
        <v>1939</v>
      </c>
      <c r="E276" s="227" t="s">
        <v>586</v>
      </c>
      <c r="F276" s="16">
        <v>69186000</v>
      </c>
      <c r="G276" s="203">
        <v>0</v>
      </c>
      <c r="H276" s="203">
        <v>0</v>
      </c>
      <c r="I276" s="203">
        <v>69186000</v>
      </c>
      <c r="J276" s="203">
        <v>0</v>
      </c>
      <c r="K276" s="203">
        <v>69186000</v>
      </c>
      <c r="L276" s="203">
        <v>23137181</v>
      </c>
      <c r="M276" s="203">
        <v>51201725</v>
      </c>
      <c r="N276" s="203">
        <v>0</v>
      </c>
      <c r="O276" s="203">
        <v>28064544</v>
      </c>
      <c r="P276" s="237">
        <v>0.23740675222371063</v>
      </c>
    </row>
    <row r="277" spans="1:16" s="10" customFormat="1">
      <c r="A277" s="107"/>
      <c r="B277" s="149" t="s">
        <v>1765</v>
      </c>
      <c r="C277" s="18" t="s">
        <v>587</v>
      </c>
      <c r="D277" s="30" t="s">
        <v>1940</v>
      </c>
      <c r="E277" s="227" t="s">
        <v>588</v>
      </c>
      <c r="F277" s="16">
        <v>29015000</v>
      </c>
      <c r="G277" s="203">
        <v>0</v>
      </c>
      <c r="H277" s="203">
        <v>17000000</v>
      </c>
      <c r="I277" s="203">
        <v>46015000</v>
      </c>
      <c r="J277" s="203">
        <v>0</v>
      </c>
      <c r="K277" s="203">
        <v>44129022</v>
      </c>
      <c r="L277" s="203">
        <v>16872434</v>
      </c>
      <c r="M277" s="203">
        <v>39001456</v>
      </c>
      <c r="N277" s="203">
        <v>0</v>
      </c>
      <c r="O277" s="203">
        <v>22129022</v>
      </c>
      <c r="P277" s="237">
        <v>0.23740675222371063</v>
      </c>
    </row>
    <row r="278" spans="1:16" s="3" customFormat="1">
      <c r="A278" s="107"/>
      <c r="B278" s="149"/>
      <c r="C278" s="18" t="s">
        <v>589</v>
      </c>
      <c r="D278" s="30" t="s">
        <v>1942</v>
      </c>
      <c r="E278" s="228" t="s">
        <v>590</v>
      </c>
      <c r="F278" s="16"/>
      <c r="G278" s="203">
        <v>0</v>
      </c>
      <c r="H278" s="203">
        <v>0</v>
      </c>
      <c r="I278" s="203">
        <v>0</v>
      </c>
      <c r="J278" s="203">
        <v>0</v>
      </c>
      <c r="K278" s="203">
        <v>0</v>
      </c>
      <c r="L278" s="203">
        <v>0</v>
      </c>
      <c r="M278" s="203">
        <v>0</v>
      </c>
      <c r="N278" s="203">
        <v>0</v>
      </c>
      <c r="O278" s="203">
        <v>0</v>
      </c>
      <c r="P278" s="237">
        <v>0.23740675222371063</v>
      </c>
    </row>
    <row r="279" spans="1:16" s="3" customFormat="1">
      <c r="A279" s="134" t="s">
        <v>591</v>
      </c>
      <c r="B279" s="123" t="s">
        <v>1923</v>
      </c>
      <c r="C279" s="124" t="s">
        <v>592</v>
      </c>
      <c r="D279" s="67"/>
      <c r="E279" s="25" t="s">
        <v>210</v>
      </c>
      <c r="F279" s="68">
        <f>+F280+F289</f>
        <v>690605000</v>
      </c>
      <c r="G279" s="68">
        <f t="shared" ref="G279:O279" si="86">+G280+G289</f>
        <v>0</v>
      </c>
      <c r="H279" s="68">
        <f t="shared" si="86"/>
        <v>500000</v>
      </c>
      <c r="I279" s="68">
        <f t="shared" si="86"/>
        <v>691105000</v>
      </c>
      <c r="J279" s="68">
        <f t="shared" si="86"/>
        <v>0</v>
      </c>
      <c r="K279" s="68">
        <f t="shared" si="86"/>
        <v>690605000</v>
      </c>
      <c r="L279" s="68">
        <f t="shared" si="86"/>
        <v>-2718333</v>
      </c>
      <c r="M279" s="68">
        <f t="shared" si="86"/>
        <v>684844594</v>
      </c>
      <c r="N279" s="68">
        <f t="shared" si="86"/>
        <v>1192980</v>
      </c>
      <c r="O279" s="68">
        <f t="shared" si="86"/>
        <v>221587315</v>
      </c>
      <c r="P279" s="229">
        <v>0.23740675222371063</v>
      </c>
    </row>
    <row r="280" spans="1:16" s="10" customFormat="1">
      <c r="A280" s="170"/>
      <c r="B280" s="125"/>
      <c r="C280" s="126" t="s">
        <v>593</v>
      </c>
      <c r="D280" s="29"/>
      <c r="E280" s="19" t="s">
        <v>594</v>
      </c>
      <c r="F280" s="20">
        <f>SUM(F281:F288)</f>
        <v>676510000</v>
      </c>
      <c r="G280" s="20">
        <f t="shared" ref="G280:O280" si="87">SUM(G281:G288)</f>
        <v>0</v>
      </c>
      <c r="H280" s="20">
        <f t="shared" si="87"/>
        <v>500000</v>
      </c>
      <c r="I280" s="20">
        <f t="shared" si="87"/>
        <v>677010000</v>
      </c>
      <c r="J280" s="20">
        <f t="shared" si="87"/>
        <v>0</v>
      </c>
      <c r="K280" s="20">
        <f t="shared" si="87"/>
        <v>676510000</v>
      </c>
      <c r="L280" s="20">
        <f t="shared" si="87"/>
        <v>-2718333</v>
      </c>
      <c r="M280" s="20">
        <f t="shared" si="87"/>
        <v>672086694</v>
      </c>
      <c r="N280" s="20">
        <f t="shared" si="87"/>
        <v>1192980</v>
      </c>
      <c r="O280" s="20">
        <f t="shared" si="87"/>
        <v>213597679</v>
      </c>
      <c r="P280" s="243">
        <v>0.23740675222371063</v>
      </c>
    </row>
    <row r="281" spans="1:16" s="10" customFormat="1">
      <c r="A281" s="107"/>
      <c r="B281" s="149"/>
      <c r="C281" s="18" t="s">
        <v>595</v>
      </c>
      <c r="D281" s="30" t="s">
        <v>1936</v>
      </c>
      <c r="E281" s="219" t="s">
        <v>596</v>
      </c>
      <c r="F281" s="16">
        <v>0</v>
      </c>
      <c r="G281" s="203"/>
      <c r="H281" s="203"/>
      <c r="I281" s="203"/>
      <c r="J281" s="203"/>
      <c r="K281" s="203"/>
      <c r="L281" s="203"/>
      <c r="M281" s="203"/>
      <c r="N281" s="203"/>
      <c r="O281" s="203"/>
      <c r="P281" s="237">
        <v>0.23740675222371063</v>
      </c>
    </row>
    <row r="282" spans="1:16" s="10" customFormat="1">
      <c r="A282" s="107"/>
      <c r="B282" s="149"/>
      <c r="C282" s="18" t="s">
        <v>597</v>
      </c>
      <c r="D282" s="30" t="s">
        <v>1937</v>
      </c>
      <c r="E282" s="219" t="s">
        <v>598</v>
      </c>
      <c r="F282" s="16">
        <v>0</v>
      </c>
      <c r="G282" s="203"/>
      <c r="H282" s="203"/>
      <c r="I282" s="203"/>
      <c r="J282" s="203"/>
      <c r="K282" s="203"/>
      <c r="L282" s="203"/>
      <c r="M282" s="203"/>
      <c r="N282" s="203"/>
      <c r="O282" s="203"/>
      <c r="P282" s="237">
        <v>0.23740675222371063</v>
      </c>
    </row>
    <row r="283" spans="1:16" s="10" customFormat="1">
      <c r="A283" s="107"/>
      <c r="B283" s="149" t="s">
        <v>1591</v>
      </c>
      <c r="C283" s="18" t="s">
        <v>599</v>
      </c>
      <c r="D283" s="30" t="s">
        <v>1938</v>
      </c>
      <c r="E283" s="222" t="s">
        <v>600</v>
      </c>
      <c r="F283" s="16">
        <v>676510000</v>
      </c>
      <c r="G283" s="203">
        <v>0</v>
      </c>
      <c r="H283" s="203">
        <v>500000</v>
      </c>
      <c r="I283" s="203">
        <v>677010000</v>
      </c>
      <c r="J283" s="203">
        <v>0</v>
      </c>
      <c r="K283" s="203">
        <v>676510000</v>
      </c>
      <c r="L283" s="203">
        <v>-2718333</v>
      </c>
      <c r="M283" s="203">
        <v>672086694</v>
      </c>
      <c r="N283" s="203">
        <v>1192980</v>
      </c>
      <c r="O283" s="203">
        <v>213597679</v>
      </c>
      <c r="P283" s="237">
        <v>0.23740675222371063</v>
      </c>
    </row>
    <row r="284" spans="1:16" s="10" customFormat="1">
      <c r="A284" s="107"/>
      <c r="B284" s="149"/>
      <c r="C284" s="18" t="s">
        <v>601</v>
      </c>
      <c r="D284" s="30" t="s">
        <v>1939</v>
      </c>
      <c r="E284" s="223" t="s">
        <v>602</v>
      </c>
      <c r="F284" s="16">
        <v>0</v>
      </c>
      <c r="G284" s="203"/>
      <c r="H284" s="203"/>
      <c r="I284" s="203"/>
      <c r="J284" s="203"/>
      <c r="K284" s="203"/>
      <c r="L284" s="203"/>
      <c r="M284" s="203"/>
      <c r="N284" s="203"/>
      <c r="O284" s="203"/>
      <c r="P284" s="237">
        <v>0.23740675222371063</v>
      </c>
    </row>
    <row r="285" spans="1:16" s="10" customFormat="1">
      <c r="A285" s="107"/>
      <c r="B285" s="149"/>
      <c r="C285" s="18" t="s">
        <v>603</v>
      </c>
      <c r="D285" s="30" t="s">
        <v>1940</v>
      </c>
      <c r="E285" s="223" t="s">
        <v>604</v>
      </c>
      <c r="F285" s="16">
        <v>0</v>
      </c>
      <c r="G285" s="203"/>
      <c r="H285" s="203"/>
      <c r="I285" s="203"/>
      <c r="J285" s="203"/>
      <c r="K285" s="203"/>
      <c r="L285" s="203"/>
      <c r="M285" s="203"/>
      <c r="N285" s="203"/>
      <c r="O285" s="203"/>
      <c r="P285" s="237">
        <v>0.23740675222371063</v>
      </c>
    </row>
    <row r="286" spans="1:16" s="10" customFormat="1">
      <c r="A286" s="107"/>
      <c r="B286" s="149"/>
      <c r="C286" s="18" t="s">
        <v>605</v>
      </c>
      <c r="D286" s="30" t="s">
        <v>1941</v>
      </c>
      <c r="E286" s="223" t="s">
        <v>606</v>
      </c>
      <c r="F286" s="16">
        <v>0</v>
      </c>
      <c r="G286" s="203"/>
      <c r="H286" s="203"/>
      <c r="I286" s="203"/>
      <c r="J286" s="203"/>
      <c r="K286" s="203"/>
      <c r="L286" s="203"/>
      <c r="M286" s="203"/>
      <c r="N286" s="203"/>
      <c r="O286" s="203"/>
      <c r="P286" s="237">
        <v>0.23740675222371063</v>
      </c>
    </row>
    <row r="287" spans="1:16" s="10" customFormat="1">
      <c r="A287" s="107"/>
      <c r="B287" s="149"/>
      <c r="C287" s="18" t="s">
        <v>607</v>
      </c>
      <c r="D287" s="30" t="s">
        <v>1942</v>
      </c>
      <c r="E287" s="223" t="s">
        <v>608</v>
      </c>
      <c r="F287" s="16">
        <v>0</v>
      </c>
      <c r="G287" s="203"/>
      <c r="H287" s="203"/>
      <c r="I287" s="203"/>
      <c r="J287" s="203"/>
      <c r="K287" s="203"/>
      <c r="L287" s="203"/>
      <c r="M287" s="203"/>
      <c r="N287" s="203"/>
      <c r="O287" s="203"/>
      <c r="P287" s="237">
        <v>0.23740675222371063</v>
      </c>
    </row>
    <row r="288" spans="1:16" s="3" customFormat="1">
      <c r="A288" s="107"/>
      <c r="B288" s="149"/>
      <c r="C288" s="18" t="s">
        <v>609</v>
      </c>
      <c r="D288" s="30" t="s">
        <v>1913</v>
      </c>
      <c r="E288" s="223" t="s">
        <v>610</v>
      </c>
      <c r="F288" s="16">
        <v>0</v>
      </c>
      <c r="G288" s="203"/>
      <c r="H288" s="203"/>
      <c r="I288" s="203"/>
      <c r="J288" s="203"/>
      <c r="K288" s="203"/>
      <c r="L288" s="203"/>
      <c r="M288" s="203"/>
      <c r="N288" s="203"/>
      <c r="O288" s="203"/>
      <c r="P288" s="237">
        <v>0.23740675222371063</v>
      </c>
    </row>
    <row r="289" spans="1:16" s="10" customFormat="1">
      <c r="A289" s="170"/>
      <c r="B289" s="125"/>
      <c r="C289" s="126" t="s">
        <v>611</v>
      </c>
      <c r="D289" s="29"/>
      <c r="E289" s="19" t="s">
        <v>612</v>
      </c>
      <c r="F289" s="20">
        <f>SUM(F290:F295)</f>
        <v>14095000</v>
      </c>
      <c r="G289" s="20">
        <f t="shared" ref="G289:O289" si="88">SUM(G290:G295)</f>
        <v>0</v>
      </c>
      <c r="H289" s="20">
        <f t="shared" si="88"/>
        <v>0</v>
      </c>
      <c r="I289" s="20">
        <f t="shared" si="88"/>
        <v>14095000</v>
      </c>
      <c r="J289" s="20">
        <f t="shared" si="88"/>
        <v>0</v>
      </c>
      <c r="K289" s="20">
        <f t="shared" si="88"/>
        <v>14095000</v>
      </c>
      <c r="L289" s="20">
        <f t="shared" si="88"/>
        <v>0</v>
      </c>
      <c r="M289" s="20">
        <f t="shared" si="88"/>
        <v>12757900</v>
      </c>
      <c r="N289" s="20">
        <f t="shared" si="88"/>
        <v>0</v>
      </c>
      <c r="O289" s="20">
        <f t="shared" si="88"/>
        <v>7989636</v>
      </c>
      <c r="P289" s="243">
        <v>0.23740675222371063</v>
      </c>
    </row>
    <row r="290" spans="1:16" s="10" customFormat="1">
      <c r="A290" s="107"/>
      <c r="B290" s="149"/>
      <c r="C290" s="18" t="s">
        <v>613</v>
      </c>
      <c r="D290" s="30" t="s">
        <v>1936</v>
      </c>
      <c r="E290" s="219" t="s">
        <v>614</v>
      </c>
      <c r="F290" s="16"/>
      <c r="G290" s="203"/>
      <c r="H290" s="203"/>
      <c r="I290" s="203"/>
      <c r="J290" s="203"/>
      <c r="K290" s="203"/>
      <c r="L290" s="203"/>
      <c r="M290" s="203"/>
      <c r="N290" s="203"/>
      <c r="O290" s="203"/>
      <c r="P290" s="237">
        <v>0.23740675222371063</v>
      </c>
    </row>
    <row r="291" spans="1:16" s="10" customFormat="1">
      <c r="A291" s="107"/>
      <c r="B291" s="149"/>
      <c r="C291" s="18" t="s">
        <v>615</v>
      </c>
      <c r="D291" s="30" t="s">
        <v>1937</v>
      </c>
      <c r="E291" s="219" t="s">
        <v>616</v>
      </c>
      <c r="F291" s="16"/>
      <c r="G291" s="203"/>
      <c r="H291" s="203"/>
      <c r="I291" s="203"/>
      <c r="J291" s="203"/>
      <c r="K291" s="203"/>
      <c r="L291" s="203"/>
      <c r="M291" s="203"/>
      <c r="N291" s="203"/>
      <c r="O291" s="203"/>
      <c r="P291" s="237">
        <v>0.23740675222371063</v>
      </c>
    </row>
    <row r="292" spans="1:16" s="10" customFormat="1">
      <c r="A292" s="107"/>
      <c r="B292" s="149" t="s">
        <v>1766</v>
      </c>
      <c r="C292" s="18" t="s">
        <v>617</v>
      </c>
      <c r="D292" s="30" t="s">
        <v>1938</v>
      </c>
      <c r="E292" s="17" t="s">
        <v>618</v>
      </c>
      <c r="F292" s="16">
        <v>14095000</v>
      </c>
      <c r="G292" s="203">
        <v>0</v>
      </c>
      <c r="H292" s="203">
        <v>0</v>
      </c>
      <c r="I292" s="203">
        <v>14095000</v>
      </c>
      <c r="J292" s="203">
        <v>0</v>
      </c>
      <c r="K292" s="203">
        <v>14095000</v>
      </c>
      <c r="L292" s="203">
        <v>0</v>
      </c>
      <c r="M292" s="203">
        <v>12757900</v>
      </c>
      <c r="N292" s="203">
        <v>0</v>
      </c>
      <c r="O292" s="203">
        <v>7989636</v>
      </c>
      <c r="P292" s="237">
        <v>0.23740675222371063</v>
      </c>
    </row>
    <row r="293" spans="1:16" s="10" customFormat="1">
      <c r="A293" s="107"/>
      <c r="B293" s="149"/>
      <c r="C293" s="18" t="s">
        <v>619</v>
      </c>
      <c r="D293" s="30" t="s">
        <v>1939</v>
      </c>
      <c r="E293" s="219" t="s">
        <v>620</v>
      </c>
      <c r="F293" s="16"/>
      <c r="G293" s="203"/>
      <c r="H293" s="203"/>
      <c r="I293" s="203"/>
      <c r="J293" s="203"/>
      <c r="K293" s="203"/>
      <c r="L293" s="203"/>
      <c r="M293" s="203"/>
      <c r="N293" s="203"/>
      <c r="O293" s="203"/>
      <c r="P293" s="237">
        <v>0.23740675222371063</v>
      </c>
    </row>
    <row r="294" spans="1:16" s="10" customFormat="1">
      <c r="A294" s="107"/>
      <c r="B294" s="149"/>
      <c r="C294" s="18" t="s">
        <v>621</v>
      </c>
      <c r="D294" s="30" t="s">
        <v>1940</v>
      </c>
      <c r="E294" s="219" t="s">
        <v>622</v>
      </c>
      <c r="F294" s="16"/>
      <c r="G294" s="203"/>
      <c r="H294" s="203"/>
      <c r="I294" s="203"/>
      <c r="J294" s="203"/>
      <c r="K294" s="203"/>
      <c r="L294" s="203"/>
      <c r="M294" s="203"/>
      <c r="N294" s="203"/>
      <c r="O294" s="203"/>
      <c r="P294" s="237">
        <v>0.23740675222371063</v>
      </c>
    </row>
    <row r="295" spans="1:16" s="2" customFormat="1">
      <c r="A295" s="107"/>
      <c r="B295" s="149"/>
      <c r="C295" s="18" t="s">
        <v>623</v>
      </c>
      <c r="D295" s="30" t="s">
        <v>1942</v>
      </c>
      <c r="E295" s="219" t="s">
        <v>624</v>
      </c>
      <c r="F295" s="16"/>
      <c r="G295" s="203"/>
      <c r="H295" s="203"/>
      <c r="I295" s="203"/>
      <c r="J295" s="203"/>
      <c r="K295" s="203"/>
      <c r="L295" s="203"/>
      <c r="M295" s="203"/>
      <c r="N295" s="203"/>
      <c r="O295" s="203"/>
      <c r="P295" s="237">
        <v>0.23740675222371063</v>
      </c>
    </row>
    <row r="296" spans="1:16" s="3" customFormat="1">
      <c r="A296" s="169" t="s">
        <v>625</v>
      </c>
      <c r="B296" s="146" t="s">
        <v>1924</v>
      </c>
      <c r="C296" s="147" t="s">
        <v>626</v>
      </c>
      <c r="D296" s="65"/>
      <c r="E296" s="32" t="s">
        <v>219</v>
      </c>
      <c r="F296" s="66">
        <f>+F297</f>
        <v>2324082000</v>
      </c>
      <c r="G296" s="66">
        <f t="shared" ref="G296:O296" si="89">+G297</f>
        <v>3490440</v>
      </c>
      <c r="H296" s="66">
        <f t="shared" si="89"/>
        <v>26695641</v>
      </c>
      <c r="I296" s="66">
        <f t="shared" si="89"/>
        <v>2350777641</v>
      </c>
      <c r="J296" s="66">
        <f t="shared" si="89"/>
        <v>159000000</v>
      </c>
      <c r="K296" s="66">
        <f t="shared" si="89"/>
        <v>2285722001</v>
      </c>
      <c r="L296" s="66">
        <f t="shared" si="89"/>
        <v>73920800</v>
      </c>
      <c r="M296" s="66">
        <f t="shared" si="89"/>
        <v>1098762400</v>
      </c>
      <c r="N296" s="66">
        <f t="shared" si="89"/>
        <v>73920800</v>
      </c>
      <c r="O296" s="66">
        <f t="shared" si="89"/>
        <v>1098762400</v>
      </c>
      <c r="P296" s="236">
        <v>0.23740675222371063</v>
      </c>
    </row>
    <row r="297" spans="1:16" s="3" customFormat="1">
      <c r="A297" s="134" t="s">
        <v>627</v>
      </c>
      <c r="B297" s="123" t="s">
        <v>1925</v>
      </c>
      <c r="C297" s="124" t="s">
        <v>628</v>
      </c>
      <c r="D297" s="67"/>
      <c r="E297" s="25" t="s">
        <v>222</v>
      </c>
      <c r="F297" s="68">
        <f>+F298+F307</f>
        <v>2324082000</v>
      </c>
      <c r="G297" s="68">
        <f t="shared" ref="G297:O297" si="90">+G298+G307</f>
        <v>3490440</v>
      </c>
      <c r="H297" s="68">
        <f t="shared" si="90"/>
        <v>26695641</v>
      </c>
      <c r="I297" s="68">
        <f t="shared" si="90"/>
        <v>2350777641</v>
      </c>
      <c r="J297" s="68">
        <f t="shared" si="90"/>
        <v>159000000</v>
      </c>
      <c r="K297" s="68">
        <f t="shared" si="90"/>
        <v>2285722001</v>
      </c>
      <c r="L297" s="68">
        <f t="shared" si="90"/>
        <v>73920800</v>
      </c>
      <c r="M297" s="68">
        <f t="shared" si="90"/>
        <v>1098762400</v>
      </c>
      <c r="N297" s="68">
        <f t="shared" si="90"/>
        <v>73920800</v>
      </c>
      <c r="O297" s="68">
        <f t="shared" si="90"/>
        <v>1098762400</v>
      </c>
      <c r="P297" s="229">
        <v>0.23740675222371063</v>
      </c>
    </row>
    <row r="298" spans="1:16" s="10" customFormat="1">
      <c r="A298" s="170"/>
      <c r="B298" s="125"/>
      <c r="C298" s="126" t="s">
        <v>629</v>
      </c>
      <c r="D298" s="29"/>
      <c r="E298" s="19" t="s">
        <v>630</v>
      </c>
      <c r="F298" s="20">
        <f>SUM(F299:F306)</f>
        <v>2174509000</v>
      </c>
      <c r="G298" s="20">
        <f t="shared" ref="G298:O298" si="91">SUM(G299:G306)</f>
        <v>3490440</v>
      </c>
      <c r="H298" s="20">
        <f t="shared" si="91"/>
        <v>-1408902</v>
      </c>
      <c r="I298" s="20">
        <f t="shared" si="91"/>
        <v>2173100098</v>
      </c>
      <c r="J298" s="20">
        <f t="shared" si="91"/>
        <v>150000000</v>
      </c>
      <c r="K298" s="20">
        <f t="shared" si="91"/>
        <v>2130632308</v>
      </c>
      <c r="L298" s="20">
        <f t="shared" si="91"/>
        <v>73920800</v>
      </c>
      <c r="M298" s="20">
        <f t="shared" si="91"/>
        <v>1024111000</v>
      </c>
      <c r="N298" s="20">
        <f t="shared" si="91"/>
        <v>73920800</v>
      </c>
      <c r="O298" s="20">
        <f t="shared" si="91"/>
        <v>1024111000</v>
      </c>
      <c r="P298" s="243">
        <v>0.23740675222371063</v>
      </c>
    </row>
    <row r="299" spans="1:16" s="10" customFormat="1">
      <c r="A299" s="107"/>
      <c r="B299" s="149" t="s">
        <v>1583</v>
      </c>
      <c r="C299" s="18" t="s">
        <v>631</v>
      </c>
      <c r="D299" s="30" t="s">
        <v>1936</v>
      </c>
      <c r="E299" s="17" t="s">
        <v>632</v>
      </c>
      <c r="F299" s="16">
        <v>374293000</v>
      </c>
      <c r="G299" s="203">
        <v>0</v>
      </c>
      <c r="H299" s="203">
        <v>0</v>
      </c>
      <c r="I299" s="203">
        <v>374293000</v>
      </c>
      <c r="J299" s="203">
        <v>0</v>
      </c>
      <c r="K299" s="203">
        <v>374293000</v>
      </c>
      <c r="L299" s="203">
        <v>15279800</v>
      </c>
      <c r="M299" s="203">
        <v>165398500</v>
      </c>
      <c r="N299" s="203">
        <v>15279800</v>
      </c>
      <c r="O299" s="203">
        <v>165398500</v>
      </c>
      <c r="P299" s="237">
        <v>0.23740675222371063</v>
      </c>
    </row>
    <row r="300" spans="1:16" s="10" customFormat="1">
      <c r="A300" s="107"/>
      <c r="B300" s="149" t="s">
        <v>1584</v>
      </c>
      <c r="C300" s="18" t="s">
        <v>633</v>
      </c>
      <c r="D300" s="30" t="s">
        <v>1937</v>
      </c>
      <c r="E300" s="17" t="s">
        <v>634</v>
      </c>
      <c r="F300" s="16">
        <v>515556000</v>
      </c>
      <c r="G300" s="203">
        <v>0</v>
      </c>
      <c r="H300" s="203">
        <v>0</v>
      </c>
      <c r="I300" s="203">
        <v>515556000</v>
      </c>
      <c r="J300" s="203">
        <v>0</v>
      </c>
      <c r="K300" s="203">
        <v>515556000</v>
      </c>
      <c r="L300" s="203">
        <v>12727600</v>
      </c>
      <c r="M300" s="203">
        <v>219580300</v>
      </c>
      <c r="N300" s="203">
        <v>12727600</v>
      </c>
      <c r="O300" s="203">
        <v>219580300</v>
      </c>
      <c r="P300" s="237">
        <v>0.23740675222371063</v>
      </c>
    </row>
    <row r="301" spans="1:16" s="10" customFormat="1">
      <c r="A301" s="107"/>
      <c r="B301" s="149" t="s">
        <v>1585</v>
      </c>
      <c r="C301" s="18" t="s">
        <v>635</v>
      </c>
      <c r="D301" s="30" t="s">
        <v>1938</v>
      </c>
      <c r="E301" s="17" t="s">
        <v>636</v>
      </c>
      <c r="F301" s="16">
        <v>274585000</v>
      </c>
      <c r="G301" s="203">
        <v>0</v>
      </c>
      <c r="H301" s="203">
        <v>0</v>
      </c>
      <c r="I301" s="203">
        <v>274585000</v>
      </c>
      <c r="J301" s="203">
        <v>0</v>
      </c>
      <c r="K301" s="203">
        <v>274585000</v>
      </c>
      <c r="L301" s="203">
        <v>8600600</v>
      </c>
      <c r="M301" s="203">
        <v>138254500</v>
      </c>
      <c r="N301" s="203">
        <v>8600600</v>
      </c>
      <c r="O301" s="203">
        <v>138254500</v>
      </c>
      <c r="P301" s="237">
        <v>0.23740675222371063</v>
      </c>
    </row>
    <row r="302" spans="1:16" s="10" customFormat="1">
      <c r="A302" s="107"/>
      <c r="B302" s="149" t="s">
        <v>1586</v>
      </c>
      <c r="C302" s="18" t="s">
        <v>637</v>
      </c>
      <c r="D302" s="30" t="s">
        <v>1939</v>
      </c>
      <c r="E302" s="17" t="s">
        <v>638</v>
      </c>
      <c r="F302" s="16">
        <v>393487000</v>
      </c>
      <c r="G302" s="203">
        <v>0</v>
      </c>
      <c r="H302" s="203">
        <v>0</v>
      </c>
      <c r="I302" s="203">
        <v>393487000</v>
      </c>
      <c r="J302" s="203">
        <v>0</v>
      </c>
      <c r="K302" s="203">
        <v>393487000</v>
      </c>
      <c r="L302" s="203">
        <v>14412800</v>
      </c>
      <c r="M302" s="203">
        <v>195631500</v>
      </c>
      <c r="N302" s="203">
        <v>14412800</v>
      </c>
      <c r="O302" s="203">
        <v>195631500</v>
      </c>
      <c r="P302" s="237">
        <v>0.23740675222371063</v>
      </c>
    </row>
    <row r="303" spans="1:16" s="10" customFormat="1">
      <c r="A303" s="107"/>
      <c r="B303" s="149" t="s">
        <v>1587</v>
      </c>
      <c r="C303" s="18" t="s">
        <v>639</v>
      </c>
      <c r="D303" s="30" t="s">
        <v>1940</v>
      </c>
      <c r="E303" s="17" t="s">
        <v>640</v>
      </c>
      <c r="F303" s="16">
        <v>362928000</v>
      </c>
      <c r="G303" s="203">
        <v>0</v>
      </c>
      <c r="H303" s="203">
        <v>0</v>
      </c>
      <c r="I303" s="203">
        <v>362928000</v>
      </c>
      <c r="J303" s="203">
        <v>150000000</v>
      </c>
      <c r="K303" s="203">
        <v>323950650</v>
      </c>
      <c r="L303" s="203">
        <v>11046200</v>
      </c>
      <c r="M303" s="203">
        <v>184996850</v>
      </c>
      <c r="N303" s="203">
        <v>11046200</v>
      </c>
      <c r="O303" s="203">
        <v>184996850</v>
      </c>
      <c r="P303" s="237">
        <v>0.23740675222371063</v>
      </c>
    </row>
    <row r="304" spans="1:16" s="10" customFormat="1">
      <c r="A304" s="107"/>
      <c r="B304" s="149" t="s">
        <v>1588</v>
      </c>
      <c r="C304" s="18" t="s">
        <v>641</v>
      </c>
      <c r="D304" s="30" t="s">
        <v>1941</v>
      </c>
      <c r="E304" s="17" t="s">
        <v>642</v>
      </c>
      <c r="F304" s="16">
        <v>73174000</v>
      </c>
      <c r="G304" s="203">
        <v>3490440</v>
      </c>
      <c r="H304" s="203">
        <v>4591098</v>
      </c>
      <c r="I304" s="203">
        <v>77765098</v>
      </c>
      <c r="J304" s="203">
        <v>0</v>
      </c>
      <c r="K304" s="203">
        <v>74274658</v>
      </c>
      <c r="L304" s="203">
        <v>2567000</v>
      </c>
      <c r="M304" s="203">
        <v>38982400</v>
      </c>
      <c r="N304" s="203">
        <v>2567000</v>
      </c>
      <c r="O304" s="203">
        <v>38982400</v>
      </c>
      <c r="P304" s="237">
        <v>0.23740675222371063</v>
      </c>
    </row>
    <row r="305" spans="1:16" s="10" customFormat="1">
      <c r="A305" s="107"/>
      <c r="B305" s="149" t="s">
        <v>1589</v>
      </c>
      <c r="C305" s="18" t="s">
        <v>643</v>
      </c>
      <c r="D305" s="30" t="s">
        <v>1942</v>
      </c>
      <c r="E305" s="17" t="s">
        <v>644</v>
      </c>
      <c r="F305" s="16">
        <v>166721000</v>
      </c>
      <c r="G305" s="203">
        <v>0</v>
      </c>
      <c r="H305" s="203">
        <v>-6000000</v>
      </c>
      <c r="I305" s="203">
        <v>160721000</v>
      </c>
      <c r="J305" s="203">
        <v>0</v>
      </c>
      <c r="K305" s="203">
        <v>160721000</v>
      </c>
      <c r="L305" s="203">
        <v>9286800</v>
      </c>
      <c r="M305" s="203">
        <v>77940450</v>
      </c>
      <c r="N305" s="203">
        <v>9286800</v>
      </c>
      <c r="O305" s="203">
        <v>77940450</v>
      </c>
      <c r="P305" s="237">
        <v>0.23740675222371063</v>
      </c>
    </row>
    <row r="306" spans="1:16" s="3" customFormat="1">
      <c r="A306" s="107"/>
      <c r="B306" s="149" t="s">
        <v>1590</v>
      </c>
      <c r="C306" s="18" t="s">
        <v>645</v>
      </c>
      <c r="D306" s="30" t="s">
        <v>1913</v>
      </c>
      <c r="E306" s="17" t="s">
        <v>646</v>
      </c>
      <c r="F306" s="16">
        <v>13765000</v>
      </c>
      <c r="G306" s="203">
        <v>0</v>
      </c>
      <c r="H306" s="203">
        <v>0</v>
      </c>
      <c r="I306" s="203">
        <v>13765000</v>
      </c>
      <c r="J306" s="203">
        <v>0</v>
      </c>
      <c r="K306" s="203">
        <v>13765000</v>
      </c>
      <c r="L306" s="203">
        <v>0</v>
      </c>
      <c r="M306" s="203">
        <v>3326500</v>
      </c>
      <c r="N306" s="203">
        <v>0</v>
      </c>
      <c r="O306" s="203">
        <v>3326500</v>
      </c>
      <c r="P306" s="237">
        <v>0.23740675222371063</v>
      </c>
    </row>
    <row r="307" spans="1:16" s="10" customFormat="1">
      <c r="A307" s="170"/>
      <c r="B307" s="125"/>
      <c r="C307" s="126" t="s">
        <v>647</v>
      </c>
      <c r="D307" s="29"/>
      <c r="E307" s="19" t="s">
        <v>648</v>
      </c>
      <c r="F307" s="20">
        <f>SUM(F308:F313)</f>
        <v>149573000</v>
      </c>
      <c r="G307" s="20">
        <f t="shared" ref="G307:O307" si="92">SUM(G308:G313)</f>
        <v>0</v>
      </c>
      <c r="H307" s="20">
        <f t="shared" si="92"/>
        <v>28104543</v>
      </c>
      <c r="I307" s="20">
        <f t="shared" si="92"/>
        <v>177677543</v>
      </c>
      <c r="J307" s="20">
        <f t="shared" si="92"/>
        <v>9000000</v>
      </c>
      <c r="K307" s="20">
        <f t="shared" si="92"/>
        <v>155089693</v>
      </c>
      <c r="L307" s="20">
        <f t="shared" si="92"/>
        <v>0</v>
      </c>
      <c r="M307" s="20">
        <f t="shared" si="92"/>
        <v>74651400</v>
      </c>
      <c r="N307" s="20">
        <f t="shared" si="92"/>
        <v>0</v>
      </c>
      <c r="O307" s="20">
        <f t="shared" si="92"/>
        <v>74651400</v>
      </c>
      <c r="P307" s="243">
        <v>0.23740675222371063</v>
      </c>
    </row>
    <row r="308" spans="1:16" s="10" customFormat="1">
      <c r="A308" s="107"/>
      <c r="B308" s="149" t="s">
        <v>1767</v>
      </c>
      <c r="C308" s="18" t="s">
        <v>649</v>
      </c>
      <c r="D308" s="30" t="s">
        <v>1936</v>
      </c>
      <c r="E308" s="17" t="s">
        <v>650</v>
      </c>
      <c r="F308" s="16">
        <v>31571000</v>
      </c>
      <c r="G308" s="203">
        <v>0</v>
      </c>
      <c r="H308" s="203">
        <v>4500000</v>
      </c>
      <c r="I308" s="203">
        <v>36071000</v>
      </c>
      <c r="J308" s="203">
        <v>0</v>
      </c>
      <c r="K308" s="203">
        <v>14772600</v>
      </c>
      <c r="L308" s="203">
        <v>0</v>
      </c>
      <c r="M308" s="203">
        <v>14772600</v>
      </c>
      <c r="N308" s="203">
        <v>0</v>
      </c>
      <c r="O308" s="203">
        <v>14772600</v>
      </c>
      <c r="P308" s="237">
        <v>0.23740675222371063</v>
      </c>
    </row>
    <row r="309" spans="1:16" s="10" customFormat="1">
      <c r="A309" s="107"/>
      <c r="B309" s="149" t="s">
        <v>1768</v>
      </c>
      <c r="C309" s="18" t="s">
        <v>651</v>
      </c>
      <c r="D309" s="30" t="s">
        <v>1937</v>
      </c>
      <c r="E309" s="17" t="s">
        <v>652</v>
      </c>
      <c r="F309" s="16">
        <v>74615000</v>
      </c>
      <c r="G309" s="203">
        <v>0</v>
      </c>
      <c r="H309" s="203">
        <v>16604543</v>
      </c>
      <c r="I309" s="203">
        <v>91219543</v>
      </c>
      <c r="J309" s="203">
        <v>0</v>
      </c>
      <c r="K309" s="203">
        <v>91219543</v>
      </c>
      <c r="L309" s="203">
        <v>0</v>
      </c>
      <c r="M309" s="203">
        <v>36051550</v>
      </c>
      <c r="N309" s="203">
        <v>0</v>
      </c>
      <c r="O309" s="203">
        <v>36051550</v>
      </c>
      <c r="P309" s="237">
        <v>0.23740675222371063</v>
      </c>
    </row>
    <row r="310" spans="1:16" s="10" customFormat="1">
      <c r="A310" s="107"/>
      <c r="B310" s="149" t="s">
        <v>1769</v>
      </c>
      <c r="C310" s="18" t="s">
        <v>653</v>
      </c>
      <c r="D310" s="30" t="s">
        <v>1938</v>
      </c>
      <c r="E310" s="17" t="s">
        <v>654</v>
      </c>
      <c r="F310" s="16">
        <v>5801000</v>
      </c>
      <c r="G310" s="203">
        <v>0</v>
      </c>
      <c r="H310" s="203">
        <v>0</v>
      </c>
      <c r="I310" s="203">
        <v>5801000</v>
      </c>
      <c r="J310" s="203">
        <v>0</v>
      </c>
      <c r="K310" s="203">
        <v>5801000</v>
      </c>
      <c r="L310" s="203">
        <v>0</v>
      </c>
      <c r="M310" s="203">
        <v>3255000</v>
      </c>
      <c r="N310" s="203">
        <v>0</v>
      </c>
      <c r="O310" s="203">
        <v>3255000</v>
      </c>
      <c r="P310" s="237">
        <v>0.23740675222371063</v>
      </c>
    </row>
    <row r="311" spans="1:16" s="10" customFormat="1">
      <c r="A311" s="107"/>
      <c r="B311" s="149" t="s">
        <v>1770</v>
      </c>
      <c r="C311" s="18" t="s">
        <v>655</v>
      </c>
      <c r="D311" s="30" t="s">
        <v>1939</v>
      </c>
      <c r="E311" s="17" t="s">
        <v>656</v>
      </c>
      <c r="F311" s="16">
        <v>25188000</v>
      </c>
      <c r="G311" s="203">
        <v>0</v>
      </c>
      <c r="H311" s="203">
        <v>0</v>
      </c>
      <c r="I311" s="203">
        <v>25188000</v>
      </c>
      <c r="J311" s="203">
        <v>0</v>
      </c>
      <c r="K311" s="203">
        <v>25188000</v>
      </c>
      <c r="L311" s="203">
        <v>0</v>
      </c>
      <c r="M311" s="203">
        <v>11463700</v>
      </c>
      <c r="N311" s="203">
        <v>0</v>
      </c>
      <c r="O311" s="203">
        <v>11463700</v>
      </c>
      <c r="P311" s="237">
        <v>0.23740675222371063</v>
      </c>
    </row>
    <row r="312" spans="1:16" s="10" customFormat="1">
      <c r="A312" s="107"/>
      <c r="B312" s="149" t="s">
        <v>1771</v>
      </c>
      <c r="C312" s="18" t="s">
        <v>657</v>
      </c>
      <c r="D312" s="30" t="s">
        <v>1940</v>
      </c>
      <c r="E312" s="17" t="s">
        <v>658</v>
      </c>
      <c r="F312" s="16">
        <v>12398000</v>
      </c>
      <c r="G312" s="203">
        <v>0</v>
      </c>
      <c r="H312" s="203">
        <v>7000000</v>
      </c>
      <c r="I312" s="203">
        <v>19398000</v>
      </c>
      <c r="J312" s="203">
        <v>9000000</v>
      </c>
      <c r="K312" s="203">
        <v>18108550</v>
      </c>
      <c r="L312" s="203">
        <v>0</v>
      </c>
      <c r="M312" s="203">
        <v>9108550</v>
      </c>
      <c r="N312" s="203">
        <v>0</v>
      </c>
      <c r="O312" s="203">
        <v>9108550</v>
      </c>
      <c r="P312" s="237">
        <v>0.23740675222371063</v>
      </c>
    </row>
    <row r="313" spans="1:16" s="2" customFormat="1">
      <c r="A313" s="107"/>
      <c r="B313" s="149"/>
      <c r="C313" s="18" t="s">
        <v>659</v>
      </c>
      <c r="D313" s="30" t="s">
        <v>1942</v>
      </c>
      <c r="E313" s="219" t="s">
        <v>660</v>
      </c>
      <c r="F313" s="16"/>
      <c r="G313" s="203">
        <v>0</v>
      </c>
      <c r="H313" s="203">
        <v>0</v>
      </c>
      <c r="I313" s="203">
        <v>0</v>
      </c>
      <c r="J313" s="203">
        <v>0</v>
      </c>
      <c r="K313" s="203">
        <v>0</v>
      </c>
      <c r="L313" s="203">
        <v>0</v>
      </c>
      <c r="M313" s="203">
        <v>0</v>
      </c>
      <c r="N313" s="203">
        <v>0</v>
      </c>
      <c r="O313" s="203">
        <v>0</v>
      </c>
      <c r="P313" s="237">
        <v>0.23740675222371063</v>
      </c>
    </row>
    <row r="314" spans="1:16" s="3" customFormat="1">
      <c r="A314" s="169" t="s">
        <v>661</v>
      </c>
      <c r="B314" s="146" t="s">
        <v>1926</v>
      </c>
      <c r="C314" s="147" t="s">
        <v>662</v>
      </c>
      <c r="D314" s="65"/>
      <c r="E314" s="32" t="s">
        <v>231</v>
      </c>
      <c r="F314" s="66">
        <f>+F315</f>
        <v>288000000</v>
      </c>
      <c r="G314" s="66">
        <f t="shared" ref="G314:O314" si="93">+G315</f>
        <v>434150</v>
      </c>
      <c r="H314" s="66">
        <f t="shared" si="93"/>
        <v>22614930</v>
      </c>
      <c r="I314" s="66">
        <f t="shared" si="93"/>
        <v>310614930</v>
      </c>
      <c r="J314" s="66">
        <f t="shared" si="93"/>
        <v>19500000</v>
      </c>
      <c r="K314" s="66">
        <f t="shared" si="93"/>
        <v>297348980</v>
      </c>
      <c r="L314" s="66">
        <f t="shared" si="93"/>
        <v>9633400</v>
      </c>
      <c r="M314" s="66">
        <f t="shared" si="93"/>
        <v>137061500</v>
      </c>
      <c r="N314" s="66">
        <f t="shared" si="93"/>
        <v>9633400</v>
      </c>
      <c r="O314" s="66">
        <f t="shared" si="93"/>
        <v>137061500</v>
      </c>
      <c r="P314" s="236">
        <v>0.23740675222371063</v>
      </c>
    </row>
    <row r="315" spans="1:16" s="3" customFormat="1">
      <c r="A315" s="134" t="s">
        <v>663</v>
      </c>
      <c r="B315" s="123" t="s">
        <v>1927</v>
      </c>
      <c r="C315" s="124" t="s">
        <v>664</v>
      </c>
      <c r="D315" s="67"/>
      <c r="E315" s="25" t="s">
        <v>234</v>
      </c>
      <c r="F315" s="68">
        <f>+F316+F325</f>
        <v>288000000</v>
      </c>
      <c r="G315" s="68">
        <f t="shared" ref="G315:O315" si="94">+G316+G325</f>
        <v>434150</v>
      </c>
      <c r="H315" s="68">
        <f t="shared" si="94"/>
        <v>22614930</v>
      </c>
      <c r="I315" s="68">
        <f t="shared" si="94"/>
        <v>310614930</v>
      </c>
      <c r="J315" s="68">
        <f t="shared" si="94"/>
        <v>19500000</v>
      </c>
      <c r="K315" s="68">
        <f t="shared" si="94"/>
        <v>297348980</v>
      </c>
      <c r="L315" s="68">
        <f t="shared" si="94"/>
        <v>9633400</v>
      </c>
      <c r="M315" s="68">
        <f t="shared" si="94"/>
        <v>137061500</v>
      </c>
      <c r="N315" s="68">
        <f t="shared" si="94"/>
        <v>9633400</v>
      </c>
      <c r="O315" s="68">
        <f t="shared" si="94"/>
        <v>137061500</v>
      </c>
      <c r="P315" s="229">
        <v>0.23740675222371063</v>
      </c>
    </row>
    <row r="316" spans="1:16" s="10" customFormat="1">
      <c r="A316" s="170"/>
      <c r="B316" s="125"/>
      <c r="C316" s="126" t="s">
        <v>665</v>
      </c>
      <c r="D316" s="29"/>
      <c r="E316" s="19" t="s">
        <v>666</v>
      </c>
      <c r="F316" s="20">
        <f>SUM(F317:F324)</f>
        <v>269404000</v>
      </c>
      <c r="G316" s="20">
        <f t="shared" ref="G316:O316" si="95">SUM(G317:G324)</f>
        <v>434150</v>
      </c>
      <c r="H316" s="20">
        <f t="shared" si="95"/>
        <v>17764590</v>
      </c>
      <c r="I316" s="20">
        <f t="shared" si="95"/>
        <v>287168590</v>
      </c>
      <c r="J316" s="20">
        <f t="shared" si="95"/>
        <v>18000000</v>
      </c>
      <c r="K316" s="20">
        <f t="shared" si="95"/>
        <v>277566240</v>
      </c>
      <c r="L316" s="20">
        <f t="shared" si="95"/>
        <v>9633400</v>
      </c>
      <c r="M316" s="20">
        <f t="shared" si="95"/>
        <v>128060750</v>
      </c>
      <c r="N316" s="20">
        <f t="shared" si="95"/>
        <v>9633400</v>
      </c>
      <c r="O316" s="20">
        <f t="shared" si="95"/>
        <v>128060750</v>
      </c>
      <c r="P316" s="243">
        <v>0.23740675222371063</v>
      </c>
    </row>
    <row r="317" spans="1:16" s="10" customFormat="1">
      <c r="A317" s="107"/>
      <c r="B317" s="149" t="s">
        <v>1575</v>
      </c>
      <c r="C317" s="18" t="s">
        <v>667</v>
      </c>
      <c r="D317" s="30" t="s">
        <v>1936</v>
      </c>
      <c r="E317" s="17" t="s">
        <v>668</v>
      </c>
      <c r="F317" s="16">
        <v>44956000</v>
      </c>
      <c r="G317" s="203">
        <v>0</v>
      </c>
      <c r="H317" s="203">
        <v>10000000</v>
      </c>
      <c r="I317" s="203">
        <v>54956000</v>
      </c>
      <c r="J317" s="203">
        <v>0</v>
      </c>
      <c r="K317" s="203">
        <v>54956000</v>
      </c>
      <c r="L317" s="203">
        <v>1997300</v>
      </c>
      <c r="M317" s="203">
        <v>20848850</v>
      </c>
      <c r="N317" s="203">
        <v>1997300</v>
      </c>
      <c r="O317" s="203">
        <v>20848850</v>
      </c>
      <c r="P317" s="237">
        <v>0.23740675222371063</v>
      </c>
    </row>
    <row r="318" spans="1:16" s="10" customFormat="1">
      <c r="A318" s="107"/>
      <c r="B318" s="149" t="s">
        <v>1576</v>
      </c>
      <c r="C318" s="18" t="s">
        <v>669</v>
      </c>
      <c r="D318" s="30" t="s">
        <v>1937</v>
      </c>
      <c r="E318" s="17" t="s">
        <v>670</v>
      </c>
      <c r="F318" s="16">
        <v>61962000</v>
      </c>
      <c r="G318" s="203">
        <v>0</v>
      </c>
      <c r="H318" s="203">
        <v>0</v>
      </c>
      <c r="I318" s="203">
        <v>61962000</v>
      </c>
      <c r="J318" s="203">
        <v>0</v>
      </c>
      <c r="K318" s="203">
        <v>61962000</v>
      </c>
      <c r="L318" s="203">
        <v>1663600</v>
      </c>
      <c r="M318" s="203">
        <v>27339850</v>
      </c>
      <c r="N318" s="203">
        <v>1663600</v>
      </c>
      <c r="O318" s="203">
        <v>27339850</v>
      </c>
      <c r="P318" s="237">
        <v>0.23740675222371063</v>
      </c>
    </row>
    <row r="319" spans="1:16" s="10" customFormat="1">
      <c r="A319" s="107"/>
      <c r="B319" s="149" t="s">
        <v>1577</v>
      </c>
      <c r="C319" s="18" t="s">
        <v>671</v>
      </c>
      <c r="D319" s="30" t="s">
        <v>1938</v>
      </c>
      <c r="E319" s="17" t="s">
        <v>672</v>
      </c>
      <c r="F319" s="16">
        <v>32970000</v>
      </c>
      <c r="G319" s="203">
        <v>0</v>
      </c>
      <c r="H319" s="203">
        <v>0</v>
      </c>
      <c r="I319" s="203">
        <v>32970000</v>
      </c>
      <c r="J319" s="203">
        <v>0</v>
      </c>
      <c r="K319" s="203">
        <v>32970000</v>
      </c>
      <c r="L319" s="203">
        <v>1118300</v>
      </c>
      <c r="M319" s="203">
        <v>17168700</v>
      </c>
      <c r="N319" s="203">
        <v>1118300</v>
      </c>
      <c r="O319" s="203">
        <v>17168700</v>
      </c>
      <c r="P319" s="237">
        <v>0.23740675222371063</v>
      </c>
    </row>
    <row r="320" spans="1:16" s="10" customFormat="1">
      <c r="A320" s="107"/>
      <c r="B320" s="149" t="s">
        <v>1578</v>
      </c>
      <c r="C320" s="18" t="s">
        <v>673</v>
      </c>
      <c r="D320" s="30" t="s">
        <v>1939</v>
      </c>
      <c r="E320" s="17" t="s">
        <v>674</v>
      </c>
      <c r="F320" s="16">
        <v>51350000</v>
      </c>
      <c r="G320" s="203">
        <v>0</v>
      </c>
      <c r="H320" s="203">
        <v>0</v>
      </c>
      <c r="I320" s="203">
        <v>51350000</v>
      </c>
      <c r="J320" s="203">
        <v>0</v>
      </c>
      <c r="K320" s="203">
        <v>51350000</v>
      </c>
      <c r="L320" s="203">
        <v>1881300</v>
      </c>
      <c r="M320" s="203">
        <v>24518300</v>
      </c>
      <c r="N320" s="203">
        <v>1881300</v>
      </c>
      <c r="O320" s="203">
        <v>24518300</v>
      </c>
      <c r="P320" s="237">
        <v>0.23740675222371063</v>
      </c>
    </row>
    <row r="321" spans="1:16" s="10" customFormat="1">
      <c r="A321" s="107"/>
      <c r="B321" s="149" t="s">
        <v>1579</v>
      </c>
      <c r="C321" s="18" t="s">
        <v>675</v>
      </c>
      <c r="D321" s="30" t="s">
        <v>1940</v>
      </c>
      <c r="E321" s="17" t="s">
        <v>676</v>
      </c>
      <c r="F321" s="16">
        <v>46772000</v>
      </c>
      <c r="G321" s="203">
        <v>0</v>
      </c>
      <c r="H321" s="203">
        <v>2000000</v>
      </c>
      <c r="I321" s="203">
        <v>48772000</v>
      </c>
      <c r="J321" s="203">
        <v>18000000</v>
      </c>
      <c r="K321" s="203">
        <v>39603800</v>
      </c>
      <c r="L321" s="203">
        <v>1443900</v>
      </c>
      <c r="M321" s="203">
        <v>23047700</v>
      </c>
      <c r="N321" s="203">
        <v>1443900</v>
      </c>
      <c r="O321" s="203">
        <v>23047700</v>
      </c>
      <c r="P321" s="237">
        <v>0.23740675222371063</v>
      </c>
    </row>
    <row r="322" spans="1:16" s="10" customFormat="1">
      <c r="A322" s="107"/>
      <c r="B322" s="149" t="s">
        <v>1580</v>
      </c>
      <c r="C322" s="18" t="s">
        <v>677</v>
      </c>
      <c r="D322" s="30" t="s">
        <v>1941</v>
      </c>
      <c r="E322" s="17" t="s">
        <v>678</v>
      </c>
      <c r="F322" s="16">
        <v>9195000</v>
      </c>
      <c r="G322" s="203">
        <v>434150</v>
      </c>
      <c r="H322" s="203">
        <v>3464590</v>
      </c>
      <c r="I322" s="203">
        <v>12659590</v>
      </c>
      <c r="J322" s="203">
        <v>0</v>
      </c>
      <c r="K322" s="203">
        <v>12225440</v>
      </c>
      <c r="L322" s="203">
        <v>317600</v>
      </c>
      <c r="M322" s="203">
        <v>4775400</v>
      </c>
      <c r="N322" s="203">
        <v>317600</v>
      </c>
      <c r="O322" s="203">
        <v>4775400</v>
      </c>
      <c r="P322" s="237">
        <v>0.23740675222371063</v>
      </c>
    </row>
    <row r="323" spans="1:16" s="10" customFormat="1">
      <c r="A323" s="107"/>
      <c r="B323" s="149" t="s">
        <v>1581</v>
      </c>
      <c r="C323" s="18" t="s">
        <v>679</v>
      </c>
      <c r="D323" s="30" t="s">
        <v>1942</v>
      </c>
      <c r="E323" s="17" t="s">
        <v>680</v>
      </c>
      <c r="F323" s="16">
        <v>20543000</v>
      </c>
      <c r="G323" s="203">
        <v>0</v>
      </c>
      <c r="H323" s="203">
        <v>2000000</v>
      </c>
      <c r="I323" s="203">
        <v>22543000</v>
      </c>
      <c r="J323" s="203">
        <v>0</v>
      </c>
      <c r="K323" s="203">
        <v>22543000</v>
      </c>
      <c r="L323" s="203">
        <v>1211400</v>
      </c>
      <c r="M323" s="203">
        <v>9969300</v>
      </c>
      <c r="N323" s="203">
        <v>1211400</v>
      </c>
      <c r="O323" s="203">
        <v>9969300</v>
      </c>
      <c r="P323" s="237">
        <v>0.23740675222371063</v>
      </c>
    </row>
    <row r="324" spans="1:16" s="3" customFormat="1">
      <c r="A324" s="107"/>
      <c r="B324" s="149" t="s">
        <v>1582</v>
      </c>
      <c r="C324" s="18" t="s">
        <v>681</v>
      </c>
      <c r="D324" s="30" t="s">
        <v>1913</v>
      </c>
      <c r="E324" s="17" t="s">
        <v>682</v>
      </c>
      <c r="F324" s="16">
        <v>1656000</v>
      </c>
      <c r="G324" s="203">
        <v>0</v>
      </c>
      <c r="H324" s="203">
        <v>300000</v>
      </c>
      <c r="I324" s="203">
        <v>1956000</v>
      </c>
      <c r="J324" s="203">
        <v>0</v>
      </c>
      <c r="K324" s="203">
        <v>1956000</v>
      </c>
      <c r="L324" s="203">
        <v>0</v>
      </c>
      <c r="M324" s="203">
        <v>392650</v>
      </c>
      <c r="N324" s="203">
        <v>0</v>
      </c>
      <c r="O324" s="203">
        <v>392650</v>
      </c>
      <c r="P324" s="237">
        <v>0.23740675222371063</v>
      </c>
    </row>
    <row r="325" spans="1:16" s="10" customFormat="1">
      <c r="A325" s="170"/>
      <c r="B325" s="125"/>
      <c r="C325" s="126" t="s">
        <v>683</v>
      </c>
      <c r="D325" s="29"/>
      <c r="E325" s="19" t="s">
        <v>684</v>
      </c>
      <c r="F325" s="20">
        <f>SUM(F326:F331)</f>
        <v>18596000</v>
      </c>
      <c r="G325" s="20">
        <f t="shared" ref="G325:O325" si="96">SUM(G326:G331)</f>
        <v>0</v>
      </c>
      <c r="H325" s="20">
        <f t="shared" si="96"/>
        <v>4850340</v>
      </c>
      <c r="I325" s="20">
        <f t="shared" si="96"/>
        <v>23446340</v>
      </c>
      <c r="J325" s="20">
        <f t="shared" si="96"/>
        <v>1500000</v>
      </c>
      <c r="K325" s="20">
        <f t="shared" si="96"/>
        <v>19782740</v>
      </c>
      <c r="L325" s="20">
        <f t="shared" si="96"/>
        <v>0</v>
      </c>
      <c r="M325" s="20">
        <f t="shared" si="96"/>
        <v>9000750</v>
      </c>
      <c r="N325" s="20">
        <f t="shared" si="96"/>
        <v>0</v>
      </c>
      <c r="O325" s="20">
        <f t="shared" si="96"/>
        <v>9000750</v>
      </c>
      <c r="P325" s="243">
        <v>0.23740675222371063</v>
      </c>
    </row>
    <row r="326" spans="1:16" s="10" customFormat="1">
      <c r="A326" s="107"/>
      <c r="B326" s="149" t="s">
        <v>1772</v>
      </c>
      <c r="C326" s="18" t="s">
        <v>685</v>
      </c>
      <c r="D326" s="30" t="s">
        <v>1936</v>
      </c>
      <c r="E326" s="17" t="s">
        <v>686</v>
      </c>
      <c r="F326" s="16">
        <v>3957000</v>
      </c>
      <c r="G326" s="203">
        <v>0</v>
      </c>
      <c r="H326" s="203">
        <v>1000000</v>
      </c>
      <c r="I326" s="203">
        <v>4957000</v>
      </c>
      <c r="J326" s="203">
        <v>0</v>
      </c>
      <c r="K326" s="203">
        <v>1780300</v>
      </c>
      <c r="L326" s="203">
        <v>0</v>
      </c>
      <c r="M326" s="203">
        <v>1780300</v>
      </c>
      <c r="N326" s="203">
        <v>0</v>
      </c>
      <c r="O326" s="203">
        <v>1780300</v>
      </c>
      <c r="P326" s="237">
        <v>0.23740675222371063</v>
      </c>
    </row>
    <row r="327" spans="1:16" s="10" customFormat="1">
      <c r="A327" s="107"/>
      <c r="B327" s="149" t="s">
        <v>1773</v>
      </c>
      <c r="C327" s="18" t="s">
        <v>687</v>
      </c>
      <c r="D327" s="30" t="s">
        <v>1937</v>
      </c>
      <c r="E327" s="17" t="s">
        <v>688</v>
      </c>
      <c r="F327" s="16">
        <v>8988000</v>
      </c>
      <c r="G327" s="203">
        <v>0</v>
      </c>
      <c r="H327" s="203">
        <v>2350340</v>
      </c>
      <c r="I327" s="203">
        <v>11338340</v>
      </c>
      <c r="J327" s="203">
        <v>0</v>
      </c>
      <c r="K327" s="203">
        <v>11338340</v>
      </c>
      <c r="L327" s="203">
        <v>0</v>
      </c>
      <c r="M327" s="203">
        <v>4348500</v>
      </c>
      <c r="N327" s="203">
        <v>0</v>
      </c>
      <c r="O327" s="203">
        <v>4348500</v>
      </c>
      <c r="P327" s="237">
        <v>0.23740675222371063</v>
      </c>
    </row>
    <row r="328" spans="1:16" s="10" customFormat="1">
      <c r="A328" s="107"/>
      <c r="B328" s="149" t="s">
        <v>1774</v>
      </c>
      <c r="C328" s="18" t="s">
        <v>689</v>
      </c>
      <c r="D328" s="30" t="s">
        <v>1938</v>
      </c>
      <c r="E328" s="17" t="s">
        <v>690</v>
      </c>
      <c r="F328" s="16">
        <v>699000</v>
      </c>
      <c r="G328" s="203">
        <v>0</v>
      </c>
      <c r="H328" s="203">
        <v>0</v>
      </c>
      <c r="I328" s="203">
        <v>699000</v>
      </c>
      <c r="J328" s="203">
        <v>0</v>
      </c>
      <c r="K328" s="203">
        <v>699000</v>
      </c>
      <c r="L328" s="203">
        <v>0</v>
      </c>
      <c r="M328" s="203">
        <v>392150</v>
      </c>
      <c r="N328" s="203">
        <v>0</v>
      </c>
      <c r="O328" s="203">
        <v>392150</v>
      </c>
      <c r="P328" s="237">
        <v>0.23740675222371063</v>
      </c>
    </row>
    <row r="329" spans="1:16" s="10" customFormat="1">
      <c r="A329" s="107"/>
      <c r="B329" s="149" t="s">
        <v>1775</v>
      </c>
      <c r="C329" s="18" t="s">
        <v>691</v>
      </c>
      <c r="D329" s="30" t="s">
        <v>1939</v>
      </c>
      <c r="E329" s="17" t="s">
        <v>692</v>
      </c>
      <c r="F329" s="16">
        <v>3367000</v>
      </c>
      <c r="G329" s="203">
        <v>0</v>
      </c>
      <c r="H329" s="203">
        <v>0</v>
      </c>
      <c r="I329" s="203">
        <v>3367000</v>
      </c>
      <c r="J329" s="203">
        <v>0</v>
      </c>
      <c r="K329" s="203">
        <v>3367000</v>
      </c>
      <c r="L329" s="203">
        <v>0</v>
      </c>
      <c r="M329" s="203">
        <v>1381700</v>
      </c>
      <c r="N329" s="203">
        <v>0</v>
      </c>
      <c r="O329" s="203">
        <v>1381700</v>
      </c>
      <c r="P329" s="237">
        <v>0.23740675222371063</v>
      </c>
    </row>
    <row r="330" spans="1:16" s="10" customFormat="1">
      <c r="A330" s="107"/>
      <c r="B330" s="149" t="s">
        <v>1776</v>
      </c>
      <c r="C330" s="18" t="s">
        <v>693</v>
      </c>
      <c r="D330" s="30" t="s">
        <v>1940</v>
      </c>
      <c r="E330" s="17" t="s">
        <v>694</v>
      </c>
      <c r="F330" s="16">
        <v>1585000</v>
      </c>
      <c r="G330" s="203">
        <v>0</v>
      </c>
      <c r="H330" s="203">
        <v>1500000</v>
      </c>
      <c r="I330" s="203">
        <v>3085000</v>
      </c>
      <c r="J330" s="203">
        <v>1500000</v>
      </c>
      <c r="K330" s="203">
        <v>2598100</v>
      </c>
      <c r="L330" s="203">
        <v>0</v>
      </c>
      <c r="M330" s="203">
        <v>1098100</v>
      </c>
      <c r="N330" s="203">
        <v>0</v>
      </c>
      <c r="O330" s="203">
        <v>1098100</v>
      </c>
      <c r="P330" s="237">
        <v>0.23740675222371063</v>
      </c>
    </row>
    <row r="331" spans="1:16" s="3" customFormat="1">
      <c r="A331" s="107"/>
      <c r="B331" s="149"/>
      <c r="C331" s="18" t="s">
        <v>695</v>
      </c>
      <c r="D331" s="30" t="s">
        <v>1942</v>
      </c>
      <c r="E331" s="219" t="s">
        <v>696</v>
      </c>
      <c r="F331" s="16">
        <v>0</v>
      </c>
      <c r="G331" s="203">
        <v>0</v>
      </c>
      <c r="H331" s="203">
        <v>0</v>
      </c>
      <c r="I331" s="203">
        <v>0</v>
      </c>
      <c r="J331" s="203">
        <v>0</v>
      </c>
      <c r="K331" s="203">
        <v>0</v>
      </c>
      <c r="L331" s="203">
        <v>0</v>
      </c>
      <c r="M331" s="203">
        <v>0</v>
      </c>
      <c r="N331" s="203">
        <v>0</v>
      </c>
      <c r="O331" s="203">
        <v>0</v>
      </c>
      <c r="P331" s="237">
        <v>0.23740675222371063</v>
      </c>
    </row>
    <row r="332" spans="1:16" s="3" customFormat="1">
      <c r="A332" s="134" t="s">
        <v>697</v>
      </c>
      <c r="B332" s="123" t="s">
        <v>1928</v>
      </c>
      <c r="C332" s="124" t="s">
        <v>698</v>
      </c>
      <c r="D332" s="67"/>
      <c r="E332" s="25" t="s">
        <v>243</v>
      </c>
      <c r="F332" s="68">
        <f>+F333+F342</f>
        <v>1744649000</v>
      </c>
      <c r="G332" s="68">
        <f t="shared" ref="G332:O332" si="97">+G333+G342</f>
        <v>2495100</v>
      </c>
      <c r="H332" s="68">
        <f t="shared" si="97"/>
        <v>31214899</v>
      </c>
      <c r="I332" s="68">
        <f t="shared" si="97"/>
        <v>1775863899</v>
      </c>
      <c r="J332" s="68">
        <f t="shared" si="97"/>
        <v>116500000</v>
      </c>
      <c r="K332" s="68">
        <f t="shared" si="97"/>
        <v>1724638949</v>
      </c>
      <c r="L332" s="68">
        <f t="shared" si="97"/>
        <v>55436900</v>
      </c>
      <c r="M332" s="68">
        <f t="shared" si="97"/>
        <v>824128650</v>
      </c>
      <c r="N332" s="68">
        <f t="shared" si="97"/>
        <v>55436900</v>
      </c>
      <c r="O332" s="68">
        <f t="shared" si="97"/>
        <v>824128650</v>
      </c>
      <c r="P332" s="229">
        <v>0.23740675222371063</v>
      </c>
    </row>
    <row r="333" spans="1:16" s="10" customFormat="1">
      <c r="A333" s="170"/>
      <c r="B333" s="125"/>
      <c r="C333" s="126" t="s">
        <v>699</v>
      </c>
      <c r="D333" s="29"/>
      <c r="E333" s="19" t="s">
        <v>700</v>
      </c>
      <c r="F333" s="20">
        <f>SUM(F334:F341)</f>
        <v>1630255000</v>
      </c>
      <c r="G333" s="20">
        <f t="shared" ref="G333:O333" si="98">SUM(G334:G341)</f>
        <v>2495100</v>
      </c>
      <c r="H333" s="20">
        <f t="shared" si="98"/>
        <v>10261250</v>
      </c>
      <c r="I333" s="20">
        <f t="shared" si="98"/>
        <v>1640516250</v>
      </c>
      <c r="J333" s="20">
        <f t="shared" si="98"/>
        <v>110000000</v>
      </c>
      <c r="K333" s="20">
        <f t="shared" si="98"/>
        <v>1606346750</v>
      </c>
      <c r="L333" s="20">
        <f t="shared" si="98"/>
        <v>55436900</v>
      </c>
      <c r="M333" s="20">
        <f t="shared" si="98"/>
        <v>768139200</v>
      </c>
      <c r="N333" s="20">
        <f t="shared" si="98"/>
        <v>55436900</v>
      </c>
      <c r="O333" s="20">
        <f t="shared" si="98"/>
        <v>768139200</v>
      </c>
      <c r="P333" s="243">
        <v>0.23740675222371063</v>
      </c>
    </row>
    <row r="334" spans="1:16" s="10" customFormat="1">
      <c r="A334" s="107"/>
      <c r="B334" s="149" t="s">
        <v>1567</v>
      </c>
      <c r="C334" s="18" t="s">
        <v>701</v>
      </c>
      <c r="D334" s="30" t="s">
        <v>1936</v>
      </c>
      <c r="E334" s="17" t="s">
        <v>702</v>
      </c>
      <c r="F334" s="16">
        <v>280485000</v>
      </c>
      <c r="G334" s="203">
        <v>0</v>
      </c>
      <c r="H334" s="203">
        <v>0</v>
      </c>
      <c r="I334" s="203">
        <v>280485000</v>
      </c>
      <c r="J334" s="203">
        <v>0</v>
      </c>
      <c r="K334" s="203">
        <v>280485000</v>
      </c>
      <c r="L334" s="203">
        <v>11459100</v>
      </c>
      <c r="M334" s="203">
        <v>124054700</v>
      </c>
      <c r="N334" s="203">
        <v>11459100</v>
      </c>
      <c r="O334" s="203">
        <v>124054700</v>
      </c>
      <c r="P334" s="237">
        <v>0.23740675222371063</v>
      </c>
    </row>
    <row r="335" spans="1:16" s="10" customFormat="1">
      <c r="A335" s="107"/>
      <c r="B335" s="149" t="s">
        <v>1568</v>
      </c>
      <c r="C335" s="18" t="s">
        <v>703</v>
      </c>
      <c r="D335" s="30" t="s">
        <v>1937</v>
      </c>
      <c r="E335" s="17" t="s">
        <v>704</v>
      </c>
      <c r="F335" s="16">
        <v>386667000</v>
      </c>
      <c r="G335" s="203">
        <v>0</v>
      </c>
      <c r="H335" s="203">
        <v>0</v>
      </c>
      <c r="I335" s="203">
        <v>386667000</v>
      </c>
      <c r="J335" s="203">
        <v>0</v>
      </c>
      <c r="K335" s="203">
        <v>386667000</v>
      </c>
      <c r="L335" s="203">
        <v>9545200</v>
      </c>
      <c r="M335" s="203">
        <v>164701650</v>
      </c>
      <c r="N335" s="203">
        <v>9545200</v>
      </c>
      <c r="O335" s="203">
        <v>164701650</v>
      </c>
      <c r="P335" s="237">
        <v>0.23740675222371063</v>
      </c>
    </row>
    <row r="336" spans="1:16" s="10" customFormat="1">
      <c r="A336" s="107"/>
      <c r="B336" s="149" t="s">
        <v>1569</v>
      </c>
      <c r="C336" s="18" t="s">
        <v>705</v>
      </c>
      <c r="D336" s="30" t="s">
        <v>1938</v>
      </c>
      <c r="E336" s="17" t="s">
        <v>706</v>
      </c>
      <c r="F336" s="16">
        <v>205939000</v>
      </c>
      <c r="G336" s="203">
        <v>0</v>
      </c>
      <c r="H336" s="203">
        <v>0</v>
      </c>
      <c r="I336" s="203">
        <v>205939000</v>
      </c>
      <c r="J336" s="203">
        <v>0</v>
      </c>
      <c r="K336" s="203">
        <v>205939000</v>
      </c>
      <c r="L336" s="203">
        <v>6450100</v>
      </c>
      <c r="M336" s="203">
        <v>103698750</v>
      </c>
      <c r="N336" s="203">
        <v>6450100</v>
      </c>
      <c r="O336" s="203">
        <v>103698750</v>
      </c>
      <c r="P336" s="237">
        <v>0.23740675222371063</v>
      </c>
    </row>
    <row r="337" spans="1:16" s="10" customFormat="1">
      <c r="A337" s="107"/>
      <c r="B337" s="149" t="s">
        <v>1570</v>
      </c>
      <c r="C337" s="18" t="s">
        <v>707</v>
      </c>
      <c r="D337" s="30" t="s">
        <v>1939</v>
      </c>
      <c r="E337" s="17" t="s">
        <v>708</v>
      </c>
      <c r="F337" s="16">
        <v>295115000</v>
      </c>
      <c r="G337" s="203">
        <v>0</v>
      </c>
      <c r="H337" s="203">
        <v>0</v>
      </c>
      <c r="I337" s="203">
        <v>295115000</v>
      </c>
      <c r="J337" s="203">
        <v>0</v>
      </c>
      <c r="K337" s="203">
        <v>295115000</v>
      </c>
      <c r="L337" s="203">
        <v>10808900</v>
      </c>
      <c r="M337" s="203">
        <v>146734600</v>
      </c>
      <c r="N337" s="203">
        <v>10808900</v>
      </c>
      <c r="O337" s="203">
        <v>146734600</v>
      </c>
      <c r="P337" s="237">
        <v>0.23740675222371063</v>
      </c>
    </row>
    <row r="338" spans="1:16" s="10" customFormat="1">
      <c r="A338" s="107"/>
      <c r="B338" s="149" t="s">
        <v>1571</v>
      </c>
      <c r="C338" s="18" t="s">
        <v>709</v>
      </c>
      <c r="D338" s="30" t="s">
        <v>1940</v>
      </c>
      <c r="E338" s="17" t="s">
        <v>710</v>
      </c>
      <c r="F338" s="16">
        <v>272147000</v>
      </c>
      <c r="G338" s="203">
        <v>0</v>
      </c>
      <c r="H338" s="203">
        <v>0</v>
      </c>
      <c r="I338" s="203">
        <v>272147000</v>
      </c>
      <c r="J338" s="203">
        <v>110000000</v>
      </c>
      <c r="K338" s="203">
        <v>240472600</v>
      </c>
      <c r="L338" s="203">
        <v>8284100</v>
      </c>
      <c r="M338" s="203">
        <v>138756700</v>
      </c>
      <c r="N338" s="203">
        <v>8284100</v>
      </c>
      <c r="O338" s="203">
        <v>138756700</v>
      </c>
      <c r="P338" s="237">
        <v>0.23740675222371063</v>
      </c>
    </row>
    <row r="339" spans="1:16" s="10" customFormat="1">
      <c r="A339" s="107"/>
      <c r="B339" s="149" t="s">
        <v>1572</v>
      </c>
      <c r="C339" s="18" t="s">
        <v>711</v>
      </c>
      <c r="D339" s="30" t="s">
        <v>1941</v>
      </c>
      <c r="E339" s="17" t="s">
        <v>712</v>
      </c>
      <c r="F339" s="16">
        <v>54812000</v>
      </c>
      <c r="G339" s="203">
        <v>2495100</v>
      </c>
      <c r="H339" s="203">
        <v>6261250</v>
      </c>
      <c r="I339" s="203">
        <v>61073250</v>
      </c>
      <c r="J339" s="203">
        <v>0</v>
      </c>
      <c r="K339" s="203">
        <v>58578150</v>
      </c>
      <c r="L339" s="203">
        <v>1924900</v>
      </c>
      <c r="M339" s="203">
        <v>29241600</v>
      </c>
      <c r="N339" s="203">
        <v>1924900</v>
      </c>
      <c r="O339" s="203">
        <v>29241600</v>
      </c>
      <c r="P339" s="237">
        <v>0.23740675222371063</v>
      </c>
    </row>
    <row r="340" spans="1:16" s="10" customFormat="1">
      <c r="A340" s="107"/>
      <c r="B340" s="149" t="s">
        <v>1573</v>
      </c>
      <c r="C340" s="18" t="s">
        <v>713</v>
      </c>
      <c r="D340" s="30" t="s">
        <v>1942</v>
      </c>
      <c r="E340" s="17" t="s">
        <v>714</v>
      </c>
      <c r="F340" s="16">
        <v>124807000</v>
      </c>
      <c r="G340" s="203">
        <v>0</v>
      </c>
      <c r="H340" s="203">
        <v>4000000</v>
      </c>
      <c r="I340" s="203">
        <v>128807000</v>
      </c>
      <c r="J340" s="203">
        <v>0</v>
      </c>
      <c r="K340" s="203">
        <v>128807000</v>
      </c>
      <c r="L340" s="203">
        <v>6964600</v>
      </c>
      <c r="M340" s="203">
        <v>58455650</v>
      </c>
      <c r="N340" s="203">
        <v>6964600</v>
      </c>
      <c r="O340" s="203">
        <v>58455650</v>
      </c>
      <c r="P340" s="237">
        <v>0.23740675222371063</v>
      </c>
    </row>
    <row r="341" spans="1:16" s="3" customFormat="1">
      <c r="A341" s="107"/>
      <c r="B341" s="149" t="s">
        <v>1574</v>
      </c>
      <c r="C341" s="18" t="s">
        <v>715</v>
      </c>
      <c r="D341" s="30" t="s">
        <v>1913</v>
      </c>
      <c r="E341" s="17" t="s">
        <v>716</v>
      </c>
      <c r="F341" s="16">
        <v>10283000</v>
      </c>
      <c r="G341" s="203">
        <v>0</v>
      </c>
      <c r="H341" s="203">
        <v>0</v>
      </c>
      <c r="I341" s="203">
        <v>10283000</v>
      </c>
      <c r="J341" s="203">
        <v>0</v>
      </c>
      <c r="K341" s="203">
        <v>10283000</v>
      </c>
      <c r="L341" s="203">
        <v>0</v>
      </c>
      <c r="M341" s="203">
        <v>2495550</v>
      </c>
      <c r="N341" s="203">
        <v>0</v>
      </c>
      <c r="O341" s="203">
        <v>2495550</v>
      </c>
      <c r="P341" s="237">
        <v>0.23740675222371063</v>
      </c>
    </row>
    <row r="342" spans="1:16" s="10" customFormat="1">
      <c r="A342" s="170"/>
      <c r="B342" s="125"/>
      <c r="C342" s="126" t="s">
        <v>717</v>
      </c>
      <c r="D342" s="29"/>
      <c r="E342" s="19" t="s">
        <v>718</v>
      </c>
      <c r="F342" s="20">
        <f>SUM(F343:F348)</f>
        <v>114394000</v>
      </c>
      <c r="G342" s="20">
        <f t="shared" ref="G342:O342" si="99">SUM(G343:G348)</f>
        <v>0</v>
      </c>
      <c r="H342" s="20">
        <f t="shared" si="99"/>
        <v>20953649</v>
      </c>
      <c r="I342" s="20">
        <f t="shared" si="99"/>
        <v>135347649</v>
      </c>
      <c r="J342" s="20">
        <f t="shared" si="99"/>
        <v>6500000</v>
      </c>
      <c r="K342" s="20">
        <f t="shared" si="99"/>
        <v>118292199</v>
      </c>
      <c r="L342" s="20">
        <f t="shared" si="99"/>
        <v>0</v>
      </c>
      <c r="M342" s="20">
        <f t="shared" si="99"/>
        <v>55989450</v>
      </c>
      <c r="N342" s="20">
        <f t="shared" si="99"/>
        <v>0</v>
      </c>
      <c r="O342" s="20">
        <f t="shared" si="99"/>
        <v>55989450</v>
      </c>
      <c r="P342" s="243">
        <v>0.23740675222371063</v>
      </c>
    </row>
    <row r="343" spans="1:16" s="10" customFormat="1">
      <c r="A343" s="107"/>
      <c r="B343" s="149" t="s">
        <v>1562</v>
      </c>
      <c r="C343" s="18" t="s">
        <v>719</v>
      </c>
      <c r="D343" s="30" t="s">
        <v>1936</v>
      </c>
      <c r="E343" s="17" t="s">
        <v>720</v>
      </c>
      <c r="F343" s="16">
        <v>23668000</v>
      </c>
      <c r="G343" s="203">
        <v>0</v>
      </c>
      <c r="H343" s="203">
        <v>3500000</v>
      </c>
      <c r="I343" s="203">
        <v>27168000</v>
      </c>
      <c r="J343" s="203">
        <v>0</v>
      </c>
      <c r="K343" s="203">
        <v>11080500</v>
      </c>
      <c r="L343" s="203">
        <v>0</v>
      </c>
      <c r="M343" s="203">
        <v>11080500</v>
      </c>
      <c r="N343" s="203">
        <v>0</v>
      </c>
      <c r="O343" s="203">
        <v>11080500</v>
      </c>
      <c r="P343" s="237">
        <v>0.23740675222371063</v>
      </c>
    </row>
    <row r="344" spans="1:16" s="10" customFormat="1">
      <c r="A344" s="107"/>
      <c r="B344" s="149" t="s">
        <v>1563</v>
      </c>
      <c r="C344" s="18" t="s">
        <v>721</v>
      </c>
      <c r="D344" s="30" t="s">
        <v>1937</v>
      </c>
      <c r="E344" s="17" t="s">
        <v>722</v>
      </c>
      <c r="F344" s="16">
        <v>55961000</v>
      </c>
      <c r="G344" s="203">
        <v>0</v>
      </c>
      <c r="H344" s="203">
        <v>12453649</v>
      </c>
      <c r="I344" s="203">
        <v>68414649</v>
      </c>
      <c r="J344" s="203">
        <v>0</v>
      </c>
      <c r="K344" s="203">
        <v>68414649</v>
      </c>
      <c r="L344" s="203">
        <v>0</v>
      </c>
      <c r="M344" s="203">
        <v>27038350</v>
      </c>
      <c r="N344" s="203">
        <v>0</v>
      </c>
      <c r="O344" s="203">
        <v>27038350</v>
      </c>
      <c r="P344" s="237">
        <v>0.23740675222371063</v>
      </c>
    </row>
    <row r="345" spans="1:16" s="10" customFormat="1">
      <c r="A345" s="107"/>
      <c r="B345" s="149" t="s">
        <v>1564</v>
      </c>
      <c r="C345" s="18" t="s">
        <v>723</v>
      </c>
      <c r="D345" s="30" t="s">
        <v>1938</v>
      </c>
      <c r="E345" s="17" t="s">
        <v>724</v>
      </c>
      <c r="F345" s="16">
        <v>4351000</v>
      </c>
      <c r="G345" s="203">
        <v>0</v>
      </c>
      <c r="H345" s="203">
        <v>0</v>
      </c>
      <c r="I345" s="203">
        <v>4351000</v>
      </c>
      <c r="J345" s="203">
        <v>0</v>
      </c>
      <c r="K345" s="203">
        <v>4351000</v>
      </c>
      <c r="L345" s="203">
        <v>0</v>
      </c>
      <c r="M345" s="203">
        <v>2441200</v>
      </c>
      <c r="N345" s="203">
        <v>0</v>
      </c>
      <c r="O345" s="203">
        <v>2441200</v>
      </c>
      <c r="P345" s="237">
        <v>0.23740675222371063</v>
      </c>
    </row>
    <row r="346" spans="1:16" s="10" customFormat="1">
      <c r="A346" s="107"/>
      <c r="B346" s="149" t="s">
        <v>1565</v>
      </c>
      <c r="C346" s="18" t="s">
        <v>725</v>
      </c>
      <c r="D346" s="30" t="s">
        <v>1939</v>
      </c>
      <c r="E346" s="17" t="s">
        <v>726</v>
      </c>
      <c r="F346" s="16">
        <v>21115000</v>
      </c>
      <c r="G346" s="203">
        <v>0</v>
      </c>
      <c r="H346" s="203">
        <v>0</v>
      </c>
      <c r="I346" s="203">
        <v>21115000</v>
      </c>
      <c r="J346" s="203">
        <v>0</v>
      </c>
      <c r="K346" s="203">
        <v>21115000</v>
      </c>
      <c r="L346" s="203">
        <v>0</v>
      </c>
      <c r="M346" s="203">
        <v>8598350</v>
      </c>
      <c r="N346" s="203">
        <v>0</v>
      </c>
      <c r="O346" s="203">
        <v>8598350</v>
      </c>
      <c r="P346" s="237">
        <v>0.23740675222371063</v>
      </c>
    </row>
    <row r="347" spans="1:16" s="10" customFormat="1">
      <c r="A347" s="107"/>
      <c r="B347" s="149" t="s">
        <v>1566</v>
      </c>
      <c r="C347" s="18" t="s">
        <v>727</v>
      </c>
      <c r="D347" s="30" t="s">
        <v>1940</v>
      </c>
      <c r="E347" s="17" t="s">
        <v>728</v>
      </c>
      <c r="F347" s="16">
        <v>9299000</v>
      </c>
      <c r="G347" s="203">
        <v>0</v>
      </c>
      <c r="H347" s="203">
        <v>5000000</v>
      </c>
      <c r="I347" s="203">
        <v>14299000</v>
      </c>
      <c r="J347" s="203">
        <v>6500000</v>
      </c>
      <c r="K347" s="203">
        <v>13331050</v>
      </c>
      <c r="L347" s="203">
        <v>0</v>
      </c>
      <c r="M347" s="203">
        <v>6831050</v>
      </c>
      <c r="N347" s="203">
        <v>0</v>
      </c>
      <c r="O347" s="203">
        <v>6831050</v>
      </c>
      <c r="P347" s="237">
        <v>0.23740675222371063</v>
      </c>
    </row>
    <row r="348" spans="1:16" s="6" customFormat="1">
      <c r="A348" s="107"/>
      <c r="B348" s="149"/>
      <c r="C348" s="18" t="s">
        <v>729</v>
      </c>
      <c r="D348" s="30" t="s">
        <v>1942</v>
      </c>
      <c r="E348" s="219" t="s">
        <v>730</v>
      </c>
      <c r="F348" s="16">
        <v>0</v>
      </c>
      <c r="G348" s="203">
        <v>0</v>
      </c>
      <c r="H348" s="203">
        <v>0</v>
      </c>
      <c r="I348" s="203">
        <v>0</v>
      </c>
      <c r="J348" s="203">
        <v>0</v>
      </c>
      <c r="K348" s="203">
        <v>0</v>
      </c>
      <c r="L348" s="203">
        <v>0</v>
      </c>
      <c r="M348" s="203">
        <v>0</v>
      </c>
      <c r="N348" s="203">
        <v>0</v>
      </c>
      <c r="O348" s="203">
        <v>0</v>
      </c>
      <c r="P348" s="237">
        <v>0.23740675222371063</v>
      </c>
    </row>
    <row r="349" spans="1:16" s="6" customFormat="1">
      <c r="A349" s="103" t="s">
        <v>731</v>
      </c>
      <c r="B349" s="59" t="s">
        <v>1777</v>
      </c>
      <c r="C349" s="59" t="s">
        <v>732</v>
      </c>
      <c r="D349" s="59"/>
      <c r="E349" s="59" t="s">
        <v>733</v>
      </c>
      <c r="F349" s="193">
        <f>+F350+F375</f>
        <v>117669431000</v>
      </c>
      <c r="G349" s="193">
        <f t="shared" ref="G349:O349" si="100">+G350+G375</f>
        <v>12433319036</v>
      </c>
      <c r="H349" s="193">
        <f t="shared" si="100"/>
        <v>38219474364</v>
      </c>
      <c r="I349" s="193">
        <f t="shared" si="100"/>
        <v>155888905364</v>
      </c>
      <c r="J349" s="193">
        <f t="shared" si="100"/>
        <v>8744836249</v>
      </c>
      <c r="K349" s="193">
        <f t="shared" si="100"/>
        <v>121149431599</v>
      </c>
      <c r="L349" s="193">
        <f t="shared" si="100"/>
        <v>23917884636</v>
      </c>
      <c r="M349" s="193">
        <f t="shared" si="100"/>
        <v>112929848283</v>
      </c>
      <c r="N349" s="193">
        <f t="shared" si="100"/>
        <v>5157401978</v>
      </c>
      <c r="O349" s="193">
        <f t="shared" si="100"/>
        <v>64206635922</v>
      </c>
      <c r="P349" s="233">
        <v>0.23740675222371063</v>
      </c>
    </row>
    <row r="350" spans="1:16" s="6" customFormat="1">
      <c r="A350" s="109" t="s">
        <v>734</v>
      </c>
      <c r="B350" s="153" t="s">
        <v>1778</v>
      </c>
      <c r="C350" s="38" t="s">
        <v>735</v>
      </c>
      <c r="D350" s="72"/>
      <c r="E350" s="38" t="s">
        <v>736</v>
      </c>
      <c r="F350" s="206">
        <f>+F351</f>
        <v>3380230000</v>
      </c>
      <c r="G350" s="206">
        <f t="shared" ref="G350:O350" si="101">+G351</f>
        <v>0</v>
      </c>
      <c r="H350" s="206">
        <f t="shared" si="101"/>
        <v>129363035</v>
      </c>
      <c r="I350" s="206">
        <f t="shared" si="101"/>
        <v>3509593035</v>
      </c>
      <c r="J350" s="206">
        <f t="shared" si="101"/>
        <v>-237759927</v>
      </c>
      <c r="K350" s="206">
        <f t="shared" si="101"/>
        <v>1986170101</v>
      </c>
      <c r="L350" s="206">
        <f t="shared" si="101"/>
        <v>522932101</v>
      </c>
      <c r="M350" s="206">
        <f t="shared" si="101"/>
        <v>522932101</v>
      </c>
      <c r="N350" s="206">
        <f t="shared" si="101"/>
        <v>0</v>
      </c>
      <c r="O350" s="206">
        <f t="shared" si="101"/>
        <v>0</v>
      </c>
      <c r="P350" s="238">
        <v>0.23740675222371063</v>
      </c>
    </row>
    <row r="351" spans="1:16" s="6" customFormat="1">
      <c r="A351" s="172" t="s">
        <v>737</v>
      </c>
      <c r="B351" s="154" t="s">
        <v>1779</v>
      </c>
      <c r="C351" s="39" t="s">
        <v>738</v>
      </c>
      <c r="D351" s="73"/>
      <c r="E351" s="39" t="s">
        <v>739</v>
      </c>
      <c r="F351" s="207">
        <f>+F352+F357+F365</f>
        <v>3380230000</v>
      </c>
      <c r="G351" s="207">
        <f t="shared" ref="G351:O351" si="102">+G352+G357+G365</f>
        <v>0</v>
      </c>
      <c r="H351" s="207">
        <f t="shared" si="102"/>
        <v>129363035</v>
      </c>
      <c r="I351" s="207">
        <f t="shared" si="102"/>
        <v>3509593035</v>
      </c>
      <c r="J351" s="207">
        <f t="shared" si="102"/>
        <v>-237759927</v>
      </c>
      <c r="K351" s="207">
        <f t="shared" si="102"/>
        <v>1986170101</v>
      </c>
      <c r="L351" s="207">
        <f t="shared" si="102"/>
        <v>522932101</v>
      </c>
      <c r="M351" s="207">
        <f t="shared" si="102"/>
        <v>522932101</v>
      </c>
      <c r="N351" s="207">
        <f t="shared" si="102"/>
        <v>0</v>
      </c>
      <c r="O351" s="207">
        <f t="shared" si="102"/>
        <v>0</v>
      </c>
      <c r="P351" s="245">
        <v>0.23740675222371063</v>
      </c>
    </row>
    <row r="352" spans="1:16" s="2" customFormat="1">
      <c r="A352" s="173" t="s">
        <v>740</v>
      </c>
      <c r="B352" s="155" t="s">
        <v>1531</v>
      </c>
      <c r="C352" s="156" t="s">
        <v>741</v>
      </c>
      <c r="D352" s="74"/>
      <c r="E352" s="40" t="s">
        <v>742</v>
      </c>
      <c r="F352" s="204">
        <f>+F353</f>
        <v>31356000</v>
      </c>
      <c r="G352" s="204">
        <f t="shared" ref="G352:O353" si="103">+G353</f>
        <v>0</v>
      </c>
      <c r="H352" s="204">
        <f t="shared" si="103"/>
        <v>0</v>
      </c>
      <c r="I352" s="204">
        <f t="shared" si="103"/>
        <v>31356000</v>
      </c>
      <c r="J352" s="204">
        <f t="shared" si="103"/>
        <v>0</v>
      </c>
      <c r="K352" s="204">
        <f t="shared" si="103"/>
        <v>0</v>
      </c>
      <c r="L352" s="204">
        <f t="shared" si="103"/>
        <v>0</v>
      </c>
      <c r="M352" s="204">
        <f t="shared" si="103"/>
        <v>0</v>
      </c>
      <c r="N352" s="204">
        <f t="shared" si="103"/>
        <v>0</v>
      </c>
      <c r="O352" s="204">
        <f t="shared" si="103"/>
        <v>0</v>
      </c>
      <c r="P352" s="246">
        <v>0.23740675222371063</v>
      </c>
    </row>
    <row r="353" spans="1:16" s="2" customFormat="1">
      <c r="A353" s="136" t="s">
        <v>743</v>
      </c>
      <c r="B353" s="125" t="s">
        <v>1780</v>
      </c>
      <c r="C353" s="126" t="s">
        <v>744</v>
      </c>
      <c r="D353" s="29"/>
      <c r="E353" s="19" t="s">
        <v>745</v>
      </c>
      <c r="F353" s="205">
        <f>+F354</f>
        <v>31356000</v>
      </c>
      <c r="G353" s="205">
        <f t="shared" si="103"/>
        <v>0</v>
      </c>
      <c r="H353" s="205">
        <f t="shared" si="103"/>
        <v>0</v>
      </c>
      <c r="I353" s="205">
        <f t="shared" si="103"/>
        <v>31356000</v>
      </c>
      <c r="J353" s="205">
        <f t="shared" si="103"/>
        <v>0</v>
      </c>
      <c r="K353" s="205">
        <f t="shared" si="103"/>
        <v>0</v>
      </c>
      <c r="L353" s="205">
        <f t="shared" si="103"/>
        <v>0</v>
      </c>
      <c r="M353" s="205">
        <f t="shared" si="103"/>
        <v>0</v>
      </c>
      <c r="N353" s="205">
        <f t="shared" si="103"/>
        <v>0</v>
      </c>
      <c r="O353" s="205">
        <f t="shared" si="103"/>
        <v>0</v>
      </c>
      <c r="P353" s="243">
        <v>0.23740675222371063</v>
      </c>
    </row>
    <row r="354" spans="1:16" s="8" customFormat="1">
      <c r="A354" s="107" t="s">
        <v>746</v>
      </c>
      <c r="B354" s="149" t="s">
        <v>2015</v>
      </c>
      <c r="C354" s="18" t="s">
        <v>747</v>
      </c>
      <c r="D354" s="219"/>
      <c r="E354" s="17" t="s">
        <v>748</v>
      </c>
      <c r="F354" s="16">
        <f>F355+F356</f>
        <v>31356000</v>
      </c>
      <c r="G354" s="203">
        <f t="shared" ref="G354:O354" si="104">G355+G356</f>
        <v>0</v>
      </c>
      <c r="H354" s="203">
        <f t="shared" si="104"/>
        <v>0</v>
      </c>
      <c r="I354" s="203">
        <f t="shared" si="104"/>
        <v>31356000</v>
      </c>
      <c r="J354" s="203">
        <f t="shared" si="104"/>
        <v>0</v>
      </c>
      <c r="K354" s="203">
        <f t="shared" si="104"/>
        <v>0</v>
      </c>
      <c r="L354" s="203">
        <f t="shared" si="104"/>
        <v>0</v>
      </c>
      <c r="M354" s="203">
        <f t="shared" si="104"/>
        <v>0</v>
      </c>
      <c r="N354" s="203">
        <f t="shared" si="104"/>
        <v>0</v>
      </c>
      <c r="O354" s="203">
        <f t="shared" si="104"/>
        <v>0</v>
      </c>
      <c r="P354" s="237">
        <v>0.23740675222371063</v>
      </c>
    </row>
    <row r="355" spans="1:16" s="8" customFormat="1">
      <c r="A355" s="108"/>
      <c r="B355" s="150"/>
      <c r="C355" s="70" t="s">
        <v>747</v>
      </c>
      <c r="D355" s="33" t="s">
        <v>1948</v>
      </c>
      <c r="E355" s="34" t="s">
        <v>1914</v>
      </c>
      <c r="F355" s="35">
        <v>0</v>
      </c>
      <c r="G355" s="210">
        <v>0</v>
      </c>
      <c r="H355" s="210">
        <v>0</v>
      </c>
      <c r="I355" s="210">
        <v>31356000</v>
      </c>
      <c r="J355" s="210">
        <v>0</v>
      </c>
      <c r="K355" s="210">
        <v>0</v>
      </c>
      <c r="L355" s="210">
        <v>0</v>
      </c>
      <c r="M355" s="210">
        <v>0</v>
      </c>
      <c r="N355" s="210">
        <v>0</v>
      </c>
      <c r="O355" s="210">
        <v>0</v>
      </c>
      <c r="P355" s="242">
        <v>0.23740675222371063</v>
      </c>
    </row>
    <row r="356" spans="1:16" s="6" customFormat="1">
      <c r="A356" s="108"/>
      <c r="B356" s="150"/>
      <c r="C356" s="70" t="s">
        <v>747</v>
      </c>
      <c r="D356" s="33" t="s">
        <v>1954</v>
      </c>
      <c r="E356" s="34" t="s">
        <v>918</v>
      </c>
      <c r="F356" s="35">
        <v>31356000</v>
      </c>
      <c r="G356" s="210">
        <v>0</v>
      </c>
      <c r="H356" s="210">
        <v>0</v>
      </c>
      <c r="I356" s="210">
        <v>0</v>
      </c>
      <c r="J356" s="210">
        <v>0</v>
      </c>
      <c r="K356" s="210">
        <v>0</v>
      </c>
      <c r="L356" s="210">
        <v>0</v>
      </c>
      <c r="M356" s="210">
        <v>0</v>
      </c>
      <c r="N356" s="210">
        <v>0</v>
      </c>
      <c r="O356" s="210">
        <v>0</v>
      </c>
      <c r="P356" s="242">
        <v>0.23740675222371063</v>
      </c>
    </row>
    <row r="357" spans="1:16" s="2" customFormat="1">
      <c r="A357" s="173" t="s">
        <v>749</v>
      </c>
      <c r="B357" s="155" t="s">
        <v>1781</v>
      </c>
      <c r="C357" s="156" t="s">
        <v>750</v>
      </c>
      <c r="D357" s="74"/>
      <c r="E357" s="40" t="s">
        <v>751</v>
      </c>
      <c r="F357" s="75">
        <f>+F358</f>
        <v>0</v>
      </c>
      <c r="G357" s="75">
        <f t="shared" ref="G357:O359" si="105">+G358</f>
        <v>0</v>
      </c>
      <c r="H357" s="75">
        <f t="shared" si="105"/>
        <v>0</v>
      </c>
      <c r="I357" s="75">
        <f t="shared" si="105"/>
        <v>0</v>
      </c>
      <c r="J357" s="75">
        <f t="shared" si="105"/>
        <v>0</v>
      </c>
      <c r="K357" s="75">
        <f t="shared" si="105"/>
        <v>0</v>
      </c>
      <c r="L357" s="75">
        <f t="shared" si="105"/>
        <v>0</v>
      </c>
      <c r="M357" s="75">
        <f t="shared" si="105"/>
        <v>0</v>
      </c>
      <c r="N357" s="75">
        <f t="shared" si="105"/>
        <v>0</v>
      </c>
      <c r="O357" s="75">
        <f t="shared" si="105"/>
        <v>0</v>
      </c>
      <c r="P357" s="246">
        <v>0.23740675222371063</v>
      </c>
    </row>
    <row r="358" spans="1:16" s="8" customFormat="1">
      <c r="A358" s="136" t="s">
        <v>752</v>
      </c>
      <c r="B358" s="125" t="s">
        <v>1782</v>
      </c>
      <c r="C358" s="126" t="s">
        <v>753</v>
      </c>
      <c r="D358" s="29"/>
      <c r="E358" s="19" t="s">
        <v>754</v>
      </c>
      <c r="F358" s="20">
        <f>+F359</f>
        <v>0</v>
      </c>
      <c r="G358" s="20">
        <f t="shared" si="105"/>
        <v>0</v>
      </c>
      <c r="H358" s="20">
        <f t="shared" si="105"/>
        <v>0</v>
      </c>
      <c r="I358" s="20">
        <f t="shared" si="105"/>
        <v>0</v>
      </c>
      <c r="J358" s="20">
        <f t="shared" si="105"/>
        <v>0</v>
      </c>
      <c r="K358" s="20">
        <f t="shared" si="105"/>
        <v>0</v>
      </c>
      <c r="L358" s="20">
        <f t="shared" si="105"/>
        <v>0</v>
      </c>
      <c r="M358" s="20">
        <f t="shared" si="105"/>
        <v>0</v>
      </c>
      <c r="N358" s="20">
        <f t="shared" si="105"/>
        <v>0</v>
      </c>
      <c r="O358" s="20">
        <f t="shared" si="105"/>
        <v>0</v>
      </c>
      <c r="P358" s="243">
        <v>0.23740675222371063</v>
      </c>
    </row>
    <row r="359" spans="1:16" s="8" customFormat="1">
      <c r="A359" s="134" t="s">
        <v>755</v>
      </c>
      <c r="B359" s="123" t="s">
        <v>1531</v>
      </c>
      <c r="C359" s="124" t="s">
        <v>756</v>
      </c>
      <c r="D359" s="67"/>
      <c r="E359" s="25" t="s">
        <v>757</v>
      </c>
      <c r="F359" s="68">
        <f>+F360</f>
        <v>0</v>
      </c>
      <c r="G359" s="68">
        <f t="shared" si="105"/>
        <v>0</v>
      </c>
      <c r="H359" s="68">
        <f t="shared" si="105"/>
        <v>0</v>
      </c>
      <c r="I359" s="68">
        <f t="shared" si="105"/>
        <v>0</v>
      </c>
      <c r="J359" s="68">
        <f t="shared" si="105"/>
        <v>0</v>
      </c>
      <c r="K359" s="68">
        <f t="shared" si="105"/>
        <v>0</v>
      </c>
      <c r="L359" s="68">
        <f t="shared" si="105"/>
        <v>0</v>
      </c>
      <c r="M359" s="68">
        <f t="shared" si="105"/>
        <v>0</v>
      </c>
      <c r="N359" s="68">
        <f t="shared" si="105"/>
        <v>0</v>
      </c>
      <c r="O359" s="68">
        <f t="shared" si="105"/>
        <v>0</v>
      </c>
      <c r="P359" s="229">
        <v>0.23740675222371063</v>
      </c>
    </row>
    <row r="360" spans="1:16" s="2" customFormat="1">
      <c r="A360" s="174" t="s">
        <v>758</v>
      </c>
      <c r="B360" s="157" t="s">
        <v>1531</v>
      </c>
      <c r="C360" s="158" t="s">
        <v>759</v>
      </c>
      <c r="D360" s="41"/>
      <c r="E360" s="42" t="s">
        <v>760</v>
      </c>
      <c r="F360" s="76">
        <f>+F361+F363</f>
        <v>0</v>
      </c>
      <c r="G360" s="76">
        <f t="shared" ref="G360:O360" si="106">+G361+G363</f>
        <v>0</v>
      </c>
      <c r="H360" s="76">
        <f t="shared" si="106"/>
        <v>0</v>
      </c>
      <c r="I360" s="76">
        <f t="shared" si="106"/>
        <v>0</v>
      </c>
      <c r="J360" s="76">
        <f t="shared" si="106"/>
        <v>0</v>
      </c>
      <c r="K360" s="76">
        <f t="shared" si="106"/>
        <v>0</v>
      </c>
      <c r="L360" s="76">
        <f t="shared" si="106"/>
        <v>0</v>
      </c>
      <c r="M360" s="76">
        <f t="shared" si="106"/>
        <v>0</v>
      </c>
      <c r="N360" s="76">
        <f t="shared" si="106"/>
        <v>0</v>
      </c>
      <c r="O360" s="76">
        <f t="shared" si="106"/>
        <v>0</v>
      </c>
      <c r="P360" s="247">
        <v>0.23740675222371063</v>
      </c>
    </row>
    <row r="361" spans="1:16" s="8" customFormat="1">
      <c r="A361" s="107"/>
      <c r="B361" s="149" t="s">
        <v>1783</v>
      </c>
      <c r="C361" s="18" t="s">
        <v>761</v>
      </c>
      <c r="D361" s="30"/>
      <c r="E361" s="17" t="s">
        <v>762</v>
      </c>
      <c r="F361" s="16">
        <f>+F362</f>
        <v>0</v>
      </c>
      <c r="G361" s="203">
        <f t="shared" ref="G361:O361" si="107">+G362</f>
        <v>0</v>
      </c>
      <c r="H361" s="203">
        <f t="shared" si="107"/>
        <v>0</v>
      </c>
      <c r="I361" s="203">
        <f t="shared" si="107"/>
        <v>0</v>
      </c>
      <c r="J361" s="203">
        <f t="shared" si="107"/>
        <v>0</v>
      </c>
      <c r="K361" s="203">
        <f t="shared" si="107"/>
        <v>0</v>
      </c>
      <c r="L361" s="203">
        <f t="shared" si="107"/>
        <v>0</v>
      </c>
      <c r="M361" s="203">
        <f t="shared" si="107"/>
        <v>0</v>
      </c>
      <c r="N361" s="203">
        <f t="shared" si="107"/>
        <v>0</v>
      </c>
      <c r="O361" s="203">
        <f t="shared" si="107"/>
        <v>0</v>
      </c>
      <c r="P361" s="237">
        <v>0.23740675222371063</v>
      </c>
    </row>
    <row r="362" spans="1:16" s="2" customFormat="1">
      <c r="A362" s="108"/>
      <c r="B362" s="150"/>
      <c r="C362" s="70" t="s">
        <v>761</v>
      </c>
      <c r="D362" s="33" t="s">
        <v>1943</v>
      </c>
      <c r="E362" s="34" t="s">
        <v>763</v>
      </c>
      <c r="F362" s="35">
        <v>0</v>
      </c>
      <c r="G362" s="210">
        <v>0</v>
      </c>
      <c r="H362" s="210">
        <v>0</v>
      </c>
      <c r="I362" s="210">
        <v>0</v>
      </c>
      <c r="J362" s="210">
        <v>0</v>
      </c>
      <c r="K362" s="210">
        <v>0</v>
      </c>
      <c r="L362" s="210">
        <v>0</v>
      </c>
      <c r="M362" s="210">
        <v>0</v>
      </c>
      <c r="N362" s="210">
        <v>0</v>
      </c>
      <c r="O362" s="210">
        <v>0</v>
      </c>
      <c r="P362" s="242">
        <v>0.23740675222371063</v>
      </c>
    </row>
    <row r="363" spans="1:16" s="8" customFormat="1">
      <c r="A363" s="107"/>
      <c r="B363" s="149" t="s">
        <v>1784</v>
      </c>
      <c r="C363" s="18" t="s">
        <v>764</v>
      </c>
      <c r="D363" s="30"/>
      <c r="E363" s="17" t="s">
        <v>765</v>
      </c>
      <c r="F363" s="16">
        <f>+F364</f>
        <v>0</v>
      </c>
      <c r="G363" s="203">
        <f t="shared" ref="G363:O363" si="108">+G364</f>
        <v>0</v>
      </c>
      <c r="H363" s="203">
        <f t="shared" si="108"/>
        <v>0</v>
      </c>
      <c r="I363" s="203">
        <f t="shared" si="108"/>
        <v>0</v>
      </c>
      <c r="J363" s="203">
        <f t="shared" si="108"/>
        <v>0</v>
      </c>
      <c r="K363" s="203">
        <f t="shared" si="108"/>
        <v>0</v>
      </c>
      <c r="L363" s="203">
        <f t="shared" si="108"/>
        <v>0</v>
      </c>
      <c r="M363" s="203">
        <f t="shared" si="108"/>
        <v>0</v>
      </c>
      <c r="N363" s="203">
        <f t="shared" si="108"/>
        <v>0</v>
      </c>
      <c r="O363" s="203">
        <f t="shared" si="108"/>
        <v>0</v>
      </c>
      <c r="P363" s="237">
        <v>0.23740675222371063</v>
      </c>
    </row>
    <row r="364" spans="1:16" s="6" customFormat="1">
      <c r="A364" s="108"/>
      <c r="B364" s="150"/>
      <c r="C364" s="70" t="s">
        <v>764</v>
      </c>
      <c r="D364" s="33" t="s">
        <v>1943</v>
      </c>
      <c r="E364" s="34" t="s">
        <v>763</v>
      </c>
      <c r="F364" s="35">
        <v>0</v>
      </c>
      <c r="G364" s="210">
        <v>0</v>
      </c>
      <c r="H364" s="210">
        <v>0</v>
      </c>
      <c r="I364" s="210">
        <v>0</v>
      </c>
      <c r="J364" s="210">
        <v>0</v>
      </c>
      <c r="K364" s="210">
        <v>0</v>
      </c>
      <c r="L364" s="210">
        <v>0</v>
      </c>
      <c r="M364" s="210">
        <v>0</v>
      </c>
      <c r="N364" s="210">
        <v>0</v>
      </c>
      <c r="O364" s="210">
        <v>0</v>
      </c>
      <c r="P364" s="242">
        <v>0.23740675222371063</v>
      </c>
    </row>
    <row r="365" spans="1:16" s="2" customFormat="1">
      <c r="A365" s="173" t="s">
        <v>766</v>
      </c>
      <c r="B365" s="155" t="s">
        <v>1785</v>
      </c>
      <c r="C365" s="156" t="s">
        <v>767</v>
      </c>
      <c r="D365" s="74"/>
      <c r="E365" s="40" t="s">
        <v>768</v>
      </c>
      <c r="F365" s="75">
        <f>+F366</f>
        <v>3348874000</v>
      </c>
      <c r="G365" s="75">
        <f t="shared" ref="G365:O368" si="109">+G366</f>
        <v>0</v>
      </c>
      <c r="H365" s="75">
        <f t="shared" si="109"/>
        <v>129363035</v>
      </c>
      <c r="I365" s="75">
        <f t="shared" si="109"/>
        <v>3478237035</v>
      </c>
      <c r="J365" s="75">
        <f t="shared" si="109"/>
        <v>-237759927</v>
      </c>
      <c r="K365" s="75">
        <f t="shared" si="109"/>
        <v>1986170101</v>
      </c>
      <c r="L365" s="75">
        <f t="shared" si="109"/>
        <v>522932101</v>
      </c>
      <c r="M365" s="75">
        <f t="shared" si="109"/>
        <v>522932101</v>
      </c>
      <c r="N365" s="75">
        <f t="shared" si="109"/>
        <v>0</v>
      </c>
      <c r="O365" s="75">
        <f t="shared" si="109"/>
        <v>0</v>
      </c>
      <c r="P365" s="246">
        <v>0.23740675222371063</v>
      </c>
    </row>
    <row r="366" spans="1:16" s="2" customFormat="1">
      <c r="A366" s="136" t="s">
        <v>769</v>
      </c>
      <c r="B366" s="125" t="s">
        <v>1786</v>
      </c>
      <c r="C366" s="126" t="s">
        <v>770</v>
      </c>
      <c r="D366" s="29"/>
      <c r="E366" s="19" t="s">
        <v>771</v>
      </c>
      <c r="F366" s="20">
        <f>+F367</f>
        <v>3348874000</v>
      </c>
      <c r="G366" s="20">
        <f t="shared" si="109"/>
        <v>0</v>
      </c>
      <c r="H366" s="20">
        <f t="shared" si="109"/>
        <v>129363035</v>
      </c>
      <c r="I366" s="20">
        <f t="shared" si="109"/>
        <v>3478237035</v>
      </c>
      <c r="J366" s="20">
        <f t="shared" si="109"/>
        <v>-237759927</v>
      </c>
      <c r="K366" s="20">
        <f t="shared" si="109"/>
        <v>1986170101</v>
      </c>
      <c r="L366" s="20">
        <f t="shared" si="109"/>
        <v>522932101</v>
      </c>
      <c r="M366" s="20">
        <f t="shared" si="109"/>
        <v>522932101</v>
      </c>
      <c r="N366" s="20">
        <f t="shared" si="109"/>
        <v>0</v>
      </c>
      <c r="O366" s="20">
        <f t="shared" si="109"/>
        <v>0</v>
      </c>
      <c r="P366" s="243">
        <v>0.23740675222371063</v>
      </c>
    </row>
    <row r="367" spans="1:16" s="8" customFormat="1">
      <c r="A367" s="134" t="s">
        <v>772</v>
      </c>
      <c r="B367" s="123" t="s">
        <v>1531</v>
      </c>
      <c r="C367" s="124" t="s">
        <v>773</v>
      </c>
      <c r="D367" s="67"/>
      <c r="E367" s="25" t="s">
        <v>774</v>
      </c>
      <c r="F367" s="68">
        <f>+F368</f>
        <v>3348874000</v>
      </c>
      <c r="G367" s="68">
        <f t="shared" si="109"/>
        <v>0</v>
      </c>
      <c r="H367" s="68">
        <f t="shared" si="109"/>
        <v>129363035</v>
      </c>
      <c r="I367" s="68">
        <f t="shared" si="109"/>
        <v>3478237035</v>
      </c>
      <c r="J367" s="68">
        <f t="shared" si="109"/>
        <v>-237759927</v>
      </c>
      <c r="K367" s="68">
        <f t="shared" si="109"/>
        <v>1986170101</v>
      </c>
      <c r="L367" s="68">
        <f t="shared" si="109"/>
        <v>522932101</v>
      </c>
      <c r="M367" s="68">
        <f t="shared" si="109"/>
        <v>522932101</v>
      </c>
      <c r="N367" s="68">
        <f t="shared" si="109"/>
        <v>0</v>
      </c>
      <c r="O367" s="68">
        <f t="shared" si="109"/>
        <v>0</v>
      </c>
      <c r="P367" s="229">
        <v>0.23740675222371063</v>
      </c>
    </row>
    <row r="368" spans="1:16" s="2" customFormat="1">
      <c r="A368" s="174" t="s">
        <v>775</v>
      </c>
      <c r="B368" s="157" t="s">
        <v>1531</v>
      </c>
      <c r="C368" s="158" t="s">
        <v>776</v>
      </c>
      <c r="D368" s="41"/>
      <c r="E368" s="42" t="s">
        <v>777</v>
      </c>
      <c r="F368" s="76">
        <f>+F369</f>
        <v>3348874000</v>
      </c>
      <c r="G368" s="76">
        <f t="shared" si="109"/>
        <v>0</v>
      </c>
      <c r="H368" s="76">
        <f t="shared" si="109"/>
        <v>129363035</v>
      </c>
      <c r="I368" s="76">
        <f t="shared" si="109"/>
        <v>3478237035</v>
      </c>
      <c r="J368" s="76">
        <f t="shared" si="109"/>
        <v>-237759927</v>
      </c>
      <c r="K368" s="76">
        <f t="shared" si="109"/>
        <v>1986170101</v>
      </c>
      <c r="L368" s="76">
        <f t="shared" si="109"/>
        <v>522932101</v>
      </c>
      <c r="M368" s="76">
        <f t="shared" si="109"/>
        <v>522932101</v>
      </c>
      <c r="N368" s="76">
        <f t="shared" si="109"/>
        <v>0</v>
      </c>
      <c r="O368" s="76">
        <f t="shared" si="109"/>
        <v>0</v>
      </c>
      <c r="P368" s="247">
        <v>0.23740675222371063</v>
      </c>
    </row>
    <row r="369" spans="1:16" s="8" customFormat="1">
      <c r="A369" s="107"/>
      <c r="B369" s="149" t="s">
        <v>1787</v>
      </c>
      <c r="C369" s="18" t="s">
        <v>778</v>
      </c>
      <c r="D369" s="30"/>
      <c r="E369" s="17" t="s">
        <v>779</v>
      </c>
      <c r="F369" s="203">
        <f>SUM(F370:F374)</f>
        <v>3348874000</v>
      </c>
      <c r="G369" s="203">
        <f t="shared" ref="G369:O369" si="110">SUM(G370:G374)</f>
        <v>0</v>
      </c>
      <c r="H369" s="203">
        <f t="shared" si="110"/>
        <v>129363035</v>
      </c>
      <c r="I369" s="203">
        <f t="shared" si="110"/>
        <v>3478237035</v>
      </c>
      <c r="J369" s="203">
        <f t="shared" si="110"/>
        <v>-237759927</v>
      </c>
      <c r="K369" s="203">
        <f t="shared" si="110"/>
        <v>1986170101</v>
      </c>
      <c r="L369" s="203">
        <f t="shared" si="110"/>
        <v>522932101</v>
      </c>
      <c r="M369" s="203">
        <f t="shared" si="110"/>
        <v>522932101</v>
      </c>
      <c r="N369" s="203">
        <f t="shared" si="110"/>
        <v>0</v>
      </c>
      <c r="O369" s="203">
        <f t="shared" si="110"/>
        <v>0</v>
      </c>
      <c r="P369" s="237">
        <v>0.23740675222371063</v>
      </c>
    </row>
    <row r="370" spans="1:16" s="8" customFormat="1">
      <c r="A370" s="108"/>
      <c r="B370" s="150"/>
      <c r="C370" s="70" t="s">
        <v>778</v>
      </c>
      <c r="D370" s="33" t="s">
        <v>1944</v>
      </c>
      <c r="E370" s="34" t="s">
        <v>780</v>
      </c>
      <c r="F370" s="35">
        <v>1864636000</v>
      </c>
      <c r="G370" s="210">
        <v>0</v>
      </c>
      <c r="H370" s="210">
        <v>0</v>
      </c>
      <c r="I370" s="210">
        <v>1864636000</v>
      </c>
      <c r="J370" s="210">
        <v>-237759927</v>
      </c>
      <c r="K370" s="210">
        <v>522932101</v>
      </c>
      <c r="L370" s="210">
        <v>522932101</v>
      </c>
      <c r="M370" s="210">
        <v>522932101</v>
      </c>
      <c r="N370" s="210">
        <v>0</v>
      </c>
      <c r="O370" s="210">
        <v>0</v>
      </c>
      <c r="P370" s="242">
        <v>0.23740675222371063</v>
      </c>
    </row>
    <row r="371" spans="1:16" s="8" customFormat="1">
      <c r="A371" s="108"/>
      <c r="B371" s="150"/>
      <c r="C371" s="70" t="s">
        <v>778</v>
      </c>
      <c r="D371" s="33" t="s">
        <v>1945</v>
      </c>
      <c r="E371" s="34" t="s">
        <v>781</v>
      </c>
      <c r="F371" s="35">
        <v>0</v>
      </c>
      <c r="G371" s="210">
        <v>0</v>
      </c>
      <c r="H371" s="210">
        <v>0</v>
      </c>
      <c r="I371" s="210">
        <v>0</v>
      </c>
      <c r="J371" s="210">
        <v>0</v>
      </c>
      <c r="K371" s="210">
        <v>0</v>
      </c>
      <c r="L371" s="210">
        <v>0</v>
      </c>
      <c r="M371" s="210">
        <v>0</v>
      </c>
      <c r="N371" s="210">
        <v>0</v>
      </c>
      <c r="O371" s="210">
        <v>0</v>
      </c>
      <c r="P371" s="242">
        <v>0.23740675222371063</v>
      </c>
    </row>
    <row r="372" spans="1:16" s="8" customFormat="1">
      <c r="A372" s="108"/>
      <c r="B372" s="150"/>
      <c r="C372" s="70" t="s">
        <v>778</v>
      </c>
      <c r="D372" s="33" t="s">
        <v>1946</v>
      </c>
      <c r="E372" s="34" t="s">
        <v>782</v>
      </c>
      <c r="F372" s="35">
        <v>21000000</v>
      </c>
      <c r="G372" s="210">
        <v>0</v>
      </c>
      <c r="H372" s="210">
        <v>0</v>
      </c>
      <c r="I372" s="210">
        <v>21000000</v>
      </c>
      <c r="J372" s="210">
        <v>0</v>
      </c>
      <c r="K372" s="210">
        <v>0</v>
      </c>
      <c r="L372" s="210">
        <v>0</v>
      </c>
      <c r="M372" s="210">
        <v>0</v>
      </c>
      <c r="N372" s="210">
        <v>0</v>
      </c>
      <c r="O372" s="210">
        <v>0</v>
      </c>
      <c r="P372" s="242">
        <v>0.23740675222371063</v>
      </c>
    </row>
    <row r="373" spans="1:16" s="8" customFormat="1">
      <c r="A373" s="108"/>
      <c r="B373" s="150"/>
      <c r="C373" s="70" t="s">
        <v>778</v>
      </c>
      <c r="D373" s="33" t="s">
        <v>1947</v>
      </c>
      <c r="E373" s="34" t="s">
        <v>783</v>
      </c>
      <c r="F373" s="35">
        <v>1463238000</v>
      </c>
      <c r="G373" s="210">
        <v>0</v>
      </c>
      <c r="H373" s="210">
        <v>0</v>
      </c>
      <c r="I373" s="210">
        <v>1463238000</v>
      </c>
      <c r="J373" s="210">
        <v>0</v>
      </c>
      <c r="K373" s="210">
        <v>1463238000</v>
      </c>
      <c r="L373" s="210">
        <v>0</v>
      </c>
      <c r="M373" s="210">
        <v>0</v>
      </c>
      <c r="N373" s="210">
        <v>0</v>
      </c>
      <c r="O373" s="210">
        <v>0</v>
      </c>
      <c r="P373" s="242">
        <v>0.23740675222371063</v>
      </c>
    </row>
    <row r="374" spans="1:16" s="6" customFormat="1">
      <c r="A374" s="108"/>
      <c r="B374" s="150"/>
      <c r="C374" s="70" t="s">
        <v>778</v>
      </c>
      <c r="D374" s="33" t="s">
        <v>1954</v>
      </c>
      <c r="E374" s="34" t="s">
        <v>918</v>
      </c>
      <c r="F374" s="35">
        <v>0</v>
      </c>
      <c r="G374" s="210">
        <v>0</v>
      </c>
      <c r="H374" s="210">
        <v>129363035</v>
      </c>
      <c r="I374" s="210">
        <v>129363035</v>
      </c>
      <c r="J374" s="210">
        <v>0</v>
      </c>
      <c r="K374" s="210">
        <v>0</v>
      </c>
      <c r="L374" s="210">
        <v>0</v>
      </c>
      <c r="M374" s="210">
        <v>0</v>
      </c>
      <c r="N374" s="210">
        <v>0</v>
      </c>
      <c r="O374" s="210">
        <v>0</v>
      </c>
      <c r="P374" s="242">
        <v>0.23740675222371063</v>
      </c>
    </row>
    <row r="375" spans="1:16" s="6" customFormat="1">
      <c r="A375" s="109" t="s">
        <v>784</v>
      </c>
      <c r="B375" s="153" t="s">
        <v>1788</v>
      </c>
      <c r="C375" s="38" t="s">
        <v>785</v>
      </c>
      <c r="D375" s="72"/>
      <c r="E375" s="38" t="s">
        <v>786</v>
      </c>
      <c r="F375" s="208">
        <f>+F376+F423</f>
        <v>114289201000</v>
      </c>
      <c r="G375" s="208">
        <f t="shared" ref="G375:O375" si="111">+G376+G423</f>
        <v>12433319036</v>
      </c>
      <c r="H375" s="208">
        <f t="shared" si="111"/>
        <v>38090111329</v>
      </c>
      <c r="I375" s="208">
        <f t="shared" si="111"/>
        <v>152379312329</v>
      </c>
      <c r="J375" s="208">
        <f t="shared" si="111"/>
        <v>8982596176</v>
      </c>
      <c r="K375" s="208">
        <f t="shared" si="111"/>
        <v>119163261498</v>
      </c>
      <c r="L375" s="208">
        <f t="shared" si="111"/>
        <v>23394952535</v>
      </c>
      <c r="M375" s="208">
        <f t="shared" si="111"/>
        <v>112406916182</v>
      </c>
      <c r="N375" s="208">
        <f t="shared" si="111"/>
        <v>5157401978</v>
      </c>
      <c r="O375" s="208">
        <f t="shared" si="111"/>
        <v>64206635922</v>
      </c>
      <c r="P375" s="248">
        <v>0.23740675222371063</v>
      </c>
    </row>
    <row r="376" spans="1:16" s="6" customFormat="1">
      <c r="A376" s="172" t="s">
        <v>787</v>
      </c>
      <c r="B376" s="154" t="s">
        <v>1789</v>
      </c>
      <c r="C376" s="39" t="s">
        <v>788</v>
      </c>
      <c r="D376" s="73"/>
      <c r="E376" s="39" t="s">
        <v>789</v>
      </c>
      <c r="F376" s="209">
        <f>+F377+F382+F407</f>
        <v>920869000</v>
      </c>
      <c r="G376" s="209">
        <f t="shared" ref="G376:O376" si="112">+G377+G382+G407</f>
        <v>0</v>
      </c>
      <c r="H376" s="209">
        <f t="shared" si="112"/>
        <v>-12023576</v>
      </c>
      <c r="I376" s="209">
        <f t="shared" si="112"/>
        <v>908845424</v>
      </c>
      <c r="J376" s="209">
        <f t="shared" si="112"/>
        <v>-152399786</v>
      </c>
      <c r="K376" s="209">
        <f t="shared" si="112"/>
        <v>263284677</v>
      </c>
      <c r="L376" s="209">
        <f t="shared" si="112"/>
        <v>82956677</v>
      </c>
      <c r="M376" s="209">
        <f t="shared" si="112"/>
        <v>251787677</v>
      </c>
      <c r="N376" s="209">
        <f t="shared" si="112"/>
        <v>15344156</v>
      </c>
      <c r="O376" s="209">
        <f t="shared" si="112"/>
        <v>23517553</v>
      </c>
      <c r="P376" s="245">
        <v>0.23740675222371063</v>
      </c>
    </row>
    <row r="377" spans="1:16" s="2" customFormat="1">
      <c r="A377" s="173" t="s">
        <v>790</v>
      </c>
      <c r="B377" s="155" t="s">
        <v>1790</v>
      </c>
      <c r="C377" s="156" t="s">
        <v>791</v>
      </c>
      <c r="D377" s="74"/>
      <c r="E377" s="40" t="s">
        <v>792</v>
      </c>
      <c r="F377" s="75">
        <f>+F378</f>
        <v>167232000</v>
      </c>
      <c r="G377" s="75">
        <f t="shared" ref="G377:O378" si="113">+G378</f>
        <v>0</v>
      </c>
      <c r="H377" s="75">
        <f t="shared" si="113"/>
        <v>0</v>
      </c>
      <c r="I377" s="75">
        <f t="shared" si="113"/>
        <v>167232000</v>
      </c>
      <c r="J377" s="75">
        <f t="shared" si="113"/>
        <v>0</v>
      </c>
      <c r="K377" s="75">
        <f t="shared" si="113"/>
        <v>0</v>
      </c>
      <c r="L377" s="75">
        <f t="shared" si="113"/>
        <v>0</v>
      </c>
      <c r="M377" s="75">
        <f t="shared" si="113"/>
        <v>0</v>
      </c>
      <c r="N377" s="75">
        <f t="shared" si="113"/>
        <v>0</v>
      </c>
      <c r="O377" s="75">
        <f t="shared" si="113"/>
        <v>0</v>
      </c>
      <c r="P377" s="246">
        <v>0.23740675222371063</v>
      </c>
    </row>
    <row r="378" spans="1:16" s="2" customFormat="1" ht="12.95" customHeight="1">
      <c r="A378" s="136" t="s">
        <v>793</v>
      </c>
      <c r="B378" s="125" t="s">
        <v>1561</v>
      </c>
      <c r="C378" s="126" t="s">
        <v>794</v>
      </c>
      <c r="D378" s="29"/>
      <c r="E378" s="19" t="s">
        <v>795</v>
      </c>
      <c r="F378" s="20">
        <f>+F379</f>
        <v>167232000</v>
      </c>
      <c r="G378" s="20">
        <f t="shared" si="113"/>
        <v>0</v>
      </c>
      <c r="H378" s="20">
        <f t="shared" si="113"/>
        <v>0</v>
      </c>
      <c r="I378" s="20">
        <f t="shared" si="113"/>
        <v>167232000</v>
      </c>
      <c r="J378" s="20">
        <f t="shared" si="113"/>
        <v>0</v>
      </c>
      <c r="K378" s="20">
        <f t="shared" si="113"/>
        <v>0</v>
      </c>
      <c r="L378" s="20">
        <f t="shared" si="113"/>
        <v>0</v>
      </c>
      <c r="M378" s="20">
        <f t="shared" si="113"/>
        <v>0</v>
      </c>
      <c r="N378" s="20">
        <f t="shared" si="113"/>
        <v>0</v>
      </c>
      <c r="O378" s="20">
        <f t="shared" si="113"/>
        <v>0</v>
      </c>
      <c r="P378" s="243">
        <v>0.23740675222371063</v>
      </c>
    </row>
    <row r="379" spans="1:16" s="8" customFormat="1">
      <c r="A379" s="107" t="s">
        <v>796</v>
      </c>
      <c r="B379" s="149" t="s">
        <v>1560</v>
      </c>
      <c r="C379" s="18" t="s">
        <v>797</v>
      </c>
      <c r="D379" s="30"/>
      <c r="E379" s="17" t="s">
        <v>798</v>
      </c>
      <c r="F379" s="203">
        <f>SUM(F380:F381)</f>
        <v>167232000</v>
      </c>
      <c r="G379" s="203">
        <f t="shared" ref="G379:O379" si="114">SUM(G380:G381)</f>
        <v>0</v>
      </c>
      <c r="H379" s="203">
        <f t="shared" si="114"/>
        <v>0</v>
      </c>
      <c r="I379" s="203">
        <f t="shared" si="114"/>
        <v>167232000</v>
      </c>
      <c r="J379" s="203">
        <f t="shared" si="114"/>
        <v>0</v>
      </c>
      <c r="K379" s="203">
        <f t="shared" si="114"/>
        <v>0</v>
      </c>
      <c r="L379" s="203">
        <f t="shared" si="114"/>
        <v>0</v>
      </c>
      <c r="M379" s="203">
        <f t="shared" si="114"/>
        <v>0</v>
      </c>
      <c r="N379" s="203">
        <f t="shared" si="114"/>
        <v>0</v>
      </c>
      <c r="O379" s="203">
        <f t="shared" si="114"/>
        <v>0</v>
      </c>
      <c r="P379" s="237">
        <v>0.23740675222371063</v>
      </c>
    </row>
    <row r="380" spans="1:16" s="8" customFormat="1">
      <c r="A380" s="108"/>
      <c r="B380" s="150"/>
      <c r="C380" s="70" t="s">
        <v>797</v>
      </c>
      <c r="D380" s="33" t="s">
        <v>1943</v>
      </c>
      <c r="E380" s="34" t="s">
        <v>763</v>
      </c>
      <c r="F380" s="35">
        <v>0</v>
      </c>
      <c r="G380" s="210">
        <v>0</v>
      </c>
      <c r="H380" s="210">
        <v>0</v>
      </c>
      <c r="I380" s="210">
        <v>0</v>
      </c>
      <c r="J380" s="210">
        <v>0</v>
      </c>
      <c r="K380" s="210">
        <v>0</v>
      </c>
      <c r="L380" s="210">
        <v>0</v>
      </c>
      <c r="M380" s="210">
        <v>0</v>
      </c>
      <c r="N380" s="210">
        <v>0</v>
      </c>
      <c r="O380" s="210">
        <v>0</v>
      </c>
      <c r="P380" s="242">
        <v>0.23740675222371063</v>
      </c>
    </row>
    <row r="381" spans="1:16" s="6" customFormat="1">
      <c r="A381" s="108"/>
      <c r="B381" s="150"/>
      <c r="C381" s="70" t="s">
        <v>797</v>
      </c>
      <c r="D381" s="33" t="s">
        <v>1933</v>
      </c>
      <c r="E381" s="34" t="s">
        <v>279</v>
      </c>
      <c r="F381" s="35">
        <v>167232000</v>
      </c>
      <c r="G381" s="210">
        <v>0</v>
      </c>
      <c r="H381" s="210">
        <v>0</v>
      </c>
      <c r="I381" s="210">
        <v>167232000</v>
      </c>
      <c r="J381" s="210">
        <v>0</v>
      </c>
      <c r="K381" s="210">
        <v>0</v>
      </c>
      <c r="L381" s="210">
        <v>0</v>
      </c>
      <c r="M381" s="210">
        <v>0</v>
      </c>
      <c r="N381" s="210">
        <v>0</v>
      </c>
      <c r="O381" s="210">
        <v>0</v>
      </c>
      <c r="P381" s="242">
        <v>0.23740675222371063</v>
      </c>
    </row>
    <row r="382" spans="1:16" s="2" customFormat="1">
      <c r="A382" s="173" t="s">
        <v>799</v>
      </c>
      <c r="B382" s="155" t="s">
        <v>1791</v>
      </c>
      <c r="C382" s="156" t="s">
        <v>800</v>
      </c>
      <c r="D382" s="74"/>
      <c r="E382" s="40" t="s">
        <v>801</v>
      </c>
      <c r="F382" s="75">
        <f>+F383+F391+F396+F399+F404</f>
        <v>593204000</v>
      </c>
      <c r="G382" s="75">
        <f t="shared" ref="G382:O382" si="115">+G383+G391+G396+G399+G404</f>
        <v>0</v>
      </c>
      <c r="H382" s="75">
        <f t="shared" si="115"/>
        <v>-21816253</v>
      </c>
      <c r="I382" s="75">
        <f t="shared" si="115"/>
        <v>571387747</v>
      </c>
      <c r="J382" s="75">
        <f t="shared" si="115"/>
        <v>-152399786</v>
      </c>
      <c r="K382" s="75">
        <f t="shared" si="115"/>
        <v>133492000</v>
      </c>
      <c r="L382" s="75">
        <f t="shared" si="115"/>
        <v>73164000</v>
      </c>
      <c r="M382" s="75">
        <f t="shared" si="115"/>
        <v>121995000</v>
      </c>
      <c r="N382" s="75">
        <f t="shared" si="115"/>
        <v>5551479</v>
      </c>
      <c r="O382" s="75">
        <f t="shared" si="115"/>
        <v>13724876</v>
      </c>
      <c r="P382" s="246">
        <v>0.23740675222371063</v>
      </c>
    </row>
    <row r="383" spans="1:16" s="2" customFormat="1">
      <c r="A383" s="136" t="s">
        <v>802</v>
      </c>
      <c r="B383" s="125" t="s">
        <v>1559</v>
      </c>
      <c r="C383" s="126" t="s">
        <v>803</v>
      </c>
      <c r="D383" s="29"/>
      <c r="E383" s="19" t="s">
        <v>804</v>
      </c>
      <c r="F383" s="20">
        <f>+F384+F390</f>
        <v>320975000</v>
      </c>
      <c r="G383" s="20">
        <f t="shared" ref="G383:O383" si="116">+G384+G390</f>
        <v>0</v>
      </c>
      <c r="H383" s="20">
        <f t="shared" si="116"/>
        <v>-3052264</v>
      </c>
      <c r="I383" s="20">
        <f t="shared" si="116"/>
        <v>317922736</v>
      </c>
      <c r="J383" s="20">
        <f t="shared" si="116"/>
        <v>-73031775</v>
      </c>
      <c r="K383" s="20">
        <f t="shared" si="116"/>
        <v>11497000</v>
      </c>
      <c r="L383" s="20">
        <f t="shared" si="116"/>
        <v>0</v>
      </c>
      <c r="M383" s="20">
        <f t="shared" si="116"/>
        <v>0</v>
      </c>
      <c r="N383" s="20">
        <f t="shared" si="116"/>
        <v>0</v>
      </c>
      <c r="O383" s="20">
        <f t="shared" si="116"/>
        <v>0</v>
      </c>
      <c r="P383" s="243">
        <v>0.23740675222371063</v>
      </c>
    </row>
    <row r="384" spans="1:16" s="8" customFormat="1">
      <c r="A384" s="107" t="s">
        <v>805</v>
      </c>
      <c r="B384" s="149" t="s">
        <v>1792</v>
      </c>
      <c r="C384" s="18" t="s">
        <v>806</v>
      </c>
      <c r="D384" s="30"/>
      <c r="E384" s="17" t="s">
        <v>807</v>
      </c>
      <c r="F384" s="203">
        <f>SUM(F385:F388)</f>
        <v>320975000</v>
      </c>
      <c r="G384" s="203">
        <f>SUM(G385:G389)</f>
        <v>0</v>
      </c>
      <c r="H384" s="203">
        <f t="shared" ref="H384:O384" si="117">SUM(H385:H389)</f>
        <v>-3052264</v>
      </c>
      <c r="I384" s="203">
        <f t="shared" si="117"/>
        <v>317922736</v>
      </c>
      <c r="J384" s="203">
        <f t="shared" si="117"/>
        <v>-73031775</v>
      </c>
      <c r="K384" s="203">
        <f t="shared" si="117"/>
        <v>11497000</v>
      </c>
      <c r="L384" s="203">
        <f t="shared" si="117"/>
        <v>0</v>
      </c>
      <c r="M384" s="203">
        <f t="shared" si="117"/>
        <v>0</v>
      </c>
      <c r="N384" s="203">
        <f t="shared" si="117"/>
        <v>0</v>
      </c>
      <c r="O384" s="203">
        <f t="shared" si="117"/>
        <v>0</v>
      </c>
      <c r="P384" s="237">
        <v>0.23740675222371063</v>
      </c>
    </row>
    <row r="385" spans="1:16" s="8" customFormat="1">
      <c r="A385" s="108"/>
      <c r="B385" s="150"/>
      <c r="C385" s="70" t="s">
        <v>806</v>
      </c>
      <c r="D385" s="33" t="s">
        <v>1948</v>
      </c>
      <c r="E385" s="34" t="s">
        <v>1914</v>
      </c>
      <c r="F385" s="35">
        <v>114045000</v>
      </c>
      <c r="G385" s="210">
        <v>0</v>
      </c>
      <c r="H385" s="210">
        <v>-41013225</v>
      </c>
      <c r="I385" s="210">
        <v>73031775</v>
      </c>
      <c r="J385" s="210">
        <v>-73031775</v>
      </c>
      <c r="K385" s="210">
        <v>0</v>
      </c>
      <c r="L385" s="210">
        <v>0</v>
      </c>
      <c r="M385" s="210">
        <v>0</v>
      </c>
      <c r="N385" s="210">
        <v>0</v>
      </c>
      <c r="O385" s="210">
        <v>0</v>
      </c>
      <c r="P385" s="242">
        <v>0.23740675222371063</v>
      </c>
    </row>
    <row r="386" spans="1:16" s="8" customFormat="1">
      <c r="A386" s="108"/>
      <c r="B386" s="150"/>
      <c r="C386" s="70" t="s">
        <v>806</v>
      </c>
      <c r="D386" s="33" t="s">
        <v>1949</v>
      </c>
      <c r="E386" s="34" t="s">
        <v>1912</v>
      </c>
      <c r="F386" s="35">
        <v>6073000</v>
      </c>
      <c r="G386" s="210">
        <v>0</v>
      </c>
      <c r="H386" s="210">
        <v>5320961</v>
      </c>
      <c r="I386" s="210">
        <v>11393961</v>
      </c>
      <c r="J386" s="210">
        <v>0</v>
      </c>
      <c r="K386" s="210">
        <v>0</v>
      </c>
      <c r="L386" s="210">
        <v>0</v>
      </c>
      <c r="M386" s="210">
        <v>0</v>
      </c>
      <c r="N386" s="210">
        <v>0</v>
      </c>
      <c r="O386" s="210">
        <v>0</v>
      </c>
      <c r="P386" s="242">
        <v>0.23740675222371063</v>
      </c>
    </row>
    <row r="387" spans="1:16" s="8" customFormat="1">
      <c r="A387" s="108"/>
      <c r="B387" s="150"/>
      <c r="C387" s="70" t="s">
        <v>806</v>
      </c>
      <c r="D387" s="33" t="s">
        <v>1950</v>
      </c>
      <c r="E387" s="34" t="s">
        <v>809</v>
      </c>
      <c r="F387" s="35">
        <v>11497000</v>
      </c>
      <c r="G387" s="210">
        <v>0</v>
      </c>
      <c r="H387" s="210">
        <v>0</v>
      </c>
      <c r="I387" s="210">
        <v>11497000</v>
      </c>
      <c r="J387" s="210">
        <v>0</v>
      </c>
      <c r="K387" s="210">
        <v>11497000</v>
      </c>
      <c r="L387" s="210">
        <v>0</v>
      </c>
      <c r="M387" s="210">
        <v>0</v>
      </c>
      <c r="N387" s="210">
        <v>0</v>
      </c>
      <c r="O387" s="210">
        <v>0</v>
      </c>
      <c r="P387" s="242">
        <v>0.23740675222371063</v>
      </c>
    </row>
    <row r="388" spans="1:16" s="7" customFormat="1">
      <c r="A388" s="108"/>
      <c r="B388" s="150"/>
      <c r="C388" s="70" t="s">
        <v>806</v>
      </c>
      <c r="D388" s="33" t="s">
        <v>1945</v>
      </c>
      <c r="E388" s="34" t="s">
        <v>781</v>
      </c>
      <c r="F388" s="35">
        <v>189360000</v>
      </c>
      <c r="G388" s="210">
        <v>0</v>
      </c>
      <c r="H388" s="210">
        <v>-189360000</v>
      </c>
      <c r="I388" s="210">
        <v>0</v>
      </c>
      <c r="J388" s="210">
        <v>0</v>
      </c>
      <c r="K388" s="210">
        <v>0</v>
      </c>
      <c r="L388" s="210">
        <v>0</v>
      </c>
      <c r="M388" s="210">
        <v>0</v>
      </c>
      <c r="N388" s="210">
        <v>0</v>
      </c>
      <c r="O388" s="210">
        <v>0</v>
      </c>
      <c r="P388" s="242">
        <v>0.23740675222371063</v>
      </c>
    </row>
    <row r="389" spans="1:16" s="7" customFormat="1">
      <c r="A389" s="108"/>
      <c r="B389" s="150"/>
      <c r="C389" s="70"/>
      <c r="D389" s="33" t="s">
        <v>1953</v>
      </c>
      <c r="E389" s="34" t="s">
        <v>2100</v>
      </c>
      <c r="F389" s="35">
        <v>0</v>
      </c>
      <c r="G389" s="210">
        <v>0</v>
      </c>
      <c r="H389" s="210">
        <v>222000000</v>
      </c>
      <c r="I389" s="210">
        <v>222000000</v>
      </c>
      <c r="J389" s="210">
        <v>0</v>
      </c>
      <c r="K389" s="210">
        <v>0</v>
      </c>
      <c r="L389" s="210">
        <v>0</v>
      </c>
      <c r="M389" s="210">
        <v>0</v>
      </c>
      <c r="N389" s="210">
        <v>0</v>
      </c>
      <c r="O389" s="210">
        <v>0</v>
      </c>
      <c r="P389" s="242">
        <v>0.23740675222371063</v>
      </c>
    </row>
    <row r="390" spans="1:16" s="2" customFormat="1">
      <c r="A390" s="107" t="s">
        <v>810</v>
      </c>
      <c r="B390" s="149" t="s">
        <v>1531</v>
      </c>
      <c r="C390" s="18" t="s">
        <v>811</v>
      </c>
      <c r="D390" s="30"/>
      <c r="E390" s="219" t="s">
        <v>812</v>
      </c>
      <c r="F390" s="16">
        <v>0</v>
      </c>
      <c r="G390" s="203">
        <v>0</v>
      </c>
      <c r="H390" s="203">
        <v>0</v>
      </c>
      <c r="I390" s="203">
        <v>0</v>
      </c>
      <c r="J390" s="203">
        <v>0</v>
      </c>
      <c r="K390" s="203">
        <v>0</v>
      </c>
      <c r="L390" s="203">
        <v>0</v>
      </c>
      <c r="M390" s="203">
        <v>0</v>
      </c>
      <c r="N390" s="203">
        <v>0</v>
      </c>
      <c r="O390" s="203">
        <v>0</v>
      </c>
      <c r="P390" s="237">
        <v>0.23740675222371063</v>
      </c>
    </row>
    <row r="391" spans="1:16" s="7" customFormat="1">
      <c r="A391" s="136" t="s">
        <v>813</v>
      </c>
      <c r="B391" s="125" t="s">
        <v>1793</v>
      </c>
      <c r="C391" s="126" t="s">
        <v>814</v>
      </c>
      <c r="D391" s="29"/>
      <c r="E391" s="19" t="s">
        <v>815</v>
      </c>
      <c r="F391" s="20">
        <f>+F392+F394</f>
        <v>70933000</v>
      </c>
      <c r="G391" s="20">
        <f t="shared" ref="G391:O391" si="118">+G392+G394</f>
        <v>0</v>
      </c>
      <c r="H391" s="20">
        <f t="shared" si="118"/>
        <v>0</v>
      </c>
      <c r="I391" s="20">
        <f t="shared" si="118"/>
        <v>70933000</v>
      </c>
      <c r="J391" s="20">
        <f t="shared" si="118"/>
        <v>0</v>
      </c>
      <c r="K391" s="20">
        <f t="shared" si="118"/>
        <v>48831000</v>
      </c>
      <c r="L391" s="20">
        <f t="shared" si="118"/>
        <v>0</v>
      </c>
      <c r="M391" s="20">
        <f t="shared" si="118"/>
        <v>48831000</v>
      </c>
      <c r="N391" s="20">
        <f t="shared" si="118"/>
        <v>5551479</v>
      </c>
      <c r="O391" s="20">
        <f t="shared" si="118"/>
        <v>13724876</v>
      </c>
      <c r="P391" s="243">
        <v>0.23740675222371063</v>
      </c>
    </row>
    <row r="392" spans="1:16" s="8" customFormat="1">
      <c r="A392" s="107" t="s">
        <v>816</v>
      </c>
      <c r="B392" s="149" t="s">
        <v>1794</v>
      </c>
      <c r="C392" s="18" t="s">
        <v>817</v>
      </c>
      <c r="D392" s="30"/>
      <c r="E392" s="17" t="s">
        <v>818</v>
      </c>
      <c r="F392" s="203">
        <f>+F393</f>
        <v>48831000</v>
      </c>
      <c r="G392" s="203">
        <f t="shared" ref="G392:O392" si="119">+G393</f>
        <v>0</v>
      </c>
      <c r="H392" s="203">
        <f t="shared" si="119"/>
        <v>0</v>
      </c>
      <c r="I392" s="203">
        <f t="shared" si="119"/>
        <v>48831000</v>
      </c>
      <c r="J392" s="203">
        <f t="shared" si="119"/>
        <v>0</v>
      </c>
      <c r="K392" s="203">
        <f t="shared" si="119"/>
        <v>48831000</v>
      </c>
      <c r="L392" s="203">
        <f t="shared" si="119"/>
        <v>0</v>
      </c>
      <c r="M392" s="203">
        <f t="shared" si="119"/>
        <v>48831000</v>
      </c>
      <c r="N392" s="203">
        <f t="shared" si="119"/>
        <v>5551479</v>
      </c>
      <c r="O392" s="203">
        <f t="shared" si="119"/>
        <v>13724876</v>
      </c>
      <c r="P392" s="237">
        <v>0.23740675222371063</v>
      </c>
    </row>
    <row r="393" spans="1:16" s="2" customFormat="1">
      <c r="A393" s="108"/>
      <c r="B393" s="150"/>
      <c r="C393" s="70" t="s">
        <v>817</v>
      </c>
      <c r="D393" s="33" t="s">
        <v>1909</v>
      </c>
      <c r="E393" s="34" t="s">
        <v>819</v>
      </c>
      <c r="F393" s="35">
        <v>48831000</v>
      </c>
      <c r="G393" s="210">
        <v>0</v>
      </c>
      <c r="H393" s="210">
        <v>0</v>
      </c>
      <c r="I393" s="210">
        <v>48831000</v>
      </c>
      <c r="J393" s="210">
        <v>0</v>
      </c>
      <c r="K393" s="210">
        <v>48831000</v>
      </c>
      <c r="L393" s="210">
        <v>0</v>
      </c>
      <c r="M393" s="210">
        <v>48831000</v>
      </c>
      <c r="N393" s="210">
        <v>5551479</v>
      </c>
      <c r="O393" s="210">
        <v>13724876</v>
      </c>
      <c r="P393" s="242">
        <v>0.23740675222371063</v>
      </c>
    </row>
    <row r="394" spans="1:16" s="8" customFormat="1">
      <c r="A394" s="107" t="s">
        <v>820</v>
      </c>
      <c r="B394" s="149" t="s">
        <v>1795</v>
      </c>
      <c r="C394" s="18" t="s">
        <v>821</v>
      </c>
      <c r="D394" s="30"/>
      <c r="E394" s="17" t="s">
        <v>822</v>
      </c>
      <c r="F394" s="203">
        <f>SUM(F395:F395)</f>
        <v>22102000</v>
      </c>
      <c r="G394" s="203">
        <f t="shared" ref="G394:O394" si="120">SUM(G395:G395)</f>
        <v>0</v>
      </c>
      <c r="H394" s="203">
        <f t="shared" si="120"/>
        <v>0</v>
      </c>
      <c r="I394" s="203">
        <f t="shared" si="120"/>
        <v>22102000</v>
      </c>
      <c r="J394" s="203">
        <f t="shared" si="120"/>
        <v>0</v>
      </c>
      <c r="K394" s="203">
        <f t="shared" si="120"/>
        <v>0</v>
      </c>
      <c r="L394" s="203">
        <f t="shared" si="120"/>
        <v>0</v>
      </c>
      <c r="M394" s="203">
        <f t="shared" si="120"/>
        <v>0</v>
      </c>
      <c r="N394" s="203">
        <f t="shared" si="120"/>
        <v>0</v>
      </c>
      <c r="O394" s="203">
        <f t="shared" si="120"/>
        <v>0</v>
      </c>
      <c r="P394" s="237">
        <v>0.23740675222371063</v>
      </c>
    </row>
    <row r="395" spans="1:16" s="2" customFormat="1">
      <c r="A395" s="108"/>
      <c r="B395" s="150"/>
      <c r="C395" s="70" t="s">
        <v>821</v>
      </c>
      <c r="D395" s="33" t="s">
        <v>1909</v>
      </c>
      <c r="E395" s="34" t="s">
        <v>819</v>
      </c>
      <c r="F395" s="35">
        <v>22102000</v>
      </c>
      <c r="G395" s="210">
        <v>0</v>
      </c>
      <c r="H395" s="210">
        <v>0</v>
      </c>
      <c r="I395" s="210">
        <v>22102000</v>
      </c>
      <c r="J395" s="210">
        <v>0</v>
      </c>
      <c r="K395" s="210">
        <v>0</v>
      </c>
      <c r="L395" s="210">
        <v>0</v>
      </c>
      <c r="M395" s="210">
        <v>0</v>
      </c>
      <c r="N395" s="210">
        <v>0</v>
      </c>
      <c r="O395" s="210">
        <v>0</v>
      </c>
      <c r="P395" s="242">
        <v>0.23740675222371063</v>
      </c>
    </row>
    <row r="396" spans="1:16" s="7" customFormat="1">
      <c r="A396" s="136" t="s">
        <v>823</v>
      </c>
      <c r="B396" s="125" t="s">
        <v>1796</v>
      </c>
      <c r="C396" s="126" t="s">
        <v>824</v>
      </c>
      <c r="D396" s="29"/>
      <c r="E396" s="19" t="s">
        <v>825</v>
      </c>
      <c r="F396" s="20">
        <f>+F397</f>
        <v>73164000</v>
      </c>
      <c r="G396" s="20">
        <f t="shared" ref="G396:O396" si="121">+G397</f>
        <v>0</v>
      </c>
      <c r="H396" s="20">
        <f t="shared" si="121"/>
        <v>0</v>
      </c>
      <c r="I396" s="20">
        <f t="shared" si="121"/>
        <v>73164000</v>
      </c>
      <c r="J396" s="20">
        <f t="shared" si="121"/>
        <v>0</v>
      </c>
      <c r="K396" s="20">
        <f t="shared" si="121"/>
        <v>73164000</v>
      </c>
      <c r="L396" s="20">
        <f t="shared" si="121"/>
        <v>73164000</v>
      </c>
      <c r="M396" s="20">
        <f t="shared" si="121"/>
        <v>73164000</v>
      </c>
      <c r="N396" s="20">
        <f t="shared" si="121"/>
        <v>0</v>
      </c>
      <c r="O396" s="20">
        <f t="shared" si="121"/>
        <v>0</v>
      </c>
      <c r="P396" s="243">
        <v>0.23740675222371063</v>
      </c>
    </row>
    <row r="397" spans="1:16" s="8" customFormat="1">
      <c r="A397" s="107" t="s">
        <v>826</v>
      </c>
      <c r="B397" s="149" t="s">
        <v>1797</v>
      </c>
      <c r="C397" s="18" t="s">
        <v>827</v>
      </c>
      <c r="D397" s="30"/>
      <c r="E397" s="17" t="s">
        <v>828</v>
      </c>
      <c r="F397" s="203">
        <f>+F398</f>
        <v>73164000</v>
      </c>
      <c r="G397" s="203">
        <f t="shared" ref="G397:O397" si="122">+G398</f>
        <v>0</v>
      </c>
      <c r="H397" s="203">
        <f t="shared" si="122"/>
        <v>0</v>
      </c>
      <c r="I397" s="203">
        <f t="shared" si="122"/>
        <v>73164000</v>
      </c>
      <c r="J397" s="203">
        <f t="shared" si="122"/>
        <v>0</v>
      </c>
      <c r="K397" s="203">
        <f t="shared" si="122"/>
        <v>73164000</v>
      </c>
      <c r="L397" s="203">
        <f t="shared" si="122"/>
        <v>73164000</v>
      </c>
      <c r="M397" s="203">
        <f t="shared" si="122"/>
        <v>73164000</v>
      </c>
      <c r="N397" s="203">
        <f t="shared" si="122"/>
        <v>0</v>
      </c>
      <c r="O397" s="203">
        <f t="shared" si="122"/>
        <v>0</v>
      </c>
      <c r="P397" s="237">
        <v>0.23740675222371063</v>
      </c>
    </row>
    <row r="398" spans="1:16" s="2" customFormat="1">
      <c r="A398" s="108"/>
      <c r="B398" s="150"/>
      <c r="C398" s="70" t="s">
        <v>827</v>
      </c>
      <c r="D398" s="33" t="s">
        <v>1943</v>
      </c>
      <c r="E398" s="34" t="s">
        <v>763</v>
      </c>
      <c r="F398" s="35">
        <v>73164000</v>
      </c>
      <c r="G398" s="210">
        <v>0</v>
      </c>
      <c r="H398" s="210">
        <v>0</v>
      </c>
      <c r="I398" s="210">
        <v>73164000</v>
      </c>
      <c r="J398" s="210">
        <v>0</v>
      </c>
      <c r="K398" s="210">
        <v>73164000</v>
      </c>
      <c r="L398" s="210">
        <v>73164000</v>
      </c>
      <c r="M398" s="210">
        <v>73164000</v>
      </c>
      <c r="N398" s="210">
        <v>0</v>
      </c>
      <c r="O398" s="210">
        <v>0</v>
      </c>
      <c r="P398" s="242">
        <v>0.23740675222371063</v>
      </c>
    </row>
    <row r="399" spans="1:16" s="7" customFormat="1">
      <c r="A399" s="136" t="s">
        <v>829</v>
      </c>
      <c r="B399" s="125" t="s">
        <v>1798</v>
      </c>
      <c r="C399" s="126" t="s">
        <v>830</v>
      </c>
      <c r="D399" s="29"/>
      <c r="E399" s="19" t="s">
        <v>831</v>
      </c>
      <c r="F399" s="20">
        <f>F400+F401+F402</f>
        <v>98132000</v>
      </c>
      <c r="G399" s="20">
        <f t="shared" ref="G399:O399" si="123">G400+G401+G402</f>
        <v>0</v>
      </c>
      <c r="H399" s="20">
        <f t="shared" si="123"/>
        <v>-18763989</v>
      </c>
      <c r="I399" s="20">
        <f t="shared" si="123"/>
        <v>79368011</v>
      </c>
      <c r="J399" s="20">
        <f t="shared" si="123"/>
        <v>-79368011</v>
      </c>
      <c r="K399" s="20">
        <f t="shared" si="123"/>
        <v>0</v>
      </c>
      <c r="L399" s="20">
        <f t="shared" si="123"/>
        <v>0</v>
      </c>
      <c r="M399" s="20">
        <f t="shared" si="123"/>
        <v>0</v>
      </c>
      <c r="N399" s="20">
        <f t="shared" si="123"/>
        <v>0</v>
      </c>
      <c r="O399" s="20">
        <f t="shared" si="123"/>
        <v>0</v>
      </c>
      <c r="P399" s="243">
        <v>0.23740675222371063</v>
      </c>
    </row>
    <row r="400" spans="1:16" s="7" customFormat="1">
      <c r="A400" s="107" t="s">
        <v>832</v>
      </c>
      <c r="B400" s="149" t="s">
        <v>1531</v>
      </c>
      <c r="C400" s="18" t="s">
        <v>833</v>
      </c>
      <c r="D400" s="219"/>
      <c r="E400" s="219" t="s">
        <v>834</v>
      </c>
      <c r="F400" s="16">
        <v>0</v>
      </c>
      <c r="G400" s="203">
        <v>0</v>
      </c>
      <c r="H400" s="203">
        <v>0</v>
      </c>
      <c r="I400" s="203">
        <v>0</v>
      </c>
      <c r="J400" s="203">
        <v>0</v>
      </c>
      <c r="K400" s="203">
        <v>0</v>
      </c>
      <c r="L400" s="203">
        <v>0</v>
      </c>
      <c r="M400" s="203">
        <v>0</v>
      </c>
      <c r="N400" s="203">
        <v>0</v>
      </c>
      <c r="O400" s="203">
        <v>0</v>
      </c>
      <c r="P400" s="237">
        <v>0.23740675222371063</v>
      </c>
    </row>
    <row r="401" spans="1:16" s="7" customFormat="1">
      <c r="A401" s="107" t="s">
        <v>835</v>
      </c>
      <c r="B401" s="149" t="s">
        <v>1531</v>
      </c>
      <c r="C401" s="18" t="s">
        <v>836</v>
      </c>
      <c r="D401" s="30"/>
      <c r="E401" s="219" t="s">
        <v>837</v>
      </c>
      <c r="F401" s="16">
        <v>0</v>
      </c>
      <c r="G401" s="203">
        <v>0</v>
      </c>
      <c r="H401" s="203">
        <v>0</v>
      </c>
      <c r="I401" s="203">
        <v>0</v>
      </c>
      <c r="J401" s="203">
        <v>0</v>
      </c>
      <c r="K401" s="203">
        <v>0</v>
      </c>
      <c r="L401" s="203">
        <v>0</v>
      </c>
      <c r="M401" s="203">
        <v>0</v>
      </c>
      <c r="N401" s="203">
        <v>0</v>
      </c>
      <c r="O401" s="203">
        <v>0</v>
      </c>
      <c r="P401" s="237">
        <v>0.23740675222371063</v>
      </c>
    </row>
    <row r="402" spans="1:16" s="8" customFormat="1">
      <c r="A402" s="107" t="s">
        <v>838</v>
      </c>
      <c r="B402" s="149" t="s">
        <v>1799</v>
      </c>
      <c r="C402" s="18" t="s">
        <v>839</v>
      </c>
      <c r="D402" s="30"/>
      <c r="E402" s="17" t="s">
        <v>840</v>
      </c>
      <c r="F402" s="16">
        <f>SUM(F403:F403)</f>
        <v>98132000</v>
      </c>
      <c r="G402" s="203">
        <f t="shared" ref="G402:O402" si="124">SUM(G403:G403)</f>
        <v>0</v>
      </c>
      <c r="H402" s="203">
        <f t="shared" si="124"/>
        <v>-18763989</v>
      </c>
      <c r="I402" s="203">
        <f t="shared" si="124"/>
        <v>79368011</v>
      </c>
      <c r="J402" s="203">
        <f t="shared" si="124"/>
        <v>-79368011</v>
      </c>
      <c r="K402" s="203">
        <f t="shared" si="124"/>
        <v>0</v>
      </c>
      <c r="L402" s="203">
        <f t="shared" si="124"/>
        <v>0</v>
      </c>
      <c r="M402" s="203">
        <f t="shared" si="124"/>
        <v>0</v>
      </c>
      <c r="N402" s="203">
        <f t="shared" si="124"/>
        <v>0</v>
      </c>
      <c r="O402" s="203">
        <f t="shared" si="124"/>
        <v>0</v>
      </c>
      <c r="P402" s="237">
        <v>0.23740675222371063</v>
      </c>
    </row>
    <row r="403" spans="1:16" s="2" customFormat="1">
      <c r="A403" s="108"/>
      <c r="B403" s="150"/>
      <c r="C403" s="70" t="s">
        <v>839</v>
      </c>
      <c r="D403" s="33" t="s">
        <v>1948</v>
      </c>
      <c r="E403" s="34" t="s">
        <v>1914</v>
      </c>
      <c r="F403" s="35">
        <v>98132000</v>
      </c>
      <c r="G403" s="210">
        <v>0</v>
      </c>
      <c r="H403" s="210">
        <v>-18763989</v>
      </c>
      <c r="I403" s="210">
        <v>79368011</v>
      </c>
      <c r="J403" s="210">
        <v>-79368011</v>
      </c>
      <c r="K403" s="210">
        <v>0</v>
      </c>
      <c r="L403" s="210">
        <v>0</v>
      </c>
      <c r="M403" s="210">
        <v>0</v>
      </c>
      <c r="N403" s="210">
        <v>0</v>
      </c>
      <c r="O403" s="210">
        <v>0</v>
      </c>
      <c r="P403" s="242">
        <v>0.23740675222371063</v>
      </c>
    </row>
    <row r="404" spans="1:16" s="2" customFormat="1">
      <c r="A404" s="136" t="s">
        <v>841</v>
      </c>
      <c r="B404" s="125" t="s">
        <v>1531</v>
      </c>
      <c r="C404" s="126" t="s">
        <v>842</v>
      </c>
      <c r="D404" s="29"/>
      <c r="E404" s="19" t="s">
        <v>843</v>
      </c>
      <c r="F404" s="20">
        <f>+F405</f>
        <v>30000000</v>
      </c>
      <c r="G404" s="20">
        <f t="shared" ref="G404:O404" si="125">+G405</f>
        <v>0</v>
      </c>
      <c r="H404" s="20">
        <f t="shared" si="125"/>
        <v>0</v>
      </c>
      <c r="I404" s="20">
        <f t="shared" si="125"/>
        <v>30000000</v>
      </c>
      <c r="J404" s="20">
        <f t="shared" si="125"/>
        <v>0</v>
      </c>
      <c r="K404" s="20">
        <f t="shared" si="125"/>
        <v>0</v>
      </c>
      <c r="L404" s="20">
        <f t="shared" si="125"/>
        <v>0</v>
      </c>
      <c r="M404" s="20">
        <f t="shared" si="125"/>
        <v>0</v>
      </c>
      <c r="N404" s="20">
        <f t="shared" si="125"/>
        <v>0</v>
      </c>
      <c r="O404" s="20">
        <f t="shared" si="125"/>
        <v>0</v>
      </c>
      <c r="P404" s="243">
        <v>0.23740675222371063</v>
      </c>
    </row>
    <row r="405" spans="1:16" s="8" customFormat="1">
      <c r="A405" s="107" t="s">
        <v>844</v>
      </c>
      <c r="B405" s="149" t="s">
        <v>2016</v>
      </c>
      <c r="C405" s="18" t="s">
        <v>845</v>
      </c>
      <c r="D405" s="30"/>
      <c r="E405" s="17" t="s">
        <v>846</v>
      </c>
      <c r="F405" s="16">
        <f>+F406</f>
        <v>30000000</v>
      </c>
      <c r="G405" s="203">
        <f t="shared" ref="G405:N405" si="126">+G406</f>
        <v>0</v>
      </c>
      <c r="H405" s="203">
        <f t="shared" si="126"/>
        <v>0</v>
      </c>
      <c r="I405" s="203">
        <f t="shared" si="126"/>
        <v>30000000</v>
      </c>
      <c r="J405" s="203">
        <f t="shared" si="126"/>
        <v>0</v>
      </c>
      <c r="K405" s="203">
        <f t="shared" si="126"/>
        <v>0</v>
      </c>
      <c r="L405" s="203">
        <f t="shared" si="126"/>
        <v>0</v>
      </c>
      <c r="M405" s="203">
        <f t="shared" si="126"/>
        <v>0</v>
      </c>
      <c r="N405" s="203">
        <f t="shared" si="126"/>
        <v>0</v>
      </c>
      <c r="O405" s="203">
        <f>+O406</f>
        <v>0</v>
      </c>
      <c r="P405" s="237">
        <v>0.23740675222371063</v>
      </c>
    </row>
    <row r="406" spans="1:16" s="6" customFormat="1">
      <c r="A406" s="108"/>
      <c r="B406" s="150"/>
      <c r="C406" s="70" t="s">
        <v>845</v>
      </c>
      <c r="D406" s="33" t="s">
        <v>1913</v>
      </c>
      <c r="E406" s="34" t="s">
        <v>1094</v>
      </c>
      <c r="F406" s="35">
        <v>30000000</v>
      </c>
      <c r="G406" s="210">
        <v>0</v>
      </c>
      <c r="H406" s="210">
        <v>0</v>
      </c>
      <c r="I406" s="210">
        <v>30000000</v>
      </c>
      <c r="J406" s="210">
        <v>0</v>
      </c>
      <c r="K406" s="210">
        <v>0</v>
      </c>
      <c r="L406" s="210">
        <v>0</v>
      </c>
      <c r="M406" s="210">
        <v>0</v>
      </c>
      <c r="N406" s="210">
        <v>0</v>
      </c>
      <c r="O406" s="210">
        <v>0</v>
      </c>
      <c r="P406" s="242">
        <v>0.23740675222371063</v>
      </c>
    </row>
    <row r="407" spans="1:16" s="2" customFormat="1">
      <c r="A407" s="173" t="s">
        <v>847</v>
      </c>
      <c r="B407" s="155" t="s">
        <v>1800</v>
      </c>
      <c r="C407" s="156" t="s">
        <v>848</v>
      </c>
      <c r="D407" s="74"/>
      <c r="E407" s="40" t="s">
        <v>849</v>
      </c>
      <c r="F407" s="75">
        <f>+F408+F414+F417+F420</f>
        <v>160433000</v>
      </c>
      <c r="G407" s="75">
        <f t="shared" ref="G407:O407" si="127">+G408+G414+G417+G420</f>
        <v>0</v>
      </c>
      <c r="H407" s="75">
        <f t="shared" si="127"/>
        <v>9792677</v>
      </c>
      <c r="I407" s="75">
        <f t="shared" si="127"/>
        <v>170225677</v>
      </c>
      <c r="J407" s="75">
        <f t="shared" si="127"/>
        <v>0</v>
      </c>
      <c r="K407" s="75">
        <f t="shared" si="127"/>
        <v>129792677</v>
      </c>
      <c r="L407" s="75">
        <f t="shared" si="127"/>
        <v>9792677</v>
      </c>
      <c r="M407" s="75">
        <f t="shared" si="127"/>
        <v>129792677</v>
      </c>
      <c r="N407" s="75">
        <f t="shared" si="127"/>
        <v>9792677</v>
      </c>
      <c r="O407" s="75">
        <f t="shared" si="127"/>
        <v>9792677</v>
      </c>
      <c r="P407" s="246">
        <v>0.23740675222371063</v>
      </c>
    </row>
    <row r="408" spans="1:16" s="2" customFormat="1">
      <c r="A408" s="136" t="s">
        <v>850</v>
      </c>
      <c r="B408" s="125" t="s">
        <v>1801</v>
      </c>
      <c r="C408" s="126" t="s">
        <v>851</v>
      </c>
      <c r="D408" s="29"/>
      <c r="E408" s="19" t="s">
        <v>852</v>
      </c>
      <c r="F408" s="20">
        <f>+F409+F410+F411</f>
        <v>160433000</v>
      </c>
      <c r="G408" s="20">
        <f t="shared" ref="G408:O408" si="128">+G409+G410+G411</f>
        <v>0</v>
      </c>
      <c r="H408" s="20">
        <f t="shared" si="128"/>
        <v>9792677</v>
      </c>
      <c r="I408" s="20">
        <f t="shared" si="128"/>
        <v>170225677</v>
      </c>
      <c r="J408" s="20">
        <f t="shared" si="128"/>
        <v>0</v>
      </c>
      <c r="K408" s="20">
        <f t="shared" si="128"/>
        <v>129792677</v>
      </c>
      <c r="L408" s="20">
        <f t="shared" si="128"/>
        <v>9792677</v>
      </c>
      <c r="M408" s="20">
        <f t="shared" si="128"/>
        <v>129792677</v>
      </c>
      <c r="N408" s="20">
        <f t="shared" si="128"/>
        <v>9792677</v>
      </c>
      <c r="O408" s="20">
        <f t="shared" si="128"/>
        <v>9792677</v>
      </c>
      <c r="P408" s="243">
        <v>0.23740675222371063</v>
      </c>
    </row>
    <row r="409" spans="1:16">
      <c r="A409" s="107" t="s">
        <v>853</v>
      </c>
      <c r="B409" s="149" t="s">
        <v>1531</v>
      </c>
      <c r="C409" s="18" t="s">
        <v>854</v>
      </c>
      <c r="D409" s="30"/>
      <c r="E409" s="219" t="s">
        <v>855</v>
      </c>
      <c r="F409" s="16">
        <v>0</v>
      </c>
      <c r="G409" s="203">
        <v>0</v>
      </c>
      <c r="H409" s="203">
        <v>0</v>
      </c>
      <c r="I409" s="203">
        <v>0</v>
      </c>
      <c r="J409" s="203">
        <v>0</v>
      </c>
      <c r="K409" s="203">
        <v>0</v>
      </c>
      <c r="L409" s="203">
        <v>0</v>
      </c>
      <c r="M409" s="203">
        <v>0</v>
      </c>
      <c r="N409" s="203">
        <v>0</v>
      </c>
      <c r="O409" s="203">
        <v>0</v>
      </c>
      <c r="P409" s="237">
        <v>0.23740675222371063</v>
      </c>
    </row>
    <row r="410" spans="1:16" s="2" customFormat="1">
      <c r="A410" s="107" t="s">
        <v>856</v>
      </c>
      <c r="B410" s="149" t="s">
        <v>1802</v>
      </c>
      <c r="C410" s="18" t="s">
        <v>857</v>
      </c>
      <c r="D410" s="30"/>
      <c r="E410" s="17" t="s">
        <v>858</v>
      </c>
      <c r="F410" s="16">
        <v>0</v>
      </c>
      <c r="G410" s="203">
        <v>0</v>
      </c>
      <c r="H410" s="203">
        <v>0</v>
      </c>
      <c r="I410" s="203">
        <v>0</v>
      </c>
      <c r="J410" s="203">
        <v>0</v>
      </c>
      <c r="K410" s="203">
        <v>0</v>
      </c>
      <c r="L410" s="203">
        <v>0</v>
      </c>
      <c r="M410" s="203">
        <v>0</v>
      </c>
      <c r="N410" s="203">
        <v>0</v>
      </c>
      <c r="O410" s="203">
        <v>0</v>
      </c>
      <c r="P410" s="237">
        <v>0.23740675222371063</v>
      </c>
    </row>
    <row r="411" spans="1:16" s="8" customFormat="1">
      <c r="A411" s="107" t="s">
        <v>859</v>
      </c>
      <c r="B411" s="149" t="s">
        <v>1803</v>
      </c>
      <c r="C411" s="18" t="s">
        <v>860</v>
      </c>
      <c r="D411" s="30"/>
      <c r="E411" s="17" t="s">
        <v>861</v>
      </c>
      <c r="F411" s="16">
        <f>SUM(F412:F413)</f>
        <v>160433000</v>
      </c>
      <c r="G411" s="203">
        <f t="shared" ref="G411:O411" si="129">SUM(G412:G413)</f>
        <v>0</v>
      </c>
      <c r="H411" s="203">
        <f t="shared" si="129"/>
        <v>9792677</v>
      </c>
      <c r="I411" s="203">
        <f t="shared" si="129"/>
        <v>170225677</v>
      </c>
      <c r="J411" s="203">
        <f t="shared" si="129"/>
        <v>0</v>
      </c>
      <c r="K411" s="203">
        <f t="shared" si="129"/>
        <v>129792677</v>
      </c>
      <c r="L411" s="203">
        <f t="shared" si="129"/>
        <v>9792677</v>
      </c>
      <c r="M411" s="203">
        <f t="shared" si="129"/>
        <v>129792677</v>
      </c>
      <c r="N411" s="203">
        <f t="shared" si="129"/>
        <v>9792677</v>
      </c>
      <c r="O411" s="203">
        <f t="shared" si="129"/>
        <v>9792677</v>
      </c>
      <c r="P411" s="237">
        <v>0.23740675222371063</v>
      </c>
    </row>
    <row r="412" spans="1:16" s="8" customFormat="1">
      <c r="A412" s="108"/>
      <c r="B412" s="150"/>
      <c r="C412" s="70" t="s">
        <v>860</v>
      </c>
      <c r="D412" s="33" t="s">
        <v>1909</v>
      </c>
      <c r="E412" s="34" t="s">
        <v>819</v>
      </c>
      <c r="F412" s="35">
        <v>120000000</v>
      </c>
      <c r="G412" s="210">
        <v>0</v>
      </c>
      <c r="H412" s="210">
        <v>9792677</v>
      </c>
      <c r="I412" s="210">
        <v>129792677</v>
      </c>
      <c r="J412" s="210">
        <v>0</v>
      </c>
      <c r="K412" s="210">
        <v>129792677</v>
      </c>
      <c r="L412" s="210">
        <v>9792677</v>
      </c>
      <c r="M412" s="210">
        <v>129792677</v>
      </c>
      <c r="N412" s="210">
        <v>9792677</v>
      </c>
      <c r="O412" s="210">
        <v>9792677</v>
      </c>
      <c r="P412" s="242">
        <v>0.23740675222371063</v>
      </c>
    </row>
    <row r="413" spans="1:16" s="2" customFormat="1">
      <c r="A413" s="108"/>
      <c r="B413" s="150"/>
      <c r="C413" s="70" t="s">
        <v>860</v>
      </c>
      <c r="D413" s="33" t="s">
        <v>1944</v>
      </c>
      <c r="E413" s="34" t="s">
        <v>780</v>
      </c>
      <c r="F413" s="35">
        <v>40433000</v>
      </c>
      <c r="G413" s="210">
        <v>0</v>
      </c>
      <c r="H413" s="210">
        <v>0</v>
      </c>
      <c r="I413" s="210">
        <v>40433000</v>
      </c>
      <c r="J413" s="210">
        <v>0</v>
      </c>
      <c r="K413" s="210">
        <v>0</v>
      </c>
      <c r="L413" s="210">
        <v>0</v>
      </c>
      <c r="M413" s="210">
        <v>0</v>
      </c>
      <c r="N413" s="210">
        <v>0</v>
      </c>
      <c r="O413" s="210">
        <v>0</v>
      </c>
      <c r="P413" s="242">
        <v>0.23740675222371063</v>
      </c>
    </row>
    <row r="414" spans="1:16" s="2" customFormat="1">
      <c r="A414" s="136" t="s">
        <v>862</v>
      </c>
      <c r="B414" s="125" t="s">
        <v>1804</v>
      </c>
      <c r="C414" s="126" t="s">
        <v>863</v>
      </c>
      <c r="D414" s="29"/>
      <c r="E414" s="19" t="s">
        <v>864</v>
      </c>
      <c r="F414" s="20">
        <f>+F415</f>
        <v>0</v>
      </c>
      <c r="G414" s="20">
        <f t="shared" ref="G414:O415" si="130">+G415</f>
        <v>0</v>
      </c>
      <c r="H414" s="20">
        <f t="shared" si="130"/>
        <v>0</v>
      </c>
      <c r="I414" s="20">
        <f t="shared" si="130"/>
        <v>0</v>
      </c>
      <c r="J414" s="20">
        <f t="shared" si="130"/>
        <v>0</v>
      </c>
      <c r="K414" s="20">
        <f t="shared" si="130"/>
        <v>0</v>
      </c>
      <c r="L414" s="20">
        <f t="shared" si="130"/>
        <v>0</v>
      </c>
      <c r="M414" s="20">
        <f t="shared" si="130"/>
        <v>0</v>
      </c>
      <c r="N414" s="20">
        <f t="shared" si="130"/>
        <v>0</v>
      </c>
      <c r="O414" s="20">
        <f t="shared" si="130"/>
        <v>0</v>
      </c>
      <c r="P414" s="243">
        <v>0.23740675222371063</v>
      </c>
    </row>
    <row r="415" spans="1:16" s="8" customFormat="1">
      <c r="A415" s="107" t="s">
        <v>865</v>
      </c>
      <c r="B415" s="149" t="s">
        <v>1558</v>
      </c>
      <c r="C415" s="18" t="s">
        <v>866</v>
      </c>
      <c r="D415" s="30"/>
      <c r="E415" s="17" t="s">
        <v>867</v>
      </c>
      <c r="F415" s="203">
        <f>+F416</f>
        <v>0</v>
      </c>
      <c r="G415" s="203">
        <f t="shared" si="130"/>
        <v>0</v>
      </c>
      <c r="H415" s="203">
        <f t="shared" si="130"/>
        <v>0</v>
      </c>
      <c r="I415" s="203">
        <f t="shared" si="130"/>
        <v>0</v>
      </c>
      <c r="J415" s="203">
        <f t="shared" si="130"/>
        <v>0</v>
      </c>
      <c r="K415" s="203">
        <f t="shared" si="130"/>
        <v>0</v>
      </c>
      <c r="L415" s="203">
        <f t="shared" si="130"/>
        <v>0</v>
      </c>
      <c r="M415" s="203">
        <f t="shared" si="130"/>
        <v>0</v>
      </c>
      <c r="N415" s="203">
        <f t="shared" si="130"/>
        <v>0</v>
      </c>
      <c r="O415" s="203">
        <f t="shared" si="130"/>
        <v>0</v>
      </c>
      <c r="P415" s="237">
        <v>0.23740675222371063</v>
      </c>
    </row>
    <row r="416" spans="1:16" s="2" customFormat="1">
      <c r="A416" s="108"/>
      <c r="B416" s="150"/>
      <c r="C416" s="70" t="s">
        <v>866</v>
      </c>
      <c r="D416" s="33" t="s">
        <v>1943</v>
      </c>
      <c r="E416" s="34" t="s">
        <v>868</v>
      </c>
      <c r="F416" s="210">
        <v>0</v>
      </c>
      <c r="G416" s="210">
        <v>0</v>
      </c>
      <c r="H416" s="210">
        <v>0</v>
      </c>
      <c r="I416" s="210">
        <v>0</v>
      </c>
      <c r="J416" s="210">
        <v>0</v>
      </c>
      <c r="K416" s="210">
        <v>0</v>
      </c>
      <c r="L416" s="210">
        <v>0</v>
      </c>
      <c r="M416" s="210">
        <v>0</v>
      </c>
      <c r="N416" s="210">
        <v>0</v>
      </c>
      <c r="O416" s="210">
        <v>0</v>
      </c>
      <c r="P416" s="242">
        <v>0.23740675222371063</v>
      </c>
    </row>
    <row r="417" spans="1:16" s="2" customFormat="1">
      <c r="A417" s="136" t="s">
        <v>869</v>
      </c>
      <c r="B417" s="125" t="s">
        <v>1780</v>
      </c>
      <c r="C417" s="126" t="s">
        <v>870</v>
      </c>
      <c r="D417" s="29"/>
      <c r="E417" s="19" t="s">
        <v>745</v>
      </c>
      <c r="F417" s="20">
        <f>+F418</f>
        <v>0</v>
      </c>
      <c r="G417" s="20">
        <f t="shared" ref="G417:O418" si="131">+G418</f>
        <v>0</v>
      </c>
      <c r="H417" s="20">
        <f t="shared" si="131"/>
        <v>0</v>
      </c>
      <c r="I417" s="20">
        <f t="shared" si="131"/>
        <v>0</v>
      </c>
      <c r="J417" s="20">
        <f t="shared" si="131"/>
        <v>0</v>
      </c>
      <c r="K417" s="20">
        <f t="shared" si="131"/>
        <v>0</v>
      </c>
      <c r="L417" s="20">
        <f t="shared" si="131"/>
        <v>0</v>
      </c>
      <c r="M417" s="20">
        <f t="shared" si="131"/>
        <v>0</v>
      </c>
      <c r="N417" s="20">
        <f t="shared" si="131"/>
        <v>0</v>
      </c>
      <c r="O417" s="20">
        <f t="shared" si="131"/>
        <v>0</v>
      </c>
      <c r="P417" s="243">
        <v>0.23740675222371063</v>
      </c>
    </row>
    <row r="418" spans="1:16" s="8" customFormat="1">
      <c r="A418" s="107" t="s">
        <v>871</v>
      </c>
      <c r="B418" s="149" t="s">
        <v>1805</v>
      </c>
      <c r="C418" s="18" t="s">
        <v>872</v>
      </c>
      <c r="D418" s="30"/>
      <c r="E418" s="17" t="s">
        <v>873</v>
      </c>
      <c r="F418" s="203">
        <f>+F419</f>
        <v>0</v>
      </c>
      <c r="G418" s="203">
        <f t="shared" si="131"/>
        <v>0</v>
      </c>
      <c r="H418" s="203">
        <f t="shared" si="131"/>
        <v>0</v>
      </c>
      <c r="I418" s="203">
        <f t="shared" si="131"/>
        <v>0</v>
      </c>
      <c r="J418" s="203">
        <f t="shared" si="131"/>
        <v>0</v>
      </c>
      <c r="K418" s="203">
        <f t="shared" si="131"/>
        <v>0</v>
      </c>
      <c r="L418" s="203">
        <f t="shared" si="131"/>
        <v>0</v>
      </c>
      <c r="M418" s="203">
        <f t="shared" si="131"/>
        <v>0</v>
      </c>
      <c r="N418" s="203">
        <f t="shared" si="131"/>
        <v>0</v>
      </c>
      <c r="O418" s="203">
        <f t="shared" si="131"/>
        <v>0</v>
      </c>
      <c r="P418" s="237">
        <v>0.23740675222371063</v>
      </c>
    </row>
    <row r="419" spans="1:16" s="2" customFormat="1">
      <c r="A419" s="108"/>
      <c r="B419" s="150"/>
      <c r="C419" s="70" t="s">
        <v>872</v>
      </c>
      <c r="D419" s="33" t="s">
        <v>1945</v>
      </c>
      <c r="E419" s="34" t="s">
        <v>781</v>
      </c>
      <c r="F419" s="210">
        <v>0</v>
      </c>
      <c r="G419" s="210">
        <v>0</v>
      </c>
      <c r="H419" s="210">
        <v>0</v>
      </c>
      <c r="I419" s="210">
        <v>0</v>
      </c>
      <c r="J419" s="210">
        <v>0</v>
      </c>
      <c r="K419" s="210">
        <v>0</v>
      </c>
      <c r="L419" s="210">
        <v>0</v>
      </c>
      <c r="M419" s="210">
        <v>0</v>
      </c>
      <c r="N419" s="210">
        <v>0</v>
      </c>
      <c r="O419" s="210">
        <v>0</v>
      </c>
      <c r="P419" s="242">
        <v>0.23740675222371063</v>
      </c>
    </row>
    <row r="420" spans="1:16" s="2" customFormat="1">
      <c r="A420" s="136" t="s">
        <v>874</v>
      </c>
      <c r="B420" s="125" t="s">
        <v>1806</v>
      </c>
      <c r="C420" s="126" t="s">
        <v>875</v>
      </c>
      <c r="D420" s="29"/>
      <c r="E420" s="19" t="s">
        <v>876</v>
      </c>
      <c r="F420" s="20">
        <f>+F421+F422</f>
        <v>0</v>
      </c>
      <c r="G420" s="20">
        <f t="shared" ref="G420:N420" si="132">+G421+G422</f>
        <v>0</v>
      </c>
      <c r="H420" s="20">
        <f t="shared" si="132"/>
        <v>0</v>
      </c>
      <c r="I420" s="20">
        <f t="shared" si="132"/>
        <v>0</v>
      </c>
      <c r="J420" s="20">
        <f t="shared" si="132"/>
        <v>0</v>
      </c>
      <c r="K420" s="20">
        <f t="shared" si="132"/>
        <v>0</v>
      </c>
      <c r="L420" s="20">
        <f t="shared" si="132"/>
        <v>0</v>
      </c>
      <c r="M420" s="20">
        <f t="shared" si="132"/>
        <v>0</v>
      </c>
      <c r="N420" s="20">
        <f t="shared" si="132"/>
        <v>0</v>
      </c>
      <c r="O420" s="20"/>
      <c r="P420" s="243">
        <v>0.23740675222371063</v>
      </c>
    </row>
    <row r="421" spans="1:16" s="2" customFormat="1">
      <c r="A421" s="107" t="s">
        <v>877</v>
      </c>
      <c r="B421" s="149" t="s">
        <v>1807</v>
      </c>
      <c r="C421" s="18" t="s">
        <v>878</v>
      </c>
      <c r="D421" s="30"/>
      <c r="E421" s="17" t="s">
        <v>879</v>
      </c>
      <c r="F421" s="203">
        <v>0</v>
      </c>
      <c r="G421" s="203">
        <v>0</v>
      </c>
      <c r="H421" s="203">
        <v>0</v>
      </c>
      <c r="I421" s="203">
        <v>0</v>
      </c>
      <c r="J421" s="203">
        <v>0</v>
      </c>
      <c r="K421" s="203">
        <v>0</v>
      </c>
      <c r="L421" s="203">
        <v>0</v>
      </c>
      <c r="M421" s="203">
        <v>0</v>
      </c>
      <c r="N421" s="203">
        <v>0</v>
      </c>
      <c r="O421" s="203">
        <v>0</v>
      </c>
      <c r="P421" s="237">
        <v>0.23740675222371063</v>
      </c>
    </row>
    <row r="422" spans="1:16" s="6" customFormat="1">
      <c r="A422" s="107" t="s">
        <v>880</v>
      </c>
      <c r="B422" s="149" t="s">
        <v>1808</v>
      </c>
      <c r="C422" s="18" t="s">
        <v>881</v>
      </c>
      <c r="D422" s="30"/>
      <c r="E422" s="17" t="s">
        <v>882</v>
      </c>
      <c r="F422" s="203">
        <v>0</v>
      </c>
      <c r="G422" s="203">
        <v>0</v>
      </c>
      <c r="H422" s="203">
        <v>0</v>
      </c>
      <c r="I422" s="203">
        <v>0</v>
      </c>
      <c r="J422" s="203">
        <v>0</v>
      </c>
      <c r="K422" s="203">
        <v>0</v>
      </c>
      <c r="L422" s="203">
        <v>0</v>
      </c>
      <c r="M422" s="203">
        <v>0</v>
      </c>
      <c r="N422" s="203">
        <v>0</v>
      </c>
      <c r="O422" s="203">
        <v>0</v>
      </c>
      <c r="P422" s="237">
        <v>0.23740675222371063</v>
      </c>
    </row>
    <row r="423" spans="1:16" s="6" customFormat="1">
      <c r="A423" s="172" t="s">
        <v>883</v>
      </c>
      <c r="B423" s="154" t="s">
        <v>1809</v>
      </c>
      <c r="C423" s="39" t="s">
        <v>884</v>
      </c>
      <c r="D423" s="73"/>
      <c r="E423" s="39" t="s">
        <v>885</v>
      </c>
      <c r="F423" s="209">
        <f>+F424+F429+F483+F520+F770+F817</f>
        <v>113368332000</v>
      </c>
      <c r="G423" s="209">
        <f t="shared" ref="G423:O423" si="133">+G424+G429+G483+G520+G770+G817</f>
        <v>12433319036</v>
      </c>
      <c r="H423" s="209">
        <f t="shared" si="133"/>
        <v>38102134905</v>
      </c>
      <c r="I423" s="209">
        <f t="shared" si="133"/>
        <v>151470466905</v>
      </c>
      <c r="J423" s="209">
        <f t="shared" si="133"/>
        <v>9134995962</v>
      </c>
      <c r="K423" s="209">
        <f t="shared" si="133"/>
        <v>118899976821</v>
      </c>
      <c r="L423" s="209">
        <f t="shared" si="133"/>
        <v>23311995858</v>
      </c>
      <c r="M423" s="209">
        <f t="shared" si="133"/>
        <v>112155128505</v>
      </c>
      <c r="N423" s="209">
        <f t="shared" si="133"/>
        <v>5142057822</v>
      </c>
      <c r="O423" s="209">
        <f t="shared" si="133"/>
        <v>64183118369</v>
      </c>
      <c r="P423" s="245">
        <v>0.23740675222371063</v>
      </c>
    </row>
    <row r="424" spans="1:16" s="2" customFormat="1">
      <c r="A424" s="173" t="s">
        <v>886</v>
      </c>
      <c r="B424" s="155" t="s">
        <v>1810</v>
      </c>
      <c r="C424" s="156" t="s">
        <v>887</v>
      </c>
      <c r="D424" s="74"/>
      <c r="E424" s="40" t="s">
        <v>888</v>
      </c>
      <c r="F424" s="75">
        <f>+F425</f>
        <v>0</v>
      </c>
      <c r="G424" s="75">
        <f t="shared" ref="G424:O427" si="134">+G425</f>
        <v>0</v>
      </c>
      <c r="H424" s="75">
        <f t="shared" si="134"/>
        <v>0</v>
      </c>
      <c r="I424" s="75">
        <f t="shared" si="134"/>
        <v>0</v>
      </c>
      <c r="J424" s="75">
        <f t="shared" si="134"/>
        <v>0</v>
      </c>
      <c r="K424" s="75">
        <f t="shared" si="134"/>
        <v>0</v>
      </c>
      <c r="L424" s="75">
        <f t="shared" si="134"/>
        <v>0</v>
      </c>
      <c r="M424" s="75">
        <f t="shared" si="134"/>
        <v>0</v>
      </c>
      <c r="N424" s="75">
        <f t="shared" si="134"/>
        <v>0</v>
      </c>
      <c r="O424" s="75">
        <f t="shared" si="134"/>
        <v>0</v>
      </c>
      <c r="P424" s="246">
        <v>0.23740675222371063</v>
      </c>
    </row>
    <row r="425" spans="1:16" s="2" customFormat="1">
      <c r="A425" s="136" t="s">
        <v>889</v>
      </c>
      <c r="B425" s="125" t="s">
        <v>1811</v>
      </c>
      <c r="C425" s="126" t="s">
        <v>890</v>
      </c>
      <c r="D425" s="29"/>
      <c r="E425" s="19" t="s">
        <v>891</v>
      </c>
      <c r="F425" s="20">
        <f>+F426</f>
        <v>0</v>
      </c>
      <c r="G425" s="20">
        <f t="shared" si="134"/>
        <v>0</v>
      </c>
      <c r="H425" s="20">
        <f t="shared" si="134"/>
        <v>0</v>
      </c>
      <c r="I425" s="20">
        <f t="shared" si="134"/>
        <v>0</v>
      </c>
      <c r="J425" s="20">
        <f t="shared" si="134"/>
        <v>0</v>
      </c>
      <c r="K425" s="20">
        <f t="shared" si="134"/>
        <v>0</v>
      </c>
      <c r="L425" s="20">
        <f t="shared" si="134"/>
        <v>0</v>
      </c>
      <c r="M425" s="20">
        <f t="shared" si="134"/>
        <v>0</v>
      </c>
      <c r="N425" s="20">
        <f t="shared" si="134"/>
        <v>0</v>
      </c>
      <c r="O425" s="20">
        <f t="shared" si="134"/>
        <v>0</v>
      </c>
      <c r="P425" s="243">
        <v>0.23740675222371063</v>
      </c>
    </row>
    <row r="426" spans="1:16" s="8" customFormat="1">
      <c r="A426" s="134" t="s">
        <v>892</v>
      </c>
      <c r="B426" s="123" t="s">
        <v>1531</v>
      </c>
      <c r="C426" s="124" t="s">
        <v>893</v>
      </c>
      <c r="D426" s="67"/>
      <c r="E426" s="25" t="s">
        <v>894</v>
      </c>
      <c r="F426" s="68">
        <f>+F427</f>
        <v>0</v>
      </c>
      <c r="G426" s="68">
        <f t="shared" si="134"/>
        <v>0</v>
      </c>
      <c r="H426" s="68">
        <f t="shared" si="134"/>
        <v>0</v>
      </c>
      <c r="I426" s="68">
        <f t="shared" si="134"/>
        <v>0</v>
      </c>
      <c r="J426" s="68">
        <f t="shared" si="134"/>
        <v>0</v>
      </c>
      <c r="K426" s="68">
        <f t="shared" si="134"/>
        <v>0</v>
      </c>
      <c r="L426" s="68">
        <f t="shared" si="134"/>
        <v>0</v>
      </c>
      <c r="M426" s="68">
        <f t="shared" si="134"/>
        <v>0</v>
      </c>
      <c r="N426" s="68">
        <f t="shared" si="134"/>
        <v>0</v>
      </c>
      <c r="O426" s="68">
        <f t="shared" si="134"/>
        <v>0</v>
      </c>
      <c r="P426" s="229">
        <v>0.23740675222371063</v>
      </c>
    </row>
    <row r="427" spans="1:16" s="8" customFormat="1">
      <c r="A427" s="107" t="s">
        <v>895</v>
      </c>
      <c r="B427" s="149" t="s">
        <v>1812</v>
      </c>
      <c r="C427" s="18" t="s">
        <v>896</v>
      </c>
      <c r="D427" s="30"/>
      <c r="E427" s="17" t="s">
        <v>897</v>
      </c>
      <c r="F427" s="203">
        <f>+F428</f>
        <v>0</v>
      </c>
      <c r="G427" s="203">
        <f t="shared" si="134"/>
        <v>0</v>
      </c>
      <c r="H427" s="203">
        <f t="shared" si="134"/>
        <v>0</v>
      </c>
      <c r="I427" s="203">
        <f t="shared" si="134"/>
        <v>0</v>
      </c>
      <c r="J427" s="203">
        <f t="shared" si="134"/>
        <v>0</v>
      </c>
      <c r="K427" s="203">
        <f t="shared" si="134"/>
        <v>0</v>
      </c>
      <c r="L427" s="203">
        <f t="shared" si="134"/>
        <v>0</v>
      </c>
      <c r="M427" s="203">
        <f t="shared" si="134"/>
        <v>0</v>
      </c>
      <c r="N427" s="203">
        <f t="shared" si="134"/>
        <v>0</v>
      </c>
      <c r="O427" s="203">
        <f t="shared" si="134"/>
        <v>0</v>
      </c>
      <c r="P427" s="237">
        <v>0.23740675222371063</v>
      </c>
    </row>
    <row r="428" spans="1:16" s="6" customFormat="1">
      <c r="A428" s="108"/>
      <c r="B428" s="150"/>
      <c r="C428" s="70" t="s">
        <v>896</v>
      </c>
      <c r="D428" s="33" t="s">
        <v>1909</v>
      </c>
      <c r="E428" s="34" t="s">
        <v>819</v>
      </c>
      <c r="F428" s="210">
        <v>0</v>
      </c>
      <c r="G428" s="210">
        <v>0</v>
      </c>
      <c r="H428" s="210">
        <v>0</v>
      </c>
      <c r="I428" s="210">
        <v>0</v>
      </c>
      <c r="J428" s="210">
        <v>0</v>
      </c>
      <c r="K428" s="210">
        <v>0</v>
      </c>
      <c r="L428" s="210">
        <v>0</v>
      </c>
      <c r="M428" s="210">
        <v>0</v>
      </c>
      <c r="N428" s="210">
        <v>0</v>
      </c>
      <c r="O428" s="210">
        <v>0</v>
      </c>
      <c r="P428" s="242">
        <v>0.23740675222371063</v>
      </c>
    </row>
    <row r="429" spans="1:16" s="2" customFormat="1">
      <c r="A429" s="173" t="s">
        <v>898</v>
      </c>
      <c r="B429" s="155" t="s">
        <v>1813</v>
      </c>
      <c r="C429" s="156" t="s">
        <v>899</v>
      </c>
      <c r="D429" s="74"/>
      <c r="E429" s="40" t="s">
        <v>900</v>
      </c>
      <c r="F429" s="75">
        <f>+F430+F449+F477+F479</f>
        <v>9353509000</v>
      </c>
      <c r="G429" s="75">
        <f t="shared" ref="G429:O429" si="135">+G430+G449+G477+G479</f>
        <v>0</v>
      </c>
      <c r="H429" s="75">
        <f t="shared" si="135"/>
        <v>1119329779</v>
      </c>
      <c r="I429" s="75">
        <f t="shared" si="135"/>
        <v>10472838779</v>
      </c>
      <c r="J429" s="75">
        <f t="shared" si="135"/>
        <v>82689852</v>
      </c>
      <c r="K429" s="75">
        <f t="shared" si="135"/>
        <v>6815720864</v>
      </c>
      <c r="L429" s="75">
        <f t="shared" si="135"/>
        <v>80771162</v>
      </c>
      <c r="M429" s="75">
        <f t="shared" si="135"/>
        <v>6709488471</v>
      </c>
      <c r="N429" s="75">
        <f t="shared" si="135"/>
        <v>97250839</v>
      </c>
      <c r="O429" s="75">
        <f t="shared" si="135"/>
        <v>1406087866</v>
      </c>
      <c r="P429" s="246">
        <v>0.23740675222371063</v>
      </c>
    </row>
    <row r="430" spans="1:16" s="2" customFormat="1">
      <c r="A430" s="136" t="s">
        <v>901</v>
      </c>
      <c r="B430" s="125" t="s">
        <v>1814</v>
      </c>
      <c r="C430" s="126" t="s">
        <v>902</v>
      </c>
      <c r="D430" s="29"/>
      <c r="E430" s="19" t="s">
        <v>903</v>
      </c>
      <c r="F430" s="20">
        <f>+F431+F446</f>
        <v>5182728000</v>
      </c>
      <c r="G430" s="20">
        <f t="shared" ref="G430:O430" si="136">+G431+G446</f>
        <v>0</v>
      </c>
      <c r="H430" s="20">
        <f t="shared" si="136"/>
        <v>202462067</v>
      </c>
      <c r="I430" s="20">
        <f t="shared" si="136"/>
        <v>5385190067</v>
      </c>
      <c r="J430" s="20">
        <f t="shared" si="136"/>
        <v>22563792</v>
      </c>
      <c r="K430" s="20">
        <f t="shared" si="136"/>
        <v>2696340411</v>
      </c>
      <c r="L430" s="20">
        <f t="shared" si="136"/>
        <v>35167693</v>
      </c>
      <c r="M430" s="20">
        <f t="shared" si="136"/>
        <v>2662586312</v>
      </c>
      <c r="N430" s="20">
        <f t="shared" si="136"/>
        <v>55717273</v>
      </c>
      <c r="O430" s="20">
        <f t="shared" si="136"/>
        <v>114305618</v>
      </c>
      <c r="P430" s="243">
        <v>0.23740675222371063</v>
      </c>
    </row>
    <row r="431" spans="1:16" s="6" customFormat="1">
      <c r="A431" s="134" t="s">
        <v>904</v>
      </c>
      <c r="B431" s="123" t="s">
        <v>1531</v>
      </c>
      <c r="C431" s="124" t="s">
        <v>905</v>
      </c>
      <c r="D431" s="67"/>
      <c r="E431" s="25" t="s">
        <v>906</v>
      </c>
      <c r="F431" s="68">
        <f>+F432</f>
        <v>457575000</v>
      </c>
      <c r="G431" s="68">
        <f t="shared" ref="G431:O431" si="137">+G432</f>
        <v>0</v>
      </c>
      <c r="H431" s="68">
        <f t="shared" si="137"/>
        <v>202462067</v>
      </c>
      <c r="I431" s="68">
        <f t="shared" si="137"/>
        <v>660037067</v>
      </c>
      <c r="J431" s="68">
        <f t="shared" si="137"/>
        <v>22563792</v>
      </c>
      <c r="K431" s="68">
        <f t="shared" si="137"/>
        <v>334112811</v>
      </c>
      <c r="L431" s="68">
        <f t="shared" si="137"/>
        <v>35167693</v>
      </c>
      <c r="M431" s="68">
        <f t="shared" si="137"/>
        <v>300358712</v>
      </c>
      <c r="N431" s="68">
        <f t="shared" si="137"/>
        <v>55717273</v>
      </c>
      <c r="O431" s="68">
        <f t="shared" si="137"/>
        <v>114305618</v>
      </c>
      <c r="P431" s="229">
        <v>0.23740675222371063</v>
      </c>
    </row>
    <row r="432" spans="1:16" s="8" customFormat="1">
      <c r="A432" s="107"/>
      <c r="B432" s="149" t="s">
        <v>1557</v>
      </c>
      <c r="C432" s="18" t="s">
        <v>907</v>
      </c>
      <c r="D432" s="30"/>
      <c r="E432" s="17" t="s">
        <v>903</v>
      </c>
      <c r="F432" s="203">
        <f>SUM(F433:F445)</f>
        <v>457575000</v>
      </c>
      <c r="G432" s="203">
        <f t="shared" ref="G432:O432" si="138">SUM(G433:G445)</f>
        <v>0</v>
      </c>
      <c r="H432" s="203">
        <f t="shared" si="138"/>
        <v>202462067</v>
      </c>
      <c r="I432" s="203">
        <f t="shared" si="138"/>
        <v>660037067</v>
      </c>
      <c r="J432" s="203">
        <f t="shared" si="138"/>
        <v>22563792</v>
      </c>
      <c r="K432" s="203">
        <f t="shared" si="138"/>
        <v>334112811</v>
      </c>
      <c r="L432" s="203">
        <f t="shared" si="138"/>
        <v>35167693</v>
      </c>
      <c r="M432" s="203">
        <f t="shared" si="138"/>
        <v>300358712</v>
      </c>
      <c r="N432" s="203">
        <f t="shared" si="138"/>
        <v>55717273</v>
      </c>
      <c r="O432" s="203">
        <f t="shared" si="138"/>
        <v>114305618</v>
      </c>
      <c r="P432" s="237">
        <v>0.23740675222371063</v>
      </c>
    </row>
    <row r="433" spans="1:16" s="8" customFormat="1">
      <c r="A433" s="108"/>
      <c r="B433" s="150"/>
      <c r="C433" s="70" t="s">
        <v>907</v>
      </c>
      <c r="D433" s="33" t="s">
        <v>1936</v>
      </c>
      <c r="E433" s="34" t="s">
        <v>908</v>
      </c>
      <c r="F433" s="35">
        <v>37195000</v>
      </c>
      <c r="G433" s="210">
        <v>0</v>
      </c>
      <c r="H433" s="210">
        <v>22805000</v>
      </c>
      <c r="I433" s="210">
        <v>60000000</v>
      </c>
      <c r="J433" s="210">
        <v>0</v>
      </c>
      <c r="K433" s="210">
        <v>0</v>
      </c>
      <c r="L433" s="210">
        <v>0</v>
      </c>
      <c r="M433" s="210">
        <v>0</v>
      </c>
      <c r="N433" s="210">
        <v>0</v>
      </c>
      <c r="O433" s="210">
        <v>0</v>
      </c>
      <c r="P433" s="242">
        <v>0.23740675222371063</v>
      </c>
    </row>
    <row r="434" spans="1:16" s="8" customFormat="1">
      <c r="A434" s="108"/>
      <c r="B434" s="150"/>
      <c r="C434" s="70" t="s">
        <v>907</v>
      </c>
      <c r="D434" s="33" t="s">
        <v>1937</v>
      </c>
      <c r="E434" s="34" t="s">
        <v>909</v>
      </c>
      <c r="F434" s="35">
        <v>77817000</v>
      </c>
      <c r="G434" s="210">
        <v>0</v>
      </c>
      <c r="H434" s="210">
        <v>0</v>
      </c>
      <c r="I434" s="210">
        <v>77817000</v>
      </c>
      <c r="J434" s="210">
        <v>0</v>
      </c>
      <c r="K434" s="210">
        <v>0</v>
      </c>
      <c r="L434" s="210">
        <v>0</v>
      </c>
      <c r="M434" s="210">
        <v>0</v>
      </c>
      <c r="N434" s="210">
        <v>0</v>
      </c>
      <c r="O434" s="210">
        <v>0</v>
      </c>
      <c r="P434" s="242">
        <v>0.23740675222371063</v>
      </c>
    </row>
    <row r="435" spans="1:16" s="8" customFormat="1">
      <c r="A435" s="108"/>
      <c r="B435" s="150"/>
      <c r="C435" s="70" t="s">
        <v>907</v>
      </c>
      <c r="D435" s="33" t="s">
        <v>1938</v>
      </c>
      <c r="E435" s="34" t="s">
        <v>910</v>
      </c>
      <c r="F435" s="35">
        <v>39783000</v>
      </c>
      <c r="G435" s="210">
        <v>0</v>
      </c>
      <c r="H435" s="210">
        <v>0</v>
      </c>
      <c r="I435" s="210">
        <v>39783000</v>
      </c>
      <c r="J435" s="210">
        <v>0</v>
      </c>
      <c r="K435" s="210">
        <v>34599204</v>
      </c>
      <c r="L435" s="210">
        <v>0</v>
      </c>
      <c r="M435" s="210">
        <v>34599204</v>
      </c>
      <c r="N435" s="210">
        <v>0</v>
      </c>
      <c r="O435" s="210">
        <v>0</v>
      </c>
      <c r="P435" s="242">
        <v>0.23740675222371063</v>
      </c>
    </row>
    <row r="436" spans="1:16" s="8" customFormat="1">
      <c r="A436" s="108"/>
      <c r="B436" s="150"/>
      <c r="C436" s="70" t="s">
        <v>907</v>
      </c>
      <c r="D436" s="33" t="s">
        <v>1939</v>
      </c>
      <c r="E436" s="34" t="s">
        <v>911</v>
      </c>
      <c r="F436" s="35">
        <v>19501000</v>
      </c>
      <c r="G436" s="210">
        <v>0</v>
      </c>
      <c r="H436" s="210">
        <v>0</v>
      </c>
      <c r="I436" s="210">
        <v>19501000</v>
      </c>
      <c r="J436" s="210">
        <v>-111860</v>
      </c>
      <c r="K436" s="210">
        <v>19389140</v>
      </c>
      <c r="L436" s="210">
        <v>19389140</v>
      </c>
      <c r="M436" s="210">
        <v>19389140</v>
      </c>
      <c r="N436" s="210">
        <v>0</v>
      </c>
      <c r="O436" s="210">
        <v>0</v>
      </c>
      <c r="P436" s="242">
        <v>0.23740675222371063</v>
      </c>
    </row>
    <row r="437" spans="1:16" s="8" customFormat="1">
      <c r="A437" s="108"/>
      <c r="B437" s="150"/>
      <c r="C437" s="70" t="s">
        <v>907</v>
      </c>
      <c r="D437" s="33" t="s">
        <v>1940</v>
      </c>
      <c r="E437" s="34" t="s">
        <v>912</v>
      </c>
      <c r="F437" s="35">
        <v>14366000</v>
      </c>
      <c r="G437" s="210">
        <v>0</v>
      </c>
      <c r="H437" s="210">
        <v>0</v>
      </c>
      <c r="I437" s="210">
        <v>14366000</v>
      </c>
      <c r="J437" s="210">
        <v>0</v>
      </c>
      <c r="K437" s="210">
        <v>14366000</v>
      </c>
      <c r="L437" s="210">
        <v>0</v>
      </c>
      <c r="M437" s="210">
        <v>14366000</v>
      </c>
      <c r="N437" s="210">
        <v>0</v>
      </c>
      <c r="O437" s="210">
        <v>0</v>
      </c>
      <c r="P437" s="242">
        <v>0.23740675222371063</v>
      </c>
    </row>
    <row r="438" spans="1:16" s="8" customFormat="1">
      <c r="A438" s="108"/>
      <c r="B438" s="150"/>
      <c r="C438" s="70" t="s">
        <v>907</v>
      </c>
      <c r="D438" s="33" t="s">
        <v>1942</v>
      </c>
      <c r="E438" s="34" t="s">
        <v>913</v>
      </c>
      <c r="F438" s="35">
        <v>26724000</v>
      </c>
      <c r="G438" s="210">
        <v>0</v>
      </c>
      <c r="H438" s="210">
        <v>0</v>
      </c>
      <c r="I438" s="210">
        <v>26724000</v>
      </c>
      <c r="J438" s="210">
        <v>0</v>
      </c>
      <c r="K438" s="210">
        <v>26724000</v>
      </c>
      <c r="L438" s="210">
        <v>0</v>
      </c>
      <c r="M438" s="210">
        <v>0</v>
      </c>
      <c r="N438" s="210">
        <v>0</v>
      </c>
      <c r="O438" s="210">
        <v>0</v>
      </c>
      <c r="P438" s="242">
        <v>0.23740675222371063</v>
      </c>
    </row>
    <row r="439" spans="1:16" s="8" customFormat="1">
      <c r="A439" s="108"/>
      <c r="B439" s="150"/>
      <c r="C439" s="70" t="s">
        <v>907</v>
      </c>
      <c r="D439" s="33" t="s">
        <v>1913</v>
      </c>
      <c r="E439" s="34" t="s">
        <v>914</v>
      </c>
      <c r="F439" s="35">
        <v>7500000</v>
      </c>
      <c r="G439" s="210">
        <v>0</v>
      </c>
      <c r="H439" s="210">
        <v>3000000</v>
      </c>
      <c r="I439" s="210">
        <v>10500000</v>
      </c>
      <c r="J439" s="210">
        <v>0</v>
      </c>
      <c r="K439" s="210">
        <v>7075200</v>
      </c>
      <c r="L439" s="210">
        <v>0</v>
      </c>
      <c r="M439" s="210">
        <v>7075200</v>
      </c>
      <c r="N439" s="210">
        <v>0</v>
      </c>
      <c r="O439" s="210">
        <v>7075200</v>
      </c>
      <c r="P439" s="242">
        <v>0.23740675222371063</v>
      </c>
    </row>
    <row r="440" spans="1:16" s="8" customFormat="1">
      <c r="A440" s="108"/>
      <c r="B440" s="150"/>
      <c r="C440" s="70" t="s">
        <v>907</v>
      </c>
      <c r="D440" s="33" t="s">
        <v>1943</v>
      </c>
      <c r="E440" s="34" t="s">
        <v>763</v>
      </c>
      <c r="F440" s="35">
        <v>56823000</v>
      </c>
      <c r="G440" s="210">
        <v>0</v>
      </c>
      <c r="H440" s="210">
        <v>0</v>
      </c>
      <c r="I440" s="210">
        <v>56823000</v>
      </c>
      <c r="J440" s="210">
        <v>-133000</v>
      </c>
      <c r="K440" s="210">
        <v>2000000</v>
      </c>
      <c r="L440" s="210">
        <v>0</v>
      </c>
      <c r="M440" s="210">
        <v>2000000</v>
      </c>
      <c r="N440" s="210">
        <v>0</v>
      </c>
      <c r="O440" s="210">
        <v>2000000</v>
      </c>
      <c r="P440" s="242">
        <v>0.23740675222371063</v>
      </c>
    </row>
    <row r="441" spans="1:16" s="8" customFormat="1">
      <c r="A441" s="108"/>
      <c r="B441" s="150"/>
      <c r="C441" s="70" t="s">
        <v>907</v>
      </c>
      <c r="D441" s="33" t="s">
        <v>1951</v>
      </c>
      <c r="E441" s="34" t="s">
        <v>915</v>
      </c>
      <c r="F441" s="35">
        <v>74130000</v>
      </c>
      <c r="G441" s="210">
        <v>0</v>
      </c>
      <c r="H441" s="210">
        <v>0</v>
      </c>
      <c r="I441" s="210">
        <v>74130000</v>
      </c>
      <c r="J441" s="210">
        <v>22808652</v>
      </c>
      <c r="K441" s="210">
        <v>27630197</v>
      </c>
      <c r="L441" s="210">
        <v>15778553</v>
      </c>
      <c r="M441" s="210">
        <v>20600098</v>
      </c>
      <c r="N441" s="210">
        <v>-182447</v>
      </c>
      <c r="O441" s="210">
        <v>4639098</v>
      </c>
      <c r="P441" s="242">
        <v>0.23740675222371063</v>
      </c>
    </row>
    <row r="442" spans="1:16" s="8" customFormat="1">
      <c r="A442" s="108"/>
      <c r="B442" s="150"/>
      <c r="C442" s="70" t="s">
        <v>907</v>
      </c>
      <c r="D442" s="33" t="s">
        <v>1952</v>
      </c>
      <c r="E442" s="34" t="s">
        <v>916</v>
      </c>
      <c r="F442" s="35">
        <v>1146000</v>
      </c>
      <c r="G442" s="210">
        <v>0</v>
      </c>
      <c r="H442" s="210">
        <v>4224000</v>
      </c>
      <c r="I442" s="210">
        <v>5370000</v>
      </c>
      <c r="J442" s="210">
        <v>0</v>
      </c>
      <c r="K442" s="210">
        <v>5370000</v>
      </c>
      <c r="L442" s="210">
        <v>0</v>
      </c>
      <c r="M442" s="210">
        <v>5370000</v>
      </c>
      <c r="N442" s="210">
        <v>0</v>
      </c>
      <c r="O442" s="210">
        <v>5370000</v>
      </c>
      <c r="P442" s="242">
        <v>0.23740675222371063</v>
      </c>
    </row>
    <row r="443" spans="1:16" s="8" customFormat="1">
      <c r="A443" s="108"/>
      <c r="B443" s="150"/>
      <c r="C443" s="70" t="s">
        <v>907</v>
      </c>
      <c r="D443" s="33" t="s">
        <v>1953</v>
      </c>
      <c r="E443" s="34" t="s">
        <v>917</v>
      </c>
      <c r="F443" s="35">
        <v>66878000</v>
      </c>
      <c r="G443" s="210">
        <v>0</v>
      </c>
      <c r="H443" s="210">
        <v>69433067</v>
      </c>
      <c r="I443" s="210">
        <v>136311067</v>
      </c>
      <c r="J443" s="210">
        <v>0</v>
      </c>
      <c r="K443" s="210">
        <v>63787500</v>
      </c>
      <c r="L443" s="210">
        <v>0</v>
      </c>
      <c r="M443" s="210">
        <v>63787500</v>
      </c>
      <c r="N443" s="210">
        <v>55899720</v>
      </c>
      <c r="O443" s="210">
        <v>55899720</v>
      </c>
      <c r="P443" s="242">
        <v>0.23740675222371063</v>
      </c>
    </row>
    <row r="444" spans="1:16" s="8" customFormat="1">
      <c r="A444" s="108"/>
      <c r="B444" s="150"/>
      <c r="C444" s="70" t="s">
        <v>907</v>
      </c>
      <c r="D444" s="33" t="s">
        <v>1954</v>
      </c>
      <c r="E444" s="34" t="s">
        <v>918</v>
      </c>
      <c r="F444" s="35">
        <v>30194000</v>
      </c>
      <c r="G444" s="210">
        <v>0</v>
      </c>
      <c r="H444" s="210">
        <v>103000000</v>
      </c>
      <c r="I444" s="210">
        <v>133194000</v>
      </c>
      <c r="J444" s="210">
        <v>0</v>
      </c>
      <c r="K444" s="210">
        <v>133171570</v>
      </c>
      <c r="L444" s="210">
        <v>0</v>
      </c>
      <c r="M444" s="210">
        <v>133171570</v>
      </c>
      <c r="N444" s="210">
        <v>0</v>
      </c>
      <c r="O444" s="210">
        <v>39321600</v>
      </c>
      <c r="P444" s="242">
        <v>0.23740675222371063</v>
      </c>
    </row>
    <row r="445" spans="1:16" s="2" customFormat="1">
      <c r="A445" s="108"/>
      <c r="B445" s="150"/>
      <c r="C445" s="70" t="s">
        <v>907</v>
      </c>
      <c r="D445" s="33" t="s">
        <v>1955</v>
      </c>
      <c r="E445" s="34" t="s">
        <v>919</v>
      </c>
      <c r="F445" s="35">
        <v>5518000</v>
      </c>
      <c r="G445" s="210">
        <v>0</v>
      </c>
      <c r="H445" s="210">
        <v>0</v>
      </c>
      <c r="I445" s="210">
        <v>5518000</v>
      </c>
      <c r="J445" s="210">
        <v>0</v>
      </c>
      <c r="K445" s="210">
        <v>0</v>
      </c>
      <c r="L445" s="210">
        <v>0</v>
      </c>
      <c r="M445" s="210">
        <v>0</v>
      </c>
      <c r="N445" s="210">
        <v>0</v>
      </c>
      <c r="O445" s="210">
        <v>0</v>
      </c>
      <c r="P445" s="242">
        <v>0.23740675222371063</v>
      </c>
    </row>
    <row r="446" spans="1:16" s="7" customFormat="1">
      <c r="A446" s="134" t="s">
        <v>920</v>
      </c>
      <c r="B446" s="123" t="s">
        <v>1531</v>
      </c>
      <c r="C446" s="124" t="s">
        <v>921</v>
      </c>
      <c r="D446" s="67"/>
      <c r="E446" s="25" t="s">
        <v>922</v>
      </c>
      <c r="F446" s="68">
        <f>+F447</f>
        <v>4725153000</v>
      </c>
      <c r="G446" s="68">
        <f t="shared" ref="G446:O447" si="139">+G447</f>
        <v>0</v>
      </c>
      <c r="H446" s="68">
        <f t="shared" si="139"/>
        <v>0</v>
      </c>
      <c r="I446" s="68">
        <f t="shared" si="139"/>
        <v>4725153000</v>
      </c>
      <c r="J446" s="68">
        <f t="shared" si="139"/>
        <v>0</v>
      </c>
      <c r="K446" s="68">
        <f t="shared" si="139"/>
        <v>2362227600</v>
      </c>
      <c r="L446" s="68">
        <f t="shared" si="139"/>
        <v>0</v>
      </c>
      <c r="M446" s="68">
        <f t="shared" si="139"/>
        <v>2362227600</v>
      </c>
      <c r="N446" s="68">
        <f t="shared" si="139"/>
        <v>0</v>
      </c>
      <c r="O446" s="68">
        <f t="shared" si="139"/>
        <v>0</v>
      </c>
      <c r="P446" s="229">
        <v>0.23740675222371063</v>
      </c>
    </row>
    <row r="447" spans="1:16" s="8" customFormat="1">
      <c r="A447" s="107"/>
      <c r="B447" s="149" t="s">
        <v>1815</v>
      </c>
      <c r="C447" s="18" t="s">
        <v>923</v>
      </c>
      <c r="D447" s="30"/>
      <c r="E447" s="17" t="s">
        <v>924</v>
      </c>
      <c r="F447" s="203">
        <f>+F448</f>
        <v>4725153000</v>
      </c>
      <c r="G447" s="203">
        <f t="shared" si="139"/>
        <v>0</v>
      </c>
      <c r="H447" s="203">
        <f t="shared" si="139"/>
        <v>0</v>
      </c>
      <c r="I447" s="203">
        <f t="shared" si="139"/>
        <v>4725153000</v>
      </c>
      <c r="J447" s="203">
        <f t="shared" si="139"/>
        <v>0</v>
      </c>
      <c r="K447" s="203">
        <f t="shared" si="139"/>
        <v>2362227600</v>
      </c>
      <c r="L447" s="203">
        <f t="shared" si="139"/>
        <v>0</v>
      </c>
      <c r="M447" s="203">
        <f t="shared" si="139"/>
        <v>2362227600</v>
      </c>
      <c r="N447" s="203">
        <f t="shared" si="139"/>
        <v>0</v>
      </c>
      <c r="O447" s="203">
        <f t="shared" si="139"/>
        <v>0</v>
      </c>
      <c r="P447" s="237">
        <v>0.23740675222371063</v>
      </c>
    </row>
    <row r="448" spans="1:16" s="2" customFormat="1">
      <c r="A448" s="108"/>
      <c r="B448" s="150"/>
      <c r="C448" s="70" t="s">
        <v>923</v>
      </c>
      <c r="D448" s="33" t="s">
        <v>1943</v>
      </c>
      <c r="E448" s="34" t="s">
        <v>763</v>
      </c>
      <c r="F448" s="210">
        <v>4725153000</v>
      </c>
      <c r="G448" s="210">
        <v>0</v>
      </c>
      <c r="H448" s="210">
        <v>0</v>
      </c>
      <c r="I448" s="210">
        <v>4725153000</v>
      </c>
      <c r="J448" s="210">
        <v>0</v>
      </c>
      <c r="K448" s="210">
        <v>2362227600</v>
      </c>
      <c r="L448" s="210">
        <v>0</v>
      </c>
      <c r="M448" s="210">
        <v>2362227600</v>
      </c>
      <c r="N448" s="210">
        <v>0</v>
      </c>
      <c r="O448" s="210">
        <v>0</v>
      </c>
      <c r="P448" s="242">
        <v>0.23740675222371063</v>
      </c>
    </row>
    <row r="449" spans="1:16" s="5" customFormat="1">
      <c r="A449" s="136" t="s">
        <v>925</v>
      </c>
      <c r="B449" s="125" t="s">
        <v>1816</v>
      </c>
      <c r="C449" s="126" t="s">
        <v>926</v>
      </c>
      <c r="D449" s="29"/>
      <c r="E449" s="19" t="s">
        <v>927</v>
      </c>
      <c r="F449" s="20">
        <f>F450+F451+F461</f>
        <v>4106648000</v>
      </c>
      <c r="G449" s="20">
        <f t="shared" ref="G449:O449" si="140">G450+G451+G461</f>
        <v>0</v>
      </c>
      <c r="H449" s="20">
        <f t="shared" si="140"/>
        <v>916867712</v>
      </c>
      <c r="I449" s="20">
        <f t="shared" si="140"/>
        <v>5023515712</v>
      </c>
      <c r="J449" s="20">
        <f t="shared" si="140"/>
        <v>60126060</v>
      </c>
      <c r="K449" s="20">
        <f t="shared" si="140"/>
        <v>4090359862</v>
      </c>
      <c r="L449" s="20">
        <f t="shared" si="140"/>
        <v>45603469</v>
      </c>
      <c r="M449" s="20">
        <f t="shared" si="140"/>
        <v>4017881568</v>
      </c>
      <c r="N449" s="20">
        <f t="shared" si="140"/>
        <v>35958463</v>
      </c>
      <c r="O449" s="20">
        <f t="shared" si="140"/>
        <v>1285946984</v>
      </c>
      <c r="P449" s="243">
        <v>0.23740675222371063</v>
      </c>
    </row>
    <row r="450" spans="1:16" s="5" customFormat="1">
      <c r="A450" s="107" t="s">
        <v>928</v>
      </c>
      <c r="B450" s="149" t="s">
        <v>1531</v>
      </c>
      <c r="C450" s="18" t="s">
        <v>929</v>
      </c>
      <c r="D450" s="30"/>
      <c r="E450" s="219" t="s">
        <v>930</v>
      </c>
      <c r="F450" s="16">
        <v>0</v>
      </c>
      <c r="G450" s="203">
        <v>0</v>
      </c>
      <c r="H450" s="203">
        <v>0</v>
      </c>
      <c r="I450" s="203">
        <v>0</v>
      </c>
      <c r="J450" s="203">
        <v>0</v>
      </c>
      <c r="K450" s="203">
        <v>0</v>
      </c>
      <c r="L450" s="203">
        <v>0</v>
      </c>
      <c r="M450" s="203">
        <v>0</v>
      </c>
      <c r="N450" s="203">
        <v>0</v>
      </c>
      <c r="O450" s="203">
        <v>0</v>
      </c>
      <c r="P450" s="237">
        <v>0.23740675222371063</v>
      </c>
    </row>
    <row r="451" spans="1:16" s="8" customFormat="1">
      <c r="A451" s="107" t="s">
        <v>931</v>
      </c>
      <c r="B451" s="149" t="s">
        <v>1817</v>
      </c>
      <c r="C451" s="18" t="s">
        <v>932</v>
      </c>
      <c r="D451" s="30"/>
      <c r="E451" s="17" t="s">
        <v>933</v>
      </c>
      <c r="F451" s="16">
        <f>SUM(F452:F460)</f>
        <v>3032038000</v>
      </c>
      <c r="G451" s="203">
        <f t="shared" ref="G451:O451" si="141">SUM(G452:G460)</f>
        <v>0</v>
      </c>
      <c r="H451" s="203">
        <f t="shared" si="141"/>
        <v>1052889712</v>
      </c>
      <c r="I451" s="203">
        <f t="shared" si="141"/>
        <v>4084927712</v>
      </c>
      <c r="J451" s="203">
        <f t="shared" si="141"/>
        <v>0</v>
      </c>
      <c r="K451" s="203">
        <f t="shared" si="141"/>
        <v>3757627061</v>
      </c>
      <c r="L451" s="203">
        <f t="shared" si="141"/>
        <v>31342991</v>
      </c>
      <c r="M451" s="203">
        <f t="shared" si="141"/>
        <v>3739752959</v>
      </c>
      <c r="N451" s="203">
        <f t="shared" si="141"/>
        <v>25599745</v>
      </c>
      <c r="O451" s="203">
        <f t="shared" si="141"/>
        <v>1015770135</v>
      </c>
      <c r="P451" s="237">
        <v>0.23740675222371063</v>
      </c>
    </row>
    <row r="452" spans="1:16" s="8" customFormat="1">
      <c r="A452" s="108"/>
      <c r="B452" s="150"/>
      <c r="C452" s="70" t="s">
        <v>932</v>
      </c>
      <c r="D452" s="33" t="s">
        <v>1936</v>
      </c>
      <c r="E452" s="34" t="s">
        <v>908</v>
      </c>
      <c r="F452" s="35">
        <v>550624000</v>
      </c>
      <c r="G452" s="210">
        <v>0</v>
      </c>
      <c r="H452" s="210">
        <v>266217877</v>
      </c>
      <c r="I452" s="210">
        <v>816841877</v>
      </c>
      <c r="J452" s="210">
        <v>0</v>
      </c>
      <c r="K452" s="210">
        <v>816841877</v>
      </c>
      <c r="L452" s="210">
        <v>0</v>
      </c>
      <c r="M452" s="210">
        <v>816765985</v>
      </c>
      <c r="N452" s="210">
        <v>0</v>
      </c>
      <c r="O452" s="210">
        <v>133559531</v>
      </c>
      <c r="P452" s="242">
        <v>0.23740675222371063</v>
      </c>
    </row>
    <row r="453" spans="1:16" s="8" customFormat="1">
      <c r="A453" s="108"/>
      <c r="B453" s="150"/>
      <c r="C453" s="70" t="s">
        <v>932</v>
      </c>
      <c r="D453" s="33" t="s">
        <v>1937</v>
      </c>
      <c r="E453" s="34" t="s">
        <v>909</v>
      </c>
      <c r="F453" s="35">
        <v>476371000</v>
      </c>
      <c r="G453" s="210">
        <v>0</v>
      </c>
      <c r="H453" s="210">
        <v>294935631</v>
      </c>
      <c r="I453" s="210">
        <v>771306631</v>
      </c>
      <c r="J453" s="210">
        <v>0</v>
      </c>
      <c r="K453" s="210">
        <v>755453455</v>
      </c>
      <c r="L453" s="210">
        <v>0</v>
      </c>
      <c r="M453" s="210">
        <v>755301304</v>
      </c>
      <c r="N453" s="210">
        <v>0</v>
      </c>
      <c r="O453" s="210">
        <v>179237859</v>
      </c>
      <c r="P453" s="242">
        <v>0.23740675222371063</v>
      </c>
    </row>
    <row r="454" spans="1:16" s="8" customFormat="1">
      <c r="A454" s="108"/>
      <c r="B454" s="150"/>
      <c r="C454" s="70" t="s">
        <v>932</v>
      </c>
      <c r="D454" s="33" t="s">
        <v>1938</v>
      </c>
      <c r="E454" s="34" t="s">
        <v>910</v>
      </c>
      <c r="F454" s="35">
        <v>1063195000</v>
      </c>
      <c r="G454" s="210">
        <v>0</v>
      </c>
      <c r="H454" s="210">
        <v>300441145</v>
      </c>
      <c r="I454" s="210">
        <v>1363636145</v>
      </c>
      <c r="J454" s="210">
        <v>0</v>
      </c>
      <c r="K454" s="210">
        <v>1321685182</v>
      </c>
      <c r="L454" s="210">
        <v>0</v>
      </c>
      <c r="M454" s="210">
        <v>1305640183</v>
      </c>
      <c r="N454" s="210">
        <v>0</v>
      </c>
      <c r="O454" s="210">
        <v>353921756</v>
      </c>
      <c r="P454" s="242">
        <v>0.23740675222371063</v>
      </c>
    </row>
    <row r="455" spans="1:16" s="8" customFormat="1">
      <c r="A455" s="108"/>
      <c r="B455" s="150"/>
      <c r="C455" s="70" t="s">
        <v>932</v>
      </c>
      <c r="D455" s="33" t="s">
        <v>1939</v>
      </c>
      <c r="E455" s="34" t="s">
        <v>911</v>
      </c>
      <c r="F455" s="35">
        <v>160000000</v>
      </c>
      <c r="G455" s="210">
        <v>0</v>
      </c>
      <c r="H455" s="210">
        <v>409374</v>
      </c>
      <c r="I455" s="210">
        <v>160409374</v>
      </c>
      <c r="J455" s="210">
        <v>0</v>
      </c>
      <c r="K455" s="210">
        <v>159433236</v>
      </c>
      <c r="L455" s="210">
        <v>0</v>
      </c>
      <c r="M455" s="210">
        <v>159415605</v>
      </c>
      <c r="N455" s="210">
        <v>0</v>
      </c>
      <c r="O455" s="210">
        <v>112821695</v>
      </c>
      <c r="P455" s="242">
        <v>0.23740675222371063</v>
      </c>
    </row>
    <row r="456" spans="1:16" s="8" customFormat="1">
      <c r="A456" s="108"/>
      <c r="B456" s="150"/>
      <c r="C456" s="70" t="s">
        <v>932</v>
      </c>
      <c r="D456" s="33" t="s">
        <v>1940</v>
      </c>
      <c r="E456" s="34" t="s">
        <v>912</v>
      </c>
      <c r="F456" s="35">
        <v>115000000</v>
      </c>
      <c r="G456" s="210">
        <v>0</v>
      </c>
      <c r="H456" s="210">
        <v>219266</v>
      </c>
      <c r="I456" s="210">
        <v>115219266</v>
      </c>
      <c r="J456" s="210">
        <v>0</v>
      </c>
      <c r="K456" s="210">
        <v>114430105</v>
      </c>
      <c r="L456" s="210">
        <v>0</v>
      </c>
      <c r="M456" s="210">
        <v>114416905</v>
      </c>
      <c r="N456" s="210">
        <v>0</v>
      </c>
      <c r="O456" s="210">
        <v>6647953</v>
      </c>
      <c r="P456" s="242">
        <v>0.23740675222371063</v>
      </c>
    </row>
    <row r="457" spans="1:16" s="8" customFormat="1">
      <c r="A457" s="108"/>
      <c r="B457" s="150"/>
      <c r="C457" s="70" t="s">
        <v>932</v>
      </c>
      <c r="D457" s="33" t="s">
        <v>1942</v>
      </c>
      <c r="E457" s="34" t="s">
        <v>913</v>
      </c>
      <c r="F457" s="35">
        <v>358046000</v>
      </c>
      <c r="G457" s="210">
        <v>0</v>
      </c>
      <c r="H457" s="210">
        <v>45169280</v>
      </c>
      <c r="I457" s="210">
        <v>403215280</v>
      </c>
      <c r="J457" s="210">
        <v>0</v>
      </c>
      <c r="K457" s="210">
        <v>394865311</v>
      </c>
      <c r="L457" s="210">
        <v>0</v>
      </c>
      <c r="M457" s="210">
        <v>393307985</v>
      </c>
      <c r="N457" s="210">
        <v>0</v>
      </c>
      <c r="O457" s="210">
        <v>142818995</v>
      </c>
      <c r="P457" s="242">
        <v>0.23740675222371063</v>
      </c>
    </row>
    <row r="458" spans="1:16" s="8" customFormat="1">
      <c r="A458" s="108"/>
      <c r="B458" s="150"/>
      <c r="C458" s="70" t="s">
        <v>932</v>
      </c>
      <c r="D458" s="33" t="s">
        <v>1913</v>
      </c>
      <c r="E458" s="34" t="s">
        <v>914</v>
      </c>
      <c r="F458" s="35">
        <v>78004000</v>
      </c>
      <c r="G458" s="210">
        <v>0</v>
      </c>
      <c r="H458" s="210">
        <v>0</v>
      </c>
      <c r="I458" s="210">
        <v>78004000</v>
      </c>
      <c r="J458" s="210">
        <v>0</v>
      </c>
      <c r="K458" s="210">
        <v>0</v>
      </c>
      <c r="L458" s="210">
        <v>0</v>
      </c>
      <c r="M458" s="210">
        <v>0</v>
      </c>
      <c r="N458" s="210">
        <v>0</v>
      </c>
      <c r="O458" s="210">
        <v>0</v>
      </c>
      <c r="P458" s="242">
        <v>0.23740675222371063</v>
      </c>
    </row>
    <row r="459" spans="1:16" s="8" customFormat="1">
      <c r="A459" s="108"/>
      <c r="B459" s="150"/>
      <c r="C459" s="70" t="s">
        <v>932</v>
      </c>
      <c r="D459" s="33" t="s">
        <v>1943</v>
      </c>
      <c r="E459" s="34" t="s">
        <v>763</v>
      </c>
      <c r="F459" s="35">
        <v>31355999.999999996</v>
      </c>
      <c r="G459" s="210">
        <v>0</v>
      </c>
      <c r="H459" s="210">
        <v>163023</v>
      </c>
      <c r="I459" s="210">
        <v>31519022.999999996</v>
      </c>
      <c r="J459" s="210">
        <v>0</v>
      </c>
      <c r="K459" s="210">
        <v>31518917</v>
      </c>
      <c r="L459" s="210">
        <v>31342991</v>
      </c>
      <c r="M459" s="210">
        <v>31506014</v>
      </c>
      <c r="N459" s="210">
        <v>0</v>
      </c>
      <c r="O459" s="210">
        <v>163023</v>
      </c>
      <c r="P459" s="242">
        <v>0.23740675222371063</v>
      </c>
    </row>
    <row r="460" spans="1:16" s="5" customFormat="1">
      <c r="A460" s="108"/>
      <c r="B460" s="150"/>
      <c r="C460" s="70" t="s">
        <v>932</v>
      </c>
      <c r="D460" s="33" t="s">
        <v>1955</v>
      </c>
      <c r="E460" s="34" t="s">
        <v>919</v>
      </c>
      <c r="F460" s="35">
        <v>199442000</v>
      </c>
      <c r="G460" s="210">
        <v>0</v>
      </c>
      <c r="H460" s="210">
        <v>145334116</v>
      </c>
      <c r="I460" s="210">
        <v>344776116</v>
      </c>
      <c r="J460" s="210">
        <v>0</v>
      </c>
      <c r="K460" s="210">
        <v>163398978</v>
      </c>
      <c r="L460" s="210">
        <v>0</v>
      </c>
      <c r="M460" s="210">
        <v>163398978</v>
      </c>
      <c r="N460" s="210">
        <v>25599745</v>
      </c>
      <c r="O460" s="210">
        <v>86599323</v>
      </c>
      <c r="P460" s="242">
        <v>0.23740675222371063</v>
      </c>
    </row>
    <row r="461" spans="1:16" s="8" customFormat="1">
      <c r="A461" s="107" t="s">
        <v>934</v>
      </c>
      <c r="B461" s="149" t="s">
        <v>1818</v>
      </c>
      <c r="C461" s="18" t="s">
        <v>935</v>
      </c>
      <c r="D461" s="30"/>
      <c r="E461" s="17" t="s">
        <v>936</v>
      </c>
      <c r="F461" s="16">
        <f>SUM(F462:F476)</f>
        <v>1074610000</v>
      </c>
      <c r="G461" s="16">
        <f t="shared" ref="G461:N461" si="142">SUM(G462:G476)</f>
        <v>0</v>
      </c>
      <c r="H461" s="16">
        <f t="shared" si="142"/>
        <v>-136022000</v>
      </c>
      <c r="I461" s="16">
        <f t="shared" si="142"/>
        <v>938588000</v>
      </c>
      <c r="J461" s="16">
        <f t="shared" si="142"/>
        <v>60126060</v>
      </c>
      <c r="K461" s="16">
        <f t="shared" si="142"/>
        <v>332732801</v>
      </c>
      <c r="L461" s="16">
        <f t="shared" si="142"/>
        <v>14260478</v>
      </c>
      <c r="M461" s="16">
        <f t="shared" si="142"/>
        <v>278128609</v>
      </c>
      <c r="N461" s="16">
        <f t="shared" si="142"/>
        <v>10358718</v>
      </c>
      <c r="O461" s="16">
        <f>SUM(O462:O476)</f>
        <v>270176849</v>
      </c>
      <c r="P461" s="237">
        <v>0.23740675222371063</v>
      </c>
    </row>
    <row r="462" spans="1:16" s="8" customFormat="1">
      <c r="A462" s="108"/>
      <c r="B462" s="150"/>
      <c r="C462" s="70" t="s">
        <v>935</v>
      </c>
      <c r="D462" s="33" t="s">
        <v>1936</v>
      </c>
      <c r="E462" s="34" t="s">
        <v>908</v>
      </c>
      <c r="F462" s="35">
        <v>165763000</v>
      </c>
      <c r="G462" s="210">
        <v>0</v>
      </c>
      <c r="H462" s="210">
        <v>-20000000</v>
      </c>
      <c r="I462" s="210">
        <v>145763000</v>
      </c>
      <c r="J462" s="210">
        <v>9557309</v>
      </c>
      <c r="K462" s="210">
        <v>83094241</v>
      </c>
      <c r="L462" s="210">
        <v>3427579</v>
      </c>
      <c r="M462" s="210">
        <v>76964511</v>
      </c>
      <c r="N462" s="210">
        <v>4163159</v>
      </c>
      <c r="O462" s="210">
        <v>73650091</v>
      </c>
      <c r="P462" s="242">
        <v>0.23740675222371063</v>
      </c>
    </row>
    <row r="463" spans="1:16" s="8" customFormat="1">
      <c r="A463" s="108"/>
      <c r="B463" s="150"/>
      <c r="C463" s="70" t="s">
        <v>935</v>
      </c>
      <c r="D463" s="33" t="s">
        <v>1937</v>
      </c>
      <c r="E463" s="34" t="s">
        <v>909</v>
      </c>
      <c r="F463" s="35">
        <v>165578000</v>
      </c>
      <c r="G463" s="210">
        <v>0</v>
      </c>
      <c r="H463" s="210">
        <v>0</v>
      </c>
      <c r="I463" s="210">
        <v>165578000</v>
      </c>
      <c r="J463" s="210">
        <v>4473390</v>
      </c>
      <c r="K463" s="210">
        <v>58507371</v>
      </c>
      <c r="L463" s="210">
        <v>912238</v>
      </c>
      <c r="M463" s="210">
        <v>48160589</v>
      </c>
      <c r="N463" s="210">
        <v>912238</v>
      </c>
      <c r="O463" s="210">
        <v>48160589</v>
      </c>
      <c r="P463" s="242">
        <v>0.23740675222371063</v>
      </c>
    </row>
    <row r="464" spans="1:16" s="8" customFormat="1">
      <c r="A464" s="108"/>
      <c r="B464" s="150"/>
      <c r="C464" s="70" t="s">
        <v>935</v>
      </c>
      <c r="D464" s="33" t="s">
        <v>1938</v>
      </c>
      <c r="E464" s="34" t="s">
        <v>910</v>
      </c>
      <c r="F464" s="35">
        <v>64562000</v>
      </c>
      <c r="G464" s="210">
        <v>0</v>
      </c>
      <c r="H464" s="210">
        <v>-2700000</v>
      </c>
      <c r="I464" s="210">
        <v>61862000</v>
      </c>
      <c r="J464" s="210">
        <v>15051550</v>
      </c>
      <c r="K464" s="210">
        <v>33612981</v>
      </c>
      <c r="L464" s="210">
        <v>9051550</v>
      </c>
      <c r="M464" s="210">
        <v>27612981</v>
      </c>
      <c r="N464" s="210">
        <v>4414210</v>
      </c>
      <c r="O464" s="210">
        <v>22975641</v>
      </c>
      <c r="P464" s="242">
        <v>0.23740675222371063</v>
      </c>
    </row>
    <row r="465" spans="1:16" s="8" customFormat="1">
      <c r="A465" s="108"/>
      <c r="B465" s="150"/>
      <c r="C465" s="70" t="s">
        <v>935</v>
      </c>
      <c r="D465" s="33" t="s">
        <v>1939</v>
      </c>
      <c r="E465" s="34" t="s">
        <v>911</v>
      </c>
      <c r="F465" s="35">
        <v>44031000</v>
      </c>
      <c r="G465" s="210">
        <v>0</v>
      </c>
      <c r="H465" s="210">
        <v>-8494000</v>
      </c>
      <c r="I465" s="210">
        <v>35537000</v>
      </c>
      <c r="J465" s="210">
        <v>10776000</v>
      </c>
      <c r="K465" s="210">
        <v>18378920</v>
      </c>
      <c r="L465" s="210">
        <v>0</v>
      </c>
      <c r="M465" s="210">
        <v>7602920</v>
      </c>
      <c r="N465" s="210">
        <v>0</v>
      </c>
      <c r="O465" s="210">
        <v>7602920</v>
      </c>
      <c r="P465" s="242">
        <v>0.23740675222371063</v>
      </c>
    </row>
    <row r="466" spans="1:16" s="8" customFormat="1">
      <c r="A466" s="108"/>
      <c r="B466" s="150"/>
      <c r="C466" s="70" t="s">
        <v>935</v>
      </c>
      <c r="D466" s="33" t="s">
        <v>1940</v>
      </c>
      <c r="E466" s="34" t="s">
        <v>912</v>
      </c>
      <c r="F466" s="35">
        <v>39717000</v>
      </c>
      <c r="G466" s="210">
        <v>0</v>
      </c>
      <c r="H466" s="210">
        <v>0</v>
      </c>
      <c r="I466" s="210">
        <v>39717000</v>
      </c>
      <c r="J466" s="210">
        <v>0</v>
      </c>
      <c r="K466" s="210">
        <v>2746397</v>
      </c>
      <c r="L466" s="210">
        <v>0</v>
      </c>
      <c r="M466" s="210">
        <v>2746397</v>
      </c>
      <c r="N466" s="210">
        <v>0</v>
      </c>
      <c r="O466" s="210">
        <v>2746397</v>
      </c>
      <c r="P466" s="242">
        <v>0.23740675222371063</v>
      </c>
    </row>
    <row r="467" spans="1:16" s="8" customFormat="1">
      <c r="A467" s="108"/>
      <c r="B467" s="150"/>
      <c r="C467" s="70" t="s">
        <v>935</v>
      </c>
      <c r="D467" s="33" t="s">
        <v>1942</v>
      </c>
      <c r="E467" s="34" t="s">
        <v>913</v>
      </c>
      <c r="F467" s="35">
        <v>48279000</v>
      </c>
      <c r="G467" s="210">
        <v>0</v>
      </c>
      <c r="H467" s="210">
        <v>0</v>
      </c>
      <c r="I467" s="210">
        <v>48279000</v>
      </c>
      <c r="J467" s="210">
        <v>0</v>
      </c>
      <c r="K467" s="210">
        <v>7639620</v>
      </c>
      <c r="L467" s="210">
        <v>0</v>
      </c>
      <c r="M467" s="210">
        <v>7639620</v>
      </c>
      <c r="N467" s="210">
        <v>0</v>
      </c>
      <c r="O467" s="210">
        <v>7639620</v>
      </c>
      <c r="P467" s="242">
        <v>0.23740675222371063</v>
      </c>
    </row>
    <row r="468" spans="1:16" s="8" customFormat="1">
      <c r="A468" s="108"/>
      <c r="B468" s="150"/>
      <c r="C468" s="70" t="s">
        <v>935</v>
      </c>
      <c r="D468" s="33" t="s">
        <v>1913</v>
      </c>
      <c r="E468" s="34" t="s">
        <v>914</v>
      </c>
      <c r="F468" s="35">
        <v>4420000</v>
      </c>
      <c r="G468" s="210">
        <v>0</v>
      </c>
      <c r="H468" s="210">
        <v>0</v>
      </c>
      <c r="I468" s="210">
        <v>4420000</v>
      </c>
      <c r="J468" s="210">
        <v>0</v>
      </c>
      <c r="K468" s="210">
        <v>0</v>
      </c>
      <c r="L468" s="210">
        <v>0</v>
      </c>
      <c r="M468" s="210">
        <v>0</v>
      </c>
      <c r="N468" s="210">
        <v>0</v>
      </c>
      <c r="O468" s="210">
        <v>0</v>
      </c>
      <c r="P468" s="242">
        <v>0.23740675222371063</v>
      </c>
    </row>
    <row r="469" spans="1:16" s="8" customFormat="1">
      <c r="A469" s="108"/>
      <c r="B469" s="150"/>
      <c r="C469" s="70" t="s">
        <v>935</v>
      </c>
      <c r="D469" s="33" t="s">
        <v>1943</v>
      </c>
      <c r="E469" s="34" t="s">
        <v>763</v>
      </c>
      <c r="F469" s="35">
        <v>144837000</v>
      </c>
      <c r="G469" s="210">
        <v>0</v>
      </c>
      <c r="H469" s="210">
        <v>0</v>
      </c>
      <c r="I469" s="210">
        <v>144837000</v>
      </c>
      <c r="J469" s="210">
        <v>380000</v>
      </c>
      <c r="K469" s="210">
        <v>15280000</v>
      </c>
      <c r="L469" s="210">
        <v>0</v>
      </c>
      <c r="M469" s="210">
        <v>13700000</v>
      </c>
      <c r="N469" s="210">
        <v>0</v>
      </c>
      <c r="O469" s="210">
        <v>13700000</v>
      </c>
      <c r="P469" s="242">
        <v>0.23740675222371063</v>
      </c>
    </row>
    <row r="470" spans="1:16" s="8" customFormat="1">
      <c r="A470" s="108"/>
      <c r="B470" s="150"/>
      <c r="C470" s="70" t="s">
        <v>935</v>
      </c>
      <c r="D470" s="33" t="s">
        <v>1951</v>
      </c>
      <c r="E470" s="34" t="s">
        <v>915</v>
      </c>
      <c r="F470" s="35">
        <v>212287000</v>
      </c>
      <c r="G470" s="210">
        <v>0</v>
      </c>
      <c r="H470" s="210">
        <v>-100000000</v>
      </c>
      <c r="I470" s="210">
        <v>112287000</v>
      </c>
      <c r="J470" s="210">
        <v>20513640</v>
      </c>
      <c r="K470" s="210">
        <v>83496480</v>
      </c>
      <c r="L470" s="210">
        <v>1494940</v>
      </c>
      <c r="M470" s="210">
        <v>64477780</v>
      </c>
      <c r="N470" s="210">
        <v>1494940</v>
      </c>
      <c r="O470" s="210">
        <v>64477780</v>
      </c>
      <c r="P470" s="242">
        <v>0.23740675222371063</v>
      </c>
    </row>
    <row r="471" spans="1:16" s="8" customFormat="1">
      <c r="A471" s="108"/>
      <c r="B471" s="150"/>
      <c r="C471" s="70" t="s">
        <v>935</v>
      </c>
      <c r="D471" s="33" t="s">
        <v>1952</v>
      </c>
      <c r="E471" s="34" t="s">
        <v>916</v>
      </c>
      <c r="F471" s="35">
        <v>11467000</v>
      </c>
      <c r="G471" s="210">
        <v>0</v>
      </c>
      <c r="H471" s="210">
        <v>0</v>
      </c>
      <c r="I471" s="210">
        <v>11467000</v>
      </c>
      <c r="J471" s="210">
        <v>0</v>
      </c>
      <c r="K471" s="210">
        <v>851700</v>
      </c>
      <c r="L471" s="210">
        <v>0</v>
      </c>
      <c r="M471" s="210">
        <v>851700</v>
      </c>
      <c r="N471" s="210">
        <v>0</v>
      </c>
      <c r="O471" s="210">
        <v>851700</v>
      </c>
      <c r="P471" s="242">
        <v>0.23740675222371063</v>
      </c>
    </row>
    <row r="472" spans="1:16" s="8" customFormat="1">
      <c r="A472" s="108"/>
      <c r="B472" s="150"/>
      <c r="C472" s="70" t="s">
        <v>935</v>
      </c>
      <c r="D472" s="33" t="s">
        <v>1956</v>
      </c>
      <c r="E472" s="34" t="s">
        <v>1463</v>
      </c>
      <c r="F472" s="35">
        <v>4828000</v>
      </c>
      <c r="G472" s="210">
        <v>0</v>
      </c>
      <c r="H472" s="210">
        <v>-4828000</v>
      </c>
      <c r="I472" s="210">
        <v>0</v>
      </c>
      <c r="J472" s="210">
        <v>0</v>
      </c>
      <c r="K472" s="210">
        <v>0</v>
      </c>
      <c r="L472" s="210">
        <v>0</v>
      </c>
      <c r="M472" s="210">
        <v>0</v>
      </c>
      <c r="N472" s="210">
        <v>0</v>
      </c>
      <c r="O472" s="210">
        <v>0</v>
      </c>
      <c r="P472" s="242">
        <v>0.23740675222371063</v>
      </c>
    </row>
    <row r="473" spans="1:16" s="8" customFormat="1">
      <c r="A473" s="108"/>
      <c r="B473" s="150"/>
      <c r="C473" s="70" t="s">
        <v>935</v>
      </c>
      <c r="D473" s="33" t="s">
        <v>1954</v>
      </c>
      <c r="E473" s="34" t="s">
        <v>918</v>
      </c>
      <c r="F473" s="35">
        <v>44943000</v>
      </c>
      <c r="G473" s="210">
        <v>0</v>
      </c>
      <c r="H473" s="210">
        <v>-2000000</v>
      </c>
      <c r="I473" s="210">
        <v>42943000</v>
      </c>
      <c r="J473" s="210">
        <v>0</v>
      </c>
      <c r="K473" s="210">
        <v>0</v>
      </c>
      <c r="L473" s="210">
        <v>0</v>
      </c>
      <c r="M473" s="210">
        <v>0</v>
      </c>
      <c r="N473" s="210">
        <v>0</v>
      </c>
      <c r="O473" s="210">
        <v>0</v>
      </c>
      <c r="P473" s="242">
        <v>0.23740675222371063</v>
      </c>
    </row>
    <row r="474" spans="1:16" s="8" customFormat="1">
      <c r="A474" s="108"/>
      <c r="B474" s="150"/>
      <c r="C474" s="70" t="s">
        <v>935</v>
      </c>
      <c r="D474" s="33" t="s">
        <v>1957</v>
      </c>
      <c r="E474" s="34" t="s">
        <v>937</v>
      </c>
      <c r="F474" s="35">
        <v>100000000</v>
      </c>
      <c r="G474" s="210">
        <v>0</v>
      </c>
      <c r="H474" s="210">
        <v>0</v>
      </c>
      <c r="I474" s="210">
        <v>100000000</v>
      </c>
      <c r="J474" s="210">
        <v>-625829</v>
      </c>
      <c r="K474" s="210">
        <v>9198971</v>
      </c>
      <c r="L474" s="210">
        <v>-625829</v>
      </c>
      <c r="M474" s="210">
        <v>8445991</v>
      </c>
      <c r="N474" s="210">
        <v>-625829</v>
      </c>
      <c r="O474" s="210">
        <v>8445991</v>
      </c>
      <c r="P474" s="242">
        <v>0.23740675222371063</v>
      </c>
    </row>
    <row r="475" spans="1:16" s="2" customFormat="1">
      <c r="A475" s="108"/>
      <c r="B475" s="150"/>
      <c r="C475" s="70" t="s">
        <v>935</v>
      </c>
      <c r="D475" s="33" t="s">
        <v>1955</v>
      </c>
      <c r="E475" s="34" t="s">
        <v>919</v>
      </c>
      <c r="F475" s="35">
        <v>23898000</v>
      </c>
      <c r="G475" s="210">
        <v>0</v>
      </c>
      <c r="H475" s="210">
        <v>-1200000</v>
      </c>
      <c r="I475" s="210">
        <v>22698000</v>
      </c>
      <c r="J475" s="210">
        <v>0</v>
      </c>
      <c r="K475" s="210">
        <v>17830430</v>
      </c>
      <c r="L475" s="210">
        <v>0</v>
      </c>
      <c r="M475" s="210">
        <v>17830430</v>
      </c>
      <c r="N475" s="210">
        <v>0</v>
      </c>
      <c r="O475" s="210">
        <v>17830430</v>
      </c>
      <c r="P475" s="242">
        <v>0.23740675222371063</v>
      </c>
    </row>
    <row r="476" spans="1:16" s="2" customFormat="1">
      <c r="A476" s="108"/>
      <c r="B476" s="150"/>
      <c r="C476" s="70" t="s">
        <v>935</v>
      </c>
      <c r="D476" s="33" t="s">
        <v>1953</v>
      </c>
      <c r="E476" s="34" t="s">
        <v>2098</v>
      </c>
      <c r="F476" s="35">
        <v>0</v>
      </c>
      <c r="G476" s="210">
        <v>0</v>
      </c>
      <c r="H476" s="210">
        <v>3200000</v>
      </c>
      <c r="I476" s="210">
        <v>3200000</v>
      </c>
      <c r="J476" s="210">
        <v>0</v>
      </c>
      <c r="K476" s="210">
        <v>2095690</v>
      </c>
      <c r="L476" s="210">
        <v>0</v>
      </c>
      <c r="M476" s="210">
        <v>2095690</v>
      </c>
      <c r="N476" s="210">
        <v>0</v>
      </c>
      <c r="O476" s="210">
        <v>2095690</v>
      </c>
      <c r="P476" s="242">
        <v>0.23740675222371063</v>
      </c>
    </row>
    <row r="477" spans="1:16" s="9" customFormat="1">
      <c r="A477" s="136" t="s">
        <v>938</v>
      </c>
      <c r="B477" s="125" t="s">
        <v>1819</v>
      </c>
      <c r="C477" s="126" t="s">
        <v>939</v>
      </c>
      <c r="D477" s="29"/>
      <c r="E477" s="19" t="s">
        <v>940</v>
      </c>
      <c r="F477" s="20">
        <f>+F478</f>
        <v>0</v>
      </c>
      <c r="G477" s="20">
        <f t="shared" ref="G477:O477" si="143">+G478</f>
        <v>0</v>
      </c>
      <c r="H477" s="20">
        <f t="shared" si="143"/>
        <v>0</v>
      </c>
      <c r="I477" s="20">
        <f t="shared" si="143"/>
        <v>0</v>
      </c>
      <c r="J477" s="20">
        <f t="shared" si="143"/>
        <v>0</v>
      </c>
      <c r="K477" s="20">
        <f t="shared" si="143"/>
        <v>0</v>
      </c>
      <c r="L477" s="20">
        <f t="shared" si="143"/>
        <v>0</v>
      </c>
      <c r="M477" s="20">
        <f t="shared" si="143"/>
        <v>0</v>
      </c>
      <c r="N477" s="20">
        <f t="shared" si="143"/>
        <v>0</v>
      </c>
      <c r="O477" s="20">
        <f t="shared" si="143"/>
        <v>0</v>
      </c>
      <c r="P477" s="243">
        <v>0.23740675222371063</v>
      </c>
    </row>
    <row r="478" spans="1:16" s="2" customFormat="1">
      <c r="A478" s="107" t="s">
        <v>941</v>
      </c>
      <c r="B478" s="149" t="s">
        <v>1820</v>
      </c>
      <c r="C478" s="18" t="s">
        <v>942</v>
      </c>
      <c r="D478" s="30"/>
      <c r="E478" s="17" t="s">
        <v>943</v>
      </c>
      <c r="F478" s="16">
        <v>0</v>
      </c>
      <c r="G478" s="203">
        <v>0</v>
      </c>
      <c r="H478" s="203">
        <v>0</v>
      </c>
      <c r="I478" s="203">
        <v>0</v>
      </c>
      <c r="J478" s="203">
        <v>0</v>
      </c>
      <c r="K478" s="203">
        <v>0</v>
      </c>
      <c r="L478" s="203">
        <v>0</v>
      </c>
      <c r="M478" s="203">
        <v>0</v>
      </c>
      <c r="N478" s="203">
        <v>0</v>
      </c>
      <c r="O478" s="203">
        <v>0</v>
      </c>
      <c r="P478" s="237">
        <v>0.23740675222371063</v>
      </c>
    </row>
    <row r="479" spans="1:16">
      <c r="A479" s="136" t="s">
        <v>944</v>
      </c>
      <c r="B479" s="125" t="s">
        <v>1531</v>
      </c>
      <c r="C479" s="126" t="s">
        <v>945</v>
      </c>
      <c r="D479" s="29"/>
      <c r="E479" s="19" t="s">
        <v>946</v>
      </c>
      <c r="F479" s="20">
        <f>+F480</f>
        <v>64133000</v>
      </c>
      <c r="G479" s="20">
        <f t="shared" ref="G479:O479" si="144">+G480</f>
        <v>0</v>
      </c>
      <c r="H479" s="20">
        <f t="shared" si="144"/>
        <v>0</v>
      </c>
      <c r="I479" s="20">
        <f t="shared" si="144"/>
        <v>64133000</v>
      </c>
      <c r="J479" s="20">
        <f t="shared" si="144"/>
        <v>0</v>
      </c>
      <c r="K479" s="20">
        <f t="shared" si="144"/>
        <v>29020591</v>
      </c>
      <c r="L479" s="20">
        <f t="shared" si="144"/>
        <v>0</v>
      </c>
      <c r="M479" s="20">
        <f t="shared" si="144"/>
        <v>29020591</v>
      </c>
      <c r="N479" s="20">
        <f t="shared" si="144"/>
        <v>5575103</v>
      </c>
      <c r="O479" s="20">
        <f t="shared" si="144"/>
        <v>5835264</v>
      </c>
      <c r="P479" s="243">
        <v>0.23740675222371063</v>
      </c>
    </row>
    <row r="480" spans="1:16" s="8" customFormat="1">
      <c r="A480" s="107" t="s">
        <v>947</v>
      </c>
      <c r="B480" s="149" t="s">
        <v>1821</v>
      </c>
      <c r="C480" s="18" t="s">
        <v>948</v>
      </c>
      <c r="D480" s="30"/>
      <c r="E480" s="17" t="s">
        <v>949</v>
      </c>
      <c r="F480" s="16">
        <f>SUM(F481:F482)</f>
        <v>64133000</v>
      </c>
      <c r="G480" s="203">
        <f t="shared" ref="G480:O480" si="145">SUM(G481:G482)</f>
        <v>0</v>
      </c>
      <c r="H480" s="203">
        <f t="shared" si="145"/>
        <v>0</v>
      </c>
      <c r="I480" s="203">
        <f t="shared" si="145"/>
        <v>64133000</v>
      </c>
      <c r="J480" s="203">
        <f t="shared" si="145"/>
        <v>0</v>
      </c>
      <c r="K480" s="203">
        <f t="shared" si="145"/>
        <v>29020591</v>
      </c>
      <c r="L480" s="203">
        <f t="shared" si="145"/>
        <v>0</v>
      </c>
      <c r="M480" s="203">
        <f t="shared" si="145"/>
        <v>29020591</v>
      </c>
      <c r="N480" s="203">
        <f t="shared" si="145"/>
        <v>5575103</v>
      </c>
      <c r="O480" s="203">
        <f t="shared" si="145"/>
        <v>5835264</v>
      </c>
      <c r="P480" s="237">
        <v>0.23740675222371063</v>
      </c>
    </row>
    <row r="481" spans="1:16" s="8" customFormat="1">
      <c r="A481" s="108"/>
      <c r="B481" s="150"/>
      <c r="C481" s="70" t="s">
        <v>948</v>
      </c>
      <c r="D481" s="33" t="s">
        <v>1909</v>
      </c>
      <c r="E481" s="34" t="s">
        <v>819</v>
      </c>
      <c r="F481" s="35">
        <v>56348000</v>
      </c>
      <c r="G481" s="210">
        <v>0</v>
      </c>
      <c r="H481" s="210">
        <v>0</v>
      </c>
      <c r="I481" s="210">
        <v>56348000</v>
      </c>
      <c r="J481" s="210">
        <v>0</v>
      </c>
      <c r="K481" s="210">
        <v>26961000</v>
      </c>
      <c r="L481" s="210">
        <v>0</v>
      </c>
      <c r="M481" s="210">
        <v>26961000</v>
      </c>
      <c r="N481" s="210">
        <v>5141505</v>
      </c>
      <c r="O481" s="210">
        <v>5141505</v>
      </c>
      <c r="P481" s="242">
        <v>0.23740675222371063</v>
      </c>
    </row>
    <row r="482" spans="1:16" s="6" customFormat="1">
      <c r="A482" s="108"/>
      <c r="B482" s="150"/>
      <c r="C482" s="70" t="s">
        <v>948</v>
      </c>
      <c r="D482" s="33" t="s">
        <v>1957</v>
      </c>
      <c r="E482" s="34" t="s">
        <v>937</v>
      </c>
      <c r="F482" s="35">
        <v>7785000</v>
      </c>
      <c r="G482" s="210">
        <v>0</v>
      </c>
      <c r="H482" s="210">
        <v>0</v>
      </c>
      <c r="I482" s="210">
        <v>7785000</v>
      </c>
      <c r="J482" s="210">
        <v>0</v>
      </c>
      <c r="K482" s="210">
        <v>2059591</v>
      </c>
      <c r="L482" s="210">
        <v>0</v>
      </c>
      <c r="M482" s="210">
        <v>2059591</v>
      </c>
      <c r="N482" s="210">
        <v>433598</v>
      </c>
      <c r="O482" s="210">
        <v>693759</v>
      </c>
      <c r="P482" s="242">
        <v>0.23740675222371063</v>
      </c>
    </row>
    <row r="483" spans="1:16" s="2" customFormat="1">
      <c r="A483" s="173" t="s">
        <v>950</v>
      </c>
      <c r="B483" s="155" t="s">
        <v>1822</v>
      </c>
      <c r="C483" s="156" t="s">
        <v>951</v>
      </c>
      <c r="D483" s="74"/>
      <c r="E483" s="40" t="s">
        <v>952</v>
      </c>
      <c r="F483" s="75">
        <f>+F484+F507+F517</f>
        <v>7997616000</v>
      </c>
      <c r="G483" s="75">
        <f t="shared" ref="G483:O483" si="146">+G484+G507+G517</f>
        <v>0</v>
      </c>
      <c r="H483" s="75">
        <f t="shared" si="146"/>
        <v>3400527089</v>
      </c>
      <c r="I483" s="75">
        <f t="shared" si="146"/>
        <v>11398143089</v>
      </c>
      <c r="J483" s="75">
        <f t="shared" si="146"/>
        <v>-88932942</v>
      </c>
      <c r="K483" s="75">
        <f t="shared" si="146"/>
        <v>9587613303</v>
      </c>
      <c r="L483" s="75">
        <f t="shared" si="146"/>
        <v>5187340909</v>
      </c>
      <c r="M483" s="75">
        <f t="shared" si="146"/>
        <v>9580562855</v>
      </c>
      <c r="N483" s="75">
        <f t="shared" si="146"/>
        <v>789192290</v>
      </c>
      <c r="O483" s="75">
        <f t="shared" si="146"/>
        <v>1233449439</v>
      </c>
      <c r="P483" s="246">
        <v>0.23740675222371063</v>
      </c>
    </row>
    <row r="484" spans="1:16" s="6" customFormat="1">
      <c r="A484" s="136" t="s">
        <v>953</v>
      </c>
      <c r="B484" s="125" t="s">
        <v>1823</v>
      </c>
      <c r="C484" s="126" t="s">
        <v>954</v>
      </c>
      <c r="D484" s="29"/>
      <c r="E484" s="19" t="s">
        <v>955</v>
      </c>
      <c r="F484" s="20">
        <f>+F485+F504</f>
        <v>5323056000</v>
      </c>
      <c r="G484" s="20">
        <f t="shared" ref="G484:O484" si="147">+G485+G504</f>
        <v>0</v>
      </c>
      <c r="H484" s="20">
        <f t="shared" si="147"/>
        <v>0</v>
      </c>
      <c r="I484" s="20">
        <f t="shared" si="147"/>
        <v>5323056000</v>
      </c>
      <c r="J484" s="20">
        <f t="shared" si="147"/>
        <v>-198157277</v>
      </c>
      <c r="K484" s="20">
        <f t="shared" si="147"/>
        <v>4544587437</v>
      </c>
      <c r="L484" s="20">
        <f t="shared" si="147"/>
        <v>3911833689</v>
      </c>
      <c r="M484" s="20">
        <f t="shared" si="147"/>
        <v>4544587437</v>
      </c>
      <c r="N484" s="20">
        <f t="shared" si="147"/>
        <v>54332770</v>
      </c>
      <c r="O484" s="20">
        <f t="shared" si="147"/>
        <v>241983799</v>
      </c>
      <c r="P484" s="243">
        <v>0.23740675222371063</v>
      </c>
    </row>
    <row r="485" spans="1:16" s="8" customFormat="1">
      <c r="A485" s="134" t="s">
        <v>956</v>
      </c>
      <c r="B485" s="123" t="s">
        <v>1531</v>
      </c>
      <c r="C485" s="124" t="s">
        <v>957</v>
      </c>
      <c r="D485" s="67"/>
      <c r="E485" s="25" t="s">
        <v>958</v>
      </c>
      <c r="F485" s="68">
        <f>+F486+F489+F494</f>
        <v>5253168000</v>
      </c>
      <c r="G485" s="68">
        <f t="shared" ref="G485:O485" si="148">+G486+G489+G494</f>
        <v>0</v>
      </c>
      <c r="H485" s="68">
        <f t="shared" si="148"/>
        <v>0</v>
      </c>
      <c r="I485" s="68">
        <f t="shared" si="148"/>
        <v>5253168000</v>
      </c>
      <c r="J485" s="68">
        <f t="shared" si="148"/>
        <v>-198157277</v>
      </c>
      <c r="K485" s="68">
        <f t="shared" si="148"/>
        <v>4544587437</v>
      </c>
      <c r="L485" s="68">
        <f t="shared" si="148"/>
        <v>3911833689</v>
      </c>
      <c r="M485" s="68">
        <f t="shared" si="148"/>
        <v>4544587437</v>
      </c>
      <c r="N485" s="68">
        <f t="shared" si="148"/>
        <v>54332770</v>
      </c>
      <c r="O485" s="68">
        <f t="shared" si="148"/>
        <v>241983799</v>
      </c>
      <c r="P485" s="229">
        <v>0.23740675222371063</v>
      </c>
    </row>
    <row r="486" spans="1:16" s="11" customFormat="1">
      <c r="A486" s="174" t="s">
        <v>959</v>
      </c>
      <c r="B486" s="157" t="s">
        <v>1531</v>
      </c>
      <c r="C486" s="158" t="s">
        <v>960</v>
      </c>
      <c r="D486" s="41"/>
      <c r="E486" s="42" t="s">
        <v>961</v>
      </c>
      <c r="F486" s="76">
        <f>+F487</f>
        <v>186775000</v>
      </c>
      <c r="G486" s="76">
        <f t="shared" ref="G486:O487" si="149">+G487</f>
        <v>0</v>
      </c>
      <c r="H486" s="76">
        <f t="shared" si="149"/>
        <v>0</v>
      </c>
      <c r="I486" s="76">
        <f t="shared" si="149"/>
        <v>186775000</v>
      </c>
      <c r="J486" s="76">
        <f t="shared" si="149"/>
        <v>10315500</v>
      </c>
      <c r="K486" s="76">
        <f t="shared" si="149"/>
        <v>136404900</v>
      </c>
      <c r="L486" s="76">
        <f t="shared" si="149"/>
        <v>10315500</v>
      </c>
      <c r="M486" s="76">
        <f t="shared" si="149"/>
        <v>136404900</v>
      </c>
      <c r="N486" s="76">
        <f t="shared" si="149"/>
        <v>10315500</v>
      </c>
      <c r="O486" s="76">
        <f t="shared" si="149"/>
        <v>136404900</v>
      </c>
      <c r="P486" s="247">
        <v>0.23740675222371063</v>
      </c>
    </row>
    <row r="487" spans="1:16" s="8" customFormat="1">
      <c r="A487" s="107"/>
      <c r="B487" s="149" t="s">
        <v>1548</v>
      </c>
      <c r="C487" s="18" t="s">
        <v>962</v>
      </c>
      <c r="D487" s="30"/>
      <c r="E487" s="17" t="s">
        <v>963</v>
      </c>
      <c r="F487" s="16">
        <f>+F488</f>
        <v>186775000</v>
      </c>
      <c r="G487" s="203">
        <f t="shared" si="149"/>
        <v>0</v>
      </c>
      <c r="H487" s="203">
        <f t="shared" si="149"/>
        <v>0</v>
      </c>
      <c r="I487" s="203">
        <f t="shared" si="149"/>
        <v>186775000</v>
      </c>
      <c r="J487" s="203">
        <f t="shared" si="149"/>
        <v>10315500</v>
      </c>
      <c r="K487" s="203">
        <f t="shared" si="149"/>
        <v>136404900</v>
      </c>
      <c r="L487" s="203">
        <f t="shared" si="149"/>
        <v>10315500</v>
      </c>
      <c r="M487" s="203">
        <f t="shared" si="149"/>
        <v>136404900</v>
      </c>
      <c r="N487" s="203">
        <f t="shared" si="149"/>
        <v>10315500</v>
      </c>
      <c r="O487" s="203">
        <f t="shared" si="149"/>
        <v>136404900</v>
      </c>
      <c r="P487" s="237">
        <v>0.23740675222371063</v>
      </c>
    </row>
    <row r="488" spans="1:16" s="8" customFormat="1">
      <c r="A488" s="108"/>
      <c r="B488" s="150"/>
      <c r="C488" s="70" t="s">
        <v>962</v>
      </c>
      <c r="D488" s="33" t="s">
        <v>1933</v>
      </c>
      <c r="E488" s="34" t="s">
        <v>279</v>
      </c>
      <c r="F488" s="35">
        <v>186775000</v>
      </c>
      <c r="G488" s="210">
        <v>0</v>
      </c>
      <c r="H488" s="210">
        <v>0</v>
      </c>
      <c r="I488" s="210">
        <v>186775000</v>
      </c>
      <c r="J488" s="210">
        <v>10315500</v>
      </c>
      <c r="K488" s="210">
        <v>136404900</v>
      </c>
      <c r="L488" s="210">
        <v>10315500</v>
      </c>
      <c r="M488" s="210">
        <v>136404900</v>
      </c>
      <c r="N488" s="210">
        <v>10315500</v>
      </c>
      <c r="O488" s="210">
        <v>136404900</v>
      </c>
      <c r="P488" s="242">
        <v>0.23740675222371063</v>
      </c>
    </row>
    <row r="489" spans="1:16" s="7" customFormat="1">
      <c r="A489" s="174" t="s">
        <v>964</v>
      </c>
      <c r="B489" s="157" t="s">
        <v>1531</v>
      </c>
      <c r="C489" s="158" t="s">
        <v>965</v>
      </c>
      <c r="D489" s="41"/>
      <c r="E489" s="42" t="s">
        <v>966</v>
      </c>
      <c r="F489" s="76">
        <f>+F490+F492</f>
        <v>534717000</v>
      </c>
      <c r="G489" s="76">
        <f t="shared" ref="G489:O489" si="150">+G490+G492</f>
        <v>0</v>
      </c>
      <c r="H489" s="76">
        <f t="shared" si="150"/>
        <v>0</v>
      </c>
      <c r="I489" s="76">
        <f t="shared" si="150"/>
        <v>534717000</v>
      </c>
      <c r="J489" s="76">
        <f t="shared" si="150"/>
        <v>-85800</v>
      </c>
      <c r="K489" s="76">
        <f t="shared" si="150"/>
        <v>511690220</v>
      </c>
      <c r="L489" s="76">
        <f t="shared" si="150"/>
        <v>11215700</v>
      </c>
      <c r="M489" s="76">
        <f t="shared" si="150"/>
        <v>511690220</v>
      </c>
      <c r="N489" s="76">
        <f t="shared" si="150"/>
        <v>40889302</v>
      </c>
      <c r="O489" s="76">
        <f t="shared" si="150"/>
        <v>96261103</v>
      </c>
      <c r="P489" s="247">
        <v>0.23740675222371063</v>
      </c>
    </row>
    <row r="490" spans="1:16" s="8" customFormat="1">
      <c r="A490" s="107" t="s">
        <v>967</v>
      </c>
      <c r="B490" s="149" t="s">
        <v>1549</v>
      </c>
      <c r="C490" s="18" t="s">
        <v>968</v>
      </c>
      <c r="D490" s="30"/>
      <c r="E490" s="17" t="s">
        <v>969</v>
      </c>
      <c r="F490" s="16">
        <f>+F491</f>
        <v>520000000</v>
      </c>
      <c r="G490" s="203">
        <f t="shared" ref="G490:O490" si="151">+G491</f>
        <v>0</v>
      </c>
      <c r="H490" s="203">
        <f t="shared" si="151"/>
        <v>0</v>
      </c>
      <c r="I490" s="203">
        <f t="shared" si="151"/>
        <v>520000000</v>
      </c>
      <c r="J490" s="203">
        <f t="shared" si="151"/>
        <v>0</v>
      </c>
      <c r="K490" s="203">
        <f t="shared" si="151"/>
        <v>500474520</v>
      </c>
      <c r="L490" s="203">
        <f t="shared" si="151"/>
        <v>0</v>
      </c>
      <c r="M490" s="203">
        <f t="shared" si="151"/>
        <v>500474520</v>
      </c>
      <c r="N490" s="203">
        <f t="shared" si="151"/>
        <v>40889302</v>
      </c>
      <c r="O490" s="203">
        <f t="shared" si="151"/>
        <v>96261103</v>
      </c>
      <c r="P490" s="237">
        <v>0.23740675222371063</v>
      </c>
    </row>
    <row r="491" spans="1:16" s="7" customFormat="1">
      <c r="A491" s="108"/>
      <c r="B491" s="150"/>
      <c r="C491" s="70" t="s">
        <v>968</v>
      </c>
      <c r="D491" s="33" t="s">
        <v>1933</v>
      </c>
      <c r="E491" s="34" t="s">
        <v>279</v>
      </c>
      <c r="F491" s="35">
        <v>520000000</v>
      </c>
      <c r="G491" s="210">
        <v>0</v>
      </c>
      <c r="H491" s="210">
        <v>0</v>
      </c>
      <c r="I491" s="210">
        <v>520000000</v>
      </c>
      <c r="J491" s="210">
        <v>0</v>
      </c>
      <c r="K491" s="210">
        <v>500474520</v>
      </c>
      <c r="L491" s="210">
        <v>0</v>
      </c>
      <c r="M491" s="210">
        <v>500474520</v>
      </c>
      <c r="N491" s="210">
        <v>40889302</v>
      </c>
      <c r="O491" s="210">
        <v>96261103</v>
      </c>
      <c r="P491" s="242">
        <v>0.23740675222371063</v>
      </c>
    </row>
    <row r="492" spans="1:16" s="8" customFormat="1">
      <c r="A492" s="107" t="s">
        <v>970</v>
      </c>
      <c r="B492" s="149" t="s">
        <v>1550</v>
      </c>
      <c r="C492" s="18" t="s">
        <v>971</v>
      </c>
      <c r="D492" s="30"/>
      <c r="E492" s="17" t="s">
        <v>972</v>
      </c>
      <c r="F492" s="16">
        <f>+F493</f>
        <v>14717000</v>
      </c>
      <c r="G492" s="203">
        <f t="shared" ref="G492:O492" si="152">+G493</f>
        <v>0</v>
      </c>
      <c r="H492" s="203">
        <f t="shared" si="152"/>
        <v>0</v>
      </c>
      <c r="I492" s="203">
        <f t="shared" si="152"/>
        <v>14717000</v>
      </c>
      <c r="J492" s="203">
        <f t="shared" si="152"/>
        <v>-85800</v>
      </c>
      <c r="K492" s="203">
        <f t="shared" si="152"/>
        <v>11215700</v>
      </c>
      <c r="L492" s="203">
        <f t="shared" si="152"/>
        <v>11215700</v>
      </c>
      <c r="M492" s="203">
        <f t="shared" si="152"/>
        <v>11215700</v>
      </c>
      <c r="N492" s="203">
        <f t="shared" si="152"/>
        <v>0</v>
      </c>
      <c r="O492" s="203">
        <f t="shared" si="152"/>
        <v>0</v>
      </c>
      <c r="P492" s="237">
        <v>0.23740675222371063</v>
      </c>
    </row>
    <row r="493" spans="1:16" s="8" customFormat="1">
      <c r="A493" s="108"/>
      <c r="B493" s="150"/>
      <c r="C493" s="70" t="s">
        <v>971</v>
      </c>
      <c r="D493" s="33" t="s">
        <v>1909</v>
      </c>
      <c r="E493" s="34" t="s">
        <v>819</v>
      </c>
      <c r="F493" s="35">
        <v>14717000</v>
      </c>
      <c r="G493" s="210">
        <v>0</v>
      </c>
      <c r="H493" s="210">
        <v>0</v>
      </c>
      <c r="I493" s="210">
        <v>14717000</v>
      </c>
      <c r="J493" s="210">
        <v>-85800</v>
      </c>
      <c r="K493" s="210">
        <v>11215700</v>
      </c>
      <c r="L493" s="210">
        <v>11215700</v>
      </c>
      <c r="M493" s="210">
        <v>11215700</v>
      </c>
      <c r="N493" s="210">
        <v>0</v>
      </c>
      <c r="O493" s="210">
        <v>0</v>
      </c>
      <c r="P493" s="242">
        <v>0.23740675222371063</v>
      </c>
    </row>
    <row r="494" spans="1:16" s="7" customFormat="1">
      <c r="A494" s="174" t="s">
        <v>973</v>
      </c>
      <c r="B494" s="157" t="s">
        <v>1531</v>
      </c>
      <c r="C494" s="158" t="s">
        <v>974</v>
      </c>
      <c r="D494" s="41"/>
      <c r="E494" s="42" t="s">
        <v>975</v>
      </c>
      <c r="F494" s="76">
        <f>+F495+F497+F499+F501</f>
        <v>4531676000</v>
      </c>
      <c r="G494" s="76">
        <f t="shared" ref="G494:N494" si="153">+G495+G497+G499+G501</f>
        <v>0</v>
      </c>
      <c r="H494" s="76">
        <f t="shared" si="153"/>
        <v>0</v>
      </c>
      <c r="I494" s="76">
        <f t="shared" si="153"/>
        <v>4531676000</v>
      </c>
      <c r="J494" s="76">
        <f t="shared" si="153"/>
        <v>-208386977</v>
      </c>
      <c r="K494" s="76">
        <f t="shared" si="153"/>
        <v>3896492317</v>
      </c>
      <c r="L494" s="76">
        <f t="shared" si="153"/>
        <v>3890302489</v>
      </c>
      <c r="M494" s="76">
        <f t="shared" si="153"/>
        <v>3896492317</v>
      </c>
      <c r="N494" s="76">
        <f t="shared" si="153"/>
        <v>3127968</v>
      </c>
      <c r="O494" s="76">
        <f>+O495+O497+O499+O501</f>
        <v>9317796</v>
      </c>
      <c r="P494" s="247">
        <v>0.23740675222371063</v>
      </c>
    </row>
    <row r="495" spans="1:16" s="8" customFormat="1">
      <c r="A495" s="107" t="s">
        <v>976</v>
      </c>
      <c r="B495" s="149" t="s">
        <v>1551</v>
      </c>
      <c r="C495" s="18" t="s">
        <v>977</v>
      </c>
      <c r="D495" s="30"/>
      <c r="E495" s="17" t="s">
        <v>978</v>
      </c>
      <c r="F495" s="16">
        <f>+F496</f>
        <v>32478000</v>
      </c>
      <c r="G495" s="203">
        <f t="shared" ref="G495:O495" si="154">+G496</f>
        <v>0</v>
      </c>
      <c r="H495" s="203">
        <f t="shared" si="154"/>
        <v>0</v>
      </c>
      <c r="I495" s="203">
        <f t="shared" si="154"/>
        <v>32478000</v>
      </c>
      <c r="J495" s="203">
        <f t="shared" si="154"/>
        <v>-627606</v>
      </c>
      <c r="K495" s="203">
        <f t="shared" si="154"/>
        <v>27196260</v>
      </c>
      <c r="L495" s="203">
        <f t="shared" si="154"/>
        <v>27196260</v>
      </c>
      <c r="M495" s="203">
        <f t="shared" si="154"/>
        <v>27196260</v>
      </c>
      <c r="N495" s="203">
        <f t="shared" si="154"/>
        <v>0</v>
      </c>
      <c r="O495" s="203">
        <f t="shared" si="154"/>
        <v>0</v>
      </c>
      <c r="P495" s="237">
        <v>0.23740675222371063</v>
      </c>
    </row>
    <row r="496" spans="1:16" s="7" customFormat="1">
      <c r="A496" s="108"/>
      <c r="B496" s="150"/>
      <c r="C496" s="70" t="s">
        <v>977</v>
      </c>
      <c r="D496" s="33" t="s">
        <v>1909</v>
      </c>
      <c r="E496" s="34" t="s">
        <v>819</v>
      </c>
      <c r="F496" s="35">
        <v>32478000</v>
      </c>
      <c r="G496" s="210">
        <v>0</v>
      </c>
      <c r="H496" s="210">
        <v>0</v>
      </c>
      <c r="I496" s="210">
        <v>32478000</v>
      </c>
      <c r="J496" s="210">
        <v>-627606</v>
      </c>
      <c r="K496" s="210">
        <v>27196260</v>
      </c>
      <c r="L496" s="210">
        <v>27196260</v>
      </c>
      <c r="M496" s="210">
        <v>27196260</v>
      </c>
      <c r="N496" s="210">
        <v>0</v>
      </c>
      <c r="O496" s="210">
        <v>0</v>
      </c>
      <c r="P496" s="242">
        <v>0.23740675222371063</v>
      </c>
    </row>
    <row r="497" spans="1:16" s="8" customFormat="1">
      <c r="A497" s="107" t="s">
        <v>979</v>
      </c>
      <c r="B497" s="149" t="s">
        <v>1552</v>
      </c>
      <c r="C497" s="18" t="s">
        <v>980</v>
      </c>
      <c r="D497" s="30"/>
      <c r="E497" s="17" t="s">
        <v>981</v>
      </c>
      <c r="F497" s="16">
        <f>+F498</f>
        <v>2759273000</v>
      </c>
      <c r="G497" s="203">
        <f t="shared" ref="G497:O497" si="155">+G498</f>
        <v>0</v>
      </c>
      <c r="H497" s="203">
        <f t="shared" si="155"/>
        <v>0</v>
      </c>
      <c r="I497" s="203">
        <f t="shared" si="155"/>
        <v>2759273000</v>
      </c>
      <c r="J497" s="203">
        <f t="shared" si="155"/>
        <v>-141911101</v>
      </c>
      <c r="K497" s="203">
        <f t="shared" si="155"/>
        <v>2263462457</v>
      </c>
      <c r="L497" s="203">
        <f t="shared" si="155"/>
        <v>2257272629</v>
      </c>
      <c r="M497" s="203">
        <f t="shared" si="155"/>
        <v>2263462457</v>
      </c>
      <c r="N497" s="203">
        <f t="shared" si="155"/>
        <v>3127968</v>
      </c>
      <c r="O497" s="203">
        <f t="shared" si="155"/>
        <v>9317796</v>
      </c>
      <c r="P497" s="237">
        <v>0.23740675222371063</v>
      </c>
    </row>
    <row r="498" spans="1:16" s="7" customFormat="1">
      <c r="A498" s="108"/>
      <c r="B498" s="150"/>
      <c r="C498" s="70" t="s">
        <v>980</v>
      </c>
      <c r="D498" s="33" t="s">
        <v>1909</v>
      </c>
      <c r="E498" s="34" t="s">
        <v>819</v>
      </c>
      <c r="F498" s="35">
        <v>2759273000</v>
      </c>
      <c r="G498" s="210">
        <v>0</v>
      </c>
      <c r="H498" s="210">
        <v>0</v>
      </c>
      <c r="I498" s="210">
        <v>2759273000</v>
      </c>
      <c r="J498" s="210">
        <v>-141911101</v>
      </c>
      <c r="K498" s="210">
        <v>2263462457</v>
      </c>
      <c r="L498" s="210">
        <v>2257272629</v>
      </c>
      <c r="M498" s="210">
        <v>2263462457</v>
      </c>
      <c r="N498" s="210">
        <v>3127968</v>
      </c>
      <c r="O498" s="210">
        <v>9317796</v>
      </c>
      <c r="P498" s="242">
        <v>0.23740675222371063</v>
      </c>
    </row>
    <row r="499" spans="1:16" s="8" customFormat="1">
      <c r="A499" s="107" t="s">
        <v>982</v>
      </c>
      <c r="B499" s="149" t="s">
        <v>1553</v>
      </c>
      <c r="C499" s="18" t="s">
        <v>983</v>
      </c>
      <c r="D499" s="30"/>
      <c r="E499" s="17" t="s">
        <v>984</v>
      </c>
      <c r="F499" s="16">
        <f>+F500</f>
        <v>1739925000</v>
      </c>
      <c r="G499" s="203">
        <f t="shared" ref="G499:O499" si="156">+G500</f>
        <v>0</v>
      </c>
      <c r="H499" s="203">
        <f t="shared" si="156"/>
        <v>0</v>
      </c>
      <c r="I499" s="203">
        <f t="shared" si="156"/>
        <v>1739925000</v>
      </c>
      <c r="J499" s="203">
        <f t="shared" si="156"/>
        <v>-65848270</v>
      </c>
      <c r="K499" s="203">
        <f t="shared" si="156"/>
        <v>1605833600</v>
      </c>
      <c r="L499" s="203">
        <f t="shared" si="156"/>
        <v>1605833600</v>
      </c>
      <c r="M499" s="203">
        <f t="shared" si="156"/>
        <v>1605833600</v>
      </c>
      <c r="N499" s="203">
        <f t="shared" si="156"/>
        <v>0</v>
      </c>
      <c r="O499" s="203">
        <f t="shared" si="156"/>
        <v>0</v>
      </c>
      <c r="P499" s="237">
        <v>0.23740675222371063</v>
      </c>
    </row>
    <row r="500" spans="1:16" s="7" customFormat="1">
      <c r="A500" s="108"/>
      <c r="B500" s="150"/>
      <c r="C500" s="70" t="s">
        <v>983</v>
      </c>
      <c r="D500" s="33" t="s">
        <v>1909</v>
      </c>
      <c r="E500" s="34" t="s">
        <v>819</v>
      </c>
      <c r="F500" s="35">
        <v>1739925000</v>
      </c>
      <c r="G500" s="210">
        <v>0</v>
      </c>
      <c r="H500" s="210">
        <v>0</v>
      </c>
      <c r="I500" s="210">
        <v>1739925000</v>
      </c>
      <c r="J500" s="210">
        <v>-65848270</v>
      </c>
      <c r="K500" s="210">
        <v>1605833600</v>
      </c>
      <c r="L500" s="210">
        <v>1605833600</v>
      </c>
      <c r="M500" s="210">
        <v>1605833600</v>
      </c>
      <c r="N500" s="210">
        <v>0</v>
      </c>
      <c r="O500" s="210">
        <v>0</v>
      </c>
      <c r="P500" s="242">
        <v>0.23740675222371063</v>
      </c>
    </row>
    <row r="501" spans="1:16" s="8" customFormat="1">
      <c r="A501" s="107" t="s">
        <v>1991</v>
      </c>
      <c r="B501" s="149" t="s">
        <v>2017</v>
      </c>
      <c r="C501" s="18" t="s">
        <v>1992</v>
      </c>
      <c r="D501" s="30"/>
      <c r="E501" s="17" t="s">
        <v>1993</v>
      </c>
      <c r="F501" s="16">
        <f>SUM(F502:F503)</f>
        <v>0</v>
      </c>
      <c r="G501" s="203">
        <f t="shared" ref="G501:O501" si="157">SUM(G502:G503)</f>
        <v>0</v>
      </c>
      <c r="H501" s="203">
        <f t="shared" si="157"/>
        <v>0</v>
      </c>
      <c r="I501" s="203">
        <f t="shared" si="157"/>
        <v>0</v>
      </c>
      <c r="J501" s="203">
        <f t="shared" si="157"/>
        <v>0</v>
      </c>
      <c r="K501" s="203">
        <f t="shared" si="157"/>
        <v>0</v>
      </c>
      <c r="L501" s="203">
        <f t="shared" si="157"/>
        <v>0</v>
      </c>
      <c r="M501" s="203">
        <f t="shared" si="157"/>
        <v>0</v>
      </c>
      <c r="N501" s="203">
        <f t="shared" si="157"/>
        <v>0</v>
      </c>
      <c r="O501" s="203">
        <f t="shared" si="157"/>
        <v>0</v>
      </c>
      <c r="P501" s="237">
        <v>0.23740675222371063</v>
      </c>
    </row>
    <row r="502" spans="1:16" s="8" customFormat="1">
      <c r="A502" s="108"/>
      <c r="B502" s="150"/>
      <c r="C502" s="70" t="s">
        <v>1992</v>
      </c>
      <c r="D502" s="33" t="s">
        <v>1954</v>
      </c>
      <c r="E502" s="34" t="s">
        <v>1020</v>
      </c>
      <c r="F502" s="35">
        <v>0</v>
      </c>
      <c r="G502" s="210">
        <v>0</v>
      </c>
      <c r="H502" s="210">
        <v>0</v>
      </c>
      <c r="I502" s="210">
        <v>0</v>
      </c>
      <c r="J502" s="210">
        <v>0</v>
      </c>
      <c r="K502" s="210">
        <v>0</v>
      </c>
      <c r="L502" s="210">
        <v>0</v>
      </c>
      <c r="M502" s="210">
        <v>0</v>
      </c>
      <c r="N502" s="210">
        <v>0</v>
      </c>
      <c r="O502" s="210">
        <v>0</v>
      </c>
      <c r="P502" s="242">
        <v>0.23740675222371063</v>
      </c>
    </row>
    <row r="503" spans="1:16" s="6" customFormat="1">
      <c r="A503" s="108"/>
      <c r="B503" s="150"/>
      <c r="C503" s="70" t="s">
        <v>1992</v>
      </c>
      <c r="D503" s="33" t="s">
        <v>1909</v>
      </c>
      <c r="E503" s="34" t="s">
        <v>819</v>
      </c>
      <c r="F503" s="35">
        <v>0</v>
      </c>
      <c r="G503" s="210">
        <v>0</v>
      </c>
      <c r="H503" s="210">
        <v>0</v>
      </c>
      <c r="I503" s="210">
        <v>0</v>
      </c>
      <c r="J503" s="210">
        <v>0</v>
      </c>
      <c r="K503" s="210">
        <v>0</v>
      </c>
      <c r="L503" s="210">
        <v>0</v>
      </c>
      <c r="M503" s="210">
        <v>0</v>
      </c>
      <c r="N503" s="210">
        <v>0</v>
      </c>
      <c r="O503" s="210">
        <v>0</v>
      </c>
      <c r="P503" s="242">
        <v>0.23740675222371063</v>
      </c>
    </row>
    <row r="504" spans="1:16" s="7" customFormat="1">
      <c r="A504" s="134" t="s">
        <v>985</v>
      </c>
      <c r="B504" s="123" t="s">
        <v>1531</v>
      </c>
      <c r="C504" s="124" t="s">
        <v>986</v>
      </c>
      <c r="D504" s="67"/>
      <c r="E504" s="25" t="s">
        <v>987</v>
      </c>
      <c r="F504" s="68">
        <f>+F505</f>
        <v>69888000</v>
      </c>
      <c r="G504" s="68">
        <f t="shared" ref="G504:O505" si="158">+G505</f>
        <v>0</v>
      </c>
      <c r="H504" s="68">
        <f t="shared" si="158"/>
        <v>0</v>
      </c>
      <c r="I504" s="68">
        <f t="shared" si="158"/>
        <v>69888000</v>
      </c>
      <c r="J504" s="68">
        <f t="shared" si="158"/>
        <v>0</v>
      </c>
      <c r="K504" s="68">
        <f t="shared" si="158"/>
        <v>0</v>
      </c>
      <c r="L504" s="68">
        <f t="shared" si="158"/>
        <v>0</v>
      </c>
      <c r="M504" s="68">
        <f t="shared" si="158"/>
        <v>0</v>
      </c>
      <c r="N504" s="68">
        <f t="shared" si="158"/>
        <v>0</v>
      </c>
      <c r="O504" s="68">
        <f t="shared" si="158"/>
        <v>0</v>
      </c>
      <c r="P504" s="229">
        <v>0.23740675222371063</v>
      </c>
    </row>
    <row r="505" spans="1:16" s="8" customFormat="1">
      <c r="A505" s="107" t="s">
        <v>988</v>
      </c>
      <c r="B505" s="149" t="s">
        <v>1554</v>
      </c>
      <c r="C505" s="18" t="s">
        <v>989</v>
      </c>
      <c r="D505" s="30"/>
      <c r="E505" s="17" t="s">
        <v>990</v>
      </c>
      <c r="F505" s="203">
        <f>+F506</f>
        <v>69888000</v>
      </c>
      <c r="G505" s="203">
        <f t="shared" si="158"/>
        <v>0</v>
      </c>
      <c r="H505" s="203">
        <f t="shared" si="158"/>
        <v>0</v>
      </c>
      <c r="I505" s="203">
        <f t="shared" si="158"/>
        <v>69888000</v>
      </c>
      <c r="J505" s="203">
        <f t="shared" si="158"/>
        <v>0</v>
      </c>
      <c r="K505" s="203">
        <f t="shared" si="158"/>
        <v>0</v>
      </c>
      <c r="L505" s="203">
        <f t="shared" si="158"/>
        <v>0</v>
      </c>
      <c r="M505" s="203">
        <f t="shared" si="158"/>
        <v>0</v>
      </c>
      <c r="N505" s="203">
        <f t="shared" si="158"/>
        <v>0</v>
      </c>
      <c r="O505" s="203">
        <f t="shared" si="158"/>
        <v>0</v>
      </c>
      <c r="P505" s="237">
        <v>0.23740675222371063</v>
      </c>
    </row>
    <row r="506" spans="1:16" s="2" customFormat="1">
      <c r="A506" s="108"/>
      <c r="B506" s="150"/>
      <c r="C506" s="70" t="s">
        <v>989</v>
      </c>
      <c r="D506" s="33" t="s">
        <v>1933</v>
      </c>
      <c r="E506" s="34" t="s">
        <v>279</v>
      </c>
      <c r="F506" s="35">
        <v>69888000</v>
      </c>
      <c r="G506" s="210">
        <v>0</v>
      </c>
      <c r="H506" s="210">
        <v>0</v>
      </c>
      <c r="I506" s="210">
        <v>69888000</v>
      </c>
      <c r="J506" s="210">
        <v>0</v>
      </c>
      <c r="K506" s="210">
        <v>0</v>
      </c>
      <c r="L506" s="210">
        <v>0</v>
      </c>
      <c r="M506" s="210">
        <v>0</v>
      </c>
      <c r="N506" s="210">
        <v>0</v>
      </c>
      <c r="O506" s="210">
        <v>0</v>
      </c>
      <c r="P506" s="242">
        <v>0.23740675222371063</v>
      </c>
    </row>
    <row r="507" spans="1:16" s="2" customFormat="1">
      <c r="A507" s="136" t="s">
        <v>991</v>
      </c>
      <c r="B507" s="125" t="s">
        <v>1555</v>
      </c>
      <c r="C507" s="126" t="s">
        <v>992</v>
      </c>
      <c r="D507" s="29"/>
      <c r="E507" s="19" t="s">
        <v>993</v>
      </c>
      <c r="F507" s="20">
        <f>+F508+F516</f>
        <v>2549082000</v>
      </c>
      <c r="G507" s="20">
        <f t="shared" ref="G507:O507" si="159">+G508+G516</f>
        <v>0</v>
      </c>
      <c r="H507" s="20">
        <f t="shared" si="159"/>
        <v>3400527089</v>
      </c>
      <c r="I507" s="20">
        <f t="shared" si="159"/>
        <v>5949609089</v>
      </c>
      <c r="J507" s="20">
        <f t="shared" si="159"/>
        <v>109224335</v>
      </c>
      <c r="K507" s="20">
        <f t="shared" si="159"/>
        <v>5043025866</v>
      </c>
      <c r="L507" s="20">
        <f t="shared" si="159"/>
        <v>1275507220</v>
      </c>
      <c r="M507" s="20">
        <f t="shared" si="159"/>
        <v>5035975418</v>
      </c>
      <c r="N507" s="20">
        <f t="shared" si="159"/>
        <v>734859520</v>
      </c>
      <c r="O507" s="20">
        <f t="shared" si="159"/>
        <v>991465640</v>
      </c>
      <c r="P507" s="243">
        <v>0.23740675222371063</v>
      </c>
    </row>
    <row r="508" spans="1:16" s="8" customFormat="1">
      <c r="A508" s="107" t="s">
        <v>994</v>
      </c>
      <c r="B508" s="149" t="s">
        <v>1556</v>
      </c>
      <c r="C508" s="18" t="s">
        <v>995</v>
      </c>
      <c r="D508" s="30"/>
      <c r="E508" s="17" t="s">
        <v>996</v>
      </c>
      <c r="F508" s="203">
        <f>SUM(F509:F515)</f>
        <v>2549082000</v>
      </c>
      <c r="G508" s="203">
        <f t="shared" ref="G508:O508" si="160">SUM(G509:G515)</f>
        <v>0</v>
      </c>
      <c r="H508" s="203">
        <f t="shared" si="160"/>
        <v>3400527089</v>
      </c>
      <c r="I508" s="203">
        <f t="shared" si="160"/>
        <v>5949609089</v>
      </c>
      <c r="J508" s="203">
        <f t="shared" si="160"/>
        <v>109224335</v>
      </c>
      <c r="K508" s="203">
        <f t="shared" si="160"/>
        <v>5043025866</v>
      </c>
      <c r="L508" s="203">
        <f t="shared" si="160"/>
        <v>1275507220</v>
      </c>
      <c r="M508" s="203">
        <f t="shared" si="160"/>
        <v>5035975418</v>
      </c>
      <c r="N508" s="203">
        <f t="shared" si="160"/>
        <v>734859520</v>
      </c>
      <c r="O508" s="203">
        <f t="shared" si="160"/>
        <v>991465640</v>
      </c>
      <c r="P508" s="237">
        <v>0.23740675222371063</v>
      </c>
    </row>
    <row r="509" spans="1:16" s="8" customFormat="1">
      <c r="A509" s="108"/>
      <c r="B509" s="150"/>
      <c r="C509" s="70" t="s">
        <v>995</v>
      </c>
      <c r="D509" s="33" t="s">
        <v>1958</v>
      </c>
      <c r="E509" s="34" t="s">
        <v>997</v>
      </c>
      <c r="F509" s="35">
        <v>121176000</v>
      </c>
      <c r="G509" s="210">
        <v>0</v>
      </c>
      <c r="H509" s="210">
        <v>7050448</v>
      </c>
      <c r="I509" s="210">
        <v>128226448</v>
      </c>
      <c r="J509" s="210">
        <v>109224335</v>
      </c>
      <c r="K509" s="210">
        <v>109224335</v>
      </c>
      <c r="L509" s="210">
        <v>102173887</v>
      </c>
      <c r="M509" s="210">
        <v>102173887</v>
      </c>
      <c r="N509" s="210">
        <v>0</v>
      </c>
      <c r="O509" s="210">
        <v>0</v>
      </c>
      <c r="P509" s="242">
        <v>0.23740675222371063</v>
      </c>
    </row>
    <row r="510" spans="1:16" s="8" customFormat="1">
      <c r="A510" s="108"/>
      <c r="B510" s="150"/>
      <c r="C510" s="70" t="s">
        <v>995</v>
      </c>
      <c r="D510" s="33" t="s">
        <v>1940</v>
      </c>
      <c r="E510" s="34" t="s">
        <v>912</v>
      </c>
      <c r="F510" s="35">
        <v>274640000</v>
      </c>
      <c r="G510" s="210">
        <v>0</v>
      </c>
      <c r="H510" s="210">
        <v>611964234</v>
      </c>
      <c r="I510" s="210">
        <v>886604234</v>
      </c>
      <c r="J510" s="210">
        <v>0</v>
      </c>
      <c r="K510" s="210">
        <v>273262446</v>
      </c>
      <c r="L510" s="210">
        <v>0</v>
      </c>
      <c r="M510" s="210">
        <v>273262446</v>
      </c>
      <c r="N510" s="210">
        <v>110846335</v>
      </c>
      <c r="O510" s="210">
        <v>110846335</v>
      </c>
      <c r="P510" s="242">
        <v>0.23740675222371063</v>
      </c>
    </row>
    <row r="511" spans="1:16" s="8" customFormat="1">
      <c r="A511" s="108"/>
      <c r="B511" s="150"/>
      <c r="C511" s="70" t="s">
        <v>995</v>
      </c>
      <c r="D511" s="33" t="s">
        <v>1945</v>
      </c>
      <c r="E511" s="34" t="s">
        <v>781</v>
      </c>
      <c r="F511" s="35">
        <v>203928000</v>
      </c>
      <c r="G511" s="210">
        <v>0</v>
      </c>
      <c r="H511" s="210">
        <v>64464461</v>
      </c>
      <c r="I511" s="210">
        <v>268392461</v>
      </c>
      <c r="J511" s="210">
        <v>0</v>
      </c>
      <c r="K511" s="210">
        <v>239992690</v>
      </c>
      <c r="L511" s="210">
        <v>0</v>
      </c>
      <c r="M511" s="210">
        <v>239992690</v>
      </c>
      <c r="N511" s="210">
        <v>0</v>
      </c>
      <c r="O511" s="210">
        <v>57684478</v>
      </c>
      <c r="P511" s="242">
        <v>0.23740675222371063</v>
      </c>
    </row>
    <row r="512" spans="1:16" s="8" customFormat="1">
      <c r="A512" s="108"/>
      <c r="B512" s="150"/>
      <c r="C512" s="70" t="s">
        <v>995</v>
      </c>
      <c r="D512" s="33" t="s">
        <v>1937</v>
      </c>
      <c r="E512" s="34" t="s">
        <v>998</v>
      </c>
      <c r="F512" s="35">
        <v>759085000</v>
      </c>
      <c r="G512" s="210">
        <v>0</v>
      </c>
      <c r="H512" s="210">
        <v>1230634280</v>
      </c>
      <c r="I512" s="210">
        <v>1989719280</v>
      </c>
      <c r="J512" s="210">
        <v>0</v>
      </c>
      <c r="K512" s="210">
        <v>1743879729</v>
      </c>
      <c r="L512" s="210">
        <v>0</v>
      </c>
      <c r="M512" s="210">
        <v>1743879729</v>
      </c>
      <c r="N512" s="210">
        <v>305013185</v>
      </c>
      <c r="O512" s="210">
        <v>503934827</v>
      </c>
      <c r="P512" s="242">
        <v>0.23740675222371063</v>
      </c>
    </row>
    <row r="513" spans="1:16" s="8" customFormat="1">
      <c r="A513" s="108"/>
      <c r="B513" s="150"/>
      <c r="C513" s="70" t="s">
        <v>995</v>
      </c>
      <c r="D513" s="33" t="s">
        <v>1942</v>
      </c>
      <c r="E513" s="34" t="s">
        <v>913</v>
      </c>
      <c r="F513" s="35">
        <v>627588000</v>
      </c>
      <c r="G513" s="210">
        <v>0</v>
      </c>
      <c r="H513" s="210">
        <v>1166245333</v>
      </c>
      <c r="I513" s="210">
        <v>1793833333</v>
      </c>
      <c r="J513" s="210">
        <v>0</v>
      </c>
      <c r="K513" s="210">
        <v>1793833333</v>
      </c>
      <c r="L513" s="210">
        <v>450000000</v>
      </c>
      <c r="M513" s="210">
        <v>1793833333</v>
      </c>
      <c r="N513" s="210">
        <v>159500000</v>
      </c>
      <c r="O513" s="210">
        <v>159500000</v>
      </c>
      <c r="P513" s="242">
        <v>0.23740675222371063</v>
      </c>
    </row>
    <row r="514" spans="1:16" s="8" customFormat="1">
      <c r="A514" s="108"/>
      <c r="B514" s="150"/>
      <c r="C514" s="70" t="s">
        <v>995</v>
      </c>
      <c r="D514" s="33" t="s">
        <v>1936</v>
      </c>
      <c r="E514" s="34" t="s">
        <v>908</v>
      </c>
      <c r="F514" s="35">
        <v>562665000</v>
      </c>
      <c r="G514" s="210">
        <v>0</v>
      </c>
      <c r="H514" s="210">
        <v>320168333</v>
      </c>
      <c r="I514" s="210">
        <v>882833333</v>
      </c>
      <c r="J514" s="210">
        <v>0</v>
      </c>
      <c r="K514" s="210">
        <v>882833333</v>
      </c>
      <c r="L514" s="210">
        <v>723333333</v>
      </c>
      <c r="M514" s="210">
        <v>882833333</v>
      </c>
      <c r="N514" s="210">
        <v>159500000</v>
      </c>
      <c r="O514" s="210">
        <v>159500000</v>
      </c>
      <c r="P514" s="242">
        <v>0.23740675222371063</v>
      </c>
    </row>
    <row r="515" spans="1:16" s="2" customFormat="1">
      <c r="A515" s="108"/>
      <c r="B515" s="150"/>
      <c r="C515" s="70" t="s">
        <v>995</v>
      </c>
      <c r="D515" s="33" t="s">
        <v>1959</v>
      </c>
      <c r="E515" s="34" t="s">
        <v>999</v>
      </c>
      <c r="F515" s="35">
        <v>0</v>
      </c>
      <c r="G515" s="210">
        <v>0</v>
      </c>
      <c r="H515" s="210">
        <v>0</v>
      </c>
      <c r="I515" s="210">
        <v>0</v>
      </c>
      <c r="J515" s="210">
        <v>0</v>
      </c>
      <c r="K515" s="210">
        <v>0</v>
      </c>
      <c r="L515" s="210">
        <v>0</v>
      </c>
      <c r="M515" s="210">
        <v>0</v>
      </c>
      <c r="N515" s="210">
        <v>0</v>
      </c>
      <c r="O515" s="210">
        <v>0</v>
      </c>
      <c r="P515" s="242">
        <v>0.23740675222371063</v>
      </c>
    </row>
    <row r="516" spans="1:16" s="2" customFormat="1">
      <c r="A516" s="107" t="s">
        <v>1000</v>
      </c>
      <c r="B516" s="149" t="s">
        <v>1824</v>
      </c>
      <c r="C516" s="18" t="s">
        <v>1001</v>
      </c>
      <c r="D516" s="30"/>
      <c r="E516" s="17" t="s">
        <v>1002</v>
      </c>
      <c r="F516" s="16">
        <v>0</v>
      </c>
      <c r="G516" s="203">
        <v>0</v>
      </c>
      <c r="H516" s="203">
        <v>0</v>
      </c>
      <c r="I516" s="203">
        <v>0</v>
      </c>
      <c r="J516" s="203">
        <v>0</v>
      </c>
      <c r="K516" s="203">
        <v>0</v>
      </c>
      <c r="L516" s="203">
        <v>0</v>
      </c>
      <c r="M516" s="203">
        <v>0</v>
      </c>
      <c r="N516" s="203">
        <v>0</v>
      </c>
      <c r="O516" s="203">
        <v>0</v>
      </c>
      <c r="P516" s="237">
        <v>0.23740675222371063</v>
      </c>
    </row>
    <row r="517" spans="1:16" s="7" customFormat="1">
      <c r="A517" s="136" t="s">
        <v>1003</v>
      </c>
      <c r="B517" s="125" t="s">
        <v>1547</v>
      </c>
      <c r="C517" s="126" t="s">
        <v>1004</v>
      </c>
      <c r="D517" s="29"/>
      <c r="E517" s="19" t="s">
        <v>1005</v>
      </c>
      <c r="F517" s="20">
        <f>+F518</f>
        <v>125478000</v>
      </c>
      <c r="G517" s="20">
        <f t="shared" ref="G517:O517" si="161">+G518</f>
        <v>0</v>
      </c>
      <c r="H517" s="20">
        <f t="shared" si="161"/>
        <v>0</v>
      </c>
      <c r="I517" s="20">
        <f t="shared" si="161"/>
        <v>125478000</v>
      </c>
      <c r="J517" s="20">
        <f t="shared" si="161"/>
        <v>0</v>
      </c>
      <c r="K517" s="20">
        <f t="shared" si="161"/>
        <v>0</v>
      </c>
      <c r="L517" s="20">
        <f t="shared" si="161"/>
        <v>0</v>
      </c>
      <c r="M517" s="20">
        <f t="shared" si="161"/>
        <v>0</v>
      </c>
      <c r="N517" s="20">
        <f t="shared" si="161"/>
        <v>0</v>
      </c>
      <c r="O517" s="20">
        <f t="shared" si="161"/>
        <v>0</v>
      </c>
      <c r="P517" s="243">
        <v>0.23740675222371063</v>
      </c>
    </row>
    <row r="518" spans="1:16" s="8" customFormat="1">
      <c r="A518" s="107" t="s">
        <v>1006</v>
      </c>
      <c r="B518" s="149" t="s">
        <v>1825</v>
      </c>
      <c r="C518" s="18" t="s">
        <v>1007</v>
      </c>
      <c r="D518" s="30"/>
      <c r="E518" s="17" t="s">
        <v>1008</v>
      </c>
      <c r="F518" s="16">
        <f>SUM(F519:F519)</f>
        <v>125478000</v>
      </c>
      <c r="G518" s="203">
        <f t="shared" ref="G518:O518" si="162">SUM(G519:G519)</f>
        <v>0</v>
      </c>
      <c r="H518" s="203">
        <f t="shared" si="162"/>
        <v>0</v>
      </c>
      <c r="I518" s="203">
        <f t="shared" si="162"/>
        <v>125478000</v>
      </c>
      <c r="J518" s="203">
        <f t="shared" si="162"/>
        <v>0</v>
      </c>
      <c r="K518" s="203">
        <f t="shared" si="162"/>
        <v>0</v>
      </c>
      <c r="L518" s="203">
        <f t="shared" si="162"/>
        <v>0</v>
      </c>
      <c r="M518" s="203">
        <f t="shared" si="162"/>
        <v>0</v>
      </c>
      <c r="N518" s="203">
        <f t="shared" si="162"/>
        <v>0</v>
      </c>
      <c r="O518" s="203">
        <f t="shared" si="162"/>
        <v>0</v>
      </c>
      <c r="P518" s="237">
        <v>0.23740675222371063</v>
      </c>
    </row>
    <row r="519" spans="1:16" s="6" customFormat="1">
      <c r="A519" s="108"/>
      <c r="B519" s="150"/>
      <c r="C519" s="70" t="s">
        <v>1007</v>
      </c>
      <c r="D519" s="33" t="s">
        <v>1943</v>
      </c>
      <c r="E519" s="34" t="s">
        <v>763</v>
      </c>
      <c r="F519" s="35">
        <v>125478000</v>
      </c>
      <c r="G519" s="210">
        <v>0</v>
      </c>
      <c r="H519" s="210">
        <v>0</v>
      </c>
      <c r="I519" s="210">
        <v>125478000</v>
      </c>
      <c r="J519" s="210">
        <v>0</v>
      </c>
      <c r="K519" s="210">
        <v>0</v>
      </c>
      <c r="L519" s="210">
        <v>0</v>
      </c>
      <c r="M519" s="210">
        <v>0</v>
      </c>
      <c r="N519" s="210">
        <v>0</v>
      </c>
      <c r="O519" s="210">
        <v>0</v>
      </c>
      <c r="P519" s="242">
        <v>0.23740675222371063</v>
      </c>
    </row>
    <row r="520" spans="1:16" s="2" customFormat="1">
      <c r="A520" s="173" t="s">
        <v>1009</v>
      </c>
      <c r="B520" s="155" t="s">
        <v>1531</v>
      </c>
      <c r="C520" s="156" t="s">
        <v>1010</v>
      </c>
      <c r="D520" s="74"/>
      <c r="E520" s="40" t="s">
        <v>1011</v>
      </c>
      <c r="F520" s="75">
        <f>+F521+F529+F539+F634+F648+F709+F717+F752</f>
        <v>91282416000</v>
      </c>
      <c r="G520" s="75">
        <f t="shared" ref="G520:O520" si="163">+G521+G529+G539+G634+G648+G709+G717+G752</f>
        <v>12327819036</v>
      </c>
      <c r="H520" s="75">
        <f t="shared" si="163"/>
        <v>27962197944</v>
      </c>
      <c r="I520" s="75">
        <f t="shared" si="163"/>
        <v>119244613944</v>
      </c>
      <c r="J520" s="75">
        <f t="shared" si="163"/>
        <v>8565175947</v>
      </c>
      <c r="K520" s="75">
        <f t="shared" si="163"/>
        <v>97721390378</v>
      </c>
      <c r="L520" s="75">
        <f t="shared" si="163"/>
        <v>17811999944</v>
      </c>
      <c r="M520" s="75">
        <f t="shared" si="163"/>
        <v>92145414295</v>
      </c>
      <c r="N520" s="75">
        <f t="shared" si="163"/>
        <v>4143329828</v>
      </c>
      <c r="O520" s="75">
        <f t="shared" si="163"/>
        <v>57980422404</v>
      </c>
      <c r="P520" s="246">
        <v>0.23740675222371063</v>
      </c>
    </row>
    <row r="521" spans="1:16" s="2" customFormat="1">
      <c r="A521" s="136" t="s">
        <v>1012</v>
      </c>
      <c r="B521" s="125" t="s">
        <v>1826</v>
      </c>
      <c r="C521" s="126" t="s">
        <v>1013</v>
      </c>
      <c r="D521" s="29"/>
      <c r="E521" s="19" t="s">
        <v>1014</v>
      </c>
      <c r="F521" s="20">
        <f>+F522</f>
        <v>584972000</v>
      </c>
      <c r="G521" s="20">
        <f t="shared" ref="G521:O521" si="164">+G522</f>
        <v>0</v>
      </c>
      <c r="H521" s="20">
        <f t="shared" si="164"/>
        <v>-20239120</v>
      </c>
      <c r="I521" s="20">
        <f t="shared" si="164"/>
        <v>564732880</v>
      </c>
      <c r="J521" s="20">
        <f t="shared" si="164"/>
        <v>1000000</v>
      </c>
      <c r="K521" s="20">
        <f t="shared" si="164"/>
        <v>183831670</v>
      </c>
      <c r="L521" s="20">
        <f t="shared" si="164"/>
        <v>10478712</v>
      </c>
      <c r="M521" s="20">
        <f t="shared" si="164"/>
        <v>87987718</v>
      </c>
      <c r="N521" s="20">
        <f t="shared" si="164"/>
        <v>8373400</v>
      </c>
      <c r="O521" s="20">
        <f t="shared" si="164"/>
        <v>52517870</v>
      </c>
      <c r="P521" s="243">
        <v>0.23740675222371063</v>
      </c>
    </row>
    <row r="522" spans="1:16" s="8" customFormat="1">
      <c r="A522" s="107" t="s">
        <v>1015</v>
      </c>
      <c r="B522" s="149" t="s">
        <v>1827</v>
      </c>
      <c r="C522" s="18" t="s">
        <v>1016</v>
      </c>
      <c r="D522" s="30"/>
      <c r="E522" s="17" t="s">
        <v>1017</v>
      </c>
      <c r="F522" s="203">
        <f>SUM(F523:F528)</f>
        <v>584972000</v>
      </c>
      <c r="G522" s="203">
        <f t="shared" ref="G522:O522" si="165">SUM(G523:G528)</f>
        <v>0</v>
      </c>
      <c r="H522" s="203">
        <f t="shared" si="165"/>
        <v>-20239120</v>
      </c>
      <c r="I522" s="203">
        <f t="shared" si="165"/>
        <v>564732880</v>
      </c>
      <c r="J522" s="203">
        <f t="shared" si="165"/>
        <v>1000000</v>
      </c>
      <c r="K522" s="203">
        <f t="shared" si="165"/>
        <v>183831670</v>
      </c>
      <c r="L522" s="203">
        <f t="shared" si="165"/>
        <v>10478712</v>
      </c>
      <c r="M522" s="203">
        <f t="shared" si="165"/>
        <v>87987718</v>
      </c>
      <c r="N522" s="203">
        <f t="shared" si="165"/>
        <v>8373400</v>
      </c>
      <c r="O522" s="203">
        <f t="shared" si="165"/>
        <v>52517870</v>
      </c>
      <c r="P522" s="237">
        <v>0.23740675222371063</v>
      </c>
    </row>
    <row r="523" spans="1:16" s="8" customFormat="1">
      <c r="A523" s="108"/>
      <c r="B523" s="150"/>
      <c r="C523" s="70" t="s">
        <v>1016</v>
      </c>
      <c r="D523" s="33" t="s">
        <v>1960</v>
      </c>
      <c r="E523" s="34" t="s">
        <v>1018</v>
      </c>
      <c r="F523" s="35">
        <v>60000000</v>
      </c>
      <c r="G523" s="210">
        <v>0</v>
      </c>
      <c r="H523" s="210">
        <v>0</v>
      </c>
      <c r="I523" s="210">
        <v>60000000</v>
      </c>
      <c r="J523" s="210">
        <v>0</v>
      </c>
      <c r="K523" s="210">
        <v>24512670</v>
      </c>
      <c r="L523" s="210">
        <v>0</v>
      </c>
      <c r="M523" s="210">
        <v>24512656</v>
      </c>
      <c r="N523" s="210">
        <v>0</v>
      </c>
      <c r="O523" s="210">
        <v>0</v>
      </c>
      <c r="P523" s="242">
        <v>0.23740675222371063</v>
      </c>
    </row>
    <row r="524" spans="1:16" s="8" customFormat="1">
      <c r="A524" s="108"/>
      <c r="B524" s="150"/>
      <c r="C524" s="70" t="s">
        <v>1016</v>
      </c>
      <c r="D524" s="33" t="s">
        <v>1940</v>
      </c>
      <c r="E524" s="34" t="s">
        <v>912</v>
      </c>
      <c r="F524" s="35">
        <v>10000000</v>
      </c>
      <c r="G524" s="210">
        <v>0</v>
      </c>
      <c r="H524" s="210">
        <v>0</v>
      </c>
      <c r="I524" s="210">
        <v>10000000</v>
      </c>
      <c r="J524" s="210">
        <v>1000000</v>
      </c>
      <c r="K524" s="210">
        <v>3000000</v>
      </c>
      <c r="L524" s="210">
        <v>0</v>
      </c>
      <c r="M524" s="210">
        <v>2000000</v>
      </c>
      <c r="N524" s="210">
        <v>0</v>
      </c>
      <c r="O524" s="210">
        <v>2000000</v>
      </c>
      <c r="P524" s="242">
        <v>0.23740675222371063</v>
      </c>
    </row>
    <row r="525" spans="1:16" s="8" customFormat="1">
      <c r="A525" s="108"/>
      <c r="B525" s="150"/>
      <c r="C525" s="70" t="s">
        <v>1016</v>
      </c>
      <c r="D525" s="33" t="s">
        <v>1938</v>
      </c>
      <c r="E525" s="34" t="s">
        <v>1019</v>
      </c>
      <c r="F525" s="35">
        <v>4569000</v>
      </c>
      <c r="G525" s="210">
        <v>0</v>
      </c>
      <c r="H525" s="210">
        <v>0</v>
      </c>
      <c r="I525" s="210">
        <v>4569000</v>
      </c>
      <c r="J525" s="210">
        <v>0</v>
      </c>
      <c r="K525" s="210">
        <v>4569000</v>
      </c>
      <c r="L525" s="210">
        <v>1435440</v>
      </c>
      <c r="M525" s="210">
        <v>3349360</v>
      </c>
      <c r="N525" s="210">
        <v>0</v>
      </c>
      <c r="O525" s="210">
        <v>1435440</v>
      </c>
      <c r="P525" s="242">
        <v>0.23740675222371063</v>
      </c>
    </row>
    <row r="526" spans="1:16" s="8" customFormat="1">
      <c r="A526" s="108"/>
      <c r="B526" s="150"/>
      <c r="C526" s="70" t="s">
        <v>1016</v>
      </c>
      <c r="D526" s="33" t="s">
        <v>1942</v>
      </c>
      <c r="E526" s="34" t="s">
        <v>913</v>
      </c>
      <c r="F526" s="35">
        <v>2132000</v>
      </c>
      <c r="G526" s="210">
        <v>0</v>
      </c>
      <c r="H526" s="210">
        <v>0</v>
      </c>
      <c r="I526" s="210">
        <v>2132000</v>
      </c>
      <c r="J526" s="210">
        <v>0</v>
      </c>
      <c r="K526" s="210">
        <v>1750000</v>
      </c>
      <c r="L526" s="210">
        <v>0</v>
      </c>
      <c r="M526" s="210">
        <v>1750000</v>
      </c>
      <c r="N526" s="210">
        <v>0</v>
      </c>
      <c r="O526" s="210">
        <v>1750000</v>
      </c>
      <c r="P526" s="242">
        <v>0.23740675222371063</v>
      </c>
    </row>
    <row r="527" spans="1:16" s="8" customFormat="1">
      <c r="A527" s="108"/>
      <c r="B527" s="150"/>
      <c r="C527" s="70" t="s">
        <v>1016</v>
      </c>
      <c r="D527" s="33" t="s">
        <v>1954</v>
      </c>
      <c r="E527" s="34" t="s">
        <v>1020</v>
      </c>
      <c r="F527" s="35">
        <v>461237000</v>
      </c>
      <c r="G527" s="210">
        <v>0</v>
      </c>
      <c r="H527" s="210">
        <v>0</v>
      </c>
      <c r="I527" s="210">
        <v>461237000</v>
      </c>
      <c r="J527" s="210">
        <v>0</v>
      </c>
      <c r="K527" s="210">
        <v>150000000</v>
      </c>
      <c r="L527" s="210">
        <v>9043272</v>
      </c>
      <c r="M527" s="210">
        <v>56375702</v>
      </c>
      <c r="N527" s="210">
        <v>8373400</v>
      </c>
      <c r="O527" s="210">
        <v>47332430</v>
      </c>
      <c r="P527" s="242">
        <v>0.23740675222371063</v>
      </c>
    </row>
    <row r="528" spans="1:16" s="2" customFormat="1">
      <c r="A528" s="108"/>
      <c r="B528" s="150"/>
      <c r="C528" s="70" t="s">
        <v>1016</v>
      </c>
      <c r="D528" s="33" t="s">
        <v>1936</v>
      </c>
      <c r="E528" s="34" t="s">
        <v>908</v>
      </c>
      <c r="F528" s="35">
        <v>47034000</v>
      </c>
      <c r="G528" s="210">
        <v>0</v>
      </c>
      <c r="H528" s="210">
        <v>-20239120</v>
      </c>
      <c r="I528" s="210">
        <v>26794880</v>
      </c>
      <c r="J528" s="210">
        <v>0</v>
      </c>
      <c r="K528" s="210">
        <v>0</v>
      </c>
      <c r="L528" s="210">
        <v>0</v>
      </c>
      <c r="M528" s="210">
        <v>0</v>
      </c>
      <c r="N528" s="210">
        <v>0</v>
      </c>
      <c r="O528" s="210">
        <v>0</v>
      </c>
      <c r="P528" s="242">
        <v>0.23740675222371063</v>
      </c>
    </row>
    <row r="529" spans="1:16" s="7" customFormat="1">
      <c r="A529" s="136" t="s">
        <v>1021</v>
      </c>
      <c r="B529" s="125" t="s">
        <v>1828</v>
      </c>
      <c r="C529" s="126" t="s">
        <v>1022</v>
      </c>
      <c r="D529" s="29"/>
      <c r="E529" s="19" t="s">
        <v>1023</v>
      </c>
      <c r="F529" s="20">
        <f>+F530+F531+F535+F536</f>
        <v>1841083000</v>
      </c>
      <c r="G529" s="20">
        <f t="shared" ref="G529:O529" si="166">+G530+G531+G535+G536</f>
        <v>0</v>
      </c>
      <c r="H529" s="20">
        <f t="shared" si="166"/>
        <v>691663913</v>
      </c>
      <c r="I529" s="20">
        <f t="shared" si="166"/>
        <v>2532746913</v>
      </c>
      <c r="J529" s="20">
        <f t="shared" si="166"/>
        <v>70526168</v>
      </c>
      <c r="K529" s="20">
        <f t="shared" si="166"/>
        <v>1932020463</v>
      </c>
      <c r="L529" s="20">
        <f t="shared" si="166"/>
        <v>281325876</v>
      </c>
      <c r="M529" s="20">
        <f t="shared" si="166"/>
        <v>1844558011</v>
      </c>
      <c r="N529" s="20">
        <f t="shared" si="166"/>
        <v>118871914</v>
      </c>
      <c r="O529" s="20">
        <f t="shared" si="166"/>
        <v>1276593649</v>
      </c>
      <c r="P529" s="243">
        <v>0.23740675222371063</v>
      </c>
    </row>
    <row r="530" spans="1:16" s="2" customFormat="1">
      <c r="A530" s="107" t="s">
        <v>1024</v>
      </c>
      <c r="B530" s="149" t="s">
        <v>1531</v>
      </c>
      <c r="C530" s="18" t="s">
        <v>1025</v>
      </c>
      <c r="D530" s="30"/>
      <c r="E530" s="30" t="s">
        <v>1026</v>
      </c>
      <c r="F530" s="16">
        <v>0</v>
      </c>
      <c r="G530" s="203">
        <v>0</v>
      </c>
      <c r="H530" s="203">
        <v>0</v>
      </c>
      <c r="I530" s="203">
        <v>0</v>
      </c>
      <c r="J530" s="203">
        <v>0</v>
      </c>
      <c r="K530" s="203">
        <v>0</v>
      </c>
      <c r="L530" s="203">
        <v>0</v>
      </c>
      <c r="M530" s="203">
        <v>0</v>
      </c>
      <c r="N530" s="203">
        <v>0</v>
      </c>
      <c r="O530" s="203">
        <v>0</v>
      </c>
      <c r="P530" s="237">
        <v>0.23740675222371063</v>
      </c>
    </row>
    <row r="531" spans="1:16" s="8" customFormat="1">
      <c r="A531" s="107" t="s">
        <v>1027</v>
      </c>
      <c r="B531" s="149" t="s">
        <v>1829</v>
      </c>
      <c r="C531" s="18" t="s">
        <v>1028</v>
      </c>
      <c r="D531" s="30"/>
      <c r="E531" s="17" t="s">
        <v>1029</v>
      </c>
      <c r="F531" s="16">
        <f>SUM(F532:F534)</f>
        <v>1968000</v>
      </c>
      <c r="G531" s="203">
        <f t="shared" ref="G531:O531" si="167">SUM(G532:G534)</f>
        <v>0</v>
      </c>
      <c r="H531" s="203">
        <f t="shared" si="167"/>
        <v>1300000</v>
      </c>
      <c r="I531" s="203">
        <f t="shared" si="167"/>
        <v>3268000</v>
      </c>
      <c r="J531" s="203">
        <f t="shared" si="167"/>
        <v>0</v>
      </c>
      <c r="K531" s="203">
        <f t="shared" si="167"/>
        <v>2874446</v>
      </c>
      <c r="L531" s="203">
        <f t="shared" si="167"/>
        <v>525385</v>
      </c>
      <c r="M531" s="203">
        <f t="shared" si="167"/>
        <v>2874446</v>
      </c>
      <c r="N531" s="203">
        <f t="shared" si="167"/>
        <v>525385</v>
      </c>
      <c r="O531" s="203">
        <f t="shared" si="167"/>
        <v>2874446</v>
      </c>
      <c r="P531" s="237">
        <v>0.23740675222371063</v>
      </c>
    </row>
    <row r="532" spans="1:16" s="8" customFormat="1">
      <c r="A532" s="108"/>
      <c r="B532" s="150"/>
      <c r="C532" s="70" t="s">
        <v>1028</v>
      </c>
      <c r="D532" s="33" t="s">
        <v>1933</v>
      </c>
      <c r="E532" s="34" t="s">
        <v>279</v>
      </c>
      <c r="F532" s="35">
        <v>372000</v>
      </c>
      <c r="G532" s="210">
        <v>0</v>
      </c>
      <c r="H532" s="210">
        <v>0</v>
      </c>
      <c r="I532" s="210">
        <v>372000</v>
      </c>
      <c r="J532" s="210">
        <v>0</v>
      </c>
      <c r="K532" s="210">
        <v>357000</v>
      </c>
      <c r="L532" s="210">
        <v>0</v>
      </c>
      <c r="M532" s="210">
        <v>357000</v>
      </c>
      <c r="N532" s="210">
        <v>0</v>
      </c>
      <c r="O532" s="210">
        <v>357000</v>
      </c>
      <c r="P532" s="242">
        <v>0.23740675222371063</v>
      </c>
    </row>
    <row r="533" spans="1:16" s="8" customFormat="1">
      <c r="A533" s="108"/>
      <c r="B533" s="150"/>
      <c r="C533" s="70" t="s">
        <v>1028</v>
      </c>
      <c r="D533" s="33" t="s">
        <v>1961</v>
      </c>
      <c r="E533" s="34" t="s">
        <v>1030</v>
      </c>
      <c r="F533" s="35">
        <v>0</v>
      </c>
      <c r="G533" s="210">
        <v>0</v>
      </c>
      <c r="H533" s="210">
        <v>2020000</v>
      </c>
      <c r="I533" s="210">
        <v>2020000</v>
      </c>
      <c r="J533" s="210">
        <v>0</v>
      </c>
      <c r="K533" s="210">
        <v>1992061</v>
      </c>
      <c r="L533" s="210">
        <v>0</v>
      </c>
      <c r="M533" s="210">
        <v>1992061</v>
      </c>
      <c r="N533" s="210">
        <v>0</v>
      </c>
      <c r="O533" s="210">
        <v>1992061</v>
      </c>
      <c r="P533" s="242">
        <v>0.23740675222371063</v>
      </c>
    </row>
    <row r="534" spans="1:16" s="7" customFormat="1">
      <c r="A534" s="108"/>
      <c r="B534" s="150"/>
      <c r="C534" s="70" t="s">
        <v>1028</v>
      </c>
      <c r="D534" s="33" t="s">
        <v>1955</v>
      </c>
      <c r="E534" s="34" t="s">
        <v>919</v>
      </c>
      <c r="F534" s="35">
        <v>1596000</v>
      </c>
      <c r="G534" s="210">
        <v>0</v>
      </c>
      <c r="H534" s="210">
        <v>-720000</v>
      </c>
      <c r="I534" s="210">
        <v>876000</v>
      </c>
      <c r="J534" s="210">
        <v>0</v>
      </c>
      <c r="K534" s="210">
        <v>525385</v>
      </c>
      <c r="L534" s="210">
        <v>525385</v>
      </c>
      <c r="M534" s="210">
        <v>525385</v>
      </c>
      <c r="N534" s="210">
        <v>525385</v>
      </c>
      <c r="O534" s="210">
        <v>525385</v>
      </c>
      <c r="P534" s="242">
        <v>0.23740675222371063</v>
      </c>
    </row>
    <row r="535" spans="1:16" s="2" customFormat="1">
      <c r="A535" s="107" t="s">
        <v>1031</v>
      </c>
      <c r="B535" s="149" t="s">
        <v>1830</v>
      </c>
      <c r="C535" s="18" t="s">
        <v>1032</v>
      </c>
      <c r="D535" s="30"/>
      <c r="E535" s="17" t="s">
        <v>1033</v>
      </c>
      <c r="F535" s="16">
        <v>0</v>
      </c>
      <c r="G535" s="203">
        <v>0</v>
      </c>
      <c r="H535" s="203">
        <v>0</v>
      </c>
      <c r="I535" s="203">
        <v>0</v>
      </c>
      <c r="J535" s="203">
        <v>0</v>
      </c>
      <c r="K535" s="203">
        <v>0</v>
      </c>
      <c r="L535" s="203">
        <v>0</v>
      </c>
      <c r="M535" s="203">
        <v>0</v>
      </c>
      <c r="N535" s="203">
        <v>0</v>
      </c>
      <c r="O535" s="203">
        <v>0</v>
      </c>
      <c r="P535" s="237">
        <v>0.23740675222371063</v>
      </c>
    </row>
    <row r="536" spans="1:16" s="8" customFormat="1">
      <c r="A536" s="107" t="s">
        <v>1034</v>
      </c>
      <c r="B536" s="149" t="s">
        <v>1831</v>
      </c>
      <c r="C536" s="18" t="s">
        <v>1035</v>
      </c>
      <c r="D536" s="30"/>
      <c r="E536" s="17" t="s">
        <v>1036</v>
      </c>
      <c r="F536" s="16">
        <f>SUM(F537:F538)</f>
        <v>1839115000</v>
      </c>
      <c r="G536" s="203">
        <f t="shared" ref="G536:O536" si="168">SUM(G537:G538)</f>
        <v>0</v>
      </c>
      <c r="H536" s="203">
        <f t="shared" si="168"/>
        <v>690363913</v>
      </c>
      <c r="I536" s="203">
        <f t="shared" si="168"/>
        <v>2529478913</v>
      </c>
      <c r="J536" s="203">
        <f t="shared" si="168"/>
        <v>70526168</v>
      </c>
      <c r="K536" s="203">
        <f t="shared" si="168"/>
        <v>1929146017</v>
      </c>
      <c r="L536" s="203">
        <f t="shared" si="168"/>
        <v>280800491</v>
      </c>
      <c r="M536" s="203">
        <f t="shared" si="168"/>
        <v>1841683565</v>
      </c>
      <c r="N536" s="203">
        <f t="shared" si="168"/>
        <v>118346529</v>
      </c>
      <c r="O536" s="203">
        <f t="shared" si="168"/>
        <v>1273719203</v>
      </c>
      <c r="P536" s="237">
        <v>0.23740675222371063</v>
      </c>
    </row>
    <row r="537" spans="1:16" s="8" customFormat="1">
      <c r="A537" s="108"/>
      <c r="B537" s="150"/>
      <c r="C537" s="70" t="s">
        <v>1035</v>
      </c>
      <c r="D537" s="33" t="s">
        <v>1962</v>
      </c>
      <c r="E537" s="34" t="s">
        <v>1037</v>
      </c>
      <c r="F537" s="35">
        <v>785075000</v>
      </c>
      <c r="G537" s="210">
        <v>0</v>
      </c>
      <c r="H537" s="210">
        <v>310484408</v>
      </c>
      <c r="I537" s="210">
        <v>1095559408</v>
      </c>
      <c r="J537" s="210">
        <v>24236588</v>
      </c>
      <c r="K537" s="210">
        <v>879151333</v>
      </c>
      <c r="L537" s="210">
        <v>234510911</v>
      </c>
      <c r="M537" s="210">
        <v>807495347</v>
      </c>
      <c r="N537" s="210">
        <v>28776556</v>
      </c>
      <c r="O537" s="210">
        <v>474066692</v>
      </c>
      <c r="P537" s="242">
        <v>0.23740675222371063</v>
      </c>
    </row>
    <row r="538" spans="1:16" s="2" customFormat="1">
      <c r="A538" s="108"/>
      <c r="B538" s="150"/>
      <c r="C538" s="70" t="s">
        <v>1035</v>
      </c>
      <c r="D538" s="33" t="s">
        <v>1963</v>
      </c>
      <c r="E538" s="34" t="s">
        <v>1038</v>
      </c>
      <c r="F538" s="35">
        <v>1054040000</v>
      </c>
      <c r="G538" s="210">
        <v>0</v>
      </c>
      <c r="H538" s="210">
        <v>379879505</v>
      </c>
      <c r="I538" s="210">
        <v>1433919505</v>
      </c>
      <c r="J538" s="210">
        <v>46289580</v>
      </c>
      <c r="K538" s="210">
        <v>1049994684</v>
      </c>
      <c r="L538" s="210">
        <v>46289580</v>
      </c>
      <c r="M538" s="210">
        <v>1034188218</v>
      </c>
      <c r="N538" s="210">
        <v>89569973</v>
      </c>
      <c r="O538" s="210">
        <v>799652511</v>
      </c>
      <c r="P538" s="242">
        <v>0.23740675222371063</v>
      </c>
    </row>
    <row r="539" spans="1:16" s="2" customFormat="1">
      <c r="A539" s="136" t="s">
        <v>1039</v>
      </c>
      <c r="B539" s="125" t="s">
        <v>1546</v>
      </c>
      <c r="C539" s="126" t="s">
        <v>1040</v>
      </c>
      <c r="D539" s="29"/>
      <c r="E539" s="19" t="s">
        <v>1041</v>
      </c>
      <c r="F539" s="20">
        <f>+F540+F618+F621</f>
        <v>54944773000</v>
      </c>
      <c r="G539" s="20">
        <f t="shared" ref="G539:O539" si="169">+G540+G618+G621</f>
        <v>656320000</v>
      </c>
      <c r="H539" s="20">
        <f t="shared" si="169"/>
        <v>14601810861</v>
      </c>
      <c r="I539" s="20">
        <f t="shared" si="169"/>
        <v>69546583861</v>
      </c>
      <c r="J539" s="20">
        <f t="shared" si="169"/>
        <v>6898947220</v>
      </c>
      <c r="K539" s="20">
        <f t="shared" si="169"/>
        <v>64666077693</v>
      </c>
      <c r="L539" s="20">
        <f t="shared" si="169"/>
        <v>15812314989</v>
      </c>
      <c r="M539" s="20">
        <f t="shared" si="169"/>
        <v>62056333103</v>
      </c>
      <c r="N539" s="20">
        <f t="shared" si="169"/>
        <v>3671280121</v>
      </c>
      <c r="O539" s="20">
        <f t="shared" si="169"/>
        <v>38146785196</v>
      </c>
      <c r="P539" s="243">
        <v>0.23740675222371063</v>
      </c>
    </row>
    <row r="540" spans="1:16" s="8" customFormat="1">
      <c r="A540" s="134" t="s">
        <v>1042</v>
      </c>
      <c r="B540" s="123" t="s">
        <v>1546</v>
      </c>
      <c r="C540" s="124" t="s">
        <v>1043</v>
      </c>
      <c r="D540" s="67"/>
      <c r="E540" s="25" t="s">
        <v>1044</v>
      </c>
      <c r="F540" s="68">
        <f>+F541+F612</f>
        <v>54520677000</v>
      </c>
      <c r="G540" s="68">
        <f t="shared" ref="G540:O540" si="170">+G541+G612</f>
        <v>656320000</v>
      </c>
      <c r="H540" s="68">
        <f t="shared" si="170"/>
        <v>14686810861</v>
      </c>
      <c r="I540" s="68">
        <f t="shared" si="170"/>
        <v>69207487861</v>
      </c>
      <c r="J540" s="68">
        <f t="shared" si="170"/>
        <v>6899178658</v>
      </c>
      <c r="K540" s="68">
        <f t="shared" si="170"/>
        <v>64416098131</v>
      </c>
      <c r="L540" s="68">
        <f t="shared" si="170"/>
        <v>15765286427</v>
      </c>
      <c r="M540" s="68">
        <f t="shared" si="170"/>
        <v>61811966987</v>
      </c>
      <c r="N540" s="68">
        <f t="shared" si="170"/>
        <v>3671280121</v>
      </c>
      <c r="O540" s="68">
        <f t="shared" si="170"/>
        <v>38061232196</v>
      </c>
      <c r="P540" s="229">
        <v>0.23740675222371063</v>
      </c>
    </row>
    <row r="541" spans="1:16" s="2" customFormat="1">
      <c r="A541" s="174" t="s">
        <v>1045</v>
      </c>
      <c r="B541" s="157" t="s">
        <v>1531</v>
      </c>
      <c r="C541" s="158" t="s">
        <v>1046</v>
      </c>
      <c r="D541" s="41"/>
      <c r="E541" s="42" t="s">
        <v>1047</v>
      </c>
      <c r="F541" s="76">
        <f>+F542+F550+F552+F554+F556+F558+F560+F562+F577+F592+F595+F599+F601+F607+F609</f>
        <v>51373981000</v>
      </c>
      <c r="G541" s="76">
        <f t="shared" ref="G541:O541" si="171">+G542+G550+G552+G554+G556+G558+G560+G562+G577+G592+G595+G599+G601+G607+G609</f>
        <v>656320000</v>
      </c>
      <c r="H541" s="76">
        <f t="shared" si="171"/>
        <v>14026236403</v>
      </c>
      <c r="I541" s="76">
        <f t="shared" si="171"/>
        <v>65400217403</v>
      </c>
      <c r="J541" s="76">
        <f t="shared" si="171"/>
        <v>6937649837</v>
      </c>
      <c r="K541" s="76">
        <f t="shared" si="171"/>
        <v>60798032643</v>
      </c>
      <c r="L541" s="76">
        <f t="shared" si="171"/>
        <v>14539468434</v>
      </c>
      <c r="M541" s="76">
        <f t="shared" si="171"/>
        <v>58377098465</v>
      </c>
      <c r="N541" s="76">
        <f t="shared" si="171"/>
        <v>3507232718</v>
      </c>
      <c r="O541" s="76">
        <f t="shared" si="171"/>
        <v>36074646304</v>
      </c>
      <c r="P541" s="247">
        <v>0.23740675222371063</v>
      </c>
    </row>
    <row r="542" spans="1:16" s="8" customFormat="1">
      <c r="A542" s="107"/>
      <c r="B542" s="149" t="s">
        <v>1832</v>
      </c>
      <c r="C542" s="18" t="s">
        <v>1048</v>
      </c>
      <c r="D542" s="30"/>
      <c r="E542" s="17" t="s">
        <v>1049</v>
      </c>
      <c r="F542" s="203">
        <f>SUM(F543:F549)</f>
        <v>2610107000</v>
      </c>
      <c r="G542" s="203">
        <f t="shared" ref="G542:O542" si="172">SUM(G543:G549)</f>
        <v>0</v>
      </c>
      <c r="H542" s="203">
        <f t="shared" si="172"/>
        <v>85410460</v>
      </c>
      <c r="I542" s="203">
        <f t="shared" si="172"/>
        <v>2695517460</v>
      </c>
      <c r="J542" s="203">
        <f t="shared" si="172"/>
        <v>0</v>
      </c>
      <c r="K542" s="203">
        <f t="shared" si="172"/>
        <v>1155863046</v>
      </c>
      <c r="L542" s="203">
        <f t="shared" si="172"/>
        <v>203104980</v>
      </c>
      <c r="M542" s="203">
        <f t="shared" si="172"/>
        <v>885442986</v>
      </c>
      <c r="N542" s="203">
        <f t="shared" si="172"/>
        <v>399206340</v>
      </c>
      <c r="O542" s="203">
        <f t="shared" si="172"/>
        <v>882456120</v>
      </c>
      <c r="P542" s="237">
        <v>0.23740675222371063</v>
      </c>
    </row>
    <row r="543" spans="1:16" s="8" customFormat="1">
      <c r="A543" s="108"/>
      <c r="B543" s="150"/>
      <c r="C543" s="70" t="s">
        <v>1048</v>
      </c>
      <c r="D543" s="33" t="s">
        <v>1943</v>
      </c>
      <c r="E543" s="34" t="s">
        <v>763</v>
      </c>
      <c r="F543" s="35">
        <v>37468000</v>
      </c>
      <c r="G543" s="210">
        <v>0</v>
      </c>
      <c r="H543" s="210">
        <v>0</v>
      </c>
      <c r="I543" s="210">
        <v>37468000</v>
      </c>
      <c r="J543" s="210">
        <v>0</v>
      </c>
      <c r="K543" s="210">
        <v>14007240</v>
      </c>
      <c r="L543" s="210">
        <v>0</v>
      </c>
      <c r="M543" s="210">
        <v>10505430</v>
      </c>
      <c r="N543" s="210">
        <v>10505430</v>
      </c>
      <c r="O543" s="210">
        <v>10505430</v>
      </c>
      <c r="P543" s="242">
        <v>0.23740675222371063</v>
      </c>
    </row>
    <row r="544" spans="1:16" s="8" customFormat="1">
      <c r="A544" s="108"/>
      <c r="B544" s="150"/>
      <c r="C544" s="70" t="s">
        <v>1048</v>
      </c>
      <c r="D544" s="33" t="s">
        <v>1936</v>
      </c>
      <c r="E544" s="34" t="s">
        <v>908</v>
      </c>
      <c r="F544" s="35">
        <v>846071000</v>
      </c>
      <c r="G544" s="210">
        <v>0</v>
      </c>
      <c r="H544" s="210">
        <v>85410460</v>
      </c>
      <c r="I544" s="210">
        <v>931481460</v>
      </c>
      <c r="J544" s="210">
        <v>0</v>
      </c>
      <c r="K544" s="210">
        <v>0</v>
      </c>
      <c r="L544" s="210">
        <v>0</v>
      </c>
      <c r="M544" s="210">
        <v>0</v>
      </c>
      <c r="N544" s="210">
        <v>0</v>
      </c>
      <c r="O544" s="210">
        <v>0</v>
      </c>
      <c r="P544" s="242">
        <v>0.23740675222371063</v>
      </c>
    </row>
    <row r="545" spans="1:16" s="8" customFormat="1">
      <c r="A545" s="108"/>
      <c r="B545" s="150"/>
      <c r="C545" s="70" t="s">
        <v>1048</v>
      </c>
      <c r="D545" s="33" t="s">
        <v>1937</v>
      </c>
      <c r="E545" s="34" t="s">
        <v>909</v>
      </c>
      <c r="F545" s="35">
        <v>445400000</v>
      </c>
      <c r="G545" s="210">
        <v>0</v>
      </c>
      <c r="H545" s="210">
        <v>0</v>
      </c>
      <c r="I545" s="210">
        <v>445400000</v>
      </c>
      <c r="J545" s="210">
        <v>0</v>
      </c>
      <c r="K545" s="210">
        <v>223600896</v>
      </c>
      <c r="L545" s="210">
        <v>0</v>
      </c>
      <c r="M545" s="210">
        <v>223600896</v>
      </c>
      <c r="N545" s="210">
        <v>0</v>
      </c>
      <c r="O545" s="210">
        <v>220614030</v>
      </c>
      <c r="P545" s="242">
        <v>0.23740675222371063</v>
      </c>
    </row>
    <row r="546" spans="1:16" s="8" customFormat="1">
      <c r="A546" s="108"/>
      <c r="B546" s="150"/>
      <c r="C546" s="70" t="s">
        <v>1048</v>
      </c>
      <c r="D546" s="33" t="s">
        <v>1938</v>
      </c>
      <c r="E546" s="34" t="s">
        <v>910</v>
      </c>
      <c r="F546" s="35">
        <v>529554000</v>
      </c>
      <c r="G546" s="210">
        <v>0</v>
      </c>
      <c r="H546" s="210">
        <v>0</v>
      </c>
      <c r="I546" s="210">
        <v>529554000</v>
      </c>
      <c r="J546" s="210">
        <v>0</v>
      </c>
      <c r="K546" s="210">
        <v>529554000</v>
      </c>
      <c r="L546" s="210">
        <v>0</v>
      </c>
      <c r="M546" s="210">
        <v>262635750</v>
      </c>
      <c r="N546" s="210">
        <v>0</v>
      </c>
      <c r="O546" s="210">
        <v>262635750</v>
      </c>
      <c r="P546" s="242">
        <v>0.23740675222371063</v>
      </c>
    </row>
    <row r="547" spans="1:16" s="8" customFormat="1">
      <c r="A547" s="108"/>
      <c r="B547" s="150"/>
      <c r="C547" s="70" t="s">
        <v>1048</v>
      </c>
      <c r="D547" s="33" t="s">
        <v>1939</v>
      </c>
      <c r="E547" s="34" t="s">
        <v>911</v>
      </c>
      <c r="F547" s="35">
        <v>408406000</v>
      </c>
      <c r="G547" s="210">
        <v>0</v>
      </c>
      <c r="H547" s="210">
        <v>0</v>
      </c>
      <c r="I547" s="210">
        <v>408406000</v>
      </c>
      <c r="J547" s="210">
        <v>0</v>
      </c>
      <c r="K547" s="210">
        <v>203104980</v>
      </c>
      <c r="L547" s="210">
        <v>203104980</v>
      </c>
      <c r="M547" s="210">
        <v>203104980</v>
      </c>
      <c r="N547" s="210">
        <v>203104980</v>
      </c>
      <c r="O547" s="210">
        <v>203104980</v>
      </c>
      <c r="P547" s="242">
        <v>0.23740675222371063</v>
      </c>
    </row>
    <row r="548" spans="1:16" s="8" customFormat="1">
      <c r="A548" s="108"/>
      <c r="B548" s="150"/>
      <c r="C548" s="70" t="s">
        <v>1048</v>
      </c>
      <c r="D548" s="33" t="s">
        <v>1940</v>
      </c>
      <c r="E548" s="34" t="s">
        <v>912</v>
      </c>
      <c r="F548" s="35">
        <v>196935000</v>
      </c>
      <c r="G548" s="210">
        <v>0</v>
      </c>
      <c r="H548" s="210">
        <v>0</v>
      </c>
      <c r="I548" s="210">
        <v>196935000</v>
      </c>
      <c r="J548" s="210">
        <v>0</v>
      </c>
      <c r="K548" s="210">
        <v>112057920</v>
      </c>
      <c r="L548" s="210">
        <v>0</v>
      </c>
      <c r="M548" s="210">
        <v>112057920</v>
      </c>
      <c r="N548" s="210">
        <v>112057920</v>
      </c>
      <c r="O548" s="210">
        <v>112057920</v>
      </c>
      <c r="P548" s="242">
        <v>0.23740675222371063</v>
      </c>
    </row>
    <row r="549" spans="1:16" s="7" customFormat="1">
      <c r="A549" s="108"/>
      <c r="B549" s="150"/>
      <c r="C549" s="70" t="s">
        <v>1048</v>
      </c>
      <c r="D549" s="33" t="s">
        <v>1942</v>
      </c>
      <c r="E549" s="34" t="s">
        <v>913</v>
      </c>
      <c r="F549" s="35">
        <v>146273000</v>
      </c>
      <c r="G549" s="210">
        <v>0</v>
      </c>
      <c r="H549" s="210">
        <v>0</v>
      </c>
      <c r="I549" s="210">
        <v>146273000</v>
      </c>
      <c r="J549" s="210">
        <v>0</v>
      </c>
      <c r="K549" s="210">
        <v>73538010</v>
      </c>
      <c r="L549" s="210">
        <v>0</v>
      </c>
      <c r="M549" s="210">
        <v>73538010</v>
      </c>
      <c r="N549" s="210">
        <v>73538010</v>
      </c>
      <c r="O549" s="210">
        <v>73538010</v>
      </c>
      <c r="P549" s="242">
        <v>0.23740675222371063</v>
      </c>
    </row>
    <row r="550" spans="1:16" s="8" customFormat="1">
      <c r="A550" s="107"/>
      <c r="B550" s="149" t="s">
        <v>1833</v>
      </c>
      <c r="C550" s="18" t="s">
        <v>1050</v>
      </c>
      <c r="D550" s="30"/>
      <c r="E550" s="17" t="s">
        <v>1051</v>
      </c>
      <c r="F550" s="16">
        <f>+F551</f>
        <v>850489000</v>
      </c>
      <c r="G550" s="203">
        <f t="shared" ref="G550:O550" si="173">+G551</f>
        <v>0</v>
      </c>
      <c r="H550" s="203">
        <f t="shared" si="173"/>
        <v>4752693</v>
      </c>
      <c r="I550" s="203">
        <f t="shared" si="173"/>
        <v>855241693</v>
      </c>
      <c r="J550" s="203">
        <f t="shared" si="173"/>
        <v>425244390</v>
      </c>
      <c r="K550" s="203">
        <f t="shared" si="173"/>
        <v>428808910</v>
      </c>
      <c r="L550" s="203">
        <f t="shared" si="173"/>
        <v>425244390</v>
      </c>
      <c r="M550" s="203">
        <f t="shared" si="173"/>
        <v>428808910</v>
      </c>
      <c r="N550" s="203">
        <f t="shared" si="173"/>
        <v>425244390</v>
      </c>
      <c r="O550" s="203">
        <f t="shared" si="173"/>
        <v>428808910</v>
      </c>
      <c r="P550" s="237">
        <v>0.23740675222371063</v>
      </c>
    </row>
    <row r="551" spans="1:16" s="7" customFormat="1">
      <c r="A551" s="108"/>
      <c r="B551" s="150"/>
      <c r="C551" s="70" t="s">
        <v>1050</v>
      </c>
      <c r="D551" s="33" t="s">
        <v>1933</v>
      </c>
      <c r="E551" s="34" t="s">
        <v>279</v>
      </c>
      <c r="F551" s="35">
        <v>850489000</v>
      </c>
      <c r="G551" s="210">
        <v>0</v>
      </c>
      <c r="H551" s="210">
        <v>4752693</v>
      </c>
      <c r="I551" s="210">
        <v>855241693</v>
      </c>
      <c r="J551" s="210">
        <v>425244390</v>
      </c>
      <c r="K551" s="210">
        <v>428808910</v>
      </c>
      <c r="L551" s="210">
        <v>425244390</v>
      </c>
      <c r="M551" s="210">
        <v>428808910</v>
      </c>
      <c r="N551" s="210">
        <v>425244390</v>
      </c>
      <c r="O551" s="210">
        <v>428808910</v>
      </c>
      <c r="P551" s="242">
        <v>0.23740675222371063</v>
      </c>
    </row>
    <row r="552" spans="1:16" s="8" customFormat="1">
      <c r="A552" s="107"/>
      <c r="B552" s="149" t="s">
        <v>1834</v>
      </c>
      <c r="C552" s="18" t="s">
        <v>1052</v>
      </c>
      <c r="D552" s="30"/>
      <c r="E552" s="17" t="s">
        <v>1053</v>
      </c>
      <c r="F552" s="16">
        <f>+F553</f>
        <v>2131992000</v>
      </c>
      <c r="G552" s="203">
        <f t="shared" ref="G552:O552" si="174">+G553</f>
        <v>0</v>
      </c>
      <c r="H552" s="203">
        <f t="shared" si="174"/>
        <v>501645176</v>
      </c>
      <c r="I552" s="203">
        <f t="shared" si="174"/>
        <v>2633637176</v>
      </c>
      <c r="J552" s="203">
        <f t="shared" si="174"/>
        <v>88121064</v>
      </c>
      <c r="K552" s="203">
        <f t="shared" si="174"/>
        <v>2579615586</v>
      </c>
      <c r="L552" s="203">
        <f t="shared" si="174"/>
        <v>78242025</v>
      </c>
      <c r="M552" s="203">
        <f t="shared" si="174"/>
        <v>2533381665</v>
      </c>
      <c r="N552" s="203">
        <f t="shared" si="174"/>
        <v>0</v>
      </c>
      <c r="O552" s="203">
        <f t="shared" si="174"/>
        <v>1678918889</v>
      </c>
      <c r="P552" s="237">
        <v>0.23740675222371063</v>
      </c>
    </row>
    <row r="553" spans="1:16" s="2" customFormat="1">
      <c r="A553" s="108"/>
      <c r="B553" s="150"/>
      <c r="C553" s="70" t="s">
        <v>1052</v>
      </c>
      <c r="D553" s="33" t="s">
        <v>1940</v>
      </c>
      <c r="E553" s="34" t="s">
        <v>1054</v>
      </c>
      <c r="F553" s="35">
        <v>2131992000</v>
      </c>
      <c r="G553" s="210">
        <v>0</v>
      </c>
      <c r="H553" s="210">
        <v>501645176</v>
      </c>
      <c r="I553" s="210">
        <v>2633637176</v>
      </c>
      <c r="J553" s="210">
        <v>88121064</v>
      </c>
      <c r="K553" s="210">
        <v>2579615586</v>
      </c>
      <c r="L553" s="210">
        <v>78242025</v>
      </c>
      <c r="M553" s="210">
        <v>2533381665</v>
      </c>
      <c r="N553" s="210">
        <v>0</v>
      </c>
      <c r="O553" s="210">
        <v>1678918889</v>
      </c>
      <c r="P553" s="242">
        <v>0.23740675222371063</v>
      </c>
    </row>
    <row r="554" spans="1:16" s="8" customFormat="1">
      <c r="A554" s="107"/>
      <c r="B554" s="149" t="s">
        <v>1835</v>
      </c>
      <c r="C554" s="18" t="s">
        <v>1055</v>
      </c>
      <c r="D554" s="30"/>
      <c r="E554" s="17" t="s">
        <v>1056</v>
      </c>
      <c r="F554" s="16">
        <f>SUM(F555:F555)</f>
        <v>3259024000</v>
      </c>
      <c r="G554" s="203">
        <f t="shared" ref="G554:O554" si="175">SUM(G555:G555)</f>
        <v>0</v>
      </c>
      <c r="H554" s="203">
        <f t="shared" si="175"/>
        <v>958536471</v>
      </c>
      <c r="I554" s="203">
        <f t="shared" si="175"/>
        <v>4217560471</v>
      </c>
      <c r="J554" s="203">
        <f t="shared" si="175"/>
        <v>990060049</v>
      </c>
      <c r="K554" s="203">
        <f t="shared" si="175"/>
        <v>4076308102</v>
      </c>
      <c r="L554" s="203">
        <f t="shared" si="175"/>
        <v>1506874518</v>
      </c>
      <c r="M554" s="203">
        <f t="shared" si="175"/>
        <v>3898156056</v>
      </c>
      <c r="N554" s="203">
        <f t="shared" si="175"/>
        <v>27380321</v>
      </c>
      <c r="O554" s="203">
        <f t="shared" si="175"/>
        <v>2318365420</v>
      </c>
      <c r="P554" s="237">
        <v>0.23740675222371063</v>
      </c>
    </row>
    <row r="555" spans="1:16" s="7" customFormat="1">
      <c r="A555" s="108"/>
      <c r="B555" s="150"/>
      <c r="C555" s="70" t="s">
        <v>1055</v>
      </c>
      <c r="D555" s="33" t="s">
        <v>1937</v>
      </c>
      <c r="E555" s="34" t="s">
        <v>998</v>
      </c>
      <c r="F555" s="35">
        <v>3259024000</v>
      </c>
      <c r="G555" s="210">
        <v>0</v>
      </c>
      <c r="H555" s="210">
        <v>958536471</v>
      </c>
      <c r="I555" s="210">
        <v>4217560471</v>
      </c>
      <c r="J555" s="210">
        <v>990060049</v>
      </c>
      <c r="K555" s="210">
        <v>4076308102</v>
      </c>
      <c r="L555" s="210">
        <v>1506874518</v>
      </c>
      <c r="M555" s="210">
        <v>3898156056</v>
      </c>
      <c r="N555" s="210">
        <v>27380321</v>
      </c>
      <c r="O555" s="210">
        <v>2318365420</v>
      </c>
      <c r="P555" s="242">
        <v>0.23740675222371063</v>
      </c>
    </row>
    <row r="556" spans="1:16" s="8" customFormat="1">
      <c r="A556" s="107"/>
      <c r="B556" s="149" t="s">
        <v>1836</v>
      </c>
      <c r="C556" s="18" t="s">
        <v>1057</v>
      </c>
      <c r="D556" s="30"/>
      <c r="E556" s="17" t="s">
        <v>1058</v>
      </c>
      <c r="F556" s="16">
        <f>+F557</f>
        <v>2474762000</v>
      </c>
      <c r="G556" s="203">
        <f t="shared" ref="G556:O556" si="176">+G557</f>
        <v>0</v>
      </c>
      <c r="H556" s="203">
        <f t="shared" si="176"/>
        <v>747831294</v>
      </c>
      <c r="I556" s="203">
        <f t="shared" si="176"/>
        <v>3222593294</v>
      </c>
      <c r="J556" s="203">
        <f t="shared" si="176"/>
        <v>299484269</v>
      </c>
      <c r="K556" s="203">
        <f t="shared" si="176"/>
        <v>3195097206</v>
      </c>
      <c r="L556" s="203">
        <f t="shared" si="176"/>
        <v>423613337</v>
      </c>
      <c r="M556" s="203">
        <f t="shared" si="176"/>
        <v>3107239592</v>
      </c>
      <c r="N556" s="203">
        <f t="shared" si="176"/>
        <v>269105037</v>
      </c>
      <c r="O556" s="203">
        <f t="shared" si="176"/>
        <v>1860342201</v>
      </c>
      <c r="P556" s="237">
        <v>0.23740675222371063</v>
      </c>
    </row>
    <row r="557" spans="1:16" s="7" customFormat="1">
      <c r="A557" s="108"/>
      <c r="B557" s="150"/>
      <c r="C557" s="70" t="s">
        <v>1057</v>
      </c>
      <c r="D557" s="33" t="s">
        <v>1936</v>
      </c>
      <c r="E557" s="34" t="s">
        <v>908</v>
      </c>
      <c r="F557" s="35">
        <v>2474762000</v>
      </c>
      <c r="G557" s="210">
        <v>0</v>
      </c>
      <c r="H557" s="210">
        <v>747831294</v>
      </c>
      <c r="I557" s="210">
        <v>3222593294</v>
      </c>
      <c r="J557" s="210">
        <v>299484269</v>
      </c>
      <c r="K557" s="210">
        <v>3195097206</v>
      </c>
      <c r="L557" s="210">
        <v>423613337</v>
      </c>
      <c r="M557" s="210">
        <v>3107239592</v>
      </c>
      <c r="N557" s="210">
        <v>269105037</v>
      </c>
      <c r="O557" s="210">
        <v>1860342201</v>
      </c>
      <c r="P557" s="242">
        <v>0.23740675222371063</v>
      </c>
    </row>
    <row r="558" spans="1:16" s="8" customFormat="1">
      <c r="A558" s="107"/>
      <c r="B558" s="149" t="s">
        <v>1837</v>
      </c>
      <c r="C558" s="18" t="s">
        <v>1059</v>
      </c>
      <c r="D558" s="30"/>
      <c r="E558" s="17" t="s">
        <v>1060</v>
      </c>
      <c r="F558" s="16">
        <f>+F559</f>
        <v>2646162000</v>
      </c>
      <c r="G558" s="203">
        <f t="shared" ref="G558:O558" si="177">+G559</f>
        <v>0</v>
      </c>
      <c r="H558" s="203">
        <f t="shared" si="177"/>
        <v>599133262</v>
      </c>
      <c r="I558" s="203">
        <f t="shared" si="177"/>
        <v>3245295262</v>
      </c>
      <c r="J558" s="203">
        <f t="shared" si="177"/>
        <v>740831546</v>
      </c>
      <c r="K558" s="203">
        <f t="shared" si="177"/>
        <v>3190197372</v>
      </c>
      <c r="L558" s="203">
        <f t="shared" si="177"/>
        <v>898944514</v>
      </c>
      <c r="M558" s="203">
        <f t="shared" si="177"/>
        <v>2941640659</v>
      </c>
      <c r="N558" s="203">
        <f t="shared" si="177"/>
        <v>259837572</v>
      </c>
      <c r="O558" s="203">
        <f t="shared" si="177"/>
        <v>2016085370</v>
      </c>
      <c r="P558" s="237">
        <v>0.23740675222371063</v>
      </c>
    </row>
    <row r="559" spans="1:16" s="8" customFormat="1">
      <c r="A559" s="108"/>
      <c r="B559" s="150"/>
      <c r="C559" s="70" t="s">
        <v>1059</v>
      </c>
      <c r="D559" s="33" t="s">
        <v>1938</v>
      </c>
      <c r="E559" s="34" t="s">
        <v>1019</v>
      </c>
      <c r="F559" s="35">
        <v>2646162000</v>
      </c>
      <c r="G559" s="210">
        <v>0</v>
      </c>
      <c r="H559" s="210">
        <v>599133262</v>
      </c>
      <c r="I559" s="210">
        <v>3245295262</v>
      </c>
      <c r="J559" s="210">
        <v>740831546</v>
      </c>
      <c r="K559" s="210">
        <v>3190197372</v>
      </c>
      <c r="L559" s="210">
        <v>898944514</v>
      </c>
      <c r="M559" s="210">
        <v>2941640659</v>
      </c>
      <c r="N559" s="210">
        <v>259837572</v>
      </c>
      <c r="O559" s="210">
        <v>2016085370</v>
      </c>
      <c r="P559" s="242">
        <v>0.23740675222371063</v>
      </c>
    </row>
    <row r="560" spans="1:16" s="8" customFormat="1">
      <c r="A560" s="107"/>
      <c r="B560" s="149" t="s">
        <v>1838</v>
      </c>
      <c r="C560" s="18" t="s">
        <v>1061</v>
      </c>
      <c r="D560" s="30"/>
      <c r="E560" s="17" t="s">
        <v>1062</v>
      </c>
      <c r="F560" s="16">
        <f>+F561</f>
        <v>3186492000</v>
      </c>
      <c r="G560" s="203">
        <f t="shared" ref="G560:O560" si="178">+G561</f>
        <v>0</v>
      </c>
      <c r="H560" s="203">
        <f t="shared" si="178"/>
        <v>919762824</v>
      </c>
      <c r="I560" s="203">
        <f t="shared" si="178"/>
        <v>4106254824</v>
      </c>
      <c r="J560" s="203">
        <f t="shared" si="178"/>
        <v>331935772</v>
      </c>
      <c r="K560" s="203">
        <f t="shared" si="178"/>
        <v>4005723224</v>
      </c>
      <c r="L560" s="203">
        <f t="shared" si="178"/>
        <v>580404638</v>
      </c>
      <c r="M560" s="203">
        <f t="shared" si="178"/>
        <v>3973385830</v>
      </c>
      <c r="N560" s="203">
        <f t="shared" si="178"/>
        <v>370095257</v>
      </c>
      <c r="O560" s="203">
        <f t="shared" si="178"/>
        <v>2571773689</v>
      </c>
      <c r="P560" s="237">
        <v>0.23740675222371063</v>
      </c>
    </row>
    <row r="561" spans="1:16">
      <c r="A561" s="108"/>
      <c r="B561" s="150"/>
      <c r="C561" s="70" t="s">
        <v>1061</v>
      </c>
      <c r="D561" s="33" t="s">
        <v>1939</v>
      </c>
      <c r="E561" s="34" t="s">
        <v>911</v>
      </c>
      <c r="F561" s="35">
        <v>3186492000</v>
      </c>
      <c r="G561" s="210">
        <v>0</v>
      </c>
      <c r="H561" s="210">
        <v>919762824</v>
      </c>
      <c r="I561" s="210">
        <v>4106254824</v>
      </c>
      <c r="J561" s="210">
        <v>331935772</v>
      </c>
      <c r="K561" s="210">
        <v>4005723224</v>
      </c>
      <c r="L561" s="210">
        <v>580404638</v>
      </c>
      <c r="M561" s="210">
        <v>3973385830</v>
      </c>
      <c r="N561" s="210">
        <v>370095257</v>
      </c>
      <c r="O561" s="210">
        <v>2571773689</v>
      </c>
      <c r="P561" s="242">
        <v>0.23740675222371063</v>
      </c>
    </row>
    <row r="562" spans="1:16" s="8" customFormat="1">
      <c r="A562" s="107"/>
      <c r="B562" s="149" t="s">
        <v>1839</v>
      </c>
      <c r="C562" s="18" t="s">
        <v>1063</v>
      </c>
      <c r="D562" s="30"/>
      <c r="E562" s="17" t="s">
        <v>1064</v>
      </c>
      <c r="F562" s="16">
        <f>SUM(F563:F576)</f>
        <v>10587495000</v>
      </c>
      <c r="G562" s="203">
        <f t="shared" ref="G562:O562" si="179">SUM(G563:G576)</f>
        <v>656320000</v>
      </c>
      <c r="H562" s="203">
        <f t="shared" si="179"/>
        <v>2746757529</v>
      </c>
      <c r="I562" s="203">
        <f t="shared" si="179"/>
        <v>13334252529</v>
      </c>
      <c r="J562" s="203">
        <f t="shared" si="179"/>
        <v>1105846985</v>
      </c>
      <c r="K562" s="203">
        <f t="shared" si="179"/>
        <v>12205570733</v>
      </c>
      <c r="L562" s="203">
        <f t="shared" si="179"/>
        <v>3854719085</v>
      </c>
      <c r="M562" s="203">
        <f t="shared" si="179"/>
        <v>11601605542</v>
      </c>
      <c r="N562" s="203">
        <f t="shared" si="179"/>
        <v>350376727</v>
      </c>
      <c r="O562" s="203">
        <f t="shared" si="179"/>
        <v>6997190043</v>
      </c>
      <c r="P562" s="237">
        <v>0.23740675222371063</v>
      </c>
    </row>
    <row r="563" spans="1:16" s="8" customFormat="1">
      <c r="A563" s="108"/>
      <c r="B563" s="150"/>
      <c r="C563" s="70" t="s">
        <v>1063</v>
      </c>
      <c r="D563" s="33" t="s">
        <v>1954</v>
      </c>
      <c r="E563" s="34" t="s">
        <v>918</v>
      </c>
      <c r="F563" s="35">
        <v>741156000</v>
      </c>
      <c r="G563" s="210">
        <v>656320000</v>
      </c>
      <c r="H563" s="210">
        <v>724507859</v>
      </c>
      <c r="I563" s="210">
        <v>1465663859</v>
      </c>
      <c r="J563" s="210">
        <v>-134723802</v>
      </c>
      <c r="K563" s="210">
        <v>671827581</v>
      </c>
      <c r="L563" s="210">
        <v>132458201</v>
      </c>
      <c r="M563" s="210">
        <v>624408181</v>
      </c>
      <c r="N563" s="210">
        <v>45083559</v>
      </c>
      <c r="O563" s="210">
        <v>454532558</v>
      </c>
      <c r="P563" s="242">
        <v>0.23740675222371063</v>
      </c>
    </row>
    <row r="564" spans="1:16" s="8" customFormat="1">
      <c r="A564" s="108"/>
      <c r="B564" s="150"/>
      <c r="C564" s="70" t="s">
        <v>1063</v>
      </c>
      <c r="D564" s="33" t="s">
        <v>1964</v>
      </c>
      <c r="E564" s="34" t="s">
        <v>1990</v>
      </c>
      <c r="F564" s="35">
        <v>1750010000</v>
      </c>
      <c r="G564" s="210">
        <v>0</v>
      </c>
      <c r="H564" s="210">
        <v>469954547</v>
      </c>
      <c r="I564" s="210">
        <v>2219964547</v>
      </c>
      <c r="J564" s="210">
        <v>68178569</v>
      </c>
      <c r="K564" s="210">
        <v>2128995265</v>
      </c>
      <c r="L564" s="210">
        <v>613874975</v>
      </c>
      <c r="M564" s="210">
        <v>2016497102</v>
      </c>
      <c r="N564" s="210">
        <v>64925071</v>
      </c>
      <c r="O564" s="210">
        <v>1207623018</v>
      </c>
      <c r="P564" s="242">
        <v>0.23740675222371063</v>
      </c>
    </row>
    <row r="565" spans="1:16" s="8" customFormat="1">
      <c r="A565" s="108"/>
      <c r="B565" s="150"/>
      <c r="C565" s="70" t="s">
        <v>1063</v>
      </c>
      <c r="D565" s="33" t="s">
        <v>1965</v>
      </c>
      <c r="E565" s="34" t="s">
        <v>1065</v>
      </c>
      <c r="F565" s="35">
        <v>171054000</v>
      </c>
      <c r="G565" s="210">
        <v>0</v>
      </c>
      <c r="H565" s="210">
        <v>17042970</v>
      </c>
      <c r="I565" s="210">
        <v>188096970</v>
      </c>
      <c r="J565" s="210">
        <v>51757396</v>
      </c>
      <c r="K565" s="210">
        <v>186507540</v>
      </c>
      <c r="L565" s="210">
        <v>79023558</v>
      </c>
      <c r="M565" s="210">
        <v>186507540</v>
      </c>
      <c r="N565" s="210">
        <v>6050364</v>
      </c>
      <c r="O565" s="210">
        <v>112937212</v>
      </c>
      <c r="P565" s="242">
        <v>0.23740675222371063</v>
      </c>
    </row>
    <row r="566" spans="1:16" s="8" customFormat="1">
      <c r="A566" s="108"/>
      <c r="B566" s="150"/>
      <c r="C566" s="70" t="s">
        <v>1063</v>
      </c>
      <c r="D566" s="33" t="s">
        <v>1966</v>
      </c>
      <c r="E566" s="34" t="s">
        <v>1464</v>
      </c>
      <c r="F566" s="35">
        <v>292592000</v>
      </c>
      <c r="G566" s="210">
        <v>0</v>
      </c>
      <c r="H566" s="210">
        <v>71106097</v>
      </c>
      <c r="I566" s="210">
        <v>363698097</v>
      </c>
      <c r="J566" s="210">
        <v>40666534</v>
      </c>
      <c r="K566" s="210">
        <v>352387691</v>
      </c>
      <c r="L566" s="210">
        <v>146903579</v>
      </c>
      <c r="M566" s="210">
        <v>352387691</v>
      </c>
      <c r="N566" s="210">
        <v>3301796</v>
      </c>
      <c r="O566" s="210">
        <v>205484112</v>
      </c>
      <c r="P566" s="242">
        <v>0.23740675222371063</v>
      </c>
    </row>
    <row r="567" spans="1:16" s="8" customFormat="1">
      <c r="A567" s="108"/>
      <c r="B567" s="150"/>
      <c r="C567" s="70" t="s">
        <v>1063</v>
      </c>
      <c r="D567" s="33" t="s">
        <v>1967</v>
      </c>
      <c r="E567" s="34" t="s">
        <v>1066</v>
      </c>
      <c r="F567" s="35">
        <v>576824000</v>
      </c>
      <c r="G567" s="210">
        <v>0</v>
      </c>
      <c r="H567" s="210">
        <v>-230934609</v>
      </c>
      <c r="I567" s="210">
        <v>345889391</v>
      </c>
      <c r="J567" s="210">
        <v>-1317205</v>
      </c>
      <c r="K567" s="210">
        <v>283945619</v>
      </c>
      <c r="L567" s="210">
        <v>75080718</v>
      </c>
      <c r="M567" s="210">
        <v>283945619</v>
      </c>
      <c r="N567" s="210">
        <v>14146789</v>
      </c>
      <c r="O567" s="210">
        <v>194735671</v>
      </c>
      <c r="P567" s="242">
        <v>0.23740675222371063</v>
      </c>
    </row>
    <row r="568" spans="1:16" s="8" customFormat="1">
      <c r="A568" s="108"/>
      <c r="B568" s="150"/>
      <c r="C568" s="70" t="s">
        <v>1063</v>
      </c>
      <c r="D568" s="33" t="s">
        <v>1968</v>
      </c>
      <c r="E568" s="34" t="s">
        <v>1067</v>
      </c>
      <c r="F568" s="35">
        <v>715725000</v>
      </c>
      <c r="G568" s="210">
        <v>0</v>
      </c>
      <c r="H568" s="210">
        <v>58317681</v>
      </c>
      <c r="I568" s="210">
        <v>774042681</v>
      </c>
      <c r="J568" s="210">
        <v>-12627606</v>
      </c>
      <c r="K568" s="210">
        <v>761415075</v>
      </c>
      <c r="L568" s="210">
        <v>304581832</v>
      </c>
      <c r="M568" s="210">
        <v>732937084</v>
      </c>
      <c r="N568" s="210">
        <v>21163103</v>
      </c>
      <c r="O568" s="210">
        <v>447533765</v>
      </c>
      <c r="P568" s="242">
        <v>0.23740675222371063</v>
      </c>
    </row>
    <row r="569" spans="1:16" s="8" customFormat="1">
      <c r="A569" s="108"/>
      <c r="B569" s="150"/>
      <c r="C569" s="70" t="s">
        <v>1063</v>
      </c>
      <c r="D569" s="33" t="s">
        <v>1956</v>
      </c>
      <c r="E569" s="34" t="s">
        <v>1463</v>
      </c>
      <c r="F569" s="35">
        <v>103532000</v>
      </c>
      <c r="G569" s="210">
        <v>0</v>
      </c>
      <c r="H569" s="210">
        <v>23710088</v>
      </c>
      <c r="I569" s="210">
        <v>127242088</v>
      </c>
      <c r="J569" s="210">
        <v>0</v>
      </c>
      <c r="K569" s="210">
        <v>127242088</v>
      </c>
      <c r="L569" s="210">
        <v>54532324</v>
      </c>
      <c r="M569" s="210">
        <v>127242088</v>
      </c>
      <c r="N569" s="210">
        <v>403944</v>
      </c>
      <c r="O569" s="210">
        <v>72709764</v>
      </c>
      <c r="P569" s="242">
        <v>0.23740675222371063</v>
      </c>
    </row>
    <row r="570" spans="1:16" s="8" customFormat="1">
      <c r="A570" s="108"/>
      <c r="B570" s="150"/>
      <c r="C570" s="70" t="s">
        <v>1063</v>
      </c>
      <c r="D570" s="33" t="s">
        <v>1969</v>
      </c>
      <c r="E570" s="34" t="s">
        <v>1068</v>
      </c>
      <c r="F570" s="35">
        <v>670711000</v>
      </c>
      <c r="G570" s="210">
        <v>0</v>
      </c>
      <c r="H570" s="210">
        <v>227096472</v>
      </c>
      <c r="I570" s="210">
        <v>897807472</v>
      </c>
      <c r="J570" s="210">
        <v>240521788</v>
      </c>
      <c r="K570" s="210">
        <v>895963380</v>
      </c>
      <c r="L570" s="210">
        <v>280828273</v>
      </c>
      <c r="M570" s="210">
        <v>653860945</v>
      </c>
      <c r="N570" s="210">
        <v>41913492</v>
      </c>
      <c r="O570" s="210">
        <v>412873757</v>
      </c>
      <c r="P570" s="242">
        <v>0.23740675222371063</v>
      </c>
    </row>
    <row r="571" spans="1:16" s="8" customFormat="1">
      <c r="A571" s="108"/>
      <c r="B571" s="150"/>
      <c r="C571" s="70" t="s">
        <v>1063</v>
      </c>
      <c r="D571" s="33" t="s">
        <v>1970</v>
      </c>
      <c r="E571" s="34" t="s">
        <v>1069</v>
      </c>
      <c r="F571" s="35">
        <v>995969000</v>
      </c>
      <c r="G571" s="210">
        <v>0</v>
      </c>
      <c r="H571" s="210">
        <v>296929915</v>
      </c>
      <c r="I571" s="210">
        <v>1292898915</v>
      </c>
      <c r="J571" s="210">
        <v>-7209506</v>
      </c>
      <c r="K571" s="210">
        <v>1281544603</v>
      </c>
      <c r="L571" s="210">
        <v>101872686</v>
      </c>
      <c r="M571" s="210">
        <v>1219337361</v>
      </c>
      <c r="N571" s="210">
        <v>106158001</v>
      </c>
      <c r="O571" s="210">
        <v>790182947</v>
      </c>
      <c r="P571" s="242">
        <v>0.23740675222371063</v>
      </c>
    </row>
    <row r="572" spans="1:16" s="8" customFormat="1">
      <c r="A572" s="108"/>
      <c r="B572" s="150"/>
      <c r="C572" s="70" t="s">
        <v>1063</v>
      </c>
      <c r="D572" s="33" t="s">
        <v>1945</v>
      </c>
      <c r="E572" s="34" t="s">
        <v>781</v>
      </c>
      <c r="F572" s="35">
        <v>828154000</v>
      </c>
      <c r="G572" s="210">
        <v>0</v>
      </c>
      <c r="H572" s="210">
        <v>47362088</v>
      </c>
      <c r="I572" s="210">
        <v>875516088</v>
      </c>
      <c r="J572" s="210">
        <v>-1738712</v>
      </c>
      <c r="K572" s="210">
        <v>871230779</v>
      </c>
      <c r="L572" s="210">
        <v>260288652</v>
      </c>
      <c r="M572" s="210">
        <v>871230778</v>
      </c>
      <c r="N572" s="210">
        <v>2994447</v>
      </c>
      <c r="O572" s="210">
        <v>452253964</v>
      </c>
      <c r="P572" s="242">
        <v>0.23740675222371063</v>
      </c>
    </row>
    <row r="573" spans="1:16" s="8" customFormat="1">
      <c r="A573" s="108"/>
      <c r="B573" s="150"/>
      <c r="C573" s="70" t="s">
        <v>1063</v>
      </c>
      <c r="D573" s="33" t="s">
        <v>1950</v>
      </c>
      <c r="E573" s="34" t="s">
        <v>809</v>
      </c>
      <c r="F573" s="35">
        <v>2870744000</v>
      </c>
      <c r="G573" s="210">
        <v>0</v>
      </c>
      <c r="H573" s="210">
        <v>835986906</v>
      </c>
      <c r="I573" s="210">
        <v>3706730906</v>
      </c>
      <c r="J573" s="210">
        <v>866545811</v>
      </c>
      <c r="K573" s="210">
        <v>3572015879</v>
      </c>
      <c r="L573" s="210">
        <v>1385059315</v>
      </c>
      <c r="M573" s="210">
        <v>3460755920</v>
      </c>
      <c r="N573" s="210">
        <v>4737554</v>
      </c>
      <c r="O573" s="210">
        <v>2001480834</v>
      </c>
      <c r="P573" s="242">
        <v>0.23740675222371063</v>
      </c>
    </row>
    <row r="574" spans="1:16" s="8" customFormat="1">
      <c r="A574" s="108"/>
      <c r="B574" s="150"/>
      <c r="C574" s="70" t="s">
        <v>1063</v>
      </c>
      <c r="D574" s="33" t="s">
        <v>1951</v>
      </c>
      <c r="E574" s="34" t="s">
        <v>915</v>
      </c>
      <c r="F574" s="35">
        <v>274586000</v>
      </c>
      <c r="G574" s="210">
        <v>0</v>
      </c>
      <c r="H574" s="210">
        <v>62882123</v>
      </c>
      <c r="I574" s="210">
        <v>337468123</v>
      </c>
      <c r="J574" s="210">
        <v>-2142659</v>
      </c>
      <c r="K574" s="210">
        <v>335325464</v>
      </c>
      <c r="L574" s="210">
        <v>142486538</v>
      </c>
      <c r="M574" s="210">
        <v>335325464</v>
      </c>
      <c r="N574" s="210">
        <v>5251260</v>
      </c>
      <c r="O574" s="210">
        <v>197018857</v>
      </c>
      <c r="P574" s="242">
        <v>0.23740675222371063</v>
      </c>
    </row>
    <row r="575" spans="1:16" s="8" customFormat="1">
      <c r="A575" s="108"/>
      <c r="B575" s="150"/>
      <c r="C575" s="70" t="s">
        <v>1063</v>
      </c>
      <c r="D575" s="33" t="s">
        <v>1971</v>
      </c>
      <c r="E575" s="34" t="s">
        <v>1070</v>
      </c>
      <c r="F575" s="35">
        <v>238575000</v>
      </c>
      <c r="G575" s="210">
        <v>0</v>
      </c>
      <c r="H575" s="210">
        <v>55838039</v>
      </c>
      <c r="I575" s="210">
        <v>294413039</v>
      </c>
      <c r="J575" s="210">
        <v>-526882</v>
      </c>
      <c r="K575" s="210">
        <v>293886157</v>
      </c>
      <c r="L575" s="210">
        <v>126337591</v>
      </c>
      <c r="M575" s="210">
        <v>293886157</v>
      </c>
      <c r="N575" s="210">
        <v>11275281</v>
      </c>
      <c r="O575" s="210">
        <v>174661476</v>
      </c>
      <c r="P575" s="242">
        <v>0.23740675222371063</v>
      </c>
    </row>
    <row r="576" spans="1:16" s="2" customFormat="1">
      <c r="A576" s="108"/>
      <c r="B576" s="150"/>
      <c r="C576" s="70" t="s">
        <v>1063</v>
      </c>
      <c r="D576" s="33" t="s">
        <v>1952</v>
      </c>
      <c r="E576" s="34" t="s">
        <v>916</v>
      </c>
      <c r="F576" s="35">
        <v>357863000</v>
      </c>
      <c r="G576" s="210">
        <v>0</v>
      </c>
      <c r="H576" s="210">
        <v>86957353</v>
      </c>
      <c r="I576" s="210">
        <v>444820353</v>
      </c>
      <c r="J576" s="210">
        <v>-1536741</v>
      </c>
      <c r="K576" s="210">
        <v>443283612</v>
      </c>
      <c r="L576" s="210">
        <v>151390843</v>
      </c>
      <c r="M576" s="210">
        <v>443283612</v>
      </c>
      <c r="N576" s="210">
        <v>22972066</v>
      </c>
      <c r="O576" s="210">
        <v>273162108</v>
      </c>
      <c r="P576" s="242">
        <v>0.23740675222371063</v>
      </c>
    </row>
    <row r="577" spans="1:16" s="8" customFormat="1">
      <c r="A577" s="107"/>
      <c r="B577" s="149" t="s">
        <v>1840</v>
      </c>
      <c r="C577" s="18" t="s">
        <v>1071</v>
      </c>
      <c r="D577" s="30"/>
      <c r="E577" s="17" t="s">
        <v>1072</v>
      </c>
      <c r="F577" s="16">
        <f>SUM(F578:F591)</f>
        <v>12349850000</v>
      </c>
      <c r="G577" s="203">
        <f t="shared" ref="G577:O577" si="180">SUM(G578:G591)</f>
        <v>0</v>
      </c>
      <c r="H577" s="203">
        <f t="shared" si="180"/>
        <v>4072482106</v>
      </c>
      <c r="I577" s="203">
        <f t="shared" si="180"/>
        <v>16422332106</v>
      </c>
      <c r="J577" s="203">
        <f t="shared" si="180"/>
        <v>747220047</v>
      </c>
      <c r="K577" s="203">
        <f t="shared" si="180"/>
        <v>15976501285</v>
      </c>
      <c r="L577" s="203">
        <f t="shared" si="180"/>
        <v>2626762779</v>
      </c>
      <c r="M577" s="203">
        <f t="shared" si="180"/>
        <v>15521591138</v>
      </c>
      <c r="N577" s="203">
        <f t="shared" si="180"/>
        <v>845220123</v>
      </c>
      <c r="O577" s="203">
        <f t="shared" si="180"/>
        <v>9088639796</v>
      </c>
      <c r="P577" s="237">
        <v>0.23740675222371063</v>
      </c>
    </row>
    <row r="578" spans="1:16" s="8" customFormat="1">
      <c r="A578" s="108"/>
      <c r="B578" s="150"/>
      <c r="C578" s="70" t="s">
        <v>1071</v>
      </c>
      <c r="D578" s="33" t="s">
        <v>1972</v>
      </c>
      <c r="E578" s="34" t="s">
        <v>1073</v>
      </c>
      <c r="F578" s="35">
        <v>721506000</v>
      </c>
      <c r="G578" s="210">
        <v>0</v>
      </c>
      <c r="H578" s="210">
        <v>281599494</v>
      </c>
      <c r="I578" s="210">
        <v>1003105494</v>
      </c>
      <c r="J578" s="210">
        <v>-1457707</v>
      </c>
      <c r="K578" s="210">
        <v>1001392509</v>
      </c>
      <c r="L578" s="210">
        <v>463182225</v>
      </c>
      <c r="M578" s="210">
        <v>1001392509</v>
      </c>
      <c r="N578" s="210">
        <v>3574023</v>
      </c>
      <c r="O578" s="210">
        <v>537806341</v>
      </c>
      <c r="P578" s="242">
        <v>0.23740675222371063</v>
      </c>
    </row>
    <row r="579" spans="1:16" s="8" customFormat="1">
      <c r="A579" s="108"/>
      <c r="B579" s="150"/>
      <c r="C579" s="70" t="s">
        <v>1071</v>
      </c>
      <c r="D579" s="33" t="s">
        <v>1953</v>
      </c>
      <c r="E579" s="34" t="s">
        <v>917</v>
      </c>
      <c r="F579" s="35">
        <v>654563000</v>
      </c>
      <c r="G579" s="210">
        <v>0</v>
      </c>
      <c r="H579" s="210">
        <v>199864419</v>
      </c>
      <c r="I579" s="210">
        <v>854427419</v>
      </c>
      <c r="J579" s="210">
        <v>3565238</v>
      </c>
      <c r="K579" s="210">
        <v>853338532</v>
      </c>
      <c r="L579" s="210">
        <v>191583192</v>
      </c>
      <c r="M579" s="210">
        <v>751395596</v>
      </c>
      <c r="N579" s="210">
        <v>31700751</v>
      </c>
      <c r="O579" s="210">
        <v>478584731</v>
      </c>
      <c r="P579" s="242">
        <v>0.23740675222371063</v>
      </c>
    </row>
    <row r="580" spans="1:16" s="8" customFormat="1">
      <c r="A580" s="108"/>
      <c r="B580" s="150"/>
      <c r="C580" s="70" t="s">
        <v>1071</v>
      </c>
      <c r="D580" s="33" t="s">
        <v>1959</v>
      </c>
      <c r="E580" s="34" t="s">
        <v>999</v>
      </c>
      <c r="F580" s="35">
        <v>271711479</v>
      </c>
      <c r="G580" s="210">
        <v>0</v>
      </c>
      <c r="H580" s="210">
        <v>104509314</v>
      </c>
      <c r="I580" s="210">
        <v>376220314</v>
      </c>
      <c r="J580" s="210">
        <v>170323488</v>
      </c>
      <c r="K580" s="210">
        <v>374226942</v>
      </c>
      <c r="L580" s="210">
        <v>150565403</v>
      </c>
      <c r="M580" s="210">
        <v>354468857</v>
      </c>
      <c r="N580" s="210">
        <v>0</v>
      </c>
      <c r="O580" s="210">
        <v>203903454</v>
      </c>
      <c r="P580" s="242">
        <v>0.23740675222371063</v>
      </c>
    </row>
    <row r="581" spans="1:16" s="8" customFormat="1">
      <c r="A581" s="108"/>
      <c r="B581" s="150"/>
      <c r="C581" s="70" t="s">
        <v>1071</v>
      </c>
      <c r="D581" s="33" t="s">
        <v>1973</v>
      </c>
      <c r="E581" s="34" t="s">
        <v>1074</v>
      </c>
      <c r="F581" s="35">
        <v>454525000</v>
      </c>
      <c r="G581" s="210">
        <v>0</v>
      </c>
      <c r="H581" s="210">
        <v>94982377</v>
      </c>
      <c r="I581" s="210">
        <v>549507377</v>
      </c>
      <c r="J581" s="210">
        <v>0</v>
      </c>
      <c r="K581" s="210">
        <v>535637207</v>
      </c>
      <c r="L581" s="210">
        <v>233733719</v>
      </c>
      <c r="M581" s="210">
        <v>535637207</v>
      </c>
      <c r="N581" s="210">
        <v>0</v>
      </c>
      <c r="O581" s="210">
        <v>294518357</v>
      </c>
      <c r="P581" s="242">
        <v>0.23740675222371063</v>
      </c>
    </row>
    <row r="582" spans="1:16" s="8" customFormat="1">
      <c r="A582" s="108"/>
      <c r="B582" s="150"/>
      <c r="C582" s="70" t="s">
        <v>1071</v>
      </c>
      <c r="D582" s="33" t="s">
        <v>1974</v>
      </c>
      <c r="E582" s="34" t="s">
        <v>1075</v>
      </c>
      <c r="F582" s="35">
        <v>1522334000</v>
      </c>
      <c r="G582" s="210">
        <v>0</v>
      </c>
      <c r="H582" s="210">
        <v>700582287</v>
      </c>
      <c r="I582" s="210">
        <v>2222916287</v>
      </c>
      <c r="J582" s="210">
        <v>-1317206</v>
      </c>
      <c r="K582" s="210">
        <v>2221599081</v>
      </c>
      <c r="L582" s="210">
        <v>262123936</v>
      </c>
      <c r="M582" s="210">
        <v>2205134016</v>
      </c>
      <c r="N582" s="210">
        <v>177453952</v>
      </c>
      <c r="O582" s="210">
        <v>1330825572</v>
      </c>
      <c r="P582" s="242">
        <v>0.23740675222371063</v>
      </c>
    </row>
    <row r="583" spans="1:16" s="8" customFormat="1">
      <c r="A583" s="108"/>
      <c r="B583" s="150"/>
      <c r="C583" s="70" t="s">
        <v>1071</v>
      </c>
      <c r="D583" s="33" t="s">
        <v>1957</v>
      </c>
      <c r="E583" s="34" t="s">
        <v>937</v>
      </c>
      <c r="F583" s="35">
        <v>1091972000</v>
      </c>
      <c r="G583" s="210">
        <v>0</v>
      </c>
      <c r="H583" s="210">
        <v>376974819</v>
      </c>
      <c r="I583" s="210">
        <v>1468946819</v>
      </c>
      <c r="J583" s="210">
        <v>248521587</v>
      </c>
      <c r="K583" s="210">
        <v>1433093348</v>
      </c>
      <c r="L583" s="210">
        <v>153902309</v>
      </c>
      <c r="M583" s="210">
        <v>1291827431</v>
      </c>
      <c r="N583" s="210">
        <v>94109951</v>
      </c>
      <c r="O583" s="210">
        <v>806911352</v>
      </c>
      <c r="P583" s="242">
        <v>0.23740675222371063</v>
      </c>
    </row>
    <row r="584" spans="1:16" s="8" customFormat="1">
      <c r="A584" s="108"/>
      <c r="B584" s="150"/>
      <c r="C584" s="70" t="s">
        <v>1071</v>
      </c>
      <c r="D584" s="33" t="s">
        <v>1933</v>
      </c>
      <c r="E584" s="34" t="s">
        <v>279</v>
      </c>
      <c r="F584" s="35">
        <v>1640488000</v>
      </c>
      <c r="G584" s="210">
        <v>0</v>
      </c>
      <c r="H584" s="210">
        <v>299097342</v>
      </c>
      <c r="I584" s="210">
        <v>1939585342</v>
      </c>
      <c r="J584" s="210">
        <v>-1580647</v>
      </c>
      <c r="K584" s="210">
        <v>1917192843</v>
      </c>
      <c r="L584" s="210">
        <v>170973291</v>
      </c>
      <c r="M584" s="210">
        <v>1846063743</v>
      </c>
      <c r="N584" s="210">
        <v>78681088</v>
      </c>
      <c r="O584" s="210">
        <v>1009559113</v>
      </c>
      <c r="P584" s="242">
        <v>0.23740675222371063</v>
      </c>
    </row>
    <row r="585" spans="1:16" s="8" customFormat="1">
      <c r="A585" s="108"/>
      <c r="B585" s="150"/>
      <c r="C585" s="70" t="s">
        <v>1071</v>
      </c>
      <c r="D585" s="33" t="s">
        <v>1961</v>
      </c>
      <c r="E585" s="34" t="s">
        <v>1030</v>
      </c>
      <c r="F585" s="35">
        <v>472757000</v>
      </c>
      <c r="G585" s="210">
        <v>0</v>
      </c>
      <c r="H585" s="210">
        <v>186223385</v>
      </c>
      <c r="I585" s="210">
        <v>658980385</v>
      </c>
      <c r="J585" s="210">
        <v>0</v>
      </c>
      <c r="K585" s="210">
        <v>658980385</v>
      </c>
      <c r="L585" s="210">
        <v>0</v>
      </c>
      <c r="M585" s="210">
        <v>658980385</v>
      </c>
      <c r="N585" s="210">
        <v>58207316</v>
      </c>
      <c r="O585" s="210">
        <v>363860480</v>
      </c>
      <c r="P585" s="242">
        <v>0.23740675222371063</v>
      </c>
    </row>
    <row r="586" spans="1:16" s="8" customFormat="1">
      <c r="A586" s="108"/>
      <c r="B586" s="150"/>
      <c r="C586" s="70" t="s">
        <v>1071</v>
      </c>
      <c r="D586" s="33" t="s">
        <v>1975</v>
      </c>
      <c r="E586" s="34" t="s">
        <v>1076</v>
      </c>
      <c r="F586" s="35">
        <v>897175521</v>
      </c>
      <c r="G586" s="210">
        <v>0</v>
      </c>
      <c r="H586" s="210">
        <v>156487426</v>
      </c>
      <c r="I586" s="210">
        <v>1053663426</v>
      </c>
      <c r="J586" s="210">
        <v>-1413801</v>
      </c>
      <c r="K586" s="210">
        <v>943812873</v>
      </c>
      <c r="L586" s="210">
        <v>0</v>
      </c>
      <c r="M586" s="210">
        <v>943812873</v>
      </c>
      <c r="N586" s="210">
        <v>99637815</v>
      </c>
      <c r="O586" s="210">
        <v>579601155</v>
      </c>
      <c r="P586" s="242">
        <v>0.23740675222371063</v>
      </c>
    </row>
    <row r="587" spans="1:16" s="8" customFormat="1">
      <c r="A587" s="108"/>
      <c r="B587" s="150"/>
      <c r="C587" s="70" t="s">
        <v>1071</v>
      </c>
      <c r="D587" s="33" t="s">
        <v>1946</v>
      </c>
      <c r="E587" s="34" t="s">
        <v>782</v>
      </c>
      <c r="F587" s="35">
        <v>337178000</v>
      </c>
      <c r="G587" s="210">
        <v>0</v>
      </c>
      <c r="H587" s="210">
        <v>91300208</v>
      </c>
      <c r="I587" s="210">
        <v>428478208</v>
      </c>
      <c r="J587" s="210">
        <v>0</v>
      </c>
      <c r="K587" s="210">
        <v>422506876</v>
      </c>
      <c r="L587" s="210">
        <v>0</v>
      </c>
      <c r="M587" s="210">
        <v>422506876</v>
      </c>
      <c r="N587" s="210">
        <v>46312950</v>
      </c>
      <c r="O587" s="210">
        <v>261280908</v>
      </c>
      <c r="P587" s="242">
        <v>0.23740675222371063</v>
      </c>
    </row>
    <row r="588" spans="1:16" s="8" customFormat="1">
      <c r="A588" s="108"/>
      <c r="B588" s="150"/>
      <c r="C588" s="70" t="s">
        <v>1071</v>
      </c>
      <c r="D588" s="33" t="s">
        <v>1976</v>
      </c>
      <c r="E588" s="34" t="s">
        <v>1077</v>
      </c>
      <c r="F588" s="35">
        <v>747450000</v>
      </c>
      <c r="G588" s="210">
        <v>0</v>
      </c>
      <c r="H588" s="210">
        <v>192525538</v>
      </c>
      <c r="I588" s="210">
        <v>939975538</v>
      </c>
      <c r="J588" s="210">
        <v>0</v>
      </c>
      <c r="K588" s="210">
        <v>933811007</v>
      </c>
      <c r="L588" s="210">
        <v>0</v>
      </c>
      <c r="M588" s="210">
        <v>933811007</v>
      </c>
      <c r="N588" s="210">
        <v>101424837</v>
      </c>
      <c r="O588" s="210">
        <v>567715647</v>
      </c>
      <c r="P588" s="242">
        <v>0.23740675222371063</v>
      </c>
    </row>
    <row r="589" spans="1:16" s="8" customFormat="1">
      <c r="A589" s="108"/>
      <c r="B589" s="150"/>
      <c r="C589" s="70" t="s">
        <v>1071</v>
      </c>
      <c r="D589" s="33" t="s">
        <v>1909</v>
      </c>
      <c r="E589" s="34" t="s">
        <v>819</v>
      </c>
      <c r="F589" s="35">
        <v>2247952000</v>
      </c>
      <c r="G589" s="210">
        <v>0</v>
      </c>
      <c r="H589" s="210">
        <v>611424822</v>
      </c>
      <c r="I589" s="210">
        <v>2859376822</v>
      </c>
      <c r="J589" s="210">
        <v>330579095</v>
      </c>
      <c r="K589" s="210">
        <v>2828699116</v>
      </c>
      <c r="L589" s="210">
        <v>770846330</v>
      </c>
      <c r="M589" s="210">
        <v>2748059774</v>
      </c>
      <c r="N589" s="210">
        <v>10405923</v>
      </c>
      <c r="O589" s="210">
        <v>1515322125</v>
      </c>
      <c r="P589" s="242">
        <v>0.23740675222371063</v>
      </c>
    </row>
    <row r="590" spans="1:16" s="8" customFormat="1">
      <c r="A590" s="108"/>
      <c r="B590" s="150"/>
      <c r="C590" s="70" t="s">
        <v>1071</v>
      </c>
      <c r="D590" s="33" t="s">
        <v>1948</v>
      </c>
      <c r="E590" s="34" t="s">
        <v>808</v>
      </c>
      <c r="F590" s="35">
        <v>486199000</v>
      </c>
      <c r="G590" s="210">
        <v>0</v>
      </c>
      <c r="H590" s="210">
        <v>172952079</v>
      </c>
      <c r="I590" s="210">
        <v>659151079</v>
      </c>
      <c r="J590" s="210">
        <v>0</v>
      </c>
      <c r="K590" s="210">
        <v>599328562</v>
      </c>
      <c r="L590" s="210">
        <v>192707179</v>
      </c>
      <c r="M590" s="210">
        <v>599328562</v>
      </c>
      <c r="N590" s="210">
        <v>28258454</v>
      </c>
      <c r="O590" s="210">
        <v>356637816</v>
      </c>
      <c r="P590" s="242">
        <v>0.23740675222371063</v>
      </c>
    </row>
    <row r="591" spans="1:16" s="7" customFormat="1">
      <c r="A591" s="108"/>
      <c r="B591" s="150"/>
      <c r="C591" s="70" t="s">
        <v>1071</v>
      </c>
      <c r="D591" s="33" t="s">
        <v>1977</v>
      </c>
      <c r="E591" s="34" t="s">
        <v>1078</v>
      </c>
      <c r="F591" s="35">
        <v>804039000</v>
      </c>
      <c r="G591" s="210">
        <v>0</v>
      </c>
      <c r="H591" s="210">
        <v>603958596</v>
      </c>
      <c r="I591" s="210">
        <v>1407997596</v>
      </c>
      <c r="J591" s="210">
        <v>0</v>
      </c>
      <c r="K591" s="210">
        <v>1252882004</v>
      </c>
      <c r="L591" s="210">
        <v>37145195</v>
      </c>
      <c r="M591" s="210">
        <v>1229172302</v>
      </c>
      <c r="N591" s="210">
        <v>115453063</v>
      </c>
      <c r="O591" s="210">
        <v>782112745</v>
      </c>
      <c r="P591" s="242">
        <v>0.23740675222371063</v>
      </c>
    </row>
    <row r="592" spans="1:16" s="8" customFormat="1">
      <c r="A592" s="107"/>
      <c r="B592" s="149" t="s">
        <v>1545</v>
      </c>
      <c r="C592" s="18" t="s">
        <v>1079</v>
      </c>
      <c r="D592" s="30"/>
      <c r="E592" s="17" t="s">
        <v>1080</v>
      </c>
      <c r="F592" s="16">
        <f>SUM(F593:F594)</f>
        <v>2172401000</v>
      </c>
      <c r="G592" s="203">
        <f t="shared" ref="G592:O592" si="181">SUM(G593:G594)</f>
        <v>0</v>
      </c>
      <c r="H592" s="203">
        <f t="shared" si="181"/>
        <v>849491883</v>
      </c>
      <c r="I592" s="203">
        <f t="shared" si="181"/>
        <v>3021892883</v>
      </c>
      <c r="J592" s="203">
        <f t="shared" si="181"/>
        <v>383315662</v>
      </c>
      <c r="K592" s="203">
        <f t="shared" si="181"/>
        <v>2721285560</v>
      </c>
      <c r="L592" s="203">
        <f t="shared" si="181"/>
        <v>993875648</v>
      </c>
      <c r="M592" s="203">
        <f t="shared" si="181"/>
        <v>2684930678</v>
      </c>
      <c r="N592" s="203">
        <f t="shared" si="181"/>
        <v>100232317</v>
      </c>
      <c r="O592" s="203">
        <f t="shared" si="181"/>
        <v>1543290904</v>
      </c>
      <c r="P592" s="237">
        <v>0.23740675222371063</v>
      </c>
    </row>
    <row r="593" spans="1:16" s="8" customFormat="1">
      <c r="A593" s="108"/>
      <c r="B593" s="150"/>
      <c r="C593" s="70" t="s">
        <v>1079</v>
      </c>
      <c r="D593" s="33" t="s">
        <v>1955</v>
      </c>
      <c r="E593" s="34" t="s">
        <v>919</v>
      </c>
      <c r="F593" s="35">
        <v>1406956000</v>
      </c>
      <c r="G593" s="210">
        <v>0</v>
      </c>
      <c r="H593" s="210">
        <v>579334824</v>
      </c>
      <c r="I593" s="210">
        <v>1986290824</v>
      </c>
      <c r="J593" s="210">
        <v>385440754</v>
      </c>
      <c r="K593" s="210">
        <v>1705561836</v>
      </c>
      <c r="L593" s="210">
        <v>562991283</v>
      </c>
      <c r="M593" s="210">
        <v>1669206954</v>
      </c>
      <c r="N593" s="210">
        <v>100232317</v>
      </c>
      <c r="O593" s="210">
        <v>985941624</v>
      </c>
      <c r="P593" s="242">
        <v>0.23740675222371063</v>
      </c>
    </row>
    <row r="594" spans="1:16" s="7" customFormat="1">
      <c r="A594" s="108"/>
      <c r="B594" s="150"/>
      <c r="C594" s="70" t="s">
        <v>1079</v>
      </c>
      <c r="D594" s="33" t="s">
        <v>1958</v>
      </c>
      <c r="E594" s="34" t="s">
        <v>1081</v>
      </c>
      <c r="F594" s="35">
        <v>765445000</v>
      </c>
      <c r="G594" s="210">
        <v>0</v>
      </c>
      <c r="H594" s="210">
        <v>270157059</v>
      </c>
      <c r="I594" s="35">
        <v>1035602059</v>
      </c>
      <c r="J594" s="210">
        <v>-2125092</v>
      </c>
      <c r="K594" s="210">
        <v>1015723724</v>
      </c>
      <c r="L594" s="210">
        <v>430884365</v>
      </c>
      <c r="M594" s="210">
        <v>1015723724</v>
      </c>
      <c r="N594" s="210">
        <v>0</v>
      </c>
      <c r="O594" s="210">
        <v>557349280</v>
      </c>
      <c r="P594" s="242">
        <v>0.23740675222371063</v>
      </c>
    </row>
    <row r="595" spans="1:16" s="8" customFormat="1">
      <c r="A595" s="107"/>
      <c r="B595" s="149" t="s">
        <v>1544</v>
      </c>
      <c r="C595" s="18" t="s">
        <v>1082</v>
      </c>
      <c r="D595" s="30"/>
      <c r="E595" s="17" t="s">
        <v>1083</v>
      </c>
      <c r="F595" s="16">
        <f>SUM(F596:F598)</f>
        <v>1084298000</v>
      </c>
      <c r="G595" s="203">
        <f t="shared" ref="G595:O595" si="182">SUM(G596:G598)</f>
        <v>0</v>
      </c>
      <c r="H595" s="203">
        <f t="shared" si="182"/>
        <v>308005883</v>
      </c>
      <c r="I595" s="203">
        <f t="shared" si="182"/>
        <v>1392303883</v>
      </c>
      <c r="J595" s="203">
        <f t="shared" si="182"/>
        <v>292165006</v>
      </c>
      <c r="K595" s="203">
        <f t="shared" si="182"/>
        <v>1352726338</v>
      </c>
      <c r="L595" s="203">
        <f t="shared" si="182"/>
        <v>295264821</v>
      </c>
      <c r="M595" s="203">
        <f t="shared" si="182"/>
        <v>1317890635</v>
      </c>
      <c r="N595" s="203">
        <f t="shared" si="182"/>
        <v>52060361</v>
      </c>
      <c r="O595" s="203">
        <f t="shared" si="182"/>
        <v>861224207</v>
      </c>
      <c r="P595" s="237">
        <v>0.23740675222371063</v>
      </c>
    </row>
    <row r="596" spans="1:16" s="8" customFormat="1">
      <c r="A596" s="108"/>
      <c r="B596" s="150"/>
      <c r="C596" s="70" t="s">
        <v>1082</v>
      </c>
      <c r="D596" s="33" t="s">
        <v>1960</v>
      </c>
      <c r="E596" s="34" t="s">
        <v>1018</v>
      </c>
      <c r="F596" s="35">
        <v>479713000</v>
      </c>
      <c r="G596" s="210">
        <v>0</v>
      </c>
      <c r="H596" s="210">
        <v>141092059</v>
      </c>
      <c r="I596" s="210">
        <v>620805059</v>
      </c>
      <c r="J596" s="210">
        <v>14489257</v>
      </c>
      <c r="K596" s="210">
        <v>587421031</v>
      </c>
      <c r="L596" s="210">
        <v>52424775</v>
      </c>
      <c r="M596" s="210">
        <v>587421031</v>
      </c>
      <c r="N596" s="210">
        <v>50352383</v>
      </c>
      <c r="O596" s="210">
        <v>373594649</v>
      </c>
      <c r="P596" s="242">
        <v>0.23740675222371063</v>
      </c>
    </row>
    <row r="597" spans="1:16" s="8" customFormat="1">
      <c r="A597" s="108"/>
      <c r="B597" s="150"/>
      <c r="C597" s="70" t="s">
        <v>1082</v>
      </c>
      <c r="D597" s="33" t="s">
        <v>1978</v>
      </c>
      <c r="E597" s="34" t="s">
        <v>1465</v>
      </c>
      <c r="F597" s="35">
        <v>363507000</v>
      </c>
      <c r="G597" s="210">
        <v>0</v>
      </c>
      <c r="H597" s="210">
        <v>166913824</v>
      </c>
      <c r="I597" s="210">
        <v>530420824</v>
      </c>
      <c r="J597" s="210">
        <v>169981020</v>
      </c>
      <c r="K597" s="210">
        <v>530368518</v>
      </c>
      <c r="L597" s="210">
        <v>135145317</v>
      </c>
      <c r="M597" s="210">
        <v>495532815</v>
      </c>
      <c r="N597" s="210">
        <v>737636</v>
      </c>
      <c r="O597" s="210">
        <v>360387498</v>
      </c>
      <c r="P597" s="242">
        <v>0.23740675222371063</v>
      </c>
    </row>
    <row r="598" spans="1:16" s="7" customFormat="1">
      <c r="A598" s="108"/>
      <c r="B598" s="150"/>
      <c r="C598" s="70" t="s">
        <v>1082</v>
      </c>
      <c r="D598" s="33" t="s">
        <v>1979</v>
      </c>
      <c r="E598" s="34" t="s">
        <v>1466</v>
      </c>
      <c r="F598" s="35">
        <v>241078000</v>
      </c>
      <c r="G598" s="210">
        <v>0</v>
      </c>
      <c r="H598" s="210">
        <v>0</v>
      </c>
      <c r="I598" s="210">
        <v>241078000</v>
      </c>
      <c r="J598" s="210">
        <v>107694729</v>
      </c>
      <c r="K598" s="210">
        <v>234936789</v>
      </c>
      <c r="L598" s="210">
        <v>107694729</v>
      </c>
      <c r="M598" s="210">
        <v>234936789</v>
      </c>
      <c r="N598" s="210">
        <v>970342</v>
      </c>
      <c r="O598" s="210">
        <v>127242060</v>
      </c>
      <c r="P598" s="242">
        <v>0.23740675222371063</v>
      </c>
    </row>
    <row r="599" spans="1:16" s="8" customFormat="1">
      <c r="A599" s="107"/>
      <c r="B599" s="149" t="s">
        <v>1841</v>
      </c>
      <c r="C599" s="18" t="s">
        <v>1084</v>
      </c>
      <c r="D599" s="30"/>
      <c r="E599" s="17" t="s">
        <v>1085</v>
      </c>
      <c r="F599" s="16">
        <f>+F600</f>
        <v>1910610000</v>
      </c>
      <c r="G599" s="203">
        <f t="shared" ref="G599:O599" si="183">+G600</f>
        <v>0</v>
      </c>
      <c r="H599" s="203">
        <f t="shared" si="183"/>
        <v>539555294</v>
      </c>
      <c r="I599" s="203">
        <f t="shared" si="183"/>
        <v>2450165294</v>
      </c>
      <c r="J599" s="203">
        <f t="shared" si="183"/>
        <v>-17650557</v>
      </c>
      <c r="K599" s="203">
        <f t="shared" si="183"/>
        <v>2335704351</v>
      </c>
      <c r="L599" s="203">
        <f t="shared" si="183"/>
        <v>609760895</v>
      </c>
      <c r="M599" s="203">
        <f t="shared" si="183"/>
        <v>2335704351</v>
      </c>
      <c r="N599" s="203">
        <f t="shared" si="183"/>
        <v>166854843</v>
      </c>
      <c r="O599" s="203">
        <f t="shared" si="183"/>
        <v>1505434433</v>
      </c>
      <c r="P599" s="237">
        <v>0.23740675222371063</v>
      </c>
    </row>
    <row r="600" spans="1:16" s="7" customFormat="1">
      <c r="A600" s="108"/>
      <c r="B600" s="150"/>
      <c r="C600" s="70" t="s">
        <v>1084</v>
      </c>
      <c r="D600" s="33" t="s">
        <v>1942</v>
      </c>
      <c r="E600" s="34" t="s">
        <v>913</v>
      </c>
      <c r="F600" s="35">
        <v>1910610000</v>
      </c>
      <c r="G600" s="210">
        <v>0</v>
      </c>
      <c r="H600" s="210">
        <v>539555294</v>
      </c>
      <c r="I600" s="210">
        <v>2450165294</v>
      </c>
      <c r="J600" s="210">
        <v>-17650557</v>
      </c>
      <c r="K600" s="210">
        <v>2335704351</v>
      </c>
      <c r="L600" s="210">
        <v>609760895</v>
      </c>
      <c r="M600" s="210">
        <v>2335704351</v>
      </c>
      <c r="N600" s="210">
        <v>166854843</v>
      </c>
      <c r="O600" s="210">
        <v>1505434433</v>
      </c>
      <c r="P600" s="242">
        <v>0.23740675222371063</v>
      </c>
    </row>
    <row r="601" spans="1:16" s="8" customFormat="1">
      <c r="A601" s="107"/>
      <c r="B601" s="149" t="s">
        <v>1842</v>
      </c>
      <c r="C601" s="18" t="s">
        <v>1086</v>
      </c>
      <c r="D601" s="30"/>
      <c r="E601" s="17" t="s">
        <v>1087</v>
      </c>
      <c r="F601" s="16">
        <f>SUM(F602:F606)</f>
        <v>933793000</v>
      </c>
      <c r="G601" s="203">
        <f t="shared" ref="G601:O601" si="184">SUM(G602:G606)</f>
        <v>0</v>
      </c>
      <c r="H601" s="203">
        <f t="shared" si="184"/>
        <v>219715999</v>
      </c>
      <c r="I601" s="203">
        <f t="shared" si="184"/>
        <v>1153508999</v>
      </c>
      <c r="J601" s="203">
        <f t="shared" si="184"/>
        <v>475335688</v>
      </c>
      <c r="K601" s="203">
        <f t="shared" si="184"/>
        <v>1140788086</v>
      </c>
      <c r="L601" s="203">
        <f t="shared" si="184"/>
        <v>475335688</v>
      </c>
      <c r="M601" s="203">
        <f t="shared" si="184"/>
        <v>1140788086</v>
      </c>
      <c r="N601" s="203">
        <f t="shared" si="184"/>
        <v>6059147</v>
      </c>
      <c r="O601" s="203">
        <f t="shared" si="184"/>
        <v>665452398</v>
      </c>
      <c r="P601" s="237">
        <v>0.23740675222371063</v>
      </c>
    </row>
    <row r="602" spans="1:16" s="8" customFormat="1">
      <c r="A602" s="108"/>
      <c r="B602" s="150"/>
      <c r="C602" s="70" t="s">
        <v>1086</v>
      </c>
      <c r="D602" s="33" t="s">
        <v>1980</v>
      </c>
      <c r="E602" s="34" t="s">
        <v>1462</v>
      </c>
      <c r="F602" s="35">
        <v>205093000</v>
      </c>
      <c r="G602" s="210">
        <v>0</v>
      </c>
      <c r="H602" s="210">
        <v>48257176</v>
      </c>
      <c r="I602" s="210">
        <v>253350176</v>
      </c>
      <c r="J602" s="210">
        <v>107852816</v>
      </c>
      <c r="K602" s="210">
        <v>253272344</v>
      </c>
      <c r="L602" s="210">
        <v>107852816</v>
      </c>
      <c r="M602" s="210">
        <v>253272344</v>
      </c>
      <c r="N602" s="210">
        <v>0</v>
      </c>
      <c r="O602" s="210">
        <v>145419528</v>
      </c>
      <c r="P602" s="242">
        <v>0.23740675222371063</v>
      </c>
    </row>
    <row r="603" spans="1:16" s="8" customFormat="1">
      <c r="A603" s="108"/>
      <c r="B603" s="150"/>
      <c r="C603" s="70" t="s">
        <v>1086</v>
      </c>
      <c r="D603" s="33" t="s">
        <v>1981</v>
      </c>
      <c r="E603" s="34" t="s">
        <v>1088</v>
      </c>
      <c r="F603" s="35">
        <v>161872000</v>
      </c>
      <c r="G603" s="210">
        <v>0</v>
      </c>
      <c r="H603" s="210">
        <v>38087529</v>
      </c>
      <c r="I603" s="210">
        <v>199959529</v>
      </c>
      <c r="J603" s="210">
        <v>84222144</v>
      </c>
      <c r="K603" s="210">
        <v>193286790</v>
      </c>
      <c r="L603" s="210">
        <v>84222144</v>
      </c>
      <c r="M603" s="210">
        <v>193286790</v>
      </c>
      <c r="N603" s="210">
        <v>0</v>
      </c>
      <c r="O603" s="210">
        <v>109064646</v>
      </c>
      <c r="P603" s="242">
        <v>0.23740675222371063</v>
      </c>
    </row>
    <row r="604" spans="1:16" s="8" customFormat="1">
      <c r="A604" s="108"/>
      <c r="B604" s="150"/>
      <c r="C604" s="70" t="s">
        <v>1086</v>
      </c>
      <c r="D604" s="33" t="s">
        <v>1982</v>
      </c>
      <c r="E604" s="34" t="s">
        <v>1089</v>
      </c>
      <c r="F604" s="35">
        <v>185330000</v>
      </c>
      <c r="G604" s="210">
        <v>0</v>
      </c>
      <c r="H604" s="210">
        <v>43607059</v>
      </c>
      <c r="I604" s="210">
        <v>228937059</v>
      </c>
      <c r="J604" s="210">
        <v>96138465</v>
      </c>
      <c r="K604" s="210">
        <v>228912813</v>
      </c>
      <c r="L604" s="210">
        <v>96138465</v>
      </c>
      <c r="M604" s="210">
        <v>228912813</v>
      </c>
      <c r="N604" s="210">
        <v>0</v>
      </c>
      <c r="O604" s="210">
        <v>132774348</v>
      </c>
      <c r="P604" s="242">
        <v>0.23740675222371063</v>
      </c>
    </row>
    <row r="605" spans="1:16" s="8" customFormat="1">
      <c r="A605" s="108"/>
      <c r="B605" s="150"/>
      <c r="C605" s="70" t="s">
        <v>1086</v>
      </c>
      <c r="D605" s="33" t="s">
        <v>1983</v>
      </c>
      <c r="E605" s="34" t="s">
        <v>1090</v>
      </c>
      <c r="F605" s="35">
        <v>273200000</v>
      </c>
      <c r="G605" s="210">
        <v>0</v>
      </c>
      <c r="H605" s="210">
        <v>64282353</v>
      </c>
      <c r="I605" s="210">
        <v>337482353</v>
      </c>
      <c r="J605" s="210">
        <v>131984025</v>
      </c>
      <c r="K605" s="210">
        <v>337468137</v>
      </c>
      <c r="L605" s="210">
        <v>131984025</v>
      </c>
      <c r="M605" s="210">
        <v>337468137</v>
      </c>
      <c r="N605" s="210">
        <v>0</v>
      </c>
      <c r="O605" s="210">
        <v>205484112</v>
      </c>
      <c r="P605" s="242">
        <v>0.23740675222371063</v>
      </c>
    </row>
    <row r="606" spans="1:16" s="7" customFormat="1">
      <c r="A606" s="108"/>
      <c r="B606" s="150"/>
      <c r="C606" s="70" t="s">
        <v>1086</v>
      </c>
      <c r="D606" s="33" t="s">
        <v>1984</v>
      </c>
      <c r="E606" s="34" t="s">
        <v>1091</v>
      </c>
      <c r="F606" s="35">
        <v>108298000</v>
      </c>
      <c r="G606" s="210">
        <v>0</v>
      </c>
      <c r="H606" s="210">
        <v>25481882</v>
      </c>
      <c r="I606" s="210">
        <v>133779882</v>
      </c>
      <c r="J606" s="210">
        <v>55138238</v>
      </c>
      <c r="K606" s="210">
        <v>127848002</v>
      </c>
      <c r="L606" s="210">
        <v>55138238</v>
      </c>
      <c r="M606" s="210">
        <v>127848002</v>
      </c>
      <c r="N606" s="210">
        <v>6059147</v>
      </c>
      <c r="O606" s="210">
        <v>72709764</v>
      </c>
      <c r="P606" s="242">
        <v>0.23740675222371063</v>
      </c>
    </row>
    <row r="607" spans="1:16" s="8" customFormat="1">
      <c r="A607" s="107"/>
      <c r="B607" s="149" t="s">
        <v>1843</v>
      </c>
      <c r="C607" s="18" t="s">
        <v>1092</v>
      </c>
      <c r="D607" s="30"/>
      <c r="E607" s="17" t="s">
        <v>1093</v>
      </c>
      <c r="F607" s="16">
        <f>+F608</f>
        <v>420095000</v>
      </c>
      <c r="G607" s="203">
        <f t="shared" ref="G607:O607" si="185">+G608</f>
        <v>0</v>
      </c>
      <c r="H607" s="203">
        <f t="shared" si="185"/>
        <v>354000000</v>
      </c>
      <c r="I607" s="203">
        <f t="shared" si="185"/>
        <v>774095000</v>
      </c>
      <c r="J607" s="203">
        <f t="shared" si="185"/>
        <v>46277816</v>
      </c>
      <c r="K607" s="203">
        <f t="shared" si="185"/>
        <v>739760269</v>
      </c>
      <c r="L607" s="203">
        <f t="shared" si="185"/>
        <v>128734881</v>
      </c>
      <c r="M607" s="203">
        <f t="shared" si="185"/>
        <v>739760269</v>
      </c>
      <c r="N607" s="203">
        <f t="shared" si="185"/>
        <v>40499687</v>
      </c>
      <c r="O607" s="203">
        <f t="shared" si="185"/>
        <v>451994742</v>
      </c>
      <c r="P607" s="237">
        <v>0.23740675222371063</v>
      </c>
    </row>
    <row r="608" spans="1:16">
      <c r="A608" s="108"/>
      <c r="B608" s="150"/>
      <c r="C608" s="70" t="s">
        <v>1092</v>
      </c>
      <c r="D608" s="33" t="s">
        <v>1942</v>
      </c>
      <c r="E608" s="34" t="s">
        <v>1094</v>
      </c>
      <c r="F608" s="35">
        <v>420095000</v>
      </c>
      <c r="G608" s="210">
        <v>0</v>
      </c>
      <c r="H608" s="210">
        <v>354000000</v>
      </c>
      <c r="I608" s="210">
        <v>774095000</v>
      </c>
      <c r="J608" s="210">
        <v>46277816</v>
      </c>
      <c r="K608" s="210">
        <v>739760269</v>
      </c>
      <c r="L608" s="210">
        <v>128734881</v>
      </c>
      <c r="M608" s="210">
        <v>739760269</v>
      </c>
      <c r="N608" s="210">
        <v>40499687</v>
      </c>
      <c r="O608" s="210">
        <v>451994742</v>
      </c>
      <c r="P608" s="242">
        <v>0.23740675222371063</v>
      </c>
    </row>
    <row r="609" spans="1:16" s="8" customFormat="1">
      <c r="A609" s="107"/>
      <c r="B609" s="149" t="s">
        <v>1543</v>
      </c>
      <c r="C609" s="18" t="s">
        <v>1095</v>
      </c>
      <c r="D609" s="30"/>
      <c r="E609" s="17" t="s">
        <v>1096</v>
      </c>
      <c r="F609" s="16">
        <f>SUM(F610:F611)</f>
        <v>4756411000</v>
      </c>
      <c r="G609" s="203">
        <f t="shared" ref="G609:O609" si="186">SUM(G610:G611)</f>
        <v>0</v>
      </c>
      <c r="H609" s="203">
        <f t="shared" si="186"/>
        <v>1119155529</v>
      </c>
      <c r="I609" s="203">
        <f t="shared" si="186"/>
        <v>5875566529</v>
      </c>
      <c r="J609" s="203">
        <f t="shared" si="186"/>
        <v>1029462100</v>
      </c>
      <c r="K609" s="203">
        <f t="shared" si="186"/>
        <v>5694082575</v>
      </c>
      <c r="L609" s="203">
        <f t="shared" si="186"/>
        <v>1438586235</v>
      </c>
      <c r="M609" s="203">
        <f t="shared" si="186"/>
        <v>5266772068</v>
      </c>
      <c r="N609" s="203">
        <f t="shared" si="186"/>
        <v>195060596</v>
      </c>
      <c r="O609" s="203">
        <f t="shared" si="186"/>
        <v>3204669182</v>
      </c>
      <c r="P609" s="237">
        <v>0.23740675222371063</v>
      </c>
    </row>
    <row r="610" spans="1:16" s="8" customFormat="1">
      <c r="A610" s="108"/>
      <c r="B610" s="150"/>
      <c r="C610" s="70" t="s">
        <v>1095</v>
      </c>
      <c r="D610" s="33" t="s">
        <v>1943</v>
      </c>
      <c r="E610" s="34" t="s">
        <v>763</v>
      </c>
      <c r="F610" s="35">
        <v>4548231000</v>
      </c>
      <c r="G610" s="210">
        <v>0</v>
      </c>
      <c r="H610" s="210">
        <v>1070172000</v>
      </c>
      <c r="I610" s="210">
        <v>5618403000</v>
      </c>
      <c r="J610" s="210">
        <v>918685088</v>
      </c>
      <c r="K610" s="210">
        <v>5437886035</v>
      </c>
      <c r="L610" s="210">
        <v>1365876471</v>
      </c>
      <c r="M610" s="210">
        <v>5048642776</v>
      </c>
      <c r="N610" s="210">
        <v>193848766</v>
      </c>
      <c r="O610" s="210">
        <v>3059249654</v>
      </c>
      <c r="P610" s="242">
        <v>0.23740675222371063</v>
      </c>
    </row>
    <row r="611" spans="1:16" s="8" customFormat="1">
      <c r="A611" s="108"/>
      <c r="B611" s="150"/>
      <c r="C611" s="70" t="s">
        <v>1095</v>
      </c>
      <c r="D611" s="33" t="s">
        <v>1985</v>
      </c>
      <c r="E611" s="34" t="s">
        <v>1097</v>
      </c>
      <c r="F611" s="35">
        <v>208180000</v>
      </c>
      <c r="G611" s="210">
        <v>0</v>
      </c>
      <c r="H611" s="210">
        <v>48983529</v>
      </c>
      <c r="I611" s="210">
        <v>257163529</v>
      </c>
      <c r="J611" s="210">
        <v>110777012</v>
      </c>
      <c r="K611" s="210">
        <v>256196540</v>
      </c>
      <c r="L611" s="210">
        <v>72709764</v>
      </c>
      <c r="M611" s="210">
        <v>218129292</v>
      </c>
      <c r="N611" s="210">
        <v>1211830</v>
      </c>
      <c r="O611" s="210">
        <v>145419528</v>
      </c>
      <c r="P611" s="242">
        <v>0.23740675222371063</v>
      </c>
    </row>
    <row r="612" spans="1:16" s="2" customFormat="1">
      <c r="A612" s="174" t="s">
        <v>1098</v>
      </c>
      <c r="B612" s="157" t="s">
        <v>1531</v>
      </c>
      <c r="C612" s="158" t="s">
        <v>1099</v>
      </c>
      <c r="D612" s="41"/>
      <c r="E612" s="42" t="s">
        <v>1100</v>
      </c>
      <c r="F612" s="76">
        <f>+F613+F615</f>
        <v>3146696000</v>
      </c>
      <c r="G612" s="76">
        <f>+G613+G615</f>
        <v>0</v>
      </c>
      <c r="H612" s="76">
        <f t="shared" ref="H612:O612" si="187">+H613+H615</f>
        <v>660574458</v>
      </c>
      <c r="I612" s="76">
        <f t="shared" si="187"/>
        <v>3807270458</v>
      </c>
      <c r="J612" s="76">
        <f t="shared" si="187"/>
        <v>-38471179</v>
      </c>
      <c r="K612" s="76">
        <f t="shared" si="187"/>
        <v>3618065488</v>
      </c>
      <c r="L612" s="76">
        <f t="shared" si="187"/>
        <v>1225817993</v>
      </c>
      <c r="M612" s="76">
        <f t="shared" si="187"/>
        <v>3434868522</v>
      </c>
      <c r="N612" s="76">
        <f t="shared" si="187"/>
        <v>164047403</v>
      </c>
      <c r="O612" s="76">
        <f t="shared" si="187"/>
        <v>1986585892</v>
      </c>
      <c r="P612" s="247">
        <v>0.23740675222371063</v>
      </c>
    </row>
    <row r="613" spans="1:16" s="8" customFormat="1">
      <c r="A613" s="107" t="s">
        <v>1101</v>
      </c>
      <c r="B613" s="149" t="s">
        <v>1844</v>
      </c>
      <c r="C613" s="18" t="s">
        <v>1102</v>
      </c>
      <c r="D613" s="30"/>
      <c r="E613" s="17" t="s">
        <v>1103</v>
      </c>
      <c r="F613" s="203">
        <f>SUM(F614:F614)</f>
        <v>98972000</v>
      </c>
      <c r="G613" s="203">
        <f t="shared" ref="G613:O613" si="188">SUM(G614:G614)</f>
        <v>0</v>
      </c>
      <c r="H613" s="203">
        <f t="shared" si="188"/>
        <v>0</v>
      </c>
      <c r="I613" s="203">
        <f t="shared" si="188"/>
        <v>98972000</v>
      </c>
      <c r="J613" s="203">
        <f t="shared" si="188"/>
        <v>0</v>
      </c>
      <c r="K613" s="203">
        <f t="shared" si="188"/>
        <v>0</v>
      </c>
      <c r="L613" s="203">
        <f t="shared" si="188"/>
        <v>0</v>
      </c>
      <c r="M613" s="203">
        <f t="shared" si="188"/>
        <v>0</v>
      </c>
      <c r="N613" s="203">
        <f t="shared" si="188"/>
        <v>0</v>
      </c>
      <c r="O613" s="203">
        <f t="shared" si="188"/>
        <v>0</v>
      </c>
      <c r="P613" s="237">
        <v>0.23740675222371063</v>
      </c>
    </row>
    <row r="614" spans="1:16" s="2" customFormat="1">
      <c r="A614" s="108"/>
      <c r="B614" s="150"/>
      <c r="C614" s="70" t="s">
        <v>1102</v>
      </c>
      <c r="D614" s="33" t="s">
        <v>1953</v>
      </c>
      <c r="E614" s="34" t="s">
        <v>917</v>
      </c>
      <c r="F614" s="35">
        <v>98972000</v>
      </c>
      <c r="G614" s="210">
        <v>0</v>
      </c>
      <c r="H614" s="210">
        <v>0</v>
      </c>
      <c r="I614" s="210">
        <v>98972000</v>
      </c>
      <c r="J614" s="210">
        <v>0</v>
      </c>
      <c r="K614" s="210">
        <v>0</v>
      </c>
      <c r="L614" s="210">
        <v>0</v>
      </c>
      <c r="M614" s="210">
        <v>0</v>
      </c>
      <c r="N614" s="210">
        <v>0</v>
      </c>
      <c r="O614" s="210">
        <v>0</v>
      </c>
      <c r="P614" s="242">
        <v>0.23740675222371063</v>
      </c>
    </row>
    <row r="615" spans="1:16" s="8" customFormat="1">
      <c r="A615" s="107" t="s">
        <v>1104</v>
      </c>
      <c r="B615" s="149" t="s">
        <v>1845</v>
      </c>
      <c r="C615" s="18" t="s">
        <v>1105</v>
      </c>
      <c r="D615" s="30"/>
      <c r="E615" s="17" t="s">
        <v>1106</v>
      </c>
      <c r="F615" s="16">
        <f>SUM(F616:F617)</f>
        <v>3047724000</v>
      </c>
      <c r="G615" s="203">
        <f t="shared" ref="G615:O615" si="189">SUM(G616:G617)</f>
        <v>0</v>
      </c>
      <c r="H615" s="203">
        <f t="shared" si="189"/>
        <v>660574458</v>
      </c>
      <c r="I615" s="203">
        <f t="shared" si="189"/>
        <v>3708298458</v>
      </c>
      <c r="J615" s="203">
        <f t="shared" si="189"/>
        <v>-38471179</v>
      </c>
      <c r="K615" s="203">
        <f t="shared" si="189"/>
        <v>3618065488</v>
      </c>
      <c r="L615" s="203">
        <f t="shared" si="189"/>
        <v>1225817993</v>
      </c>
      <c r="M615" s="203">
        <f t="shared" si="189"/>
        <v>3434868522</v>
      </c>
      <c r="N615" s="203">
        <f t="shared" si="189"/>
        <v>164047403</v>
      </c>
      <c r="O615" s="203">
        <f t="shared" si="189"/>
        <v>1986585892</v>
      </c>
      <c r="P615" s="237">
        <v>0.23740675222371063</v>
      </c>
    </row>
    <row r="616" spans="1:16" s="8" customFormat="1">
      <c r="A616" s="108"/>
      <c r="B616" s="150"/>
      <c r="C616" s="70" t="s">
        <v>1105</v>
      </c>
      <c r="D616" s="33" t="s">
        <v>1947</v>
      </c>
      <c r="E616" s="34" t="s">
        <v>783</v>
      </c>
      <c r="F616" s="35">
        <v>1846888000</v>
      </c>
      <c r="G616" s="210">
        <v>0</v>
      </c>
      <c r="H616" s="210">
        <v>372691431</v>
      </c>
      <c r="I616" s="210">
        <v>2219579431</v>
      </c>
      <c r="J616" s="210">
        <v>2054849</v>
      </c>
      <c r="K616" s="210">
        <v>2191672228</v>
      </c>
      <c r="L616" s="210">
        <v>998810759</v>
      </c>
      <c r="M616" s="210">
        <v>2191672228</v>
      </c>
      <c r="N616" s="210">
        <v>108636950</v>
      </c>
      <c r="O616" s="210">
        <v>1170093997</v>
      </c>
      <c r="P616" s="242">
        <v>0.23740675222371063</v>
      </c>
    </row>
    <row r="617" spans="1:16" s="2" customFormat="1">
      <c r="A617" s="108"/>
      <c r="B617" s="150"/>
      <c r="C617" s="70" t="s">
        <v>1105</v>
      </c>
      <c r="D617" s="33" t="s">
        <v>1944</v>
      </c>
      <c r="E617" s="34" t="s">
        <v>780</v>
      </c>
      <c r="F617" s="35">
        <v>1200836000</v>
      </c>
      <c r="G617" s="210">
        <v>0</v>
      </c>
      <c r="H617" s="210">
        <v>287883027</v>
      </c>
      <c r="I617" s="210">
        <v>1488719027</v>
      </c>
      <c r="J617" s="210">
        <v>-40526028</v>
      </c>
      <c r="K617" s="210">
        <v>1426393260</v>
      </c>
      <c r="L617" s="210">
        <v>227007234</v>
      </c>
      <c r="M617" s="210">
        <v>1243196294</v>
      </c>
      <c r="N617" s="210">
        <v>55410453</v>
      </c>
      <c r="O617" s="210">
        <v>816491895</v>
      </c>
      <c r="P617" s="242">
        <v>0.23740675222371063</v>
      </c>
    </row>
    <row r="618" spans="1:16" s="2" customFormat="1">
      <c r="A618" s="134" t="s">
        <v>1107</v>
      </c>
      <c r="B618" s="123" t="s">
        <v>1531</v>
      </c>
      <c r="C618" s="124" t="s">
        <v>1108</v>
      </c>
      <c r="D618" s="67"/>
      <c r="E618" s="25" t="s">
        <v>1109</v>
      </c>
      <c r="F618" s="68">
        <f>+F619</f>
        <v>2000000</v>
      </c>
      <c r="G618" s="68">
        <f t="shared" ref="G618:O618" si="190">+G619</f>
        <v>0</v>
      </c>
      <c r="H618" s="68">
        <f t="shared" si="190"/>
        <v>0</v>
      </c>
      <c r="I618" s="68">
        <f t="shared" si="190"/>
        <v>2000000</v>
      </c>
      <c r="J618" s="68">
        <f t="shared" si="190"/>
        <v>0</v>
      </c>
      <c r="K618" s="68">
        <f t="shared" si="190"/>
        <v>0</v>
      </c>
      <c r="L618" s="68">
        <f t="shared" si="190"/>
        <v>0</v>
      </c>
      <c r="M618" s="68">
        <f t="shared" si="190"/>
        <v>0</v>
      </c>
      <c r="N618" s="68">
        <f t="shared" si="190"/>
        <v>0</v>
      </c>
      <c r="O618" s="68">
        <f t="shared" si="190"/>
        <v>0</v>
      </c>
      <c r="P618" s="229">
        <v>0.23740675222371063</v>
      </c>
    </row>
    <row r="619" spans="1:16" s="8" customFormat="1">
      <c r="A619" s="107" t="s">
        <v>1110</v>
      </c>
      <c r="B619" s="149" t="s">
        <v>1846</v>
      </c>
      <c r="C619" s="18" t="s">
        <v>1111</v>
      </c>
      <c r="D619" s="30"/>
      <c r="E619" s="17" t="s">
        <v>1112</v>
      </c>
      <c r="F619" s="16">
        <f>SUM(F620:F620)</f>
        <v>2000000</v>
      </c>
      <c r="G619" s="203">
        <f t="shared" ref="G619" si="191">SUM(G620:G620)</f>
        <v>0</v>
      </c>
      <c r="H619" s="203">
        <f t="shared" ref="H619" si="192">SUM(H620:H620)</f>
        <v>0</v>
      </c>
      <c r="I619" s="203">
        <f t="shared" ref="I619" si="193">SUM(I620:I620)</f>
        <v>2000000</v>
      </c>
      <c r="J619" s="203">
        <f t="shared" ref="J619" si="194">SUM(J620:J620)</f>
        <v>0</v>
      </c>
      <c r="K619" s="203">
        <f t="shared" ref="K619" si="195">SUM(K620:K620)</f>
        <v>0</v>
      </c>
      <c r="L619" s="203">
        <f t="shared" ref="L619" si="196">SUM(L620:L620)</f>
        <v>0</v>
      </c>
      <c r="M619" s="203">
        <f t="shared" ref="M619" si="197">SUM(M620:M620)</f>
        <v>0</v>
      </c>
      <c r="N619" s="203">
        <f t="shared" ref="N619" si="198">SUM(N620:N620)</f>
        <v>0</v>
      </c>
      <c r="O619" s="203">
        <f t="shared" ref="O619" si="199">SUM(O620:O620)</f>
        <v>0</v>
      </c>
      <c r="P619" s="237">
        <v>0.23740675222371063</v>
      </c>
    </row>
    <row r="620" spans="1:16" s="2" customFormat="1">
      <c r="A620" s="108"/>
      <c r="B620" s="150"/>
      <c r="C620" s="70" t="s">
        <v>1111</v>
      </c>
      <c r="D620" s="33" t="s">
        <v>1974</v>
      </c>
      <c r="E620" s="34" t="s">
        <v>1075</v>
      </c>
      <c r="F620" s="35">
        <v>2000000</v>
      </c>
      <c r="G620" s="210">
        <v>0</v>
      </c>
      <c r="H620" s="210">
        <v>0</v>
      </c>
      <c r="I620" s="210">
        <v>2000000</v>
      </c>
      <c r="J620" s="210">
        <v>0</v>
      </c>
      <c r="K620" s="210">
        <v>0</v>
      </c>
      <c r="L620" s="210">
        <v>0</v>
      </c>
      <c r="M620" s="210">
        <v>0</v>
      </c>
      <c r="N620" s="210">
        <v>0</v>
      </c>
      <c r="O620" s="210">
        <v>0</v>
      </c>
      <c r="P620" s="242">
        <v>0.23740675222371063</v>
      </c>
    </row>
    <row r="621" spans="1:16" s="2" customFormat="1">
      <c r="A621" s="134" t="s">
        <v>1113</v>
      </c>
      <c r="B621" s="123" t="s">
        <v>1531</v>
      </c>
      <c r="C621" s="124" t="s">
        <v>1114</v>
      </c>
      <c r="D621" s="67"/>
      <c r="E621" s="25" t="s">
        <v>1115</v>
      </c>
      <c r="F621" s="68">
        <f>+F622+F631+F633</f>
        <v>422096000</v>
      </c>
      <c r="G621" s="68">
        <f t="shared" ref="G621:O621" si="200">+G622+G631+G633</f>
        <v>0</v>
      </c>
      <c r="H621" s="68">
        <f t="shared" si="200"/>
        <v>-85000000</v>
      </c>
      <c r="I621" s="68">
        <f t="shared" si="200"/>
        <v>337096000</v>
      </c>
      <c r="J621" s="68">
        <f t="shared" si="200"/>
        <v>-231438</v>
      </c>
      <c r="K621" s="68">
        <f t="shared" si="200"/>
        <v>249979562</v>
      </c>
      <c r="L621" s="68">
        <f t="shared" si="200"/>
        <v>47028562</v>
      </c>
      <c r="M621" s="68">
        <f t="shared" si="200"/>
        <v>244366116</v>
      </c>
      <c r="N621" s="68">
        <f t="shared" si="200"/>
        <v>0</v>
      </c>
      <c r="O621" s="68">
        <f t="shared" si="200"/>
        <v>85553000</v>
      </c>
      <c r="P621" s="229">
        <v>0.23740675222371063</v>
      </c>
    </row>
    <row r="622" spans="1:16" s="8" customFormat="1">
      <c r="A622" s="107" t="s">
        <v>1116</v>
      </c>
      <c r="B622" s="149" t="s">
        <v>1847</v>
      </c>
      <c r="C622" s="18" t="s">
        <v>1117</v>
      </c>
      <c r="D622" s="30"/>
      <c r="E622" s="17" t="s">
        <v>1118</v>
      </c>
      <c r="F622" s="16">
        <f>SUM(F623:F630)</f>
        <v>422096000</v>
      </c>
      <c r="G622" s="203">
        <f t="shared" ref="G622:O622" si="201">SUM(G623:G630)</f>
        <v>0</v>
      </c>
      <c r="H622" s="203">
        <f t="shared" si="201"/>
        <v>-85000000</v>
      </c>
      <c r="I622" s="203">
        <f t="shared" si="201"/>
        <v>337096000</v>
      </c>
      <c r="J622" s="203">
        <f t="shared" si="201"/>
        <v>-231438</v>
      </c>
      <c r="K622" s="203">
        <f t="shared" si="201"/>
        <v>249979562</v>
      </c>
      <c r="L622" s="203">
        <f t="shared" si="201"/>
        <v>47028562</v>
      </c>
      <c r="M622" s="203">
        <f t="shared" si="201"/>
        <v>244366116</v>
      </c>
      <c r="N622" s="203">
        <f t="shared" si="201"/>
        <v>0</v>
      </c>
      <c r="O622" s="203">
        <f t="shared" si="201"/>
        <v>85553000</v>
      </c>
      <c r="P622" s="237">
        <v>0.23740675222371063</v>
      </c>
    </row>
    <row r="623" spans="1:16" s="8" customFormat="1">
      <c r="A623" s="108"/>
      <c r="B623" s="150"/>
      <c r="C623" s="70" t="s">
        <v>1117</v>
      </c>
      <c r="D623" s="33" t="s">
        <v>1945</v>
      </c>
      <c r="E623" s="34" t="s">
        <v>781</v>
      </c>
      <c r="F623" s="35">
        <v>163553000</v>
      </c>
      <c r="G623" s="210">
        <v>0</v>
      </c>
      <c r="H623" s="210">
        <v>-78000000</v>
      </c>
      <c r="I623" s="210">
        <v>85553000</v>
      </c>
      <c r="J623" s="210">
        <v>0</v>
      </c>
      <c r="K623" s="210">
        <v>85553000</v>
      </c>
      <c r="L623" s="210">
        <v>0</v>
      </c>
      <c r="M623" s="210">
        <v>85553000</v>
      </c>
      <c r="N623" s="210">
        <v>0</v>
      </c>
      <c r="O623" s="210">
        <v>85553000</v>
      </c>
      <c r="P623" s="242">
        <v>0.23740675222371063</v>
      </c>
    </row>
    <row r="624" spans="1:16" s="8" customFormat="1">
      <c r="A624" s="108"/>
      <c r="B624" s="150"/>
      <c r="C624" s="70" t="s">
        <v>1117</v>
      </c>
      <c r="D624" s="33" t="s">
        <v>1951</v>
      </c>
      <c r="E624" s="34" t="s">
        <v>915</v>
      </c>
      <c r="F624" s="35">
        <v>15793000</v>
      </c>
      <c r="G624" s="210">
        <v>0</v>
      </c>
      <c r="H624" s="210">
        <v>0</v>
      </c>
      <c r="I624" s="210">
        <v>15793000</v>
      </c>
      <c r="J624" s="210">
        <v>0</v>
      </c>
      <c r="K624" s="210">
        <v>15793000</v>
      </c>
      <c r="L624" s="210">
        <v>0</v>
      </c>
      <c r="M624" s="210">
        <v>15793000</v>
      </c>
      <c r="N624" s="210">
        <v>0</v>
      </c>
      <c r="O624" s="210">
        <v>0</v>
      </c>
      <c r="P624" s="242">
        <v>0.23740675222371063</v>
      </c>
    </row>
    <row r="625" spans="1:16" s="8" customFormat="1">
      <c r="A625" s="108"/>
      <c r="B625" s="150"/>
      <c r="C625" s="70" t="s">
        <v>1117</v>
      </c>
      <c r="D625" s="33" t="s">
        <v>1937</v>
      </c>
      <c r="E625" s="34" t="s">
        <v>909</v>
      </c>
      <c r="F625" s="35">
        <v>23630000</v>
      </c>
      <c r="G625" s="210">
        <v>0</v>
      </c>
      <c r="H625" s="210">
        <v>0</v>
      </c>
      <c r="I625" s="210">
        <v>23630000</v>
      </c>
      <c r="J625" s="210">
        <v>0</v>
      </c>
      <c r="K625" s="210">
        <v>0</v>
      </c>
      <c r="L625" s="210">
        <v>0</v>
      </c>
      <c r="M625" s="210">
        <v>0</v>
      </c>
      <c r="N625" s="210">
        <v>0</v>
      </c>
      <c r="O625" s="210">
        <v>0</v>
      </c>
      <c r="P625" s="242">
        <v>0.23740675222371063</v>
      </c>
    </row>
    <row r="626" spans="1:16" s="8" customFormat="1">
      <c r="A626" s="108"/>
      <c r="B626" s="150"/>
      <c r="C626" s="70" t="s">
        <v>1117</v>
      </c>
      <c r="D626" s="33" t="s">
        <v>1942</v>
      </c>
      <c r="E626" s="34" t="s">
        <v>913</v>
      </c>
      <c r="F626" s="35">
        <v>47260000</v>
      </c>
      <c r="G626" s="210">
        <v>0</v>
      </c>
      <c r="H626" s="210">
        <v>0</v>
      </c>
      <c r="I626" s="210">
        <v>47260000</v>
      </c>
      <c r="J626" s="210">
        <v>-231438</v>
      </c>
      <c r="K626" s="210">
        <v>47028562</v>
      </c>
      <c r="L626" s="210">
        <v>47028562</v>
      </c>
      <c r="M626" s="210">
        <v>47028562</v>
      </c>
      <c r="N626" s="210">
        <v>0</v>
      </c>
      <c r="O626" s="210">
        <v>0</v>
      </c>
      <c r="P626" s="242">
        <v>0.23740675222371063</v>
      </c>
    </row>
    <row r="627" spans="1:16" s="8" customFormat="1">
      <c r="A627" s="108"/>
      <c r="B627" s="150"/>
      <c r="C627" s="70" t="s">
        <v>1117</v>
      </c>
      <c r="D627" s="33" t="s">
        <v>1913</v>
      </c>
      <c r="E627" s="34" t="s">
        <v>914</v>
      </c>
      <c r="F627" s="35">
        <v>40000000</v>
      </c>
      <c r="G627" s="210">
        <v>0</v>
      </c>
      <c r="H627" s="210">
        <v>-7000000</v>
      </c>
      <c r="I627" s="210">
        <v>33000000</v>
      </c>
      <c r="J627" s="210">
        <v>0</v>
      </c>
      <c r="K627" s="210">
        <v>0</v>
      </c>
      <c r="L627" s="210">
        <v>0</v>
      </c>
      <c r="M627" s="210">
        <v>0</v>
      </c>
      <c r="N627" s="210">
        <v>0</v>
      </c>
      <c r="O627" s="210">
        <v>0</v>
      </c>
      <c r="P627" s="242">
        <v>0.23740675222371063</v>
      </c>
    </row>
    <row r="628" spans="1:16" s="8" customFormat="1">
      <c r="A628" s="108"/>
      <c r="B628" s="150"/>
      <c r="C628" s="70" t="s">
        <v>1117</v>
      </c>
      <c r="D628" s="33" t="s">
        <v>1943</v>
      </c>
      <c r="E628" s="34" t="s">
        <v>763</v>
      </c>
      <c r="F628" s="35">
        <v>30255000</v>
      </c>
      <c r="G628" s="210">
        <v>0</v>
      </c>
      <c r="H628" s="210">
        <v>0</v>
      </c>
      <c r="I628" s="210">
        <v>30255000</v>
      </c>
      <c r="J628" s="210">
        <v>0</v>
      </c>
      <c r="K628" s="210">
        <v>0</v>
      </c>
      <c r="L628" s="210">
        <v>0</v>
      </c>
      <c r="M628" s="210">
        <v>0</v>
      </c>
      <c r="N628" s="210">
        <v>0</v>
      </c>
      <c r="O628" s="210">
        <v>0</v>
      </c>
      <c r="P628" s="242">
        <v>0.23740675222371063</v>
      </c>
    </row>
    <row r="629" spans="1:16" s="8" customFormat="1">
      <c r="A629" s="108"/>
      <c r="B629" s="150"/>
      <c r="C629" s="70" t="s">
        <v>1117</v>
      </c>
      <c r="D629" s="33" t="s">
        <v>1970</v>
      </c>
      <c r="E629" s="34" t="s">
        <v>1069</v>
      </c>
      <c r="F629" s="35">
        <v>52259999.999999993</v>
      </c>
      <c r="G629" s="210">
        <v>0</v>
      </c>
      <c r="H629" s="210">
        <v>0</v>
      </c>
      <c r="I629" s="210">
        <v>52260000</v>
      </c>
      <c r="J629" s="210">
        <v>0</v>
      </c>
      <c r="K629" s="210">
        <v>52260000</v>
      </c>
      <c r="L629" s="210">
        <v>0</v>
      </c>
      <c r="M629" s="210">
        <v>52260000</v>
      </c>
      <c r="N629" s="210">
        <v>0</v>
      </c>
      <c r="O629" s="210">
        <v>0</v>
      </c>
      <c r="P629" s="242">
        <v>0.23740675222371063</v>
      </c>
    </row>
    <row r="630" spans="1:16" s="2" customFormat="1">
      <c r="A630" s="108"/>
      <c r="B630" s="150"/>
      <c r="C630" s="70" t="s">
        <v>1117</v>
      </c>
      <c r="D630" s="33" t="s">
        <v>1954</v>
      </c>
      <c r="E630" s="34" t="s">
        <v>1020</v>
      </c>
      <c r="F630" s="35">
        <v>49345000</v>
      </c>
      <c r="G630" s="210">
        <v>0</v>
      </c>
      <c r="H630" s="210">
        <v>0</v>
      </c>
      <c r="I630" s="210">
        <v>49345000</v>
      </c>
      <c r="J630" s="210">
        <v>0</v>
      </c>
      <c r="K630" s="210">
        <v>49345000</v>
      </c>
      <c r="L630" s="210">
        <v>0</v>
      </c>
      <c r="M630" s="210">
        <v>43731554</v>
      </c>
      <c r="N630" s="210">
        <v>0</v>
      </c>
      <c r="O630" s="210">
        <v>0</v>
      </c>
      <c r="P630" s="242">
        <v>0.23740675222371063</v>
      </c>
    </row>
    <row r="631" spans="1:16" s="8" customFormat="1">
      <c r="A631" s="107" t="s">
        <v>1119</v>
      </c>
      <c r="B631" s="149" t="s">
        <v>1542</v>
      </c>
      <c r="C631" s="18" t="s">
        <v>1120</v>
      </c>
      <c r="D631" s="30"/>
      <c r="E631" s="17" t="s">
        <v>1121</v>
      </c>
      <c r="F631" s="16">
        <f>+F632</f>
        <v>0</v>
      </c>
      <c r="G631" s="203">
        <f t="shared" ref="G631:O631" si="202">+G632</f>
        <v>0</v>
      </c>
      <c r="H631" s="203">
        <f t="shared" si="202"/>
        <v>0</v>
      </c>
      <c r="I631" s="203">
        <f t="shared" si="202"/>
        <v>0</v>
      </c>
      <c r="J631" s="203">
        <f t="shared" si="202"/>
        <v>0</v>
      </c>
      <c r="K631" s="203">
        <f t="shared" si="202"/>
        <v>0</v>
      </c>
      <c r="L631" s="203">
        <f t="shared" si="202"/>
        <v>0</v>
      </c>
      <c r="M631" s="203">
        <f t="shared" si="202"/>
        <v>0</v>
      </c>
      <c r="N631" s="203">
        <f t="shared" si="202"/>
        <v>0</v>
      </c>
      <c r="O631" s="203">
        <f t="shared" si="202"/>
        <v>0</v>
      </c>
      <c r="P631" s="237">
        <v>0.23740675222371063</v>
      </c>
    </row>
    <row r="632" spans="1:16" s="2" customFormat="1">
      <c r="A632" s="108"/>
      <c r="B632" s="150"/>
      <c r="C632" s="70" t="s">
        <v>1120</v>
      </c>
      <c r="D632" s="33" t="s">
        <v>1955</v>
      </c>
      <c r="E632" s="34" t="s">
        <v>1122</v>
      </c>
      <c r="F632" s="35">
        <v>0</v>
      </c>
      <c r="G632" s="210">
        <v>0</v>
      </c>
      <c r="H632" s="210">
        <v>0</v>
      </c>
      <c r="I632" s="210">
        <v>0</v>
      </c>
      <c r="J632" s="210">
        <v>0</v>
      </c>
      <c r="K632" s="210">
        <v>0</v>
      </c>
      <c r="L632" s="210">
        <v>0</v>
      </c>
      <c r="M632" s="210">
        <v>0</v>
      </c>
      <c r="N632" s="210">
        <v>0</v>
      </c>
      <c r="O632" s="210">
        <v>0</v>
      </c>
      <c r="P632" s="242">
        <v>0.23740675222371063</v>
      </c>
    </row>
    <row r="633" spans="1:16" s="2" customFormat="1">
      <c r="A633" s="107" t="s">
        <v>1123</v>
      </c>
      <c r="B633" s="149" t="s">
        <v>1848</v>
      </c>
      <c r="C633" s="18" t="s">
        <v>1124</v>
      </c>
      <c r="D633" s="30"/>
      <c r="E633" s="17" t="s">
        <v>1125</v>
      </c>
      <c r="F633" s="203">
        <v>0</v>
      </c>
      <c r="G633" s="203">
        <v>0</v>
      </c>
      <c r="H633" s="203">
        <v>0</v>
      </c>
      <c r="I633" s="203">
        <v>0</v>
      </c>
      <c r="J633" s="203">
        <v>0</v>
      </c>
      <c r="K633" s="203">
        <v>0</v>
      </c>
      <c r="L633" s="203">
        <v>0</v>
      </c>
      <c r="M633" s="203">
        <v>0</v>
      </c>
      <c r="N633" s="203">
        <v>0</v>
      </c>
      <c r="O633" s="203">
        <v>0</v>
      </c>
      <c r="P633" s="237">
        <v>0.23740675222371063</v>
      </c>
    </row>
    <row r="634" spans="1:16" s="2" customFormat="1">
      <c r="A634" s="136" t="s">
        <v>1126</v>
      </c>
      <c r="B634" s="125" t="s">
        <v>1541</v>
      </c>
      <c r="C634" s="126" t="s">
        <v>1127</v>
      </c>
      <c r="D634" s="29"/>
      <c r="E634" s="19" t="s">
        <v>1128</v>
      </c>
      <c r="F634" s="20">
        <f>+F635+F640+F643</f>
        <v>1210553000</v>
      </c>
      <c r="G634" s="20">
        <f t="shared" ref="G634:O634" si="203">+G635+G640+G643</f>
        <v>0</v>
      </c>
      <c r="H634" s="20">
        <f t="shared" si="203"/>
        <v>17281589</v>
      </c>
      <c r="I634" s="20">
        <f t="shared" si="203"/>
        <v>1227834589</v>
      </c>
      <c r="J634" s="20">
        <f t="shared" si="203"/>
        <v>633883488</v>
      </c>
      <c r="K634" s="20">
        <f t="shared" si="203"/>
        <v>1202216668</v>
      </c>
      <c r="L634" s="20">
        <f t="shared" si="203"/>
        <v>646758158</v>
      </c>
      <c r="M634" s="20">
        <f t="shared" si="203"/>
        <v>1050871357</v>
      </c>
      <c r="N634" s="20">
        <f t="shared" si="203"/>
        <v>30929742</v>
      </c>
      <c r="O634" s="20">
        <f t="shared" si="203"/>
        <v>185027471</v>
      </c>
      <c r="P634" s="243">
        <v>0.23740675222371063</v>
      </c>
    </row>
    <row r="635" spans="1:16" s="7" customFormat="1">
      <c r="A635" s="134" t="s">
        <v>1129</v>
      </c>
      <c r="B635" s="123" t="s">
        <v>1531</v>
      </c>
      <c r="C635" s="124" t="s">
        <v>1130</v>
      </c>
      <c r="D635" s="67"/>
      <c r="E635" s="25" t="s">
        <v>1131</v>
      </c>
      <c r="F635" s="68">
        <f>+F636+F638</f>
        <v>269868000</v>
      </c>
      <c r="G635" s="68">
        <f t="shared" ref="G635:O635" si="204">+G636+G638</f>
        <v>0</v>
      </c>
      <c r="H635" s="68">
        <f t="shared" si="204"/>
        <v>0</v>
      </c>
      <c r="I635" s="68">
        <f t="shared" si="204"/>
        <v>269868000</v>
      </c>
      <c r="J635" s="68">
        <f t="shared" si="204"/>
        <v>0</v>
      </c>
      <c r="K635" s="68">
        <f t="shared" si="204"/>
        <v>269868000</v>
      </c>
      <c r="L635" s="68">
        <f t="shared" si="204"/>
        <v>12874670</v>
      </c>
      <c r="M635" s="68">
        <f t="shared" si="204"/>
        <v>118522689</v>
      </c>
      <c r="N635" s="68">
        <f t="shared" si="204"/>
        <v>12874670</v>
      </c>
      <c r="O635" s="68">
        <f t="shared" si="204"/>
        <v>118507219</v>
      </c>
      <c r="P635" s="229">
        <v>0.23740675222371063</v>
      </c>
    </row>
    <row r="636" spans="1:16" s="8" customFormat="1">
      <c r="A636" s="107" t="s">
        <v>1132</v>
      </c>
      <c r="B636" s="149" t="s">
        <v>1849</v>
      </c>
      <c r="C636" s="18" t="s">
        <v>1133</v>
      </c>
      <c r="D636" s="30"/>
      <c r="E636" s="17" t="s">
        <v>1134</v>
      </c>
      <c r="F636" s="16">
        <f>+F637</f>
        <v>25004000</v>
      </c>
      <c r="G636" s="203">
        <f t="shared" ref="G636:O636" si="205">+G637</f>
        <v>0</v>
      </c>
      <c r="H636" s="203">
        <f t="shared" si="205"/>
        <v>0</v>
      </c>
      <c r="I636" s="203">
        <f t="shared" si="205"/>
        <v>25004000</v>
      </c>
      <c r="J636" s="203">
        <f t="shared" si="205"/>
        <v>0</v>
      </c>
      <c r="K636" s="203">
        <f t="shared" si="205"/>
        <v>25004000</v>
      </c>
      <c r="L636" s="203">
        <f t="shared" si="205"/>
        <v>273100</v>
      </c>
      <c r="M636" s="203">
        <f t="shared" si="205"/>
        <v>2548150</v>
      </c>
      <c r="N636" s="203">
        <f t="shared" si="205"/>
        <v>273100</v>
      </c>
      <c r="O636" s="203">
        <f t="shared" si="205"/>
        <v>2548150</v>
      </c>
      <c r="P636" s="237">
        <v>0.23740675222371063</v>
      </c>
    </row>
    <row r="637" spans="1:16" s="7" customFormat="1">
      <c r="A637" s="108"/>
      <c r="B637" s="150"/>
      <c r="C637" s="70" t="s">
        <v>1133</v>
      </c>
      <c r="D637" s="33" t="s">
        <v>1909</v>
      </c>
      <c r="E637" s="34" t="s">
        <v>819</v>
      </c>
      <c r="F637" s="35">
        <v>25004000</v>
      </c>
      <c r="G637" s="210">
        <v>0</v>
      </c>
      <c r="H637" s="210">
        <v>0</v>
      </c>
      <c r="I637" s="210">
        <v>25004000</v>
      </c>
      <c r="J637" s="210">
        <v>0</v>
      </c>
      <c r="K637" s="210">
        <v>25004000</v>
      </c>
      <c r="L637" s="210">
        <v>273100</v>
      </c>
      <c r="M637" s="210">
        <v>2548150</v>
      </c>
      <c r="N637" s="210">
        <v>273100</v>
      </c>
      <c r="O637" s="210">
        <v>2548150</v>
      </c>
      <c r="P637" s="242">
        <v>0.23740675222371063</v>
      </c>
    </row>
    <row r="638" spans="1:16" s="8" customFormat="1">
      <c r="A638" s="107" t="s">
        <v>1135</v>
      </c>
      <c r="B638" s="149" t="s">
        <v>1850</v>
      </c>
      <c r="C638" s="18" t="s">
        <v>1136</v>
      </c>
      <c r="D638" s="30"/>
      <c r="E638" s="17" t="s">
        <v>1137</v>
      </c>
      <c r="F638" s="16">
        <f>+F639</f>
        <v>244864000</v>
      </c>
      <c r="G638" s="203">
        <f t="shared" ref="G638:O638" si="206">+G639</f>
        <v>0</v>
      </c>
      <c r="H638" s="203">
        <f t="shared" si="206"/>
        <v>0</v>
      </c>
      <c r="I638" s="203">
        <f t="shared" si="206"/>
        <v>244864000</v>
      </c>
      <c r="J638" s="203">
        <f t="shared" si="206"/>
        <v>0</v>
      </c>
      <c r="K638" s="203">
        <f t="shared" si="206"/>
        <v>244864000</v>
      </c>
      <c r="L638" s="203">
        <f t="shared" si="206"/>
        <v>12601570</v>
      </c>
      <c r="M638" s="203">
        <f t="shared" si="206"/>
        <v>115974539</v>
      </c>
      <c r="N638" s="203">
        <f t="shared" si="206"/>
        <v>12601570</v>
      </c>
      <c r="O638" s="203">
        <f t="shared" si="206"/>
        <v>115959069</v>
      </c>
      <c r="P638" s="237">
        <v>0.23740675222371063</v>
      </c>
    </row>
    <row r="639" spans="1:16" s="2" customFormat="1">
      <c r="A639" s="108"/>
      <c r="B639" s="150"/>
      <c r="C639" s="70" t="s">
        <v>1136</v>
      </c>
      <c r="D639" s="33" t="s">
        <v>1909</v>
      </c>
      <c r="E639" s="34" t="s">
        <v>819</v>
      </c>
      <c r="F639" s="35">
        <v>244864000</v>
      </c>
      <c r="G639" s="210">
        <v>0</v>
      </c>
      <c r="H639" s="210">
        <v>0</v>
      </c>
      <c r="I639" s="210">
        <v>244864000</v>
      </c>
      <c r="J639" s="210">
        <v>0</v>
      </c>
      <c r="K639" s="210">
        <v>244864000</v>
      </c>
      <c r="L639" s="210">
        <v>12601570</v>
      </c>
      <c r="M639" s="210">
        <v>115974539</v>
      </c>
      <c r="N639" s="210">
        <v>12601570</v>
      </c>
      <c r="O639" s="210">
        <v>115959069</v>
      </c>
      <c r="P639" s="242">
        <v>0.23740675222371063</v>
      </c>
    </row>
    <row r="640" spans="1:16" s="7" customFormat="1">
      <c r="A640" s="134" t="s">
        <v>1138</v>
      </c>
      <c r="B640" s="123" t="s">
        <v>1531</v>
      </c>
      <c r="C640" s="124" t="s">
        <v>1139</v>
      </c>
      <c r="D640" s="67"/>
      <c r="E640" s="25" t="s">
        <v>1140</v>
      </c>
      <c r="F640" s="68">
        <f>+F641</f>
        <v>883885000</v>
      </c>
      <c r="G640" s="68">
        <f t="shared" ref="G640:O640" si="207">+G641</f>
        <v>0</v>
      </c>
      <c r="H640" s="68">
        <f t="shared" si="207"/>
        <v>0</v>
      </c>
      <c r="I640" s="68">
        <f t="shared" si="207"/>
        <v>883885000</v>
      </c>
      <c r="J640" s="68">
        <f t="shared" si="207"/>
        <v>633883488</v>
      </c>
      <c r="K640" s="68">
        <f t="shared" si="207"/>
        <v>883883488</v>
      </c>
      <c r="L640" s="68">
        <f t="shared" si="207"/>
        <v>633883488</v>
      </c>
      <c r="M640" s="68">
        <f t="shared" si="207"/>
        <v>883883488</v>
      </c>
      <c r="N640" s="68">
        <f t="shared" si="207"/>
        <v>18055072</v>
      </c>
      <c r="O640" s="68">
        <f t="shared" si="207"/>
        <v>18055072</v>
      </c>
      <c r="P640" s="229">
        <v>0.23740675222371063</v>
      </c>
    </row>
    <row r="641" spans="1:16" s="8" customFormat="1">
      <c r="A641" s="107" t="s">
        <v>1141</v>
      </c>
      <c r="B641" s="149" t="s">
        <v>1851</v>
      </c>
      <c r="C641" s="18" t="s">
        <v>1142</v>
      </c>
      <c r="D641" s="30"/>
      <c r="E641" s="17" t="s">
        <v>1143</v>
      </c>
      <c r="F641" s="16">
        <f>+F642</f>
        <v>883885000</v>
      </c>
      <c r="G641" s="203">
        <f t="shared" ref="G641:O641" si="208">+G642</f>
        <v>0</v>
      </c>
      <c r="H641" s="203">
        <f t="shared" si="208"/>
        <v>0</v>
      </c>
      <c r="I641" s="203">
        <f t="shared" si="208"/>
        <v>883885000</v>
      </c>
      <c r="J641" s="203">
        <f t="shared" si="208"/>
        <v>633883488</v>
      </c>
      <c r="K641" s="203">
        <f t="shared" si="208"/>
        <v>883883488</v>
      </c>
      <c r="L641" s="203">
        <f t="shared" si="208"/>
        <v>633883488</v>
      </c>
      <c r="M641" s="203">
        <f t="shared" si="208"/>
        <v>883883488</v>
      </c>
      <c r="N641" s="203">
        <f t="shared" si="208"/>
        <v>18055072</v>
      </c>
      <c r="O641" s="203">
        <f t="shared" si="208"/>
        <v>18055072</v>
      </c>
      <c r="P641" s="237">
        <v>0.23740675222371063</v>
      </c>
    </row>
    <row r="642" spans="1:16" s="2" customFormat="1">
      <c r="A642" s="108"/>
      <c r="B642" s="150"/>
      <c r="C642" s="70" t="s">
        <v>1142</v>
      </c>
      <c r="D642" s="33" t="s">
        <v>1944</v>
      </c>
      <c r="E642" s="34" t="s">
        <v>780</v>
      </c>
      <c r="F642" s="35">
        <v>883885000</v>
      </c>
      <c r="G642" s="210">
        <v>0</v>
      </c>
      <c r="H642" s="210">
        <v>0</v>
      </c>
      <c r="I642" s="210">
        <v>883885000</v>
      </c>
      <c r="J642" s="210">
        <v>633883488</v>
      </c>
      <c r="K642" s="210">
        <v>883883488</v>
      </c>
      <c r="L642" s="210">
        <v>633883488</v>
      </c>
      <c r="M642" s="210">
        <v>883883488</v>
      </c>
      <c r="N642" s="210">
        <v>18055072</v>
      </c>
      <c r="O642" s="210">
        <v>18055072</v>
      </c>
      <c r="P642" s="242">
        <v>0.23740675222371063</v>
      </c>
    </row>
    <row r="643" spans="1:16" s="7" customFormat="1">
      <c r="A643" s="134" t="s">
        <v>1144</v>
      </c>
      <c r="B643" s="123" t="s">
        <v>1531</v>
      </c>
      <c r="C643" s="124" t="s">
        <v>1145</v>
      </c>
      <c r="D643" s="67"/>
      <c r="E643" s="25" t="s">
        <v>1146</v>
      </c>
      <c r="F643" s="68">
        <f>+F644+F646</f>
        <v>56800000</v>
      </c>
      <c r="G643" s="68">
        <f t="shared" ref="G643:O643" si="209">+G644+G646</f>
        <v>0</v>
      </c>
      <c r="H643" s="68">
        <f t="shared" si="209"/>
        <v>17281589</v>
      </c>
      <c r="I643" s="68">
        <f t="shared" si="209"/>
        <v>74081589</v>
      </c>
      <c r="J643" s="68">
        <f t="shared" si="209"/>
        <v>0</v>
      </c>
      <c r="K643" s="68">
        <f t="shared" si="209"/>
        <v>48465180</v>
      </c>
      <c r="L643" s="68">
        <f t="shared" si="209"/>
        <v>0</v>
      </c>
      <c r="M643" s="68">
        <f t="shared" si="209"/>
        <v>48465180</v>
      </c>
      <c r="N643" s="68">
        <f t="shared" si="209"/>
        <v>0</v>
      </c>
      <c r="O643" s="68">
        <f t="shared" si="209"/>
        <v>48465180</v>
      </c>
      <c r="P643" s="229">
        <v>0.23740675222371063</v>
      </c>
    </row>
    <row r="644" spans="1:16" s="8" customFormat="1">
      <c r="A644" s="107" t="s">
        <v>1147</v>
      </c>
      <c r="B644" s="149" t="s">
        <v>1852</v>
      </c>
      <c r="C644" s="18" t="s">
        <v>1148</v>
      </c>
      <c r="D644" s="30"/>
      <c r="E644" s="17" t="s">
        <v>1149</v>
      </c>
      <c r="F644" s="16">
        <f>+F645</f>
        <v>54500000</v>
      </c>
      <c r="G644" s="203">
        <f t="shared" ref="G644:O644" si="210">+G645</f>
        <v>0</v>
      </c>
      <c r="H644" s="203">
        <f t="shared" si="210"/>
        <v>17281589</v>
      </c>
      <c r="I644" s="203">
        <f t="shared" si="210"/>
        <v>71781589</v>
      </c>
      <c r="J644" s="203">
        <f t="shared" si="210"/>
        <v>0</v>
      </c>
      <c r="K644" s="203">
        <f t="shared" si="210"/>
        <v>48465180</v>
      </c>
      <c r="L644" s="203">
        <f t="shared" si="210"/>
        <v>0</v>
      </c>
      <c r="M644" s="203">
        <f t="shared" si="210"/>
        <v>48465180</v>
      </c>
      <c r="N644" s="203">
        <f t="shared" si="210"/>
        <v>0</v>
      </c>
      <c r="O644" s="203">
        <f t="shared" si="210"/>
        <v>48465180</v>
      </c>
      <c r="P644" s="237">
        <v>0.23740675222371063</v>
      </c>
    </row>
    <row r="645" spans="1:16" s="2" customFormat="1">
      <c r="A645" s="108"/>
      <c r="B645" s="150"/>
      <c r="C645" s="70" t="s">
        <v>1148</v>
      </c>
      <c r="D645" s="33" t="s">
        <v>1958</v>
      </c>
      <c r="E645" s="34" t="s">
        <v>997</v>
      </c>
      <c r="F645" s="35">
        <v>54500000</v>
      </c>
      <c r="G645" s="210">
        <v>0</v>
      </c>
      <c r="H645" s="210">
        <v>17281589</v>
      </c>
      <c r="I645" s="210">
        <v>71781589</v>
      </c>
      <c r="J645" s="210">
        <v>0</v>
      </c>
      <c r="K645" s="210">
        <v>48465180</v>
      </c>
      <c r="L645" s="210">
        <v>0</v>
      </c>
      <c r="M645" s="210">
        <v>48465180</v>
      </c>
      <c r="N645" s="210">
        <v>0</v>
      </c>
      <c r="O645" s="210">
        <v>48465180</v>
      </c>
      <c r="P645" s="242">
        <v>0.23740675222371063</v>
      </c>
    </row>
    <row r="646" spans="1:16" s="8" customFormat="1">
      <c r="A646" s="107" t="s">
        <v>1150</v>
      </c>
      <c r="B646" s="149" t="s">
        <v>1540</v>
      </c>
      <c r="C646" s="18" t="s">
        <v>1151</v>
      </c>
      <c r="D646" s="30"/>
      <c r="E646" s="17" t="s">
        <v>1152</v>
      </c>
      <c r="F646" s="16">
        <f>+F647</f>
        <v>2300000</v>
      </c>
      <c r="G646" s="203">
        <f t="shared" ref="G646:O646" si="211">+G647</f>
        <v>0</v>
      </c>
      <c r="H646" s="203">
        <f t="shared" si="211"/>
        <v>0</v>
      </c>
      <c r="I646" s="203">
        <f t="shared" si="211"/>
        <v>2300000</v>
      </c>
      <c r="J646" s="203">
        <f t="shared" si="211"/>
        <v>0</v>
      </c>
      <c r="K646" s="203">
        <f t="shared" si="211"/>
        <v>0</v>
      </c>
      <c r="L646" s="203">
        <f t="shared" si="211"/>
        <v>0</v>
      </c>
      <c r="M646" s="203">
        <f t="shared" si="211"/>
        <v>0</v>
      </c>
      <c r="N646" s="203">
        <f t="shared" si="211"/>
        <v>0</v>
      </c>
      <c r="O646" s="203">
        <f t="shared" si="211"/>
        <v>0</v>
      </c>
      <c r="P646" s="237">
        <v>0.23740675222371063</v>
      </c>
    </row>
    <row r="647" spans="1:16" s="2" customFormat="1">
      <c r="A647" s="108"/>
      <c r="B647" s="150"/>
      <c r="C647" s="70" t="s">
        <v>1151</v>
      </c>
      <c r="D647" s="33" t="s">
        <v>1958</v>
      </c>
      <c r="E647" s="34" t="s">
        <v>997</v>
      </c>
      <c r="F647" s="35">
        <v>2300000</v>
      </c>
      <c r="G647" s="210">
        <v>0</v>
      </c>
      <c r="H647" s="210">
        <v>0</v>
      </c>
      <c r="I647" s="210">
        <v>2300000</v>
      </c>
      <c r="J647" s="210">
        <v>0</v>
      </c>
      <c r="K647" s="210">
        <v>0</v>
      </c>
      <c r="L647" s="210">
        <v>0</v>
      </c>
      <c r="M647" s="210">
        <v>0</v>
      </c>
      <c r="N647" s="210">
        <v>0</v>
      </c>
      <c r="O647" s="210">
        <v>0</v>
      </c>
      <c r="P647" s="242">
        <v>0.23740675222371063</v>
      </c>
    </row>
    <row r="648" spans="1:16" s="5" customFormat="1">
      <c r="A648" s="136" t="s">
        <v>1153</v>
      </c>
      <c r="B648" s="125" t="s">
        <v>1539</v>
      </c>
      <c r="C648" s="126" t="s">
        <v>1154</v>
      </c>
      <c r="D648" s="29"/>
      <c r="E648" s="19" t="s">
        <v>1155</v>
      </c>
      <c r="F648" s="20">
        <f>+F649+F654+F664</f>
        <v>26662703000</v>
      </c>
      <c r="G648" s="20">
        <f t="shared" ref="G648:O648" si="212">+G649+G654+G664</f>
        <v>11671499036</v>
      </c>
      <c r="H648" s="20">
        <f t="shared" si="212"/>
        <v>12588749053</v>
      </c>
      <c r="I648" s="20">
        <f t="shared" si="212"/>
        <v>39251452053</v>
      </c>
      <c r="J648" s="20">
        <f t="shared" si="212"/>
        <v>684548310</v>
      </c>
      <c r="K648" s="20">
        <f t="shared" si="212"/>
        <v>24914862042</v>
      </c>
      <c r="L648" s="20">
        <f t="shared" si="212"/>
        <v>560592913</v>
      </c>
      <c r="M648" s="20">
        <f t="shared" si="212"/>
        <v>24573381168</v>
      </c>
      <c r="N648" s="20">
        <f t="shared" si="212"/>
        <v>66488412</v>
      </c>
      <c r="O648" s="20">
        <f t="shared" si="212"/>
        <v>16142182827</v>
      </c>
      <c r="P648" s="243">
        <v>0.23740675222371063</v>
      </c>
    </row>
    <row r="649" spans="1:16" s="7" customFormat="1">
      <c r="A649" s="134" t="s">
        <v>1156</v>
      </c>
      <c r="B649" s="123" t="s">
        <v>1531</v>
      </c>
      <c r="C649" s="124" t="s">
        <v>1157</v>
      </c>
      <c r="D649" s="67"/>
      <c r="E649" s="25" t="s">
        <v>1158</v>
      </c>
      <c r="F649" s="68">
        <f>+F652+F650</f>
        <v>17078731000</v>
      </c>
      <c r="G649" s="68">
        <f t="shared" ref="G649:O649" si="213">+G652+G650</f>
        <v>8437333289</v>
      </c>
      <c r="H649" s="68">
        <f t="shared" si="213"/>
        <v>8449034313</v>
      </c>
      <c r="I649" s="68">
        <f t="shared" si="213"/>
        <v>25527765313</v>
      </c>
      <c r="J649" s="68">
        <f t="shared" si="213"/>
        <v>0</v>
      </c>
      <c r="K649" s="68">
        <f t="shared" si="213"/>
        <v>16902923398</v>
      </c>
      <c r="L649" s="68">
        <f t="shared" si="213"/>
        <v>0</v>
      </c>
      <c r="M649" s="68">
        <f t="shared" si="213"/>
        <v>16891222374</v>
      </c>
      <c r="N649" s="68">
        <f t="shared" si="213"/>
        <v>0</v>
      </c>
      <c r="O649" s="68">
        <f t="shared" si="213"/>
        <v>11091468197</v>
      </c>
      <c r="P649" s="229">
        <v>0.23740675222371063</v>
      </c>
    </row>
    <row r="650" spans="1:16" s="8" customFormat="1">
      <c r="A650" s="107" t="s">
        <v>1159</v>
      </c>
      <c r="B650" s="149" t="s">
        <v>2011</v>
      </c>
      <c r="C650" s="18" t="s">
        <v>1160</v>
      </c>
      <c r="D650" s="30"/>
      <c r="E650" s="17" t="s">
        <v>1161</v>
      </c>
      <c r="F650" s="16">
        <f>+F651</f>
        <v>95472000</v>
      </c>
      <c r="G650" s="217">
        <f t="shared" ref="G650:O650" si="214">+G651</f>
        <v>0</v>
      </c>
      <c r="H650" s="217">
        <f t="shared" si="214"/>
        <v>0</v>
      </c>
      <c r="I650" s="217">
        <f t="shared" si="214"/>
        <v>95472000</v>
      </c>
      <c r="J650" s="217">
        <f t="shared" si="214"/>
        <v>0</v>
      </c>
      <c r="K650" s="217">
        <f t="shared" si="214"/>
        <v>0</v>
      </c>
      <c r="L650" s="217">
        <f t="shared" si="214"/>
        <v>0</v>
      </c>
      <c r="M650" s="217">
        <f t="shared" si="214"/>
        <v>0</v>
      </c>
      <c r="N650" s="217">
        <f t="shared" si="214"/>
        <v>0</v>
      </c>
      <c r="O650" s="217">
        <f t="shared" si="214"/>
        <v>0</v>
      </c>
      <c r="P650" s="237">
        <v>0.23740675222371063</v>
      </c>
    </row>
    <row r="651" spans="1:16" s="7" customFormat="1">
      <c r="A651" s="108"/>
      <c r="B651" s="150"/>
      <c r="C651" s="70" t="s">
        <v>1160</v>
      </c>
      <c r="D651" s="33" t="s">
        <v>1909</v>
      </c>
      <c r="E651" s="34" t="s">
        <v>819</v>
      </c>
      <c r="F651" s="35">
        <v>95472000</v>
      </c>
      <c r="G651" s="210">
        <v>0</v>
      </c>
      <c r="H651" s="210">
        <v>0</v>
      </c>
      <c r="I651" s="210">
        <v>95472000</v>
      </c>
      <c r="J651" s="210">
        <v>0</v>
      </c>
      <c r="K651" s="210">
        <v>0</v>
      </c>
      <c r="L651" s="210">
        <v>0</v>
      </c>
      <c r="M651" s="210">
        <v>0</v>
      </c>
      <c r="N651" s="210">
        <v>0</v>
      </c>
      <c r="O651" s="210">
        <v>0</v>
      </c>
      <c r="P651" s="242">
        <v>0.23740675222371063</v>
      </c>
    </row>
    <row r="652" spans="1:16" s="8" customFormat="1">
      <c r="A652" s="107" t="s">
        <v>1162</v>
      </c>
      <c r="B652" s="149" t="s">
        <v>1853</v>
      </c>
      <c r="C652" s="18" t="s">
        <v>1163</v>
      </c>
      <c r="D652" s="30"/>
      <c r="E652" s="17" t="s">
        <v>1164</v>
      </c>
      <c r="F652" s="16">
        <f>+F653</f>
        <v>16983259000</v>
      </c>
      <c r="G652" s="203">
        <f t="shared" ref="G652:O652" si="215">+G653</f>
        <v>8437333289</v>
      </c>
      <c r="H652" s="203">
        <f t="shared" si="215"/>
        <v>8449034313</v>
      </c>
      <c r="I652" s="203">
        <f t="shared" si="215"/>
        <v>25432293313</v>
      </c>
      <c r="J652" s="203">
        <f t="shared" si="215"/>
        <v>0</v>
      </c>
      <c r="K652" s="203">
        <f t="shared" si="215"/>
        <v>16902923398</v>
      </c>
      <c r="L652" s="203">
        <f t="shared" si="215"/>
        <v>0</v>
      </c>
      <c r="M652" s="203">
        <f t="shared" si="215"/>
        <v>16891222374</v>
      </c>
      <c r="N652" s="203">
        <f t="shared" si="215"/>
        <v>0</v>
      </c>
      <c r="O652" s="203">
        <f t="shared" si="215"/>
        <v>11091468197</v>
      </c>
      <c r="P652" s="237">
        <v>0.23740675222371063</v>
      </c>
    </row>
    <row r="653" spans="1:16" s="5" customFormat="1">
      <c r="A653" s="108"/>
      <c r="B653" s="150"/>
      <c r="C653" s="70" t="s">
        <v>1163</v>
      </c>
      <c r="D653" s="33" t="s">
        <v>1909</v>
      </c>
      <c r="E653" s="34" t="s">
        <v>819</v>
      </c>
      <c r="F653" s="35">
        <v>16983259000</v>
      </c>
      <c r="G653" s="210">
        <v>8437333289</v>
      </c>
      <c r="H653" s="210">
        <v>8449034313</v>
      </c>
      <c r="I653" s="210">
        <v>25432293313</v>
      </c>
      <c r="J653" s="210">
        <v>0</v>
      </c>
      <c r="K653" s="210">
        <v>16902923398</v>
      </c>
      <c r="L653" s="210">
        <v>0</v>
      </c>
      <c r="M653" s="210">
        <v>16891222374</v>
      </c>
      <c r="N653" s="210">
        <v>0</v>
      </c>
      <c r="O653" s="210">
        <v>11091468197</v>
      </c>
      <c r="P653" s="242">
        <v>0.23740675222371063</v>
      </c>
    </row>
    <row r="654" spans="1:16" s="2" customFormat="1">
      <c r="A654" s="134" t="s">
        <v>1165</v>
      </c>
      <c r="B654" s="123" t="s">
        <v>1531</v>
      </c>
      <c r="C654" s="124" t="s">
        <v>1166</v>
      </c>
      <c r="D654" s="67"/>
      <c r="E654" s="25" t="s">
        <v>1167</v>
      </c>
      <c r="F654" s="68">
        <f>+F655+F660+F662</f>
        <v>7034678000</v>
      </c>
      <c r="G654" s="68">
        <f t="shared" ref="G654:O654" si="216">+G655+G660+G662</f>
        <v>3191765747</v>
      </c>
      <c r="H654" s="68">
        <f t="shared" si="216"/>
        <v>3192765747</v>
      </c>
      <c r="I654" s="68">
        <f t="shared" si="216"/>
        <v>10227443747</v>
      </c>
      <c r="J654" s="68">
        <f t="shared" si="216"/>
        <v>575238750</v>
      </c>
      <c r="K654" s="68">
        <f t="shared" si="216"/>
        <v>6846248702</v>
      </c>
      <c r="L654" s="68">
        <f t="shared" si="216"/>
        <v>347903750</v>
      </c>
      <c r="M654" s="68">
        <f t="shared" si="216"/>
        <v>6618913702</v>
      </c>
      <c r="N654" s="68">
        <f t="shared" si="216"/>
        <v>0</v>
      </c>
      <c r="O654" s="68">
        <f t="shared" si="216"/>
        <v>4575356789</v>
      </c>
      <c r="P654" s="229">
        <v>0.23740675222371063</v>
      </c>
    </row>
    <row r="655" spans="1:16" s="8" customFormat="1">
      <c r="A655" s="107" t="s">
        <v>1168</v>
      </c>
      <c r="B655" s="149" t="s">
        <v>1854</v>
      </c>
      <c r="C655" s="18" t="s">
        <v>1169</v>
      </c>
      <c r="D655" s="30"/>
      <c r="E655" s="17" t="s">
        <v>1170</v>
      </c>
      <c r="F655" s="203">
        <f>SUM(F656:F659)</f>
        <v>243542000</v>
      </c>
      <c r="G655" s="203">
        <f t="shared" ref="G655:O655" si="217">SUM(G656:G659)</f>
        <v>0</v>
      </c>
      <c r="H655" s="203">
        <f t="shared" si="217"/>
        <v>1000000</v>
      </c>
      <c r="I655" s="203">
        <f t="shared" si="217"/>
        <v>244542000</v>
      </c>
      <c r="J655" s="203">
        <f t="shared" si="217"/>
        <v>227335000</v>
      </c>
      <c r="K655" s="203">
        <f t="shared" si="217"/>
        <v>227335000</v>
      </c>
      <c r="L655" s="203">
        <f t="shared" si="217"/>
        <v>0</v>
      </c>
      <c r="M655" s="203">
        <f t="shared" si="217"/>
        <v>0</v>
      </c>
      <c r="N655" s="203">
        <f t="shared" si="217"/>
        <v>0</v>
      </c>
      <c r="O655" s="203">
        <f t="shared" si="217"/>
        <v>0</v>
      </c>
      <c r="P655" s="237">
        <v>0.23740675222371063</v>
      </c>
    </row>
    <row r="656" spans="1:16" s="8" customFormat="1">
      <c r="A656" s="108"/>
      <c r="B656" s="150"/>
      <c r="C656" s="70" t="s">
        <v>1169</v>
      </c>
      <c r="D656" s="33" t="s">
        <v>1950</v>
      </c>
      <c r="E656" s="34" t="s">
        <v>809</v>
      </c>
      <c r="F656" s="35">
        <v>94724000</v>
      </c>
      <c r="G656" s="210">
        <v>0</v>
      </c>
      <c r="H656" s="210">
        <v>0</v>
      </c>
      <c r="I656" s="210">
        <v>94724000</v>
      </c>
      <c r="J656" s="210">
        <v>94724000</v>
      </c>
      <c r="K656" s="210">
        <v>94724000</v>
      </c>
      <c r="L656" s="210">
        <v>0</v>
      </c>
      <c r="M656" s="210">
        <v>0</v>
      </c>
      <c r="N656" s="210">
        <v>0</v>
      </c>
      <c r="O656" s="210">
        <v>0</v>
      </c>
      <c r="P656" s="242">
        <v>0.23740675222371063</v>
      </c>
    </row>
    <row r="657" spans="1:16" s="8" customFormat="1">
      <c r="A657" s="108"/>
      <c r="B657" s="150"/>
      <c r="C657" s="70" t="s">
        <v>1169</v>
      </c>
      <c r="D657" s="33" t="s">
        <v>1949</v>
      </c>
      <c r="E657" s="34" t="s">
        <v>1912</v>
      </c>
      <c r="F657" s="35">
        <v>1207000</v>
      </c>
      <c r="G657" s="210">
        <v>0</v>
      </c>
      <c r="H657" s="210">
        <v>1000000</v>
      </c>
      <c r="I657" s="210">
        <v>2207000</v>
      </c>
      <c r="J657" s="210">
        <v>0</v>
      </c>
      <c r="K657" s="210">
        <v>0</v>
      </c>
      <c r="L657" s="210">
        <v>0</v>
      </c>
      <c r="M657" s="210">
        <v>0</v>
      </c>
      <c r="N657" s="210">
        <v>0</v>
      </c>
      <c r="O657" s="210">
        <v>0</v>
      </c>
      <c r="P657" s="242">
        <v>0.23740675222371063</v>
      </c>
    </row>
    <row r="658" spans="1:16" s="8" customFormat="1">
      <c r="A658" s="108"/>
      <c r="B658" s="150"/>
      <c r="C658" s="70" t="s">
        <v>1169</v>
      </c>
      <c r="D658" s="33" t="s">
        <v>1909</v>
      </c>
      <c r="E658" s="34" t="s">
        <v>819</v>
      </c>
      <c r="F658" s="35">
        <v>132611000</v>
      </c>
      <c r="G658" s="210">
        <v>0</v>
      </c>
      <c r="H658" s="210">
        <v>0</v>
      </c>
      <c r="I658" s="210">
        <v>132611000</v>
      </c>
      <c r="J658" s="210">
        <v>132611000</v>
      </c>
      <c r="K658" s="210">
        <v>132611000</v>
      </c>
      <c r="L658" s="210">
        <v>0</v>
      </c>
      <c r="M658" s="210">
        <v>0</v>
      </c>
      <c r="N658" s="210">
        <v>0</v>
      </c>
      <c r="O658" s="210">
        <v>0</v>
      </c>
      <c r="P658" s="242">
        <v>0.23740675222371063</v>
      </c>
    </row>
    <row r="659" spans="1:16" s="7" customFormat="1">
      <c r="A659" s="108"/>
      <c r="B659" s="150"/>
      <c r="C659" s="70" t="s">
        <v>1169</v>
      </c>
      <c r="D659" s="33" t="s">
        <v>1973</v>
      </c>
      <c r="E659" s="34" t="s">
        <v>1074</v>
      </c>
      <c r="F659" s="35">
        <v>15000000</v>
      </c>
      <c r="G659" s="210">
        <v>0</v>
      </c>
      <c r="H659" s="210">
        <v>0</v>
      </c>
      <c r="I659" s="210">
        <v>15000000</v>
      </c>
      <c r="J659" s="210">
        <v>0</v>
      </c>
      <c r="K659" s="210">
        <v>0</v>
      </c>
      <c r="L659" s="210">
        <v>0</v>
      </c>
      <c r="M659" s="210">
        <v>0</v>
      </c>
      <c r="N659" s="210">
        <v>0</v>
      </c>
      <c r="O659" s="210">
        <v>0</v>
      </c>
      <c r="P659" s="242">
        <v>0.23740675222371063</v>
      </c>
    </row>
    <row r="660" spans="1:16" s="8" customFormat="1">
      <c r="A660" s="107" t="s">
        <v>1171</v>
      </c>
      <c r="B660" s="149" t="s">
        <v>1855</v>
      </c>
      <c r="C660" s="18" t="s">
        <v>1172</v>
      </c>
      <c r="D660" s="30"/>
      <c r="E660" s="17" t="s">
        <v>1173</v>
      </c>
      <c r="F660" s="16">
        <f>+F661</f>
        <v>6697204000</v>
      </c>
      <c r="G660" s="225">
        <f t="shared" ref="G660:O660" si="218">+G661</f>
        <v>3191765747</v>
      </c>
      <c r="H660" s="225">
        <f t="shared" si="218"/>
        <v>3191765747</v>
      </c>
      <c r="I660" s="225">
        <f t="shared" si="218"/>
        <v>9888969747</v>
      </c>
      <c r="J660" s="225">
        <f t="shared" si="218"/>
        <v>347903750</v>
      </c>
      <c r="K660" s="225">
        <f t="shared" si="218"/>
        <v>6618913702</v>
      </c>
      <c r="L660" s="225">
        <f t="shared" si="218"/>
        <v>347903750</v>
      </c>
      <c r="M660" s="225">
        <f t="shared" si="218"/>
        <v>6618913702</v>
      </c>
      <c r="N660" s="225">
        <f t="shared" si="218"/>
        <v>0</v>
      </c>
      <c r="O660" s="225">
        <f t="shared" si="218"/>
        <v>4575356789</v>
      </c>
      <c r="P660" s="237">
        <v>0.23740675222371063</v>
      </c>
    </row>
    <row r="661" spans="1:16" s="7" customFormat="1">
      <c r="A661" s="108"/>
      <c r="B661" s="150"/>
      <c r="C661" s="70" t="s">
        <v>1172</v>
      </c>
      <c r="D661" s="33" t="s">
        <v>1909</v>
      </c>
      <c r="E661" s="34" t="s">
        <v>819</v>
      </c>
      <c r="F661" s="35">
        <v>6697204000</v>
      </c>
      <c r="G661" s="224">
        <v>3191765747</v>
      </c>
      <c r="H661" s="224">
        <v>3191765747</v>
      </c>
      <c r="I661" s="224">
        <v>9888969747</v>
      </c>
      <c r="J661" s="224">
        <v>347903750</v>
      </c>
      <c r="K661" s="224">
        <v>6618913702</v>
      </c>
      <c r="L661" s="224">
        <v>347903750</v>
      </c>
      <c r="M661" s="224">
        <v>6618913702</v>
      </c>
      <c r="N661" s="224">
        <v>0</v>
      </c>
      <c r="O661" s="224">
        <v>4575356789</v>
      </c>
      <c r="P661" s="242">
        <v>0.23740675222371063</v>
      </c>
    </row>
    <row r="662" spans="1:16" s="8" customFormat="1">
      <c r="A662" s="107" t="s">
        <v>1174</v>
      </c>
      <c r="B662" s="149" t="s">
        <v>1856</v>
      </c>
      <c r="C662" s="18" t="s">
        <v>1175</v>
      </c>
      <c r="D662" s="30"/>
      <c r="E662" s="17" t="s">
        <v>1176</v>
      </c>
      <c r="F662" s="16">
        <f>+F663</f>
        <v>93932000</v>
      </c>
      <c r="G662" s="225">
        <f t="shared" ref="G662:O662" si="219">+G663</f>
        <v>0</v>
      </c>
      <c r="H662" s="225">
        <f t="shared" si="219"/>
        <v>0</v>
      </c>
      <c r="I662" s="225">
        <f t="shared" si="219"/>
        <v>93932000</v>
      </c>
      <c r="J662" s="225">
        <f t="shared" si="219"/>
        <v>0</v>
      </c>
      <c r="K662" s="225">
        <f t="shared" si="219"/>
        <v>0</v>
      </c>
      <c r="L662" s="225">
        <f t="shared" si="219"/>
        <v>0</v>
      </c>
      <c r="M662" s="225">
        <f t="shared" si="219"/>
        <v>0</v>
      </c>
      <c r="N662" s="225">
        <f t="shared" si="219"/>
        <v>0</v>
      </c>
      <c r="O662" s="225">
        <f t="shared" si="219"/>
        <v>0</v>
      </c>
      <c r="P662" s="237">
        <v>0.23740675222371063</v>
      </c>
    </row>
    <row r="663" spans="1:16" s="5" customFormat="1">
      <c r="A663" s="108"/>
      <c r="B663" s="150"/>
      <c r="C663" s="70" t="s">
        <v>1175</v>
      </c>
      <c r="D663" s="33" t="s">
        <v>1909</v>
      </c>
      <c r="E663" s="34" t="s">
        <v>819</v>
      </c>
      <c r="F663" s="35">
        <v>93932000</v>
      </c>
      <c r="G663" s="224">
        <v>0</v>
      </c>
      <c r="H663" s="224">
        <v>0</v>
      </c>
      <c r="I663" s="224">
        <v>93932000</v>
      </c>
      <c r="J663" s="224">
        <v>0</v>
      </c>
      <c r="K663" s="224">
        <v>0</v>
      </c>
      <c r="L663" s="224">
        <v>0</v>
      </c>
      <c r="M663" s="224">
        <v>0</v>
      </c>
      <c r="N663" s="224">
        <v>0</v>
      </c>
      <c r="O663" s="224">
        <v>0</v>
      </c>
      <c r="P663" s="242">
        <v>0.23740675222371063</v>
      </c>
    </row>
    <row r="664" spans="1:16" s="8" customFormat="1">
      <c r="A664" s="134" t="s">
        <v>1177</v>
      </c>
      <c r="B664" s="123" t="s">
        <v>1531</v>
      </c>
      <c r="C664" s="124" t="s">
        <v>1178</v>
      </c>
      <c r="D664" s="67"/>
      <c r="E664" s="25" t="s">
        <v>1179</v>
      </c>
      <c r="F664" s="68">
        <f>+F665+F674+F707</f>
        <v>2549294000</v>
      </c>
      <c r="G664" s="68">
        <f t="shared" ref="G664:O664" si="220">+G665+G674+G707</f>
        <v>42400000</v>
      </c>
      <c r="H664" s="68">
        <f t="shared" si="220"/>
        <v>946948993</v>
      </c>
      <c r="I664" s="68">
        <f t="shared" si="220"/>
        <v>3496242993</v>
      </c>
      <c r="J664" s="68">
        <f t="shared" si="220"/>
        <v>109309560</v>
      </c>
      <c r="K664" s="68">
        <f t="shared" si="220"/>
        <v>1165689942</v>
      </c>
      <c r="L664" s="68">
        <f t="shared" si="220"/>
        <v>212689163</v>
      </c>
      <c r="M664" s="68">
        <f t="shared" si="220"/>
        <v>1063245092</v>
      </c>
      <c r="N664" s="68">
        <f t="shared" si="220"/>
        <v>66488412</v>
      </c>
      <c r="O664" s="68">
        <f t="shared" si="220"/>
        <v>475357841</v>
      </c>
      <c r="P664" s="229">
        <v>0.23740675222371063</v>
      </c>
    </row>
    <row r="665" spans="1:16" s="7" customFormat="1">
      <c r="A665" s="174" t="s">
        <v>1180</v>
      </c>
      <c r="B665" s="157" t="s">
        <v>1531</v>
      </c>
      <c r="C665" s="158" t="s">
        <v>1181</v>
      </c>
      <c r="D665" s="41"/>
      <c r="E665" s="42" t="s">
        <v>1182</v>
      </c>
      <c r="F665" s="76">
        <f>+F666</f>
        <v>387458000</v>
      </c>
      <c r="G665" s="76">
        <f t="shared" ref="G665:O665" si="221">+G666</f>
        <v>0</v>
      </c>
      <c r="H665" s="76">
        <f t="shared" si="221"/>
        <v>4076000</v>
      </c>
      <c r="I665" s="76">
        <f t="shared" si="221"/>
        <v>391534000</v>
      </c>
      <c r="J665" s="76">
        <f t="shared" si="221"/>
        <v>4600000</v>
      </c>
      <c r="K665" s="76">
        <f t="shared" si="221"/>
        <v>345956236</v>
      </c>
      <c r="L665" s="76">
        <f t="shared" si="221"/>
        <v>0</v>
      </c>
      <c r="M665" s="76">
        <f t="shared" si="221"/>
        <v>341356236</v>
      </c>
      <c r="N665" s="76">
        <f t="shared" si="221"/>
        <v>0</v>
      </c>
      <c r="O665" s="76">
        <f t="shared" si="221"/>
        <v>68691602</v>
      </c>
      <c r="P665" s="247">
        <v>0.23740675222371063</v>
      </c>
    </row>
    <row r="666" spans="1:16" s="8" customFormat="1">
      <c r="A666" s="107" t="s">
        <v>1183</v>
      </c>
      <c r="B666" s="149" t="s">
        <v>1857</v>
      </c>
      <c r="C666" s="18" t="s">
        <v>1184</v>
      </c>
      <c r="D666" s="30"/>
      <c r="E666" s="17" t="s">
        <v>1185</v>
      </c>
      <c r="F666" s="203">
        <f>SUM(F667:F673)</f>
        <v>387458000</v>
      </c>
      <c r="G666" s="203">
        <f t="shared" ref="G666:O666" si="222">SUM(G667:G673)</f>
        <v>0</v>
      </c>
      <c r="H666" s="203">
        <f t="shared" si="222"/>
        <v>4076000</v>
      </c>
      <c r="I666" s="203">
        <f t="shared" si="222"/>
        <v>391534000</v>
      </c>
      <c r="J666" s="203">
        <f t="shared" si="222"/>
        <v>4600000</v>
      </c>
      <c r="K666" s="203">
        <f t="shared" si="222"/>
        <v>345956236</v>
      </c>
      <c r="L666" s="203">
        <f t="shared" si="222"/>
        <v>0</v>
      </c>
      <c r="M666" s="203">
        <f t="shared" si="222"/>
        <v>341356236</v>
      </c>
      <c r="N666" s="203">
        <f t="shared" si="222"/>
        <v>0</v>
      </c>
      <c r="O666" s="203">
        <f t="shared" si="222"/>
        <v>68691602</v>
      </c>
      <c r="P666" s="237">
        <v>0.23740675222371063</v>
      </c>
    </row>
    <row r="667" spans="1:16" s="8" customFormat="1">
      <c r="A667" s="108"/>
      <c r="B667" s="150"/>
      <c r="C667" s="70" t="s">
        <v>1184</v>
      </c>
      <c r="D667" s="33" t="s">
        <v>1954</v>
      </c>
      <c r="E667" s="34" t="s">
        <v>1020</v>
      </c>
      <c r="F667" s="35">
        <v>0</v>
      </c>
      <c r="G667" s="210">
        <v>0</v>
      </c>
      <c r="H667" s="210">
        <v>0</v>
      </c>
      <c r="I667" s="210">
        <v>0</v>
      </c>
      <c r="J667" s="210">
        <v>0</v>
      </c>
      <c r="K667" s="210">
        <v>0</v>
      </c>
      <c r="L667" s="210">
        <v>0</v>
      </c>
      <c r="M667" s="210">
        <v>0</v>
      </c>
      <c r="N667" s="210">
        <v>0</v>
      </c>
      <c r="O667" s="210">
        <v>0</v>
      </c>
      <c r="P667" s="242">
        <v>0.23740675222371063</v>
      </c>
    </row>
    <row r="668" spans="1:16" s="8" customFormat="1">
      <c r="A668" s="108"/>
      <c r="B668" s="150"/>
      <c r="C668" s="70" t="s">
        <v>1184</v>
      </c>
      <c r="D668" s="33" t="s">
        <v>1956</v>
      </c>
      <c r="E668" s="34" t="s">
        <v>1463</v>
      </c>
      <c r="F668" s="35">
        <v>2500000</v>
      </c>
      <c r="G668" s="210">
        <v>0</v>
      </c>
      <c r="H668" s="210">
        <v>10300000</v>
      </c>
      <c r="I668" s="210">
        <v>12800000</v>
      </c>
      <c r="J668" s="210">
        <v>0</v>
      </c>
      <c r="K668" s="210">
        <v>12118294</v>
      </c>
      <c r="L668" s="210">
        <v>0</v>
      </c>
      <c r="M668" s="210">
        <v>12118294</v>
      </c>
      <c r="N668" s="210">
        <v>0</v>
      </c>
      <c r="O668" s="210">
        <v>0</v>
      </c>
      <c r="P668" s="242">
        <v>0.23740675222371063</v>
      </c>
    </row>
    <row r="669" spans="1:16" s="8" customFormat="1">
      <c r="A669" s="108"/>
      <c r="B669" s="150"/>
      <c r="C669" s="70" t="s">
        <v>1184</v>
      </c>
      <c r="D669" s="33" t="s">
        <v>1940</v>
      </c>
      <c r="E669" s="34" t="s">
        <v>912</v>
      </c>
      <c r="F669" s="35">
        <v>30000000</v>
      </c>
      <c r="G669" s="210">
        <v>0</v>
      </c>
      <c r="H669" s="210">
        <v>0</v>
      </c>
      <c r="I669" s="210">
        <v>30000000</v>
      </c>
      <c r="J669" s="210">
        <v>4600000</v>
      </c>
      <c r="K669" s="210">
        <v>4600000</v>
      </c>
      <c r="L669" s="210">
        <v>0</v>
      </c>
      <c r="M669" s="210">
        <v>0</v>
      </c>
      <c r="N669" s="210">
        <v>0</v>
      </c>
      <c r="O669" s="210">
        <v>0</v>
      </c>
      <c r="P669" s="242">
        <v>0.23740675222371063</v>
      </c>
    </row>
    <row r="670" spans="1:16" s="8" customFormat="1">
      <c r="A670" s="108"/>
      <c r="B670" s="150"/>
      <c r="C670" s="70" t="s">
        <v>1184</v>
      </c>
      <c r="D670" s="33" t="s">
        <v>1936</v>
      </c>
      <c r="E670" s="34" t="s">
        <v>908</v>
      </c>
      <c r="F670" s="35">
        <v>13639000</v>
      </c>
      <c r="G670" s="210">
        <v>0</v>
      </c>
      <c r="H670" s="210">
        <v>0</v>
      </c>
      <c r="I670" s="210">
        <v>13639000</v>
      </c>
      <c r="J670" s="210">
        <v>0</v>
      </c>
      <c r="K670" s="210">
        <v>0</v>
      </c>
      <c r="L670" s="210">
        <v>0</v>
      </c>
      <c r="M670" s="210">
        <v>0</v>
      </c>
      <c r="N670" s="210">
        <v>0</v>
      </c>
      <c r="O670" s="210">
        <v>0</v>
      </c>
      <c r="P670" s="242">
        <v>0.23740675222371063</v>
      </c>
    </row>
    <row r="671" spans="1:16" s="8" customFormat="1">
      <c r="A671" s="108"/>
      <c r="B671" s="150"/>
      <c r="C671" s="70" t="s">
        <v>1184</v>
      </c>
      <c r="D671" s="33" t="s">
        <v>1938</v>
      </c>
      <c r="E671" s="34" t="s">
        <v>1019</v>
      </c>
      <c r="F671" s="35">
        <v>7857000</v>
      </c>
      <c r="G671" s="210">
        <v>0</v>
      </c>
      <c r="H671" s="210">
        <v>-2000000</v>
      </c>
      <c r="I671" s="210">
        <v>5857000</v>
      </c>
      <c r="J671" s="210">
        <v>0</v>
      </c>
      <c r="K671" s="210">
        <v>0</v>
      </c>
      <c r="L671" s="210">
        <v>0</v>
      </c>
      <c r="M671" s="210">
        <v>0</v>
      </c>
      <c r="N671" s="210">
        <v>0</v>
      </c>
      <c r="O671" s="210">
        <v>0</v>
      </c>
      <c r="P671" s="242">
        <v>0.23740675222371063</v>
      </c>
    </row>
    <row r="672" spans="1:16" s="8" customFormat="1">
      <c r="A672" s="108"/>
      <c r="B672" s="150"/>
      <c r="C672" s="70" t="s">
        <v>1184</v>
      </c>
      <c r="D672" s="33" t="s">
        <v>1952</v>
      </c>
      <c r="E672" s="34" t="s">
        <v>916</v>
      </c>
      <c r="F672" s="35">
        <v>4224000</v>
      </c>
      <c r="G672" s="210">
        <v>0</v>
      </c>
      <c r="H672" s="210">
        <v>-4224000</v>
      </c>
      <c r="I672" s="210">
        <v>0</v>
      </c>
      <c r="J672" s="210">
        <v>0</v>
      </c>
      <c r="K672" s="210">
        <v>0</v>
      </c>
      <c r="L672" s="210">
        <v>0</v>
      </c>
      <c r="M672" s="210">
        <v>0</v>
      </c>
      <c r="N672" s="210">
        <v>0</v>
      </c>
      <c r="O672" s="210">
        <v>0</v>
      </c>
      <c r="P672" s="242">
        <v>0.23740675222371063</v>
      </c>
    </row>
    <row r="673" spans="1:16" s="8" customFormat="1">
      <c r="A673" s="108"/>
      <c r="B673" s="150"/>
      <c r="C673" s="70" t="s">
        <v>1184</v>
      </c>
      <c r="D673" s="33" t="s">
        <v>1945</v>
      </c>
      <c r="E673" s="34" t="s">
        <v>781</v>
      </c>
      <c r="F673" s="35">
        <v>329238000</v>
      </c>
      <c r="G673" s="210">
        <v>0</v>
      </c>
      <c r="H673" s="210">
        <v>0</v>
      </c>
      <c r="I673" s="210">
        <v>329238000</v>
      </c>
      <c r="J673" s="210">
        <v>0</v>
      </c>
      <c r="K673" s="210">
        <v>329237942</v>
      </c>
      <c r="L673" s="210">
        <v>0</v>
      </c>
      <c r="M673" s="210">
        <v>329237942</v>
      </c>
      <c r="N673" s="210">
        <v>0</v>
      </c>
      <c r="O673" s="210">
        <v>68691602</v>
      </c>
      <c r="P673" s="242">
        <v>0.23740675222371063</v>
      </c>
    </row>
    <row r="674" spans="1:16" s="8" customFormat="1">
      <c r="A674" s="174" t="s">
        <v>1186</v>
      </c>
      <c r="B674" s="157" t="s">
        <v>1539</v>
      </c>
      <c r="C674" s="158" t="s">
        <v>1187</v>
      </c>
      <c r="D674" s="41"/>
      <c r="E674" s="42" t="s">
        <v>1188</v>
      </c>
      <c r="F674" s="76">
        <f>+F675</f>
        <v>2161836000</v>
      </c>
      <c r="G674" s="76">
        <f t="shared" ref="G674:O674" si="223">+G675</f>
        <v>42400000</v>
      </c>
      <c r="H674" s="76">
        <f t="shared" si="223"/>
        <v>942872993</v>
      </c>
      <c r="I674" s="76">
        <f t="shared" si="223"/>
        <v>3104708993</v>
      </c>
      <c r="J674" s="76">
        <f t="shared" si="223"/>
        <v>104709560</v>
      </c>
      <c r="K674" s="76">
        <f t="shared" si="223"/>
        <v>819733706</v>
      </c>
      <c r="L674" s="76">
        <f t="shared" si="223"/>
        <v>212689163</v>
      </c>
      <c r="M674" s="76">
        <f t="shared" si="223"/>
        <v>721888856</v>
      </c>
      <c r="N674" s="76">
        <f t="shared" si="223"/>
        <v>66488412</v>
      </c>
      <c r="O674" s="76">
        <f t="shared" si="223"/>
        <v>406666239</v>
      </c>
      <c r="P674" s="247">
        <v>0.23740675222371063</v>
      </c>
    </row>
    <row r="675" spans="1:16" s="2" customFormat="1">
      <c r="A675" s="175" t="s">
        <v>1189</v>
      </c>
      <c r="B675" s="159" t="s">
        <v>1531</v>
      </c>
      <c r="C675" s="160" t="s">
        <v>1190</v>
      </c>
      <c r="D675" s="43"/>
      <c r="E675" s="44" t="s">
        <v>1191</v>
      </c>
      <c r="F675" s="77">
        <f>+F676+F692</f>
        <v>2161836000</v>
      </c>
      <c r="G675" s="77">
        <f t="shared" ref="G675:O675" si="224">+G676+G692</f>
        <v>42400000</v>
      </c>
      <c r="H675" s="77">
        <f t="shared" si="224"/>
        <v>942872993</v>
      </c>
      <c r="I675" s="77">
        <f t="shared" si="224"/>
        <v>3104708993</v>
      </c>
      <c r="J675" s="77">
        <f t="shared" si="224"/>
        <v>104709560</v>
      </c>
      <c r="K675" s="77">
        <f t="shared" si="224"/>
        <v>819733706</v>
      </c>
      <c r="L675" s="77">
        <f t="shared" si="224"/>
        <v>212689163</v>
      </c>
      <c r="M675" s="77">
        <f t="shared" si="224"/>
        <v>721888856</v>
      </c>
      <c r="N675" s="77">
        <f t="shared" si="224"/>
        <v>66488412</v>
      </c>
      <c r="O675" s="77">
        <f t="shared" si="224"/>
        <v>406666239</v>
      </c>
      <c r="P675" s="249">
        <v>0.23740675222371063</v>
      </c>
    </row>
    <row r="676" spans="1:16" s="8" customFormat="1">
      <c r="A676" s="107"/>
      <c r="B676" s="149" t="s">
        <v>1538</v>
      </c>
      <c r="C676" s="18" t="s">
        <v>1192</v>
      </c>
      <c r="D676" s="30"/>
      <c r="E676" s="17" t="s">
        <v>1191</v>
      </c>
      <c r="F676" s="203">
        <f>SUM(F677:F691)</f>
        <v>1707156000</v>
      </c>
      <c r="G676" s="203">
        <f t="shared" ref="G676:O676" si="225">SUM(G677:G691)</f>
        <v>28000000</v>
      </c>
      <c r="H676" s="203">
        <f t="shared" si="225"/>
        <v>-50365007</v>
      </c>
      <c r="I676" s="203">
        <f t="shared" si="225"/>
        <v>1656790993</v>
      </c>
      <c r="J676" s="203">
        <f t="shared" si="225"/>
        <v>82582584</v>
      </c>
      <c r="K676" s="203">
        <f t="shared" si="225"/>
        <v>716049933</v>
      </c>
      <c r="L676" s="203">
        <f t="shared" si="225"/>
        <v>209045413</v>
      </c>
      <c r="M676" s="203">
        <f t="shared" si="225"/>
        <v>641063762</v>
      </c>
      <c r="N676" s="203">
        <f t="shared" si="225"/>
        <v>66488412</v>
      </c>
      <c r="O676" s="203">
        <f t="shared" si="225"/>
        <v>357737412</v>
      </c>
      <c r="P676" s="237">
        <v>0.23740675222371063</v>
      </c>
    </row>
    <row r="677" spans="1:16" s="8" customFormat="1">
      <c r="A677" s="108"/>
      <c r="B677" s="150"/>
      <c r="C677" s="70" t="s">
        <v>1192</v>
      </c>
      <c r="D677" s="33" t="s">
        <v>1955</v>
      </c>
      <c r="E677" s="34" t="s">
        <v>919</v>
      </c>
      <c r="F677" s="35">
        <v>10975000</v>
      </c>
      <c r="G677" s="210">
        <v>0</v>
      </c>
      <c r="H677" s="210">
        <v>0</v>
      </c>
      <c r="I677" s="210">
        <v>10975000</v>
      </c>
      <c r="J677" s="210">
        <v>0</v>
      </c>
      <c r="K677" s="210">
        <v>0</v>
      </c>
      <c r="L677" s="210">
        <v>0</v>
      </c>
      <c r="M677" s="210">
        <v>0</v>
      </c>
      <c r="N677" s="210">
        <v>0</v>
      </c>
      <c r="O677" s="210">
        <v>0</v>
      </c>
      <c r="P677" s="242">
        <v>0.23740675222371063</v>
      </c>
    </row>
    <row r="678" spans="1:16" s="8" customFormat="1">
      <c r="A678" s="108"/>
      <c r="B678" s="150"/>
      <c r="C678" s="70" t="s">
        <v>1192</v>
      </c>
      <c r="D678" s="33" t="s">
        <v>1943</v>
      </c>
      <c r="E678" s="34" t="s">
        <v>763</v>
      </c>
      <c r="F678" s="35">
        <v>154055000</v>
      </c>
      <c r="G678" s="210">
        <v>0</v>
      </c>
      <c r="H678" s="210">
        <v>0</v>
      </c>
      <c r="I678" s="210">
        <v>154055000</v>
      </c>
      <c r="J678" s="210">
        <v>0</v>
      </c>
      <c r="K678" s="210">
        <v>53049450</v>
      </c>
      <c r="L678" s="210">
        <v>45249000</v>
      </c>
      <c r="M678" s="210">
        <v>53049450</v>
      </c>
      <c r="N678" s="210">
        <v>53049450</v>
      </c>
      <c r="O678" s="210">
        <v>53049450</v>
      </c>
      <c r="P678" s="242">
        <v>0.23740675222371063</v>
      </c>
    </row>
    <row r="679" spans="1:16" s="8" customFormat="1">
      <c r="A679" s="108"/>
      <c r="B679" s="150"/>
      <c r="C679" s="70" t="s">
        <v>1192</v>
      </c>
      <c r="D679" s="33" t="s">
        <v>1956</v>
      </c>
      <c r="E679" s="34" t="s">
        <v>1463</v>
      </c>
      <c r="F679" s="35">
        <v>3273000</v>
      </c>
      <c r="G679" s="210">
        <v>0</v>
      </c>
      <c r="H679" s="210">
        <v>-3273000</v>
      </c>
      <c r="I679" s="210">
        <v>0</v>
      </c>
      <c r="J679" s="210">
        <v>0</v>
      </c>
      <c r="K679" s="210">
        <v>0</v>
      </c>
      <c r="L679" s="210">
        <v>0</v>
      </c>
      <c r="M679" s="210">
        <v>0</v>
      </c>
      <c r="N679" s="210">
        <v>0</v>
      </c>
      <c r="O679" s="210">
        <v>0</v>
      </c>
      <c r="P679" s="242">
        <v>0.23740675222371063</v>
      </c>
    </row>
    <row r="680" spans="1:16" s="8" customFormat="1">
      <c r="A680" s="108"/>
      <c r="B680" s="150"/>
      <c r="C680" s="70" t="s">
        <v>1192</v>
      </c>
      <c r="D680" s="33" t="s">
        <v>1951</v>
      </c>
      <c r="E680" s="34" t="s">
        <v>1193</v>
      </c>
      <c r="F680" s="35">
        <v>30000000</v>
      </c>
      <c r="G680" s="210">
        <v>0</v>
      </c>
      <c r="H680" s="210">
        <v>0</v>
      </c>
      <c r="I680" s="210">
        <v>30000000</v>
      </c>
      <c r="J680" s="210">
        <v>0</v>
      </c>
      <c r="K680" s="210">
        <v>4481856</v>
      </c>
      <c r="L680" s="210">
        <v>0</v>
      </c>
      <c r="M680" s="210">
        <v>4481856</v>
      </c>
      <c r="N680" s="210">
        <v>0</v>
      </c>
      <c r="O680" s="210">
        <v>4481856</v>
      </c>
      <c r="P680" s="242">
        <v>0.23740675222371063</v>
      </c>
    </row>
    <row r="681" spans="1:16" s="8" customFormat="1">
      <c r="A681" s="108"/>
      <c r="B681" s="150"/>
      <c r="C681" s="70" t="s">
        <v>1192</v>
      </c>
      <c r="D681" s="33" t="s">
        <v>1940</v>
      </c>
      <c r="E681" s="34" t="s">
        <v>912</v>
      </c>
      <c r="F681" s="35">
        <v>403128000</v>
      </c>
      <c r="G681" s="210">
        <v>0</v>
      </c>
      <c r="H681" s="210">
        <v>0</v>
      </c>
      <c r="I681" s="210">
        <v>403128000</v>
      </c>
      <c r="J681" s="210">
        <v>63365300</v>
      </c>
      <c r="K681" s="210">
        <v>105704800</v>
      </c>
      <c r="L681" s="210">
        <v>4500000</v>
      </c>
      <c r="M681" s="210">
        <v>42339500</v>
      </c>
      <c r="N681" s="210">
        <v>4500000</v>
      </c>
      <c r="O681" s="210">
        <v>42339500</v>
      </c>
      <c r="P681" s="242">
        <v>0.23740675222371063</v>
      </c>
    </row>
    <row r="682" spans="1:16" s="8" customFormat="1">
      <c r="A682" s="108"/>
      <c r="B682" s="150"/>
      <c r="C682" s="70" t="s">
        <v>1192</v>
      </c>
      <c r="D682" s="33" t="s">
        <v>1937</v>
      </c>
      <c r="E682" s="34" t="s">
        <v>909</v>
      </c>
      <c r="F682" s="35">
        <v>124280000</v>
      </c>
      <c r="G682" s="210">
        <v>0</v>
      </c>
      <c r="H682" s="210">
        <v>0</v>
      </c>
      <c r="I682" s="210">
        <v>124280000</v>
      </c>
      <c r="J682" s="210">
        <v>1853352</v>
      </c>
      <c r="K682" s="210">
        <v>9115132</v>
      </c>
      <c r="L682" s="210">
        <v>1443352</v>
      </c>
      <c r="M682" s="210">
        <v>8255132</v>
      </c>
      <c r="N682" s="210">
        <v>1443352</v>
      </c>
      <c r="O682" s="210">
        <v>8255132</v>
      </c>
      <c r="P682" s="242">
        <v>0.23740675222371063</v>
      </c>
    </row>
    <row r="683" spans="1:16" s="8" customFormat="1">
      <c r="A683" s="108"/>
      <c r="B683" s="150"/>
      <c r="C683" s="70" t="s">
        <v>1192</v>
      </c>
      <c r="D683" s="33" t="s">
        <v>1936</v>
      </c>
      <c r="E683" s="34" t="s">
        <v>908</v>
      </c>
      <c r="F683" s="35">
        <v>234637000</v>
      </c>
      <c r="G683" s="210">
        <v>0</v>
      </c>
      <c r="H683" s="210">
        <v>-135092007</v>
      </c>
      <c r="I683" s="210">
        <v>99544993</v>
      </c>
      <c r="J683" s="210">
        <v>7056865</v>
      </c>
      <c r="K683" s="210">
        <v>57637997</v>
      </c>
      <c r="L683" s="210">
        <v>7056865</v>
      </c>
      <c r="M683" s="210">
        <v>57637997</v>
      </c>
      <c r="N683" s="210">
        <v>7525610</v>
      </c>
      <c r="O683" s="210">
        <v>56187997</v>
      </c>
      <c r="P683" s="242">
        <v>0.23740675222371063</v>
      </c>
    </row>
    <row r="684" spans="1:16" s="8" customFormat="1">
      <c r="A684" s="108"/>
      <c r="B684" s="150"/>
      <c r="C684" s="70" t="s">
        <v>1192</v>
      </c>
      <c r="D684" s="33" t="s">
        <v>1938</v>
      </c>
      <c r="E684" s="34" t="s">
        <v>1019</v>
      </c>
      <c r="F684" s="35">
        <v>92546000</v>
      </c>
      <c r="G684" s="210">
        <v>0</v>
      </c>
      <c r="H684" s="210">
        <v>0</v>
      </c>
      <c r="I684" s="210">
        <v>92546000</v>
      </c>
      <c r="J684" s="210">
        <v>1454806</v>
      </c>
      <c r="K684" s="210">
        <v>13534158</v>
      </c>
      <c r="L684" s="210">
        <v>829076</v>
      </c>
      <c r="M684" s="210">
        <v>12908428</v>
      </c>
      <c r="N684" s="210">
        <v>0</v>
      </c>
      <c r="O684" s="210">
        <v>12079352</v>
      </c>
      <c r="P684" s="242">
        <v>0.23740675222371063</v>
      </c>
    </row>
    <row r="685" spans="1:16" s="8" customFormat="1">
      <c r="A685" s="108"/>
      <c r="B685" s="150"/>
      <c r="C685" s="70" t="s">
        <v>1192</v>
      </c>
      <c r="D685" s="33" t="s">
        <v>1942</v>
      </c>
      <c r="E685" s="34" t="s">
        <v>913</v>
      </c>
      <c r="F685" s="35">
        <v>31853000</v>
      </c>
      <c r="G685" s="210">
        <v>0</v>
      </c>
      <c r="H685" s="210">
        <v>0</v>
      </c>
      <c r="I685" s="210">
        <v>31853000</v>
      </c>
      <c r="J685" s="210">
        <v>2000000</v>
      </c>
      <c r="K685" s="210">
        <v>6789950</v>
      </c>
      <c r="L685" s="210">
        <v>0</v>
      </c>
      <c r="M685" s="210">
        <v>3539950</v>
      </c>
      <c r="N685" s="210">
        <v>0</v>
      </c>
      <c r="O685" s="210">
        <v>3539950</v>
      </c>
      <c r="P685" s="242">
        <v>0.23740675222371063</v>
      </c>
    </row>
    <row r="686" spans="1:16" s="8" customFormat="1">
      <c r="A686" s="108"/>
      <c r="B686" s="150"/>
      <c r="C686" s="70" t="s">
        <v>1192</v>
      </c>
      <c r="D686" s="33" t="s">
        <v>1939</v>
      </c>
      <c r="E686" s="34" t="s">
        <v>911</v>
      </c>
      <c r="F686" s="35">
        <v>149932000</v>
      </c>
      <c r="G686" s="210">
        <v>0</v>
      </c>
      <c r="H686" s="210">
        <v>-40000000</v>
      </c>
      <c r="I686" s="210">
        <v>109932000</v>
      </c>
      <c r="J686" s="210">
        <v>6855141</v>
      </c>
      <c r="K686" s="210">
        <v>45974310</v>
      </c>
      <c r="L686" s="210">
        <v>-30000</v>
      </c>
      <c r="M686" s="210">
        <v>39089169</v>
      </c>
      <c r="N686" s="210">
        <v>-30000</v>
      </c>
      <c r="O686" s="210">
        <v>5576175</v>
      </c>
      <c r="P686" s="242">
        <v>0.23740675222371063</v>
      </c>
    </row>
    <row r="687" spans="1:16" s="8" customFormat="1">
      <c r="A687" s="108"/>
      <c r="B687" s="150"/>
      <c r="C687" s="70" t="s">
        <v>1192</v>
      </c>
      <c r="D687" s="33" t="s">
        <v>1913</v>
      </c>
      <c r="E687" s="34" t="s">
        <v>914</v>
      </c>
      <c r="F687" s="35">
        <v>26129999.999999996</v>
      </c>
      <c r="G687" s="210">
        <v>0</v>
      </c>
      <c r="H687" s="210">
        <v>0</v>
      </c>
      <c r="I687" s="210">
        <v>26129999.999999996</v>
      </c>
      <c r="J687" s="210">
        <v>0</v>
      </c>
      <c r="K687" s="210">
        <v>0</v>
      </c>
      <c r="L687" s="210">
        <v>0</v>
      </c>
      <c r="M687" s="210">
        <v>0</v>
      </c>
      <c r="N687" s="210">
        <v>0</v>
      </c>
      <c r="O687" s="210">
        <v>0</v>
      </c>
      <c r="P687" s="242">
        <v>0.23740675222371063</v>
      </c>
    </row>
    <row r="688" spans="1:16" s="8" customFormat="1">
      <c r="A688" s="108"/>
      <c r="B688" s="150"/>
      <c r="C688" s="70" t="s">
        <v>1192</v>
      </c>
      <c r="D688" s="33" t="s">
        <v>1970</v>
      </c>
      <c r="E688" s="34" t="s">
        <v>1069</v>
      </c>
      <c r="F688" s="35">
        <v>103442000</v>
      </c>
      <c r="G688" s="210">
        <v>0</v>
      </c>
      <c r="H688" s="210">
        <v>0</v>
      </c>
      <c r="I688" s="210">
        <v>103442000</v>
      </c>
      <c r="J688" s="210">
        <v>0</v>
      </c>
      <c r="K688" s="210">
        <v>97537160</v>
      </c>
      <c r="L688" s="210">
        <v>0</v>
      </c>
      <c r="M688" s="210">
        <v>97537160</v>
      </c>
      <c r="N688" s="210">
        <v>0</v>
      </c>
      <c r="O688" s="210">
        <v>0</v>
      </c>
      <c r="P688" s="242">
        <v>0.23740675222371063</v>
      </c>
    </row>
    <row r="689" spans="1:16" s="8" customFormat="1">
      <c r="A689" s="108"/>
      <c r="B689" s="150"/>
      <c r="C689" s="70" t="s">
        <v>1192</v>
      </c>
      <c r="D689" s="33" t="s">
        <v>1945</v>
      </c>
      <c r="E689" s="34" t="s">
        <v>781</v>
      </c>
      <c r="F689" s="35">
        <v>172673000</v>
      </c>
      <c r="G689" s="210">
        <v>0</v>
      </c>
      <c r="H689" s="210">
        <v>150000000</v>
      </c>
      <c r="I689" s="210">
        <v>322673000</v>
      </c>
      <c r="J689" s="210">
        <v>-2880</v>
      </c>
      <c r="K689" s="210">
        <v>321425120</v>
      </c>
      <c r="L689" s="210">
        <v>149997120</v>
      </c>
      <c r="M689" s="210">
        <v>321425120</v>
      </c>
      <c r="N689" s="210">
        <v>0</v>
      </c>
      <c r="O689" s="210">
        <v>171428000</v>
      </c>
      <c r="P689" s="242">
        <v>0.23740675222371063</v>
      </c>
    </row>
    <row r="690" spans="1:16" s="8" customFormat="1">
      <c r="A690" s="108"/>
      <c r="B690" s="150"/>
      <c r="C690" s="70" t="s">
        <v>1192</v>
      </c>
      <c r="D690" s="33" t="s">
        <v>1954</v>
      </c>
      <c r="E690" s="34" t="s">
        <v>1020</v>
      </c>
      <c r="F690" s="35">
        <v>167232000</v>
      </c>
      <c r="G690" s="210">
        <v>28000000</v>
      </c>
      <c r="H690" s="210">
        <v>-22000000</v>
      </c>
      <c r="I690" s="210">
        <v>145232000</v>
      </c>
      <c r="J690" s="210">
        <v>0</v>
      </c>
      <c r="K690" s="210">
        <v>0</v>
      </c>
      <c r="L690" s="210">
        <v>0</v>
      </c>
      <c r="M690" s="210">
        <v>0</v>
      </c>
      <c r="N690" s="210">
        <v>0</v>
      </c>
      <c r="O690" s="210">
        <v>0</v>
      </c>
      <c r="P690" s="242">
        <v>0.23740675222371063</v>
      </c>
    </row>
    <row r="691" spans="1:16" s="2" customFormat="1">
      <c r="A691" s="108"/>
      <c r="B691" s="150"/>
      <c r="C691" s="70" t="s">
        <v>1192</v>
      </c>
      <c r="D691" s="33" t="s">
        <v>1966</v>
      </c>
      <c r="E691" s="34" t="s">
        <v>1464</v>
      </c>
      <c r="F691" s="35">
        <v>3000000</v>
      </c>
      <c r="G691" s="210">
        <v>0</v>
      </c>
      <c r="H691" s="210">
        <v>0</v>
      </c>
      <c r="I691" s="210">
        <v>3000000</v>
      </c>
      <c r="J691" s="210">
        <v>0</v>
      </c>
      <c r="K691" s="210">
        <v>800000</v>
      </c>
      <c r="L691" s="210">
        <v>0</v>
      </c>
      <c r="M691" s="210">
        <v>800000</v>
      </c>
      <c r="N691" s="210">
        <v>0</v>
      </c>
      <c r="O691" s="210">
        <v>800000</v>
      </c>
      <c r="P691" s="242">
        <v>0.23740675222371063</v>
      </c>
    </row>
    <row r="692" spans="1:16" s="8" customFormat="1">
      <c r="A692" s="107"/>
      <c r="B692" s="149" t="s">
        <v>1858</v>
      </c>
      <c r="C692" s="18" t="s">
        <v>1194</v>
      </c>
      <c r="D692" s="30"/>
      <c r="E692" s="17" t="s">
        <v>1195</v>
      </c>
      <c r="F692" s="16">
        <f>SUM(F693:F705)</f>
        <v>454680000</v>
      </c>
      <c r="G692" s="16">
        <f>SUM(G693:G706)</f>
        <v>14400000</v>
      </c>
      <c r="H692" s="16">
        <f t="shared" ref="H692:O692" si="226">SUM(H693:H706)</f>
        <v>993238000</v>
      </c>
      <c r="I692" s="16">
        <f t="shared" si="226"/>
        <v>1447918000</v>
      </c>
      <c r="J692" s="16">
        <f t="shared" si="226"/>
        <v>22126976</v>
      </c>
      <c r="K692" s="16">
        <f t="shared" si="226"/>
        <v>103683773</v>
      </c>
      <c r="L692" s="16">
        <f t="shared" si="226"/>
        <v>3643750</v>
      </c>
      <c r="M692" s="16">
        <f t="shared" si="226"/>
        <v>80825094</v>
      </c>
      <c r="N692" s="16">
        <f t="shared" si="226"/>
        <v>0</v>
      </c>
      <c r="O692" s="16">
        <f t="shared" si="226"/>
        <v>48928827</v>
      </c>
      <c r="P692" s="237">
        <v>0.23740675222371063</v>
      </c>
    </row>
    <row r="693" spans="1:16" s="8" customFormat="1">
      <c r="A693" s="108"/>
      <c r="B693" s="150"/>
      <c r="C693" s="70" t="s">
        <v>1194</v>
      </c>
      <c r="D693" s="33" t="s">
        <v>1951</v>
      </c>
      <c r="E693" s="34" t="s">
        <v>915</v>
      </c>
      <c r="F693" s="35">
        <v>21795000</v>
      </c>
      <c r="G693" s="210">
        <v>0</v>
      </c>
      <c r="H693" s="210">
        <v>0</v>
      </c>
      <c r="I693" s="210">
        <v>21795000</v>
      </c>
      <c r="J693" s="210">
        <v>18483226</v>
      </c>
      <c r="K693" s="210">
        <v>18483226</v>
      </c>
      <c r="L693" s="210">
        <v>0</v>
      </c>
      <c r="M693" s="210">
        <v>0</v>
      </c>
      <c r="N693" s="210">
        <v>0</v>
      </c>
      <c r="O693" s="210">
        <v>0</v>
      </c>
      <c r="P693" s="242">
        <v>0.23740675222371063</v>
      </c>
    </row>
    <row r="694" spans="1:16" s="8" customFormat="1">
      <c r="A694" s="108"/>
      <c r="B694" s="150"/>
      <c r="C694" s="70" t="s">
        <v>1194</v>
      </c>
      <c r="D694" s="33" t="s">
        <v>1940</v>
      </c>
      <c r="E694" s="34" t="s">
        <v>912</v>
      </c>
      <c r="F694" s="35">
        <v>13500000</v>
      </c>
      <c r="G694" s="210">
        <v>0</v>
      </c>
      <c r="H694" s="210">
        <v>0</v>
      </c>
      <c r="I694" s="210">
        <v>13500000</v>
      </c>
      <c r="J694" s="210">
        <v>0</v>
      </c>
      <c r="K694" s="210">
        <v>9484394</v>
      </c>
      <c r="L694" s="210">
        <v>0</v>
      </c>
      <c r="M694" s="210">
        <v>5984394</v>
      </c>
      <c r="N694" s="210">
        <v>0</v>
      </c>
      <c r="O694" s="210">
        <v>0</v>
      </c>
      <c r="P694" s="242">
        <v>0.23740675222371063</v>
      </c>
    </row>
    <row r="695" spans="1:16" s="8" customFormat="1">
      <c r="A695" s="108"/>
      <c r="B695" s="150"/>
      <c r="C695" s="70" t="s">
        <v>1194</v>
      </c>
      <c r="D695" s="33" t="s">
        <v>1937</v>
      </c>
      <c r="E695" s="34" t="s">
        <v>909</v>
      </c>
      <c r="F695" s="35">
        <v>17237000</v>
      </c>
      <c r="G695" s="210">
        <v>0</v>
      </c>
      <c r="H695" s="210">
        <v>0</v>
      </c>
      <c r="I695" s="210">
        <v>17237000</v>
      </c>
      <c r="J695" s="210">
        <v>0</v>
      </c>
      <c r="K695" s="210">
        <v>0</v>
      </c>
      <c r="L695" s="210">
        <v>0</v>
      </c>
      <c r="M695" s="210">
        <v>0</v>
      </c>
      <c r="N695" s="210">
        <v>0</v>
      </c>
      <c r="O695" s="210">
        <v>0</v>
      </c>
      <c r="P695" s="242">
        <v>0.23740675222371063</v>
      </c>
    </row>
    <row r="696" spans="1:16" s="8" customFormat="1">
      <c r="A696" s="108"/>
      <c r="B696" s="150"/>
      <c r="C696" s="70" t="s">
        <v>1194</v>
      </c>
      <c r="D696" s="33" t="s">
        <v>1936</v>
      </c>
      <c r="E696" s="34" t="s">
        <v>908</v>
      </c>
      <c r="F696" s="35">
        <v>57008000</v>
      </c>
      <c r="G696" s="210">
        <v>0</v>
      </c>
      <c r="H696" s="210">
        <v>-22008000</v>
      </c>
      <c r="I696" s="210">
        <v>35000000</v>
      </c>
      <c r="J696" s="210">
        <v>0</v>
      </c>
      <c r="K696" s="210">
        <v>0</v>
      </c>
      <c r="L696" s="210">
        <v>0</v>
      </c>
      <c r="M696" s="210">
        <v>0</v>
      </c>
      <c r="N696" s="210">
        <v>0</v>
      </c>
      <c r="O696" s="210">
        <v>0</v>
      </c>
      <c r="P696" s="242">
        <v>0.23740675222371063</v>
      </c>
    </row>
    <row r="697" spans="1:16" s="8" customFormat="1">
      <c r="A697" s="108"/>
      <c r="B697" s="150"/>
      <c r="C697" s="70" t="s">
        <v>1194</v>
      </c>
      <c r="D697" s="33" t="s">
        <v>1938</v>
      </c>
      <c r="E697" s="34" t="s">
        <v>1019</v>
      </c>
      <c r="F697" s="35">
        <v>25785000</v>
      </c>
      <c r="G697" s="210">
        <v>0</v>
      </c>
      <c r="H697" s="210">
        <v>0</v>
      </c>
      <c r="I697" s="210">
        <v>25785000</v>
      </c>
      <c r="J697" s="210">
        <v>0</v>
      </c>
      <c r="K697" s="210">
        <v>875453</v>
      </c>
      <c r="L697" s="210">
        <v>0</v>
      </c>
      <c r="M697" s="210">
        <v>0</v>
      </c>
      <c r="N697" s="210">
        <v>0</v>
      </c>
      <c r="O697" s="210">
        <v>0</v>
      </c>
      <c r="P697" s="242">
        <v>0.23740675222371063</v>
      </c>
    </row>
    <row r="698" spans="1:16" s="8" customFormat="1">
      <c r="A698" s="108"/>
      <c r="B698" s="150"/>
      <c r="C698" s="70" t="s">
        <v>1194</v>
      </c>
      <c r="D698" s="33" t="s">
        <v>1942</v>
      </c>
      <c r="E698" s="34" t="s">
        <v>913</v>
      </c>
      <c r="F698" s="35">
        <v>5954000</v>
      </c>
      <c r="G698" s="210">
        <v>0</v>
      </c>
      <c r="H698" s="210">
        <v>46000</v>
      </c>
      <c r="I698" s="210">
        <v>6000000</v>
      </c>
      <c r="J698" s="210">
        <v>0</v>
      </c>
      <c r="K698" s="210">
        <v>0</v>
      </c>
      <c r="L698" s="210">
        <v>0</v>
      </c>
      <c r="M698" s="210">
        <v>0</v>
      </c>
      <c r="N698" s="210">
        <v>0</v>
      </c>
      <c r="O698" s="210">
        <v>0</v>
      </c>
      <c r="P698" s="242">
        <v>0.23740675222371063</v>
      </c>
    </row>
    <row r="699" spans="1:16" s="8" customFormat="1">
      <c r="A699" s="108"/>
      <c r="B699" s="150"/>
      <c r="C699" s="70" t="s">
        <v>1194</v>
      </c>
      <c r="D699" s="33" t="s">
        <v>1939</v>
      </c>
      <c r="E699" s="34" t="s">
        <v>911</v>
      </c>
      <c r="F699" s="35">
        <v>5126000</v>
      </c>
      <c r="G699" s="210">
        <v>0</v>
      </c>
      <c r="H699" s="210">
        <v>0</v>
      </c>
      <c r="I699" s="210">
        <v>5126000</v>
      </c>
      <c r="J699" s="210">
        <v>0</v>
      </c>
      <c r="K699" s="210">
        <v>0</v>
      </c>
      <c r="L699" s="210">
        <v>0</v>
      </c>
      <c r="M699" s="210">
        <v>0</v>
      </c>
      <c r="N699" s="210">
        <v>0</v>
      </c>
      <c r="O699" s="210">
        <v>0</v>
      </c>
      <c r="P699" s="242">
        <v>0.23740675222371063</v>
      </c>
    </row>
    <row r="700" spans="1:16" s="8" customFormat="1">
      <c r="A700" s="108"/>
      <c r="B700" s="150"/>
      <c r="C700" s="70" t="s">
        <v>1194</v>
      </c>
      <c r="D700" s="33" t="s">
        <v>1943</v>
      </c>
      <c r="E700" s="34" t="s">
        <v>763</v>
      </c>
      <c r="F700" s="35">
        <v>0</v>
      </c>
      <c r="G700" s="210">
        <v>0</v>
      </c>
      <c r="H700" s="210">
        <v>0</v>
      </c>
      <c r="I700" s="210">
        <v>0</v>
      </c>
      <c r="J700" s="210">
        <v>0</v>
      </c>
      <c r="K700" s="210">
        <v>0</v>
      </c>
      <c r="L700" s="210">
        <v>0</v>
      </c>
      <c r="M700" s="210">
        <v>0</v>
      </c>
      <c r="N700" s="210">
        <v>0</v>
      </c>
      <c r="O700" s="210">
        <v>0</v>
      </c>
      <c r="P700" s="242">
        <v>0.23740675222371063</v>
      </c>
    </row>
    <row r="701" spans="1:16" s="8" customFormat="1">
      <c r="A701" s="108"/>
      <c r="B701" s="150"/>
      <c r="C701" s="70" t="s">
        <v>1194</v>
      </c>
      <c r="D701" s="33" t="s">
        <v>1952</v>
      </c>
      <c r="E701" s="34" t="s">
        <v>916</v>
      </c>
      <c r="F701" s="35">
        <v>5180000</v>
      </c>
      <c r="G701" s="210">
        <v>0</v>
      </c>
      <c r="H701" s="210">
        <v>0</v>
      </c>
      <c r="I701" s="210">
        <v>5180000</v>
      </c>
      <c r="J701" s="210">
        <v>0</v>
      </c>
      <c r="K701" s="210">
        <v>0</v>
      </c>
      <c r="L701" s="210">
        <v>0</v>
      </c>
      <c r="M701" s="210">
        <v>0</v>
      </c>
      <c r="N701" s="210">
        <v>0</v>
      </c>
      <c r="O701" s="210">
        <v>0</v>
      </c>
      <c r="P701" s="242">
        <v>0.23740675222371063</v>
      </c>
    </row>
    <row r="702" spans="1:16" s="8" customFormat="1">
      <c r="A702" s="108"/>
      <c r="B702" s="150"/>
      <c r="C702" s="70" t="s">
        <v>1194</v>
      </c>
      <c r="D702" s="33" t="s">
        <v>1955</v>
      </c>
      <c r="E702" s="34" t="s">
        <v>919</v>
      </c>
      <c r="F702" s="35">
        <v>36168000</v>
      </c>
      <c r="G702" s="210">
        <v>0</v>
      </c>
      <c r="H702" s="210">
        <v>0</v>
      </c>
      <c r="I702" s="210">
        <v>36168000</v>
      </c>
      <c r="J702" s="210">
        <v>0</v>
      </c>
      <c r="K702" s="210">
        <v>34558965</v>
      </c>
      <c r="L702" s="210">
        <v>0</v>
      </c>
      <c r="M702" s="210">
        <v>34558965</v>
      </c>
      <c r="N702" s="210">
        <v>0</v>
      </c>
      <c r="O702" s="210">
        <v>34558965</v>
      </c>
      <c r="P702" s="242">
        <v>0.23740675222371063</v>
      </c>
    </row>
    <row r="703" spans="1:16" s="8" customFormat="1">
      <c r="A703" s="108"/>
      <c r="B703" s="150"/>
      <c r="C703" s="70" t="s">
        <v>1194</v>
      </c>
      <c r="D703" s="33" t="s">
        <v>1950</v>
      </c>
      <c r="E703" s="34" t="s">
        <v>809</v>
      </c>
      <c r="F703" s="35">
        <v>245249000</v>
      </c>
      <c r="G703" s="210">
        <v>0</v>
      </c>
      <c r="H703" s="210">
        <v>1000000000</v>
      </c>
      <c r="I703" s="210">
        <v>1245249000</v>
      </c>
      <c r="J703" s="210">
        <v>3643750</v>
      </c>
      <c r="K703" s="210">
        <v>25911873</v>
      </c>
      <c r="L703" s="210">
        <v>3643750</v>
      </c>
      <c r="M703" s="210">
        <v>25911873</v>
      </c>
      <c r="N703" s="210">
        <v>0</v>
      </c>
      <c r="O703" s="210">
        <v>0</v>
      </c>
      <c r="P703" s="242">
        <v>0.23740675222371063</v>
      </c>
    </row>
    <row r="704" spans="1:16" s="8" customFormat="1">
      <c r="A704" s="108"/>
      <c r="B704" s="150"/>
      <c r="C704" s="70" t="s">
        <v>1194</v>
      </c>
      <c r="D704" s="33" t="s">
        <v>1945</v>
      </c>
      <c r="E704" s="34" t="s">
        <v>781</v>
      </c>
      <c r="F704" s="35">
        <v>15677999.999999998</v>
      </c>
      <c r="G704" s="210">
        <v>0</v>
      </c>
      <c r="H704" s="210">
        <v>0</v>
      </c>
      <c r="I704" s="210">
        <v>15677999.999999998</v>
      </c>
      <c r="J704" s="210">
        <v>0</v>
      </c>
      <c r="K704" s="210">
        <v>9800000</v>
      </c>
      <c r="L704" s="210">
        <v>0</v>
      </c>
      <c r="M704" s="210">
        <v>9800000</v>
      </c>
      <c r="N704" s="210">
        <v>0</v>
      </c>
      <c r="O704" s="210">
        <v>9800000</v>
      </c>
      <c r="P704" s="242">
        <v>0.23740675222371063</v>
      </c>
    </row>
    <row r="705" spans="1:16" s="8" customFormat="1">
      <c r="A705" s="108"/>
      <c r="B705" s="150"/>
      <c r="C705" s="70" t="s">
        <v>1194</v>
      </c>
      <c r="D705" s="33" t="s">
        <v>1954</v>
      </c>
      <c r="E705" s="34" t="s">
        <v>1020</v>
      </c>
      <c r="F705" s="35">
        <v>6000000</v>
      </c>
      <c r="G705" s="210">
        <v>14400000</v>
      </c>
      <c r="H705" s="210">
        <v>14400000</v>
      </c>
      <c r="I705" s="210">
        <v>20400000</v>
      </c>
      <c r="J705" s="210">
        <v>0</v>
      </c>
      <c r="K705" s="210">
        <v>4569862</v>
      </c>
      <c r="L705" s="210">
        <v>0</v>
      </c>
      <c r="M705" s="210">
        <v>4569862</v>
      </c>
      <c r="N705" s="210">
        <v>0</v>
      </c>
      <c r="O705" s="210">
        <v>4569862</v>
      </c>
      <c r="P705" s="242">
        <v>0.23740675222371063</v>
      </c>
    </row>
    <row r="706" spans="1:16" s="8" customFormat="1">
      <c r="A706" s="108"/>
      <c r="B706" s="150"/>
      <c r="C706" s="70"/>
      <c r="D706" s="33" t="s">
        <v>1949</v>
      </c>
      <c r="E706" s="34" t="s">
        <v>1912</v>
      </c>
      <c r="F706" s="35">
        <v>0</v>
      </c>
      <c r="G706" s="210">
        <v>0</v>
      </c>
      <c r="H706" s="210">
        <v>800000</v>
      </c>
      <c r="I706" s="210">
        <v>800000</v>
      </c>
      <c r="J706" s="210">
        <v>0</v>
      </c>
      <c r="K706" s="210">
        <v>0</v>
      </c>
      <c r="L706" s="210">
        <v>0</v>
      </c>
      <c r="M706" s="210">
        <v>0</v>
      </c>
      <c r="N706" s="210">
        <v>0</v>
      </c>
      <c r="O706" s="210">
        <v>0</v>
      </c>
      <c r="P706" s="242">
        <v>0.23740675222371063</v>
      </c>
    </row>
    <row r="707" spans="1:16" s="2" customFormat="1">
      <c r="A707" s="174" t="s">
        <v>1196</v>
      </c>
      <c r="B707" s="157" t="s">
        <v>1531</v>
      </c>
      <c r="C707" s="158" t="s">
        <v>1197</v>
      </c>
      <c r="D707" s="41"/>
      <c r="E707" s="42" t="s">
        <v>1198</v>
      </c>
      <c r="F707" s="76">
        <f>+F708</f>
        <v>0</v>
      </c>
      <c r="G707" s="76">
        <f t="shared" ref="G707:O707" si="227">+G708</f>
        <v>0</v>
      </c>
      <c r="H707" s="76">
        <f t="shared" si="227"/>
        <v>0</v>
      </c>
      <c r="I707" s="76">
        <f t="shared" si="227"/>
        <v>0</v>
      </c>
      <c r="J707" s="76">
        <f t="shared" si="227"/>
        <v>0</v>
      </c>
      <c r="K707" s="76">
        <f t="shared" si="227"/>
        <v>0</v>
      </c>
      <c r="L707" s="76">
        <f t="shared" si="227"/>
        <v>0</v>
      </c>
      <c r="M707" s="76">
        <f t="shared" si="227"/>
        <v>0</v>
      </c>
      <c r="N707" s="76">
        <f t="shared" si="227"/>
        <v>0</v>
      </c>
      <c r="O707" s="76">
        <f t="shared" si="227"/>
        <v>0</v>
      </c>
      <c r="P707" s="247">
        <v>0.23740675222371063</v>
      </c>
    </row>
    <row r="708" spans="1:16" s="2" customFormat="1">
      <c r="A708" s="107" t="s">
        <v>1199</v>
      </c>
      <c r="B708" s="149" t="s">
        <v>1859</v>
      </c>
      <c r="C708" s="18" t="s">
        <v>1200</v>
      </c>
      <c r="D708" s="30"/>
      <c r="E708" s="17" t="s">
        <v>1198</v>
      </c>
      <c r="F708" s="203">
        <v>0</v>
      </c>
      <c r="G708" s="203">
        <v>0</v>
      </c>
      <c r="H708" s="203">
        <v>0</v>
      </c>
      <c r="I708" s="203">
        <v>0</v>
      </c>
      <c r="J708" s="203">
        <v>0</v>
      </c>
      <c r="K708" s="203">
        <v>0</v>
      </c>
      <c r="L708" s="203">
        <v>0</v>
      </c>
      <c r="M708" s="203">
        <v>0</v>
      </c>
      <c r="N708" s="203">
        <v>0</v>
      </c>
      <c r="O708" s="203">
        <v>0</v>
      </c>
      <c r="P708" s="237">
        <v>0.23740675222371063</v>
      </c>
    </row>
    <row r="709" spans="1:16" s="5" customFormat="1">
      <c r="A709" s="136" t="s">
        <v>1201</v>
      </c>
      <c r="B709" s="125"/>
      <c r="C709" s="126" t="s">
        <v>1202</v>
      </c>
      <c r="D709" s="29"/>
      <c r="E709" s="19" t="s">
        <v>1203</v>
      </c>
      <c r="F709" s="20">
        <f>+F710</f>
        <v>3834443000</v>
      </c>
      <c r="G709" s="20">
        <f t="shared" ref="G709:O709" si="228">+G710</f>
        <v>0</v>
      </c>
      <c r="H709" s="20">
        <f t="shared" si="228"/>
        <v>0</v>
      </c>
      <c r="I709" s="20">
        <f t="shared" si="228"/>
        <v>3834443000</v>
      </c>
      <c r="J709" s="20">
        <f t="shared" si="228"/>
        <v>0</v>
      </c>
      <c r="K709" s="20">
        <f t="shared" si="228"/>
        <v>3834429319</v>
      </c>
      <c r="L709" s="20">
        <f t="shared" si="228"/>
        <v>247523519</v>
      </c>
      <c r="M709" s="20">
        <f t="shared" si="228"/>
        <v>2003781077</v>
      </c>
      <c r="N709" s="20">
        <f t="shared" si="228"/>
        <v>247386239</v>
      </c>
      <c r="O709" s="20">
        <f t="shared" si="228"/>
        <v>1973177347</v>
      </c>
      <c r="P709" s="243">
        <v>0.23740675222371063</v>
      </c>
    </row>
    <row r="710" spans="1:16" s="7" customFormat="1">
      <c r="A710" s="134" t="s">
        <v>1204</v>
      </c>
      <c r="B710" s="123" t="s">
        <v>1860</v>
      </c>
      <c r="C710" s="124" t="s">
        <v>1205</v>
      </c>
      <c r="D710" s="67"/>
      <c r="E710" s="25" t="s">
        <v>1206</v>
      </c>
      <c r="F710" s="68">
        <f>+F711+F713+F715</f>
        <v>3834443000</v>
      </c>
      <c r="G710" s="68">
        <f t="shared" ref="G710:O710" si="229">+G711+G713+G715</f>
        <v>0</v>
      </c>
      <c r="H710" s="68">
        <f t="shared" si="229"/>
        <v>0</v>
      </c>
      <c r="I710" s="68">
        <f t="shared" si="229"/>
        <v>3834443000</v>
      </c>
      <c r="J710" s="68">
        <f t="shared" si="229"/>
        <v>0</v>
      </c>
      <c r="K710" s="68">
        <f t="shared" si="229"/>
        <v>3834429319</v>
      </c>
      <c r="L710" s="68">
        <f t="shared" si="229"/>
        <v>247523519</v>
      </c>
      <c r="M710" s="68">
        <f t="shared" si="229"/>
        <v>2003781077</v>
      </c>
      <c r="N710" s="68">
        <f t="shared" si="229"/>
        <v>247386239</v>
      </c>
      <c r="O710" s="68">
        <f t="shared" si="229"/>
        <v>1973177347</v>
      </c>
      <c r="P710" s="229">
        <v>0.23740675222371063</v>
      </c>
    </row>
    <row r="711" spans="1:16" s="8" customFormat="1">
      <c r="A711" s="107" t="s">
        <v>1207</v>
      </c>
      <c r="B711" s="149" t="s">
        <v>1861</v>
      </c>
      <c r="C711" s="18" t="s">
        <v>1208</v>
      </c>
      <c r="D711" s="30"/>
      <c r="E711" s="17" t="s">
        <v>1209</v>
      </c>
      <c r="F711" s="203">
        <f>+F712</f>
        <v>3457425000</v>
      </c>
      <c r="G711" s="203">
        <f t="shared" ref="G711:O711" si="230">+G712</f>
        <v>0</v>
      </c>
      <c r="H711" s="203">
        <f t="shared" si="230"/>
        <v>0</v>
      </c>
      <c r="I711" s="203">
        <f t="shared" si="230"/>
        <v>3457425000</v>
      </c>
      <c r="J711" s="203">
        <f t="shared" si="230"/>
        <v>0</v>
      </c>
      <c r="K711" s="203">
        <f t="shared" si="230"/>
        <v>3457425000</v>
      </c>
      <c r="L711" s="203">
        <f t="shared" si="230"/>
        <v>224637230</v>
      </c>
      <c r="M711" s="203">
        <f t="shared" si="230"/>
        <v>1742028459</v>
      </c>
      <c r="N711" s="203">
        <f t="shared" si="230"/>
        <v>224637230</v>
      </c>
      <c r="O711" s="203">
        <f t="shared" si="230"/>
        <v>1711583149</v>
      </c>
      <c r="P711" s="237">
        <v>0.23740675222371063</v>
      </c>
    </row>
    <row r="712" spans="1:16" s="7" customFormat="1">
      <c r="A712" s="108"/>
      <c r="B712" s="150"/>
      <c r="C712" s="70" t="s">
        <v>1208</v>
      </c>
      <c r="D712" s="33" t="s">
        <v>1909</v>
      </c>
      <c r="E712" s="34" t="s">
        <v>819</v>
      </c>
      <c r="F712" s="210">
        <v>3457425000</v>
      </c>
      <c r="G712" s="210">
        <v>0</v>
      </c>
      <c r="H712" s="210">
        <v>0</v>
      </c>
      <c r="I712" s="210">
        <v>3457425000</v>
      </c>
      <c r="J712" s="210">
        <v>0</v>
      </c>
      <c r="K712" s="210">
        <v>3457425000</v>
      </c>
      <c r="L712" s="210">
        <v>224637230</v>
      </c>
      <c r="M712" s="210">
        <v>1742028459</v>
      </c>
      <c r="N712" s="210">
        <v>224637230</v>
      </c>
      <c r="O712" s="210">
        <v>1711583149</v>
      </c>
      <c r="P712" s="242">
        <v>0.23740675222371063</v>
      </c>
    </row>
    <row r="713" spans="1:16" s="8" customFormat="1">
      <c r="A713" s="107" t="s">
        <v>1210</v>
      </c>
      <c r="B713" s="149" t="s">
        <v>1862</v>
      </c>
      <c r="C713" s="18" t="s">
        <v>1211</v>
      </c>
      <c r="D713" s="30"/>
      <c r="E713" s="17" t="s">
        <v>1212</v>
      </c>
      <c r="F713" s="203">
        <f>+F714</f>
        <v>15866000</v>
      </c>
      <c r="G713" s="203">
        <f t="shared" ref="G713:O713" si="231">+G714</f>
        <v>0</v>
      </c>
      <c r="H713" s="203">
        <f t="shared" si="231"/>
        <v>0</v>
      </c>
      <c r="I713" s="203">
        <f t="shared" si="231"/>
        <v>15866000</v>
      </c>
      <c r="J713" s="203">
        <f t="shared" si="231"/>
        <v>0</v>
      </c>
      <c r="K713" s="203">
        <f t="shared" si="231"/>
        <v>15852319</v>
      </c>
      <c r="L713" s="203">
        <f t="shared" si="231"/>
        <v>228860</v>
      </c>
      <c r="M713" s="203">
        <f t="shared" si="231"/>
        <v>3967741</v>
      </c>
      <c r="N713" s="203">
        <f t="shared" si="231"/>
        <v>91580</v>
      </c>
      <c r="O713" s="203">
        <f t="shared" si="231"/>
        <v>3809321</v>
      </c>
      <c r="P713" s="237">
        <v>0.23740675222371063</v>
      </c>
    </row>
    <row r="714" spans="1:16" s="7" customFormat="1">
      <c r="A714" s="108"/>
      <c r="B714" s="150"/>
      <c r="C714" s="70" t="s">
        <v>1211</v>
      </c>
      <c r="D714" s="33" t="s">
        <v>1909</v>
      </c>
      <c r="E714" s="34" t="s">
        <v>819</v>
      </c>
      <c r="F714" s="210">
        <v>15866000</v>
      </c>
      <c r="G714" s="210">
        <v>0</v>
      </c>
      <c r="H714" s="210">
        <v>0</v>
      </c>
      <c r="I714" s="210">
        <v>15866000</v>
      </c>
      <c r="J714" s="210">
        <v>0</v>
      </c>
      <c r="K714" s="210">
        <v>15852319</v>
      </c>
      <c r="L714" s="210">
        <v>228860</v>
      </c>
      <c r="M714" s="210">
        <v>3967741</v>
      </c>
      <c r="N714" s="210">
        <v>91580</v>
      </c>
      <c r="O714" s="210">
        <v>3809321</v>
      </c>
      <c r="P714" s="242">
        <v>0.23740675222371063</v>
      </c>
    </row>
    <row r="715" spans="1:16" s="8" customFormat="1">
      <c r="A715" s="107" t="s">
        <v>1213</v>
      </c>
      <c r="B715" s="149" t="s">
        <v>1863</v>
      </c>
      <c r="C715" s="18" t="s">
        <v>1214</v>
      </c>
      <c r="D715" s="30"/>
      <c r="E715" s="17" t="s">
        <v>1215</v>
      </c>
      <c r="F715" s="203">
        <f>+F716</f>
        <v>361152000</v>
      </c>
      <c r="G715" s="203">
        <f t="shared" ref="G715:O715" si="232">+G716</f>
        <v>0</v>
      </c>
      <c r="H715" s="203">
        <f t="shared" si="232"/>
        <v>0</v>
      </c>
      <c r="I715" s="203">
        <f t="shared" si="232"/>
        <v>361152000</v>
      </c>
      <c r="J715" s="203">
        <f t="shared" si="232"/>
        <v>0</v>
      </c>
      <c r="K715" s="203">
        <f t="shared" si="232"/>
        <v>361152000</v>
      </c>
      <c r="L715" s="203">
        <f t="shared" si="232"/>
        <v>22657429</v>
      </c>
      <c r="M715" s="203">
        <f t="shared" si="232"/>
        <v>257784877</v>
      </c>
      <c r="N715" s="203">
        <f t="shared" si="232"/>
        <v>22657429</v>
      </c>
      <c r="O715" s="203">
        <f t="shared" si="232"/>
        <v>257784877</v>
      </c>
      <c r="P715" s="237">
        <v>0.23740675222371063</v>
      </c>
    </row>
    <row r="716" spans="1:16" s="2" customFormat="1">
      <c r="A716" s="108"/>
      <c r="B716" s="150"/>
      <c r="C716" s="70" t="s">
        <v>1214</v>
      </c>
      <c r="D716" s="33" t="s">
        <v>1909</v>
      </c>
      <c r="E716" s="34" t="s">
        <v>819</v>
      </c>
      <c r="F716" s="210">
        <v>361152000</v>
      </c>
      <c r="G716" s="210">
        <v>0</v>
      </c>
      <c r="H716" s="210">
        <v>0</v>
      </c>
      <c r="I716" s="210">
        <v>361152000</v>
      </c>
      <c r="J716" s="210">
        <v>0</v>
      </c>
      <c r="K716" s="210">
        <v>361152000</v>
      </c>
      <c r="L716" s="210">
        <v>22657429</v>
      </c>
      <c r="M716" s="210">
        <v>257784877</v>
      </c>
      <c r="N716" s="210">
        <v>22657429</v>
      </c>
      <c r="O716" s="210">
        <v>257784877</v>
      </c>
      <c r="P716" s="242">
        <v>0.23740675222371063</v>
      </c>
    </row>
    <row r="717" spans="1:16" s="5" customFormat="1">
      <c r="A717" s="136" t="s">
        <v>1216</v>
      </c>
      <c r="B717" s="125" t="s">
        <v>1864</v>
      </c>
      <c r="C717" s="126" t="s">
        <v>1217</v>
      </c>
      <c r="D717" s="29"/>
      <c r="E717" s="19" t="s">
        <v>1218</v>
      </c>
      <c r="F717" s="20">
        <f>+F718+F724+F729+F732</f>
        <v>1491265000</v>
      </c>
      <c r="G717" s="20">
        <f t="shared" ref="G717:O717" si="233">+G718+G724+G729+G732</f>
        <v>0</v>
      </c>
      <c r="H717" s="20">
        <f t="shared" si="233"/>
        <v>73693248</v>
      </c>
      <c r="I717" s="20">
        <f t="shared" si="233"/>
        <v>1564958248</v>
      </c>
      <c r="J717" s="20">
        <f t="shared" si="233"/>
        <v>-1239</v>
      </c>
      <c r="K717" s="20">
        <f t="shared" si="233"/>
        <v>405066983</v>
      </c>
      <c r="L717" s="20">
        <f t="shared" si="233"/>
        <v>141996797</v>
      </c>
      <c r="M717" s="20">
        <f t="shared" si="233"/>
        <v>225964341</v>
      </c>
      <c r="N717" s="20">
        <f t="shared" si="233"/>
        <v>0</v>
      </c>
      <c r="O717" s="20">
        <f t="shared" si="233"/>
        <v>53967544</v>
      </c>
      <c r="P717" s="243">
        <v>0.23740675222371063</v>
      </c>
    </row>
    <row r="718" spans="1:16" s="8" customFormat="1">
      <c r="A718" s="134" t="s">
        <v>1219</v>
      </c>
      <c r="B718" s="123" t="s">
        <v>1531</v>
      </c>
      <c r="C718" s="124" t="s">
        <v>1220</v>
      </c>
      <c r="D718" s="67"/>
      <c r="E718" s="25" t="s">
        <v>1221</v>
      </c>
      <c r="F718" s="68">
        <f>+F719+F721</f>
        <v>326236000</v>
      </c>
      <c r="G718" s="68">
        <f t="shared" ref="G718:O718" si="234">+G719+G721</f>
        <v>0</v>
      </c>
      <c r="H718" s="68">
        <f t="shared" si="234"/>
        <v>53586544</v>
      </c>
      <c r="I718" s="68">
        <f t="shared" si="234"/>
        <v>379822544</v>
      </c>
      <c r="J718" s="68">
        <f t="shared" si="234"/>
        <v>0</v>
      </c>
      <c r="K718" s="68">
        <f t="shared" si="234"/>
        <v>131960482</v>
      </c>
      <c r="L718" s="68">
        <f t="shared" si="234"/>
        <v>0</v>
      </c>
      <c r="M718" s="68">
        <f t="shared" si="234"/>
        <v>53967544</v>
      </c>
      <c r="N718" s="68">
        <f t="shared" si="234"/>
        <v>0</v>
      </c>
      <c r="O718" s="68">
        <f t="shared" si="234"/>
        <v>53967544</v>
      </c>
      <c r="P718" s="229">
        <v>0.23740675222371063</v>
      </c>
    </row>
    <row r="719" spans="1:16" s="8" customFormat="1">
      <c r="A719" s="107" t="s">
        <v>1222</v>
      </c>
      <c r="B719" s="149" t="s">
        <v>1537</v>
      </c>
      <c r="C719" s="18" t="s">
        <v>1223</v>
      </c>
      <c r="D719" s="30"/>
      <c r="E719" s="17" t="s">
        <v>1224</v>
      </c>
      <c r="F719" s="203">
        <f>+F720</f>
        <v>78291000</v>
      </c>
      <c r="G719" s="203">
        <f t="shared" ref="G719:O719" si="235">+G720</f>
        <v>0</v>
      </c>
      <c r="H719" s="203">
        <f t="shared" si="235"/>
        <v>0</v>
      </c>
      <c r="I719" s="203">
        <f t="shared" si="235"/>
        <v>78291000</v>
      </c>
      <c r="J719" s="203">
        <f t="shared" si="235"/>
        <v>0</v>
      </c>
      <c r="K719" s="203">
        <f t="shared" si="235"/>
        <v>77992938</v>
      </c>
      <c r="L719" s="203">
        <f t="shared" si="235"/>
        <v>0</v>
      </c>
      <c r="M719" s="203">
        <f t="shared" si="235"/>
        <v>0</v>
      </c>
      <c r="N719" s="203">
        <f t="shared" si="235"/>
        <v>0</v>
      </c>
      <c r="O719" s="203">
        <f t="shared" si="235"/>
        <v>0</v>
      </c>
      <c r="P719" s="237">
        <v>0.23740675222371063</v>
      </c>
    </row>
    <row r="720" spans="1:16" s="5" customFormat="1">
      <c r="A720" s="108"/>
      <c r="B720" s="150"/>
      <c r="C720" s="70" t="s">
        <v>1223</v>
      </c>
      <c r="D720" s="33" t="s">
        <v>1909</v>
      </c>
      <c r="E720" s="34" t="s">
        <v>819</v>
      </c>
      <c r="F720" s="210">
        <v>78291000</v>
      </c>
      <c r="G720" s="210">
        <v>0</v>
      </c>
      <c r="H720" s="210">
        <v>0</v>
      </c>
      <c r="I720" s="210">
        <v>78291000</v>
      </c>
      <c r="J720" s="210">
        <v>0</v>
      </c>
      <c r="K720" s="210">
        <v>77992938</v>
      </c>
      <c r="L720" s="210">
        <v>0</v>
      </c>
      <c r="M720" s="210">
        <v>0</v>
      </c>
      <c r="N720" s="210">
        <v>0</v>
      </c>
      <c r="O720" s="210">
        <v>0</v>
      </c>
      <c r="P720" s="242">
        <v>0.23740675222371063</v>
      </c>
    </row>
    <row r="721" spans="1:16" s="8" customFormat="1">
      <c r="A721" s="107" t="s">
        <v>1225</v>
      </c>
      <c r="B721" s="149" t="s">
        <v>1865</v>
      </c>
      <c r="C721" s="18" t="s">
        <v>1226</v>
      </c>
      <c r="D721" s="30"/>
      <c r="E721" s="17" t="s">
        <v>1227</v>
      </c>
      <c r="F721" s="16">
        <f>SUM(F722:F723)</f>
        <v>247945000</v>
      </c>
      <c r="G721" s="203">
        <f t="shared" ref="G721:O721" si="236">SUM(G722:G723)</f>
        <v>0</v>
      </c>
      <c r="H721" s="203">
        <f t="shared" si="236"/>
        <v>53586544</v>
      </c>
      <c r="I721" s="203">
        <f t="shared" si="236"/>
        <v>301531544</v>
      </c>
      <c r="J721" s="203">
        <f t="shared" si="236"/>
        <v>0</v>
      </c>
      <c r="K721" s="203">
        <f t="shared" si="236"/>
        <v>53967544</v>
      </c>
      <c r="L721" s="203">
        <f t="shared" si="236"/>
        <v>0</v>
      </c>
      <c r="M721" s="203">
        <f t="shared" si="236"/>
        <v>53967544</v>
      </c>
      <c r="N721" s="203">
        <f t="shared" si="236"/>
        <v>0</v>
      </c>
      <c r="O721" s="203">
        <f t="shared" si="236"/>
        <v>53967544</v>
      </c>
      <c r="P721" s="237">
        <v>0.23740675222371063</v>
      </c>
    </row>
    <row r="722" spans="1:16" s="8" customFormat="1">
      <c r="A722" s="108"/>
      <c r="B722" s="150"/>
      <c r="C722" s="70" t="s">
        <v>1226</v>
      </c>
      <c r="D722" s="33" t="s">
        <v>1909</v>
      </c>
      <c r="E722" s="34" t="s">
        <v>819</v>
      </c>
      <c r="F722" s="35">
        <v>3819000</v>
      </c>
      <c r="G722" s="210">
        <v>0</v>
      </c>
      <c r="H722" s="210">
        <v>-381000</v>
      </c>
      <c r="I722" s="210">
        <v>3438000</v>
      </c>
      <c r="J722" s="210">
        <v>0</v>
      </c>
      <c r="K722" s="210">
        <v>0</v>
      </c>
      <c r="L722" s="210">
        <v>0</v>
      </c>
      <c r="M722" s="210">
        <v>0</v>
      </c>
      <c r="N722" s="210">
        <v>0</v>
      </c>
      <c r="O722" s="210">
        <v>0</v>
      </c>
      <c r="P722" s="242">
        <v>0.23740675222371063</v>
      </c>
    </row>
    <row r="723" spans="1:16" s="5" customFormat="1">
      <c r="A723" s="108"/>
      <c r="B723" s="150"/>
      <c r="C723" s="70" t="s">
        <v>1226</v>
      </c>
      <c r="D723" s="33" t="s">
        <v>1944</v>
      </c>
      <c r="E723" s="34" t="s">
        <v>780</v>
      </c>
      <c r="F723" s="35">
        <v>244126000</v>
      </c>
      <c r="G723" s="210">
        <v>0</v>
      </c>
      <c r="H723" s="210">
        <v>53967544</v>
      </c>
      <c r="I723" s="210">
        <v>298093544</v>
      </c>
      <c r="J723" s="210">
        <v>0</v>
      </c>
      <c r="K723" s="210">
        <v>53967544</v>
      </c>
      <c r="L723" s="210">
        <v>0</v>
      </c>
      <c r="M723" s="210">
        <v>53967544</v>
      </c>
      <c r="N723" s="210">
        <v>0</v>
      </c>
      <c r="O723" s="210">
        <v>53967544</v>
      </c>
      <c r="P723" s="242">
        <v>0.23740675222371063</v>
      </c>
    </row>
    <row r="724" spans="1:16" s="5" customFormat="1">
      <c r="A724" s="134" t="s">
        <v>1228</v>
      </c>
      <c r="B724" s="123" t="s">
        <v>1531</v>
      </c>
      <c r="C724" s="124" t="s">
        <v>1229</v>
      </c>
      <c r="D724" s="67"/>
      <c r="E724" s="25" t="s">
        <v>1230</v>
      </c>
      <c r="F724" s="68">
        <f>+F725</f>
        <v>548780000</v>
      </c>
      <c r="G724" s="68">
        <f t="shared" ref="G724:O724" si="237">+G725</f>
        <v>0</v>
      </c>
      <c r="H724" s="68">
        <f t="shared" si="237"/>
        <v>0</v>
      </c>
      <c r="I724" s="68">
        <f t="shared" si="237"/>
        <v>548780000</v>
      </c>
      <c r="J724" s="68">
        <f t="shared" si="237"/>
        <v>0</v>
      </c>
      <c r="K724" s="68">
        <f t="shared" si="237"/>
        <v>57489036</v>
      </c>
      <c r="L724" s="68">
        <f t="shared" si="237"/>
        <v>57489036</v>
      </c>
      <c r="M724" s="68">
        <f t="shared" si="237"/>
        <v>57489036</v>
      </c>
      <c r="N724" s="68">
        <f t="shared" si="237"/>
        <v>0</v>
      </c>
      <c r="O724" s="68">
        <f t="shared" si="237"/>
        <v>0</v>
      </c>
      <c r="P724" s="229">
        <v>0.23740675222371063</v>
      </c>
    </row>
    <row r="725" spans="1:16" s="8" customFormat="1">
      <c r="A725" s="107" t="s">
        <v>1231</v>
      </c>
      <c r="B725" s="149" t="s">
        <v>1866</v>
      </c>
      <c r="C725" s="18" t="s">
        <v>1232</v>
      </c>
      <c r="D725" s="30"/>
      <c r="E725" s="17" t="s">
        <v>1230</v>
      </c>
      <c r="F725" s="203">
        <f>SUM(F726:F728)</f>
        <v>548780000</v>
      </c>
      <c r="G725" s="203">
        <f t="shared" ref="G725:O725" si="238">SUM(G726:G728)</f>
        <v>0</v>
      </c>
      <c r="H725" s="203">
        <f t="shared" si="238"/>
        <v>0</v>
      </c>
      <c r="I725" s="203">
        <f t="shared" si="238"/>
        <v>548780000</v>
      </c>
      <c r="J725" s="203">
        <f t="shared" si="238"/>
        <v>0</v>
      </c>
      <c r="K725" s="203">
        <f t="shared" si="238"/>
        <v>57489036</v>
      </c>
      <c r="L725" s="203">
        <f t="shared" si="238"/>
        <v>57489036</v>
      </c>
      <c r="M725" s="203">
        <f t="shared" si="238"/>
        <v>57489036</v>
      </c>
      <c r="N725" s="203">
        <f t="shared" si="238"/>
        <v>0</v>
      </c>
      <c r="O725" s="203">
        <f t="shared" si="238"/>
        <v>0</v>
      </c>
      <c r="P725" s="237">
        <v>0.23740675222371063</v>
      </c>
    </row>
    <row r="726" spans="1:16" s="8" customFormat="1">
      <c r="A726" s="108"/>
      <c r="B726" s="150"/>
      <c r="C726" s="70" t="s">
        <v>1232</v>
      </c>
      <c r="D726" s="33" t="s">
        <v>1909</v>
      </c>
      <c r="E726" s="34" t="s">
        <v>819</v>
      </c>
      <c r="F726" s="35">
        <v>95472000</v>
      </c>
      <c r="G726" s="210">
        <v>0</v>
      </c>
      <c r="H726" s="210">
        <v>0</v>
      </c>
      <c r="I726" s="210">
        <v>95472000</v>
      </c>
      <c r="J726" s="210">
        <v>0</v>
      </c>
      <c r="K726" s="210">
        <v>0</v>
      </c>
      <c r="L726" s="210">
        <v>0</v>
      </c>
      <c r="M726" s="210">
        <v>0</v>
      </c>
      <c r="N726" s="210">
        <v>0</v>
      </c>
      <c r="O726" s="210">
        <v>0</v>
      </c>
      <c r="P726" s="242">
        <v>0.23740675222371063</v>
      </c>
    </row>
    <row r="727" spans="1:16" s="8" customFormat="1">
      <c r="A727" s="108"/>
      <c r="B727" s="150"/>
      <c r="C727" s="70" t="s">
        <v>1232</v>
      </c>
      <c r="D727" s="33" t="s">
        <v>1944</v>
      </c>
      <c r="E727" s="34" t="s">
        <v>780</v>
      </c>
      <c r="F727" s="35">
        <v>353850000</v>
      </c>
      <c r="G727" s="210">
        <v>0</v>
      </c>
      <c r="H727" s="210">
        <v>0</v>
      </c>
      <c r="I727" s="210">
        <v>353850000</v>
      </c>
      <c r="J727" s="210">
        <v>0</v>
      </c>
      <c r="K727" s="210">
        <v>0</v>
      </c>
      <c r="L727" s="210">
        <v>0</v>
      </c>
      <c r="M727" s="210">
        <v>0</v>
      </c>
      <c r="N727" s="210">
        <v>0</v>
      </c>
      <c r="O727" s="210">
        <v>0</v>
      </c>
      <c r="P727" s="242">
        <v>0.23740675222371063</v>
      </c>
    </row>
    <row r="728" spans="1:16" s="5" customFormat="1">
      <c r="A728" s="108"/>
      <c r="B728" s="150"/>
      <c r="C728" s="70" t="s">
        <v>1232</v>
      </c>
      <c r="D728" s="33" t="s">
        <v>1950</v>
      </c>
      <c r="E728" s="34" t="s">
        <v>1233</v>
      </c>
      <c r="F728" s="35">
        <v>99458000</v>
      </c>
      <c r="G728" s="210">
        <v>0</v>
      </c>
      <c r="H728" s="210">
        <v>0</v>
      </c>
      <c r="I728" s="210">
        <v>99458000</v>
      </c>
      <c r="J728" s="210">
        <v>0</v>
      </c>
      <c r="K728" s="210">
        <v>57489036</v>
      </c>
      <c r="L728" s="210">
        <v>57489036</v>
      </c>
      <c r="M728" s="210">
        <v>57489036</v>
      </c>
      <c r="N728" s="210">
        <v>0</v>
      </c>
      <c r="O728" s="210">
        <v>0</v>
      </c>
      <c r="P728" s="242">
        <v>0.23740675222371063</v>
      </c>
    </row>
    <row r="729" spans="1:16" s="7" customFormat="1">
      <c r="A729" s="134" t="s">
        <v>1234</v>
      </c>
      <c r="B729" s="123" t="s">
        <v>1531</v>
      </c>
      <c r="C729" s="124" t="s">
        <v>1235</v>
      </c>
      <c r="D729" s="67"/>
      <c r="E729" s="25" t="s">
        <v>1236</v>
      </c>
      <c r="F729" s="68">
        <f>+F730</f>
        <v>81003000</v>
      </c>
      <c r="G729" s="68">
        <f t="shared" ref="G729:O730" si="239">+G730</f>
        <v>0</v>
      </c>
      <c r="H729" s="68">
        <f t="shared" si="239"/>
        <v>20106704</v>
      </c>
      <c r="I729" s="68">
        <f t="shared" si="239"/>
        <v>101109704</v>
      </c>
      <c r="J729" s="68">
        <f t="shared" si="239"/>
        <v>0</v>
      </c>
      <c r="K729" s="68">
        <f t="shared" si="239"/>
        <v>101109704</v>
      </c>
      <c r="L729" s="68">
        <f t="shared" si="239"/>
        <v>0</v>
      </c>
      <c r="M729" s="68">
        <f t="shared" si="239"/>
        <v>0</v>
      </c>
      <c r="N729" s="68">
        <f t="shared" si="239"/>
        <v>0</v>
      </c>
      <c r="O729" s="68">
        <f t="shared" si="239"/>
        <v>0</v>
      </c>
      <c r="P729" s="229">
        <v>0.23740675222371063</v>
      </c>
    </row>
    <row r="730" spans="1:16" s="8" customFormat="1">
      <c r="A730" s="107" t="s">
        <v>1237</v>
      </c>
      <c r="B730" s="149" t="s">
        <v>1867</v>
      </c>
      <c r="C730" s="18" t="s">
        <v>1238</v>
      </c>
      <c r="D730" s="30"/>
      <c r="E730" s="17" t="s">
        <v>1239</v>
      </c>
      <c r="F730" s="203">
        <f>+F731</f>
        <v>81003000</v>
      </c>
      <c r="G730" s="203">
        <f t="shared" si="239"/>
        <v>0</v>
      </c>
      <c r="H730" s="203">
        <f t="shared" si="239"/>
        <v>20106704</v>
      </c>
      <c r="I730" s="203">
        <f t="shared" si="239"/>
        <v>101109704</v>
      </c>
      <c r="J730" s="203">
        <f t="shared" si="239"/>
        <v>0</v>
      </c>
      <c r="K730" s="203">
        <f t="shared" si="239"/>
        <v>101109704</v>
      </c>
      <c r="L730" s="203">
        <f t="shared" si="239"/>
        <v>0</v>
      </c>
      <c r="M730" s="203">
        <f t="shared" si="239"/>
        <v>0</v>
      </c>
      <c r="N730" s="203">
        <f t="shared" si="239"/>
        <v>0</v>
      </c>
      <c r="O730" s="203">
        <f t="shared" si="239"/>
        <v>0</v>
      </c>
      <c r="P730" s="237">
        <v>0.23740675222371063</v>
      </c>
    </row>
    <row r="731" spans="1:16" s="5" customFormat="1">
      <c r="A731" s="108"/>
      <c r="B731" s="150"/>
      <c r="C731" s="70" t="s">
        <v>1238</v>
      </c>
      <c r="D731" s="33" t="s">
        <v>1909</v>
      </c>
      <c r="E731" s="34" t="s">
        <v>819</v>
      </c>
      <c r="F731" s="35">
        <v>81003000</v>
      </c>
      <c r="G731" s="210">
        <v>0</v>
      </c>
      <c r="H731" s="210">
        <v>20106704</v>
      </c>
      <c r="I731" s="210">
        <v>101109704</v>
      </c>
      <c r="J731" s="210">
        <v>0</v>
      </c>
      <c r="K731" s="210">
        <v>101109704</v>
      </c>
      <c r="L731" s="210">
        <v>0</v>
      </c>
      <c r="M731" s="210">
        <v>0</v>
      </c>
      <c r="N731" s="210">
        <v>0</v>
      </c>
      <c r="O731" s="210">
        <v>0</v>
      </c>
      <c r="P731" s="242">
        <v>0.23740675222371063</v>
      </c>
    </row>
    <row r="732" spans="1:16" s="7" customFormat="1">
      <c r="A732" s="134" t="s">
        <v>1240</v>
      </c>
      <c r="B732" s="123" t="s">
        <v>1531</v>
      </c>
      <c r="C732" s="124" t="s">
        <v>1241</v>
      </c>
      <c r="D732" s="67"/>
      <c r="E732" s="25" t="s">
        <v>1242</v>
      </c>
      <c r="F732" s="68">
        <f>+F733+F735+F737+F738+F739+F741+F743+F745+F746+F748+F750</f>
        <v>535246000</v>
      </c>
      <c r="G732" s="68">
        <f t="shared" ref="G732:O732" si="240">+G733+G735+G737+G738+G739+G741+G743+G745+G746+G748+G750</f>
        <v>0</v>
      </c>
      <c r="H732" s="68">
        <f t="shared" si="240"/>
        <v>0</v>
      </c>
      <c r="I732" s="68">
        <f t="shared" si="240"/>
        <v>535246000</v>
      </c>
      <c r="J732" s="68">
        <f t="shared" si="240"/>
        <v>-1239</v>
      </c>
      <c r="K732" s="68">
        <f t="shared" si="240"/>
        <v>114507761</v>
      </c>
      <c r="L732" s="68">
        <f t="shared" si="240"/>
        <v>84507761</v>
      </c>
      <c r="M732" s="68">
        <f t="shared" si="240"/>
        <v>114507761</v>
      </c>
      <c r="N732" s="68">
        <f t="shared" si="240"/>
        <v>0</v>
      </c>
      <c r="O732" s="68">
        <f t="shared" si="240"/>
        <v>0</v>
      </c>
      <c r="P732" s="229">
        <v>0.23740675222371063</v>
      </c>
    </row>
    <row r="733" spans="1:16" s="8" customFormat="1">
      <c r="A733" s="107" t="s">
        <v>1243</v>
      </c>
      <c r="B733" s="149" t="s">
        <v>1531</v>
      </c>
      <c r="C733" s="18" t="s">
        <v>1244</v>
      </c>
      <c r="D733" s="30"/>
      <c r="E733" s="219" t="s">
        <v>1245</v>
      </c>
      <c r="F733" s="16">
        <f>+F734</f>
        <v>0</v>
      </c>
      <c r="G733" s="203">
        <f t="shared" ref="G733:O733" si="241">+G734</f>
        <v>0</v>
      </c>
      <c r="H733" s="203">
        <f t="shared" si="241"/>
        <v>0</v>
      </c>
      <c r="I733" s="203">
        <f t="shared" si="241"/>
        <v>0</v>
      </c>
      <c r="J733" s="203">
        <f t="shared" si="241"/>
        <v>0</v>
      </c>
      <c r="K733" s="203">
        <f t="shared" si="241"/>
        <v>0</v>
      </c>
      <c r="L733" s="203">
        <f t="shared" si="241"/>
        <v>0</v>
      </c>
      <c r="M733" s="203">
        <f t="shared" si="241"/>
        <v>0</v>
      </c>
      <c r="N733" s="203">
        <f t="shared" si="241"/>
        <v>0</v>
      </c>
      <c r="O733" s="203">
        <f t="shared" si="241"/>
        <v>0</v>
      </c>
      <c r="P733" s="237">
        <v>0.23740675222371063</v>
      </c>
    </row>
    <row r="734" spans="1:16" s="8" customFormat="1">
      <c r="A734" s="108"/>
      <c r="B734" s="150"/>
      <c r="C734" s="70" t="s">
        <v>1244</v>
      </c>
      <c r="D734" s="33" t="s">
        <v>1909</v>
      </c>
      <c r="E734" s="34" t="s">
        <v>819</v>
      </c>
      <c r="F734" s="35"/>
      <c r="G734" s="210">
        <v>0</v>
      </c>
      <c r="H734" s="210">
        <v>0</v>
      </c>
      <c r="I734" s="210">
        <v>0</v>
      </c>
      <c r="J734" s="210">
        <v>0</v>
      </c>
      <c r="K734" s="210">
        <v>0</v>
      </c>
      <c r="L734" s="210">
        <v>0</v>
      </c>
      <c r="M734" s="210">
        <v>0</v>
      </c>
      <c r="N734" s="210">
        <v>0</v>
      </c>
      <c r="O734" s="210">
        <v>0</v>
      </c>
      <c r="P734" s="242">
        <v>0.23740675222371063</v>
      </c>
    </row>
    <row r="735" spans="1:16" s="8" customFormat="1">
      <c r="A735" s="107" t="s">
        <v>1246</v>
      </c>
      <c r="B735" s="149" t="s">
        <v>1868</v>
      </c>
      <c r="C735" s="18" t="s">
        <v>1247</v>
      </c>
      <c r="D735" s="30"/>
      <c r="E735" s="17" t="s">
        <v>1248</v>
      </c>
      <c r="F735" s="16">
        <f>+F736</f>
        <v>110509000</v>
      </c>
      <c r="G735" s="203">
        <f t="shared" ref="G735:O735" si="242">+G736</f>
        <v>0</v>
      </c>
      <c r="H735" s="203">
        <f t="shared" si="242"/>
        <v>0</v>
      </c>
      <c r="I735" s="203">
        <f t="shared" si="242"/>
        <v>110509000</v>
      </c>
      <c r="J735" s="203">
        <f t="shared" si="242"/>
        <v>0</v>
      </c>
      <c r="K735" s="203">
        <f t="shared" si="242"/>
        <v>0</v>
      </c>
      <c r="L735" s="203">
        <f t="shared" si="242"/>
        <v>0</v>
      </c>
      <c r="M735" s="203">
        <f t="shared" si="242"/>
        <v>0</v>
      </c>
      <c r="N735" s="203">
        <f t="shared" si="242"/>
        <v>0</v>
      </c>
      <c r="O735" s="203">
        <f t="shared" si="242"/>
        <v>0</v>
      </c>
      <c r="P735" s="237">
        <v>0.23740675222371063</v>
      </c>
    </row>
    <row r="736" spans="1:16" s="8" customFormat="1">
      <c r="A736" s="108"/>
      <c r="B736" s="150"/>
      <c r="C736" s="70" t="s">
        <v>1247</v>
      </c>
      <c r="D736" s="33" t="s">
        <v>1909</v>
      </c>
      <c r="E736" s="34" t="s">
        <v>819</v>
      </c>
      <c r="F736" s="35">
        <v>110509000</v>
      </c>
      <c r="G736" s="210">
        <v>0</v>
      </c>
      <c r="H736" s="210">
        <v>0</v>
      </c>
      <c r="I736" s="210">
        <v>110509000</v>
      </c>
      <c r="J736" s="210">
        <v>0</v>
      </c>
      <c r="K736" s="210">
        <v>0</v>
      </c>
      <c r="L736" s="210">
        <v>0</v>
      </c>
      <c r="M736" s="210">
        <v>0</v>
      </c>
      <c r="N736" s="210">
        <v>0</v>
      </c>
      <c r="O736" s="210">
        <v>0</v>
      </c>
      <c r="P736" s="242">
        <v>0.23740675222371063</v>
      </c>
    </row>
    <row r="737" spans="1:16" s="8" customFormat="1">
      <c r="A737" s="107" t="s">
        <v>1249</v>
      </c>
      <c r="B737" s="149" t="s">
        <v>1531</v>
      </c>
      <c r="C737" s="18" t="s">
        <v>1250</v>
      </c>
      <c r="D737" s="30"/>
      <c r="E737" s="27" t="s">
        <v>1251</v>
      </c>
      <c r="F737" s="21">
        <v>0</v>
      </c>
      <c r="G737" s="214">
        <v>0</v>
      </c>
      <c r="H737" s="214">
        <v>0</v>
      </c>
      <c r="I737" s="214">
        <v>0</v>
      </c>
      <c r="J737" s="214">
        <v>0</v>
      </c>
      <c r="K737" s="214">
        <v>0</v>
      </c>
      <c r="L737" s="214">
        <v>0</v>
      </c>
      <c r="M737" s="214">
        <v>0</v>
      </c>
      <c r="N737" s="214">
        <v>0</v>
      </c>
      <c r="O737" s="214">
        <v>0</v>
      </c>
      <c r="P737" s="250">
        <v>0.23740675222371063</v>
      </c>
    </row>
    <row r="738" spans="1:16" s="8" customFormat="1">
      <c r="A738" s="107" t="s">
        <v>1252</v>
      </c>
      <c r="B738" s="149" t="s">
        <v>1531</v>
      </c>
      <c r="C738" s="18" t="s">
        <v>1253</v>
      </c>
      <c r="D738" s="30"/>
      <c r="E738" s="27" t="s">
        <v>1254</v>
      </c>
      <c r="F738" s="21">
        <v>0</v>
      </c>
      <c r="G738" s="214">
        <v>0</v>
      </c>
      <c r="H738" s="214">
        <v>0</v>
      </c>
      <c r="I738" s="214">
        <v>0</v>
      </c>
      <c r="J738" s="214">
        <v>0</v>
      </c>
      <c r="K738" s="214">
        <v>0</v>
      </c>
      <c r="L738" s="214">
        <v>0</v>
      </c>
      <c r="M738" s="214">
        <v>0</v>
      </c>
      <c r="N738" s="214">
        <v>0</v>
      </c>
      <c r="O738" s="214">
        <v>0</v>
      </c>
      <c r="P738" s="250">
        <v>0.23740675222371063</v>
      </c>
    </row>
    <row r="739" spans="1:16" s="8" customFormat="1">
      <c r="A739" s="107" t="s">
        <v>1255</v>
      </c>
      <c r="B739" s="149" t="s">
        <v>1869</v>
      </c>
      <c r="C739" s="18" t="s">
        <v>1256</v>
      </c>
      <c r="D739" s="30"/>
      <c r="E739" s="27" t="s">
        <v>1257</v>
      </c>
      <c r="F739" s="21">
        <f>SUM(F740:F740)</f>
        <v>35000000</v>
      </c>
      <c r="G739" s="214">
        <f t="shared" ref="G739:O739" si="243">SUM(G740:G740)</f>
        <v>0</v>
      </c>
      <c r="H739" s="214">
        <f t="shared" si="243"/>
        <v>0</v>
      </c>
      <c r="I739" s="214">
        <f t="shared" si="243"/>
        <v>35000000</v>
      </c>
      <c r="J739" s="214">
        <f t="shared" si="243"/>
        <v>0</v>
      </c>
      <c r="K739" s="214">
        <f t="shared" si="243"/>
        <v>0</v>
      </c>
      <c r="L739" s="214">
        <f t="shared" si="243"/>
        <v>0</v>
      </c>
      <c r="M739" s="214">
        <f t="shared" si="243"/>
        <v>0</v>
      </c>
      <c r="N739" s="214">
        <f t="shared" si="243"/>
        <v>0</v>
      </c>
      <c r="O739" s="214">
        <f t="shared" si="243"/>
        <v>0</v>
      </c>
      <c r="P739" s="250">
        <v>0.23740675222371063</v>
      </c>
    </row>
    <row r="740" spans="1:16" s="8" customFormat="1">
      <c r="A740" s="108"/>
      <c r="B740" s="150"/>
      <c r="C740" s="70" t="s">
        <v>1256</v>
      </c>
      <c r="D740" s="33" t="s">
        <v>1958</v>
      </c>
      <c r="E740" s="34" t="s">
        <v>997</v>
      </c>
      <c r="F740" s="35">
        <v>35000000</v>
      </c>
      <c r="G740" s="210">
        <v>0</v>
      </c>
      <c r="H740" s="210">
        <v>0</v>
      </c>
      <c r="I740" s="210">
        <v>35000000</v>
      </c>
      <c r="J740" s="210">
        <v>0</v>
      </c>
      <c r="K740" s="210">
        <v>0</v>
      </c>
      <c r="L740" s="210">
        <v>0</v>
      </c>
      <c r="M740" s="210">
        <v>0</v>
      </c>
      <c r="N740" s="210">
        <v>0</v>
      </c>
      <c r="O740" s="210">
        <v>0</v>
      </c>
      <c r="P740" s="251">
        <v>0.23740675222371063</v>
      </c>
    </row>
    <row r="741" spans="1:16" s="8" customFormat="1">
      <c r="A741" s="107" t="s">
        <v>1258</v>
      </c>
      <c r="B741" s="149" t="s">
        <v>1870</v>
      </c>
      <c r="C741" s="18" t="s">
        <v>1259</v>
      </c>
      <c r="D741" s="30"/>
      <c r="E741" s="27" t="s">
        <v>1260</v>
      </c>
      <c r="F741" s="21">
        <f>+F742</f>
        <v>50000000</v>
      </c>
      <c r="G741" s="214">
        <f t="shared" ref="G741:O741" si="244">+G742</f>
        <v>0</v>
      </c>
      <c r="H741" s="214">
        <f t="shared" si="244"/>
        <v>0</v>
      </c>
      <c r="I741" s="214">
        <f t="shared" si="244"/>
        <v>50000000</v>
      </c>
      <c r="J741" s="214">
        <f t="shared" si="244"/>
        <v>0</v>
      </c>
      <c r="K741" s="214">
        <f t="shared" si="244"/>
        <v>0</v>
      </c>
      <c r="L741" s="214">
        <f t="shared" si="244"/>
        <v>0</v>
      </c>
      <c r="M741" s="214">
        <f t="shared" si="244"/>
        <v>0</v>
      </c>
      <c r="N741" s="214">
        <f t="shared" si="244"/>
        <v>0</v>
      </c>
      <c r="O741" s="214">
        <f t="shared" si="244"/>
        <v>0</v>
      </c>
      <c r="P741" s="252">
        <v>0.23740675222371063</v>
      </c>
    </row>
    <row r="742" spans="1:16" s="8" customFormat="1">
      <c r="A742" s="108"/>
      <c r="B742" s="150"/>
      <c r="C742" s="70" t="s">
        <v>1259</v>
      </c>
      <c r="D742" s="33" t="s">
        <v>1943</v>
      </c>
      <c r="E742" s="34" t="s">
        <v>763</v>
      </c>
      <c r="F742" s="35">
        <v>50000000</v>
      </c>
      <c r="G742" s="210">
        <v>0</v>
      </c>
      <c r="H742" s="210">
        <v>0</v>
      </c>
      <c r="I742" s="210">
        <v>50000000</v>
      </c>
      <c r="J742" s="210">
        <v>0</v>
      </c>
      <c r="K742" s="210">
        <v>0</v>
      </c>
      <c r="L742" s="210">
        <v>0</v>
      </c>
      <c r="M742" s="210">
        <v>0</v>
      </c>
      <c r="N742" s="210">
        <v>0</v>
      </c>
      <c r="O742" s="210">
        <v>0</v>
      </c>
      <c r="P742" s="251">
        <v>0.23740675222371063</v>
      </c>
    </row>
    <row r="743" spans="1:16" s="8" customFormat="1">
      <c r="A743" s="107" t="s">
        <v>1261</v>
      </c>
      <c r="B743" s="149" t="s">
        <v>1871</v>
      </c>
      <c r="C743" s="18" t="s">
        <v>1262</v>
      </c>
      <c r="D743" s="30"/>
      <c r="E743" s="27" t="s">
        <v>1263</v>
      </c>
      <c r="F743" s="21">
        <f>+F744</f>
        <v>161447000</v>
      </c>
      <c r="G743" s="214">
        <f t="shared" ref="G743:O743" si="245">+G744</f>
        <v>0</v>
      </c>
      <c r="H743" s="214">
        <f t="shared" si="245"/>
        <v>0</v>
      </c>
      <c r="I743" s="214">
        <f t="shared" si="245"/>
        <v>161447000</v>
      </c>
      <c r="J743" s="214">
        <f t="shared" si="245"/>
        <v>0</v>
      </c>
      <c r="K743" s="214">
        <f t="shared" si="245"/>
        <v>30000000</v>
      </c>
      <c r="L743" s="214">
        <f t="shared" si="245"/>
        <v>0</v>
      </c>
      <c r="M743" s="214">
        <f t="shared" si="245"/>
        <v>30000000</v>
      </c>
      <c r="N743" s="214">
        <f t="shared" si="245"/>
        <v>0</v>
      </c>
      <c r="O743" s="214">
        <f t="shared" si="245"/>
        <v>0</v>
      </c>
      <c r="P743" s="252">
        <v>0.23740675222371063</v>
      </c>
    </row>
    <row r="744" spans="1:16" s="8" customFormat="1">
      <c r="A744" s="108"/>
      <c r="B744" s="150"/>
      <c r="C744" s="70" t="s">
        <v>1262</v>
      </c>
      <c r="D744" s="33" t="s">
        <v>1909</v>
      </c>
      <c r="E744" s="34" t="s">
        <v>819</v>
      </c>
      <c r="F744" s="35">
        <v>161447000</v>
      </c>
      <c r="G744" s="210">
        <v>0</v>
      </c>
      <c r="H744" s="210">
        <v>0</v>
      </c>
      <c r="I744" s="210">
        <v>161447000</v>
      </c>
      <c r="J744" s="210">
        <v>0</v>
      </c>
      <c r="K744" s="210">
        <v>30000000</v>
      </c>
      <c r="L744" s="210">
        <v>0</v>
      </c>
      <c r="M744" s="210">
        <v>30000000</v>
      </c>
      <c r="N744" s="210">
        <v>0</v>
      </c>
      <c r="O744" s="210">
        <v>0</v>
      </c>
      <c r="P744" s="251">
        <v>0.23740675222371063</v>
      </c>
    </row>
    <row r="745" spans="1:16" s="8" customFormat="1">
      <c r="A745" s="107" t="s">
        <v>1264</v>
      </c>
      <c r="B745" s="149" t="s">
        <v>1531</v>
      </c>
      <c r="C745" s="18" t="s">
        <v>1265</v>
      </c>
      <c r="D745" s="30"/>
      <c r="E745" s="27" t="s">
        <v>1266</v>
      </c>
      <c r="F745" s="21">
        <v>0</v>
      </c>
      <c r="G745" s="214">
        <v>0</v>
      </c>
      <c r="H745" s="214">
        <v>0</v>
      </c>
      <c r="I745" s="214">
        <v>0</v>
      </c>
      <c r="J745" s="214">
        <v>0</v>
      </c>
      <c r="K745" s="214">
        <v>0</v>
      </c>
      <c r="L745" s="214">
        <v>0</v>
      </c>
      <c r="M745" s="214">
        <v>0</v>
      </c>
      <c r="N745" s="214">
        <v>0</v>
      </c>
      <c r="O745" s="214">
        <v>0</v>
      </c>
      <c r="P745" s="252">
        <v>0.23740675222371063</v>
      </c>
    </row>
    <row r="746" spans="1:16" s="8" customFormat="1">
      <c r="A746" s="107" t="s">
        <v>1267</v>
      </c>
      <c r="B746" s="149" t="s">
        <v>1872</v>
      </c>
      <c r="C746" s="18" t="s">
        <v>1268</v>
      </c>
      <c r="D746" s="30"/>
      <c r="E746" s="27" t="s">
        <v>1269</v>
      </c>
      <c r="F746" s="21">
        <f>+F747</f>
        <v>68193000</v>
      </c>
      <c r="G746" s="214">
        <f t="shared" ref="G746:O746" si="246">+G747</f>
        <v>0</v>
      </c>
      <c r="H746" s="214">
        <f t="shared" si="246"/>
        <v>0</v>
      </c>
      <c r="I746" s="214">
        <f t="shared" si="246"/>
        <v>68193000</v>
      </c>
      <c r="J746" s="214">
        <f t="shared" si="246"/>
        <v>0</v>
      </c>
      <c r="K746" s="214">
        <f t="shared" si="246"/>
        <v>0</v>
      </c>
      <c r="L746" s="214">
        <f t="shared" si="246"/>
        <v>0</v>
      </c>
      <c r="M746" s="214">
        <f t="shared" si="246"/>
        <v>0</v>
      </c>
      <c r="N746" s="214">
        <f t="shared" si="246"/>
        <v>0</v>
      </c>
      <c r="O746" s="214">
        <f t="shared" si="246"/>
        <v>0</v>
      </c>
      <c r="P746" s="252">
        <v>0.23740675222371063</v>
      </c>
    </row>
    <row r="747" spans="1:16" s="8" customFormat="1">
      <c r="A747" s="108"/>
      <c r="B747" s="150"/>
      <c r="C747" s="70" t="s">
        <v>1268</v>
      </c>
      <c r="D747" s="33" t="s">
        <v>1945</v>
      </c>
      <c r="E747" s="34" t="s">
        <v>781</v>
      </c>
      <c r="F747" s="35">
        <v>68193000</v>
      </c>
      <c r="G747" s="210">
        <v>0</v>
      </c>
      <c r="H747" s="210">
        <v>0</v>
      </c>
      <c r="I747" s="210">
        <v>68193000</v>
      </c>
      <c r="J747" s="210">
        <v>0</v>
      </c>
      <c r="K747" s="210">
        <v>0</v>
      </c>
      <c r="L747" s="210">
        <v>0</v>
      </c>
      <c r="M747" s="210">
        <v>0</v>
      </c>
      <c r="N747" s="210">
        <v>0</v>
      </c>
      <c r="O747" s="210">
        <v>0</v>
      </c>
      <c r="P747" s="251">
        <v>0.23740675222371063</v>
      </c>
    </row>
    <row r="748" spans="1:16" s="8" customFormat="1">
      <c r="A748" s="107" t="s">
        <v>1270</v>
      </c>
      <c r="B748" s="149" t="s">
        <v>1536</v>
      </c>
      <c r="C748" s="18" t="s">
        <v>1271</v>
      </c>
      <c r="D748" s="30"/>
      <c r="E748" s="27" t="s">
        <v>1272</v>
      </c>
      <c r="F748" s="21">
        <f>+F749</f>
        <v>84509000</v>
      </c>
      <c r="G748" s="214">
        <f t="shared" ref="G748:O748" si="247">+G749</f>
        <v>0</v>
      </c>
      <c r="H748" s="214">
        <f t="shared" si="247"/>
        <v>0</v>
      </c>
      <c r="I748" s="214">
        <f t="shared" si="247"/>
        <v>84509000</v>
      </c>
      <c r="J748" s="214">
        <f t="shared" si="247"/>
        <v>-1239</v>
      </c>
      <c r="K748" s="214">
        <f t="shared" si="247"/>
        <v>84507761</v>
      </c>
      <c r="L748" s="214">
        <f t="shared" si="247"/>
        <v>84507761</v>
      </c>
      <c r="M748" s="214">
        <f t="shared" si="247"/>
        <v>84507761</v>
      </c>
      <c r="N748" s="214">
        <f t="shared" si="247"/>
        <v>0</v>
      </c>
      <c r="O748" s="214">
        <f t="shared" si="247"/>
        <v>0</v>
      </c>
      <c r="P748" s="252">
        <v>0.23740675222371063</v>
      </c>
    </row>
    <row r="749" spans="1:16" s="8" customFormat="1">
      <c r="A749" s="108"/>
      <c r="B749" s="150"/>
      <c r="C749" s="70" t="s">
        <v>1271</v>
      </c>
      <c r="D749" s="33" t="s">
        <v>1909</v>
      </c>
      <c r="E749" s="34" t="s">
        <v>819</v>
      </c>
      <c r="F749" s="35">
        <v>84509000</v>
      </c>
      <c r="G749" s="210">
        <v>0</v>
      </c>
      <c r="H749" s="210">
        <v>0</v>
      </c>
      <c r="I749" s="210">
        <v>84509000</v>
      </c>
      <c r="J749" s="210">
        <v>-1239</v>
      </c>
      <c r="K749" s="210">
        <v>84507761</v>
      </c>
      <c r="L749" s="210">
        <v>84507761</v>
      </c>
      <c r="M749" s="210">
        <v>84507761</v>
      </c>
      <c r="N749" s="210">
        <v>0</v>
      </c>
      <c r="O749" s="210">
        <v>0</v>
      </c>
      <c r="P749" s="251">
        <v>0.23740675222371063</v>
      </c>
    </row>
    <row r="750" spans="1:16" s="8" customFormat="1">
      <c r="A750" s="107" t="s">
        <v>1273</v>
      </c>
      <c r="B750" s="149" t="s">
        <v>1535</v>
      </c>
      <c r="C750" s="18" t="s">
        <v>1274</v>
      </c>
      <c r="D750" s="30"/>
      <c r="E750" s="27" t="s">
        <v>1275</v>
      </c>
      <c r="F750" s="21">
        <f>SUM(F751:F751)</f>
        <v>25588000</v>
      </c>
      <c r="G750" s="214">
        <f t="shared" ref="G750:O750" si="248">SUM(G751:G751)</f>
        <v>0</v>
      </c>
      <c r="H750" s="214">
        <f t="shared" si="248"/>
        <v>0</v>
      </c>
      <c r="I750" s="214">
        <f t="shared" si="248"/>
        <v>25588000</v>
      </c>
      <c r="J750" s="214">
        <f t="shared" si="248"/>
        <v>0</v>
      </c>
      <c r="K750" s="214">
        <f t="shared" si="248"/>
        <v>0</v>
      </c>
      <c r="L750" s="214">
        <f t="shared" si="248"/>
        <v>0</v>
      </c>
      <c r="M750" s="214">
        <f t="shared" si="248"/>
        <v>0</v>
      </c>
      <c r="N750" s="214">
        <f t="shared" si="248"/>
        <v>0</v>
      </c>
      <c r="O750" s="214">
        <f t="shared" si="248"/>
        <v>0</v>
      </c>
      <c r="P750" s="252">
        <v>0.23740675222371063</v>
      </c>
    </row>
    <row r="751" spans="1:16" s="2" customFormat="1">
      <c r="A751" s="108"/>
      <c r="B751" s="150"/>
      <c r="C751" s="70" t="s">
        <v>1274</v>
      </c>
      <c r="D751" s="33" t="s">
        <v>1950</v>
      </c>
      <c r="E751" s="34" t="s">
        <v>1233</v>
      </c>
      <c r="F751" s="35">
        <v>25588000</v>
      </c>
      <c r="G751" s="210">
        <v>0</v>
      </c>
      <c r="H751" s="210">
        <v>0</v>
      </c>
      <c r="I751" s="210">
        <v>25588000</v>
      </c>
      <c r="J751" s="210">
        <v>0</v>
      </c>
      <c r="K751" s="210">
        <v>0</v>
      </c>
      <c r="L751" s="210">
        <v>0</v>
      </c>
      <c r="M751" s="210">
        <v>0</v>
      </c>
      <c r="N751" s="210">
        <v>0</v>
      </c>
      <c r="O751" s="210">
        <v>0</v>
      </c>
      <c r="P751" s="251">
        <v>0.23740675222371063</v>
      </c>
    </row>
    <row r="752" spans="1:16" s="2" customFormat="1">
      <c r="A752" s="136" t="s">
        <v>1276</v>
      </c>
      <c r="B752" s="125" t="s">
        <v>1534</v>
      </c>
      <c r="C752" s="126" t="s">
        <v>1277</v>
      </c>
      <c r="D752" s="29"/>
      <c r="E752" s="19" t="s">
        <v>1278</v>
      </c>
      <c r="F752" s="20">
        <f>+F753</f>
        <v>712624000</v>
      </c>
      <c r="G752" s="20">
        <f t="shared" ref="G752:O753" si="249">+G753</f>
        <v>0</v>
      </c>
      <c r="H752" s="20">
        <f t="shared" si="249"/>
        <v>9238400</v>
      </c>
      <c r="I752" s="20">
        <f t="shared" si="249"/>
        <v>721862400</v>
      </c>
      <c r="J752" s="20">
        <f t="shared" si="249"/>
        <v>276272000</v>
      </c>
      <c r="K752" s="20">
        <f t="shared" si="249"/>
        <v>582885540</v>
      </c>
      <c r="L752" s="20">
        <f t="shared" si="249"/>
        <v>111008980</v>
      </c>
      <c r="M752" s="20">
        <f t="shared" si="249"/>
        <v>302537520</v>
      </c>
      <c r="N752" s="20">
        <f t="shared" si="249"/>
        <v>0</v>
      </c>
      <c r="O752" s="20">
        <f t="shared" si="249"/>
        <v>150170500</v>
      </c>
      <c r="P752" s="243">
        <v>0.23740675222371063</v>
      </c>
    </row>
    <row r="753" spans="1:16" s="8" customFormat="1">
      <c r="A753" s="134" t="s">
        <v>1279</v>
      </c>
      <c r="B753" s="123" t="s">
        <v>1531</v>
      </c>
      <c r="C753" s="124" t="s">
        <v>1280</v>
      </c>
      <c r="D753" s="67"/>
      <c r="E753" s="25" t="s">
        <v>1281</v>
      </c>
      <c r="F753" s="68">
        <f>+F754</f>
        <v>712624000</v>
      </c>
      <c r="G753" s="68">
        <f t="shared" si="249"/>
        <v>0</v>
      </c>
      <c r="H753" s="68">
        <f t="shared" si="249"/>
        <v>9238400</v>
      </c>
      <c r="I753" s="68">
        <f t="shared" si="249"/>
        <v>721862400</v>
      </c>
      <c r="J753" s="68">
        <f t="shared" si="249"/>
        <v>276272000</v>
      </c>
      <c r="K753" s="68">
        <f t="shared" si="249"/>
        <v>582885540</v>
      </c>
      <c r="L753" s="68">
        <f t="shared" si="249"/>
        <v>111008980</v>
      </c>
      <c r="M753" s="68">
        <f t="shared" si="249"/>
        <v>302537520</v>
      </c>
      <c r="N753" s="68">
        <f t="shared" si="249"/>
        <v>0</v>
      </c>
      <c r="O753" s="68">
        <f t="shared" si="249"/>
        <v>150170500</v>
      </c>
      <c r="P753" s="229">
        <v>0.23740675222371063</v>
      </c>
    </row>
    <row r="754" spans="1:16" s="2" customFormat="1">
      <c r="A754" s="174" t="s">
        <v>1282</v>
      </c>
      <c r="B754" s="157" t="s">
        <v>1531</v>
      </c>
      <c r="C754" s="158" t="s">
        <v>1283</v>
      </c>
      <c r="D754" s="41"/>
      <c r="E754" s="42" t="s">
        <v>1284</v>
      </c>
      <c r="F754" s="76">
        <f>+F755+F761</f>
        <v>712624000</v>
      </c>
      <c r="G754" s="76">
        <f t="shared" ref="G754:O754" si="250">+G755+G761</f>
        <v>0</v>
      </c>
      <c r="H754" s="76">
        <f t="shared" si="250"/>
        <v>9238400</v>
      </c>
      <c r="I754" s="76">
        <f t="shared" si="250"/>
        <v>721862400</v>
      </c>
      <c r="J754" s="76">
        <f t="shared" si="250"/>
        <v>276272000</v>
      </c>
      <c r="K754" s="76">
        <f t="shared" si="250"/>
        <v>582885540</v>
      </c>
      <c r="L754" s="76">
        <f t="shared" si="250"/>
        <v>111008980</v>
      </c>
      <c r="M754" s="76">
        <f t="shared" si="250"/>
        <v>302537520</v>
      </c>
      <c r="N754" s="76">
        <f t="shared" si="250"/>
        <v>0</v>
      </c>
      <c r="O754" s="76">
        <f t="shared" si="250"/>
        <v>150170500</v>
      </c>
      <c r="P754" s="247">
        <v>0.23740675222371063</v>
      </c>
    </row>
    <row r="755" spans="1:16" s="8" customFormat="1">
      <c r="A755" s="110"/>
      <c r="B755" s="127" t="s">
        <v>1873</v>
      </c>
      <c r="C755" s="78" t="s">
        <v>1285</v>
      </c>
      <c r="D755" s="31"/>
      <c r="E755" s="28" t="s">
        <v>1286</v>
      </c>
      <c r="F755" s="214">
        <f>SUM(F756:F760)</f>
        <v>530962000</v>
      </c>
      <c r="G755" s="214">
        <f t="shared" ref="G755:O755" si="251">SUM(G756:G760)</f>
        <v>0</v>
      </c>
      <c r="H755" s="214">
        <f t="shared" si="251"/>
        <v>44360000</v>
      </c>
      <c r="I755" s="214">
        <f t="shared" si="251"/>
        <v>575322000</v>
      </c>
      <c r="J755" s="214">
        <f t="shared" si="251"/>
        <v>276272000</v>
      </c>
      <c r="K755" s="214">
        <f t="shared" si="251"/>
        <v>546988000</v>
      </c>
      <c r="L755" s="214">
        <f t="shared" si="251"/>
        <v>111008980</v>
      </c>
      <c r="M755" s="214">
        <f t="shared" si="251"/>
        <v>266639980</v>
      </c>
      <c r="N755" s="214">
        <f t="shared" si="251"/>
        <v>0</v>
      </c>
      <c r="O755" s="214">
        <f t="shared" si="251"/>
        <v>146838500</v>
      </c>
      <c r="P755" s="252">
        <v>0.23740675222371063</v>
      </c>
    </row>
    <row r="756" spans="1:16" s="8" customFormat="1">
      <c r="A756" s="108"/>
      <c r="B756" s="150"/>
      <c r="C756" s="70" t="s">
        <v>1285</v>
      </c>
      <c r="D756" s="33" t="s">
        <v>1938</v>
      </c>
      <c r="E756" s="34" t="s">
        <v>1019</v>
      </c>
      <c r="F756" s="35">
        <v>28334000</v>
      </c>
      <c r="G756" s="210">
        <v>0</v>
      </c>
      <c r="H756" s="210">
        <v>0</v>
      </c>
      <c r="I756" s="210">
        <v>28334000</v>
      </c>
      <c r="J756" s="210">
        <v>0</v>
      </c>
      <c r="K756" s="210">
        <v>0</v>
      </c>
      <c r="L756" s="210">
        <v>0</v>
      </c>
      <c r="M756" s="210">
        <v>0</v>
      </c>
      <c r="N756" s="210">
        <v>0</v>
      </c>
      <c r="O756" s="210">
        <v>0</v>
      </c>
      <c r="P756" s="242">
        <v>0.23740675222371063</v>
      </c>
    </row>
    <row r="757" spans="1:16" s="8" customFormat="1">
      <c r="A757" s="108"/>
      <c r="B757" s="150"/>
      <c r="C757" s="70" t="s">
        <v>1285</v>
      </c>
      <c r="D757" s="33" t="s">
        <v>1945</v>
      </c>
      <c r="E757" s="34" t="s">
        <v>781</v>
      </c>
      <c r="F757" s="35">
        <v>170000000</v>
      </c>
      <c r="G757" s="210">
        <v>0</v>
      </c>
      <c r="H757" s="210">
        <v>69360000</v>
      </c>
      <c r="I757" s="210">
        <v>239360000</v>
      </c>
      <c r="J757" s="210">
        <v>0</v>
      </c>
      <c r="K757" s="210">
        <v>239360000</v>
      </c>
      <c r="L757" s="210">
        <v>79900000</v>
      </c>
      <c r="M757" s="210">
        <v>235531000</v>
      </c>
      <c r="N757" s="210">
        <v>0</v>
      </c>
      <c r="O757" s="210">
        <v>146838500</v>
      </c>
      <c r="P757" s="242">
        <v>0.23740675222371063</v>
      </c>
    </row>
    <row r="758" spans="1:16" s="8" customFormat="1">
      <c r="A758" s="108"/>
      <c r="B758" s="150"/>
      <c r="C758" s="70" t="s">
        <v>1285</v>
      </c>
      <c r="D758" s="33" t="s">
        <v>1954</v>
      </c>
      <c r="E758" s="34" t="s">
        <v>1020</v>
      </c>
      <c r="F758" s="35">
        <v>25000000</v>
      </c>
      <c r="G758" s="210">
        <v>0</v>
      </c>
      <c r="H758" s="210">
        <v>-25000000</v>
      </c>
      <c r="I758" s="210">
        <v>0</v>
      </c>
      <c r="J758" s="210">
        <v>0</v>
      </c>
      <c r="K758" s="210">
        <v>0</v>
      </c>
      <c r="L758" s="210">
        <v>0</v>
      </c>
      <c r="M758" s="210">
        <v>0</v>
      </c>
      <c r="N758" s="210">
        <v>0</v>
      </c>
      <c r="O758" s="210">
        <v>0</v>
      </c>
      <c r="P758" s="242">
        <v>0.23740675222371063</v>
      </c>
    </row>
    <row r="759" spans="1:16" s="8" customFormat="1">
      <c r="A759" s="108"/>
      <c r="B759" s="150"/>
      <c r="C759" s="70" t="s">
        <v>1285</v>
      </c>
      <c r="D759" s="33" t="s">
        <v>1950</v>
      </c>
      <c r="E759" s="34" t="s">
        <v>1233</v>
      </c>
      <c r="F759" s="35">
        <v>31355999.999999996</v>
      </c>
      <c r="G759" s="210">
        <v>0</v>
      </c>
      <c r="H759" s="210">
        <v>0</v>
      </c>
      <c r="I759" s="210">
        <v>31355999.999999996</v>
      </c>
      <c r="J759" s="210">
        <v>0</v>
      </c>
      <c r="K759" s="210">
        <v>31356000</v>
      </c>
      <c r="L759" s="210">
        <v>31108980</v>
      </c>
      <c r="M759" s="210">
        <v>31108980</v>
      </c>
      <c r="N759" s="210">
        <v>0</v>
      </c>
      <c r="O759" s="210">
        <v>0</v>
      </c>
      <c r="P759" s="242">
        <v>0.23740675222371063</v>
      </c>
    </row>
    <row r="760" spans="1:16" s="2" customFormat="1">
      <c r="A760" s="108"/>
      <c r="B760" s="150"/>
      <c r="C760" s="70" t="s">
        <v>1285</v>
      </c>
      <c r="D760" s="33" t="s">
        <v>1953</v>
      </c>
      <c r="E760" s="34" t="s">
        <v>1289</v>
      </c>
      <c r="F760" s="35">
        <v>276272000</v>
      </c>
      <c r="G760" s="210">
        <v>0</v>
      </c>
      <c r="H760" s="210">
        <v>0</v>
      </c>
      <c r="I760" s="210">
        <v>276272000</v>
      </c>
      <c r="J760" s="210">
        <v>276272000</v>
      </c>
      <c r="K760" s="210">
        <v>276272000</v>
      </c>
      <c r="L760" s="210">
        <v>0</v>
      </c>
      <c r="M760" s="210">
        <v>0</v>
      </c>
      <c r="N760" s="210">
        <v>0</v>
      </c>
      <c r="O760" s="210">
        <v>0</v>
      </c>
      <c r="P760" s="242">
        <v>0.23740675222371063</v>
      </c>
    </row>
    <row r="761" spans="1:16" s="8" customFormat="1">
      <c r="A761" s="110"/>
      <c r="B761" s="127" t="s">
        <v>1874</v>
      </c>
      <c r="C761" s="78" t="s">
        <v>1287</v>
      </c>
      <c r="D761" s="31"/>
      <c r="E761" s="28" t="s">
        <v>1288</v>
      </c>
      <c r="F761" s="214">
        <f>SUM(F762:F769)</f>
        <v>181662000</v>
      </c>
      <c r="G761" s="214">
        <f t="shared" ref="G761:O761" si="252">SUM(G762:G769)</f>
        <v>0</v>
      </c>
      <c r="H761" s="214">
        <f t="shared" si="252"/>
        <v>-35121600</v>
      </c>
      <c r="I761" s="214">
        <f t="shared" si="252"/>
        <v>146540400</v>
      </c>
      <c r="J761" s="214">
        <f t="shared" si="252"/>
        <v>0</v>
      </c>
      <c r="K761" s="214">
        <f t="shared" si="252"/>
        <v>35897540</v>
      </c>
      <c r="L761" s="214">
        <f t="shared" si="252"/>
        <v>0</v>
      </c>
      <c r="M761" s="214">
        <f t="shared" si="252"/>
        <v>35897540</v>
      </c>
      <c r="N761" s="214">
        <f t="shared" si="252"/>
        <v>0</v>
      </c>
      <c r="O761" s="214">
        <f t="shared" si="252"/>
        <v>3332000</v>
      </c>
      <c r="P761" s="250">
        <v>0.23740675222371063</v>
      </c>
    </row>
    <row r="762" spans="1:16" s="8" customFormat="1">
      <c r="A762" s="108"/>
      <c r="B762" s="150"/>
      <c r="C762" s="70" t="s">
        <v>1287</v>
      </c>
      <c r="D762" s="33" t="s">
        <v>1943</v>
      </c>
      <c r="E762" s="34" t="s">
        <v>763</v>
      </c>
      <c r="F762" s="35">
        <v>38644000</v>
      </c>
      <c r="G762" s="210">
        <v>0</v>
      </c>
      <c r="H762" s="210">
        <v>0</v>
      </c>
      <c r="I762" s="210">
        <v>38644000</v>
      </c>
      <c r="J762" s="210">
        <v>0</v>
      </c>
      <c r="K762" s="210">
        <v>0</v>
      </c>
      <c r="L762" s="210">
        <v>0</v>
      </c>
      <c r="M762" s="210">
        <v>0</v>
      </c>
      <c r="N762" s="210">
        <v>0</v>
      </c>
      <c r="O762" s="210">
        <v>0</v>
      </c>
      <c r="P762" s="242">
        <v>0.23740675222371063</v>
      </c>
    </row>
    <row r="763" spans="1:16" s="8" customFormat="1">
      <c r="A763" s="108"/>
      <c r="B763" s="150"/>
      <c r="C763" s="70" t="s">
        <v>1287</v>
      </c>
      <c r="D763" s="33" t="s">
        <v>1936</v>
      </c>
      <c r="E763" s="34" t="s">
        <v>908</v>
      </c>
      <c r="F763" s="35">
        <v>38734000</v>
      </c>
      <c r="G763" s="210">
        <v>0</v>
      </c>
      <c r="H763" s="210">
        <v>-36734000</v>
      </c>
      <c r="I763" s="210">
        <v>2000000</v>
      </c>
      <c r="J763" s="210">
        <v>0</v>
      </c>
      <c r="K763" s="210">
        <v>0</v>
      </c>
      <c r="L763" s="210">
        <v>0</v>
      </c>
      <c r="M763" s="210">
        <v>0</v>
      </c>
      <c r="N763" s="210">
        <v>0</v>
      </c>
      <c r="O763" s="210">
        <v>0</v>
      </c>
      <c r="P763" s="242">
        <v>0.23740675222371063</v>
      </c>
    </row>
    <row r="764" spans="1:16" s="8" customFormat="1">
      <c r="A764" s="108"/>
      <c r="B764" s="150"/>
      <c r="C764" s="70" t="s">
        <v>1287</v>
      </c>
      <c r="D764" s="33" t="s">
        <v>1939</v>
      </c>
      <c r="E764" s="34" t="s">
        <v>911</v>
      </c>
      <c r="F764" s="35">
        <v>42244000</v>
      </c>
      <c r="G764" s="210">
        <v>0</v>
      </c>
      <c r="H764" s="210">
        <v>0</v>
      </c>
      <c r="I764" s="210">
        <v>42244000</v>
      </c>
      <c r="J764" s="210">
        <v>0</v>
      </c>
      <c r="K764" s="210">
        <v>32565540</v>
      </c>
      <c r="L764" s="210">
        <v>0</v>
      </c>
      <c r="M764" s="210">
        <v>32565540</v>
      </c>
      <c r="N764" s="210">
        <v>0</v>
      </c>
      <c r="O764" s="210">
        <v>0</v>
      </c>
      <c r="P764" s="242">
        <v>0.23740675222371063</v>
      </c>
    </row>
    <row r="765" spans="1:16" s="8" customFormat="1">
      <c r="A765" s="108"/>
      <c r="B765" s="150"/>
      <c r="C765" s="70" t="s">
        <v>1287</v>
      </c>
      <c r="D765" s="33" t="s">
        <v>1940</v>
      </c>
      <c r="E765" s="34" t="s">
        <v>912</v>
      </c>
      <c r="F765" s="35">
        <v>25084000</v>
      </c>
      <c r="G765" s="210">
        <v>0</v>
      </c>
      <c r="H765" s="210">
        <v>0</v>
      </c>
      <c r="I765" s="210">
        <v>25084000</v>
      </c>
      <c r="J765" s="210">
        <v>0</v>
      </c>
      <c r="K765" s="210">
        <v>0</v>
      </c>
      <c r="L765" s="210">
        <v>0</v>
      </c>
      <c r="M765" s="210">
        <v>0</v>
      </c>
      <c r="N765" s="210">
        <v>0</v>
      </c>
      <c r="O765" s="210">
        <v>0</v>
      </c>
      <c r="P765" s="242">
        <v>0.23740675222371063</v>
      </c>
    </row>
    <row r="766" spans="1:16" s="8" customFormat="1">
      <c r="A766" s="108"/>
      <c r="B766" s="150"/>
      <c r="C766" s="70" t="s">
        <v>1287</v>
      </c>
      <c r="D766" s="33" t="s">
        <v>1956</v>
      </c>
      <c r="E766" s="34" t="s">
        <v>1463</v>
      </c>
      <c r="F766" s="35">
        <v>6956000</v>
      </c>
      <c r="G766" s="210">
        <v>0</v>
      </c>
      <c r="H766" s="210">
        <v>-1367000</v>
      </c>
      <c r="I766" s="210">
        <v>5589000</v>
      </c>
      <c r="J766" s="210">
        <v>0</v>
      </c>
      <c r="K766" s="210">
        <v>0</v>
      </c>
      <c r="L766" s="210">
        <v>0</v>
      </c>
      <c r="M766" s="210">
        <v>0</v>
      </c>
      <c r="N766" s="210">
        <v>0</v>
      </c>
      <c r="O766" s="210">
        <v>0</v>
      </c>
      <c r="P766" s="242">
        <v>0.23740675222371063</v>
      </c>
    </row>
    <row r="767" spans="1:16" s="8" customFormat="1">
      <c r="A767" s="108"/>
      <c r="B767" s="150"/>
      <c r="C767" s="70" t="s">
        <v>1287</v>
      </c>
      <c r="D767" s="33" t="s">
        <v>1952</v>
      </c>
      <c r="E767" s="34" t="s">
        <v>916</v>
      </c>
      <c r="F767" s="35">
        <v>10000000</v>
      </c>
      <c r="G767" s="210">
        <v>0</v>
      </c>
      <c r="H767" s="210">
        <v>0</v>
      </c>
      <c r="I767" s="210">
        <v>10000000</v>
      </c>
      <c r="J767" s="210">
        <v>0</v>
      </c>
      <c r="K767" s="210">
        <v>0</v>
      </c>
      <c r="L767" s="210">
        <v>0</v>
      </c>
      <c r="M767" s="210">
        <v>0</v>
      </c>
      <c r="N767" s="210">
        <v>0</v>
      </c>
      <c r="O767" s="210">
        <v>0</v>
      </c>
      <c r="P767" s="242">
        <v>0.23740675222371063</v>
      </c>
    </row>
    <row r="768" spans="1:16" s="8" customFormat="1">
      <c r="A768" s="108"/>
      <c r="B768" s="150"/>
      <c r="C768" s="70" t="s">
        <v>1287</v>
      </c>
      <c r="D768" s="33" t="s">
        <v>1913</v>
      </c>
      <c r="E768" s="34" t="s">
        <v>1094</v>
      </c>
      <c r="F768" s="35">
        <v>20000000</v>
      </c>
      <c r="G768" s="210">
        <v>0</v>
      </c>
      <c r="H768" s="210">
        <v>-20000000</v>
      </c>
      <c r="I768" s="210">
        <v>0</v>
      </c>
      <c r="J768" s="210">
        <v>0</v>
      </c>
      <c r="K768" s="210">
        <v>0</v>
      </c>
      <c r="L768" s="210">
        <v>0</v>
      </c>
      <c r="M768" s="210">
        <v>0</v>
      </c>
      <c r="N768" s="210">
        <v>0</v>
      </c>
      <c r="O768" s="210">
        <v>0</v>
      </c>
      <c r="P768" s="242">
        <v>0.23740675222371063</v>
      </c>
    </row>
    <row r="769" spans="1:16" s="6" customFormat="1">
      <c r="A769" s="108"/>
      <c r="B769" s="150"/>
      <c r="C769" s="70" t="s">
        <v>1287</v>
      </c>
      <c r="D769" s="33" t="s">
        <v>1957</v>
      </c>
      <c r="E769" s="34" t="s">
        <v>937</v>
      </c>
      <c r="F769" s="35"/>
      <c r="G769" s="210">
        <v>0</v>
      </c>
      <c r="H769" s="210">
        <v>22979400</v>
      </c>
      <c r="I769" s="210">
        <v>22979400</v>
      </c>
      <c r="J769" s="210">
        <v>0</v>
      </c>
      <c r="K769" s="210">
        <v>3332000</v>
      </c>
      <c r="L769" s="210">
        <v>0</v>
      </c>
      <c r="M769" s="210">
        <v>3332000</v>
      </c>
      <c r="N769" s="210">
        <v>0</v>
      </c>
      <c r="O769" s="210">
        <v>3332000</v>
      </c>
      <c r="P769" s="242">
        <v>0.23740675222371063</v>
      </c>
    </row>
    <row r="770" spans="1:16" s="2" customFormat="1">
      <c r="A770" s="173" t="s">
        <v>1290</v>
      </c>
      <c r="B770" s="155" t="s">
        <v>1875</v>
      </c>
      <c r="C770" s="156" t="s">
        <v>1291</v>
      </c>
      <c r="D770" s="74"/>
      <c r="E770" s="40" t="s">
        <v>1292</v>
      </c>
      <c r="F770" s="75">
        <f>+F771+F775+F802+F806+F813</f>
        <v>4056134000</v>
      </c>
      <c r="G770" s="75">
        <f t="shared" ref="G770:O770" si="253">+G771+G775+G802+G806+G813</f>
        <v>105500000</v>
      </c>
      <c r="H770" s="75">
        <f t="shared" si="253"/>
        <v>5543914133</v>
      </c>
      <c r="I770" s="75">
        <f t="shared" si="253"/>
        <v>9600048133</v>
      </c>
      <c r="J770" s="75">
        <f t="shared" si="253"/>
        <v>534474978</v>
      </c>
      <c r="K770" s="75">
        <f t="shared" si="253"/>
        <v>4331070098</v>
      </c>
      <c r="L770" s="75">
        <f t="shared" si="253"/>
        <v>207687411</v>
      </c>
      <c r="M770" s="75">
        <f t="shared" si="253"/>
        <v>3304285302</v>
      </c>
      <c r="N770" s="75">
        <f t="shared" si="253"/>
        <v>100167001</v>
      </c>
      <c r="O770" s="75">
        <f t="shared" si="253"/>
        <v>3162192661</v>
      </c>
      <c r="P770" s="246">
        <v>0.23740675222371063</v>
      </c>
    </row>
    <row r="771" spans="1:16" s="2" customFormat="1">
      <c r="A771" s="136" t="s">
        <v>1293</v>
      </c>
      <c r="B771" s="125"/>
      <c r="C771" s="126" t="s">
        <v>1294</v>
      </c>
      <c r="D771" s="29"/>
      <c r="E771" s="19" t="s">
        <v>1295</v>
      </c>
      <c r="F771" s="20">
        <f>+F772</f>
        <v>325401000</v>
      </c>
      <c r="G771" s="20">
        <f t="shared" ref="G771:O773" si="254">+G772</f>
        <v>0</v>
      </c>
      <c r="H771" s="20">
        <f t="shared" si="254"/>
        <v>0</v>
      </c>
      <c r="I771" s="20">
        <f t="shared" si="254"/>
        <v>325401000</v>
      </c>
      <c r="J771" s="20">
        <f t="shared" si="254"/>
        <v>0</v>
      </c>
      <c r="K771" s="20">
        <f t="shared" si="254"/>
        <v>325401000</v>
      </c>
      <c r="L771" s="20">
        <f t="shared" si="254"/>
        <v>17509050</v>
      </c>
      <c r="M771" s="20">
        <f t="shared" si="254"/>
        <v>203787720</v>
      </c>
      <c r="N771" s="20">
        <f t="shared" si="254"/>
        <v>17509050</v>
      </c>
      <c r="O771" s="20">
        <f t="shared" si="254"/>
        <v>203787720</v>
      </c>
      <c r="P771" s="243">
        <v>0.23740675222371063</v>
      </c>
    </row>
    <row r="772" spans="1:16" s="7" customFormat="1">
      <c r="A772" s="134" t="s">
        <v>1296</v>
      </c>
      <c r="B772" s="123" t="s">
        <v>1531</v>
      </c>
      <c r="C772" s="124" t="s">
        <v>1297</v>
      </c>
      <c r="D772" s="67"/>
      <c r="E772" s="25" t="s">
        <v>1298</v>
      </c>
      <c r="F772" s="68">
        <f>+F773</f>
        <v>325401000</v>
      </c>
      <c r="G772" s="68">
        <f t="shared" si="254"/>
        <v>0</v>
      </c>
      <c r="H772" s="68">
        <f t="shared" si="254"/>
        <v>0</v>
      </c>
      <c r="I772" s="68">
        <f t="shared" si="254"/>
        <v>325401000</v>
      </c>
      <c r="J772" s="68">
        <f t="shared" si="254"/>
        <v>0</v>
      </c>
      <c r="K772" s="68">
        <f t="shared" si="254"/>
        <v>325401000</v>
      </c>
      <c r="L772" s="68">
        <f t="shared" si="254"/>
        <v>17509050</v>
      </c>
      <c r="M772" s="68">
        <f t="shared" si="254"/>
        <v>203787720</v>
      </c>
      <c r="N772" s="68">
        <f t="shared" si="254"/>
        <v>17509050</v>
      </c>
      <c r="O772" s="68">
        <f t="shared" si="254"/>
        <v>203787720</v>
      </c>
      <c r="P772" s="229">
        <v>0.23740675222371063</v>
      </c>
    </row>
    <row r="773" spans="1:16" s="8" customFormat="1">
      <c r="A773" s="110"/>
      <c r="B773" s="127" t="s">
        <v>2012</v>
      </c>
      <c r="C773" s="78" t="s">
        <v>1299</v>
      </c>
      <c r="D773" s="31"/>
      <c r="E773" s="28" t="s">
        <v>1300</v>
      </c>
      <c r="F773" s="214">
        <f>+F774</f>
        <v>325401000</v>
      </c>
      <c r="G773" s="214">
        <f t="shared" si="254"/>
        <v>0</v>
      </c>
      <c r="H773" s="214">
        <f t="shared" si="254"/>
        <v>0</v>
      </c>
      <c r="I773" s="214">
        <f t="shared" si="254"/>
        <v>325401000</v>
      </c>
      <c r="J773" s="214">
        <f t="shared" si="254"/>
        <v>0</v>
      </c>
      <c r="K773" s="214">
        <f t="shared" si="254"/>
        <v>325401000</v>
      </c>
      <c r="L773" s="214">
        <f t="shared" si="254"/>
        <v>17509050</v>
      </c>
      <c r="M773" s="214">
        <f t="shared" si="254"/>
        <v>203787720</v>
      </c>
      <c r="N773" s="214">
        <f t="shared" si="254"/>
        <v>17509050</v>
      </c>
      <c r="O773" s="214">
        <f t="shared" si="254"/>
        <v>203787720</v>
      </c>
      <c r="P773" s="250">
        <v>0.23740675222371063</v>
      </c>
    </row>
    <row r="774" spans="1:16" s="2" customFormat="1">
      <c r="A774" s="108"/>
      <c r="B774" s="150"/>
      <c r="C774" s="70" t="s">
        <v>1299</v>
      </c>
      <c r="D774" s="33" t="s">
        <v>1986</v>
      </c>
      <c r="E774" s="34" t="s">
        <v>1301</v>
      </c>
      <c r="F774" s="35">
        <v>325401000</v>
      </c>
      <c r="G774" s="210">
        <v>0</v>
      </c>
      <c r="H774" s="210">
        <v>0</v>
      </c>
      <c r="I774" s="210">
        <v>325401000</v>
      </c>
      <c r="J774" s="210">
        <v>0</v>
      </c>
      <c r="K774" s="210">
        <v>325401000</v>
      </c>
      <c r="L774" s="210">
        <v>17509050</v>
      </c>
      <c r="M774" s="210">
        <v>203787720</v>
      </c>
      <c r="N774" s="210">
        <v>17509050</v>
      </c>
      <c r="O774" s="210">
        <v>203787720</v>
      </c>
      <c r="P774" s="242">
        <v>0.23740675222371063</v>
      </c>
    </row>
    <row r="775" spans="1:16" s="2" customFormat="1">
      <c r="A775" s="136" t="s">
        <v>1302</v>
      </c>
      <c r="B775" s="125" t="s">
        <v>1533</v>
      </c>
      <c r="C775" s="126" t="s">
        <v>1303</v>
      </c>
      <c r="D775" s="29"/>
      <c r="E775" s="19" t="s">
        <v>1304</v>
      </c>
      <c r="F775" s="20">
        <f>+F776+F781</f>
        <v>3450410000</v>
      </c>
      <c r="G775" s="20">
        <f t="shared" ref="G775:O775" si="255">+G776+G781</f>
        <v>105500000</v>
      </c>
      <c r="H775" s="20">
        <f t="shared" si="255"/>
        <v>5054103193</v>
      </c>
      <c r="I775" s="20">
        <f t="shared" si="255"/>
        <v>8504513193</v>
      </c>
      <c r="J775" s="20">
        <f t="shared" si="255"/>
        <v>483222772</v>
      </c>
      <c r="K775" s="20">
        <f t="shared" si="255"/>
        <v>3315906251</v>
      </c>
      <c r="L775" s="20">
        <f t="shared" si="255"/>
        <v>140220410</v>
      </c>
      <c r="M775" s="20">
        <f t="shared" si="255"/>
        <v>2752270985</v>
      </c>
      <c r="N775" s="20">
        <f t="shared" si="255"/>
        <v>32700000</v>
      </c>
      <c r="O775" s="20">
        <f t="shared" si="255"/>
        <v>2621650575</v>
      </c>
      <c r="P775" s="243">
        <v>0.23740675222371063</v>
      </c>
    </row>
    <row r="776" spans="1:16" s="7" customFormat="1">
      <c r="A776" s="134" t="s">
        <v>1305</v>
      </c>
      <c r="B776" s="123" t="s">
        <v>1531</v>
      </c>
      <c r="C776" s="124" t="s">
        <v>1306</v>
      </c>
      <c r="D776" s="67"/>
      <c r="E776" s="25" t="s">
        <v>1307</v>
      </c>
      <c r="F776" s="68">
        <f>+F777+F779</f>
        <v>414790000</v>
      </c>
      <c r="G776" s="68">
        <f t="shared" ref="G776:O776" si="256">+G777+G779</f>
        <v>105500000</v>
      </c>
      <c r="H776" s="68">
        <f t="shared" si="256"/>
        <v>105500000</v>
      </c>
      <c r="I776" s="68">
        <f t="shared" si="256"/>
        <v>520290000</v>
      </c>
      <c r="J776" s="68">
        <f t="shared" si="256"/>
        <v>0</v>
      </c>
      <c r="K776" s="68">
        <f t="shared" si="256"/>
        <v>0</v>
      </c>
      <c r="L776" s="68">
        <f t="shared" si="256"/>
        <v>0</v>
      </c>
      <c r="M776" s="68">
        <f t="shared" si="256"/>
        <v>0</v>
      </c>
      <c r="N776" s="68">
        <f t="shared" si="256"/>
        <v>0</v>
      </c>
      <c r="O776" s="68">
        <f t="shared" si="256"/>
        <v>0</v>
      </c>
      <c r="P776" s="229">
        <v>0.23740675222371063</v>
      </c>
    </row>
    <row r="777" spans="1:16" s="8" customFormat="1">
      <c r="A777" s="110"/>
      <c r="B777" s="127" t="s">
        <v>1876</v>
      </c>
      <c r="C777" s="78" t="s">
        <v>1308</v>
      </c>
      <c r="D777" s="31"/>
      <c r="E777" s="28" t="s">
        <v>1309</v>
      </c>
      <c r="F777" s="214">
        <f>+F778</f>
        <v>364790000</v>
      </c>
      <c r="G777" s="214">
        <f t="shared" ref="G777:O777" si="257">+G778</f>
        <v>0</v>
      </c>
      <c r="H777" s="214">
        <f t="shared" si="257"/>
        <v>0</v>
      </c>
      <c r="I777" s="214">
        <f t="shared" si="257"/>
        <v>364790000</v>
      </c>
      <c r="J777" s="214">
        <f t="shared" si="257"/>
        <v>0</v>
      </c>
      <c r="K777" s="214">
        <f t="shared" si="257"/>
        <v>0</v>
      </c>
      <c r="L777" s="214">
        <f t="shared" si="257"/>
        <v>0</v>
      </c>
      <c r="M777" s="214">
        <f t="shared" si="257"/>
        <v>0</v>
      </c>
      <c r="N777" s="214">
        <f t="shared" si="257"/>
        <v>0</v>
      </c>
      <c r="O777" s="214">
        <f t="shared" si="257"/>
        <v>0</v>
      </c>
      <c r="P777" s="250">
        <v>0.23740675222371063</v>
      </c>
    </row>
    <row r="778" spans="1:16" s="7" customFormat="1">
      <c r="A778" s="108"/>
      <c r="B778" s="150"/>
      <c r="C778" s="70" t="s">
        <v>1308</v>
      </c>
      <c r="D778" s="33" t="s">
        <v>1933</v>
      </c>
      <c r="E778" s="34" t="s">
        <v>279</v>
      </c>
      <c r="F778" s="35">
        <v>364790000</v>
      </c>
      <c r="G778" s="210">
        <v>0</v>
      </c>
      <c r="H778" s="210">
        <v>0</v>
      </c>
      <c r="I778" s="210">
        <v>364790000</v>
      </c>
      <c r="J778" s="210">
        <v>0</v>
      </c>
      <c r="K778" s="210">
        <v>0</v>
      </c>
      <c r="L778" s="210">
        <v>0</v>
      </c>
      <c r="M778" s="210">
        <v>0</v>
      </c>
      <c r="N778" s="210">
        <v>0</v>
      </c>
      <c r="O778" s="210">
        <v>0</v>
      </c>
      <c r="P778" s="242">
        <v>0.23740675222371063</v>
      </c>
    </row>
    <row r="779" spans="1:16" s="8" customFormat="1">
      <c r="A779" s="110"/>
      <c r="B779" s="127" t="s">
        <v>1532</v>
      </c>
      <c r="C779" s="78" t="s">
        <v>1310</v>
      </c>
      <c r="D779" s="31"/>
      <c r="E779" s="28" t="s">
        <v>1311</v>
      </c>
      <c r="F779" s="21">
        <f>+F780</f>
        <v>50000000</v>
      </c>
      <c r="G779" s="214">
        <f t="shared" ref="G779:O779" si="258">+G780</f>
        <v>105500000</v>
      </c>
      <c r="H779" s="214">
        <f t="shared" si="258"/>
        <v>105500000</v>
      </c>
      <c r="I779" s="214">
        <f t="shared" si="258"/>
        <v>155500000</v>
      </c>
      <c r="J779" s="214">
        <f t="shared" si="258"/>
        <v>0</v>
      </c>
      <c r="K779" s="214">
        <f t="shared" si="258"/>
        <v>0</v>
      </c>
      <c r="L779" s="214">
        <f t="shared" si="258"/>
        <v>0</v>
      </c>
      <c r="M779" s="214">
        <f t="shared" si="258"/>
        <v>0</v>
      </c>
      <c r="N779" s="214">
        <f t="shared" si="258"/>
        <v>0</v>
      </c>
      <c r="O779" s="214">
        <f t="shared" si="258"/>
        <v>0</v>
      </c>
      <c r="P779" s="250">
        <v>0.23740675222371063</v>
      </c>
    </row>
    <row r="780" spans="1:16" s="2" customFormat="1">
      <c r="A780" s="108"/>
      <c r="B780" s="150"/>
      <c r="C780" s="70" t="s">
        <v>1317</v>
      </c>
      <c r="D780" s="33" t="s">
        <v>1954</v>
      </c>
      <c r="E780" s="34" t="s">
        <v>1020</v>
      </c>
      <c r="F780" s="35">
        <v>50000000</v>
      </c>
      <c r="G780" s="210">
        <v>105500000</v>
      </c>
      <c r="H780" s="210">
        <v>105500000</v>
      </c>
      <c r="I780" s="210">
        <v>155500000</v>
      </c>
      <c r="J780" s="210">
        <v>0</v>
      </c>
      <c r="K780" s="210">
        <v>0</v>
      </c>
      <c r="L780" s="210">
        <v>0</v>
      </c>
      <c r="M780" s="210">
        <v>0</v>
      </c>
      <c r="N780" s="210">
        <v>0</v>
      </c>
      <c r="O780" s="210">
        <v>0</v>
      </c>
      <c r="P780" s="242">
        <v>0.23740675222371063</v>
      </c>
    </row>
    <row r="781" spans="1:16" s="7" customFormat="1">
      <c r="A781" s="134" t="s">
        <v>1312</v>
      </c>
      <c r="B781" s="123" t="s">
        <v>1531</v>
      </c>
      <c r="C781" s="124" t="s">
        <v>1313</v>
      </c>
      <c r="D781" s="67"/>
      <c r="E781" s="25" t="s">
        <v>1314</v>
      </c>
      <c r="F781" s="68">
        <f>+F782+F784+F786+F788+F790+F792+F794+F796+F797+F799+F801</f>
        <v>3035620000</v>
      </c>
      <c r="G781" s="68">
        <f t="shared" ref="G781:O781" si="259">+G782+G784+G786+G788+G790+G792+G794+G796+G797+G799+G801</f>
        <v>0</v>
      </c>
      <c r="H781" s="68">
        <f t="shared" si="259"/>
        <v>4948603193</v>
      </c>
      <c r="I781" s="68">
        <f t="shared" si="259"/>
        <v>7984223193</v>
      </c>
      <c r="J781" s="68">
        <f t="shared" si="259"/>
        <v>483222772</v>
      </c>
      <c r="K781" s="68">
        <f t="shared" si="259"/>
        <v>3315906251</v>
      </c>
      <c r="L781" s="68">
        <f t="shared" si="259"/>
        <v>140220410</v>
      </c>
      <c r="M781" s="68">
        <f t="shared" si="259"/>
        <v>2752270985</v>
      </c>
      <c r="N781" s="68">
        <f t="shared" si="259"/>
        <v>32700000</v>
      </c>
      <c r="O781" s="68">
        <f t="shared" si="259"/>
        <v>2621650575</v>
      </c>
      <c r="P781" s="229">
        <v>0.23740675222371063</v>
      </c>
    </row>
    <row r="782" spans="1:16" s="8" customFormat="1">
      <c r="A782" s="110"/>
      <c r="B782" s="127" t="s">
        <v>1877</v>
      </c>
      <c r="C782" s="78" t="s">
        <v>1315</v>
      </c>
      <c r="D782" s="31"/>
      <c r="E782" s="28" t="s">
        <v>1316</v>
      </c>
      <c r="F782" s="21">
        <f>+F783</f>
        <v>1580000000</v>
      </c>
      <c r="G782" s="214">
        <f t="shared" ref="G782:O782" si="260">+G783</f>
        <v>0</v>
      </c>
      <c r="H782" s="214">
        <f t="shared" si="260"/>
        <v>80000000</v>
      </c>
      <c r="I782" s="214">
        <f t="shared" si="260"/>
        <v>1660000000</v>
      </c>
      <c r="J782" s="214">
        <f t="shared" si="260"/>
        <v>0</v>
      </c>
      <c r="K782" s="214">
        <f t="shared" si="260"/>
        <v>572247000</v>
      </c>
      <c r="L782" s="214">
        <f t="shared" si="260"/>
        <v>0</v>
      </c>
      <c r="M782" s="214">
        <f t="shared" si="260"/>
        <v>570823500</v>
      </c>
      <c r="N782" s="214">
        <f t="shared" si="260"/>
        <v>0</v>
      </c>
      <c r="O782" s="214">
        <f t="shared" si="260"/>
        <v>570823500</v>
      </c>
      <c r="P782" s="250">
        <v>0.23740675222371063</v>
      </c>
    </row>
    <row r="783" spans="1:16" s="7" customFormat="1">
      <c r="A783" s="108"/>
      <c r="B783" s="150"/>
      <c r="C783" s="70" t="s">
        <v>1315</v>
      </c>
      <c r="D783" s="33" t="s">
        <v>1954</v>
      </c>
      <c r="E783" s="34" t="s">
        <v>1020</v>
      </c>
      <c r="F783" s="35">
        <v>1580000000</v>
      </c>
      <c r="G783" s="210">
        <v>0</v>
      </c>
      <c r="H783" s="210">
        <v>80000000</v>
      </c>
      <c r="I783" s="210">
        <v>1660000000</v>
      </c>
      <c r="J783" s="210">
        <v>0</v>
      </c>
      <c r="K783" s="210">
        <v>572247000</v>
      </c>
      <c r="L783" s="210">
        <v>0</v>
      </c>
      <c r="M783" s="210">
        <v>570823500</v>
      </c>
      <c r="N783" s="210">
        <v>0</v>
      </c>
      <c r="O783" s="210">
        <v>570823500</v>
      </c>
      <c r="P783" s="242">
        <v>0.23740675222371063</v>
      </c>
    </row>
    <row r="784" spans="1:16" s="8" customFormat="1">
      <c r="A784" s="110"/>
      <c r="B784" s="127" t="s">
        <v>1878</v>
      </c>
      <c r="C784" s="78" t="s">
        <v>1317</v>
      </c>
      <c r="D784" s="31"/>
      <c r="E784" s="28" t="s">
        <v>1318</v>
      </c>
      <c r="F784" s="21">
        <f>+F785</f>
        <v>50000000</v>
      </c>
      <c r="G784" s="214">
        <f t="shared" ref="G784:O784" si="261">+G785</f>
        <v>0</v>
      </c>
      <c r="H784" s="214">
        <f t="shared" si="261"/>
        <v>0</v>
      </c>
      <c r="I784" s="214">
        <f t="shared" si="261"/>
        <v>50000000</v>
      </c>
      <c r="J784" s="214">
        <f t="shared" si="261"/>
        <v>0</v>
      </c>
      <c r="K784" s="214">
        <f t="shared" si="261"/>
        <v>0</v>
      </c>
      <c r="L784" s="214">
        <f t="shared" si="261"/>
        <v>0</v>
      </c>
      <c r="M784" s="214">
        <f t="shared" si="261"/>
        <v>0</v>
      </c>
      <c r="N784" s="214">
        <f t="shared" si="261"/>
        <v>0</v>
      </c>
      <c r="O784" s="214">
        <f t="shared" si="261"/>
        <v>0</v>
      </c>
      <c r="P784" s="250">
        <v>0.23740675222371063</v>
      </c>
    </row>
    <row r="785" spans="1:16" s="7" customFormat="1">
      <c r="A785" s="108"/>
      <c r="B785" s="150"/>
      <c r="C785" s="70" t="s">
        <v>1317</v>
      </c>
      <c r="D785" s="33" t="s">
        <v>1954</v>
      </c>
      <c r="E785" s="34" t="s">
        <v>1020</v>
      </c>
      <c r="F785" s="35">
        <v>50000000</v>
      </c>
      <c r="G785" s="210">
        <v>0</v>
      </c>
      <c r="H785" s="210">
        <v>0</v>
      </c>
      <c r="I785" s="210">
        <v>50000000</v>
      </c>
      <c r="J785" s="210">
        <v>0</v>
      </c>
      <c r="K785" s="210">
        <v>0</v>
      </c>
      <c r="L785" s="210">
        <v>0</v>
      </c>
      <c r="M785" s="210">
        <v>0</v>
      </c>
      <c r="N785" s="210">
        <v>0</v>
      </c>
      <c r="O785" s="210">
        <v>0</v>
      </c>
      <c r="P785" s="242">
        <v>0.23740675222371063</v>
      </c>
    </row>
    <row r="786" spans="1:16" s="8" customFormat="1">
      <c r="A786" s="110"/>
      <c r="B786" s="127" t="s">
        <v>1879</v>
      </c>
      <c r="C786" s="78" t="s">
        <v>1319</v>
      </c>
      <c r="D786" s="31"/>
      <c r="E786" s="28" t="s">
        <v>1320</v>
      </c>
      <c r="F786" s="21">
        <f>+F787</f>
        <v>251425000</v>
      </c>
      <c r="G786" s="214">
        <f t="shared" ref="G786:O786" si="262">+G787</f>
        <v>0</v>
      </c>
      <c r="H786" s="214">
        <f t="shared" si="262"/>
        <v>276568220</v>
      </c>
      <c r="I786" s="214">
        <f t="shared" si="262"/>
        <v>527993220</v>
      </c>
      <c r="J786" s="214">
        <f t="shared" si="262"/>
        <v>107351240</v>
      </c>
      <c r="K786" s="214">
        <f t="shared" si="262"/>
        <v>315450039</v>
      </c>
      <c r="L786" s="214">
        <f t="shared" si="262"/>
        <v>67564210</v>
      </c>
      <c r="M786" s="214">
        <f t="shared" si="262"/>
        <v>211349959</v>
      </c>
      <c r="N786" s="214">
        <f t="shared" si="262"/>
        <v>32700000</v>
      </c>
      <c r="O786" s="214">
        <f t="shared" si="262"/>
        <v>153385749</v>
      </c>
      <c r="P786" s="250">
        <v>0.23740675222371063</v>
      </c>
    </row>
    <row r="787" spans="1:16" s="7" customFormat="1">
      <c r="A787" s="108"/>
      <c r="B787" s="150"/>
      <c r="C787" s="70" t="s">
        <v>1319</v>
      </c>
      <c r="D787" s="33" t="s">
        <v>1940</v>
      </c>
      <c r="E787" s="34" t="s">
        <v>912</v>
      </c>
      <c r="F787" s="35">
        <v>251425000</v>
      </c>
      <c r="G787" s="210">
        <v>0</v>
      </c>
      <c r="H787" s="210">
        <v>276568220</v>
      </c>
      <c r="I787" s="210">
        <v>527993220</v>
      </c>
      <c r="J787" s="210">
        <v>107351240</v>
      </c>
      <c r="K787" s="210">
        <v>315450039</v>
      </c>
      <c r="L787" s="210">
        <v>67564210</v>
      </c>
      <c r="M787" s="210">
        <v>211349959</v>
      </c>
      <c r="N787" s="210">
        <v>32700000</v>
      </c>
      <c r="O787" s="210">
        <v>153385749</v>
      </c>
      <c r="P787" s="242">
        <v>0.23740675222371063</v>
      </c>
    </row>
    <row r="788" spans="1:16" s="8" customFormat="1">
      <c r="A788" s="110"/>
      <c r="B788" s="127" t="s">
        <v>1880</v>
      </c>
      <c r="C788" s="78" t="s">
        <v>1321</v>
      </c>
      <c r="D788" s="31"/>
      <c r="E788" s="28" t="s">
        <v>1322</v>
      </c>
      <c r="F788" s="21">
        <f>+F789</f>
        <v>412597000</v>
      </c>
      <c r="G788" s="214">
        <f t="shared" ref="G788:O788" si="263">+G789</f>
        <v>0</v>
      </c>
      <c r="H788" s="214">
        <f t="shared" si="263"/>
        <v>992603549</v>
      </c>
      <c r="I788" s="214">
        <f t="shared" si="263"/>
        <v>1405200549</v>
      </c>
      <c r="J788" s="214">
        <f t="shared" si="263"/>
        <v>79280200</v>
      </c>
      <c r="K788" s="214">
        <f t="shared" si="263"/>
        <v>435922185</v>
      </c>
      <c r="L788" s="214">
        <f t="shared" si="263"/>
        <v>72656200</v>
      </c>
      <c r="M788" s="214">
        <f t="shared" si="263"/>
        <v>429298185</v>
      </c>
      <c r="N788" s="214">
        <f t="shared" si="263"/>
        <v>0</v>
      </c>
      <c r="O788" s="214">
        <f t="shared" si="263"/>
        <v>356641985</v>
      </c>
      <c r="P788" s="250">
        <v>0.23740675222371063</v>
      </c>
    </row>
    <row r="789" spans="1:16" s="7" customFormat="1">
      <c r="A789" s="108"/>
      <c r="B789" s="150"/>
      <c r="C789" s="70" t="s">
        <v>1321</v>
      </c>
      <c r="D789" s="33" t="s">
        <v>1937</v>
      </c>
      <c r="E789" s="34" t="s">
        <v>909</v>
      </c>
      <c r="F789" s="35">
        <v>412597000</v>
      </c>
      <c r="G789" s="210">
        <v>0</v>
      </c>
      <c r="H789" s="210">
        <v>992603549</v>
      </c>
      <c r="I789" s="210">
        <v>1405200549</v>
      </c>
      <c r="J789" s="210">
        <v>79280200</v>
      </c>
      <c r="K789" s="210">
        <v>435922185</v>
      </c>
      <c r="L789" s="210">
        <v>72656200</v>
      </c>
      <c r="M789" s="210">
        <v>429298185</v>
      </c>
      <c r="N789" s="210">
        <v>0</v>
      </c>
      <c r="O789" s="210">
        <v>356641985</v>
      </c>
      <c r="P789" s="242">
        <v>0.23740675222371063</v>
      </c>
    </row>
    <row r="790" spans="1:16" s="8" customFormat="1">
      <c r="A790" s="110"/>
      <c r="B790" s="127" t="s">
        <v>1881</v>
      </c>
      <c r="C790" s="78" t="s">
        <v>1323</v>
      </c>
      <c r="D790" s="31"/>
      <c r="E790" s="28" t="s">
        <v>1324</v>
      </c>
      <c r="F790" s="21">
        <f>+F791</f>
        <v>339690000</v>
      </c>
      <c r="G790" s="214">
        <f t="shared" ref="G790:O790" si="264">+G791</f>
        <v>0</v>
      </c>
      <c r="H790" s="214">
        <f t="shared" si="264"/>
        <v>523659000</v>
      </c>
      <c r="I790" s="214">
        <f t="shared" si="264"/>
        <v>863349000</v>
      </c>
      <c r="J790" s="214">
        <f t="shared" si="264"/>
        <v>-3408668</v>
      </c>
      <c r="K790" s="214">
        <f t="shared" si="264"/>
        <v>413681524</v>
      </c>
      <c r="L790" s="214">
        <f t="shared" si="264"/>
        <v>0</v>
      </c>
      <c r="M790" s="214">
        <f t="shared" si="264"/>
        <v>413681524</v>
      </c>
      <c r="N790" s="214">
        <f t="shared" si="264"/>
        <v>0</v>
      </c>
      <c r="O790" s="214">
        <f t="shared" si="264"/>
        <v>413681524</v>
      </c>
      <c r="P790" s="250">
        <v>0.23740675222371063</v>
      </c>
    </row>
    <row r="791" spans="1:16" s="7" customFormat="1">
      <c r="A791" s="108"/>
      <c r="B791" s="150"/>
      <c r="C791" s="70" t="s">
        <v>1323</v>
      </c>
      <c r="D791" s="33" t="s">
        <v>1936</v>
      </c>
      <c r="E791" s="34" t="s">
        <v>908</v>
      </c>
      <c r="F791" s="35">
        <v>339690000</v>
      </c>
      <c r="G791" s="210">
        <v>0</v>
      </c>
      <c r="H791" s="210">
        <v>523659000</v>
      </c>
      <c r="I791" s="210">
        <v>863349000</v>
      </c>
      <c r="J791" s="210">
        <v>-3408668</v>
      </c>
      <c r="K791" s="210">
        <v>413681524</v>
      </c>
      <c r="L791" s="210">
        <v>0</v>
      </c>
      <c r="M791" s="210">
        <v>413681524</v>
      </c>
      <c r="N791" s="210">
        <v>0</v>
      </c>
      <c r="O791" s="210">
        <v>413681524</v>
      </c>
      <c r="P791" s="242">
        <v>0.23740675222371063</v>
      </c>
    </row>
    <row r="792" spans="1:16" s="8" customFormat="1">
      <c r="A792" s="110"/>
      <c r="B792" s="127" t="s">
        <v>1882</v>
      </c>
      <c r="C792" s="78" t="s">
        <v>1325</v>
      </c>
      <c r="D792" s="31"/>
      <c r="E792" s="28" t="s">
        <v>1326</v>
      </c>
      <c r="F792" s="21">
        <f>+F793</f>
        <v>139787000</v>
      </c>
      <c r="G792" s="214">
        <f t="shared" ref="G792:O792" si="265">+G793</f>
        <v>0</v>
      </c>
      <c r="H792" s="214">
        <f t="shared" si="265"/>
        <v>2152583114</v>
      </c>
      <c r="I792" s="214">
        <f t="shared" si="265"/>
        <v>2292370114</v>
      </c>
      <c r="J792" s="214">
        <f t="shared" si="265"/>
        <v>0</v>
      </c>
      <c r="K792" s="214">
        <f t="shared" si="265"/>
        <v>731131920</v>
      </c>
      <c r="L792" s="214">
        <f t="shared" si="265"/>
        <v>0</v>
      </c>
      <c r="M792" s="214">
        <f t="shared" si="265"/>
        <v>731131920</v>
      </c>
      <c r="N792" s="214">
        <f t="shared" si="265"/>
        <v>0</v>
      </c>
      <c r="O792" s="214">
        <f t="shared" si="265"/>
        <v>731131920</v>
      </c>
      <c r="P792" s="250">
        <v>0.23740675222371063</v>
      </c>
    </row>
    <row r="793" spans="1:16" s="7" customFormat="1">
      <c r="A793" s="108"/>
      <c r="B793" s="150"/>
      <c r="C793" s="70" t="s">
        <v>1325</v>
      </c>
      <c r="D793" s="33" t="s">
        <v>1938</v>
      </c>
      <c r="E793" s="34" t="s">
        <v>1019</v>
      </c>
      <c r="F793" s="35">
        <v>139787000</v>
      </c>
      <c r="G793" s="210">
        <v>0</v>
      </c>
      <c r="H793" s="210">
        <v>2152583114</v>
      </c>
      <c r="I793" s="210">
        <v>2292370114</v>
      </c>
      <c r="J793" s="210">
        <v>0</v>
      </c>
      <c r="K793" s="210">
        <v>731131920</v>
      </c>
      <c r="L793" s="210">
        <v>0</v>
      </c>
      <c r="M793" s="210">
        <v>731131920</v>
      </c>
      <c r="N793" s="210">
        <v>0</v>
      </c>
      <c r="O793" s="210">
        <v>731131920</v>
      </c>
      <c r="P793" s="242">
        <v>0.23740675222371063</v>
      </c>
    </row>
    <row r="794" spans="1:16" s="8" customFormat="1">
      <c r="A794" s="110"/>
      <c r="B794" s="127" t="s">
        <v>1883</v>
      </c>
      <c r="C794" s="78" t="s">
        <v>1327</v>
      </c>
      <c r="D794" s="31"/>
      <c r="E794" s="28" t="s">
        <v>1328</v>
      </c>
      <c r="F794" s="21">
        <f>+F795</f>
        <v>21506000</v>
      </c>
      <c r="G794" s="214">
        <f t="shared" ref="G794:O794" si="266">+G795</f>
        <v>0</v>
      </c>
      <c r="H794" s="214">
        <f t="shared" si="266"/>
        <v>350837400</v>
      </c>
      <c r="I794" s="214">
        <f t="shared" si="266"/>
        <v>372343400</v>
      </c>
      <c r="J794" s="214">
        <f t="shared" si="266"/>
        <v>0</v>
      </c>
      <c r="K794" s="214">
        <f t="shared" si="266"/>
        <v>141419798</v>
      </c>
      <c r="L794" s="214">
        <f t="shared" si="266"/>
        <v>0</v>
      </c>
      <c r="M794" s="214">
        <f t="shared" si="266"/>
        <v>141419798</v>
      </c>
      <c r="N794" s="214">
        <f t="shared" si="266"/>
        <v>0</v>
      </c>
      <c r="O794" s="214">
        <f t="shared" si="266"/>
        <v>141419798</v>
      </c>
      <c r="P794" s="250">
        <v>0.23740675222371063</v>
      </c>
    </row>
    <row r="795" spans="1:16" s="7" customFormat="1">
      <c r="A795" s="108"/>
      <c r="B795" s="150"/>
      <c r="C795" s="70" t="s">
        <v>1327</v>
      </c>
      <c r="D795" s="33" t="s">
        <v>1939</v>
      </c>
      <c r="E795" s="34" t="s">
        <v>911</v>
      </c>
      <c r="F795" s="35">
        <v>21506000</v>
      </c>
      <c r="G795" s="210">
        <v>0</v>
      </c>
      <c r="H795" s="210">
        <v>350837400</v>
      </c>
      <c r="I795" s="210">
        <v>372343400</v>
      </c>
      <c r="J795" s="210">
        <v>0</v>
      </c>
      <c r="K795" s="210">
        <v>141419798</v>
      </c>
      <c r="L795" s="210">
        <v>0</v>
      </c>
      <c r="M795" s="210">
        <v>141419798</v>
      </c>
      <c r="N795" s="210">
        <v>0</v>
      </c>
      <c r="O795" s="210">
        <v>141419798</v>
      </c>
      <c r="P795" s="242">
        <v>0.23740675222371063</v>
      </c>
    </row>
    <row r="796" spans="1:16" s="7" customFormat="1">
      <c r="A796" s="110"/>
      <c r="B796" s="127" t="s">
        <v>1994</v>
      </c>
      <c r="C796" s="78" t="s">
        <v>1995</v>
      </c>
      <c r="D796" s="31"/>
      <c r="E796" s="28" t="s">
        <v>1996</v>
      </c>
      <c r="F796" s="21">
        <v>0</v>
      </c>
      <c r="G796" s="214">
        <v>0</v>
      </c>
      <c r="H796" s="214">
        <v>0</v>
      </c>
      <c r="I796" s="214">
        <v>0</v>
      </c>
      <c r="J796" s="214">
        <v>0</v>
      </c>
      <c r="K796" s="214">
        <v>0</v>
      </c>
      <c r="L796" s="214">
        <v>0</v>
      </c>
      <c r="M796" s="214">
        <v>0</v>
      </c>
      <c r="N796" s="214">
        <v>0</v>
      </c>
      <c r="O796" s="214">
        <v>0</v>
      </c>
      <c r="P796" s="250">
        <v>0.23740675222371063</v>
      </c>
    </row>
    <row r="797" spans="1:16" s="8" customFormat="1">
      <c r="A797" s="110"/>
      <c r="B797" s="127" t="s">
        <v>1884</v>
      </c>
      <c r="C797" s="78" t="s">
        <v>1329</v>
      </c>
      <c r="D797" s="31"/>
      <c r="E797" s="28" t="s">
        <v>1330</v>
      </c>
      <c r="F797" s="21">
        <f>+F798</f>
        <v>240615000</v>
      </c>
      <c r="G797" s="214">
        <f t="shared" ref="G797:O797" si="267">+G798</f>
        <v>0</v>
      </c>
      <c r="H797" s="214">
        <f t="shared" si="267"/>
        <v>572351910</v>
      </c>
      <c r="I797" s="214">
        <f t="shared" si="267"/>
        <v>812966910</v>
      </c>
      <c r="J797" s="214">
        <f t="shared" si="267"/>
        <v>300000000</v>
      </c>
      <c r="K797" s="214">
        <f t="shared" si="267"/>
        <v>706053785</v>
      </c>
      <c r="L797" s="214">
        <f t="shared" si="267"/>
        <v>0</v>
      </c>
      <c r="M797" s="214">
        <f t="shared" si="267"/>
        <v>254566099</v>
      </c>
      <c r="N797" s="214">
        <f t="shared" si="267"/>
        <v>0</v>
      </c>
      <c r="O797" s="214">
        <f t="shared" si="267"/>
        <v>254566099</v>
      </c>
      <c r="P797" s="250">
        <v>0.23740675222371063</v>
      </c>
    </row>
    <row r="798" spans="1:16" s="7" customFormat="1">
      <c r="A798" s="108"/>
      <c r="B798" s="150"/>
      <c r="C798" s="70" t="s">
        <v>1329</v>
      </c>
      <c r="D798" s="33" t="s">
        <v>1942</v>
      </c>
      <c r="E798" s="34" t="s">
        <v>913</v>
      </c>
      <c r="F798" s="35">
        <v>240615000</v>
      </c>
      <c r="G798" s="210">
        <v>0</v>
      </c>
      <c r="H798" s="210">
        <v>572351910</v>
      </c>
      <c r="I798" s="210">
        <v>812966910</v>
      </c>
      <c r="J798" s="210">
        <v>300000000</v>
      </c>
      <c r="K798" s="210">
        <v>706053785</v>
      </c>
      <c r="L798" s="210">
        <v>0</v>
      </c>
      <c r="M798" s="210">
        <v>254566099</v>
      </c>
      <c r="N798" s="210">
        <v>0</v>
      </c>
      <c r="O798" s="210">
        <v>254566099</v>
      </c>
      <c r="P798" s="242">
        <v>0.23740675222371063</v>
      </c>
    </row>
    <row r="799" spans="1:16" s="8" customFormat="1">
      <c r="A799" s="110"/>
      <c r="B799" s="127"/>
      <c r="C799" s="78" t="s">
        <v>1331</v>
      </c>
      <c r="D799" s="31"/>
      <c r="E799" s="28" t="s">
        <v>1332</v>
      </c>
      <c r="F799" s="21">
        <f>+F800</f>
        <v>0</v>
      </c>
      <c r="G799" s="214">
        <f t="shared" ref="G799:O799" si="268">+G800</f>
        <v>0</v>
      </c>
      <c r="H799" s="214">
        <f t="shared" si="268"/>
        <v>0</v>
      </c>
      <c r="I799" s="214">
        <f t="shared" si="268"/>
        <v>0</v>
      </c>
      <c r="J799" s="214">
        <f t="shared" si="268"/>
        <v>0</v>
      </c>
      <c r="K799" s="214">
        <f t="shared" si="268"/>
        <v>0</v>
      </c>
      <c r="L799" s="214">
        <f t="shared" si="268"/>
        <v>0</v>
      </c>
      <c r="M799" s="214">
        <f t="shared" si="268"/>
        <v>0</v>
      </c>
      <c r="N799" s="214">
        <f t="shared" si="268"/>
        <v>0</v>
      </c>
      <c r="O799" s="214">
        <f t="shared" si="268"/>
        <v>0</v>
      </c>
      <c r="P799" s="250">
        <v>0.23740675222371063</v>
      </c>
    </row>
    <row r="800" spans="1:16" s="7" customFormat="1">
      <c r="A800" s="108"/>
      <c r="B800" s="150"/>
      <c r="C800" s="70" t="s">
        <v>1331</v>
      </c>
      <c r="D800" s="33" t="s">
        <v>1913</v>
      </c>
      <c r="E800" s="34" t="s">
        <v>1094</v>
      </c>
      <c r="F800" s="35"/>
      <c r="G800" s="210"/>
      <c r="H800" s="210"/>
      <c r="I800" s="210"/>
      <c r="J800" s="210"/>
      <c r="K800" s="210"/>
      <c r="L800" s="210"/>
      <c r="M800" s="210"/>
      <c r="N800" s="210"/>
      <c r="O800" s="210"/>
      <c r="P800" s="242">
        <v>0.23740675222371063</v>
      </c>
    </row>
    <row r="801" spans="1:16" s="2" customFormat="1">
      <c r="A801" s="110"/>
      <c r="B801" s="127" t="s">
        <v>1885</v>
      </c>
      <c r="C801" s="78" t="s">
        <v>1333</v>
      </c>
      <c r="D801" s="31"/>
      <c r="E801" s="28" t="s">
        <v>1334</v>
      </c>
      <c r="F801" s="214">
        <v>0</v>
      </c>
      <c r="G801" s="214">
        <v>0</v>
      </c>
      <c r="H801" s="214">
        <v>0</v>
      </c>
      <c r="I801" s="214">
        <v>0</v>
      </c>
      <c r="J801" s="214">
        <v>0</v>
      </c>
      <c r="K801" s="214">
        <v>0</v>
      </c>
      <c r="L801" s="214">
        <v>0</v>
      </c>
      <c r="M801" s="214">
        <v>0</v>
      </c>
      <c r="N801" s="214">
        <v>0</v>
      </c>
      <c r="O801" s="214">
        <v>0</v>
      </c>
      <c r="P801" s="250">
        <v>0.23740675222371063</v>
      </c>
    </row>
    <row r="802" spans="1:16" s="2" customFormat="1">
      <c r="A802" s="136" t="s">
        <v>1335</v>
      </c>
      <c r="B802" s="125" t="s">
        <v>1886</v>
      </c>
      <c r="C802" s="126" t="s">
        <v>1336</v>
      </c>
      <c r="D802" s="29"/>
      <c r="E802" s="19" t="s">
        <v>1337</v>
      </c>
      <c r="F802" s="20">
        <f>+F803</f>
        <v>150000000</v>
      </c>
      <c r="G802" s="20">
        <f t="shared" ref="G802:O804" si="269">+G803</f>
        <v>0</v>
      </c>
      <c r="H802" s="20">
        <f t="shared" si="269"/>
        <v>0</v>
      </c>
      <c r="I802" s="20">
        <f t="shared" si="269"/>
        <v>150000000</v>
      </c>
      <c r="J802" s="20">
        <f t="shared" si="269"/>
        <v>51252206</v>
      </c>
      <c r="K802" s="20">
        <f t="shared" si="269"/>
        <v>112628907</v>
      </c>
      <c r="L802" s="20">
        <f t="shared" si="269"/>
        <v>0</v>
      </c>
      <c r="M802" s="20">
        <f t="shared" si="269"/>
        <v>11376701</v>
      </c>
      <c r="N802" s="20">
        <f t="shared" si="269"/>
        <v>0</v>
      </c>
      <c r="O802" s="20">
        <f t="shared" si="269"/>
        <v>0</v>
      </c>
      <c r="P802" s="243">
        <v>0.23740675222371063</v>
      </c>
    </row>
    <row r="803" spans="1:16" s="7" customFormat="1">
      <c r="A803" s="134" t="s">
        <v>1338</v>
      </c>
      <c r="B803" s="123" t="s">
        <v>1531</v>
      </c>
      <c r="C803" s="124" t="s">
        <v>1339</v>
      </c>
      <c r="D803" s="67"/>
      <c r="E803" s="25" t="s">
        <v>1340</v>
      </c>
      <c r="F803" s="68">
        <f>+F804</f>
        <v>150000000</v>
      </c>
      <c r="G803" s="68">
        <f t="shared" si="269"/>
        <v>0</v>
      </c>
      <c r="H803" s="68">
        <f t="shared" si="269"/>
        <v>0</v>
      </c>
      <c r="I803" s="68">
        <f t="shared" si="269"/>
        <v>150000000</v>
      </c>
      <c r="J803" s="68">
        <f t="shared" si="269"/>
        <v>51252206</v>
      </c>
      <c r="K803" s="68">
        <f t="shared" si="269"/>
        <v>112628907</v>
      </c>
      <c r="L803" s="68">
        <f t="shared" si="269"/>
        <v>0</v>
      </c>
      <c r="M803" s="68">
        <f t="shared" si="269"/>
        <v>11376701</v>
      </c>
      <c r="N803" s="68">
        <f t="shared" si="269"/>
        <v>0</v>
      </c>
      <c r="O803" s="68">
        <f t="shared" si="269"/>
        <v>0</v>
      </c>
      <c r="P803" s="229">
        <v>0.23740675222371063</v>
      </c>
    </row>
    <row r="804" spans="1:16" s="8" customFormat="1">
      <c r="A804" s="110"/>
      <c r="B804" s="127" t="s">
        <v>1530</v>
      </c>
      <c r="C804" s="78" t="s">
        <v>1341</v>
      </c>
      <c r="D804" s="31"/>
      <c r="E804" s="28" t="s">
        <v>1342</v>
      </c>
      <c r="F804" s="214">
        <f>+F805</f>
        <v>150000000</v>
      </c>
      <c r="G804" s="214">
        <f t="shared" si="269"/>
        <v>0</v>
      </c>
      <c r="H804" s="214">
        <f t="shared" si="269"/>
        <v>0</v>
      </c>
      <c r="I804" s="214">
        <f t="shared" si="269"/>
        <v>150000000</v>
      </c>
      <c r="J804" s="214">
        <f t="shared" si="269"/>
        <v>51252206</v>
      </c>
      <c r="K804" s="214">
        <f t="shared" si="269"/>
        <v>112628907</v>
      </c>
      <c r="L804" s="214">
        <f t="shared" si="269"/>
        <v>0</v>
      </c>
      <c r="M804" s="214">
        <f t="shared" si="269"/>
        <v>11376701</v>
      </c>
      <c r="N804" s="214">
        <f t="shared" si="269"/>
        <v>0</v>
      </c>
      <c r="O804" s="214">
        <f t="shared" si="269"/>
        <v>0</v>
      </c>
      <c r="P804" s="250">
        <v>0.23740675222371063</v>
      </c>
    </row>
    <row r="805" spans="1:16" s="2" customFormat="1">
      <c r="A805" s="108"/>
      <c r="B805" s="150"/>
      <c r="C805" s="70" t="s">
        <v>1341</v>
      </c>
      <c r="D805" s="33" t="s">
        <v>1933</v>
      </c>
      <c r="E805" s="34" t="s">
        <v>279</v>
      </c>
      <c r="F805" s="35">
        <v>150000000</v>
      </c>
      <c r="G805" s="210">
        <v>0</v>
      </c>
      <c r="H805" s="210">
        <v>0</v>
      </c>
      <c r="I805" s="210">
        <v>150000000</v>
      </c>
      <c r="J805" s="210">
        <v>51252206</v>
      </c>
      <c r="K805" s="210">
        <v>112628907</v>
      </c>
      <c r="L805" s="210">
        <v>0</v>
      </c>
      <c r="M805" s="210">
        <v>11376701</v>
      </c>
      <c r="N805" s="210">
        <v>0</v>
      </c>
      <c r="O805" s="210">
        <v>0</v>
      </c>
      <c r="P805" s="242">
        <v>0.23740675222371063</v>
      </c>
    </row>
    <row r="806" spans="1:16" s="7" customFormat="1">
      <c r="A806" s="136" t="s">
        <v>1343</v>
      </c>
      <c r="B806" s="125" t="s">
        <v>1887</v>
      </c>
      <c r="C806" s="126" t="s">
        <v>1344</v>
      </c>
      <c r="D806" s="29"/>
      <c r="E806" s="19" t="s">
        <v>1345</v>
      </c>
      <c r="F806" s="20">
        <f>+F807+F809+F811</f>
        <v>126491000</v>
      </c>
      <c r="G806" s="20">
        <f t="shared" ref="G806:O806" si="270">+G807+G809+G811</f>
        <v>0</v>
      </c>
      <c r="H806" s="20">
        <f t="shared" si="270"/>
        <v>480642940</v>
      </c>
      <c r="I806" s="20">
        <f t="shared" si="270"/>
        <v>607133940</v>
      </c>
      <c r="J806" s="20">
        <f t="shared" si="270"/>
        <v>0</v>
      </c>
      <c r="K806" s="20">
        <f t="shared" si="270"/>
        <v>577133940</v>
      </c>
      <c r="L806" s="20">
        <f t="shared" si="270"/>
        <v>49957951</v>
      </c>
      <c r="M806" s="20">
        <f t="shared" si="270"/>
        <v>336849896</v>
      </c>
      <c r="N806" s="20">
        <f t="shared" si="270"/>
        <v>49957951</v>
      </c>
      <c r="O806" s="20">
        <f t="shared" si="270"/>
        <v>336754366</v>
      </c>
      <c r="P806" s="243">
        <v>0.23740675222371063</v>
      </c>
    </row>
    <row r="807" spans="1:16" s="8" customFormat="1">
      <c r="A807" s="110" t="s">
        <v>1346</v>
      </c>
      <c r="B807" s="127" t="s">
        <v>1888</v>
      </c>
      <c r="C807" s="78" t="s">
        <v>1347</v>
      </c>
      <c r="D807" s="31"/>
      <c r="E807" s="28" t="s">
        <v>1348</v>
      </c>
      <c r="F807" s="21">
        <f>+F808</f>
        <v>36491000</v>
      </c>
      <c r="G807" s="214">
        <f t="shared" ref="G807:O807" si="271">+G808</f>
        <v>0</v>
      </c>
      <c r="H807" s="214">
        <f t="shared" si="271"/>
        <v>318588460</v>
      </c>
      <c r="I807" s="214">
        <f t="shared" si="271"/>
        <v>355079460</v>
      </c>
      <c r="J807" s="214">
        <f t="shared" si="271"/>
        <v>0</v>
      </c>
      <c r="K807" s="214">
        <f t="shared" si="271"/>
        <v>355079460</v>
      </c>
      <c r="L807" s="214">
        <f t="shared" si="271"/>
        <v>30166631</v>
      </c>
      <c r="M807" s="214">
        <f t="shared" si="271"/>
        <v>221533613</v>
      </c>
      <c r="N807" s="214">
        <f t="shared" si="271"/>
        <v>30166631</v>
      </c>
      <c r="O807" s="214">
        <f t="shared" si="271"/>
        <v>221533613</v>
      </c>
      <c r="P807" s="250">
        <v>0.23740675222371063</v>
      </c>
    </row>
    <row r="808" spans="1:16" s="7" customFormat="1">
      <c r="A808" s="108"/>
      <c r="B808" s="150"/>
      <c r="C808" s="70" t="s">
        <v>1347</v>
      </c>
      <c r="D808" s="33" t="s">
        <v>1909</v>
      </c>
      <c r="E808" s="34" t="s">
        <v>819</v>
      </c>
      <c r="F808" s="35">
        <v>36491000</v>
      </c>
      <c r="G808" s="210">
        <v>0</v>
      </c>
      <c r="H808" s="210">
        <v>318588460</v>
      </c>
      <c r="I808" s="210">
        <v>355079460</v>
      </c>
      <c r="J808" s="210">
        <v>0</v>
      </c>
      <c r="K808" s="210">
        <v>355079460</v>
      </c>
      <c r="L808" s="210">
        <v>30166631</v>
      </c>
      <c r="M808" s="210">
        <v>221533613</v>
      </c>
      <c r="N808" s="210">
        <v>30166631</v>
      </c>
      <c r="O808" s="210">
        <v>221533613</v>
      </c>
      <c r="P808" s="242">
        <v>0.23740675222371063</v>
      </c>
    </row>
    <row r="809" spans="1:16" s="8" customFormat="1">
      <c r="A809" s="110" t="s">
        <v>1349</v>
      </c>
      <c r="B809" s="127" t="s">
        <v>1889</v>
      </c>
      <c r="C809" s="78" t="s">
        <v>1350</v>
      </c>
      <c r="D809" s="31"/>
      <c r="E809" s="28" t="s">
        <v>1351</v>
      </c>
      <c r="F809" s="21">
        <f>SUM(F810:F810)</f>
        <v>30000000</v>
      </c>
      <c r="G809" s="214">
        <f t="shared" ref="G809:O809" si="272">SUM(G810:G810)</f>
        <v>0</v>
      </c>
      <c r="H809" s="214">
        <f t="shared" si="272"/>
        <v>0</v>
      </c>
      <c r="I809" s="214">
        <f t="shared" si="272"/>
        <v>30000000</v>
      </c>
      <c r="J809" s="214">
        <f t="shared" si="272"/>
        <v>0</v>
      </c>
      <c r="K809" s="214">
        <f t="shared" si="272"/>
        <v>0</v>
      </c>
      <c r="L809" s="214">
        <f t="shared" si="272"/>
        <v>0</v>
      </c>
      <c r="M809" s="214">
        <f t="shared" si="272"/>
        <v>0</v>
      </c>
      <c r="N809" s="214">
        <f t="shared" si="272"/>
        <v>0</v>
      </c>
      <c r="O809" s="214">
        <f t="shared" si="272"/>
        <v>0</v>
      </c>
      <c r="P809" s="250">
        <v>0.23740675222371063</v>
      </c>
    </row>
    <row r="810" spans="1:16" s="7" customFormat="1">
      <c r="A810" s="108"/>
      <c r="B810" s="150"/>
      <c r="C810" s="70" t="s">
        <v>1350</v>
      </c>
      <c r="D810" s="33" t="s">
        <v>1974</v>
      </c>
      <c r="E810" s="34" t="s">
        <v>1075</v>
      </c>
      <c r="F810" s="35">
        <v>30000000</v>
      </c>
      <c r="G810" s="210">
        <v>0</v>
      </c>
      <c r="H810" s="210">
        <v>0</v>
      </c>
      <c r="I810" s="210">
        <v>30000000</v>
      </c>
      <c r="J810" s="210">
        <v>0</v>
      </c>
      <c r="K810" s="210">
        <v>0</v>
      </c>
      <c r="L810" s="210">
        <v>0</v>
      </c>
      <c r="M810" s="210">
        <v>0</v>
      </c>
      <c r="N810" s="210">
        <v>0</v>
      </c>
      <c r="O810" s="210">
        <v>0</v>
      </c>
      <c r="P810" s="242">
        <v>0.23740675222371063</v>
      </c>
    </row>
    <row r="811" spans="1:16" s="8" customFormat="1">
      <c r="A811" s="110" t="s">
        <v>1352</v>
      </c>
      <c r="B811" s="127" t="s">
        <v>1890</v>
      </c>
      <c r="C811" s="78" t="s">
        <v>1353</v>
      </c>
      <c r="D811" s="31"/>
      <c r="E811" s="28" t="s">
        <v>1354</v>
      </c>
      <c r="F811" s="21">
        <f>+F812</f>
        <v>60000000</v>
      </c>
      <c r="G811" s="214">
        <f t="shared" ref="G811:O811" si="273">+G812</f>
        <v>0</v>
      </c>
      <c r="H811" s="214">
        <f t="shared" si="273"/>
        <v>162054480</v>
      </c>
      <c r="I811" s="214">
        <f t="shared" si="273"/>
        <v>222054480</v>
      </c>
      <c r="J811" s="214">
        <f t="shared" si="273"/>
        <v>0</v>
      </c>
      <c r="K811" s="214">
        <f t="shared" si="273"/>
        <v>222054480</v>
      </c>
      <c r="L811" s="214">
        <f t="shared" si="273"/>
        <v>19791320</v>
      </c>
      <c r="M811" s="214">
        <f t="shared" si="273"/>
        <v>115316283</v>
      </c>
      <c r="N811" s="214">
        <f t="shared" si="273"/>
        <v>19791320</v>
      </c>
      <c r="O811" s="214">
        <f t="shared" si="273"/>
        <v>115220753</v>
      </c>
      <c r="P811" s="250">
        <v>0.23740675222371063</v>
      </c>
    </row>
    <row r="812" spans="1:16" s="2" customFormat="1">
      <c r="A812" s="108"/>
      <c r="B812" s="150"/>
      <c r="C812" s="70" t="s">
        <v>1353</v>
      </c>
      <c r="D812" s="33" t="s">
        <v>1909</v>
      </c>
      <c r="E812" s="34" t="s">
        <v>819</v>
      </c>
      <c r="F812" s="35">
        <v>60000000</v>
      </c>
      <c r="G812" s="210">
        <v>0</v>
      </c>
      <c r="H812" s="210">
        <v>162054480</v>
      </c>
      <c r="I812" s="210">
        <v>222054480</v>
      </c>
      <c r="J812" s="210">
        <v>0</v>
      </c>
      <c r="K812" s="210">
        <v>222054480</v>
      </c>
      <c r="L812" s="210">
        <v>19791320</v>
      </c>
      <c r="M812" s="210">
        <v>115316283</v>
      </c>
      <c r="N812" s="210">
        <v>19791320</v>
      </c>
      <c r="O812" s="210">
        <v>115220753</v>
      </c>
      <c r="P812" s="242">
        <v>0.23740675222371063</v>
      </c>
    </row>
    <row r="813" spans="1:16" s="2" customFormat="1">
      <c r="A813" s="136" t="s">
        <v>1355</v>
      </c>
      <c r="B813" s="125" t="s">
        <v>1891</v>
      </c>
      <c r="C813" s="126" t="s">
        <v>1356</v>
      </c>
      <c r="D813" s="29"/>
      <c r="E813" s="19" t="s">
        <v>1357</v>
      </c>
      <c r="F813" s="20">
        <f>+F814</f>
        <v>3832000</v>
      </c>
      <c r="G813" s="20">
        <f t="shared" ref="G813:O814" si="274">+G814</f>
        <v>0</v>
      </c>
      <c r="H813" s="20">
        <f t="shared" si="274"/>
        <v>9168000</v>
      </c>
      <c r="I813" s="20">
        <f t="shared" si="274"/>
        <v>13000000</v>
      </c>
      <c r="J813" s="20">
        <f t="shared" si="274"/>
        <v>0</v>
      </c>
      <c r="K813" s="20">
        <f t="shared" si="274"/>
        <v>0</v>
      </c>
      <c r="L813" s="20">
        <f t="shared" si="274"/>
        <v>0</v>
      </c>
      <c r="M813" s="20">
        <f t="shared" si="274"/>
        <v>0</v>
      </c>
      <c r="N813" s="20">
        <f t="shared" si="274"/>
        <v>0</v>
      </c>
      <c r="O813" s="20">
        <f t="shared" si="274"/>
        <v>0</v>
      </c>
      <c r="P813" s="243">
        <v>0.23740675222371063</v>
      </c>
    </row>
    <row r="814" spans="1:16" s="2" customFormat="1">
      <c r="A814" s="134" t="s">
        <v>1358</v>
      </c>
      <c r="B814" s="123"/>
      <c r="C814" s="124" t="s">
        <v>1359</v>
      </c>
      <c r="D814" s="67"/>
      <c r="E814" s="25" t="s">
        <v>1360</v>
      </c>
      <c r="F814" s="68">
        <f>+F815</f>
        <v>3832000</v>
      </c>
      <c r="G814" s="68">
        <f t="shared" si="274"/>
        <v>0</v>
      </c>
      <c r="H814" s="68">
        <f t="shared" si="274"/>
        <v>9168000</v>
      </c>
      <c r="I814" s="68">
        <f t="shared" si="274"/>
        <v>13000000</v>
      </c>
      <c r="J814" s="68">
        <f t="shared" si="274"/>
        <v>0</v>
      </c>
      <c r="K814" s="68">
        <f t="shared" si="274"/>
        <v>0</v>
      </c>
      <c r="L814" s="68">
        <f t="shared" si="274"/>
        <v>0</v>
      </c>
      <c r="M814" s="68">
        <f t="shared" si="274"/>
        <v>0</v>
      </c>
      <c r="N814" s="68">
        <f t="shared" si="274"/>
        <v>0</v>
      </c>
      <c r="O814" s="68">
        <f t="shared" si="274"/>
        <v>0</v>
      </c>
      <c r="P814" s="229">
        <v>0.23740675222371063</v>
      </c>
    </row>
    <row r="815" spans="1:16" s="8" customFormat="1">
      <c r="A815" s="110" t="s">
        <v>1361</v>
      </c>
      <c r="B815" s="127" t="s">
        <v>1892</v>
      </c>
      <c r="C815" s="78" t="s">
        <v>1362</v>
      </c>
      <c r="D815" s="31"/>
      <c r="E815" s="28" t="s">
        <v>1363</v>
      </c>
      <c r="F815" s="214">
        <f>SUM(F816:F816)</f>
        <v>3832000</v>
      </c>
      <c r="G815" s="214">
        <f t="shared" ref="G815:O815" si="275">SUM(G816:G816)</f>
        <v>0</v>
      </c>
      <c r="H815" s="214">
        <f t="shared" si="275"/>
        <v>9168000</v>
      </c>
      <c r="I815" s="214">
        <f t="shared" si="275"/>
        <v>13000000</v>
      </c>
      <c r="J815" s="214">
        <f t="shared" si="275"/>
        <v>0</v>
      </c>
      <c r="K815" s="214">
        <f t="shared" si="275"/>
        <v>0</v>
      </c>
      <c r="L815" s="214">
        <f t="shared" si="275"/>
        <v>0</v>
      </c>
      <c r="M815" s="214">
        <f t="shared" si="275"/>
        <v>0</v>
      </c>
      <c r="N815" s="214">
        <f t="shared" si="275"/>
        <v>0</v>
      </c>
      <c r="O815" s="214">
        <f t="shared" si="275"/>
        <v>0</v>
      </c>
      <c r="P815" s="250">
        <v>0.23740675222371063</v>
      </c>
    </row>
    <row r="816" spans="1:16" s="6" customFormat="1">
      <c r="A816" s="108"/>
      <c r="B816" s="150"/>
      <c r="C816" s="70" t="s">
        <v>1362</v>
      </c>
      <c r="D816" s="33" t="s">
        <v>1956</v>
      </c>
      <c r="E816" s="34" t="s">
        <v>1463</v>
      </c>
      <c r="F816" s="35">
        <v>3832000</v>
      </c>
      <c r="G816" s="210">
        <v>0</v>
      </c>
      <c r="H816" s="210">
        <v>9168000</v>
      </c>
      <c r="I816" s="210">
        <v>13000000</v>
      </c>
      <c r="J816" s="210">
        <v>0</v>
      </c>
      <c r="K816" s="210">
        <v>0</v>
      </c>
      <c r="L816" s="210">
        <v>0</v>
      </c>
      <c r="M816" s="210">
        <v>0</v>
      </c>
      <c r="N816" s="210">
        <v>0</v>
      </c>
      <c r="O816" s="210">
        <v>0</v>
      </c>
      <c r="P816" s="242">
        <v>0.23740675222371063</v>
      </c>
    </row>
    <row r="817" spans="1:16" s="7" customFormat="1">
      <c r="A817" s="173" t="s">
        <v>1364</v>
      </c>
      <c r="B817" s="155" t="s">
        <v>1893</v>
      </c>
      <c r="C817" s="156" t="s">
        <v>1365</v>
      </c>
      <c r="D817" s="74"/>
      <c r="E817" s="40" t="s">
        <v>1366</v>
      </c>
      <c r="F817" s="75">
        <f>+F818+F820+F835</f>
        <v>678657000</v>
      </c>
      <c r="G817" s="75">
        <f t="shared" ref="G817:O817" si="276">+G818+G820+G835</f>
        <v>0</v>
      </c>
      <c r="H817" s="75">
        <f t="shared" si="276"/>
        <v>76165960</v>
      </c>
      <c r="I817" s="75">
        <f t="shared" si="276"/>
        <v>754822960</v>
      </c>
      <c r="J817" s="75">
        <f t="shared" si="276"/>
        <v>41588127</v>
      </c>
      <c r="K817" s="75">
        <f t="shared" si="276"/>
        <v>444182178</v>
      </c>
      <c r="L817" s="75">
        <f t="shared" si="276"/>
        <v>24196432</v>
      </c>
      <c r="M817" s="75">
        <f t="shared" si="276"/>
        <v>415377582</v>
      </c>
      <c r="N817" s="75">
        <f t="shared" si="276"/>
        <v>12117864</v>
      </c>
      <c r="O817" s="75">
        <f t="shared" si="276"/>
        <v>400965999</v>
      </c>
      <c r="P817" s="246">
        <v>0.23740675222371063</v>
      </c>
    </row>
    <row r="818" spans="1:16" s="8" customFormat="1">
      <c r="A818" s="110"/>
      <c r="B818" s="127" t="s">
        <v>1529</v>
      </c>
      <c r="C818" s="78" t="s">
        <v>1367</v>
      </c>
      <c r="D818" s="31"/>
      <c r="E818" s="28" t="s">
        <v>1368</v>
      </c>
      <c r="F818" s="21">
        <f>+F819</f>
        <v>0</v>
      </c>
      <c r="G818" s="214">
        <f t="shared" ref="G818:O818" si="277">+G819</f>
        <v>0</v>
      </c>
      <c r="H818" s="214">
        <f t="shared" si="277"/>
        <v>6165960</v>
      </c>
      <c r="I818" s="214">
        <f t="shared" si="277"/>
        <v>6165960</v>
      </c>
      <c r="J818" s="214">
        <f t="shared" si="277"/>
        <v>0</v>
      </c>
      <c r="K818" s="214">
        <f t="shared" si="277"/>
        <v>6165960</v>
      </c>
      <c r="L818" s="214">
        <f t="shared" si="277"/>
        <v>0</v>
      </c>
      <c r="M818" s="214">
        <f t="shared" si="277"/>
        <v>6165960</v>
      </c>
      <c r="N818" s="214">
        <f t="shared" si="277"/>
        <v>0</v>
      </c>
      <c r="O818" s="214">
        <f t="shared" si="277"/>
        <v>6165960</v>
      </c>
      <c r="P818" s="250">
        <v>0.23740675222371063</v>
      </c>
    </row>
    <row r="819" spans="1:16" s="2" customFormat="1">
      <c r="A819" s="108"/>
      <c r="B819" s="150"/>
      <c r="C819" s="70" t="s">
        <v>1367</v>
      </c>
      <c r="D819" s="33" t="s">
        <v>1986</v>
      </c>
      <c r="E819" s="34" t="s">
        <v>1301</v>
      </c>
      <c r="F819" s="35">
        <v>0</v>
      </c>
      <c r="G819" s="210">
        <v>0</v>
      </c>
      <c r="H819" s="210">
        <v>6165960</v>
      </c>
      <c r="I819" s="210">
        <v>6165960</v>
      </c>
      <c r="J819" s="210">
        <v>0</v>
      </c>
      <c r="K819" s="210">
        <v>6165960</v>
      </c>
      <c r="L819" s="210">
        <v>0</v>
      </c>
      <c r="M819" s="210">
        <v>6165960</v>
      </c>
      <c r="N819" s="210">
        <v>0</v>
      </c>
      <c r="O819" s="210">
        <v>6165960</v>
      </c>
      <c r="P819" s="242">
        <v>0.23740675222371063</v>
      </c>
    </row>
    <row r="820" spans="1:16" s="8" customFormat="1">
      <c r="A820" s="110"/>
      <c r="B820" s="127" t="s">
        <v>1528</v>
      </c>
      <c r="C820" s="78" t="s">
        <v>1369</v>
      </c>
      <c r="D820" s="31"/>
      <c r="E820" s="28" t="s">
        <v>1370</v>
      </c>
      <c r="F820" s="21">
        <f>SUM(F821:F834)</f>
        <v>645482000</v>
      </c>
      <c r="G820" s="214">
        <f t="shared" ref="G820:O820" si="278">SUM(G821:G834)</f>
        <v>0</v>
      </c>
      <c r="H820" s="214">
        <f t="shared" si="278"/>
        <v>70000000</v>
      </c>
      <c r="I820" s="214">
        <f t="shared" si="278"/>
        <v>715482000</v>
      </c>
      <c r="J820" s="214">
        <f t="shared" si="278"/>
        <v>41588127</v>
      </c>
      <c r="K820" s="214">
        <f t="shared" si="278"/>
        <v>425124455</v>
      </c>
      <c r="L820" s="214">
        <f t="shared" si="278"/>
        <v>24196432</v>
      </c>
      <c r="M820" s="214">
        <f t="shared" si="278"/>
        <v>396319859</v>
      </c>
      <c r="N820" s="214">
        <f t="shared" si="278"/>
        <v>12117864</v>
      </c>
      <c r="O820" s="214">
        <f t="shared" si="278"/>
        <v>381908276</v>
      </c>
      <c r="P820" s="250">
        <v>0.23740675222371063</v>
      </c>
    </row>
    <row r="821" spans="1:16" s="8" customFormat="1">
      <c r="A821" s="108"/>
      <c r="B821" s="150"/>
      <c r="C821" s="70" t="s">
        <v>1369</v>
      </c>
      <c r="D821" s="33" t="s">
        <v>1957</v>
      </c>
      <c r="E821" s="34" t="s">
        <v>1371</v>
      </c>
      <c r="F821" s="35">
        <v>50000000</v>
      </c>
      <c r="G821" s="210">
        <v>0</v>
      </c>
      <c r="H821" s="210">
        <v>0</v>
      </c>
      <c r="I821" s="210">
        <v>50000000</v>
      </c>
      <c r="J821" s="210">
        <v>0</v>
      </c>
      <c r="K821" s="210">
        <v>15126375</v>
      </c>
      <c r="L821" s="210">
        <v>0</v>
      </c>
      <c r="M821" s="210">
        <v>14632721</v>
      </c>
      <c r="N821" s="210">
        <v>0</v>
      </c>
      <c r="O821" s="210">
        <v>14632721</v>
      </c>
      <c r="P821" s="242">
        <v>0.23740675222371063</v>
      </c>
    </row>
    <row r="822" spans="1:16" s="8" customFormat="1">
      <c r="A822" s="108"/>
      <c r="B822" s="150"/>
      <c r="C822" s="70" t="s">
        <v>1369</v>
      </c>
      <c r="D822" s="33" t="s">
        <v>1955</v>
      </c>
      <c r="E822" s="34" t="s">
        <v>919</v>
      </c>
      <c r="F822" s="35">
        <v>26255000</v>
      </c>
      <c r="G822" s="210">
        <v>0</v>
      </c>
      <c r="H822" s="210">
        <v>0</v>
      </c>
      <c r="I822" s="210">
        <v>26255000</v>
      </c>
      <c r="J822" s="210">
        <v>0</v>
      </c>
      <c r="K822" s="210">
        <v>24768508</v>
      </c>
      <c r="L822" s="210">
        <v>0</v>
      </c>
      <c r="M822" s="210">
        <v>21602428</v>
      </c>
      <c r="N822" s="210">
        <v>0</v>
      </c>
      <c r="O822" s="210">
        <v>21602428</v>
      </c>
      <c r="P822" s="242">
        <v>0.23740675222371063</v>
      </c>
    </row>
    <row r="823" spans="1:16" s="8" customFormat="1">
      <c r="A823" s="108"/>
      <c r="B823" s="150"/>
      <c r="C823" s="70" t="s">
        <v>1369</v>
      </c>
      <c r="D823" s="33" t="s">
        <v>1951</v>
      </c>
      <c r="E823" s="34" t="s">
        <v>1193</v>
      </c>
      <c r="F823" s="35">
        <v>64575000</v>
      </c>
      <c r="G823" s="210">
        <v>0</v>
      </c>
      <c r="H823" s="210">
        <v>100000000</v>
      </c>
      <c r="I823" s="210">
        <v>164575000</v>
      </c>
      <c r="J823" s="210">
        <v>0</v>
      </c>
      <c r="K823" s="210">
        <v>164575000</v>
      </c>
      <c r="L823" s="210">
        <v>0</v>
      </c>
      <c r="M823" s="210">
        <v>161083260</v>
      </c>
      <c r="N823" s="210">
        <v>0</v>
      </c>
      <c r="O823" s="210">
        <v>161083260</v>
      </c>
      <c r="P823" s="242">
        <v>0.23740675222371063</v>
      </c>
    </row>
    <row r="824" spans="1:16" s="8" customFormat="1">
      <c r="A824" s="108"/>
      <c r="B824" s="150"/>
      <c r="C824" s="70" t="s">
        <v>1369</v>
      </c>
      <c r="D824" s="33" t="s">
        <v>1940</v>
      </c>
      <c r="E824" s="34" t="s">
        <v>912</v>
      </c>
      <c r="F824" s="35">
        <v>22499000</v>
      </c>
      <c r="G824" s="210">
        <v>0</v>
      </c>
      <c r="H824" s="210">
        <v>2641050</v>
      </c>
      <c r="I824" s="210">
        <v>25140050</v>
      </c>
      <c r="J824" s="210">
        <v>4650228</v>
      </c>
      <c r="K824" s="210">
        <v>7291278</v>
      </c>
      <c r="L824" s="210">
        <v>2850228</v>
      </c>
      <c r="M824" s="210">
        <v>5491278</v>
      </c>
      <c r="N824" s="210">
        <v>0</v>
      </c>
      <c r="O824" s="210">
        <v>2641050</v>
      </c>
      <c r="P824" s="242">
        <v>0.23740675222371063</v>
      </c>
    </row>
    <row r="825" spans="1:16" s="8" customFormat="1">
      <c r="A825" s="108"/>
      <c r="B825" s="150"/>
      <c r="C825" s="70" t="s">
        <v>1369</v>
      </c>
      <c r="D825" s="33" t="s">
        <v>1937</v>
      </c>
      <c r="E825" s="34" t="s">
        <v>909</v>
      </c>
      <c r="F825" s="35">
        <v>65438000</v>
      </c>
      <c r="G825" s="210">
        <v>0</v>
      </c>
      <c r="H825" s="210">
        <v>0</v>
      </c>
      <c r="I825" s="210">
        <v>65438000</v>
      </c>
      <c r="J825" s="210">
        <v>5111948</v>
      </c>
      <c r="K825" s="210">
        <v>29455211</v>
      </c>
      <c r="L825" s="210">
        <v>2509504</v>
      </c>
      <c r="M825" s="210">
        <v>23970740</v>
      </c>
      <c r="N825" s="210">
        <v>2509504</v>
      </c>
      <c r="O825" s="210">
        <v>23970740</v>
      </c>
      <c r="P825" s="242">
        <v>0.23740675222371063</v>
      </c>
    </row>
    <row r="826" spans="1:16" s="8" customFormat="1">
      <c r="A826" s="108"/>
      <c r="B826" s="150"/>
      <c r="C826" s="70" t="s">
        <v>1369</v>
      </c>
      <c r="D826" s="33" t="s">
        <v>1936</v>
      </c>
      <c r="E826" s="34" t="s">
        <v>908</v>
      </c>
      <c r="F826" s="35">
        <v>215853000</v>
      </c>
      <c r="G826" s="210">
        <v>0</v>
      </c>
      <c r="H826" s="210">
        <v>-20000000</v>
      </c>
      <c r="I826" s="210">
        <v>195853000</v>
      </c>
      <c r="J826" s="210">
        <v>16073317</v>
      </c>
      <c r="K826" s="210">
        <v>131836210</v>
      </c>
      <c r="L826" s="210">
        <v>11731571</v>
      </c>
      <c r="M826" s="210">
        <v>127494464</v>
      </c>
      <c r="N826" s="210">
        <v>5277925</v>
      </c>
      <c r="O826" s="210">
        <v>119577368</v>
      </c>
      <c r="P826" s="242">
        <v>0.23740675222371063</v>
      </c>
    </row>
    <row r="827" spans="1:16" s="8" customFormat="1">
      <c r="A827" s="108"/>
      <c r="B827" s="150"/>
      <c r="C827" s="70" t="s">
        <v>1369</v>
      </c>
      <c r="D827" s="33" t="s">
        <v>1938</v>
      </c>
      <c r="E827" s="34" t="s">
        <v>1019</v>
      </c>
      <c r="F827" s="35">
        <v>61727000</v>
      </c>
      <c r="G827" s="210">
        <v>0</v>
      </c>
      <c r="H827" s="210">
        <v>0</v>
      </c>
      <c r="I827" s="210">
        <v>61727000</v>
      </c>
      <c r="J827" s="210">
        <v>9653899</v>
      </c>
      <c r="K827" s="210">
        <v>27312926</v>
      </c>
      <c r="L827" s="210">
        <v>7105129</v>
      </c>
      <c r="M827" s="210">
        <v>24764156</v>
      </c>
      <c r="N827" s="210">
        <v>3460870</v>
      </c>
      <c r="O827" s="210">
        <v>21119897</v>
      </c>
      <c r="P827" s="242">
        <v>0.23740675222371063</v>
      </c>
    </row>
    <row r="828" spans="1:16" s="8" customFormat="1">
      <c r="A828" s="108"/>
      <c r="B828" s="150"/>
      <c r="C828" s="70" t="s">
        <v>1369</v>
      </c>
      <c r="D828" s="33" t="s">
        <v>1942</v>
      </c>
      <c r="E828" s="34" t="s">
        <v>913</v>
      </c>
      <c r="F828" s="35">
        <v>16576000</v>
      </c>
      <c r="G828" s="210">
        <v>0</v>
      </c>
      <c r="H828" s="210">
        <v>0</v>
      </c>
      <c r="I828" s="210">
        <v>16576000</v>
      </c>
      <c r="J828" s="210">
        <v>0</v>
      </c>
      <c r="K828" s="210">
        <v>5865157</v>
      </c>
      <c r="L828" s="210">
        <v>0</v>
      </c>
      <c r="M828" s="210">
        <v>4485757</v>
      </c>
      <c r="N828" s="210">
        <v>0</v>
      </c>
      <c r="O828" s="210">
        <v>4485757</v>
      </c>
      <c r="P828" s="242">
        <v>0.23740675222371063</v>
      </c>
    </row>
    <row r="829" spans="1:16" s="8" customFormat="1">
      <c r="A829" s="108"/>
      <c r="B829" s="150"/>
      <c r="C829" s="70" t="s">
        <v>1369</v>
      </c>
      <c r="D829" s="33" t="s">
        <v>1939</v>
      </c>
      <c r="E829" s="34" t="s">
        <v>911</v>
      </c>
      <c r="F829" s="35">
        <v>50000000</v>
      </c>
      <c r="G829" s="210">
        <v>0</v>
      </c>
      <c r="H829" s="210">
        <v>0</v>
      </c>
      <c r="I829" s="210">
        <v>50000000</v>
      </c>
      <c r="J829" s="210">
        <v>6098735</v>
      </c>
      <c r="K829" s="210">
        <v>17085435</v>
      </c>
      <c r="L829" s="210">
        <v>0</v>
      </c>
      <c r="M829" s="210">
        <v>10986700</v>
      </c>
      <c r="N829" s="210">
        <v>869565</v>
      </c>
      <c r="O829" s="210">
        <v>10986700</v>
      </c>
      <c r="P829" s="242">
        <v>0.23740675222371063</v>
      </c>
    </row>
    <row r="830" spans="1:16" s="8" customFormat="1">
      <c r="A830" s="108"/>
      <c r="B830" s="150"/>
      <c r="C830" s="70" t="s">
        <v>1369</v>
      </c>
      <c r="D830" s="33" t="s">
        <v>1945</v>
      </c>
      <c r="E830" s="34" t="s">
        <v>781</v>
      </c>
      <c r="F830" s="35">
        <v>32333000</v>
      </c>
      <c r="G830" s="210">
        <v>0</v>
      </c>
      <c r="H830" s="210">
        <v>0</v>
      </c>
      <c r="I830" s="210">
        <v>32333000</v>
      </c>
      <c r="J830" s="210">
        <v>0</v>
      </c>
      <c r="K830" s="210">
        <v>0</v>
      </c>
      <c r="L830" s="210">
        <v>0</v>
      </c>
      <c r="M830" s="210">
        <v>0</v>
      </c>
      <c r="N830" s="210">
        <v>0</v>
      </c>
      <c r="O830" s="210">
        <v>0</v>
      </c>
      <c r="P830" s="242">
        <v>0.23740675222371063</v>
      </c>
    </row>
    <row r="831" spans="1:16" s="8" customFormat="1">
      <c r="A831" s="108"/>
      <c r="B831" s="150"/>
      <c r="C831" s="70" t="s">
        <v>1369</v>
      </c>
      <c r="D831" s="33" t="s">
        <v>1913</v>
      </c>
      <c r="E831" s="34" t="s">
        <v>914</v>
      </c>
      <c r="F831" s="35">
        <v>5226000</v>
      </c>
      <c r="G831" s="210">
        <v>0</v>
      </c>
      <c r="H831" s="210">
        <v>0</v>
      </c>
      <c r="I831" s="210">
        <v>5226000</v>
      </c>
      <c r="J831" s="210">
        <v>0</v>
      </c>
      <c r="K831" s="210">
        <v>0</v>
      </c>
      <c r="L831" s="210">
        <v>0</v>
      </c>
      <c r="M831" s="210">
        <v>0</v>
      </c>
      <c r="N831" s="210">
        <v>0</v>
      </c>
      <c r="O831" s="210">
        <v>0</v>
      </c>
      <c r="P831" s="242">
        <v>0.23740675222371063</v>
      </c>
    </row>
    <row r="832" spans="1:16" s="8" customFormat="1">
      <c r="A832" s="108"/>
      <c r="B832" s="150"/>
      <c r="C832" s="70" t="s">
        <v>1369</v>
      </c>
      <c r="D832" s="33" t="s">
        <v>1952</v>
      </c>
      <c r="E832" s="34" t="s">
        <v>1998</v>
      </c>
      <c r="F832" s="35">
        <v>4500000</v>
      </c>
      <c r="G832" s="210">
        <v>0</v>
      </c>
      <c r="H832" s="210">
        <v>0</v>
      </c>
      <c r="I832" s="210">
        <v>4500000</v>
      </c>
      <c r="J832" s="210">
        <v>0</v>
      </c>
      <c r="K832" s="210">
        <v>1016040</v>
      </c>
      <c r="L832" s="210">
        <v>0</v>
      </c>
      <c r="M832" s="210">
        <v>1016040</v>
      </c>
      <c r="N832" s="210">
        <v>0</v>
      </c>
      <c r="O832" s="210">
        <v>1016040</v>
      </c>
      <c r="P832" s="242">
        <v>0.23740675222371063</v>
      </c>
    </row>
    <row r="833" spans="1:16" s="8" customFormat="1">
      <c r="A833" s="108"/>
      <c r="B833" s="150"/>
      <c r="C833" s="70" t="s">
        <v>1369</v>
      </c>
      <c r="D833" s="33" t="s">
        <v>1956</v>
      </c>
      <c r="E833" s="34" t="s">
        <v>1463</v>
      </c>
      <c r="F833" s="35">
        <v>10000000</v>
      </c>
      <c r="G833" s="210">
        <v>0</v>
      </c>
      <c r="H833" s="210">
        <v>-10000000</v>
      </c>
      <c r="I833" s="210">
        <v>0</v>
      </c>
      <c r="J833" s="210">
        <v>0</v>
      </c>
      <c r="K833" s="210">
        <v>0</v>
      </c>
      <c r="L833" s="210">
        <v>0</v>
      </c>
      <c r="M833" s="210">
        <v>0</v>
      </c>
      <c r="N833" s="210">
        <v>0</v>
      </c>
      <c r="O833" s="210">
        <v>0</v>
      </c>
      <c r="P833" s="242">
        <v>0.23740675222371063</v>
      </c>
    </row>
    <row r="834" spans="1:16" s="7" customFormat="1">
      <c r="A834" s="108"/>
      <c r="B834" s="150"/>
      <c r="C834" s="70" t="s">
        <v>1369</v>
      </c>
      <c r="D834" s="33" t="s">
        <v>1954</v>
      </c>
      <c r="E834" s="34" t="s">
        <v>1020</v>
      </c>
      <c r="F834" s="35">
        <v>20500000</v>
      </c>
      <c r="G834" s="210">
        <v>0</v>
      </c>
      <c r="H834" s="210">
        <v>-2641050</v>
      </c>
      <c r="I834" s="210">
        <v>17858950</v>
      </c>
      <c r="J834" s="210">
        <v>0</v>
      </c>
      <c r="K834" s="210">
        <v>792315</v>
      </c>
      <c r="L834" s="210">
        <v>0</v>
      </c>
      <c r="M834" s="210">
        <v>792315</v>
      </c>
      <c r="N834" s="210">
        <v>0</v>
      </c>
      <c r="O834" s="210">
        <v>792315</v>
      </c>
      <c r="P834" s="242">
        <v>0.23740675222371063</v>
      </c>
    </row>
    <row r="835" spans="1:16" s="8" customFormat="1">
      <c r="A835" s="110"/>
      <c r="B835" s="127" t="s">
        <v>1527</v>
      </c>
      <c r="C835" s="78" t="s">
        <v>1372</v>
      </c>
      <c r="D835" s="31"/>
      <c r="E835" s="28" t="s">
        <v>1373</v>
      </c>
      <c r="F835" s="21">
        <f>SUM(F836:F838)</f>
        <v>33175000</v>
      </c>
      <c r="G835" s="21">
        <f t="shared" ref="G835:O835" si="279">SUM(G836:G838)</f>
        <v>0</v>
      </c>
      <c r="H835" s="21">
        <f t="shared" si="279"/>
        <v>0</v>
      </c>
      <c r="I835" s="21">
        <f t="shared" si="279"/>
        <v>33175000</v>
      </c>
      <c r="J835" s="21">
        <f t="shared" si="279"/>
        <v>0</v>
      </c>
      <c r="K835" s="21">
        <f t="shared" si="279"/>
        <v>12891763</v>
      </c>
      <c r="L835" s="21">
        <f t="shared" si="279"/>
        <v>0</v>
      </c>
      <c r="M835" s="21">
        <f t="shared" si="279"/>
        <v>12891763</v>
      </c>
      <c r="N835" s="21">
        <f t="shared" si="279"/>
        <v>0</v>
      </c>
      <c r="O835" s="21">
        <f t="shared" si="279"/>
        <v>12891763</v>
      </c>
      <c r="P835" s="250">
        <v>0.23740675222371063</v>
      </c>
    </row>
    <row r="836" spans="1:16" s="8" customFormat="1">
      <c r="A836" s="108"/>
      <c r="B836" s="150"/>
      <c r="C836" s="70" t="s">
        <v>1372</v>
      </c>
      <c r="D836" s="33" t="s">
        <v>1929</v>
      </c>
      <c r="E836" s="34" t="s">
        <v>271</v>
      </c>
      <c r="F836" s="35">
        <v>5226000</v>
      </c>
      <c r="G836" s="210">
        <v>0</v>
      </c>
      <c r="H836" s="210">
        <v>0</v>
      </c>
      <c r="I836" s="210">
        <v>5226000</v>
      </c>
      <c r="J836" s="210">
        <v>0</v>
      </c>
      <c r="K836" s="210">
        <v>4860283</v>
      </c>
      <c r="L836" s="210">
        <v>0</v>
      </c>
      <c r="M836" s="210">
        <v>4860283</v>
      </c>
      <c r="N836" s="210">
        <v>0</v>
      </c>
      <c r="O836" s="210">
        <v>4860283</v>
      </c>
      <c r="P836" s="242">
        <v>0.23740675222371063</v>
      </c>
    </row>
    <row r="837" spans="1:16" s="8" customFormat="1">
      <c r="A837" s="108"/>
      <c r="B837" s="150"/>
      <c r="C837" s="70" t="s">
        <v>1372</v>
      </c>
      <c r="D837" s="33" t="s">
        <v>1930</v>
      </c>
      <c r="E837" s="34" t="s">
        <v>274</v>
      </c>
      <c r="F837" s="35">
        <v>5226000</v>
      </c>
      <c r="G837" s="210">
        <v>0</v>
      </c>
      <c r="H837" s="210">
        <v>0</v>
      </c>
      <c r="I837" s="210">
        <v>5226000</v>
      </c>
      <c r="J837" s="210">
        <v>0</v>
      </c>
      <c r="K837" s="210">
        <v>0</v>
      </c>
      <c r="L837" s="210">
        <v>0</v>
      </c>
      <c r="M837" s="210">
        <v>0</v>
      </c>
      <c r="N837" s="210">
        <v>0</v>
      </c>
      <c r="O837" s="210">
        <v>0</v>
      </c>
      <c r="P837" s="242">
        <v>0.23740675222371063</v>
      </c>
    </row>
    <row r="838" spans="1:16" s="6" customFormat="1">
      <c r="A838" s="108"/>
      <c r="B838" s="150"/>
      <c r="C838" s="70" t="s">
        <v>1372</v>
      </c>
      <c r="D838" s="33" t="s">
        <v>1932</v>
      </c>
      <c r="E838" s="34" t="s">
        <v>276</v>
      </c>
      <c r="F838" s="35">
        <v>22723000</v>
      </c>
      <c r="G838" s="210">
        <v>0</v>
      </c>
      <c r="H838" s="210">
        <v>0</v>
      </c>
      <c r="I838" s="210">
        <v>22723000</v>
      </c>
      <c r="J838" s="210">
        <v>0</v>
      </c>
      <c r="K838" s="210">
        <v>8031480</v>
      </c>
      <c r="L838" s="210">
        <v>0</v>
      </c>
      <c r="M838" s="210">
        <v>8031480</v>
      </c>
      <c r="N838" s="210">
        <v>0</v>
      </c>
      <c r="O838" s="210">
        <v>8031480</v>
      </c>
      <c r="P838" s="242">
        <v>0.23740675222371063</v>
      </c>
    </row>
    <row r="839" spans="1:16" s="6" customFormat="1">
      <c r="A839" s="103" t="s">
        <v>1374</v>
      </c>
      <c r="B839" s="59" t="s">
        <v>1894</v>
      </c>
      <c r="C839" s="59" t="s">
        <v>1375</v>
      </c>
      <c r="D839" s="59"/>
      <c r="E839" s="59" t="s">
        <v>1376</v>
      </c>
      <c r="F839" s="60">
        <f>+F840+F852</f>
        <v>43570264000</v>
      </c>
      <c r="G839" s="60">
        <f t="shared" ref="G839:O839" si="280">+G840+G852</f>
        <v>0</v>
      </c>
      <c r="H839" s="60">
        <f t="shared" si="280"/>
        <v>61057583921</v>
      </c>
      <c r="I839" s="60">
        <f t="shared" si="280"/>
        <v>104627847921</v>
      </c>
      <c r="J839" s="60">
        <f t="shared" si="280"/>
        <v>6881912156</v>
      </c>
      <c r="K839" s="60">
        <f t="shared" si="280"/>
        <v>62501255408</v>
      </c>
      <c r="L839" s="60">
        <f t="shared" si="280"/>
        <v>6773340498</v>
      </c>
      <c r="M839" s="60">
        <f t="shared" si="280"/>
        <v>61002591858</v>
      </c>
      <c r="N839" s="60">
        <f t="shared" si="280"/>
        <v>6732470297</v>
      </c>
      <c r="O839" s="60">
        <f t="shared" si="280"/>
        <v>60958206407</v>
      </c>
      <c r="P839" s="233">
        <v>0.23740675222371063</v>
      </c>
    </row>
    <row r="840" spans="1:16" s="2" customFormat="1">
      <c r="A840" s="176" t="s">
        <v>1377</v>
      </c>
      <c r="B840" s="161" t="s">
        <v>1895</v>
      </c>
      <c r="C840" s="162" t="s">
        <v>1378</v>
      </c>
      <c r="D840" s="79"/>
      <c r="E840" s="45" t="s">
        <v>1379</v>
      </c>
      <c r="F840" s="80">
        <f>+F841</f>
        <v>43070264000</v>
      </c>
      <c r="G840" s="80">
        <f t="shared" ref="G840:O840" si="281">+G841</f>
        <v>0</v>
      </c>
      <c r="H840" s="80">
        <f t="shared" si="281"/>
        <v>59674590217</v>
      </c>
      <c r="I840" s="80">
        <f t="shared" si="281"/>
        <v>102744854217</v>
      </c>
      <c r="J840" s="80">
        <f t="shared" si="281"/>
        <v>6693522689</v>
      </c>
      <c r="K840" s="80">
        <f t="shared" si="281"/>
        <v>60931849602</v>
      </c>
      <c r="L840" s="80">
        <f t="shared" si="281"/>
        <v>6773340498</v>
      </c>
      <c r="M840" s="80">
        <f t="shared" si="281"/>
        <v>60549480086</v>
      </c>
      <c r="N840" s="80">
        <f t="shared" si="281"/>
        <v>6732470297</v>
      </c>
      <c r="O840" s="80">
        <f t="shared" si="281"/>
        <v>60505094635</v>
      </c>
      <c r="P840" s="253">
        <v>0.23740675222371063</v>
      </c>
    </row>
    <row r="841" spans="1:16" s="8" customFormat="1">
      <c r="A841" s="177" t="s">
        <v>1380</v>
      </c>
      <c r="B841" s="163" t="s">
        <v>1896</v>
      </c>
      <c r="C841" s="164" t="s">
        <v>1381</v>
      </c>
      <c r="D841" s="46"/>
      <c r="E841" s="47" t="s">
        <v>1382</v>
      </c>
      <c r="F841" s="81">
        <f>+F842+F845+F848</f>
        <v>43070264000</v>
      </c>
      <c r="G841" s="81">
        <f t="shared" ref="G841:O841" si="282">+G842+G845+G848</f>
        <v>0</v>
      </c>
      <c r="H841" s="81">
        <f t="shared" si="282"/>
        <v>59674590217</v>
      </c>
      <c r="I841" s="81">
        <f t="shared" si="282"/>
        <v>102744854217</v>
      </c>
      <c r="J841" s="81">
        <f t="shared" si="282"/>
        <v>6693522689</v>
      </c>
      <c r="K841" s="81">
        <f t="shared" si="282"/>
        <v>60931849602</v>
      </c>
      <c r="L841" s="81">
        <f t="shared" si="282"/>
        <v>6773340498</v>
      </c>
      <c r="M841" s="81">
        <f t="shared" si="282"/>
        <v>60549480086</v>
      </c>
      <c r="N841" s="81">
        <f t="shared" si="282"/>
        <v>6732470297</v>
      </c>
      <c r="O841" s="81">
        <f t="shared" si="282"/>
        <v>60505094635</v>
      </c>
      <c r="P841" s="254">
        <v>0.23740675222371063</v>
      </c>
    </row>
    <row r="842" spans="1:16" s="8" customFormat="1">
      <c r="A842" s="178" t="s">
        <v>1383</v>
      </c>
      <c r="B842" s="165" t="s">
        <v>1526</v>
      </c>
      <c r="C842" s="166" t="s">
        <v>1384</v>
      </c>
      <c r="D842" s="52"/>
      <c r="E842" s="53" t="s">
        <v>1385</v>
      </c>
      <c r="F842" s="82">
        <f>+F843</f>
        <v>40386904000</v>
      </c>
      <c r="G842" s="82">
        <f t="shared" ref="G842:O843" si="283">+G843</f>
        <v>0</v>
      </c>
      <c r="H842" s="82">
        <f t="shared" si="283"/>
        <v>59674590217</v>
      </c>
      <c r="I842" s="82">
        <f t="shared" si="283"/>
        <v>100061494217</v>
      </c>
      <c r="J842" s="82">
        <f t="shared" si="283"/>
        <v>6634004770</v>
      </c>
      <c r="K842" s="82">
        <f t="shared" si="283"/>
        <v>59948994364</v>
      </c>
      <c r="L842" s="82">
        <f t="shared" si="283"/>
        <v>6657885926</v>
      </c>
      <c r="M842" s="82">
        <f t="shared" si="283"/>
        <v>59637469483</v>
      </c>
      <c r="N842" s="82">
        <f t="shared" si="283"/>
        <v>6645945348</v>
      </c>
      <c r="O842" s="82">
        <f t="shared" si="283"/>
        <v>59622013655</v>
      </c>
      <c r="P842" s="255">
        <v>0.23740675222371063</v>
      </c>
    </row>
    <row r="843" spans="1:16" s="8" customFormat="1">
      <c r="A843" s="110" t="s">
        <v>1386</v>
      </c>
      <c r="B843" s="127" t="s">
        <v>1525</v>
      </c>
      <c r="C843" s="78" t="s">
        <v>1387</v>
      </c>
      <c r="D843" s="31"/>
      <c r="E843" s="28" t="s">
        <v>1388</v>
      </c>
      <c r="F843" s="214">
        <f>+F844</f>
        <v>40386904000</v>
      </c>
      <c r="G843" s="214">
        <f t="shared" si="283"/>
        <v>0</v>
      </c>
      <c r="H843" s="214">
        <f t="shared" si="283"/>
        <v>59674590217</v>
      </c>
      <c r="I843" s="214">
        <f t="shared" si="283"/>
        <v>100061494217</v>
      </c>
      <c r="J843" s="214">
        <f t="shared" si="283"/>
        <v>6634004770</v>
      </c>
      <c r="K843" s="214">
        <f t="shared" si="283"/>
        <v>59948994364</v>
      </c>
      <c r="L843" s="214">
        <f t="shared" si="283"/>
        <v>6657885926</v>
      </c>
      <c r="M843" s="214">
        <f t="shared" si="283"/>
        <v>59637469483</v>
      </c>
      <c r="N843" s="214">
        <f t="shared" si="283"/>
        <v>6645945348</v>
      </c>
      <c r="O843" s="214">
        <f t="shared" si="283"/>
        <v>59622013655</v>
      </c>
      <c r="P843" s="250">
        <v>0.23740675222371063</v>
      </c>
    </row>
    <row r="844" spans="1:16" s="8" customFormat="1">
      <c r="A844" s="108"/>
      <c r="B844" s="150"/>
      <c r="C844" s="70" t="s">
        <v>1387</v>
      </c>
      <c r="D844" s="33" t="s">
        <v>1934</v>
      </c>
      <c r="E844" s="34" t="s">
        <v>284</v>
      </c>
      <c r="F844" s="35">
        <v>40386904000</v>
      </c>
      <c r="G844" s="210">
        <v>0</v>
      </c>
      <c r="H844" s="210">
        <v>59674590217</v>
      </c>
      <c r="I844" s="210">
        <v>100061494217</v>
      </c>
      <c r="J844" s="210">
        <v>6634004770</v>
      </c>
      <c r="K844" s="210">
        <v>59948994364</v>
      </c>
      <c r="L844" s="210">
        <v>6657885926</v>
      </c>
      <c r="M844" s="210">
        <v>59637469483</v>
      </c>
      <c r="N844" s="210">
        <v>6645945348</v>
      </c>
      <c r="O844" s="210">
        <v>59622013655</v>
      </c>
      <c r="P844" s="242">
        <v>0.23740675222371063</v>
      </c>
    </row>
    <row r="845" spans="1:16" s="7" customFormat="1">
      <c r="A845" s="178" t="s">
        <v>1389</v>
      </c>
      <c r="B845" s="165" t="s">
        <v>1524</v>
      </c>
      <c r="C845" s="166" t="s">
        <v>1390</v>
      </c>
      <c r="D845" s="52"/>
      <c r="E845" s="53" t="s">
        <v>1391</v>
      </c>
      <c r="F845" s="82">
        <f>+F846</f>
        <v>1268760000</v>
      </c>
      <c r="G845" s="82">
        <f t="shared" ref="G845:O846" si="284">+G846</f>
        <v>0</v>
      </c>
      <c r="H845" s="82">
        <f t="shared" si="284"/>
        <v>0</v>
      </c>
      <c r="I845" s="82">
        <f t="shared" si="284"/>
        <v>1268760000</v>
      </c>
      <c r="J845" s="82">
        <f t="shared" si="284"/>
        <v>46532919</v>
      </c>
      <c r="K845" s="82">
        <f t="shared" si="284"/>
        <v>655042238</v>
      </c>
      <c r="L845" s="82">
        <f t="shared" si="284"/>
        <v>102469572</v>
      </c>
      <c r="M845" s="82">
        <f t="shared" si="284"/>
        <v>584197603</v>
      </c>
      <c r="N845" s="82">
        <f t="shared" si="284"/>
        <v>73539949</v>
      </c>
      <c r="O845" s="82">
        <f t="shared" si="284"/>
        <v>555267980</v>
      </c>
      <c r="P845" s="255">
        <v>0.23740675222371063</v>
      </c>
    </row>
    <row r="846" spans="1:16" s="8" customFormat="1">
      <c r="A846" s="110" t="s">
        <v>1392</v>
      </c>
      <c r="B846" s="127" t="s">
        <v>1523</v>
      </c>
      <c r="C846" s="78" t="s">
        <v>1393</v>
      </c>
      <c r="D846" s="31"/>
      <c r="E846" s="28" t="s">
        <v>1394</v>
      </c>
      <c r="F846" s="21">
        <f>+F847</f>
        <v>1268760000</v>
      </c>
      <c r="G846" s="214">
        <f t="shared" si="284"/>
        <v>0</v>
      </c>
      <c r="H846" s="214">
        <f t="shared" si="284"/>
        <v>0</v>
      </c>
      <c r="I846" s="214">
        <f t="shared" si="284"/>
        <v>1268760000</v>
      </c>
      <c r="J846" s="214">
        <f t="shared" si="284"/>
        <v>46532919</v>
      </c>
      <c r="K846" s="214">
        <f t="shared" si="284"/>
        <v>655042238</v>
      </c>
      <c r="L846" s="214">
        <f t="shared" si="284"/>
        <v>102469572</v>
      </c>
      <c r="M846" s="214">
        <f t="shared" si="284"/>
        <v>584197603</v>
      </c>
      <c r="N846" s="214">
        <f t="shared" si="284"/>
        <v>73539949</v>
      </c>
      <c r="O846" s="214">
        <f t="shared" si="284"/>
        <v>555267980</v>
      </c>
      <c r="P846" s="250">
        <v>0.23740675222371063</v>
      </c>
    </row>
    <row r="847" spans="1:16" s="8" customFormat="1">
      <c r="A847" s="108"/>
      <c r="B847" s="150"/>
      <c r="C847" s="70" t="s">
        <v>1393</v>
      </c>
      <c r="D847" s="33" t="s">
        <v>1934</v>
      </c>
      <c r="E847" s="34" t="s">
        <v>284</v>
      </c>
      <c r="F847" s="35">
        <v>1268760000</v>
      </c>
      <c r="G847" s="35">
        <v>0</v>
      </c>
      <c r="H847" s="35">
        <v>0</v>
      </c>
      <c r="I847" s="35">
        <v>1268760000</v>
      </c>
      <c r="J847" s="35">
        <v>46532919</v>
      </c>
      <c r="K847" s="35">
        <v>655042238</v>
      </c>
      <c r="L847" s="35">
        <v>102469572</v>
      </c>
      <c r="M847" s="35">
        <v>584197603</v>
      </c>
      <c r="N847" s="35">
        <v>73539949</v>
      </c>
      <c r="O847" s="35">
        <v>555267980</v>
      </c>
      <c r="P847" s="242">
        <v>0.23740675222371063</v>
      </c>
    </row>
    <row r="848" spans="1:16" s="8" customFormat="1">
      <c r="A848" s="178" t="s">
        <v>1395</v>
      </c>
      <c r="B848" s="165" t="s">
        <v>1897</v>
      </c>
      <c r="C848" s="166" t="s">
        <v>1396</v>
      </c>
      <c r="D848" s="52"/>
      <c r="E848" s="53" t="s">
        <v>1397</v>
      </c>
      <c r="F848" s="82">
        <f>+F849</f>
        <v>1414600000</v>
      </c>
      <c r="G848" s="82">
        <f t="shared" ref="G848:O850" si="285">+G849</f>
        <v>0</v>
      </c>
      <c r="H848" s="82">
        <f t="shared" si="285"/>
        <v>0</v>
      </c>
      <c r="I848" s="82">
        <f t="shared" si="285"/>
        <v>1414600000</v>
      </c>
      <c r="J848" s="82">
        <f t="shared" si="285"/>
        <v>12985000</v>
      </c>
      <c r="K848" s="82">
        <f t="shared" si="285"/>
        <v>327813000</v>
      </c>
      <c r="L848" s="82">
        <f t="shared" si="285"/>
        <v>12985000</v>
      </c>
      <c r="M848" s="82">
        <f t="shared" si="285"/>
        <v>327813000</v>
      </c>
      <c r="N848" s="82">
        <f t="shared" si="285"/>
        <v>12985000</v>
      </c>
      <c r="O848" s="82">
        <f t="shared" si="285"/>
        <v>327813000</v>
      </c>
      <c r="P848" s="255">
        <v>0.23740675222371063</v>
      </c>
    </row>
    <row r="849" spans="1:16" s="7" customFormat="1">
      <c r="A849" s="179" t="s">
        <v>1398</v>
      </c>
      <c r="B849" s="167" t="s">
        <v>1898</v>
      </c>
      <c r="C849" s="168" t="s">
        <v>1399</v>
      </c>
      <c r="D849" s="83"/>
      <c r="E849" s="51" t="s">
        <v>1400</v>
      </c>
      <c r="F849" s="84">
        <f>+F850</f>
        <v>1414600000</v>
      </c>
      <c r="G849" s="84">
        <f t="shared" si="285"/>
        <v>0</v>
      </c>
      <c r="H849" s="84">
        <f t="shared" si="285"/>
        <v>0</v>
      </c>
      <c r="I849" s="84">
        <f t="shared" si="285"/>
        <v>1414600000</v>
      </c>
      <c r="J849" s="84">
        <f t="shared" si="285"/>
        <v>12985000</v>
      </c>
      <c r="K849" s="84">
        <f t="shared" si="285"/>
        <v>327813000</v>
      </c>
      <c r="L849" s="84">
        <f t="shared" si="285"/>
        <v>12985000</v>
      </c>
      <c r="M849" s="84">
        <f t="shared" si="285"/>
        <v>327813000</v>
      </c>
      <c r="N849" s="84">
        <f t="shared" si="285"/>
        <v>12985000</v>
      </c>
      <c r="O849" s="84">
        <f t="shared" si="285"/>
        <v>327813000</v>
      </c>
      <c r="P849" s="256">
        <v>0.23740675222371063</v>
      </c>
    </row>
    <row r="850" spans="1:16" s="8" customFormat="1">
      <c r="A850" s="110" t="s">
        <v>1401</v>
      </c>
      <c r="B850" s="127" t="s">
        <v>1899</v>
      </c>
      <c r="C850" s="78" t="s">
        <v>1402</v>
      </c>
      <c r="D850" s="31"/>
      <c r="E850" s="28" t="s">
        <v>1403</v>
      </c>
      <c r="F850" s="21">
        <f>+F851</f>
        <v>1414600000</v>
      </c>
      <c r="G850" s="214">
        <f t="shared" si="285"/>
        <v>0</v>
      </c>
      <c r="H850" s="214">
        <f t="shared" si="285"/>
        <v>0</v>
      </c>
      <c r="I850" s="214">
        <f t="shared" si="285"/>
        <v>1414600000</v>
      </c>
      <c r="J850" s="214">
        <f t="shared" si="285"/>
        <v>12985000</v>
      </c>
      <c r="K850" s="214">
        <f t="shared" si="285"/>
        <v>327813000</v>
      </c>
      <c r="L850" s="214">
        <f t="shared" si="285"/>
        <v>12985000</v>
      </c>
      <c r="M850" s="214">
        <f t="shared" si="285"/>
        <v>327813000</v>
      </c>
      <c r="N850" s="214">
        <f t="shared" si="285"/>
        <v>12985000</v>
      </c>
      <c r="O850" s="214">
        <f t="shared" si="285"/>
        <v>327813000</v>
      </c>
      <c r="P850" s="250">
        <v>0.23740675222371063</v>
      </c>
    </row>
    <row r="851" spans="1:16" s="6" customFormat="1">
      <c r="A851" s="108"/>
      <c r="B851" s="150"/>
      <c r="C851" s="70" t="s">
        <v>1402</v>
      </c>
      <c r="D851" s="33" t="s">
        <v>1934</v>
      </c>
      <c r="E851" s="34" t="s">
        <v>284</v>
      </c>
      <c r="F851" s="35">
        <v>1414600000</v>
      </c>
      <c r="G851" s="210">
        <v>0</v>
      </c>
      <c r="H851" s="210">
        <v>0</v>
      </c>
      <c r="I851" s="210">
        <v>1414600000</v>
      </c>
      <c r="J851" s="210">
        <v>12985000</v>
      </c>
      <c r="K851" s="210">
        <v>327813000</v>
      </c>
      <c r="L851" s="210">
        <v>12985000</v>
      </c>
      <c r="M851" s="210">
        <v>327813000</v>
      </c>
      <c r="N851" s="210">
        <v>12985000</v>
      </c>
      <c r="O851" s="210">
        <v>327813000</v>
      </c>
      <c r="P851" s="242">
        <v>0.23740675222371063</v>
      </c>
    </row>
    <row r="852" spans="1:16" s="2" customFormat="1">
      <c r="A852" s="176" t="s">
        <v>1404</v>
      </c>
      <c r="B852" s="161" t="s">
        <v>1900</v>
      </c>
      <c r="C852" s="162" t="s">
        <v>1405</v>
      </c>
      <c r="D852" s="79"/>
      <c r="E852" s="45" t="s">
        <v>1406</v>
      </c>
      <c r="F852" s="80">
        <f>+F853</f>
        <v>500000000</v>
      </c>
      <c r="G852" s="80">
        <f t="shared" ref="G852:O852" si="286">+G853</f>
        <v>0</v>
      </c>
      <c r="H852" s="80">
        <f t="shared" si="286"/>
        <v>1382993704</v>
      </c>
      <c r="I852" s="80">
        <f t="shared" si="286"/>
        <v>1882993704</v>
      </c>
      <c r="J852" s="80">
        <f t="shared" si="286"/>
        <v>188389467</v>
      </c>
      <c r="K852" s="80">
        <f t="shared" si="286"/>
        <v>1569405806</v>
      </c>
      <c r="L852" s="80">
        <f t="shared" si="286"/>
        <v>0</v>
      </c>
      <c r="M852" s="80">
        <f t="shared" si="286"/>
        <v>453111772</v>
      </c>
      <c r="N852" s="80">
        <f t="shared" si="286"/>
        <v>0</v>
      </c>
      <c r="O852" s="80">
        <f t="shared" si="286"/>
        <v>453111772</v>
      </c>
      <c r="P852" s="253">
        <v>0.23740675222371063</v>
      </c>
    </row>
    <row r="853" spans="1:16" s="7" customFormat="1">
      <c r="A853" s="177" t="s">
        <v>1407</v>
      </c>
      <c r="B853" s="163" t="s">
        <v>1901</v>
      </c>
      <c r="C853" s="164" t="s">
        <v>1408</v>
      </c>
      <c r="D853" s="46"/>
      <c r="E853" s="47" t="s">
        <v>1409</v>
      </c>
      <c r="F853" s="81">
        <f>+F854+F856</f>
        <v>500000000</v>
      </c>
      <c r="G853" s="81">
        <f t="shared" ref="G853:O853" si="287">+G854+G856</f>
        <v>0</v>
      </c>
      <c r="H853" s="81">
        <f t="shared" si="287"/>
        <v>1382993704</v>
      </c>
      <c r="I853" s="81">
        <f t="shared" si="287"/>
        <v>1882993704</v>
      </c>
      <c r="J853" s="81">
        <f t="shared" si="287"/>
        <v>188389467</v>
      </c>
      <c r="K853" s="81">
        <f t="shared" si="287"/>
        <v>1569405806</v>
      </c>
      <c r="L853" s="81">
        <f t="shared" si="287"/>
        <v>0</v>
      </c>
      <c r="M853" s="81">
        <f t="shared" si="287"/>
        <v>453111772</v>
      </c>
      <c r="N853" s="81">
        <f t="shared" si="287"/>
        <v>0</v>
      </c>
      <c r="O853" s="81">
        <f t="shared" si="287"/>
        <v>453111772</v>
      </c>
      <c r="P853" s="254">
        <v>0.23740675222371063</v>
      </c>
    </row>
    <row r="854" spans="1:16" s="8" customFormat="1">
      <c r="A854" s="110" t="s">
        <v>1410</v>
      </c>
      <c r="B854" s="127" t="s">
        <v>1522</v>
      </c>
      <c r="C854" s="78" t="s">
        <v>1411</v>
      </c>
      <c r="D854" s="31"/>
      <c r="E854" s="28" t="s">
        <v>1412</v>
      </c>
      <c r="F854" s="214">
        <f>+F855</f>
        <v>500000000</v>
      </c>
      <c r="G854" s="214">
        <f t="shared" ref="G854:O854" si="288">+G855</f>
        <v>0</v>
      </c>
      <c r="H854" s="214">
        <f t="shared" si="288"/>
        <v>1382993704</v>
      </c>
      <c r="I854" s="214">
        <f t="shared" si="288"/>
        <v>1882993704</v>
      </c>
      <c r="J854" s="214">
        <f t="shared" si="288"/>
        <v>188389467</v>
      </c>
      <c r="K854" s="214">
        <f t="shared" si="288"/>
        <v>1569405806</v>
      </c>
      <c r="L854" s="214">
        <f t="shared" si="288"/>
        <v>0</v>
      </c>
      <c r="M854" s="214">
        <f t="shared" si="288"/>
        <v>453111772</v>
      </c>
      <c r="N854" s="214">
        <f t="shared" si="288"/>
        <v>0</v>
      </c>
      <c r="O854" s="214">
        <f t="shared" si="288"/>
        <v>453111772</v>
      </c>
      <c r="P854" s="250">
        <v>0.23740675222371063</v>
      </c>
    </row>
    <row r="855" spans="1:16" s="7" customFormat="1">
      <c r="A855" s="108"/>
      <c r="B855" s="150"/>
      <c r="C855" s="70" t="s">
        <v>1411</v>
      </c>
      <c r="D855" s="33" t="s">
        <v>1933</v>
      </c>
      <c r="E855" s="34" t="s">
        <v>279</v>
      </c>
      <c r="F855" s="35">
        <v>500000000</v>
      </c>
      <c r="G855" s="210">
        <v>0</v>
      </c>
      <c r="H855" s="210">
        <v>1382993704</v>
      </c>
      <c r="I855" s="210">
        <v>1882993704</v>
      </c>
      <c r="J855" s="210">
        <v>188389467</v>
      </c>
      <c r="K855" s="210">
        <v>1569405806</v>
      </c>
      <c r="L855" s="210">
        <v>0</v>
      </c>
      <c r="M855" s="210">
        <v>453111772</v>
      </c>
      <c r="N855" s="210">
        <v>0</v>
      </c>
      <c r="O855" s="210">
        <v>453111772</v>
      </c>
      <c r="P855" s="242">
        <v>0.23740675222371063</v>
      </c>
    </row>
    <row r="856" spans="1:16" s="6" customFormat="1">
      <c r="A856" s="110" t="s">
        <v>1413</v>
      </c>
      <c r="B856" s="127"/>
      <c r="C856" s="78" t="s">
        <v>1414</v>
      </c>
      <c r="D856" s="31"/>
      <c r="E856" s="28" t="s">
        <v>1415</v>
      </c>
      <c r="F856" s="21">
        <v>0</v>
      </c>
      <c r="G856" s="21">
        <v>0</v>
      </c>
      <c r="H856" s="21">
        <v>0</v>
      </c>
      <c r="I856" s="21">
        <v>0</v>
      </c>
      <c r="J856" s="21">
        <v>0</v>
      </c>
      <c r="K856" s="21">
        <v>0</v>
      </c>
      <c r="L856" s="21">
        <v>0</v>
      </c>
      <c r="M856" s="21">
        <v>0</v>
      </c>
      <c r="N856" s="21">
        <v>0</v>
      </c>
      <c r="O856" s="21">
        <v>0</v>
      </c>
      <c r="P856" s="250">
        <v>0.23740675222371063</v>
      </c>
    </row>
    <row r="857" spans="1:16" s="6" customFormat="1">
      <c r="A857" s="103" t="s">
        <v>1416</v>
      </c>
      <c r="B857" s="59" t="s">
        <v>1902</v>
      </c>
      <c r="C857" s="59" t="s">
        <v>1417</v>
      </c>
      <c r="D857" s="59"/>
      <c r="E857" s="59" t="s">
        <v>1418</v>
      </c>
      <c r="F857" s="60">
        <f>+F858</f>
        <v>3179272000</v>
      </c>
      <c r="G857" s="60">
        <f t="shared" ref="G857:O857" si="289">+G858</f>
        <v>0</v>
      </c>
      <c r="H857" s="60">
        <f t="shared" si="289"/>
        <v>0</v>
      </c>
      <c r="I857" s="60">
        <f t="shared" si="289"/>
        <v>3179272000</v>
      </c>
      <c r="J857" s="60">
        <f t="shared" si="289"/>
        <v>0</v>
      </c>
      <c r="K857" s="60">
        <f t="shared" si="289"/>
        <v>2313093652</v>
      </c>
      <c r="L857" s="60">
        <f t="shared" si="289"/>
        <v>309000000</v>
      </c>
      <c r="M857" s="60">
        <f t="shared" si="289"/>
        <v>1233167766</v>
      </c>
      <c r="N857" s="60">
        <f t="shared" si="289"/>
        <v>209000000</v>
      </c>
      <c r="O857" s="60">
        <f t="shared" si="289"/>
        <v>1033167766</v>
      </c>
      <c r="P857" s="233">
        <v>0.23740675222371063</v>
      </c>
    </row>
    <row r="858" spans="1:16" s="7" customFormat="1">
      <c r="A858" s="176" t="s">
        <v>1419</v>
      </c>
      <c r="B858" s="161" t="s">
        <v>1903</v>
      </c>
      <c r="C858" s="162" t="s">
        <v>1420</v>
      </c>
      <c r="D858" s="79"/>
      <c r="E858" s="45" t="s">
        <v>1421</v>
      </c>
      <c r="F858" s="80">
        <f t="shared" ref="F858:O858" si="290">+F859+F861</f>
        <v>3179272000</v>
      </c>
      <c r="G858" s="80">
        <f t="shared" si="290"/>
        <v>0</v>
      </c>
      <c r="H858" s="80">
        <f t="shared" si="290"/>
        <v>0</v>
      </c>
      <c r="I858" s="80">
        <f t="shared" si="290"/>
        <v>3179272000</v>
      </c>
      <c r="J858" s="80">
        <f t="shared" si="290"/>
        <v>0</v>
      </c>
      <c r="K858" s="80">
        <f t="shared" si="290"/>
        <v>2313093652</v>
      </c>
      <c r="L858" s="80">
        <f t="shared" si="290"/>
        <v>309000000</v>
      </c>
      <c r="M858" s="80">
        <f t="shared" si="290"/>
        <v>1233167766</v>
      </c>
      <c r="N858" s="80">
        <f t="shared" si="290"/>
        <v>209000000</v>
      </c>
      <c r="O858" s="80">
        <f t="shared" si="290"/>
        <v>1033167766</v>
      </c>
      <c r="P858" s="253">
        <v>0.23740675222371063</v>
      </c>
    </row>
    <row r="859" spans="1:16" s="8" customFormat="1">
      <c r="A859" s="110" t="s">
        <v>1422</v>
      </c>
      <c r="B859" s="127" t="s">
        <v>1521</v>
      </c>
      <c r="C859" s="78" t="s">
        <v>1423</v>
      </c>
      <c r="D859" s="31"/>
      <c r="E859" s="28" t="s">
        <v>1424</v>
      </c>
      <c r="F859" s="21">
        <f t="shared" ref="F859:O859" si="291">+F860</f>
        <v>1509370000</v>
      </c>
      <c r="G859" s="214">
        <f t="shared" si="291"/>
        <v>0</v>
      </c>
      <c r="H859" s="214">
        <f t="shared" si="291"/>
        <v>0</v>
      </c>
      <c r="I859" s="214">
        <f t="shared" si="291"/>
        <v>1509370000</v>
      </c>
      <c r="J859" s="214">
        <f t="shared" si="291"/>
        <v>0</v>
      </c>
      <c r="K859" s="214">
        <f t="shared" si="291"/>
        <v>659422924</v>
      </c>
      <c r="L859" s="214">
        <f t="shared" si="291"/>
        <v>0</v>
      </c>
      <c r="M859" s="214">
        <f t="shared" si="291"/>
        <v>28790683</v>
      </c>
      <c r="N859" s="214">
        <f t="shared" si="291"/>
        <v>0</v>
      </c>
      <c r="O859" s="214">
        <f t="shared" si="291"/>
        <v>28790683</v>
      </c>
      <c r="P859" s="250">
        <v>0.23740675222371063</v>
      </c>
    </row>
    <row r="860" spans="1:16" s="7" customFormat="1">
      <c r="A860" s="108"/>
      <c r="B860" s="150"/>
      <c r="C860" s="70" t="s">
        <v>1423</v>
      </c>
      <c r="D860" s="33" t="s">
        <v>1933</v>
      </c>
      <c r="E860" s="34" t="s">
        <v>279</v>
      </c>
      <c r="F860" s="35">
        <v>1509370000</v>
      </c>
      <c r="G860" s="210">
        <v>0</v>
      </c>
      <c r="H860" s="210">
        <v>0</v>
      </c>
      <c r="I860" s="210">
        <v>1509370000</v>
      </c>
      <c r="J860" s="210">
        <v>0</v>
      </c>
      <c r="K860" s="210">
        <v>659422924</v>
      </c>
      <c r="L860" s="210">
        <v>0</v>
      </c>
      <c r="M860" s="210">
        <v>28790683</v>
      </c>
      <c r="N860" s="210">
        <v>0</v>
      </c>
      <c r="O860" s="210">
        <v>28790683</v>
      </c>
      <c r="P860" s="242">
        <v>0.23740675222371063</v>
      </c>
    </row>
    <row r="861" spans="1:16" s="8" customFormat="1">
      <c r="A861" s="110" t="s">
        <v>1425</v>
      </c>
      <c r="B861" s="127" t="s">
        <v>1520</v>
      </c>
      <c r="C861" s="78" t="s">
        <v>1426</v>
      </c>
      <c r="D861" s="31"/>
      <c r="E861" s="28" t="s">
        <v>1427</v>
      </c>
      <c r="F861" s="21">
        <f>+F862</f>
        <v>1669902000</v>
      </c>
      <c r="G861" s="214">
        <f t="shared" ref="G861:O861" si="292">+G862</f>
        <v>0</v>
      </c>
      <c r="H861" s="214">
        <f t="shared" si="292"/>
        <v>0</v>
      </c>
      <c r="I861" s="214">
        <f t="shared" si="292"/>
        <v>1669902000</v>
      </c>
      <c r="J861" s="214">
        <f t="shared" si="292"/>
        <v>0</v>
      </c>
      <c r="K861" s="214">
        <f t="shared" si="292"/>
        <v>1653670728</v>
      </c>
      <c r="L861" s="214">
        <f t="shared" si="292"/>
        <v>309000000</v>
      </c>
      <c r="M861" s="214">
        <f t="shared" si="292"/>
        <v>1204377083</v>
      </c>
      <c r="N861" s="214">
        <f t="shared" si="292"/>
        <v>209000000</v>
      </c>
      <c r="O861" s="214">
        <f t="shared" si="292"/>
        <v>1004377083</v>
      </c>
      <c r="P861" s="250">
        <v>0.23740675222371063</v>
      </c>
    </row>
    <row r="862" spans="1:16" s="6" customFormat="1">
      <c r="A862" s="108"/>
      <c r="B862" s="150"/>
      <c r="C862" s="70" t="s">
        <v>1426</v>
      </c>
      <c r="D862" s="33" t="s">
        <v>1933</v>
      </c>
      <c r="E862" s="34" t="s">
        <v>279</v>
      </c>
      <c r="F862" s="35">
        <v>1669902000</v>
      </c>
      <c r="G862" s="210">
        <v>0</v>
      </c>
      <c r="H862" s="210">
        <v>0</v>
      </c>
      <c r="I862" s="210">
        <v>1669902000</v>
      </c>
      <c r="J862" s="210">
        <v>0</v>
      </c>
      <c r="K862" s="210">
        <v>1653670728</v>
      </c>
      <c r="L862" s="210">
        <v>309000000</v>
      </c>
      <c r="M862" s="210">
        <v>1204377083</v>
      </c>
      <c r="N862" s="210">
        <v>209000000</v>
      </c>
      <c r="O862" s="210">
        <v>1004377083</v>
      </c>
      <c r="P862" s="242">
        <v>0.23740675222371063</v>
      </c>
    </row>
    <row r="863" spans="1:16" s="6" customFormat="1">
      <c r="A863" s="103" t="s">
        <v>1428</v>
      </c>
      <c r="B863" s="59" t="s">
        <v>1904</v>
      </c>
      <c r="C863" s="59" t="s">
        <v>1429</v>
      </c>
      <c r="D863" s="59"/>
      <c r="E863" s="59" t="s">
        <v>1430</v>
      </c>
      <c r="F863" s="60">
        <f>+F864+F872</f>
        <v>888360000</v>
      </c>
      <c r="G863" s="60">
        <f t="shared" ref="G863:O863" si="293">+G864+G872</f>
        <v>0</v>
      </c>
      <c r="H863" s="60">
        <f t="shared" si="293"/>
        <v>381000</v>
      </c>
      <c r="I863" s="60">
        <f t="shared" si="293"/>
        <v>888741000</v>
      </c>
      <c r="J863" s="60">
        <f t="shared" si="293"/>
        <v>0</v>
      </c>
      <c r="K863" s="60">
        <f t="shared" si="293"/>
        <v>793610826</v>
      </c>
      <c r="L863" s="60">
        <f t="shared" si="293"/>
        <v>0</v>
      </c>
      <c r="M863" s="60">
        <f t="shared" si="293"/>
        <v>779546826</v>
      </c>
      <c r="N863" s="60">
        <f t="shared" si="293"/>
        <v>0</v>
      </c>
      <c r="O863" s="60">
        <f t="shared" si="293"/>
        <v>779546826</v>
      </c>
      <c r="P863" s="233">
        <v>0.23740675222371063</v>
      </c>
    </row>
    <row r="864" spans="1:16" s="2" customFormat="1">
      <c r="A864" s="176" t="s">
        <v>1431</v>
      </c>
      <c r="B864" s="161" t="s">
        <v>1905</v>
      </c>
      <c r="C864" s="162" t="s">
        <v>1432</v>
      </c>
      <c r="D864" s="79"/>
      <c r="E864" s="45" t="s">
        <v>1433</v>
      </c>
      <c r="F864" s="80">
        <f>+F865+F867</f>
        <v>888360000</v>
      </c>
      <c r="G864" s="80">
        <f t="shared" ref="G864:O864" si="294">+G865+G867</f>
        <v>0</v>
      </c>
      <c r="H864" s="80">
        <f t="shared" si="294"/>
        <v>381000</v>
      </c>
      <c r="I864" s="80">
        <f t="shared" si="294"/>
        <v>888741000</v>
      </c>
      <c r="J864" s="80">
        <f t="shared" si="294"/>
        <v>0</v>
      </c>
      <c r="K864" s="80">
        <f t="shared" si="294"/>
        <v>793610826</v>
      </c>
      <c r="L864" s="80">
        <f t="shared" si="294"/>
        <v>0</v>
      </c>
      <c r="M864" s="80">
        <f t="shared" si="294"/>
        <v>779546826</v>
      </c>
      <c r="N864" s="80">
        <f t="shared" si="294"/>
        <v>0</v>
      </c>
      <c r="O864" s="80">
        <f t="shared" si="294"/>
        <v>779546826</v>
      </c>
      <c r="P864" s="253">
        <v>0.23740675222371063</v>
      </c>
    </row>
    <row r="865" spans="1:16" s="7" customFormat="1">
      <c r="A865" s="177" t="s">
        <v>1434</v>
      </c>
      <c r="B865" s="163"/>
      <c r="C865" s="164" t="s">
        <v>1435</v>
      </c>
      <c r="D865" s="46"/>
      <c r="E865" s="47" t="s">
        <v>1436</v>
      </c>
      <c r="F865" s="81">
        <f>+F866</f>
        <v>0</v>
      </c>
      <c r="G865" s="81">
        <f t="shared" ref="G865:O865" si="295">+G866</f>
        <v>0</v>
      </c>
      <c r="H865" s="81">
        <f t="shared" si="295"/>
        <v>0</v>
      </c>
      <c r="I865" s="81">
        <f t="shared" si="295"/>
        <v>0</v>
      </c>
      <c r="J865" s="81">
        <f t="shared" si="295"/>
        <v>0</v>
      </c>
      <c r="K865" s="81">
        <f t="shared" si="295"/>
        <v>0</v>
      </c>
      <c r="L865" s="81">
        <f t="shared" si="295"/>
        <v>0</v>
      </c>
      <c r="M865" s="81">
        <f t="shared" si="295"/>
        <v>0</v>
      </c>
      <c r="N865" s="81">
        <f t="shared" si="295"/>
        <v>0</v>
      </c>
      <c r="O865" s="81">
        <f t="shared" si="295"/>
        <v>0</v>
      </c>
      <c r="P865" s="254">
        <v>0.23740675222371063</v>
      </c>
    </row>
    <row r="866" spans="1:16" s="2" customFormat="1">
      <c r="A866" s="110" t="s">
        <v>1437</v>
      </c>
      <c r="B866" s="127"/>
      <c r="C866" s="78" t="s">
        <v>1438</v>
      </c>
      <c r="D866" s="31"/>
      <c r="E866" s="218" t="s">
        <v>1439</v>
      </c>
      <c r="F866" s="21">
        <v>0</v>
      </c>
      <c r="G866" s="214">
        <v>0</v>
      </c>
      <c r="H866" s="214">
        <v>0</v>
      </c>
      <c r="I866" s="214">
        <v>0</v>
      </c>
      <c r="J866" s="214">
        <v>0</v>
      </c>
      <c r="K866" s="214">
        <v>0</v>
      </c>
      <c r="L866" s="214">
        <v>0</v>
      </c>
      <c r="M866" s="214">
        <v>0</v>
      </c>
      <c r="N866" s="214">
        <v>0</v>
      </c>
      <c r="O866" s="214">
        <v>0</v>
      </c>
      <c r="P866" s="250">
        <v>0.23740675222371063</v>
      </c>
    </row>
    <row r="867" spans="1:16" s="7" customFormat="1">
      <c r="A867" s="177" t="s">
        <v>1440</v>
      </c>
      <c r="B867" s="163" t="s">
        <v>1906</v>
      </c>
      <c r="C867" s="164" t="s">
        <v>1441</v>
      </c>
      <c r="D867" s="46"/>
      <c r="E867" s="47" t="s">
        <v>1442</v>
      </c>
      <c r="F867" s="81">
        <f>+F868+F870</f>
        <v>888360000</v>
      </c>
      <c r="G867" s="81">
        <f t="shared" ref="G867:O867" si="296">+G868+G870</f>
        <v>0</v>
      </c>
      <c r="H867" s="81">
        <f t="shared" si="296"/>
        <v>381000</v>
      </c>
      <c r="I867" s="81">
        <f t="shared" si="296"/>
        <v>888741000</v>
      </c>
      <c r="J867" s="81">
        <f t="shared" si="296"/>
        <v>0</v>
      </c>
      <c r="K867" s="81">
        <f t="shared" si="296"/>
        <v>793610826</v>
      </c>
      <c r="L867" s="81">
        <f t="shared" si="296"/>
        <v>0</v>
      </c>
      <c r="M867" s="81">
        <f t="shared" si="296"/>
        <v>779546826</v>
      </c>
      <c r="N867" s="81">
        <f t="shared" si="296"/>
        <v>0</v>
      </c>
      <c r="O867" s="81">
        <f t="shared" si="296"/>
        <v>779546826</v>
      </c>
      <c r="P867" s="254">
        <v>0.23740675222371063</v>
      </c>
    </row>
    <row r="868" spans="1:16" s="8" customFormat="1">
      <c r="A868" s="110" t="s">
        <v>1443</v>
      </c>
      <c r="B868" s="127" t="s">
        <v>1519</v>
      </c>
      <c r="C868" s="78" t="s">
        <v>1444</v>
      </c>
      <c r="D868" s="31"/>
      <c r="E868" s="28" t="s">
        <v>1445</v>
      </c>
      <c r="F868" s="21">
        <f>+F869</f>
        <v>2030000</v>
      </c>
      <c r="G868" s="214">
        <f t="shared" ref="G868:O868" si="297">+G869</f>
        <v>0</v>
      </c>
      <c r="H868" s="214">
        <f t="shared" si="297"/>
        <v>381000</v>
      </c>
      <c r="I868" s="214">
        <f t="shared" si="297"/>
        <v>2411000</v>
      </c>
      <c r="J868" s="214">
        <f t="shared" si="297"/>
        <v>0</v>
      </c>
      <c r="K868" s="214">
        <f t="shared" si="297"/>
        <v>2411000</v>
      </c>
      <c r="L868" s="214">
        <f t="shared" si="297"/>
        <v>0</v>
      </c>
      <c r="M868" s="214">
        <f t="shared" si="297"/>
        <v>1967000</v>
      </c>
      <c r="N868" s="214">
        <f t="shared" si="297"/>
        <v>0</v>
      </c>
      <c r="O868" s="214">
        <f t="shared" si="297"/>
        <v>1967000</v>
      </c>
      <c r="P868" s="250">
        <v>0.23740675222371063</v>
      </c>
    </row>
    <row r="869" spans="1:16" s="7" customFormat="1">
      <c r="A869" s="108"/>
      <c r="B869" s="150"/>
      <c r="C869" s="70" t="s">
        <v>1444</v>
      </c>
      <c r="D869" s="33" t="s">
        <v>1909</v>
      </c>
      <c r="E869" s="34" t="s">
        <v>819</v>
      </c>
      <c r="F869" s="35">
        <v>2030000</v>
      </c>
      <c r="G869" s="210">
        <v>0</v>
      </c>
      <c r="H869" s="210">
        <v>381000</v>
      </c>
      <c r="I869" s="210">
        <v>2411000</v>
      </c>
      <c r="J869" s="210">
        <v>0</v>
      </c>
      <c r="K869" s="210">
        <v>2411000</v>
      </c>
      <c r="L869" s="210">
        <v>0</v>
      </c>
      <c r="M869" s="210">
        <v>1967000</v>
      </c>
      <c r="N869" s="210">
        <v>0</v>
      </c>
      <c r="O869" s="210">
        <v>1967000</v>
      </c>
      <c r="P869" s="242">
        <v>0.23740675222371063</v>
      </c>
    </row>
    <row r="870" spans="1:16" s="8" customFormat="1">
      <c r="A870" s="110" t="s">
        <v>1446</v>
      </c>
      <c r="B870" s="127" t="s">
        <v>1518</v>
      </c>
      <c r="C870" s="78" t="s">
        <v>1447</v>
      </c>
      <c r="D870" s="31"/>
      <c r="E870" s="28" t="s">
        <v>1448</v>
      </c>
      <c r="F870" s="21">
        <f>+F871</f>
        <v>886330000</v>
      </c>
      <c r="G870" s="214">
        <f t="shared" ref="G870:O870" si="298">+G871</f>
        <v>0</v>
      </c>
      <c r="H870" s="214">
        <f t="shared" si="298"/>
        <v>0</v>
      </c>
      <c r="I870" s="214">
        <f t="shared" si="298"/>
        <v>886330000</v>
      </c>
      <c r="J870" s="214">
        <f t="shared" si="298"/>
        <v>0</v>
      </c>
      <c r="K870" s="214">
        <f t="shared" si="298"/>
        <v>791199826</v>
      </c>
      <c r="L870" s="214">
        <f t="shared" si="298"/>
        <v>0</v>
      </c>
      <c r="M870" s="214">
        <f t="shared" si="298"/>
        <v>777579826</v>
      </c>
      <c r="N870" s="214">
        <f t="shared" si="298"/>
        <v>0</v>
      </c>
      <c r="O870" s="214">
        <f t="shared" si="298"/>
        <v>777579826</v>
      </c>
      <c r="P870" s="250">
        <v>0.23740675222371063</v>
      </c>
    </row>
    <row r="871" spans="1:16" s="6" customFormat="1">
      <c r="A871" s="108"/>
      <c r="B871" s="150"/>
      <c r="C871" s="70" t="s">
        <v>1447</v>
      </c>
      <c r="D871" s="33" t="s">
        <v>1909</v>
      </c>
      <c r="E871" s="34" t="s">
        <v>819</v>
      </c>
      <c r="F871" s="35">
        <v>886330000</v>
      </c>
      <c r="G871" s="210">
        <v>0</v>
      </c>
      <c r="H871" s="210">
        <v>0</v>
      </c>
      <c r="I871" s="210">
        <v>886330000</v>
      </c>
      <c r="J871" s="210">
        <v>0</v>
      </c>
      <c r="K871" s="210">
        <v>791199826</v>
      </c>
      <c r="L871" s="210">
        <v>0</v>
      </c>
      <c r="M871" s="210">
        <v>777579826</v>
      </c>
      <c r="N871" s="210">
        <v>0</v>
      </c>
      <c r="O871" s="210">
        <v>777579826</v>
      </c>
      <c r="P871" s="242">
        <v>0.23740675222371063</v>
      </c>
    </row>
    <row r="872" spans="1:16" s="2" customFormat="1">
      <c r="A872" s="176" t="s">
        <v>1449</v>
      </c>
      <c r="B872" s="161" t="s">
        <v>1907</v>
      </c>
      <c r="C872" s="162" t="s">
        <v>1450</v>
      </c>
      <c r="D872" s="79"/>
      <c r="E872" s="45" t="s">
        <v>1451</v>
      </c>
      <c r="F872" s="80">
        <f>+F873</f>
        <v>0</v>
      </c>
      <c r="G872" s="80">
        <f t="shared" ref="G872:O872" si="299">+G873</f>
        <v>0</v>
      </c>
      <c r="H872" s="80">
        <f t="shared" si="299"/>
        <v>0</v>
      </c>
      <c r="I872" s="80">
        <f t="shared" si="299"/>
        <v>0</v>
      </c>
      <c r="J872" s="80">
        <f t="shared" si="299"/>
        <v>0</v>
      </c>
      <c r="K872" s="80">
        <f t="shared" si="299"/>
        <v>0</v>
      </c>
      <c r="L872" s="80">
        <f t="shared" si="299"/>
        <v>0</v>
      </c>
      <c r="M872" s="80">
        <f t="shared" si="299"/>
        <v>0</v>
      </c>
      <c r="N872" s="80">
        <f t="shared" si="299"/>
        <v>0</v>
      </c>
      <c r="O872" s="80">
        <f t="shared" si="299"/>
        <v>0</v>
      </c>
      <c r="P872" s="253">
        <v>0.23740675222371063</v>
      </c>
    </row>
    <row r="873" spans="1:16" s="7" customFormat="1">
      <c r="A873" s="177" t="s">
        <v>1452</v>
      </c>
      <c r="B873" s="163" t="s">
        <v>1908</v>
      </c>
      <c r="C873" s="164" t="s">
        <v>1453</v>
      </c>
      <c r="D873" s="46"/>
      <c r="E873" s="47" t="s">
        <v>1454</v>
      </c>
      <c r="F873" s="81">
        <f>+F874+F875</f>
        <v>0</v>
      </c>
      <c r="G873" s="81">
        <f t="shared" ref="G873:O873" si="300">+G874+G875</f>
        <v>0</v>
      </c>
      <c r="H873" s="81">
        <f t="shared" si="300"/>
        <v>0</v>
      </c>
      <c r="I873" s="81">
        <f t="shared" si="300"/>
        <v>0</v>
      </c>
      <c r="J873" s="81">
        <f t="shared" si="300"/>
        <v>0</v>
      </c>
      <c r="K873" s="81">
        <f t="shared" si="300"/>
        <v>0</v>
      </c>
      <c r="L873" s="81">
        <f t="shared" si="300"/>
        <v>0</v>
      </c>
      <c r="M873" s="81">
        <f t="shared" si="300"/>
        <v>0</v>
      </c>
      <c r="N873" s="81">
        <f t="shared" si="300"/>
        <v>0</v>
      </c>
      <c r="O873" s="81">
        <f t="shared" si="300"/>
        <v>0</v>
      </c>
      <c r="P873" s="254">
        <v>0.23740675222371063</v>
      </c>
    </row>
    <row r="874" spans="1:16" s="8" customFormat="1">
      <c r="A874" s="110" t="s">
        <v>1455</v>
      </c>
      <c r="B874" s="127"/>
      <c r="C874" s="78" t="s">
        <v>1456</v>
      </c>
      <c r="D874" s="31"/>
      <c r="E874" s="28" t="s">
        <v>1457</v>
      </c>
      <c r="F874" s="21">
        <v>0</v>
      </c>
      <c r="G874" s="214">
        <v>0</v>
      </c>
      <c r="H874" s="214">
        <v>0</v>
      </c>
      <c r="I874" s="214">
        <v>0</v>
      </c>
      <c r="J874" s="214">
        <v>0</v>
      </c>
      <c r="K874" s="214">
        <v>0</v>
      </c>
      <c r="L874" s="214">
        <v>0</v>
      </c>
      <c r="M874" s="214">
        <v>0</v>
      </c>
      <c r="N874" s="214">
        <v>0</v>
      </c>
      <c r="O874" s="214">
        <v>0</v>
      </c>
      <c r="P874" s="250">
        <v>0.23740675222371063</v>
      </c>
    </row>
    <row r="875" spans="1:16" ht="15.75" customHeight="1" thickBot="1">
      <c r="A875" s="119" t="s">
        <v>1458</v>
      </c>
      <c r="B875" s="139" t="s">
        <v>1517</v>
      </c>
      <c r="C875" s="140" t="s">
        <v>1459</v>
      </c>
      <c r="D875" s="120"/>
      <c r="E875" s="121" t="s">
        <v>1460</v>
      </c>
      <c r="F875" s="122">
        <v>0</v>
      </c>
      <c r="G875" s="214">
        <v>0</v>
      </c>
      <c r="H875" s="214">
        <v>0</v>
      </c>
      <c r="I875" s="214">
        <v>0</v>
      </c>
      <c r="J875" s="214">
        <v>0</v>
      </c>
      <c r="K875" s="214">
        <v>0</v>
      </c>
      <c r="L875" s="214">
        <v>0</v>
      </c>
      <c r="M875" s="214">
        <v>0</v>
      </c>
      <c r="N875" s="214">
        <v>0</v>
      </c>
      <c r="O875" s="214">
        <v>0</v>
      </c>
      <c r="P875" s="257">
        <v>0.23740675222371063</v>
      </c>
    </row>
    <row r="876" spans="1:16">
      <c r="A876" s="180"/>
      <c r="B876" s="180" t="s">
        <v>1999</v>
      </c>
      <c r="C876" s="24"/>
      <c r="D876" s="58"/>
      <c r="E876" s="24" t="s">
        <v>2000</v>
      </c>
      <c r="F876" s="181">
        <f>+F877+F890</f>
        <v>43528101000</v>
      </c>
      <c r="G876" s="181">
        <f t="shared" ref="G876:O876" si="301">+G877+G890</f>
        <v>1661273725</v>
      </c>
      <c r="H876" s="181">
        <f t="shared" si="301"/>
        <v>10800762293</v>
      </c>
      <c r="I876" s="181">
        <f t="shared" si="301"/>
        <v>54328863293</v>
      </c>
      <c r="J876" s="181">
        <f t="shared" si="301"/>
        <v>7036067317</v>
      </c>
      <c r="K876" s="181">
        <f t="shared" si="301"/>
        <v>20750586884</v>
      </c>
      <c r="L876" s="181">
        <f t="shared" si="301"/>
        <v>3431805195</v>
      </c>
      <c r="M876" s="181">
        <f t="shared" si="301"/>
        <v>13895636430</v>
      </c>
      <c r="N876" s="181">
        <f t="shared" si="301"/>
        <v>1050982426</v>
      </c>
      <c r="O876" s="181">
        <f t="shared" si="301"/>
        <v>8166802753</v>
      </c>
      <c r="P876" s="258">
        <v>0.23740675222371063</v>
      </c>
    </row>
    <row r="877" spans="1:16">
      <c r="A877" s="111" t="s">
        <v>21</v>
      </c>
      <c r="B877" s="91" t="s">
        <v>1509</v>
      </c>
      <c r="C877" s="91" t="s">
        <v>0</v>
      </c>
      <c r="D877" s="92"/>
      <c r="E877" s="91" t="s">
        <v>1</v>
      </c>
      <c r="F877" s="142">
        <f t="shared" ref="F877:O877" si="302">F878</f>
        <v>43316311000</v>
      </c>
      <c r="G877" s="142">
        <f t="shared" si="302"/>
        <v>1278780064</v>
      </c>
      <c r="H877" s="142">
        <f t="shared" si="302"/>
        <v>10418268632</v>
      </c>
      <c r="I877" s="142">
        <f t="shared" si="302"/>
        <v>53734579632</v>
      </c>
      <c r="J877" s="142">
        <f t="shared" si="302"/>
        <v>7036067317</v>
      </c>
      <c r="K877" s="142">
        <f t="shared" si="302"/>
        <v>20746386884</v>
      </c>
      <c r="L877" s="142">
        <f t="shared" si="302"/>
        <v>3431805195</v>
      </c>
      <c r="M877" s="142">
        <f t="shared" si="302"/>
        <v>13891436430</v>
      </c>
      <c r="N877" s="142">
        <f t="shared" si="302"/>
        <v>1050982426</v>
      </c>
      <c r="O877" s="142">
        <f t="shared" si="302"/>
        <v>8162602753</v>
      </c>
      <c r="P877" s="259">
        <v>0.23740675222371063</v>
      </c>
    </row>
    <row r="878" spans="1:16">
      <c r="A878" s="112" t="s">
        <v>29</v>
      </c>
      <c r="B878" s="93" t="s">
        <v>1507</v>
      </c>
      <c r="C878" s="93" t="s">
        <v>30</v>
      </c>
      <c r="D878" s="94"/>
      <c r="E878" s="93" t="s">
        <v>31</v>
      </c>
      <c r="F878" s="187">
        <f t="shared" ref="F878:O879" si="303">+F879</f>
        <v>43316311000</v>
      </c>
      <c r="G878" s="187">
        <f t="shared" si="303"/>
        <v>1278780064</v>
      </c>
      <c r="H878" s="187">
        <f t="shared" si="303"/>
        <v>10418268632</v>
      </c>
      <c r="I878" s="187">
        <f t="shared" si="303"/>
        <v>53734579632</v>
      </c>
      <c r="J878" s="187">
        <f t="shared" si="303"/>
        <v>7036067317</v>
      </c>
      <c r="K878" s="187">
        <f t="shared" si="303"/>
        <v>20746386884</v>
      </c>
      <c r="L878" s="187">
        <f t="shared" si="303"/>
        <v>3431805195</v>
      </c>
      <c r="M878" s="187">
        <f t="shared" si="303"/>
        <v>13891436430</v>
      </c>
      <c r="N878" s="187">
        <f t="shared" si="303"/>
        <v>1050982426</v>
      </c>
      <c r="O878" s="187">
        <f t="shared" si="303"/>
        <v>8162602753</v>
      </c>
      <c r="P878" s="260">
        <v>0.23740675222371063</v>
      </c>
    </row>
    <row r="879" spans="1:16">
      <c r="A879" s="113" t="s">
        <v>32</v>
      </c>
      <c r="B879" s="48" t="s">
        <v>1508</v>
      </c>
      <c r="C879" s="48" t="s">
        <v>33</v>
      </c>
      <c r="D879" s="85"/>
      <c r="E879" s="48" t="s">
        <v>34</v>
      </c>
      <c r="F879" s="143">
        <f t="shared" si="303"/>
        <v>43316311000</v>
      </c>
      <c r="G879" s="143">
        <f t="shared" si="303"/>
        <v>1278780064</v>
      </c>
      <c r="H879" s="143">
        <f t="shared" si="303"/>
        <v>10418268632</v>
      </c>
      <c r="I879" s="143">
        <f t="shared" si="303"/>
        <v>53734579632</v>
      </c>
      <c r="J879" s="143">
        <f t="shared" si="303"/>
        <v>7036067317</v>
      </c>
      <c r="K879" s="143">
        <f t="shared" si="303"/>
        <v>20746386884</v>
      </c>
      <c r="L879" s="143">
        <f t="shared" si="303"/>
        <v>3431805195</v>
      </c>
      <c r="M879" s="143">
        <f t="shared" si="303"/>
        <v>13891436430</v>
      </c>
      <c r="N879" s="143">
        <f t="shared" si="303"/>
        <v>1050982426</v>
      </c>
      <c r="O879" s="143">
        <f t="shared" si="303"/>
        <v>8162602753</v>
      </c>
      <c r="P879" s="261">
        <v>0.23740675222371063</v>
      </c>
    </row>
    <row r="880" spans="1:16">
      <c r="A880" s="114" t="s">
        <v>35</v>
      </c>
      <c r="B880" s="49" t="s">
        <v>1506</v>
      </c>
      <c r="C880" s="49" t="s">
        <v>36</v>
      </c>
      <c r="D880" s="86"/>
      <c r="E880" s="49" t="s">
        <v>37</v>
      </c>
      <c r="F880" s="144">
        <f t="shared" ref="F880:O880" si="304">SUM(F881:F889)</f>
        <v>43316311000</v>
      </c>
      <c r="G880" s="144">
        <f t="shared" si="304"/>
        <v>1278780064</v>
      </c>
      <c r="H880" s="144">
        <f t="shared" si="304"/>
        <v>10418268632</v>
      </c>
      <c r="I880" s="144">
        <f t="shared" si="304"/>
        <v>53734579632</v>
      </c>
      <c r="J880" s="144">
        <f t="shared" si="304"/>
        <v>7036067317</v>
      </c>
      <c r="K880" s="144">
        <f t="shared" si="304"/>
        <v>20746386884</v>
      </c>
      <c r="L880" s="144">
        <f t="shared" si="304"/>
        <v>3431805195</v>
      </c>
      <c r="M880" s="144">
        <f t="shared" si="304"/>
        <v>13891436430</v>
      </c>
      <c r="N880" s="144">
        <f t="shared" si="304"/>
        <v>1050982426</v>
      </c>
      <c r="O880" s="144">
        <f t="shared" si="304"/>
        <v>8162602753</v>
      </c>
      <c r="P880" s="262">
        <v>0.23740675222371063</v>
      </c>
    </row>
    <row r="881" spans="1:16">
      <c r="A881" s="110" t="s">
        <v>38</v>
      </c>
      <c r="B881" s="127" t="s">
        <v>1490</v>
      </c>
      <c r="C881" s="78" t="s">
        <v>39</v>
      </c>
      <c r="D881" s="31" t="s">
        <v>1974</v>
      </c>
      <c r="E881" s="28" t="s">
        <v>40</v>
      </c>
      <c r="F881" s="138">
        <v>0</v>
      </c>
      <c r="G881" s="215">
        <v>0</v>
      </c>
      <c r="H881" s="215">
        <v>346985635</v>
      </c>
      <c r="I881" s="215">
        <v>346985635</v>
      </c>
      <c r="J881" s="215">
        <v>47909519</v>
      </c>
      <c r="K881" s="215">
        <v>47909519</v>
      </c>
      <c r="L881" s="215">
        <v>0</v>
      </c>
      <c r="M881" s="215">
        <v>47909519</v>
      </c>
      <c r="N881" s="215">
        <v>0</v>
      </c>
      <c r="O881" s="215">
        <v>47909519</v>
      </c>
      <c r="P881" s="263">
        <v>0.23740675222371063</v>
      </c>
    </row>
    <row r="882" spans="1:16">
      <c r="A882" s="110" t="s">
        <v>41</v>
      </c>
      <c r="B882" s="127" t="s">
        <v>1491</v>
      </c>
      <c r="C882" s="78" t="s">
        <v>42</v>
      </c>
      <c r="D882" s="31" t="s">
        <v>1974</v>
      </c>
      <c r="E882" s="28" t="s">
        <v>43</v>
      </c>
      <c r="F882" s="138">
        <v>16072252000</v>
      </c>
      <c r="G882" s="215">
        <v>0</v>
      </c>
      <c r="H882" s="215">
        <v>1398412287</v>
      </c>
      <c r="I882" s="215">
        <v>17470664287</v>
      </c>
      <c r="J882" s="215">
        <v>307668942</v>
      </c>
      <c r="K882" s="215">
        <v>868344475</v>
      </c>
      <c r="L882" s="215">
        <v>103765500</v>
      </c>
      <c r="M882" s="215">
        <v>448967244</v>
      </c>
      <c r="N882" s="215">
        <v>403943</v>
      </c>
      <c r="O882" s="215">
        <v>225632875</v>
      </c>
      <c r="P882" s="263">
        <v>0.23740675222371063</v>
      </c>
    </row>
    <row r="883" spans="1:16">
      <c r="A883" s="110" t="s">
        <v>44</v>
      </c>
      <c r="B883" s="127" t="s">
        <v>1492</v>
      </c>
      <c r="C883" s="78" t="s">
        <v>45</v>
      </c>
      <c r="D883" s="31" t="s">
        <v>1974</v>
      </c>
      <c r="E883" s="28" t="s">
        <v>46</v>
      </c>
      <c r="F883" s="138">
        <v>1762733000</v>
      </c>
      <c r="G883" s="215">
        <v>0</v>
      </c>
      <c r="H883" s="215">
        <v>0</v>
      </c>
      <c r="I883" s="215">
        <v>1762733000</v>
      </c>
      <c r="J883" s="215">
        <v>325196158</v>
      </c>
      <c r="K883" s="215">
        <v>1520165290</v>
      </c>
      <c r="L883" s="215">
        <v>24236588</v>
      </c>
      <c r="M883" s="215">
        <v>1219205720</v>
      </c>
      <c r="N883" s="215">
        <v>63524454</v>
      </c>
      <c r="O883" s="215">
        <v>1125034289</v>
      </c>
      <c r="P883" s="263">
        <v>0.23740675222371063</v>
      </c>
    </row>
    <row r="884" spans="1:16">
      <c r="A884" s="110" t="s">
        <v>47</v>
      </c>
      <c r="B884" s="127" t="s">
        <v>1493</v>
      </c>
      <c r="C884" s="78" t="s">
        <v>48</v>
      </c>
      <c r="D884" s="31" t="s">
        <v>1974</v>
      </c>
      <c r="E884" s="28" t="s">
        <v>49</v>
      </c>
      <c r="F884" s="138">
        <v>6466642400</v>
      </c>
      <c r="G884" s="215">
        <v>0</v>
      </c>
      <c r="H884" s="215">
        <v>0</v>
      </c>
      <c r="I884" s="215">
        <v>6466642000</v>
      </c>
      <c r="J884" s="215">
        <v>1573331127</v>
      </c>
      <c r="K884" s="215">
        <v>4484328970</v>
      </c>
      <c r="L884" s="215">
        <v>1206843133</v>
      </c>
      <c r="M884" s="215">
        <v>4006006034</v>
      </c>
      <c r="N884" s="215">
        <v>150022643</v>
      </c>
      <c r="O884" s="215">
        <v>2707469772</v>
      </c>
      <c r="P884" s="263">
        <v>0.23740675222371063</v>
      </c>
    </row>
    <row r="885" spans="1:16">
      <c r="A885" s="110" t="s">
        <v>50</v>
      </c>
      <c r="B885" s="127" t="s">
        <v>1494</v>
      </c>
      <c r="C885" s="78" t="s">
        <v>51</v>
      </c>
      <c r="D885" s="31" t="s">
        <v>1974</v>
      </c>
      <c r="E885" s="28" t="s">
        <v>52</v>
      </c>
      <c r="F885" s="138">
        <v>2565693000</v>
      </c>
      <c r="G885" s="215">
        <v>0</v>
      </c>
      <c r="H885" s="215">
        <v>0</v>
      </c>
      <c r="I885" s="215">
        <v>2565693000</v>
      </c>
      <c r="J885" s="215">
        <v>210683056</v>
      </c>
      <c r="K885" s="215">
        <v>1225247076</v>
      </c>
      <c r="L885" s="215">
        <v>184248922</v>
      </c>
      <c r="M885" s="215">
        <v>1123056712</v>
      </c>
      <c r="N885" s="215">
        <v>62118528</v>
      </c>
      <c r="O885" s="215">
        <v>937927590</v>
      </c>
      <c r="P885" s="263">
        <v>0.23740675222371063</v>
      </c>
    </row>
    <row r="886" spans="1:16">
      <c r="A886" s="110" t="s">
        <v>53</v>
      </c>
      <c r="B886" s="127" t="s">
        <v>1495</v>
      </c>
      <c r="C886" s="78" t="s">
        <v>54</v>
      </c>
      <c r="D886" s="31" t="s">
        <v>1974</v>
      </c>
      <c r="E886" s="28" t="s">
        <v>55</v>
      </c>
      <c r="F886" s="138">
        <v>574376000</v>
      </c>
      <c r="G886" s="215">
        <v>0</v>
      </c>
      <c r="H886" s="215">
        <v>1150011870</v>
      </c>
      <c r="I886" s="215">
        <v>1724387870</v>
      </c>
      <c r="J886" s="215">
        <v>867927022</v>
      </c>
      <c r="K886" s="215">
        <v>1540007292</v>
      </c>
      <c r="L886" s="215">
        <v>407086764</v>
      </c>
      <c r="M886" s="215">
        <v>749995422</v>
      </c>
      <c r="N886" s="215">
        <v>1879217</v>
      </c>
      <c r="O886" s="215">
        <v>342776937</v>
      </c>
      <c r="P886" s="263">
        <v>0.23740675222371063</v>
      </c>
    </row>
    <row r="887" spans="1:16">
      <c r="A887" s="110" t="s">
        <v>56</v>
      </c>
      <c r="B887" s="127" t="s">
        <v>1496</v>
      </c>
      <c r="C887" s="78" t="s">
        <v>57</v>
      </c>
      <c r="D887" s="31" t="s">
        <v>1974</v>
      </c>
      <c r="E887" s="28" t="s">
        <v>58</v>
      </c>
      <c r="F887" s="138">
        <v>7937309000</v>
      </c>
      <c r="G887" s="215">
        <v>0</v>
      </c>
      <c r="H887" s="215">
        <v>1313535937</v>
      </c>
      <c r="I887" s="215">
        <v>9250844937</v>
      </c>
      <c r="J887" s="215">
        <v>1014706255</v>
      </c>
      <c r="K887" s="215">
        <v>4289585940</v>
      </c>
      <c r="L887" s="215">
        <v>534141648</v>
      </c>
      <c r="M887" s="215">
        <v>3263353353</v>
      </c>
      <c r="N887" s="215">
        <v>646184833</v>
      </c>
      <c r="O887" s="215">
        <v>866846941</v>
      </c>
      <c r="P887" s="263">
        <v>0.23740675222371063</v>
      </c>
    </row>
    <row r="888" spans="1:16">
      <c r="A888" s="110" t="s">
        <v>59</v>
      </c>
      <c r="B888" s="127" t="s">
        <v>1497</v>
      </c>
      <c r="C888" s="78" t="s">
        <v>60</v>
      </c>
      <c r="D888" s="31" t="s">
        <v>1974</v>
      </c>
      <c r="E888" s="28" t="s">
        <v>61</v>
      </c>
      <c r="F888" s="138">
        <v>5952979000</v>
      </c>
      <c r="G888" s="215">
        <v>1278780064</v>
      </c>
      <c r="H888" s="215">
        <v>6209322903</v>
      </c>
      <c r="I888" s="215">
        <v>12162301903</v>
      </c>
      <c r="J888" s="215">
        <v>2698762990</v>
      </c>
      <c r="K888" s="215">
        <v>5130790211</v>
      </c>
      <c r="L888" s="215">
        <v>602226492</v>
      </c>
      <c r="M888" s="215">
        <v>1392934315</v>
      </c>
      <c r="N888" s="215">
        <v>1413801</v>
      </c>
      <c r="O888" s="215">
        <v>790707823</v>
      </c>
      <c r="P888" s="263">
        <v>0.23740675222371063</v>
      </c>
    </row>
    <row r="889" spans="1:16" ht="12.75" thickBot="1">
      <c r="A889" s="119" t="s">
        <v>62</v>
      </c>
      <c r="B889" s="139" t="s">
        <v>1498</v>
      </c>
      <c r="C889" s="140" t="s">
        <v>63</v>
      </c>
      <c r="D889" s="120" t="s">
        <v>1974</v>
      </c>
      <c r="E889" s="121" t="s">
        <v>64</v>
      </c>
      <c r="F889" s="141">
        <v>1984326600</v>
      </c>
      <c r="G889" s="216">
        <v>0</v>
      </c>
      <c r="H889" s="216">
        <v>0</v>
      </c>
      <c r="I889" s="216">
        <v>1984327000</v>
      </c>
      <c r="J889" s="216">
        <v>-10117752</v>
      </c>
      <c r="K889" s="216">
        <v>1640008111</v>
      </c>
      <c r="L889" s="216">
        <v>369256148</v>
      </c>
      <c r="M889" s="216">
        <v>1640008111</v>
      </c>
      <c r="N889" s="216">
        <v>125435007</v>
      </c>
      <c r="O889" s="216">
        <v>1118297007</v>
      </c>
      <c r="P889" s="264">
        <v>0.23740675222371063</v>
      </c>
    </row>
    <row r="890" spans="1:16">
      <c r="A890" s="115" t="s">
        <v>22</v>
      </c>
      <c r="B890" s="89" t="s">
        <v>1499</v>
      </c>
      <c r="C890" s="89" t="s">
        <v>2</v>
      </c>
      <c r="D890" s="89"/>
      <c r="E890" s="89" t="s">
        <v>3</v>
      </c>
      <c r="F890" s="130">
        <f t="shared" ref="F890:O893" si="305">+F891</f>
        <v>211790000</v>
      </c>
      <c r="G890" s="130">
        <f t="shared" si="305"/>
        <v>382493661</v>
      </c>
      <c r="H890" s="130">
        <f t="shared" si="305"/>
        <v>382493661</v>
      </c>
      <c r="I890" s="130">
        <f t="shared" si="305"/>
        <v>594283661</v>
      </c>
      <c r="J890" s="130">
        <f t="shared" si="305"/>
        <v>0</v>
      </c>
      <c r="K890" s="130">
        <f t="shared" si="305"/>
        <v>4200000</v>
      </c>
      <c r="L890" s="130">
        <f t="shared" si="305"/>
        <v>0</v>
      </c>
      <c r="M890" s="130">
        <f t="shared" si="305"/>
        <v>4200000</v>
      </c>
      <c r="N890" s="130">
        <f t="shared" si="305"/>
        <v>0</v>
      </c>
      <c r="O890" s="130">
        <f t="shared" si="305"/>
        <v>4200000</v>
      </c>
      <c r="P890" s="265">
        <v>0.23740675222371063</v>
      </c>
    </row>
    <row r="891" spans="1:16">
      <c r="A891" s="116" t="s">
        <v>23</v>
      </c>
      <c r="B891" s="95" t="s">
        <v>1500</v>
      </c>
      <c r="C891" s="95" t="s">
        <v>4</v>
      </c>
      <c r="D891" s="95"/>
      <c r="E891" s="95" t="s">
        <v>5</v>
      </c>
      <c r="F891" s="131">
        <f t="shared" si="305"/>
        <v>211790000</v>
      </c>
      <c r="G891" s="131">
        <f t="shared" si="305"/>
        <v>382493661</v>
      </c>
      <c r="H891" s="131">
        <f t="shared" si="305"/>
        <v>382493661</v>
      </c>
      <c r="I891" s="131">
        <f t="shared" si="305"/>
        <v>594283661</v>
      </c>
      <c r="J891" s="131">
        <f t="shared" si="305"/>
        <v>0</v>
      </c>
      <c r="K891" s="131">
        <f t="shared" si="305"/>
        <v>4200000</v>
      </c>
      <c r="L891" s="131">
        <f t="shared" si="305"/>
        <v>0</v>
      </c>
      <c r="M891" s="131">
        <f t="shared" si="305"/>
        <v>4200000</v>
      </c>
      <c r="N891" s="131">
        <f t="shared" si="305"/>
        <v>0</v>
      </c>
      <c r="O891" s="131">
        <f t="shared" si="305"/>
        <v>4200000</v>
      </c>
      <c r="P891" s="266">
        <v>0.23740675222371063</v>
      </c>
    </row>
    <row r="892" spans="1:16">
      <c r="A892" s="117" t="s">
        <v>24</v>
      </c>
      <c r="B892" s="90" t="s">
        <v>1501</v>
      </c>
      <c r="C892" s="90" t="s">
        <v>6</v>
      </c>
      <c r="D892" s="90"/>
      <c r="E892" s="90" t="s">
        <v>7</v>
      </c>
      <c r="F892" s="132">
        <f t="shared" si="305"/>
        <v>211790000</v>
      </c>
      <c r="G892" s="132">
        <f t="shared" si="305"/>
        <v>382493661</v>
      </c>
      <c r="H892" s="132">
        <f t="shared" si="305"/>
        <v>382493661</v>
      </c>
      <c r="I892" s="132">
        <f t="shared" si="305"/>
        <v>594283661</v>
      </c>
      <c r="J892" s="132">
        <f t="shared" si="305"/>
        <v>0</v>
      </c>
      <c r="K892" s="132">
        <f t="shared" si="305"/>
        <v>4200000</v>
      </c>
      <c r="L892" s="132">
        <f t="shared" si="305"/>
        <v>0</v>
      </c>
      <c r="M892" s="132">
        <f t="shared" si="305"/>
        <v>4200000</v>
      </c>
      <c r="N892" s="132">
        <f t="shared" si="305"/>
        <v>0</v>
      </c>
      <c r="O892" s="132">
        <f t="shared" si="305"/>
        <v>4200000</v>
      </c>
      <c r="P892" s="267">
        <v>0.23740675222371063</v>
      </c>
    </row>
    <row r="893" spans="1:16">
      <c r="A893" s="118" t="s">
        <v>25</v>
      </c>
      <c r="B893" s="96" t="s">
        <v>1502</v>
      </c>
      <c r="C893" s="96" t="s">
        <v>8</v>
      </c>
      <c r="D893" s="96"/>
      <c r="E893" s="96" t="s">
        <v>9</v>
      </c>
      <c r="F893" s="133">
        <f>+F894</f>
        <v>211790000</v>
      </c>
      <c r="G893" s="133">
        <f t="shared" si="305"/>
        <v>382493661</v>
      </c>
      <c r="H893" s="133">
        <f t="shared" si="305"/>
        <v>382493661</v>
      </c>
      <c r="I893" s="133">
        <f t="shared" si="305"/>
        <v>594283661</v>
      </c>
      <c r="J893" s="133">
        <f t="shared" si="305"/>
        <v>0</v>
      </c>
      <c r="K893" s="133">
        <f t="shared" si="305"/>
        <v>4200000</v>
      </c>
      <c r="L893" s="133">
        <f t="shared" si="305"/>
        <v>0</v>
      </c>
      <c r="M893" s="133">
        <f t="shared" si="305"/>
        <v>4200000</v>
      </c>
      <c r="N893" s="133">
        <f t="shared" si="305"/>
        <v>0</v>
      </c>
      <c r="O893" s="133">
        <f t="shared" si="305"/>
        <v>4200000</v>
      </c>
      <c r="P893" s="268">
        <v>0.23740675222371063</v>
      </c>
    </row>
    <row r="894" spans="1:16">
      <c r="A894" s="134" t="s">
        <v>26</v>
      </c>
      <c r="B894" s="123" t="s">
        <v>1503</v>
      </c>
      <c r="C894" s="124" t="s">
        <v>10</v>
      </c>
      <c r="D894" s="67"/>
      <c r="E894" s="25" t="s">
        <v>11</v>
      </c>
      <c r="F894" s="135">
        <f t="shared" ref="F894:O894" si="306">+F895+F897</f>
        <v>211790000</v>
      </c>
      <c r="G894" s="135">
        <f t="shared" si="306"/>
        <v>382493661</v>
      </c>
      <c r="H894" s="135">
        <f t="shared" si="306"/>
        <v>382493661</v>
      </c>
      <c r="I894" s="135">
        <f t="shared" si="306"/>
        <v>594283661</v>
      </c>
      <c r="J894" s="135">
        <f t="shared" si="306"/>
        <v>0</v>
      </c>
      <c r="K894" s="135">
        <f t="shared" si="306"/>
        <v>4200000</v>
      </c>
      <c r="L894" s="135">
        <f t="shared" si="306"/>
        <v>0</v>
      </c>
      <c r="M894" s="135">
        <f t="shared" si="306"/>
        <v>4200000</v>
      </c>
      <c r="N894" s="135">
        <f t="shared" si="306"/>
        <v>0</v>
      </c>
      <c r="O894" s="135">
        <f t="shared" si="306"/>
        <v>4200000</v>
      </c>
      <c r="P894" s="269">
        <v>0.23740675222371063</v>
      </c>
    </row>
    <row r="895" spans="1:16">
      <c r="A895" s="136" t="s">
        <v>27</v>
      </c>
      <c r="B895" s="125"/>
      <c r="C895" s="126" t="s">
        <v>12</v>
      </c>
      <c r="D895" s="29"/>
      <c r="E895" s="19" t="s">
        <v>13</v>
      </c>
      <c r="F895" s="137">
        <f t="shared" ref="F895:O895" si="307">+F896</f>
        <v>50887000</v>
      </c>
      <c r="G895" s="137">
        <f t="shared" si="307"/>
        <v>0</v>
      </c>
      <c r="H895" s="137">
        <f t="shared" si="307"/>
        <v>0</v>
      </c>
      <c r="I895" s="137">
        <f t="shared" si="307"/>
        <v>50887000</v>
      </c>
      <c r="J895" s="137">
        <f t="shared" si="307"/>
        <v>0</v>
      </c>
      <c r="K895" s="137">
        <f t="shared" si="307"/>
        <v>4200000</v>
      </c>
      <c r="L895" s="137">
        <f t="shared" si="307"/>
        <v>0</v>
      </c>
      <c r="M895" s="137">
        <f t="shared" si="307"/>
        <v>4200000</v>
      </c>
      <c r="N895" s="137">
        <f t="shared" si="307"/>
        <v>0</v>
      </c>
      <c r="O895" s="137">
        <f t="shared" si="307"/>
        <v>4200000</v>
      </c>
      <c r="P895" s="270">
        <v>0.23740675222371063</v>
      </c>
    </row>
    <row r="896" spans="1:16">
      <c r="A896" s="110"/>
      <c r="B896" s="127" t="s">
        <v>1504</v>
      </c>
      <c r="C896" s="78" t="s">
        <v>14</v>
      </c>
      <c r="D896" s="31" t="s">
        <v>1957</v>
      </c>
      <c r="E896" s="28" t="s">
        <v>15</v>
      </c>
      <c r="F896" s="138">
        <v>50887000</v>
      </c>
      <c r="G896" s="215">
        <v>0</v>
      </c>
      <c r="H896" s="215">
        <v>0</v>
      </c>
      <c r="I896" s="215">
        <v>50887000</v>
      </c>
      <c r="J896" s="215">
        <v>0</v>
      </c>
      <c r="K896" s="215">
        <v>4200000</v>
      </c>
      <c r="L896" s="215">
        <v>0</v>
      </c>
      <c r="M896" s="215">
        <v>4200000</v>
      </c>
      <c r="N896" s="215">
        <v>0</v>
      </c>
      <c r="O896" s="215">
        <v>4200000</v>
      </c>
      <c r="P896" s="263">
        <v>0.23740675222371063</v>
      </c>
    </row>
    <row r="897" spans="1:16">
      <c r="A897" s="136" t="s">
        <v>28</v>
      </c>
      <c r="B897" s="125"/>
      <c r="C897" s="126" t="s">
        <v>16</v>
      </c>
      <c r="D897" s="29"/>
      <c r="E897" s="19" t="s">
        <v>17</v>
      </c>
      <c r="F897" s="137">
        <f t="shared" ref="F897:O897" si="308">+F898</f>
        <v>160903000</v>
      </c>
      <c r="G897" s="137">
        <f t="shared" si="308"/>
        <v>382493661</v>
      </c>
      <c r="H897" s="137">
        <f t="shared" si="308"/>
        <v>382493661</v>
      </c>
      <c r="I897" s="137">
        <f t="shared" si="308"/>
        <v>543396661</v>
      </c>
      <c r="J897" s="137">
        <f t="shared" si="308"/>
        <v>0</v>
      </c>
      <c r="K897" s="137">
        <f t="shared" si="308"/>
        <v>0</v>
      </c>
      <c r="L897" s="137">
        <f t="shared" si="308"/>
        <v>0</v>
      </c>
      <c r="M897" s="137">
        <f t="shared" si="308"/>
        <v>0</v>
      </c>
      <c r="N897" s="137">
        <f t="shared" si="308"/>
        <v>0</v>
      </c>
      <c r="O897" s="137">
        <f t="shared" si="308"/>
        <v>0</v>
      </c>
      <c r="P897" s="270">
        <v>0.23740675222371063</v>
      </c>
    </row>
    <row r="898" spans="1:16" ht="12.75" thickBot="1">
      <c r="A898" s="119"/>
      <c r="B898" s="139" t="s">
        <v>1505</v>
      </c>
      <c r="C898" s="140" t="s">
        <v>18</v>
      </c>
      <c r="D898" s="120" t="s">
        <v>1957</v>
      </c>
      <c r="E898" s="121" t="s">
        <v>19</v>
      </c>
      <c r="F898" s="141">
        <v>160903000</v>
      </c>
      <c r="G898" s="216">
        <v>382493661</v>
      </c>
      <c r="H898" s="216">
        <v>382493661</v>
      </c>
      <c r="I898" s="216">
        <v>543396661</v>
      </c>
      <c r="J898" s="216">
        <v>0</v>
      </c>
      <c r="K898" s="216">
        <v>0</v>
      </c>
      <c r="L898" s="216">
        <v>0</v>
      </c>
      <c r="M898" s="216">
        <v>0</v>
      </c>
      <c r="N898" s="216">
        <v>0</v>
      </c>
      <c r="O898" s="216">
        <v>0</v>
      </c>
      <c r="P898" s="264">
        <v>0.23740675222371063</v>
      </c>
    </row>
  </sheetData>
  <protectedRanges>
    <protectedRange sqref="Q1547:XFD1547 Q1496:XFD1496 Q1474:XFD1475 Q1477:XFD1478 Q1562:XFD1563 Q1499:XFD1499 Q1519:XFD1521 Q1471:XFD1471 Q1502:XFD1502 Q1468:XFD1469 Q1487:XFD1487 Q1433:XFD1433 Q1529:XFD1531 Q1510:XFD1511 Q1489:XFD1491 Q1504:XFD1505 G1504:P1505 G1489:P1491 G1510:P1511 G1529:P1531 G1433:P1433 G1487:P1487 G1468:P1469 G1502:P1502 G1471:P1471 G1519:P1521 G1499:P1499 G1562:P1563 G1477:P1478 G1474:P1475 G1496:P1496 G1547:P1547" name="Rango5"/>
    <protectedRange sqref="G1465:XFD1465 G1342:XFD1345 G1289:XFD1293 G1283:XFD1287 G1395:XFD1398 G1376:XFD1378 G1410:XFD1410 G1353:XFD1353 G1363:XFD1364 G1336:XFD1336 G1307:XFD1307 G1418:XFD1418 G1392:XFD1392 G1338:XFD1339 G1348:XFD1348 G1360:XFD1360 G1310:XFD1312 G1385:XFD1385 G1321:XFD1321 G1387:XFD1387 G1372:XFD1373" name="Rango4"/>
    <protectedRange sqref="G1245:XFD1247 G1266:XFD1272 G1238:XFD1242 G1253:XFD1253 G1261:XFD1262 G1215:XFD1220 G1258:XFD1258 G1229:XFD1233 G1256:XFD1256" name="Rango3"/>
    <protectedRange sqref="G1056:XFD1057 G1092:XFD1093 G1120:XFD1120 G1138:XFD1138 G1145:XFD1146 G1109:XFD1111 G1127:XFD1129 G1162:XFD1164 G1180:XFD1182 G1038:XFD1040 G1073:XFD1076 G1000:XFD1004 G1198:XFD1199 G1021:XFD1022 G1191:XFD1191 G1066:XFD1066" name="Rango2"/>
    <protectedRange algorithmName="SHA-512" hashValue="/yOoSJ0JfP+uHcKjxjbuNCQZ/yCSSPUNYy8yW+UIm5HOAGfwSmNQyz0FOeJAqkyoET2ZmH/OAMFEuNR0Rn/MMQ==" saltValue="EUZHpkbFDytx+5nx/y3tRw==" spinCount="100000" sqref="P878:P880 G881:P884 Q878:XFD884 G888:XFD888 G898:XFD898 G900:XFD901 G968:XFD971 G959:XFD960 G904:XFD905 G909:XFD909 G913:XFD914 G954:XFD955 G916:XFD917 G921:XFD922 G925:XFD927 G931:XFD931 G935:XFD936 G940:XFD941 G945:XFD945 G949:XFD950 G964:XFD965" name="Rango1"/>
    <protectedRange sqref="A1725 E1725 C1725" name="Rango8_3"/>
    <protectedRange sqref="F1725" name="Rango8_1_2"/>
    <protectedRange sqref="E1738:E1743 E1745 A1745 A1738:A1743 C1745 C1738:C1743" name="Rango8_4"/>
    <protectedRange sqref="F1738:F1743 F1745" name="Rango8_1_3"/>
    <protectedRange sqref="A1434:B1434 E1434 E1475 A1497:E1497 E1478 A1563:E1564 A1530:E1532 A1520:E1522 A1511:E1512 A1505:E1506 A1500:E1500 A1503:E1503 A1488:E1488 A1479:E1479 A1476:E1476 A1472:E1472 A1469:E1470 A1548:E1548 A1490:E1492" name="Rango5_2"/>
    <protectedRange sqref="E1290 C1413:D1413 A1411:E1411 C1407:D1409 A1396:E1399 A1393:E1393 A1388:E1388 A1386:E1386 A1377:E1379 A1373:E1374 A1364:E1365 A1361:E1361 A1339:E1340 A1337:E1337 A1322:E1322 A1311:E1313 A1308:E1308 A1291:E1294 A1354:E1354 A1349:E1349 A1285:E1288 A1343:E1346 E1284 A1466:E1466 A1478:D1478 A1475:D1475 C1464:D1464 C1458:D1458 C1456:D1456 C1452:D1452 C1449:D1449 C1434:D1434 A1419:E1419 C1417:D1417 C1415:D1415" name="Rango4_2"/>
    <protectedRange sqref="D1216:E1221 D1222:D1225 D1279:D1280 A1267:E1273 A1259:E1259 A1257:E1257 A1254:E1254 A1246:E1248 A1239:E1243 A1230:E1234 A1290:D1290 D1282 A1262:E1263 A1216:C1225 A1279:C1282 A1284:D1284" name="Rango3_2"/>
    <protectedRange sqref="A1139:E1139 A1128:E1130 A1121:E1121 A1110:E1112 C1103:E1103 A1093:E1094 C1086:E1086 A1074:E1077 A1067:E1067 A1057:E1058 C1050:E1050 A1039:E1041 C1032:E1032 A1022:E1023 C1015:E1015 A1001:E1005 C1209:E1209 A1199:E1200 A1181:E1183 A1192:E1192 C1174:D1174 A1163:E1165 C1156:E1156 A1146:E1147" name="Rango2_2"/>
    <protectedRange algorithmName="SHA-512" hashValue="/yOoSJ0JfP+uHcKjxjbuNCQZ/yCSSPUNYy8yW+UIm5HOAGfwSmNQyz0FOeJAqkyoET2ZmH/OAMFEuNR0Rn/MMQ==" saltValue="EUZHpkbFDytx+5nx/y3tRw==" spinCount="100000" sqref="A922:B923 A879:B885 A965:B966 A936:B937 A889:B889 A917:B918 A926:B928 A932:B932 A941:B942 A946:B946 A950:B951 A955:B956 A899:B899 A969:B972 A960:B961" name="Rango1_3"/>
    <protectedRange sqref="F1687:F1690 F1720:F1721 F1711:F1713 F1705:F1706 F1700:F1701 F1696:F1697 F1715 F1693" name="Rango7_1_1"/>
    <protectedRange sqref="F1614 F1628:F1629 F1571:F1572 F1657 F1606:F1609 F1586 F1633 F1583 F1575 F1664:F1666 F1653:F1654 F1623:F1625 F1578:F1579 F1668 F1671 F1604 F1593" name="Rango6_1_1"/>
    <protectedRange sqref="F1434 F1472 F1563:F1564 F1500 F1475:F1476 F1530:F1532 F1469:F1470 F1511:F1512 F1520:F1522 F1488 F1478:F1479 F1505:F1506 F1497 F1548 F1490:F1492 F1503" name="Rango5_1_1"/>
    <protectedRange sqref="F1396:F1399 F1393 F1466 F1291:F1294 F1311:F1313 F1308 F1337 F1339:F1340 F1343:F1346 F1349 F1361 F1386 F1388 F1322 F1373:F1374 F1364:F1365 F1354 F1411 F1419 F1377:F1379 F1284:F1288" name="Rango4_1_1"/>
    <protectedRange sqref="F1267:F1273 F1230:F1234 F1239:F1243 F1262:F1263 F1246:F1248 F1257 F1254 F1259 F1216:F1221" name="Rango3_1_1"/>
    <protectedRange sqref="F1039:F1041 F1074:F1077 F1067 F1146:F1147 F1139 F1192 F1121 F1093:F1094 F1199:F1200 F1057:F1058 F1181:F1183 F1163:F1165 F1128:F1130 F1110:F1112 F1001:F1005 F1022:F1023" name="Rango2_1_1"/>
    <protectedRange algorithmName="SHA-512" hashValue="/yOoSJ0JfP+uHcKjxjbuNCQZ/yCSSPUNYy8yW+UIm5HOAGfwSmNQyz0FOeJAqkyoET2ZmH/OAMFEuNR0Rn/MMQ==" saltValue="EUZHpkbFDytx+5nx/y3tRw==" spinCount="100000" sqref="F899 F969:F972 F901:F902 F914:F915 F910 F905:F906 F889 F922:F923 F917:F918 F965:F966 F955:F956 F950:F951 F946 F941:F942 F936:F937 F932 F926:F928 F879:F885 F960:F961 G879:O880" name="Rango1_1_1"/>
    <protectedRange algorithmName="SHA-512" hashValue="/yOoSJ0JfP+uHcKjxjbuNCQZ/yCSSPUNYy8yW+UIm5HOAGfwSmNQyz0FOeJAqkyoET2ZmH/OAMFEuNR0Rn/MMQ==" saltValue="EUZHpkbFDytx+5nx/y3tRw==" spinCount="100000" sqref="E901:E902 C905:E906 C955:E956 C950:E951 C946:E946 C941:E942 C932:E932 C926:E928 C917:E918 C914:E915 C910:E910 C901:C902 C889:E889 C936:E937 C965:E966 C879:E885 C922:E923 C969:E972 C899:E899 C960:E961" name="Rango1_2_1"/>
    <protectedRange sqref="A577:B577 E577 E618 A640:E640 E621 A709:E710 A674:E676 A664:E666 A654:E655 A648:E649 A643:E643 A646:E646 A631:E631 A622:E622 A619:E619 A615:E615 A612:E613 A692:E692 A633:E635 P621 P633 P654 P664:P665 G620:P620 G647:P647 G632:P632 G614:P614 Q632:XFD634 Q647:XFD648 G645:P645 G642:P642 G639:P639 Q663:XFD665 Q653:XFD654 Q620:XFD621 P673:P675 P617:P618 P611:P612 P691 P708:P709 P630 P576 G653:P653 G663:P663 Q614:XFD614 Q645:XFD645 Q642:XFD642 Q639:XFD639 Q673:XFD675 Q617:XFD618 Q611:XFD612 Q691:XFD691 Q708:XFD709 Q630:XFD630 Q576:XFD576" name="Rango5_3"/>
    <protectedRange sqref="E428 C556:D556 A554:E554 C550:D552 A539:E542 A536:E536 A531:E531 A529:E529 A520:E522 A516:E517 A507:E508 A504:E504 A479:E480 A477:E477 A461:E461 A449:E451 A446:E446 A429:E432 A494:E494 A489:E489 A423:E426 E422 A483:E486 A609:E609 A621:D621 A618:D618 C607:D607 C601:D601 C599:D599 C595:D595 C592:D592 C577:D577 A562:E562 C560:D560 C558:D558 P427 P429:P431 P507 P520:P521 G506:P506 G428:P428 G561:P561 G553:P553 Q519:XFD521 G608:P608 Q427:XFD431 Q506:XFD507 G488:P488 P538:P541 P515:P516 P482:P485 P448:P450 P421:P425 P530 P460 P528 P503 P478:P479 P535 P445 P475:P476 G519:P519 G493:P493 Q561:XFD561 Q553:XFD553 Q608:XFD608 Q488:XFD488 Q538:XFD541 Q515:XFD516 Q482:XFD485 Q448:XFD450 Q421:XFD425 Q530:XFD530 Q460:XFD460 Q528:XFD528 Q503:XFD503 Q478:XFD479 Q535:XFD535 Q445:XFD445 Q475:XFD476 Q493:XFD493" name="Rango4_3"/>
    <protectedRange sqref="D349:E354 D357:D360 D417:D418 A404:E411 A396:E396 A394:E394 A391:E391 A382:E384 A375:E379 A365:E369 A428:D428 D420 A349:C360 A417:C420 A399:E400 A422:D422 P349 P365:P368 P399 P407:P410 P404:P405 G398:P398 G355:P355 G356:O356 P351:P354 G348:P348 P390 G406:P406 Q348:XFD355 Q364:XFD368 Q403:XFD410 Q398:XFD399 G395:P395 G393:P393 P381:P383 P374:P378 G364:P364 G403:P403 Q390:XFD390 Q395:XFD395 Q393:XFD393 Q381:XFD383 Q374:XFD378" name="Rango3_3"/>
    <protectedRange sqref="A272:E272 A261:E263 A254:E254 A243:E245 C236:E236 A226:E227 C219:E219 A207:E210 A200:E200 A190:E191 C183:E183 A172:E174 C165:E165 A155:E156 C148:E148 G295:P295 A134:E138 C342:E342 A332:E333 A314:E316 A325:E325 C307:D307 A296:E298 C289:E289 A279:E280 P155 P172:P173 P190 P207:P209 P226 P243:P244 P261:P262 P279 P314:P315 P332 G154:P154 G189:P189 G206:P206 G278:P278 G171:P171 G225:P225 G242:P242 G260:P260 G331:P331 G313:P313 Q313:XFD315 Q331:XFD332 Q260:XFD262 Q242:XFD244 Q225:XFD226 Q171:XFD173 Q278:XFD279 Q206:XFD209 Q189:XFD190 Q154:XFD155 G199:P199 G271:P271 G253:P253 G324:P324 P133:P137 Q295:XFD297 Q199:XFD199 Q271:XFD271 Q253:XFD253 Q324:XFD324 Q133:XFD137" name="Rango2_3"/>
    <protectedRange algorithmName="SHA-512" hashValue="/yOoSJ0JfP+uHcKjxjbuNCQZ/yCSSPUNYy8yW+UIm5HOAGfwSmNQyz0FOeJAqkyoET2ZmH/OAMFEuNR0Rn/MMQ==" saltValue="EUZHpkbFDytx+5nx/y3tRw==" spinCount="100000" sqref="A56:B57 A13:B19 A99:B100 A70:B71 A26:B27 A23:B24 A51:B52 A60:B62 A66:B66 A75:B76 A80:B80 A84:B85 A89:B90 A102:B105 A29:B30 A32:B33 A94:B95 P26 P29 P32 P35 P59:P61 P51 P104 G101:P103 G25:P25 G28:P28 G31:P31 G34:P34 G50:P50 P22:P23 Q13:XFD18 P43 P79 Q65:XFD65 Q50:XFD51 Q34:XFD35 Q31:XFD32 Q28:XFD29 Q25:XFD26 Q101:XFD104 P38:P39 P98:P99 P93:P94 P88:P89 P83:P84 P74:P75 P69:P70 P47:P48 P55:P56 Q59:XFD61 Q22:XFD23 Q43:XFD43 Q79:XFD79 Q38:XFD39 Q98:XFD99 Q93:XFD94 Q88:XFD89 Q83:XFD84 Q74:XFD75 Q69:XFD70 Q47:XFD48 Q55:XFD56" name="Rango1_4"/>
    <protectedRange sqref="F872:O873 F863:O865 F867:O867 F857:O858 F852:O853 F848:O849 F839:O842 F845:O845" name="Rango7_1_2"/>
    <protectedRange sqref="F717:O718 F721:O721 F724:O725 F729:O729 F820:O820 F813:O815 F817:O817 F806:O806 F802:O803 F781:O781 F775:O776 F770:O772 F761:O761 F752:O755 F739:O739 F732:O732 F750:O750" name="Rango6_1_2"/>
    <protectedRange sqref="P634:P635 F648:P649 F577:O577 F612:O613 F615:O615 F621:O622 F631:O631 F633:O635 F646:O646 F654:O655 F664:O666 F674:O676 F709:O710 F618:O619 F640:O640 F643:O643 F692:O692" name="Rango5_1_2"/>
    <protectedRange sqref="F429:O432 F479:O480 F477:O477 F483:O486 F489:O489 F494:O494 F504:O504 F507:O508 F516:O517 F520:O522 F529:O529 F536:O536 F539:O542 F554:O554 F562:O562 F609:O609 F422:O426 F531:O531 F446:O446 F449:O451 F461:O461" name="Rango4_1_2"/>
    <protectedRange sqref="F404:F411 F349:F356 F365:O369 F375:O379 F391:O391 F394:O394 G407:O411 F399:O400 G349:O349 G351:O354 G350:P350 F396:O396 G404:O405 F382:O384" name="Rango3_1_2"/>
    <protectedRange sqref="F155:O156 F172:O174 F190:O191 F200:O200 F207:O210 F226:O227 F243:O245 F254:O254 F261:O263 F272:O272 F279:O280 F314:O316 F325:O325 F332:O333 F296:P298 F134:O138" name="Rango2_1_2"/>
    <protectedRange algorithmName="SHA-512" hashValue="/yOoSJ0JfP+uHcKjxjbuNCQZ/yCSSPUNYy8yW+UIm5HOAGfwSmNQyz0FOeJAqkyoET2ZmH/OAMFEuNR0Rn/MMQ==" saltValue="EUZHpkbFDytx+5nx/y3tRw==" spinCount="100000" sqref="F102:F105 F13:P19 F23:O24 F26:O27 F29:O30 F32:O33 F35:O36 F60:O62 F51:O52 F56:O57 F48:O49 F66:O66 F70:O71 F75:O76 F80:O80 F84:O85 F89:O90 F94:O95 F39:O40 F44:O44 G104:O105 F99:O100" name="Rango1_1_2"/>
    <protectedRange algorithmName="SHA-512" hashValue="/yOoSJ0JfP+uHcKjxjbuNCQZ/yCSSPUNYy8yW+UIm5HOAGfwSmNQyz0FOeJAqkyoET2ZmH/OAMFEuNR0Rn/MMQ==" saltValue="EUZHpkbFDytx+5nx/y3tRw==" spinCount="100000" sqref="E35:E36 C39:E40 C89:E90 C84:E85 C80:E80 C75:E76 C66:E66 C60:E62 C51:E52 C48:E49 C44:E44 C35:C36 C23:E24 C26:E27 C70:E71 C99:E100 C13:E19 C56:E57 C102:E105 C29:E30 C32:E33 C94:E95" name="Rango1_2_2"/>
    <protectedRange algorithmName="SHA-512" hashValue="/yOoSJ0JfP+uHcKjxjbuNCQZ/yCSSPUNYy8yW+UIm5HOAGfwSmNQyz0FOeJAqkyoET2ZmH/OAMFEuNR0Rn/MMQ==" saltValue="EUZHpkbFDytx+5nx/y3tRw==" spinCount="100000" sqref="G896:O896 G889:O889" name="Rango1_1"/>
    <protectedRange sqref="E890:E895 E897 A897 A890:A895 C897 C890:C895" name="Rango8_4_1"/>
    <protectedRange sqref="F897:O897 F890:O895" name="Rango8_1_3_1"/>
  </protectedRanges>
  <mergeCells count="23">
    <mergeCell ref="P10:P12"/>
    <mergeCell ref="F11:F12"/>
    <mergeCell ref="F10:I10"/>
    <mergeCell ref="L10:M10"/>
    <mergeCell ref="N10:O10"/>
    <mergeCell ref="J10:K10"/>
    <mergeCell ref="J11:J12"/>
    <mergeCell ref="G11:H11"/>
    <mergeCell ref="I11:I12"/>
    <mergeCell ref="K11:K12"/>
    <mergeCell ref="L11:L12"/>
    <mergeCell ref="M11:M12"/>
    <mergeCell ref="N11:N12"/>
    <mergeCell ref="O11:O12"/>
    <mergeCell ref="C2:O2"/>
    <mergeCell ref="C3:O3"/>
    <mergeCell ref="C10:E10"/>
    <mergeCell ref="A11:A12"/>
    <mergeCell ref="B11:B12"/>
    <mergeCell ref="C11:C12"/>
    <mergeCell ref="D11:D12"/>
    <mergeCell ref="E11:E12"/>
    <mergeCell ref="C4:O4"/>
  </mergeCells>
  <phoneticPr fontId="23" type="noConversion"/>
  <conditionalFormatting sqref="D107">
    <cfRule type="duplicateValues" dxfId="132" priority="64"/>
  </conditionalFormatting>
  <conditionalFormatting sqref="D109">
    <cfRule type="duplicateValues" dxfId="131" priority="65"/>
  </conditionalFormatting>
  <conditionalFormatting sqref="D111:D114">
    <cfRule type="duplicateValues" dxfId="130" priority="66"/>
  </conditionalFormatting>
  <conditionalFormatting sqref="D116">
    <cfRule type="duplicateValues" dxfId="129" priority="67"/>
  </conditionalFormatting>
  <conditionalFormatting sqref="D118">
    <cfRule type="duplicateValues" dxfId="128" priority="68"/>
  </conditionalFormatting>
  <conditionalFormatting sqref="D120">
    <cfRule type="duplicateValues" dxfId="127" priority="69"/>
  </conditionalFormatting>
  <conditionalFormatting sqref="D122">
    <cfRule type="duplicateValues" dxfId="126" priority="70"/>
  </conditionalFormatting>
  <conditionalFormatting sqref="D124">
    <cfRule type="duplicateValues" dxfId="125" priority="71"/>
  </conditionalFormatting>
  <conditionalFormatting sqref="D126">
    <cfRule type="duplicateValues" dxfId="124" priority="72"/>
  </conditionalFormatting>
  <conditionalFormatting sqref="D128">
    <cfRule type="duplicateValues" dxfId="123" priority="73"/>
  </conditionalFormatting>
  <conditionalFormatting sqref="D130">
    <cfRule type="duplicateValues" dxfId="122" priority="74"/>
  </conditionalFormatting>
  <conditionalFormatting sqref="D132:D133">
    <cfRule type="duplicateValues" dxfId="121" priority="75"/>
  </conditionalFormatting>
  <conditionalFormatting sqref="D355">
    <cfRule type="duplicateValues" dxfId="120" priority="46"/>
  </conditionalFormatting>
  <conditionalFormatting sqref="D356">
    <cfRule type="duplicateValues" dxfId="119" priority="47"/>
  </conditionalFormatting>
  <conditionalFormatting sqref="D362">
    <cfRule type="duplicateValues" dxfId="118" priority="76"/>
  </conditionalFormatting>
  <conditionalFormatting sqref="D364">
    <cfRule type="duplicateValues" dxfId="117" priority="77"/>
  </conditionalFormatting>
  <conditionalFormatting sqref="D370:D373">
    <cfRule type="duplicateValues" dxfId="116" priority="78"/>
  </conditionalFormatting>
  <conditionalFormatting sqref="D374">
    <cfRule type="duplicateValues" dxfId="115" priority="59"/>
  </conditionalFormatting>
  <conditionalFormatting sqref="D380:D381">
    <cfRule type="duplicateValues" dxfId="114" priority="79"/>
  </conditionalFormatting>
  <conditionalFormatting sqref="D385:D388">
    <cfRule type="duplicateValues" dxfId="113" priority="80"/>
  </conditionalFormatting>
  <conditionalFormatting sqref="D389">
    <cfRule type="duplicateValues" dxfId="112" priority="1"/>
  </conditionalFormatting>
  <conditionalFormatting sqref="D393">
    <cfRule type="duplicateValues" dxfId="111" priority="81"/>
  </conditionalFormatting>
  <conditionalFormatting sqref="D395">
    <cfRule type="duplicateValues" dxfId="110" priority="82"/>
  </conditionalFormatting>
  <conditionalFormatting sqref="D398">
    <cfRule type="duplicateValues" dxfId="109" priority="83"/>
  </conditionalFormatting>
  <conditionalFormatting sqref="D403">
    <cfRule type="duplicateValues" dxfId="108" priority="84"/>
  </conditionalFormatting>
  <conditionalFormatting sqref="D406">
    <cfRule type="duplicateValues" dxfId="107" priority="11"/>
  </conditionalFormatting>
  <conditionalFormatting sqref="D412:D413">
    <cfRule type="duplicateValues" dxfId="106" priority="85"/>
  </conditionalFormatting>
  <conditionalFormatting sqref="D416">
    <cfRule type="duplicateValues" dxfId="105" priority="86"/>
  </conditionalFormatting>
  <conditionalFormatting sqref="D419">
    <cfRule type="duplicateValues" dxfId="104" priority="87"/>
  </conditionalFormatting>
  <conditionalFormatting sqref="D428">
    <cfRule type="duplicateValues" dxfId="103" priority="88"/>
  </conditionalFormatting>
  <conditionalFormatting sqref="D433:D445">
    <cfRule type="duplicateValues" dxfId="102" priority="89"/>
  </conditionalFormatting>
  <conditionalFormatting sqref="D448">
    <cfRule type="duplicateValues" dxfId="101" priority="92"/>
  </conditionalFormatting>
  <conditionalFormatting sqref="D452:D459">
    <cfRule type="duplicateValues" dxfId="100" priority="90"/>
  </conditionalFormatting>
  <conditionalFormatting sqref="D460">
    <cfRule type="duplicateValues" dxfId="99" priority="62"/>
  </conditionalFormatting>
  <conditionalFormatting sqref="D462:D476">
    <cfRule type="duplicateValues" dxfId="98" priority="91"/>
  </conditionalFormatting>
  <conditionalFormatting sqref="D481:D482">
    <cfRule type="duplicateValues" dxfId="97" priority="93"/>
  </conditionalFormatting>
  <conditionalFormatting sqref="D488">
    <cfRule type="duplicateValues" dxfId="96" priority="94"/>
  </conditionalFormatting>
  <conditionalFormatting sqref="D491">
    <cfRule type="duplicateValues" dxfId="95" priority="95"/>
  </conditionalFormatting>
  <conditionalFormatting sqref="D493">
    <cfRule type="duplicateValues" dxfId="94" priority="96"/>
  </conditionalFormatting>
  <conditionalFormatting sqref="D496">
    <cfRule type="duplicateValues" dxfId="93" priority="97"/>
  </conditionalFormatting>
  <conditionalFormatting sqref="D498">
    <cfRule type="duplicateValues" dxfId="92" priority="98"/>
  </conditionalFormatting>
  <conditionalFormatting sqref="D500">
    <cfRule type="duplicateValues" dxfId="91" priority="99"/>
  </conditionalFormatting>
  <conditionalFormatting sqref="D502">
    <cfRule type="duplicateValues" dxfId="90" priority="58"/>
  </conditionalFormatting>
  <conditionalFormatting sqref="D503">
    <cfRule type="duplicateValues" dxfId="89" priority="53"/>
  </conditionalFormatting>
  <conditionalFormatting sqref="D506">
    <cfRule type="duplicateValues" dxfId="88" priority="100"/>
  </conditionalFormatting>
  <conditionalFormatting sqref="D509:D515">
    <cfRule type="duplicateValues" dxfId="87" priority="101"/>
  </conditionalFormatting>
  <conditionalFormatting sqref="D519">
    <cfRule type="duplicateValues" dxfId="86" priority="102"/>
  </conditionalFormatting>
  <conditionalFormatting sqref="D523:D528">
    <cfRule type="duplicateValues" dxfId="85" priority="103"/>
  </conditionalFormatting>
  <conditionalFormatting sqref="D532:D534">
    <cfRule type="duplicateValues" dxfId="84" priority="104"/>
  </conditionalFormatting>
  <conditionalFormatting sqref="D537:D538">
    <cfRule type="duplicateValues" dxfId="83" priority="105"/>
  </conditionalFormatting>
  <conditionalFormatting sqref="D543:D549">
    <cfRule type="duplicateValues" dxfId="82" priority="106"/>
  </conditionalFormatting>
  <conditionalFormatting sqref="D551">
    <cfRule type="duplicateValues" dxfId="81" priority="107"/>
  </conditionalFormatting>
  <conditionalFormatting sqref="D553">
    <cfRule type="duplicateValues" dxfId="80" priority="108"/>
  </conditionalFormatting>
  <conditionalFormatting sqref="D555">
    <cfRule type="duplicateValues" dxfId="79" priority="109"/>
  </conditionalFormatting>
  <conditionalFormatting sqref="D557">
    <cfRule type="duplicateValues" dxfId="78" priority="110"/>
  </conditionalFormatting>
  <conditionalFormatting sqref="D559">
    <cfRule type="duplicateValues" dxfId="77" priority="111"/>
  </conditionalFormatting>
  <conditionalFormatting sqref="D561">
    <cfRule type="duplicateValues" dxfId="76" priority="112"/>
  </conditionalFormatting>
  <conditionalFormatting sqref="D563:D576">
    <cfRule type="duplicateValues" dxfId="75" priority="182"/>
  </conditionalFormatting>
  <conditionalFormatting sqref="D578:D591">
    <cfRule type="duplicateValues" dxfId="74" priority="113"/>
  </conditionalFormatting>
  <conditionalFormatting sqref="D593:D594">
    <cfRule type="duplicateValues" dxfId="73" priority="114"/>
  </conditionalFormatting>
  <conditionalFormatting sqref="D596:D598">
    <cfRule type="duplicateValues" dxfId="72" priority="115"/>
  </conditionalFormatting>
  <conditionalFormatting sqref="D600">
    <cfRule type="duplicateValues" dxfId="71" priority="116"/>
  </conditionalFormatting>
  <conditionalFormatting sqref="D602:D606">
    <cfRule type="duplicateValues" dxfId="70" priority="117"/>
  </conditionalFormatting>
  <conditionalFormatting sqref="D608">
    <cfRule type="duplicateValues" dxfId="69" priority="118"/>
  </conditionalFormatting>
  <conditionalFormatting sqref="D610:D611">
    <cfRule type="duplicateValues" dxfId="68" priority="119"/>
  </conditionalFormatting>
  <conditionalFormatting sqref="D614">
    <cfRule type="duplicateValues" dxfId="67" priority="120"/>
  </conditionalFormatting>
  <conditionalFormatting sqref="D616:D617">
    <cfRule type="duplicateValues" dxfId="66" priority="121"/>
  </conditionalFormatting>
  <conditionalFormatting sqref="D620">
    <cfRule type="duplicateValues" dxfId="65" priority="122"/>
  </conditionalFormatting>
  <conditionalFormatting sqref="D623:D630">
    <cfRule type="duplicateValues" dxfId="64" priority="123"/>
  </conditionalFormatting>
  <conditionalFormatting sqref="D632">
    <cfRule type="duplicateValues" dxfId="63" priority="124"/>
  </conditionalFormatting>
  <conditionalFormatting sqref="D637">
    <cfRule type="duplicateValues" dxfId="62" priority="125"/>
  </conditionalFormatting>
  <conditionalFormatting sqref="D639">
    <cfRule type="duplicateValues" dxfId="61" priority="126"/>
  </conditionalFormatting>
  <conditionalFormatting sqref="D642">
    <cfRule type="duplicateValues" dxfId="60" priority="127"/>
  </conditionalFormatting>
  <conditionalFormatting sqref="D645">
    <cfRule type="duplicateValues" dxfId="59" priority="128"/>
  </conditionalFormatting>
  <conditionalFormatting sqref="D647">
    <cfRule type="duplicateValues" dxfId="58" priority="129"/>
  </conditionalFormatting>
  <conditionalFormatting sqref="D651">
    <cfRule type="duplicateValues" dxfId="57" priority="130"/>
  </conditionalFormatting>
  <conditionalFormatting sqref="D653">
    <cfRule type="duplicateValues" dxfId="56" priority="131"/>
  </conditionalFormatting>
  <conditionalFormatting sqref="D656:D658">
    <cfRule type="duplicateValues" dxfId="55" priority="132"/>
  </conditionalFormatting>
  <conditionalFormatting sqref="D659">
    <cfRule type="duplicateValues" dxfId="54" priority="10"/>
  </conditionalFormatting>
  <conditionalFormatting sqref="D661">
    <cfRule type="duplicateValues" dxfId="53" priority="133"/>
  </conditionalFormatting>
  <conditionalFormatting sqref="D663">
    <cfRule type="duplicateValues" dxfId="52" priority="134"/>
  </conditionalFormatting>
  <conditionalFormatting sqref="D667:D673">
    <cfRule type="duplicateValues" dxfId="51" priority="135"/>
  </conditionalFormatting>
  <conditionalFormatting sqref="D677:D691">
    <cfRule type="duplicateValues" dxfId="50" priority="136"/>
  </conditionalFormatting>
  <conditionalFormatting sqref="D693:D704">
    <cfRule type="duplicateValues" dxfId="49" priority="137"/>
  </conditionalFormatting>
  <conditionalFormatting sqref="D705">
    <cfRule type="duplicateValues" dxfId="48" priority="9"/>
  </conditionalFormatting>
  <conditionalFormatting sqref="D706">
    <cfRule type="duplicateValues" dxfId="47" priority="2"/>
  </conditionalFormatting>
  <conditionalFormatting sqref="D712">
    <cfRule type="duplicateValues" dxfId="46" priority="138"/>
  </conditionalFormatting>
  <conditionalFormatting sqref="D714">
    <cfRule type="duplicateValues" dxfId="45" priority="139"/>
  </conditionalFormatting>
  <conditionalFormatting sqref="D716">
    <cfRule type="duplicateValues" dxfId="44" priority="140"/>
  </conditionalFormatting>
  <conditionalFormatting sqref="D720">
    <cfRule type="duplicateValues" dxfId="43" priority="141"/>
  </conditionalFormatting>
  <conditionalFormatting sqref="D722:D723">
    <cfRule type="duplicateValues" dxfId="42" priority="142"/>
  </conditionalFormatting>
  <conditionalFormatting sqref="D726:D728">
    <cfRule type="duplicateValues" dxfId="41" priority="143"/>
  </conditionalFormatting>
  <conditionalFormatting sqref="D731">
    <cfRule type="duplicateValues" dxfId="40" priority="144"/>
  </conditionalFormatting>
  <conditionalFormatting sqref="D734">
    <cfRule type="duplicateValues" dxfId="39" priority="145"/>
  </conditionalFormatting>
  <conditionalFormatting sqref="D736">
    <cfRule type="duplicateValues" dxfId="38" priority="146"/>
  </conditionalFormatting>
  <conditionalFormatting sqref="D740">
    <cfRule type="duplicateValues" dxfId="37" priority="147"/>
  </conditionalFormatting>
  <conditionalFormatting sqref="D742">
    <cfRule type="duplicateValues" dxfId="36" priority="148"/>
  </conditionalFormatting>
  <conditionalFormatting sqref="D744">
    <cfRule type="duplicateValues" dxfId="35" priority="149"/>
  </conditionalFormatting>
  <conditionalFormatting sqref="D747">
    <cfRule type="duplicateValues" dxfId="34" priority="150"/>
  </conditionalFormatting>
  <conditionalFormatting sqref="D749">
    <cfRule type="duplicateValues" dxfId="33" priority="151"/>
  </conditionalFormatting>
  <conditionalFormatting sqref="D751">
    <cfRule type="duplicateValues" dxfId="32" priority="8"/>
  </conditionalFormatting>
  <conditionalFormatting sqref="D756:D758">
    <cfRule type="duplicateValues" dxfId="31" priority="153"/>
  </conditionalFormatting>
  <conditionalFormatting sqref="D759">
    <cfRule type="duplicateValues" dxfId="30" priority="7"/>
  </conditionalFormatting>
  <conditionalFormatting sqref="D760">
    <cfRule type="duplicateValues" dxfId="29" priority="6"/>
  </conditionalFormatting>
  <conditionalFormatting sqref="D762:D769">
    <cfRule type="duplicateValues" dxfId="28" priority="154"/>
  </conditionalFormatting>
  <conditionalFormatting sqref="D774">
    <cfRule type="duplicateValues" dxfId="27" priority="155"/>
  </conditionalFormatting>
  <conditionalFormatting sqref="D778">
    <cfRule type="duplicateValues" dxfId="26" priority="156"/>
  </conditionalFormatting>
  <conditionalFormatting sqref="D780">
    <cfRule type="duplicateValues" dxfId="25" priority="30"/>
  </conditionalFormatting>
  <conditionalFormatting sqref="D783">
    <cfRule type="duplicateValues" dxfId="24" priority="157"/>
  </conditionalFormatting>
  <conditionalFormatting sqref="D785">
    <cfRule type="duplicateValues" dxfId="23" priority="158"/>
  </conditionalFormatting>
  <conditionalFormatting sqref="D787">
    <cfRule type="duplicateValues" dxfId="22" priority="159"/>
  </conditionalFormatting>
  <conditionalFormatting sqref="D789">
    <cfRule type="duplicateValues" dxfId="21" priority="160"/>
  </conditionalFormatting>
  <conditionalFormatting sqref="D791">
    <cfRule type="duplicateValues" dxfId="20" priority="161"/>
  </conditionalFormatting>
  <conditionalFormatting sqref="D793">
    <cfRule type="duplicateValues" dxfId="19" priority="162"/>
  </conditionalFormatting>
  <conditionalFormatting sqref="D795">
    <cfRule type="duplicateValues" dxfId="18" priority="163"/>
  </conditionalFormatting>
  <conditionalFormatting sqref="D798">
    <cfRule type="duplicateValues" dxfId="17" priority="164"/>
  </conditionalFormatting>
  <conditionalFormatting sqref="D800">
    <cfRule type="duplicateValues" dxfId="16" priority="165"/>
  </conditionalFormatting>
  <conditionalFormatting sqref="D805">
    <cfRule type="duplicateValues" dxfId="15" priority="166"/>
  </conditionalFormatting>
  <conditionalFormatting sqref="D808">
    <cfRule type="duplicateValues" dxfId="14" priority="167"/>
  </conditionalFormatting>
  <conditionalFormatting sqref="D810">
    <cfRule type="duplicateValues" dxfId="13" priority="168"/>
  </conditionalFormatting>
  <conditionalFormatting sqref="D812">
    <cfRule type="duplicateValues" dxfId="12" priority="169"/>
  </conditionalFormatting>
  <conditionalFormatting sqref="D816">
    <cfRule type="duplicateValues" dxfId="11" priority="170"/>
  </conditionalFormatting>
  <conditionalFormatting sqref="D819">
    <cfRule type="duplicateValues" dxfId="10" priority="171"/>
  </conditionalFormatting>
  <conditionalFormatting sqref="D821:D834">
    <cfRule type="duplicateValues" dxfId="9" priority="172"/>
  </conditionalFormatting>
  <conditionalFormatting sqref="D836:D838">
    <cfRule type="duplicateValues" dxfId="8" priority="173"/>
  </conditionalFormatting>
  <conditionalFormatting sqref="D844">
    <cfRule type="duplicateValues" dxfId="7" priority="174"/>
  </conditionalFormatting>
  <conditionalFormatting sqref="D847">
    <cfRule type="duplicateValues" dxfId="6" priority="175"/>
  </conditionalFormatting>
  <conditionalFormatting sqref="D851">
    <cfRule type="duplicateValues" dxfId="5" priority="176"/>
  </conditionalFormatting>
  <conditionalFormatting sqref="D855">
    <cfRule type="duplicateValues" dxfId="4" priority="177"/>
  </conditionalFormatting>
  <conditionalFormatting sqref="D860">
    <cfRule type="duplicateValues" dxfId="3" priority="178"/>
  </conditionalFormatting>
  <conditionalFormatting sqref="D862">
    <cfRule type="duplicateValues" dxfId="2" priority="179"/>
  </conditionalFormatting>
  <conditionalFormatting sqref="D869">
    <cfRule type="duplicateValues" dxfId="1" priority="180"/>
  </conditionalFormatting>
  <conditionalFormatting sqref="D871">
    <cfRule type="duplicateValues" dxfId="0" priority="181"/>
  </conditionalFormatting>
  <pageMargins left="0.7" right="0.7" top="0.75" bottom="0.75" header="0.3" footer="0.3"/>
  <pageSetup orientation="portrait" r:id="rId1"/>
  <ignoredErrors>
    <ignoredError sqref="F351:O351 F710:O710 F894:O894 G858:O858" formula="1"/>
    <ignoredError sqref="F486:O486 F489:O489 F494:O494 F541:O541 F190:O190 F173:O173 F612:O612 F665:O665 F674:O675 F707:O707 G717:O719 G865:O865 G867:O867 F873:O873 F848:O848 F845:O845 F754:O754 F368:O368" unlockedFormula="1"/>
    <ignoredError sqref="F508:O508 F384 F531:O531" formulaRange="1"/>
    <ignoredError sqref="F360:O360 F853:O853 F841:O842" formula="1" unlocked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E2F8-9058-4046-9AF0-05866509EAEF}">
  <sheetPr codeName="Hoja4"/>
  <dimension ref="A2:P45"/>
  <sheetViews>
    <sheetView zoomScale="90" zoomScaleNormal="90" workbookViewId="0">
      <selection activeCell="G8" sqref="G8:I8"/>
    </sheetView>
  </sheetViews>
  <sheetFormatPr baseColWidth="10" defaultColWidth="11.42578125" defaultRowHeight="12"/>
  <cols>
    <col min="1" max="1" width="17.42578125" style="4" customWidth="1"/>
    <col min="2" max="2" width="25.28515625" style="87" bestFit="1" customWidth="1"/>
    <col min="3" max="3" width="25.7109375" style="4" bestFit="1" customWidth="1"/>
    <col min="4" max="4" width="11.5703125" style="88" customWidth="1"/>
    <col min="5" max="5" width="45" style="4" customWidth="1"/>
    <col min="6" max="6" width="16.28515625" style="3" customWidth="1"/>
    <col min="7" max="7" width="14.28515625" style="4" customWidth="1"/>
    <col min="8" max="8" width="15" style="4" customWidth="1"/>
    <col min="9" max="9" width="15.140625" style="4" customWidth="1"/>
    <col min="10" max="10" width="15" style="4" customWidth="1"/>
    <col min="11" max="11" width="16" style="4" customWidth="1"/>
    <col min="12" max="12" width="13.85546875" style="4" customWidth="1"/>
    <col min="13" max="13" width="14.7109375" style="4" customWidth="1"/>
    <col min="14" max="14" width="14.140625" style="4" customWidth="1"/>
    <col min="15" max="15" width="13.42578125" style="4" customWidth="1"/>
    <col min="16" max="16384" width="11.42578125" style="4"/>
  </cols>
  <sheetData>
    <row r="2" spans="1:16" ht="18.95" customHeight="1">
      <c r="A2" s="100"/>
      <c r="B2" s="100"/>
      <c r="C2" s="367" t="s">
        <v>2022</v>
      </c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</row>
    <row r="3" spans="1:16" s="1" customFormat="1" ht="20.100000000000001" customHeight="1">
      <c r="A3" s="100"/>
      <c r="B3" s="100"/>
      <c r="C3" s="368" t="s">
        <v>1987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</row>
    <row r="4" spans="1:16" s="1" customFormat="1" ht="20.100000000000001" customHeight="1">
      <c r="A4" s="100"/>
      <c r="B4" s="100"/>
      <c r="C4" s="369" t="s">
        <v>2101</v>
      </c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</row>
    <row r="5" spans="1:16" s="1" customFormat="1" ht="20.100000000000001" customHeight="1">
      <c r="A5" s="100"/>
      <c r="B5" s="100"/>
      <c r="C5" s="220"/>
      <c r="D5" s="220"/>
      <c r="E5" s="220"/>
      <c r="F5" s="220"/>
    </row>
    <row r="6" spans="1:16" s="1" customFormat="1" ht="20.100000000000001" customHeight="1">
      <c r="A6" s="100"/>
      <c r="B6" s="100"/>
      <c r="C6" s="220"/>
      <c r="D6" s="220"/>
      <c r="E6" s="220"/>
      <c r="F6" s="297">
        <f>+F11-F7</f>
        <v>0</v>
      </c>
      <c r="G6" s="298">
        <f t="shared" ref="G6:O6" si="0">+G11-G7</f>
        <v>0</v>
      </c>
      <c r="H6" s="298">
        <f t="shared" si="0"/>
        <v>0</v>
      </c>
      <c r="I6" s="298">
        <f t="shared" si="0"/>
        <v>0</v>
      </c>
      <c r="J6" s="298">
        <f t="shared" si="0"/>
        <v>0</v>
      </c>
      <c r="K6" s="298">
        <f t="shared" si="0"/>
        <v>0</v>
      </c>
      <c r="L6" s="298">
        <f t="shared" si="0"/>
        <v>0</v>
      </c>
      <c r="M6" s="298">
        <f t="shared" si="0"/>
        <v>0</v>
      </c>
      <c r="N6" s="298">
        <f t="shared" si="0"/>
        <v>0</v>
      </c>
      <c r="O6" s="298">
        <f t="shared" si="0"/>
        <v>0</v>
      </c>
    </row>
    <row r="7" spans="1:16" s="1" customFormat="1" ht="18.75">
      <c r="A7" s="22"/>
      <c r="B7" s="22"/>
      <c r="C7" s="284"/>
      <c r="D7" s="284"/>
      <c r="E7" s="284"/>
      <c r="F7" s="299">
        <v>43316311000</v>
      </c>
      <c r="G7" s="300">
        <v>1278780064</v>
      </c>
      <c r="H7" s="300">
        <v>10418268632</v>
      </c>
      <c r="I7" s="300">
        <v>53734579632</v>
      </c>
      <c r="J7" s="300">
        <v>7036067317</v>
      </c>
      <c r="K7" s="300">
        <v>20746386884</v>
      </c>
      <c r="L7" s="300">
        <v>3431805195</v>
      </c>
      <c r="M7" s="300">
        <v>13891436430</v>
      </c>
      <c r="N7" s="300">
        <v>1050982426</v>
      </c>
      <c r="O7" s="300">
        <v>8162602753</v>
      </c>
    </row>
    <row r="8" spans="1:16" s="1" customFormat="1" ht="19.5" customHeight="1">
      <c r="A8" s="282"/>
      <c r="B8" s="282"/>
      <c r="C8" s="395" t="s">
        <v>1468</v>
      </c>
      <c r="D8" s="395"/>
      <c r="E8" s="395"/>
      <c r="F8" s="393" t="s">
        <v>1997</v>
      </c>
      <c r="G8" s="394" t="s">
        <v>2006</v>
      </c>
      <c r="H8" s="394"/>
      <c r="I8" s="394"/>
      <c r="J8" s="394" t="s">
        <v>2007</v>
      </c>
      <c r="K8" s="394"/>
      <c r="L8" s="393" t="s">
        <v>2008</v>
      </c>
      <c r="M8" s="393"/>
      <c r="N8" s="393" t="s">
        <v>2009</v>
      </c>
      <c r="O8" s="393"/>
      <c r="P8" s="396" t="s">
        <v>2010</v>
      </c>
    </row>
    <row r="9" spans="1:16" ht="11.45" customHeight="1">
      <c r="A9" s="380" t="s">
        <v>20</v>
      </c>
      <c r="B9" s="379" t="s">
        <v>1469</v>
      </c>
      <c r="C9" s="380" t="s">
        <v>1989</v>
      </c>
      <c r="D9" s="381" t="s">
        <v>1461</v>
      </c>
      <c r="E9" s="380" t="s">
        <v>1467</v>
      </c>
      <c r="F9" s="394"/>
      <c r="G9" s="393" t="s">
        <v>2002</v>
      </c>
      <c r="H9" s="393"/>
      <c r="I9" s="394" t="s">
        <v>2003</v>
      </c>
      <c r="J9" s="394" t="s">
        <v>2005</v>
      </c>
      <c r="K9" s="394" t="s">
        <v>2020</v>
      </c>
      <c r="L9" s="393" t="s">
        <v>2005</v>
      </c>
      <c r="M9" s="393" t="s">
        <v>2004</v>
      </c>
      <c r="N9" s="393" t="s">
        <v>2005</v>
      </c>
      <c r="O9" s="393" t="s">
        <v>2004</v>
      </c>
      <c r="P9" s="396"/>
    </row>
    <row r="10" spans="1:16" s="6" customFormat="1" ht="12" customHeight="1">
      <c r="A10" s="380"/>
      <c r="B10" s="379"/>
      <c r="C10" s="380"/>
      <c r="D10" s="381"/>
      <c r="E10" s="380"/>
      <c r="F10" s="394"/>
      <c r="G10" s="283" t="s">
        <v>2005</v>
      </c>
      <c r="H10" s="283" t="s">
        <v>2004</v>
      </c>
      <c r="I10" s="394"/>
      <c r="J10" s="394"/>
      <c r="K10" s="394"/>
      <c r="L10" s="393"/>
      <c r="M10" s="393"/>
      <c r="N10" s="393"/>
      <c r="O10" s="393"/>
      <c r="P10" s="396"/>
    </row>
    <row r="11" spans="1:16">
      <c r="A11" s="91" t="s">
        <v>21</v>
      </c>
      <c r="B11" s="91" t="s">
        <v>1509</v>
      </c>
      <c r="C11" s="91" t="s">
        <v>0</v>
      </c>
      <c r="D11" s="92"/>
      <c r="E11" s="91" t="s">
        <v>1</v>
      </c>
      <c r="F11" s="272">
        <f t="shared" ref="F11:O11" si="1">F12</f>
        <v>43316311000</v>
      </c>
      <c r="G11" s="272">
        <f t="shared" si="1"/>
        <v>1278780064</v>
      </c>
      <c r="H11" s="272">
        <f t="shared" si="1"/>
        <v>10418268632</v>
      </c>
      <c r="I11" s="272">
        <f t="shared" si="1"/>
        <v>53734579632</v>
      </c>
      <c r="J11" s="272">
        <f t="shared" si="1"/>
        <v>7036067317</v>
      </c>
      <c r="K11" s="272">
        <f t="shared" si="1"/>
        <v>20746386884</v>
      </c>
      <c r="L11" s="272">
        <f t="shared" si="1"/>
        <v>3431805195</v>
      </c>
      <c r="M11" s="272">
        <f t="shared" si="1"/>
        <v>13891436430</v>
      </c>
      <c r="N11" s="272">
        <f t="shared" si="1"/>
        <v>1050982426</v>
      </c>
      <c r="O11" s="272">
        <f t="shared" si="1"/>
        <v>8162602753</v>
      </c>
      <c r="P11" s="273">
        <f>IFERROR((M11/I11),0)</f>
        <v>0.25851949573505878</v>
      </c>
    </row>
    <row r="12" spans="1:16">
      <c r="A12" s="93" t="s">
        <v>29</v>
      </c>
      <c r="B12" s="93" t="s">
        <v>1507</v>
      </c>
      <c r="C12" s="93" t="s">
        <v>30</v>
      </c>
      <c r="D12" s="94"/>
      <c r="E12" s="93" t="s">
        <v>31</v>
      </c>
      <c r="F12" s="274">
        <f t="shared" ref="F12:O13" si="2">+F13</f>
        <v>43316311000</v>
      </c>
      <c r="G12" s="274">
        <f t="shared" si="2"/>
        <v>1278780064</v>
      </c>
      <c r="H12" s="274">
        <f t="shared" si="2"/>
        <v>10418268632</v>
      </c>
      <c r="I12" s="274">
        <f t="shared" si="2"/>
        <v>53734579632</v>
      </c>
      <c r="J12" s="274">
        <f t="shared" si="2"/>
        <v>7036067317</v>
      </c>
      <c r="K12" s="274">
        <f t="shared" si="2"/>
        <v>20746386884</v>
      </c>
      <c r="L12" s="274">
        <f t="shared" si="2"/>
        <v>3431805195</v>
      </c>
      <c r="M12" s="274">
        <f t="shared" si="2"/>
        <v>13891436430</v>
      </c>
      <c r="N12" s="274">
        <f t="shared" si="2"/>
        <v>1050982426</v>
      </c>
      <c r="O12" s="274">
        <f t="shared" si="2"/>
        <v>8162602753</v>
      </c>
      <c r="P12" s="275">
        <f t="shared" ref="P12:P23" si="3">IFERROR((M12/I12),0)</f>
        <v>0.25851949573505878</v>
      </c>
    </row>
    <row r="13" spans="1:16">
      <c r="A13" s="48" t="s">
        <v>32</v>
      </c>
      <c r="B13" s="48" t="s">
        <v>1508</v>
      </c>
      <c r="C13" s="48" t="s">
        <v>33</v>
      </c>
      <c r="D13" s="85"/>
      <c r="E13" s="48" t="s">
        <v>34</v>
      </c>
      <c r="F13" s="276">
        <f t="shared" si="2"/>
        <v>43316311000</v>
      </c>
      <c r="G13" s="276">
        <f t="shared" si="2"/>
        <v>1278780064</v>
      </c>
      <c r="H13" s="276">
        <f t="shared" si="2"/>
        <v>10418268632</v>
      </c>
      <c r="I13" s="276">
        <f t="shared" si="2"/>
        <v>53734579632</v>
      </c>
      <c r="J13" s="276">
        <f t="shared" si="2"/>
        <v>7036067317</v>
      </c>
      <c r="K13" s="276">
        <f t="shared" si="2"/>
        <v>20746386884</v>
      </c>
      <c r="L13" s="276">
        <f t="shared" si="2"/>
        <v>3431805195</v>
      </c>
      <c r="M13" s="276">
        <f t="shared" si="2"/>
        <v>13891436430</v>
      </c>
      <c r="N13" s="276">
        <f t="shared" si="2"/>
        <v>1050982426</v>
      </c>
      <c r="O13" s="276">
        <f t="shared" si="2"/>
        <v>8162602753</v>
      </c>
      <c r="P13" s="277">
        <f t="shared" si="3"/>
        <v>0.25851949573505878</v>
      </c>
    </row>
    <row r="14" spans="1:16">
      <c r="A14" s="49" t="s">
        <v>35</v>
      </c>
      <c r="B14" s="49" t="s">
        <v>1506</v>
      </c>
      <c r="C14" s="49" t="s">
        <v>36</v>
      </c>
      <c r="D14" s="86"/>
      <c r="E14" s="49" t="s">
        <v>37</v>
      </c>
      <c r="F14" s="278">
        <f t="shared" ref="F14" si="4">SUM(F15:F23)</f>
        <v>43316311000</v>
      </c>
      <c r="G14" s="278">
        <f t="shared" ref="G14:O14" si="5">SUM(G15:G23)</f>
        <v>1278780064</v>
      </c>
      <c r="H14" s="278">
        <f t="shared" si="5"/>
        <v>10418268632</v>
      </c>
      <c r="I14" s="278">
        <f t="shared" si="5"/>
        <v>53734579632</v>
      </c>
      <c r="J14" s="278">
        <f t="shared" si="5"/>
        <v>7036067317</v>
      </c>
      <c r="K14" s="278">
        <f t="shared" si="5"/>
        <v>20746386884</v>
      </c>
      <c r="L14" s="278">
        <f t="shared" si="5"/>
        <v>3431805195</v>
      </c>
      <c r="M14" s="278">
        <f t="shared" si="5"/>
        <v>13891436430</v>
      </c>
      <c r="N14" s="278">
        <f t="shared" si="5"/>
        <v>1050982426</v>
      </c>
      <c r="O14" s="278">
        <f t="shared" si="5"/>
        <v>8162602753</v>
      </c>
      <c r="P14" s="279">
        <f t="shared" si="3"/>
        <v>0.25851949573505878</v>
      </c>
    </row>
    <row r="15" spans="1:16">
      <c r="A15" s="78" t="s">
        <v>38</v>
      </c>
      <c r="B15" s="127" t="s">
        <v>1490</v>
      </c>
      <c r="C15" s="78" t="s">
        <v>39</v>
      </c>
      <c r="D15" s="31" t="s">
        <v>1974</v>
      </c>
      <c r="E15" s="28" t="s">
        <v>40</v>
      </c>
      <c r="F15" s="21">
        <v>0</v>
      </c>
      <c r="G15" s="21">
        <v>0</v>
      </c>
      <c r="H15" s="21">
        <v>346985635</v>
      </c>
      <c r="I15" s="21">
        <v>346985635</v>
      </c>
      <c r="J15" s="21">
        <v>47909519</v>
      </c>
      <c r="K15" s="21">
        <v>47909519</v>
      </c>
      <c r="L15" s="21">
        <v>0</v>
      </c>
      <c r="M15" s="21">
        <v>47909519</v>
      </c>
      <c r="N15" s="21">
        <v>0</v>
      </c>
      <c r="O15" s="21">
        <v>47909519</v>
      </c>
      <c r="P15" s="280">
        <f t="shared" si="3"/>
        <v>0.13807349402231017</v>
      </c>
    </row>
    <row r="16" spans="1:16">
      <c r="A16" s="78" t="s">
        <v>41</v>
      </c>
      <c r="B16" s="127" t="s">
        <v>1491</v>
      </c>
      <c r="C16" s="78" t="s">
        <v>42</v>
      </c>
      <c r="D16" s="31" t="s">
        <v>1974</v>
      </c>
      <c r="E16" s="28" t="s">
        <v>43</v>
      </c>
      <c r="F16" s="21">
        <v>16072252000</v>
      </c>
      <c r="G16" s="21">
        <v>0</v>
      </c>
      <c r="H16" s="21">
        <v>1398412287</v>
      </c>
      <c r="I16" s="21">
        <v>17470664287</v>
      </c>
      <c r="J16" s="21">
        <v>307668942</v>
      </c>
      <c r="K16" s="21">
        <v>868344475</v>
      </c>
      <c r="L16" s="21">
        <v>103765500</v>
      </c>
      <c r="M16" s="21">
        <v>448967244</v>
      </c>
      <c r="N16" s="21">
        <v>403943</v>
      </c>
      <c r="O16" s="21">
        <v>225632875</v>
      </c>
      <c r="P16" s="280">
        <f t="shared" si="3"/>
        <v>2.5698349909572617E-2</v>
      </c>
    </row>
    <row r="17" spans="1:16">
      <c r="A17" s="78" t="s">
        <v>44</v>
      </c>
      <c r="B17" s="127" t="s">
        <v>1492</v>
      </c>
      <c r="C17" s="78" t="s">
        <v>45</v>
      </c>
      <c r="D17" s="31" t="s">
        <v>1974</v>
      </c>
      <c r="E17" s="28" t="s">
        <v>46</v>
      </c>
      <c r="F17" s="21">
        <v>1762733000</v>
      </c>
      <c r="G17" s="21">
        <v>0</v>
      </c>
      <c r="H17" s="21">
        <v>0</v>
      </c>
      <c r="I17" s="21">
        <v>1762733000</v>
      </c>
      <c r="J17" s="21">
        <v>325196158</v>
      </c>
      <c r="K17" s="21">
        <v>1520165290</v>
      </c>
      <c r="L17" s="21">
        <v>24236588</v>
      </c>
      <c r="M17" s="21">
        <v>1219205720</v>
      </c>
      <c r="N17" s="21">
        <v>63524454</v>
      </c>
      <c r="O17" s="21">
        <v>1125034289</v>
      </c>
      <c r="P17" s="280">
        <f t="shared" si="3"/>
        <v>0.69165649023419884</v>
      </c>
    </row>
    <row r="18" spans="1:16">
      <c r="A18" s="78" t="s">
        <v>47</v>
      </c>
      <c r="B18" s="127" t="s">
        <v>1493</v>
      </c>
      <c r="C18" s="78" t="s">
        <v>48</v>
      </c>
      <c r="D18" s="31" t="s">
        <v>1974</v>
      </c>
      <c r="E18" s="28" t="s">
        <v>49</v>
      </c>
      <c r="F18" s="21">
        <v>6466642400</v>
      </c>
      <c r="G18" s="21">
        <v>0</v>
      </c>
      <c r="H18" s="21">
        <v>0</v>
      </c>
      <c r="I18" s="21">
        <v>6466642000</v>
      </c>
      <c r="J18" s="21">
        <v>1573331127</v>
      </c>
      <c r="K18" s="21">
        <v>4484328970</v>
      </c>
      <c r="L18" s="21">
        <v>1206843133</v>
      </c>
      <c r="M18" s="21">
        <v>4006006034</v>
      </c>
      <c r="N18" s="21">
        <v>150022643</v>
      </c>
      <c r="O18" s="21">
        <v>2707469772</v>
      </c>
      <c r="P18" s="280">
        <f t="shared" si="3"/>
        <v>0.61948783217008152</v>
      </c>
    </row>
    <row r="19" spans="1:16">
      <c r="A19" s="78" t="s">
        <v>50</v>
      </c>
      <c r="B19" s="127" t="s">
        <v>1494</v>
      </c>
      <c r="C19" s="78" t="s">
        <v>51</v>
      </c>
      <c r="D19" s="31" t="s">
        <v>1974</v>
      </c>
      <c r="E19" s="28" t="s">
        <v>52</v>
      </c>
      <c r="F19" s="21">
        <v>2565693000</v>
      </c>
      <c r="G19" s="21">
        <v>0</v>
      </c>
      <c r="H19" s="21">
        <v>0</v>
      </c>
      <c r="I19" s="21">
        <v>2565693000</v>
      </c>
      <c r="J19" s="21">
        <v>210683056</v>
      </c>
      <c r="K19" s="21">
        <v>1225247076</v>
      </c>
      <c r="L19" s="21">
        <v>184248922</v>
      </c>
      <c r="M19" s="21">
        <v>1123056712</v>
      </c>
      <c r="N19" s="21">
        <v>62118528</v>
      </c>
      <c r="O19" s="21">
        <v>937927590</v>
      </c>
      <c r="P19" s="280">
        <f t="shared" si="3"/>
        <v>0.43772061271555091</v>
      </c>
    </row>
    <row r="20" spans="1:16">
      <c r="A20" s="78" t="s">
        <v>53</v>
      </c>
      <c r="B20" s="127" t="s">
        <v>1495</v>
      </c>
      <c r="C20" s="78" t="s">
        <v>54</v>
      </c>
      <c r="D20" s="31" t="s">
        <v>1974</v>
      </c>
      <c r="E20" s="28" t="s">
        <v>55</v>
      </c>
      <c r="F20" s="21">
        <v>574376000</v>
      </c>
      <c r="G20" s="21">
        <v>0</v>
      </c>
      <c r="H20" s="21">
        <v>1150011870</v>
      </c>
      <c r="I20" s="21">
        <v>1724387870</v>
      </c>
      <c r="J20" s="21">
        <v>867927022</v>
      </c>
      <c r="K20" s="21">
        <v>1540007292</v>
      </c>
      <c r="L20" s="21">
        <v>407086764</v>
      </c>
      <c r="M20" s="21">
        <v>749995422</v>
      </c>
      <c r="N20" s="21">
        <v>1879217</v>
      </c>
      <c r="O20" s="21">
        <v>342776937</v>
      </c>
      <c r="P20" s="280">
        <f t="shared" si="3"/>
        <v>0.43493429468394484</v>
      </c>
    </row>
    <row r="21" spans="1:16">
      <c r="A21" s="78" t="s">
        <v>56</v>
      </c>
      <c r="B21" s="127" t="s">
        <v>1496</v>
      </c>
      <c r="C21" s="78" t="s">
        <v>57</v>
      </c>
      <c r="D21" s="31" t="s">
        <v>1974</v>
      </c>
      <c r="E21" s="28" t="s">
        <v>58</v>
      </c>
      <c r="F21" s="21">
        <v>7937309000</v>
      </c>
      <c r="G21" s="21">
        <v>0</v>
      </c>
      <c r="H21" s="21">
        <v>1313535937</v>
      </c>
      <c r="I21" s="21">
        <v>9250844937</v>
      </c>
      <c r="J21" s="21">
        <v>1014706255</v>
      </c>
      <c r="K21" s="21">
        <v>4289585940</v>
      </c>
      <c r="L21" s="21">
        <v>534141648</v>
      </c>
      <c r="M21" s="21">
        <v>3263353353</v>
      </c>
      <c r="N21" s="21">
        <v>646184833</v>
      </c>
      <c r="O21" s="21">
        <v>866846941</v>
      </c>
      <c r="P21" s="280">
        <f t="shared" si="3"/>
        <v>0.35276273413121206</v>
      </c>
    </row>
    <row r="22" spans="1:16">
      <c r="A22" s="78" t="s">
        <v>59</v>
      </c>
      <c r="B22" s="127" t="s">
        <v>1497</v>
      </c>
      <c r="C22" s="78" t="s">
        <v>60</v>
      </c>
      <c r="D22" s="31" t="s">
        <v>1974</v>
      </c>
      <c r="E22" s="28" t="s">
        <v>61</v>
      </c>
      <c r="F22" s="21">
        <v>5952979000</v>
      </c>
      <c r="G22" s="21">
        <v>1278780064</v>
      </c>
      <c r="H22" s="21">
        <v>6209322903</v>
      </c>
      <c r="I22" s="21">
        <v>12162301903</v>
      </c>
      <c r="J22" s="21">
        <v>2698762990</v>
      </c>
      <c r="K22" s="21">
        <v>5130790211</v>
      </c>
      <c r="L22" s="21">
        <v>602226492</v>
      </c>
      <c r="M22" s="21">
        <v>1392934315</v>
      </c>
      <c r="N22" s="21">
        <v>1413801</v>
      </c>
      <c r="O22" s="21">
        <v>790707823</v>
      </c>
      <c r="P22" s="280">
        <f t="shared" si="3"/>
        <v>0.11452883887518148</v>
      </c>
    </row>
    <row r="23" spans="1:16">
      <c r="A23" s="78" t="s">
        <v>62</v>
      </c>
      <c r="B23" s="127" t="s">
        <v>1498</v>
      </c>
      <c r="C23" s="78" t="s">
        <v>63</v>
      </c>
      <c r="D23" s="31" t="s">
        <v>1974</v>
      </c>
      <c r="E23" s="28" t="s">
        <v>64</v>
      </c>
      <c r="F23" s="21">
        <v>1984326600</v>
      </c>
      <c r="G23" s="21">
        <v>0</v>
      </c>
      <c r="H23" s="21">
        <v>0</v>
      </c>
      <c r="I23" s="21">
        <v>1984327000</v>
      </c>
      <c r="J23" s="21">
        <v>-10117752</v>
      </c>
      <c r="K23" s="21">
        <v>1640008111</v>
      </c>
      <c r="L23" s="21">
        <v>369256148</v>
      </c>
      <c r="M23" s="21">
        <v>1640008111</v>
      </c>
      <c r="N23" s="21">
        <v>125435007</v>
      </c>
      <c r="O23" s="21">
        <v>1118297007</v>
      </c>
      <c r="P23" s="280">
        <f t="shared" si="3"/>
        <v>0.82648077207032911</v>
      </c>
    </row>
    <row r="24" spans="1:16">
      <c r="P24" s="281"/>
    </row>
    <row r="45" ht="32.25" customHeight="1"/>
  </sheetData>
  <protectedRanges>
    <protectedRange algorithmName="SHA-512" hashValue="/yOoSJ0JfP+uHcKjxjbuNCQZ/yCSSPUNYy8yW+UIm5HOAGfwSmNQyz0FOeJAqkyoET2ZmH/OAMFEuNR0Rn/MMQ==" saltValue="EUZHpkbFDytx+5nx/y3tRw==" spinCount="100000" sqref="G24:G32" name="Rango1"/>
    <protectedRange sqref="A11 E11 C11" name="Rango8_3"/>
    <protectedRange sqref="E24:E29 E31 A31 A24:A29 C31 C24:C29" name="Rango8_4"/>
    <protectedRange sqref="F31 F24:F29" name="Rango8_1_3"/>
  </protectedRanges>
  <mergeCells count="23">
    <mergeCell ref="P8:P10"/>
    <mergeCell ref="C2:O2"/>
    <mergeCell ref="C3:O3"/>
    <mergeCell ref="C4:O4"/>
    <mergeCell ref="G8:I8"/>
    <mergeCell ref="L8:M8"/>
    <mergeCell ref="N8:O8"/>
    <mergeCell ref="G9:H9"/>
    <mergeCell ref="I9:I10"/>
    <mergeCell ref="K9:K10"/>
    <mergeCell ref="L9:L10"/>
    <mergeCell ref="M9:M10"/>
    <mergeCell ref="N9:N10"/>
    <mergeCell ref="J8:K8"/>
    <mergeCell ref="J9:J10"/>
    <mergeCell ref="O9:O10"/>
    <mergeCell ref="F8:F10"/>
    <mergeCell ref="C8:E8"/>
    <mergeCell ref="A9:A10"/>
    <mergeCell ref="B9:B10"/>
    <mergeCell ref="C9:C10"/>
    <mergeCell ref="D9:D10"/>
    <mergeCell ref="E9:E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CA98-0430-4E94-9721-B2623F346271}">
  <sheetPr codeName="Hoja7"/>
  <dimension ref="A1:P21"/>
  <sheetViews>
    <sheetView topLeftCell="C1" zoomScale="90" zoomScaleNormal="90" workbookViewId="0">
      <selection activeCell="G10" sqref="G10:I10"/>
    </sheetView>
  </sheetViews>
  <sheetFormatPr baseColWidth="10" defaultColWidth="11.42578125" defaultRowHeight="12"/>
  <cols>
    <col min="1" max="1" width="17.42578125" style="4" customWidth="1"/>
    <col min="2" max="2" width="23.85546875" style="87" customWidth="1"/>
    <col min="3" max="3" width="25.7109375" style="4" bestFit="1" customWidth="1"/>
    <col min="4" max="4" width="10.140625" style="88" customWidth="1"/>
    <col min="5" max="5" width="42.7109375" style="4" customWidth="1"/>
    <col min="6" max="6" width="16.28515625" style="3" customWidth="1"/>
    <col min="7" max="7" width="14.28515625" style="4" customWidth="1"/>
    <col min="8" max="8" width="14" style="4" customWidth="1"/>
    <col min="9" max="10" width="13.85546875" style="4" customWidth="1"/>
    <col min="11" max="11" width="15.28515625" style="4" customWidth="1"/>
    <col min="12" max="12" width="12.85546875" style="4" customWidth="1"/>
    <col min="13" max="13" width="12.42578125" style="4" customWidth="1"/>
    <col min="14" max="14" width="15.5703125" style="4" customWidth="1"/>
    <col min="15" max="15" width="12.85546875" style="4" customWidth="1"/>
    <col min="16" max="16" width="12.5703125" style="291" customWidth="1"/>
    <col min="17" max="16384" width="11.42578125" style="4"/>
  </cols>
  <sheetData>
    <row r="1" spans="1:16">
      <c r="G1" s="97"/>
      <c r="H1" s="97"/>
      <c r="I1" s="97"/>
      <c r="J1" s="97"/>
      <c r="K1" s="97"/>
      <c r="L1" s="97"/>
      <c r="M1" s="97"/>
    </row>
    <row r="2" spans="1:16" ht="18.95" customHeight="1">
      <c r="A2" s="100"/>
      <c r="B2" s="100"/>
      <c r="C2" s="367" t="s">
        <v>2023</v>
      </c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</row>
    <row r="3" spans="1:16" s="1" customFormat="1" ht="20.100000000000001" customHeight="1">
      <c r="A3" s="100"/>
      <c r="B3" s="100"/>
      <c r="C3" s="368" t="s">
        <v>1987</v>
      </c>
      <c r="D3" s="368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</row>
    <row r="4" spans="1:16" s="1" customFormat="1" ht="18.75">
      <c r="A4" s="22"/>
      <c r="B4" s="22"/>
      <c r="C4" s="369" t="s">
        <v>2101</v>
      </c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</row>
    <row r="5" spans="1:16" s="1" customFormat="1" ht="18.75">
      <c r="A5" s="22"/>
      <c r="B5" s="22"/>
      <c r="C5" s="101"/>
      <c r="D5" s="101"/>
      <c r="E5" s="101"/>
      <c r="F5" s="101"/>
      <c r="G5" s="98"/>
      <c r="H5" s="98"/>
      <c r="I5" s="98"/>
      <c r="J5" s="98"/>
      <c r="K5" s="98"/>
      <c r="L5" s="98"/>
      <c r="M5" s="98"/>
      <c r="P5" s="292"/>
    </row>
    <row r="6" spans="1:16" s="1" customFormat="1" ht="21.75" customHeight="1">
      <c r="A6" s="22"/>
      <c r="B6" s="22"/>
      <c r="C6" s="101"/>
      <c r="D6" s="101"/>
      <c r="E6" s="98"/>
      <c r="F6" s="98"/>
      <c r="G6" s="98"/>
      <c r="H6" s="98"/>
      <c r="I6" s="98"/>
      <c r="J6" s="98"/>
      <c r="K6" s="98"/>
      <c r="P6" s="292"/>
    </row>
    <row r="7" spans="1:16" s="1" customFormat="1" ht="24.75" customHeight="1">
      <c r="A7" s="22"/>
      <c r="B7" s="22"/>
      <c r="C7" s="101"/>
      <c r="D7" s="101"/>
      <c r="E7" s="98"/>
      <c r="F7" s="98"/>
      <c r="G7" s="98"/>
      <c r="H7" s="98"/>
      <c r="I7" s="98"/>
      <c r="J7" s="98"/>
      <c r="K7" s="98"/>
      <c r="P7" s="292"/>
    </row>
    <row r="8" spans="1:16" s="1" customFormat="1" ht="20.25" customHeight="1">
      <c r="A8" s="22"/>
      <c r="B8" s="54"/>
      <c r="C8" s="22"/>
      <c r="D8" s="99"/>
      <c r="E8" s="22"/>
      <c r="F8" s="12">
        <f>+F9-F13</f>
        <v>0</v>
      </c>
      <c r="G8" s="12">
        <f t="shared" ref="G8:I8" si="0">+G9-G13</f>
        <v>0</v>
      </c>
      <c r="H8" s="12">
        <v>0</v>
      </c>
      <c r="I8" s="12">
        <f t="shared" si="0"/>
        <v>0</v>
      </c>
      <c r="J8" s="12"/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292"/>
    </row>
    <row r="9" spans="1:16" s="1" customFormat="1" ht="18.75" customHeight="1">
      <c r="A9" s="55"/>
      <c r="B9" s="56"/>
      <c r="C9" s="57"/>
      <c r="D9" s="23"/>
      <c r="E9" s="23"/>
      <c r="F9" s="50">
        <v>211790000</v>
      </c>
      <c r="G9" s="271">
        <v>382493661</v>
      </c>
      <c r="H9" s="50"/>
      <c r="I9" s="50">
        <v>594283661</v>
      </c>
      <c r="J9" s="50"/>
      <c r="K9" s="271">
        <v>0</v>
      </c>
      <c r="L9" s="271">
        <v>0</v>
      </c>
      <c r="M9" s="271">
        <v>0</v>
      </c>
      <c r="N9" s="271">
        <v>0</v>
      </c>
      <c r="O9" s="271">
        <v>0</v>
      </c>
      <c r="P9" s="292"/>
    </row>
    <row r="10" spans="1:16" s="1" customFormat="1" ht="19.5" customHeight="1">
      <c r="A10" s="282"/>
      <c r="B10" s="282"/>
      <c r="C10" s="395" t="s">
        <v>1468</v>
      </c>
      <c r="D10" s="395"/>
      <c r="E10" s="395"/>
      <c r="F10" s="393" t="s">
        <v>1997</v>
      </c>
      <c r="G10" s="394" t="s">
        <v>2024</v>
      </c>
      <c r="H10" s="394"/>
      <c r="I10" s="394"/>
      <c r="J10" s="397" t="s">
        <v>2007</v>
      </c>
      <c r="K10" s="398"/>
      <c r="L10" s="393" t="s">
        <v>2008</v>
      </c>
      <c r="M10" s="393"/>
      <c r="N10" s="393" t="s">
        <v>2009</v>
      </c>
      <c r="O10" s="393"/>
      <c r="P10" s="401" t="s">
        <v>2010</v>
      </c>
    </row>
    <row r="11" spans="1:16" ht="11.45" customHeight="1">
      <c r="A11" s="380" t="s">
        <v>20</v>
      </c>
      <c r="B11" s="379" t="s">
        <v>1469</v>
      </c>
      <c r="C11" s="380" t="s">
        <v>1989</v>
      </c>
      <c r="D11" s="381" t="s">
        <v>1461</v>
      </c>
      <c r="E11" s="380" t="s">
        <v>1467</v>
      </c>
      <c r="F11" s="394"/>
      <c r="G11" s="393" t="s">
        <v>2002</v>
      </c>
      <c r="H11" s="393"/>
      <c r="I11" s="394" t="s">
        <v>2003</v>
      </c>
      <c r="J11" s="399" t="s">
        <v>2005</v>
      </c>
      <c r="K11" s="394" t="s">
        <v>2004</v>
      </c>
      <c r="L11" s="393" t="s">
        <v>2005</v>
      </c>
      <c r="M11" s="393" t="s">
        <v>2004</v>
      </c>
      <c r="N11" s="393" t="s">
        <v>2005</v>
      </c>
      <c r="O11" s="393" t="s">
        <v>2004</v>
      </c>
      <c r="P11" s="401"/>
    </row>
    <row r="12" spans="1:16" s="6" customFormat="1" ht="12" customHeight="1">
      <c r="A12" s="380"/>
      <c r="B12" s="379"/>
      <c r="C12" s="380"/>
      <c r="D12" s="381"/>
      <c r="E12" s="380"/>
      <c r="F12" s="394"/>
      <c r="G12" s="283" t="s">
        <v>2005</v>
      </c>
      <c r="H12" s="283" t="s">
        <v>2004</v>
      </c>
      <c r="I12" s="394"/>
      <c r="J12" s="400"/>
      <c r="K12" s="394"/>
      <c r="L12" s="393"/>
      <c r="M12" s="393"/>
      <c r="N12" s="393"/>
      <c r="O12" s="393"/>
      <c r="P12" s="401"/>
    </row>
    <row r="13" spans="1:16">
      <c r="A13" s="89" t="s">
        <v>22</v>
      </c>
      <c r="B13" s="89" t="s">
        <v>1499</v>
      </c>
      <c r="C13" s="89" t="s">
        <v>2</v>
      </c>
      <c r="D13" s="89"/>
      <c r="E13" s="89" t="s">
        <v>3</v>
      </c>
      <c r="F13" s="285">
        <f t="shared" ref="F13:O16" si="1">+F14</f>
        <v>211790000</v>
      </c>
      <c r="G13" s="285">
        <f t="shared" si="1"/>
        <v>382493661</v>
      </c>
      <c r="H13" s="285">
        <f t="shared" si="1"/>
        <v>382493661</v>
      </c>
      <c r="I13" s="285">
        <f t="shared" si="1"/>
        <v>594283661</v>
      </c>
      <c r="J13" s="285"/>
      <c r="K13" s="285">
        <f t="shared" si="1"/>
        <v>0</v>
      </c>
      <c r="L13" s="285">
        <f t="shared" si="1"/>
        <v>4200000</v>
      </c>
      <c r="M13" s="285">
        <f t="shared" si="1"/>
        <v>0</v>
      </c>
      <c r="N13" s="285">
        <f t="shared" si="1"/>
        <v>4200000</v>
      </c>
      <c r="O13" s="285">
        <f t="shared" si="1"/>
        <v>0</v>
      </c>
      <c r="P13" s="293">
        <f t="shared" ref="P13:P21" si="2">+M13/I13</f>
        <v>0</v>
      </c>
    </row>
    <row r="14" spans="1:16">
      <c r="A14" s="95" t="s">
        <v>23</v>
      </c>
      <c r="B14" s="95" t="s">
        <v>1500</v>
      </c>
      <c r="C14" s="95" t="s">
        <v>4</v>
      </c>
      <c r="D14" s="95"/>
      <c r="E14" s="95" t="s">
        <v>5</v>
      </c>
      <c r="F14" s="286">
        <f t="shared" si="1"/>
        <v>211790000</v>
      </c>
      <c r="G14" s="286">
        <f t="shared" si="1"/>
        <v>382493661</v>
      </c>
      <c r="H14" s="286">
        <f t="shared" si="1"/>
        <v>382493661</v>
      </c>
      <c r="I14" s="286">
        <f t="shared" si="1"/>
        <v>594283661</v>
      </c>
      <c r="J14" s="286"/>
      <c r="K14" s="286">
        <f t="shared" si="1"/>
        <v>0</v>
      </c>
      <c r="L14" s="286">
        <f t="shared" si="1"/>
        <v>4200000</v>
      </c>
      <c r="M14" s="286">
        <f t="shared" si="1"/>
        <v>0</v>
      </c>
      <c r="N14" s="286">
        <f t="shared" si="1"/>
        <v>4200000</v>
      </c>
      <c r="O14" s="286">
        <f t="shared" si="1"/>
        <v>0</v>
      </c>
      <c r="P14" s="294">
        <f t="shared" si="2"/>
        <v>0</v>
      </c>
    </row>
    <row r="15" spans="1:16">
      <c r="A15" s="90" t="s">
        <v>24</v>
      </c>
      <c r="B15" s="90" t="s">
        <v>1501</v>
      </c>
      <c r="C15" s="90" t="s">
        <v>6</v>
      </c>
      <c r="D15" s="90"/>
      <c r="E15" s="90" t="s">
        <v>7</v>
      </c>
      <c r="F15" s="287">
        <f t="shared" si="1"/>
        <v>211790000</v>
      </c>
      <c r="G15" s="287">
        <f t="shared" si="1"/>
        <v>382493661</v>
      </c>
      <c r="H15" s="287">
        <f t="shared" si="1"/>
        <v>382493661</v>
      </c>
      <c r="I15" s="287">
        <f t="shared" si="1"/>
        <v>594283661</v>
      </c>
      <c r="J15" s="287"/>
      <c r="K15" s="287">
        <f t="shared" si="1"/>
        <v>0</v>
      </c>
      <c r="L15" s="287">
        <f t="shared" si="1"/>
        <v>4200000</v>
      </c>
      <c r="M15" s="287">
        <f t="shared" si="1"/>
        <v>0</v>
      </c>
      <c r="N15" s="287">
        <f t="shared" si="1"/>
        <v>4200000</v>
      </c>
      <c r="O15" s="287">
        <f t="shared" si="1"/>
        <v>0</v>
      </c>
      <c r="P15" s="295">
        <f t="shared" si="2"/>
        <v>0</v>
      </c>
    </row>
    <row r="16" spans="1:16">
      <c r="A16" s="96" t="s">
        <v>25</v>
      </c>
      <c r="B16" s="96" t="s">
        <v>1502</v>
      </c>
      <c r="C16" s="96" t="s">
        <v>8</v>
      </c>
      <c r="D16" s="96"/>
      <c r="E16" s="96" t="s">
        <v>9</v>
      </c>
      <c r="F16" s="288">
        <f t="shared" si="1"/>
        <v>211790000</v>
      </c>
      <c r="G16" s="288">
        <f t="shared" si="1"/>
        <v>382493661</v>
      </c>
      <c r="H16" s="288">
        <f t="shared" si="1"/>
        <v>382493661</v>
      </c>
      <c r="I16" s="288">
        <f t="shared" si="1"/>
        <v>594283661</v>
      </c>
      <c r="J16" s="288"/>
      <c r="K16" s="288">
        <f t="shared" si="1"/>
        <v>0</v>
      </c>
      <c r="L16" s="288">
        <f t="shared" si="1"/>
        <v>4200000</v>
      </c>
      <c r="M16" s="288">
        <f t="shared" si="1"/>
        <v>0</v>
      </c>
      <c r="N16" s="288">
        <f t="shared" si="1"/>
        <v>4200000</v>
      </c>
      <c r="O16" s="288">
        <f t="shared" si="1"/>
        <v>0</v>
      </c>
      <c r="P16" s="296">
        <f t="shared" si="2"/>
        <v>0</v>
      </c>
    </row>
    <row r="17" spans="1:16">
      <c r="A17" s="289" t="s">
        <v>26</v>
      </c>
      <c r="B17" s="123" t="s">
        <v>1503</v>
      </c>
      <c r="C17" s="124" t="s">
        <v>10</v>
      </c>
      <c r="D17" s="67"/>
      <c r="E17" s="25" t="s">
        <v>11</v>
      </c>
      <c r="F17" s="68">
        <f t="shared" ref="F17" si="3">+F18+F20</f>
        <v>211790000</v>
      </c>
      <c r="G17" s="68">
        <f t="shared" ref="G17:O17" si="4">+G18+G20</f>
        <v>382493661</v>
      </c>
      <c r="H17" s="68">
        <f t="shared" si="4"/>
        <v>382493661</v>
      </c>
      <c r="I17" s="68">
        <f t="shared" si="4"/>
        <v>594283661</v>
      </c>
      <c r="J17" s="68"/>
      <c r="K17" s="68">
        <f t="shared" si="4"/>
        <v>0</v>
      </c>
      <c r="L17" s="68">
        <f t="shared" si="4"/>
        <v>4200000</v>
      </c>
      <c r="M17" s="68">
        <f t="shared" si="4"/>
        <v>0</v>
      </c>
      <c r="N17" s="68">
        <f t="shared" si="4"/>
        <v>4200000</v>
      </c>
      <c r="O17" s="68">
        <f t="shared" si="4"/>
        <v>0</v>
      </c>
      <c r="P17" s="229">
        <f t="shared" si="2"/>
        <v>0</v>
      </c>
    </row>
    <row r="18" spans="1:16">
      <c r="A18" s="290" t="s">
        <v>27</v>
      </c>
      <c r="B18" s="125"/>
      <c r="C18" s="126" t="s">
        <v>12</v>
      </c>
      <c r="D18" s="29"/>
      <c r="E18" s="19" t="s">
        <v>13</v>
      </c>
      <c r="F18" s="20">
        <f t="shared" ref="F18:O18" si="5">+F19</f>
        <v>50887000</v>
      </c>
      <c r="G18" s="20">
        <f t="shared" si="5"/>
        <v>0</v>
      </c>
      <c r="H18" s="20">
        <f t="shared" si="5"/>
        <v>0</v>
      </c>
      <c r="I18" s="20">
        <f t="shared" si="5"/>
        <v>50887000</v>
      </c>
      <c r="J18" s="20"/>
      <c r="K18" s="20">
        <f t="shared" si="5"/>
        <v>0</v>
      </c>
      <c r="L18" s="20">
        <f t="shared" si="5"/>
        <v>4200000</v>
      </c>
      <c r="M18" s="20">
        <f t="shared" si="5"/>
        <v>0</v>
      </c>
      <c r="N18" s="20">
        <f t="shared" si="5"/>
        <v>4200000</v>
      </c>
      <c r="O18" s="20">
        <f t="shared" si="5"/>
        <v>0</v>
      </c>
      <c r="P18" s="243">
        <f t="shared" si="2"/>
        <v>0</v>
      </c>
    </row>
    <row r="19" spans="1:16">
      <c r="A19" s="78"/>
      <c r="B19" s="127" t="s">
        <v>1504</v>
      </c>
      <c r="C19" s="78" t="s">
        <v>14</v>
      </c>
      <c r="D19" s="31" t="s">
        <v>1957</v>
      </c>
      <c r="E19" s="28" t="s">
        <v>15</v>
      </c>
      <c r="F19" s="21">
        <v>50887000</v>
      </c>
      <c r="G19" s="21">
        <v>0</v>
      </c>
      <c r="H19" s="21">
        <v>0</v>
      </c>
      <c r="I19" s="21">
        <v>50887000</v>
      </c>
      <c r="J19" s="21"/>
      <c r="K19" s="21">
        <v>0</v>
      </c>
      <c r="L19" s="21">
        <v>4200000</v>
      </c>
      <c r="M19" s="21">
        <v>0</v>
      </c>
      <c r="N19" s="21">
        <v>4200000</v>
      </c>
      <c r="O19" s="21">
        <v>0</v>
      </c>
      <c r="P19" s="252">
        <f t="shared" si="2"/>
        <v>0</v>
      </c>
    </row>
    <row r="20" spans="1:16">
      <c r="A20" s="290" t="s">
        <v>28</v>
      </c>
      <c r="B20" s="125"/>
      <c r="C20" s="126" t="s">
        <v>16</v>
      </c>
      <c r="D20" s="29"/>
      <c r="E20" s="19" t="s">
        <v>17</v>
      </c>
      <c r="F20" s="20">
        <f t="shared" ref="F20:O20" si="6">+F21</f>
        <v>160903000</v>
      </c>
      <c r="G20" s="20">
        <f t="shared" si="6"/>
        <v>382493661</v>
      </c>
      <c r="H20" s="20">
        <f t="shared" si="6"/>
        <v>382493661</v>
      </c>
      <c r="I20" s="20">
        <f t="shared" si="6"/>
        <v>543396661</v>
      </c>
      <c r="J20" s="20"/>
      <c r="K20" s="20">
        <f t="shared" si="6"/>
        <v>0</v>
      </c>
      <c r="L20" s="20">
        <f t="shared" si="6"/>
        <v>0</v>
      </c>
      <c r="M20" s="20">
        <f t="shared" si="6"/>
        <v>0</v>
      </c>
      <c r="N20" s="20">
        <f t="shared" si="6"/>
        <v>0</v>
      </c>
      <c r="O20" s="20">
        <f t="shared" si="6"/>
        <v>0</v>
      </c>
      <c r="P20" s="243">
        <f t="shared" si="2"/>
        <v>0</v>
      </c>
    </row>
    <row r="21" spans="1:16">
      <c r="A21" s="78"/>
      <c r="B21" s="127" t="s">
        <v>1505</v>
      </c>
      <c r="C21" s="78" t="s">
        <v>18</v>
      </c>
      <c r="D21" s="31" t="s">
        <v>1957</v>
      </c>
      <c r="E21" s="28" t="s">
        <v>19</v>
      </c>
      <c r="F21" s="21">
        <v>160903000</v>
      </c>
      <c r="G21" s="21">
        <v>382493661</v>
      </c>
      <c r="H21" s="21">
        <v>382493661</v>
      </c>
      <c r="I21" s="21">
        <v>543396661</v>
      </c>
      <c r="J21" s="21"/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52">
        <f t="shared" si="2"/>
        <v>0</v>
      </c>
    </row>
  </sheetData>
  <protectedRanges>
    <protectedRange sqref="E13:E18 E20 A20 A13:A18 C20 C13:C18" name="Rango8_4"/>
  </protectedRanges>
  <mergeCells count="23">
    <mergeCell ref="J10:K10"/>
    <mergeCell ref="J11:J12"/>
    <mergeCell ref="F10:F12"/>
    <mergeCell ref="C10:E10"/>
    <mergeCell ref="C2:P2"/>
    <mergeCell ref="C3:P3"/>
    <mergeCell ref="C4:P4"/>
    <mergeCell ref="G10:I10"/>
    <mergeCell ref="L10:M10"/>
    <mergeCell ref="N10:O10"/>
    <mergeCell ref="P10:P12"/>
    <mergeCell ref="G11:H11"/>
    <mergeCell ref="I11:I12"/>
    <mergeCell ref="K11:K12"/>
    <mergeCell ref="L11:L12"/>
    <mergeCell ref="M11:M12"/>
    <mergeCell ref="N11:N12"/>
    <mergeCell ref="O11:O12"/>
    <mergeCell ref="A11:A12"/>
    <mergeCell ref="B11:B12"/>
    <mergeCell ref="C11:C12"/>
    <mergeCell ref="D11:D12"/>
    <mergeCell ref="E11:E12"/>
  </mergeCells>
  <pageMargins left="0.7" right="0.7" top="0.75" bottom="0.75" header="0.3" footer="0.3"/>
  <pageSetup orientation="portrait" r:id="rId1"/>
  <ignoredErrors>
    <ignoredError sqref="K17:O17 F17:I1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2210-C1E9-42CF-B782-8D07DD297961}">
  <dimension ref="A2:M159"/>
  <sheetViews>
    <sheetView topLeftCell="A3" zoomScale="90" zoomScaleNormal="90" workbookViewId="0">
      <selection activeCell="F24" sqref="F24"/>
    </sheetView>
  </sheetViews>
  <sheetFormatPr baseColWidth="10" defaultRowHeight="15"/>
  <cols>
    <col min="1" max="1" width="26.28515625" customWidth="1"/>
    <col min="2" max="2" width="46" style="326" customWidth="1"/>
    <col min="3" max="3" width="18.7109375" customWidth="1"/>
    <col min="4" max="4" width="18.5703125" customWidth="1"/>
    <col min="5" max="6" width="17.28515625" customWidth="1"/>
    <col min="7" max="7" width="20" customWidth="1"/>
    <col min="8" max="8" width="20.42578125" customWidth="1"/>
    <col min="9" max="9" width="17.85546875" customWidth="1"/>
    <col min="10" max="10" width="19.7109375" customWidth="1"/>
    <col min="11" max="11" width="22" customWidth="1"/>
    <col min="12" max="12" width="20.7109375" customWidth="1"/>
    <col min="13" max="13" width="11.5703125" style="338" customWidth="1"/>
  </cols>
  <sheetData>
    <row r="2" spans="1:13" ht="18">
      <c r="A2" s="367" t="s">
        <v>2018</v>
      </c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</row>
    <row r="3" spans="1:13" ht="18">
      <c r="A3" s="368" t="s">
        <v>1987</v>
      </c>
      <c r="B3" s="368"/>
      <c r="C3" s="368"/>
      <c r="D3" s="368"/>
      <c r="E3" s="368"/>
      <c r="F3" s="368"/>
      <c r="G3" s="368"/>
      <c r="H3" s="368"/>
      <c r="I3" s="368"/>
      <c r="J3" s="368"/>
      <c r="K3" s="368"/>
      <c r="L3" s="368"/>
      <c r="M3" s="368"/>
    </row>
    <row r="4" spans="1:13" ht="18">
      <c r="A4" s="369" t="s">
        <v>2101</v>
      </c>
      <c r="B4" s="369"/>
      <c r="C4" s="369"/>
      <c r="D4" s="369"/>
      <c r="E4" s="369"/>
      <c r="F4" s="369"/>
      <c r="G4" s="369"/>
      <c r="H4" s="369"/>
      <c r="I4" s="369"/>
      <c r="J4" s="369"/>
      <c r="K4" s="369"/>
      <c r="L4" s="369"/>
      <c r="M4" s="369"/>
    </row>
    <row r="5" spans="1:13" ht="15.75" customHeight="1">
      <c r="A5" s="22"/>
      <c r="B5" s="22"/>
      <c r="C5" s="22"/>
      <c r="D5" s="88"/>
      <c r="E5" s="4"/>
      <c r="F5" s="4"/>
      <c r="G5" s="4"/>
      <c r="H5" s="308"/>
      <c r="I5" s="308"/>
      <c r="J5" s="308"/>
      <c r="K5" s="308"/>
      <c r="L5" s="308"/>
      <c r="M5" s="337"/>
    </row>
    <row r="6" spans="1:13">
      <c r="A6" s="407" t="s">
        <v>2025</v>
      </c>
      <c r="B6" s="407"/>
      <c r="C6" s="407"/>
      <c r="D6" s="407"/>
      <c r="E6" s="407"/>
      <c r="F6" s="407"/>
      <c r="G6" s="407"/>
      <c r="H6" s="407"/>
      <c r="I6" s="407"/>
      <c r="J6" s="407"/>
      <c r="K6" s="407"/>
      <c r="L6" s="407"/>
      <c r="M6" s="408"/>
    </row>
    <row r="7" spans="1:13" ht="10.5" customHeight="1">
      <c r="A7" s="407"/>
      <c r="B7" s="407"/>
      <c r="C7" s="407"/>
      <c r="D7" s="407"/>
      <c r="E7" s="407"/>
      <c r="F7" s="407"/>
      <c r="G7" s="407"/>
      <c r="H7" s="407"/>
      <c r="I7" s="407"/>
      <c r="J7" s="407"/>
      <c r="K7" s="407"/>
      <c r="L7" s="407"/>
      <c r="M7" s="408"/>
    </row>
    <row r="8" spans="1:13" ht="20.25" customHeight="1">
      <c r="A8" s="325"/>
      <c r="B8" s="325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36"/>
    </row>
    <row r="9" spans="1:13" ht="15.75" thickBot="1"/>
    <row r="10" spans="1:13" ht="15.75" thickBot="1">
      <c r="A10" s="309"/>
      <c r="B10" s="327"/>
      <c r="C10" s="310">
        <f>EJECUCIÓN!F13</f>
        <v>548567755000</v>
      </c>
      <c r="D10" s="310">
        <f>EJECUCIÓN!G13</f>
        <v>14194792521</v>
      </c>
      <c r="E10" s="310">
        <f>EJECUCIÓN!H13</f>
        <v>119748855067</v>
      </c>
      <c r="F10" s="310">
        <f>EJECUCIÓN!I13</f>
        <v>668316610067</v>
      </c>
      <c r="G10" s="310">
        <f>EJECUCIÓN!J13</f>
        <v>37765169384</v>
      </c>
      <c r="H10" s="310">
        <f>EJECUCIÓN!K13</f>
        <v>443925954879</v>
      </c>
      <c r="I10" s="310">
        <f>EJECUCIÓN!L13</f>
        <v>59277792200</v>
      </c>
      <c r="J10" s="310">
        <f>EJECUCIÓN!M13</f>
        <v>411524952140</v>
      </c>
      <c r="K10" s="310">
        <f>EJECUCIÓN!N13</f>
        <v>34399054883</v>
      </c>
      <c r="L10" s="310">
        <f>EJECUCIÓN!O13</f>
        <v>316933439339</v>
      </c>
      <c r="M10" s="339"/>
    </row>
    <row r="11" spans="1:13" ht="15.75" thickBot="1">
      <c r="A11" s="409" t="s">
        <v>2026</v>
      </c>
      <c r="B11" s="412" t="s">
        <v>1467</v>
      </c>
      <c r="C11" s="415" t="s">
        <v>2019</v>
      </c>
      <c r="D11" s="403" t="s">
        <v>2006</v>
      </c>
      <c r="E11" s="403"/>
      <c r="F11" s="403"/>
      <c r="G11" s="403"/>
      <c r="H11" s="403"/>
      <c r="I11" s="403" t="s">
        <v>2027</v>
      </c>
      <c r="J11" s="403"/>
      <c r="K11" s="403" t="s">
        <v>2009</v>
      </c>
      <c r="L11" s="403"/>
      <c r="M11" s="402" t="s">
        <v>2028</v>
      </c>
    </row>
    <row r="12" spans="1:13" ht="15.75" thickBot="1">
      <c r="A12" s="410"/>
      <c r="B12" s="413"/>
      <c r="C12" s="416"/>
      <c r="D12" s="403" t="s">
        <v>2002</v>
      </c>
      <c r="E12" s="403"/>
      <c r="F12" s="403" t="s">
        <v>2003</v>
      </c>
      <c r="G12" s="405" t="s">
        <v>2029</v>
      </c>
      <c r="H12" s="406"/>
      <c r="I12" s="403"/>
      <c r="J12" s="403"/>
      <c r="K12" s="403"/>
      <c r="L12" s="403"/>
      <c r="M12" s="402"/>
    </row>
    <row r="13" spans="1:13" ht="25.5" customHeight="1" thickBot="1">
      <c r="A13" s="411"/>
      <c r="B13" s="414"/>
      <c r="C13" s="417"/>
      <c r="D13" s="311" t="s">
        <v>2005</v>
      </c>
      <c r="E13" s="311" t="s">
        <v>2004</v>
      </c>
      <c r="F13" s="404"/>
      <c r="G13" s="311" t="s">
        <v>2005</v>
      </c>
      <c r="H13" s="311" t="s">
        <v>2004</v>
      </c>
      <c r="I13" s="311" t="s">
        <v>2005</v>
      </c>
      <c r="J13" s="311" t="s">
        <v>2004</v>
      </c>
      <c r="K13" s="312" t="s">
        <v>2005</v>
      </c>
      <c r="L13" s="312" t="s">
        <v>2004</v>
      </c>
      <c r="M13" s="402"/>
    </row>
    <row r="14" spans="1:13">
      <c r="A14" s="313" t="s">
        <v>2030</v>
      </c>
      <c r="B14" s="328"/>
      <c r="C14" s="314">
        <f>+C15</f>
        <v>548567755000</v>
      </c>
      <c r="D14" s="314">
        <f t="shared" ref="D14:L14" si="0">+D15</f>
        <v>14194792521</v>
      </c>
      <c r="E14" s="314">
        <f t="shared" si="0"/>
        <v>119748855067</v>
      </c>
      <c r="F14" s="314">
        <f t="shared" si="0"/>
        <v>668316610067</v>
      </c>
      <c r="G14" s="314">
        <f t="shared" si="0"/>
        <v>37765169384</v>
      </c>
      <c r="H14" s="314">
        <f t="shared" si="0"/>
        <v>443925954879</v>
      </c>
      <c r="I14" s="314">
        <f t="shared" si="0"/>
        <v>59277792200</v>
      </c>
      <c r="J14" s="314">
        <f t="shared" si="0"/>
        <v>411524952140</v>
      </c>
      <c r="K14" s="314">
        <f t="shared" si="0"/>
        <v>34399054883</v>
      </c>
      <c r="L14" s="314">
        <f t="shared" si="0"/>
        <v>316933439339</v>
      </c>
      <c r="M14" s="340">
        <f>+J14/F14</f>
        <v>0.6157634659098834</v>
      </c>
    </row>
    <row r="15" spans="1:13">
      <c r="A15" s="315" t="s">
        <v>2031</v>
      </c>
      <c r="B15" s="329"/>
      <c r="C15" s="316">
        <f>+C16+C133+SUM(C134:C159)</f>
        <v>548567755000</v>
      </c>
      <c r="D15" s="316">
        <f t="shared" ref="D15:L15" si="1">+D16+D133+SUM(D134:D159)</f>
        <v>14194792521</v>
      </c>
      <c r="E15" s="316">
        <f t="shared" si="1"/>
        <v>119748855067</v>
      </c>
      <c r="F15" s="316">
        <f t="shared" si="1"/>
        <v>668316610067</v>
      </c>
      <c r="G15" s="316">
        <f t="shared" si="1"/>
        <v>37765169384</v>
      </c>
      <c r="H15" s="316">
        <f t="shared" si="1"/>
        <v>443925954879</v>
      </c>
      <c r="I15" s="316">
        <f t="shared" si="1"/>
        <v>59277792200</v>
      </c>
      <c r="J15" s="316">
        <f t="shared" si="1"/>
        <v>411524952140</v>
      </c>
      <c r="K15" s="316">
        <f t="shared" si="1"/>
        <v>34399054883</v>
      </c>
      <c r="L15" s="316">
        <f t="shared" si="1"/>
        <v>316933439339</v>
      </c>
      <c r="M15" s="341">
        <f t="shared" ref="M15:M81" si="2">+J15/F15</f>
        <v>0.6157634659098834</v>
      </c>
    </row>
    <row r="16" spans="1:13">
      <c r="A16" s="317" t="s">
        <v>2032</v>
      </c>
      <c r="B16" s="330"/>
      <c r="C16" s="318">
        <f t="shared" ref="C16:L16" si="3">+SUM(C17:C132)</f>
        <v>505039654000</v>
      </c>
      <c r="D16" s="318">
        <f t="shared" si="3"/>
        <v>12533518796</v>
      </c>
      <c r="E16" s="318">
        <f t="shared" si="3"/>
        <v>108948092774</v>
      </c>
      <c r="F16" s="318">
        <f t="shared" si="3"/>
        <v>613987746774</v>
      </c>
      <c r="G16" s="318">
        <f t="shared" si="3"/>
        <v>30729102067</v>
      </c>
      <c r="H16" s="318">
        <f t="shared" si="3"/>
        <v>423175367995</v>
      </c>
      <c r="I16" s="318">
        <f t="shared" si="3"/>
        <v>55845987005</v>
      </c>
      <c r="J16" s="318">
        <f t="shared" si="3"/>
        <v>397629315710</v>
      </c>
      <c r="K16" s="318">
        <f t="shared" si="3"/>
        <v>33348072457</v>
      </c>
      <c r="L16" s="318">
        <f t="shared" si="3"/>
        <v>308766636586</v>
      </c>
      <c r="M16" s="342">
        <f t="shared" si="2"/>
        <v>0.64761767282688398</v>
      </c>
    </row>
    <row r="17" spans="1:13">
      <c r="A17" s="319" t="s">
        <v>80</v>
      </c>
      <c r="B17" s="331" t="s">
        <v>82</v>
      </c>
      <c r="C17" s="320">
        <f>EJECUCIÓN!F21+EJECUCIÓN!F22+EJECUCIÓN!F23</f>
        <v>137847199000</v>
      </c>
      <c r="D17" s="320">
        <f>EJECUCIÓN!G21+EJECUCIÓN!G22+EJECUCIÓN!G23</f>
        <v>0</v>
      </c>
      <c r="E17" s="320">
        <f>EJECUCIÓN!H21+EJECUCIÓN!H22+EJECUCIÓN!H23</f>
        <v>-882993704</v>
      </c>
      <c r="F17" s="320">
        <f>EJECUCIÓN!I21+EJECUCIÓN!I22+EJECUCIÓN!I23</f>
        <v>136964205296</v>
      </c>
      <c r="G17" s="320">
        <f>EJECUCIÓN!J21+EJECUCIÓN!J22+EJECUCIÓN!J23</f>
        <v>9973723386</v>
      </c>
      <c r="H17" s="320">
        <f>EJECUCIÓN!K21+EJECUCIÓN!K22+EJECUCIÓN!K23</f>
        <v>79163609530</v>
      </c>
      <c r="I17" s="320">
        <f>EJECUCIÓN!L21+EJECUCIÓN!L22+EJECUCIÓN!L23</f>
        <v>10009017915</v>
      </c>
      <c r="J17" s="320">
        <f>EJECUCIÓN!M21+EJECUCIÓN!M22+EJECUCIÓN!M23</f>
        <v>79046667804</v>
      </c>
      <c r="K17" s="320">
        <f>EJECUCIÓN!N21+EJECUCIÓN!N22+EJECUCIÓN!N23</f>
        <v>10010541176</v>
      </c>
      <c r="L17" s="320">
        <f>EJECUCIÓN!O21+EJECUCIÓN!O22+EJECUCIÓN!O23</f>
        <v>79022119760</v>
      </c>
      <c r="M17" s="343">
        <f t="shared" si="2"/>
        <v>0.5771337674187822</v>
      </c>
    </row>
    <row r="18" spans="1:13">
      <c r="A18" s="319" t="s">
        <v>89</v>
      </c>
      <c r="B18" s="331" t="s">
        <v>91</v>
      </c>
      <c r="C18" s="320">
        <f>EJECUCIÓN!F26</f>
        <v>232386000</v>
      </c>
      <c r="D18" s="320">
        <f>EJECUCIÓN!G26</f>
        <v>0</v>
      </c>
      <c r="E18" s="320">
        <f>EJECUCIÓN!H26</f>
        <v>0</v>
      </c>
      <c r="F18" s="320">
        <f>EJECUCIÓN!I26</f>
        <v>232386000</v>
      </c>
      <c r="G18" s="320">
        <f>EJECUCIÓN!J26</f>
        <v>13695907</v>
      </c>
      <c r="H18" s="320">
        <f>EJECUCIÓN!K26</f>
        <v>110111232</v>
      </c>
      <c r="I18" s="320">
        <f>EJECUCIÓN!L26</f>
        <v>13695907</v>
      </c>
      <c r="J18" s="320">
        <f>EJECUCIÓN!M26</f>
        <v>110111232</v>
      </c>
      <c r="K18" s="320">
        <f>EJECUCIÓN!N26</f>
        <v>13695907</v>
      </c>
      <c r="L18" s="320">
        <f>EJECUCIÓN!O26</f>
        <v>110111232</v>
      </c>
      <c r="M18" s="343">
        <f t="shared" si="2"/>
        <v>0.47382902584493042</v>
      </c>
    </row>
    <row r="19" spans="1:13">
      <c r="A19" s="319" t="s">
        <v>94</v>
      </c>
      <c r="B19" s="331" t="s">
        <v>96</v>
      </c>
      <c r="C19" s="320">
        <f>EJECUCIÓN!F29</f>
        <v>879556000</v>
      </c>
      <c r="D19" s="320">
        <f>EJECUCIÓN!G29</f>
        <v>0</v>
      </c>
      <c r="E19" s="320">
        <f>EJECUCIÓN!H29</f>
        <v>0</v>
      </c>
      <c r="F19" s="320">
        <f>EJECUCIÓN!I29</f>
        <v>879556000</v>
      </c>
      <c r="G19" s="320">
        <f>EJECUCIÓN!J29</f>
        <v>68936516</v>
      </c>
      <c r="H19" s="320">
        <f>EJECUCIÓN!K29</f>
        <v>540508571</v>
      </c>
      <c r="I19" s="320">
        <f>EJECUCIÓN!L29</f>
        <v>68936516</v>
      </c>
      <c r="J19" s="320">
        <f>EJECUCIÓN!M29</f>
        <v>540508571</v>
      </c>
      <c r="K19" s="320">
        <f>EJECUCIÓN!N29</f>
        <v>68936516</v>
      </c>
      <c r="L19" s="320">
        <f>EJECUCIÓN!O29</f>
        <v>540508571</v>
      </c>
      <c r="M19" s="343">
        <f t="shared" si="2"/>
        <v>0.61452434069007544</v>
      </c>
    </row>
    <row r="20" spans="1:13">
      <c r="A20" s="319" t="s">
        <v>99</v>
      </c>
      <c r="B20" s="331" t="s">
        <v>101</v>
      </c>
      <c r="C20" s="320">
        <f>EJECUCIÓN!F32</f>
        <v>89520000</v>
      </c>
      <c r="D20" s="320">
        <f>EJECUCIÓN!G32</f>
        <v>0</v>
      </c>
      <c r="E20" s="320">
        <f>EJECUCIÓN!H32</f>
        <v>0</v>
      </c>
      <c r="F20" s="320">
        <f>EJECUCIÓN!I32</f>
        <v>89520000</v>
      </c>
      <c r="G20" s="320">
        <f>EJECUCIÓN!J32</f>
        <v>6554973</v>
      </c>
      <c r="H20" s="320">
        <f>EJECUCIÓN!K32</f>
        <v>57670022</v>
      </c>
      <c r="I20" s="320">
        <f>EJECUCIÓN!L32</f>
        <v>6554973</v>
      </c>
      <c r="J20" s="320">
        <f>EJECUCIÓN!M32</f>
        <v>57670022</v>
      </c>
      <c r="K20" s="320">
        <f>EJECUCIÓN!N32</f>
        <v>6554973</v>
      </c>
      <c r="L20" s="320">
        <f>EJECUCIÓN!O32</f>
        <v>57670022</v>
      </c>
      <c r="M20" s="343">
        <f t="shared" si="2"/>
        <v>0.64421382931188564</v>
      </c>
    </row>
    <row r="21" spans="1:13">
      <c r="A21" s="319" t="s">
        <v>102</v>
      </c>
      <c r="B21" s="331" t="s">
        <v>104</v>
      </c>
      <c r="C21" s="320">
        <f>EJECUCIÓN!F35</f>
        <v>92533000</v>
      </c>
      <c r="D21" s="320">
        <f>EJECUCIÓN!G35</f>
        <v>0</v>
      </c>
      <c r="E21" s="320">
        <f>EJECUCIÓN!H35</f>
        <v>0</v>
      </c>
      <c r="F21" s="320">
        <f>EJECUCIÓN!I35</f>
        <v>92533000</v>
      </c>
      <c r="G21" s="320">
        <f>EJECUCIÓN!J35</f>
        <v>6050899</v>
      </c>
      <c r="H21" s="320">
        <f>EJECUCIÓN!K35</f>
        <v>53235236</v>
      </c>
      <c r="I21" s="320">
        <f>EJECUCIÓN!L35</f>
        <v>6050899</v>
      </c>
      <c r="J21" s="320">
        <f>EJECUCIÓN!M35</f>
        <v>53235236</v>
      </c>
      <c r="K21" s="320">
        <f>EJECUCIÓN!N35</f>
        <v>6050899</v>
      </c>
      <c r="L21" s="320">
        <f>EJECUCIÓN!O35</f>
        <v>53235236</v>
      </c>
      <c r="M21" s="343">
        <f t="shared" si="2"/>
        <v>0.57531081884300739</v>
      </c>
    </row>
    <row r="22" spans="1:13">
      <c r="A22" s="319" t="s">
        <v>105</v>
      </c>
      <c r="B22" s="331" t="s">
        <v>107</v>
      </c>
      <c r="C22" s="320">
        <f>EJECUCIÓN!F38+EJECUCIÓN!F39</f>
        <v>4044818000</v>
      </c>
      <c r="D22" s="320">
        <f>EJECUCIÓN!G38+EJECUCIÓN!G39</f>
        <v>0</v>
      </c>
      <c r="E22" s="320">
        <f>EJECUCIÓN!H38+EJECUCIÓN!H39</f>
        <v>0</v>
      </c>
      <c r="F22" s="320">
        <f>EJECUCIÓN!I38+EJECUCIÓN!I39</f>
        <v>4044818000</v>
      </c>
      <c r="G22" s="320">
        <f>EJECUCIÓN!J38+EJECUCIÓN!J39</f>
        <v>521204267</v>
      </c>
      <c r="H22" s="320">
        <f>EJECUCIÓN!K38+EJECUCIÓN!K39</f>
        <v>2397348052</v>
      </c>
      <c r="I22" s="320">
        <f>EJECUCIÓN!L38+EJECUCIÓN!L39</f>
        <v>523352825</v>
      </c>
      <c r="J22" s="320">
        <f>EJECUCIÓN!M38+EJECUCIÓN!M39</f>
        <v>2385667678</v>
      </c>
      <c r="K22" s="320">
        <f>EJECUCIÓN!N38+EJECUCIÓN!N39</f>
        <v>522785607</v>
      </c>
      <c r="L22" s="320">
        <f>EJECUCIÓN!O38+EJECUCIÓN!O39</f>
        <v>2383519120</v>
      </c>
      <c r="M22" s="343">
        <f t="shared" si="2"/>
        <v>0.58980841115718929</v>
      </c>
    </row>
    <row r="23" spans="1:13">
      <c r="A23" s="319" t="s">
        <v>115</v>
      </c>
      <c r="B23" s="331" t="s">
        <v>117</v>
      </c>
      <c r="C23" s="320">
        <f>EJECUCIÓN!F42+EJECUCIÓN!F43+EJECUCIÓN!F44</f>
        <v>14300185000</v>
      </c>
      <c r="D23" s="320">
        <f>EJECUCIÓN!G42+EJECUCIÓN!G43+EJECUCIÓN!G44</f>
        <v>0</v>
      </c>
      <c r="E23" s="320">
        <f>EJECUCIÓN!H42+EJECUCIÓN!H43+EJECUCIÓN!H44</f>
        <v>0</v>
      </c>
      <c r="F23" s="320">
        <f>EJECUCIÓN!I42+EJECUCIÓN!I43+EJECUCIÓN!I44</f>
        <v>14300185000</v>
      </c>
      <c r="G23" s="320">
        <f>EJECUCIÓN!J42+EJECUCIÓN!J43+EJECUCIÓN!J44</f>
        <v>0</v>
      </c>
      <c r="H23" s="320">
        <f>EJECUCIÓN!K42+EJECUCIÓN!K43+EJECUCIÓN!K44</f>
        <v>119171591</v>
      </c>
      <c r="I23" s="320">
        <f>EJECUCIÓN!L42+EJECUCIÓN!L43+EJECUCIÓN!L44</f>
        <v>25898987</v>
      </c>
      <c r="J23" s="320">
        <f>EJECUCIÓN!M42+EJECUCIÓN!M43+EJECUCIÓN!M44</f>
        <v>81636831</v>
      </c>
      <c r="K23" s="320">
        <f>EJECUCIÓN!N42+EJECUCIÓN!N43+EJECUCIÓN!N44</f>
        <v>25009514</v>
      </c>
      <c r="L23" s="320">
        <f>EJECUCIÓN!O42+EJECUCIÓN!O43+EJECUCIÓN!O44</f>
        <v>79143364</v>
      </c>
      <c r="M23" s="343">
        <f t="shared" si="2"/>
        <v>5.7087954456533259E-3</v>
      </c>
    </row>
    <row r="24" spans="1:13">
      <c r="A24" s="319" t="s">
        <v>124</v>
      </c>
      <c r="B24" s="331" t="s">
        <v>126</v>
      </c>
      <c r="C24" s="320">
        <f>EJECUCIÓN!F46+EJECUCIÓN!F47+EJECUCIÓN!F48</f>
        <v>8692251000</v>
      </c>
      <c r="D24" s="320">
        <f>EJECUCIÓN!G46+EJECUCIÓN!G47+EJECUCIÓN!G48</f>
        <v>0</v>
      </c>
      <c r="E24" s="320">
        <f>EJECUCIÓN!H46+EJECUCIÓN!H47+EJECUCIÓN!H48</f>
        <v>0</v>
      </c>
      <c r="F24" s="320">
        <f>EJECUCIÓN!I46+EJECUCIÓN!I47+EJECUCIÓN!I48</f>
        <v>8692251000</v>
      </c>
      <c r="G24" s="320">
        <f>EJECUCIÓN!J46+EJECUCIÓN!J47+EJECUCIÓN!J48</f>
        <v>23942177</v>
      </c>
      <c r="H24" s="320">
        <f>EJECUCIÓN!K46+EJECUCIÓN!K47+EJECUCIÓN!K48</f>
        <v>271183862</v>
      </c>
      <c r="I24" s="320">
        <f>EJECUCIÓN!L46+EJECUCIÓN!L47+EJECUCIÓN!L48</f>
        <v>47305862</v>
      </c>
      <c r="J24" s="320">
        <f>EJECUCIÓN!M46+EJECUCIÓN!M47+EJECUCIÓN!M48</f>
        <v>211901050</v>
      </c>
      <c r="K24" s="320">
        <f>EJECUCIÓN!N46+EJECUCIÓN!N47+EJECUCIÓN!N48</f>
        <v>46846947</v>
      </c>
      <c r="L24" s="320">
        <f>EJECUCIÓN!O46+EJECUCIÓN!O47+EJECUCIÓN!O48</f>
        <v>201637051</v>
      </c>
      <c r="M24" s="343">
        <f t="shared" si="2"/>
        <v>2.4378155900007949E-2</v>
      </c>
    </row>
    <row r="25" spans="1:13">
      <c r="A25" s="319" t="s">
        <v>133</v>
      </c>
      <c r="B25" s="331" t="s">
        <v>135</v>
      </c>
      <c r="C25" s="320">
        <f>EJECUCIÓN!F51</f>
        <v>3872599000</v>
      </c>
      <c r="D25" s="320">
        <f>EJECUCIÓN!G51</f>
        <v>0</v>
      </c>
      <c r="E25" s="320">
        <f>EJECUCIÓN!H51</f>
        <v>0</v>
      </c>
      <c r="F25" s="320">
        <f>EJECUCIÓN!I51</f>
        <v>3872599000</v>
      </c>
      <c r="G25" s="320">
        <f>EJECUCIÓN!J51</f>
        <v>313960967</v>
      </c>
      <c r="H25" s="320">
        <f>EJECUCIÓN!K51</f>
        <v>2426392424</v>
      </c>
      <c r="I25" s="320">
        <f>EJECUCIÓN!L51</f>
        <v>313960967</v>
      </c>
      <c r="J25" s="320">
        <f>EJECUCIÓN!M51</f>
        <v>2426392424</v>
      </c>
      <c r="K25" s="320">
        <f>EJECUCIÓN!N51</f>
        <v>313960967</v>
      </c>
      <c r="L25" s="320">
        <f>EJECUCIÓN!O51</f>
        <v>2426392424</v>
      </c>
      <c r="M25" s="343">
        <f t="shared" si="2"/>
        <v>0.62655400778650205</v>
      </c>
    </row>
    <row r="26" spans="1:13">
      <c r="A26" s="319" t="s">
        <v>141</v>
      </c>
      <c r="B26" s="331" t="s">
        <v>143</v>
      </c>
      <c r="C26" s="320">
        <f>EJECUCIÓN!F53+EJECUCIÓN!F54+EJECUCIÓN!F55</f>
        <v>12787384000</v>
      </c>
      <c r="D26" s="320">
        <f>EJECUCIÓN!G53+EJECUCIÓN!G54+EJECUCIÓN!G55</f>
        <v>0</v>
      </c>
      <c r="E26" s="320">
        <f>EJECUCIÓN!H53+EJECUCIÓN!H54+EJECUCIÓN!H55</f>
        <v>-951191646</v>
      </c>
      <c r="F26" s="320">
        <f>EJECUCIÓN!I53+EJECUCIÓN!I54+EJECUCIÓN!I55</f>
        <v>11836192354</v>
      </c>
      <c r="G26" s="320">
        <f>EJECUCIÓN!J53+EJECUCIÓN!J54+EJECUCIÓN!J55</f>
        <v>13553703</v>
      </c>
      <c r="H26" s="320">
        <f>EJECUCIÓN!K53+EJECUCIÓN!K54+EJECUCIÓN!K55</f>
        <v>10720612031</v>
      </c>
      <c r="I26" s="320">
        <f>EJECUCIÓN!L53+EJECUCIÓN!L54+EJECUCIÓN!L55</f>
        <v>22999422</v>
      </c>
      <c r="J26" s="320">
        <f>EJECUCIÓN!M53+EJECUCIÓN!M54+EJECUCIÓN!M55</f>
        <v>10667836583</v>
      </c>
      <c r="K26" s="320">
        <f>EJECUCIÓN!N53+EJECUCIÓN!N54+EJECUCIÓN!N55</f>
        <v>25817770</v>
      </c>
      <c r="L26" s="320">
        <f>EJECUCIÓN!O53+EJECUCIÓN!O54+EJECUCIÓN!O55</f>
        <v>10656024964</v>
      </c>
      <c r="M26" s="343">
        <f t="shared" si="2"/>
        <v>0.90128955866409532</v>
      </c>
    </row>
    <row r="27" spans="1:13">
      <c r="A27" s="319" t="s">
        <v>153</v>
      </c>
      <c r="B27" s="331" t="s">
        <v>155</v>
      </c>
      <c r="C27" s="320">
        <f>EJECUCIÓN!F59+EJECUCIÓN!F60</f>
        <v>1027167000</v>
      </c>
      <c r="D27" s="320">
        <f>EJECUCIÓN!G59+EJECUCIÓN!G60</f>
        <v>0</v>
      </c>
      <c r="E27" s="320">
        <f>EJECUCIÓN!H59+EJECUCIÓN!H60</f>
        <v>0</v>
      </c>
      <c r="F27" s="320">
        <f>EJECUCIÓN!I59+EJECUCIÓN!I60</f>
        <v>1027167000</v>
      </c>
      <c r="G27" s="320">
        <f>EJECUCIÓN!J59+EJECUCIÓN!J60</f>
        <v>70543525</v>
      </c>
      <c r="H27" s="320">
        <f>EJECUCIÓN!K59+EJECUCIÓN!K60</f>
        <v>571873601</v>
      </c>
      <c r="I27" s="320">
        <f>EJECUCIÓN!L59+EJECUCIÓN!L60</f>
        <v>70543525</v>
      </c>
      <c r="J27" s="320">
        <f>EJECUCIÓN!M59+EJECUCIÓN!M60</f>
        <v>571873601</v>
      </c>
      <c r="K27" s="320">
        <f>EJECUCIÓN!N59+EJECUCIÓN!N60</f>
        <v>70543525</v>
      </c>
      <c r="L27" s="320">
        <f>EJECUCIÓN!O59+EJECUCIÓN!O60</f>
        <v>571873601</v>
      </c>
      <c r="M27" s="343">
        <f t="shared" si="2"/>
        <v>0.55674841676183129</v>
      </c>
    </row>
    <row r="28" spans="1:13">
      <c r="A28" s="319" t="s">
        <v>166</v>
      </c>
      <c r="B28" s="331" t="s">
        <v>168</v>
      </c>
      <c r="C28" s="320">
        <f>EJECUCIÓN!F64+EJECUCIÓN!F65+EJECUCIÓN!F66</f>
        <v>15547240000</v>
      </c>
      <c r="D28" s="320">
        <f>EJECUCIÓN!G64+EJECUCIÓN!G65+EJECUCIÓN!G66</f>
        <v>0</v>
      </c>
      <c r="E28" s="320">
        <f>EJECUCIÓN!H64+EJECUCIÓN!H65+EJECUCIÓN!H66</f>
        <v>0</v>
      </c>
      <c r="F28" s="320">
        <f>EJECUCIÓN!I64+EJECUCIÓN!I65+EJECUCIÓN!I66</f>
        <v>15547240000</v>
      </c>
      <c r="G28" s="320">
        <f>EJECUCIÓN!J64+EJECUCIÓN!J65+EJECUCIÓN!J66</f>
        <v>1145963475</v>
      </c>
      <c r="H28" s="320">
        <f>EJECUCIÓN!K64+EJECUCIÓN!K65+EJECUCIÓN!K66</f>
        <v>7929885000</v>
      </c>
      <c r="I28" s="320">
        <f>EJECUCIÓN!L64+EJECUCIÓN!L65+EJECUCIÓN!L66</f>
        <v>1145963475</v>
      </c>
      <c r="J28" s="320">
        <f>EJECUCIÓN!M64+EJECUCIÓN!M65+EJECUCIÓN!M66</f>
        <v>7929885000</v>
      </c>
      <c r="K28" s="320">
        <f>EJECUCIÓN!N64+EJECUCIÓN!N65+EJECUCIÓN!N66</f>
        <v>1145963475</v>
      </c>
      <c r="L28" s="320">
        <f>EJECUCIÓN!O64+EJECUCIÓN!O65+EJECUCIÓN!O66</f>
        <v>7929885000</v>
      </c>
      <c r="M28" s="343">
        <f t="shared" si="2"/>
        <v>0.51005098010965289</v>
      </c>
    </row>
    <row r="29" spans="1:13">
      <c r="A29" s="319" t="s">
        <v>175</v>
      </c>
      <c r="B29" s="331" t="s">
        <v>177</v>
      </c>
      <c r="C29" s="320">
        <f>EJECUCIÓN!F68+EJECUCIÓN!F69+EJECUCIÓN!F70</f>
        <v>2312121000</v>
      </c>
      <c r="D29" s="320">
        <f>EJECUCIÓN!G68+EJECUCIÓN!G69+EJECUCIÓN!G70</f>
        <v>0</v>
      </c>
      <c r="E29" s="320">
        <f>EJECUCIÓN!H68+EJECUCIÓN!H69+EJECUCIÓN!H70</f>
        <v>0</v>
      </c>
      <c r="F29" s="320">
        <f>EJECUCIÓN!I68+EJECUCIÓN!I69+EJECUCIÓN!I70</f>
        <v>2312121000</v>
      </c>
      <c r="G29" s="320">
        <f>EJECUCIÓN!J68+EJECUCIÓN!J69+EJECUCIÓN!J70</f>
        <v>125185800</v>
      </c>
      <c r="H29" s="320">
        <f>EJECUCIÓN!K68+EJECUCIÓN!K69+EJECUCIÓN!K70</f>
        <v>847400325</v>
      </c>
      <c r="I29" s="320">
        <f>EJECUCIÓN!L68+EJECUCIÓN!L69+EJECUCIÓN!L70</f>
        <v>125185800</v>
      </c>
      <c r="J29" s="320">
        <f>EJECUCIÓN!M68+EJECUCIÓN!M69+EJECUCIÓN!M70</f>
        <v>847400325</v>
      </c>
      <c r="K29" s="320">
        <f>EJECUCIÓN!N68+EJECUCIÓN!N69+EJECUCIÓN!N70</f>
        <v>125185800</v>
      </c>
      <c r="L29" s="320">
        <f>EJECUCIÓN!O68+EJECUCIÓN!O69+EJECUCIÓN!O70</f>
        <v>847400325</v>
      </c>
      <c r="M29" s="343">
        <f t="shared" si="2"/>
        <v>0.36650345072770846</v>
      </c>
    </row>
    <row r="30" spans="1:13">
      <c r="A30" s="319" t="s">
        <v>187</v>
      </c>
      <c r="B30" s="331" t="s">
        <v>189</v>
      </c>
      <c r="C30" s="320">
        <f>EJECUCIÓN!F73+EJECUCIÓN!F74+EJECUCIÓN!F75</f>
        <v>12565168000</v>
      </c>
      <c r="D30" s="320">
        <f>EJECUCIÓN!G73+EJECUCIÓN!G74+EJECUCIÓN!G75</f>
        <v>0</v>
      </c>
      <c r="E30" s="320">
        <f>EJECUCIÓN!H73+EJECUCIÓN!H74+EJECUCIÓN!H75</f>
        <v>0</v>
      </c>
      <c r="F30" s="320">
        <f>EJECUCIÓN!I73+EJECUCIÓN!I74+EJECUCIÓN!I75</f>
        <v>12565168000</v>
      </c>
      <c r="G30" s="320">
        <f>EJECUCIÓN!J73+EJECUCIÓN!J74+EJECUCIÓN!J75</f>
        <v>900141908</v>
      </c>
      <c r="H30" s="320">
        <f>EJECUCIÓN!K73+EJECUCIÓN!K74+EJECUCIÓN!K75</f>
        <v>6215452900</v>
      </c>
      <c r="I30" s="320">
        <f>EJECUCIÓN!L73+EJECUCIÓN!L74+EJECUCIÓN!L75</f>
        <v>900141908</v>
      </c>
      <c r="J30" s="320">
        <f>EJECUCIÓN!M73+EJECUCIÓN!M74+EJECUCIÓN!M75</f>
        <v>6215452900</v>
      </c>
      <c r="K30" s="320">
        <f>EJECUCIÓN!N73+EJECUCIÓN!N74+EJECUCIÓN!N75</f>
        <v>900141908</v>
      </c>
      <c r="L30" s="320">
        <f>EJECUCIÓN!O73+EJECUCIÓN!O74+EJECUCIÓN!O75</f>
        <v>6215452900</v>
      </c>
      <c r="M30" s="343">
        <f t="shared" si="2"/>
        <v>0.49465736550438483</v>
      </c>
    </row>
    <row r="31" spans="1:13">
      <c r="A31" s="319" t="s">
        <v>199</v>
      </c>
      <c r="B31" s="331" t="s">
        <v>201</v>
      </c>
      <c r="C31" s="320">
        <f>EJECUCIÓN!F78+EJECUCIÓN!F79+EJECUCIÓN!F80</f>
        <v>8087997000</v>
      </c>
      <c r="D31" s="320">
        <f>EJECUCIÓN!G78+EJECUCIÓN!G79+EJECUCIÓN!G80</f>
        <v>0</v>
      </c>
      <c r="E31" s="320">
        <f>EJECUCIÓN!H78+EJECUCIÓN!H79+EJECUCIÓN!H80</f>
        <v>-100000000</v>
      </c>
      <c r="F31" s="320">
        <f>EJECUCIÓN!I78+EJECUCIÓN!I79+EJECUCIÓN!I80</f>
        <v>7987997000</v>
      </c>
      <c r="G31" s="320">
        <f>EJECUCIÓN!J78+EJECUCIÓN!J79+EJECUCIÓN!J80</f>
        <v>0</v>
      </c>
      <c r="H31" s="320">
        <f>EJECUCIÓN!K78+EJECUCIÓN!K79+EJECUCIÓN!K80</f>
        <v>7558379361</v>
      </c>
      <c r="I31" s="320">
        <f>EJECUCIÓN!L78+EJECUCIÓN!L79+EJECUCIÓN!L80</f>
        <v>0</v>
      </c>
      <c r="J31" s="320">
        <f>EJECUCIÓN!M78+EJECUCIÓN!M79+EJECUCIÓN!M80</f>
        <v>7535079637</v>
      </c>
      <c r="K31" s="320">
        <f>EJECUCIÓN!N78+EJECUCIÓN!N79+EJECUCIÓN!N80</f>
        <v>1369432</v>
      </c>
      <c r="L31" s="320">
        <f>EJECUCIÓN!O78+EJECUCIÓN!O79+EJECUCIÓN!O80</f>
        <v>7524808784</v>
      </c>
      <c r="M31" s="343">
        <f t="shared" si="2"/>
        <v>0.9433002587507231</v>
      </c>
    </row>
    <row r="32" spans="1:13">
      <c r="A32" s="319" t="s">
        <v>208</v>
      </c>
      <c r="B32" s="331" t="s">
        <v>210</v>
      </c>
      <c r="C32" s="320">
        <f>EJECUCIÓN!F82+EJECUCIÓN!F83+EJECUCIÓN!F84</f>
        <v>7185369000</v>
      </c>
      <c r="D32" s="320">
        <f>EJECUCIÓN!G82+EJECUCIÓN!G83+EJECUCIÓN!G84</f>
        <v>0</v>
      </c>
      <c r="E32" s="320">
        <f>EJECUCIÓN!H82+EJECUCIÓN!H83+EJECUCIÓN!H84</f>
        <v>-1591811575</v>
      </c>
      <c r="F32" s="320">
        <f>EJECUCIÓN!I82+EJECUCIÓN!I83+EJECUCIÓN!I84</f>
        <v>5593557425</v>
      </c>
      <c r="G32" s="320">
        <f>EJECUCIÓN!J82+EJECUCIÓN!J83+EJECUCIÓN!J84</f>
        <v>0</v>
      </c>
      <c r="H32" s="320">
        <f>EJECUCIÓN!K82+EJECUCIÓN!K83+EJECUCIÓN!K84</f>
        <v>4861270986</v>
      </c>
      <c r="I32" s="320">
        <f>EJECUCIÓN!L82+EJECUCIÓN!L83+EJECUCIÓN!L84</f>
        <v>2876123</v>
      </c>
      <c r="J32" s="320">
        <f>EJECUCIÓN!M82+EJECUCIÓN!M83+EJECUCIÓN!M84</f>
        <v>4833310132</v>
      </c>
      <c r="K32" s="320">
        <f>EJECUCIÓN!N82+EJECUCIÓN!N83+EJECUCIÓN!N84</f>
        <v>2876123</v>
      </c>
      <c r="L32" s="320">
        <f>EJECUCIÓN!O82+EJECUCIÓN!O83+EJECUCIÓN!O84</f>
        <v>4833310132</v>
      </c>
      <c r="M32" s="343">
        <f t="shared" si="2"/>
        <v>0.86408519029372444</v>
      </c>
    </row>
    <row r="33" spans="1:13">
      <c r="A33" s="319" t="s">
        <v>220</v>
      </c>
      <c r="B33" s="331" t="s">
        <v>222</v>
      </c>
      <c r="C33" s="320">
        <f>EJECUCIÓN!F87+EJECUCIÓN!F88+EJECUCIÓN!F89</f>
        <v>7329466000</v>
      </c>
      <c r="D33" s="320">
        <f>EJECUCIÓN!G87+EJECUCIÓN!G88+EJECUCIÓN!G89</f>
        <v>0</v>
      </c>
      <c r="E33" s="320">
        <f>EJECUCIÓN!H87+EJECUCIÓN!H88+EJECUCIÓN!H89</f>
        <v>0</v>
      </c>
      <c r="F33" s="320">
        <f>EJECUCIÓN!I87+EJECUCIÓN!I88+EJECUCIÓN!I89</f>
        <v>7329466000</v>
      </c>
      <c r="G33" s="320">
        <f>EJECUCIÓN!J87+EJECUCIÓN!J88+EJECUCIÓN!J89</f>
        <v>429266600</v>
      </c>
      <c r="H33" s="320">
        <f>EJECUCIÓN!K87+EJECUCIÓN!K88+EJECUCIÓN!K89</f>
        <v>3387810800</v>
      </c>
      <c r="I33" s="320">
        <f>EJECUCIÓN!L87+EJECUCIÓN!L88+EJECUCIÓN!L89</f>
        <v>429266600</v>
      </c>
      <c r="J33" s="320">
        <f>EJECUCIÓN!M87+EJECUCIÓN!M88+EJECUCIÓN!M89</f>
        <v>3387810800</v>
      </c>
      <c r="K33" s="320">
        <f>EJECUCIÓN!N87+EJECUCIÓN!N88+EJECUCIÓN!N89</f>
        <v>429266600</v>
      </c>
      <c r="L33" s="320">
        <f>EJECUCIÓN!O87+EJECUCIÓN!O88+EJECUCIÓN!O89</f>
        <v>3387810800</v>
      </c>
      <c r="M33" s="343">
        <f t="shared" si="2"/>
        <v>0.46221795694256579</v>
      </c>
    </row>
    <row r="34" spans="1:13">
      <c r="A34" s="319" t="s">
        <v>232</v>
      </c>
      <c r="B34" s="331" t="s">
        <v>234</v>
      </c>
      <c r="C34" s="320">
        <f>EJECUCIÓN!F92+EJECUCIÓN!F93+EJECUCIÓN!F94</f>
        <v>957874000</v>
      </c>
      <c r="D34" s="320">
        <f>EJECUCIÓN!G92+EJECUCIÓN!G93+EJECUCIÓN!G94</f>
        <v>0</v>
      </c>
      <c r="E34" s="320">
        <f>EJECUCIÓN!H92+EJECUCIÓN!H93+EJECUCIÓN!H94</f>
        <v>0</v>
      </c>
      <c r="F34" s="320">
        <f>EJECUCIÓN!I92+EJECUCIÓN!I93+EJECUCIÓN!I94</f>
        <v>957874000</v>
      </c>
      <c r="G34" s="320">
        <f>EJECUCIÓN!J92+EJECUCIÓN!J93+EJECUCIÓN!J94</f>
        <v>54716500</v>
      </c>
      <c r="H34" s="320">
        <f>EJECUCIÓN!K92+EJECUCIÓN!K93+EJECUCIÓN!K94</f>
        <v>379133800</v>
      </c>
      <c r="I34" s="320">
        <f>EJECUCIÓN!L92+EJECUCIÓN!L93+EJECUCIÓN!L94</f>
        <v>54716500</v>
      </c>
      <c r="J34" s="320">
        <f>EJECUCIÓN!M92+EJECUCIÓN!M93+EJECUCIÓN!M94</f>
        <v>379133800</v>
      </c>
      <c r="K34" s="320">
        <f>EJECUCIÓN!N92+EJECUCIÓN!N93+EJECUCIÓN!N94</f>
        <v>54716500</v>
      </c>
      <c r="L34" s="320">
        <f>EJECUCIÓN!O92+EJECUCIÓN!O93+EJECUCIÓN!O94</f>
        <v>379133800</v>
      </c>
      <c r="M34" s="343">
        <f t="shared" si="2"/>
        <v>0.39580759055992748</v>
      </c>
    </row>
    <row r="35" spans="1:13">
      <c r="A35" s="319" t="s">
        <v>241</v>
      </c>
      <c r="B35" s="331" t="s">
        <v>243</v>
      </c>
      <c r="C35" s="320">
        <f>EJECUCIÓN!F97+EJECUCIÓN!F98+EJECUCIÓN!F99</f>
        <v>5432095000</v>
      </c>
      <c r="D35" s="320">
        <f>EJECUCIÓN!G97+EJECUCIÓN!G98+EJECUCIÓN!G99</f>
        <v>0</v>
      </c>
      <c r="E35" s="320">
        <f>EJECUCIÓN!H97+EJECUCIÓN!H98+EJECUCIÓN!H99</f>
        <v>0</v>
      </c>
      <c r="F35" s="320">
        <f>EJECUCIÓN!I97+EJECUCIÓN!I98+EJECUCIÓN!I99</f>
        <v>5432095000</v>
      </c>
      <c r="G35" s="320">
        <f>EJECUCIÓN!J97+EJECUCIÓN!J98+EJECUCIÓN!J99</f>
        <v>321961400</v>
      </c>
      <c r="H35" s="320">
        <f>EJECUCIÓN!K97+EJECUCIÓN!K98+EJECUCIÓN!K99</f>
        <v>2540926400</v>
      </c>
      <c r="I35" s="320">
        <f>EJECUCIÓN!L97+EJECUCIÓN!L98+EJECUCIÓN!L99</f>
        <v>321961400</v>
      </c>
      <c r="J35" s="320">
        <f>EJECUCIÓN!M97+EJECUCIÓN!M98+EJECUCIÓN!M99</f>
        <v>2540926400</v>
      </c>
      <c r="K35" s="320">
        <f>EJECUCIÓN!N97+EJECUCIÓN!N98+EJECUCIÓN!N99</f>
        <v>321961400</v>
      </c>
      <c r="L35" s="320">
        <f>EJECUCIÓN!O97+EJECUCIÓN!O98+EJECUCIÓN!O99</f>
        <v>2540926400</v>
      </c>
      <c r="M35" s="343">
        <f t="shared" si="2"/>
        <v>0.46776177515304868</v>
      </c>
    </row>
    <row r="36" spans="1:13">
      <c r="A36" s="319" t="s">
        <v>255</v>
      </c>
      <c r="B36" s="331" t="s">
        <v>257</v>
      </c>
      <c r="C36" s="320">
        <f>EJECUCIÓN!F102</f>
        <v>96799000</v>
      </c>
      <c r="D36" s="320">
        <f>EJECUCIÓN!G102</f>
        <v>0</v>
      </c>
      <c r="E36" s="320">
        <f>EJECUCIÓN!H102</f>
        <v>0</v>
      </c>
      <c r="F36" s="320">
        <f>EJECUCIÓN!I102</f>
        <v>96799000</v>
      </c>
      <c r="G36" s="320">
        <f>EJECUCIÓN!J102</f>
        <v>1550485</v>
      </c>
      <c r="H36" s="320">
        <f>EJECUCIÓN!K102</f>
        <v>11254644</v>
      </c>
      <c r="I36" s="320">
        <f>EJECUCIÓN!L102</f>
        <v>1968415</v>
      </c>
      <c r="J36" s="320">
        <f>EJECUCIÓN!M102</f>
        <v>9894748</v>
      </c>
      <c r="K36" s="320">
        <f>EJECUCIÓN!N102</f>
        <v>1897878</v>
      </c>
      <c r="L36" s="320">
        <f>EJECUCIÓN!O102</f>
        <v>9476818</v>
      </c>
      <c r="M36" s="343">
        <f t="shared" si="2"/>
        <v>0.10221952706122997</v>
      </c>
    </row>
    <row r="37" spans="1:13">
      <c r="A37" s="319" t="s">
        <v>258</v>
      </c>
      <c r="B37" s="331" t="s">
        <v>260</v>
      </c>
      <c r="C37" s="320">
        <f>EJECUCIÓN!F103</f>
        <v>382816000</v>
      </c>
      <c r="D37" s="320">
        <f>EJECUCIÓN!G103</f>
        <v>0</v>
      </c>
      <c r="E37" s="320">
        <f>EJECUCIÓN!H103</f>
        <v>0</v>
      </c>
      <c r="F37" s="320">
        <f>EJECUCIÓN!I103</f>
        <v>382816000</v>
      </c>
      <c r="G37" s="320">
        <f>EJECUCIÓN!J103</f>
        <v>0</v>
      </c>
      <c r="H37" s="320">
        <f>EJECUCIÓN!K103</f>
        <v>0</v>
      </c>
      <c r="I37" s="320">
        <f>EJECUCIÓN!L103</f>
        <v>0</v>
      </c>
      <c r="J37" s="320">
        <f>EJECUCIÓN!M103</f>
        <v>0</v>
      </c>
      <c r="K37" s="320">
        <f>EJECUCIÓN!N103</f>
        <v>0</v>
      </c>
      <c r="L37" s="320">
        <f>EJECUCIÓN!O103</f>
        <v>0</v>
      </c>
      <c r="M37" s="343">
        <f t="shared" si="2"/>
        <v>0</v>
      </c>
    </row>
    <row r="38" spans="1:13">
      <c r="A38" s="319" t="s">
        <v>261</v>
      </c>
      <c r="B38" s="331" t="s">
        <v>263</v>
      </c>
      <c r="C38" s="320">
        <f>EJECUCIÓN!F104</f>
        <v>284402000</v>
      </c>
      <c r="D38" s="320">
        <f>EJECUCIÓN!G104</f>
        <v>0</v>
      </c>
      <c r="E38" s="320">
        <f>EJECUCIÓN!H104</f>
        <v>0</v>
      </c>
      <c r="F38" s="320">
        <f>EJECUCIÓN!I104</f>
        <v>284402000</v>
      </c>
      <c r="G38" s="320">
        <f>EJECUCIÓN!J104</f>
        <v>15489585</v>
      </c>
      <c r="H38" s="320">
        <f>EJECUCIÓN!K104</f>
        <v>123290497</v>
      </c>
      <c r="I38" s="320">
        <f>EJECUCIÓN!L104</f>
        <v>15489585</v>
      </c>
      <c r="J38" s="320">
        <f>EJECUCIÓN!M104</f>
        <v>123290497</v>
      </c>
      <c r="K38" s="320">
        <f>EJECUCIÓN!N104</f>
        <v>15489585</v>
      </c>
      <c r="L38" s="320">
        <f>EJECUCIÓN!O104</f>
        <v>123290497</v>
      </c>
      <c r="M38" s="343">
        <f t="shared" si="2"/>
        <v>0.43350784101377626</v>
      </c>
    </row>
    <row r="39" spans="1:13">
      <c r="A39" s="319" t="s">
        <v>264</v>
      </c>
      <c r="B39" s="331" t="s">
        <v>2033</v>
      </c>
      <c r="C39" s="320">
        <f>EJECUCIÓN!F106</f>
        <v>9373233000</v>
      </c>
      <c r="D39" s="320">
        <f>EJECUCIÓN!G106</f>
        <v>0</v>
      </c>
      <c r="E39" s="320">
        <f>EJECUCIÓN!H106</f>
        <v>-32525710</v>
      </c>
      <c r="F39" s="320">
        <f>EJECUCIÓN!I106</f>
        <v>9340707290</v>
      </c>
      <c r="G39" s="320">
        <f>EJECUCIÓN!J106</f>
        <v>50411589</v>
      </c>
      <c r="H39" s="320">
        <f>EJECUCIÓN!K106</f>
        <v>8010232926</v>
      </c>
      <c r="I39" s="320">
        <f>EJECUCIÓN!L106</f>
        <v>255780102</v>
      </c>
      <c r="J39" s="320">
        <f>EJECUCIÓN!M106</f>
        <v>7901098325</v>
      </c>
      <c r="K39" s="320">
        <f>EJECUCIÓN!N106</f>
        <v>777797362</v>
      </c>
      <c r="L39" s="320">
        <f>EJECUCIÓN!O106</f>
        <v>2890676491</v>
      </c>
      <c r="M39" s="343">
        <f t="shared" si="2"/>
        <v>0.84587794903484226</v>
      </c>
    </row>
    <row r="40" spans="1:13">
      <c r="A40" s="319" t="s">
        <v>306</v>
      </c>
      <c r="B40" s="331" t="s">
        <v>82</v>
      </c>
      <c r="C40" s="320">
        <f>EJECUCIÓN!F140+EJECUCIÓN!F141+EJECUCIÓN!F142+EJECUCIÓN!F143+EJECUCIÓN!F144+EJECUCIÓN!F145+EJECUCIÓN!F147+EJECUCIÓN!F146+EJECUCIÓN!F148+EJECUCIÓN!F150+EJECUCIÓN!F151+EJECUCIÓN!F152+EJECUCIÓN!F153+EJECUCIÓN!F154+EJECUCIÓN!F155</f>
        <v>55574473000</v>
      </c>
      <c r="D40" s="320">
        <f>EJECUCIÓN!G140+EJECUCIÓN!G141+EJECUCIÓN!G142+EJECUCIÓN!G143+EJECUCIÓN!G144+EJECUCIÓN!G145+EJECUCIÓN!G147+EJECUCIÓN!G146+EJECUCIÓN!G148+EJECUCIÓN!G150+EJECUCIÓN!G151+EJECUCIÓN!G152+EJECUCIÓN!G153+EJECUCIÓN!G154+EJECUCIÓN!G155</f>
        <v>53182890</v>
      </c>
      <c r="E40" s="320">
        <f>EJECUCIÓN!H140+EJECUCIÓN!H141+EJECUCIÓN!H142+EJECUCIÓN!H143+EJECUCIÓN!H144+EJECUCIÓN!H145+EJECUCIÓN!H147+EJECUCIÓN!H146+EJECUCIÓN!H148+EJECUCIÓN!H150+EJECUCIÓN!H151+EJECUCIÓN!H152+EJECUCIÓN!H153+EJECUCIÓN!H154+EJECUCIÓN!H155</f>
        <v>12465978912</v>
      </c>
      <c r="F40" s="320">
        <f>EJECUCIÓN!I140+EJECUCIÓN!I141+EJECUCIÓN!I142+EJECUCIÓN!I143+EJECUCIÓN!I144+EJECUCIÓN!I145+EJECUCIÓN!I147+EJECUCIÓN!I146+EJECUCIÓN!I148+EJECUCIÓN!I150+EJECUCIÓN!I151+EJECUCIÓN!I152+EJECUCIÓN!I153+EJECUCIÓN!I154+EJECUCIÓN!I155</f>
        <v>68040451912</v>
      </c>
      <c r="G40" s="320">
        <f>EJECUCIÓN!J140+EJECUCIÓN!J141+EJECUCIÓN!J142+EJECUCIÓN!J143+EJECUCIÓN!J144+EJECUCIÓN!J145+EJECUCIÓN!J147+EJECUCIÓN!J146+EJECUCIÓN!J148+EJECUCIÓN!J150+EJECUCIÓN!J151+EJECUCIÓN!J152+EJECUCIÓN!J153+EJECUCIÓN!J154+EJECUCIÓN!J155</f>
        <v>0</v>
      </c>
      <c r="H40" s="320">
        <f>EJECUCIÓN!K140+EJECUCIÓN!K141+EJECUCIÓN!K142+EJECUCIÓN!K143+EJECUCIÓN!K144+EJECUCIÓN!K145+EJECUCIÓN!K147+EJECUCIÓN!K146+EJECUCIÓN!K148+EJECUCIÓN!K150+EJECUCIÓN!K151+EJECUCIÓN!K152+EJECUCIÓN!K153+EJECUCIÓN!K154+EJECUCIÓN!K155</f>
        <v>67298701053</v>
      </c>
      <c r="I40" s="320">
        <f>EJECUCIÓN!L140+EJECUCIÓN!L141+EJECUCIÓN!L142+EJECUCIÓN!L143+EJECUCIÓN!L144+EJECUCIÓN!L145+EJECUCIÓN!L147+EJECUCIÓN!L146+EJECUCIÓN!L148+EJECUCIÓN!L150+EJECUCIÓN!L151+EJECUCIÓN!L152+EJECUCIÓN!L153+EJECUCIÓN!L154+EJECUCIÓN!L155</f>
        <v>8496083193</v>
      </c>
      <c r="J40" s="320">
        <f>EJECUCIÓN!M140+EJECUCIÓN!M141+EJECUCIÓN!M142+EJECUCIÓN!M143+EJECUCIÓN!M144+EJECUCIÓN!M145+EJECUCIÓN!M147+EJECUCIÓN!M146+EJECUCIÓN!M148+EJECUCIÓN!M150+EJECUCIÓN!M151+EJECUCIÓN!M152+EJECUCIÓN!M153+EJECUCIÓN!M154+EJECUCIÓN!M155</f>
        <v>62277707832</v>
      </c>
      <c r="K40" s="320">
        <f>EJECUCIÓN!N140+EJECUCIÓN!N141+EJECUCIÓN!N142+EJECUCIÓN!N143+EJECUCIÓN!N144+EJECUCIÓN!N145+EJECUCIÓN!N147+EJECUCIÓN!N146+EJECUCIÓN!N148+EJECUCIÓN!N150+EJECUCIÓN!N151+EJECUCIÓN!N152+EJECUCIÓN!N153+EJECUCIÓN!N154+EJECUCIÓN!N155</f>
        <v>5794837848</v>
      </c>
      <c r="L40" s="320">
        <f>EJECUCIÓN!O140+EJECUCIÓN!O141+EJECUCIÓN!O142+EJECUCIÓN!O143+EJECUCIÓN!O144+EJECUCIÓN!O145+EJECUCIÓN!O147+EJECUCIÓN!O146+EJECUCIÓN!O148+EJECUCIÓN!O150+EJECUCIÓN!O151+EJECUCIÓN!O152+EJECUCIÓN!O153+EJECUCIÓN!O154+EJECUCIÓN!O155</f>
        <v>37718487754</v>
      </c>
      <c r="M40" s="343">
        <f t="shared" si="2"/>
        <v>0.91530414748783218</v>
      </c>
    </row>
    <row r="41" spans="1:13">
      <c r="A41" s="319" t="s">
        <v>342</v>
      </c>
      <c r="B41" s="331" t="s">
        <v>344</v>
      </c>
      <c r="C41" s="320">
        <f>EJECUCIÓN!F158+EJECUCIÓN!F159+EJECUCIÓN!F160+EJECUCIÓN!F161+EJECUCIÓN!F162+EJECUCIÓN!F163+EJECUCIÓN!F164+EJECUCIÓN!F165+EJECUCIÓN!F167+EJECUCIÓN!F168+EJECUCIÓN!F169+EJECUCIÓN!F170+EJECUCIÓN!F171+EJECUCIÓN!F172</f>
        <v>1504837000</v>
      </c>
      <c r="D41" s="320">
        <f>EJECUCIÓN!G158+EJECUCIÓN!G159+EJECUCIÓN!G160+EJECUCIÓN!G161+EJECUCIÓN!G162+EJECUCIÓN!G163+EJECUCIÓN!G164+EJECUCIÓN!G165+EJECUCIÓN!G167+EJECUCIÓN!G168+EJECUCIÓN!G169+EJECUCIÓN!G170+EJECUCIÓN!G171+EJECUCIÓN!G172</f>
        <v>0</v>
      </c>
      <c r="E41" s="320">
        <f>EJECUCIÓN!H158+EJECUCIÓN!H159+EJECUCIÓN!H160+EJECUCIÓN!H161+EJECUCIÓN!H162+EJECUCIÓN!H163+EJECUCIÓN!H164+EJECUCIÓN!H165+EJECUCIÓN!H167+EJECUCIÓN!H168+EJECUCIÓN!H169+EJECUCIÓN!H170+EJECUCIÓN!H171+EJECUCIÓN!H172</f>
        <v>88649874</v>
      </c>
      <c r="F41" s="320">
        <f>EJECUCIÓN!I158+EJECUCIÓN!I159+EJECUCIÓN!I160+EJECUCIÓN!I161+EJECUCIÓN!I162+EJECUCIÓN!I163+EJECUCIÓN!I164+EJECUCIÓN!I165+EJECUCIÓN!I167+EJECUCIÓN!I168+EJECUCIÓN!I169+EJECUCIÓN!I170+EJECUCIÓN!I171+EJECUCIÓN!I172</f>
        <v>1593486874</v>
      </c>
      <c r="G41" s="320">
        <f>EJECUCIÓN!J158+EJECUCIÓN!J159+EJECUCIÓN!J160+EJECUCIÓN!J161+EJECUCIÓN!J162+EJECUCIÓN!J163+EJECUCIÓN!J164+EJECUCIÓN!J165+EJECUCIÓN!J167+EJECUCIÓN!J168+EJECUCIÓN!J169+EJECUCIÓN!J170+EJECUCIÓN!J171+EJECUCIÓN!J172</f>
        <v>0</v>
      </c>
      <c r="H41" s="320">
        <f>EJECUCIÓN!K158+EJECUCIÓN!K159+EJECUCIÓN!K160+EJECUCIÓN!K161+EJECUCIÓN!K162+EJECUCIÓN!K163+EJECUCIÓN!K164+EJECUCIÓN!K165+EJECUCIÓN!K167+EJECUCIÓN!K168+EJECUCIÓN!K169+EJECUCIÓN!K170+EJECUCIÓN!K171+EJECUCIÓN!K172</f>
        <v>1590462991</v>
      </c>
      <c r="I41" s="320">
        <f>EJECUCIÓN!L158+EJECUCIÓN!L159+EJECUCIÓN!L160+EJECUCIÓN!L161+EJECUCIÓN!L162+EJECUCIÓN!L163+EJECUCIÓN!L164+EJECUCIÓN!L165+EJECUCIÓN!L167+EJECUCIÓN!L168+EJECUCIÓN!L169+EJECUCIÓN!L170+EJECUCIÓN!L171+EJECUCIÓN!L172</f>
        <v>0</v>
      </c>
      <c r="J41" s="320">
        <f>EJECUCIÓN!M158+EJECUCIÓN!M159+EJECUCIÓN!M160+EJECUCIÓN!M161+EJECUCIÓN!M162+EJECUCIÓN!M163+EJECUCIÓN!M164+EJECUCIÓN!M165+EJECUCIÓN!M167+EJECUCIÓN!M168+EJECUCIÓN!M169+EJECUCIÓN!M170+EJECUCIÓN!M171+EJECUCIÓN!M172</f>
        <v>1479580895</v>
      </c>
      <c r="K41" s="320">
        <f>EJECUCIÓN!N158+EJECUCIÓN!N159+EJECUCIÓN!N160+EJECUCIÓN!N161+EJECUCIÓN!N162+EJECUCIÓN!N163+EJECUCIÓN!N164+EJECUCIÓN!N165+EJECUCIÓN!N167+EJECUCIÓN!N168+EJECUCIÓN!N169+EJECUCIÓN!N170+EJECUCIÓN!N171+EJECUCIÓN!N172</f>
        <v>9593140</v>
      </c>
      <c r="L41" s="320">
        <f>EJECUCIÓN!O158+EJECUCIÓN!O159+EJECUCIÓN!O160+EJECUCIÓN!O161+EJECUCIÓN!O162+EJECUCIÓN!O163+EJECUCIÓN!O164+EJECUCIÓN!O165+EJECUCIÓN!O167+EJECUCIÓN!O168+EJECUCIÓN!O169+EJECUCIÓN!O170+EJECUCIÓN!O171+EJECUCIÓN!O172</f>
        <v>9667522</v>
      </c>
      <c r="M41" s="343">
        <f t="shared" si="2"/>
        <v>0.92851778018473974</v>
      </c>
    </row>
    <row r="42" spans="1:13">
      <c r="A42" s="319" t="s">
        <v>379</v>
      </c>
      <c r="B42" s="331" t="s">
        <v>117</v>
      </c>
      <c r="C42" s="320">
        <f>EJECUCIÓN!F176+EJECUCIÓN!F177+EJECUCIÓN!F178+EJECUCIÓN!F179+EJECUCIÓN!F180+EJECUCIÓN!F181+EJECUCIÓN!F182+EJECUCIÓN!F183+EJECUCIÓN!F185+EJECUCIÓN!F186+EJECUCIÓN!F187+EJECUCIÓN!F188+EJECUCIÓN!F189+EJECUCIÓN!F190</f>
        <v>4778651000</v>
      </c>
      <c r="D42" s="320">
        <f>EJECUCIÓN!G176+EJECUCIÓN!G177+EJECUCIÓN!G178+EJECUCIÓN!G179+EJECUCIÓN!G180+EJECUCIÓN!G181+EJECUCIÓN!G182+EJECUCIÓN!G183+EJECUCIÓN!G185+EJECUCIÓN!G186+EJECUCIÓN!G187+EJECUCIÓN!G188+EJECUCIÓN!G189+EJECUCIÓN!G190</f>
        <v>4318140</v>
      </c>
      <c r="E42" s="320">
        <f>EJECUCIÓN!H176+EJECUCIÓN!H177+EJECUCIÓN!H178+EJECUCIÓN!H179+EJECUCIÓN!H180+EJECUCIÓN!H181+EJECUCIÓN!H182+EJECUCIÓN!H183+EJECUCIÓN!H185+EJECUCIÓN!H186+EJECUCIÓN!H187+EJECUCIÓN!H188+EJECUCIÓN!H189+EJECUCIÓN!H190</f>
        <v>78431792</v>
      </c>
      <c r="F42" s="320">
        <f>EJECUCIÓN!I176+EJECUCIÓN!I177+EJECUCIÓN!I178+EJECUCIÓN!I179+EJECUCIÓN!I180+EJECUCIÓN!I181+EJECUCIÓN!I182+EJECUCIÓN!I183+EJECUCIÓN!I185+EJECUCIÓN!I186+EJECUCIÓN!I187+EJECUCIÓN!I188+EJECUCIÓN!I189+EJECUCIÓN!I190</f>
        <v>4857082792</v>
      </c>
      <c r="G42" s="320">
        <f>EJECUCIÓN!J176+EJECUCIÓN!J177+EJECUCIÓN!J178+EJECUCIÓN!J179+EJECUCIÓN!J180+EJECUCIÓN!J181+EJECUCIÓN!J182+EJECUCIÓN!J183+EJECUCIÓN!J185+EJECUCIÓN!J186+EJECUCIÓN!J187+EJECUCIÓN!J188+EJECUCIÓN!J189+EJECUCIÓN!J190</f>
        <v>0</v>
      </c>
      <c r="H42" s="320">
        <f>EJECUCIÓN!K176+EJECUCIÓN!K177+EJECUCIÓN!K178+EJECUCIÓN!K179+EJECUCIÓN!K180+EJECUCIÓN!K181+EJECUCIÓN!K182+EJECUCIÓN!K183+EJECUCIÓN!K185+EJECUCIÓN!K186+EJECUCIÓN!K187+EJECUCIÓN!K188+EJECUCIÓN!K189+EJECUCIÓN!K190</f>
        <v>4847319269</v>
      </c>
      <c r="I42" s="320">
        <f>EJECUCIÓN!L176+EJECUCIÓN!L177+EJECUCIÓN!L178+EJECUCIÓN!L179+EJECUCIÓN!L180+EJECUCIÓN!L181+EJECUCIÓN!L182+EJECUCIÓN!L183+EJECUCIÓN!L185+EJECUCIÓN!L186+EJECUCIÓN!L187+EJECUCIÓN!L188+EJECUCIÓN!L189+EJECUCIÓN!L190</f>
        <v>520583632</v>
      </c>
      <c r="J42" s="320">
        <f>EJECUCIÓN!M176+EJECUCIÓN!M177+EJECUCIÓN!M178+EJECUCIÓN!M179+EJECUCIÓN!M180+EJECUCIÓN!M181+EJECUCIÓN!M182+EJECUCIÓN!M183+EJECUCIÓN!M185+EJECUCIÓN!M186+EJECUCIÓN!M187+EJECUCIÓN!M188+EJECUCIÓN!M189+EJECUCIÓN!M190</f>
        <v>4468551764</v>
      </c>
      <c r="K42" s="320">
        <f>EJECUCIÓN!N176+EJECUCIÓN!N177+EJECUCIÓN!N178+EJECUCIÓN!N179+EJECUCIÓN!N180+EJECUCIÓN!N181+EJECUCIÓN!N182+EJECUCIÓN!N183+EJECUCIÓN!N185+EJECUCIÓN!N186+EJECUCIÓN!N187+EJECUCIÓN!N188+EJECUCIÓN!N189+EJECUCIÓN!N190</f>
        <v>14773629</v>
      </c>
      <c r="L42" s="320">
        <f>EJECUCIÓN!O176+EJECUCIÓN!O177+EJECUCIÓN!O178+EJECUCIÓN!O179+EJECUCIÓN!O180+EJECUCIÓN!O181+EJECUCIÓN!O182+EJECUCIÓN!O183+EJECUCIÓN!O185+EJECUCIÓN!O186+EJECUCIÓN!O187+EJECUCIÓN!O188+EJECUCIÓN!O189+EJECUCIÓN!O190</f>
        <v>1368204578</v>
      </c>
      <c r="M42" s="343">
        <f t="shared" si="2"/>
        <v>0.92000732854709799</v>
      </c>
    </row>
    <row r="43" spans="1:13">
      <c r="A43" s="319" t="s">
        <v>413</v>
      </c>
      <c r="B43" s="331" t="s">
        <v>126</v>
      </c>
      <c r="C43" s="320">
        <f>EJECUCIÓN!F193+EJECUCIÓN!F194+EJECUCIÓN!F195+EJECUCIÓN!F196+EJECUCIÓN!F197+EJECUCIÓN!F198+EJECUCIÓN!F199+EJECUCIÓN!F200+EJECUCIÓN!F202+EJECUCIÓN!F203+EJECUCIÓN!F204+EJECUCIÓN!F205+EJECUCIÓN!F206+EJECUCIÓN!F207</f>
        <v>3063822000</v>
      </c>
      <c r="D43" s="320">
        <f>EJECUCIÓN!G193+EJECUCIÓN!G194+EJECUCIÓN!G195+EJECUCIÓN!G196+EJECUCIÓN!G197+EJECUCIÓN!G198+EJECUCIÓN!G199+EJECUCIÓN!G200+EJECUCIÓN!G202+EJECUCIÓN!G203+EJECUCIÓN!G204+EJECUCIÓN!G205+EJECUCIÓN!G206+EJECUCIÓN!G207</f>
        <v>2727550</v>
      </c>
      <c r="E43" s="320">
        <f>EJECUCIÓN!H193+EJECUCIÓN!H194+EJECUCIÓN!H195+EJECUCIÓN!H196+EJECUCIÓN!H197+EJECUCIÓN!H198+EJECUCIÓN!H199+EJECUCIÓN!H200+EJECUCIÓN!H202+EJECUCIÓN!H203+EJECUCIÓN!H204+EJECUCIÓN!H205+EJECUCIÓN!H206+EJECUCIÓN!H207</f>
        <v>65413348</v>
      </c>
      <c r="F43" s="320">
        <f>EJECUCIÓN!I193+EJECUCIÓN!I194+EJECUCIÓN!I195+EJECUCIÓN!I196+EJECUCIÓN!I197+EJECUCIÓN!I198+EJECUCIÓN!I199+EJECUCIÓN!I200+EJECUCIÓN!I202+EJECUCIÓN!I203+EJECUCIÓN!I204+EJECUCIÓN!I205+EJECUCIÓN!I206+EJECUCIÓN!I207</f>
        <v>3129235348</v>
      </c>
      <c r="G43" s="320">
        <f>EJECUCIÓN!J193+EJECUCIÓN!J194+EJECUCIÓN!J195+EJECUCIÓN!J196+EJECUCIÓN!J197+EJECUCIÓN!J198+EJECUCIÓN!J199+EJECUCIÓN!J200+EJECUCIÓN!J202+EJECUCIÓN!J203+EJECUCIÓN!J204+EJECUCIÓN!J205+EJECUCIÓN!J206+EJECUCIÓN!J207</f>
        <v>0</v>
      </c>
      <c r="H43" s="320">
        <f>EJECUCIÓN!K193+EJECUCIÓN!K194+EJECUCIÓN!K195+EJECUCIÓN!K196+EJECUCIÓN!K197+EJECUCIÓN!K198+EJECUCIÓN!K199+EJECUCIÓN!K200+EJECUCIÓN!K202+EJECUCIÓN!K203+EJECUCIÓN!K204+EJECUCIÓN!K205+EJECUCIÓN!K206+EJECUCIÓN!K207</f>
        <v>3122428542</v>
      </c>
      <c r="I43" s="320">
        <f>EJECUCIÓN!L193+EJECUCIÓN!L194+EJECUCIÓN!L195+EJECUCIÓN!L196+EJECUCIÓN!L197+EJECUCIÓN!L198+EJECUCIÓN!L199+EJECUCIÓN!L200+EJECUCIÓN!L202+EJECUCIÓN!L203+EJECUCIÓN!L204+EJECUCIÓN!L205+EJECUCIÓN!L206+EJECUCIÓN!L207</f>
        <v>328881254</v>
      </c>
      <c r="J43" s="320">
        <f>EJECUCIÓN!M193+EJECUCIÓN!M194+EJECUCIÓN!M195+EJECUCIÓN!M196+EJECUCIÓN!M197+EJECUCIÓN!M198+EJECUCIÓN!M199+EJECUCIÓN!M200+EJECUCIÓN!M202+EJECUCIÓN!M203+EJECUCIÓN!M204+EJECUCIÓN!M205+EJECUCIÓN!M206+EJECUCIÓN!M207</f>
        <v>2861581773</v>
      </c>
      <c r="K43" s="320">
        <f>EJECUCIÓN!N193+EJECUCIÓN!N194+EJECUCIÓN!N195+EJECUCIÓN!N196+EJECUCIÓN!N197+EJECUCIÓN!N198+EJECUCIÓN!N199+EJECUCIÓN!N200+EJECUCIÓN!N202+EJECUCIÓN!N203+EJECUCIÓN!N204+EJECUCIÓN!N205+EJECUCIÓN!N206+EJECUCIÓN!N207</f>
        <v>9583167</v>
      </c>
      <c r="L43" s="320">
        <f>EJECUCIÓN!O193+EJECUCIÓN!O194+EJECUCIÓN!O195+EJECUCIÓN!O196+EJECUCIÓN!O197+EJECUCIÓN!O198+EJECUCIÓN!O199+EJECUCIÓN!O200+EJECUCIÓN!O202+EJECUCIÓN!O203+EJECUCIÓN!O204+EJECUCIÓN!O205+EJECUCIÓN!O206+EJECUCIÓN!O207</f>
        <v>864213317</v>
      </c>
      <c r="M43" s="343">
        <f t="shared" si="2"/>
        <v>0.91446678014452754</v>
      </c>
    </row>
    <row r="44" spans="1:13">
      <c r="A44" s="319" t="s">
        <v>451</v>
      </c>
      <c r="B44" s="331" t="s">
        <v>168</v>
      </c>
      <c r="C44" s="320">
        <f>EJECUCIÓN!F212+EJECUCIÓN!F213+EJECUCIÓN!F214+EJECUCIÓN!F215+EJECUCIÓN!F216+EJECUCIÓN!F217+EJECUCIÓN!F218+EJECUCIÓN!F219+EJECUCIÓN!F221+EJECUCIÓN!F222+EJECUCIÓN!F223+EJECUCIÓN!F224+EJECUCIÓN!F225+EJECUCIÓN!F226</f>
        <v>3852013000</v>
      </c>
      <c r="D44" s="320">
        <f>EJECUCIÓN!G212+EJECUCIÓN!G213+EJECUCIÓN!G214+EJECUCIÓN!G215+EJECUCIÓN!G216+EJECUCIÓN!G217+EJECUCIÓN!G218+EJECUCIÓN!G219+EJECUCIÓN!G221+EJECUCIÓN!G222+EJECUCIÓN!G223+EJECUCIÓN!G224+EJECUCIÓN!G225+EJECUCIÓN!G226</f>
        <v>8606460</v>
      </c>
      <c r="E44" s="320">
        <f>EJECUCIÓN!H212+EJECUCIÓN!H213+EJECUCIÓN!H214+EJECUCIÓN!H215+EJECUCIÓN!H216+EJECUCIÓN!H217+EJECUCIÓN!H218+EJECUCIÓN!H219+EJECUCIÓN!H221+EJECUCIÓN!H222+EJECUCIÓN!H223+EJECUCIÓN!H224+EJECUCIÓN!H225+EJECUCIÓN!H226</f>
        <v>311899740</v>
      </c>
      <c r="F44" s="320">
        <f>EJECUCIÓN!I212+EJECUCIÓN!I213+EJECUCIÓN!I214+EJECUCIÓN!I215+EJECUCIÓN!I216+EJECUCIÓN!I217+EJECUCIÓN!I218+EJECUCIÓN!I219+EJECUCIÓN!I221+EJECUCIÓN!I222+EJECUCIÓN!I223+EJECUCIÓN!I224+EJECUCIÓN!I225+EJECUCIÓN!I226</f>
        <v>4163912740</v>
      </c>
      <c r="G44" s="320">
        <f>EJECUCIÓN!J212+EJECUCIÓN!J213+EJECUCIÓN!J214+EJECUCIÓN!J215+EJECUCIÓN!J216+EJECUCIÓN!J217+EJECUCIÓN!J218+EJECUCIÓN!J219+EJECUCIÓN!J221+EJECUCIÓN!J222+EJECUCIÓN!J223+EJECUCIÓN!J224+EJECUCIÓN!J225+EJECUCIÓN!J226</f>
        <v>272000000</v>
      </c>
      <c r="H44" s="320">
        <f>EJECUCIÓN!K212+EJECUCIÓN!K213+EJECUCIÓN!K214+EJECUCIÓN!K215+EJECUCIÓN!K216+EJECUCIÓN!K217+EJECUCIÓN!K218+EJECUCIÓN!K219+EJECUCIÓN!K221+EJECUCIÓN!K222+EJECUCIÓN!K223+EJECUCIÓN!K224+EJECUCIÓN!K225+EJECUCIÓN!K226</f>
        <v>3977610060</v>
      </c>
      <c r="I44" s="320">
        <f>EJECUCIÓN!L212+EJECUCIÓN!L213+EJECUCIÓN!L214+EJECUCIÓN!L215+EJECUCIÓN!L216+EJECUCIÓN!L217+EJECUCIÓN!L218+EJECUCIÓN!L219+EJECUCIÓN!L221+EJECUCIÓN!L222+EJECUCIÓN!L223+EJECUCIÓN!L224+EJECUCIÓN!L225+EJECUCIÓN!L226</f>
        <v>150290800</v>
      </c>
      <c r="J44" s="320">
        <f>EJECUCIÓN!M212+EJECUCIÓN!M213+EJECUCIÓN!M214+EJECUCIÓN!M215+EJECUCIÓN!M216+EJECUCIÓN!M217+EJECUCIÓN!M218+EJECUCIÓN!M219+EJECUCIÓN!M221+EJECUCIÓN!M222+EJECUCIÓN!M223+EJECUCIÓN!M224+EJECUCIÓN!M225+EJECUCIÓN!M226</f>
        <v>2031347340</v>
      </c>
      <c r="K44" s="320">
        <f>EJECUCIÓN!N212+EJECUCIÓN!N213+EJECUCIÓN!N214+EJECUCIÓN!N215+EJECUCIÓN!N216+EJECUCIÓN!N217+EJECUCIÓN!N218+EJECUCIÓN!N219+EJECUCIÓN!N221+EJECUCIÓN!N222+EJECUCIÓN!N223+EJECUCIÓN!N224+EJECUCIÓN!N225+EJECUCIÓN!N226</f>
        <v>150290800</v>
      </c>
      <c r="L44" s="320">
        <f>EJECUCIÓN!O212+EJECUCIÓN!O213+EJECUCIÓN!O214+EJECUCIÓN!O215+EJECUCIÓN!O216+EJECUCIÓN!O217+EJECUCIÓN!O218+EJECUCIÓN!O219+EJECUCIÓN!O221+EJECUCIÓN!O222+EJECUCIÓN!O223+EJECUCIÓN!O224+EJECUCIÓN!O225+EJECUCIÓN!O226</f>
        <v>2031347340</v>
      </c>
      <c r="M44" s="343">
        <f t="shared" si="2"/>
        <v>0.48784579957360008</v>
      </c>
    </row>
    <row r="45" spans="1:13">
      <c r="A45" s="319" t="s">
        <v>485</v>
      </c>
      <c r="B45" s="331" t="s">
        <v>177</v>
      </c>
      <c r="C45" s="320">
        <f>EJECUCIÓN!F229+EJECUCIÓN!F230+EJECUCIÓN!F231+EJECUCIÓN!F232+EJECUCIÓN!F233+EJECUCIÓN!F234+EJECUCIÓN!F235+EJECUCIÓN!F236+EJECUCIÓN!F238+EJECUCIÓN!F239+EJECUCIÓN!F240+EJECUCIÓN!F241+EJECUCIÓN!F242+EJECUCIÓN!F243</f>
        <v>2708285000</v>
      </c>
      <c r="D45" s="320">
        <f>EJECUCIÓN!G229+EJECUCIÓN!G230+EJECUCIÓN!G231+EJECUCIÓN!G232+EJECUCIÓN!G233+EJECUCIÓN!G234+EJECUCIÓN!G235+EJECUCIÓN!G236+EJECUCIÓN!G238+EJECUCIÓN!G239+EJECUCIÓN!G240+EJECUCIÓN!G241+EJECUCIÓN!G242+EJECUCIÓN!G243</f>
        <v>11343540</v>
      </c>
      <c r="E45" s="320">
        <f>EJECUCIÓN!H229+EJECUCIÓN!H230+EJECUCIÓN!H231+EJECUCIÓN!H232+EJECUCIÓN!H233+EJECUCIÓN!H234+EJECUCIÓN!H235+EJECUCIÓN!H236+EJECUCIÓN!H238+EJECUCIÓN!H239+EJECUCIÓN!H240+EJECUCIÓN!H241+EJECUCIÓN!H242+EJECUCIÓN!H243</f>
        <v>-47115501</v>
      </c>
      <c r="F45" s="320">
        <f>EJECUCIÓN!I229+EJECUCIÓN!I230+EJECUCIÓN!I231+EJECUCIÓN!I232+EJECUCIÓN!I233+EJECUCIÓN!I234+EJECUCIÓN!I235+EJECUCIÓN!I236+EJECUCIÓN!I238+EJECUCIÓN!I239+EJECUCIÓN!I240+EJECUCIÓN!I241+EJECUCIÓN!I242+EJECUCIÓN!I243</f>
        <v>2661169499</v>
      </c>
      <c r="G45" s="320">
        <f>EJECUCIÓN!J229+EJECUCIÓN!J230+EJECUCIÓN!J231+EJECUCIÓN!J232+EJECUCIÓN!J233+EJECUCIÓN!J234+EJECUCIÓN!J235+EJECUCIÓN!J236+EJECUCIÓN!J238+EJECUCIÓN!J239+EJECUCIÓN!J240+EJECUCIÓN!J241+EJECUCIÓN!J242+EJECUCIÓN!J243</f>
        <v>162500000</v>
      </c>
      <c r="H45" s="320">
        <f>EJECUCIÓN!K229+EJECUCIÓN!K230+EJECUCIÓN!K231+EJECUCIÓN!K232+EJECUCIÓN!K233+EJECUCIÓN!K234+EJECUCIÓN!K235+EJECUCIÓN!K236+EJECUCIÓN!K238+EJECUCIÓN!K239+EJECUCIÓN!K240+EJECUCIÓN!K241+EJECUCIÓN!K242+EJECUCIÓN!K243</f>
        <v>2523094129</v>
      </c>
      <c r="I45" s="320">
        <f>EJECUCIÓN!L229+EJECUCIÓN!L230+EJECUCIÓN!L231+EJECUCIÓN!L232+EJECUCIÓN!L233+EJECUCIÓN!L234+EJECUCIÓN!L235+EJECUCIÓN!L236+EJECUCIÓN!L238+EJECUCIÓN!L239+EJECUCIÓN!L240+EJECUCIÓN!L241+EJECUCIÓN!L242+EJECUCIÓN!L243</f>
        <v>69558900</v>
      </c>
      <c r="J45" s="320">
        <f>EJECUCIÓN!M229+EJECUCIÓN!M230+EJECUCIÓN!M231+EJECUCIÓN!M232+EJECUCIÓN!M233+EJECUCIÓN!M234+EJECUCIÓN!M235+EJECUCIÓN!M236+EJECUCIÓN!M238+EJECUCIÓN!M239+EJECUCIÓN!M240+EJECUCIÓN!M241+EJECUCIÓN!M242+EJECUCIÓN!M243</f>
        <v>1087183830</v>
      </c>
      <c r="K45" s="320">
        <f>EJECUCIÓN!N229+EJECUCIÓN!N230+EJECUCIÓN!N231+EJECUCIÓN!N232+EJECUCIÓN!N233+EJECUCIÓN!N234+EJECUCIÓN!N235+EJECUCIÓN!N236+EJECUCIÓN!N238+EJECUCIÓN!N239+EJECUCIÓN!N240+EJECUCIÓN!N241+EJECUCIÓN!N242+EJECUCIÓN!N243</f>
        <v>69558900</v>
      </c>
      <c r="L45" s="320">
        <f>EJECUCIÓN!O229+EJECUCIÓN!O230+EJECUCIÓN!O231+EJECUCIÓN!O232+EJECUCIÓN!O233+EJECUCIÓN!O234+EJECUCIÓN!O235+EJECUCIÓN!O236+EJECUCIÓN!O238+EJECUCIÓN!O239+EJECUCIÓN!O240+EJECUCIÓN!O241+EJECUCIÓN!O242+EJECUCIÓN!O243</f>
        <v>1087183830</v>
      </c>
      <c r="M45" s="343">
        <f t="shared" si="2"/>
        <v>0.40853610805645268</v>
      </c>
    </row>
    <row r="46" spans="1:13">
      <c r="A46" s="319" t="s">
        <v>521</v>
      </c>
      <c r="B46" s="331" t="s">
        <v>189</v>
      </c>
      <c r="C46" s="320">
        <f>EJECUCIÓN!F247+EJECUCIÓN!F248+EJECUCIÓN!F249+EJECUCIÓN!F250+EJECUCIÓN!F251+EJECUCIÓN!F252+EJECUCIÓN!F253+EJECUCIÓN!F254+EJECUCIÓN!F256+EJECUCIÓN!F257+EJECUCIÓN!F258+EJECUCIÓN!F259+EJECUCIÓN!F260+EJECUCIÓN!F261</f>
        <v>4689738000</v>
      </c>
      <c r="D46" s="320">
        <f>EJECUCIÓN!G247+EJECUCIÓN!G248+EJECUCIÓN!G249+EJECUCIÓN!G250+EJECUCIÓN!G251+EJECUCIÓN!G252+EJECUCIÓN!G253+EJECUCIÓN!G254+EJECUCIÓN!G256+EJECUCIÓN!G257+EJECUCIÓN!G258+EJECUCIÓN!G259+EJECUCIÓN!G260+EJECUCIÓN!G261</f>
        <v>8432590</v>
      </c>
      <c r="E46" s="320">
        <f>EJECUCIÓN!H247+EJECUCIÓN!H248+EJECUCIÓN!H249+EJECUCIÓN!H250+EJECUCIÓN!H251+EJECUCIÓN!H252+EJECUCIÓN!H253+EJECUCIÓN!H254+EJECUCIÓN!H256+EJECUCIÓN!H257+EJECUCIÓN!H258+EJECUCIÓN!H259+EJECUCIÓN!H260+EJECUCIÓN!H261</f>
        <v>51723212</v>
      </c>
      <c r="F46" s="320">
        <f>EJECUCIÓN!I247+EJECUCIÓN!I248+EJECUCIÓN!I249+EJECUCIÓN!I250+EJECUCIÓN!I251+EJECUCIÓN!I252+EJECUCIÓN!I253+EJECUCIÓN!I254+EJECUCIÓN!I256+EJECUCIÓN!I257+EJECUCIÓN!I258+EJECUCIÓN!I259+EJECUCIÓN!I260+EJECUCIÓN!I261</f>
        <v>4741461212</v>
      </c>
      <c r="G46" s="320">
        <f>EJECUCIÓN!J247+EJECUCIÓN!J248+EJECUCIÓN!J249+EJECUCIÓN!J250+EJECUCIÓN!J251+EJECUCIÓN!J252+EJECUCIÓN!J253+EJECUCIÓN!J254+EJECUCIÓN!J256+EJECUCIÓN!J257+EJECUCIÓN!J258+EJECUCIÓN!J259+EJECUCIÓN!J260+EJECUCIÓN!J261</f>
        <v>316000000</v>
      </c>
      <c r="H46" s="320">
        <f>EJECUCIÓN!K247+EJECUCIÓN!K248+EJECUCIÓN!K249+EJECUCIÓN!K250+EJECUCIÓN!K251+EJECUCIÓN!K252+EJECUCIÓN!K253+EJECUCIÓN!K254+EJECUCIÓN!K256+EJECUCIÓN!K257+EJECUCIÓN!K258+EJECUCIÓN!K259+EJECUCIÓN!K260+EJECUCIÓN!K261</f>
        <v>4576193922</v>
      </c>
      <c r="I46" s="320">
        <f>EJECUCIÓN!L247+EJECUCIÓN!L248+EJECUCIÓN!L249+EJECUCIÓN!L250+EJECUCIÓN!L251+EJECUCIÓN!L252+EJECUCIÓN!L253+EJECUCIÓN!L254+EJECUCIÓN!L256+EJECUCIÓN!L257+EJECUCIÓN!L258+EJECUCIÓN!L259+EJECUCIÓN!L260+EJECUCIÓN!L261</f>
        <v>156576800</v>
      </c>
      <c r="J46" s="320">
        <f>EJECUCIÓN!M247+EJECUCIÓN!M248+EJECUCIÓN!M249+EJECUCIÓN!M250+EJECUCIÓN!M251+EJECUCIÓN!M252+EJECUCIÓN!M253+EJECUCIÓN!M254+EJECUCIÓN!M256+EJECUCIÓN!M257+EJECUCIÓN!M258+EJECUCIÓN!M259+EJECUCIÓN!M260+EJECUCIÓN!M261</f>
        <v>2227903900</v>
      </c>
      <c r="K46" s="320">
        <f>EJECUCIÓN!N247+EJECUCIÓN!N248+EJECUCIÓN!N249+EJECUCIÓN!N250+EJECUCIÓN!N251+EJECUCIÓN!N252+EJECUCIÓN!N253+EJECUCIÓN!N254+EJECUCIÓN!N256+EJECUCIÓN!N257+EJECUCIÓN!N258+EJECUCIÓN!N259+EJECUCIÓN!N260+EJECUCIÓN!N261</f>
        <v>156576800</v>
      </c>
      <c r="L46" s="320">
        <f>EJECUCIÓN!O247+EJECUCIÓN!O248+EJECUCIÓN!O249+EJECUCIÓN!O250+EJECUCIÓN!O251+EJECUCIÓN!O252+EJECUCIÓN!O253+EJECUCIÓN!O254+EJECUCIÓN!O256+EJECUCIÓN!O257+EJECUCIÓN!O258+EJECUCIÓN!O259+EJECUCIÓN!O260+EJECUCIÓN!O261</f>
        <v>2227903900</v>
      </c>
      <c r="M46" s="343">
        <f t="shared" si="2"/>
        <v>0.46987706961758435</v>
      </c>
    </row>
    <row r="47" spans="1:13">
      <c r="A47" s="319" t="s">
        <v>557</v>
      </c>
      <c r="B47" s="331" t="s">
        <v>201</v>
      </c>
      <c r="C47" s="320">
        <f>EJECUCIÓN!F265+EJECUCIÓN!F266+EJECUCIÓN!F267+EJECUCIÓN!F268+EJECUCIÓN!F269+EJECUCIÓN!F270+EJECUCIÓN!F271+EJECUCIÓN!F272+EJECUCIÓN!F274+EJECUCIÓN!F275+EJECUCIÓN!F276+EJECUCIÓN!F277+EJECUCIÓN!F278+EJECUCIÓN!F279</f>
        <v>5092994000</v>
      </c>
      <c r="D47" s="320">
        <f>EJECUCIÓN!G265+EJECUCIÓN!G266+EJECUCIÓN!G267+EJECUCIÓN!G268+EJECUCIÓN!G269+EJECUCIÓN!G270+EJECUCIÓN!G271+EJECUCIÓN!G272+EJECUCIÓN!G274+EJECUCIÓN!G275+EJECUCIÓN!G276+EJECUCIÓN!G277+EJECUCIÓN!G278+EJECUCIÓN!G279</f>
        <v>5168900</v>
      </c>
      <c r="E47" s="320">
        <f>EJECUCIÓN!H265+EJECUCIÓN!H266+EJECUCIÓN!H267+EJECUCIÓN!H268+EJECUCIÓN!H269+EJECUCIÓN!H270+EJECUCIÓN!H271+EJECUCIÓN!H272+EJECUCIÓN!H274+EJECUCIÓN!H275+EJECUCIÓN!H276+EJECUCIÓN!H277+EJECUCIÓN!H278+EJECUCIÓN!H279</f>
        <v>133169277</v>
      </c>
      <c r="F47" s="320">
        <f>EJECUCIÓN!I265+EJECUCIÓN!I266+EJECUCIÓN!I267+EJECUCIÓN!I268+EJECUCIÓN!I269+EJECUCIÓN!I270+EJECUCIÓN!I271+EJECUCIÓN!I272+EJECUCIÓN!I274+EJECUCIÓN!I275+EJECUCIÓN!I276+EJECUCIÓN!I277+EJECUCIÓN!I278+EJECUCIÓN!I279</f>
        <v>5226163277</v>
      </c>
      <c r="G47" s="320">
        <f>EJECUCIÓN!J265+EJECUCIÓN!J266+EJECUCIÓN!J267+EJECUCIÓN!J268+EJECUCIÓN!J269+EJECUCIÓN!J270+EJECUCIÓN!J271+EJECUCIÓN!J272+EJECUCIÓN!J274+EJECUCIÓN!J275+EJECUCIÓN!J276+EJECUCIÓN!J277+EJECUCIÓN!J278+EJECUCIÓN!J279</f>
        <v>0</v>
      </c>
      <c r="H47" s="320">
        <f>EJECUCIÓN!K265+EJECUCIÓN!K266+EJECUCIÓN!K267+EJECUCIÓN!K268+EJECUCIÓN!K269+EJECUCIÓN!K270+EJECUCIÓN!K271+EJECUCIÓN!K272+EJECUCIÓN!K274+EJECUCIÓN!K275+EJECUCIÓN!K276+EJECUCIÓN!K277+EJECUCIÓN!K278+EJECUCIÓN!K279</f>
        <v>5187097823</v>
      </c>
      <c r="I47" s="320">
        <f>EJECUCIÓN!L265+EJECUCIÓN!L266+EJECUCIÓN!L267+EJECUCIÓN!L268+EJECUCIÓN!L269+EJECUCIÓN!L270+EJECUCIÓN!L271+EJECUCIÓN!L272+EJECUCIÓN!L274+EJECUCIÓN!L275+EJECUCIÓN!L276+EJECUCIÓN!L277+EJECUCIÓN!L278+EJECUCIÓN!L279</f>
        <v>625846819</v>
      </c>
      <c r="J47" s="320">
        <f>EJECUCIÓN!M265+EJECUCIÓN!M266+EJECUCIÓN!M267+EJECUCIÓN!M268+EJECUCIÓN!M269+EJECUCIÓN!M270+EJECUCIÓN!M271+EJECUCIÓN!M272+EJECUCIÓN!M274+EJECUCIÓN!M275+EJECUCIÓN!M276+EJECUCIÓN!M277+EJECUCIÓN!M278+EJECUCIÓN!M279</f>
        <v>4648722903</v>
      </c>
      <c r="K47" s="320">
        <f>EJECUCIÓN!N265+EJECUCIÓN!N266+EJECUCIÓN!N267+EJECUCIÓN!N268+EJECUCIÓN!N269+EJECUCIÓN!N270+EJECUCIÓN!N271+EJECUCIÓN!N272+EJECUCIÓN!N274+EJECUCIÓN!N275+EJECUCIÓN!N276+EJECUCIÓN!N277+EJECUCIÓN!N278+EJECUCIÓN!N279</f>
        <v>16391954</v>
      </c>
      <c r="L47" s="320">
        <f>EJECUCIÓN!O265+EJECUCIÓN!O266+EJECUCIÓN!O267+EJECUCIÓN!O268+EJECUCIÓN!O269+EJECUCIÓN!O270+EJECUCIÓN!O271+EJECUCIÓN!O272+EJECUCIÓN!O274+EJECUCIÓN!O275+EJECUCIÓN!O276+EJECUCIÓN!O277+EJECUCIÓN!O278+EJECUCIÓN!O279</f>
        <v>1416124267</v>
      </c>
      <c r="M47" s="343">
        <f t="shared" si="2"/>
        <v>0.88950969508716327</v>
      </c>
    </row>
    <row r="48" spans="1:13">
      <c r="A48" s="319" t="s">
        <v>591</v>
      </c>
      <c r="B48" s="331" t="s">
        <v>210</v>
      </c>
      <c r="C48" s="320">
        <f>EJECUCIÓN!F282+EJECUCIÓN!F283+EJECUCIÓN!F284+EJECUCIÓN!F285+EJECUCIÓN!F286+EJECUCIÓN!F287+EJECUCIÓN!F288+EJECUCIÓN!F289+EJECUCIÓN!F291+EJECUCIÓN!F292+EJECUCIÓN!F293+EJECUCIÓN!F294+EJECUCIÓN!F295+EJECUCIÓN!F296</f>
        <v>690605000</v>
      </c>
      <c r="D48" s="320">
        <f>EJECUCIÓN!G282+EJECUCIÓN!G283+EJECUCIÓN!G284+EJECUCIÓN!G285+EJECUCIÓN!G286+EJECUCIÓN!G287+EJECUCIÓN!G288+EJECUCIÓN!G289+EJECUCIÓN!G291+EJECUCIÓN!G292+EJECUCIÓN!G293+EJECUCIÓN!G294+EJECUCIÓN!G295+EJECUCIÓN!G296</f>
        <v>0</v>
      </c>
      <c r="E48" s="320">
        <f>EJECUCIÓN!H282+EJECUCIÓN!H283+EJECUCIÓN!H284+EJECUCIÓN!H285+EJECUCIÓN!H286+EJECUCIÓN!H287+EJECUCIÓN!H288+EJECUCIÓN!H289+EJECUCIÓN!H291+EJECUCIÓN!H292+EJECUCIÓN!H293+EJECUCIÓN!H294+EJECUCIÓN!H295+EJECUCIÓN!H296</f>
        <v>500000</v>
      </c>
      <c r="F48" s="320">
        <f>EJECUCIÓN!I282+EJECUCIÓN!I283+EJECUCIÓN!I284+EJECUCIÓN!I285+EJECUCIÓN!I286+EJECUCIÓN!I287+EJECUCIÓN!I288+EJECUCIÓN!I289+EJECUCIÓN!I291+EJECUCIÓN!I292+EJECUCIÓN!I293+EJECUCIÓN!I294+EJECUCIÓN!I295+EJECUCIÓN!I296</f>
        <v>691105000</v>
      </c>
      <c r="G48" s="320">
        <f>EJECUCIÓN!J282+EJECUCIÓN!J283+EJECUCIÓN!J284+EJECUCIÓN!J285+EJECUCIÓN!J286+EJECUCIÓN!J287+EJECUCIÓN!J288+EJECUCIÓN!J289+EJECUCIÓN!J291+EJECUCIÓN!J292+EJECUCIÓN!J293+EJECUCIÓN!J294+EJECUCIÓN!J295+EJECUCIÓN!J296</f>
        <v>0</v>
      </c>
      <c r="H48" s="320">
        <f>EJECUCIÓN!K282+EJECUCIÓN!K283+EJECUCIÓN!K284+EJECUCIÓN!K285+EJECUCIÓN!K286+EJECUCIÓN!K287+EJECUCIÓN!K288+EJECUCIÓN!K289+EJECUCIÓN!K291+EJECUCIÓN!K292+EJECUCIÓN!K293+EJECUCIÓN!K294+EJECUCIÓN!K295+EJECUCIÓN!K296</f>
        <v>690605000</v>
      </c>
      <c r="I48" s="320">
        <f>EJECUCIÓN!L282+EJECUCIÓN!L283+EJECUCIÓN!L284+EJECUCIÓN!L285+EJECUCIÓN!L286+EJECUCIÓN!L287+EJECUCIÓN!L288+EJECUCIÓN!L289+EJECUCIÓN!L291+EJECUCIÓN!L292+EJECUCIÓN!L293+EJECUCIÓN!L294+EJECUCIÓN!L295+EJECUCIÓN!L296</f>
        <v>-2718333</v>
      </c>
      <c r="J48" s="320">
        <f>EJECUCIÓN!M282+EJECUCIÓN!M283+EJECUCIÓN!M284+EJECUCIÓN!M285+EJECUCIÓN!M286+EJECUCIÓN!M287+EJECUCIÓN!M288+EJECUCIÓN!M289+EJECUCIÓN!M291+EJECUCIÓN!M292+EJECUCIÓN!M293+EJECUCIÓN!M294+EJECUCIÓN!M295+EJECUCIÓN!M296</f>
        <v>684844594</v>
      </c>
      <c r="K48" s="320">
        <f>EJECUCIÓN!N282+EJECUCIÓN!N283+EJECUCIÓN!N284+EJECUCIÓN!N285+EJECUCIÓN!N286+EJECUCIÓN!N287+EJECUCIÓN!N288+EJECUCIÓN!N289+EJECUCIÓN!N291+EJECUCIÓN!N292+EJECUCIÓN!N293+EJECUCIÓN!N294+EJECUCIÓN!N295+EJECUCIÓN!N296</f>
        <v>1192980</v>
      </c>
      <c r="L48" s="320">
        <f>EJECUCIÓN!O282+EJECUCIÓN!O283+EJECUCIÓN!O284+EJECUCIÓN!O285+EJECUCIÓN!O286+EJECUCIÓN!O287+EJECUCIÓN!O288+EJECUCIÓN!O289+EJECUCIÓN!O291+EJECUCIÓN!O292+EJECUCIÓN!O293+EJECUCIÓN!O294+EJECUCIÓN!O295+EJECUCIÓN!O296</f>
        <v>221587315</v>
      </c>
      <c r="M48" s="343">
        <f t="shared" si="2"/>
        <v>0.99094145462701033</v>
      </c>
    </row>
    <row r="49" spans="1:13">
      <c r="A49" s="319" t="s">
        <v>627</v>
      </c>
      <c r="B49" s="331" t="s">
        <v>222</v>
      </c>
      <c r="C49" s="320">
        <f>EJECUCIÓN!F300+EJECUCIÓN!F301+EJECUCIÓN!F302+EJECUCIÓN!F303+EJECUCIÓN!F304+EJECUCIÓN!F305+EJECUCIÓN!F306+EJECUCIÓN!F307+EJECUCIÓN!F309+EJECUCIÓN!F310+EJECUCIÓN!F311+EJECUCIÓN!F312+EJECUCIÓN!F313+EJECUCIÓN!F314</f>
        <v>2324082000</v>
      </c>
      <c r="D49" s="320">
        <f>EJECUCIÓN!G300+EJECUCIÓN!G301+EJECUCIÓN!G302+EJECUCIÓN!G303+EJECUCIÓN!G304+EJECUCIÓN!G305+EJECUCIÓN!G306+EJECUCIÓN!G307+EJECUCIÓN!G309+EJECUCIÓN!G310+EJECUCIÓN!G311+EJECUCIÓN!G312+EJECUCIÓN!G313+EJECUCIÓN!G314</f>
        <v>3490440</v>
      </c>
      <c r="E49" s="320">
        <f>EJECUCIÓN!H300+EJECUCIÓN!H301+EJECUCIÓN!H302+EJECUCIÓN!H303+EJECUCIÓN!H304+EJECUCIÓN!H305+EJECUCIÓN!H306+EJECUCIÓN!H307+EJECUCIÓN!H309+EJECUCIÓN!H310+EJECUCIÓN!H311+EJECUCIÓN!H312+EJECUCIÓN!H313+EJECUCIÓN!H314</f>
        <v>26695641</v>
      </c>
      <c r="F49" s="320">
        <f>EJECUCIÓN!I300+EJECUCIÓN!I301+EJECUCIÓN!I302+EJECUCIÓN!I303+EJECUCIÓN!I304+EJECUCIÓN!I305+EJECUCIÓN!I306+EJECUCIÓN!I307+EJECUCIÓN!I309+EJECUCIÓN!I310+EJECUCIÓN!I311+EJECUCIÓN!I312+EJECUCIÓN!I313+EJECUCIÓN!I314</f>
        <v>2350777641</v>
      </c>
      <c r="G49" s="320">
        <f>EJECUCIÓN!J300+EJECUCIÓN!J301+EJECUCIÓN!J302+EJECUCIÓN!J303+EJECUCIÓN!J304+EJECUCIÓN!J305+EJECUCIÓN!J306+EJECUCIÓN!J307+EJECUCIÓN!J309+EJECUCIÓN!J310+EJECUCIÓN!J311+EJECUCIÓN!J312+EJECUCIÓN!J313+EJECUCIÓN!J314</f>
        <v>159000000</v>
      </c>
      <c r="H49" s="320">
        <f>EJECUCIÓN!K300+EJECUCIÓN!K301+EJECUCIÓN!K302+EJECUCIÓN!K303+EJECUCIÓN!K304+EJECUCIÓN!K305+EJECUCIÓN!K306+EJECUCIÓN!K307+EJECUCIÓN!K309+EJECUCIÓN!K310+EJECUCIÓN!K311+EJECUCIÓN!K312+EJECUCIÓN!K313+EJECUCIÓN!K314</f>
        <v>2285722001</v>
      </c>
      <c r="I49" s="320">
        <f>EJECUCIÓN!L300+EJECUCIÓN!L301+EJECUCIÓN!L302+EJECUCIÓN!L303+EJECUCIÓN!L304+EJECUCIÓN!L305+EJECUCIÓN!L306+EJECUCIÓN!L307+EJECUCIÓN!L309+EJECUCIÓN!L310+EJECUCIÓN!L311+EJECUCIÓN!L312+EJECUCIÓN!L313+EJECUCIÓN!L314</f>
        <v>73920800</v>
      </c>
      <c r="J49" s="320">
        <f>EJECUCIÓN!M300+EJECUCIÓN!M301+EJECUCIÓN!M302+EJECUCIÓN!M303+EJECUCIÓN!M304+EJECUCIÓN!M305+EJECUCIÓN!M306+EJECUCIÓN!M307+EJECUCIÓN!M309+EJECUCIÓN!M310+EJECUCIÓN!M311+EJECUCIÓN!M312+EJECUCIÓN!M313+EJECUCIÓN!M314</f>
        <v>1098762400</v>
      </c>
      <c r="K49" s="320">
        <f>EJECUCIÓN!N300+EJECUCIÓN!N301+EJECUCIÓN!N302+EJECUCIÓN!N303+EJECUCIÓN!N304+EJECUCIÓN!N305+EJECUCIÓN!N306+EJECUCIÓN!N307+EJECUCIÓN!N309+EJECUCIÓN!N310+EJECUCIÓN!N311+EJECUCIÓN!N312+EJECUCIÓN!N313+EJECUCIÓN!N314</f>
        <v>73920800</v>
      </c>
      <c r="L49" s="320">
        <f>EJECUCIÓN!O300+EJECUCIÓN!O301+EJECUCIÓN!O302+EJECUCIÓN!O303+EJECUCIÓN!O304+EJECUCIÓN!O305+EJECUCIÓN!O306+EJECUCIÓN!O307+EJECUCIÓN!O309+EJECUCIÓN!O310+EJECUCIÓN!O311+EJECUCIÓN!O312+EJECUCIÓN!O313+EJECUCIÓN!O314</f>
        <v>1098762400</v>
      </c>
      <c r="M49" s="343">
        <f t="shared" si="2"/>
        <v>0.46740379899674228</v>
      </c>
    </row>
    <row r="50" spans="1:13">
      <c r="A50" s="319" t="s">
        <v>663</v>
      </c>
      <c r="B50" s="331" t="s">
        <v>234</v>
      </c>
      <c r="C50" s="320">
        <f>EJECUCIÓN!F318+EJECUCIÓN!F319+EJECUCIÓN!F320+EJECUCIÓN!F321+EJECUCIÓN!F322+EJECUCIÓN!F323+EJECUCIÓN!F324+EJECUCIÓN!F325+EJECUCIÓN!F327+EJECUCIÓN!F328+EJECUCIÓN!F329+EJECUCIÓN!F330+EJECUCIÓN!F331+EJECUCIÓN!F332</f>
        <v>288000000</v>
      </c>
      <c r="D50" s="320">
        <f>EJECUCIÓN!G318+EJECUCIÓN!G319+EJECUCIÓN!G320+EJECUCIÓN!G321+EJECUCIÓN!G322+EJECUCIÓN!G323+EJECUCIÓN!G324+EJECUCIÓN!G325+EJECUCIÓN!G327+EJECUCIÓN!G328+EJECUCIÓN!G329+EJECUCIÓN!G330+EJECUCIÓN!G331+EJECUCIÓN!G332</f>
        <v>434150</v>
      </c>
      <c r="E50" s="320">
        <f>EJECUCIÓN!H318+EJECUCIÓN!H319+EJECUCIÓN!H320+EJECUCIÓN!H321+EJECUCIÓN!H322+EJECUCIÓN!H323+EJECUCIÓN!H324+EJECUCIÓN!H325+EJECUCIÓN!H327+EJECUCIÓN!H328+EJECUCIÓN!H329+EJECUCIÓN!H330+EJECUCIÓN!H331+EJECUCIÓN!H332</f>
        <v>22614930</v>
      </c>
      <c r="F50" s="320">
        <f>EJECUCIÓN!I318+EJECUCIÓN!I319+EJECUCIÓN!I320+EJECUCIÓN!I321+EJECUCIÓN!I322+EJECUCIÓN!I323+EJECUCIÓN!I324+EJECUCIÓN!I325+EJECUCIÓN!I327+EJECUCIÓN!I328+EJECUCIÓN!I329+EJECUCIÓN!I330+EJECUCIÓN!I331+EJECUCIÓN!I332</f>
        <v>310614930</v>
      </c>
      <c r="G50" s="320">
        <f>EJECUCIÓN!J318+EJECUCIÓN!J319+EJECUCIÓN!J320+EJECUCIÓN!J321+EJECUCIÓN!J322+EJECUCIÓN!J323+EJECUCIÓN!J324+EJECUCIÓN!J325+EJECUCIÓN!J327+EJECUCIÓN!J328+EJECUCIÓN!J329+EJECUCIÓN!J330+EJECUCIÓN!J331+EJECUCIÓN!J332</f>
        <v>19500000</v>
      </c>
      <c r="H50" s="320">
        <f>EJECUCIÓN!K318+EJECUCIÓN!K319+EJECUCIÓN!K320+EJECUCIÓN!K321+EJECUCIÓN!K322+EJECUCIÓN!K323+EJECUCIÓN!K324+EJECUCIÓN!K325+EJECUCIÓN!K327+EJECUCIÓN!K328+EJECUCIÓN!K329+EJECUCIÓN!K330+EJECUCIÓN!K331+EJECUCIÓN!K332</f>
        <v>297348980</v>
      </c>
      <c r="I50" s="320">
        <f>EJECUCIÓN!L318+EJECUCIÓN!L319+EJECUCIÓN!L320+EJECUCIÓN!L321+EJECUCIÓN!L322+EJECUCIÓN!L323+EJECUCIÓN!L324+EJECUCIÓN!L325+EJECUCIÓN!L327+EJECUCIÓN!L328+EJECUCIÓN!L329+EJECUCIÓN!L330+EJECUCIÓN!L331+EJECUCIÓN!L332</f>
        <v>9633400</v>
      </c>
      <c r="J50" s="320">
        <f>EJECUCIÓN!M318+EJECUCIÓN!M319+EJECUCIÓN!M320+EJECUCIÓN!M321+EJECUCIÓN!M322+EJECUCIÓN!M323+EJECUCIÓN!M324+EJECUCIÓN!M325+EJECUCIÓN!M327+EJECUCIÓN!M328+EJECUCIÓN!M329+EJECUCIÓN!M330+EJECUCIÓN!M331+EJECUCIÓN!M332</f>
        <v>137061500</v>
      </c>
      <c r="K50" s="320">
        <f>EJECUCIÓN!N318+EJECUCIÓN!N319+EJECUCIÓN!N320+EJECUCIÓN!N321+EJECUCIÓN!N322+EJECUCIÓN!N323+EJECUCIÓN!N324+EJECUCIÓN!N325+EJECUCIÓN!N327+EJECUCIÓN!N328+EJECUCIÓN!N329+EJECUCIÓN!N330+EJECUCIÓN!N331+EJECUCIÓN!N332</f>
        <v>9633400</v>
      </c>
      <c r="L50" s="320">
        <f>EJECUCIÓN!O318+EJECUCIÓN!O319+EJECUCIÓN!O320+EJECUCIÓN!O321+EJECUCIÓN!O322+EJECUCIÓN!O323+EJECUCIÓN!O324+EJECUCIÓN!O325+EJECUCIÓN!O327+EJECUCIÓN!O328+EJECUCIÓN!O329+EJECUCIÓN!O330+EJECUCIÓN!O331+EJECUCIÓN!O332</f>
        <v>137061500</v>
      </c>
      <c r="M50" s="343">
        <f t="shared" si="2"/>
        <v>0.44125857053941353</v>
      </c>
    </row>
    <row r="51" spans="1:13">
      <c r="A51" s="319" t="s">
        <v>697</v>
      </c>
      <c r="B51" s="331" t="s">
        <v>243</v>
      </c>
      <c r="C51" s="320">
        <f>EJECUCIÓN!F335+EJECUCIÓN!F336+EJECUCIÓN!F337+EJECUCIÓN!F338+EJECUCIÓN!F339+EJECUCIÓN!F340+EJECUCIÓN!F341+EJECUCIÓN!F342+EJECUCIÓN!F344+EJECUCIÓN!F345+EJECUCIÓN!F346+EJECUCIÓN!F347+EJECUCIÓN!F348+EJECUCIÓN!F349</f>
        <v>1744649000</v>
      </c>
      <c r="D51" s="320">
        <f>EJECUCIÓN!G335+EJECUCIÓN!G336+EJECUCIÓN!G337+EJECUCIÓN!G338+EJECUCIÓN!G339+EJECUCIÓN!G340+EJECUCIÓN!G341+EJECUCIÓN!G342+EJECUCIÓN!G344+EJECUCIÓN!G345+EJECUCIÓN!G346+EJECUCIÓN!G347+EJECUCIÓN!G348+EJECUCIÓN!G349</f>
        <v>2495100</v>
      </c>
      <c r="E51" s="320">
        <f>EJECUCIÓN!H335+EJECUCIÓN!H336+EJECUCIÓN!H337+EJECUCIÓN!H338+EJECUCIÓN!H339+EJECUCIÓN!H340+EJECUCIÓN!H341+EJECUCIÓN!H342+EJECUCIÓN!H344+EJECUCIÓN!H345+EJECUCIÓN!H346+EJECUCIÓN!H347+EJECUCIÓN!H348+EJECUCIÓN!H349</f>
        <v>31214899</v>
      </c>
      <c r="F51" s="320">
        <f>EJECUCIÓN!I335+EJECUCIÓN!I336+EJECUCIÓN!I337+EJECUCIÓN!I338+EJECUCIÓN!I339+EJECUCIÓN!I340+EJECUCIÓN!I341+EJECUCIÓN!I342+EJECUCIÓN!I344+EJECUCIÓN!I345+EJECUCIÓN!I346+EJECUCIÓN!I347+EJECUCIÓN!I348+EJECUCIÓN!I349</f>
        <v>1775863899</v>
      </c>
      <c r="G51" s="320">
        <f>EJECUCIÓN!J335+EJECUCIÓN!J336+EJECUCIÓN!J337+EJECUCIÓN!J338+EJECUCIÓN!J339+EJECUCIÓN!J340+EJECUCIÓN!J341+EJECUCIÓN!J342+EJECUCIÓN!J344+EJECUCIÓN!J345+EJECUCIÓN!J346+EJECUCIÓN!J347+EJECUCIÓN!J348+EJECUCIÓN!J349</f>
        <v>116500000</v>
      </c>
      <c r="H51" s="320">
        <f>EJECUCIÓN!K335+EJECUCIÓN!K336+EJECUCIÓN!K337+EJECUCIÓN!K338+EJECUCIÓN!K339+EJECUCIÓN!K340+EJECUCIÓN!K341+EJECUCIÓN!K342+EJECUCIÓN!K344+EJECUCIÓN!K345+EJECUCIÓN!K346+EJECUCIÓN!K347+EJECUCIÓN!K348+EJECUCIÓN!K349</f>
        <v>1724638949</v>
      </c>
      <c r="I51" s="320">
        <f>EJECUCIÓN!L335+EJECUCIÓN!L336+EJECUCIÓN!L337+EJECUCIÓN!L338+EJECUCIÓN!L339+EJECUCIÓN!L340+EJECUCIÓN!L341+EJECUCIÓN!L342+EJECUCIÓN!L344+EJECUCIÓN!L345+EJECUCIÓN!L346+EJECUCIÓN!L347+EJECUCIÓN!L348+EJECUCIÓN!L349</f>
        <v>55436900</v>
      </c>
      <c r="J51" s="320">
        <f>EJECUCIÓN!M335+EJECUCIÓN!M336+EJECUCIÓN!M337+EJECUCIÓN!M338+EJECUCIÓN!M339+EJECUCIÓN!M340+EJECUCIÓN!M341+EJECUCIÓN!M342+EJECUCIÓN!M344+EJECUCIÓN!M345+EJECUCIÓN!M346+EJECUCIÓN!M347+EJECUCIÓN!M348+EJECUCIÓN!M349</f>
        <v>824128650</v>
      </c>
      <c r="K51" s="320">
        <f>EJECUCIÓN!N335+EJECUCIÓN!N336+EJECUCIÓN!N337+EJECUCIÓN!N338+EJECUCIÓN!N339+EJECUCIÓN!N340+EJECUCIÓN!N341+EJECUCIÓN!N342+EJECUCIÓN!N344+EJECUCIÓN!N345+EJECUCIÓN!N346+EJECUCIÓN!N347+EJECUCIÓN!N348+EJECUCIÓN!N349</f>
        <v>55436900</v>
      </c>
      <c r="L51" s="320">
        <f>EJECUCIÓN!O335+EJECUCIÓN!O336+EJECUCIÓN!O337+EJECUCIÓN!O338+EJECUCIÓN!O339+EJECUCIÓN!O340+EJECUCIÓN!O341+EJECUCIÓN!O342+EJECUCIÓN!O344+EJECUCIÓN!O345+EJECUCIÓN!O346+EJECUCIÓN!O347+EJECUCIÓN!O348+EJECUCIÓN!O349</f>
        <v>824128650</v>
      </c>
      <c r="M51" s="343">
        <f t="shared" si="2"/>
        <v>0.46407196546090723</v>
      </c>
    </row>
    <row r="52" spans="1:13">
      <c r="A52" s="319" t="s">
        <v>746</v>
      </c>
      <c r="B52" s="331" t="s">
        <v>748</v>
      </c>
      <c r="C52" s="320">
        <f>EJECUCIÓN!F355</f>
        <v>31356000</v>
      </c>
      <c r="D52" s="320">
        <f>EJECUCIÓN!G355</f>
        <v>0</v>
      </c>
      <c r="E52" s="320">
        <f>EJECUCIÓN!H355</f>
        <v>0</v>
      </c>
      <c r="F52" s="320">
        <f>EJECUCIÓN!I355</f>
        <v>31356000</v>
      </c>
      <c r="G52" s="320">
        <f>EJECUCIÓN!J355</f>
        <v>0</v>
      </c>
      <c r="H52" s="320">
        <f>EJECUCIÓN!K355</f>
        <v>0</v>
      </c>
      <c r="I52" s="320">
        <f>EJECUCIÓN!L355</f>
        <v>0</v>
      </c>
      <c r="J52" s="320">
        <f>EJECUCIÓN!M355</f>
        <v>0</v>
      </c>
      <c r="K52" s="320">
        <f>EJECUCIÓN!N355</f>
        <v>0</v>
      </c>
      <c r="L52" s="320">
        <f>EJECUCIÓN!O355</f>
        <v>0</v>
      </c>
      <c r="M52" s="343">
        <f t="shared" si="2"/>
        <v>0</v>
      </c>
    </row>
    <row r="53" spans="1:13">
      <c r="A53" s="319" t="s">
        <v>758</v>
      </c>
      <c r="B53" s="331" t="s">
        <v>760</v>
      </c>
      <c r="C53" s="320">
        <f>EJECUCIÓN!F362+EJECUCIÓN!F364</f>
        <v>0</v>
      </c>
      <c r="D53" s="320">
        <f>EJECUCIÓN!G362+EJECUCIÓN!G364</f>
        <v>0</v>
      </c>
      <c r="E53" s="320">
        <f>EJECUCIÓN!H362+EJECUCIÓN!H364</f>
        <v>0</v>
      </c>
      <c r="F53" s="320">
        <f>EJECUCIÓN!I362+EJECUCIÓN!I364</f>
        <v>0</v>
      </c>
      <c r="G53" s="320">
        <f>EJECUCIÓN!J362+EJECUCIÓN!J364</f>
        <v>0</v>
      </c>
      <c r="H53" s="320">
        <f>EJECUCIÓN!K362+EJECUCIÓN!K364</f>
        <v>0</v>
      </c>
      <c r="I53" s="320">
        <f>EJECUCIÓN!L362+EJECUCIÓN!L364</f>
        <v>0</v>
      </c>
      <c r="J53" s="320">
        <f>EJECUCIÓN!M362+EJECUCIÓN!M364</f>
        <v>0</v>
      </c>
      <c r="K53" s="320">
        <f>EJECUCIÓN!N362+EJECUCIÓN!N364</f>
        <v>0</v>
      </c>
      <c r="L53" s="320">
        <f>EJECUCIÓN!O362+EJECUCIÓN!O364</f>
        <v>0</v>
      </c>
      <c r="M53" s="343" t="e">
        <f t="shared" si="2"/>
        <v>#DIV/0!</v>
      </c>
    </row>
    <row r="54" spans="1:13">
      <c r="A54" s="319" t="s">
        <v>2034</v>
      </c>
      <c r="B54" s="331" t="s">
        <v>779</v>
      </c>
      <c r="C54" s="320">
        <f>EJECUCIÓN!F370</f>
        <v>3348874000</v>
      </c>
      <c r="D54" s="320">
        <f>EJECUCIÓN!G370</f>
        <v>0</v>
      </c>
      <c r="E54" s="320">
        <f>EJECUCIÓN!H370</f>
        <v>129363035</v>
      </c>
      <c r="F54" s="320">
        <f>EJECUCIÓN!I370</f>
        <v>3478237035</v>
      </c>
      <c r="G54" s="320">
        <f>EJECUCIÓN!J370</f>
        <v>-237759927</v>
      </c>
      <c r="H54" s="320">
        <f>EJECUCIÓN!K370</f>
        <v>1986170101</v>
      </c>
      <c r="I54" s="320">
        <f>EJECUCIÓN!L370</f>
        <v>522932101</v>
      </c>
      <c r="J54" s="320">
        <f>EJECUCIÓN!M370</f>
        <v>522932101</v>
      </c>
      <c r="K54" s="320">
        <f>EJECUCIÓN!N370</f>
        <v>0</v>
      </c>
      <c r="L54" s="320">
        <f>EJECUCIÓN!O370</f>
        <v>0</v>
      </c>
      <c r="M54" s="343">
        <f t="shared" si="2"/>
        <v>0.15034400926042696</v>
      </c>
    </row>
    <row r="55" spans="1:13">
      <c r="A55" s="319" t="s">
        <v>796</v>
      </c>
      <c r="B55" s="331" t="s">
        <v>2035</v>
      </c>
      <c r="C55" s="320">
        <f>EJECUCIÓN!F380</f>
        <v>167232000</v>
      </c>
      <c r="D55" s="320">
        <f>EJECUCIÓN!G380</f>
        <v>0</v>
      </c>
      <c r="E55" s="320">
        <f>EJECUCIÓN!H380</f>
        <v>0</v>
      </c>
      <c r="F55" s="320">
        <f>EJECUCIÓN!I380</f>
        <v>167232000</v>
      </c>
      <c r="G55" s="320">
        <f>EJECUCIÓN!J380</f>
        <v>0</v>
      </c>
      <c r="H55" s="320">
        <f>EJECUCIÓN!K380</f>
        <v>0</v>
      </c>
      <c r="I55" s="320">
        <f>EJECUCIÓN!L380</f>
        <v>0</v>
      </c>
      <c r="J55" s="320">
        <f>EJECUCIÓN!M380</f>
        <v>0</v>
      </c>
      <c r="K55" s="320">
        <f>EJECUCIÓN!N380</f>
        <v>0</v>
      </c>
      <c r="L55" s="320">
        <f>EJECUCIÓN!O380</f>
        <v>0</v>
      </c>
      <c r="M55" s="343">
        <f t="shared" si="2"/>
        <v>0</v>
      </c>
    </row>
    <row r="56" spans="1:13">
      <c r="A56" s="319" t="s">
        <v>805</v>
      </c>
      <c r="B56" s="331" t="s">
        <v>807</v>
      </c>
      <c r="C56" s="320">
        <f>EJECUCIÓN!F385</f>
        <v>320975000</v>
      </c>
      <c r="D56" s="320">
        <f>EJECUCIÓN!G385</f>
        <v>0</v>
      </c>
      <c r="E56" s="320">
        <f>EJECUCIÓN!H385</f>
        <v>-3052264</v>
      </c>
      <c r="F56" s="320">
        <f>EJECUCIÓN!I385</f>
        <v>317922736</v>
      </c>
      <c r="G56" s="320">
        <f>EJECUCIÓN!J385</f>
        <v>-73031775</v>
      </c>
      <c r="H56" s="320">
        <f>EJECUCIÓN!K385</f>
        <v>11497000</v>
      </c>
      <c r="I56" s="320">
        <f>EJECUCIÓN!L385</f>
        <v>0</v>
      </c>
      <c r="J56" s="320">
        <f>EJECUCIÓN!M385</f>
        <v>0</v>
      </c>
      <c r="K56" s="320">
        <f>EJECUCIÓN!N385</f>
        <v>0</v>
      </c>
      <c r="L56" s="320">
        <f>EJECUCIÓN!O385</f>
        <v>0</v>
      </c>
      <c r="M56" s="343">
        <f t="shared" si="2"/>
        <v>0</v>
      </c>
    </row>
    <row r="57" spans="1:13">
      <c r="A57" s="319" t="s">
        <v>816</v>
      </c>
      <c r="B57" s="331" t="s">
        <v>818</v>
      </c>
      <c r="C57" s="320">
        <f>EJECUCIÓN!F393</f>
        <v>48831000</v>
      </c>
      <c r="D57" s="320">
        <f>EJECUCIÓN!G393</f>
        <v>0</v>
      </c>
      <c r="E57" s="320">
        <f>EJECUCIÓN!H393</f>
        <v>0</v>
      </c>
      <c r="F57" s="320">
        <f>EJECUCIÓN!I393</f>
        <v>48831000</v>
      </c>
      <c r="G57" s="320">
        <f>EJECUCIÓN!J393</f>
        <v>0</v>
      </c>
      <c r="H57" s="320">
        <f>EJECUCIÓN!K393</f>
        <v>48831000</v>
      </c>
      <c r="I57" s="320">
        <f>EJECUCIÓN!L393</f>
        <v>0</v>
      </c>
      <c r="J57" s="320">
        <f>EJECUCIÓN!M393</f>
        <v>48831000</v>
      </c>
      <c r="K57" s="320">
        <f>EJECUCIÓN!N393</f>
        <v>5551479</v>
      </c>
      <c r="L57" s="320">
        <f>EJECUCIÓN!O393</f>
        <v>13724876</v>
      </c>
      <c r="M57" s="343">
        <f t="shared" si="2"/>
        <v>1</v>
      </c>
    </row>
    <row r="58" spans="1:13">
      <c r="A58" s="319" t="s">
        <v>820</v>
      </c>
      <c r="B58" s="331" t="s">
        <v>822</v>
      </c>
      <c r="C58" s="320">
        <f>EJECUCIÓN!F395</f>
        <v>22102000</v>
      </c>
      <c r="D58" s="320">
        <f>EJECUCIÓN!G395</f>
        <v>0</v>
      </c>
      <c r="E58" s="320">
        <f>EJECUCIÓN!H395</f>
        <v>0</v>
      </c>
      <c r="F58" s="320">
        <f>EJECUCIÓN!I395</f>
        <v>22102000</v>
      </c>
      <c r="G58" s="320">
        <f>EJECUCIÓN!J395</f>
        <v>0</v>
      </c>
      <c r="H58" s="320">
        <f>EJECUCIÓN!K395</f>
        <v>0</v>
      </c>
      <c r="I58" s="320">
        <f>EJECUCIÓN!L395</f>
        <v>0</v>
      </c>
      <c r="J58" s="320">
        <f>EJECUCIÓN!M395</f>
        <v>0</v>
      </c>
      <c r="K58" s="320">
        <f>EJECUCIÓN!N395</f>
        <v>0</v>
      </c>
      <c r="L58" s="320">
        <f>EJECUCIÓN!O395</f>
        <v>0</v>
      </c>
      <c r="M58" s="343">
        <f t="shared" si="2"/>
        <v>0</v>
      </c>
    </row>
    <row r="59" spans="1:13">
      <c r="A59" s="319" t="s">
        <v>826</v>
      </c>
      <c r="B59" s="331" t="s">
        <v>828</v>
      </c>
      <c r="C59" s="320">
        <f>EJECUCIÓN!F398</f>
        <v>73164000</v>
      </c>
      <c r="D59" s="320">
        <f>EJECUCIÓN!G398</f>
        <v>0</v>
      </c>
      <c r="E59" s="320">
        <f>EJECUCIÓN!H398</f>
        <v>0</v>
      </c>
      <c r="F59" s="320">
        <f>EJECUCIÓN!I398</f>
        <v>73164000</v>
      </c>
      <c r="G59" s="320">
        <f>EJECUCIÓN!J398</f>
        <v>0</v>
      </c>
      <c r="H59" s="320">
        <f>EJECUCIÓN!K398</f>
        <v>73164000</v>
      </c>
      <c r="I59" s="320">
        <f>EJECUCIÓN!L398</f>
        <v>73164000</v>
      </c>
      <c r="J59" s="320">
        <f>EJECUCIÓN!M398</f>
        <v>73164000</v>
      </c>
      <c r="K59" s="320">
        <f>EJECUCIÓN!N398</f>
        <v>0</v>
      </c>
      <c r="L59" s="320">
        <f>EJECUCIÓN!O398</f>
        <v>0</v>
      </c>
      <c r="M59" s="343">
        <f t="shared" si="2"/>
        <v>1</v>
      </c>
    </row>
    <row r="60" spans="1:13">
      <c r="A60" s="319" t="s">
        <v>838</v>
      </c>
      <c r="B60" s="331" t="s">
        <v>840</v>
      </c>
      <c r="C60" s="320">
        <f>EJECUCIÓN!F401+EJECUCIÓN!F402+EJECUCIÓN!F403</f>
        <v>98132000</v>
      </c>
      <c r="D60" s="320">
        <f>EJECUCIÓN!G401+EJECUCIÓN!G402+EJECUCIÓN!G403</f>
        <v>0</v>
      </c>
      <c r="E60" s="320">
        <f>EJECUCIÓN!H401+EJECUCIÓN!H402+EJECUCIÓN!H403</f>
        <v>-18763989</v>
      </c>
      <c r="F60" s="320">
        <f>EJECUCIÓN!I401+EJECUCIÓN!I402+EJECUCIÓN!I403</f>
        <v>79368011</v>
      </c>
      <c r="G60" s="320">
        <f>EJECUCIÓN!J401+EJECUCIÓN!J402+EJECUCIÓN!J403</f>
        <v>-79368011</v>
      </c>
      <c r="H60" s="320">
        <f>EJECUCIÓN!K401+EJECUCIÓN!K402+EJECUCIÓN!K403</f>
        <v>0</v>
      </c>
      <c r="I60" s="320">
        <f>EJECUCIÓN!L401+EJECUCIÓN!L402+EJECUCIÓN!L403</f>
        <v>0</v>
      </c>
      <c r="J60" s="320">
        <f>EJECUCIÓN!M401+EJECUCIÓN!M402+EJECUCIÓN!M403</f>
        <v>0</v>
      </c>
      <c r="K60" s="320">
        <f>EJECUCIÓN!N401+EJECUCIÓN!N402+EJECUCIÓN!N403</f>
        <v>0</v>
      </c>
      <c r="L60" s="320">
        <f>EJECUCIÓN!O401+EJECUCIÓN!O402+EJECUCIÓN!O403</f>
        <v>0</v>
      </c>
      <c r="M60" s="343">
        <f t="shared" si="2"/>
        <v>0</v>
      </c>
    </row>
    <row r="61" spans="1:13">
      <c r="A61" s="319" t="s">
        <v>844</v>
      </c>
      <c r="B61" s="331" t="s">
        <v>846</v>
      </c>
      <c r="C61" s="320">
        <f>EJECUCIÓN!F406</f>
        <v>30000000</v>
      </c>
      <c r="D61" s="320">
        <f>EJECUCIÓN!G406</f>
        <v>0</v>
      </c>
      <c r="E61" s="320">
        <f>EJECUCIÓN!H406</f>
        <v>0</v>
      </c>
      <c r="F61" s="320">
        <f>EJECUCIÓN!I406</f>
        <v>30000000</v>
      </c>
      <c r="G61" s="320">
        <f>EJECUCIÓN!J406</f>
        <v>0</v>
      </c>
      <c r="H61" s="320">
        <f>EJECUCIÓN!K406</f>
        <v>0</v>
      </c>
      <c r="I61" s="320">
        <f>EJECUCIÓN!L406</f>
        <v>0</v>
      </c>
      <c r="J61" s="320">
        <f>EJECUCIÓN!M406</f>
        <v>0</v>
      </c>
      <c r="K61" s="320">
        <f>EJECUCIÓN!N406</f>
        <v>0</v>
      </c>
      <c r="L61" s="320">
        <f>EJECUCIÓN!O406</f>
        <v>0</v>
      </c>
      <c r="M61" s="343">
        <f t="shared" si="2"/>
        <v>0</v>
      </c>
    </row>
    <row r="62" spans="1:13">
      <c r="A62" s="319" t="s">
        <v>859</v>
      </c>
      <c r="B62" s="331" t="s">
        <v>861</v>
      </c>
      <c r="C62" s="320">
        <f>EJECUCIÓN!F410+EJECUCIÓN!F411+EJECUCIÓN!F412</f>
        <v>160433000</v>
      </c>
      <c r="D62" s="320">
        <f>EJECUCIÓN!G410+EJECUCIÓN!G411+EJECUCIÓN!G412</f>
        <v>0</v>
      </c>
      <c r="E62" s="320">
        <f>EJECUCIÓN!H410+EJECUCIÓN!H411+EJECUCIÓN!H412</f>
        <v>9792677</v>
      </c>
      <c r="F62" s="320">
        <f>EJECUCIÓN!I410+EJECUCIÓN!I411+EJECUCIÓN!I412</f>
        <v>170225677</v>
      </c>
      <c r="G62" s="320">
        <f>EJECUCIÓN!J410+EJECUCIÓN!J411+EJECUCIÓN!J412</f>
        <v>0</v>
      </c>
      <c r="H62" s="320">
        <f>EJECUCIÓN!K410+EJECUCIÓN!K411+EJECUCIÓN!K412</f>
        <v>129792677</v>
      </c>
      <c r="I62" s="320">
        <f>EJECUCIÓN!L410+EJECUCIÓN!L411+EJECUCIÓN!L412</f>
        <v>9792677</v>
      </c>
      <c r="J62" s="320">
        <f>EJECUCIÓN!M410+EJECUCIÓN!M411+EJECUCIÓN!M412</f>
        <v>129792677</v>
      </c>
      <c r="K62" s="320">
        <f>EJECUCIÓN!N410+EJECUCIÓN!N411+EJECUCIÓN!N412</f>
        <v>9792677</v>
      </c>
      <c r="L62" s="320">
        <f>EJECUCIÓN!O410+EJECUCIÓN!O411+EJECUCIÓN!O412</f>
        <v>9792677</v>
      </c>
      <c r="M62" s="343">
        <f t="shared" si="2"/>
        <v>0.76247414190046081</v>
      </c>
    </row>
    <row r="63" spans="1:13">
      <c r="A63" s="319" t="s">
        <v>865</v>
      </c>
      <c r="B63" s="331" t="s">
        <v>2036</v>
      </c>
      <c r="C63" s="320">
        <f>EJECUCIÓN!F416</f>
        <v>0</v>
      </c>
      <c r="D63" s="320">
        <f>EJECUCIÓN!G416</f>
        <v>0</v>
      </c>
      <c r="E63" s="320">
        <f>EJECUCIÓN!H416</f>
        <v>0</v>
      </c>
      <c r="F63" s="320">
        <f>EJECUCIÓN!I416</f>
        <v>0</v>
      </c>
      <c r="G63" s="320">
        <f>EJECUCIÓN!J416</f>
        <v>0</v>
      </c>
      <c r="H63" s="320">
        <f>EJECUCIÓN!K416</f>
        <v>0</v>
      </c>
      <c r="I63" s="320">
        <f>EJECUCIÓN!L416</f>
        <v>0</v>
      </c>
      <c r="J63" s="320">
        <f>EJECUCIÓN!M416</f>
        <v>0</v>
      </c>
      <c r="K63" s="320">
        <f>EJECUCIÓN!N416</f>
        <v>0</v>
      </c>
      <c r="L63" s="320">
        <f>EJECUCIÓN!O416</f>
        <v>0</v>
      </c>
      <c r="M63" s="343" t="e">
        <f t="shared" si="2"/>
        <v>#DIV/0!</v>
      </c>
    </row>
    <row r="64" spans="1:13">
      <c r="A64" s="319" t="s">
        <v>871</v>
      </c>
      <c r="B64" s="331" t="s">
        <v>873</v>
      </c>
      <c r="C64" s="320">
        <f>EJECUCIÓN!F419</f>
        <v>0</v>
      </c>
      <c r="D64" s="320">
        <f>EJECUCIÓN!G419</f>
        <v>0</v>
      </c>
      <c r="E64" s="320">
        <f>EJECUCIÓN!H419</f>
        <v>0</v>
      </c>
      <c r="F64" s="320">
        <f>EJECUCIÓN!I419</f>
        <v>0</v>
      </c>
      <c r="G64" s="320">
        <f>EJECUCIÓN!J419</f>
        <v>0</v>
      </c>
      <c r="H64" s="320">
        <f>EJECUCIÓN!K419</f>
        <v>0</v>
      </c>
      <c r="I64" s="320">
        <f>EJECUCIÓN!L419</f>
        <v>0</v>
      </c>
      <c r="J64" s="320">
        <f>EJECUCIÓN!M419</f>
        <v>0</v>
      </c>
      <c r="K64" s="320">
        <f>EJECUCIÓN!N419</f>
        <v>0</v>
      </c>
      <c r="L64" s="320">
        <f>EJECUCIÓN!O419</f>
        <v>0</v>
      </c>
      <c r="M64" s="343" t="e">
        <f t="shared" si="2"/>
        <v>#DIV/0!</v>
      </c>
    </row>
    <row r="65" spans="1:13">
      <c r="A65" s="319" t="s">
        <v>895</v>
      </c>
      <c r="B65" s="331" t="s">
        <v>897</v>
      </c>
      <c r="C65" s="320">
        <f>EJECUCIÓN!F428</f>
        <v>0</v>
      </c>
      <c r="D65" s="320">
        <f>EJECUCIÓN!G428</f>
        <v>0</v>
      </c>
      <c r="E65" s="320">
        <f>EJECUCIÓN!H428</f>
        <v>0</v>
      </c>
      <c r="F65" s="320">
        <f>EJECUCIÓN!I428</f>
        <v>0</v>
      </c>
      <c r="G65" s="320">
        <f>EJECUCIÓN!J428</f>
        <v>0</v>
      </c>
      <c r="H65" s="320">
        <f>EJECUCIÓN!K428</f>
        <v>0</v>
      </c>
      <c r="I65" s="320">
        <f>EJECUCIÓN!L428</f>
        <v>0</v>
      </c>
      <c r="J65" s="320">
        <f>EJECUCIÓN!M428</f>
        <v>0</v>
      </c>
      <c r="K65" s="320">
        <f>EJECUCIÓN!N428</f>
        <v>0</v>
      </c>
      <c r="L65" s="320">
        <f>EJECUCIÓN!O428</f>
        <v>0</v>
      </c>
      <c r="M65" s="343" t="e">
        <f t="shared" si="2"/>
        <v>#DIV/0!</v>
      </c>
    </row>
    <row r="66" spans="1:13">
      <c r="A66" s="319" t="s">
        <v>904</v>
      </c>
      <c r="B66" s="331" t="s">
        <v>906</v>
      </c>
      <c r="C66" s="320">
        <f>EJECUCIÓN!F433</f>
        <v>457575000</v>
      </c>
      <c r="D66" s="320">
        <f>EJECUCIÓN!G433</f>
        <v>0</v>
      </c>
      <c r="E66" s="320">
        <f>EJECUCIÓN!H433</f>
        <v>202462067</v>
      </c>
      <c r="F66" s="320">
        <f>EJECUCIÓN!I433</f>
        <v>660037067</v>
      </c>
      <c r="G66" s="320">
        <f>EJECUCIÓN!J433</f>
        <v>22563792</v>
      </c>
      <c r="H66" s="320">
        <f>EJECUCIÓN!K433</f>
        <v>334112811</v>
      </c>
      <c r="I66" s="320">
        <f>EJECUCIÓN!L433</f>
        <v>35167693</v>
      </c>
      <c r="J66" s="320">
        <f>EJECUCIÓN!M433</f>
        <v>300358712</v>
      </c>
      <c r="K66" s="320">
        <f>EJECUCIÓN!N433</f>
        <v>55717273</v>
      </c>
      <c r="L66" s="320">
        <f>EJECUCIÓN!O433</f>
        <v>114305618</v>
      </c>
      <c r="M66" s="343">
        <f t="shared" si="2"/>
        <v>0.45506340024991354</v>
      </c>
    </row>
    <row r="67" spans="1:13">
      <c r="A67" s="319" t="s">
        <v>920</v>
      </c>
      <c r="B67" s="331" t="s">
        <v>922</v>
      </c>
      <c r="C67" s="320">
        <f>EJECUCIÓN!F448</f>
        <v>4725153000</v>
      </c>
      <c r="D67" s="320">
        <f>EJECUCIÓN!G448</f>
        <v>0</v>
      </c>
      <c r="E67" s="320">
        <f>EJECUCIÓN!H448</f>
        <v>0</v>
      </c>
      <c r="F67" s="320">
        <f>EJECUCIÓN!I448</f>
        <v>4725153000</v>
      </c>
      <c r="G67" s="320">
        <f>EJECUCIÓN!J448</f>
        <v>0</v>
      </c>
      <c r="H67" s="320">
        <f>EJECUCIÓN!K448</f>
        <v>2362227600</v>
      </c>
      <c r="I67" s="320">
        <f>EJECUCIÓN!L448</f>
        <v>0</v>
      </c>
      <c r="J67" s="320">
        <f>EJECUCIÓN!M448</f>
        <v>2362227600</v>
      </c>
      <c r="K67" s="320">
        <f>EJECUCIÓN!N448</f>
        <v>0</v>
      </c>
      <c r="L67" s="320">
        <f>EJECUCIÓN!O448</f>
        <v>0</v>
      </c>
      <c r="M67" s="343">
        <f t="shared" si="2"/>
        <v>0.49992616112113197</v>
      </c>
    </row>
    <row r="68" spans="1:13">
      <c r="A68" s="319" t="s">
        <v>931</v>
      </c>
      <c r="B68" s="331" t="s">
        <v>933</v>
      </c>
      <c r="C68" s="320">
        <f>EJECUCIÓN!F452+EJECUCIÓN!F451</f>
        <v>3032038000</v>
      </c>
      <c r="D68" s="320">
        <f>EJECUCIÓN!G452+EJECUCIÓN!G451</f>
        <v>0</v>
      </c>
      <c r="E68" s="320">
        <f>EJECUCIÓN!H452+EJECUCIÓN!H451</f>
        <v>1052889712</v>
      </c>
      <c r="F68" s="320">
        <f>EJECUCIÓN!I452+EJECUCIÓN!I451</f>
        <v>4084927712</v>
      </c>
      <c r="G68" s="320">
        <f>EJECUCIÓN!J452+EJECUCIÓN!J451</f>
        <v>0</v>
      </c>
      <c r="H68" s="320">
        <f>EJECUCIÓN!K452+EJECUCIÓN!K451</f>
        <v>3757627061</v>
      </c>
      <c r="I68" s="320">
        <f>EJECUCIÓN!L452+EJECUCIÓN!L451</f>
        <v>31342991</v>
      </c>
      <c r="J68" s="320">
        <f>EJECUCIÓN!M452+EJECUCIÓN!M451</f>
        <v>3739752959</v>
      </c>
      <c r="K68" s="320">
        <f>EJECUCIÓN!N452+EJECUCIÓN!N451</f>
        <v>25599745</v>
      </c>
      <c r="L68" s="320">
        <f>EJECUCIÓN!O452+EJECUCIÓN!O451</f>
        <v>1015770135</v>
      </c>
      <c r="M68" s="343">
        <f t="shared" si="2"/>
        <v>0.9155004011488368</v>
      </c>
    </row>
    <row r="69" spans="1:13">
      <c r="A69" s="319" t="s">
        <v>934</v>
      </c>
      <c r="B69" s="331" t="s">
        <v>936</v>
      </c>
      <c r="C69" s="320">
        <f>EJECUCIÓN!F462</f>
        <v>1074610000</v>
      </c>
      <c r="D69" s="320">
        <f>EJECUCIÓN!G462</f>
        <v>0</v>
      </c>
      <c r="E69" s="320">
        <f>EJECUCIÓN!H462</f>
        <v>-136022000</v>
      </c>
      <c r="F69" s="320">
        <f>EJECUCIÓN!I462</f>
        <v>938588000</v>
      </c>
      <c r="G69" s="320">
        <f>EJECUCIÓN!J462</f>
        <v>60126060</v>
      </c>
      <c r="H69" s="320">
        <f>EJECUCIÓN!K462</f>
        <v>332732801</v>
      </c>
      <c r="I69" s="320">
        <f>EJECUCIÓN!L462</f>
        <v>14260478</v>
      </c>
      <c r="J69" s="320">
        <f>EJECUCIÓN!M462</f>
        <v>278128609</v>
      </c>
      <c r="K69" s="320">
        <f>EJECUCIÓN!N462</f>
        <v>10358718</v>
      </c>
      <c r="L69" s="320">
        <f>EJECUCIÓN!O462</f>
        <v>270176849</v>
      </c>
      <c r="M69" s="343">
        <f t="shared" si="2"/>
        <v>0.2963266193473601</v>
      </c>
    </row>
    <row r="70" spans="1:13">
      <c r="A70" s="319" t="s">
        <v>947</v>
      </c>
      <c r="B70" s="331" t="s">
        <v>949</v>
      </c>
      <c r="C70" s="320">
        <f>EJECUCIÓN!F481</f>
        <v>64133000</v>
      </c>
      <c r="D70" s="320">
        <f>EJECUCIÓN!G481</f>
        <v>0</v>
      </c>
      <c r="E70" s="320">
        <f>EJECUCIÓN!H481</f>
        <v>0</v>
      </c>
      <c r="F70" s="320">
        <f>EJECUCIÓN!I481</f>
        <v>64133000</v>
      </c>
      <c r="G70" s="320">
        <f>EJECUCIÓN!J481</f>
        <v>0</v>
      </c>
      <c r="H70" s="320">
        <f>EJECUCIÓN!K481</f>
        <v>29020591</v>
      </c>
      <c r="I70" s="320">
        <f>EJECUCIÓN!L481</f>
        <v>0</v>
      </c>
      <c r="J70" s="320">
        <f>EJECUCIÓN!M481</f>
        <v>29020591</v>
      </c>
      <c r="K70" s="320">
        <f>EJECUCIÓN!N481</f>
        <v>5575103</v>
      </c>
      <c r="L70" s="320">
        <f>EJECUCIÓN!O481</f>
        <v>5835264</v>
      </c>
      <c r="M70" s="343">
        <f t="shared" si="2"/>
        <v>0.45250636957572543</v>
      </c>
    </row>
    <row r="71" spans="1:13">
      <c r="A71" s="319" t="s">
        <v>2037</v>
      </c>
      <c r="B71" s="331" t="s">
        <v>2038</v>
      </c>
      <c r="C71" s="320">
        <f>EJECUCIÓN!F488</f>
        <v>186775000</v>
      </c>
      <c r="D71" s="320">
        <f>EJECUCIÓN!G488</f>
        <v>0</v>
      </c>
      <c r="E71" s="320">
        <f>EJECUCIÓN!H488</f>
        <v>0</v>
      </c>
      <c r="F71" s="320">
        <f>EJECUCIÓN!I488</f>
        <v>186775000</v>
      </c>
      <c r="G71" s="320">
        <f>EJECUCIÓN!J488</f>
        <v>10315500</v>
      </c>
      <c r="H71" s="320">
        <f>EJECUCIÓN!K488</f>
        <v>136404900</v>
      </c>
      <c r="I71" s="320">
        <f>EJECUCIÓN!L488</f>
        <v>10315500</v>
      </c>
      <c r="J71" s="320">
        <f>EJECUCIÓN!M488</f>
        <v>136404900</v>
      </c>
      <c r="K71" s="320">
        <f>EJECUCIÓN!N488</f>
        <v>10315500</v>
      </c>
      <c r="L71" s="320">
        <f>EJECUCIÓN!O488</f>
        <v>136404900</v>
      </c>
      <c r="M71" s="343">
        <f t="shared" si="2"/>
        <v>0.73031669120599652</v>
      </c>
    </row>
    <row r="72" spans="1:13">
      <c r="A72" s="319" t="s">
        <v>967</v>
      </c>
      <c r="B72" s="331" t="s">
        <v>969</v>
      </c>
      <c r="C72" s="320">
        <f>EJECUCIÓN!F491</f>
        <v>520000000</v>
      </c>
      <c r="D72" s="320">
        <f>EJECUCIÓN!G491</f>
        <v>0</v>
      </c>
      <c r="E72" s="320">
        <f>EJECUCIÓN!H491</f>
        <v>0</v>
      </c>
      <c r="F72" s="320">
        <f>EJECUCIÓN!I491</f>
        <v>520000000</v>
      </c>
      <c r="G72" s="320">
        <f>EJECUCIÓN!J491</f>
        <v>0</v>
      </c>
      <c r="H72" s="320">
        <f>EJECUCIÓN!K491</f>
        <v>500474520</v>
      </c>
      <c r="I72" s="320">
        <f>EJECUCIÓN!L491</f>
        <v>0</v>
      </c>
      <c r="J72" s="320">
        <f>EJECUCIÓN!M491</f>
        <v>500474520</v>
      </c>
      <c r="K72" s="320">
        <f>EJECUCIÓN!N491</f>
        <v>40889302</v>
      </c>
      <c r="L72" s="320">
        <f>EJECUCIÓN!O491</f>
        <v>96261103</v>
      </c>
      <c r="M72" s="343">
        <f t="shared" si="2"/>
        <v>0.96245099999999995</v>
      </c>
    </row>
    <row r="73" spans="1:13">
      <c r="A73" s="319" t="s">
        <v>970</v>
      </c>
      <c r="B73" s="331" t="s">
        <v>972</v>
      </c>
      <c r="C73" s="320">
        <f>EJECUCIÓN!F493</f>
        <v>14717000</v>
      </c>
      <c r="D73" s="320">
        <f>EJECUCIÓN!G493</f>
        <v>0</v>
      </c>
      <c r="E73" s="320">
        <f>EJECUCIÓN!H493</f>
        <v>0</v>
      </c>
      <c r="F73" s="320">
        <f>EJECUCIÓN!I493</f>
        <v>14717000</v>
      </c>
      <c r="G73" s="320">
        <f>EJECUCIÓN!J493</f>
        <v>-85800</v>
      </c>
      <c r="H73" s="320">
        <f>EJECUCIÓN!K493</f>
        <v>11215700</v>
      </c>
      <c r="I73" s="320">
        <f>EJECUCIÓN!L493</f>
        <v>11215700</v>
      </c>
      <c r="J73" s="320">
        <f>EJECUCIÓN!M493</f>
        <v>11215700</v>
      </c>
      <c r="K73" s="320">
        <f>EJECUCIÓN!N493</f>
        <v>0</v>
      </c>
      <c r="L73" s="320">
        <f>EJECUCIÓN!O493</f>
        <v>0</v>
      </c>
      <c r="M73" s="343">
        <f t="shared" si="2"/>
        <v>0.76209145885710405</v>
      </c>
    </row>
    <row r="74" spans="1:13">
      <c r="A74" s="319" t="s">
        <v>976</v>
      </c>
      <c r="B74" s="331" t="s">
        <v>978</v>
      </c>
      <c r="C74" s="320">
        <f>EJECUCIÓN!F496</f>
        <v>32478000</v>
      </c>
      <c r="D74" s="320">
        <f>EJECUCIÓN!G496</f>
        <v>0</v>
      </c>
      <c r="E74" s="320">
        <f>EJECUCIÓN!H496</f>
        <v>0</v>
      </c>
      <c r="F74" s="320">
        <f>EJECUCIÓN!I496</f>
        <v>32478000</v>
      </c>
      <c r="G74" s="320">
        <f>EJECUCIÓN!J496</f>
        <v>-627606</v>
      </c>
      <c r="H74" s="320">
        <f>EJECUCIÓN!K496</f>
        <v>27196260</v>
      </c>
      <c r="I74" s="320">
        <f>EJECUCIÓN!L496</f>
        <v>27196260</v>
      </c>
      <c r="J74" s="320">
        <f>EJECUCIÓN!M496</f>
        <v>27196260</v>
      </c>
      <c r="K74" s="320">
        <f>EJECUCIÓN!N496</f>
        <v>0</v>
      </c>
      <c r="L74" s="320">
        <f>EJECUCIÓN!O496</f>
        <v>0</v>
      </c>
      <c r="M74" s="343">
        <f t="shared" si="2"/>
        <v>0.83737483835211524</v>
      </c>
    </row>
    <row r="75" spans="1:13">
      <c r="A75" s="319" t="s">
        <v>979</v>
      </c>
      <c r="B75" s="331" t="s">
        <v>981</v>
      </c>
      <c r="C75" s="320">
        <f>EJECUCIÓN!F498</f>
        <v>2759273000</v>
      </c>
      <c r="D75" s="320">
        <f>EJECUCIÓN!G498</f>
        <v>0</v>
      </c>
      <c r="E75" s="320">
        <f>EJECUCIÓN!H498</f>
        <v>0</v>
      </c>
      <c r="F75" s="320">
        <f>EJECUCIÓN!I498</f>
        <v>2759273000</v>
      </c>
      <c r="G75" s="320">
        <f>EJECUCIÓN!J498</f>
        <v>-141911101</v>
      </c>
      <c r="H75" s="320">
        <f>EJECUCIÓN!K498</f>
        <v>2263462457</v>
      </c>
      <c r="I75" s="320">
        <f>EJECUCIÓN!L498</f>
        <v>2257272629</v>
      </c>
      <c r="J75" s="320">
        <f>EJECUCIÓN!M498</f>
        <v>2263462457</v>
      </c>
      <c r="K75" s="320">
        <f>EJECUCIÓN!N498</f>
        <v>3127968</v>
      </c>
      <c r="L75" s="320">
        <f>EJECUCIÓN!O498</f>
        <v>9317796</v>
      </c>
      <c r="M75" s="343">
        <f t="shared" si="2"/>
        <v>0.82031116783297631</v>
      </c>
    </row>
    <row r="76" spans="1:13">
      <c r="A76" s="319" t="s">
        <v>982</v>
      </c>
      <c r="B76" s="331" t="s">
        <v>984</v>
      </c>
      <c r="C76" s="320">
        <f>EJECUCIÓN!F500</f>
        <v>1739925000</v>
      </c>
      <c r="D76" s="320">
        <f>EJECUCIÓN!G500</f>
        <v>0</v>
      </c>
      <c r="E76" s="320">
        <f>EJECUCIÓN!H500</f>
        <v>0</v>
      </c>
      <c r="F76" s="320">
        <f>EJECUCIÓN!I500</f>
        <v>1739925000</v>
      </c>
      <c r="G76" s="320">
        <f>EJECUCIÓN!J500</f>
        <v>-65848270</v>
      </c>
      <c r="H76" s="320">
        <f>EJECUCIÓN!K500</f>
        <v>1605833600</v>
      </c>
      <c r="I76" s="320">
        <f>EJECUCIÓN!L500</f>
        <v>1605833600</v>
      </c>
      <c r="J76" s="320">
        <f>EJECUCIÓN!M500</f>
        <v>1605833600</v>
      </c>
      <c r="K76" s="320">
        <f>EJECUCIÓN!N500</f>
        <v>0</v>
      </c>
      <c r="L76" s="320">
        <f>EJECUCIÓN!O500</f>
        <v>0</v>
      </c>
      <c r="M76" s="343">
        <f t="shared" si="2"/>
        <v>0.92293265514318146</v>
      </c>
    </row>
    <row r="77" spans="1:13">
      <c r="A77" s="319" t="s">
        <v>1991</v>
      </c>
      <c r="B77" s="331" t="s">
        <v>1993</v>
      </c>
      <c r="C77" s="320">
        <f>EJECUCIÓN!F502</f>
        <v>0</v>
      </c>
      <c r="D77" s="320">
        <f>EJECUCIÓN!G502</f>
        <v>0</v>
      </c>
      <c r="E77" s="320">
        <f>EJECUCIÓN!H502</f>
        <v>0</v>
      </c>
      <c r="F77" s="320">
        <f>EJECUCIÓN!I502</f>
        <v>0</v>
      </c>
      <c r="G77" s="320">
        <f>EJECUCIÓN!J502</f>
        <v>0</v>
      </c>
      <c r="H77" s="320">
        <f>EJECUCIÓN!K502</f>
        <v>0</v>
      </c>
      <c r="I77" s="320">
        <f>EJECUCIÓN!L502</f>
        <v>0</v>
      </c>
      <c r="J77" s="320">
        <f>EJECUCIÓN!M502</f>
        <v>0</v>
      </c>
      <c r="K77" s="320">
        <f>EJECUCIÓN!N502</f>
        <v>0</v>
      </c>
      <c r="L77" s="320">
        <f>EJECUCIÓN!O502</f>
        <v>0</v>
      </c>
      <c r="M77" s="343" t="e">
        <f t="shared" si="2"/>
        <v>#DIV/0!</v>
      </c>
    </row>
    <row r="78" spans="1:13">
      <c r="A78" s="319" t="s">
        <v>988</v>
      </c>
      <c r="B78" s="331" t="s">
        <v>990</v>
      </c>
      <c r="C78" s="320">
        <f>EJECUCIÓN!F506</f>
        <v>69888000</v>
      </c>
      <c r="D78" s="320">
        <f>EJECUCIÓN!G506</f>
        <v>0</v>
      </c>
      <c r="E78" s="320">
        <f>EJECUCIÓN!H506</f>
        <v>0</v>
      </c>
      <c r="F78" s="320">
        <f>EJECUCIÓN!I506</f>
        <v>69888000</v>
      </c>
      <c r="G78" s="320">
        <f>EJECUCIÓN!J506</f>
        <v>0</v>
      </c>
      <c r="H78" s="320">
        <f>EJECUCIÓN!K506</f>
        <v>0</v>
      </c>
      <c r="I78" s="320">
        <f>EJECUCIÓN!L506</f>
        <v>0</v>
      </c>
      <c r="J78" s="320">
        <f>EJECUCIÓN!M506</f>
        <v>0</v>
      </c>
      <c r="K78" s="320">
        <f>EJECUCIÓN!N506</f>
        <v>0</v>
      </c>
      <c r="L78" s="320">
        <f>EJECUCIÓN!O506</f>
        <v>0</v>
      </c>
      <c r="M78" s="343">
        <f t="shared" si="2"/>
        <v>0</v>
      </c>
    </row>
    <row r="79" spans="1:13">
      <c r="A79" s="319" t="s">
        <v>994</v>
      </c>
      <c r="B79" s="331" t="s">
        <v>996</v>
      </c>
      <c r="C79" s="320">
        <f>EJECUCIÓN!F509</f>
        <v>2549082000</v>
      </c>
      <c r="D79" s="320">
        <f>EJECUCIÓN!G509</f>
        <v>0</v>
      </c>
      <c r="E79" s="320">
        <f>EJECUCIÓN!H509</f>
        <v>3400527089</v>
      </c>
      <c r="F79" s="320">
        <f>EJECUCIÓN!I509</f>
        <v>5949609089</v>
      </c>
      <c r="G79" s="320">
        <f>EJECUCIÓN!J509</f>
        <v>109224335</v>
      </c>
      <c r="H79" s="320">
        <f>EJECUCIÓN!K509</f>
        <v>5043025866</v>
      </c>
      <c r="I79" s="320">
        <f>EJECUCIÓN!L509</f>
        <v>1275507220</v>
      </c>
      <c r="J79" s="320">
        <f>EJECUCIÓN!M509</f>
        <v>5035975418</v>
      </c>
      <c r="K79" s="320">
        <f>EJECUCIÓN!N509</f>
        <v>734859520</v>
      </c>
      <c r="L79" s="320">
        <f>EJECUCIÓN!O509</f>
        <v>991465640</v>
      </c>
      <c r="M79" s="343">
        <f t="shared" si="2"/>
        <v>0.84643803360305103</v>
      </c>
    </row>
    <row r="80" spans="1:13">
      <c r="A80" s="319" t="s">
        <v>1006</v>
      </c>
      <c r="B80" s="331" t="s">
        <v>1008</v>
      </c>
      <c r="C80" s="320">
        <f>EJECUCIÓN!F519</f>
        <v>125478000</v>
      </c>
      <c r="D80" s="320">
        <f>EJECUCIÓN!G519</f>
        <v>0</v>
      </c>
      <c r="E80" s="320">
        <f>EJECUCIÓN!H519</f>
        <v>0</v>
      </c>
      <c r="F80" s="320">
        <f>EJECUCIÓN!I519</f>
        <v>125478000</v>
      </c>
      <c r="G80" s="320">
        <f>EJECUCIÓN!J519</f>
        <v>0</v>
      </c>
      <c r="H80" s="320">
        <f>EJECUCIÓN!K519</f>
        <v>0</v>
      </c>
      <c r="I80" s="320">
        <f>EJECUCIÓN!L519</f>
        <v>0</v>
      </c>
      <c r="J80" s="320">
        <f>EJECUCIÓN!M519</f>
        <v>0</v>
      </c>
      <c r="K80" s="320">
        <f>EJECUCIÓN!N519</f>
        <v>0</v>
      </c>
      <c r="L80" s="320">
        <f>EJECUCIÓN!O519</f>
        <v>0</v>
      </c>
      <c r="M80" s="343">
        <f t="shared" si="2"/>
        <v>0</v>
      </c>
    </row>
    <row r="81" spans="1:13">
      <c r="A81" s="319" t="s">
        <v>1015</v>
      </c>
      <c r="B81" s="331" t="s">
        <v>2039</v>
      </c>
      <c r="C81" s="320">
        <f>EJECUCIÓN!F523</f>
        <v>584972000</v>
      </c>
      <c r="D81" s="320">
        <f>EJECUCIÓN!G523</f>
        <v>0</v>
      </c>
      <c r="E81" s="320">
        <f>EJECUCIÓN!H523</f>
        <v>-20239120</v>
      </c>
      <c r="F81" s="320">
        <f>EJECUCIÓN!I523</f>
        <v>564732880</v>
      </c>
      <c r="G81" s="320">
        <f>EJECUCIÓN!J523</f>
        <v>1000000</v>
      </c>
      <c r="H81" s="320">
        <f>EJECUCIÓN!K523</f>
        <v>183831670</v>
      </c>
      <c r="I81" s="320">
        <f>EJECUCIÓN!L523</f>
        <v>10478712</v>
      </c>
      <c r="J81" s="320">
        <f>EJECUCIÓN!M523</f>
        <v>87987718</v>
      </c>
      <c r="K81" s="320">
        <f>EJECUCIÓN!N523</f>
        <v>8373400</v>
      </c>
      <c r="L81" s="320">
        <f>EJECUCIÓN!O523</f>
        <v>52517870</v>
      </c>
      <c r="M81" s="343">
        <f t="shared" si="2"/>
        <v>0.15580413522230191</v>
      </c>
    </row>
    <row r="82" spans="1:13">
      <c r="A82" s="319" t="s">
        <v>1027</v>
      </c>
      <c r="B82" s="331" t="s">
        <v>1029</v>
      </c>
      <c r="C82" s="320">
        <f>EJECUCIÓN!F532</f>
        <v>1968000</v>
      </c>
      <c r="D82" s="320">
        <f>EJECUCIÓN!G532</f>
        <v>0</v>
      </c>
      <c r="E82" s="320">
        <f>EJECUCIÓN!H532</f>
        <v>1300000</v>
      </c>
      <c r="F82" s="320">
        <f>EJECUCIÓN!I532</f>
        <v>3268000</v>
      </c>
      <c r="G82" s="320">
        <f>EJECUCIÓN!J532</f>
        <v>0</v>
      </c>
      <c r="H82" s="320">
        <f>EJECUCIÓN!K532</f>
        <v>2874446</v>
      </c>
      <c r="I82" s="320">
        <f>EJECUCIÓN!L532</f>
        <v>525385</v>
      </c>
      <c r="J82" s="320">
        <f>EJECUCIÓN!M532</f>
        <v>2874446</v>
      </c>
      <c r="K82" s="320">
        <f>EJECUCIÓN!N532</f>
        <v>525385</v>
      </c>
      <c r="L82" s="320">
        <f>EJECUCIÓN!O532</f>
        <v>2874446</v>
      </c>
      <c r="M82" s="343">
        <f t="shared" ref="M82:M146" si="4">+J82/F82</f>
        <v>0.87957343941248467</v>
      </c>
    </row>
    <row r="83" spans="1:13">
      <c r="A83" s="319" t="s">
        <v>1034</v>
      </c>
      <c r="B83" s="331" t="s">
        <v>1036</v>
      </c>
      <c r="C83" s="320">
        <f>EJECUCIÓN!F537</f>
        <v>1839115000</v>
      </c>
      <c r="D83" s="320">
        <f>EJECUCIÓN!G537</f>
        <v>0</v>
      </c>
      <c r="E83" s="320">
        <f>EJECUCIÓN!H537</f>
        <v>690363913</v>
      </c>
      <c r="F83" s="320">
        <f>EJECUCIÓN!I537</f>
        <v>2529478913</v>
      </c>
      <c r="G83" s="320">
        <f>EJECUCIÓN!J537</f>
        <v>70526168</v>
      </c>
      <c r="H83" s="320">
        <f>EJECUCIÓN!K537</f>
        <v>1929146017</v>
      </c>
      <c r="I83" s="320">
        <f>EJECUCIÓN!L537</f>
        <v>280800491</v>
      </c>
      <c r="J83" s="320">
        <f>EJECUCIÓN!M537</f>
        <v>1841683565</v>
      </c>
      <c r="K83" s="320">
        <f>EJECUCIÓN!N537</f>
        <v>118346529</v>
      </c>
      <c r="L83" s="320">
        <f>EJECUCIÓN!O537</f>
        <v>1273719203</v>
      </c>
      <c r="M83" s="343">
        <f t="shared" si="4"/>
        <v>0.72808812737471518</v>
      </c>
    </row>
    <row r="84" spans="1:13">
      <c r="A84" s="319" t="s">
        <v>1045</v>
      </c>
      <c r="B84" s="331" t="s">
        <v>1047</v>
      </c>
      <c r="C84" s="320">
        <f>EJECUCIÓN!F543+EJECUCIÓN!F551+EJECUCIÓN!F553+EJECUCIÓN!F555+EJECUCIÓN!F557+EJECUCIÓN!F559+EJECUCIÓN!F561+EJECUCIÓN!F563+EJECUCIÓN!F578+EJECUCIÓN!F593+EJECUCIÓN!F596+EJECUCIÓN!F600+EJECUCIÓN!F602+EJECUCIÓN!F608+EJECUCIÓN!F610</f>
        <v>51373981000</v>
      </c>
      <c r="D84" s="320">
        <f>EJECUCIÓN!G543+EJECUCIÓN!G551+EJECUCIÓN!G553+EJECUCIÓN!G555+EJECUCIÓN!G557+EJECUCIÓN!G559+EJECUCIÓN!G561+EJECUCIÓN!G563+EJECUCIÓN!G578+EJECUCIÓN!G593+EJECUCIÓN!G596+EJECUCIÓN!G600+EJECUCIÓN!G602+EJECUCIÓN!G608+EJECUCIÓN!G610</f>
        <v>656320000</v>
      </c>
      <c r="E84" s="320">
        <f>EJECUCIÓN!H543+EJECUCIÓN!H551+EJECUCIÓN!H553+EJECUCIÓN!H555+EJECUCIÓN!H557+EJECUCIÓN!H559+EJECUCIÓN!H561+EJECUCIÓN!H563+EJECUCIÓN!H578+EJECUCIÓN!H593+EJECUCIÓN!H596+EJECUCIÓN!H600+EJECUCIÓN!H602+EJECUCIÓN!H608+EJECUCIÓN!H610</f>
        <v>14026236403</v>
      </c>
      <c r="F84" s="320">
        <f>EJECUCIÓN!I543+EJECUCIÓN!I551+EJECUCIÓN!I553+EJECUCIÓN!I555+EJECUCIÓN!I557+EJECUCIÓN!I559+EJECUCIÓN!I561+EJECUCIÓN!I563+EJECUCIÓN!I578+EJECUCIÓN!I593+EJECUCIÓN!I596+EJECUCIÓN!I600+EJECUCIÓN!I602+EJECUCIÓN!I608+EJECUCIÓN!I610</f>
        <v>65400217403</v>
      </c>
      <c r="G84" s="320">
        <f>EJECUCIÓN!J543+EJECUCIÓN!J551+EJECUCIÓN!J553+EJECUCIÓN!J555+EJECUCIÓN!J557+EJECUCIÓN!J559+EJECUCIÓN!J561+EJECUCIÓN!J563+EJECUCIÓN!J578+EJECUCIÓN!J593+EJECUCIÓN!J596+EJECUCIÓN!J600+EJECUCIÓN!J602+EJECUCIÓN!J608+EJECUCIÓN!J610</f>
        <v>6937649837</v>
      </c>
      <c r="H84" s="320">
        <f>EJECUCIÓN!K543+EJECUCIÓN!K551+EJECUCIÓN!K553+EJECUCIÓN!K555+EJECUCIÓN!K557+EJECUCIÓN!K559+EJECUCIÓN!K561+EJECUCIÓN!K563+EJECUCIÓN!K578+EJECUCIÓN!K593+EJECUCIÓN!K596+EJECUCIÓN!K600+EJECUCIÓN!K602+EJECUCIÓN!K608+EJECUCIÓN!K610</f>
        <v>60798032643</v>
      </c>
      <c r="I84" s="320">
        <f>EJECUCIÓN!L543+EJECUCIÓN!L551+EJECUCIÓN!L553+EJECUCIÓN!L555+EJECUCIÓN!L557+EJECUCIÓN!L559+EJECUCIÓN!L561+EJECUCIÓN!L563+EJECUCIÓN!L578+EJECUCIÓN!L593+EJECUCIÓN!L596+EJECUCIÓN!L600+EJECUCIÓN!L602+EJECUCIÓN!L608+EJECUCIÓN!L610</f>
        <v>14539468434</v>
      </c>
      <c r="J84" s="320">
        <f>EJECUCIÓN!M543+EJECUCIÓN!M551+EJECUCIÓN!M553+EJECUCIÓN!M555+EJECUCIÓN!M557+EJECUCIÓN!M559+EJECUCIÓN!M561+EJECUCIÓN!M563+EJECUCIÓN!M578+EJECUCIÓN!M593+EJECUCIÓN!M596+EJECUCIÓN!M600+EJECUCIÓN!M602+EJECUCIÓN!M608+EJECUCIÓN!M610</f>
        <v>58377098465</v>
      </c>
      <c r="K84" s="320">
        <f>EJECUCIÓN!N543+EJECUCIÓN!N551+EJECUCIÓN!N553+EJECUCIÓN!N555+EJECUCIÓN!N557+EJECUCIÓN!N559+EJECUCIÓN!N561+EJECUCIÓN!N563+EJECUCIÓN!N578+EJECUCIÓN!N593+EJECUCIÓN!N596+EJECUCIÓN!N600+EJECUCIÓN!N602+EJECUCIÓN!N608+EJECUCIÓN!N610</f>
        <v>3507232718</v>
      </c>
      <c r="L84" s="320">
        <f>EJECUCIÓN!O543+EJECUCIÓN!O551+EJECUCIÓN!O553+EJECUCIÓN!O555+EJECUCIÓN!O557+EJECUCIÓN!O559+EJECUCIÓN!O561+EJECUCIÓN!O563+EJECUCIÓN!O578+EJECUCIÓN!O593+EJECUCIÓN!O596+EJECUCIÓN!O600+EJECUCIÓN!O602+EJECUCIÓN!O608+EJECUCIÓN!O610</f>
        <v>36074646304</v>
      </c>
      <c r="M84" s="343">
        <f t="shared" si="4"/>
        <v>0.89261321725089804</v>
      </c>
    </row>
    <row r="85" spans="1:13">
      <c r="A85" s="319" t="s">
        <v>1101</v>
      </c>
      <c r="B85" s="331" t="s">
        <v>1103</v>
      </c>
      <c r="C85" s="320">
        <f>EJECUCIÓN!F614</f>
        <v>98972000</v>
      </c>
      <c r="D85" s="320">
        <f>EJECUCIÓN!G614</f>
        <v>0</v>
      </c>
      <c r="E85" s="320">
        <f>EJECUCIÓN!H614</f>
        <v>0</v>
      </c>
      <c r="F85" s="320">
        <f>EJECUCIÓN!I614</f>
        <v>98972000</v>
      </c>
      <c r="G85" s="320">
        <f>EJECUCIÓN!J614</f>
        <v>0</v>
      </c>
      <c r="H85" s="320">
        <f>EJECUCIÓN!K614</f>
        <v>0</v>
      </c>
      <c r="I85" s="320">
        <f>EJECUCIÓN!L614</f>
        <v>0</v>
      </c>
      <c r="J85" s="320">
        <f>EJECUCIÓN!M614</f>
        <v>0</v>
      </c>
      <c r="K85" s="320">
        <f>EJECUCIÓN!N614</f>
        <v>0</v>
      </c>
      <c r="L85" s="320">
        <f>EJECUCIÓN!O614</f>
        <v>0</v>
      </c>
      <c r="M85" s="343">
        <f t="shared" si="4"/>
        <v>0</v>
      </c>
    </row>
    <row r="86" spans="1:13">
      <c r="A86" s="319" t="s">
        <v>1104</v>
      </c>
      <c r="B86" s="331" t="s">
        <v>1106</v>
      </c>
      <c r="C86" s="320">
        <f>EJECUCIÓN!F616</f>
        <v>3047724000</v>
      </c>
      <c r="D86" s="320">
        <f>EJECUCIÓN!G616</f>
        <v>0</v>
      </c>
      <c r="E86" s="320">
        <f>EJECUCIÓN!H616</f>
        <v>660574458</v>
      </c>
      <c r="F86" s="320">
        <f>EJECUCIÓN!I616</f>
        <v>3708298458</v>
      </c>
      <c r="G86" s="320">
        <f>EJECUCIÓN!J616</f>
        <v>-38471179</v>
      </c>
      <c r="H86" s="320">
        <f>EJECUCIÓN!K616</f>
        <v>3618065488</v>
      </c>
      <c r="I86" s="320">
        <f>EJECUCIÓN!L616</f>
        <v>1225817993</v>
      </c>
      <c r="J86" s="320">
        <f>EJECUCIÓN!M616</f>
        <v>3434868522</v>
      </c>
      <c r="K86" s="320">
        <f>EJECUCIÓN!N616</f>
        <v>164047403</v>
      </c>
      <c r="L86" s="320">
        <f>EJECUCIÓN!O616</f>
        <v>1986585892</v>
      </c>
      <c r="M86" s="343">
        <f t="shared" si="4"/>
        <v>0.92626539123081553</v>
      </c>
    </row>
    <row r="87" spans="1:13">
      <c r="A87" s="319" t="s">
        <v>1110</v>
      </c>
      <c r="B87" s="331" t="s">
        <v>1112</v>
      </c>
      <c r="C87" s="320">
        <f>EJECUCIÓN!F620</f>
        <v>2000000</v>
      </c>
      <c r="D87" s="320">
        <f>EJECUCIÓN!G620</f>
        <v>0</v>
      </c>
      <c r="E87" s="320">
        <f>EJECUCIÓN!H620</f>
        <v>0</v>
      </c>
      <c r="F87" s="320">
        <f>EJECUCIÓN!I620</f>
        <v>2000000</v>
      </c>
      <c r="G87" s="320">
        <f>EJECUCIÓN!J620</f>
        <v>0</v>
      </c>
      <c r="H87" s="320">
        <f>EJECUCIÓN!K620</f>
        <v>0</v>
      </c>
      <c r="I87" s="320">
        <f>EJECUCIÓN!L620</f>
        <v>0</v>
      </c>
      <c r="J87" s="320">
        <f>EJECUCIÓN!M620</f>
        <v>0</v>
      </c>
      <c r="K87" s="320">
        <f>EJECUCIÓN!N620</f>
        <v>0</v>
      </c>
      <c r="L87" s="320">
        <f>EJECUCIÓN!O620</f>
        <v>0</v>
      </c>
      <c r="M87" s="343">
        <f t="shared" si="4"/>
        <v>0</v>
      </c>
    </row>
    <row r="88" spans="1:13">
      <c r="A88" s="319" t="s">
        <v>1116</v>
      </c>
      <c r="B88" s="331" t="s">
        <v>1118</v>
      </c>
      <c r="C88" s="320">
        <f>EJECUCIÓN!F623</f>
        <v>422096000</v>
      </c>
      <c r="D88" s="320">
        <f>EJECUCIÓN!G623</f>
        <v>0</v>
      </c>
      <c r="E88" s="320">
        <f>EJECUCIÓN!H623</f>
        <v>-85000000</v>
      </c>
      <c r="F88" s="320">
        <f>EJECUCIÓN!I623</f>
        <v>337096000</v>
      </c>
      <c r="G88" s="320">
        <f>EJECUCIÓN!J623</f>
        <v>-231438</v>
      </c>
      <c r="H88" s="320">
        <f>EJECUCIÓN!K623</f>
        <v>249979562</v>
      </c>
      <c r="I88" s="320">
        <f>EJECUCIÓN!L623</f>
        <v>47028562</v>
      </c>
      <c r="J88" s="320">
        <f>EJECUCIÓN!M623</f>
        <v>244366116</v>
      </c>
      <c r="K88" s="320">
        <f>EJECUCIÓN!N623</f>
        <v>0</v>
      </c>
      <c r="L88" s="320">
        <f>EJECUCIÓN!O623</f>
        <v>85553000</v>
      </c>
      <c r="M88" s="343">
        <f t="shared" si="4"/>
        <v>0.72491550181550657</v>
      </c>
    </row>
    <row r="89" spans="1:13">
      <c r="A89" s="319" t="s">
        <v>1119</v>
      </c>
      <c r="B89" s="331" t="s">
        <v>1121</v>
      </c>
      <c r="C89" s="320">
        <f>EJECUCIÓN!F632</f>
        <v>0</v>
      </c>
      <c r="D89" s="320">
        <f>EJECUCIÓN!G632</f>
        <v>0</v>
      </c>
      <c r="E89" s="320">
        <f>EJECUCIÓN!H632</f>
        <v>0</v>
      </c>
      <c r="F89" s="320">
        <f>EJECUCIÓN!I632</f>
        <v>0</v>
      </c>
      <c r="G89" s="320">
        <f>EJECUCIÓN!J632</f>
        <v>0</v>
      </c>
      <c r="H89" s="320">
        <f>EJECUCIÓN!K632</f>
        <v>0</v>
      </c>
      <c r="I89" s="320">
        <f>EJECUCIÓN!L632</f>
        <v>0</v>
      </c>
      <c r="J89" s="320">
        <f>EJECUCIÓN!M632</f>
        <v>0</v>
      </c>
      <c r="K89" s="320">
        <f>EJECUCIÓN!N632</f>
        <v>0</v>
      </c>
      <c r="L89" s="320">
        <f>EJECUCIÓN!O632</f>
        <v>0</v>
      </c>
      <c r="M89" s="343" t="e">
        <f t="shared" si="4"/>
        <v>#DIV/0!</v>
      </c>
    </row>
    <row r="90" spans="1:13">
      <c r="A90" s="319" t="s">
        <v>1132</v>
      </c>
      <c r="B90" s="331" t="s">
        <v>1134</v>
      </c>
      <c r="C90" s="320">
        <f>EJECUCIÓN!F637</f>
        <v>25004000</v>
      </c>
      <c r="D90" s="320">
        <f>EJECUCIÓN!G637</f>
        <v>0</v>
      </c>
      <c r="E90" s="320">
        <f>EJECUCIÓN!H637</f>
        <v>0</v>
      </c>
      <c r="F90" s="320">
        <f>EJECUCIÓN!I637</f>
        <v>25004000</v>
      </c>
      <c r="G90" s="320">
        <f>EJECUCIÓN!J637</f>
        <v>0</v>
      </c>
      <c r="H90" s="320">
        <f>EJECUCIÓN!K637</f>
        <v>25004000</v>
      </c>
      <c r="I90" s="320">
        <f>EJECUCIÓN!L637</f>
        <v>273100</v>
      </c>
      <c r="J90" s="320">
        <f>EJECUCIÓN!M637</f>
        <v>2548150</v>
      </c>
      <c r="K90" s="320">
        <f>EJECUCIÓN!N637</f>
        <v>273100</v>
      </c>
      <c r="L90" s="320">
        <f>EJECUCIÓN!O637</f>
        <v>2548150</v>
      </c>
      <c r="M90" s="343">
        <f t="shared" si="4"/>
        <v>0.10190969444888817</v>
      </c>
    </row>
    <row r="91" spans="1:13">
      <c r="A91" s="319" t="s">
        <v>1135</v>
      </c>
      <c r="B91" s="331" t="s">
        <v>1137</v>
      </c>
      <c r="C91" s="320">
        <f>EJECUCIÓN!F639</f>
        <v>244864000</v>
      </c>
      <c r="D91" s="320">
        <f>EJECUCIÓN!G639</f>
        <v>0</v>
      </c>
      <c r="E91" s="320">
        <f>EJECUCIÓN!H639</f>
        <v>0</v>
      </c>
      <c r="F91" s="320">
        <f>EJECUCIÓN!I639</f>
        <v>244864000</v>
      </c>
      <c r="G91" s="320">
        <f>EJECUCIÓN!J639</f>
        <v>0</v>
      </c>
      <c r="H91" s="320">
        <f>EJECUCIÓN!K639</f>
        <v>244864000</v>
      </c>
      <c r="I91" s="320">
        <f>EJECUCIÓN!L639</f>
        <v>12601570</v>
      </c>
      <c r="J91" s="320">
        <f>EJECUCIÓN!M639</f>
        <v>115974539</v>
      </c>
      <c r="K91" s="320">
        <f>EJECUCIÓN!N639</f>
        <v>12601570</v>
      </c>
      <c r="L91" s="320">
        <f>EJECUCIÓN!O639</f>
        <v>115959069</v>
      </c>
      <c r="M91" s="343">
        <f t="shared" si="4"/>
        <v>0.47362837738499741</v>
      </c>
    </row>
    <row r="92" spans="1:13">
      <c r="A92" s="319" t="s">
        <v>1141</v>
      </c>
      <c r="B92" s="331" t="s">
        <v>2040</v>
      </c>
      <c r="C92" s="320">
        <f>EJECUCIÓN!F642</f>
        <v>883885000</v>
      </c>
      <c r="D92" s="320">
        <f>EJECUCIÓN!G642</f>
        <v>0</v>
      </c>
      <c r="E92" s="320">
        <f>EJECUCIÓN!H642</f>
        <v>0</v>
      </c>
      <c r="F92" s="320">
        <f>EJECUCIÓN!I642</f>
        <v>883885000</v>
      </c>
      <c r="G92" s="320">
        <f>EJECUCIÓN!J642</f>
        <v>633883488</v>
      </c>
      <c r="H92" s="320">
        <f>EJECUCIÓN!K642</f>
        <v>883883488</v>
      </c>
      <c r="I92" s="320">
        <f>EJECUCIÓN!L642</f>
        <v>633883488</v>
      </c>
      <c r="J92" s="320">
        <f>EJECUCIÓN!M642</f>
        <v>883883488</v>
      </c>
      <c r="K92" s="320">
        <f>EJECUCIÓN!N642</f>
        <v>18055072</v>
      </c>
      <c r="L92" s="320">
        <f>EJECUCIÓN!O642</f>
        <v>18055072</v>
      </c>
      <c r="M92" s="343">
        <f t="shared" si="4"/>
        <v>0.9999982893702235</v>
      </c>
    </row>
    <row r="93" spans="1:13">
      <c r="A93" s="319" t="s">
        <v>1147</v>
      </c>
      <c r="B93" s="331" t="s">
        <v>1149</v>
      </c>
      <c r="C93" s="320">
        <f>EJECUCIÓN!F645</f>
        <v>54500000</v>
      </c>
      <c r="D93" s="320">
        <f>EJECUCIÓN!G645</f>
        <v>0</v>
      </c>
      <c r="E93" s="320">
        <f>EJECUCIÓN!H645</f>
        <v>17281589</v>
      </c>
      <c r="F93" s="320">
        <f>EJECUCIÓN!I645</f>
        <v>71781589</v>
      </c>
      <c r="G93" s="320">
        <f>EJECUCIÓN!J645</f>
        <v>0</v>
      </c>
      <c r="H93" s="320">
        <f>EJECUCIÓN!K645</f>
        <v>48465180</v>
      </c>
      <c r="I93" s="320">
        <f>EJECUCIÓN!L645</f>
        <v>0</v>
      </c>
      <c r="J93" s="320">
        <f>EJECUCIÓN!M645</f>
        <v>48465180</v>
      </c>
      <c r="K93" s="320">
        <f>EJECUCIÓN!N645</f>
        <v>0</v>
      </c>
      <c r="L93" s="320">
        <f>EJECUCIÓN!O645</f>
        <v>48465180</v>
      </c>
      <c r="M93" s="343">
        <f t="shared" si="4"/>
        <v>0.67517563591410601</v>
      </c>
    </row>
    <row r="94" spans="1:13">
      <c r="A94" s="319" t="s">
        <v>1150</v>
      </c>
      <c r="B94" s="331" t="s">
        <v>2041</v>
      </c>
      <c r="C94" s="320">
        <f>EJECUCIÓN!F647</f>
        <v>2300000</v>
      </c>
      <c r="D94" s="320">
        <f>EJECUCIÓN!G647</f>
        <v>0</v>
      </c>
      <c r="E94" s="320">
        <f>EJECUCIÓN!H647</f>
        <v>0</v>
      </c>
      <c r="F94" s="320">
        <f>EJECUCIÓN!I647</f>
        <v>2300000</v>
      </c>
      <c r="G94" s="320">
        <f>EJECUCIÓN!J647</f>
        <v>0</v>
      </c>
      <c r="H94" s="320">
        <f>EJECUCIÓN!K647</f>
        <v>0</v>
      </c>
      <c r="I94" s="320">
        <f>EJECUCIÓN!L647</f>
        <v>0</v>
      </c>
      <c r="J94" s="320">
        <f>EJECUCIÓN!M647</f>
        <v>0</v>
      </c>
      <c r="K94" s="320">
        <f>EJECUCIÓN!N647</f>
        <v>0</v>
      </c>
      <c r="L94" s="320">
        <f>EJECUCIÓN!O647</f>
        <v>0</v>
      </c>
      <c r="M94" s="343">
        <f t="shared" si="4"/>
        <v>0</v>
      </c>
    </row>
    <row r="95" spans="1:13">
      <c r="A95" s="319" t="s">
        <v>1159</v>
      </c>
      <c r="B95" s="331" t="s">
        <v>1161</v>
      </c>
      <c r="C95" s="320">
        <f>EJECUCIÓN!F651</f>
        <v>95472000</v>
      </c>
      <c r="D95" s="320">
        <f>EJECUCIÓN!G651</f>
        <v>0</v>
      </c>
      <c r="E95" s="320">
        <f>EJECUCIÓN!H651</f>
        <v>0</v>
      </c>
      <c r="F95" s="320">
        <f>EJECUCIÓN!I651</f>
        <v>95472000</v>
      </c>
      <c r="G95" s="320">
        <f>EJECUCIÓN!J651</f>
        <v>0</v>
      </c>
      <c r="H95" s="320">
        <f>EJECUCIÓN!K651</f>
        <v>0</v>
      </c>
      <c r="I95" s="320">
        <f>EJECUCIÓN!L651</f>
        <v>0</v>
      </c>
      <c r="J95" s="320">
        <f>EJECUCIÓN!M651</f>
        <v>0</v>
      </c>
      <c r="K95" s="320">
        <f>EJECUCIÓN!N651</f>
        <v>0</v>
      </c>
      <c r="L95" s="320">
        <f>EJECUCIÓN!O651</f>
        <v>0</v>
      </c>
      <c r="M95" s="343">
        <f t="shared" si="4"/>
        <v>0</v>
      </c>
    </row>
    <row r="96" spans="1:13">
      <c r="A96" s="319" t="s">
        <v>1162</v>
      </c>
      <c r="B96" s="331" t="s">
        <v>1164</v>
      </c>
      <c r="C96" s="320">
        <f>EJECUCIÓN!F653</f>
        <v>16983259000</v>
      </c>
      <c r="D96" s="320">
        <f>EJECUCIÓN!G653</f>
        <v>8437333289</v>
      </c>
      <c r="E96" s="320">
        <f>EJECUCIÓN!H653</f>
        <v>8449034313</v>
      </c>
      <c r="F96" s="320">
        <f>EJECUCIÓN!I653</f>
        <v>25432293313</v>
      </c>
      <c r="G96" s="320">
        <f>EJECUCIÓN!J653</f>
        <v>0</v>
      </c>
      <c r="H96" s="320">
        <f>EJECUCIÓN!K653</f>
        <v>16902923398</v>
      </c>
      <c r="I96" s="320">
        <f>EJECUCIÓN!L653</f>
        <v>0</v>
      </c>
      <c r="J96" s="320">
        <f>EJECUCIÓN!M653</f>
        <v>16891222374</v>
      </c>
      <c r="K96" s="320">
        <f>EJECUCIÓN!N653</f>
        <v>0</v>
      </c>
      <c r="L96" s="320">
        <f>EJECUCIÓN!O653</f>
        <v>11091468197</v>
      </c>
      <c r="M96" s="343">
        <f t="shared" si="4"/>
        <v>0.66416434279506609</v>
      </c>
    </row>
    <row r="97" spans="1:13">
      <c r="A97" s="319" t="s">
        <v>1168</v>
      </c>
      <c r="B97" s="331" t="s">
        <v>1170</v>
      </c>
      <c r="C97" s="320">
        <f>EJECUCIÓN!F656</f>
        <v>243542000</v>
      </c>
      <c r="D97" s="320">
        <f>EJECUCIÓN!G656</f>
        <v>0</v>
      </c>
      <c r="E97" s="320">
        <f>EJECUCIÓN!H656</f>
        <v>1000000</v>
      </c>
      <c r="F97" s="320">
        <f>EJECUCIÓN!I656</f>
        <v>244542000</v>
      </c>
      <c r="G97" s="320">
        <f>EJECUCIÓN!J656</f>
        <v>227335000</v>
      </c>
      <c r="H97" s="320">
        <f>EJECUCIÓN!K656</f>
        <v>227335000</v>
      </c>
      <c r="I97" s="320">
        <f>EJECUCIÓN!L656</f>
        <v>0</v>
      </c>
      <c r="J97" s="320">
        <f>EJECUCIÓN!M656</f>
        <v>0</v>
      </c>
      <c r="K97" s="320">
        <f>EJECUCIÓN!N656</f>
        <v>0</v>
      </c>
      <c r="L97" s="320">
        <f>EJECUCIÓN!O656</f>
        <v>0</v>
      </c>
      <c r="M97" s="343">
        <f t="shared" si="4"/>
        <v>0</v>
      </c>
    </row>
    <row r="98" spans="1:13">
      <c r="A98" s="319" t="s">
        <v>1171</v>
      </c>
      <c r="B98" s="331" t="s">
        <v>1173</v>
      </c>
      <c r="C98" s="320">
        <f>EJECUCIÓN!F661</f>
        <v>6697204000</v>
      </c>
      <c r="D98" s="320">
        <f>EJECUCIÓN!G661</f>
        <v>3191765747</v>
      </c>
      <c r="E98" s="320">
        <f>EJECUCIÓN!H661</f>
        <v>3191765747</v>
      </c>
      <c r="F98" s="320">
        <f>EJECUCIÓN!I661</f>
        <v>9888969747</v>
      </c>
      <c r="G98" s="320">
        <f>EJECUCIÓN!J661</f>
        <v>347903750</v>
      </c>
      <c r="H98" s="320">
        <f>EJECUCIÓN!K661</f>
        <v>6618913702</v>
      </c>
      <c r="I98" s="320">
        <f>EJECUCIÓN!L661</f>
        <v>347903750</v>
      </c>
      <c r="J98" s="320">
        <f>EJECUCIÓN!M661</f>
        <v>6618913702</v>
      </c>
      <c r="K98" s="320">
        <f>EJECUCIÓN!N661</f>
        <v>0</v>
      </c>
      <c r="L98" s="320">
        <f>EJECUCIÓN!O661</f>
        <v>4575356789</v>
      </c>
      <c r="M98" s="343">
        <f t="shared" si="4"/>
        <v>0.66932287906007282</v>
      </c>
    </row>
    <row r="99" spans="1:13">
      <c r="A99" s="319" t="s">
        <v>1174</v>
      </c>
      <c r="B99" s="331" t="s">
        <v>1176</v>
      </c>
      <c r="C99" s="320">
        <f>EJECUCIÓN!F663</f>
        <v>93932000</v>
      </c>
      <c r="D99" s="320">
        <f>EJECUCIÓN!G663</f>
        <v>0</v>
      </c>
      <c r="E99" s="320">
        <f>EJECUCIÓN!H663</f>
        <v>0</v>
      </c>
      <c r="F99" s="320">
        <f>EJECUCIÓN!I663</f>
        <v>93932000</v>
      </c>
      <c r="G99" s="320">
        <f>EJECUCIÓN!J663</f>
        <v>0</v>
      </c>
      <c r="H99" s="320">
        <f>EJECUCIÓN!K663</f>
        <v>0</v>
      </c>
      <c r="I99" s="320">
        <f>EJECUCIÓN!L663</f>
        <v>0</v>
      </c>
      <c r="J99" s="320">
        <f>EJECUCIÓN!M663</f>
        <v>0</v>
      </c>
      <c r="K99" s="320">
        <f>EJECUCIÓN!N663</f>
        <v>0</v>
      </c>
      <c r="L99" s="320">
        <f>EJECUCIÓN!O663</f>
        <v>0</v>
      </c>
      <c r="M99" s="343">
        <f t="shared" si="4"/>
        <v>0</v>
      </c>
    </row>
    <row r="100" spans="1:13">
      <c r="A100" s="319" t="s">
        <v>1183</v>
      </c>
      <c r="B100" s="331" t="s">
        <v>1185</v>
      </c>
      <c r="C100" s="320">
        <f>EJECUCIÓN!F667</f>
        <v>387458000</v>
      </c>
      <c r="D100" s="320">
        <f>EJECUCIÓN!G667</f>
        <v>0</v>
      </c>
      <c r="E100" s="320">
        <f>EJECUCIÓN!H667</f>
        <v>4076000</v>
      </c>
      <c r="F100" s="320">
        <f>EJECUCIÓN!I667</f>
        <v>391534000</v>
      </c>
      <c r="G100" s="320">
        <f>EJECUCIÓN!J667</f>
        <v>4600000</v>
      </c>
      <c r="H100" s="320">
        <f>EJECUCIÓN!K667</f>
        <v>345956236</v>
      </c>
      <c r="I100" s="320">
        <f>EJECUCIÓN!L667</f>
        <v>0</v>
      </c>
      <c r="J100" s="320">
        <f>EJECUCIÓN!M667</f>
        <v>341356236</v>
      </c>
      <c r="K100" s="320">
        <f>EJECUCIÓN!N667</f>
        <v>0</v>
      </c>
      <c r="L100" s="320">
        <f>EJECUCIÓN!O667</f>
        <v>68691602</v>
      </c>
      <c r="M100" s="343">
        <f t="shared" si="4"/>
        <v>0.87184315027558268</v>
      </c>
    </row>
    <row r="101" spans="1:13">
      <c r="A101" s="319" t="s">
        <v>1189</v>
      </c>
      <c r="B101" s="331" t="s">
        <v>2042</v>
      </c>
      <c r="C101" s="320">
        <f>EJECUCIÓN!F677+EJECUCIÓN!F693</f>
        <v>2161836000</v>
      </c>
      <c r="D101" s="320">
        <f>EJECUCIÓN!G677+EJECUCIÓN!G693</f>
        <v>42400000</v>
      </c>
      <c r="E101" s="320">
        <f>EJECUCIÓN!H677+EJECUCIÓN!H693</f>
        <v>942872993</v>
      </c>
      <c r="F101" s="320">
        <f>EJECUCIÓN!I677+EJECUCIÓN!I693</f>
        <v>3104708993</v>
      </c>
      <c r="G101" s="320">
        <f>EJECUCIÓN!J677+EJECUCIÓN!J693</f>
        <v>104709560</v>
      </c>
      <c r="H101" s="320">
        <f>EJECUCIÓN!K677+EJECUCIÓN!K693</f>
        <v>819733706</v>
      </c>
      <c r="I101" s="320">
        <f>EJECUCIÓN!L677+EJECUCIÓN!L693</f>
        <v>212689163</v>
      </c>
      <c r="J101" s="320">
        <f>EJECUCIÓN!M677+EJECUCIÓN!M693</f>
        <v>721888856</v>
      </c>
      <c r="K101" s="320">
        <f>EJECUCIÓN!N677+EJECUCIÓN!N693</f>
        <v>66488412</v>
      </c>
      <c r="L101" s="320">
        <f>EJECUCIÓN!O677+EJECUCIÓN!O693</f>
        <v>406666239</v>
      </c>
      <c r="M101" s="343">
        <f t="shared" si="4"/>
        <v>0.23251417689309989</v>
      </c>
    </row>
    <row r="102" spans="1:13">
      <c r="A102" s="319" t="s">
        <v>1207</v>
      </c>
      <c r="B102" s="331" t="s">
        <v>1209</v>
      </c>
      <c r="C102" s="320">
        <f>EJECUCIÓN!F712</f>
        <v>3457425000</v>
      </c>
      <c r="D102" s="320">
        <f>EJECUCIÓN!G712</f>
        <v>0</v>
      </c>
      <c r="E102" s="320">
        <f>EJECUCIÓN!H712</f>
        <v>0</v>
      </c>
      <c r="F102" s="320">
        <f>EJECUCIÓN!I712</f>
        <v>3457425000</v>
      </c>
      <c r="G102" s="320">
        <f>EJECUCIÓN!J712</f>
        <v>0</v>
      </c>
      <c r="H102" s="320">
        <f>EJECUCIÓN!K712</f>
        <v>3457425000</v>
      </c>
      <c r="I102" s="320">
        <f>EJECUCIÓN!L712</f>
        <v>224637230</v>
      </c>
      <c r="J102" s="320">
        <f>EJECUCIÓN!M712</f>
        <v>1742028459</v>
      </c>
      <c r="K102" s="320">
        <f>EJECUCIÓN!N712</f>
        <v>224637230</v>
      </c>
      <c r="L102" s="320">
        <f>EJECUCIÓN!O712</f>
        <v>1711583149</v>
      </c>
      <c r="M102" s="343">
        <f t="shared" si="4"/>
        <v>0.50385140935812056</v>
      </c>
    </row>
    <row r="103" spans="1:13">
      <c r="A103" s="319" t="s">
        <v>1210</v>
      </c>
      <c r="B103" s="331" t="s">
        <v>1212</v>
      </c>
      <c r="C103" s="320">
        <f>EJECUCIÓN!F714</f>
        <v>15866000</v>
      </c>
      <c r="D103" s="320">
        <f>EJECUCIÓN!G714</f>
        <v>0</v>
      </c>
      <c r="E103" s="320">
        <f>EJECUCIÓN!H714</f>
        <v>0</v>
      </c>
      <c r="F103" s="320">
        <f>EJECUCIÓN!I714</f>
        <v>15866000</v>
      </c>
      <c r="G103" s="320">
        <f>EJECUCIÓN!J714</f>
        <v>0</v>
      </c>
      <c r="H103" s="320">
        <f>EJECUCIÓN!K714</f>
        <v>15852319</v>
      </c>
      <c r="I103" s="320">
        <f>EJECUCIÓN!L714</f>
        <v>228860</v>
      </c>
      <c r="J103" s="320">
        <f>EJECUCIÓN!M714</f>
        <v>3967741</v>
      </c>
      <c r="K103" s="320">
        <f>EJECUCIÓN!N714</f>
        <v>91580</v>
      </c>
      <c r="L103" s="320">
        <f>EJECUCIÓN!O714</f>
        <v>3809321</v>
      </c>
      <c r="M103" s="343">
        <f t="shared" si="4"/>
        <v>0.25007821757216692</v>
      </c>
    </row>
    <row r="104" spans="1:13">
      <c r="A104" s="319" t="s">
        <v>1213</v>
      </c>
      <c r="B104" s="331" t="s">
        <v>1215</v>
      </c>
      <c r="C104" s="320">
        <f>EJECUCIÓN!F716</f>
        <v>361152000</v>
      </c>
      <c r="D104" s="320">
        <f>EJECUCIÓN!G716</f>
        <v>0</v>
      </c>
      <c r="E104" s="320">
        <f>EJECUCIÓN!H716</f>
        <v>0</v>
      </c>
      <c r="F104" s="320">
        <f>EJECUCIÓN!I716</f>
        <v>361152000</v>
      </c>
      <c r="G104" s="320">
        <f>EJECUCIÓN!J716</f>
        <v>0</v>
      </c>
      <c r="H104" s="320">
        <f>EJECUCIÓN!K716</f>
        <v>361152000</v>
      </c>
      <c r="I104" s="320">
        <f>EJECUCIÓN!L716</f>
        <v>22657429</v>
      </c>
      <c r="J104" s="320">
        <f>EJECUCIÓN!M716</f>
        <v>257784877</v>
      </c>
      <c r="K104" s="320">
        <f>EJECUCIÓN!N716</f>
        <v>22657429</v>
      </c>
      <c r="L104" s="320">
        <f>EJECUCIÓN!O716</f>
        <v>257784877</v>
      </c>
      <c r="M104" s="343">
        <f t="shared" si="4"/>
        <v>0.71378499080719471</v>
      </c>
    </row>
    <row r="105" spans="1:13">
      <c r="A105" s="319" t="s">
        <v>1225</v>
      </c>
      <c r="B105" s="331" t="s">
        <v>1227</v>
      </c>
      <c r="C105" s="320">
        <f>EJECUCIÓN!F720+EJECUCIÓN!F722</f>
        <v>326236000</v>
      </c>
      <c r="D105" s="320">
        <f>EJECUCIÓN!G720+EJECUCIÓN!G722</f>
        <v>0</v>
      </c>
      <c r="E105" s="320">
        <f>EJECUCIÓN!H720+EJECUCIÓN!H722</f>
        <v>53586544</v>
      </c>
      <c r="F105" s="320">
        <f>EJECUCIÓN!I720+EJECUCIÓN!I722</f>
        <v>379822544</v>
      </c>
      <c r="G105" s="320">
        <f>EJECUCIÓN!J720+EJECUCIÓN!J722</f>
        <v>0</v>
      </c>
      <c r="H105" s="320">
        <f>EJECUCIÓN!K720+EJECUCIÓN!K722</f>
        <v>131960482</v>
      </c>
      <c r="I105" s="320">
        <f>EJECUCIÓN!L720+EJECUCIÓN!L722</f>
        <v>0</v>
      </c>
      <c r="J105" s="320">
        <f>EJECUCIÓN!M720+EJECUCIÓN!M722</f>
        <v>53967544</v>
      </c>
      <c r="K105" s="320">
        <f>EJECUCIÓN!N720+EJECUCIÓN!N722</f>
        <v>0</v>
      </c>
      <c r="L105" s="320">
        <f>EJECUCIÓN!O720+EJECUCIÓN!O722</f>
        <v>53967544</v>
      </c>
      <c r="M105" s="343">
        <f t="shared" si="4"/>
        <v>0.14208620539385361</v>
      </c>
    </row>
    <row r="106" spans="1:13">
      <c r="A106" s="319" t="s">
        <v>1231</v>
      </c>
      <c r="B106" s="331" t="s">
        <v>1230</v>
      </c>
      <c r="C106" s="320">
        <f>EJECUCIÓN!F726</f>
        <v>548780000</v>
      </c>
      <c r="D106" s="320">
        <f>EJECUCIÓN!G726</f>
        <v>0</v>
      </c>
      <c r="E106" s="320">
        <f>EJECUCIÓN!H726</f>
        <v>0</v>
      </c>
      <c r="F106" s="320">
        <f>EJECUCIÓN!I726</f>
        <v>548780000</v>
      </c>
      <c r="G106" s="320">
        <f>EJECUCIÓN!J726</f>
        <v>0</v>
      </c>
      <c r="H106" s="320">
        <f>EJECUCIÓN!K726</f>
        <v>57489036</v>
      </c>
      <c r="I106" s="320">
        <f>EJECUCIÓN!L726</f>
        <v>57489036</v>
      </c>
      <c r="J106" s="320">
        <f>EJECUCIÓN!M726</f>
        <v>57489036</v>
      </c>
      <c r="K106" s="320">
        <f>EJECUCIÓN!N726</f>
        <v>0</v>
      </c>
      <c r="L106" s="320">
        <f>EJECUCIÓN!O726</f>
        <v>0</v>
      </c>
      <c r="M106" s="343">
        <f t="shared" si="4"/>
        <v>0.10475789205145961</v>
      </c>
    </row>
    <row r="107" spans="1:13">
      <c r="A107" s="319" t="s">
        <v>1237</v>
      </c>
      <c r="B107" s="331" t="s">
        <v>1239</v>
      </c>
      <c r="C107" s="320">
        <f>EJECUCIÓN!F731</f>
        <v>81003000</v>
      </c>
      <c r="D107" s="320">
        <f>EJECUCIÓN!G731</f>
        <v>0</v>
      </c>
      <c r="E107" s="320">
        <f>EJECUCIÓN!H731</f>
        <v>20106704</v>
      </c>
      <c r="F107" s="320">
        <f>EJECUCIÓN!I731</f>
        <v>101109704</v>
      </c>
      <c r="G107" s="320">
        <f>EJECUCIÓN!J731</f>
        <v>0</v>
      </c>
      <c r="H107" s="320">
        <f>EJECUCIÓN!K731</f>
        <v>101109704</v>
      </c>
      <c r="I107" s="320">
        <f>EJECUCIÓN!L731</f>
        <v>0</v>
      </c>
      <c r="J107" s="320">
        <f>EJECUCIÓN!M731</f>
        <v>0</v>
      </c>
      <c r="K107" s="320">
        <f>EJECUCIÓN!N731</f>
        <v>0</v>
      </c>
      <c r="L107" s="320">
        <f>EJECUCIÓN!O731</f>
        <v>0</v>
      </c>
      <c r="M107" s="343">
        <f t="shared" si="4"/>
        <v>0</v>
      </c>
    </row>
    <row r="108" spans="1:13">
      <c r="A108" s="319" t="s">
        <v>1246</v>
      </c>
      <c r="B108" s="331" t="s">
        <v>1248</v>
      </c>
      <c r="C108" s="320">
        <f>EJECUCIÓN!F736</f>
        <v>110509000</v>
      </c>
      <c r="D108" s="320">
        <f>EJECUCIÓN!G736</f>
        <v>0</v>
      </c>
      <c r="E108" s="320">
        <f>EJECUCIÓN!H736</f>
        <v>0</v>
      </c>
      <c r="F108" s="320">
        <f>EJECUCIÓN!I736</f>
        <v>110509000</v>
      </c>
      <c r="G108" s="320">
        <f>EJECUCIÓN!J736</f>
        <v>0</v>
      </c>
      <c r="H108" s="320">
        <f>EJECUCIÓN!K736</f>
        <v>0</v>
      </c>
      <c r="I108" s="320">
        <f>EJECUCIÓN!L736</f>
        <v>0</v>
      </c>
      <c r="J108" s="320">
        <f>EJECUCIÓN!M736</f>
        <v>0</v>
      </c>
      <c r="K108" s="320">
        <f>EJECUCIÓN!N736</f>
        <v>0</v>
      </c>
      <c r="L108" s="320">
        <f>EJECUCIÓN!O736</f>
        <v>0</v>
      </c>
      <c r="M108" s="343">
        <f t="shared" si="4"/>
        <v>0</v>
      </c>
    </row>
    <row r="109" spans="1:13">
      <c r="A109" s="319" t="s">
        <v>1255</v>
      </c>
      <c r="B109" s="331" t="s">
        <v>1257</v>
      </c>
      <c r="C109" s="320">
        <f>EJECUCIÓN!F740</f>
        <v>35000000</v>
      </c>
      <c r="D109" s="320">
        <f>EJECUCIÓN!G740</f>
        <v>0</v>
      </c>
      <c r="E109" s="320">
        <f>EJECUCIÓN!H740</f>
        <v>0</v>
      </c>
      <c r="F109" s="320">
        <f>EJECUCIÓN!I740</f>
        <v>35000000</v>
      </c>
      <c r="G109" s="320">
        <f>EJECUCIÓN!J740</f>
        <v>0</v>
      </c>
      <c r="H109" s="320">
        <f>EJECUCIÓN!K740</f>
        <v>0</v>
      </c>
      <c r="I109" s="320">
        <f>EJECUCIÓN!L740</f>
        <v>0</v>
      </c>
      <c r="J109" s="320">
        <f>EJECUCIÓN!M740</f>
        <v>0</v>
      </c>
      <c r="K109" s="320">
        <f>EJECUCIÓN!N740</f>
        <v>0</v>
      </c>
      <c r="L109" s="320">
        <f>EJECUCIÓN!O740</f>
        <v>0</v>
      </c>
      <c r="M109" s="343">
        <f t="shared" si="4"/>
        <v>0</v>
      </c>
    </row>
    <row r="110" spans="1:13">
      <c r="A110" s="319" t="s">
        <v>1258</v>
      </c>
      <c r="B110" s="331" t="s">
        <v>1260</v>
      </c>
      <c r="C110" s="320">
        <f>EJECUCIÓN!F742</f>
        <v>50000000</v>
      </c>
      <c r="D110" s="320">
        <f>EJECUCIÓN!G742</f>
        <v>0</v>
      </c>
      <c r="E110" s="320">
        <f>EJECUCIÓN!H742</f>
        <v>0</v>
      </c>
      <c r="F110" s="320">
        <f>EJECUCIÓN!I742</f>
        <v>50000000</v>
      </c>
      <c r="G110" s="320">
        <f>EJECUCIÓN!J742</f>
        <v>0</v>
      </c>
      <c r="H110" s="320">
        <f>EJECUCIÓN!K742</f>
        <v>0</v>
      </c>
      <c r="I110" s="320">
        <f>EJECUCIÓN!L742</f>
        <v>0</v>
      </c>
      <c r="J110" s="320">
        <f>EJECUCIÓN!M742</f>
        <v>0</v>
      </c>
      <c r="K110" s="320">
        <f>EJECUCIÓN!N742</f>
        <v>0</v>
      </c>
      <c r="L110" s="320">
        <f>EJECUCIÓN!O742</f>
        <v>0</v>
      </c>
      <c r="M110" s="343">
        <f t="shared" si="4"/>
        <v>0</v>
      </c>
    </row>
    <row r="111" spans="1:13">
      <c r="A111" s="319" t="s">
        <v>1261</v>
      </c>
      <c r="B111" s="331" t="s">
        <v>1263</v>
      </c>
      <c r="C111" s="320">
        <f>EJECUCIÓN!F744</f>
        <v>161447000</v>
      </c>
      <c r="D111" s="320">
        <f>EJECUCIÓN!G744</f>
        <v>0</v>
      </c>
      <c r="E111" s="320">
        <f>EJECUCIÓN!H744</f>
        <v>0</v>
      </c>
      <c r="F111" s="320">
        <f>EJECUCIÓN!I744</f>
        <v>161447000</v>
      </c>
      <c r="G111" s="320">
        <f>EJECUCIÓN!J744</f>
        <v>0</v>
      </c>
      <c r="H111" s="320">
        <f>EJECUCIÓN!K744</f>
        <v>30000000</v>
      </c>
      <c r="I111" s="320">
        <f>EJECUCIÓN!L744</f>
        <v>0</v>
      </c>
      <c r="J111" s="320">
        <f>EJECUCIÓN!M744</f>
        <v>30000000</v>
      </c>
      <c r="K111" s="320">
        <f>EJECUCIÓN!N744</f>
        <v>0</v>
      </c>
      <c r="L111" s="320">
        <f>EJECUCIÓN!O744</f>
        <v>0</v>
      </c>
      <c r="M111" s="343">
        <f t="shared" si="4"/>
        <v>0.18581949494261274</v>
      </c>
    </row>
    <row r="112" spans="1:13">
      <c r="A112" s="319" t="s">
        <v>1267</v>
      </c>
      <c r="B112" s="331" t="s">
        <v>1269</v>
      </c>
      <c r="C112" s="320">
        <f>EJECUCIÓN!F747</f>
        <v>68193000</v>
      </c>
      <c r="D112" s="320">
        <f>EJECUCIÓN!G747</f>
        <v>0</v>
      </c>
      <c r="E112" s="320">
        <f>EJECUCIÓN!H747</f>
        <v>0</v>
      </c>
      <c r="F112" s="320">
        <f>EJECUCIÓN!I747</f>
        <v>68193000</v>
      </c>
      <c r="G112" s="320">
        <f>EJECUCIÓN!J747</f>
        <v>0</v>
      </c>
      <c r="H112" s="320">
        <f>EJECUCIÓN!K747</f>
        <v>0</v>
      </c>
      <c r="I112" s="320">
        <f>EJECUCIÓN!L747</f>
        <v>0</v>
      </c>
      <c r="J112" s="320">
        <f>EJECUCIÓN!M747</f>
        <v>0</v>
      </c>
      <c r="K112" s="320">
        <f>EJECUCIÓN!N747</f>
        <v>0</v>
      </c>
      <c r="L112" s="320">
        <f>EJECUCIÓN!O747</f>
        <v>0</v>
      </c>
      <c r="M112" s="343">
        <f t="shared" si="4"/>
        <v>0</v>
      </c>
    </row>
    <row r="113" spans="1:13">
      <c r="A113" s="319" t="s">
        <v>1270</v>
      </c>
      <c r="B113" s="331" t="s">
        <v>1272</v>
      </c>
      <c r="C113" s="320">
        <f>EJECUCIÓN!F749</f>
        <v>84509000</v>
      </c>
      <c r="D113" s="320">
        <f>EJECUCIÓN!G749</f>
        <v>0</v>
      </c>
      <c r="E113" s="320">
        <f>EJECUCIÓN!H749</f>
        <v>0</v>
      </c>
      <c r="F113" s="320">
        <f>EJECUCIÓN!I749</f>
        <v>84509000</v>
      </c>
      <c r="G113" s="320">
        <f>EJECUCIÓN!J749</f>
        <v>-1239</v>
      </c>
      <c r="H113" s="320">
        <f>EJECUCIÓN!K749</f>
        <v>84507761</v>
      </c>
      <c r="I113" s="320">
        <f>EJECUCIÓN!L749</f>
        <v>84507761</v>
      </c>
      <c r="J113" s="320">
        <f>EJECUCIÓN!M749</f>
        <v>84507761</v>
      </c>
      <c r="K113" s="320">
        <f>EJECUCIÓN!N749</f>
        <v>0</v>
      </c>
      <c r="L113" s="320">
        <f>EJECUCIÓN!O749</f>
        <v>0</v>
      </c>
      <c r="M113" s="343">
        <f t="shared" si="4"/>
        <v>0.99998533883965024</v>
      </c>
    </row>
    <row r="114" spans="1:13">
      <c r="A114" s="319" t="s">
        <v>1273</v>
      </c>
      <c r="B114" s="331" t="s">
        <v>2043</v>
      </c>
      <c r="C114" s="320">
        <f>EJECUCIÓN!F751</f>
        <v>25588000</v>
      </c>
      <c r="D114" s="320">
        <f>EJECUCIÓN!G751</f>
        <v>0</v>
      </c>
      <c r="E114" s="320">
        <f>EJECUCIÓN!H751</f>
        <v>0</v>
      </c>
      <c r="F114" s="320">
        <f>EJECUCIÓN!I751</f>
        <v>25588000</v>
      </c>
      <c r="G114" s="320">
        <f>EJECUCIÓN!J751</f>
        <v>0</v>
      </c>
      <c r="H114" s="320">
        <f>EJECUCIÓN!K751</f>
        <v>0</v>
      </c>
      <c r="I114" s="320">
        <f>EJECUCIÓN!L751</f>
        <v>0</v>
      </c>
      <c r="J114" s="320">
        <f>EJECUCIÓN!M751</f>
        <v>0</v>
      </c>
      <c r="K114" s="320">
        <f>EJECUCIÓN!N751</f>
        <v>0</v>
      </c>
      <c r="L114" s="320">
        <f>EJECUCIÓN!O751</f>
        <v>0</v>
      </c>
      <c r="M114" s="343">
        <f t="shared" si="4"/>
        <v>0</v>
      </c>
    </row>
    <row r="115" spans="1:13">
      <c r="A115" s="319" t="s">
        <v>1282</v>
      </c>
      <c r="B115" s="331" t="s">
        <v>1284</v>
      </c>
      <c r="C115" s="320">
        <f>EJECUCIÓN!F756+EJECUCIÓN!F762</f>
        <v>712624000</v>
      </c>
      <c r="D115" s="320">
        <f>EJECUCIÓN!G756+EJECUCIÓN!G762</f>
        <v>0</v>
      </c>
      <c r="E115" s="320">
        <f>EJECUCIÓN!H756+EJECUCIÓN!H762</f>
        <v>9238400</v>
      </c>
      <c r="F115" s="320">
        <f>EJECUCIÓN!I756+EJECUCIÓN!I762</f>
        <v>721862400</v>
      </c>
      <c r="G115" s="320">
        <f>EJECUCIÓN!J756+EJECUCIÓN!J762</f>
        <v>276272000</v>
      </c>
      <c r="H115" s="320">
        <f>EJECUCIÓN!K756+EJECUCIÓN!K762</f>
        <v>582885540</v>
      </c>
      <c r="I115" s="320">
        <f>EJECUCIÓN!L756+EJECUCIÓN!L762</f>
        <v>111008980</v>
      </c>
      <c r="J115" s="320">
        <f>EJECUCIÓN!M756+EJECUCIÓN!M762</f>
        <v>302537520</v>
      </c>
      <c r="K115" s="320">
        <f>EJECUCIÓN!N756+EJECUCIÓN!N762</f>
        <v>0</v>
      </c>
      <c r="L115" s="320">
        <f>EJECUCIÓN!O756+EJECUCIÓN!O762</f>
        <v>150170500</v>
      </c>
      <c r="M115" s="343">
        <f t="shared" si="4"/>
        <v>0.41910691012580792</v>
      </c>
    </row>
    <row r="116" spans="1:13">
      <c r="A116" s="319" t="s">
        <v>1296</v>
      </c>
      <c r="B116" s="331" t="s">
        <v>1298</v>
      </c>
      <c r="C116" s="320">
        <f>EJECUCIÓN!F774</f>
        <v>325401000</v>
      </c>
      <c r="D116" s="320">
        <f>EJECUCIÓN!G774</f>
        <v>0</v>
      </c>
      <c r="E116" s="320">
        <f>EJECUCIÓN!H774</f>
        <v>0</v>
      </c>
      <c r="F116" s="320">
        <f>EJECUCIÓN!I774</f>
        <v>325401000</v>
      </c>
      <c r="G116" s="320">
        <f>EJECUCIÓN!J774</f>
        <v>0</v>
      </c>
      <c r="H116" s="320">
        <f>EJECUCIÓN!K774</f>
        <v>325401000</v>
      </c>
      <c r="I116" s="320">
        <f>EJECUCIÓN!L774</f>
        <v>17509050</v>
      </c>
      <c r="J116" s="320">
        <f>EJECUCIÓN!M774</f>
        <v>203787720</v>
      </c>
      <c r="K116" s="320">
        <f>EJECUCIÓN!N774</f>
        <v>17509050</v>
      </c>
      <c r="L116" s="320">
        <f>EJECUCIÓN!O774</f>
        <v>203787720</v>
      </c>
      <c r="M116" s="343">
        <f t="shared" si="4"/>
        <v>0.62626642204541472</v>
      </c>
    </row>
    <row r="117" spans="1:13">
      <c r="A117" s="319" t="s">
        <v>1305</v>
      </c>
      <c r="B117" s="331" t="s">
        <v>1307</v>
      </c>
      <c r="C117" s="320">
        <f>EJECUCIÓN!F778+EJECUCIÓN!F780</f>
        <v>414790000</v>
      </c>
      <c r="D117" s="320">
        <f>EJECUCIÓN!G778+EJECUCIÓN!G780</f>
        <v>105500000</v>
      </c>
      <c r="E117" s="320">
        <f>EJECUCIÓN!H778+EJECUCIÓN!H780</f>
        <v>105500000</v>
      </c>
      <c r="F117" s="320">
        <f>EJECUCIÓN!I778+EJECUCIÓN!I780</f>
        <v>520290000</v>
      </c>
      <c r="G117" s="320">
        <f>EJECUCIÓN!J778+EJECUCIÓN!J780</f>
        <v>0</v>
      </c>
      <c r="H117" s="320">
        <f>EJECUCIÓN!K778+EJECUCIÓN!K780</f>
        <v>0</v>
      </c>
      <c r="I117" s="320">
        <f>EJECUCIÓN!L778+EJECUCIÓN!L780</f>
        <v>0</v>
      </c>
      <c r="J117" s="320">
        <f>EJECUCIÓN!M778+EJECUCIÓN!M780</f>
        <v>0</v>
      </c>
      <c r="K117" s="320">
        <f>EJECUCIÓN!N778+EJECUCIÓN!N780</f>
        <v>0</v>
      </c>
      <c r="L117" s="320">
        <f>EJECUCIÓN!O778+EJECUCIÓN!O780</f>
        <v>0</v>
      </c>
      <c r="M117" s="343">
        <f t="shared" si="4"/>
        <v>0</v>
      </c>
    </row>
    <row r="118" spans="1:13">
      <c r="A118" s="319" t="s">
        <v>1312</v>
      </c>
      <c r="B118" s="331" t="s">
        <v>1314</v>
      </c>
      <c r="C118" s="320">
        <f>EJECUCIÓN!F783+EJECUCIÓN!F785+EJECUCIÓN!F787+EJECUCIÓN!F789+EJECUCIÓN!F791+EJECUCIÓN!F793+EJECUCIÓN!F795+EJECUCIÓN!F798+EJECUCIÓN!F797+EJECUCIÓN!F800+EJECUCIÓN!F802</f>
        <v>3035620000</v>
      </c>
      <c r="D118" s="320">
        <f>EJECUCIÓN!G783+EJECUCIÓN!G785+EJECUCIÓN!G787+EJECUCIÓN!G789+EJECUCIÓN!G791+EJECUCIÓN!G793+EJECUCIÓN!G795+EJECUCIÓN!G798+EJECUCIÓN!G797+EJECUCIÓN!G800+EJECUCIÓN!G802</f>
        <v>0</v>
      </c>
      <c r="E118" s="320">
        <f>EJECUCIÓN!H783+EJECUCIÓN!H785+EJECUCIÓN!H787+EJECUCIÓN!H789+EJECUCIÓN!H791+EJECUCIÓN!H793+EJECUCIÓN!H795+EJECUCIÓN!H798+EJECUCIÓN!H797+EJECUCIÓN!H800+EJECUCIÓN!H802</f>
        <v>4948603193</v>
      </c>
      <c r="F118" s="320">
        <f>EJECUCIÓN!I783+EJECUCIÓN!I785+EJECUCIÓN!I787+EJECUCIÓN!I789+EJECUCIÓN!I791+EJECUCIÓN!I793+EJECUCIÓN!I795+EJECUCIÓN!I798+EJECUCIÓN!I797+EJECUCIÓN!I800+EJECUCIÓN!I802</f>
        <v>7984223193</v>
      </c>
      <c r="G118" s="320">
        <f>EJECUCIÓN!J783+EJECUCIÓN!J785+EJECUCIÓN!J787+EJECUCIÓN!J789+EJECUCIÓN!J791+EJECUCIÓN!J793+EJECUCIÓN!J795+EJECUCIÓN!J798+EJECUCIÓN!J797+EJECUCIÓN!J800+EJECUCIÓN!J802</f>
        <v>483222772</v>
      </c>
      <c r="H118" s="320">
        <f>EJECUCIÓN!K783+EJECUCIÓN!K785+EJECUCIÓN!K787+EJECUCIÓN!K789+EJECUCIÓN!K791+EJECUCIÓN!K793+EJECUCIÓN!K795+EJECUCIÓN!K798+EJECUCIÓN!K797+EJECUCIÓN!K800+EJECUCIÓN!K802</f>
        <v>3315906251</v>
      </c>
      <c r="I118" s="320">
        <f>EJECUCIÓN!L783+EJECUCIÓN!L785+EJECUCIÓN!L787+EJECUCIÓN!L789+EJECUCIÓN!L791+EJECUCIÓN!L793+EJECUCIÓN!L795+EJECUCIÓN!L798+EJECUCIÓN!L797+EJECUCIÓN!L800+EJECUCIÓN!L802</f>
        <v>140220410</v>
      </c>
      <c r="J118" s="320">
        <f>EJECUCIÓN!M783+EJECUCIÓN!M785+EJECUCIÓN!M787+EJECUCIÓN!M789+EJECUCIÓN!M791+EJECUCIÓN!M793+EJECUCIÓN!M795+EJECUCIÓN!M798+EJECUCIÓN!M797+EJECUCIÓN!M800+EJECUCIÓN!M802</f>
        <v>2752270985</v>
      </c>
      <c r="K118" s="320">
        <f>EJECUCIÓN!N783+EJECUCIÓN!N785+EJECUCIÓN!N787+EJECUCIÓN!N789+EJECUCIÓN!N791+EJECUCIÓN!N793+EJECUCIÓN!N795+EJECUCIÓN!N798+EJECUCIÓN!N797+EJECUCIÓN!N800+EJECUCIÓN!N802</f>
        <v>32700000</v>
      </c>
      <c r="L118" s="320">
        <f>EJECUCIÓN!O783+EJECUCIÓN!O785+EJECUCIÓN!O787+EJECUCIÓN!O789+EJECUCIÓN!O791+EJECUCIÓN!O793+EJECUCIÓN!O795+EJECUCIÓN!O798+EJECUCIÓN!O797+EJECUCIÓN!O800+EJECUCIÓN!O802</f>
        <v>2621650575</v>
      </c>
      <c r="M118" s="343">
        <f t="shared" si="4"/>
        <v>0.34471368328142377</v>
      </c>
    </row>
    <row r="119" spans="1:13">
      <c r="A119" s="319" t="s">
        <v>1338</v>
      </c>
      <c r="B119" s="331" t="s">
        <v>1340</v>
      </c>
      <c r="C119" s="320">
        <f>EJECUCIÓN!F805</f>
        <v>150000000</v>
      </c>
      <c r="D119" s="320">
        <f>EJECUCIÓN!G805</f>
        <v>0</v>
      </c>
      <c r="E119" s="320">
        <f>EJECUCIÓN!H805</f>
        <v>0</v>
      </c>
      <c r="F119" s="320">
        <f>EJECUCIÓN!I805</f>
        <v>150000000</v>
      </c>
      <c r="G119" s="320">
        <f>EJECUCIÓN!J805</f>
        <v>51252206</v>
      </c>
      <c r="H119" s="320">
        <f>EJECUCIÓN!K805</f>
        <v>112628907</v>
      </c>
      <c r="I119" s="320">
        <f>EJECUCIÓN!L805</f>
        <v>0</v>
      </c>
      <c r="J119" s="320">
        <f>EJECUCIÓN!M805</f>
        <v>11376701</v>
      </c>
      <c r="K119" s="320">
        <f>EJECUCIÓN!N805</f>
        <v>0</v>
      </c>
      <c r="L119" s="320">
        <f>EJECUCIÓN!O805</f>
        <v>0</v>
      </c>
      <c r="M119" s="343">
        <f t="shared" si="4"/>
        <v>7.5844673333333334E-2</v>
      </c>
    </row>
    <row r="120" spans="1:13">
      <c r="A120" s="319" t="s">
        <v>1346</v>
      </c>
      <c r="B120" s="331" t="s">
        <v>1348</v>
      </c>
      <c r="C120" s="320">
        <f>EJECUCIÓN!F808</f>
        <v>36491000</v>
      </c>
      <c r="D120" s="320">
        <f>EJECUCIÓN!G808</f>
        <v>0</v>
      </c>
      <c r="E120" s="320">
        <f>EJECUCIÓN!H808</f>
        <v>318588460</v>
      </c>
      <c r="F120" s="320">
        <f>EJECUCIÓN!I808</f>
        <v>355079460</v>
      </c>
      <c r="G120" s="320">
        <f>EJECUCIÓN!J808</f>
        <v>0</v>
      </c>
      <c r="H120" s="320">
        <f>EJECUCIÓN!K808</f>
        <v>355079460</v>
      </c>
      <c r="I120" s="320">
        <f>EJECUCIÓN!L808</f>
        <v>30166631</v>
      </c>
      <c r="J120" s="320">
        <f>EJECUCIÓN!M808</f>
        <v>221533613</v>
      </c>
      <c r="K120" s="320">
        <f>EJECUCIÓN!N808</f>
        <v>30166631</v>
      </c>
      <c r="L120" s="320">
        <f>EJECUCIÓN!O808</f>
        <v>221533613</v>
      </c>
      <c r="M120" s="343">
        <f t="shared" si="4"/>
        <v>0.62389869861805014</v>
      </c>
    </row>
    <row r="121" spans="1:13">
      <c r="A121" s="319" t="s">
        <v>1349</v>
      </c>
      <c r="B121" s="331" t="s">
        <v>1351</v>
      </c>
      <c r="C121" s="320">
        <f>EJECUCIÓN!F810</f>
        <v>30000000</v>
      </c>
      <c r="D121" s="320">
        <f>EJECUCIÓN!G810</f>
        <v>0</v>
      </c>
      <c r="E121" s="320">
        <f>EJECUCIÓN!H810</f>
        <v>0</v>
      </c>
      <c r="F121" s="320">
        <f>EJECUCIÓN!I810</f>
        <v>30000000</v>
      </c>
      <c r="G121" s="320">
        <f>EJECUCIÓN!J810</f>
        <v>0</v>
      </c>
      <c r="H121" s="320">
        <f>EJECUCIÓN!K810</f>
        <v>0</v>
      </c>
      <c r="I121" s="320">
        <f>EJECUCIÓN!L810</f>
        <v>0</v>
      </c>
      <c r="J121" s="320">
        <f>EJECUCIÓN!M810</f>
        <v>0</v>
      </c>
      <c r="K121" s="320">
        <f>EJECUCIÓN!N810</f>
        <v>0</v>
      </c>
      <c r="L121" s="320">
        <f>EJECUCIÓN!O810</f>
        <v>0</v>
      </c>
      <c r="M121" s="343">
        <f t="shared" si="4"/>
        <v>0</v>
      </c>
    </row>
    <row r="122" spans="1:13">
      <c r="A122" s="319" t="s">
        <v>1352</v>
      </c>
      <c r="B122" s="331" t="s">
        <v>1354</v>
      </c>
      <c r="C122" s="320">
        <f>EJECUCIÓN!F812</f>
        <v>60000000</v>
      </c>
      <c r="D122" s="320">
        <f>EJECUCIÓN!G812</f>
        <v>0</v>
      </c>
      <c r="E122" s="320">
        <f>EJECUCIÓN!H812</f>
        <v>162054480</v>
      </c>
      <c r="F122" s="320">
        <f>EJECUCIÓN!I812</f>
        <v>222054480</v>
      </c>
      <c r="G122" s="320">
        <f>EJECUCIÓN!J812</f>
        <v>0</v>
      </c>
      <c r="H122" s="320">
        <f>EJECUCIÓN!K812</f>
        <v>222054480</v>
      </c>
      <c r="I122" s="320">
        <f>EJECUCIÓN!L812</f>
        <v>19791320</v>
      </c>
      <c r="J122" s="320">
        <f>EJECUCIÓN!M812</f>
        <v>115316283</v>
      </c>
      <c r="K122" s="320">
        <f>EJECUCIÓN!N812</f>
        <v>19791320</v>
      </c>
      <c r="L122" s="320">
        <f>EJECUCIÓN!O812</f>
        <v>115220753</v>
      </c>
      <c r="M122" s="343">
        <f t="shared" si="4"/>
        <v>0.51931527344100425</v>
      </c>
    </row>
    <row r="123" spans="1:13">
      <c r="A123" s="319" t="s">
        <v>1361</v>
      </c>
      <c r="B123" s="331" t="s">
        <v>1363</v>
      </c>
      <c r="C123" s="320">
        <f>EJECUCIÓN!F816</f>
        <v>3832000</v>
      </c>
      <c r="D123" s="320">
        <f>EJECUCIÓN!G816</f>
        <v>0</v>
      </c>
      <c r="E123" s="320">
        <f>EJECUCIÓN!H816</f>
        <v>9168000</v>
      </c>
      <c r="F123" s="320">
        <f>EJECUCIÓN!I816</f>
        <v>13000000</v>
      </c>
      <c r="G123" s="320">
        <f>EJECUCIÓN!J816</f>
        <v>0</v>
      </c>
      <c r="H123" s="320">
        <f>EJECUCIÓN!K816</f>
        <v>0</v>
      </c>
      <c r="I123" s="320">
        <f>EJECUCIÓN!L816</f>
        <v>0</v>
      </c>
      <c r="J123" s="320">
        <f>EJECUCIÓN!M816</f>
        <v>0</v>
      </c>
      <c r="K123" s="320">
        <f>EJECUCIÓN!N816</f>
        <v>0</v>
      </c>
      <c r="L123" s="320">
        <f>EJECUCIÓN!O816</f>
        <v>0</v>
      </c>
      <c r="M123" s="343">
        <f t="shared" si="4"/>
        <v>0</v>
      </c>
    </row>
    <row r="124" spans="1:13">
      <c r="A124" s="319" t="s">
        <v>1364</v>
      </c>
      <c r="B124" s="331" t="s">
        <v>1366</v>
      </c>
      <c r="C124" s="320">
        <f>EJECUCIÓN!F819+EJECUCIÓN!F821+EJECUCIÓN!F836</f>
        <v>678657000</v>
      </c>
      <c r="D124" s="320">
        <f>EJECUCIÓN!G819+EJECUCIÓN!G821+EJECUCIÓN!G836</f>
        <v>0</v>
      </c>
      <c r="E124" s="320">
        <f>EJECUCIÓN!H819+EJECUCIÓN!H821+EJECUCIÓN!H836</f>
        <v>76165960</v>
      </c>
      <c r="F124" s="320">
        <f>EJECUCIÓN!I819+EJECUCIÓN!I821+EJECUCIÓN!I836</f>
        <v>754822960</v>
      </c>
      <c r="G124" s="320">
        <f>EJECUCIÓN!J819+EJECUCIÓN!J821+EJECUCIÓN!J836</f>
        <v>41588127</v>
      </c>
      <c r="H124" s="320">
        <f>EJECUCIÓN!K819+EJECUCIÓN!K821+EJECUCIÓN!K836</f>
        <v>444182178</v>
      </c>
      <c r="I124" s="320">
        <f>EJECUCIÓN!L819+EJECUCIÓN!L821+EJECUCIÓN!L836</f>
        <v>24196432</v>
      </c>
      <c r="J124" s="320">
        <f>EJECUCIÓN!M819+EJECUCIÓN!M821+EJECUCIÓN!M836</f>
        <v>415377582</v>
      </c>
      <c r="K124" s="320">
        <f>EJECUCIÓN!N819+EJECUCIÓN!N821+EJECUCIÓN!N836</f>
        <v>12117864</v>
      </c>
      <c r="L124" s="320">
        <f>EJECUCIÓN!O819+EJECUCIÓN!O821+EJECUCIÓN!O836</f>
        <v>400965999</v>
      </c>
      <c r="M124" s="343">
        <f t="shared" si="4"/>
        <v>0.55029802220112645</v>
      </c>
    </row>
    <row r="125" spans="1:13">
      <c r="A125" s="319" t="s">
        <v>1386</v>
      </c>
      <c r="B125" s="331" t="s">
        <v>1388</v>
      </c>
      <c r="C125" s="320">
        <f>EJECUCIÓN!F844</f>
        <v>40386904000</v>
      </c>
      <c r="D125" s="320">
        <f>EJECUCIÓN!G844</f>
        <v>0</v>
      </c>
      <c r="E125" s="320">
        <f>EJECUCIÓN!H844</f>
        <v>59674590217</v>
      </c>
      <c r="F125" s="320">
        <f>EJECUCIÓN!I844</f>
        <v>100061494217</v>
      </c>
      <c r="G125" s="320">
        <f>EJECUCIÓN!J844</f>
        <v>6634004770</v>
      </c>
      <c r="H125" s="320">
        <f>EJECUCIÓN!K844</f>
        <v>59948994364</v>
      </c>
      <c r="I125" s="320">
        <f>EJECUCIÓN!L844</f>
        <v>6657885926</v>
      </c>
      <c r="J125" s="320">
        <f>EJECUCIÓN!M844</f>
        <v>59637469483</v>
      </c>
      <c r="K125" s="320">
        <f>EJECUCIÓN!N844</f>
        <v>6645945348</v>
      </c>
      <c r="L125" s="320">
        <f>EJECUCIÓN!O844</f>
        <v>59622013655</v>
      </c>
      <c r="M125" s="343">
        <f t="shared" si="4"/>
        <v>0.59600818426383106</v>
      </c>
    </row>
    <row r="126" spans="1:13">
      <c r="A126" s="319" t="s">
        <v>1392</v>
      </c>
      <c r="B126" s="331" t="s">
        <v>1394</v>
      </c>
      <c r="C126" s="320">
        <f>EJECUCIÓN!F847</f>
        <v>1268760000</v>
      </c>
      <c r="D126" s="320">
        <f>EJECUCIÓN!G847</f>
        <v>0</v>
      </c>
      <c r="E126" s="320">
        <f>EJECUCIÓN!H847</f>
        <v>0</v>
      </c>
      <c r="F126" s="320">
        <f>EJECUCIÓN!I847</f>
        <v>1268760000</v>
      </c>
      <c r="G126" s="320">
        <f>EJECUCIÓN!J847</f>
        <v>46532919</v>
      </c>
      <c r="H126" s="320">
        <f>EJECUCIÓN!K847</f>
        <v>655042238</v>
      </c>
      <c r="I126" s="320">
        <f>EJECUCIÓN!L847</f>
        <v>102469572</v>
      </c>
      <c r="J126" s="320">
        <f>EJECUCIÓN!M847</f>
        <v>584197603</v>
      </c>
      <c r="K126" s="320">
        <f>EJECUCIÓN!N847</f>
        <v>73539949</v>
      </c>
      <c r="L126" s="320">
        <f>EJECUCIÓN!O847</f>
        <v>555267980</v>
      </c>
      <c r="M126" s="343">
        <f t="shared" si="4"/>
        <v>0.46044768356505567</v>
      </c>
    </row>
    <row r="127" spans="1:13">
      <c r="A127" s="319" t="s">
        <v>1401</v>
      </c>
      <c r="B127" s="331" t="s">
        <v>2044</v>
      </c>
      <c r="C127" s="320">
        <f>EJECUCIÓN!F851</f>
        <v>1414600000</v>
      </c>
      <c r="D127" s="320">
        <f>EJECUCIÓN!G851</f>
        <v>0</v>
      </c>
      <c r="E127" s="320">
        <f>EJECUCIÓN!H851</f>
        <v>0</v>
      </c>
      <c r="F127" s="320">
        <f>EJECUCIÓN!I851</f>
        <v>1414600000</v>
      </c>
      <c r="G127" s="320">
        <f>EJECUCIÓN!J851</f>
        <v>12985000</v>
      </c>
      <c r="H127" s="320">
        <f>EJECUCIÓN!K851</f>
        <v>327813000</v>
      </c>
      <c r="I127" s="320">
        <f>EJECUCIÓN!L851</f>
        <v>12985000</v>
      </c>
      <c r="J127" s="320">
        <f>EJECUCIÓN!M851</f>
        <v>327813000</v>
      </c>
      <c r="K127" s="320">
        <f>EJECUCIÓN!N851</f>
        <v>12985000</v>
      </c>
      <c r="L127" s="320">
        <f>EJECUCIÓN!O851</f>
        <v>327813000</v>
      </c>
      <c r="M127" s="343">
        <f t="shared" si="4"/>
        <v>0.23173547292520855</v>
      </c>
    </row>
    <row r="128" spans="1:13">
      <c r="A128" s="319" t="s">
        <v>1410</v>
      </c>
      <c r="B128" s="331" t="s">
        <v>1412</v>
      </c>
      <c r="C128" s="320">
        <f>EJECUCIÓN!F855</f>
        <v>500000000</v>
      </c>
      <c r="D128" s="320">
        <f>EJECUCIÓN!G855</f>
        <v>0</v>
      </c>
      <c r="E128" s="320">
        <f>EJECUCIÓN!H855</f>
        <v>1382993704</v>
      </c>
      <c r="F128" s="320">
        <f>EJECUCIÓN!I855</f>
        <v>1882993704</v>
      </c>
      <c r="G128" s="320">
        <f>EJECUCIÓN!J855</f>
        <v>188389467</v>
      </c>
      <c r="H128" s="320">
        <f>EJECUCIÓN!K855</f>
        <v>1569405806</v>
      </c>
      <c r="I128" s="320">
        <f>EJECUCIÓN!L855</f>
        <v>0</v>
      </c>
      <c r="J128" s="320">
        <f>EJECUCIÓN!M855</f>
        <v>453111772</v>
      </c>
      <c r="K128" s="320">
        <f>EJECUCIÓN!N855</f>
        <v>0</v>
      </c>
      <c r="L128" s="320">
        <f>EJECUCIÓN!O855</f>
        <v>453111772</v>
      </c>
      <c r="M128" s="343">
        <f t="shared" si="4"/>
        <v>0.24063371589478241</v>
      </c>
    </row>
    <row r="129" spans="1:13">
      <c r="A129" s="319" t="s">
        <v>1422</v>
      </c>
      <c r="B129" s="331" t="s">
        <v>1424</v>
      </c>
      <c r="C129" s="320">
        <f>EJECUCIÓN!F860</f>
        <v>1509370000</v>
      </c>
      <c r="D129" s="320">
        <f>EJECUCIÓN!G860</f>
        <v>0</v>
      </c>
      <c r="E129" s="320">
        <f>EJECUCIÓN!H860</f>
        <v>0</v>
      </c>
      <c r="F129" s="320">
        <f>EJECUCIÓN!I860</f>
        <v>1509370000</v>
      </c>
      <c r="G129" s="320">
        <f>EJECUCIÓN!J860</f>
        <v>0</v>
      </c>
      <c r="H129" s="320">
        <f>EJECUCIÓN!K860</f>
        <v>659422924</v>
      </c>
      <c r="I129" s="320">
        <f>EJECUCIÓN!L860</f>
        <v>0</v>
      </c>
      <c r="J129" s="320">
        <f>EJECUCIÓN!M860</f>
        <v>28790683</v>
      </c>
      <c r="K129" s="320">
        <f>EJECUCIÓN!N860</f>
        <v>0</v>
      </c>
      <c r="L129" s="320">
        <f>EJECUCIÓN!O860</f>
        <v>28790683</v>
      </c>
      <c r="M129" s="343">
        <f t="shared" si="4"/>
        <v>1.9074635775190973E-2</v>
      </c>
    </row>
    <row r="130" spans="1:13">
      <c r="A130" s="319" t="s">
        <v>2045</v>
      </c>
      <c r="B130" s="331" t="s">
        <v>1427</v>
      </c>
      <c r="C130" s="320">
        <f>EJECUCIÓN!F862</f>
        <v>1669902000</v>
      </c>
      <c r="D130" s="320">
        <f>EJECUCIÓN!G862</f>
        <v>0</v>
      </c>
      <c r="E130" s="320">
        <f>EJECUCIÓN!H862</f>
        <v>0</v>
      </c>
      <c r="F130" s="320">
        <f>EJECUCIÓN!I862</f>
        <v>1669902000</v>
      </c>
      <c r="G130" s="320">
        <f>EJECUCIÓN!J862</f>
        <v>0</v>
      </c>
      <c r="H130" s="320">
        <f>EJECUCIÓN!K862</f>
        <v>1653670728</v>
      </c>
      <c r="I130" s="320">
        <f>EJECUCIÓN!L862</f>
        <v>309000000</v>
      </c>
      <c r="J130" s="320">
        <f>EJECUCIÓN!M862</f>
        <v>1204377083</v>
      </c>
      <c r="K130" s="320">
        <f>EJECUCIÓN!N862</f>
        <v>209000000</v>
      </c>
      <c r="L130" s="320">
        <f>EJECUCIÓN!O862</f>
        <v>1004377083</v>
      </c>
      <c r="M130" s="343">
        <f t="shared" si="4"/>
        <v>0.72122620548990302</v>
      </c>
    </row>
    <row r="131" spans="1:13">
      <c r="A131" s="319" t="s">
        <v>1443</v>
      </c>
      <c r="B131" s="331" t="s">
        <v>1445</v>
      </c>
      <c r="C131" s="320">
        <f>EJECUCIÓN!F869</f>
        <v>2030000</v>
      </c>
      <c r="D131" s="320">
        <f>EJECUCIÓN!G869</f>
        <v>0</v>
      </c>
      <c r="E131" s="320">
        <f>EJECUCIÓN!H869</f>
        <v>381000</v>
      </c>
      <c r="F131" s="320">
        <f>EJECUCIÓN!I869</f>
        <v>2411000</v>
      </c>
      <c r="G131" s="320">
        <f>EJECUCIÓN!J869</f>
        <v>0</v>
      </c>
      <c r="H131" s="320">
        <f>EJECUCIÓN!K869</f>
        <v>2411000</v>
      </c>
      <c r="I131" s="320">
        <f>EJECUCIÓN!L869</f>
        <v>0</v>
      </c>
      <c r="J131" s="320">
        <f>EJECUCIÓN!M869</f>
        <v>1967000</v>
      </c>
      <c r="K131" s="320">
        <f>EJECUCIÓN!N869</f>
        <v>0</v>
      </c>
      <c r="L131" s="320">
        <f>EJECUCIÓN!O869</f>
        <v>1967000</v>
      </c>
      <c r="M131" s="343">
        <f t="shared" si="4"/>
        <v>0.8158440481128163</v>
      </c>
    </row>
    <row r="132" spans="1:13" ht="15.75" thickBot="1">
      <c r="A132" s="321" t="s">
        <v>1446</v>
      </c>
      <c r="B132" s="332" t="s">
        <v>1448</v>
      </c>
      <c r="C132" s="322">
        <f>EJECUCIÓN!F871</f>
        <v>886330000</v>
      </c>
      <c r="D132" s="322">
        <f>EJECUCIÓN!G871</f>
        <v>0</v>
      </c>
      <c r="E132" s="322">
        <f>EJECUCIÓN!H871</f>
        <v>0</v>
      </c>
      <c r="F132" s="322">
        <f>EJECUCIÓN!I871</f>
        <v>886330000</v>
      </c>
      <c r="G132" s="322">
        <f>EJECUCIÓN!J871</f>
        <v>0</v>
      </c>
      <c r="H132" s="322">
        <f>EJECUCIÓN!K871</f>
        <v>791199826</v>
      </c>
      <c r="I132" s="322">
        <f>EJECUCIÓN!L871</f>
        <v>0</v>
      </c>
      <c r="J132" s="322">
        <f>EJECUCIÓN!M871</f>
        <v>777579826</v>
      </c>
      <c r="K132" s="322">
        <f>EJECUCIÓN!N871</f>
        <v>0</v>
      </c>
      <c r="L132" s="322">
        <f>EJECUCIÓN!O871</f>
        <v>777579826</v>
      </c>
      <c r="M132" s="344">
        <f t="shared" si="4"/>
        <v>0.87730283980007451</v>
      </c>
    </row>
    <row r="133" spans="1:13" ht="15.75" thickBot="1">
      <c r="A133" s="333" t="s">
        <v>27</v>
      </c>
      <c r="B133" s="334" t="s">
        <v>2046</v>
      </c>
      <c r="C133" s="335">
        <f>EJECUCIÓN!F897+EJECUCIÓN!F899</f>
        <v>211790000</v>
      </c>
      <c r="D133" s="335">
        <f>EJECUCIÓN!G897+EJECUCIÓN!G899</f>
        <v>382493661</v>
      </c>
      <c r="E133" s="335">
        <f>EJECUCIÓN!H897+EJECUCIÓN!H899</f>
        <v>382493661</v>
      </c>
      <c r="F133" s="335">
        <f>EJECUCIÓN!I897+EJECUCIÓN!I899</f>
        <v>594283661</v>
      </c>
      <c r="G133" s="335">
        <f>EJECUCIÓN!J897+EJECUCIÓN!J899</f>
        <v>0</v>
      </c>
      <c r="H133" s="335">
        <f>EJECUCIÓN!K897+EJECUCIÓN!K899</f>
        <v>4200000</v>
      </c>
      <c r="I133" s="335">
        <f>EJECUCIÓN!L897+EJECUCIÓN!L899</f>
        <v>0</v>
      </c>
      <c r="J133" s="335">
        <f>EJECUCIÓN!M897+EJECUCIÓN!M899</f>
        <v>4200000</v>
      </c>
      <c r="K133" s="335">
        <f>EJECUCIÓN!N897+EJECUCIÓN!N899</f>
        <v>0</v>
      </c>
      <c r="L133" s="335">
        <f>EJECUCIÓN!O897+EJECUCIÓN!O899</f>
        <v>4200000</v>
      </c>
      <c r="M133" s="345">
        <f t="shared" si="4"/>
        <v>7.0673321102799093E-3</v>
      </c>
    </row>
    <row r="134" spans="1:13">
      <c r="A134" s="324" t="s">
        <v>2095</v>
      </c>
      <c r="B134" s="324" t="s">
        <v>2096</v>
      </c>
      <c r="C134" s="323">
        <f>EJECUCIÓN!F882</f>
        <v>0</v>
      </c>
      <c r="D134" s="323">
        <f>EJECUCIÓN!G882</f>
        <v>0</v>
      </c>
      <c r="E134" s="323">
        <f>EJECUCIÓN!H882</f>
        <v>346985635</v>
      </c>
      <c r="F134" s="323">
        <f>EJECUCIÓN!I882</f>
        <v>346985635</v>
      </c>
      <c r="G134" s="323">
        <f>EJECUCIÓN!J882</f>
        <v>47909519</v>
      </c>
      <c r="H134" s="323">
        <f>EJECUCIÓN!K882</f>
        <v>47909519</v>
      </c>
      <c r="I134" s="323">
        <f>EJECUCIÓN!L882</f>
        <v>0</v>
      </c>
      <c r="J134" s="323">
        <f>EJECUCIÓN!M882</f>
        <v>47909519</v>
      </c>
      <c r="K134" s="323">
        <f>EJECUCIÓN!N882</f>
        <v>0</v>
      </c>
      <c r="L134" s="323">
        <f>EJECUCIÓN!O882</f>
        <v>47909519</v>
      </c>
      <c r="M134" s="346">
        <f t="shared" ref="M134" si="5">+J134/F134</f>
        <v>0.13807349402231017</v>
      </c>
    </row>
    <row r="135" spans="1:13" s="350" customFormat="1">
      <c r="A135" s="348" t="s">
        <v>2047</v>
      </c>
      <c r="B135" s="349" t="s">
        <v>2048</v>
      </c>
      <c r="C135" s="323">
        <v>989612000</v>
      </c>
      <c r="D135" s="323">
        <v>0</v>
      </c>
      <c r="E135" s="323">
        <v>0</v>
      </c>
      <c r="F135" s="323">
        <v>989612000</v>
      </c>
      <c r="G135" s="323">
        <v>36354882</v>
      </c>
      <c r="H135" s="323">
        <v>36354882</v>
      </c>
      <c r="I135" s="323">
        <v>36354882</v>
      </c>
      <c r="J135" s="323">
        <v>36354882</v>
      </c>
      <c r="K135" s="323">
        <v>0</v>
      </c>
      <c r="L135" s="323">
        <v>0</v>
      </c>
      <c r="M135" s="346">
        <f t="shared" si="4"/>
        <v>3.6736500769998744E-2</v>
      </c>
    </row>
    <row r="136" spans="1:13" s="350" customFormat="1">
      <c r="A136" s="351" t="s">
        <v>2049</v>
      </c>
      <c r="B136" s="352" t="s">
        <v>2050</v>
      </c>
      <c r="C136" s="323">
        <v>1690000000</v>
      </c>
      <c r="D136" s="323">
        <v>0</v>
      </c>
      <c r="E136" s="323">
        <v>204436072</v>
      </c>
      <c r="F136" s="323">
        <v>1894436072</v>
      </c>
      <c r="G136" s="323">
        <v>36354882</v>
      </c>
      <c r="H136" s="323">
        <v>240790954</v>
      </c>
      <c r="I136" s="323">
        <v>0</v>
      </c>
      <c r="J136" s="323">
        <v>204436072</v>
      </c>
      <c r="K136" s="323">
        <v>0</v>
      </c>
      <c r="L136" s="323">
        <v>153327054</v>
      </c>
      <c r="M136" s="347">
        <f t="shared" si="4"/>
        <v>0.1079139460135871</v>
      </c>
    </row>
    <row r="137" spans="1:13" s="350" customFormat="1">
      <c r="A137" s="351" t="s">
        <v>2051</v>
      </c>
      <c r="B137" s="352" t="s">
        <v>2052</v>
      </c>
      <c r="C137" s="323">
        <v>13392640000</v>
      </c>
      <c r="D137" s="323">
        <v>0</v>
      </c>
      <c r="E137" s="323">
        <v>1193976215</v>
      </c>
      <c r="F137" s="323">
        <v>14586616215</v>
      </c>
      <c r="G137" s="323">
        <v>234959178</v>
      </c>
      <c r="H137" s="323">
        <v>591198639</v>
      </c>
      <c r="I137" s="323">
        <v>67410618</v>
      </c>
      <c r="J137" s="323">
        <v>208176290</v>
      </c>
      <c r="K137" s="323">
        <v>403943</v>
      </c>
      <c r="L137" s="323">
        <v>72305821</v>
      </c>
      <c r="M137" s="347">
        <f t="shared" si="4"/>
        <v>1.4271732863302732E-2</v>
      </c>
    </row>
    <row r="138" spans="1:13" s="350" customFormat="1">
      <c r="A138" s="351" t="s">
        <v>2053</v>
      </c>
      <c r="B138" s="352" t="s">
        <v>2097</v>
      </c>
      <c r="C138" s="320">
        <v>642048852</v>
      </c>
      <c r="D138" s="320">
        <v>0</v>
      </c>
      <c r="E138" s="320">
        <v>0</v>
      </c>
      <c r="F138" s="320">
        <v>642048852</v>
      </c>
      <c r="G138" s="320">
        <v>241180383</v>
      </c>
      <c r="H138" s="320">
        <v>430067691</v>
      </c>
      <c r="I138" s="320">
        <v>24236588</v>
      </c>
      <c r="J138" s="320">
        <v>213123896</v>
      </c>
      <c r="K138" s="320">
        <v>20091780</v>
      </c>
      <c r="L138" s="320">
        <v>172751539</v>
      </c>
      <c r="M138" s="347">
        <f t="shared" si="4"/>
        <v>0.33194342663508103</v>
      </c>
    </row>
    <row r="139" spans="1:13" s="350" customFormat="1">
      <c r="A139" s="351" t="s">
        <v>2054</v>
      </c>
      <c r="B139" s="352" t="s">
        <v>2055</v>
      </c>
      <c r="C139" s="320">
        <v>1120684148</v>
      </c>
      <c r="D139" s="320">
        <v>0</v>
      </c>
      <c r="E139" s="320">
        <v>0</v>
      </c>
      <c r="F139" s="320">
        <v>1120684148</v>
      </c>
      <c r="G139" s="320">
        <v>84015775</v>
      </c>
      <c r="H139" s="320">
        <v>1090097599</v>
      </c>
      <c r="I139" s="320">
        <v>0</v>
      </c>
      <c r="J139" s="320">
        <v>1006081824</v>
      </c>
      <c r="K139" s="320">
        <v>43432674</v>
      </c>
      <c r="L139" s="320">
        <v>952282750</v>
      </c>
      <c r="M139" s="347">
        <f t="shared" si="4"/>
        <v>0.89773896221828242</v>
      </c>
    </row>
    <row r="140" spans="1:13" s="350" customFormat="1">
      <c r="A140" s="351" t="s">
        <v>2056</v>
      </c>
      <c r="B140" s="352" t="s">
        <v>2057</v>
      </c>
      <c r="C140" s="320">
        <v>512596000</v>
      </c>
      <c r="D140" s="320">
        <v>0</v>
      </c>
      <c r="E140" s="320">
        <v>0</v>
      </c>
      <c r="F140" s="320">
        <v>512596000</v>
      </c>
      <c r="G140" s="320">
        <v>175803042</v>
      </c>
      <c r="H140" s="320">
        <v>438190404</v>
      </c>
      <c r="I140" s="320">
        <v>175803042</v>
      </c>
      <c r="J140" s="320">
        <v>438190404</v>
      </c>
      <c r="K140" s="320">
        <v>25448412</v>
      </c>
      <c r="L140" s="320">
        <v>287502081</v>
      </c>
      <c r="M140" s="347">
        <f t="shared" si="4"/>
        <v>0.85484553917705175</v>
      </c>
    </row>
    <row r="141" spans="1:13" s="350" customFormat="1">
      <c r="A141" s="351" t="s">
        <v>2058</v>
      </c>
      <c r="B141" s="352" t="s">
        <v>2059</v>
      </c>
      <c r="C141" s="320">
        <v>540663000</v>
      </c>
      <c r="D141" s="320">
        <v>0</v>
      </c>
      <c r="E141" s="320">
        <v>0</v>
      </c>
      <c r="F141" s="320">
        <v>540663000</v>
      </c>
      <c r="G141" s="320">
        <v>56167888</v>
      </c>
      <c r="H141" s="320">
        <v>282295362</v>
      </c>
      <c r="I141" s="320">
        <v>59815698</v>
      </c>
      <c r="J141" s="320">
        <v>282295362</v>
      </c>
      <c r="K141" s="320">
        <v>8078862</v>
      </c>
      <c r="L141" s="320">
        <v>230558526</v>
      </c>
      <c r="M141" s="347">
        <f t="shared" si="4"/>
        <v>0.52212813157179239</v>
      </c>
    </row>
    <row r="142" spans="1:13" s="350" customFormat="1">
      <c r="A142" s="351" t="s">
        <v>2060</v>
      </c>
      <c r="B142" s="352" t="s">
        <v>2061</v>
      </c>
      <c r="C142" s="320">
        <v>60000000</v>
      </c>
      <c r="D142" s="320">
        <v>0</v>
      </c>
      <c r="E142" s="320">
        <v>0</v>
      </c>
      <c r="F142" s="320">
        <v>60000000</v>
      </c>
      <c r="G142" s="320">
        <v>20517050</v>
      </c>
      <c r="H142" s="320">
        <v>20517050</v>
      </c>
      <c r="I142" s="320">
        <v>15090050</v>
      </c>
      <c r="J142" s="320">
        <v>15090050</v>
      </c>
      <c r="K142" s="320">
        <v>15090050</v>
      </c>
      <c r="L142" s="320">
        <v>15090050</v>
      </c>
      <c r="M142" s="347">
        <f t="shared" si="4"/>
        <v>0.25150083333333334</v>
      </c>
    </row>
    <row r="143" spans="1:13" s="350" customFormat="1">
      <c r="A143" s="351" t="s">
        <v>2062</v>
      </c>
      <c r="B143" s="352" t="s">
        <v>2063</v>
      </c>
      <c r="C143" s="320">
        <v>4845370000</v>
      </c>
      <c r="D143" s="320">
        <v>0</v>
      </c>
      <c r="E143" s="320">
        <v>0</v>
      </c>
      <c r="F143" s="320">
        <v>4845370000</v>
      </c>
      <c r="G143" s="320">
        <v>1137488141</v>
      </c>
      <c r="H143" s="320">
        <v>3297067692</v>
      </c>
      <c r="I143" s="320">
        <v>772779337</v>
      </c>
      <c r="J143" s="320">
        <v>2834171756</v>
      </c>
      <c r="K143" s="320">
        <v>75851532</v>
      </c>
      <c r="L143" s="320">
        <v>1895861872</v>
      </c>
      <c r="M143" s="347">
        <f t="shared" si="4"/>
        <v>0.58492370159554374</v>
      </c>
    </row>
    <row r="144" spans="1:13" s="350" customFormat="1">
      <c r="A144" s="351" t="s">
        <v>2064</v>
      </c>
      <c r="B144" s="352" t="s">
        <v>2065</v>
      </c>
      <c r="C144" s="320">
        <v>508013000</v>
      </c>
      <c r="D144" s="320">
        <v>0</v>
      </c>
      <c r="E144" s="320">
        <v>0</v>
      </c>
      <c r="F144" s="320">
        <v>508013000</v>
      </c>
      <c r="G144" s="320">
        <v>183355006</v>
      </c>
      <c r="H144" s="320">
        <v>446258462</v>
      </c>
      <c r="I144" s="320">
        <v>183355006</v>
      </c>
      <c r="J144" s="320">
        <v>436258462</v>
      </c>
      <c r="K144" s="320">
        <v>25553787</v>
      </c>
      <c r="L144" s="320">
        <v>278457243</v>
      </c>
      <c r="M144" s="347">
        <f t="shared" si="4"/>
        <v>0.85875452399840158</v>
      </c>
    </row>
    <row r="145" spans="1:13" s="350" customFormat="1">
      <c r="A145" s="351" t="s">
        <v>2066</v>
      </c>
      <c r="B145" s="352" t="s">
        <v>2067</v>
      </c>
      <c r="C145" s="320">
        <v>665693000</v>
      </c>
      <c r="D145" s="320">
        <v>0</v>
      </c>
      <c r="E145" s="320">
        <v>0</v>
      </c>
      <c r="F145" s="320">
        <v>665693000</v>
      </c>
      <c r="G145" s="320">
        <v>45847546</v>
      </c>
      <c r="H145" s="320">
        <v>118557310</v>
      </c>
      <c r="I145" s="320">
        <v>0</v>
      </c>
      <c r="J145" s="320">
        <v>72709764</v>
      </c>
      <c r="K145" s="320">
        <v>0</v>
      </c>
      <c r="L145" s="320">
        <v>72709764</v>
      </c>
      <c r="M145" s="347">
        <f t="shared" si="4"/>
        <v>0.10922416789721388</v>
      </c>
    </row>
    <row r="146" spans="1:13" s="350" customFormat="1">
      <c r="A146" s="351" t="s">
        <v>2068</v>
      </c>
      <c r="B146" s="352" t="s">
        <v>2069</v>
      </c>
      <c r="C146" s="320">
        <v>950000000</v>
      </c>
      <c r="D146" s="320">
        <v>0</v>
      </c>
      <c r="E146" s="320">
        <v>0</v>
      </c>
      <c r="F146" s="320">
        <v>950000000</v>
      </c>
      <c r="G146" s="320">
        <v>63106682</v>
      </c>
      <c r="H146" s="320">
        <v>372719543</v>
      </c>
      <c r="I146" s="320">
        <v>50075886</v>
      </c>
      <c r="J146" s="320">
        <v>347607502</v>
      </c>
      <c r="K146" s="320">
        <v>46398988</v>
      </c>
      <c r="L146" s="320">
        <v>299632703</v>
      </c>
      <c r="M146" s="347">
        <f t="shared" si="4"/>
        <v>0.3659026336842105</v>
      </c>
    </row>
    <row r="147" spans="1:13" s="350" customFormat="1">
      <c r="A147" s="351" t="s">
        <v>2070</v>
      </c>
      <c r="B147" s="352" t="s">
        <v>2071</v>
      </c>
      <c r="C147" s="320">
        <v>950000000</v>
      </c>
      <c r="D147" s="320">
        <v>0</v>
      </c>
      <c r="E147" s="320">
        <v>0</v>
      </c>
      <c r="F147" s="320">
        <v>950000000</v>
      </c>
      <c r="G147" s="320">
        <v>101728828</v>
      </c>
      <c r="H147" s="320">
        <v>733970223</v>
      </c>
      <c r="I147" s="320">
        <v>134173036</v>
      </c>
      <c r="J147" s="320">
        <v>702739446</v>
      </c>
      <c r="K147" s="320">
        <v>15719540</v>
      </c>
      <c r="L147" s="320">
        <v>565585123</v>
      </c>
      <c r="M147" s="347">
        <f t="shared" ref="M147:M159" si="6">+J147/F147</f>
        <v>0.73972573263157892</v>
      </c>
    </row>
    <row r="148" spans="1:13" s="350" customFormat="1">
      <c r="A148" s="351" t="s">
        <v>2072</v>
      </c>
      <c r="B148" s="352" t="s">
        <v>2073</v>
      </c>
      <c r="C148" s="320">
        <v>114488000</v>
      </c>
      <c r="D148" s="320">
        <v>0</v>
      </c>
      <c r="E148" s="320">
        <v>552944536</v>
      </c>
      <c r="F148" s="320">
        <v>667432536</v>
      </c>
      <c r="G148" s="320">
        <v>365480622</v>
      </c>
      <c r="H148" s="320">
        <v>635679516</v>
      </c>
      <c r="I148" s="320">
        <v>365480622</v>
      </c>
      <c r="J148" s="320">
        <v>635679516</v>
      </c>
      <c r="K148" s="320">
        <v>1475273</v>
      </c>
      <c r="L148" s="320">
        <v>270067173</v>
      </c>
      <c r="M148" s="347">
        <f t="shared" si="6"/>
        <v>0.95242512420760983</v>
      </c>
    </row>
    <row r="149" spans="1:13" s="350" customFormat="1">
      <c r="A149" s="351" t="s">
        <v>2074</v>
      </c>
      <c r="B149" s="352" t="s">
        <v>2075</v>
      </c>
      <c r="C149" s="320">
        <v>459888000</v>
      </c>
      <c r="D149" s="320">
        <v>0</v>
      </c>
      <c r="E149" s="320">
        <v>597067334</v>
      </c>
      <c r="F149" s="320">
        <v>1056955334</v>
      </c>
      <c r="G149" s="320">
        <v>502446400</v>
      </c>
      <c r="H149" s="320">
        <v>904327776</v>
      </c>
      <c r="I149" s="320">
        <v>41606142</v>
      </c>
      <c r="J149" s="320">
        <v>114315906</v>
      </c>
      <c r="K149" s="320">
        <v>403944</v>
      </c>
      <c r="L149" s="320">
        <v>72709764</v>
      </c>
      <c r="M149" s="347">
        <f t="shared" si="6"/>
        <v>0.1081558532538708</v>
      </c>
    </row>
    <row r="150" spans="1:13" s="350" customFormat="1">
      <c r="A150" s="351" t="s">
        <v>2076</v>
      </c>
      <c r="B150" s="352" t="s">
        <v>2077</v>
      </c>
      <c r="C150" s="320">
        <v>6313098000</v>
      </c>
      <c r="D150" s="320">
        <v>0</v>
      </c>
      <c r="E150" s="320">
        <v>1313535937</v>
      </c>
      <c r="F150" s="320">
        <v>7626633937</v>
      </c>
      <c r="G150" s="320">
        <v>823354578</v>
      </c>
      <c r="H150" s="320">
        <v>3866132685</v>
      </c>
      <c r="I150" s="320">
        <v>378086747</v>
      </c>
      <c r="J150" s="320">
        <v>2892330494</v>
      </c>
      <c r="K150" s="320">
        <v>646184833</v>
      </c>
      <c r="L150" s="320">
        <v>651878983</v>
      </c>
      <c r="M150" s="347">
        <f t="shared" si="6"/>
        <v>0.3792407657024276</v>
      </c>
    </row>
    <row r="151" spans="1:13" s="350" customFormat="1">
      <c r="A151" s="351" t="s">
        <v>2078</v>
      </c>
      <c r="B151" s="352" t="s">
        <v>2079</v>
      </c>
      <c r="C151" s="320">
        <v>358514000</v>
      </c>
      <c r="D151" s="320">
        <v>0</v>
      </c>
      <c r="E151" s="320">
        <v>0</v>
      </c>
      <c r="F151" s="320">
        <v>358514000</v>
      </c>
      <c r="G151" s="320">
        <v>167197300</v>
      </c>
      <c r="H151" s="320">
        <v>382165258</v>
      </c>
      <c r="I151" s="320">
        <v>138921281</v>
      </c>
      <c r="J151" s="320">
        <v>353889239</v>
      </c>
      <c r="K151" s="320">
        <v>0</v>
      </c>
      <c r="L151" s="320">
        <v>214967958</v>
      </c>
      <c r="M151" s="347">
        <f t="shared" si="6"/>
        <v>0.98710019413467809</v>
      </c>
    </row>
    <row r="152" spans="1:13" s="350" customFormat="1">
      <c r="A152" s="351" t="s">
        <v>2080</v>
      </c>
      <c r="B152" s="352" t="s">
        <v>2081</v>
      </c>
      <c r="C152" s="320">
        <v>1265697000</v>
      </c>
      <c r="D152" s="320">
        <v>0</v>
      </c>
      <c r="E152" s="320">
        <v>0</v>
      </c>
      <c r="F152" s="320">
        <v>1265697000</v>
      </c>
      <c r="G152" s="320">
        <v>24154377</v>
      </c>
      <c r="H152" s="320">
        <v>41287997</v>
      </c>
      <c r="I152" s="320">
        <v>17133620</v>
      </c>
      <c r="J152" s="320">
        <v>17133620</v>
      </c>
      <c r="K152" s="320">
        <v>0</v>
      </c>
      <c r="L152" s="320">
        <v>0</v>
      </c>
      <c r="M152" s="347">
        <f t="shared" si="6"/>
        <v>1.3536904962246098E-2</v>
      </c>
    </row>
    <row r="153" spans="1:13" s="350" customFormat="1">
      <c r="A153" s="351" t="s">
        <v>2082</v>
      </c>
      <c r="B153" s="352" t="s">
        <v>2083</v>
      </c>
      <c r="C153" s="320">
        <v>3821979000</v>
      </c>
      <c r="D153" s="320">
        <v>0</v>
      </c>
      <c r="E153" s="320">
        <v>645288295</v>
      </c>
      <c r="F153" s="320">
        <v>4467267295</v>
      </c>
      <c r="G153" s="320">
        <v>1255338942</v>
      </c>
      <c r="H153" s="320">
        <v>3494527237</v>
      </c>
      <c r="I153" s="320">
        <v>0</v>
      </c>
      <c r="J153" s="320">
        <v>645288295</v>
      </c>
      <c r="K153" s="320">
        <v>0</v>
      </c>
      <c r="L153" s="320">
        <v>645288295</v>
      </c>
      <c r="M153" s="347">
        <f t="shared" si="6"/>
        <v>0.14444810493480892</v>
      </c>
    </row>
    <row r="154" spans="1:13" s="350" customFormat="1">
      <c r="A154" s="351" t="s">
        <v>2084</v>
      </c>
      <c r="B154" s="352" t="s">
        <v>2085</v>
      </c>
      <c r="C154" s="320">
        <v>672000000</v>
      </c>
      <c r="D154" s="320">
        <v>1278780064</v>
      </c>
      <c r="E154" s="320">
        <v>3543486332</v>
      </c>
      <c r="F154" s="320">
        <v>4215486332</v>
      </c>
      <c r="G154" s="320">
        <v>28481625</v>
      </c>
      <c r="H154" s="320">
        <v>173901153</v>
      </c>
      <c r="I154" s="320">
        <v>0</v>
      </c>
      <c r="J154" s="320">
        <v>145419528</v>
      </c>
      <c r="K154" s="320">
        <v>1413801</v>
      </c>
      <c r="L154" s="320">
        <v>145419528</v>
      </c>
      <c r="M154" s="347">
        <f t="shared" si="6"/>
        <v>3.4496500889141066E-2</v>
      </c>
    </row>
    <row r="155" spans="1:13" s="350" customFormat="1">
      <c r="A155" s="351" t="s">
        <v>2086</v>
      </c>
      <c r="B155" s="352" t="s">
        <v>2087</v>
      </c>
      <c r="C155" s="320">
        <v>881000000</v>
      </c>
      <c r="D155" s="320">
        <v>0</v>
      </c>
      <c r="E155" s="320">
        <v>2020548276</v>
      </c>
      <c r="F155" s="320">
        <v>2901548276</v>
      </c>
      <c r="G155" s="320">
        <v>1138329217</v>
      </c>
      <c r="H155" s="320">
        <v>1185748615</v>
      </c>
      <c r="I155" s="320">
        <v>602226492</v>
      </c>
      <c r="J155" s="320">
        <v>602226492</v>
      </c>
      <c r="K155" s="320">
        <v>0</v>
      </c>
      <c r="L155" s="320">
        <v>0</v>
      </c>
      <c r="M155" s="347">
        <f t="shared" si="6"/>
        <v>0.20755349720743368</v>
      </c>
    </row>
    <row r="156" spans="1:13" s="350" customFormat="1">
      <c r="A156" s="351" t="s">
        <v>2088</v>
      </c>
      <c r="B156" s="352" t="s">
        <v>2089</v>
      </c>
      <c r="C156" s="320">
        <v>578000000</v>
      </c>
      <c r="D156" s="320">
        <v>0</v>
      </c>
      <c r="E156" s="320">
        <v>0</v>
      </c>
      <c r="F156" s="320">
        <v>578000000</v>
      </c>
      <c r="G156" s="320">
        <v>276613206</v>
      </c>
      <c r="H156" s="320">
        <v>276613206</v>
      </c>
      <c r="I156" s="320">
        <v>0</v>
      </c>
      <c r="J156" s="320">
        <v>0</v>
      </c>
      <c r="K156" s="320">
        <v>0</v>
      </c>
      <c r="L156" s="320">
        <v>0</v>
      </c>
      <c r="M156" s="347">
        <f t="shared" si="6"/>
        <v>0</v>
      </c>
    </row>
    <row r="157" spans="1:13" s="350" customFormat="1">
      <c r="A157" s="351" t="s">
        <v>2090</v>
      </c>
      <c r="B157" s="352" t="s">
        <v>2091</v>
      </c>
      <c r="C157" s="320">
        <v>65397000</v>
      </c>
      <c r="D157" s="320">
        <v>0</v>
      </c>
      <c r="E157" s="320">
        <v>0</v>
      </c>
      <c r="F157" s="320">
        <v>65397000</v>
      </c>
      <c r="G157" s="320">
        <v>-10117752</v>
      </c>
      <c r="H157" s="320">
        <v>55279248</v>
      </c>
      <c r="I157" s="320">
        <v>55279248</v>
      </c>
      <c r="J157" s="320">
        <v>55279248</v>
      </c>
      <c r="K157" s="320">
        <v>0</v>
      </c>
      <c r="L157" s="320">
        <v>0</v>
      </c>
      <c r="M157" s="347">
        <f t="shared" si="6"/>
        <v>0.84528721500986281</v>
      </c>
    </row>
    <row r="158" spans="1:13" s="350" customFormat="1">
      <c r="A158" s="351" t="s">
        <v>2092</v>
      </c>
      <c r="B158" s="352" t="s">
        <v>2091</v>
      </c>
      <c r="C158" s="320">
        <v>1501749000</v>
      </c>
      <c r="D158" s="320">
        <v>0</v>
      </c>
      <c r="E158" s="320">
        <v>0</v>
      </c>
      <c r="F158" s="320">
        <v>1501749000</v>
      </c>
      <c r="G158" s="320">
        <v>0</v>
      </c>
      <c r="H158" s="320">
        <v>1303476963</v>
      </c>
      <c r="I158" s="320">
        <v>32725000</v>
      </c>
      <c r="J158" s="320">
        <v>1303476963</v>
      </c>
      <c r="K158" s="320">
        <v>125435007</v>
      </c>
      <c r="L158" s="320">
        <v>1118297007</v>
      </c>
      <c r="M158" s="347">
        <f t="shared" si="6"/>
        <v>0.86797258596476512</v>
      </c>
    </row>
    <row r="159" spans="1:13" s="350" customFormat="1" ht="15.75" thickBot="1">
      <c r="A159" s="353" t="s">
        <v>2093</v>
      </c>
      <c r="B159" s="353" t="s">
        <v>2094</v>
      </c>
      <c r="C159" s="320">
        <v>417181000</v>
      </c>
      <c r="D159" s="320">
        <v>0</v>
      </c>
      <c r="E159" s="320">
        <v>0</v>
      </c>
      <c r="F159" s="320">
        <v>417181000</v>
      </c>
      <c r="G159" s="320">
        <v>0</v>
      </c>
      <c r="H159" s="320">
        <v>281251900</v>
      </c>
      <c r="I159" s="320">
        <v>281251900</v>
      </c>
      <c r="J159" s="320">
        <v>281251900</v>
      </c>
      <c r="K159" s="320">
        <v>0</v>
      </c>
      <c r="L159" s="320">
        <v>0</v>
      </c>
      <c r="M159" s="347">
        <f t="shared" si="6"/>
        <v>0.6741723616367955</v>
      </c>
    </row>
  </sheetData>
  <sortState xmlns:xlrd2="http://schemas.microsoft.com/office/spreadsheetml/2017/richdata2" ref="A138:B139">
    <sortCondition ref="A138:A139"/>
  </sortState>
  <mergeCells count="14">
    <mergeCell ref="M11:M13"/>
    <mergeCell ref="D12:E12"/>
    <mergeCell ref="F12:F13"/>
    <mergeCell ref="G12:H12"/>
    <mergeCell ref="A2:M2"/>
    <mergeCell ref="A3:M3"/>
    <mergeCell ref="A4:M4"/>
    <mergeCell ref="A6:M7"/>
    <mergeCell ref="A11:A13"/>
    <mergeCell ref="B11:B13"/>
    <mergeCell ref="C11:C13"/>
    <mergeCell ref="D11:H11"/>
    <mergeCell ref="I11:J12"/>
    <mergeCell ref="K11:L12"/>
  </mergeCells>
  <pageMargins left="0.7" right="0.7" top="0.75" bottom="0.75" header="0.3" footer="0.3"/>
  <ignoredErrors>
    <ignoredError sqref="M53:M60 M62:M77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EJECUCIÓN</vt:lpstr>
      <vt:lpstr>FONDO COMÚN</vt:lpstr>
      <vt:lpstr>FONDO INVERSIONES Y FORT. INST.</vt:lpstr>
      <vt:lpstr>FONDO PRÉSTAMOS</vt:lpstr>
      <vt:lpstr>EJECUCIÓN 2026 BOGDATA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H Torres A</dc:creator>
  <cp:lastModifiedBy>María Isabel García Pachón</cp:lastModifiedBy>
  <dcterms:created xsi:type="dcterms:W3CDTF">2023-07-12T15:59:24Z</dcterms:created>
  <dcterms:modified xsi:type="dcterms:W3CDTF">2026-08-31T22:22:19Z</dcterms:modified>
</cp:coreProperties>
</file>