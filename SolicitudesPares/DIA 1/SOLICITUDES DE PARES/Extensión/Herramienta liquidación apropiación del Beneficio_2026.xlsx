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distritaleduco.sharepoint.com/sites/RepositorioDigitalizacinIDEXUD/Documentos compartidos/Public_Financiera1/BENEFICIO_INSTITUCIONAL/2026/INFORMES/2DO TRIMESTRE/"/>
    </mc:Choice>
  </mc:AlternateContent>
  <xr:revisionPtr revIDLastSave="237" documentId="13_ncr:1_{83228B91-A516-4915-A0A4-FBD445C29DFF}" xr6:coauthVersionLast="47" xr6:coauthVersionMax="47" xr10:uidLastSave="{BD6D01B1-DA6A-4509-B6A9-96CD81220BE6}"/>
  <bookViews>
    <workbookView xWindow="28680" yWindow="-120" windowWidth="29040" windowHeight="15720" activeTab="1" xr2:uid="{DC125D43-F079-4FDB-911A-DA1EEEFBA76F}"/>
  </bookViews>
  <sheets>
    <sheet name="LIQUIDACION" sheetId="11" r:id="rId1"/>
    <sheet name="Proyectos Extensión" sheetId="5" r:id="rId2"/>
    <sheet name="ILUD" sheetId="9" r:id="rId3"/>
    <sheet name="Conversión" sheetId="7" r:id="rId4"/>
  </sheets>
  <externalReferences>
    <externalReference r:id="rId5"/>
    <externalReference r:id="rId6"/>
    <externalReference r:id="rId7"/>
    <externalReference r:id="rId8"/>
    <externalReference r:id="rId9"/>
  </externalReferences>
  <definedNames>
    <definedName name="_xlnm._FilterDatabase" localSheetId="2" hidden="1">ILUD!$A$6:$AJ$6</definedName>
    <definedName name="_xlnm._FilterDatabase" localSheetId="0" hidden="1">LIQUIDACION!$A$1:$X$1009</definedName>
    <definedName name="_xlnm._FilterDatabase" localSheetId="1" hidden="1">'Proyectos Extensión'!$A$6:$AO$6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465" i="5" l="1"/>
  <c r="AI9" i="9"/>
  <c r="AM463" i="5"/>
  <c r="AM462" i="5"/>
  <c r="AM461" i="5"/>
  <c r="AM459" i="5"/>
  <c r="AM457" i="5"/>
  <c r="AM452" i="5"/>
  <c r="AM450" i="5"/>
  <c r="AM449" i="5"/>
  <c r="AM448" i="5"/>
  <c r="AM445" i="5"/>
  <c r="AM444" i="5"/>
  <c r="AM443" i="5"/>
  <c r="AM441" i="5"/>
  <c r="AM440" i="5"/>
  <c r="AM438" i="5"/>
  <c r="AM437" i="5"/>
  <c r="AM436" i="5"/>
  <c r="AM434" i="5"/>
  <c r="AM433" i="5"/>
  <c r="AM432" i="5"/>
  <c r="AM431" i="5"/>
  <c r="AM430" i="5"/>
  <c r="AM429" i="5"/>
  <c r="AM428" i="5"/>
  <c r="AM427" i="5"/>
  <c r="AM425" i="5"/>
  <c r="AM423" i="5"/>
  <c r="AM418" i="5"/>
  <c r="AM415" i="5"/>
  <c r="AM413" i="5"/>
  <c r="AM412" i="5"/>
  <c r="AM411" i="5"/>
  <c r="AA421" i="5"/>
  <c r="AC421" i="5" s="1"/>
  <c r="AA451" i="5"/>
  <c r="AC451" i="5" s="1"/>
  <c r="AA338" i="5"/>
  <c r="AI8" i="9"/>
  <c r="AH8" i="9"/>
  <c r="V9" i="9"/>
  <c r="Y9" i="9"/>
  <c r="X9" i="9"/>
  <c r="W9" i="9"/>
  <c r="AG8" i="9"/>
  <c r="AF8" i="9"/>
  <c r="AE8" i="9"/>
  <c r="AA8" i="9"/>
  <c r="AC8" i="9" s="1"/>
  <c r="W8" i="9"/>
  <c r="Y8" i="9" s="1"/>
  <c r="S8" i="9"/>
  <c r="U8" i="9" s="1"/>
  <c r="N8" i="9"/>
  <c r="AA367" i="5"/>
  <c r="AA339" i="5"/>
  <c r="AA327" i="5"/>
  <c r="AB327" i="5" s="1"/>
  <c r="T385" i="5"/>
  <c r="AM421" i="5" l="1"/>
  <c r="AM451" i="5"/>
  <c r="AB421" i="5"/>
  <c r="T8" i="9"/>
  <c r="X8" i="9"/>
  <c r="AB8" i="9"/>
  <c r="AA464" i="5" l="1"/>
  <c r="AM464" i="5" s="1"/>
  <c r="Z463" i="5"/>
  <c r="Z462" i="5"/>
  <c r="Z461" i="5"/>
  <c r="Z460" i="5"/>
  <c r="AA460" i="5" s="1"/>
  <c r="AM460" i="5" s="1"/>
  <c r="Z459" i="5"/>
  <c r="Z458" i="5"/>
  <c r="AA458" i="5" s="1"/>
  <c r="AM458" i="5" s="1"/>
  <c r="Z457" i="5"/>
  <c r="AA456" i="5"/>
  <c r="AM456" i="5" s="1"/>
  <c r="AA455" i="5"/>
  <c r="AM455" i="5" s="1"/>
  <c r="Z454" i="5"/>
  <c r="AA454" i="5" s="1"/>
  <c r="AM454" i="5" s="1"/>
  <c r="Z453" i="5"/>
  <c r="AA453" i="5" s="1"/>
  <c r="AM453" i="5" s="1"/>
  <c r="Z452" i="5"/>
  <c r="Z450" i="5"/>
  <c r="Z449" i="5"/>
  <c r="Z448" i="5"/>
  <c r="Z447" i="5"/>
  <c r="AA447" i="5" s="1"/>
  <c r="AM447" i="5" s="1"/>
  <c r="Z446" i="5"/>
  <c r="AA446" i="5" s="1"/>
  <c r="AM446" i="5" s="1"/>
  <c r="Z445" i="5"/>
  <c r="Z444" i="5"/>
  <c r="Z443" i="5"/>
  <c r="Z442" i="5"/>
  <c r="AA442" i="5" s="1"/>
  <c r="AM442" i="5" s="1"/>
  <c r="Z441" i="5"/>
  <c r="Z440" i="5"/>
  <c r="Z439" i="5"/>
  <c r="AA439" i="5" s="1"/>
  <c r="AM439" i="5" s="1"/>
  <c r="Z438" i="5"/>
  <c r="Z437" i="5"/>
  <c r="Z436" i="5"/>
  <c r="Z435" i="5"/>
  <c r="AA435" i="5" s="1"/>
  <c r="AM435" i="5" s="1"/>
  <c r="Z434" i="5"/>
  <c r="Z433" i="5"/>
  <c r="Z432" i="5"/>
  <c r="Z431" i="5"/>
  <c r="Z430" i="5"/>
  <c r="Z429" i="5"/>
  <c r="Z428" i="5"/>
  <c r="Z427" i="5"/>
  <c r="Z426" i="5"/>
  <c r="AA426" i="5" s="1"/>
  <c r="AM426" i="5" s="1"/>
  <c r="Z425" i="5"/>
  <c r="Z424" i="5"/>
  <c r="AA424" i="5" s="1"/>
  <c r="AM424" i="5" s="1"/>
  <c r="Z423" i="5"/>
  <c r="Z422" i="5"/>
  <c r="AA422" i="5" s="1"/>
  <c r="AM422" i="5" s="1"/>
  <c r="Z420" i="5"/>
  <c r="AA420" i="5" s="1"/>
  <c r="AM420" i="5" s="1"/>
  <c r="Z419" i="5"/>
  <c r="AA419" i="5" s="1"/>
  <c r="AM419" i="5" s="1"/>
  <c r="Z418" i="5"/>
  <c r="Z417" i="5"/>
  <c r="AA417" i="5" s="1"/>
  <c r="AM417" i="5" s="1"/>
  <c r="Z416" i="5"/>
  <c r="AA416" i="5" s="1"/>
  <c r="AM416" i="5" s="1"/>
  <c r="Z415" i="5"/>
  <c r="Z414" i="5"/>
  <c r="AA414" i="5" s="1"/>
  <c r="AM414" i="5" s="1"/>
  <c r="Z413" i="5"/>
  <c r="Z412" i="5"/>
  <c r="Z411" i="5"/>
  <c r="Z410" i="5"/>
  <c r="Z409" i="5"/>
  <c r="Z408" i="5"/>
  <c r="Z407" i="5"/>
  <c r="Z406" i="5"/>
  <c r="Z401" i="5"/>
  <c r="Z400" i="5"/>
  <c r="Z399" i="5"/>
  <c r="AA397" i="5"/>
  <c r="AB397" i="5" s="1"/>
  <c r="Z396" i="5"/>
  <c r="Z394" i="5"/>
  <c r="Z393" i="5"/>
  <c r="Z391" i="5"/>
  <c r="Z390" i="5"/>
  <c r="Z389" i="5"/>
  <c r="Z388" i="5"/>
  <c r="Z386" i="5"/>
  <c r="Z384" i="5"/>
  <c r="Z381" i="5"/>
  <c r="Z380" i="5"/>
  <c r="Z379" i="5"/>
  <c r="Z378" i="5"/>
  <c r="Z376" i="5"/>
  <c r="Z374" i="5"/>
  <c r="Z373" i="5"/>
  <c r="Z372" i="5"/>
  <c r="Z368" i="5"/>
  <c r="Z366" i="5"/>
  <c r="Z365" i="5"/>
  <c r="Z364" i="5"/>
  <c r="Z361" i="5"/>
  <c r="Z360" i="5"/>
  <c r="Z359" i="5"/>
  <c r="Z357" i="5"/>
  <c r="Z356" i="5"/>
  <c r="Z355" i="5"/>
  <c r="Z354" i="5"/>
  <c r="Z351" i="5"/>
  <c r="Z350" i="5"/>
  <c r="Z348" i="5"/>
  <c r="Z347" i="5"/>
  <c r="Z345" i="5"/>
  <c r="Z344" i="5"/>
  <c r="Z342" i="5"/>
  <c r="Z341" i="5"/>
  <c r="Z337" i="5"/>
  <c r="Z336" i="5"/>
  <c r="Z335" i="5"/>
  <c r="Z334" i="5"/>
  <c r="Z333" i="5"/>
  <c r="Z332" i="5"/>
  <c r="Z331" i="5"/>
  <c r="Z330" i="5"/>
  <c r="Z329" i="5"/>
  <c r="Z328" i="5"/>
  <c r="Z326" i="5"/>
  <c r="Z325" i="5"/>
  <c r="Z324" i="5"/>
  <c r="Z323" i="5"/>
  <c r="Z322" i="5"/>
  <c r="Z321" i="5"/>
  <c r="Z320" i="5"/>
  <c r="Z319" i="5"/>
  <c r="Z318" i="5"/>
  <c r="Z317" i="5"/>
  <c r="Z316" i="5"/>
  <c r="Z315" i="5"/>
  <c r="Z314" i="5"/>
  <c r="Z313" i="5"/>
  <c r="Z312" i="5"/>
  <c r="Z311" i="5"/>
  <c r="Z310" i="5"/>
  <c r="Z309" i="5"/>
  <c r="Z308" i="5"/>
  <c r="Z307" i="5"/>
  <c r="Z306" i="5"/>
  <c r="Z305" i="5"/>
  <c r="Z304" i="5"/>
  <c r="Z303" i="5"/>
  <c r="Z302" i="5"/>
  <c r="Z301" i="5"/>
  <c r="Z300" i="5"/>
  <c r="Z299" i="5"/>
  <c r="Z298" i="5"/>
  <c r="Z297" i="5"/>
  <c r="Z296" i="5"/>
  <c r="Z295" i="5"/>
  <c r="Z294" i="5"/>
  <c r="Z293" i="5"/>
  <c r="Z292" i="5"/>
  <c r="Z291" i="5"/>
  <c r="Z290" i="5"/>
  <c r="Z289" i="5"/>
  <c r="Z288" i="5"/>
  <c r="Z287" i="5"/>
  <c r="Z286" i="5"/>
  <c r="Z285" i="5"/>
  <c r="Z284" i="5"/>
  <c r="Z283" i="5"/>
  <c r="Z282" i="5"/>
  <c r="Z281" i="5"/>
  <c r="Z280" i="5"/>
  <c r="Z279" i="5"/>
  <c r="Z278" i="5"/>
  <c r="Z277" i="5"/>
  <c r="Z276" i="5"/>
  <c r="Z274" i="5"/>
  <c r="Z273" i="5"/>
  <c r="Z272" i="5"/>
  <c r="Z271" i="5"/>
  <c r="Z270" i="5"/>
  <c r="Z269" i="5"/>
  <c r="Z268" i="5"/>
  <c r="Z267" i="5"/>
  <c r="Z266" i="5"/>
  <c r="Z265" i="5"/>
  <c r="Z264" i="5"/>
  <c r="Z263" i="5"/>
  <c r="Z262" i="5"/>
  <c r="Z261" i="5"/>
  <c r="Z260" i="5"/>
  <c r="Z259" i="5"/>
  <c r="Z258" i="5"/>
  <c r="Z257" i="5"/>
  <c r="Z256" i="5"/>
  <c r="Z255" i="5"/>
  <c r="Z254" i="5"/>
  <c r="Z253" i="5"/>
  <c r="Z252" i="5"/>
  <c r="Z251" i="5"/>
  <c r="Z250" i="5"/>
  <c r="Z249" i="5"/>
  <c r="Z248" i="5"/>
  <c r="Z247" i="5"/>
  <c r="Z246" i="5"/>
  <c r="Z245" i="5"/>
  <c r="Z244" i="5"/>
  <c r="Z243" i="5"/>
  <c r="Z242" i="5"/>
  <c r="Z241" i="5"/>
  <c r="Z240" i="5"/>
  <c r="Z239" i="5"/>
  <c r="Z238" i="5"/>
  <c r="Z237" i="5"/>
  <c r="Z236" i="5"/>
  <c r="Z235" i="5"/>
  <c r="Z234" i="5"/>
  <c r="Z233" i="5"/>
  <c r="Z232" i="5"/>
  <c r="Z231" i="5"/>
  <c r="Z230" i="5"/>
  <c r="Z229" i="5"/>
  <c r="Z228" i="5"/>
  <c r="Z227" i="5"/>
  <c r="Z226" i="5"/>
  <c r="Z225" i="5"/>
  <c r="Z224" i="5"/>
  <c r="Z223" i="5"/>
  <c r="Z222" i="5"/>
  <c r="Z221" i="5"/>
  <c r="Z220" i="5"/>
  <c r="Z219" i="5"/>
  <c r="Z218" i="5"/>
  <c r="Z217" i="5"/>
  <c r="Z216" i="5"/>
  <c r="Z215" i="5"/>
  <c r="Z214" i="5"/>
  <c r="Z213" i="5"/>
  <c r="Z212" i="5"/>
  <c r="Z211" i="5"/>
  <c r="Z210" i="5"/>
  <c r="Z209" i="5"/>
  <c r="Z208" i="5"/>
  <c r="Z207" i="5"/>
  <c r="Z206" i="5"/>
  <c r="Z205" i="5"/>
  <c r="Z204" i="5"/>
  <c r="Z203" i="5"/>
  <c r="Z202" i="5"/>
  <c r="Z201" i="5"/>
  <c r="Z200" i="5"/>
  <c r="Z199" i="5"/>
  <c r="Z198" i="5"/>
  <c r="Z197" i="5"/>
  <c r="Z196" i="5"/>
  <c r="Z195" i="5"/>
  <c r="Z194" i="5"/>
  <c r="Z193" i="5"/>
  <c r="Z192" i="5"/>
  <c r="Z191" i="5"/>
  <c r="Z190" i="5"/>
  <c r="Z189" i="5"/>
  <c r="Z188" i="5"/>
  <c r="Z187" i="5"/>
  <c r="Z186" i="5"/>
  <c r="Z185" i="5"/>
  <c r="Z184" i="5"/>
  <c r="Z183" i="5"/>
  <c r="Z182" i="5"/>
  <c r="Z181" i="5"/>
  <c r="Z180" i="5"/>
  <c r="Z179" i="5"/>
  <c r="Z178" i="5"/>
  <c r="Z177" i="5"/>
  <c r="Z176" i="5"/>
  <c r="Z175" i="5"/>
  <c r="Z174" i="5"/>
  <c r="Z173" i="5"/>
  <c r="Z172" i="5"/>
  <c r="Z171" i="5"/>
  <c r="Z170" i="5"/>
  <c r="Z169" i="5"/>
  <c r="Z168" i="5"/>
  <c r="Z167" i="5"/>
  <c r="Z166" i="5"/>
  <c r="Z165" i="5"/>
  <c r="Z164" i="5"/>
  <c r="Z163" i="5"/>
  <c r="Z162" i="5"/>
  <c r="Z161" i="5"/>
  <c r="Z160" i="5"/>
  <c r="Z159" i="5"/>
  <c r="Z158" i="5"/>
  <c r="Z157" i="5"/>
  <c r="Z156" i="5"/>
  <c r="Z155" i="5"/>
  <c r="Z154" i="5"/>
  <c r="Z153" i="5"/>
  <c r="Z152" i="5"/>
  <c r="Z151" i="5"/>
  <c r="Z150" i="5"/>
  <c r="Z149" i="5"/>
  <c r="Z148" i="5"/>
  <c r="Z147" i="5"/>
  <c r="Z146" i="5"/>
  <c r="Z145" i="5"/>
  <c r="Z144" i="5"/>
  <c r="Z143" i="5"/>
  <c r="Z142" i="5"/>
  <c r="Z141" i="5"/>
  <c r="Z140" i="5"/>
  <c r="Z139" i="5"/>
  <c r="Z138" i="5"/>
  <c r="Z137" i="5"/>
  <c r="Z136" i="5"/>
  <c r="Z135" i="5"/>
  <c r="Z134" i="5"/>
  <c r="Z133" i="5"/>
  <c r="Z132" i="5"/>
  <c r="Z131" i="5"/>
  <c r="Z130" i="5"/>
  <c r="Z129" i="5"/>
  <c r="Z128" i="5"/>
  <c r="Z127" i="5"/>
  <c r="Z126" i="5"/>
  <c r="Z125" i="5"/>
  <c r="Z124" i="5"/>
  <c r="Z123" i="5"/>
  <c r="Z122" i="5"/>
  <c r="Z121" i="5"/>
  <c r="Z120" i="5"/>
  <c r="Z119" i="5"/>
  <c r="Z118" i="5"/>
  <c r="Z117" i="5"/>
  <c r="Z116" i="5"/>
  <c r="Z115" i="5"/>
  <c r="Z114" i="5"/>
  <c r="Z113" i="5"/>
  <c r="Z112" i="5"/>
  <c r="Z111" i="5"/>
  <c r="Z110" i="5"/>
  <c r="Z109" i="5"/>
  <c r="Z108" i="5"/>
  <c r="Z107" i="5"/>
  <c r="Z106" i="5"/>
  <c r="Z105" i="5"/>
  <c r="Z104" i="5"/>
  <c r="Z103" i="5"/>
  <c r="Z102" i="5"/>
  <c r="Z101" i="5"/>
  <c r="Z100" i="5"/>
  <c r="Z99" i="5"/>
  <c r="Z98" i="5"/>
  <c r="Z97" i="5"/>
  <c r="Z96" i="5"/>
  <c r="Z95" i="5"/>
  <c r="Z94" i="5"/>
  <c r="Z93" i="5"/>
  <c r="Z92" i="5"/>
  <c r="Z91" i="5"/>
  <c r="Z90" i="5"/>
  <c r="Z89" i="5"/>
  <c r="Z87" i="5"/>
  <c r="Z86" i="5"/>
  <c r="Z85" i="5"/>
  <c r="Z84" i="5"/>
  <c r="Z83" i="5"/>
  <c r="Z82" i="5"/>
  <c r="Z81" i="5"/>
  <c r="Z80" i="5"/>
  <c r="Z79" i="5"/>
  <c r="Z78" i="5"/>
  <c r="Z77" i="5"/>
  <c r="Z76" i="5"/>
  <c r="Z75" i="5"/>
  <c r="Z74" i="5"/>
  <c r="Z73" i="5"/>
  <c r="Z72" i="5"/>
  <c r="Z71" i="5"/>
  <c r="Z70" i="5"/>
  <c r="Z69" i="5"/>
  <c r="Z68" i="5"/>
  <c r="Z67" i="5"/>
  <c r="Z66" i="5"/>
  <c r="Z65" i="5"/>
  <c r="Z64" i="5"/>
  <c r="Z63" i="5"/>
  <c r="Z62" i="5"/>
  <c r="Z61" i="5"/>
  <c r="Z60" i="5"/>
  <c r="Z59" i="5"/>
  <c r="Z58" i="5"/>
  <c r="Z57" i="5"/>
  <c r="Z56" i="5"/>
  <c r="Z55" i="5"/>
  <c r="Z54" i="5"/>
  <c r="Z53" i="5"/>
  <c r="Z52" i="5"/>
  <c r="Z51" i="5"/>
  <c r="Z50" i="5"/>
  <c r="Z49" i="5"/>
  <c r="Z48" i="5"/>
  <c r="Z47" i="5"/>
  <c r="Z46" i="5"/>
  <c r="Z45" i="5"/>
  <c r="Z44" i="5"/>
  <c r="Z43" i="5"/>
  <c r="Z42" i="5"/>
  <c r="Z41" i="5"/>
  <c r="Z40" i="5"/>
  <c r="Z39" i="5"/>
  <c r="Z38" i="5"/>
  <c r="Z37" i="5"/>
  <c r="Z36" i="5"/>
  <c r="Z35" i="5"/>
  <c r="Z34" i="5"/>
  <c r="Z33" i="5"/>
  <c r="Z32" i="5"/>
  <c r="Z31" i="5"/>
  <c r="Z30" i="5"/>
  <c r="Z29" i="5"/>
  <c r="Z28" i="5"/>
  <c r="Z27" i="5"/>
  <c r="Z26" i="5"/>
  <c r="Z25" i="5"/>
  <c r="Z24" i="5"/>
  <c r="Z23" i="5"/>
  <c r="Z21" i="5"/>
  <c r="Z20" i="5"/>
  <c r="Z19" i="5"/>
  <c r="Z18" i="5"/>
  <c r="Z17" i="5"/>
  <c r="Z16" i="5"/>
  <c r="Z15" i="5"/>
  <c r="Z14" i="5"/>
  <c r="Z13" i="5"/>
  <c r="Z12" i="5"/>
  <c r="Z11" i="5"/>
  <c r="Z10" i="5"/>
  <c r="Z9" i="5"/>
  <c r="Z8" i="5"/>
  <c r="Z7" i="5"/>
  <c r="H464" i="5"/>
  <c r="H451"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2" i="5"/>
  <c r="H453" i="5"/>
  <c r="H454" i="5"/>
  <c r="H455" i="5"/>
  <c r="H456" i="5"/>
  <c r="H457" i="5"/>
  <c r="H458" i="5"/>
  <c r="H459" i="5"/>
  <c r="H460" i="5"/>
  <c r="H461" i="5"/>
  <c r="H462" i="5"/>
  <c r="H463" i="5"/>
  <c r="AH465" i="5"/>
  <c r="AD465" i="5"/>
  <c r="AA410" i="5"/>
  <c r="AB410" i="5" s="1"/>
  <c r="AA409" i="5"/>
  <c r="AC409" i="5" s="1"/>
  <c r="AA408" i="5"/>
  <c r="AB408" i="5" s="1"/>
  <c r="AA407" i="5"/>
  <c r="AC407" i="5" s="1"/>
  <c r="AA406" i="5"/>
  <c r="AC406" i="5" s="1"/>
  <c r="AA405" i="5"/>
  <c r="AC405" i="5" s="1"/>
  <c r="AA404" i="5"/>
  <c r="AB404" i="5" s="1"/>
  <c r="AA403" i="5"/>
  <c r="AC403" i="5" s="1"/>
  <c r="AA402" i="5"/>
  <c r="AC402" i="5" s="1"/>
  <c r="AA401" i="5"/>
  <c r="AC401" i="5" s="1"/>
  <c r="AA400" i="5"/>
  <c r="AB400" i="5" s="1"/>
  <c r="AA399" i="5"/>
  <c r="AB399" i="5" s="1"/>
  <c r="AA398" i="5"/>
  <c r="AC398" i="5" s="1"/>
  <c r="AA396" i="5"/>
  <c r="AB396" i="5" s="1"/>
  <c r="AA395" i="5"/>
  <c r="AC395" i="5" s="1"/>
  <c r="AA394" i="5"/>
  <c r="AB394" i="5" s="1"/>
  <c r="AA393" i="5"/>
  <c r="AC393" i="5" s="1"/>
  <c r="AA392" i="5"/>
  <c r="AC392" i="5" s="1"/>
  <c r="AA391" i="5"/>
  <c r="AC391" i="5" s="1"/>
  <c r="AA390" i="5"/>
  <c r="AC390" i="5" s="1"/>
  <c r="AA389" i="5"/>
  <c r="AC389" i="5" s="1"/>
  <c r="AA388" i="5"/>
  <c r="AC388" i="5" s="1"/>
  <c r="AA387" i="5"/>
  <c r="AC387" i="5" s="1"/>
  <c r="AA386" i="5"/>
  <c r="AB386" i="5" s="1"/>
  <c r="AA385" i="5"/>
  <c r="AC385" i="5" s="1"/>
  <c r="AA384" i="5"/>
  <c r="AC384" i="5" s="1"/>
  <c r="AA381" i="5"/>
  <c r="AC381" i="5" s="1"/>
  <c r="AB451" i="5" l="1"/>
  <c r="AC435" i="5"/>
  <c r="AC454" i="5"/>
  <c r="AC416" i="5"/>
  <c r="AC446" i="5"/>
  <c r="AC464" i="5"/>
  <c r="AB447" i="5"/>
  <c r="Z465" i="5"/>
  <c r="AC453" i="5"/>
  <c r="AB453" i="5"/>
  <c r="AC455" i="5"/>
  <c r="AB455" i="5"/>
  <c r="AB435" i="5"/>
  <c r="AC417" i="5"/>
  <c r="AB417" i="5"/>
  <c r="AC419" i="5"/>
  <c r="AB419" i="5"/>
  <c r="AC458" i="5"/>
  <c r="AB458" i="5"/>
  <c r="AC420" i="5"/>
  <c r="AB420" i="5"/>
  <c r="AC460" i="5"/>
  <c r="AB460" i="5"/>
  <c r="AC422" i="5"/>
  <c r="AB422" i="5"/>
  <c r="AC442" i="5"/>
  <c r="AB442" i="5"/>
  <c r="AC424" i="5"/>
  <c r="AB424" i="5"/>
  <c r="AC414" i="5"/>
  <c r="AB414" i="5"/>
  <c r="AC456" i="5"/>
  <c r="AB456" i="5"/>
  <c r="AC439" i="5"/>
  <c r="AB439" i="5"/>
  <c r="AC426" i="5"/>
  <c r="AB426" i="5"/>
  <c r="AC447" i="5"/>
  <c r="AB454" i="5"/>
  <c r="AB416" i="5"/>
  <c r="AB446" i="5"/>
  <c r="AB464" i="5"/>
  <c r="AB381" i="5"/>
  <c r="AC408" i="5"/>
  <c r="AC396" i="5"/>
  <c r="AB403" i="5"/>
  <c r="AC410" i="5"/>
  <c r="AC397" i="5"/>
  <c r="AB405" i="5"/>
  <c r="AB392" i="5"/>
  <c r="AC399" i="5"/>
  <c r="AC386" i="5"/>
  <c r="AB387" i="5"/>
  <c r="AC400" i="5"/>
  <c r="AC394" i="5"/>
  <c r="AB401" i="5"/>
  <c r="AC404" i="5"/>
  <c r="AB385" i="5"/>
  <c r="AB390" i="5"/>
  <c r="AB384" i="5"/>
  <c r="AB391" i="5"/>
  <c r="AB398" i="5"/>
  <c r="AB406" i="5"/>
  <c r="AB393" i="5"/>
  <c r="AB407" i="5"/>
  <c r="AB388" i="5"/>
  <c r="AB395" i="5"/>
  <c r="AB402" i="5"/>
  <c r="AB389" i="5"/>
  <c r="AB409" i="5"/>
  <c r="W322" i="5"/>
  <c r="S7" i="9" l="1"/>
  <c r="V465" i="5"/>
  <c r="W385" i="5"/>
  <c r="AM385" i="5" s="1"/>
  <c r="W386" i="5"/>
  <c r="W387" i="5"/>
  <c r="W388" i="5"/>
  <c r="AM388" i="5" s="1"/>
  <c r="W389" i="5"/>
  <c r="W390" i="5"/>
  <c r="AM390" i="5" s="1"/>
  <c r="W391" i="5"/>
  <c r="W392" i="5"/>
  <c r="W393" i="5"/>
  <c r="W394" i="5"/>
  <c r="W395" i="5"/>
  <c r="W396" i="5"/>
  <c r="W397" i="5"/>
  <c r="W398" i="5"/>
  <c r="W399" i="5"/>
  <c r="W400" i="5"/>
  <c r="W401" i="5"/>
  <c r="W402" i="5"/>
  <c r="W403" i="5"/>
  <c r="W404" i="5"/>
  <c r="W405" i="5"/>
  <c r="AM405" i="5" s="1"/>
  <c r="W406" i="5"/>
  <c r="W407" i="5"/>
  <c r="W408" i="5"/>
  <c r="W409" i="5"/>
  <c r="W410" i="5"/>
  <c r="H410" i="5"/>
  <c r="H409" i="5"/>
  <c r="H408" i="5"/>
  <c r="H407" i="5"/>
  <c r="H406" i="5"/>
  <c r="H405" i="5"/>
  <c r="H404" i="5"/>
  <c r="H403" i="5"/>
  <c r="H402" i="5"/>
  <c r="H401" i="5"/>
  <c r="H400" i="5"/>
  <c r="H399" i="5"/>
  <c r="H398" i="5"/>
  <c r="H397" i="5"/>
  <c r="H396" i="5"/>
  <c r="H395" i="5"/>
  <c r="H394" i="5"/>
  <c r="H393" i="5"/>
  <c r="H392" i="5"/>
  <c r="H391" i="5"/>
  <c r="H390" i="5"/>
  <c r="H389" i="5"/>
  <c r="H388" i="5"/>
  <c r="H387" i="5"/>
  <c r="H386" i="5"/>
  <c r="H385"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X397" i="5" l="1"/>
  <c r="AM397" i="5"/>
  <c r="Y394" i="5"/>
  <c r="AM394" i="5"/>
  <c r="Y392" i="5"/>
  <c r="AM392" i="5"/>
  <c r="X389" i="5"/>
  <c r="AM389" i="5"/>
  <c r="X387" i="5"/>
  <c r="AM387" i="5"/>
  <c r="X403" i="5"/>
  <c r="AM403" i="5"/>
  <c r="Y402" i="5"/>
  <c r="AM402" i="5"/>
  <c r="X401" i="5"/>
  <c r="AM401" i="5"/>
  <c r="X400" i="5"/>
  <c r="AM400" i="5"/>
  <c r="X396" i="5"/>
  <c r="AM396" i="5"/>
  <c r="X395" i="5"/>
  <c r="AM395" i="5"/>
  <c r="X393" i="5"/>
  <c r="AM393" i="5"/>
  <c r="X408" i="5"/>
  <c r="AM408" i="5"/>
  <c r="X399" i="5"/>
  <c r="AM399" i="5"/>
  <c r="X398" i="5"/>
  <c r="AM398" i="5"/>
  <c r="Y391" i="5"/>
  <c r="AM391" i="5"/>
  <c r="X410" i="5"/>
  <c r="AM410" i="5"/>
  <c r="X409" i="5"/>
  <c r="AM409" i="5"/>
  <c r="X407" i="5"/>
  <c r="AM407" i="5"/>
  <c r="Y406" i="5"/>
  <c r="AM406" i="5"/>
  <c r="Y386" i="5"/>
  <c r="AM386" i="5"/>
  <c r="X404" i="5"/>
  <c r="AM404" i="5"/>
  <c r="X405" i="5"/>
  <c r="X388" i="5"/>
  <c r="X391" i="5"/>
  <c r="X390" i="5"/>
  <c r="Y385" i="5"/>
  <c r="Y388" i="5"/>
  <c r="X386" i="5"/>
  <c r="X385" i="5"/>
  <c r="X392" i="5"/>
  <c r="Y393" i="5"/>
  <c r="X394" i="5"/>
  <c r="Y390" i="5"/>
  <c r="Y410" i="5"/>
  <c r="Y408" i="5"/>
  <c r="Y407" i="5"/>
  <c r="X406" i="5"/>
  <c r="Y405" i="5"/>
  <c r="Y404" i="5"/>
  <c r="Y403" i="5"/>
  <c r="X402" i="5"/>
  <c r="Y401" i="5"/>
  <c r="Y400" i="5"/>
  <c r="Y399" i="5"/>
  <c r="Y397" i="5"/>
  <c r="Y396" i="5"/>
  <c r="Y395" i="5"/>
  <c r="Y409" i="5"/>
  <c r="Y389" i="5"/>
  <c r="Y387" i="5"/>
  <c r="Y398" i="5"/>
  <c r="R371" i="5" l="1"/>
  <c r="R349" i="5"/>
  <c r="R350" i="5"/>
  <c r="R356"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51" i="5"/>
  <c r="R352" i="5"/>
  <c r="R353" i="5"/>
  <c r="R354" i="5"/>
  <c r="R355" i="5"/>
  <c r="T7" i="9"/>
  <c r="U7" i="9"/>
  <c r="U9" i="9" s="1"/>
  <c r="S9" i="9"/>
  <c r="T297" i="5" l="1"/>
  <c r="R9" i="9" l="1"/>
  <c r="AD9" i="9"/>
  <c r="W381" i="5"/>
  <c r="AA368" i="5"/>
  <c r="AA369" i="5"/>
  <c r="AA370" i="5"/>
  <c r="AA371" i="5"/>
  <c r="AA372" i="5"/>
  <c r="AA373" i="5"/>
  <c r="AA374" i="5"/>
  <c r="AA375" i="5"/>
  <c r="AA376" i="5"/>
  <c r="AA377" i="5"/>
  <c r="AA378" i="5"/>
  <c r="AA379" i="5"/>
  <c r="AA380" i="5"/>
  <c r="AA382" i="5"/>
  <c r="AA383"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2" i="5"/>
  <c r="W383" i="5"/>
  <c r="W384" i="5"/>
  <c r="W7" i="5"/>
  <c r="X381" i="5" l="1"/>
  <c r="W465" i="5"/>
  <c r="X163" i="5"/>
  <c r="AE174" i="5" l="1"/>
  <c r="AG174" i="5" s="1"/>
  <c r="AE82" i="5"/>
  <c r="AG82" i="5" s="1"/>
  <c r="AA52" i="5"/>
  <c r="X7" i="5"/>
  <c r="Y384" i="5"/>
  <c r="X384" i="5"/>
  <c r="Y383" i="5"/>
  <c r="X383" i="5"/>
  <c r="Y382" i="5"/>
  <c r="X382" i="5"/>
  <c r="Y381" i="5"/>
  <c r="Y380" i="5"/>
  <c r="X380" i="5"/>
  <c r="Y379" i="5"/>
  <c r="X379" i="5"/>
  <c r="Y378" i="5"/>
  <c r="X378" i="5"/>
  <c r="Y377" i="5"/>
  <c r="X377" i="5"/>
  <c r="Y376" i="5"/>
  <c r="X376" i="5"/>
  <c r="Y375" i="5"/>
  <c r="X375" i="5"/>
  <c r="Y374" i="5"/>
  <c r="X374" i="5"/>
  <c r="Y373" i="5"/>
  <c r="X373" i="5"/>
  <c r="Y372" i="5"/>
  <c r="X372" i="5"/>
  <c r="Y371" i="5"/>
  <c r="X371" i="5"/>
  <c r="Y370" i="5"/>
  <c r="X370" i="5"/>
  <c r="Y369" i="5"/>
  <c r="X369" i="5"/>
  <c r="Y368" i="5"/>
  <c r="X368" i="5"/>
  <c r="Y367" i="5"/>
  <c r="X367" i="5"/>
  <c r="Y366" i="5"/>
  <c r="X366" i="5"/>
  <c r="Y365" i="5"/>
  <c r="X365" i="5"/>
  <c r="Y364" i="5"/>
  <c r="X364" i="5"/>
  <c r="Y363" i="5"/>
  <c r="X363" i="5"/>
  <c r="Y362" i="5"/>
  <c r="X362" i="5"/>
  <c r="Y361" i="5"/>
  <c r="X361" i="5"/>
  <c r="Y360" i="5"/>
  <c r="X360" i="5"/>
  <c r="Y359" i="5"/>
  <c r="X359" i="5"/>
  <c r="Y358" i="5"/>
  <c r="X358" i="5"/>
  <c r="Y357" i="5"/>
  <c r="X357" i="5"/>
  <c r="Y356" i="5"/>
  <c r="X356" i="5"/>
  <c r="Y355" i="5"/>
  <c r="X355" i="5"/>
  <c r="Y354" i="5"/>
  <c r="X354" i="5"/>
  <c r="Y353" i="5"/>
  <c r="X353" i="5"/>
  <c r="Y352" i="5"/>
  <c r="X352" i="5"/>
  <c r="Y351" i="5"/>
  <c r="X351" i="5"/>
  <c r="Y350" i="5"/>
  <c r="X350" i="5"/>
  <c r="Y349" i="5"/>
  <c r="X349" i="5"/>
  <c r="Y348" i="5"/>
  <c r="X348" i="5"/>
  <c r="Y347" i="5"/>
  <c r="X347" i="5"/>
  <c r="Y346" i="5"/>
  <c r="X346" i="5"/>
  <c r="Y345" i="5"/>
  <c r="X345" i="5"/>
  <c r="Y344" i="5"/>
  <c r="X344" i="5"/>
  <c r="Y343" i="5"/>
  <c r="X343" i="5"/>
  <c r="Y342" i="5"/>
  <c r="X342" i="5"/>
  <c r="Y341" i="5"/>
  <c r="X341" i="5"/>
  <c r="Y340" i="5"/>
  <c r="X340" i="5"/>
  <c r="Y339" i="5"/>
  <c r="X339" i="5"/>
  <c r="Y338" i="5"/>
  <c r="X338" i="5"/>
  <c r="Y337" i="5"/>
  <c r="X337" i="5"/>
  <c r="Y336" i="5"/>
  <c r="X336" i="5"/>
  <c r="Y335" i="5"/>
  <c r="X335" i="5"/>
  <c r="Y334" i="5"/>
  <c r="X334" i="5"/>
  <c r="Y333" i="5"/>
  <c r="X333" i="5"/>
  <c r="Y332" i="5"/>
  <c r="X332" i="5"/>
  <c r="Y331" i="5"/>
  <c r="X331" i="5"/>
  <c r="Y330" i="5"/>
  <c r="X330" i="5"/>
  <c r="Y329" i="5"/>
  <c r="X329" i="5"/>
  <c r="Y328" i="5"/>
  <c r="X328" i="5"/>
  <c r="Y327" i="5"/>
  <c r="X327" i="5"/>
  <c r="Y326" i="5"/>
  <c r="X326" i="5"/>
  <c r="Y325" i="5"/>
  <c r="X325" i="5"/>
  <c r="Y324" i="5"/>
  <c r="X324" i="5"/>
  <c r="Y323" i="5"/>
  <c r="X323" i="5"/>
  <c r="Y322" i="5"/>
  <c r="X322" i="5"/>
  <c r="Y321" i="5"/>
  <c r="X321" i="5"/>
  <c r="Y320" i="5"/>
  <c r="X320" i="5"/>
  <c r="Y319" i="5"/>
  <c r="X319" i="5"/>
  <c r="Y318" i="5"/>
  <c r="X318" i="5"/>
  <c r="Y317" i="5"/>
  <c r="X317" i="5"/>
  <c r="Y316" i="5"/>
  <c r="X316" i="5"/>
  <c r="Y315" i="5"/>
  <c r="X315" i="5"/>
  <c r="Y314" i="5"/>
  <c r="X314" i="5"/>
  <c r="Y313" i="5"/>
  <c r="X313" i="5"/>
  <c r="Y312" i="5"/>
  <c r="X312" i="5"/>
  <c r="Y311" i="5"/>
  <c r="X311" i="5"/>
  <c r="Y310" i="5"/>
  <c r="X310" i="5"/>
  <c r="Y309" i="5"/>
  <c r="X309" i="5"/>
  <c r="Y308" i="5"/>
  <c r="X308" i="5"/>
  <c r="Y307" i="5"/>
  <c r="X307" i="5"/>
  <c r="Y306" i="5"/>
  <c r="X306" i="5"/>
  <c r="Y305" i="5"/>
  <c r="X305" i="5"/>
  <c r="Y304" i="5"/>
  <c r="X304" i="5"/>
  <c r="Y303" i="5"/>
  <c r="X303" i="5"/>
  <c r="Y302" i="5"/>
  <c r="X302" i="5"/>
  <c r="Y301" i="5"/>
  <c r="X301" i="5"/>
  <c r="Y300" i="5"/>
  <c r="X300" i="5"/>
  <c r="Y299" i="5"/>
  <c r="X299" i="5"/>
  <c r="Y298" i="5"/>
  <c r="X298" i="5"/>
  <c r="Y297" i="5"/>
  <c r="X297" i="5"/>
  <c r="Y296" i="5"/>
  <c r="X296" i="5"/>
  <c r="Y295" i="5"/>
  <c r="X295" i="5"/>
  <c r="Y294" i="5"/>
  <c r="X294" i="5"/>
  <c r="Y293" i="5"/>
  <c r="X293" i="5"/>
  <c r="Y292" i="5"/>
  <c r="X292" i="5"/>
  <c r="Y291" i="5"/>
  <c r="X291" i="5"/>
  <c r="Y290" i="5"/>
  <c r="X290" i="5"/>
  <c r="Y289" i="5"/>
  <c r="X289" i="5"/>
  <c r="Y288" i="5"/>
  <c r="X288" i="5"/>
  <c r="Y287" i="5"/>
  <c r="X287" i="5"/>
  <c r="Y286" i="5"/>
  <c r="X286" i="5"/>
  <c r="Y285" i="5"/>
  <c r="X285" i="5"/>
  <c r="Y284" i="5"/>
  <c r="X284" i="5"/>
  <c r="Y283" i="5"/>
  <c r="X283" i="5"/>
  <c r="Y282" i="5"/>
  <c r="X282" i="5"/>
  <c r="Y281" i="5"/>
  <c r="X281" i="5"/>
  <c r="Y280" i="5"/>
  <c r="X280" i="5"/>
  <c r="Y279" i="5"/>
  <c r="X279" i="5"/>
  <c r="Y278" i="5"/>
  <c r="X278" i="5"/>
  <c r="Y277" i="5"/>
  <c r="X277" i="5"/>
  <c r="Y276" i="5"/>
  <c r="X276" i="5"/>
  <c r="Y275" i="5"/>
  <c r="X275" i="5"/>
  <c r="Y274" i="5"/>
  <c r="X274" i="5"/>
  <c r="Y273" i="5"/>
  <c r="X273" i="5"/>
  <c r="Y272" i="5"/>
  <c r="X272" i="5"/>
  <c r="Y271" i="5"/>
  <c r="X271" i="5"/>
  <c r="Y270" i="5"/>
  <c r="X270" i="5"/>
  <c r="Y269" i="5"/>
  <c r="X269" i="5"/>
  <c r="Y268" i="5"/>
  <c r="X268" i="5"/>
  <c r="Y267" i="5"/>
  <c r="X267" i="5"/>
  <c r="Y266" i="5"/>
  <c r="X266" i="5"/>
  <c r="Y265" i="5"/>
  <c r="X265" i="5"/>
  <c r="Y264" i="5"/>
  <c r="X264" i="5"/>
  <c r="Y263" i="5"/>
  <c r="X263" i="5"/>
  <c r="Y262" i="5"/>
  <c r="X262" i="5"/>
  <c r="Y261" i="5"/>
  <c r="X261" i="5"/>
  <c r="Y260" i="5"/>
  <c r="X260" i="5"/>
  <c r="Y259" i="5"/>
  <c r="X259" i="5"/>
  <c r="Y258" i="5"/>
  <c r="X258" i="5"/>
  <c r="Y257" i="5"/>
  <c r="X257" i="5"/>
  <c r="Y256" i="5"/>
  <c r="X256" i="5"/>
  <c r="Y255" i="5"/>
  <c r="X255" i="5"/>
  <c r="Y254" i="5"/>
  <c r="X254" i="5"/>
  <c r="Y253" i="5"/>
  <c r="X253" i="5"/>
  <c r="Y252" i="5"/>
  <c r="X252" i="5"/>
  <c r="Y251" i="5"/>
  <c r="X251" i="5"/>
  <c r="Y250" i="5"/>
  <c r="X250" i="5"/>
  <c r="Y249" i="5"/>
  <c r="X249" i="5"/>
  <c r="Y248" i="5"/>
  <c r="X248" i="5"/>
  <c r="Y247" i="5"/>
  <c r="X247" i="5"/>
  <c r="Y246" i="5"/>
  <c r="X246" i="5"/>
  <c r="Y245" i="5"/>
  <c r="X245" i="5"/>
  <c r="Y244" i="5"/>
  <c r="X244" i="5"/>
  <c r="Y243" i="5"/>
  <c r="X243" i="5"/>
  <c r="Y242" i="5"/>
  <c r="X242" i="5"/>
  <c r="Y241" i="5"/>
  <c r="X241" i="5"/>
  <c r="Y240" i="5"/>
  <c r="X240" i="5"/>
  <c r="Y239" i="5"/>
  <c r="X239" i="5"/>
  <c r="Y238" i="5"/>
  <c r="X238" i="5"/>
  <c r="Y237" i="5"/>
  <c r="X237" i="5"/>
  <c r="Y236" i="5"/>
  <c r="X236" i="5"/>
  <c r="Y235" i="5"/>
  <c r="X235" i="5"/>
  <c r="Y234" i="5"/>
  <c r="X234" i="5"/>
  <c r="Y233" i="5"/>
  <c r="X233" i="5"/>
  <c r="Y232" i="5"/>
  <c r="X232" i="5"/>
  <c r="Y231" i="5"/>
  <c r="X231" i="5"/>
  <c r="Y230" i="5"/>
  <c r="X230" i="5"/>
  <c r="Y229" i="5"/>
  <c r="X229" i="5"/>
  <c r="Y228" i="5"/>
  <c r="X228" i="5"/>
  <c r="Y227" i="5"/>
  <c r="X227" i="5"/>
  <c r="Y226" i="5"/>
  <c r="X226" i="5"/>
  <c r="Y225" i="5"/>
  <c r="X225" i="5"/>
  <c r="Y224" i="5"/>
  <c r="X224" i="5"/>
  <c r="Y223" i="5"/>
  <c r="X223" i="5"/>
  <c r="Y222" i="5"/>
  <c r="X222" i="5"/>
  <c r="Y221" i="5"/>
  <c r="X221" i="5"/>
  <c r="Y220" i="5"/>
  <c r="X220" i="5"/>
  <c r="Y219" i="5"/>
  <c r="X219" i="5"/>
  <c r="Y218" i="5"/>
  <c r="X218" i="5"/>
  <c r="Y217" i="5"/>
  <c r="X217" i="5"/>
  <c r="Y216" i="5"/>
  <c r="X216" i="5"/>
  <c r="Y215" i="5"/>
  <c r="X215" i="5"/>
  <c r="Y214" i="5"/>
  <c r="X214" i="5"/>
  <c r="Y213" i="5"/>
  <c r="X213" i="5"/>
  <c r="Y212" i="5"/>
  <c r="X212" i="5"/>
  <c r="Y211" i="5"/>
  <c r="X211" i="5"/>
  <c r="Y210" i="5"/>
  <c r="X210" i="5"/>
  <c r="Y209" i="5"/>
  <c r="X209" i="5"/>
  <c r="Y208" i="5"/>
  <c r="X208" i="5"/>
  <c r="Y207" i="5"/>
  <c r="X207" i="5"/>
  <c r="Y206" i="5"/>
  <c r="X206" i="5"/>
  <c r="Y205" i="5"/>
  <c r="X205" i="5"/>
  <c r="Y204" i="5"/>
  <c r="X204" i="5"/>
  <c r="Y203" i="5"/>
  <c r="X203" i="5"/>
  <c r="Y202" i="5"/>
  <c r="X202" i="5"/>
  <c r="Y201" i="5"/>
  <c r="X201" i="5"/>
  <c r="Y200" i="5"/>
  <c r="X200" i="5"/>
  <c r="Y199" i="5"/>
  <c r="X199" i="5"/>
  <c r="Y198" i="5"/>
  <c r="X198" i="5"/>
  <c r="Y197" i="5"/>
  <c r="X197" i="5"/>
  <c r="Y196" i="5"/>
  <c r="X196" i="5"/>
  <c r="Y195" i="5"/>
  <c r="X195" i="5"/>
  <c r="Y194" i="5"/>
  <c r="X194" i="5"/>
  <c r="Y193" i="5"/>
  <c r="X193" i="5"/>
  <c r="Y192" i="5"/>
  <c r="X192" i="5"/>
  <c r="Y191" i="5"/>
  <c r="X191" i="5"/>
  <c r="Y190" i="5"/>
  <c r="X190" i="5"/>
  <c r="Y189" i="5"/>
  <c r="X189" i="5"/>
  <c r="Y188" i="5"/>
  <c r="X188" i="5"/>
  <c r="Y187" i="5"/>
  <c r="X187" i="5"/>
  <c r="Y186" i="5"/>
  <c r="X186" i="5"/>
  <c r="Y185" i="5"/>
  <c r="X185" i="5"/>
  <c r="Y184" i="5"/>
  <c r="X184" i="5"/>
  <c r="Y183" i="5"/>
  <c r="X183" i="5"/>
  <c r="Y182" i="5"/>
  <c r="X182" i="5"/>
  <c r="Y181" i="5"/>
  <c r="X181" i="5"/>
  <c r="Y180" i="5"/>
  <c r="X180" i="5"/>
  <c r="Y179" i="5"/>
  <c r="X179" i="5"/>
  <c r="Y178" i="5"/>
  <c r="X178" i="5"/>
  <c r="Y177" i="5"/>
  <c r="X177" i="5"/>
  <c r="Y176" i="5"/>
  <c r="X176" i="5"/>
  <c r="Y175" i="5"/>
  <c r="X175" i="5"/>
  <c r="Y174" i="5"/>
  <c r="X174" i="5"/>
  <c r="Y173" i="5"/>
  <c r="X173" i="5"/>
  <c r="Y172" i="5"/>
  <c r="X172" i="5"/>
  <c r="Y171" i="5"/>
  <c r="X171" i="5"/>
  <c r="Y170" i="5"/>
  <c r="X170" i="5"/>
  <c r="Y169" i="5"/>
  <c r="X169" i="5"/>
  <c r="Y168" i="5"/>
  <c r="X168" i="5"/>
  <c r="Y167" i="5"/>
  <c r="X167" i="5"/>
  <c r="Y166" i="5"/>
  <c r="X166" i="5"/>
  <c r="Y165" i="5"/>
  <c r="X165" i="5"/>
  <c r="Y164" i="5"/>
  <c r="X164" i="5"/>
  <c r="Y163" i="5"/>
  <c r="Y162" i="5"/>
  <c r="X162" i="5"/>
  <c r="Y161" i="5"/>
  <c r="X161" i="5"/>
  <c r="Y160" i="5"/>
  <c r="X160" i="5"/>
  <c r="Y159" i="5"/>
  <c r="X159" i="5"/>
  <c r="Y158" i="5"/>
  <c r="X158" i="5"/>
  <c r="Y157" i="5"/>
  <c r="X157" i="5"/>
  <c r="Y156" i="5"/>
  <c r="X156" i="5"/>
  <c r="Y155" i="5"/>
  <c r="X155" i="5"/>
  <c r="Y154" i="5"/>
  <c r="X154" i="5"/>
  <c r="Y153" i="5"/>
  <c r="X153" i="5"/>
  <c r="Y152" i="5"/>
  <c r="X152" i="5"/>
  <c r="Y151" i="5"/>
  <c r="X151" i="5"/>
  <c r="Y150" i="5"/>
  <c r="X150" i="5"/>
  <c r="Y149" i="5"/>
  <c r="X149" i="5"/>
  <c r="Y148" i="5"/>
  <c r="X148" i="5"/>
  <c r="Y147" i="5"/>
  <c r="X147" i="5"/>
  <c r="Y146" i="5"/>
  <c r="X146" i="5"/>
  <c r="Y145" i="5"/>
  <c r="X145" i="5"/>
  <c r="Y144" i="5"/>
  <c r="X144" i="5"/>
  <c r="Y143" i="5"/>
  <c r="X143" i="5"/>
  <c r="Y142" i="5"/>
  <c r="X142" i="5"/>
  <c r="Y141" i="5"/>
  <c r="X141" i="5"/>
  <c r="Y140" i="5"/>
  <c r="X140" i="5"/>
  <c r="Y139" i="5"/>
  <c r="X139" i="5"/>
  <c r="Y138" i="5"/>
  <c r="X138" i="5"/>
  <c r="Y137" i="5"/>
  <c r="X137" i="5"/>
  <c r="Y136" i="5"/>
  <c r="X136" i="5"/>
  <c r="Y135" i="5"/>
  <c r="X135" i="5"/>
  <c r="Y134" i="5"/>
  <c r="X134" i="5"/>
  <c r="Y133" i="5"/>
  <c r="X133" i="5"/>
  <c r="Y132" i="5"/>
  <c r="X132" i="5"/>
  <c r="Y131" i="5"/>
  <c r="X131" i="5"/>
  <c r="Y130" i="5"/>
  <c r="X130" i="5"/>
  <c r="Y129" i="5"/>
  <c r="X129" i="5"/>
  <c r="Y128" i="5"/>
  <c r="X128" i="5"/>
  <c r="Y127" i="5"/>
  <c r="X127" i="5"/>
  <c r="Y126" i="5"/>
  <c r="X126" i="5"/>
  <c r="Y125" i="5"/>
  <c r="X125" i="5"/>
  <c r="Y124" i="5"/>
  <c r="X124" i="5"/>
  <c r="Y123" i="5"/>
  <c r="X123" i="5"/>
  <c r="Y122" i="5"/>
  <c r="X122" i="5"/>
  <c r="Y121" i="5"/>
  <c r="X121" i="5"/>
  <c r="Y120" i="5"/>
  <c r="X120" i="5"/>
  <c r="Y119" i="5"/>
  <c r="X119" i="5"/>
  <c r="Y118" i="5"/>
  <c r="X118" i="5"/>
  <c r="Y117" i="5"/>
  <c r="X117" i="5"/>
  <c r="Y116" i="5"/>
  <c r="X116" i="5"/>
  <c r="Y115" i="5"/>
  <c r="X115" i="5"/>
  <c r="Y114" i="5"/>
  <c r="X114" i="5"/>
  <c r="Y113" i="5"/>
  <c r="X113" i="5"/>
  <c r="Y112" i="5"/>
  <c r="X112" i="5"/>
  <c r="Y111" i="5"/>
  <c r="X111" i="5"/>
  <c r="Y110" i="5"/>
  <c r="X110" i="5"/>
  <c r="Y109" i="5"/>
  <c r="X109" i="5"/>
  <c r="Y108" i="5"/>
  <c r="X108" i="5"/>
  <c r="Y107" i="5"/>
  <c r="X107" i="5"/>
  <c r="Y106" i="5"/>
  <c r="X106" i="5"/>
  <c r="Y105" i="5"/>
  <c r="X105" i="5"/>
  <c r="Y104" i="5"/>
  <c r="X104" i="5"/>
  <c r="Y103" i="5"/>
  <c r="X103" i="5"/>
  <c r="Y102" i="5"/>
  <c r="X102" i="5"/>
  <c r="Y101" i="5"/>
  <c r="X101" i="5"/>
  <c r="Y100" i="5"/>
  <c r="X100" i="5"/>
  <c r="Y99" i="5"/>
  <c r="X99" i="5"/>
  <c r="Y98" i="5"/>
  <c r="X98" i="5"/>
  <c r="Y97" i="5"/>
  <c r="X97" i="5"/>
  <c r="Y96" i="5"/>
  <c r="X96" i="5"/>
  <c r="Y95" i="5"/>
  <c r="X95" i="5"/>
  <c r="Y94" i="5"/>
  <c r="X94" i="5"/>
  <c r="Y93" i="5"/>
  <c r="X93" i="5"/>
  <c r="Y92" i="5"/>
  <c r="X92" i="5"/>
  <c r="Y91" i="5"/>
  <c r="X91" i="5"/>
  <c r="Y90" i="5"/>
  <c r="X90" i="5"/>
  <c r="Y89" i="5"/>
  <c r="X89" i="5"/>
  <c r="Y88" i="5"/>
  <c r="X88" i="5"/>
  <c r="Y87" i="5"/>
  <c r="X87" i="5"/>
  <c r="Y86" i="5"/>
  <c r="X86" i="5"/>
  <c r="Y85" i="5"/>
  <c r="X85" i="5"/>
  <c r="Y84" i="5"/>
  <c r="X84" i="5"/>
  <c r="Y83" i="5"/>
  <c r="X83" i="5"/>
  <c r="Y82" i="5"/>
  <c r="X82" i="5"/>
  <c r="Y81" i="5"/>
  <c r="X81" i="5"/>
  <c r="Y80" i="5"/>
  <c r="X80" i="5"/>
  <c r="Y79" i="5"/>
  <c r="X79" i="5"/>
  <c r="Y78" i="5"/>
  <c r="X78" i="5"/>
  <c r="Y77" i="5"/>
  <c r="X77" i="5"/>
  <c r="Y76" i="5"/>
  <c r="X76" i="5"/>
  <c r="Y75" i="5"/>
  <c r="X75" i="5"/>
  <c r="Y74" i="5"/>
  <c r="X74" i="5"/>
  <c r="Y73" i="5"/>
  <c r="X73" i="5"/>
  <c r="Y72" i="5"/>
  <c r="X72" i="5"/>
  <c r="Y71" i="5"/>
  <c r="X71" i="5"/>
  <c r="Y70" i="5"/>
  <c r="X70" i="5"/>
  <c r="Y69" i="5"/>
  <c r="X69" i="5"/>
  <c r="Y68" i="5"/>
  <c r="X68" i="5"/>
  <c r="Y67" i="5"/>
  <c r="X67" i="5"/>
  <c r="Y66" i="5"/>
  <c r="X66" i="5"/>
  <c r="Y65" i="5"/>
  <c r="X65" i="5"/>
  <c r="Y64" i="5"/>
  <c r="X64" i="5"/>
  <c r="Y63" i="5"/>
  <c r="X63" i="5"/>
  <c r="Y62" i="5"/>
  <c r="X62" i="5"/>
  <c r="Y61" i="5"/>
  <c r="X61" i="5"/>
  <c r="Y60" i="5"/>
  <c r="X60" i="5"/>
  <c r="Y59" i="5"/>
  <c r="X59" i="5"/>
  <c r="Y58" i="5"/>
  <c r="X58" i="5"/>
  <c r="Y57" i="5"/>
  <c r="X57" i="5"/>
  <c r="Y56" i="5"/>
  <c r="X56" i="5"/>
  <c r="Y55" i="5"/>
  <c r="X55" i="5"/>
  <c r="Y54" i="5"/>
  <c r="X54" i="5"/>
  <c r="Y53" i="5"/>
  <c r="X53" i="5"/>
  <c r="Y52" i="5"/>
  <c r="X52" i="5"/>
  <c r="Y51" i="5"/>
  <c r="X51" i="5"/>
  <c r="Y50" i="5"/>
  <c r="X50" i="5"/>
  <c r="Y49" i="5"/>
  <c r="X49" i="5"/>
  <c r="Y48" i="5"/>
  <c r="X48" i="5"/>
  <c r="Y47" i="5"/>
  <c r="X47" i="5"/>
  <c r="Y46" i="5"/>
  <c r="X46" i="5"/>
  <c r="Y45" i="5"/>
  <c r="X45" i="5"/>
  <c r="Y44" i="5"/>
  <c r="X44" i="5"/>
  <c r="Y43" i="5"/>
  <c r="X43" i="5"/>
  <c r="Y42" i="5"/>
  <c r="X42" i="5"/>
  <c r="Y41" i="5"/>
  <c r="X41" i="5"/>
  <c r="Y40" i="5"/>
  <c r="X40" i="5"/>
  <c r="Y39" i="5"/>
  <c r="X39" i="5"/>
  <c r="Y38" i="5"/>
  <c r="X38" i="5"/>
  <c r="Y37" i="5"/>
  <c r="X37" i="5"/>
  <c r="Y36" i="5"/>
  <c r="X36" i="5"/>
  <c r="Y35" i="5"/>
  <c r="X35" i="5"/>
  <c r="Y34" i="5"/>
  <c r="X34" i="5"/>
  <c r="Y33" i="5"/>
  <c r="X33" i="5"/>
  <c r="Y32" i="5"/>
  <c r="X32" i="5"/>
  <c r="Y31" i="5"/>
  <c r="X31" i="5"/>
  <c r="Y30" i="5"/>
  <c r="X30" i="5"/>
  <c r="Y29" i="5"/>
  <c r="X29" i="5"/>
  <c r="Y28" i="5"/>
  <c r="X28" i="5"/>
  <c r="Y27" i="5"/>
  <c r="X27" i="5"/>
  <c r="Y26" i="5"/>
  <c r="X26" i="5"/>
  <c r="Y25" i="5"/>
  <c r="X25" i="5"/>
  <c r="Y24" i="5"/>
  <c r="X24" i="5"/>
  <c r="Y23" i="5"/>
  <c r="X23" i="5"/>
  <c r="Y22" i="5"/>
  <c r="X22" i="5"/>
  <c r="Y21" i="5"/>
  <c r="X21" i="5"/>
  <c r="Y20" i="5"/>
  <c r="X20" i="5"/>
  <c r="Y19" i="5"/>
  <c r="X19" i="5"/>
  <c r="Y18" i="5"/>
  <c r="X18" i="5"/>
  <c r="Y17" i="5"/>
  <c r="X17" i="5"/>
  <c r="Y16" i="5"/>
  <c r="X16" i="5"/>
  <c r="Y15" i="5"/>
  <c r="X15" i="5"/>
  <c r="Y14" i="5"/>
  <c r="X14" i="5"/>
  <c r="Y13" i="5"/>
  <c r="X13" i="5"/>
  <c r="Y12" i="5"/>
  <c r="X12" i="5"/>
  <c r="Y11" i="5"/>
  <c r="X11" i="5"/>
  <c r="Y10" i="5"/>
  <c r="X10" i="5"/>
  <c r="Y9" i="5"/>
  <c r="X9" i="5"/>
  <c r="Y8" i="5"/>
  <c r="X8" i="5"/>
  <c r="R1103" i="11"/>
  <c r="N1103" i="11"/>
  <c r="O1103" i="11"/>
  <c r="A1067" i="11"/>
  <c r="B1067" i="11"/>
  <c r="C1067" i="11"/>
  <c r="A1068" i="11"/>
  <c r="B1068" i="11"/>
  <c r="C1068" i="11"/>
  <c r="A1069" i="11"/>
  <c r="B1069" i="11"/>
  <c r="C1069" i="11"/>
  <c r="A1070" i="11"/>
  <c r="B1070" i="11"/>
  <c r="C1070" i="11"/>
  <c r="A1071" i="11"/>
  <c r="B1071" i="11"/>
  <c r="C1071" i="11"/>
  <c r="A1072" i="11"/>
  <c r="B1072" i="11"/>
  <c r="C1072" i="11"/>
  <c r="A1073" i="11"/>
  <c r="B1073" i="11"/>
  <c r="C1073" i="11"/>
  <c r="A1074" i="11"/>
  <c r="B1074" i="11"/>
  <c r="C1074" i="11"/>
  <c r="A1075" i="11"/>
  <c r="B1075" i="11"/>
  <c r="C1075" i="11"/>
  <c r="A1076" i="11"/>
  <c r="B1076" i="11"/>
  <c r="C1076" i="11"/>
  <c r="A1077" i="11"/>
  <c r="B1077" i="11"/>
  <c r="C1077" i="11"/>
  <c r="A1078" i="11"/>
  <c r="B1078" i="11"/>
  <c r="C1078" i="11"/>
  <c r="A1079" i="11"/>
  <c r="B1079" i="11"/>
  <c r="C1079" i="11"/>
  <c r="A1080" i="11"/>
  <c r="B1080" i="11"/>
  <c r="C1080" i="11"/>
  <c r="A1081" i="11"/>
  <c r="B1081" i="11"/>
  <c r="C1081" i="11"/>
  <c r="A1082" i="11"/>
  <c r="B1082" i="11"/>
  <c r="C1082" i="11"/>
  <c r="A1083" i="11"/>
  <c r="B1083" i="11"/>
  <c r="C1083" i="11"/>
  <c r="A1084" i="11"/>
  <c r="B1084" i="11"/>
  <c r="C1084" i="11"/>
  <c r="A1085" i="11"/>
  <c r="B1085" i="11"/>
  <c r="C1085" i="11"/>
  <c r="A1086" i="11"/>
  <c r="B1086" i="11"/>
  <c r="C1086" i="11"/>
  <c r="A1087" i="11"/>
  <c r="B1087" i="11"/>
  <c r="C1087" i="11"/>
  <c r="A1088" i="11"/>
  <c r="B1088" i="11"/>
  <c r="C1088" i="11"/>
  <c r="A1089" i="11"/>
  <c r="B1089" i="11"/>
  <c r="C1089" i="11"/>
  <c r="A1090" i="11"/>
  <c r="B1090" i="11"/>
  <c r="C1090" i="11"/>
  <c r="A1091" i="11"/>
  <c r="B1091" i="11"/>
  <c r="C1091" i="11"/>
  <c r="A1092" i="11"/>
  <c r="B1092" i="11"/>
  <c r="C1092" i="11"/>
  <c r="A1093" i="11"/>
  <c r="B1093" i="11"/>
  <c r="C1093" i="11"/>
  <c r="A1094" i="11"/>
  <c r="B1094" i="11"/>
  <c r="C1094" i="11"/>
  <c r="A1095" i="11"/>
  <c r="B1095" i="11"/>
  <c r="C1095" i="11"/>
  <c r="A1096" i="11"/>
  <c r="B1096" i="11"/>
  <c r="C1096" i="11"/>
  <c r="A1097" i="11"/>
  <c r="B1097" i="11"/>
  <c r="C1097" i="11"/>
  <c r="A1098" i="11"/>
  <c r="B1098" i="11"/>
  <c r="C1098" i="11"/>
  <c r="A1099" i="11"/>
  <c r="B1099" i="11"/>
  <c r="C1099" i="11"/>
  <c r="A1100" i="11"/>
  <c r="B1100" i="11"/>
  <c r="C1100" i="11"/>
  <c r="A1101" i="11"/>
  <c r="B1101" i="11"/>
  <c r="C1101" i="11"/>
  <c r="A1102" i="11"/>
  <c r="B1102" i="11"/>
  <c r="C1102" i="11"/>
  <c r="L1102" i="11"/>
  <c r="N1102" i="11" s="1"/>
  <c r="J1102" i="11"/>
  <c r="N1101" i="11"/>
  <c r="L1101" i="11"/>
  <c r="J1101" i="11"/>
  <c r="O1100" i="11"/>
  <c r="N1100" i="11"/>
  <c r="R1100" i="11" s="1"/>
  <c r="L1100" i="11"/>
  <c r="J1100" i="11"/>
  <c r="K1099" i="11"/>
  <c r="L1099" i="11" s="1"/>
  <c r="N1099" i="11" s="1"/>
  <c r="J1099" i="11"/>
  <c r="N1098" i="11"/>
  <c r="L1098" i="11"/>
  <c r="J1098" i="11"/>
  <c r="O1097" i="11"/>
  <c r="N1097" i="11"/>
  <c r="R1097" i="11" s="1"/>
  <c r="L1097" i="11"/>
  <c r="J1097" i="11"/>
  <c r="J1096" i="11"/>
  <c r="L1096" i="11" s="1"/>
  <c r="N1096" i="11" s="1"/>
  <c r="L1095" i="11"/>
  <c r="N1095" i="11" s="1"/>
  <c r="J1095" i="11"/>
  <c r="N1094" i="11"/>
  <c r="L1094" i="11"/>
  <c r="J1094" i="11"/>
  <c r="O1093" i="11"/>
  <c r="N1093" i="11"/>
  <c r="R1093" i="11" s="1"/>
  <c r="L1093" i="11"/>
  <c r="J1093" i="11"/>
  <c r="J1092" i="11"/>
  <c r="L1092" i="11" s="1"/>
  <c r="N1092" i="11" s="1"/>
  <c r="L1091" i="11"/>
  <c r="N1091" i="11" s="1"/>
  <c r="J1091" i="11"/>
  <c r="N1090" i="11"/>
  <c r="L1090" i="11"/>
  <c r="J1090" i="11"/>
  <c r="O1089" i="11"/>
  <c r="N1089" i="11"/>
  <c r="R1089" i="11" s="1"/>
  <c r="L1089" i="11"/>
  <c r="J1089" i="11"/>
  <c r="J1088" i="11"/>
  <c r="L1088" i="11" s="1"/>
  <c r="N1088" i="11" s="1"/>
  <c r="L1087" i="11"/>
  <c r="N1087" i="11" s="1"/>
  <c r="J1087" i="11"/>
  <c r="N1086" i="11"/>
  <c r="L1086" i="11"/>
  <c r="J1086" i="11"/>
  <c r="O1085" i="11"/>
  <c r="N1085" i="11"/>
  <c r="R1085" i="11" s="1"/>
  <c r="L1085" i="11"/>
  <c r="J1085" i="11"/>
  <c r="J1084" i="11"/>
  <c r="L1084" i="11" s="1"/>
  <c r="N1084" i="11" s="1"/>
  <c r="L1083" i="11"/>
  <c r="N1083" i="11" s="1"/>
  <c r="J1083" i="11"/>
  <c r="N1082" i="11"/>
  <c r="L1082" i="11"/>
  <c r="J1082" i="11"/>
  <c r="O1081" i="11"/>
  <c r="N1081" i="11"/>
  <c r="R1081" i="11" s="1"/>
  <c r="L1081" i="11"/>
  <c r="J1081" i="11"/>
  <c r="J1080" i="11"/>
  <c r="L1080" i="11" s="1"/>
  <c r="N1080" i="11" s="1"/>
  <c r="L1079" i="11"/>
  <c r="N1079" i="11" s="1"/>
  <c r="J1079" i="11"/>
  <c r="N1078" i="11"/>
  <c r="L1078" i="11"/>
  <c r="J1078" i="11"/>
  <c r="O1077" i="11"/>
  <c r="N1077" i="11"/>
  <c r="R1077" i="11" s="1"/>
  <c r="L1077" i="11"/>
  <c r="J1077" i="11"/>
  <c r="J1076" i="11"/>
  <c r="L1076" i="11" s="1"/>
  <c r="N1076" i="11" s="1"/>
  <c r="L1075" i="11"/>
  <c r="N1075" i="11" s="1"/>
  <c r="K1075" i="11"/>
  <c r="J1075" i="11"/>
  <c r="O1074" i="11"/>
  <c r="N1074" i="11"/>
  <c r="R1074" i="11" s="1"/>
  <c r="L1074" i="11"/>
  <c r="J1074" i="11"/>
  <c r="J1073" i="11"/>
  <c r="L1073" i="11" s="1"/>
  <c r="N1073" i="11" s="1"/>
  <c r="L1072" i="11"/>
  <c r="N1072" i="11" s="1"/>
  <c r="J1072" i="11"/>
  <c r="N1071" i="11"/>
  <c r="L1071" i="11"/>
  <c r="J1071" i="11"/>
  <c r="J1070" i="11"/>
  <c r="L1070" i="11" s="1"/>
  <c r="N1070" i="11" s="1"/>
  <c r="J1069" i="11"/>
  <c r="L1069" i="11" s="1"/>
  <c r="N1069" i="11" s="1"/>
  <c r="L1068" i="11"/>
  <c r="N1068" i="11" s="1"/>
  <c r="J1068" i="11"/>
  <c r="N1067" i="11"/>
  <c r="L1067" i="11"/>
  <c r="J1067" i="11"/>
  <c r="H374" i="5"/>
  <c r="H375" i="5"/>
  <c r="H376" i="5"/>
  <c r="H377" i="5"/>
  <c r="H378" i="5"/>
  <c r="H379" i="5"/>
  <c r="H380" i="5"/>
  <c r="H381" i="5"/>
  <c r="H382" i="5"/>
  <c r="H383" i="5"/>
  <c r="H384" i="5"/>
  <c r="AI384" i="5"/>
  <c r="AI383" i="5"/>
  <c r="AJ383" i="5" s="1"/>
  <c r="AI382" i="5"/>
  <c r="AJ382" i="5" s="1"/>
  <c r="AI381" i="5"/>
  <c r="AK381" i="5" s="1"/>
  <c r="AI380" i="5"/>
  <c r="AI379" i="5"/>
  <c r="AJ379" i="5" s="1"/>
  <c r="AI378" i="5"/>
  <c r="AK378" i="5" s="1"/>
  <c r="AI377" i="5"/>
  <c r="AK377" i="5" s="1"/>
  <c r="AI376" i="5"/>
  <c r="AI375" i="5"/>
  <c r="AJ375" i="5" s="1"/>
  <c r="AI374" i="5"/>
  <c r="AK374" i="5" s="1"/>
  <c r="AI373" i="5"/>
  <c r="AK373" i="5" s="1"/>
  <c r="AI372" i="5"/>
  <c r="AI371" i="5"/>
  <c r="AJ371" i="5" s="1"/>
  <c r="AI370" i="5"/>
  <c r="AK370" i="5" s="1"/>
  <c r="AI369" i="5"/>
  <c r="AK369" i="5" s="1"/>
  <c r="AI368" i="5"/>
  <c r="AI367" i="5"/>
  <c r="AJ367" i="5" s="1"/>
  <c r="AI366" i="5"/>
  <c r="AJ366" i="5" s="1"/>
  <c r="AI365" i="5"/>
  <c r="AK365" i="5" s="1"/>
  <c r="AI364" i="5"/>
  <c r="AI363" i="5"/>
  <c r="AJ363" i="5" s="1"/>
  <c r="AI362" i="5"/>
  <c r="AK362" i="5" s="1"/>
  <c r="AI361" i="5"/>
  <c r="AK361" i="5" s="1"/>
  <c r="AI360" i="5"/>
  <c r="AI359" i="5"/>
  <c r="AJ359" i="5" s="1"/>
  <c r="AI358" i="5"/>
  <c r="AK358" i="5" s="1"/>
  <c r="AI357" i="5"/>
  <c r="AK357" i="5" s="1"/>
  <c r="AI356" i="5"/>
  <c r="AI355" i="5"/>
  <c r="AJ355" i="5" s="1"/>
  <c r="AI354" i="5"/>
  <c r="AK354" i="5" s="1"/>
  <c r="AI353" i="5"/>
  <c r="AK353" i="5" s="1"/>
  <c r="AI352" i="5"/>
  <c r="AI351" i="5"/>
  <c r="AJ351" i="5" s="1"/>
  <c r="AI350" i="5"/>
  <c r="AI349" i="5"/>
  <c r="AK349" i="5" s="1"/>
  <c r="AI348" i="5"/>
  <c r="AI347" i="5"/>
  <c r="AJ347" i="5" s="1"/>
  <c r="AI346" i="5"/>
  <c r="AK346" i="5" s="1"/>
  <c r="AI345" i="5"/>
  <c r="AK345" i="5" s="1"/>
  <c r="AI344" i="5"/>
  <c r="AI343" i="5"/>
  <c r="AJ343" i="5" s="1"/>
  <c r="AI342" i="5"/>
  <c r="AK342" i="5" s="1"/>
  <c r="AI341" i="5"/>
  <c r="AK341" i="5" s="1"/>
  <c r="AI340" i="5"/>
  <c r="AI339" i="5"/>
  <c r="AJ339" i="5" s="1"/>
  <c r="AI338" i="5"/>
  <c r="AK338" i="5" s="1"/>
  <c r="AI337" i="5"/>
  <c r="AK337" i="5" s="1"/>
  <c r="AI336" i="5"/>
  <c r="AI335" i="5"/>
  <c r="AJ335" i="5" s="1"/>
  <c r="AI334" i="5"/>
  <c r="AJ334" i="5" s="1"/>
  <c r="AI333" i="5"/>
  <c r="AK333" i="5" s="1"/>
  <c r="AI332" i="5"/>
  <c r="AI331" i="5"/>
  <c r="AJ331" i="5" s="1"/>
  <c r="AI330" i="5"/>
  <c r="AK330" i="5" s="1"/>
  <c r="AI329" i="5"/>
  <c r="AK329" i="5" s="1"/>
  <c r="AI328" i="5"/>
  <c r="AI327" i="5"/>
  <c r="AJ327" i="5" s="1"/>
  <c r="AI326" i="5"/>
  <c r="AK326" i="5" s="1"/>
  <c r="AI325" i="5"/>
  <c r="AK325" i="5" s="1"/>
  <c r="AI324" i="5"/>
  <c r="AI323" i="5"/>
  <c r="AJ323" i="5" s="1"/>
  <c r="AI322" i="5"/>
  <c r="AK322" i="5" s="1"/>
  <c r="AI321" i="5"/>
  <c r="AK321" i="5" s="1"/>
  <c r="AI320" i="5"/>
  <c r="AI319" i="5"/>
  <c r="AJ319" i="5" s="1"/>
  <c r="AI318" i="5"/>
  <c r="AJ318" i="5" s="1"/>
  <c r="AI317" i="5"/>
  <c r="AK317" i="5" s="1"/>
  <c r="AI316" i="5"/>
  <c r="AI315" i="5"/>
  <c r="AJ315" i="5" s="1"/>
  <c r="AI314" i="5"/>
  <c r="AK314" i="5" s="1"/>
  <c r="AI313" i="5"/>
  <c r="AK313" i="5" s="1"/>
  <c r="AI312" i="5"/>
  <c r="AI311" i="5"/>
  <c r="AJ311" i="5" s="1"/>
  <c r="AI310" i="5"/>
  <c r="AK310" i="5" s="1"/>
  <c r="AI309" i="5"/>
  <c r="AK309" i="5" s="1"/>
  <c r="AI308" i="5"/>
  <c r="AI307" i="5"/>
  <c r="AJ307" i="5" s="1"/>
  <c r="AI306" i="5"/>
  <c r="AK306" i="5" s="1"/>
  <c r="AI305" i="5"/>
  <c r="AK305" i="5" s="1"/>
  <c r="AI304" i="5"/>
  <c r="AI303" i="5"/>
  <c r="AJ303" i="5" s="1"/>
  <c r="AI302" i="5"/>
  <c r="AJ302" i="5" s="1"/>
  <c r="AI301" i="5"/>
  <c r="AK301" i="5" s="1"/>
  <c r="AI300" i="5"/>
  <c r="AI299" i="5"/>
  <c r="AJ299" i="5" s="1"/>
  <c r="AI298" i="5"/>
  <c r="AK298" i="5" s="1"/>
  <c r="AI297" i="5"/>
  <c r="AK297" i="5" s="1"/>
  <c r="AI296" i="5"/>
  <c r="AI295" i="5"/>
  <c r="AJ295" i="5" s="1"/>
  <c r="AI294" i="5"/>
  <c r="AK294" i="5" s="1"/>
  <c r="AI293" i="5"/>
  <c r="AK293" i="5" s="1"/>
  <c r="AI292" i="5"/>
  <c r="AI291" i="5"/>
  <c r="AJ291" i="5" s="1"/>
  <c r="AI290" i="5"/>
  <c r="AK290" i="5" s="1"/>
  <c r="AI289" i="5"/>
  <c r="AK289" i="5" s="1"/>
  <c r="AI288" i="5"/>
  <c r="AI287" i="5"/>
  <c r="AJ287" i="5" s="1"/>
  <c r="AI286" i="5"/>
  <c r="AJ286" i="5" s="1"/>
  <c r="AI285" i="5"/>
  <c r="AK285" i="5" s="1"/>
  <c r="AI284" i="5"/>
  <c r="AI283" i="5"/>
  <c r="AJ283" i="5" s="1"/>
  <c r="AI282" i="5"/>
  <c r="AK282" i="5" s="1"/>
  <c r="AI281" i="5"/>
  <c r="AK281" i="5" s="1"/>
  <c r="AI280" i="5"/>
  <c r="AI279" i="5"/>
  <c r="AJ279" i="5" s="1"/>
  <c r="AI278" i="5"/>
  <c r="AK278" i="5" s="1"/>
  <c r="AI277" i="5"/>
  <c r="AK277" i="5" s="1"/>
  <c r="AI276" i="5"/>
  <c r="AI275" i="5"/>
  <c r="AJ275" i="5" s="1"/>
  <c r="AI274" i="5"/>
  <c r="AK274" i="5" s="1"/>
  <c r="AI273" i="5"/>
  <c r="AK273" i="5" s="1"/>
  <c r="AI272" i="5"/>
  <c r="AI271" i="5"/>
  <c r="AJ271" i="5" s="1"/>
  <c r="AI270" i="5"/>
  <c r="AJ270" i="5" s="1"/>
  <c r="AI269" i="5"/>
  <c r="AK269" i="5" s="1"/>
  <c r="AI268" i="5"/>
  <c r="AI267" i="5"/>
  <c r="AJ267" i="5" s="1"/>
  <c r="AI266" i="5"/>
  <c r="AK266" i="5" s="1"/>
  <c r="AI265" i="5"/>
  <c r="AK265" i="5" s="1"/>
  <c r="AI264" i="5"/>
  <c r="AI263" i="5"/>
  <c r="AJ263" i="5" s="1"/>
  <c r="AI262" i="5"/>
  <c r="AK262" i="5" s="1"/>
  <c r="AI261" i="5"/>
  <c r="AK261" i="5" s="1"/>
  <c r="AI260" i="5"/>
  <c r="AI259" i="5"/>
  <c r="AJ259" i="5" s="1"/>
  <c r="AI258" i="5"/>
  <c r="AK258" i="5" s="1"/>
  <c r="AI257" i="5"/>
  <c r="AK257" i="5" s="1"/>
  <c r="AI256" i="5"/>
  <c r="AI255" i="5"/>
  <c r="AJ255" i="5" s="1"/>
  <c r="AI254" i="5"/>
  <c r="AJ254" i="5" s="1"/>
  <c r="AI253" i="5"/>
  <c r="AK253" i="5" s="1"/>
  <c r="AI252" i="5"/>
  <c r="AI251" i="5"/>
  <c r="AJ251" i="5" s="1"/>
  <c r="AI250" i="5"/>
  <c r="AK250" i="5" s="1"/>
  <c r="AI249" i="5"/>
  <c r="AK249" i="5" s="1"/>
  <c r="AI248" i="5"/>
  <c r="AI247" i="5"/>
  <c r="AJ247" i="5" s="1"/>
  <c r="AI246" i="5"/>
  <c r="AK246" i="5" s="1"/>
  <c r="AI245" i="5"/>
  <c r="AK245" i="5" s="1"/>
  <c r="AI244" i="5"/>
  <c r="AI243" i="5"/>
  <c r="AJ243" i="5" s="1"/>
  <c r="AI242" i="5"/>
  <c r="AK242" i="5" s="1"/>
  <c r="AI241" i="5"/>
  <c r="AK241" i="5" s="1"/>
  <c r="AI240" i="5"/>
  <c r="AI239" i="5"/>
  <c r="AJ239" i="5" s="1"/>
  <c r="AI238" i="5"/>
  <c r="AJ238" i="5" s="1"/>
  <c r="AI237" i="5"/>
  <c r="AK237" i="5" s="1"/>
  <c r="AI236" i="5"/>
  <c r="AI235" i="5"/>
  <c r="AJ235" i="5" s="1"/>
  <c r="AI234" i="5"/>
  <c r="AK234" i="5" s="1"/>
  <c r="AI233" i="5"/>
  <c r="AK233" i="5" s="1"/>
  <c r="AI232" i="5"/>
  <c r="AI231" i="5"/>
  <c r="AJ231" i="5" s="1"/>
  <c r="AI230" i="5"/>
  <c r="AK230" i="5" s="1"/>
  <c r="AI229" i="5"/>
  <c r="AK229" i="5" s="1"/>
  <c r="AI228" i="5"/>
  <c r="AI227" i="5"/>
  <c r="AJ227" i="5" s="1"/>
  <c r="AI226" i="5"/>
  <c r="AK226" i="5" s="1"/>
  <c r="AI225" i="5"/>
  <c r="AK225" i="5" s="1"/>
  <c r="AI224" i="5"/>
  <c r="AI223" i="5"/>
  <c r="AJ223" i="5" s="1"/>
  <c r="AI222" i="5"/>
  <c r="AJ222" i="5" s="1"/>
  <c r="AI221" i="5"/>
  <c r="AK221" i="5" s="1"/>
  <c r="AI220" i="5"/>
  <c r="AI219" i="5"/>
  <c r="AJ219" i="5" s="1"/>
  <c r="AI218" i="5"/>
  <c r="AK218" i="5" s="1"/>
  <c r="AI217" i="5"/>
  <c r="AK217" i="5" s="1"/>
  <c r="AI216" i="5"/>
  <c r="AI215" i="5"/>
  <c r="AK215" i="5" s="1"/>
  <c r="AI214" i="5"/>
  <c r="AK214" i="5" s="1"/>
  <c r="AI213" i="5"/>
  <c r="AK213" i="5" s="1"/>
  <c r="AI212" i="5"/>
  <c r="AK212" i="5" s="1"/>
  <c r="AI211" i="5"/>
  <c r="AK211" i="5" s="1"/>
  <c r="AI210" i="5"/>
  <c r="AK210" i="5" s="1"/>
  <c r="AI209" i="5"/>
  <c r="AK209" i="5" s="1"/>
  <c r="AI208" i="5"/>
  <c r="AK208" i="5" s="1"/>
  <c r="AI207" i="5"/>
  <c r="AK207" i="5" s="1"/>
  <c r="AI206" i="5"/>
  <c r="AK206" i="5" s="1"/>
  <c r="AI205" i="5"/>
  <c r="AK205" i="5" s="1"/>
  <c r="AI204" i="5"/>
  <c r="AK204" i="5" s="1"/>
  <c r="AI203" i="5"/>
  <c r="AK203" i="5" s="1"/>
  <c r="AI202" i="5"/>
  <c r="AK202" i="5" s="1"/>
  <c r="AI201" i="5"/>
  <c r="AK201" i="5" s="1"/>
  <c r="AI200" i="5"/>
  <c r="AK200" i="5" s="1"/>
  <c r="AI199" i="5"/>
  <c r="AK199" i="5" s="1"/>
  <c r="AI198" i="5"/>
  <c r="AK198" i="5" s="1"/>
  <c r="AI197" i="5"/>
  <c r="AK197" i="5" s="1"/>
  <c r="AI196" i="5"/>
  <c r="AK196" i="5" s="1"/>
  <c r="AI195" i="5"/>
  <c r="AK195" i="5" s="1"/>
  <c r="AI194" i="5"/>
  <c r="AK194" i="5" s="1"/>
  <c r="AI193" i="5"/>
  <c r="AK193" i="5" s="1"/>
  <c r="AI192" i="5"/>
  <c r="AK192" i="5" s="1"/>
  <c r="AI191" i="5"/>
  <c r="AK191" i="5" s="1"/>
  <c r="AI190" i="5"/>
  <c r="AK190" i="5" s="1"/>
  <c r="AI189" i="5"/>
  <c r="AK189" i="5" s="1"/>
  <c r="AI188" i="5"/>
  <c r="AK188" i="5" s="1"/>
  <c r="AI187" i="5"/>
  <c r="AK187" i="5" s="1"/>
  <c r="AI186" i="5"/>
  <c r="AK186" i="5" s="1"/>
  <c r="AI185" i="5"/>
  <c r="AK185" i="5" s="1"/>
  <c r="AI184" i="5"/>
  <c r="AK184" i="5" s="1"/>
  <c r="AI183" i="5"/>
  <c r="AK183" i="5" s="1"/>
  <c r="AI182" i="5"/>
  <c r="AK182" i="5" s="1"/>
  <c r="AI181" i="5"/>
  <c r="AK181" i="5" s="1"/>
  <c r="AI180" i="5"/>
  <c r="AK180" i="5" s="1"/>
  <c r="AI179" i="5"/>
  <c r="AK179" i="5" s="1"/>
  <c r="AI178" i="5"/>
  <c r="AK178" i="5" s="1"/>
  <c r="AI177" i="5"/>
  <c r="AK177" i="5" s="1"/>
  <c r="AI176" i="5"/>
  <c r="AK176" i="5" s="1"/>
  <c r="AI175" i="5"/>
  <c r="AK175" i="5" s="1"/>
  <c r="AI174" i="5"/>
  <c r="AK174" i="5" s="1"/>
  <c r="AI173" i="5"/>
  <c r="AK173" i="5" s="1"/>
  <c r="AI172" i="5"/>
  <c r="AK172" i="5" s="1"/>
  <c r="AI171" i="5"/>
  <c r="AK171" i="5" s="1"/>
  <c r="AI170" i="5"/>
  <c r="AK170" i="5" s="1"/>
  <c r="AI169" i="5"/>
  <c r="AK169" i="5" s="1"/>
  <c r="AI168" i="5"/>
  <c r="AK168" i="5" s="1"/>
  <c r="AI167" i="5"/>
  <c r="AK167" i="5" s="1"/>
  <c r="AI166" i="5"/>
  <c r="AK166" i="5" s="1"/>
  <c r="AI165" i="5"/>
  <c r="AK165" i="5" s="1"/>
  <c r="AI164" i="5"/>
  <c r="AK164" i="5" s="1"/>
  <c r="AI163" i="5"/>
  <c r="AK163" i="5" s="1"/>
  <c r="AI162" i="5"/>
  <c r="AK162" i="5" s="1"/>
  <c r="AI161" i="5"/>
  <c r="AK161" i="5" s="1"/>
  <c r="AI160" i="5"/>
  <c r="AK160" i="5" s="1"/>
  <c r="AI159" i="5"/>
  <c r="AK159" i="5" s="1"/>
  <c r="AI158" i="5"/>
  <c r="AK158" i="5" s="1"/>
  <c r="AI157" i="5"/>
  <c r="AK157" i="5" s="1"/>
  <c r="AI156" i="5"/>
  <c r="AJ156" i="5" s="1"/>
  <c r="AI155" i="5"/>
  <c r="AK155" i="5" s="1"/>
  <c r="AI154" i="5"/>
  <c r="AK154" i="5" s="1"/>
  <c r="AI153" i="5"/>
  <c r="AK153" i="5" s="1"/>
  <c r="AI152" i="5"/>
  <c r="AK152" i="5" s="1"/>
  <c r="AI151" i="5"/>
  <c r="AK151" i="5" s="1"/>
  <c r="AI150" i="5"/>
  <c r="AK150" i="5" s="1"/>
  <c r="AI149" i="5"/>
  <c r="AK149" i="5" s="1"/>
  <c r="AI148" i="5"/>
  <c r="AK148" i="5" s="1"/>
  <c r="AI147" i="5"/>
  <c r="AK147" i="5" s="1"/>
  <c r="AI146" i="5"/>
  <c r="AK146" i="5" s="1"/>
  <c r="AI145" i="5"/>
  <c r="AK145" i="5" s="1"/>
  <c r="AI144" i="5"/>
  <c r="AK144" i="5" s="1"/>
  <c r="AI143" i="5"/>
  <c r="AK143" i="5" s="1"/>
  <c r="AI142" i="5"/>
  <c r="AK142" i="5" s="1"/>
  <c r="AI141" i="5"/>
  <c r="AK141" i="5" s="1"/>
  <c r="AI140" i="5"/>
  <c r="AK140" i="5" s="1"/>
  <c r="AI139" i="5"/>
  <c r="AK139" i="5" s="1"/>
  <c r="AI138" i="5"/>
  <c r="AK138" i="5" s="1"/>
  <c r="AI137" i="5"/>
  <c r="AK137" i="5" s="1"/>
  <c r="AI136" i="5"/>
  <c r="AK136" i="5" s="1"/>
  <c r="AI135" i="5"/>
  <c r="AK135" i="5" s="1"/>
  <c r="AI134" i="5"/>
  <c r="AK134" i="5" s="1"/>
  <c r="AI133" i="5"/>
  <c r="AK133" i="5" s="1"/>
  <c r="AI132" i="5"/>
  <c r="AK132" i="5" s="1"/>
  <c r="AI131" i="5"/>
  <c r="AK131" i="5" s="1"/>
  <c r="AI130" i="5"/>
  <c r="AK130" i="5" s="1"/>
  <c r="AI129" i="5"/>
  <c r="AK129" i="5" s="1"/>
  <c r="AI128" i="5"/>
  <c r="AK128" i="5" s="1"/>
  <c r="AI127" i="5"/>
  <c r="AK127" i="5" s="1"/>
  <c r="AI126" i="5"/>
  <c r="AK126" i="5" s="1"/>
  <c r="AI125" i="5"/>
  <c r="AK125" i="5" s="1"/>
  <c r="AI124" i="5"/>
  <c r="AK124" i="5" s="1"/>
  <c r="AI123" i="5"/>
  <c r="AK123" i="5" s="1"/>
  <c r="AI122" i="5"/>
  <c r="AK122" i="5" s="1"/>
  <c r="AI121" i="5"/>
  <c r="AK121" i="5" s="1"/>
  <c r="AI120" i="5"/>
  <c r="AK120" i="5" s="1"/>
  <c r="AI119" i="5"/>
  <c r="AK119" i="5" s="1"/>
  <c r="AI118" i="5"/>
  <c r="AK118" i="5" s="1"/>
  <c r="AI117" i="5"/>
  <c r="AK117" i="5" s="1"/>
  <c r="AI116" i="5"/>
  <c r="AJ116" i="5" s="1"/>
  <c r="AI115" i="5"/>
  <c r="AK115" i="5" s="1"/>
  <c r="AI114" i="5"/>
  <c r="AK114" i="5" s="1"/>
  <c r="AI113" i="5"/>
  <c r="AK113" i="5" s="1"/>
  <c r="AI112" i="5"/>
  <c r="AJ112" i="5" s="1"/>
  <c r="AI111" i="5"/>
  <c r="AK111" i="5" s="1"/>
  <c r="AI110" i="5"/>
  <c r="AK110" i="5" s="1"/>
  <c r="AI109" i="5"/>
  <c r="AK109" i="5" s="1"/>
  <c r="AI108" i="5"/>
  <c r="AJ108" i="5" s="1"/>
  <c r="AI107" i="5"/>
  <c r="AK107" i="5" s="1"/>
  <c r="AI106" i="5"/>
  <c r="AK106" i="5" s="1"/>
  <c r="AI105" i="5"/>
  <c r="AK105" i="5" s="1"/>
  <c r="AI104" i="5"/>
  <c r="AK104" i="5" s="1"/>
  <c r="AI103" i="5"/>
  <c r="AK103" i="5" s="1"/>
  <c r="AI102" i="5"/>
  <c r="AK102" i="5" s="1"/>
  <c r="AI101" i="5"/>
  <c r="AK101" i="5" s="1"/>
  <c r="AI100" i="5"/>
  <c r="AJ100" i="5" s="1"/>
  <c r="AI99" i="5"/>
  <c r="AK99" i="5" s="1"/>
  <c r="AI98" i="5"/>
  <c r="AK98" i="5" s="1"/>
  <c r="AI97" i="5"/>
  <c r="AK97" i="5" s="1"/>
  <c r="AI96" i="5"/>
  <c r="AK96" i="5" s="1"/>
  <c r="AI95" i="5"/>
  <c r="AK95" i="5" s="1"/>
  <c r="AI94" i="5"/>
  <c r="AK94" i="5" s="1"/>
  <c r="AI93" i="5"/>
  <c r="AK93" i="5" s="1"/>
  <c r="AI92" i="5"/>
  <c r="AK92" i="5" s="1"/>
  <c r="AI91" i="5"/>
  <c r="AK91" i="5" s="1"/>
  <c r="AI90" i="5"/>
  <c r="AK90" i="5" s="1"/>
  <c r="AI89" i="5"/>
  <c r="AK89" i="5" s="1"/>
  <c r="AI88" i="5"/>
  <c r="AJ88" i="5" s="1"/>
  <c r="AI87" i="5"/>
  <c r="AK87" i="5" s="1"/>
  <c r="AI86" i="5"/>
  <c r="AK86" i="5" s="1"/>
  <c r="AI85" i="5"/>
  <c r="AK85" i="5" s="1"/>
  <c r="AI84" i="5"/>
  <c r="AK84" i="5" s="1"/>
  <c r="AI83" i="5"/>
  <c r="AK83" i="5" s="1"/>
  <c r="AI82" i="5"/>
  <c r="AK82" i="5" s="1"/>
  <c r="AI81" i="5"/>
  <c r="AK81" i="5" s="1"/>
  <c r="AI80" i="5"/>
  <c r="AJ80" i="5" s="1"/>
  <c r="AI79" i="5"/>
  <c r="AK79" i="5" s="1"/>
  <c r="AI78" i="5"/>
  <c r="AK78" i="5" s="1"/>
  <c r="AI77" i="5"/>
  <c r="AK77" i="5" s="1"/>
  <c r="AI76" i="5"/>
  <c r="AJ76" i="5" s="1"/>
  <c r="AI75" i="5"/>
  <c r="AK75" i="5" s="1"/>
  <c r="AI74" i="5"/>
  <c r="AK74" i="5" s="1"/>
  <c r="AI73" i="5"/>
  <c r="AK73" i="5" s="1"/>
  <c r="AI72" i="5"/>
  <c r="AJ72" i="5" s="1"/>
  <c r="AI71" i="5"/>
  <c r="AK71" i="5" s="1"/>
  <c r="AI70" i="5"/>
  <c r="AK70" i="5" s="1"/>
  <c r="AI69" i="5"/>
  <c r="AK69" i="5" s="1"/>
  <c r="AI68" i="5"/>
  <c r="AJ68" i="5" s="1"/>
  <c r="AI67" i="5"/>
  <c r="AK67" i="5" s="1"/>
  <c r="AE384" i="5"/>
  <c r="AE383" i="5"/>
  <c r="AE382" i="5"/>
  <c r="AE381" i="5"/>
  <c r="AE380" i="5"/>
  <c r="AE379" i="5"/>
  <c r="AE378" i="5"/>
  <c r="AE377" i="5"/>
  <c r="AE376" i="5"/>
  <c r="AE375" i="5"/>
  <c r="AE374" i="5"/>
  <c r="AB383" i="5"/>
  <c r="AB382" i="5"/>
  <c r="AC380" i="5"/>
  <c r="AB379" i="5"/>
  <c r="AC378" i="5"/>
  <c r="AC377" i="5"/>
  <c r="AC376" i="5"/>
  <c r="AB375" i="5"/>
  <c r="AC374" i="5"/>
  <c r="AG374" i="5" l="1"/>
  <c r="AM374" i="5"/>
  <c r="AG376" i="5"/>
  <c r="AM376" i="5"/>
  <c r="AM377" i="5"/>
  <c r="AG378" i="5"/>
  <c r="AM378" i="5"/>
  <c r="AG380" i="5"/>
  <c r="AM380" i="5"/>
  <c r="AG381" i="5"/>
  <c r="AM381" i="5"/>
  <c r="AF382" i="5"/>
  <c r="AM382" i="5"/>
  <c r="AF375" i="5"/>
  <c r="AM375" i="5"/>
  <c r="AG384" i="5"/>
  <c r="AM384" i="5"/>
  <c r="AC52" i="5"/>
  <c r="AF379" i="5"/>
  <c r="AM379" i="5"/>
  <c r="AF383" i="5"/>
  <c r="AM383" i="5"/>
  <c r="AG377" i="5"/>
  <c r="AJ350" i="5"/>
  <c r="X465" i="5"/>
  <c r="X715" i="5" s="1"/>
  <c r="AF174" i="5"/>
  <c r="AF82" i="5"/>
  <c r="AB52" i="5"/>
  <c r="O1069" i="11"/>
  <c r="R1069" i="11" s="1"/>
  <c r="O1079" i="11"/>
  <c r="R1079" i="11" s="1"/>
  <c r="O1070" i="11"/>
  <c r="R1070" i="11" s="1"/>
  <c r="O1080" i="11"/>
  <c r="R1080" i="11" s="1"/>
  <c r="O1088" i="11"/>
  <c r="R1088" i="11"/>
  <c r="O1096" i="11"/>
  <c r="R1096" i="11" s="1"/>
  <c r="R1071" i="11"/>
  <c r="R1087" i="11"/>
  <c r="O1087" i="11"/>
  <c r="R1095" i="11"/>
  <c r="O1095" i="11"/>
  <c r="O1072" i="11"/>
  <c r="R1072" i="11" s="1"/>
  <c r="R1075" i="11"/>
  <c r="O1075" i="11"/>
  <c r="R1083" i="11"/>
  <c r="O1083" i="11"/>
  <c r="O1091" i="11"/>
  <c r="R1091" i="11" s="1"/>
  <c r="R1094" i="11"/>
  <c r="O1099" i="11"/>
  <c r="R1099" i="11"/>
  <c r="R1068" i="11"/>
  <c r="O1068" i="11"/>
  <c r="O1073" i="11"/>
  <c r="R1073" i="11"/>
  <c r="O1076" i="11"/>
  <c r="R1076" i="11" s="1"/>
  <c r="O1084" i="11"/>
  <c r="R1084" i="11"/>
  <c r="O1092" i="11"/>
  <c r="R1092" i="11" s="1"/>
  <c r="O1102" i="11"/>
  <c r="R1102" i="11" s="1"/>
  <c r="O1067" i="11"/>
  <c r="R1067" i="11" s="1"/>
  <c r="O1071" i="11"/>
  <c r="O1078" i="11"/>
  <c r="R1078" i="11" s="1"/>
  <c r="O1082" i="11"/>
  <c r="R1082" i="11" s="1"/>
  <c r="O1086" i="11"/>
  <c r="R1086" i="11" s="1"/>
  <c r="O1090" i="11"/>
  <c r="R1090" i="11" s="1"/>
  <c r="O1094" i="11"/>
  <c r="O1098" i="11"/>
  <c r="R1098" i="11" s="1"/>
  <c r="O1101" i="11"/>
  <c r="R1101" i="11" s="1"/>
  <c r="AK351" i="5"/>
  <c r="AJ354" i="5"/>
  <c r="AK223" i="5"/>
  <c r="AJ226" i="5"/>
  <c r="AJ258" i="5"/>
  <c r="AK68" i="5"/>
  <c r="AK222" i="5"/>
  <c r="AK350" i="5"/>
  <c r="AJ180" i="5"/>
  <c r="AJ164" i="5"/>
  <c r="AK254" i="5"/>
  <c r="AK319" i="5"/>
  <c r="AJ322" i="5"/>
  <c r="AJ196" i="5"/>
  <c r="AK318" i="5"/>
  <c r="AK88" i="5"/>
  <c r="AJ168" i="5"/>
  <c r="AJ184" i="5"/>
  <c r="AJ200" i="5"/>
  <c r="AK238" i="5"/>
  <c r="AK271" i="5"/>
  <c r="AJ274" i="5"/>
  <c r="AK335" i="5"/>
  <c r="AJ338" i="5"/>
  <c r="AK366" i="5"/>
  <c r="AK375" i="5"/>
  <c r="AJ378" i="5"/>
  <c r="AK116" i="5"/>
  <c r="AJ172" i="5"/>
  <c r="AJ188" i="5"/>
  <c r="AJ204" i="5"/>
  <c r="AK255" i="5"/>
  <c r="AJ160" i="5"/>
  <c r="AJ176" i="5"/>
  <c r="AJ192" i="5"/>
  <c r="AJ212" i="5"/>
  <c r="AK239" i="5"/>
  <c r="AJ242" i="5"/>
  <c r="AK270" i="5"/>
  <c r="AK279" i="5"/>
  <c r="AJ282" i="5"/>
  <c r="AK334" i="5"/>
  <c r="AK367" i="5"/>
  <c r="AJ370" i="5"/>
  <c r="AK72" i="5"/>
  <c r="AK100" i="5"/>
  <c r="AK156" i="5"/>
  <c r="AJ208" i="5"/>
  <c r="AJ218" i="5"/>
  <c r="AK247" i="5"/>
  <c r="AJ250" i="5"/>
  <c r="AK286" i="5"/>
  <c r="AK295" i="5"/>
  <c r="AJ298" i="5"/>
  <c r="AK303" i="5"/>
  <c r="AJ306" i="5"/>
  <c r="AK327" i="5"/>
  <c r="AJ330" i="5"/>
  <c r="AK359" i="5"/>
  <c r="AJ362" i="5"/>
  <c r="AK383" i="5"/>
  <c r="AG375" i="5"/>
  <c r="AF378" i="5"/>
  <c r="AK76" i="5"/>
  <c r="AK108" i="5"/>
  <c r="AK80" i="5"/>
  <c r="AK112" i="5"/>
  <c r="AK231" i="5"/>
  <c r="AJ234" i="5"/>
  <c r="AK263" i="5"/>
  <c r="AJ266" i="5"/>
  <c r="AK287" i="5"/>
  <c r="AJ290" i="5"/>
  <c r="AK302" i="5"/>
  <c r="AK311" i="5"/>
  <c r="AJ314" i="5"/>
  <c r="AK343" i="5"/>
  <c r="AJ346" i="5"/>
  <c r="AK382" i="5"/>
  <c r="AJ69" i="5"/>
  <c r="AJ73" i="5"/>
  <c r="AJ77" i="5"/>
  <c r="AJ81" i="5"/>
  <c r="AJ85" i="5"/>
  <c r="AJ89" i="5"/>
  <c r="AJ93" i="5"/>
  <c r="AJ97" i="5"/>
  <c r="AJ101" i="5"/>
  <c r="AJ105" i="5"/>
  <c r="AJ109" i="5"/>
  <c r="AJ113" i="5"/>
  <c r="AJ117" i="5"/>
  <c r="AJ121" i="5"/>
  <c r="AJ125" i="5"/>
  <c r="AJ129" i="5"/>
  <c r="AJ133" i="5"/>
  <c r="AJ137" i="5"/>
  <c r="AJ141" i="5"/>
  <c r="AJ145" i="5"/>
  <c r="AJ149" i="5"/>
  <c r="AJ153" i="5"/>
  <c r="AJ157" i="5"/>
  <c r="AJ161" i="5"/>
  <c r="AJ165" i="5"/>
  <c r="AJ169" i="5"/>
  <c r="AJ173" i="5"/>
  <c r="AJ177" i="5"/>
  <c r="AJ181" i="5"/>
  <c r="AJ185" i="5"/>
  <c r="AJ189" i="5"/>
  <c r="AJ193" i="5"/>
  <c r="AJ197" i="5"/>
  <c r="AJ201" i="5"/>
  <c r="AJ205" i="5"/>
  <c r="AJ209" i="5"/>
  <c r="AJ213" i="5"/>
  <c r="AK227" i="5"/>
  <c r="AJ230" i="5"/>
  <c r="AK243" i="5"/>
  <c r="AJ246" i="5"/>
  <c r="AK259" i="5"/>
  <c r="AJ262" i="5"/>
  <c r="AK275" i="5"/>
  <c r="AJ278" i="5"/>
  <c r="AK291" i="5"/>
  <c r="AJ294" i="5"/>
  <c r="AK307" i="5"/>
  <c r="AJ310" i="5"/>
  <c r="AK323" i="5"/>
  <c r="AJ326" i="5"/>
  <c r="AK339" i="5"/>
  <c r="AJ342" i="5"/>
  <c r="AK355" i="5"/>
  <c r="AJ358" i="5"/>
  <c r="AK371" i="5"/>
  <c r="AJ374" i="5"/>
  <c r="AJ84" i="5"/>
  <c r="AJ92" i="5"/>
  <c r="AJ96" i="5"/>
  <c r="AJ104" i="5"/>
  <c r="AJ120" i="5"/>
  <c r="AJ124" i="5"/>
  <c r="AJ128" i="5"/>
  <c r="AJ132" i="5"/>
  <c r="AJ136" i="5"/>
  <c r="AJ140" i="5"/>
  <c r="AJ144" i="5"/>
  <c r="AJ148" i="5"/>
  <c r="AJ152" i="5"/>
  <c r="AK219" i="5"/>
  <c r="AK235" i="5"/>
  <c r="AK251" i="5"/>
  <c r="AK267" i="5"/>
  <c r="AK283" i="5"/>
  <c r="AK299" i="5"/>
  <c r="AK315" i="5"/>
  <c r="AK331" i="5"/>
  <c r="AK347" i="5"/>
  <c r="AK363" i="5"/>
  <c r="AK379" i="5"/>
  <c r="AJ67" i="5"/>
  <c r="AJ71" i="5"/>
  <c r="AJ75" i="5"/>
  <c r="AJ79" i="5"/>
  <c r="AJ83" i="5"/>
  <c r="AJ87" i="5"/>
  <c r="AJ91" i="5"/>
  <c r="AJ95" i="5"/>
  <c r="AJ99" i="5"/>
  <c r="AJ103" i="5"/>
  <c r="AJ107" i="5"/>
  <c r="AJ111" i="5"/>
  <c r="AJ115" i="5"/>
  <c r="AJ119" i="5"/>
  <c r="AJ123" i="5"/>
  <c r="AJ127" i="5"/>
  <c r="AJ131" i="5"/>
  <c r="AJ135" i="5"/>
  <c r="AJ139" i="5"/>
  <c r="AJ143" i="5"/>
  <c r="AJ147" i="5"/>
  <c r="AJ151" i="5"/>
  <c r="AJ155" i="5"/>
  <c r="AJ159" i="5"/>
  <c r="AJ163" i="5"/>
  <c r="AJ167" i="5"/>
  <c r="AJ171" i="5"/>
  <c r="AJ175" i="5"/>
  <c r="AJ179" i="5"/>
  <c r="AJ183" i="5"/>
  <c r="AJ187" i="5"/>
  <c r="AJ191" i="5"/>
  <c r="AJ195" i="5"/>
  <c r="AJ199" i="5"/>
  <c r="AJ203" i="5"/>
  <c r="AJ207" i="5"/>
  <c r="AJ211" i="5"/>
  <c r="AJ215" i="5"/>
  <c r="AJ217" i="5"/>
  <c r="AJ221" i="5"/>
  <c r="AJ225" i="5"/>
  <c r="AJ229" i="5"/>
  <c r="AJ233" i="5"/>
  <c r="AJ237" i="5"/>
  <c r="AJ241" i="5"/>
  <c r="AJ245" i="5"/>
  <c r="AJ249" i="5"/>
  <c r="AJ253" i="5"/>
  <c r="AJ257" i="5"/>
  <c r="AJ261" i="5"/>
  <c r="AJ265" i="5"/>
  <c r="AJ269" i="5"/>
  <c r="AJ273" i="5"/>
  <c r="AJ277" i="5"/>
  <c r="AJ281" i="5"/>
  <c r="AJ285" i="5"/>
  <c r="AJ289" i="5"/>
  <c r="AJ293" i="5"/>
  <c r="AJ297" i="5"/>
  <c r="AJ301" i="5"/>
  <c r="AJ305" i="5"/>
  <c r="AJ309" i="5"/>
  <c r="AJ313" i="5"/>
  <c r="AJ317" i="5"/>
  <c r="AJ321" i="5"/>
  <c r="AJ325" i="5"/>
  <c r="AJ329" i="5"/>
  <c r="AJ333" i="5"/>
  <c r="AJ337" i="5"/>
  <c r="AJ341" i="5"/>
  <c r="AJ345" i="5"/>
  <c r="AJ349" i="5"/>
  <c r="AJ353" i="5"/>
  <c r="AJ357" i="5"/>
  <c r="AJ361" i="5"/>
  <c r="AJ365" i="5"/>
  <c r="AJ369" i="5"/>
  <c r="AJ373" i="5"/>
  <c r="AJ377" i="5"/>
  <c r="AJ381" i="5"/>
  <c r="AJ70" i="5"/>
  <c r="AJ74" i="5"/>
  <c r="AJ78" i="5"/>
  <c r="AJ82" i="5"/>
  <c r="AJ86" i="5"/>
  <c r="AJ90" i="5"/>
  <c r="AJ94" i="5"/>
  <c r="AJ98" i="5"/>
  <c r="AJ102" i="5"/>
  <c r="AJ106" i="5"/>
  <c r="AJ110" i="5"/>
  <c r="AJ114" i="5"/>
  <c r="AJ118" i="5"/>
  <c r="AJ122" i="5"/>
  <c r="AJ126" i="5"/>
  <c r="AJ130" i="5"/>
  <c r="AJ134" i="5"/>
  <c r="AJ138" i="5"/>
  <c r="AJ142" i="5"/>
  <c r="AJ146" i="5"/>
  <c r="AJ150" i="5"/>
  <c r="AJ154" i="5"/>
  <c r="AJ158" i="5"/>
  <c r="AJ162" i="5"/>
  <c r="AJ166" i="5"/>
  <c r="AJ170" i="5"/>
  <c r="AJ174" i="5"/>
  <c r="AJ178" i="5"/>
  <c r="AJ182" i="5"/>
  <c r="AJ186" i="5"/>
  <c r="AJ190" i="5"/>
  <c r="AJ194" i="5"/>
  <c r="AJ198" i="5"/>
  <c r="AJ202" i="5"/>
  <c r="AJ206" i="5"/>
  <c r="AJ210" i="5"/>
  <c r="AJ214" i="5"/>
  <c r="AK216" i="5"/>
  <c r="AJ216" i="5"/>
  <c r="AK220" i="5"/>
  <c r="AJ220" i="5"/>
  <c r="AK224" i="5"/>
  <c r="AJ224" i="5"/>
  <c r="AK228" i="5"/>
  <c r="AJ228" i="5"/>
  <c r="AK232" i="5"/>
  <c r="AJ232" i="5"/>
  <c r="AK236" i="5"/>
  <c r="AJ236" i="5"/>
  <c r="AK240" i="5"/>
  <c r="AJ240" i="5"/>
  <c r="AK244" i="5"/>
  <c r="AJ244" i="5"/>
  <c r="AK248" i="5"/>
  <c r="AJ248" i="5"/>
  <c r="AK252" i="5"/>
  <c r="AJ252" i="5"/>
  <c r="AK256" i="5"/>
  <c r="AJ256" i="5"/>
  <c r="AK260" i="5"/>
  <c r="AJ260" i="5"/>
  <c r="AK264" i="5"/>
  <c r="AJ264" i="5"/>
  <c r="AK268" i="5"/>
  <c r="AJ268" i="5"/>
  <c r="AK272" i="5"/>
  <c r="AJ272" i="5"/>
  <c r="AK276" i="5"/>
  <c r="AJ276" i="5"/>
  <c r="AK280" i="5"/>
  <c r="AJ280" i="5"/>
  <c r="AK284" i="5"/>
  <c r="AJ284" i="5"/>
  <c r="AK288" i="5"/>
  <c r="AJ288" i="5"/>
  <c r="AK292" i="5"/>
  <c r="AJ292" i="5"/>
  <c r="AK296" i="5"/>
  <c r="AJ296" i="5"/>
  <c r="AK300" i="5"/>
  <c r="AJ300" i="5"/>
  <c r="AK304" i="5"/>
  <c r="AJ304" i="5"/>
  <c r="AK308" i="5"/>
  <c r="AJ308" i="5"/>
  <c r="AK312" i="5"/>
  <c r="AJ312" i="5"/>
  <c r="AK316" i="5"/>
  <c r="AJ316" i="5"/>
  <c r="AK320" i="5"/>
  <c r="AJ320" i="5"/>
  <c r="AK324" i="5"/>
  <c r="AJ324" i="5"/>
  <c r="AK328" i="5"/>
  <c r="AJ328" i="5"/>
  <c r="AK332" i="5"/>
  <c r="AJ332" i="5"/>
  <c r="AK336" i="5"/>
  <c r="AJ336" i="5"/>
  <c r="AK340" i="5"/>
  <c r="AJ340" i="5"/>
  <c r="AK344" i="5"/>
  <c r="AJ344" i="5"/>
  <c r="AK348" i="5"/>
  <c r="AJ348" i="5"/>
  <c r="AK352" i="5"/>
  <c r="AJ352" i="5"/>
  <c r="AK356" i="5"/>
  <c r="AJ356" i="5"/>
  <c r="AK360" i="5"/>
  <c r="AJ360" i="5"/>
  <c r="AK364" i="5"/>
  <c r="AJ364" i="5"/>
  <c r="AK368" i="5"/>
  <c r="AJ368" i="5"/>
  <c r="AK372" i="5"/>
  <c r="AJ372" i="5"/>
  <c r="AK376" i="5"/>
  <c r="AJ376" i="5"/>
  <c r="AK380" i="5"/>
  <c r="AJ380" i="5"/>
  <c r="AK384" i="5"/>
  <c r="AJ384" i="5"/>
  <c r="AC375" i="5"/>
  <c r="AB378" i="5"/>
  <c r="AC383" i="5"/>
  <c r="AG383" i="5"/>
  <c r="AC382" i="5"/>
  <c r="AG382" i="5"/>
  <c r="AB374" i="5"/>
  <c r="AC379" i="5"/>
  <c r="AG379" i="5"/>
  <c r="AF377" i="5"/>
  <c r="AF381" i="5"/>
  <c r="AF376" i="5"/>
  <c r="AF380" i="5"/>
  <c r="AF384" i="5"/>
  <c r="AF374" i="5"/>
  <c r="AB377" i="5"/>
  <c r="AB376" i="5"/>
  <c r="AB380" i="5"/>
  <c r="AE218" i="5" l="1"/>
  <c r="N1027" i="11"/>
  <c r="Y7" i="5" l="1"/>
  <c r="Y465" i="5" s="1"/>
  <c r="Y715" i="5" s="1"/>
  <c r="H373" i="5"/>
  <c r="H372" i="5"/>
  <c r="H371" i="5"/>
  <c r="H370" i="5"/>
  <c r="H369" i="5"/>
  <c r="H368" i="5"/>
  <c r="H367" i="5"/>
  <c r="H366" i="5"/>
  <c r="H365" i="5"/>
  <c r="H364" i="5"/>
  <c r="H363" i="5"/>
  <c r="H362" i="5"/>
  <c r="H361" i="5"/>
  <c r="H360" i="5"/>
  <c r="H359" i="5"/>
  <c r="H358" i="5"/>
  <c r="H357" i="5"/>
  <c r="AA358" i="5"/>
  <c r="AA359" i="5"/>
  <c r="AA360" i="5"/>
  <c r="AA361" i="5"/>
  <c r="AA362" i="5"/>
  <c r="AA363" i="5"/>
  <c r="AA364" i="5"/>
  <c r="AA365" i="5"/>
  <c r="AA366" i="5"/>
  <c r="AB367" i="5"/>
  <c r="AB368" i="5"/>
  <c r="AB370" i="5"/>
  <c r="AB371" i="5"/>
  <c r="AB372" i="5"/>
  <c r="AB373" i="5"/>
  <c r="AA357" i="5"/>
  <c r="AE339" i="5"/>
  <c r="AE373" i="5"/>
  <c r="AE372" i="5"/>
  <c r="AM372" i="5" s="1"/>
  <c r="AE371" i="5"/>
  <c r="AE370" i="5"/>
  <c r="AE369" i="5"/>
  <c r="AE368" i="5"/>
  <c r="AE367" i="5"/>
  <c r="AE366" i="5"/>
  <c r="AG366" i="5" s="1"/>
  <c r="AE365" i="5"/>
  <c r="AG365" i="5" s="1"/>
  <c r="AE364" i="5"/>
  <c r="AF364" i="5" s="1"/>
  <c r="AE363" i="5"/>
  <c r="AG363" i="5" s="1"/>
  <c r="AE362" i="5"/>
  <c r="AG362" i="5" s="1"/>
  <c r="AE361" i="5"/>
  <c r="AF361" i="5" s="1"/>
  <c r="AE360" i="5"/>
  <c r="AG360" i="5" s="1"/>
  <c r="AE359" i="5"/>
  <c r="AG359" i="5" s="1"/>
  <c r="AE358" i="5"/>
  <c r="AG358" i="5" s="1"/>
  <c r="AE357" i="5"/>
  <c r="AF357" i="5" s="1"/>
  <c r="AE349" i="5"/>
  <c r="AG349" i="5" s="1"/>
  <c r="AE296" i="5"/>
  <c r="AE322" i="5"/>
  <c r="AG322" i="5" s="1"/>
  <c r="AE340" i="5"/>
  <c r="AE313" i="5"/>
  <c r="AG313" i="5" s="1"/>
  <c r="AE334" i="5"/>
  <c r="AF334" i="5" s="1"/>
  <c r="AE8" i="5"/>
  <c r="AF8" i="5" s="1"/>
  <c r="AE9" i="5"/>
  <c r="AE10" i="5"/>
  <c r="AE11" i="5"/>
  <c r="AF11" i="5" s="1"/>
  <c r="AE12" i="5"/>
  <c r="AF12" i="5" s="1"/>
  <c r="AE13" i="5"/>
  <c r="AE14" i="5"/>
  <c r="AE15" i="5"/>
  <c r="AF15" i="5" s="1"/>
  <c r="AE16" i="5"/>
  <c r="AF16" i="5" s="1"/>
  <c r="AE17" i="5"/>
  <c r="AE18" i="5"/>
  <c r="AE19" i="5"/>
  <c r="AG19" i="5" s="1"/>
  <c r="AE20" i="5"/>
  <c r="AF20" i="5" s="1"/>
  <c r="AE21" i="5"/>
  <c r="AE22" i="5"/>
  <c r="AE23" i="5"/>
  <c r="AF23" i="5" s="1"/>
  <c r="AE24" i="5"/>
  <c r="AF24" i="5" s="1"/>
  <c r="AE25" i="5"/>
  <c r="AE26" i="5"/>
  <c r="AE27" i="5"/>
  <c r="AF27" i="5" s="1"/>
  <c r="AE28" i="5"/>
  <c r="AF28" i="5" s="1"/>
  <c r="AE29" i="5"/>
  <c r="AE30" i="5"/>
  <c r="AE31" i="5"/>
  <c r="AF31" i="5" s="1"/>
  <c r="AE32" i="5"/>
  <c r="AF32" i="5" s="1"/>
  <c r="AE33" i="5"/>
  <c r="AE34" i="5"/>
  <c r="AE35" i="5"/>
  <c r="AG35" i="5" s="1"/>
  <c r="AE36" i="5"/>
  <c r="AF36" i="5" s="1"/>
  <c r="AE37" i="5"/>
  <c r="AE38" i="5"/>
  <c r="AE39" i="5"/>
  <c r="AF39" i="5" s="1"/>
  <c r="AE40" i="5"/>
  <c r="AF40" i="5" s="1"/>
  <c r="AE41" i="5"/>
  <c r="AE42" i="5"/>
  <c r="AE43" i="5"/>
  <c r="AF43" i="5" s="1"/>
  <c r="AE44" i="5"/>
  <c r="AF44" i="5" s="1"/>
  <c r="AE45" i="5"/>
  <c r="AE46" i="5"/>
  <c r="AE47" i="5"/>
  <c r="AF47" i="5" s="1"/>
  <c r="AE48" i="5"/>
  <c r="AF48" i="5" s="1"/>
  <c r="AE49" i="5"/>
  <c r="AE50" i="5"/>
  <c r="AE51" i="5"/>
  <c r="AG51" i="5" s="1"/>
  <c r="AE52" i="5"/>
  <c r="AE53" i="5"/>
  <c r="AE54" i="5"/>
  <c r="AE55" i="5"/>
  <c r="AG55" i="5" s="1"/>
  <c r="AE56" i="5"/>
  <c r="AF56" i="5" s="1"/>
  <c r="AE57" i="5"/>
  <c r="AE58" i="5"/>
  <c r="AE59" i="5"/>
  <c r="AF59" i="5" s="1"/>
  <c r="AE60" i="5"/>
  <c r="AF60" i="5" s="1"/>
  <c r="AE61" i="5"/>
  <c r="AE62" i="5"/>
  <c r="AE63" i="5"/>
  <c r="AF63" i="5" s="1"/>
  <c r="AE64" i="5"/>
  <c r="AF64" i="5" s="1"/>
  <c r="AE65" i="5"/>
  <c r="AE66" i="5"/>
  <c r="AE67" i="5"/>
  <c r="AG67" i="5" s="1"/>
  <c r="AE68" i="5"/>
  <c r="AF68" i="5" s="1"/>
  <c r="AE69" i="5"/>
  <c r="AE70" i="5"/>
  <c r="AE71" i="5"/>
  <c r="AF71" i="5" s="1"/>
  <c r="AE72" i="5"/>
  <c r="AF72" i="5" s="1"/>
  <c r="AE73" i="5"/>
  <c r="AE74" i="5"/>
  <c r="AE75" i="5"/>
  <c r="AF75" i="5" s="1"/>
  <c r="AE76" i="5"/>
  <c r="AF76" i="5" s="1"/>
  <c r="AE77" i="5"/>
  <c r="AE78" i="5"/>
  <c r="AE79" i="5"/>
  <c r="AF79" i="5" s="1"/>
  <c r="AE80" i="5"/>
  <c r="AF80" i="5" s="1"/>
  <c r="AE81" i="5"/>
  <c r="AE83" i="5"/>
  <c r="AG83" i="5" s="1"/>
  <c r="AE84" i="5"/>
  <c r="AF84" i="5" s="1"/>
  <c r="AE85" i="5"/>
  <c r="AE86" i="5"/>
  <c r="AG86" i="5" s="1"/>
  <c r="AE87" i="5"/>
  <c r="AG87" i="5" s="1"/>
  <c r="AE88" i="5"/>
  <c r="AF88" i="5" s="1"/>
  <c r="AE89" i="5"/>
  <c r="AE90" i="5"/>
  <c r="AG90" i="5" s="1"/>
  <c r="AE91" i="5"/>
  <c r="AF91" i="5" s="1"/>
  <c r="AE92" i="5"/>
  <c r="AG92" i="5" s="1"/>
  <c r="AE93" i="5"/>
  <c r="AE94" i="5"/>
  <c r="AG94" i="5" s="1"/>
  <c r="AE95" i="5"/>
  <c r="AF95" i="5" s="1"/>
  <c r="AE96" i="5"/>
  <c r="AF96" i="5" s="1"/>
  <c r="AE97" i="5"/>
  <c r="AE98" i="5"/>
  <c r="AG98" i="5" s="1"/>
  <c r="AE99" i="5"/>
  <c r="AF99" i="5" s="1"/>
  <c r="AE100" i="5"/>
  <c r="AF100" i="5" s="1"/>
  <c r="AE101" i="5"/>
  <c r="AE102" i="5"/>
  <c r="AE103" i="5"/>
  <c r="AG103" i="5" s="1"/>
  <c r="AE104" i="5"/>
  <c r="AF104" i="5" s="1"/>
  <c r="AE105" i="5"/>
  <c r="AE106" i="5"/>
  <c r="AE107" i="5"/>
  <c r="AF107" i="5" s="1"/>
  <c r="AE108" i="5"/>
  <c r="AF108" i="5" s="1"/>
  <c r="AE109" i="5"/>
  <c r="AE110" i="5"/>
  <c r="AE111" i="5"/>
  <c r="AG111" i="5" s="1"/>
  <c r="AE112" i="5"/>
  <c r="AF112" i="5" s="1"/>
  <c r="AE113" i="5"/>
  <c r="AE114" i="5"/>
  <c r="AE115" i="5"/>
  <c r="AF115" i="5" s="1"/>
  <c r="AE116" i="5"/>
  <c r="AF116" i="5" s="1"/>
  <c r="AE117" i="5"/>
  <c r="AE118" i="5"/>
  <c r="AE119" i="5"/>
  <c r="AF119" i="5" s="1"/>
  <c r="AE120" i="5"/>
  <c r="AF120" i="5" s="1"/>
  <c r="AE121" i="5"/>
  <c r="AE122" i="5"/>
  <c r="AE123" i="5"/>
  <c r="AF123" i="5" s="1"/>
  <c r="AE124" i="5"/>
  <c r="AF124" i="5" s="1"/>
  <c r="AE125" i="5"/>
  <c r="AE126" i="5"/>
  <c r="AE127" i="5"/>
  <c r="AG127" i="5" s="1"/>
  <c r="AE128" i="5"/>
  <c r="AF128" i="5" s="1"/>
  <c r="AE129" i="5"/>
  <c r="AE130" i="5"/>
  <c r="AE131" i="5"/>
  <c r="AF131" i="5" s="1"/>
  <c r="AE132" i="5"/>
  <c r="AF132" i="5" s="1"/>
  <c r="AE133" i="5"/>
  <c r="AE134" i="5"/>
  <c r="AE135" i="5"/>
  <c r="AF135" i="5" s="1"/>
  <c r="AE136" i="5"/>
  <c r="AF136" i="5" s="1"/>
  <c r="AE137" i="5"/>
  <c r="AE138" i="5"/>
  <c r="AE139" i="5"/>
  <c r="AF139" i="5" s="1"/>
  <c r="AE140" i="5"/>
  <c r="AF140" i="5" s="1"/>
  <c r="AE141" i="5"/>
  <c r="AE142" i="5"/>
  <c r="AE143" i="5"/>
  <c r="AG143" i="5" s="1"/>
  <c r="AE144" i="5"/>
  <c r="AF144" i="5" s="1"/>
  <c r="AE145" i="5"/>
  <c r="AE146" i="5"/>
  <c r="AE147" i="5"/>
  <c r="AF147" i="5" s="1"/>
  <c r="AE148" i="5"/>
  <c r="AF148" i="5" s="1"/>
  <c r="AE149" i="5"/>
  <c r="AE150" i="5"/>
  <c r="AE151" i="5"/>
  <c r="AF151" i="5" s="1"/>
  <c r="AE152" i="5"/>
  <c r="AF152" i="5" s="1"/>
  <c r="AE153" i="5"/>
  <c r="AE154" i="5"/>
  <c r="AE155" i="5"/>
  <c r="AF155" i="5" s="1"/>
  <c r="AE156" i="5"/>
  <c r="AF156" i="5" s="1"/>
  <c r="AE157" i="5"/>
  <c r="AE158" i="5"/>
  <c r="AE159" i="5"/>
  <c r="AG159" i="5" s="1"/>
  <c r="AE160" i="5"/>
  <c r="AF160" i="5" s="1"/>
  <c r="AE161" i="5"/>
  <c r="AE162" i="5"/>
  <c r="AE163" i="5"/>
  <c r="AF163" i="5" s="1"/>
  <c r="AE164" i="5"/>
  <c r="AF164" i="5" s="1"/>
  <c r="AE165" i="5"/>
  <c r="AE166" i="5"/>
  <c r="AG166" i="5" s="1"/>
  <c r="AE167" i="5"/>
  <c r="AG167" i="5" s="1"/>
  <c r="AE168" i="5"/>
  <c r="AF168" i="5" s="1"/>
  <c r="AE169" i="5"/>
  <c r="AE170" i="5"/>
  <c r="AG170" i="5" s="1"/>
  <c r="AE171" i="5"/>
  <c r="AG171" i="5" s="1"/>
  <c r="AE172" i="5"/>
  <c r="AF172" i="5" s="1"/>
  <c r="AE173" i="5"/>
  <c r="AE175" i="5"/>
  <c r="AG175" i="5" s="1"/>
  <c r="AE176" i="5"/>
  <c r="AF176" i="5" s="1"/>
  <c r="AE177" i="5"/>
  <c r="AE178" i="5"/>
  <c r="AF178" i="5" s="1"/>
  <c r="AE179" i="5"/>
  <c r="AF179" i="5" s="1"/>
  <c r="AE180" i="5"/>
  <c r="AE181" i="5"/>
  <c r="AG181" i="5" s="1"/>
  <c r="AE182" i="5"/>
  <c r="AF182" i="5" s="1"/>
  <c r="AE183" i="5"/>
  <c r="AF183" i="5" s="1"/>
  <c r="AE184" i="5"/>
  <c r="AE185" i="5"/>
  <c r="AG185" i="5" s="1"/>
  <c r="AE186" i="5"/>
  <c r="AF186" i="5" s="1"/>
  <c r="AE187" i="5"/>
  <c r="AF187" i="5" s="1"/>
  <c r="AE188" i="5"/>
  <c r="AE189" i="5"/>
  <c r="AG189" i="5" s="1"/>
  <c r="AE190" i="5"/>
  <c r="AF190" i="5" s="1"/>
  <c r="AE191" i="5"/>
  <c r="AF191" i="5" s="1"/>
  <c r="AE192" i="5"/>
  <c r="AE193" i="5"/>
  <c r="AG193" i="5" s="1"/>
  <c r="AE194" i="5"/>
  <c r="AF194" i="5" s="1"/>
  <c r="AE195" i="5"/>
  <c r="AF195" i="5" s="1"/>
  <c r="AE196" i="5"/>
  <c r="AE197" i="5"/>
  <c r="AG197" i="5" s="1"/>
  <c r="AE198" i="5"/>
  <c r="AF198" i="5" s="1"/>
  <c r="AE199" i="5"/>
  <c r="AF199" i="5" s="1"/>
  <c r="AE200" i="5"/>
  <c r="AE201" i="5"/>
  <c r="AG201" i="5" s="1"/>
  <c r="AE202" i="5"/>
  <c r="AF202" i="5" s="1"/>
  <c r="AE203" i="5"/>
  <c r="AF203" i="5" s="1"/>
  <c r="AE204" i="5"/>
  <c r="AE205" i="5"/>
  <c r="AG205" i="5" s="1"/>
  <c r="AE206" i="5"/>
  <c r="AF206" i="5" s="1"/>
  <c r="AE207" i="5"/>
  <c r="AF207" i="5" s="1"/>
  <c r="AE208" i="5"/>
  <c r="AE209" i="5"/>
  <c r="AG209" i="5" s="1"/>
  <c r="AE210" i="5"/>
  <c r="AF210" i="5" s="1"/>
  <c r="AE211" i="5"/>
  <c r="AF211" i="5" s="1"/>
  <c r="AE212" i="5"/>
  <c r="AE213" i="5"/>
  <c r="AG213" i="5" s="1"/>
  <c r="AE214" i="5"/>
  <c r="AF214" i="5" s="1"/>
  <c r="AE215" i="5"/>
  <c r="AF215" i="5" s="1"/>
  <c r="AE216" i="5"/>
  <c r="AE217" i="5"/>
  <c r="AG217" i="5" s="1"/>
  <c r="AF218" i="5"/>
  <c r="AE219" i="5"/>
  <c r="AF219" i="5" s="1"/>
  <c r="AE220" i="5"/>
  <c r="AE221" i="5"/>
  <c r="AG221" i="5" s="1"/>
  <c r="AE222" i="5"/>
  <c r="AF222" i="5" s="1"/>
  <c r="AE223" i="5"/>
  <c r="AF223" i="5" s="1"/>
  <c r="AE224" i="5"/>
  <c r="AE225" i="5"/>
  <c r="AG225" i="5" s="1"/>
  <c r="AE226" i="5"/>
  <c r="AF226" i="5" s="1"/>
  <c r="AE227" i="5"/>
  <c r="AF227" i="5" s="1"/>
  <c r="AE228" i="5"/>
  <c r="AE229" i="5"/>
  <c r="AG229" i="5" s="1"/>
  <c r="AE230" i="5"/>
  <c r="AF230" i="5" s="1"/>
  <c r="AE231" i="5"/>
  <c r="AF231" i="5" s="1"/>
  <c r="AE232" i="5"/>
  <c r="AE233" i="5"/>
  <c r="AG233" i="5" s="1"/>
  <c r="AE234" i="5"/>
  <c r="AF234" i="5" s="1"/>
  <c r="AE235" i="5"/>
  <c r="AF235" i="5" s="1"/>
  <c r="AE236" i="5"/>
  <c r="AE237" i="5"/>
  <c r="AG237" i="5" s="1"/>
  <c r="AE238" i="5"/>
  <c r="AF238" i="5" s="1"/>
  <c r="AE239" i="5"/>
  <c r="AF239" i="5" s="1"/>
  <c r="AE240" i="5"/>
  <c r="AE241" i="5"/>
  <c r="AG241" i="5" s="1"/>
  <c r="AE242" i="5"/>
  <c r="AF242" i="5" s="1"/>
  <c r="AE243" i="5"/>
  <c r="AF243" i="5" s="1"/>
  <c r="AE244" i="5"/>
  <c r="AE245" i="5"/>
  <c r="AG245" i="5" s="1"/>
  <c r="AE246" i="5"/>
  <c r="AF246" i="5" s="1"/>
  <c r="AE247" i="5"/>
  <c r="AF247" i="5" s="1"/>
  <c r="AE248" i="5"/>
  <c r="AE249" i="5"/>
  <c r="AG249" i="5" s="1"/>
  <c r="AE250" i="5"/>
  <c r="AF250" i="5" s="1"/>
  <c r="AE251" i="5"/>
  <c r="AF251" i="5" s="1"/>
  <c r="AE252" i="5"/>
  <c r="AE253" i="5"/>
  <c r="AG253" i="5" s="1"/>
  <c r="AE254" i="5"/>
  <c r="AG254" i="5" s="1"/>
  <c r="AE255" i="5"/>
  <c r="AF255" i="5" s="1"/>
  <c r="AE256" i="5"/>
  <c r="AE257" i="5"/>
  <c r="AG257" i="5" s="1"/>
  <c r="AE258" i="5"/>
  <c r="AF258" i="5" s="1"/>
  <c r="AE259" i="5"/>
  <c r="AF259" i="5" s="1"/>
  <c r="AE260" i="5"/>
  <c r="AE261" i="5"/>
  <c r="AG261" i="5" s="1"/>
  <c r="AE262" i="5"/>
  <c r="AF262" i="5" s="1"/>
  <c r="AE263" i="5"/>
  <c r="AF263" i="5" s="1"/>
  <c r="AE264" i="5"/>
  <c r="AE265" i="5"/>
  <c r="AG265" i="5" s="1"/>
  <c r="AE266" i="5"/>
  <c r="AF266" i="5" s="1"/>
  <c r="AE267" i="5"/>
  <c r="AF267" i="5" s="1"/>
  <c r="AE268" i="5"/>
  <c r="AE269" i="5"/>
  <c r="AG269" i="5" s="1"/>
  <c r="AE270" i="5"/>
  <c r="AG270" i="5" s="1"/>
  <c r="AE271" i="5"/>
  <c r="AF271" i="5" s="1"/>
  <c r="AE272" i="5"/>
  <c r="AE273" i="5"/>
  <c r="AG273" i="5" s="1"/>
  <c r="AE274" i="5"/>
  <c r="AG274" i="5" s="1"/>
  <c r="AE275" i="5"/>
  <c r="AF275" i="5" s="1"/>
  <c r="AE276" i="5"/>
  <c r="AE277" i="5"/>
  <c r="AG277" i="5" s="1"/>
  <c r="AE278" i="5"/>
  <c r="AG278" i="5" s="1"/>
  <c r="AE279" i="5"/>
  <c r="AF279" i="5" s="1"/>
  <c r="AE280" i="5"/>
  <c r="AE281" i="5"/>
  <c r="AG281" i="5" s="1"/>
  <c r="AE282" i="5"/>
  <c r="AG282" i="5" s="1"/>
  <c r="AE283" i="5"/>
  <c r="AF283" i="5" s="1"/>
  <c r="AE284" i="5"/>
  <c r="AE285" i="5"/>
  <c r="AG285" i="5" s="1"/>
  <c r="AE286" i="5"/>
  <c r="AG286" i="5" s="1"/>
  <c r="AE287" i="5"/>
  <c r="AF287" i="5" s="1"/>
  <c r="AE288" i="5"/>
  <c r="AE289" i="5"/>
  <c r="AG289" i="5" s="1"/>
  <c r="AE290" i="5"/>
  <c r="AG290" i="5" s="1"/>
  <c r="AE291" i="5"/>
  <c r="AF291" i="5" s="1"/>
  <c r="AE292" i="5"/>
  <c r="AE293" i="5"/>
  <c r="AG293" i="5" s="1"/>
  <c r="AE294" i="5"/>
  <c r="AG294" i="5" s="1"/>
  <c r="AE295" i="5"/>
  <c r="AF295" i="5" s="1"/>
  <c r="AE297" i="5"/>
  <c r="AG297" i="5" s="1"/>
  <c r="AE298" i="5"/>
  <c r="AG298" i="5" s="1"/>
  <c r="AE299" i="5"/>
  <c r="AF299" i="5" s="1"/>
  <c r="AE300" i="5"/>
  <c r="AE301" i="5"/>
  <c r="AG301" i="5" s="1"/>
  <c r="AE302" i="5"/>
  <c r="AG302" i="5" s="1"/>
  <c r="AE303" i="5"/>
  <c r="AF303" i="5" s="1"/>
  <c r="AE304" i="5"/>
  <c r="AE305" i="5"/>
  <c r="AG305" i="5" s="1"/>
  <c r="AE306" i="5"/>
  <c r="AF306" i="5" s="1"/>
  <c r="AE307" i="5"/>
  <c r="AF307" i="5" s="1"/>
  <c r="AE308" i="5"/>
  <c r="AE309" i="5"/>
  <c r="AG309" i="5" s="1"/>
  <c r="AE310" i="5"/>
  <c r="AF310" i="5" s="1"/>
  <c r="AE311" i="5"/>
  <c r="AG311" i="5" s="1"/>
  <c r="AE312" i="5"/>
  <c r="AE314" i="5"/>
  <c r="AF314" i="5" s="1"/>
  <c r="AE315" i="5"/>
  <c r="AF315" i="5" s="1"/>
  <c r="AE316" i="5"/>
  <c r="AE317" i="5"/>
  <c r="AF317" i="5" s="1"/>
  <c r="AE318" i="5"/>
  <c r="AF318" i="5" s="1"/>
  <c r="AE319" i="5"/>
  <c r="AG319" i="5" s="1"/>
  <c r="AE320" i="5"/>
  <c r="AE321" i="5"/>
  <c r="AG321" i="5" s="1"/>
  <c r="AE323" i="5"/>
  <c r="AF323" i="5" s="1"/>
  <c r="AE324" i="5"/>
  <c r="AE325" i="5"/>
  <c r="AG325" i="5" s="1"/>
  <c r="AE326" i="5"/>
  <c r="AF326" i="5" s="1"/>
  <c r="AE327" i="5"/>
  <c r="AE328" i="5"/>
  <c r="AE329" i="5"/>
  <c r="AG329" i="5" s="1"/>
  <c r="AE330" i="5"/>
  <c r="AF330" i="5" s="1"/>
  <c r="AE331" i="5"/>
  <c r="AF331" i="5" s="1"/>
  <c r="AE332" i="5"/>
  <c r="AE333" i="5"/>
  <c r="AG333" i="5" s="1"/>
  <c r="AE335" i="5"/>
  <c r="AF335" i="5" s="1"/>
  <c r="AE336" i="5"/>
  <c r="AE337" i="5"/>
  <c r="AG337" i="5" s="1"/>
  <c r="AE338" i="5"/>
  <c r="AE341" i="5"/>
  <c r="AF341" i="5" s="1"/>
  <c r="AE342" i="5"/>
  <c r="AF342" i="5" s="1"/>
  <c r="AE343" i="5"/>
  <c r="AF343" i="5" s="1"/>
  <c r="AE344" i="5"/>
  <c r="AE345" i="5"/>
  <c r="AF345" i="5" s="1"/>
  <c r="AE346" i="5"/>
  <c r="AF346" i="5" s="1"/>
  <c r="AE347" i="5"/>
  <c r="AF347" i="5" s="1"/>
  <c r="AE348" i="5"/>
  <c r="AE350" i="5"/>
  <c r="AE351" i="5"/>
  <c r="AF351" i="5" s="1"/>
  <c r="AE352" i="5"/>
  <c r="AF352" i="5" s="1"/>
  <c r="AE353" i="5"/>
  <c r="AG353" i="5" s="1"/>
  <c r="AE354" i="5"/>
  <c r="AG354" i="5" s="1"/>
  <c r="AE355" i="5"/>
  <c r="AF355" i="5" s="1"/>
  <c r="AE356" i="5"/>
  <c r="AF356" i="5" s="1"/>
  <c r="AE7" i="5"/>
  <c r="B1009" i="11"/>
  <c r="A1010" i="11"/>
  <c r="B1010" i="11"/>
  <c r="C1010" i="11"/>
  <c r="A1011" i="11"/>
  <c r="B1011" i="11"/>
  <c r="C1011" i="11"/>
  <c r="A1012" i="11"/>
  <c r="B1012" i="11"/>
  <c r="C1012" i="11"/>
  <c r="A1013" i="11"/>
  <c r="B1013" i="11"/>
  <c r="C1013" i="11"/>
  <c r="A1014" i="11"/>
  <c r="B1014" i="11"/>
  <c r="C1014" i="11"/>
  <c r="A1015" i="11"/>
  <c r="B1015" i="11"/>
  <c r="C1015" i="11"/>
  <c r="A1016" i="11"/>
  <c r="B1016" i="11"/>
  <c r="C1016" i="11"/>
  <c r="A1017" i="11"/>
  <c r="B1017" i="11"/>
  <c r="C1017" i="11"/>
  <c r="A1018" i="11"/>
  <c r="B1018" i="11"/>
  <c r="C1018" i="11"/>
  <c r="A1019" i="11"/>
  <c r="B1019" i="11"/>
  <c r="C1019" i="11"/>
  <c r="A1020" i="11"/>
  <c r="B1020" i="11"/>
  <c r="C1020" i="11"/>
  <c r="A1021" i="11"/>
  <c r="B1021" i="11"/>
  <c r="C1021" i="11"/>
  <c r="A1022" i="11"/>
  <c r="B1022" i="11"/>
  <c r="C1022" i="11"/>
  <c r="A1023" i="11"/>
  <c r="B1023" i="11"/>
  <c r="C1023" i="11"/>
  <c r="A1024" i="11"/>
  <c r="B1024" i="11"/>
  <c r="C1024" i="11"/>
  <c r="A1025" i="11"/>
  <c r="B1025" i="11"/>
  <c r="C1025" i="11"/>
  <c r="A1026" i="11"/>
  <c r="B1026" i="11"/>
  <c r="C1026" i="11"/>
  <c r="A1027" i="11"/>
  <c r="B1027" i="11"/>
  <c r="C1027" i="11"/>
  <c r="A1028" i="11"/>
  <c r="B1028" i="11"/>
  <c r="C1028" i="11"/>
  <c r="A1029" i="11"/>
  <c r="B1029" i="11"/>
  <c r="C1029" i="11"/>
  <c r="A1030" i="11"/>
  <c r="B1030" i="11"/>
  <c r="C1030" i="11"/>
  <c r="A1031" i="11"/>
  <c r="B1031" i="11"/>
  <c r="C1031" i="11"/>
  <c r="A1032" i="11"/>
  <c r="B1032" i="11"/>
  <c r="A1033" i="11"/>
  <c r="B1033" i="11"/>
  <c r="C1033" i="11"/>
  <c r="A1034" i="11"/>
  <c r="B1034" i="11"/>
  <c r="C1034" i="11"/>
  <c r="A1035" i="11"/>
  <c r="B1035" i="11"/>
  <c r="C1035" i="11"/>
  <c r="A1036" i="11"/>
  <c r="B1036" i="11"/>
  <c r="C1036" i="11"/>
  <c r="A1037" i="11"/>
  <c r="B1037" i="11"/>
  <c r="C1037" i="11"/>
  <c r="A1038" i="11"/>
  <c r="B1038" i="11"/>
  <c r="C1038" i="11"/>
  <c r="A1039" i="11"/>
  <c r="B1039" i="11"/>
  <c r="C1039" i="11"/>
  <c r="A1040" i="11"/>
  <c r="B1040" i="11"/>
  <c r="C1040" i="11"/>
  <c r="A1041" i="11"/>
  <c r="B1041" i="11"/>
  <c r="C1041" i="11"/>
  <c r="A1042" i="11"/>
  <c r="B1042" i="11"/>
  <c r="C1042" i="11"/>
  <c r="A1043" i="11"/>
  <c r="B1043" i="11"/>
  <c r="C1043" i="11"/>
  <c r="A1044" i="11"/>
  <c r="B1044" i="11"/>
  <c r="C1044" i="11"/>
  <c r="A1045" i="11"/>
  <c r="B1045" i="11"/>
  <c r="C1045" i="11"/>
  <c r="A1046" i="11"/>
  <c r="B1046" i="11"/>
  <c r="C1046" i="11"/>
  <c r="A1047" i="11"/>
  <c r="B1047" i="11"/>
  <c r="C1047" i="11"/>
  <c r="A1048" i="11"/>
  <c r="B1048" i="11"/>
  <c r="C1048" i="11"/>
  <c r="A1049" i="11"/>
  <c r="B1049" i="11"/>
  <c r="C1049" i="11"/>
  <c r="A1050" i="11"/>
  <c r="B1050" i="11"/>
  <c r="C1050" i="11"/>
  <c r="A1051" i="11"/>
  <c r="B1051" i="11"/>
  <c r="C1051" i="11"/>
  <c r="A1052" i="11"/>
  <c r="B1052" i="11"/>
  <c r="C1052" i="11"/>
  <c r="A1053" i="11"/>
  <c r="B1053" i="11"/>
  <c r="C1053" i="11"/>
  <c r="A1054" i="11"/>
  <c r="B1054" i="11"/>
  <c r="C1054" i="11"/>
  <c r="A1055" i="11"/>
  <c r="B1055" i="11"/>
  <c r="C1055" i="11"/>
  <c r="A1056" i="11"/>
  <c r="B1056" i="11"/>
  <c r="C1056" i="11"/>
  <c r="A1057" i="11"/>
  <c r="B1057" i="11"/>
  <c r="C1057" i="11"/>
  <c r="A1058" i="11"/>
  <c r="B1058" i="11"/>
  <c r="C1058" i="11"/>
  <c r="A1059" i="11"/>
  <c r="B1059" i="11"/>
  <c r="C1059" i="11"/>
  <c r="A1060" i="11"/>
  <c r="B1060" i="11"/>
  <c r="C1060" i="11"/>
  <c r="A1061" i="11"/>
  <c r="B1061" i="11"/>
  <c r="C1061" i="11"/>
  <c r="A1062" i="11"/>
  <c r="B1062" i="11"/>
  <c r="C1062" i="11"/>
  <c r="A1063" i="11"/>
  <c r="B1063" i="11"/>
  <c r="C1063" i="11"/>
  <c r="A1064" i="11"/>
  <c r="B1064" i="11"/>
  <c r="C1064" i="11"/>
  <c r="A1065" i="11"/>
  <c r="B1065" i="11"/>
  <c r="C1065" i="11"/>
  <c r="A1066" i="11"/>
  <c r="B1066" i="11"/>
  <c r="C1066" i="11"/>
  <c r="L1066" i="11"/>
  <c r="L1065" i="11"/>
  <c r="L1064" i="11"/>
  <c r="N1064" i="11" s="1"/>
  <c r="L1063" i="11"/>
  <c r="L1062" i="11"/>
  <c r="L1061" i="11"/>
  <c r="L1060" i="11"/>
  <c r="N1060" i="11" s="1"/>
  <c r="L1059" i="11"/>
  <c r="L1058" i="11"/>
  <c r="L1057" i="11"/>
  <c r="L1056" i="11"/>
  <c r="L1055" i="11"/>
  <c r="L1054" i="11"/>
  <c r="L1053" i="11"/>
  <c r="L1052" i="11"/>
  <c r="L1051" i="11"/>
  <c r="L1050" i="11"/>
  <c r="L1049" i="11"/>
  <c r="L1048" i="11"/>
  <c r="N1048" i="11" s="1"/>
  <c r="L1047" i="11"/>
  <c r="L1046" i="11"/>
  <c r="L1045" i="11"/>
  <c r="L1044" i="11"/>
  <c r="L1043" i="11"/>
  <c r="L1042" i="11"/>
  <c r="L1041" i="11"/>
  <c r="L1040" i="11"/>
  <c r="N1040" i="11" s="1"/>
  <c r="L1039" i="11"/>
  <c r="N1039" i="11" s="1"/>
  <c r="O1039" i="11" s="1"/>
  <c r="R1039" i="11" s="1"/>
  <c r="L1038" i="11"/>
  <c r="L1037" i="11"/>
  <c r="L1036" i="11"/>
  <c r="L1035" i="11"/>
  <c r="N1035" i="11" s="1"/>
  <c r="L1034" i="11"/>
  <c r="L1033" i="11"/>
  <c r="L1032" i="11"/>
  <c r="L1031" i="11"/>
  <c r="L1030" i="11"/>
  <c r="L1029" i="11"/>
  <c r="L1028" i="11"/>
  <c r="O1027" i="11"/>
  <c r="R1027" i="11" s="1"/>
  <c r="L1026" i="11"/>
  <c r="L1025" i="11"/>
  <c r="L1024" i="11"/>
  <c r="L1023" i="11"/>
  <c r="N1023" i="11" s="1"/>
  <c r="L1022" i="11"/>
  <c r="L1021" i="11"/>
  <c r="L1020" i="11"/>
  <c r="L1019" i="11"/>
  <c r="N1019" i="11" s="1"/>
  <c r="L1018" i="11"/>
  <c r="L1017" i="11"/>
  <c r="L1016" i="11"/>
  <c r="L1015" i="11"/>
  <c r="N1015" i="11" s="1"/>
  <c r="L1014" i="11"/>
  <c r="L1013" i="11"/>
  <c r="L1012" i="11"/>
  <c r="L1011" i="11"/>
  <c r="N1011" i="11" s="1"/>
  <c r="L1010" i="11"/>
  <c r="N1066" i="11"/>
  <c r="J1066" i="11"/>
  <c r="J1065" i="11"/>
  <c r="N1065" i="11" s="1"/>
  <c r="J1064" i="11"/>
  <c r="N1063" i="11"/>
  <c r="O1063" i="11" s="1"/>
  <c r="R1063" i="11" s="1"/>
  <c r="J1063" i="11"/>
  <c r="N1062" i="11"/>
  <c r="J1062" i="11"/>
  <c r="N1061" i="11"/>
  <c r="J1061" i="11"/>
  <c r="J1060" i="11"/>
  <c r="J1059" i="11"/>
  <c r="N1059" i="11" s="1"/>
  <c r="N1058" i="11"/>
  <c r="J1058" i="11"/>
  <c r="J1057" i="11"/>
  <c r="N1057" i="11" s="1"/>
  <c r="N1056" i="11"/>
  <c r="J1056" i="11"/>
  <c r="J1055" i="11"/>
  <c r="N1054" i="11"/>
  <c r="J1054" i="11"/>
  <c r="N1053" i="11"/>
  <c r="J1053" i="11"/>
  <c r="N1052" i="11"/>
  <c r="J1052" i="11"/>
  <c r="J1051" i="11"/>
  <c r="N1050" i="11"/>
  <c r="J1050" i="11"/>
  <c r="J1049" i="11"/>
  <c r="N1049" i="11" s="1"/>
  <c r="J1048" i="11"/>
  <c r="J1047" i="11"/>
  <c r="N1046" i="11"/>
  <c r="J1046" i="11"/>
  <c r="J1045" i="11"/>
  <c r="N1045" i="11" s="1"/>
  <c r="N1044" i="11"/>
  <c r="J1044" i="11"/>
  <c r="J1043" i="11"/>
  <c r="N1042" i="11"/>
  <c r="J1042" i="11"/>
  <c r="J1041" i="11"/>
  <c r="N1041" i="11" s="1"/>
  <c r="J1040" i="11"/>
  <c r="J1039" i="11"/>
  <c r="J1038" i="11"/>
  <c r="N1038" i="11" s="1"/>
  <c r="N1037" i="11"/>
  <c r="J1037" i="11"/>
  <c r="J1036" i="11"/>
  <c r="N1036" i="11" s="1"/>
  <c r="J1035" i="11"/>
  <c r="J1034" i="11"/>
  <c r="N1034" i="11" s="1"/>
  <c r="N1033" i="11"/>
  <c r="J1033" i="11"/>
  <c r="J1032" i="11"/>
  <c r="J1031" i="11"/>
  <c r="N1030" i="11"/>
  <c r="J1030" i="11"/>
  <c r="J1029" i="11"/>
  <c r="N1029" i="11" s="1"/>
  <c r="N1028" i="11"/>
  <c r="J1028" i="11"/>
  <c r="J1027" i="11"/>
  <c r="J1026" i="11"/>
  <c r="N1026" i="11" s="1"/>
  <c r="N1025" i="11"/>
  <c r="J1025" i="11"/>
  <c r="J1024" i="11"/>
  <c r="J1023" i="11"/>
  <c r="J1022" i="11"/>
  <c r="N1022" i="11" s="1"/>
  <c r="N1021" i="11"/>
  <c r="J1021" i="11"/>
  <c r="J1020" i="11"/>
  <c r="N1020" i="11" s="1"/>
  <c r="J1019" i="11"/>
  <c r="J1018" i="11"/>
  <c r="N1018" i="11" s="1"/>
  <c r="N1017" i="11"/>
  <c r="J1017" i="11"/>
  <c r="J1016" i="11"/>
  <c r="J1015" i="11"/>
  <c r="J1014" i="11"/>
  <c r="N1014" i="11" s="1"/>
  <c r="N1013" i="11"/>
  <c r="J1013" i="11"/>
  <c r="J1012" i="11"/>
  <c r="N1012" i="11" s="1"/>
  <c r="J1011" i="11"/>
  <c r="J1010" i="11"/>
  <c r="N1010" i="11" s="1"/>
  <c r="N1032" i="11"/>
  <c r="J1009" i="11"/>
  <c r="L1009" i="11" s="1"/>
  <c r="AG370" i="5" l="1"/>
  <c r="AM370" i="5"/>
  <c r="AB358" i="5"/>
  <c r="AM358" i="5"/>
  <c r="AG371" i="5"/>
  <c r="AM371" i="5"/>
  <c r="AG373" i="5"/>
  <c r="AM373" i="5"/>
  <c r="AF339" i="5"/>
  <c r="AM339" i="5"/>
  <c r="AC357" i="5"/>
  <c r="AM357" i="5"/>
  <c r="AF327" i="5"/>
  <c r="AM327" i="5"/>
  <c r="AB366" i="5"/>
  <c r="AM366" i="5"/>
  <c r="AB365" i="5"/>
  <c r="AM365" i="5"/>
  <c r="AB359" i="5"/>
  <c r="AM359" i="5"/>
  <c r="AB364" i="5"/>
  <c r="AM364" i="5"/>
  <c r="AB363" i="5"/>
  <c r="AM363" i="5"/>
  <c r="AG338" i="5"/>
  <c r="AM338" i="5"/>
  <c r="AF52" i="5"/>
  <c r="AM362" i="5"/>
  <c r="AG367" i="5"/>
  <c r="AM367" i="5"/>
  <c r="AM361" i="5"/>
  <c r="AG369" i="5"/>
  <c r="AM369" i="5"/>
  <c r="AF368" i="5"/>
  <c r="AM368" i="5"/>
  <c r="AB360" i="5"/>
  <c r="AM360" i="5"/>
  <c r="AF350" i="5"/>
  <c r="AE465" i="5"/>
  <c r="AF372" i="5"/>
  <c r="AC361" i="5"/>
  <c r="AB369" i="5"/>
  <c r="AB362" i="5"/>
  <c r="AC360" i="5"/>
  <c r="AG7" i="5"/>
  <c r="AC372" i="5"/>
  <c r="AB361" i="5"/>
  <c r="AC364" i="5"/>
  <c r="AC368" i="5"/>
  <c r="AC365" i="5"/>
  <c r="AC373" i="5"/>
  <c r="AC369" i="5"/>
  <c r="AB357" i="5"/>
  <c r="AC370" i="5"/>
  <c r="AC366" i="5"/>
  <c r="AC362" i="5"/>
  <c r="AC358" i="5"/>
  <c r="AC371" i="5"/>
  <c r="AC367" i="5"/>
  <c r="AC363" i="5"/>
  <c r="AC359" i="5"/>
  <c r="AF373" i="5"/>
  <c r="AG372" i="5"/>
  <c r="AF371" i="5"/>
  <c r="AG364" i="5"/>
  <c r="AF363" i="5"/>
  <c r="AF365" i="5"/>
  <c r="AG368" i="5"/>
  <c r="AG357" i="5"/>
  <c r="AF367" i="5"/>
  <c r="AF369" i="5"/>
  <c r="AG361" i="5"/>
  <c r="AF360" i="5"/>
  <c r="AF358" i="5"/>
  <c r="AF359" i="5"/>
  <c r="AF362" i="5"/>
  <c r="AF366" i="5"/>
  <c r="AF370" i="5"/>
  <c r="AG341" i="5"/>
  <c r="AF322" i="5"/>
  <c r="AF319" i="5"/>
  <c r="AF313" i="5"/>
  <c r="AF254" i="5"/>
  <c r="AG39" i="5"/>
  <c r="AG346" i="5"/>
  <c r="AG318" i="5"/>
  <c r="AG246" i="5"/>
  <c r="AG275" i="5"/>
  <c r="AG115" i="5"/>
  <c r="AG84" i="5"/>
  <c r="AG75" i="5"/>
  <c r="AF67" i="5"/>
  <c r="AG64" i="5"/>
  <c r="AG262" i="5"/>
  <c r="AG71" i="5"/>
  <c r="AG350" i="5"/>
  <c r="AF297" i="5"/>
  <c r="AF282" i="5"/>
  <c r="AG279" i="5"/>
  <c r="AG99" i="5"/>
  <c r="AF92" i="5"/>
  <c r="AF83" i="5"/>
  <c r="AG80" i="5"/>
  <c r="AG68" i="5"/>
  <c r="AG59" i="5"/>
  <c r="AF329" i="5"/>
  <c r="AF311" i="5"/>
  <c r="AF277" i="5"/>
  <c r="AG271" i="5"/>
  <c r="AF241" i="5"/>
  <c r="AG238" i="5"/>
  <c r="AF233" i="5"/>
  <c r="AG230" i="5"/>
  <c r="AF225" i="5"/>
  <c r="AG222" i="5"/>
  <c r="AF217" i="5"/>
  <c r="AG214" i="5"/>
  <c r="AF209" i="5"/>
  <c r="AG206" i="5"/>
  <c r="AF201" i="5"/>
  <c r="AG198" i="5"/>
  <c r="AF193" i="5"/>
  <c r="AG190" i="5"/>
  <c r="AF185" i="5"/>
  <c r="AG182" i="5"/>
  <c r="AG147" i="5"/>
  <c r="AF51" i="5"/>
  <c r="AG48" i="5"/>
  <c r="AG36" i="5"/>
  <c r="AG27" i="5"/>
  <c r="AG24" i="5"/>
  <c r="AF302" i="5"/>
  <c r="AG299" i="5"/>
  <c r="AF270" i="5"/>
  <c r="AG267" i="5"/>
  <c r="AG242" i="5"/>
  <c r="AF237" i="5"/>
  <c r="AG234" i="5"/>
  <c r="AF229" i="5"/>
  <c r="AG226" i="5"/>
  <c r="AF221" i="5"/>
  <c r="AG218" i="5"/>
  <c r="AF213" i="5"/>
  <c r="AG210" i="5"/>
  <c r="AF205" i="5"/>
  <c r="AG202" i="5"/>
  <c r="AF197" i="5"/>
  <c r="AG194" i="5"/>
  <c r="AF189" i="5"/>
  <c r="AG186" i="5"/>
  <c r="AF181" i="5"/>
  <c r="AG178" i="5"/>
  <c r="AF167" i="5"/>
  <c r="AG164" i="5"/>
  <c r="AF103" i="5"/>
  <c r="AF98" i="5"/>
  <c r="AF55" i="5"/>
  <c r="AG52" i="5"/>
  <c r="AG43" i="5"/>
  <c r="AF35" i="5"/>
  <c r="AG32" i="5"/>
  <c r="AF354" i="5"/>
  <c r="AG351" i="5"/>
  <c r="AF338" i="5"/>
  <c r="AG326" i="5"/>
  <c r="AF294" i="5"/>
  <c r="AG291" i="5"/>
  <c r="AF286" i="5"/>
  <c r="AG176" i="5"/>
  <c r="AF171" i="5"/>
  <c r="AG168" i="5"/>
  <c r="AF159" i="5"/>
  <c r="AG156" i="5"/>
  <c r="AG144" i="5"/>
  <c r="AG135" i="5"/>
  <c r="AF127" i="5"/>
  <c r="AG124" i="5"/>
  <c r="AG112" i="5"/>
  <c r="AF94" i="5"/>
  <c r="AF87" i="5"/>
  <c r="AF19" i="5"/>
  <c r="AG16" i="5"/>
  <c r="AG355" i="5"/>
  <c r="AF349" i="5"/>
  <c r="AF298" i="5"/>
  <c r="AG283" i="5"/>
  <c r="AF281" i="5"/>
  <c r="AF274" i="5"/>
  <c r="AG266" i="5"/>
  <c r="AG258" i="5"/>
  <c r="AG250" i="5"/>
  <c r="AG163" i="5"/>
  <c r="AG131" i="5"/>
  <c r="AG95" i="5"/>
  <c r="AG88" i="5"/>
  <c r="AG23" i="5"/>
  <c r="AG339" i="5"/>
  <c r="AF333" i="5"/>
  <c r="AG330" i="5"/>
  <c r="AF325" i="5"/>
  <c r="AF309" i="5"/>
  <c r="AG306" i="5"/>
  <c r="AG295" i="5"/>
  <c r="AF290" i="5"/>
  <c r="AG287" i="5"/>
  <c r="AF285" i="5"/>
  <c r="AF278" i="5"/>
  <c r="AF175" i="5"/>
  <c r="AG172" i="5"/>
  <c r="AG160" i="5"/>
  <c r="AG151" i="5"/>
  <c r="AF143" i="5"/>
  <c r="AG140" i="5"/>
  <c r="AG128" i="5"/>
  <c r="AG119" i="5"/>
  <c r="AF111" i="5"/>
  <c r="AG108" i="5"/>
  <c r="AF90" i="5"/>
  <c r="AG20" i="5"/>
  <c r="AG11" i="5"/>
  <c r="AF353" i="5"/>
  <c r="AG345" i="5"/>
  <c r="AF337" i="5"/>
  <c r="AG334" i="5"/>
  <c r="AG317" i="5"/>
  <c r="AF301" i="5"/>
  <c r="AF293" i="5"/>
  <c r="AF289" i="5"/>
  <c r="AF273" i="5"/>
  <c r="AF269" i="5"/>
  <c r="AG263" i="5"/>
  <c r="AG259" i="5"/>
  <c r="AG255" i="5"/>
  <c r="AG251" i="5"/>
  <c r="AG247" i="5"/>
  <c r="AG243" i="5"/>
  <c r="AF170" i="5"/>
  <c r="AG155" i="5"/>
  <c r="AG148" i="5"/>
  <c r="AG139" i="5"/>
  <c r="AG132" i="5"/>
  <c r="AG123" i="5"/>
  <c r="AG116" i="5"/>
  <c r="AG107" i="5"/>
  <c r="AG100" i="5"/>
  <c r="AG91" i="5"/>
  <c r="AG79" i="5"/>
  <c r="AG72" i="5"/>
  <c r="AG63" i="5"/>
  <c r="AG56" i="5"/>
  <c r="AG47" i="5"/>
  <c r="AG40" i="5"/>
  <c r="AG31" i="5"/>
  <c r="AG15" i="5"/>
  <c r="AG8" i="5"/>
  <c r="AG342" i="5"/>
  <c r="AF321" i="5"/>
  <c r="AG314" i="5"/>
  <c r="AG310" i="5"/>
  <c r="AF305" i="5"/>
  <c r="AF265" i="5"/>
  <c r="AF261" i="5"/>
  <c r="AF257" i="5"/>
  <c r="AF253" i="5"/>
  <c r="AF249" i="5"/>
  <c r="AF245" i="5"/>
  <c r="AG239" i="5"/>
  <c r="AG235" i="5"/>
  <c r="AG231" i="5"/>
  <c r="AG227" i="5"/>
  <c r="AG223" i="5"/>
  <c r="AG219" i="5"/>
  <c r="AG215" i="5"/>
  <c r="AG211" i="5"/>
  <c r="AG207" i="5"/>
  <c r="AG203" i="5"/>
  <c r="AG199" i="5"/>
  <c r="AG195" i="5"/>
  <c r="AG191" i="5"/>
  <c r="AG187" i="5"/>
  <c r="AG183" i="5"/>
  <c r="AG179" i="5"/>
  <c r="AG152" i="5"/>
  <c r="AG136" i="5"/>
  <c r="AG120" i="5"/>
  <c r="AG104" i="5"/>
  <c r="AG96" i="5"/>
  <c r="AG76" i="5"/>
  <c r="AG60" i="5"/>
  <c r="AG44" i="5"/>
  <c r="AG28" i="5"/>
  <c r="AG12" i="5"/>
  <c r="AF340" i="5"/>
  <c r="AG340" i="5"/>
  <c r="AF296" i="5"/>
  <c r="AG296" i="5"/>
  <c r="AF288" i="5"/>
  <c r="AG288" i="5"/>
  <c r="AF280" i="5"/>
  <c r="AG280" i="5"/>
  <c r="AF268" i="5"/>
  <c r="AG268" i="5"/>
  <c r="AG58" i="5"/>
  <c r="AF58" i="5"/>
  <c r="AG42" i="5"/>
  <c r="AF42" i="5"/>
  <c r="AG26" i="5"/>
  <c r="AF26" i="5"/>
  <c r="AG10" i="5"/>
  <c r="AF10" i="5"/>
  <c r="AF344" i="5"/>
  <c r="AG344" i="5"/>
  <c r="AF320" i="5"/>
  <c r="AG320" i="5"/>
  <c r="AF316" i="5"/>
  <c r="AG316" i="5"/>
  <c r="AF304" i="5"/>
  <c r="AG304" i="5"/>
  <c r="AF264" i="5"/>
  <c r="AG264" i="5"/>
  <c r="AF260" i="5"/>
  <c r="AG260" i="5"/>
  <c r="AF256" i="5"/>
  <c r="AG256" i="5"/>
  <c r="AF252" i="5"/>
  <c r="AG252" i="5"/>
  <c r="AF248" i="5"/>
  <c r="AG248" i="5"/>
  <c r="AF244" i="5"/>
  <c r="AG244" i="5"/>
  <c r="AG154" i="5"/>
  <c r="AF154" i="5"/>
  <c r="AG138" i="5"/>
  <c r="AF138" i="5"/>
  <c r="AG122" i="5"/>
  <c r="AF122" i="5"/>
  <c r="AG106" i="5"/>
  <c r="AF106" i="5"/>
  <c r="AG78" i="5"/>
  <c r="AF78" i="5"/>
  <c r="AG62" i="5"/>
  <c r="AF62" i="5"/>
  <c r="AG46" i="5"/>
  <c r="AF46" i="5"/>
  <c r="AG30" i="5"/>
  <c r="AF30" i="5"/>
  <c r="AG14" i="5"/>
  <c r="AF14" i="5"/>
  <c r="AF328" i="5"/>
  <c r="AG328" i="5"/>
  <c r="AF292" i="5"/>
  <c r="AG292" i="5"/>
  <c r="AF284" i="5"/>
  <c r="AG284" i="5"/>
  <c r="AF272" i="5"/>
  <c r="AG272" i="5"/>
  <c r="AF165" i="5"/>
  <c r="AG165" i="5"/>
  <c r="AG134" i="5"/>
  <c r="AF134" i="5"/>
  <c r="AG102" i="5"/>
  <c r="AF102" i="5"/>
  <c r="AG356" i="5"/>
  <c r="AG352" i="5"/>
  <c r="AF348" i="5"/>
  <c r="AG348" i="5"/>
  <c r="AF332" i="5"/>
  <c r="AG332" i="5"/>
  <c r="AF324" i="5"/>
  <c r="AG324" i="5"/>
  <c r="AF240" i="5"/>
  <c r="AG240" i="5"/>
  <c r="AF236" i="5"/>
  <c r="AG236" i="5"/>
  <c r="AF232" i="5"/>
  <c r="AG232" i="5"/>
  <c r="AF228" i="5"/>
  <c r="AG228" i="5"/>
  <c r="AF224" i="5"/>
  <c r="AG224" i="5"/>
  <c r="AF220" i="5"/>
  <c r="AG220" i="5"/>
  <c r="AF216" i="5"/>
  <c r="AG216" i="5"/>
  <c r="AF212" i="5"/>
  <c r="AG212" i="5"/>
  <c r="AF208" i="5"/>
  <c r="AG208" i="5"/>
  <c r="AF204" i="5"/>
  <c r="AG204" i="5"/>
  <c r="AF200" i="5"/>
  <c r="AG200" i="5"/>
  <c r="AF196" i="5"/>
  <c r="AG196" i="5"/>
  <c r="AF192" i="5"/>
  <c r="AG192" i="5"/>
  <c r="AF188" i="5"/>
  <c r="AG188" i="5"/>
  <c r="AF184" i="5"/>
  <c r="AG184" i="5"/>
  <c r="AF180" i="5"/>
  <c r="AG180" i="5"/>
  <c r="AG158" i="5"/>
  <c r="AF158" i="5"/>
  <c r="AG142" i="5"/>
  <c r="AF142" i="5"/>
  <c r="AG126" i="5"/>
  <c r="AF126" i="5"/>
  <c r="AG110" i="5"/>
  <c r="AF110" i="5"/>
  <c r="AG66" i="5"/>
  <c r="AF66" i="5"/>
  <c r="AG50" i="5"/>
  <c r="AF50" i="5"/>
  <c r="AG34" i="5"/>
  <c r="AF34" i="5"/>
  <c r="AG18" i="5"/>
  <c r="AF18" i="5"/>
  <c r="AF336" i="5"/>
  <c r="AG336" i="5"/>
  <c r="AF300" i="5"/>
  <c r="AG300" i="5"/>
  <c r="AF276" i="5"/>
  <c r="AG276" i="5"/>
  <c r="AG150" i="5"/>
  <c r="AF150" i="5"/>
  <c r="AG118" i="5"/>
  <c r="AF118" i="5"/>
  <c r="AG74" i="5"/>
  <c r="AF74" i="5"/>
  <c r="AF312" i="5"/>
  <c r="AG312" i="5"/>
  <c r="AF308" i="5"/>
  <c r="AG308" i="5"/>
  <c r="AG162" i="5"/>
  <c r="AF162" i="5"/>
  <c r="AG146" i="5"/>
  <c r="AF146" i="5"/>
  <c r="AG130" i="5"/>
  <c r="AF130" i="5"/>
  <c r="AG114" i="5"/>
  <c r="AF114" i="5"/>
  <c r="AF85" i="5"/>
  <c r="AG85" i="5"/>
  <c r="AG70" i="5"/>
  <c r="AF70" i="5"/>
  <c r="AG54" i="5"/>
  <c r="AF54" i="5"/>
  <c r="AG38" i="5"/>
  <c r="AF38" i="5"/>
  <c r="AG22" i="5"/>
  <c r="AF22" i="5"/>
  <c r="AG347" i="5"/>
  <c r="AG343" i="5"/>
  <c r="AG335" i="5"/>
  <c r="AG331" i="5"/>
  <c r="AG327" i="5"/>
  <c r="AG323" i="5"/>
  <c r="AG315" i="5"/>
  <c r="AG307" i="5"/>
  <c r="AG303" i="5"/>
  <c r="AF161" i="5"/>
  <c r="AG161" i="5"/>
  <c r="AF157" i="5"/>
  <c r="AG157" i="5"/>
  <c r="AF153" i="5"/>
  <c r="AG153" i="5"/>
  <c r="AF149" i="5"/>
  <c r="AG149" i="5"/>
  <c r="AF145" i="5"/>
  <c r="AG145" i="5"/>
  <c r="AF141" i="5"/>
  <c r="AG141" i="5"/>
  <c r="AF137" i="5"/>
  <c r="AG137" i="5"/>
  <c r="AF133" i="5"/>
  <c r="AG133" i="5"/>
  <c r="AF129" i="5"/>
  <c r="AG129" i="5"/>
  <c r="AF125" i="5"/>
  <c r="AG125" i="5"/>
  <c r="AF121" i="5"/>
  <c r="AG121" i="5"/>
  <c r="AF117" i="5"/>
  <c r="AG117" i="5"/>
  <c r="AF113" i="5"/>
  <c r="AG113" i="5"/>
  <c r="AF109" i="5"/>
  <c r="AG109" i="5"/>
  <c r="AF105" i="5"/>
  <c r="AG105" i="5"/>
  <c r="AF101" i="5"/>
  <c r="AG101" i="5"/>
  <c r="AF81" i="5"/>
  <c r="AG81" i="5"/>
  <c r="AF77" i="5"/>
  <c r="AG77" i="5"/>
  <c r="AF73" i="5"/>
  <c r="AG73" i="5"/>
  <c r="AF69" i="5"/>
  <c r="AG69" i="5"/>
  <c r="AF65" i="5"/>
  <c r="AG65" i="5"/>
  <c r="AF61" i="5"/>
  <c r="AG61" i="5"/>
  <c r="AF57" i="5"/>
  <c r="AG57" i="5"/>
  <c r="AF53" i="5"/>
  <c r="AG53" i="5"/>
  <c r="AF49" i="5"/>
  <c r="AG49" i="5"/>
  <c r="AF45" i="5"/>
  <c r="AG45" i="5"/>
  <c r="AF41" i="5"/>
  <c r="AG41" i="5"/>
  <c r="AF37" i="5"/>
  <c r="AG37" i="5"/>
  <c r="AF33" i="5"/>
  <c r="AG33" i="5"/>
  <c r="AF29" i="5"/>
  <c r="AG29" i="5"/>
  <c r="AF25" i="5"/>
  <c r="AG25" i="5"/>
  <c r="AF21" i="5"/>
  <c r="AG21" i="5"/>
  <c r="AF17" i="5"/>
  <c r="AG17" i="5"/>
  <c r="AF13" i="5"/>
  <c r="AG13" i="5"/>
  <c r="AF9" i="5"/>
  <c r="AG9" i="5"/>
  <c r="AF166" i="5"/>
  <c r="AF97" i="5"/>
  <c r="AG97" i="5"/>
  <c r="AF93" i="5"/>
  <c r="AG93" i="5"/>
  <c r="AF86" i="5"/>
  <c r="AF177" i="5"/>
  <c r="AG177" i="5"/>
  <c r="AF173" i="5"/>
  <c r="AG173" i="5"/>
  <c r="AF169" i="5"/>
  <c r="AG169" i="5"/>
  <c r="AF89" i="5"/>
  <c r="AG89" i="5"/>
  <c r="AF7" i="5"/>
  <c r="C1009" i="11"/>
  <c r="A1009" i="11"/>
  <c r="C1032" i="11"/>
  <c r="N1031" i="11"/>
  <c r="O1031" i="11" s="1"/>
  <c r="R1031" i="11" s="1"/>
  <c r="N1047" i="11"/>
  <c r="N1016" i="11"/>
  <c r="N1024" i="11"/>
  <c r="N1055" i="11"/>
  <c r="O1055" i="11" s="1"/>
  <c r="N1043" i="11"/>
  <c r="O1043" i="11" s="1"/>
  <c r="R1043" i="11" s="1"/>
  <c r="N1051" i="11"/>
  <c r="O1012" i="11"/>
  <c r="R1012" i="11" s="1"/>
  <c r="O1020" i="11"/>
  <c r="R1020" i="11" s="1"/>
  <c r="O1025" i="11"/>
  <c r="R1025" i="11" s="1"/>
  <c r="O1030" i="11"/>
  <c r="R1030" i="11" s="1"/>
  <c r="O1038" i="11"/>
  <c r="R1038" i="11" s="1"/>
  <c r="O1040" i="11"/>
  <c r="R1040" i="11"/>
  <c r="O1048" i="11"/>
  <c r="R1048" i="11"/>
  <c r="O1051" i="11"/>
  <c r="R1051" i="11" s="1"/>
  <c r="O1010" i="11"/>
  <c r="R1010" i="11" s="1"/>
  <c r="O1013" i="11"/>
  <c r="R1013" i="11" s="1"/>
  <c r="O1016" i="11"/>
  <c r="R1016" i="11" s="1"/>
  <c r="O1021" i="11"/>
  <c r="R1021" i="11" s="1"/>
  <c r="O1024" i="11"/>
  <c r="R1024" i="11" s="1"/>
  <c r="O1029" i="11"/>
  <c r="R1029" i="11" s="1"/>
  <c r="O1034" i="11"/>
  <c r="R1034" i="11" s="1"/>
  <c r="O1044" i="11"/>
  <c r="R1044" i="11"/>
  <c r="O1047" i="11"/>
  <c r="R1047" i="11" s="1"/>
  <c r="O1052" i="11"/>
  <c r="R1052" i="11"/>
  <c r="O1056" i="11"/>
  <c r="R1056" i="11" s="1"/>
  <c r="O1059" i="11"/>
  <c r="R1059" i="11" s="1"/>
  <c r="O1064" i="11"/>
  <c r="R1064" i="11" s="1"/>
  <c r="O1011" i="11"/>
  <c r="R1011" i="11" s="1"/>
  <c r="O1014" i="11"/>
  <c r="R1014" i="11" s="1"/>
  <c r="O1019" i="11"/>
  <c r="R1019" i="11" s="1"/>
  <c r="O1022" i="11"/>
  <c r="R1022" i="11" s="1"/>
  <c r="O1037" i="11"/>
  <c r="R1037" i="11" s="1"/>
  <c r="O1042" i="11"/>
  <c r="R1042" i="11" s="1"/>
  <c r="O1045" i="11"/>
  <c r="R1045" i="11" s="1"/>
  <c r="O1050" i="11"/>
  <c r="R1050" i="11" s="1"/>
  <c r="O1054" i="11"/>
  <c r="R1054" i="11" s="1"/>
  <c r="O1057" i="11"/>
  <c r="R1057" i="11" s="1"/>
  <c r="O1065" i="11"/>
  <c r="R1065" i="11" s="1"/>
  <c r="O1032" i="11"/>
  <c r="R1032" i="11" s="1"/>
  <c r="O1035" i="11"/>
  <c r="R1035" i="11" s="1"/>
  <c r="O1060" i="11"/>
  <c r="R1060" i="11" s="1"/>
  <c r="O1017" i="11"/>
  <c r="R1017" i="11" s="1"/>
  <c r="O1015" i="11"/>
  <c r="R1015" i="11" s="1"/>
  <c r="O1018" i="11"/>
  <c r="R1018" i="11" s="1"/>
  <c r="O1023" i="11"/>
  <c r="R1023" i="11" s="1"/>
  <c r="O1026" i="11"/>
  <c r="R1026" i="11" s="1"/>
  <c r="O1028" i="11"/>
  <c r="R1028" i="11" s="1"/>
  <c r="O1033" i="11"/>
  <c r="R1033" i="11" s="1"/>
  <c r="O1036" i="11"/>
  <c r="R1036" i="11" s="1"/>
  <c r="O1041" i="11"/>
  <c r="R1041" i="11" s="1"/>
  <c r="O1046" i="11"/>
  <c r="R1046" i="11" s="1"/>
  <c r="R1049" i="11"/>
  <c r="O1049" i="11"/>
  <c r="O1058" i="11"/>
  <c r="R1058" i="11" s="1"/>
  <c r="O1062" i="11"/>
  <c r="R1062" i="11" s="1"/>
  <c r="O1066" i="11"/>
  <c r="R1066" i="11" s="1"/>
  <c r="N1009" i="11"/>
  <c r="O1053" i="11"/>
  <c r="R1053" i="11" s="1"/>
  <c r="O1061" i="11"/>
  <c r="R1061" i="11" s="1"/>
  <c r="AG465" i="5" l="1"/>
  <c r="AF465" i="5"/>
  <c r="R1055" i="11"/>
  <c r="O1009" i="11"/>
  <c r="R1009" i="11" l="1"/>
  <c r="A963" i="11" l="1"/>
  <c r="B963" i="11"/>
  <c r="C963" i="11"/>
  <c r="A964" i="11"/>
  <c r="B964" i="11"/>
  <c r="C964" i="11"/>
  <c r="A965" i="11"/>
  <c r="B965" i="11"/>
  <c r="C965" i="11"/>
  <c r="A966" i="11"/>
  <c r="B966" i="11"/>
  <c r="C966" i="11"/>
  <c r="A967" i="11"/>
  <c r="B967" i="11"/>
  <c r="C967" i="11"/>
  <c r="A968" i="11"/>
  <c r="B968" i="11"/>
  <c r="C968" i="11"/>
  <c r="A969" i="11"/>
  <c r="B969" i="11"/>
  <c r="C969" i="11"/>
  <c r="A970" i="11"/>
  <c r="B970" i="11"/>
  <c r="C970" i="11"/>
  <c r="A971" i="11"/>
  <c r="B971" i="11"/>
  <c r="C971" i="11"/>
  <c r="A972" i="11"/>
  <c r="B972" i="11"/>
  <c r="C972" i="11"/>
  <c r="A973" i="11"/>
  <c r="B973" i="11"/>
  <c r="C973" i="11"/>
  <c r="A974" i="11"/>
  <c r="B974" i="11"/>
  <c r="C974" i="11"/>
  <c r="A975" i="11"/>
  <c r="B975" i="11"/>
  <c r="C975" i="11"/>
  <c r="A976" i="11"/>
  <c r="B976" i="11"/>
  <c r="C976" i="11"/>
  <c r="A977" i="11"/>
  <c r="B977" i="11"/>
  <c r="C977" i="11"/>
  <c r="A978" i="11"/>
  <c r="B978" i="11"/>
  <c r="C978" i="11"/>
  <c r="A979" i="11"/>
  <c r="B979" i="11"/>
  <c r="C979" i="11"/>
  <c r="A980" i="11"/>
  <c r="B980" i="11"/>
  <c r="C980" i="11"/>
  <c r="A981" i="11"/>
  <c r="B981" i="11"/>
  <c r="C981" i="11"/>
  <c r="A982" i="11"/>
  <c r="B982" i="11"/>
  <c r="C982" i="11"/>
  <c r="A983" i="11"/>
  <c r="B983" i="11"/>
  <c r="C983" i="11"/>
  <c r="A984" i="11"/>
  <c r="B984" i="11"/>
  <c r="C984" i="11"/>
  <c r="A985" i="11"/>
  <c r="B985" i="11"/>
  <c r="C985" i="11"/>
  <c r="A986" i="11"/>
  <c r="B986" i="11"/>
  <c r="C986" i="11"/>
  <c r="A987" i="11"/>
  <c r="B987" i="11"/>
  <c r="C987" i="11"/>
  <c r="A988" i="11"/>
  <c r="B988" i="11"/>
  <c r="C988" i="11"/>
  <c r="A989" i="11"/>
  <c r="B989" i="11"/>
  <c r="C989" i="11"/>
  <c r="A990" i="11"/>
  <c r="B990" i="11"/>
  <c r="C990" i="11"/>
  <c r="A991" i="11"/>
  <c r="B991" i="11"/>
  <c r="C991" i="11"/>
  <c r="A992" i="11"/>
  <c r="B992" i="11"/>
  <c r="C992" i="11"/>
  <c r="A993" i="11"/>
  <c r="B993" i="11"/>
  <c r="C993" i="11"/>
  <c r="A994" i="11"/>
  <c r="B994" i="11"/>
  <c r="C994" i="11"/>
  <c r="A995" i="11"/>
  <c r="B995" i="11"/>
  <c r="C995" i="11"/>
  <c r="A996" i="11"/>
  <c r="B996" i="11"/>
  <c r="C996" i="11"/>
  <c r="A997" i="11"/>
  <c r="B997" i="11"/>
  <c r="C997" i="11"/>
  <c r="A998" i="11"/>
  <c r="B998" i="11"/>
  <c r="C998" i="11"/>
  <c r="A999" i="11"/>
  <c r="B999" i="11"/>
  <c r="C999" i="11"/>
  <c r="A1000" i="11"/>
  <c r="B1000" i="11"/>
  <c r="C1000" i="11"/>
  <c r="A1001" i="11"/>
  <c r="B1001" i="11"/>
  <c r="C1001" i="11"/>
  <c r="A1002" i="11"/>
  <c r="B1002" i="11"/>
  <c r="C1002" i="11"/>
  <c r="A1003" i="11"/>
  <c r="B1003" i="11"/>
  <c r="C1003" i="11"/>
  <c r="A1004" i="11"/>
  <c r="B1004" i="11"/>
  <c r="C1004" i="11"/>
  <c r="A1005" i="11"/>
  <c r="B1005" i="11"/>
  <c r="C1005" i="11"/>
  <c r="A1006" i="11"/>
  <c r="B1006" i="11"/>
  <c r="C1006" i="11"/>
  <c r="A1007" i="11"/>
  <c r="B1007" i="11"/>
  <c r="C1007" i="11"/>
  <c r="B1008" i="11"/>
  <c r="A962" i="11"/>
  <c r="B962" i="11"/>
  <c r="C962" i="11"/>
  <c r="J962" i="11"/>
  <c r="L962" i="11" s="1"/>
  <c r="N962" i="11" s="1"/>
  <c r="O962" i="11" s="1"/>
  <c r="R962" i="11" l="1"/>
  <c r="AA356" i="5" l="1"/>
  <c r="AM356" i="5" s="1"/>
  <c r="AA355" i="5"/>
  <c r="AM355" i="5" s="1"/>
  <c r="AA354" i="5"/>
  <c r="AM354" i="5" s="1"/>
  <c r="H355" i="5"/>
  <c r="H356" i="5"/>
  <c r="H354" i="5"/>
  <c r="AB355" i="5" l="1"/>
  <c r="AC356" i="5"/>
  <c r="AC354" i="5"/>
  <c r="AB354" i="5"/>
  <c r="AC355" i="5"/>
  <c r="AB356" i="5"/>
  <c r="AA82" i="5" l="1"/>
  <c r="AB82" i="5" l="1"/>
  <c r="AM82" i="5"/>
  <c r="AA335" i="5"/>
  <c r="AM335" i="5" s="1"/>
  <c r="AA336" i="5"/>
  <c r="AM336" i="5" s="1"/>
  <c r="AA337" i="5"/>
  <c r="AM337" i="5" s="1"/>
  <c r="AA340" i="5"/>
  <c r="AM340" i="5" s="1"/>
  <c r="AA341" i="5"/>
  <c r="AM341" i="5" s="1"/>
  <c r="AA342" i="5"/>
  <c r="AM342" i="5" s="1"/>
  <c r="AA343" i="5"/>
  <c r="AM343" i="5" s="1"/>
  <c r="AA344" i="5"/>
  <c r="AM344" i="5" s="1"/>
  <c r="AA345" i="5"/>
  <c r="AM345" i="5" s="1"/>
  <c r="AA346" i="5"/>
  <c r="AM346" i="5" s="1"/>
  <c r="AA347" i="5"/>
  <c r="AM347" i="5" s="1"/>
  <c r="AA348" i="5"/>
  <c r="AM348" i="5" s="1"/>
  <c r="AA349" i="5"/>
  <c r="AM349" i="5" s="1"/>
  <c r="AA350" i="5"/>
  <c r="AM350" i="5" s="1"/>
  <c r="AA351" i="5"/>
  <c r="AM351" i="5" s="1"/>
  <c r="AA352" i="5"/>
  <c r="AM352" i="5" s="1"/>
  <c r="AA353" i="5"/>
  <c r="AM353" i="5" s="1"/>
  <c r="H353" i="5"/>
  <c r="H352" i="5"/>
  <c r="H351" i="5"/>
  <c r="H350" i="5"/>
  <c r="H349" i="5"/>
  <c r="H348" i="5"/>
  <c r="H347" i="5"/>
  <c r="H346" i="5"/>
  <c r="H345" i="5"/>
  <c r="H344" i="5"/>
  <c r="H343" i="5"/>
  <c r="H342" i="5"/>
  <c r="H341" i="5"/>
  <c r="H340" i="5"/>
  <c r="H339" i="5"/>
  <c r="H338" i="5"/>
  <c r="H337" i="5"/>
  <c r="H336" i="5"/>
  <c r="H335" i="5"/>
  <c r="H334" i="5"/>
  <c r="AC342" i="5" l="1"/>
  <c r="AB353" i="5"/>
  <c r="AB349" i="5"/>
  <c r="AB345" i="5"/>
  <c r="AB341" i="5"/>
  <c r="AB337" i="5"/>
  <c r="AC346" i="5"/>
  <c r="AC348" i="5"/>
  <c r="AB340" i="5"/>
  <c r="AB336" i="5"/>
  <c r="AC350" i="5"/>
  <c r="AB351" i="5"/>
  <c r="AB347" i="5"/>
  <c r="AB343" i="5"/>
  <c r="AB339" i="5"/>
  <c r="AB335" i="5"/>
  <c r="AB350" i="5"/>
  <c r="AC345" i="5"/>
  <c r="AC340" i="5"/>
  <c r="AC337" i="5"/>
  <c r="AA334" i="5"/>
  <c r="AM334" i="5" s="1"/>
  <c r="AC352" i="5"/>
  <c r="AB352" i="5"/>
  <c r="AC353" i="5"/>
  <c r="AB346" i="5"/>
  <c r="AC344" i="5"/>
  <c r="AC341" i="5"/>
  <c r="AB348" i="5"/>
  <c r="AC349" i="5"/>
  <c r="AB344" i="5"/>
  <c r="AB342" i="5"/>
  <c r="AC336" i="5"/>
  <c r="AC351" i="5"/>
  <c r="AC347" i="5"/>
  <c r="AC343" i="5"/>
  <c r="AC339" i="5"/>
  <c r="AC335" i="5"/>
  <c r="AC334" i="5" l="1"/>
  <c r="AB334" i="5"/>
  <c r="J1008" i="11"/>
  <c r="L1008" i="11" s="1"/>
  <c r="J1007" i="11"/>
  <c r="L1007" i="11" s="1"/>
  <c r="N1007" i="11" s="1"/>
  <c r="J1006" i="11"/>
  <c r="L1006" i="11" s="1"/>
  <c r="N1006" i="11" s="1"/>
  <c r="O1006" i="11" s="1"/>
  <c r="R1006" i="11" s="1"/>
  <c r="J1005" i="11"/>
  <c r="L1005" i="11" s="1"/>
  <c r="N1005" i="11" s="1"/>
  <c r="J1004" i="11"/>
  <c r="L1004" i="11" s="1"/>
  <c r="N1004" i="11" s="1"/>
  <c r="J1003" i="11"/>
  <c r="L1003" i="11" s="1"/>
  <c r="N1003" i="11" s="1"/>
  <c r="J1002" i="11"/>
  <c r="L1002" i="11" s="1"/>
  <c r="N1002" i="11" s="1"/>
  <c r="O1002" i="11" s="1"/>
  <c r="R1002" i="11" s="1"/>
  <c r="J1001" i="11"/>
  <c r="L1001" i="11" s="1"/>
  <c r="N1001" i="11" s="1"/>
  <c r="J1000" i="11"/>
  <c r="L1000" i="11" s="1"/>
  <c r="J999" i="11"/>
  <c r="L999" i="11" s="1"/>
  <c r="N999" i="11" s="1"/>
  <c r="J998" i="11"/>
  <c r="L998" i="11" s="1"/>
  <c r="N998" i="11" s="1"/>
  <c r="O998" i="11" s="1"/>
  <c r="R998" i="11" s="1"/>
  <c r="J997" i="11"/>
  <c r="L997" i="11" s="1"/>
  <c r="N997" i="11" s="1"/>
  <c r="J996" i="11"/>
  <c r="L996" i="11" s="1"/>
  <c r="N996" i="11" s="1"/>
  <c r="J995" i="11"/>
  <c r="L995" i="11" s="1"/>
  <c r="N995" i="11" s="1"/>
  <c r="J994" i="11"/>
  <c r="L994" i="11" s="1"/>
  <c r="N994" i="11" s="1"/>
  <c r="O994" i="11" s="1"/>
  <c r="R994" i="11" s="1"/>
  <c r="J993" i="11"/>
  <c r="L993" i="11" s="1"/>
  <c r="N993" i="11" s="1"/>
  <c r="J992" i="11"/>
  <c r="L992" i="11" s="1"/>
  <c r="J991" i="11"/>
  <c r="L991" i="11" s="1"/>
  <c r="N991" i="11" s="1"/>
  <c r="O991" i="11" s="1"/>
  <c r="J990" i="11"/>
  <c r="L990" i="11" s="1"/>
  <c r="N990" i="11" s="1"/>
  <c r="O990" i="11" s="1"/>
  <c r="R990" i="11" s="1"/>
  <c r="J989" i="11"/>
  <c r="L989" i="11" s="1"/>
  <c r="N989" i="11" s="1"/>
  <c r="J988" i="11"/>
  <c r="L988" i="11" s="1"/>
  <c r="J987" i="11"/>
  <c r="L987" i="11" s="1"/>
  <c r="N987" i="11" s="1"/>
  <c r="O987" i="11" s="1"/>
  <c r="J986" i="11"/>
  <c r="L986" i="11" s="1"/>
  <c r="N986" i="11" s="1"/>
  <c r="O986" i="11" s="1"/>
  <c r="R986" i="11" s="1"/>
  <c r="J985" i="11"/>
  <c r="L985" i="11" s="1"/>
  <c r="N985" i="11" s="1"/>
  <c r="J984" i="11"/>
  <c r="L984" i="11" s="1"/>
  <c r="J983" i="11"/>
  <c r="L983" i="11" s="1"/>
  <c r="J982" i="11"/>
  <c r="L982" i="11" s="1"/>
  <c r="N982" i="11" s="1"/>
  <c r="O982" i="11" s="1"/>
  <c r="R982" i="11" s="1"/>
  <c r="J981" i="11"/>
  <c r="L981" i="11" s="1"/>
  <c r="N981" i="11" s="1"/>
  <c r="J980" i="11"/>
  <c r="L980" i="11" s="1"/>
  <c r="N979" i="11"/>
  <c r="O979" i="11" s="1"/>
  <c r="J979" i="11"/>
  <c r="L979" i="11" s="1"/>
  <c r="J978" i="11"/>
  <c r="L978" i="11" s="1"/>
  <c r="N978" i="11" s="1"/>
  <c r="O978" i="11" s="1"/>
  <c r="R978" i="11" s="1"/>
  <c r="J977" i="11"/>
  <c r="L977" i="11" s="1"/>
  <c r="N977" i="11" s="1"/>
  <c r="J976" i="11"/>
  <c r="L976" i="11" s="1"/>
  <c r="J975" i="11"/>
  <c r="L975" i="11" s="1"/>
  <c r="J974" i="11"/>
  <c r="L974" i="11" s="1"/>
  <c r="N974" i="11" s="1"/>
  <c r="O974" i="11" s="1"/>
  <c r="R974" i="11" s="1"/>
  <c r="J973" i="11"/>
  <c r="L973" i="11" s="1"/>
  <c r="N973" i="11" s="1"/>
  <c r="L972" i="11"/>
  <c r="N972" i="11" s="1"/>
  <c r="J972" i="11"/>
  <c r="J971" i="11"/>
  <c r="L971" i="11" s="1"/>
  <c r="N971" i="11" s="1"/>
  <c r="O971" i="11" s="1"/>
  <c r="J970" i="11"/>
  <c r="L970" i="11" s="1"/>
  <c r="N970" i="11" s="1"/>
  <c r="O970" i="11" s="1"/>
  <c r="R970" i="11" s="1"/>
  <c r="J969" i="11"/>
  <c r="L969" i="11" s="1"/>
  <c r="J968" i="11"/>
  <c r="L968" i="11" s="1"/>
  <c r="N968" i="11" s="1"/>
  <c r="K967" i="11"/>
  <c r="L967" i="11" s="1"/>
  <c r="J967" i="11"/>
  <c r="J966" i="11"/>
  <c r="L966" i="11" s="1"/>
  <c r="J965" i="11"/>
  <c r="L965" i="11" s="1"/>
  <c r="J964" i="11"/>
  <c r="L964" i="11" s="1"/>
  <c r="L963" i="11"/>
  <c r="N963" i="11" s="1"/>
  <c r="J963" i="11"/>
  <c r="C1008" i="11" l="1"/>
  <c r="A1008" i="11"/>
  <c r="N984" i="11"/>
  <c r="N964" i="11"/>
  <c r="O964" i="11" s="1"/>
  <c r="R964" i="11" s="1"/>
  <c r="N983" i="11"/>
  <c r="O983" i="11" s="1"/>
  <c r="N965" i="11"/>
  <c r="O965" i="11" s="1"/>
  <c r="N976" i="11"/>
  <c r="N992" i="11"/>
  <c r="O992" i="11" s="1"/>
  <c r="R992" i="11" s="1"/>
  <c r="N966" i="11"/>
  <c r="O966" i="11" s="1"/>
  <c r="N969" i="11"/>
  <c r="N980" i="11"/>
  <c r="N1000" i="11"/>
  <c r="N1008" i="11"/>
  <c r="O1008" i="11" s="1"/>
  <c r="R1008" i="11" s="1"/>
  <c r="O963" i="11"/>
  <c r="R963" i="11" s="1"/>
  <c r="N967" i="11"/>
  <c r="N975" i="11"/>
  <c r="O975" i="11" s="1"/>
  <c r="N988" i="11"/>
  <c r="O988" i="11" s="1"/>
  <c r="R988" i="11" s="1"/>
  <c r="O993" i="11"/>
  <c r="R993" i="11" s="1"/>
  <c r="O1001" i="11"/>
  <c r="R1001" i="11" s="1"/>
  <c r="O981" i="11"/>
  <c r="R981" i="11" s="1"/>
  <c r="O1004" i="11"/>
  <c r="R1004" i="11" s="1"/>
  <c r="O1005" i="11"/>
  <c r="R1005" i="11" s="1"/>
  <c r="O968" i="11"/>
  <c r="R968" i="11" s="1"/>
  <c r="O977" i="11"/>
  <c r="R977" i="11" s="1"/>
  <c r="O996" i="11"/>
  <c r="R996" i="11" s="1"/>
  <c r="O999" i="11"/>
  <c r="R999" i="11" s="1"/>
  <c r="O1007" i="11"/>
  <c r="R1007" i="11" s="1"/>
  <c r="O969" i="11"/>
  <c r="R969" i="11" s="1"/>
  <c r="O985" i="11"/>
  <c r="R985" i="11" s="1"/>
  <c r="O997" i="11"/>
  <c r="R997" i="11" s="1"/>
  <c r="O973" i="11"/>
  <c r="R973" i="11" s="1"/>
  <c r="O989" i="11"/>
  <c r="R989" i="11" s="1"/>
  <c r="O995" i="11"/>
  <c r="R995" i="11" s="1"/>
  <c r="O1000" i="11"/>
  <c r="R1000" i="11" s="1"/>
  <c r="O1003" i="11"/>
  <c r="R1003" i="11" s="1"/>
  <c r="O967" i="11"/>
  <c r="R967" i="11" s="1"/>
  <c r="R965" i="11"/>
  <c r="R966" i="11"/>
  <c r="R971" i="11"/>
  <c r="O972" i="11"/>
  <c r="R972" i="11" s="1"/>
  <c r="R975" i="11"/>
  <c r="O976" i="11"/>
  <c r="R976" i="11" s="1"/>
  <c r="R979" i="11"/>
  <c r="O980" i="11"/>
  <c r="R980" i="11" s="1"/>
  <c r="R983" i="11"/>
  <c r="R984" i="11"/>
  <c r="O984" i="11"/>
  <c r="R987" i="11"/>
  <c r="R991" i="11"/>
  <c r="AE7" i="9" l="1"/>
  <c r="AE9" i="9" s="1"/>
  <c r="AA7" i="9"/>
  <c r="W7" i="9"/>
  <c r="AI7" i="9" s="1"/>
  <c r="N7" i="9"/>
  <c r="AC7" i="9" l="1"/>
  <c r="AA9" i="9"/>
  <c r="AG7" i="9"/>
  <c r="AG9" i="9" s="1"/>
  <c r="Y7" i="9"/>
  <c r="X7" i="9"/>
  <c r="AF7" i="9"/>
  <c r="AF9" i="9" s="1"/>
  <c r="AB7" i="9"/>
  <c r="AB9" i="9" l="1"/>
  <c r="AC9" i="9"/>
  <c r="B913" i="11"/>
  <c r="B914" i="11"/>
  <c r="B915" i="11"/>
  <c r="B916" i="11"/>
  <c r="B917" i="11"/>
  <c r="B918" i="11"/>
  <c r="B919" i="11"/>
  <c r="B920" i="11"/>
  <c r="B921" i="11"/>
  <c r="B922" i="11"/>
  <c r="B923" i="11"/>
  <c r="B924" i="11"/>
  <c r="B925" i="11"/>
  <c r="B926" i="11"/>
  <c r="B927" i="11"/>
  <c r="B928" i="11"/>
  <c r="B929" i="11"/>
  <c r="B930" i="11"/>
  <c r="B931" i="11"/>
  <c r="B932" i="11"/>
  <c r="B933" i="11"/>
  <c r="B934" i="11"/>
  <c r="B935" i="11"/>
  <c r="B936" i="11"/>
  <c r="B937" i="11"/>
  <c r="B938" i="11"/>
  <c r="B939" i="11"/>
  <c r="B940" i="11"/>
  <c r="B941" i="11"/>
  <c r="B942" i="11"/>
  <c r="B943" i="11"/>
  <c r="B944" i="11"/>
  <c r="B945" i="11"/>
  <c r="B946" i="11"/>
  <c r="B947" i="11"/>
  <c r="B948" i="11"/>
  <c r="B949" i="11"/>
  <c r="B950" i="11"/>
  <c r="B951" i="11"/>
  <c r="B952" i="11"/>
  <c r="B953" i="11"/>
  <c r="B954" i="11"/>
  <c r="B955" i="11"/>
  <c r="B956" i="11"/>
  <c r="B957" i="11"/>
  <c r="B958" i="11"/>
  <c r="B959" i="11"/>
  <c r="B960" i="11"/>
  <c r="B961" i="11"/>
  <c r="B912" i="11"/>
  <c r="J912" i="11"/>
  <c r="L912" i="11" s="1"/>
  <c r="N912" i="11" s="1"/>
  <c r="AA333" i="5"/>
  <c r="AA332" i="5"/>
  <c r="AA331" i="5"/>
  <c r="AA330" i="5"/>
  <c r="AA329" i="5"/>
  <c r="AA328" i="5"/>
  <c r="AC327" i="5"/>
  <c r="AA326" i="5"/>
  <c r="AA325" i="5"/>
  <c r="AA324" i="5"/>
  <c r="AA323" i="5"/>
  <c r="AA322" i="5"/>
  <c r="AA321" i="5"/>
  <c r="AA320" i="5"/>
  <c r="AA319" i="5"/>
  <c r="AA318" i="5"/>
  <c r="AA317" i="5"/>
  <c r="AA316" i="5"/>
  <c r="AA315" i="5"/>
  <c r="AA314" i="5"/>
  <c r="AA313" i="5"/>
  <c r="AA312" i="5"/>
  <c r="H312" i="5"/>
  <c r="H313" i="5"/>
  <c r="H314" i="5"/>
  <c r="H315" i="5"/>
  <c r="H316" i="5"/>
  <c r="H317" i="5"/>
  <c r="H318" i="5"/>
  <c r="H319" i="5"/>
  <c r="H320" i="5"/>
  <c r="H321" i="5"/>
  <c r="H322" i="5"/>
  <c r="H323" i="5"/>
  <c r="H324" i="5"/>
  <c r="H325" i="5"/>
  <c r="H326" i="5"/>
  <c r="H327" i="5"/>
  <c r="H328" i="5"/>
  <c r="H329" i="5"/>
  <c r="H330" i="5"/>
  <c r="H331" i="5"/>
  <c r="H332" i="5"/>
  <c r="H333" i="5"/>
  <c r="Q241" i="5"/>
  <c r="AC328" i="5" l="1"/>
  <c r="AM328" i="5"/>
  <c r="AC332" i="5"/>
  <c r="AM332" i="5"/>
  <c r="AC322" i="5"/>
  <c r="AM322" i="5"/>
  <c r="AC313" i="5"/>
  <c r="AM313" i="5"/>
  <c r="AC315" i="5"/>
  <c r="AM315" i="5"/>
  <c r="AC317" i="5"/>
  <c r="AM317" i="5"/>
  <c r="AC319" i="5"/>
  <c r="AM319" i="5"/>
  <c r="AC323" i="5"/>
  <c r="AM323" i="5"/>
  <c r="AC333" i="5"/>
  <c r="AM333" i="5"/>
  <c r="AC324" i="5"/>
  <c r="AM324" i="5"/>
  <c r="AC329" i="5"/>
  <c r="AM329" i="5"/>
  <c r="AC330" i="5"/>
  <c r="AM330" i="5"/>
  <c r="AC312" i="5"/>
  <c r="AM312" i="5"/>
  <c r="AC314" i="5"/>
  <c r="AM314" i="5"/>
  <c r="AC316" i="5"/>
  <c r="AM316" i="5"/>
  <c r="AC318" i="5"/>
  <c r="AM318" i="5"/>
  <c r="AC320" i="5"/>
  <c r="AM320" i="5"/>
  <c r="AB321" i="5"/>
  <c r="AM321" i="5"/>
  <c r="AC325" i="5"/>
  <c r="AM325" i="5"/>
  <c r="AC331" i="5"/>
  <c r="AM331" i="5"/>
  <c r="AC326" i="5"/>
  <c r="AM326" i="5"/>
  <c r="A912" i="11"/>
  <c r="O912" i="11"/>
  <c r="R912" i="11" s="1"/>
  <c r="AB313" i="5"/>
  <c r="AB317" i="5"/>
  <c r="AB331" i="5"/>
  <c r="AC321" i="5"/>
  <c r="AB315" i="5"/>
  <c r="AB323" i="5"/>
  <c r="AB329" i="5"/>
  <c r="AB333" i="5"/>
  <c r="AB319" i="5"/>
  <c r="AB325" i="5"/>
  <c r="AB312" i="5"/>
  <c r="AB314" i="5"/>
  <c r="AB316" i="5"/>
  <c r="AB318" i="5"/>
  <c r="AB320" i="5"/>
  <c r="AB322" i="5"/>
  <c r="AB324" i="5"/>
  <c r="AB326" i="5"/>
  <c r="AB328" i="5"/>
  <c r="AB330" i="5"/>
  <c r="AB332" i="5"/>
  <c r="T313" i="5" l="1"/>
  <c r="T314" i="5"/>
  <c r="T315" i="5"/>
  <c r="T316" i="5"/>
  <c r="T318" i="5"/>
  <c r="T319" i="5"/>
  <c r="T320" i="5"/>
  <c r="T321" i="5"/>
  <c r="T322" i="5"/>
  <c r="T323" i="5"/>
  <c r="T324" i="5"/>
  <c r="T325" i="5"/>
  <c r="T326" i="5"/>
  <c r="T312" i="5"/>
  <c r="R276" i="5"/>
  <c r="AI66" i="5" l="1"/>
  <c r="AJ66" i="5" s="1"/>
  <c r="AI63" i="5"/>
  <c r="AK63" i="5" s="1"/>
  <c r="AI46" i="5"/>
  <c r="AK46" i="5" s="1"/>
  <c r="AA311" i="5"/>
  <c r="AA310" i="5"/>
  <c r="AM310" i="5" s="1"/>
  <c r="AA309" i="5"/>
  <c r="AA308" i="5"/>
  <c r="AM308" i="5" s="1"/>
  <c r="AA307" i="5"/>
  <c r="AA306" i="5"/>
  <c r="AM306" i="5" s="1"/>
  <c r="AA305" i="5"/>
  <c r="AA304" i="5"/>
  <c r="AM304" i="5" s="1"/>
  <c r="AA303" i="5"/>
  <c r="AA302" i="5"/>
  <c r="AM302" i="5" s="1"/>
  <c r="AA301" i="5"/>
  <c r="AM301" i="5" s="1"/>
  <c r="AA300" i="5"/>
  <c r="AM300" i="5" s="1"/>
  <c r="AA299" i="5"/>
  <c r="AA298" i="5"/>
  <c r="AM298" i="5" s="1"/>
  <c r="AA297" i="5"/>
  <c r="AM297" i="5" s="1"/>
  <c r="AA296" i="5"/>
  <c r="AM296" i="5" s="1"/>
  <c r="AA295" i="5"/>
  <c r="AA294" i="5"/>
  <c r="AM294" i="5" s="1"/>
  <c r="AA293" i="5"/>
  <c r="AA292" i="5"/>
  <c r="AM292" i="5" s="1"/>
  <c r="AA291" i="5"/>
  <c r="AA290" i="5"/>
  <c r="AM290" i="5" s="1"/>
  <c r="AA289" i="5"/>
  <c r="AA288" i="5"/>
  <c r="AM288" i="5" s="1"/>
  <c r="AA287" i="5"/>
  <c r="AA286" i="5"/>
  <c r="AA285" i="5"/>
  <c r="AA284" i="5"/>
  <c r="AM284" i="5" s="1"/>
  <c r="AA283" i="5"/>
  <c r="AM283" i="5" s="1"/>
  <c r="AA282" i="5"/>
  <c r="AA281" i="5"/>
  <c r="AM281" i="5" s="1"/>
  <c r="AA280" i="5"/>
  <c r="AM280" i="5" s="1"/>
  <c r="AA279" i="5"/>
  <c r="AA278" i="5"/>
  <c r="AM278" i="5" s="1"/>
  <c r="AA277" i="5"/>
  <c r="AM277" i="5" s="1"/>
  <c r="AA276" i="5"/>
  <c r="AM276" i="5" s="1"/>
  <c r="AA275" i="5"/>
  <c r="AM275" i="5" s="1"/>
  <c r="AA274" i="5"/>
  <c r="AA273" i="5"/>
  <c r="AA272" i="5"/>
  <c r="AM272" i="5" s="1"/>
  <c r="AA271" i="5"/>
  <c r="AA270" i="5"/>
  <c r="AM270" i="5" s="1"/>
  <c r="AA269" i="5"/>
  <c r="AA268" i="5"/>
  <c r="AM268" i="5" s="1"/>
  <c r="AA267" i="5"/>
  <c r="AA266" i="5"/>
  <c r="AA265" i="5"/>
  <c r="AA264" i="5"/>
  <c r="AM264" i="5" s="1"/>
  <c r="AA263" i="5"/>
  <c r="AM263" i="5" s="1"/>
  <c r="AA262" i="5"/>
  <c r="AA261" i="5"/>
  <c r="AM261" i="5" s="1"/>
  <c r="AA260" i="5"/>
  <c r="AM260" i="5" s="1"/>
  <c r="AA259" i="5"/>
  <c r="AA258" i="5"/>
  <c r="AA257" i="5"/>
  <c r="AA256" i="5"/>
  <c r="AM256" i="5" s="1"/>
  <c r="AA255" i="5"/>
  <c r="AA254" i="5"/>
  <c r="AM254" i="5" s="1"/>
  <c r="AA253" i="5"/>
  <c r="AA252" i="5"/>
  <c r="AM252" i="5" s="1"/>
  <c r="AA251" i="5"/>
  <c r="AA250" i="5"/>
  <c r="AA249" i="5"/>
  <c r="AA248" i="5"/>
  <c r="AM248" i="5" s="1"/>
  <c r="AA247" i="5"/>
  <c r="AM247" i="5" s="1"/>
  <c r="AA246" i="5"/>
  <c r="AA245" i="5"/>
  <c r="AM245" i="5" s="1"/>
  <c r="AA244" i="5"/>
  <c r="AM244" i="5" s="1"/>
  <c r="AA243" i="5"/>
  <c r="AA242" i="5"/>
  <c r="AM242" i="5" s="1"/>
  <c r="AA241" i="5"/>
  <c r="AM241" i="5" s="1"/>
  <c r="AA240" i="5"/>
  <c r="AM240" i="5" s="1"/>
  <c r="AA239" i="5"/>
  <c r="AA238" i="5"/>
  <c r="AA237" i="5"/>
  <c r="AM237" i="5" s="1"/>
  <c r="AA236" i="5"/>
  <c r="AM236" i="5" s="1"/>
  <c r="AA235" i="5"/>
  <c r="AA234" i="5"/>
  <c r="AM234" i="5" s="1"/>
  <c r="AA233" i="5"/>
  <c r="AA232" i="5"/>
  <c r="AM232" i="5" s="1"/>
  <c r="AA231" i="5"/>
  <c r="AA230" i="5"/>
  <c r="AA229" i="5"/>
  <c r="AM229" i="5" s="1"/>
  <c r="AA228" i="5"/>
  <c r="AM228" i="5" s="1"/>
  <c r="AA227" i="5"/>
  <c r="AA226" i="5"/>
  <c r="AM226" i="5" s="1"/>
  <c r="AA225" i="5"/>
  <c r="AA224" i="5"/>
  <c r="AM224" i="5" s="1"/>
  <c r="AA223" i="5"/>
  <c r="AA222" i="5"/>
  <c r="AA221" i="5"/>
  <c r="AM221" i="5" s="1"/>
  <c r="AA220" i="5"/>
  <c r="AM220" i="5" s="1"/>
  <c r="AA219" i="5"/>
  <c r="AA218" i="5"/>
  <c r="AM218" i="5" s="1"/>
  <c r="AA217" i="5"/>
  <c r="AA216" i="5"/>
  <c r="AM216" i="5" s="1"/>
  <c r="AA215" i="5"/>
  <c r="AA214" i="5"/>
  <c r="AA213" i="5"/>
  <c r="AM213" i="5" s="1"/>
  <c r="AA212" i="5"/>
  <c r="AM212" i="5" s="1"/>
  <c r="AA211" i="5"/>
  <c r="AA210" i="5"/>
  <c r="AM210" i="5" s="1"/>
  <c r="AA209" i="5"/>
  <c r="AA208" i="5"/>
  <c r="AM208" i="5" s="1"/>
  <c r="AA207" i="5"/>
  <c r="AA206" i="5"/>
  <c r="AA205" i="5"/>
  <c r="AM205" i="5" s="1"/>
  <c r="AA204" i="5"/>
  <c r="AM204" i="5" s="1"/>
  <c r="AA203" i="5"/>
  <c r="AA202" i="5"/>
  <c r="AM202" i="5" s="1"/>
  <c r="AA201" i="5"/>
  <c r="AA200" i="5"/>
  <c r="AM200" i="5" s="1"/>
  <c r="AA199" i="5"/>
  <c r="AA198" i="5"/>
  <c r="AA197" i="5"/>
  <c r="AM197" i="5" s="1"/>
  <c r="AA196" i="5"/>
  <c r="AM196" i="5" s="1"/>
  <c r="AA195" i="5"/>
  <c r="AA194" i="5"/>
  <c r="AM194" i="5" s="1"/>
  <c r="AA193" i="5"/>
  <c r="AA192" i="5"/>
  <c r="AM192" i="5" s="1"/>
  <c r="AA191" i="5"/>
  <c r="AA190" i="5"/>
  <c r="AA189" i="5"/>
  <c r="AM189" i="5" s="1"/>
  <c r="AA188" i="5"/>
  <c r="AM188" i="5" s="1"/>
  <c r="AA187" i="5"/>
  <c r="AA186" i="5"/>
  <c r="AM186" i="5" s="1"/>
  <c r="AA185" i="5"/>
  <c r="AA184" i="5"/>
  <c r="AM184" i="5" s="1"/>
  <c r="AA183" i="5"/>
  <c r="AA182" i="5"/>
  <c r="AM182" i="5" s="1"/>
  <c r="AA181" i="5"/>
  <c r="AM181" i="5" s="1"/>
  <c r="AA180" i="5"/>
  <c r="AM180" i="5" s="1"/>
  <c r="AA179" i="5"/>
  <c r="AA178" i="5"/>
  <c r="AM178" i="5" s="1"/>
  <c r="AA177" i="5"/>
  <c r="AA176" i="5"/>
  <c r="AM176" i="5" s="1"/>
  <c r="AA175" i="5"/>
  <c r="AM175" i="5" s="1"/>
  <c r="AA174" i="5"/>
  <c r="AA173" i="5"/>
  <c r="AM173" i="5" s="1"/>
  <c r="AA172" i="5"/>
  <c r="AM172" i="5" s="1"/>
  <c r="AA171" i="5"/>
  <c r="AA170" i="5"/>
  <c r="AM170" i="5" s="1"/>
  <c r="AA169" i="5"/>
  <c r="AA168" i="5"/>
  <c r="AM168" i="5" s="1"/>
  <c r="AA167" i="5"/>
  <c r="AA166" i="5"/>
  <c r="AA165" i="5"/>
  <c r="AM165" i="5" s="1"/>
  <c r="AA164" i="5"/>
  <c r="AM164" i="5" s="1"/>
  <c r="AA163" i="5"/>
  <c r="AM163" i="5" s="1"/>
  <c r="AA162" i="5"/>
  <c r="AM162" i="5" s="1"/>
  <c r="AA161" i="5"/>
  <c r="AA160" i="5"/>
  <c r="AM160" i="5" s="1"/>
  <c r="AA159" i="5"/>
  <c r="AA158" i="5"/>
  <c r="AA157" i="5"/>
  <c r="AM157" i="5" s="1"/>
  <c r="AA156" i="5"/>
  <c r="AM156" i="5" s="1"/>
  <c r="AA155" i="5"/>
  <c r="AA154" i="5"/>
  <c r="AM154" i="5" s="1"/>
  <c r="AA153" i="5"/>
  <c r="AA152" i="5"/>
  <c r="AM152" i="5" s="1"/>
  <c r="AA151" i="5"/>
  <c r="AA150" i="5"/>
  <c r="AA149" i="5"/>
  <c r="AM149" i="5" s="1"/>
  <c r="AA148" i="5"/>
  <c r="AM148" i="5" s="1"/>
  <c r="AA147" i="5"/>
  <c r="AA146" i="5"/>
  <c r="AM146" i="5" s="1"/>
  <c r="AA145" i="5"/>
  <c r="AA144" i="5"/>
  <c r="AM144" i="5" s="1"/>
  <c r="AA143" i="5"/>
  <c r="AA142" i="5"/>
  <c r="AA141" i="5"/>
  <c r="AA140" i="5"/>
  <c r="AA139" i="5"/>
  <c r="AA138" i="5"/>
  <c r="AA137" i="5"/>
  <c r="AA136" i="5"/>
  <c r="AA135" i="5"/>
  <c r="AA134" i="5"/>
  <c r="AA133" i="5"/>
  <c r="AA132" i="5"/>
  <c r="AA131" i="5"/>
  <c r="AA130" i="5"/>
  <c r="AA129" i="5"/>
  <c r="AA128" i="5"/>
  <c r="AA127" i="5"/>
  <c r="AA126" i="5"/>
  <c r="AA125" i="5"/>
  <c r="AA124" i="5"/>
  <c r="AA123" i="5"/>
  <c r="AA122" i="5"/>
  <c r="AA121" i="5"/>
  <c r="AA120" i="5"/>
  <c r="AA119" i="5"/>
  <c r="AA118" i="5"/>
  <c r="AA117" i="5"/>
  <c r="AA116" i="5"/>
  <c r="AA115" i="5"/>
  <c r="AA114" i="5"/>
  <c r="AA113" i="5"/>
  <c r="AA112" i="5"/>
  <c r="AA111" i="5"/>
  <c r="AA110" i="5"/>
  <c r="AA109" i="5"/>
  <c r="AA108" i="5"/>
  <c r="AA107" i="5"/>
  <c r="AA106" i="5"/>
  <c r="AA105" i="5"/>
  <c r="AA104" i="5"/>
  <c r="AA103" i="5"/>
  <c r="AA102" i="5"/>
  <c r="AA101" i="5"/>
  <c r="AA100" i="5"/>
  <c r="AA99" i="5"/>
  <c r="AA98" i="5"/>
  <c r="AA97" i="5"/>
  <c r="AA96" i="5"/>
  <c r="AA95" i="5"/>
  <c r="AA94" i="5"/>
  <c r="AA93" i="5"/>
  <c r="AA92" i="5"/>
  <c r="AA91" i="5"/>
  <c r="AA90" i="5"/>
  <c r="AA89" i="5"/>
  <c r="AA88" i="5"/>
  <c r="AA87" i="5"/>
  <c r="AA86" i="5"/>
  <c r="AA85" i="5"/>
  <c r="AA84" i="5"/>
  <c r="AA83" i="5"/>
  <c r="AA81" i="5"/>
  <c r="AA80" i="5"/>
  <c r="AA79" i="5"/>
  <c r="AA78" i="5"/>
  <c r="AA77" i="5"/>
  <c r="AA76" i="5"/>
  <c r="AA75" i="5"/>
  <c r="AA74" i="5"/>
  <c r="AA73" i="5"/>
  <c r="AA72" i="5"/>
  <c r="AA71" i="5"/>
  <c r="AA70" i="5"/>
  <c r="AA69" i="5"/>
  <c r="AA68" i="5"/>
  <c r="AA67" i="5"/>
  <c r="AA66" i="5"/>
  <c r="AA65" i="5"/>
  <c r="AA64" i="5"/>
  <c r="AA63" i="5"/>
  <c r="AA62" i="5"/>
  <c r="AA61" i="5"/>
  <c r="AA60" i="5"/>
  <c r="AA59" i="5"/>
  <c r="AA58" i="5"/>
  <c r="AA57" i="5"/>
  <c r="AA56" i="5"/>
  <c r="AA55" i="5"/>
  <c r="AA54" i="5"/>
  <c r="AA53" i="5"/>
  <c r="AA51" i="5"/>
  <c r="AA50" i="5"/>
  <c r="AA49" i="5"/>
  <c r="AA48" i="5"/>
  <c r="AA47" i="5"/>
  <c r="AA46" i="5"/>
  <c r="AA45" i="5"/>
  <c r="AA44" i="5"/>
  <c r="AA43" i="5"/>
  <c r="AA42" i="5"/>
  <c r="AA41" i="5"/>
  <c r="AA40" i="5"/>
  <c r="AA39" i="5"/>
  <c r="AA38" i="5"/>
  <c r="AA37" i="5"/>
  <c r="AA36" i="5"/>
  <c r="AA35" i="5"/>
  <c r="AA34" i="5"/>
  <c r="AA33" i="5"/>
  <c r="AA32" i="5"/>
  <c r="AA31" i="5"/>
  <c r="AA30" i="5"/>
  <c r="AA29" i="5"/>
  <c r="AA28" i="5"/>
  <c r="AA27" i="5"/>
  <c r="AA26" i="5"/>
  <c r="AA25" i="5"/>
  <c r="AA24" i="5"/>
  <c r="AA23" i="5"/>
  <c r="AA22" i="5"/>
  <c r="AA21" i="5"/>
  <c r="AA20" i="5"/>
  <c r="AA19" i="5"/>
  <c r="AA18" i="5"/>
  <c r="AA17" i="5"/>
  <c r="AA16" i="5"/>
  <c r="AA15" i="5"/>
  <c r="AA14" i="5"/>
  <c r="AA13" i="5"/>
  <c r="AA12" i="5"/>
  <c r="AA11" i="5"/>
  <c r="AA10" i="5"/>
  <c r="AA9" i="5"/>
  <c r="AA8" i="5"/>
  <c r="J961" i="11"/>
  <c r="L961" i="11" s="1"/>
  <c r="J960" i="11"/>
  <c r="L960" i="11" s="1"/>
  <c r="J959" i="11"/>
  <c r="L959" i="11" s="1"/>
  <c r="J958" i="11"/>
  <c r="L958" i="11" s="1"/>
  <c r="O957" i="11"/>
  <c r="R957" i="11" s="1"/>
  <c r="J957" i="11"/>
  <c r="L957" i="11" s="1"/>
  <c r="A957" i="11" s="1"/>
  <c r="J956" i="11"/>
  <c r="L956" i="11" s="1"/>
  <c r="J955" i="11"/>
  <c r="L955" i="11" s="1"/>
  <c r="J954" i="11"/>
  <c r="L954" i="11" s="1"/>
  <c r="J953" i="11"/>
  <c r="L953" i="11" s="1"/>
  <c r="J952" i="11"/>
  <c r="L952" i="11" s="1"/>
  <c r="J951" i="11"/>
  <c r="L951" i="11" s="1"/>
  <c r="J950" i="11"/>
  <c r="L950" i="11" s="1"/>
  <c r="J949" i="11"/>
  <c r="L949" i="11" s="1"/>
  <c r="J948" i="11"/>
  <c r="L948" i="11" s="1"/>
  <c r="O947" i="11"/>
  <c r="R947" i="11" s="1"/>
  <c r="J947" i="11"/>
  <c r="L947" i="11" s="1"/>
  <c r="J946" i="11"/>
  <c r="L946" i="11" s="1"/>
  <c r="J945" i="11"/>
  <c r="L945" i="11" s="1"/>
  <c r="J944" i="11"/>
  <c r="L944" i="11" s="1"/>
  <c r="J943" i="11"/>
  <c r="L943" i="11" s="1"/>
  <c r="J942" i="11"/>
  <c r="L942" i="11" s="1"/>
  <c r="J941" i="11"/>
  <c r="L941" i="11" s="1"/>
  <c r="J940" i="11"/>
  <c r="L940" i="11" s="1"/>
  <c r="K939" i="11"/>
  <c r="J939" i="11"/>
  <c r="J938" i="11"/>
  <c r="L938" i="11" s="1"/>
  <c r="J937" i="11"/>
  <c r="L937" i="11" s="1"/>
  <c r="J936" i="11"/>
  <c r="L936" i="11" s="1"/>
  <c r="J935" i="11"/>
  <c r="L935" i="11" s="1"/>
  <c r="J934" i="11"/>
  <c r="L934" i="11" s="1"/>
  <c r="J933" i="11"/>
  <c r="L933" i="11" s="1"/>
  <c r="J932" i="11"/>
  <c r="L932" i="11" s="1"/>
  <c r="J931" i="11"/>
  <c r="L931" i="11" s="1"/>
  <c r="J930" i="11"/>
  <c r="L930" i="11" s="1"/>
  <c r="J929" i="11"/>
  <c r="L929" i="11" s="1"/>
  <c r="J928" i="11"/>
  <c r="L928" i="11" s="1"/>
  <c r="J927" i="11"/>
  <c r="L927" i="11" s="1"/>
  <c r="J926" i="11"/>
  <c r="L926" i="11" s="1"/>
  <c r="J925" i="11"/>
  <c r="L925" i="11" s="1"/>
  <c r="R924" i="11"/>
  <c r="O924" i="11"/>
  <c r="J924" i="11"/>
  <c r="L924" i="11" s="1"/>
  <c r="A924" i="11" s="1"/>
  <c r="J923" i="11"/>
  <c r="L923" i="11" s="1"/>
  <c r="J922" i="11"/>
  <c r="L922" i="11" s="1"/>
  <c r="J921" i="11"/>
  <c r="L921" i="11" s="1"/>
  <c r="J920" i="11"/>
  <c r="L920" i="11" s="1"/>
  <c r="J919" i="11"/>
  <c r="L919" i="11" s="1"/>
  <c r="J918" i="11"/>
  <c r="L918" i="11" s="1"/>
  <c r="J917" i="11"/>
  <c r="L917" i="11" s="1"/>
  <c r="J916" i="11"/>
  <c r="L916" i="11" s="1"/>
  <c r="J915" i="11"/>
  <c r="L915" i="11" s="1"/>
  <c r="L914" i="11"/>
  <c r="J914" i="11"/>
  <c r="K913" i="11"/>
  <c r="J913" i="11"/>
  <c r="AC14" i="5" l="1"/>
  <c r="AC56" i="5"/>
  <c r="AC116" i="5"/>
  <c r="AM116" i="5"/>
  <c r="AC15" i="5"/>
  <c r="AB158" i="5"/>
  <c r="AM158" i="5"/>
  <c r="AB238" i="5"/>
  <c r="AM238" i="5"/>
  <c r="AB258" i="5"/>
  <c r="AM258" i="5"/>
  <c r="AB33" i="5"/>
  <c r="AC159" i="5"/>
  <c r="AM159" i="5"/>
  <c r="AC179" i="5"/>
  <c r="AM179" i="5"/>
  <c r="AC199" i="5"/>
  <c r="AM199" i="5"/>
  <c r="AC219" i="5"/>
  <c r="AM219" i="5"/>
  <c r="AC239" i="5"/>
  <c r="AM239" i="5"/>
  <c r="AC259" i="5"/>
  <c r="AM259" i="5"/>
  <c r="AC279" i="5"/>
  <c r="AM279" i="5"/>
  <c r="AC299" i="5"/>
  <c r="AM299" i="5"/>
  <c r="AB13" i="5"/>
  <c r="AC195" i="5"/>
  <c r="AM195" i="5"/>
  <c r="AC257" i="5"/>
  <c r="AM257" i="5"/>
  <c r="AC155" i="5"/>
  <c r="AM155" i="5"/>
  <c r="AC217" i="5"/>
  <c r="AM217" i="5"/>
  <c r="AB77" i="5"/>
  <c r="AM77" i="5"/>
  <c r="AC99" i="5"/>
  <c r="AM99" i="5"/>
  <c r="AC18" i="5"/>
  <c r="AB121" i="5"/>
  <c r="AM121" i="5"/>
  <c r="AB141" i="5"/>
  <c r="AM141" i="5"/>
  <c r="AC161" i="5"/>
  <c r="AM161" i="5"/>
  <c r="AC201" i="5"/>
  <c r="AM201" i="5"/>
  <c r="AB74" i="5"/>
  <c r="AM74" i="5"/>
  <c r="AC140" i="5"/>
  <c r="AM140" i="5"/>
  <c r="AC40" i="5"/>
  <c r="AB81" i="5"/>
  <c r="AM81" i="5"/>
  <c r="AC102" i="5"/>
  <c r="AM102" i="5"/>
  <c r="AC122" i="5"/>
  <c r="AM122" i="5"/>
  <c r="AC142" i="5"/>
  <c r="AM142" i="5"/>
  <c r="AB222" i="5"/>
  <c r="AM222" i="5"/>
  <c r="AB262" i="5"/>
  <c r="AM262" i="5"/>
  <c r="AB282" i="5"/>
  <c r="AM282" i="5"/>
  <c r="AC295" i="5"/>
  <c r="AM295" i="5"/>
  <c r="AC177" i="5"/>
  <c r="AM177" i="5"/>
  <c r="AB57" i="5"/>
  <c r="AC58" i="5"/>
  <c r="AC183" i="5"/>
  <c r="AM183" i="5"/>
  <c r="AC223" i="5"/>
  <c r="AM223" i="5"/>
  <c r="AC243" i="5"/>
  <c r="AM243" i="5"/>
  <c r="AC303" i="5"/>
  <c r="AM303" i="5"/>
  <c r="AC54" i="5"/>
  <c r="AC139" i="5"/>
  <c r="AM139" i="5"/>
  <c r="AC60" i="5"/>
  <c r="AC124" i="5"/>
  <c r="AM124" i="5"/>
  <c r="AC135" i="5"/>
  <c r="AM135" i="5"/>
  <c r="AC36" i="5"/>
  <c r="AC119" i="5"/>
  <c r="AM119" i="5"/>
  <c r="AB101" i="5"/>
  <c r="AM101" i="5"/>
  <c r="AC83" i="5"/>
  <c r="AM83" i="5"/>
  <c r="AC64" i="5"/>
  <c r="AB166" i="5"/>
  <c r="AM166" i="5"/>
  <c r="AB246" i="5"/>
  <c r="AM246" i="5"/>
  <c r="AB266" i="5"/>
  <c r="AM266" i="5"/>
  <c r="AB286" i="5"/>
  <c r="AM286" i="5"/>
  <c r="AC235" i="5"/>
  <c r="AM235" i="5"/>
  <c r="AC16" i="5"/>
  <c r="AC20" i="5"/>
  <c r="AC103" i="5"/>
  <c r="AM103" i="5"/>
  <c r="AC84" i="5"/>
  <c r="AM84" i="5"/>
  <c r="AC23" i="5"/>
  <c r="AB65" i="5"/>
  <c r="AC267" i="5"/>
  <c r="AM267" i="5"/>
  <c r="AC209" i="5"/>
  <c r="AM209" i="5"/>
  <c r="AC289" i="5"/>
  <c r="AM289" i="5"/>
  <c r="AC309" i="5"/>
  <c r="AM309" i="5"/>
  <c r="AC255" i="5"/>
  <c r="AM255" i="5"/>
  <c r="AC55" i="5"/>
  <c r="AB137" i="5"/>
  <c r="AM137" i="5"/>
  <c r="AC118" i="5"/>
  <c r="AM118" i="5"/>
  <c r="AB17" i="5"/>
  <c r="AC59" i="5"/>
  <c r="AC39" i="5"/>
  <c r="AB41" i="5"/>
  <c r="AC143" i="5"/>
  <c r="AM143" i="5"/>
  <c r="AB105" i="5"/>
  <c r="AM105" i="5"/>
  <c r="AC24" i="5"/>
  <c r="AB25" i="5"/>
  <c r="AC107" i="5"/>
  <c r="AM107" i="5"/>
  <c r="AC207" i="5"/>
  <c r="AM207" i="5"/>
  <c r="AC128" i="5"/>
  <c r="AM128" i="5"/>
  <c r="AC47" i="5"/>
  <c r="AC169" i="5"/>
  <c r="AM169" i="5"/>
  <c r="AB90" i="5"/>
  <c r="AM90" i="5"/>
  <c r="AB190" i="5"/>
  <c r="AM190" i="5"/>
  <c r="AB230" i="5"/>
  <c r="AM230" i="5"/>
  <c r="AB250" i="5"/>
  <c r="AM250" i="5"/>
  <c r="AC215" i="5"/>
  <c r="AM215" i="5"/>
  <c r="AC96" i="5"/>
  <c r="AM96" i="5"/>
  <c r="AB97" i="5"/>
  <c r="AM97" i="5"/>
  <c r="AC120" i="5"/>
  <c r="AM120" i="5"/>
  <c r="AC43" i="5"/>
  <c r="AC225" i="5"/>
  <c r="AM225" i="5"/>
  <c r="AC147" i="5"/>
  <c r="AM147" i="5"/>
  <c r="AC307" i="5"/>
  <c r="AM307" i="5"/>
  <c r="AC46" i="5"/>
  <c r="AM46" i="5"/>
  <c r="AC108" i="5"/>
  <c r="AM108" i="5"/>
  <c r="AB109" i="5"/>
  <c r="AM109" i="5"/>
  <c r="AC269" i="5"/>
  <c r="AM269" i="5"/>
  <c r="AC28" i="5"/>
  <c r="AB9" i="5"/>
  <c r="AC70" i="5"/>
  <c r="AM70" i="5"/>
  <c r="AC91" i="5"/>
  <c r="AM91" i="5"/>
  <c r="AC111" i="5"/>
  <c r="AM111" i="5"/>
  <c r="AC131" i="5"/>
  <c r="AM131" i="5"/>
  <c r="AC151" i="5"/>
  <c r="AM151" i="5"/>
  <c r="AC171" i="5"/>
  <c r="AM171" i="5"/>
  <c r="AC191" i="5"/>
  <c r="AM191" i="5"/>
  <c r="AC211" i="5"/>
  <c r="AM211" i="5"/>
  <c r="AC231" i="5"/>
  <c r="AM231" i="5"/>
  <c r="AC251" i="5"/>
  <c r="AM251" i="5"/>
  <c r="AC271" i="5"/>
  <c r="AM271" i="5"/>
  <c r="AC291" i="5"/>
  <c r="AM291" i="5"/>
  <c r="AC311" i="5"/>
  <c r="AM311" i="5"/>
  <c r="AC115" i="5"/>
  <c r="AM115" i="5"/>
  <c r="AC75" i="5"/>
  <c r="AM75" i="5"/>
  <c r="AC76" i="5"/>
  <c r="AM76" i="5"/>
  <c r="AC138" i="5"/>
  <c r="AM138" i="5"/>
  <c r="AB37" i="5"/>
  <c r="AC79" i="5"/>
  <c r="AM79" i="5"/>
  <c r="AC19" i="5"/>
  <c r="AB61" i="5"/>
  <c r="AB85" i="5"/>
  <c r="AM85" i="5"/>
  <c r="AC185" i="5"/>
  <c r="AM185" i="5"/>
  <c r="AC285" i="5"/>
  <c r="AM285" i="5"/>
  <c r="AB86" i="5"/>
  <c r="AM86" i="5"/>
  <c r="AB206" i="5"/>
  <c r="AM206" i="5"/>
  <c r="AC127" i="5"/>
  <c r="AM127" i="5"/>
  <c r="AC67" i="5"/>
  <c r="AM67" i="5"/>
  <c r="AC68" i="5"/>
  <c r="AM68" i="5"/>
  <c r="AC48" i="5"/>
  <c r="AC110" i="5"/>
  <c r="AM110" i="5"/>
  <c r="AC30" i="5"/>
  <c r="AC71" i="5"/>
  <c r="AM71" i="5"/>
  <c r="AC112" i="5"/>
  <c r="AM112" i="5"/>
  <c r="AC132" i="5"/>
  <c r="AM132" i="5"/>
  <c r="AC95" i="5"/>
  <c r="AM95" i="5"/>
  <c r="AC136" i="5"/>
  <c r="AM136" i="5"/>
  <c r="AC35" i="5"/>
  <c r="AB198" i="5"/>
  <c r="AM198" i="5"/>
  <c r="AC100" i="5"/>
  <c r="AM100" i="5"/>
  <c r="AC62" i="5"/>
  <c r="AC203" i="5"/>
  <c r="AM203" i="5"/>
  <c r="AC63" i="5"/>
  <c r="AM63" i="5"/>
  <c r="AC104" i="5"/>
  <c r="AM104" i="5"/>
  <c r="AB125" i="5"/>
  <c r="AM125" i="5"/>
  <c r="AC305" i="5"/>
  <c r="AM305" i="5"/>
  <c r="AC44" i="5"/>
  <c r="AC126" i="5"/>
  <c r="AM126" i="5"/>
  <c r="AB45" i="5"/>
  <c r="AC87" i="5"/>
  <c r="AM87" i="5"/>
  <c r="AC167" i="5"/>
  <c r="AM167" i="5"/>
  <c r="AC187" i="5"/>
  <c r="AM187" i="5"/>
  <c r="AC227" i="5"/>
  <c r="AM227" i="5"/>
  <c r="AC27" i="5"/>
  <c r="AB89" i="5"/>
  <c r="AM89" i="5"/>
  <c r="AB129" i="5"/>
  <c r="AM129" i="5"/>
  <c r="AC249" i="5"/>
  <c r="AM249" i="5"/>
  <c r="AB69" i="5"/>
  <c r="AM69" i="5"/>
  <c r="AC130" i="5"/>
  <c r="AM130" i="5"/>
  <c r="AB49" i="5"/>
  <c r="AC11" i="5"/>
  <c r="AC72" i="5"/>
  <c r="AM72" i="5"/>
  <c r="AB93" i="5"/>
  <c r="AM93" i="5"/>
  <c r="AB113" i="5"/>
  <c r="AM113" i="5"/>
  <c r="AB133" i="5"/>
  <c r="AM133" i="5"/>
  <c r="AC153" i="5"/>
  <c r="AM153" i="5"/>
  <c r="AC193" i="5"/>
  <c r="AM193" i="5"/>
  <c r="AC233" i="5"/>
  <c r="AM233" i="5"/>
  <c r="AC253" i="5"/>
  <c r="AM253" i="5"/>
  <c r="AC273" i="5"/>
  <c r="AM273" i="5"/>
  <c r="AC293" i="5"/>
  <c r="AM293" i="5"/>
  <c r="AB34" i="5"/>
  <c r="AB117" i="5"/>
  <c r="AM117" i="5"/>
  <c r="AB98" i="5"/>
  <c r="AM98" i="5"/>
  <c r="AB78" i="5"/>
  <c r="AM78" i="5"/>
  <c r="AC38" i="5"/>
  <c r="AC80" i="5"/>
  <c r="AM80" i="5"/>
  <c r="AB21" i="5"/>
  <c r="AC123" i="5"/>
  <c r="AM123" i="5"/>
  <c r="AC42" i="5"/>
  <c r="AC145" i="5"/>
  <c r="AM145" i="5"/>
  <c r="AC265" i="5"/>
  <c r="AM265" i="5"/>
  <c r="AC106" i="5"/>
  <c r="AM106" i="5"/>
  <c r="AC66" i="5"/>
  <c r="AM66" i="5"/>
  <c r="AC287" i="5"/>
  <c r="AM287" i="5"/>
  <c r="AC26" i="5"/>
  <c r="AC88" i="5"/>
  <c r="AM88" i="5"/>
  <c r="AB150" i="5"/>
  <c r="AM150" i="5"/>
  <c r="AB29" i="5"/>
  <c r="AC10" i="5"/>
  <c r="AC50" i="5"/>
  <c r="AC92" i="5"/>
  <c r="AM92" i="5"/>
  <c r="AC31" i="5"/>
  <c r="AC51" i="5"/>
  <c r="AC12" i="5"/>
  <c r="AC32" i="5"/>
  <c r="AB53" i="5"/>
  <c r="AB73" i="5"/>
  <c r="AM73" i="5"/>
  <c r="AB94" i="5"/>
  <c r="AM94" i="5"/>
  <c r="AC114" i="5"/>
  <c r="AM114" i="5"/>
  <c r="AB134" i="5"/>
  <c r="AM134" i="5"/>
  <c r="AB174" i="5"/>
  <c r="AM174" i="5"/>
  <c r="AB214" i="5"/>
  <c r="AM214" i="5"/>
  <c r="AB274" i="5"/>
  <c r="AM274" i="5"/>
  <c r="AC22" i="5"/>
  <c r="AC275" i="5"/>
  <c r="AC163" i="5"/>
  <c r="AC8" i="5"/>
  <c r="AB182" i="5"/>
  <c r="AC182" i="5"/>
  <c r="N949" i="11"/>
  <c r="A949" i="11"/>
  <c r="N929" i="11"/>
  <c r="O929" i="11" s="1"/>
  <c r="R929" i="11" s="1"/>
  <c r="A929" i="11"/>
  <c r="N914" i="11"/>
  <c r="A914" i="11"/>
  <c r="N935" i="11"/>
  <c r="O935" i="11" s="1"/>
  <c r="R935" i="11" s="1"/>
  <c r="A935" i="11"/>
  <c r="N946" i="11"/>
  <c r="A946" i="11"/>
  <c r="N952" i="11"/>
  <c r="O952" i="11" s="1"/>
  <c r="R952" i="11" s="1"/>
  <c r="C952" i="11"/>
  <c r="A952" i="11"/>
  <c r="N915" i="11"/>
  <c r="C915" i="11"/>
  <c r="A915" i="11"/>
  <c r="N923" i="11"/>
  <c r="C923" i="11"/>
  <c r="A923" i="11"/>
  <c r="N932" i="11"/>
  <c r="O932" i="11" s="1"/>
  <c r="R932" i="11" s="1"/>
  <c r="A932" i="11"/>
  <c r="N943" i="11"/>
  <c r="A943" i="11"/>
  <c r="C947" i="11"/>
  <c r="A947" i="11"/>
  <c r="N953" i="11"/>
  <c r="A953" i="11"/>
  <c r="N960" i="11"/>
  <c r="A960" i="11"/>
  <c r="N918" i="11"/>
  <c r="C918" i="11"/>
  <c r="A918" i="11"/>
  <c r="N928" i="11"/>
  <c r="A928" i="11"/>
  <c r="C928" i="11"/>
  <c r="N942" i="11"/>
  <c r="A942" i="11"/>
  <c r="C942" i="11"/>
  <c r="N956" i="11"/>
  <c r="O956" i="11" s="1"/>
  <c r="R956" i="11" s="1"/>
  <c r="C956" i="11"/>
  <c r="A956" i="11"/>
  <c r="N926" i="11"/>
  <c r="A926" i="11"/>
  <c r="N933" i="11"/>
  <c r="A933" i="11"/>
  <c r="N937" i="11"/>
  <c r="A937" i="11"/>
  <c r="C937" i="11"/>
  <c r="N940" i="11"/>
  <c r="A940" i="11"/>
  <c r="N944" i="11"/>
  <c r="A944" i="11"/>
  <c r="N950" i="11"/>
  <c r="A950" i="11"/>
  <c r="C950" i="11"/>
  <c r="N954" i="11"/>
  <c r="O954" i="11" s="1"/>
  <c r="R954" i="11" s="1"/>
  <c r="A954" i="11"/>
  <c r="N961" i="11"/>
  <c r="A961" i="11"/>
  <c r="N922" i="11"/>
  <c r="O922" i="11" s="1"/>
  <c r="R922" i="11" s="1"/>
  <c r="A922" i="11"/>
  <c r="N931" i="11"/>
  <c r="A931" i="11"/>
  <c r="N959" i="11"/>
  <c r="O959" i="11" s="1"/>
  <c r="C959" i="11"/>
  <c r="A959" i="11"/>
  <c r="N919" i="11"/>
  <c r="O919" i="11" s="1"/>
  <c r="R919" i="11" s="1"/>
  <c r="A919" i="11"/>
  <c r="N925" i="11"/>
  <c r="A925" i="11"/>
  <c r="C925" i="11"/>
  <c r="N936" i="11"/>
  <c r="O936" i="11" s="1"/>
  <c r="R936" i="11" s="1"/>
  <c r="A936" i="11"/>
  <c r="C936" i="11"/>
  <c r="N916" i="11"/>
  <c r="O916" i="11" s="1"/>
  <c r="R916" i="11" s="1"/>
  <c r="A916" i="11"/>
  <c r="N920" i="11"/>
  <c r="A920" i="11"/>
  <c r="C920" i="11"/>
  <c r="N917" i="11"/>
  <c r="O917" i="11" s="1"/>
  <c r="R917" i="11" s="1"/>
  <c r="A917" i="11"/>
  <c r="C934" i="11"/>
  <c r="C917" i="11"/>
  <c r="N921" i="11"/>
  <c r="O921" i="11" s="1"/>
  <c r="R921" i="11" s="1"/>
  <c r="A921" i="11"/>
  <c r="C921" i="11"/>
  <c r="N927" i="11"/>
  <c r="O927" i="11" s="1"/>
  <c r="R927" i="11" s="1"/>
  <c r="A927" i="11"/>
  <c r="N930" i="11"/>
  <c r="C930" i="11"/>
  <c r="A930" i="11"/>
  <c r="N934" i="11"/>
  <c r="O934" i="11" s="1"/>
  <c r="R934" i="11" s="1"/>
  <c r="A934" i="11"/>
  <c r="N938" i="11"/>
  <c r="A938" i="11"/>
  <c r="N941" i="11"/>
  <c r="O941" i="11" s="1"/>
  <c r="R941" i="11" s="1"/>
  <c r="C941" i="11"/>
  <c r="A941" i="11"/>
  <c r="N945" i="11"/>
  <c r="A945" i="11"/>
  <c r="N948" i="11"/>
  <c r="C948" i="11"/>
  <c r="A948" i="11"/>
  <c r="N951" i="11"/>
  <c r="C951" i="11"/>
  <c r="A951" i="11"/>
  <c r="N955" i="11"/>
  <c r="O955" i="11" s="1"/>
  <c r="R955" i="11" s="1"/>
  <c r="A955" i="11"/>
  <c r="C955" i="11"/>
  <c r="N958" i="11"/>
  <c r="A958" i="11"/>
  <c r="C958" i="11"/>
  <c r="L939" i="11"/>
  <c r="AC241" i="5"/>
  <c r="AC297" i="5"/>
  <c r="AC301" i="5"/>
  <c r="AB278" i="5"/>
  <c r="AC175" i="5"/>
  <c r="L913" i="11"/>
  <c r="AB30" i="5"/>
  <c r="AB104" i="5"/>
  <c r="AC121" i="5"/>
  <c r="AB128" i="5"/>
  <c r="AB305" i="5"/>
  <c r="AB28" i="5"/>
  <c r="AC86" i="5"/>
  <c r="AB140" i="5"/>
  <c r="AB106" i="5"/>
  <c r="AC109" i="5"/>
  <c r="AB130" i="5"/>
  <c r="AB42" i="5"/>
  <c r="AC57" i="5"/>
  <c r="AC94" i="5"/>
  <c r="AB279" i="5"/>
  <c r="AB40" i="5"/>
  <c r="AC69" i="5"/>
  <c r="AC129" i="5"/>
  <c r="AB142" i="5"/>
  <c r="AC274" i="5"/>
  <c r="AJ63" i="5"/>
  <c r="AC41" i="5"/>
  <c r="AB68" i="5"/>
  <c r="AB70" i="5"/>
  <c r="AC105" i="5"/>
  <c r="AB120" i="5"/>
  <c r="AB122" i="5"/>
  <c r="AC134" i="5"/>
  <c r="AB273" i="5"/>
  <c r="AB275" i="5"/>
  <c r="AC278" i="5"/>
  <c r="AC29" i="5"/>
  <c r="AB56" i="5"/>
  <c r="AB58" i="5"/>
  <c r="AC78" i="5"/>
  <c r="AB108" i="5"/>
  <c r="AB110" i="5"/>
  <c r="AC141" i="5"/>
  <c r="AB297" i="5"/>
  <c r="AK66" i="5"/>
  <c r="AJ46" i="5"/>
  <c r="AB48" i="5"/>
  <c r="AB50" i="5"/>
  <c r="AC65" i="5"/>
  <c r="AC82" i="5"/>
  <c r="AC98" i="5"/>
  <c r="AC117" i="5"/>
  <c r="AB124" i="5"/>
  <c r="AB126" i="5"/>
  <c r="AC133" i="5"/>
  <c r="AC137" i="5"/>
  <c r="AC258" i="5"/>
  <c r="AB301" i="5"/>
  <c r="AC34" i="5"/>
  <c r="AC49" i="5"/>
  <c r="AB64" i="5"/>
  <c r="AB66" i="5"/>
  <c r="AC74" i="5"/>
  <c r="AC90" i="5"/>
  <c r="AB116" i="5"/>
  <c r="AB118" i="5"/>
  <c r="AC125" i="5"/>
  <c r="AB132" i="5"/>
  <c r="AB136" i="5"/>
  <c r="AB138" i="5"/>
  <c r="AB257" i="5"/>
  <c r="AB259" i="5"/>
  <c r="AB293" i="5"/>
  <c r="AB309" i="5"/>
  <c r="AB8" i="5"/>
  <c r="AB10" i="5"/>
  <c r="AB12" i="5"/>
  <c r="AB14" i="5"/>
  <c r="AB16" i="5"/>
  <c r="AB18" i="5"/>
  <c r="AB20" i="5"/>
  <c r="AB22" i="5"/>
  <c r="AB24" i="5"/>
  <c r="AB26" i="5"/>
  <c r="AC33" i="5"/>
  <c r="AC37" i="5"/>
  <c r="AB44" i="5"/>
  <c r="AB46" i="5"/>
  <c r="AC53" i="5"/>
  <c r="AB60" i="5"/>
  <c r="AB62" i="5"/>
  <c r="AC73" i="5"/>
  <c r="AC77" i="5"/>
  <c r="AC81" i="5"/>
  <c r="AC85" i="5"/>
  <c r="AC89" i="5"/>
  <c r="AC93" i="5"/>
  <c r="AC97" i="5"/>
  <c r="AC101" i="5"/>
  <c r="AB112" i="5"/>
  <c r="AB114" i="5"/>
  <c r="AB249" i="5"/>
  <c r="AB251" i="5"/>
  <c r="AC266" i="5"/>
  <c r="AC286" i="5"/>
  <c r="AC9" i="5"/>
  <c r="AC13" i="5"/>
  <c r="AC17" i="5"/>
  <c r="AC21" i="5"/>
  <c r="AC25" i="5"/>
  <c r="AB32" i="5"/>
  <c r="AB36" i="5"/>
  <c r="AB38" i="5"/>
  <c r="AC45" i="5"/>
  <c r="AB54" i="5"/>
  <c r="AC61" i="5"/>
  <c r="AB72" i="5"/>
  <c r="AB76" i="5"/>
  <c r="AB80" i="5"/>
  <c r="AB84" i="5"/>
  <c r="AB88" i="5"/>
  <c r="AB92" i="5"/>
  <c r="AB96" i="5"/>
  <c r="AB100" i="5"/>
  <c r="AB102" i="5"/>
  <c r="AC113" i="5"/>
  <c r="AC250" i="5"/>
  <c r="AB265" i="5"/>
  <c r="AB267" i="5"/>
  <c r="AB285" i="5"/>
  <c r="AB287" i="5"/>
  <c r="AC247" i="5"/>
  <c r="AB247" i="5"/>
  <c r="AC261" i="5"/>
  <c r="AB261" i="5"/>
  <c r="AB270" i="5"/>
  <c r="AC270" i="5"/>
  <c r="AC281" i="5"/>
  <c r="AB281" i="5"/>
  <c r="AB290" i="5"/>
  <c r="AC290" i="5"/>
  <c r="AB298" i="5"/>
  <c r="AC298" i="5"/>
  <c r="AB306" i="5"/>
  <c r="AC306" i="5"/>
  <c r="AC149" i="5"/>
  <c r="AB149" i="5"/>
  <c r="AC157" i="5"/>
  <c r="AB157" i="5"/>
  <c r="AC165" i="5"/>
  <c r="AB165" i="5"/>
  <c r="AC173" i="5"/>
  <c r="AB173" i="5"/>
  <c r="AC181" i="5"/>
  <c r="AB181" i="5"/>
  <c r="AC189" i="5"/>
  <c r="AB189" i="5"/>
  <c r="AC197" i="5"/>
  <c r="AB197" i="5"/>
  <c r="AC205" i="5"/>
  <c r="AB205" i="5"/>
  <c r="AC213" i="5"/>
  <c r="AB213" i="5"/>
  <c r="AC221" i="5"/>
  <c r="AB221" i="5"/>
  <c r="AC229" i="5"/>
  <c r="AB229" i="5"/>
  <c r="AC237" i="5"/>
  <c r="AB237" i="5"/>
  <c r="AC245" i="5"/>
  <c r="AB245" i="5"/>
  <c r="AB254" i="5"/>
  <c r="AC254" i="5"/>
  <c r="AC263" i="5"/>
  <c r="AB263" i="5"/>
  <c r="AC277" i="5"/>
  <c r="AB277" i="5"/>
  <c r="AC283" i="5"/>
  <c r="AB283" i="5"/>
  <c r="AB294" i="5"/>
  <c r="AC294" i="5"/>
  <c r="AB302" i="5"/>
  <c r="AC302" i="5"/>
  <c r="AB310" i="5"/>
  <c r="AC310" i="5"/>
  <c r="AB146" i="5"/>
  <c r="AC146" i="5"/>
  <c r="AB154" i="5"/>
  <c r="AC154" i="5"/>
  <c r="AB162" i="5"/>
  <c r="AC162" i="5"/>
  <c r="AB170" i="5"/>
  <c r="AC170" i="5"/>
  <c r="AB178" i="5"/>
  <c r="AC178" i="5"/>
  <c r="AB186" i="5"/>
  <c r="AC186" i="5"/>
  <c r="AB194" i="5"/>
  <c r="AC194" i="5"/>
  <c r="AB202" i="5"/>
  <c r="AC202" i="5"/>
  <c r="AB210" i="5"/>
  <c r="AC210" i="5"/>
  <c r="AB218" i="5"/>
  <c r="AC218" i="5"/>
  <c r="AB226" i="5"/>
  <c r="AC226" i="5"/>
  <c r="AB234" i="5"/>
  <c r="AC234" i="5"/>
  <c r="AB242" i="5"/>
  <c r="AC242" i="5"/>
  <c r="AB145" i="5"/>
  <c r="AC150" i="5"/>
  <c r="AB153" i="5"/>
  <c r="AC158" i="5"/>
  <c r="AB161" i="5"/>
  <c r="AC166" i="5"/>
  <c r="AB169" i="5"/>
  <c r="AC174" i="5"/>
  <c r="AB177" i="5"/>
  <c r="AB185" i="5"/>
  <c r="AC190" i="5"/>
  <c r="AB193" i="5"/>
  <c r="AC198" i="5"/>
  <c r="AB201" i="5"/>
  <c r="AC206" i="5"/>
  <c r="AB209" i="5"/>
  <c r="AC214" i="5"/>
  <c r="AB217" i="5"/>
  <c r="AC222" i="5"/>
  <c r="AB225" i="5"/>
  <c r="AC230" i="5"/>
  <c r="AB233" i="5"/>
  <c r="AC238" i="5"/>
  <c r="AB241" i="5"/>
  <c r="AC246" i="5"/>
  <c r="AB253" i="5"/>
  <c r="AB255" i="5"/>
  <c r="AC262" i="5"/>
  <c r="AB269" i="5"/>
  <c r="AB271" i="5"/>
  <c r="AC282" i="5"/>
  <c r="AB289" i="5"/>
  <c r="AB291" i="5"/>
  <c r="AB295" i="5"/>
  <c r="AB299" i="5"/>
  <c r="AB303" i="5"/>
  <c r="AB307" i="5"/>
  <c r="AB311" i="5"/>
  <c r="AC256" i="5"/>
  <c r="AB256" i="5"/>
  <c r="AC292" i="5"/>
  <c r="AB292" i="5"/>
  <c r="AC296" i="5"/>
  <c r="AB296" i="5"/>
  <c r="AC304" i="5"/>
  <c r="AB304" i="5"/>
  <c r="AB11" i="5"/>
  <c r="AB15" i="5"/>
  <c r="AB19" i="5"/>
  <c r="AB23" i="5"/>
  <c r="AB27" i="5"/>
  <c r="AB31" i="5"/>
  <c r="AB35" i="5"/>
  <c r="AB39" i="5"/>
  <c r="AB43" i="5"/>
  <c r="AB47" i="5"/>
  <c r="AB51" i="5"/>
  <c r="AB55" i="5"/>
  <c r="AB59" i="5"/>
  <c r="AB63" i="5"/>
  <c r="AB67" i="5"/>
  <c r="AB71" i="5"/>
  <c r="AB75" i="5"/>
  <c r="AB79" i="5"/>
  <c r="AB83" i="5"/>
  <c r="AB87" i="5"/>
  <c r="AB91" i="5"/>
  <c r="AB95" i="5"/>
  <c r="AB99" i="5"/>
  <c r="AB103" i="5"/>
  <c r="AB107" i="5"/>
  <c r="AB111" i="5"/>
  <c r="AB115" i="5"/>
  <c r="AB119" i="5"/>
  <c r="AB123" i="5"/>
  <c r="AB127" i="5"/>
  <c r="AB131" i="5"/>
  <c r="AB135" i="5"/>
  <c r="AB139" i="5"/>
  <c r="AC144" i="5"/>
  <c r="AB144" i="5"/>
  <c r="AC152" i="5"/>
  <c r="AB152" i="5"/>
  <c r="AC160" i="5"/>
  <c r="AB160" i="5"/>
  <c r="AC168" i="5"/>
  <c r="AB168" i="5"/>
  <c r="AC176" i="5"/>
  <c r="AB176" i="5"/>
  <c r="AC184" i="5"/>
  <c r="AB184" i="5"/>
  <c r="AC192" i="5"/>
  <c r="AB192" i="5"/>
  <c r="AC200" i="5"/>
  <c r="AB200" i="5"/>
  <c r="AC208" i="5"/>
  <c r="AB208" i="5"/>
  <c r="AC216" i="5"/>
  <c r="AB216" i="5"/>
  <c r="AC224" i="5"/>
  <c r="AB224" i="5"/>
  <c r="AC232" i="5"/>
  <c r="AB232" i="5"/>
  <c r="AC240" i="5"/>
  <c r="AB240" i="5"/>
  <c r="AC252" i="5"/>
  <c r="AB252" i="5"/>
  <c r="AC268" i="5"/>
  <c r="AB268" i="5"/>
  <c r="AC288" i="5"/>
  <c r="AB288" i="5"/>
  <c r="AC272" i="5"/>
  <c r="AB272" i="5"/>
  <c r="AC248" i="5"/>
  <c r="AB248" i="5"/>
  <c r="AC264" i="5"/>
  <c r="AB264" i="5"/>
  <c r="AC284" i="5"/>
  <c r="AB284" i="5"/>
  <c r="AC300" i="5"/>
  <c r="AB300" i="5"/>
  <c r="AC308" i="5"/>
  <c r="AB308" i="5"/>
  <c r="AC148" i="5"/>
  <c r="AB148" i="5"/>
  <c r="AC156" i="5"/>
  <c r="AB156" i="5"/>
  <c r="AC164" i="5"/>
  <c r="AB164" i="5"/>
  <c r="AC172" i="5"/>
  <c r="AB172" i="5"/>
  <c r="AC180" i="5"/>
  <c r="AB180" i="5"/>
  <c r="AC188" i="5"/>
  <c r="AB188" i="5"/>
  <c r="AC196" i="5"/>
  <c r="AB196" i="5"/>
  <c r="AC204" i="5"/>
  <c r="AB204" i="5"/>
  <c r="AC212" i="5"/>
  <c r="AB212" i="5"/>
  <c r="AC220" i="5"/>
  <c r="AB220" i="5"/>
  <c r="AC228" i="5"/>
  <c r="AB228" i="5"/>
  <c r="AC236" i="5"/>
  <c r="AB236" i="5"/>
  <c r="AC244" i="5"/>
  <c r="AB244" i="5"/>
  <c r="AC260" i="5"/>
  <c r="AB260" i="5"/>
  <c r="AC276" i="5"/>
  <c r="AB276" i="5"/>
  <c r="AC280" i="5"/>
  <c r="AB280" i="5"/>
  <c r="AB143" i="5"/>
  <c r="AB147" i="5"/>
  <c r="AB151" i="5"/>
  <c r="AB155" i="5"/>
  <c r="AB159" i="5"/>
  <c r="AB163" i="5"/>
  <c r="AB167" i="5"/>
  <c r="AB171" i="5"/>
  <c r="AB175" i="5"/>
  <c r="AB179" i="5"/>
  <c r="AB183" i="5"/>
  <c r="AB187" i="5"/>
  <c r="AB191" i="5"/>
  <c r="AB195" i="5"/>
  <c r="AB199" i="5"/>
  <c r="AB203" i="5"/>
  <c r="AB207" i="5"/>
  <c r="AB211" i="5"/>
  <c r="AB215" i="5"/>
  <c r="AB219" i="5"/>
  <c r="AB223" i="5"/>
  <c r="AB227" i="5"/>
  <c r="AB231" i="5"/>
  <c r="AB235" i="5"/>
  <c r="AB239" i="5"/>
  <c r="AB243" i="5"/>
  <c r="R959" i="11"/>
  <c r="O925" i="11"/>
  <c r="R925" i="11" s="1"/>
  <c r="O944" i="11"/>
  <c r="R944" i="11" s="1"/>
  <c r="O949" i="11"/>
  <c r="R949" i="11" s="1"/>
  <c r="O914" i="11"/>
  <c r="R914" i="11" s="1"/>
  <c r="O926" i="11"/>
  <c r="R926" i="11" s="1"/>
  <c r="O931" i="11"/>
  <c r="R931" i="11" s="1"/>
  <c r="O938" i="11"/>
  <c r="R938" i="11" s="1"/>
  <c r="O942" i="11"/>
  <c r="R942" i="11" s="1"/>
  <c r="O945" i="11"/>
  <c r="R945" i="11" s="1"/>
  <c r="O950" i="11"/>
  <c r="R950" i="11" s="1"/>
  <c r="O940" i="11"/>
  <c r="R940" i="11" s="1"/>
  <c r="O928" i="11"/>
  <c r="R928" i="11" s="1"/>
  <c r="O933" i="11"/>
  <c r="R933" i="11" s="1"/>
  <c r="O915" i="11"/>
  <c r="R915" i="11" s="1"/>
  <c r="O920" i="11"/>
  <c r="R920" i="11" s="1"/>
  <c r="O923" i="11"/>
  <c r="R923" i="11" s="1"/>
  <c r="O943" i="11"/>
  <c r="R943" i="11" s="1"/>
  <c r="O948" i="11"/>
  <c r="R948" i="11" s="1"/>
  <c r="O953" i="11"/>
  <c r="R953" i="11" s="1"/>
  <c r="O958" i="11"/>
  <c r="R958" i="11" s="1"/>
  <c r="O918" i="11"/>
  <c r="R918" i="11" s="1"/>
  <c r="O930" i="11"/>
  <c r="R930" i="11" s="1"/>
  <c r="O937" i="11"/>
  <c r="R937" i="11" s="1"/>
  <c r="O946" i="11"/>
  <c r="R946" i="11" s="1"/>
  <c r="O951" i="11"/>
  <c r="R951" i="11" s="1"/>
  <c r="O961" i="11"/>
  <c r="R961" i="11" s="1"/>
  <c r="O960" i="11"/>
  <c r="R960" i="11" s="1"/>
  <c r="N913" i="11" l="1"/>
  <c r="O913" i="11" s="1"/>
  <c r="A913" i="11"/>
  <c r="N939" i="11"/>
  <c r="A939" i="11"/>
  <c r="R913" i="11"/>
  <c r="C103" i="11"/>
  <c r="C117" i="11"/>
  <c r="C156" i="11"/>
  <c r="C165" i="11"/>
  <c r="C230" i="11"/>
  <c r="C471" i="11"/>
  <c r="C516" i="11"/>
  <c r="C845" i="11"/>
  <c r="C907"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269" i="11"/>
  <c r="B270" i="11"/>
  <c r="B271" i="11"/>
  <c r="B272" i="11"/>
  <c r="B273" i="11"/>
  <c r="B274" i="11"/>
  <c r="B275" i="11"/>
  <c r="B276" i="11"/>
  <c r="B277" i="11"/>
  <c r="B278" i="11"/>
  <c r="B279" i="11"/>
  <c r="B280" i="11"/>
  <c r="B281" i="11"/>
  <c r="B282" i="11"/>
  <c r="B283" i="11"/>
  <c r="B284" i="11"/>
  <c r="B285" i="11"/>
  <c r="B286" i="11"/>
  <c r="B287" i="11"/>
  <c r="B288" i="11"/>
  <c r="B289" i="11"/>
  <c r="B290" i="11"/>
  <c r="B291" i="11"/>
  <c r="B292" i="11"/>
  <c r="B293" i="11"/>
  <c r="B294" i="11"/>
  <c r="B295" i="11"/>
  <c r="B296" i="11"/>
  <c r="B297" i="11"/>
  <c r="B298" i="11"/>
  <c r="B299" i="11"/>
  <c r="B300" i="11"/>
  <c r="B301" i="11"/>
  <c r="B302" i="11"/>
  <c r="B303" i="11"/>
  <c r="B304" i="11"/>
  <c r="B305" i="11"/>
  <c r="B306" i="11"/>
  <c r="B307" i="11"/>
  <c r="B308" i="11"/>
  <c r="B309" i="11"/>
  <c r="B310" i="11"/>
  <c r="B311" i="11"/>
  <c r="B312" i="11"/>
  <c r="B313" i="11"/>
  <c r="B314" i="11"/>
  <c r="B315" i="11"/>
  <c r="B316" i="11"/>
  <c r="B317" i="11"/>
  <c r="B318" i="11"/>
  <c r="B319" i="11"/>
  <c r="B320" i="11"/>
  <c r="B321" i="11"/>
  <c r="B322" i="11"/>
  <c r="B323" i="11"/>
  <c r="B324" i="11"/>
  <c r="B325" i="11"/>
  <c r="B326" i="11"/>
  <c r="B327" i="11"/>
  <c r="B328" i="11"/>
  <c r="B329" i="11"/>
  <c r="B330" i="11"/>
  <c r="B331" i="11"/>
  <c r="B332" i="11"/>
  <c r="B333" i="11"/>
  <c r="B334" i="11"/>
  <c r="B335" i="11"/>
  <c r="B336" i="11"/>
  <c r="B337" i="11"/>
  <c r="B338" i="11"/>
  <c r="B339" i="11"/>
  <c r="B340" i="11"/>
  <c r="B341" i="11"/>
  <c r="B342" i="11"/>
  <c r="B343" i="11"/>
  <c r="B344" i="11"/>
  <c r="B345" i="11"/>
  <c r="B346" i="11"/>
  <c r="B347" i="11"/>
  <c r="B348" i="11"/>
  <c r="B349" i="11"/>
  <c r="B350" i="11"/>
  <c r="B351" i="11"/>
  <c r="B352" i="11"/>
  <c r="B353" i="11"/>
  <c r="B354" i="11"/>
  <c r="B355" i="11"/>
  <c r="B356" i="11"/>
  <c r="B357" i="11"/>
  <c r="B358" i="11"/>
  <c r="B359" i="11"/>
  <c r="B360" i="11"/>
  <c r="B361" i="11"/>
  <c r="B362" i="11"/>
  <c r="B363" i="11"/>
  <c r="B364" i="11"/>
  <c r="B365" i="11"/>
  <c r="B366" i="11"/>
  <c r="B367" i="11"/>
  <c r="B368" i="11"/>
  <c r="B369" i="11"/>
  <c r="B370" i="11"/>
  <c r="B371" i="11"/>
  <c r="B372" i="11"/>
  <c r="B373" i="11"/>
  <c r="B374" i="11"/>
  <c r="B375" i="11"/>
  <c r="B376" i="11"/>
  <c r="B377" i="11"/>
  <c r="B378" i="11"/>
  <c r="B379" i="11"/>
  <c r="B380" i="11"/>
  <c r="B381" i="11"/>
  <c r="B382" i="11"/>
  <c r="B383" i="11"/>
  <c r="B384" i="11"/>
  <c r="B385" i="11"/>
  <c r="B386" i="11"/>
  <c r="B387" i="11"/>
  <c r="B388" i="11"/>
  <c r="B389" i="11"/>
  <c r="B390" i="11"/>
  <c r="B391" i="11"/>
  <c r="B392" i="11"/>
  <c r="B393" i="11"/>
  <c r="B394" i="11"/>
  <c r="B395" i="11"/>
  <c r="B396" i="11"/>
  <c r="B397" i="11"/>
  <c r="B398" i="11"/>
  <c r="B399" i="11"/>
  <c r="B400" i="11"/>
  <c r="B401" i="11"/>
  <c r="B402" i="11"/>
  <c r="B403" i="11"/>
  <c r="B404" i="11"/>
  <c r="B405" i="11"/>
  <c r="B406" i="11"/>
  <c r="B407" i="11"/>
  <c r="B408" i="11"/>
  <c r="B409" i="11"/>
  <c r="B410" i="11"/>
  <c r="B411" i="11"/>
  <c r="B412" i="11"/>
  <c r="B413" i="11"/>
  <c r="B414" i="11"/>
  <c r="B415" i="11"/>
  <c r="B416" i="11"/>
  <c r="B417" i="11"/>
  <c r="B418" i="11"/>
  <c r="B419" i="11"/>
  <c r="B420" i="11"/>
  <c r="B421" i="11"/>
  <c r="B422" i="11"/>
  <c r="B423" i="11"/>
  <c r="B424" i="11"/>
  <c r="B425" i="11"/>
  <c r="B426" i="11"/>
  <c r="B427" i="11"/>
  <c r="B428" i="11"/>
  <c r="B429" i="11"/>
  <c r="B430" i="11"/>
  <c r="B431" i="11"/>
  <c r="B432" i="11"/>
  <c r="B433" i="11"/>
  <c r="B434" i="11"/>
  <c r="B435" i="11"/>
  <c r="B436" i="11"/>
  <c r="B437" i="11"/>
  <c r="B438" i="11"/>
  <c r="B439" i="11"/>
  <c r="B440" i="11"/>
  <c r="B441" i="11"/>
  <c r="B442" i="11"/>
  <c r="B443" i="11"/>
  <c r="B444" i="11"/>
  <c r="B445" i="11"/>
  <c r="B446" i="11"/>
  <c r="B447" i="11"/>
  <c r="B448" i="11"/>
  <c r="B449" i="11"/>
  <c r="B450" i="11"/>
  <c r="B451" i="11"/>
  <c r="B452" i="11"/>
  <c r="B453" i="11"/>
  <c r="B454" i="11"/>
  <c r="B455" i="11"/>
  <c r="B456" i="11"/>
  <c r="B457" i="11"/>
  <c r="B458" i="11"/>
  <c r="B459" i="11"/>
  <c r="B460" i="11"/>
  <c r="B461" i="11"/>
  <c r="B462" i="11"/>
  <c r="B463" i="11"/>
  <c r="B464" i="11"/>
  <c r="B465" i="11"/>
  <c r="B466" i="11"/>
  <c r="B467" i="11"/>
  <c r="B468" i="11"/>
  <c r="B469" i="11"/>
  <c r="B470" i="11"/>
  <c r="B471" i="11"/>
  <c r="B472" i="11"/>
  <c r="B473" i="11"/>
  <c r="B474" i="11"/>
  <c r="B475" i="11"/>
  <c r="B476" i="11"/>
  <c r="B477" i="11"/>
  <c r="B478" i="11"/>
  <c r="B479" i="11"/>
  <c r="B480" i="11"/>
  <c r="B481" i="11"/>
  <c r="B482" i="11"/>
  <c r="B483" i="11"/>
  <c r="B484" i="11"/>
  <c r="B485" i="11"/>
  <c r="B486" i="11"/>
  <c r="B487" i="11"/>
  <c r="B488" i="11"/>
  <c r="B489" i="11"/>
  <c r="B490" i="11"/>
  <c r="B491" i="11"/>
  <c r="B492" i="11"/>
  <c r="B493" i="11"/>
  <c r="B494" i="11"/>
  <c r="B495" i="11"/>
  <c r="B496" i="11"/>
  <c r="B497" i="11"/>
  <c r="B498" i="11"/>
  <c r="B499" i="11"/>
  <c r="B500" i="11"/>
  <c r="B501" i="11"/>
  <c r="B502" i="11"/>
  <c r="B503" i="11"/>
  <c r="B504" i="11"/>
  <c r="B505" i="11"/>
  <c r="B506" i="11"/>
  <c r="B507" i="11"/>
  <c r="B508" i="11"/>
  <c r="B509" i="11"/>
  <c r="B510" i="11"/>
  <c r="B511" i="11"/>
  <c r="B512" i="11"/>
  <c r="B513" i="11"/>
  <c r="B514" i="11"/>
  <c r="B515" i="11"/>
  <c r="B516" i="11"/>
  <c r="B517" i="11"/>
  <c r="B518" i="11"/>
  <c r="B519" i="11"/>
  <c r="B520" i="11"/>
  <c r="B521" i="11"/>
  <c r="B522" i="11"/>
  <c r="B523" i="11"/>
  <c r="B524" i="11"/>
  <c r="B525" i="11"/>
  <c r="B526" i="11"/>
  <c r="B527" i="11"/>
  <c r="B528" i="11"/>
  <c r="B529" i="11"/>
  <c r="B530" i="11"/>
  <c r="B531" i="11"/>
  <c r="B532" i="11"/>
  <c r="B533" i="11"/>
  <c r="B534" i="11"/>
  <c r="B535" i="11"/>
  <c r="B536" i="11"/>
  <c r="B537" i="11"/>
  <c r="B538" i="11"/>
  <c r="B539" i="11"/>
  <c r="B540" i="11"/>
  <c r="B541" i="11"/>
  <c r="B542" i="11"/>
  <c r="B543" i="11"/>
  <c r="B544" i="11"/>
  <c r="B545" i="11"/>
  <c r="B546" i="11"/>
  <c r="B547" i="11"/>
  <c r="B548" i="11"/>
  <c r="B549" i="11"/>
  <c r="B550" i="11"/>
  <c r="B551" i="11"/>
  <c r="B552" i="11"/>
  <c r="B553" i="11"/>
  <c r="B554" i="11"/>
  <c r="B555" i="11"/>
  <c r="B556" i="11"/>
  <c r="B557" i="11"/>
  <c r="B558" i="11"/>
  <c r="B559" i="11"/>
  <c r="B560" i="11"/>
  <c r="B561" i="11"/>
  <c r="B562" i="11"/>
  <c r="B563" i="11"/>
  <c r="B564" i="11"/>
  <c r="B565" i="11"/>
  <c r="B566" i="11"/>
  <c r="B567" i="11"/>
  <c r="B568" i="11"/>
  <c r="B569" i="11"/>
  <c r="B570" i="11"/>
  <c r="B571" i="11"/>
  <c r="B572" i="11"/>
  <c r="B573" i="11"/>
  <c r="B574" i="11"/>
  <c r="B575" i="11"/>
  <c r="B576" i="11"/>
  <c r="B577" i="11"/>
  <c r="B578" i="11"/>
  <c r="B579" i="11"/>
  <c r="B580" i="11"/>
  <c r="B581" i="11"/>
  <c r="B582" i="11"/>
  <c r="B583" i="11"/>
  <c r="B584" i="11"/>
  <c r="B585" i="11"/>
  <c r="B586" i="11"/>
  <c r="B587" i="11"/>
  <c r="B588" i="11"/>
  <c r="B589" i="11"/>
  <c r="B590" i="11"/>
  <c r="B591" i="11"/>
  <c r="B592" i="11"/>
  <c r="B593" i="11"/>
  <c r="B594" i="11"/>
  <c r="B595" i="11"/>
  <c r="B596" i="11"/>
  <c r="B597" i="11"/>
  <c r="B598" i="11"/>
  <c r="B599" i="11"/>
  <c r="B600" i="11"/>
  <c r="B601" i="11"/>
  <c r="B602" i="11"/>
  <c r="B603" i="11"/>
  <c r="B604" i="11"/>
  <c r="B605" i="11"/>
  <c r="B606" i="11"/>
  <c r="B607" i="11"/>
  <c r="B608" i="11"/>
  <c r="B609" i="11"/>
  <c r="B610" i="11"/>
  <c r="B611" i="11"/>
  <c r="B612" i="11"/>
  <c r="B613" i="11"/>
  <c r="B614" i="11"/>
  <c r="B615" i="11"/>
  <c r="B616" i="11"/>
  <c r="B617" i="11"/>
  <c r="B618" i="11"/>
  <c r="B619" i="11"/>
  <c r="B620" i="11"/>
  <c r="B621" i="11"/>
  <c r="B622" i="11"/>
  <c r="B623" i="11"/>
  <c r="B624" i="11"/>
  <c r="B625" i="11"/>
  <c r="B626" i="11"/>
  <c r="B627" i="11"/>
  <c r="B628" i="11"/>
  <c r="B629" i="11"/>
  <c r="B630" i="11"/>
  <c r="B631" i="11"/>
  <c r="B632" i="11"/>
  <c r="B633" i="11"/>
  <c r="B634" i="11"/>
  <c r="B635" i="11"/>
  <c r="B636" i="11"/>
  <c r="B637" i="11"/>
  <c r="B638" i="11"/>
  <c r="B639" i="11"/>
  <c r="B640" i="11"/>
  <c r="B641" i="11"/>
  <c r="B642" i="11"/>
  <c r="B643" i="11"/>
  <c r="B644" i="11"/>
  <c r="B645" i="11"/>
  <c r="B646" i="11"/>
  <c r="B647" i="11"/>
  <c r="B648" i="11"/>
  <c r="B649" i="11"/>
  <c r="B650" i="11"/>
  <c r="B651" i="11"/>
  <c r="B652" i="11"/>
  <c r="B653" i="11"/>
  <c r="B654" i="11"/>
  <c r="B655" i="11"/>
  <c r="B656" i="11"/>
  <c r="B657" i="11"/>
  <c r="B658" i="11"/>
  <c r="B659" i="11"/>
  <c r="B660" i="11"/>
  <c r="B661" i="11"/>
  <c r="B662" i="11"/>
  <c r="B663" i="11"/>
  <c r="B664" i="11"/>
  <c r="B665" i="11"/>
  <c r="B666" i="11"/>
  <c r="B667" i="11"/>
  <c r="B668" i="11"/>
  <c r="B669" i="11"/>
  <c r="B670" i="11"/>
  <c r="B671" i="11"/>
  <c r="B672" i="11"/>
  <c r="B673" i="11"/>
  <c r="B674" i="11"/>
  <c r="B675" i="11"/>
  <c r="B676" i="11"/>
  <c r="B677" i="11"/>
  <c r="B678" i="11"/>
  <c r="B679" i="11"/>
  <c r="B680" i="11"/>
  <c r="B681" i="11"/>
  <c r="B682" i="11"/>
  <c r="B683" i="11"/>
  <c r="B684" i="11"/>
  <c r="B685" i="11"/>
  <c r="B686" i="11"/>
  <c r="B687" i="11"/>
  <c r="B688" i="11"/>
  <c r="B689" i="11"/>
  <c r="B690" i="11"/>
  <c r="B691" i="11"/>
  <c r="B692" i="11"/>
  <c r="B693" i="11"/>
  <c r="B694" i="11"/>
  <c r="B695" i="11"/>
  <c r="B696" i="11"/>
  <c r="B697" i="11"/>
  <c r="B698" i="11"/>
  <c r="B699" i="11"/>
  <c r="B700" i="11"/>
  <c r="B701" i="11"/>
  <c r="B702" i="11"/>
  <c r="B703" i="11"/>
  <c r="B704" i="11"/>
  <c r="B705" i="11"/>
  <c r="B706" i="11"/>
  <c r="B707" i="11"/>
  <c r="B708" i="11"/>
  <c r="B709" i="11"/>
  <c r="B710" i="11"/>
  <c r="B711" i="11"/>
  <c r="B712" i="11"/>
  <c r="B713" i="11"/>
  <c r="B714" i="11"/>
  <c r="B715" i="11"/>
  <c r="B716" i="11"/>
  <c r="B717" i="11"/>
  <c r="B718" i="11"/>
  <c r="B719" i="11"/>
  <c r="B720" i="11"/>
  <c r="B721" i="11"/>
  <c r="B722" i="11"/>
  <c r="B723" i="11"/>
  <c r="B724" i="11"/>
  <c r="B725" i="11"/>
  <c r="B726" i="11"/>
  <c r="B727" i="11"/>
  <c r="B728" i="11"/>
  <c r="B729" i="11"/>
  <c r="B730" i="11"/>
  <c r="B731" i="11"/>
  <c r="B732" i="11"/>
  <c r="B733" i="11"/>
  <c r="B734" i="11"/>
  <c r="B735" i="11"/>
  <c r="B736" i="11"/>
  <c r="B737" i="11"/>
  <c r="B738" i="11"/>
  <c r="B739" i="11"/>
  <c r="B740" i="11"/>
  <c r="B741" i="11"/>
  <c r="B742" i="11"/>
  <c r="B743" i="11"/>
  <c r="B744" i="11"/>
  <c r="B745" i="11"/>
  <c r="B746" i="11"/>
  <c r="B747" i="11"/>
  <c r="B748" i="11"/>
  <c r="B749" i="11"/>
  <c r="B750" i="11"/>
  <c r="B751" i="11"/>
  <c r="B752" i="11"/>
  <c r="B753" i="11"/>
  <c r="B754" i="11"/>
  <c r="B755" i="11"/>
  <c r="B756" i="11"/>
  <c r="B757" i="11"/>
  <c r="B758" i="11"/>
  <c r="B759" i="11"/>
  <c r="B760" i="11"/>
  <c r="B761" i="11"/>
  <c r="B762" i="11"/>
  <c r="B763" i="11"/>
  <c r="B764" i="11"/>
  <c r="B765" i="11"/>
  <c r="B766" i="11"/>
  <c r="B767" i="11"/>
  <c r="B768" i="11"/>
  <c r="B769" i="11"/>
  <c r="B770" i="11"/>
  <c r="B771" i="11"/>
  <c r="B772" i="11"/>
  <c r="B773" i="11"/>
  <c r="B774" i="11"/>
  <c r="B775" i="11"/>
  <c r="B776" i="11"/>
  <c r="B777" i="11"/>
  <c r="B778" i="11"/>
  <c r="B779" i="11"/>
  <c r="B780" i="11"/>
  <c r="B781" i="11"/>
  <c r="B782" i="11"/>
  <c r="B783" i="11"/>
  <c r="B784" i="11"/>
  <c r="B785" i="11"/>
  <c r="B786" i="11"/>
  <c r="B787" i="11"/>
  <c r="B788" i="11"/>
  <c r="B789" i="11"/>
  <c r="B790" i="11"/>
  <c r="B791" i="11"/>
  <c r="B792" i="11"/>
  <c r="B793" i="11"/>
  <c r="B794" i="11"/>
  <c r="B795" i="11"/>
  <c r="B796" i="11"/>
  <c r="B797" i="11"/>
  <c r="B798" i="11"/>
  <c r="B799" i="11"/>
  <c r="B800" i="11"/>
  <c r="B801" i="11"/>
  <c r="B802" i="11"/>
  <c r="B803" i="11"/>
  <c r="B804" i="11"/>
  <c r="B805" i="11"/>
  <c r="B806" i="11"/>
  <c r="B807" i="11"/>
  <c r="B808" i="11"/>
  <c r="B809" i="11"/>
  <c r="B810" i="11"/>
  <c r="B811" i="11"/>
  <c r="B812" i="11"/>
  <c r="B813" i="11"/>
  <c r="B814" i="11"/>
  <c r="B815" i="11"/>
  <c r="B816" i="11"/>
  <c r="B817" i="11"/>
  <c r="B818" i="11"/>
  <c r="B819" i="11"/>
  <c r="B820" i="11"/>
  <c r="B821" i="11"/>
  <c r="B822" i="11"/>
  <c r="B823" i="11"/>
  <c r="B824" i="11"/>
  <c r="B825" i="11"/>
  <c r="B826" i="11"/>
  <c r="B827" i="11"/>
  <c r="B828" i="11"/>
  <c r="B829" i="11"/>
  <c r="B830" i="11"/>
  <c r="B831" i="11"/>
  <c r="B832" i="11"/>
  <c r="B833" i="11"/>
  <c r="B834" i="11"/>
  <c r="B835" i="11"/>
  <c r="B836" i="11"/>
  <c r="B837" i="11"/>
  <c r="B838" i="11"/>
  <c r="B839" i="11"/>
  <c r="B840" i="11"/>
  <c r="B841" i="11"/>
  <c r="B842" i="11"/>
  <c r="B843" i="11"/>
  <c r="B844" i="11"/>
  <c r="B845" i="11"/>
  <c r="B846" i="11"/>
  <c r="B847" i="11"/>
  <c r="B848" i="11"/>
  <c r="B849" i="11"/>
  <c r="B850" i="11"/>
  <c r="B851" i="11"/>
  <c r="B852" i="11"/>
  <c r="B853" i="11"/>
  <c r="B854" i="11"/>
  <c r="B855" i="11"/>
  <c r="B856" i="11"/>
  <c r="B857" i="11"/>
  <c r="B858" i="11"/>
  <c r="B859" i="11"/>
  <c r="B860" i="11"/>
  <c r="B861" i="11"/>
  <c r="B862" i="11"/>
  <c r="B863" i="11"/>
  <c r="B864" i="11"/>
  <c r="B865" i="11"/>
  <c r="B866" i="11"/>
  <c r="B867" i="11"/>
  <c r="B868" i="11"/>
  <c r="B869" i="11"/>
  <c r="B870" i="11"/>
  <c r="B871" i="11"/>
  <c r="B872" i="11"/>
  <c r="B873" i="11"/>
  <c r="B874" i="11"/>
  <c r="B875" i="11"/>
  <c r="B876" i="11"/>
  <c r="B877" i="11"/>
  <c r="B878" i="11"/>
  <c r="B879" i="11"/>
  <c r="B880" i="11"/>
  <c r="B881" i="11"/>
  <c r="B882" i="11"/>
  <c r="B883" i="11"/>
  <c r="B884" i="11"/>
  <c r="B885" i="11"/>
  <c r="B886" i="11"/>
  <c r="B887" i="11"/>
  <c r="B888" i="11"/>
  <c r="B889" i="11"/>
  <c r="B890" i="11"/>
  <c r="B891" i="11"/>
  <c r="B892" i="11"/>
  <c r="B893" i="11"/>
  <c r="B894" i="11"/>
  <c r="B895" i="11"/>
  <c r="B896" i="11"/>
  <c r="B897" i="11"/>
  <c r="B898" i="11"/>
  <c r="B899" i="11"/>
  <c r="B900" i="11"/>
  <c r="B901" i="11"/>
  <c r="B902" i="11"/>
  <c r="B903" i="11"/>
  <c r="B904" i="11"/>
  <c r="B905" i="11"/>
  <c r="B906" i="11"/>
  <c r="B907" i="11"/>
  <c r="B908" i="11"/>
  <c r="B909" i="11"/>
  <c r="B910" i="11"/>
  <c r="B911" i="11"/>
  <c r="A15" i="11"/>
  <c r="A57" i="11"/>
  <c r="A68" i="11"/>
  <c r="A76" i="11"/>
  <c r="A100" i="11"/>
  <c r="A103" i="11"/>
  <c r="A117" i="11"/>
  <c r="A127" i="11"/>
  <c r="A156" i="11"/>
  <c r="A165" i="11"/>
  <c r="A174" i="11"/>
  <c r="A194" i="11"/>
  <c r="A229" i="11"/>
  <c r="A230" i="11"/>
  <c r="A240" i="11"/>
  <c r="A288" i="11"/>
  <c r="A289" i="11"/>
  <c r="A409" i="11"/>
  <c r="A410" i="11"/>
  <c r="A462" i="11"/>
  <c r="A471" i="11"/>
  <c r="A516" i="11"/>
  <c r="A553" i="11"/>
  <c r="A590" i="11"/>
  <c r="A845" i="11"/>
  <c r="A870" i="11"/>
  <c r="A907" i="11"/>
  <c r="O939" i="11" l="1"/>
  <c r="J911" i="11"/>
  <c r="L911" i="11" s="1"/>
  <c r="J910" i="11"/>
  <c r="L910" i="11" s="1"/>
  <c r="J909" i="11"/>
  <c r="L909" i="11" s="1"/>
  <c r="J908" i="11"/>
  <c r="L908" i="11" s="1"/>
  <c r="A908" i="11" s="1"/>
  <c r="N907" i="11"/>
  <c r="J907" i="11"/>
  <c r="J906" i="11"/>
  <c r="L906" i="11" s="1"/>
  <c r="A906" i="11" s="1"/>
  <c r="J905" i="11"/>
  <c r="L905" i="11" s="1"/>
  <c r="J904" i="11"/>
  <c r="L904" i="11" s="1"/>
  <c r="A904" i="11" s="1"/>
  <c r="J903" i="11"/>
  <c r="L903" i="11" s="1"/>
  <c r="J902" i="11"/>
  <c r="L902" i="11" s="1"/>
  <c r="J901" i="11"/>
  <c r="L901" i="11" s="1"/>
  <c r="J900" i="11"/>
  <c r="L900" i="11" s="1"/>
  <c r="C949" i="11" s="1"/>
  <c r="K899" i="11"/>
  <c r="J899" i="11"/>
  <c r="J898" i="11"/>
  <c r="L898" i="11" s="1"/>
  <c r="J897" i="11"/>
  <c r="L897" i="11" s="1"/>
  <c r="A897" i="11" s="1"/>
  <c r="J896" i="11"/>
  <c r="L896" i="11" s="1"/>
  <c r="J895" i="11"/>
  <c r="L895" i="11" s="1"/>
  <c r="J894" i="11"/>
  <c r="L894" i="11" s="1"/>
  <c r="C931" i="11" s="1"/>
  <c r="J893" i="11"/>
  <c r="L893" i="11" s="1"/>
  <c r="J892" i="11"/>
  <c r="L892" i="11" s="1"/>
  <c r="J891" i="11"/>
  <c r="L891" i="11" s="1"/>
  <c r="O890" i="11"/>
  <c r="R890" i="11" s="1"/>
  <c r="J890" i="11"/>
  <c r="L890" i="11" s="1"/>
  <c r="A890" i="11" s="1"/>
  <c r="O889" i="11"/>
  <c r="R889" i="11" s="1"/>
  <c r="J889" i="11"/>
  <c r="L889" i="11" s="1"/>
  <c r="J888" i="11"/>
  <c r="L888" i="11" s="1"/>
  <c r="J887" i="11"/>
  <c r="L887" i="11" s="1"/>
  <c r="J886" i="11"/>
  <c r="L886" i="11" s="1"/>
  <c r="C916" i="11" s="1"/>
  <c r="J885" i="11"/>
  <c r="L885" i="11" s="1"/>
  <c r="J884" i="11"/>
  <c r="L884" i="11" s="1"/>
  <c r="J883" i="11"/>
  <c r="L883" i="11" s="1"/>
  <c r="K882" i="11"/>
  <c r="J882" i="11"/>
  <c r="J881" i="11"/>
  <c r="L881" i="11" s="1"/>
  <c r="J880" i="11"/>
  <c r="L880" i="11" s="1"/>
  <c r="A880" i="11" s="1"/>
  <c r="J879" i="11"/>
  <c r="L879" i="11" s="1"/>
  <c r="J878" i="11"/>
  <c r="L878" i="11" s="1"/>
  <c r="J877" i="11"/>
  <c r="L877" i="11" s="1"/>
  <c r="J876" i="11"/>
  <c r="L876" i="11" s="1"/>
  <c r="J875" i="11"/>
  <c r="L875" i="11" s="1"/>
  <c r="J874" i="11"/>
  <c r="L874" i="11" s="1"/>
  <c r="C919" i="11" s="1"/>
  <c r="J873" i="11"/>
  <c r="L873" i="11" s="1"/>
  <c r="J872" i="11"/>
  <c r="L872" i="11" s="1"/>
  <c r="C935" i="11" s="1"/>
  <c r="J871" i="11"/>
  <c r="L871" i="11" s="1"/>
  <c r="N870" i="11"/>
  <c r="O870" i="11" s="1"/>
  <c r="R870" i="11" s="1"/>
  <c r="J870" i="11"/>
  <c r="J869" i="11"/>
  <c r="L869" i="11" s="1"/>
  <c r="J868" i="11"/>
  <c r="L868" i="11" s="1"/>
  <c r="J867" i="11"/>
  <c r="L867" i="11" s="1"/>
  <c r="J866" i="11"/>
  <c r="L866" i="11" s="1"/>
  <c r="A866" i="11" s="1"/>
  <c r="H301" i="5"/>
  <c r="H302" i="5"/>
  <c r="H303" i="5"/>
  <c r="H304" i="5"/>
  <c r="H305" i="5"/>
  <c r="H306" i="5"/>
  <c r="H307" i="5"/>
  <c r="H308" i="5"/>
  <c r="H309" i="5"/>
  <c r="H310" i="5"/>
  <c r="H311" i="5"/>
  <c r="C954" i="11" l="1"/>
  <c r="C927" i="11"/>
  <c r="C922" i="11"/>
  <c r="R939" i="11"/>
  <c r="N893" i="11"/>
  <c r="O893" i="11" s="1"/>
  <c r="R893" i="11" s="1"/>
  <c r="A893" i="11"/>
  <c r="N881" i="11"/>
  <c r="A881" i="11"/>
  <c r="C887" i="11"/>
  <c r="A887" i="11"/>
  <c r="N895" i="11"/>
  <c r="A895" i="11"/>
  <c r="N868" i="11"/>
  <c r="O868" i="11" s="1"/>
  <c r="R868" i="11" s="1"/>
  <c r="A868" i="11"/>
  <c r="N878" i="11"/>
  <c r="A878" i="11"/>
  <c r="N884" i="11"/>
  <c r="O884" i="11" s="1"/>
  <c r="R884" i="11" s="1"/>
  <c r="A884" i="11"/>
  <c r="N888" i="11"/>
  <c r="A888" i="11"/>
  <c r="N896" i="11"/>
  <c r="O896" i="11" s="1"/>
  <c r="R896" i="11" s="1"/>
  <c r="A896" i="11"/>
  <c r="N903" i="11"/>
  <c r="C903" i="11"/>
  <c r="A903" i="11"/>
  <c r="N909" i="11"/>
  <c r="A909" i="11"/>
  <c r="N902" i="11"/>
  <c r="O902" i="11" s="1"/>
  <c r="R902" i="11" s="1"/>
  <c r="A902" i="11"/>
  <c r="N871" i="11"/>
  <c r="A871" i="11"/>
  <c r="N869" i="11"/>
  <c r="A869" i="11"/>
  <c r="N875" i="11"/>
  <c r="A875" i="11"/>
  <c r="N879" i="11"/>
  <c r="A879" i="11"/>
  <c r="N885" i="11"/>
  <c r="O885" i="11" s="1"/>
  <c r="R885" i="11" s="1"/>
  <c r="A885" i="11"/>
  <c r="C889" i="11"/>
  <c r="A889" i="11"/>
  <c r="C900" i="11"/>
  <c r="A900" i="11"/>
  <c r="N910" i="11"/>
  <c r="A910" i="11"/>
  <c r="N867" i="11"/>
  <c r="A867" i="11"/>
  <c r="N877" i="11"/>
  <c r="A877" i="11"/>
  <c r="N883" i="11"/>
  <c r="A883" i="11"/>
  <c r="N892" i="11"/>
  <c r="A892" i="11"/>
  <c r="N874" i="11"/>
  <c r="C874" i="11"/>
  <c r="A874" i="11"/>
  <c r="N872" i="11"/>
  <c r="O872" i="11" s="1"/>
  <c r="R872" i="11" s="1"/>
  <c r="C872" i="11"/>
  <c r="A872" i="11"/>
  <c r="C876" i="11"/>
  <c r="A876" i="11"/>
  <c r="N886" i="11"/>
  <c r="C886" i="11"/>
  <c r="A886" i="11"/>
  <c r="N891" i="11"/>
  <c r="O891" i="11" s="1"/>
  <c r="R891" i="11" s="1"/>
  <c r="A891" i="11"/>
  <c r="N894" i="11"/>
  <c r="C905" i="11"/>
  <c r="C894" i="11"/>
  <c r="A894" i="11"/>
  <c r="N898" i="11"/>
  <c r="O898" i="11" s="1"/>
  <c r="R898" i="11" s="1"/>
  <c r="C909" i="11"/>
  <c r="C898" i="11"/>
  <c r="A898" i="11"/>
  <c r="N901" i="11"/>
  <c r="C901" i="11"/>
  <c r="A901" i="11"/>
  <c r="N905" i="11"/>
  <c r="O905" i="11" s="1"/>
  <c r="R905" i="11" s="1"/>
  <c r="A905" i="11"/>
  <c r="N911" i="11"/>
  <c r="O911" i="11" s="1"/>
  <c r="R911" i="11" s="1"/>
  <c r="C911" i="11"/>
  <c r="A911" i="11"/>
  <c r="N873" i="11"/>
  <c r="O873" i="11" s="1"/>
  <c r="R873" i="11" s="1"/>
  <c r="A873" i="11"/>
  <c r="N908" i="11"/>
  <c r="O908" i="11" s="1"/>
  <c r="R908" i="11" s="1"/>
  <c r="N887" i="11"/>
  <c r="N897" i="11"/>
  <c r="O897" i="11" s="1"/>
  <c r="R897" i="11" s="1"/>
  <c r="N900" i="11"/>
  <c r="O900" i="11" s="1"/>
  <c r="R900" i="11" s="1"/>
  <c r="N904" i="11"/>
  <c r="O904" i="11" s="1"/>
  <c r="R904" i="11" s="1"/>
  <c r="N876" i="11"/>
  <c r="O876" i="11" s="1"/>
  <c r="R876" i="11" s="1"/>
  <c r="N880" i="11"/>
  <c r="O880" i="11" s="1"/>
  <c r="R880" i="11" s="1"/>
  <c r="N866" i="11"/>
  <c r="O866" i="11" s="1"/>
  <c r="O883" i="11"/>
  <c r="R883" i="11" s="1"/>
  <c r="O886" i="11"/>
  <c r="R886" i="11" s="1"/>
  <c r="O903" i="11"/>
  <c r="R903" i="11" s="1"/>
  <c r="O909" i="11"/>
  <c r="R909" i="11" s="1"/>
  <c r="O887" i="11"/>
  <c r="O894" i="11"/>
  <c r="R894" i="11" s="1"/>
  <c r="O875" i="11"/>
  <c r="R875" i="11" s="1"/>
  <c r="O881" i="11"/>
  <c r="R881" i="11" s="1"/>
  <c r="O867" i="11"/>
  <c r="R867" i="11" s="1"/>
  <c r="O879" i="11"/>
  <c r="R879" i="11" s="1"/>
  <c r="O901" i="11"/>
  <c r="O871" i="11"/>
  <c r="R871" i="11" s="1"/>
  <c r="O877" i="11"/>
  <c r="R877" i="11" s="1"/>
  <c r="O888" i="11"/>
  <c r="R888" i="11" s="1"/>
  <c r="O892" i="11"/>
  <c r="R892" i="11" s="1"/>
  <c r="O907" i="11"/>
  <c r="R907" i="11" s="1"/>
  <c r="O910" i="11"/>
  <c r="R910" i="11" s="1"/>
  <c r="O874" i="11"/>
  <c r="R874" i="11" s="1"/>
  <c r="O878" i="11"/>
  <c r="R878" i="11" s="1"/>
  <c r="L882" i="11"/>
  <c r="A882" i="11" s="1"/>
  <c r="O895" i="11"/>
  <c r="R895" i="11" s="1"/>
  <c r="L899" i="11"/>
  <c r="A899" i="11" s="1"/>
  <c r="O869" i="11"/>
  <c r="R869" i="11" s="1"/>
  <c r="R901" i="11" l="1"/>
  <c r="R887" i="11"/>
  <c r="R866" i="11"/>
  <c r="N882" i="11"/>
  <c r="O882" i="11" s="1"/>
  <c r="R882" i="11" s="1"/>
  <c r="N899" i="11"/>
  <c r="O899" i="11" l="1"/>
  <c r="R899" i="11" s="1"/>
  <c r="T300" i="5"/>
  <c r="H300" i="5"/>
  <c r="T299" i="5"/>
  <c r="H299" i="5"/>
  <c r="T298" i="5"/>
  <c r="T296" i="5"/>
  <c r="H296" i="5"/>
  <c r="T295" i="5"/>
  <c r="T294" i="5"/>
  <c r="H294" i="5"/>
  <c r="T293" i="5"/>
  <c r="H293" i="5"/>
  <c r="H292" i="5"/>
  <c r="T291" i="5" l="1"/>
  <c r="H291" i="5"/>
  <c r="P178" i="5"/>
  <c r="O801" i="11"/>
  <c r="R801" i="11" s="1"/>
  <c r="N845" i="11"/>
  <c r="O845" i="11" s="1"/>
  <c r="R845" i="11" s="1"/>
  <c r="L798" i="11"/>
  <c r="A798" i="11" s="1"/>
  <c r="L841" i="11"/>
  <c r="A841" i="11" s="1"/>
  <c r="J865" i="11"/>
  <c r="L865" i="11" s="1"/>
  <c r="A865" i="11" s="1"/>
  <c r="J864" i="11"/>
  <c r="L864" i="11" s="1"/>
  <c r="C926" i="11" s="1"/>
  <c r="J863" i="11"/>
  <c r="L863" i="11" s="1"/>
  <c r="J862" i="11"/>
  <c r="L862" i="11" s="1"/>
  <c r="A862" i="11" s="1"/>
  <c r="J861" i="11"/>
  <c r="L861" i="11" s="1"/>
  <c r="A861" i="11" s="1"/>
  <c r="J860" i="11"/>
  <c r="L860" i="11" s="1"/>
  <c r="A860" i="11" s="1"/>
  <c r="J859" i="11"/>
  <c r="L859" i="11" s="1"/>
  <c r="A859" i="11" s="1"/>
  <c r="J858" i="11"/>
  <c r="J857" i="11"/>
  <c r="L857" i="11" s="1"/>
  <c r="A857" i="11" s="1"/>
  <c r="J856" i="11"/>
  <c r="L856" i="11" s="1"/>
  <c r="A856" i="11" s="1"/>
  <c r="J855" i="11"/>
  <c r="L855" i="11" s="1"/>
  <c r="A855" i="11" s="1"/>
  <c r="J854" i="11"/>
  <c r="L854" i="11" s="1"/>
  <c r="A854" i="11" s="1"/>
  <c r="J853" i="11"/>
  <c r="L853" i="11" s="1"/>
  <c r="C946" i="11" s="1"/>
  <c r="J852" i="11"/>
  <c r="L852" i="11" s="1"/>
  <c r="C945" i="11" s="1"/>
  <c r="J851" i="11"/>
  <c r="L851" i="11" s="1"/>
  <c r="A851" i="11" s="1"/>
  <c r="J850" i="11"/>
  <c r="L850" i="11" s="1"/>
  <c r="A850" i="11" s="1"/>
  <c r="J849" i="11"/>
  <c r="L849" i="11" s="1"/>
  <c r="A849" i="11" s="1"/>
  <c r="J848" i="11"/>
  <c r="L848" i="11" s="1"/>
  <c r="A848" i="11" s="1"/>
  <c r="J847" i="11"/>
  <c r="L847" i="11" s="1"/>
  <c r="A847" i="11" s="1"/>
  <c r="J846" i="11"/>
  <c r="L846" i="11" s="1"/>
  <c r="J845" i="11"/>
  <c r="J844" i="11"/>
  <c r="L844" i="11" s="1"/>
  <c r="A844" i="11" s="1"/>
  <c r="J843" i="11"/>
  <c r="L843" i="11" s="1"/>
  <c r="J842" i="11"/>
  <c r="L842" i="11" s="1"/>
  <c r="A842" i="11" s="1"/>
  <c r="J840" i="11"/>
  <c r="L840" i="11" s="1"/>
  <c r="J839" i="11"/>
  <c r="L839" i="11" s="1"/>
  <c r="A839" i="11" s="1"/>
  <c r="J838" i="11"/>
  <c r="L838" i="11" s="1"/>
  <c r="A838" i="11" s="1"/>
  <c r="J837" i="11"/>
  <c r="L837" i="11" s="1"/>
  <c r="C943" i="11" s="1"/>
  <c r="J836" i="11"/>
  <c r="L836" i="11" s="1"/>
  <c r="A836" i="11" s="1"/>
  <c r="J835" i="11"/>
  <c r="L835" i="11" s="1"/>
  <c r="J834" i="11"/>
  <c r="L834" i="11" s="1"/>
  <c r="J833" i="11"/>
  <c r="L833" i="11" s="1"/>
  <c r="J832" i="11"/>
  <c r="L832" i="11" s="1"/>
  <c r="A832" i="11" s="1"/>
  <c r="J831" i="11"/>
  <c r="L831" i="11" s="1"/>
  <c r="A831" i="11" s="1"/>
  <c r="J830" i="11"/>
  <c r="L830" i="11" s="1"/>
  <c r="C914" i="11" s="1"/>
  <c r="J829" i="11"/>
  <c r="L829" i="11" s="1"/>
  <c r="A829" i="11" s="1"/>
  <c r="J828" i="11"/>
  <c r="L828" i="11" s="1"/>
  <c r="A828" i="11" s="1"/>
  <c r="J827" i="11"/>
  <c r="L827" i="11" s="1"/>
  <c r="J826" i="11"/>
  <c r="L826" i="11" s="1"/>
  <c r="J825" i="11"/>
  <c r="L825" i="11" s="1"/>
  <c r="J824" i="11"/>
  <c r="L824" i="11" s="1"/>
  <c r="A824" i="11" s="1"/>
  <c r="J823" i="11"/>
  <c r="L823" i="11" s="1"/>
  <c r="A823" i="11" s="1"/>
  <c r="J822" i="11"/>
  <c r="L822" i="11" s="1"/>
  <c r="A822" i="11" s="1"/>
  <c r="J821" i="11"/>
  <c r="L821" i="11" s="1"/>
  <c r="A821" i="11" s="1"/>
  <c r="J820" i="11"/>
  <c r="L820" i="11" s="1"/>
  <c r="A820" i="11" s="1"/>
  <c r="J819" i="11"/>
  <c r="L819" i="11" s="1"/>
  <c r="A819" i="11" s="1"/>
  <c r="J818" i="11"/>
  <c r="L818" i="11" s="1"/>
  <c r="A818" i="11" s="1"/>
  <c r="J817" i="11"/>
  <c r="L817" i="11" s="1"/>
  <c r="A817" i="11" s="1"/>
  <c r="J816" i="11"/>
  <c r="L816" i="11" s="1"/>
  <c r="C961" i="11" s="1"/>
  <c r="J815" i="11"/>
  <c r="L815" i="11" s="1"/>
  <c r="C938" i="11" s="1"/>
  <c r="J814" i="11"/>
  <c r="L814" i="11" s="1"/>
  <c r="J813" i="11"/>
  <c r="L813" i="11" s="1"/>
  <c r="A813" i="11" s="1"/>
  <c r="J812" i="11"/>
  <c r="L812" i="11" s="1"/>
  <c r="A812" i="11" s="1"/>
  <c r="J811" i="11"/>
  <c r="L811" i="11" s="1"/>
  <c r="C957" i="11" s="1"/>
  <c r="J810" i="11"/>
  <c r="L810" i="11" s="1"/>
  <c r="A810" i="11" s="1"/>
  <c r="J809" i="11"/>
  <c r="L809" i="11" s="1"/>
  <c r="A809" i="11" s="1"/>
  <c r="J808" i="11"/>
  <c r="L808" i="11" s="1"/>
  <c r="A808" i="11" s="1"/>
  <c r="J807" i="11"/>
  <c r="L807" i="11" s="1"/>
  <c r="J806" i="11"/>
  <c r="L806" i="11" s="1"/>
  <c r="J805" i="11"/>
  <c r="L805" i="11" s="1"/>
  <c r="A805" i="11" s="1"/>
  <c r="J804" i="11"/>
  <c r="L804" i="11" s="1"/>
  <c r="A804" i="11" s="1"/>
  <c r="J803" i="11"/>
  <c r="L803" i="11" s="1"/>
  <c r="A803" i="11" s="1"/>
  <c r="J802" i="11"/>
  <c r="L802" i="11" s="1"/>
  <c r="A802" i="11" s="1"/>
  <c r="J801" i="11"/>
  <c r="L801" i="11" s="1"/>
  <c r="A801" i="11" s="1"/>
  <c r="J800" i="11"/>
  <c r="J799" i="11"/>
  <c r="L799" i="11" s="1"/>
  <c r="A799" i="11" s="1"/>
  <c r="J798" i="11"/>
  <c r="C944" i="11" l="1"/>
  <c r="C940" i="11"/>
  <c r="C806" i="11"/>
  <c r="A806" i="11"/>
  <c r="C814" i="11"/>
  <c r="C856" i="11"/>
  <c r="C819" i="11"/>
  <c r="C832" i="11"/>
  <c r="C878" i="11"/>
  <c r="C896" i="11"/>
  <c r="C904" i="11"/>
  <c r="A814" i="11"/>
  <c r="C885" i="11"/>
  <c r="C826" i="11"/>
  <c r="A826" i="11"/>
  <c r="C834" i="11"/>
  <c r="A834" i="11"/>
  <c r="C843" i="11"/>
  <c r="A843" i="11"/>
  <c r="C825" i="11"/>
  <c r="A825" i="11"/>
  <c r="C833" i="11"/>
  <c r="A833" i="11"/>
  <c r="C837" i="11"/>
  <c r="A837" i="11"/>
  <c r="C590" i="11"/>
  <c r="C846" i="11"/>
  <c r="A846" i="11"/>
  <c r="C863" i="11"/>
  <c r="C908" i="11"/>
  <c r="A863" i="11"/>
  <c r="C830" i="11"/>
  <c r="A830" i="11"/>
  <c r="C807" i="11"/>
  <c r="A807" i="11"/>
  <c r="C873" i="11"/>
  <c r="C811" i="11"/>
  <c r="A811" i="11"/>
  <c r="C815" i="11"/>
  <c r="C902" i="11"/>
  <c r="A815" i="11"/>
  <c r="C827" i="11"/>
  <c r="A827" i="11"/>
  <c r="C835" i="11"/>
  <c r="A835" i="11"/>
  <c r="C852" i="11"/>
  <c r="A852" i="11"/>
  <c r="C864" i="11"/>
  <c r="C884" i="11"/>
  <c r="A864" i="11"/>
  <c r="C816" i="11"/>
  <c r="C888" i="11"/>
  <c r="A816" i="11"/>
  <c r="C840" i="11"/>
  <c r="C906" i="11"/>
  <c r="A840" i="11"/>
  <c r="M906" i="11"/>
  <c r="N906" i="11" s="1"/>
  <c r="O906" i="11" s="1"/>
  <c r="R906" i="11" s="1"/>
  <c r="C853" i="11"/>
  <c r="A853" i="11"/>
  <c r="N811" i="11"/>
  <c r="N815" i="11"/>
  <c r="O815" i="11" s="1"/>
  <c r="R815" i="11" s="1"/>
  <c r="N827" i="11"/>
  <c r="O827" i="11" s="1"/>
  <c r="R827" i="11" s="1"/>
  <c r="N831" i="11"/>
  <c r="O831" i="11" s="1"/>
  <c r="R831" i="11" s="1"/>
  <c r="N860" i="11"/>
  <c r="O860" i="11" s="1"/>
  <c r="N843" i="11"/>
  <c r="O843" i="11" s="1"/>
  <c r="R843" i="11" s="1"/>
  <c r="N856" i="11"/>
  <c r="O856" i="11" s="1"/>
  <c r="N802" i="11"/>
  <c r="O802" i="11" s="1"/>
  <c r="R802" i="11" s="1"/>
  <c r="N822" i="11"/>
  <c r="O822" i="11" s="1"/>
  <c r="R822" i="11" s="1"/>
  <c r="N834" i="11"/>
  <c r="N847" i="11"/>
  <c r="O847" i="11" s="1"/>
  <c r="R847" i="11" s="1"/>
  <c r="N859" i="11"/>
  <c r="O859" i="11" s="1"/>
  <c r="R859" i="11" s="1"/>
  <c r="N807" i="11"/>
  <c r="N852" i="11"/>
  <c r="O852" i="11" s="1"/>
  <c r="R852" i="11" s="1"/>
  <c r="N806" i="11"/>
  <c r="O806" i="11" s="1"/>
  <c r="R806" i="11" s="1"/>
  <c r="N818" i="11"/>
  <c r="N826" i="11"/>
  <c r="O826" i="11" s="1"/>
  <c r="R826" i="11" s="1"/>
  <c r="N838" i="11"/>
  <c r="O838" i="11" s="1"/>
  <c r="R838" i="11" s="1"/>
  <c r="N851" i="11"/>
  <c r="O851" i="11" s="1"/>
  <c r="R851" i="11" s="1"/>
  <c r="N855" i="11"/>
  <c r="N863" i="11"/>
  <c r="O863" i="11" s="1"/>
  <c r="R863" i="11" s="1"/>
  <c r="N823" i="11"/>
  <c r="N839" i="11"/>
  <c r="O839" i="11" s="1"/>
  <c r="R839" i="11" s="1"/>
  <c r="N798" i="11"/>
  <c r="O798" i="11" s="1"/>
  <c r="R798" i="11" s="1"/>
  <c r="N799" i="11"/>
  <c r="O799" i="11" s="1"/>
  <c r="R799" i="11" s="1"/>
  <c r="N844" i="11"/>
  <c r="O844" i="11" s="1"/>
  <c r="R844" i="11" s="1"/>
  <c r="N841" i="11"/>
  <c r="N803" i="11"/>
  <c r="O803" i="11" s="1"/>
  <c r="R803" i="11" s="1"/>
  <c r="N810" i="11"/>
  <c r="O810" i="11" s="1"/>
  <c r="R810" i="11" s="1"/>
  <c r="N830" i="11"/>
  <c r="O830" i="11" s="1"/>
  <c r="R830" i="11" s="1"/>
  <c r="N804" i="11"/>
  <c r="O804" i="11" s="1"/>
  <c r="R804" i="11" s="1"/>
  <c r="N808" i="11"/>
  <c r="O808" i="11" s="1"/>
  <c r="R808" i="11" s="1"/>
  <c r="N812" i="11"/>
  <c r="O812" i="11" s="1"/>
  <c r="R812" i="11" s="1"/>
  <c r="N816" i="11"/>
  <c r="O816" i="11" s="1"/>
  <c r="R816" i="11" s="1"/>
  <c r="N820" i="11"/>
  <c r="O820" i="11" s="1"/>
  <c r="R820" i="11" s="1"/>
  <c r="N824" i="11"/>
  <c r="O824" i="11" s="1"/>
  <c r="R824" i="11" s="1"/>
  <c r="N828" i="11"/>
  <c r="O828" i="11" s="1"/>
  <c r="R828" i="11" s="1"/>
  <c r="N832" i="11"/>
  <c r="O832" i="11" s="1"/>
  <c r="R832" i="11" s="1"/>
  <c r="N836" i="11"/>
  <c r="O836" i="11" s="1"/>
  <c r="R836" i="11" s="1"/>
  <c r="N840" i="11"/>
  <c r="O840" i="11" s="1"/>
  <c r="R840" i="11" s="1"/>
  <c r="N849" i="11"/>
  <c r="O849" i="11" s="1"/>
  <c r="R849" i="11" s="1"/>
  <c r="N853" i="11"/>
  <c r="O853" i="11" s="1"/>
  <c r="R853" i="11" s="1"/>
  <c r="N857" i="11"/>
  <c r="O857" i="11" s="1"/>
  <c r="R857" i="11" s="1"/>
  <c r="N861" i="11"/>
  <c r="O861" i="11" s="1"/>
  <c r="N865" i="11"/>
  <c r="O865" i="11" s="1"/>
  <c r="N814" i="11"/>
  <c r="O814" i="11" s="1"/>
  <c r="R814" i="11" s="1"/>
  <c r="N805" i="11"/>
  <c r="O805" i="11" s="1"/>
  <c r="R805" i="11" s="1"/>
  <c r="N809" i="11"/>
  <c r="O809" i="11" s="1"/>
  <c r="N813" i="11"/>
  <c r="O813" i="11" s="1"/>
  <c r="R813" i="11" s="1"/>
  <c r="N817" i="11"/>
  <c r="O817" i="11" s="1"/>
  <c r="N821" i="11"/>
  <c r="O821" i="11" s="1"/>
  <c r="R821" i="11" s="1"/>
  <c r="N825" i="11"/>
  <c r="O825" i="11" s="1"/>
  <c r="N829" i="11"/>
  <c r="O829" i="11" s="1"/>
  <c r="R829" i="11" s="1"/>
  <c r="N833" i="11"/>
  <c r="O833" i="11" s="1"/>
  <c r="R833" i="11" s="1"/>
  <c r="N837" i="11"/>
  <c r="O837" i="11" s="1"/>
  <c r="R837" i="11" s="1"/>
  <c r="N842" i="11"/>
  <c r="O842" i="11" s="1"/>
  <c r="R842" i="11" s="1"/>
  <c r="N846" i="11"/>
  <c r="O846" i="11" s="1"/>
  <c r="R846" i="11" s="1"/>
  <c r="N850" i="11"/>
  <c r="O850" i="11" s="1"/>
  <c r="R850" i="11" s="1"/>
  <c r="N854" i="11"/>
  <c r="O854" i="11" s="1"/>
  <c r="R854" i="11" s="1"/>
  <c r="N862" i="11"/>
  <c r="O862" i="11" s="1"/>
  <c r="R862" i="11" s="1"/>
  <c r="N835" i="11"/>
  <c r="O835" i="11" s="1"/>
  <c r="R835" i="11" s="1"/>
  <c r="N848" i="11"/>
  <c r="O848" i="11" s="1"/>
  <c r="R848" i="11" s="1"/>
  <c r="N864" i="11"/>
  <c r="O864" i="11" s="1"/>
  <c r="R864" i="11" s="1"/>
  <c r="N819" i="11"/>
  <c r="O807" i="11"/>
  <c r="R807" i="11" s="1"/>
  <c r="O823" i="11"/>
  <c r="R823" i="11" s="1"/>
  <c r="O811" i="11"/>
  <c r="R811" i="11" s="1"/>
  <c r="L800" i="11"/>
  <c r="A800" i="11" s="1"/>
  <c r="L858" i="11"/>
  <c r="A858" i="11" s="1"/>
  <c r="O819" i="11"/>
  <c r="R819" i="11" s="1"/>
  <c r="O818" i="11"/>
  <c r="R818" i="11" s="1"/>
  <c r="O834" i="11"/>
  <c r="R834" i="11" s="1"/>
  <c r="O855" i="11"/>
  <c r="R855" i="11" s="1"/>
  <c r="R860" i="11" l="1"/>
  <c r="R856" i="11"/>
  <c r="O841" i="11"/>
  <c r="R841" i="11" s="1"/>
  <c r="R865" i="11"/>
  <c r="R825" i="11"/>
  <c r="R817" i="11"/>
  <c r="R809" i="11"/>
  <c r="R861" i="11"/>
  <c r="N800" i="11"/>
  <c r="O800" i="11" s="1"/>
  <c r="R800" i="11" s="1"/>
  <c r="N858" i="11"/>
  <c r="O858" i="11" s="1"/>
  <c r="R858" i="11" s="1"/>
  <c r="R102" i="5" l="1"/>
  <c r="R99" i="5" l="1"/>
  <c r="T99" i="5" s="1"/>
  <c r="J797" i="11" l="1"/>
  <c r="L797" i="11" s="1"/>
  <c r="A797" i="11" s="1"/>
  <c r="J796" i="11"/>
  <c r="L796" i="11" s="1"/>
  <c r="J795" i="11"/>
  <c r="L795" i="11" s="1"/>
  <c r="A795" i="11" s="1"/>
  <c r="J794" i="11"/>
  <c r="L794" i="11" s="1"/>
  <c r="A794" i="11" s="1"/>
  <c r="J793" i="11"/>
  <c r="L793" i="11" s="1"/>
  <c r="J792" i="11"/>
  <c r="J791" i="11"/>
  <c r="L791" i="11" s="1"/>
  <c r="J790" i="11"/>
  <c r="L790" i="11" s="1"/>
  <c r="J789" i="11"/>
  <c r="L789" i="11" s="1"/>
  <c r="A789" i="11" s="1"/>
  <c r="L788" i="11"/>
  <c r="A788" i="11" s="1"/>
  <c r="J787" i="11"/>
  <c r="L787" i="11" s="1"/>
  <c r="A787" i="11" s="1"/>
  <c r="J786" i="11"/>
  <c r="L786" i="11" s="1"/>
  <c r="A786" i="11" s="1"/>
  <c r="J785" i="11"/>
  <c r="L785" i="11" s="1"/>
  <c r="A785" i="11" s="1"/>
  <c r="J784" i="11"/>
  <c r="L784" i="11" s="1"/>
  <c r="A784" i="11" s="1"/>
  <c r="J783" i="11"/>
  <c r="L783" i="11" s="1"/>
  <c r="A783" i="11" s="1"/>
  <c r="J782" i="11"/>
  <c r="L782" i="11" s="1"/>
  <c r="A782" i="11" s="1"/>
  <c r="J781" i="11"/>
  <c r="L781" i="11" s="1"/>
  <c r="A781" i="11" s="1"/>
  <c r="K780" i="11"/>
  <c r="J780" i="11"/>
  <c r="J779" i="11"/>
  <c r="L779" i="11" s="1"/>
  <c r="C939" i="11" s="1"/>
  <c r="J778" i="11"/>
  <c r="L778" i="11" s="1"/>
  <c r="A778" i="11" s="1"/>
  <c r="J777" i="11"/>
  <c r="L777" i="11" s="1"/>
  <c r="O776" i="11"/>
  <c r="R776" i="11" s="1"/>
  <c r="K776" i="11"/>
  <c r="J776" i="11"/>
  <c r="J775" i="11"/>
  <c r="L775" i="11" s="1"/>
  <c r="A775" i="11" s="1"/>
  <c r="J774" i="11"/>
  <c r="L774" i="11" s="1"/>
  <c r="J773" i="11"/>
  <c r="J772" i="11"/>
  <c r="J771" i="11"/>
  <c r="L771" i="11" s="1"/>
  <c r="A771" i="11" s="1"/>
  <c r="J770" i="11"/>
  <c r="L770" i="11" s="1"/>
  <c r="A770" i="11" s="1"/>
  <c r="J769" i="11"/>
  <c r="L769" i="11" s="1"/>
  <c r="A769" i="11" s="1"/>
  <c r="J768" i="11"/>
  <c r="L768" i="11" s="1"/>
  <c r="A768" i="11" s="1"/>
  <c r="J767" i="11"/>
  <c r="L767" i="11" s="1"/>
  <c r="J766" i="11"/>
  <c r="L766" i="11" s="1"/>
  <c r="J765" i="11"/>
  <c r="L765" i="11" s="1"/>
  <c r="J764" i="11"/>
  <c r="L764" i="11" s="1"/>
  <c r="J763" i="11"/>
  <c r="L763" i="11" s="1"/>
  <c r="A763" i="11" s="1"/>
  <c r="J762" i="11"/>
  <c r="L762" i="11" s="1"/>
  <c r="A762" i="11" s="1"/>
  <c r="J761" i="11"/>
  <c r="L761" i="11" s="1"/>
  <c r="A761" i="11" s="1"/>
  <c r="J760" i="11"/>
  <c r="L760" i="11" s="1"/>
  <c r="J759" i="11"/>
  <c r="L759" i="11" s="1"/>
  <c r="A759" i="11" s="1"/>
  <c r="J758" i="11"/>
  <c r="L758" i="11" s="1"/>
  <c r="A758" i="11" s="1"/>
  <c r="J757" i="11"/>
  <c r="L757" i="11" s="1"/>
  <c r="A757" i="11" s="1"/>
  <c r="J756" i="11"/>
  <c r="L756" i="11" s="1"/>
  <c r="A756" i="11" s="1"/>
  <c r="J755" i="11"/>
  <c r="L755" i="11" s="1"/>
  <c r="A755" i="11" s="1"/>
  <c r="J754" i="11"/>
  <c r="L754" i="11" s="1"/>
  <c r="A754" i="11" s="1"/>
  <c r="J753" i="11"/>
  <c r="L753" i="11" s="1"/>
  <c r="A753" i="11" s="1"/>
  <c r="J752" i="11"/>
  <c r="L752" i="11" s="1"/>
  <c r="J751" i="11"/>
  <c r="L751" i="11" s="1"/>
  <c r="C933" i="11" s="1"/>
  <c r="J750" i="11"/>
  <c r="L750" i="11" s="1"/>
  <c r="A750" i="11" s="1"/>
  <c r="J749" i="11"/>
  <c r="L773" i="11" s="1"/>
  <c r="A773" i="11" s="1"/>
  <c r="L748" i="11"/>
  <c r="A748" i="11" s="1"/>
  <c r="J747" i="11"/>
  <c r="L747" i="11" s="1"/>
  <c r="A747" i="11" s="1"/>
  <c r="J746" i="11"/>
  <c r="L746" i="11" s="1"/>
  <c r="A746" i="11" s="1"/>
  <c r="J745" i="11"/>
  <c r="I745" i="11"/>
  <c r="L745" i="11" s="1"/>
  <c r="J744" i="11"/>
  <c r="I744" i="11"/>
  <c r="L744" i="11" s="1"/>
  <c r="J743" i="11"/>
  <c r="I743" i="11"/>
  <c r="L743" i="11" s="1"/>
  <c r="A743" i="11" s="1"/>
  <c r="J742" i="11"/>
  <c r="I742" i="11"/>
  <c r="L742" i="11" s="1"/>
  <c r="A742" i="11" s="1"/>
  <c r="J741" i="11"/>
  <c r="I741" i="11"/>
  <c r="L741" i="11" s="1"/>
  <c r="A741" i="11" s="1"/>
  <c r="J740" i="11"/>
  <c r="I740" i="11"/>
  <c r="L740" i="11" s="1"/>
  <c r="J739" i="11"/>
  <c r="I739" i="11"/>
  <c r="L739" i="11" s="1"/>
  <c r="A739" i="11" s="1"/>
  <c r="J738" i="11"/>
  <c r="I738" i="11"/>
  <c r="L738" i="11" s="1"/>
  <c r="A738" i="11" s="1"/>
  <c r="L737" i="11"/>
  <c r="A737" i="11" s="1"/>
  <c r="L736" i="11"/>
  <c r="A736" i="11" s="1"/>
  <c r="J735" i="11"/>
  <c r="I735" i="11"/>
  <c r="L735" i="11" s="1"/>
  <c r="A735" i="11" s="1"/>
  <c r="J734" i="11"/>
  <c r="I734" i="11"/>
  <c r="L734" i="11" s="1"/>
  <c r="A734" i="11" s="1"/>
  <c r="L733" i="11"/>
  <c r="A733" i="11" s="1"/>
  <c r="J732" i="11"/>
  <c r="I732" i="11"/>
  <c r="L732" i="11" s="1"/>
  <c r="A732" i="11" s="1"/>
  <c r="J731" i="11"/>
  <c r="I731" i="11"/>
  <c r="L731" i="11" s="1"/>
  <c r="A731" i="11" s="1"/>
  <c r="J730" i="11"/>
  <c r="I730" i="11"/>
  <c r="L730" i="11" s="1"/>
  <c r="A730" i="11" s="1"/>
  <c r="J729" i="11"/>
  <c r="I729" i="11"/>
  <c r="L729" i="11" s="1"/>
  <c r="A729" i="11" s="1"/>
  <c r="J728" i="11"/>
  <c r="I728" i="11"/>
  <c r="L728" i="11" s="1"/>
  <c r="A728" i="11" s="1"/>
  <c r="P21" i="5"/>
  <c r="R21" i="5" s="1"/>
  <c r="C765" i="11" l="1"/>
  <c r="A765" i="11"/>
  <c r="A779" i="11"/>
  <c r="C779" i="11"/>
  <c r="C790" i="11"/>
  <c r="A790" i="11"/>
  <c r="C774" i="11"/>
  <c r="A774" i="11"/>
  <c r="C836" i="11"/>
  <c r="C791" i="11"/>
  <c r="A791" i="11"/>
  <c r="C740" i="11"/>
  <c r="A740" i="11"/>
  <c r="C744" i="11"/>
  <c r="A744" i="11"/>
  <c r="C766" i="11"/>
  <c r="A766" i="11"/>
  <c r="C822" i="11"/>
  <c r="C839" i="11"/>
  <c r="C881" i="11"/>
  <c r="C751" i="11"/>
  <c r="C861" i="11"/>
  <c r="C787" i="11"/>
  <c r="C804" i="11"/>
  <c r="A751" i="11"/>
  <c r="C767" i="11"/>
  <c r="A767" i="11"/>
  <c r="C777" i="11"/>
  <c r="C870" i="11"/>
  <c r="A777" i="11"/>
  <c r="C796" i="11"/>
  <c r="A796" i="11"/>
  <c r="C745" i="11"/>
  <c r="A745" i="11"/>
  <c r="C752" i="11"/>
  <c r="C842" i="11"/>
  <c r="A752" i="11"/>
  <c r="C760" i="11"/>
  <c r="C812" i="11"/>
  <c r="A760" i="11"/>
  <c r="A764" i="11"/>
  <c r="C793" i="11"/>
  <c r="A793" i="11"/>
  <c r="L776" i="11"/>
  <c r="N730" i="11"/>
  <c r="N782" i="11"/>
  <c r="O782" i="11" s="1"/>
  <c r="R782" i="11" s="1"/>
  <c r="N786" i="11"/>
  <c r="O786" i="11" s="1"/>
  <c r="R786" i="11" s="1"/>
  <c r="N735" i="11"/>
  <c r="O735" i="11" s="1"/>
  <c r="R735" i="11" s="1"/>
  <c r="N740" i="11"/>
  <c r="N746" i="11"/>
  <c r="O746" i="11" s="1"/>
  <c r="R746" i="11" s="1"/>
  <c r="N754" i="11"/>
  <c r="O754" i="11" s="1"/>
  <c r="R754" i="11" s="1"/>
  <c r="N758" i="11"/>
  <c r="O758" i="11" s="1"/>
  <c r="R758" i="11" s="1"/>
  <c r="N762" i="11"/>
  <c r="N766" i="11"/>
  <c r="O766" i="11" s="1"/>
  <c r="R766" i="11" s="1"/>
  <c r="N774" i="11"/>
  <c r="O774" i="11" s="1"/>
  <c r="R774" i="11" s="1"/>
  <c r="N783" i="11"/>
  <c r="O783" i="11" s="1"/>
  <c r="R783" i="11" s="1"/>
  <c r="N791" i="11"/>
  <c r="O791" i="11" s="1"/>
  <c r="R791" i="11" s="1"/>
  <c r="N795" i="11"/>
  <c r="O795" i="11" s="1"/>
  <c r="R795" i="11" s="1"/>
  <c r="N738" i="11"/>
  <c r="O738" i="11" s="1"/>
  <c r="N744" i="11"/>
  <c r="O744" i="11" s="1"/>
  <c r="N733" i="11"/>
  <c r="N777" i="11"/>
  <c r="O777" i="11" s="1"/>
  <c r="R777" i="11" s="1"/>
  <c r="N784" i="11"/>
  <c r="O784" i="11" s="1"/>
  <c r="R784" i="11" s="1"/>
  <c r="N788" i="11"/>
  <c r="O788" i="11" s="1"/>
  <c r="R788" i="11" s="1"/>
  <c r="N753" i="11"/>
  <c r="N761" i="11"/>
  <c r="O761" i="11" s="1"/>
  <c r="R761" i="11" s="1"/>
  <c r="N794" i="11"/>
  <c r="O794" i="11" s="1"/>
  <c r="R794" i="11" s="1"/>
  <c r="N729" i="11"/>
  <c r="O729" i="11" s="1"/>
  <c r="R729" i="11" s="1"/>
  <c r="N731" i="11"/>
  <c r="O731" i="11" s="1"/>
  <c r="N734" i="11"/>
  <c r="O734" i="11" s="1"/>
  <c r="N736" i="11"/>
  <c r="O736" i="11" s="1"/>
  <c r="R736" i="11" s="1"/>
  <c r="N739" i="11"/>
  <c r="O739" i="11" s="1"/>
  <c r="R739" i="11" s="1"/>
  <c r="N748" i="11"/>
  <c r="O748" i="11" s="1"/>
  <c r="R748" i="11" s="1"/>
  <c r="N752" i="11"/>
  <c r="O752" i="11" s="1"/>
  <c r="R752" i="11" s="1"/>
  <c r="N756" i="11"/>
  <c r="N760" i="11"/>
  <c r="O760" i="11" s="1"/>
  <c r="R760" i="11" s="1"/>
  <c r="N785" i="11"/>
  <c r="O785" i="11" s="1"/>
  <c r="R785" i="11" s="1"/>
  <c r="N789" i="11"/>
  <c r="O789" i="11" s="1"/>
  <c r="R789" i="11" s="1"/>
  <c r="N793" i="11"/>
  <c r="O793" i="11" s="1"/>
  <c r="N757" i="11"/>
  <c r="O757" i="11" s="1"/>
  <c r="R757" i="11" s="1"/>
  <c r="N796" i="11"/>
  <c r="O796" i="11" s="1"/>
  <c r="R796" i="11" s="1"/>
  <c r="N751" i="11"/>
  <c r="O751" i="11" s="1"/>
  <c r="R751" i="11" s="1"/>
  <c r="N765" i="11"/>
  <c r="O765" i="11" s="1"/>
  <c r="R765" i="11" s="1"/>
  <c r="N790" i="11"/>
  <c r="O790" i="11" s="1"/>
  <c r="R790" i="11" s="1"/>
  <c r="N755" i="11"/>
  <c r="O755" i="11" s="1"/>
  <c r="R755" i="11" s="1"/>
  <c r="N781" i="11"/>
  <c r="O781" i="11" s="1"/>
  <c r="R781" i="11" s="1"/>
  <c r="N787" i="11"/>
  <c r="O787" i="11" s="1"/>
  <c r="R787" i="11" s="1"/>
  <c r="N732" i="11"/>
  <c r="O732" i="11" s="1"/>
  <c r="R732" i="11" s="1"/>
  <c r="N759" i="11"/>
  <c r="N728" i="11"/>
  <c r="O728" i="11" s="1"/>
  <c r="N763" i="11"/>
  <c r="O763" i="11" s="1"/>
  <c r="R763" i="11" s="1"/>
  <c r="N767" i="11"/>
  <c r="O767" i="11" s="1"/>
  <c r="R767" i="11" s="1"/>
  <c r="N771" i="11"/>
  <c r="O771" i="11" s="1"/>
  <c r="R771" i="11" s="1"/>
  <c r="N779" i="11"/>
  <c r="O779" i="11" s="1"/>
  <c r="R779" i="11" s="1"/>
  <c r="N745" i="11"/>
  <c r="O745" i="11" s="1"/>
  <c r="R745" i="11" s="1"/>
  <c r="R744" i="11"/>
  <c r="L792" i="11"/>
  <c r="A792" i="11" s="1"/>
  <c r="L780" i="11"/>
  <c r="A780" i="11" s="1"/>
  <c r="O730" i="11"/>
  <c r="R730" i="11" s="1"/>
  <c r="R738" i="11"/>
  <c r="O740" i="11"/>
  <c r="R740" i="11" s="1"/>
  <c r="M742" i="11"/>
  <c r="N742" i="11" s="1"/>
  <c r="O753" i="11"/>
  <c r="R753" i="11" s="1"/>
  <c r="O756" i="11"/>
  <c r="R756" i="11" s="1"/>
  <c r="M780" i="11"/>
  <c r="N764" i="11"/>
  <c r="M778" i="11"/>
  <c r="N778" i="11" s="1"/>
  <c r="N769" i="11"/>
  <c r="O733" i="11"/>
  <c r="R733" i="11" s="1"/>
  <c r="M750" i="11"/>
  <c r="N750" i="11" s="1"/>
  <c r="N737" i="11"/>
  <c r="O759" i="11"/>
  <c r="R759" i="11" s="1"/>
  <c r="O762" i="11"/>
  <c r="R762" i="11" s="1"/>
  <c r="L772" i="11"/>
  <c r="A772" i="11" s="1"/>
  <c r="L749" i="11"/>
  <c r="C772" i="11" l="1"/>
  <c r="C749" i="11"/>
  <c r="A749" i="11"/>
  <c r="R734" i="11"/>
  <c r="R793" i="11"/>
  <c r="C780" i="11"/>
  <c r="C764" i="11"/>
  <c r="A776" i="11"/>
  <c r="N780" i="11"/>
  <c r="R731" i="11"/>
  <c r="R728" i="11"/>
  <c r="N792" i="11"/>
  <c r="O792" i="11" s="1"/>
  <c r="R792" i="11" s="1"/>
  <c r="O780" i="11"/>
  <c r="R780" i="11" s="1"/>
  <c r="O778" i="11"/>
  <c r="R778" i="11" s="1"/>
  <c r="O750" i="11"/>
  <c r="R750" i="11" s="1"/>
  <c r="O737" i="11"/>
  <c r="R737" i="11" s="1"/>
  <c r="O742" i="11"/>
  <c r="R742" i="11" s="1"/>
  <c r="O769" i="11"/>
  <c r="R769" i="11" s="1"/>
  <c r="M772" i="11"/>
  <c r="N772" i="11" s="1"/>
  <c r="N749" i="11"/>
  <c r="O764" i="11"/>
  <c r="R764" i="11" s="1"/>
  <c r="AA7" i="5"/>
  <c r="AA465" i="5" l="1"/>
  <c r="AA715" i="5" s="1"/>
  <c r="O772" i="11"/>
  <c r="R772" i="11" s="1"/>
  <c r="O749" i="11"/>
  <c r="R749" i="11" s="1"/>
  <c r="AC7" i="5"/>
  <c r="AC465" i="5" s="1"/>
  <c r="AC715" i="5" s="1"/>
  <c r="AB7" i="5"/>
  <c r="AB465" i="5" s="1"/>
  <c r="AB715" i="5" s="1"/>
  <c r="J727" i="11" l="1"/>
  <c r="I727" i="11"/>
  <c r="L727" i="11" s="1"/>
  <c r="A727" i="11" s="1"/>
  <c r="L726" i="11"/>
  <c r="A726" i="11" s="1"/>
  <c r="K725" i="11"/>
  <c r="J725" i="11"/>
  <c r="I725" i="11"/>
  <c r="K724" i="11"/>
  <c r="J724" i="11"/>
  <c r="I724" i="11"/>
  <c r="J723" i="11"/>
  <c r="I723" i="11"/>
  <c r="L723" i="11" s="1"/>
  <c r="C912" i="11" s="1"/>
  <c r="J722" i="11"/>
  <c r="I722" i="11"/>
  <c r="L722" i="11" s="1"/>
  <c r="A722" i="11" s="1"/>
  <c r="K721" i="11"/>
  <c r="L721" i="11" s="1"/>
  <c r="A721" i="11" s="1"/>
  <c r="L720" i="11"/>
  <c r="A720" i="11" s="1"/>
  <c r="J720" i="11"/>
  <c r="I720" i="11"/>
  <c r="J719" i="11"/>
  <c r="I719" i="11"/>
  <c r="L719" i="11" s="1"/>
  <c r="A719" i="11" s="1"/>
  <c r="L718" i="11"/>
  <c r="L717" i="11"/>
  <c r="A717" i="11" s="1"/>
  <c r="J716" i="11"/>
  <c r="I716" i="11"/>
  <c r="L716" i="11" s="1"/>
  <c r="A716" i="11" s="1"/>
  <c r="J715" i="11"/>
  <c r="I715" i="11"/>
  <c r="L715" i="11" s="1"/>
  <c r="A715" i="11" s="1"/>
  <c r="J714" i="11"/>
  <c r="I714" i="11"/>
  <c r="L714" i="11" s="1"/>
  <c r="A714" i="11" s="1"/>
  <c r="J713" i="11"/>
  <c r="I713" i="11"/>
  <c r="L713" i="11" s="1"/>
  <c r="A713" i="11" s="1"/>
  <c r="J712" i="11"/>
  <c r="I712" i="11"/>
  <c r="L712" i="11" s="1"/>
  <c r="J711" i="11"/>
  <c r="I711" i="11"/>
  <c r="L711" i="11" s="1"/>
  <c r="A711" i="11" s="1"/>
  <c r="J710" i="11"/>
  <c r="I710" i="11"/>
  <c r="L710" i="11" s="1"/>
  <c r="A710" i="11" s="1"/>
  <c r="J709" i="11"/>
  <c r="I709" i="11"/>
  <c r="L709" i="11" s="1"/>
  <c r="J708" i="11"/>
  <c r="I708" i="11"/>
  <c r="L708" i="11" s="1"/>
  <c r="A708" i="11" s="1"/>
  <c r="J707" i="11"/>
  <c r="I707" i="11"/>
  <c r="L707" i="11" s="1"/>
  <c r="A707" i="11" s="1"/>
  <c r="J706" i="11"/>
  <c r="I706" i="11"/>
  <c r="L706" i="11" s="1"/>
  <c r="J705" i="11"/>
  <c r="I705" i="11"/>
  <c r="L705" i="11" s="1"/>
  <c r="A705" i="11" s="1"/>
  <c r="J704" i="11"/>
  <c r="I704" i="11"/>
  <c r="L704" i="11" s="1"/>
  <c r="A704" i="11" s="1"/>
  <c r="J703" i="11"/>
  <c r="I703" i="11"/>
  <c r="L703" i="11" s="1"/>
  <c r="A703" i="11" s="1"/>
  <c r="J702" i="11"/>
  <c r="I702" i="11"/>
  <c r="L702" i="11" s="1"/>
  <c r="A702" i="11" s="1"/>
  <c r="J701" i="11"/>
  <c r="I701" i="11"/>
  <c r="L701" i="11" s="1"/>
  <c r="A701" i="11" s="1"/>
  <c r="J700" i="11"/>
  <c r="I700" i="11"/>
  <c r="L700" i="11" s="1"/>
  <c r="A700" i="11" s="1"/>
  <c r="L699" i="11"/>
  <c r="L698" i="11"/>
  <c r="L697" i="11"/>
  <c r="A697" i="11" s="1"/>
  <c r="J696" i="11"/>
  <c r="I696" i="11"/>
  <c r="L696" i="11" s="1"/>
  <c r="J695" i="11"/>
  <c r="I695" i="11"/>
  <c r="L695" i="11" s="1"/>
  <c r="A695" i="11" s="1"/>
  <c r="J694" i="11"/>
  <c r="I694" i="11"/>
  <c r="L694" i="11" s="1"/>
  <c r="A694" i="11" s="1"/>
  <c r="L693" i="11"/>
  <c r="A693" i="11" s="1"/>
  <c r="J692" i="11"/>
  <c r="I692" i="11"/>
  <c r="L692" i="11" s="1"/>
  <c r="A692" i="11" s="1"/>
  <c r="J691" i="11"/>
  <c r="I691" i="11"/>
  <c r="L691" i="11" s="1"/>
  <c r="A691" i="11" s="1"/>
  <c r="J690" i="11"/>
  <c r="I690" i="11"/>
  <c r="L690" i="11" s="1"/>
  <c r="A690" i="11" s="1"/>
  <c r="K689" i="11"/>
  <c r="J689" i="11"/>
  <c r="I689" i="11"/>
  <c r="K688" i="11"/>
  <c r="L688" i="11" s="1"/>
  <c r="A688" i="11" s="1"/>
  <c r="K687" i="11"/>
  <c r="J687" i="11"/>
  <c r="I687" i="11"/>
  <c r="J686" i="11"/>
  <c r="I686" i="11"/>
  <c r="L686" i="11" s="1"/>
  <c r="J685" i="11"/>
  <c r="I685" i="11"/>
  <c r="L685" i="11" s="1"/>
  <c r="K684" i="11"/>
  <c r="J684" i="11"/>
  <c r="I684" i="11"/>
  <c r="J683" i="11"/>
  <c r="I683" i="11"/>
  <c r="L683" i="11" s="1"/>
  <c r="A683" i="11" s="1"/>
  <c r="J682" i="11"/>
  <c r="I682" i="11"/>
  <c r="L682" i="11" s="1"/>
  <c r="A682" i="11" s="1"/>
  <c r="J681" i="11"/>
  <c r="I681" i="11"/>
  <c r="L681" i="11" s="1"/>
  <c r="A681" i="11" s="1"/>
  <c r="L680" i="11"/>
  <c r="A680" i="11" s="1"/>
  <c r="J679" i="11"/>
  <c r="I679" i="11"/>
  <c r="L679" i="11" s="1"/>
  <c r="A679" i="11" s="1"/>
  <c r="J678" i="11"/>
  <c r="I678" i="11"/>
  <c r="L678" i="11" s="1"/>
  <c r="A678" i="11" s="1"/>
  <c r="J677" i="11"/>
  <c r="I677" i="11"/>
  <c r="L677" i="11" s="1"/>
  <c r="A677" i="11" s="1"/>
  <c r="L676" i="11"/>
  <c r="A676" i="11" s="1"/>
  <c r="J675" i="11"/>
  <c r="I675" i="11"/>
  <c r="L675" i="11" s="1"/>
  <c r="A675" i="11" s="1"/>
  <c r="J674" i="11"/>
  <c r="I674" i="11"/>
  <c r="L674" i="11" s="1"/>
  <c r="A674" i="11" s="1"/>
  <c r="J673" i="11"/>
  <c r="I673" i="11"/>
  <c r="L673" i="11" s="1"/>
  <c r="J672" i="11"/>
  <c r="I672" i="11"/>
  <c r="L672" i="11" s="1"/>
  <c r="J671" i="11"/>
  <c r="I671" i="11"/>
  <c r="L671" i="11" s="1"/>
  <c r="A671" i="11" s="1"/>
  <c r="J670" i="11"/>
  <c r="I670" i="11"/>
  <c r="L670" i="11" s="1"/>
  <c r="J669" i="11"/>
  <c r="I669" i="11"/>
  <c r="L669" i="11" s="1"/>
  <c r="J668" i="11"/>
  <c r="I668" i="11"/>
  <c r="L668" i="11" s="1"/>
  <c r="A668" i="11" s="1"/>
  <c r="J667" i="11"/>
  <c r="I667" i="11"/>
  <c r="L667" i="11" s="1"/>
  <c r="A667" i="11" s="1"/>
  <c r="L666" i="11"/>
  <c r="J666" i="11"/>
  <c r="L665" i="11"/>
  <c r="A665" i="11" s="1"/>
  <c r="J665" i="11"/>
  <c r="G664" i="11"/>
  <c r="J663" i="11"/>
  <c r="I663" i="11"/>
  <c r="L663" i="11" s="1"/>
  <c r="A663" i="11" s="1"/>
  <c r="J662" i="11"/>
  <c r="I662" i="11"/>
  <c r="L662" i="11" s="1"/>
  <c r="A662" i="11" s="1"/>
  <c r="J661" i="11"/>
  <c r="I661" i="11"/>
  <c r="L661" i="11" s="1"/>
  <c r="A661" i="11" s="1"/>
  <c r="J660" i="11"/>
  <c r="I660" i="11"/>
  <c r="L660" i="11" s="1"/>
  <c r="A660" i="11" s="1"/>
  <c r="J659" i="11"/>
  <c r="I659" i="11"/>
  <c r="L659" i="11" s="1"/>
  <c r="A659" i="11" s="1"/>
  <c r="J658" i="11"/>
  <c r="I658" i="11"/>
  <c r="L658" i="11" s="1"/>
  <c r="A658" i="11" s="1"/>
  <c r="J657" i="11"/>
  <c r="I657" i="11"/>
  <c r="L657" i="11" s="1"/>
  <c r="A657" i="11" s="1"/>
  <c r="L656" i="11"/>
  <c r="A656" i="11" s="1"/>
  <c r="J655" i="11"/>
  <c r="I655" i="11"/>
  <c r="L655" i="11" s="1"/>
  <c r="A655" i="11" s="1"/>
  <c r="J654" i="11"/>
  <c r="I654" i="11"/>
  <c r="L654" i="11" s="1"/>
  <c r="A654" i="11" s="1"/>
  <c r="J653" i="11"/>
  <c r="I653" i="11"/>
  <c r="L653" i="11" s="1"/>
  <c r="A653" i="11" s="1"/>
  <c r="J652" i="11"/>
  <c r="I652" i="11"/>
  <c r="L652" i="11" s="1"/>
  <c r="A652" i="11" s="1"/>
  <c r="K651" i="11"/>
  <c r="J651" i="11"/>
  <c r="I651" i="11"/>
  <c r="J650" i="11"/>
  <c r="I650" i="11"/>
  <c r="L650" i="11" s="1"/>
  <c r="A650" i="11" s="1"/>
  <c r="K649" i="11"/>
  <c r="J649" i="11"/>
  <c r="I649" i="11"/>
  <c r="J648" i="11"/>
  <c r="I648" i="11"/>
  <c r="L648" i="11" s="1"/>
  <c r="A648" i="11" s="1"/>
  <c r="J647" i="11"/>
  <c r="I647" i="11"/>
  <c r="L647" i="11" s="1"/>
  <c r="L646" i="11"/>
  <c r="J646" i="11"/>
  <c r="I646" i="11"/>
  <c r="L645" i="11"/>
  <c r="A645" i="11" s="1"/>
  <c r="J645" i="11"/>
  <c r="J644" i="11"/>
  <c r="I644" i="11"/>
  <c r="L644" i="11" s="1"/>
  <c r="K643" i="11"/>
  <c r="J643" i="11"/>
  <c r="I643" i="11"/>
  <c r="J642" i="11"/>
  <c r="I642" i="11"/>
  <c r="L642" i="11" s="1"/>
  <c r="J641" i="11"/>
  <c r="I641" i="11"/>
  <c r="L641" i="11" s="1"/>
  <c r="J640" i="11"/>
  <c r="I640" i="11"/>
  <c r="L640" i="11" s="1"/>
  <c r="A640" i="11" s="1"/>
  <c r="K639" i="11"/>
  <c r="J639" i="11"/>
  <c r="I639" i="11"/>
  <c r="K638" i="11"/>
  <c r="J638" i="11"/>
  <c r="I638" i="11"/>
  <c r="L637" i="11"/>
  <c r="L636" i="11"/>
  <c r="K635" i="11"/>
  <c r="L635" i="11" s="1"/>
  <c r="A635" i="11" s="1"/>
  <c r="K634" i="11"/>
  <c r="J634" i="11"/>
  <c r="I634" i="11"/>
  <c r="K633" i="11"/>
  <c r="J633" i="11"/>
  <c r="I633" i="11"/>
  <c r="J632" i="11"/>
  <c r="I632" i="11"/>
  <c r="L632" i="11" s="1"/>
  <c r="A632" i="11" s="1"/>
  <c r="L631" i="11"/>
  <c r="A631" i="11" s="1"/>
  <c r="J630" i="11"/>
  <c r="I630" i="11"/>
  <c r="L630" i="11" s="1"/>
  <c r="A630" i="11" s="1"/>
  <c r="J629" i="11"/>
  <c r="I629" i="11"/>
  <c r="L629" i="11" s="1"/>
  <c r="A629" i="11" s="1"/>
  <c r="J628" i="11"/>
  <c r="I628" i="11"/>
  <c r="L628" i="11" s="1"/>
  <c r="A628" i="11" s="1"/>
  <c r="J627" i="11"/>
  <c r="I627" i="11"/>
  <c r="L627" i="11" s="1"/>
  <c r="A627" i="11" s="1"/>
  <c r="L626" i="11"/>
  <c r="A626" i="11" s="1"/>
  <c r="J625" i="11"/>
  <c r="I625" i="11"/>
  <c r="L625" i="11" s="1"/>
  <c r="A625" i="11" s="1"/>
  <c r="J624" i="11"/>
  <c r="I624" i="11"/>
  <c r="L624" i="11" s="1"/>
  <c r="A624" i="11" s="1"/>
  <c r="J623" i="11"/>
  <c r="I623" i="11"/>
  <c r="L623" i="11" s="1"/>
  <c r="A623" i="11" s="1"/>
  <c r="J622" i="11"/>
  <c r="I622" i="11"/>
  <c r="L622" i="11" s="1"/>
  <c r="A622" i="11" s="1"/>
  <c r="J621" i="11"/>
  <c r="I621" i="11"/>
  <c r="L621" i="11" s="1"/>
  <c r="A621" i="11" s="1"/>
  <c r="J620" i="11"/>
  <c r="I620" i="11"/>
  <c r="L620" i="11" s="1"/>
  <c r="A620" i="11" s="1"/>
  <c r="J619" i="11"/>
  <c r="I619" i="11"/>
  <c r="L619" i="11" s="1"/>
  <c r="A619" i="11" s="1"/>
  <c r="J618" i="11"/>
  <c r="I618" i="11"/>
  <c r="L618" i="11" s="1"/>
  <c r="A618" i="11" s="1"/>
  <c r="J617" i="11"/>
  <c r="I617" i="11"/>
  <c r="L617" i="11" s="1"/>
  <c r="A617" i="11" s="1"/>
  <c r="L616" i="11"/>
  <c r="L615" i="11"/>
  <c r="A615" i="11" s="1"/>
  <c r="J614" i="11"/>
  <c r="I614" i="11"/>
  <c r="L614" i="11" s="1"/>
  <c r="A614" i="11" s="1"/>
  <c r="L613" i="11"/>
  <c r="L612" i="11"/>
  <c r="A612" i="11" s="1"/>
  <c r="J611" i="11"/>
  <c r="I611" i="11"/>
  <c r="L611" i="11" s="1"/>
  <c r="A611" i="11" s="1"/>
  <c r="J610" i="11"/>
  <c r="I610" i="11"/>
  <c r="L610" i="11" s="1"/>
  <c r="A610" i="11" s="1"/>
  <c r="J609" i="11"/>
  <c r="I609" i="11"/>
  <c r="L609" i="11" s="1"/>
  <c r="A609" i="11" s="1"/>
  <c r="J608" i="11"/>
  <c r="I608" i="11"/>
  <c r="L608" i="11" s="1"/>
  <c r="A608" i="11" s="1"/>
  <c r="J607" i="11"/>
  <c r="I607" i="11"/>
  <c r="L607" i="11" s="1"/>
  <c r="A607" i="11" s="1"/>
  <c r="J606" i="11"/>
  <c r="I606" i="11"/>
  <c r="L606" i="11" s="1"/>
  <c r="A606" i="11" s="1"/>
  <c r="J605" i="11"/>
  <c r="I605" i="11"/>
  <c r="L605" i="11" s="1"/>
  <c r="A605" i="11" s="1"/>
  <c r="J604" i="11"/>
  <c r="I604" i="11"/>
  <c r="L604" i="11" s="1"/>
  <c r="J603" i="11"/>
  <c r="I603" i="11"/>
  <c r="L603" i="11" s="1"/>
  <c r="A603" i="11" s="1"/>
  <c r="K602" i="11"/>
  <c r="J602" i="11"/>
  <c r="I602" i="11"/>
  <c r="J601" i="11"/>
  <c r="I601" i="11"/>
  <c r="L601" i="11" s="1"/>
  <c r="K600" i="11"/>
  <c r="J600" i="11"/>
  <c r="I600" i="11"/>
  <c r="J599" i="11"/>
  <c r="I599" i="11"/>
  <c r="L599" i="11" s="1"/>
  <c r="J598" i="11"/>
  <c r="I598" i="11"/>
  <c r="L598" i="11" s="1"/>
  <c r="J597" i="11"/>
  <c r="I597" i="11"/>
  <c r="L597" i="11" s="1"/>
  <c r="K596" i="11"/>
  <c r="J596" i="11"/>
  <c r="I596" i="11"/>
  <c r="J595" i="11"/>
  <c r="I595" i="11"/>
  <c r="L595" i="11" s="1"/>
  <c r="J594" i="11"/>
  <c r="I594" i="11"/>
  <c r="L594" i="11" s="1"/>
  <c r="J593" i="11"/>
  <c r="I593" i="11"/>
  <c r="L593" i="11" s="1"/>
  <c r="A593" i="11" s="1"/>
  <c r="J592" i="11"/>
  <c r="I592" i="11"/>
  <c r="L592" i="11" s="1"/>
  <c r="A592" i="11" s="1"/>
  <c r="J591" i="11"/>
  <c r="I591" i="11"/>
  <c r="L591" i="11" s="1"/>
  <c r="R590" i="11"/>
  <c r="J590" i="11"/>
  <c r="I590" i="11"/>
  <c r="J589" i="11"/>
  <c r="I589" i="11"/>
  <c r="L589" i="11" s="1"/>
  <c r="J588" i="11"/>
  <c r="I588" i="11"/>
  <c r="L588" i="11" s="1"/>
  <c r="C924" i="11" s="1"/>
  <c r="J587" i="11"/>
  <c r="I587" i="11"/>
  <c r="L587" i="11" s="1"/>
  <c r="J586" i="11"/>
  <c r="I586" i="11"/>
  <c r="L586" i="11" s="1"/>
  <c r="A586" i="11" s="1"/>
  <c r="J585" i="11"/>
  <c r="I585" i="11"/>
  <c r="L585" i="11" s="1"/>
  <c r="A585" i="11" s="1"/>
  <c r="J584" i="11"/>
  <c r="I584" i="11"/>
  <c r="L584" i="11" s="1"/>
  <c r="J583" i="11"/>
  <c r="I583" i="11"/>
  <c r="L583" i="11" s="1"/>
  <c r="J582" i="11"/>
  <c r="I582" i="11"/>
  <c r="L582" i="11" s="1"/>
  <c r="J581" i="11"/>
  <c r="I581" i="11"/>
  <c r="L581" i="11" s="1"/>
  <c r="K580" i="11"/>
  <c r="J580" i="11"/>
  <c r="I580" i="11"/>
  <c r="J579" i="11"/>
  <c r="I579" i="11"/>
  <c r="L579" i="11" s="1"/>
  <c r="J578" i="11"/>
  <c r="I578" i="11"/>
  <c r="L578" i="11" s="1"/>
  <c r="J577" i="11"/>
  <c r="I577" i="11"/>
  <c r="L577" i="11" s="1"/>
  <c r="J576" i="11"/>
  <c r="I576" i="11"/>
  <c r="L576" i="11" s="1"/>
  <c r="J575" i="11"/>
  <c r="I575" i="11"/>
  <c r="L575" i="11" s="1"/>
  <c r="J574" i="11"/>
  <c r="I574" i="11"/>
  <c r="L574" i="11" s="1"/>
  <c r="A574" i="11" s="1"/>
  <c r="K573" i="11"/>
  <c r="J573" i="11"/>
  <c r="I573" i="11"/>
  <c r="K572" i="11"/>
  <c r="J572" i="11"/>
  <c r="I572" i="11"/>
  <c r="K571" i="11"/>
  <c r="J571" i="11"/>
  <c r="I571" i="11"/>
  <c r="J570" i="11"/>
  <c r="I570" i="11"/>
  <c r="L570" i="11" s="1"/>
  <c r="A570" i="11" s="1"/>
  <c r="J569" i="11"/>
  <c r="I569" i="11"/>
  <c r="L569" i="11" s="1"/>
  <c r="A569" i="11" s="1"/>
  <c r="J568" i="11"/>
  <c r="I568" i="11"/>
  <c r="L568" i="11" s="1"/>
  <c r="A568" i="11" s="1"/>
  <c r="J567" i="11"/>
  <c r="I567" i="11"/>
  <c r="L567" i="11" s="1"/>
  <c r="A567" i="11" s="1"/>
  <c r="J566" i="11"/>
  <c r="I566" i="11"/>
  <c r="L566" i="11" s="1"/>
  <c r="A566" i="11" s="1"/>
  <c r="J565" i="11"/>
  <c r="I565" i="11"/>
  <c r="L565" i="11" s="1"/>
  <c r="A565" i="11" s="1"/>
  <c r="J564" i="11"/>
  <c r="I564" i="11"/>
  <c r="L564" i="11" s="1"/>
  <c r="A564" i="11" s="1"/>
  <c r="L563" i="11"/>
  <c r="K562" i="11"/>
  <c r="J562" i="11"/>
  <c r="I562" i="11"/>
  <c r="J561" i="11"/>
  <c r="I561" i="11"/>
  <c r="L561" i="11" s="1"/>
  <c r="J560" i="11"/>
  <c r="I560" i="11"/>
  <c r="L560" i="11" s="1"/>
  <c r="J559" i="11"/>
  <c r="I559" i="11"/>
  <c r="L559" i="11" s="1"/>
  <c r="J558" i="11"/>
  <c r="I558" i="11"/>
  <c r="L558" i="11" s="1"/>
  <c r="A558" i="11" s="1"/>
  <c r="K557" i="11"/>
  <c r="J557" i="11"/>
  <c r="I557" i="11"/>
  <c r="K556" i="11"/>
  <c r="J556" i="11"/>
  <c r="I556" i="11"/>
  <c r="K555" i="11"/>
  <c r="J555" i="11"/>
  <c r="I555" i="11"/>
  <c r="K554" i="11"/>
  <c r="J554" i="11"/>
  <c r="I554" i="11"/>
  <c r="M553" i="11"/>
  <c r="N553" i="11" s="1"/>
  <c r="K553" i="11"/>
  <c r="J553" i="11"/>
  <c r="I553" i="11"/>
  <c r="J552" i="11"/>
  <c r="I552" i="11"/>
  <c r="L552" i="11" s="1"/>
  <c r="A552" i="11" s="1"/>
  <c r="K551" i="11"/>
  <c r="J551" i="11"/>
  <c r="I551" i="11"/>
  <c r="J550" i="11"/>
  <c r="I550" i="11"/>
  <c r="L550" i="11" s="1"/>
  <c r="J549" i="11"/>
  <c r="I549" i="11"/>
  <c r="L549" i="11" s="1"/>
  <c r="J548" i="11"/>
  <c r="I548" i="11"/>
  <c r="L548" i="11" s="1"/>
  <c r="A548" i="11" s="1"/>
  <c r="K547" i="11"/>
  <c r="J547" i="11"/>
  <c r="I547" i="11"/>
  <c r="J546" i="11"/>
  <c r="I546" i="11"/>
  <c r="L546" i="11" s="1"/>
  <c r="K545" i="11"/>
  <c r="J545" i="11"/>
  <c r="I545" i="11"/>
  <c r="K544" i="11"/>
  <c r="J544" i="11"/>
  <c r="I544" i="11"/>
  <c r="K543" i="11"/>
  <c r="J543" i="11"/>
  <c r="I543" i="11"/>
  <c r="K542" i="11"/>
  <c r="J542" i="11"/>
  <c r="I542" i="11"/>
  <c r="K541" i="11"/>
  <c r="J541" i="11"/>
  <c r="I541" i="11"/>
  <c r="J540" i="11"/>
  <c r="I540" i="11"/>
  <c r="L540" i="11" s="1"/>
  <c r="J539" i="11"/>
  <c r="I539" i="11"/>
  <c r="L539" i="11" s="1"/>
  <c r="K538" i="11"/>
  <c r="J538" i="11"/>
  <c r="I538" i="11"/>
  <c r="K537" i="11"/>
  <c r="J537" i="11"/>
  <c r="I537" i="11"/>
  <c r="K536" i="11"/>
  <c r="J536" i="11"/>
  <c r="I536" i="11"/>
  <c r="J535" i="11"/>
  <c r="I535" i="11"/>
  <c r="L535" i="11" s="1"/>
  <c r="J534" i="11"/>
  <c r="I534" i="11"/>
  <c r="L534" i="11" s="1"/>
  <c r="J533" i="11"/>
  <c r="I533" i="11"/>
  <c r="L533" i="11" s="1"/>
  <c r="J532" i="11"/>
  <c r="I532" i="11"/>
  <c r="L532" i="11" s="1"/>
  <c r="A532" i="11" s="1"/>
  <c r="J531" i="11"/>
  <c r="I531" i="11"/>
  <c r="L531" i="11" s="1"/>
  <c r="A531" i="11" s="1"/>
  <c r="J530" i="11"/>
  <c r="I530" i="11"/>
  <c r="L530" i="11" s="1"/>
  <c r="A530" i="11" s="1"/>
  <c r="J529" i="11"/>
  <c r="I529" i="11"/>
  <c r="L529" i="11" s="1"/>
  <c r="A529" i="11" s="1"/>
  <c r="J528" i="11"/>
  <c r="I528" i="11"/>
  <c r="L528" i="11" s="1"/>
  <c r="A528" i="11" s="1"/>
  <c r="J527" i="11"/>
  <c r="I527" i="11"/>
  <c r="L527" i="11" s="1"/>
  <c r="J526" i="11"/>
  <c r="I526" i="11"/>
  <c r="L526" i="11" s="1"/>
  <c r="J525" i="11"/>
  <c r="I525" i="11"/>
  <c r="L525" i="11" s="1"/>
  <c r="A525" i="11" s="1"/>
  <c r="J524" i="11"/>
  <c r="I524" i="11"/>
  <c r="L524" i="11" s="1"/>
  <c r="J523" i="11"/>
  <c r="I523" i="11"/>
  <c r="L523" i="11" s="1"/>
  <c r="A523" i="11" s="1"/>
  <c r="J522" i="11"/>
  <c r="I522" i="11"/>
  <c r="L522" i="11" s="1"/>
  <c r="K521" i="11"/>
  <c r="J521" i="11"/>
  <c r="I521" i="11"/>
  <c r="J520" i="11"/>
  <c r="I520" i="11"/>
  <c r="L520" i="11" s="1"/>
  <c r="J519" i="11"/>
  <c r="I519" i="11"/>
  <c r="L519" i="11" s="1"/>
  <c r="K518" i="11"/>
  <c r="J518" i="11"/>
  <c r="I518" i="11"/>
  <c r="J517" i="11"/>
  <c r="I517" i="11"/>
  <c r="L517" i="11" s="1"/>
  <c r="A517" i="11" s="1"/>
  <c r="N516" i="11"/>
  <c r="O516" i="11" s="1"/>
  <c r="R516" i="11" s="1"/>
  <c r="J516" i="11"/>
  <c r="I516" i="11"/>
  <c r="K515" i="11"/>
  <c r="J515" i="11"/>
  <c r="I515" i="11"/>
  <c r="K514" i="11"/>
  <c r="J514" i="11"/>
  <c r="I514" i="11"/>
  <c r="J513" i="11"/>
  <c r="I513" i="11"/>
  <c r="L513" i="11" s="1"/>
  <c r="A513" i="11" s="1"/>
  <c r="J512" i="11"/>
  <c r="I512" i="11"/>
  <c r="L512" i="11" s="1"/>
  <c r="A512" i="11" s="1"/>
  <c r="K511" i="11"/>
  <c r="J511" i="11"/>
  <c r="I511" i="11"/>
  <c r="J510" i="11"/>
  <c r="I510" i="11"/>
  <c r="L510" i="11" s="1"/>
  <c r="K509" i="11"/>
  <c r="J509" i="11"/>
  <c r="I509" i="11"/>
  <c r="J508" i="11"/>
  <c r="I508" i="11"/>
  <c r="L508" i="11" s="1"/>
  <c r="A508" i="11" s="1"/>
  <c r="J507" i="11"/>
  <c r="I507" i="11"/>
  <c r="L507" i="11" s="1"/>
  <c r="J506" i="11"/>
  <c r="I506" i="11"/>
  <c r="L506" i="11" s="1"/>
  <c r="A506" i="11" s="1"/>
  <c r="K505" i="11"/>
  <c r="J505" i="11"/>
  <c r="I505" i="11"/>
  <c r="J504" i="11"/>
  <c r="I504" i="11"/>
  <c r="L504" i="11" s="1"/>
  <c r="A504" i="11" s="1"/>
  <c r="J503" i="11"/>
  <c r="I503" i="11"/>
  <c r="L503" i="11" s="1"/>
  <c r="A503" i="11" s="1"/>
  <c r="J502" i="11"/>
  <c r="I502" i="11"/>
  <c r="L502" i="11" s="1"/>
  <c r="A502" i="11" s="1"/>
  <c r="J501" i="11"/>
  <c r="I501" i="11"/>
  <c r="L501" i="11" s="1"/>
  <c r="A501" i="11" s="1"/>
  <c r="J500" i="11"/>
  <c r="I500" i="11"/>
  <c r="L500" i="11" s="1"/>
  <c r="A500" i="11" s="1"/>
  <c r="J499" i="11"/>
  <c r="I499" i="11"/>
  <c r="L499" i="11" s="1"/>
  <c r="A499" i="11" s="1"/>
  <c r="J498" i="11"/>
  <c r="I498" i="11"/>
  <c r="L498" i="11" s="1"/>
  <c r="K497" i="11"/>
  <c r="J497" i="11"/>
  <c r="I497" i="11"/>
  <c r="J496" i="11"/>
  <c r="I496" i="11"/>
  <c r="L496" i="11" s="1"/>
  <c r="J495" i="11"/>
  <c r="I495" i="11"/>
  <c r="L495" i="11" s="1"/>
  <c r="K494" i="11"/>
  <c r="J494" i="11"/>
  <c r="I494" i="11"/>
  <c r="J493" i="11"/>
  <c r="I493" i="11"/>
  <c r="L493" i="11" s="1"/>
  <c r="A493" i="11" s="1"/>
  <c r="J492" i="11"/>
  <c r="I492" i="11"/>
  <c r="L492" i="11" s="1"/>
  <c r="J491" i="11"/>
  <c r="I491" i="11"/>
  <c r="L491" i="11" s="1"/>
  <c r="A491" i="11" s="1"/>
  <c r="J490" i="11"/>
  <c r="I490" i="11"/>
  <c r="L490" i="11" s="1"/>
  <c r="A490" i="11" s="1"/>
  <c r="K489" i="11"/>
  <c r="J489" i="11"/>
  <c r="I489" i="11"/>
  <c r="K488" i="11"/>
  <c r="J488" i="11"/>
  <c r="I488" i="11"/>
  <c r="G487" i="11"/>
  <c r="J487" i="11" s="1"/>
  <c r="J486" i="11"/>
  <c r="I486" i="11"/>
  <c r="L486" i="11" s="1"/>
  <c r="A486" i="11" s="1"/>
  <c r="K485" i="11"/>
  <c r="J485" i="11"/>
  <c r="I485" i="11"/>
  <c r="J484" i="11"/>
  <c r="I484" i="11"/>
  <c r="L484" i="11" s="1"/>
  <c r="K483" i="11"/>
  <c r="J483" i="11"/>
  <c r="I483" i="11"/>
  <c r="J482" i="11"/>
  <c r="I482" i="11"/>
  <c r="L482" i="11" s="1"/>
  <c r="J481" i="11"/>
  <c r="I481" i="11"/>
  <c r="L481" i="11" s="1"/>
  <c r="A481" i="11" s="1"/>
  <c r="J480" i="11"/>
  <c r="I480" i="11"/>
  <c r="L480" i="11" s="1"/>
  <c r="A480" i="11" s="1"/>
  <c r="J479" i="11"/>
  <c r="I479" i="11"/>
  <c r="L479" i="11" s="1"/>
  <c r="A479" i="11" s="1"/>
  <c r="J478" i="11"/>
  <c r="I478" i="11"/>
  <c r="L478" i="11" s="1"/>
  <c r="K477" i="11"/>
  <c r="J477" i="11"/>
  <c r="I477" i="11"/>
  <c r="J476" i="11"/>
  <c r="I476" i="11"/>
  <c r="L476" i="11" s="1"/>
  <c r="K475" i="11"/>
  <c r="J475" i="11"/>
  <c r="I475" i="11"/>
  <c r="J474" i="11"/>
  <c r="I474" i="11"/>
  <c r="L474" i="11" s="1"/>
  <c r="A474" i="11" s="1"/>
  <c r="K473" i="11"/>
  <c r="J473" i="11"/>
  <c r="I473" i="11"/>
  <c r="L472" i="11"/>
  <c r="K472" i="11"/>
  <c r="J472" i="11"/>
  <c r="I472" i="11"/>
  <c r="N471" i="11"/>
  <c r="K471" i="11"/>
  <c r="J471" i="11"/>
  <c r="I471" i="11"/>
  <c r="K470" i="11"/>
  <c r="J470" i="11"/>
  <c r="I470" i="11"/>
  <c r="K469" i="11"/>
  <c r="J469" i="11"/>
  <c r="I469" i="11"/>
  <c r="J468" i="11"/>
  <c r="I468" i="11"/>
  <c r="L468" i="11" s="1"/>
  <c r="A468" i="11" s="1"/>
  <c r="J467" i="11"/>
  <c r="I467" i="11"/>
  <c r="L467" i="11" s="1"/>
  <c r="A467" i="11" s="1"/>
  <c r="G466" i="11"/>
  <c r="J466" i="11" s="1"/>
  <c r="K465" i="11"/>
  <c r="J465" i="11"/>
  <c r="I465" i="11"/>
  <c r="J464" i="11"/>
  <c r="I464" i="11"/>
  <c r="L464" i="11" s="1"/>
  <c r="A464" i="11" s="1"/>
  <c r="J463" i="11"/>
  <c r="I463" i="11"/>
  <c r="L463" i="11" s="1"/>
  <c r="A463" i="11" s="1"/>
  <c r="K462" i="11"/>
  <c r="J461" i="11"/>
  <c r="I461" i="11"/>
  <c r="L461" i="11" s="1"/>
  <c r="A461" i="11" s="1"/>
  <c r="J460" i="11"/>
  <c r="I460" i="11"/>
  <c r="L460" i="11" s="1"/>
  <c r="A460" i="11" s="1"/>
  <c r="J459" i="11"/>
  <c r="I459" i="11"/>
  <c r="L459" i="11" s="1"/>
  <c r="A459" i="11" s="1"/>
  <c r="J458" i="11"/>
  <c r="I458" i="11"/>
  <c r="L458" i="11" s="1"/>
  <c r="A458" i="11" s="1"/>
  <c r="J457" i="11"/>
  <c r="I457" i="11"/>
  <c r="L457" i="11" s="1"/>
  <c r="A457" i="11" s="1"/>
  <c r="J456" i="11"/>
  <c r="I456" i="11"/>
  <c r="L456" i="11" s="1"/>
  <c r="J455" i="11"/>
  <c r="I455" i="11"/>
  <c r="L455" i="11" s="1"/>
  <c r="A455" i="11" s="1"/>
  <c r="J454" i="11"/>
  <c r="I454" i="11"/>
  <c r="L454" i="11" s="1"/>
  <c r="A454" i="11" s="1"/>
  <c r="J453" i="11"/>
  <c r="I453" i="11"/>
  <c r="L453" i="11" s="1"/>
  <c r="A453" i="11" s="1"/>
  <c r="J452" i="11"/>
  <c r="I452" i="11"/>
  <c r="L452" i="11" s="1"/>
  <c r="A452" i="11" s="1"/>
  <c r="J451" i="11"/>
  <c r="I451" i="11"/>
  <c r="L451" i="11" s="1"/>
  <c r="A451" i="11" s="1"/>
  <c r="J450" i="11"/>
  <c r="I450" i="11"/>
  <c r="L450" i="11" s="1"/>
  <c r="A450" i="11" s="1"/>
  <c r="J449" i="11"/>
  <c r="I449" i="11"/>
  <c r="L449" i="11" s="1"/>
  <c r="A449" i="11" s="1"/>
  <c r="J448" i="11"/>
  <c r="I448" i="11"/>
  <c r="L448" i="11" s="1"/>
  <c r="A448" i="11" s="1"/>
  <c r="J447" i="11"/>
  <c r="I447" i="11"/>
  <c r="L447" i="11" s="1"/>
  <c r="A447" i="11" s="1"/>
  <c r="J446" i="11"/>
  <c r="I446" i="11"/>
  <c r="L446" i="11" s="1"/>
  <c r="K445" i="11"/>
  <c r="J445" i="11"/>
  <c r="I445" i="11"/>
  <c r="K444" i="11"/>
  <c r="J444" i="11"/>
  <c r="I444" i="11"/>
  <c r="J443" i="11"/>
  <c r="I443" i="11"/>
  <c r="L443" i="11" s="1"/>
  <c r="A443" i="11" s="1"/>
  <c r="J442" i="11"/>
  <c r="I442" i="11"/>
  <c r="L442" i="11" s="1"/>
  <c r="A442" i="11" s="1"/>
  <c r="K441" i="11"/>
  <c r="J441" i="11"/>
  <c r="I441" i="11"/>
  <c r="K440" i="11"/>
  <c r="J440" i="11"/>
  <c r="I440" i="11"/>
  <c r="J439" i="11"/>
  <c r="I439" i="11"/>
  <c r="L439" i="11" s="1"/>
  <c r="J438" i="11"/>
  <c r="I438" i="11"/>
  <c r="L438" i="11" s="1"/>
  <c r="A438" i="11" s="1"/>
  <c r="J437" i="11"/>
  <c r="I437" i="11"/>
  <c r="L437" i="11" s="1"/>
  <c r="A437" i="11" s="1"/>
  <c r="J436" i="11"/>
  <c r="I436" i="11"/>
  <c r="L436" i="11" s="1"/>
  <c r="A436" i="11" s="1"/>
  <c r="J435" i="11"/>
  <c r="I435" i="11"/>
  <c r="L435" i="11" s="1"/>
  <c r="J434" i="11"/>
  <c r="I434" i="11"/>
  <c r="L434" i="11" s="1"/>
  <c r="A434" i="11" s="1"/>
  <c r="J433" i="11"/>
  <c r="I433" i="11"/>
  <c r="L433" i="11" s="1"/>
  <c r="J432" i="11"/>
  <c r="I432" i="11"/>
  <c r="L432" i="11" s="1"/>
  <c r="A432" i="11" s="1"/>
  <c r="J431" i="11"/>
  <c r="I431" i="11"/>
  <c r="L431" i="11" s="1"/>
  <c r="A431" i="11" s="1"/>
  <c r="J430" i="11"/>
  <c r="I430" i="11"/>
  <c r="L430" i="11" s="1"/>
  <c r="J429" i="11"/>
  <c r="I429" i="11"/>
  <c r="L429" i="11" s="1"/>
  <c r="A429" i="11" s="1"/>
  <c r="J428" i="11"/>
  <c r="I428" i="11"/>
  <c r="L428" i="11" s="1"/>
  <c r="A428" i="11" s="1"/>
  <c r="J427" i="11"/>
  <c r="I427" i="11"/>
  <c r="L427" i="11" s="1"/>
  <c r="A427" i="11" s="1"/>
  <c r="J426" i="11"/>
  <c r="I426" i="11"/>
  <c r="L426" i="11" s="1"/>
  <c r="J425" i="11"/>
  <c r="I425" i="11"/>
  <c r="L425" i="11" s="1"/>
  <c r="A425" i="11" s="1"/>
  <c r="J424" i="11"/>
  <c r="I424" i="11"/>
  <c r="L424" i="11" s="1"/>
  <c r="A424" i="11" s="1"/>
  <c r="L423" i="11"/>
  <c r="A423" i="11" s="1"/>
  <c r="J422" i="11"/>
  <c r="I422" i="11"/>
  <c r="L422" i="11" s="1"/>
  <c r="A422" i="11" s="1"/>
  <c r="J421" i="11"/>
  <c r="I421" i="11"/>
  <c r="L421" i="11" s="1"/>
  <c r="A421" i="11" s="1"/>
  <c r="J420" i="11"/>
  <c r="I420" i="11"/>
  <c r="L420" i="11" s="1"/>
  <c r="A420" i="11" s="1"/>
  <c r="J419" i="11"/>
  <c r="I419" i="11"/>
  <c r="L419" i="11" s="1"/>
  <c r="A419" i="11" s="1"/>
  <c r="J418" i="11"/>
  <c r="I418" i="11"/>
  <c r="L418" i="11" s="1"/>
  <c r="A418" i="11" s="1"/>
  <c r="L417" i="11"/>
  <c r="A417" i="11" s="1"/>
  <c r="J417" i="11"/>
  <c r="I417" i="11"/>
  <c r="J416" i="11"/>
  <c r="I416" i="11"/>
  <c r="L416" i="11" s="1"/>
  <c r="A416" i="11" s="1"/>
  <c r="L415" i="11"/>
  <c r="A415" i="11" s="1"/>
  <c r="K414" i="11"/>
  <c r="J414" i="11"/>
  <c r="I414" i="11"/>
  <c r="K413" i="11"/>
  <c r="J413" i="11"/>
  <c r="I413" i="11"/>
  <c r="J412" i="11"/>
  <c r="I412" i="11"/>
  <c r="L412" i="11" s="1"/>
  <c r="K411" i="11"/>
  <c r="J411" i="11"/>
  <c r="I411" i="11"/>
  <c r="N410" i="11"/>
  <c r="J410" i="11"/>
  <c r="I410" i="11"/>
  <c r="N409" i="11"/>
  <c r="J409" i="11"/>
  <c r="I409" i="11"/>
  <c r="J408" i="11"/>
  <c r="I408" i="11"/>
  <c r="L408" i="11" s="1"/>
  <c r="A408" i="11" s="1"/>
  <c r="L407" i="11"/>
  <c r="A407" i="11" s="1"/>
  <c r="J406" i="11"/>
  <c r="I406" i="11"/>
  <c r="L406" i="11" s="1"/>
  <c r="A406" i="11" s="1"/>
  <c r="J405" i="11"/>
  <c r="I405" i="11"/>
  <c r="L405" i="11" s="1"/>
  <c r="A405" i="11" s="1"/>
  <c r="J404" i="11"/>
  <c r="I404" i="11"/>
  <c r="L404" i="11" s="1"/>
  <c r="A404" i="11" s="1"/>
  <c r="J403" i="11"/>
  <c r="I403" i="11"/>
  <c r="L403" i="11" s="1"/>
  <c r="A403" i="11" s="1"/>
  <c r="J402" i="11"/>
  <c r="I402" i="11"/>
  <c r="L402" i="11" s="1"/>
  <c r="A402" i="11" s="1"/>
  <c r="J401" i="11"/>
  <c r="I401" i="11"/>
  <c r="L401" i="11" s="1"/>
  <c r="A401" i="11" s="1"/>
  <c r="J400" i="11"/>
  <c r="I400" i="11"/>
  <c r="L400" i="11" s="1"/>
  <c r="A400" i="11" s="1"/>
  <c r="J399" i="11"/>
  <c r="I399" i="11"/>
  <c r="L399" i="11" s="1"/>
  <c r="J398" i="11"/>
  <c r="I398" i="11"/>
  <c r="L398" i="11" s="1"/>
  <c r="A398" i="11" s="1"/>
  <c r="J397" i="11"/>
  <c r="I397" i="11"/>
  <c r="L397" i="11" s="1"/>
  <c r="O396" i="11"/>
  <c r="R396" i="11" s="1"/>
  <c r="J396" i="11"/>
  <c r="I396" i="11"/>
  <c r="L396" i="11" s="1"/>
  <c r="A396" i="11" s="1"/>
  <c r="J395" i="11"/>
  <c r="I395" i="11"/>
  <c r="L395" i="11" s="1"/>
  <c r="A395" i="11" s="1"/>
  <c r="J394" i="11"/>
  <c r="I394" i="11"/>
  <c r="L394" i="11" s="1"/>
  <c r="A394" i="11" s="1"/>
  <c r="J393" i="11"/>
  <c r="I393" i="11"/>
  <c r="L393" i="11" s="1"/>
  <c r="J392" i="11"/>
  <c r="I392" i="11"/>
  <c r="L392" i="11" s="1"/>
  <c r="A392" i="11" s="1"/>
  <c r="J391" i="11"/>
  <c r="I391" i="11"/>
  <c r="L391" i="11" s="1"/>
  <c r="A391" i="11" s="1"/>
  <c r="L390" i="11"/>
  <c r="A390" i="11" s="1"/>
  <c r="L389" i="11"/>
  <c r="L388" i="11"/>
  <c r="A388" i="11" s="1"/>
  <c r="J387" i="11"/>
  <c r="I387" i="11"/>
  <c r="L387" i="11" s="1"/>
  <c r="A387" i="11" s="1"/>
  <c r="J386" i="11"/>
  <c r="I386" i="11"/>
  <c r="L386" i="11" s="1"/>
  <c r="A386" i="11" s="1"/>
  <c r="J385" i="11"/>
  <c r="I385" i="11"/>
  <c r="L385" i="11" s="1"/>
  <c r="A385" i="11" s="1"/>
  <c r="J384" i="11"/>
  <c r="I384" i="11"/>
  <c r="L384" i="11" s="1"/>
  <c r="A384" i="11" s="1"/>
  <c r="G383" i="11"/>
  <c r="I383" i="11" s="1"/>
  <c r="L383" i="11" s="1"/>
  <c r="A383" i="11" s="1"/>
  <c r="J382" i="11"/>
  <c r="I382" i="11"/>
  <c r="L382" i="11" s="1"/>
  <c r="A382" i="11" s="1"/>
  <c r="J381" i="11"/>
  <c r="I381" i="11"/>
  <c r="L381" i="11" s="1"/>
  <c r="A381" i="11" s="1"/>
  <c r="J380" i="11"/>
  <c r="I380" i="11"/>
  <c r="L380" i="11" s="1"/>
  <c r="J379" i="11"/>
  <c r="I379" i="11"/>
  <c r="L379" i="11" s="1"/>
  <c r="A379" i="11" s="1"/>
  <c r="J378" i="11"/>
  <c r="I378" i="11"/>
  <c r="L378" i="11" s="1"/>
  <c r="A378" i="11" s="1"/>
  <c r="J377" i="11"/>
  <c r="I377" i="11"/>
  <c r="L377" i="11" s="1"/>
  <c r="A377" i="11" s="1"/>
  <c r="J376" i="11"/>
  <c r="I376" i="11"/>
  <c r="L376" i="11" s="1"/>
  <c r="A376" i="11" s="1"/>
  <c r="J375" i="11"/>
  <c r="I375" i="11"/>
  <c r="L375" i="11" s="1"/>
  <c r="A375" i="11" s="1"/>
  <c r="J374" i="11"/>
  <c r="I374" i="11"/>
  <c r="L374" i="11" s="1"/>
  <c r="A374" i="11" s="1"/>
  <c r="J373" i="11"/>
  <c r="I373" i="11"/>
  <c r="L373" i="11" s="1"/>
  <c r="J372" i="11"/>
  <c r="I372" i="11"/>
  <c r="L372" i="11" s="1"/>
  <c r="A372" i="11" s="1"/>
  <c r="J371" i="11"/>
  <c r="I371" i="11"/>
  <c r="L371" i="11" s="1"/>
  <c r="A371" i="11" s="1"/>
  <c r="G370" i="11"/>
  <c r="I370" i="11" s="1"/>
  <c r="L370" i="11" s="1"/>
  <c r="A370" i="11" s="1"/>
  <c r="J369" i="11"/>
  <c r="I369" i="11"/>
  <c r="L369" i="11" s="1"/>
  <c r="J368" i="11"/>
  <c r="I368" i="11"/>
  <c r="L368" i="11" s="1"/>
  <c r="J367" i="11"/>
  <c r="I367" i="11"/>
  <c r="L367" i="11" s="1"/>
  <c r="A367" i="11" s="1"/>
  <c r="O366" i="11"/>
  <c r="R366" i="11" s="1"/>
  <c r="J366" i="11"/>
  <c r="I366" i="11"/>
  <c r="L366" i="11" s="1"/>
  <c r="A366" i="11" s="1"/>
  <c r="J365" i="11"/>
  <c r="I365" i="11"/>
  <c r="L365" i="11" s="1"/>
  <c r="A365" i="11" s="1"/>
  <c r="L364" i="11"/>
  <c r="A364" i="11" s="1"/>
  <c r="J363" i="11"/>
  <c r="I363" i="11"/>
  <c r="L363" i="11" s="1"/>
  <c r="A363" i="11" s="1"/>
  <c r="J362" i="11"/>
  <c r="I362" i="11"/>
  <c r="L362" i="11" s="1"/>
  <c r="A362" i="11" s="1"/>
  <c r="J361" i="11"/>
  <c r="I361" i="11"/>
  <c r="L361" i="11" s="1"/>
  <c r="J360" i="11"/>
  <c r="I360" i="11"/>
  <c r="L360" i="11" s="1"/>
  <c r="A360" i="11" s="1"/>
  <c r="L359" i="11"/>
  <c r="A359" i="11" s="1"/>
  <c r="J358" i="11"/>
  <c r="I358" i="11"/>
  <c r="L358" i="11" s="1"/>
  <c r="A358" i="11" s="1"/>
  <c r="J357" i="11"/>
  <c r="I357" i="11"/>
  <c r="L357" i="11" s="1"/>
  <c r="A357" i="11" s="1"/>
  <c r="J356" i="11"/>
  <c r="I356" i="11"/>
  <c r="L356" i="11" s="1"/>
  <c r="A356" i="11" s="1"/>
  <c r="J355" i="11"/>
  <c r="I355" i="11"/>
  <c r="L355" i="11" s="1"/>
  <c r="A355" i="11" s="1"/>
  <c r="J354" i="11"/>
  <c r="I354" i="11"/>
  <c r="L354" i="11" s="1"/>
  <c r="A354" i="11" s="1"/>
  <c r="J353" i="11"/>
  <c r="I353" i="11"/>
  <c r="L353" i="11" s="1"/>
  <c r="A353" i="11" s="1"/>
  <c r="J352" i="11"/>
  <c r="I352" i="11"/>
  <c r="L352" i="11" s="1"/>
  <c r="A352" i="11" s="1"/>
  <c r="J351" i="11"/>
  <c r="I351" i="11"/>
  <c r="L351" i="11" s="1"/>
  <c r="J350" i="11"/>
  <c r="I350" i="11"/>
  <c r="L350" i="11" s="1"/>
  <c r="A350" i="11" s="1"/>
  <c r="J349" i="11"/>
  <c r="I349" i="11"/>
  <c r="L349" i="11" s="1"/>
  <c r="J348" i="11"/>
  <c r="I348" i="11"/>
  <c r="L348" i="11" s="1"/>
  <c r="A348" i="11" s="1"/>
  <c r="J347" i="11"/>
  <c r="I347" i="11"/>
  <c r="L347" i="11" s="1"/>
  <c r="A347" i="11" s="1"/>
  <c r="J346" i="11"/>
  <c r="I346" i="11"/>
  <c r="L346" i="11" s="1"/>
  <c r="A346" i="11" s="1"/>
  <c r="J345" i="11"/>
  <c r="I345" i="11"/>
  <c r="L345" i="11" s="1"/>
  <c r="J344" i="11"/>
  <c r="I344" i="11"/>
  <c r="L344" i="11" s="1"/>
  <c r="J343" i="11"/>
  <c r="I343" i="11"/>
  <c r="L343" i="11" s="1"/>
  <c r="J342" i="11"/>
  <c r="I342" i="11"/>
  <c r="L342" i="11" s="1"/>
  <c r="A342" i="11" s="1"/>
  <c r="J341" i="11"/>
  <c r="I341" i="11"/>
  <c r="L341" i="11" s="1"/>
  <c r="J340" i="11"/>
  <c r="I340" i="11"/>
  <c r="L340" i="11" s="1"/>
  <c r="A340" i="11" s="1"/>
  <c r="J339" i="11"/>
  <c r="I339" i="11"/>
  <c r="L339" i="11" s="1"/>
  <c r="A339" i="11" s="1"/>
  <c r="J338" i="11"/>
  <c r="I338" i="11"/>
  <c r="L338" i="11" s="1"/>
  <c r="J337" i="11"/>
  <c r="I337" i="11"/>
  <c r="L337" i="11" s="1"/>
  <c r="J336" i="11"/>
  <c r="I336" i="11"/>
  <c r="L336" i="11" s="1"/>
  <c r="J335" i="11"/>
  <c r="I335" i="11"/>
  <c r="L335" i="11" s="1"/>
  <c r="J334" i="11"/>
  <c r="I334" i="11"/>
  <c r="L334" i="11" s="1"/>
  <c r="A334" i="11" s="1"/>
  <c r="J333" i="11"/>
  <c r="I333" i="11"/>
  <c r="L333" i="11" s="1"/>
  <c r="J332" i="11"/>
  <c r="I332" i="11"/>
  <c r="L332" i="11" s="1"/>
  <c r="J331" i="11"/>
  <c r="I331" i="11"/>
  <c r="L331" i="11" s="1"/>
  <c r="J330" i="11"/>
  <c r="I330" i="11"/>
  <c r="L330" i="11" s="1"/>
  <c r="J329" i="11"/>
  <c r="I329" i="11"/>
  <c r="L329" i="11" s="1"/>
  <c r="A329" i="11" s="1"/>
  <c r="J328" i="11"/>
  <c r="I328" i="11"/>
  <c r="L328" i="11" s="1"/>
  <c r="A328" i="11" s="1"/>
  <c r="J327" i="11"/>
  <c r="I327" i="11"/>
  <c r="L327" i="11" s="1"/>
  <c r="A327" i="11" s="1"/>
  <c r="J326" i="11"/>
  <c r="I326" i="11"/>
  <c r="L326" i="11" s="1"/>
  <c r="A326" i="11" s="1"/>
  <c r="J325" i="11"/>
  <c r="I325" i="11"/>
  <c r="L325" i="11" s="1"/>
  <c r="A325" i="11" s="1"/>
  <c r="J324" i="11"/>
  <c r="I324" i="11"/>
  <c r="L324" i="11" s="1"/>
  <c r="A324" i="11" s="1"/>
  <c r="J323" i="11"/>
  <c r="I323" i="11"/>
  <c r="L323" i="11" s="1"/>
  <c r="J322" i="11"/>
  <c r="I322" i="11"/>
  <c r="L322" i="11" s="1"/>
  <c r="A322" i="11" s="1"/>
  <c r="M321" i="11"/>
  <c r="L321" i="11"/>
  <c r="A321" i="11" s="1"/>
  <c r="J320" i="11"/>
  <c r="I320" i="11"/>
  <c r="L320" i="11" s="1"/>
  <c r="J319" i="11"/>
  <c r="I319" i="11"/>
  <c r="L319" i="11" s="1"/>
  <c r="A319" i="11" s="1"/>
  <c r="J318" i="11"/>
  <c r="I318" i="11"/>
  <c r="L318" i="11" s="1"/>
  <c r="A318" i="11" s="1"/>
  <c r="J317" i="11"/>
  <c r="I317" i="11"/>
  <c r="L317" i="11" s="1"/>
  <c r="A317" i="11" s="1"/>
  <c r="J316" i="11"/>
  <c r="I316" i="11"/>
  <c r="L316" i="11" s="1"/>
  <c r="A316" i="11" s="1"/>
  <c r="J315" i="11"/>
  <c r="I315" i="11"/>
  <c r="L315" i="11" s="1"/>
  <c r="A315" i="11" s="1"/>
  <c r="L314" i="11"/>
  <c r="A314" i="11" s="1"/>
  <c r="J313" i="11"/>
  <c r="I313" i="11"/>
  <c r="L313" i="11" s="1"/>
  <c r="A313" i="11" s="1"/>
  <c r="J312" i="11"/>
  <c r="I312" i="11"/>
  <c r="L312" i="11" s="1"/>
  <c r="A312" i="11" s="1"/>
  <c r="J311" i="11"/>
  <c r="I311" i="11"/>
  <c r="L311" i="11" s="1"/>
  <c r="A311" i="11" s="1"/>
  <c r="J310" i="11"/>
  <c r="I310" i="11"/>
  <c r="L310" i="11" s="1"/>
  <c r="J309" i="11"/>
  <c r="I309" i="11"/>
  <c r="L309" i="11" s="1"/>
  <c r="J308" i="11"/>
  <c r="I308" i="11"/>
  <c r="L308" i="11" s="1"/>
  <c r="A308" i="11" s="1"/>
  <c r="J307" i="11"/>
  <c r="I307" i="11"/>
  <c r="L307" i="11" s="1"/>
  <c r="J306" i="11"/>
  <c r="I306" i="11"/>
  <c r="L306" i="11" s="1"/>
  <c r="J305" i="11"/>
  <c r="I305" i="11"/>
  <c r="L305" i="11" s="1"/>
  <c r="A305" i="11" s="1"/>
  <c r="J304" i="11"/>
  <c r="I304" i="11"/>
  <c r="L304" i="11" s="1"/>
  <c r="A304" i="11" s="1"/>
  <c r="J303" i="11"/>
  <c r="I303" i="11"/>
  <c r="L303" i="11" s="1"/>
  <c r="J302" i="11"/>
  <c r="I302" i="11"/>
  <c r="L302" i="11" s="1"/>
  <c r="G301" i="11"/>
  <c r="J301" i="11" s="1"/>
  <c r="J300" i="11"/>
  <c r="I300" i="11"/>
  <c r="L300" i="11" s="1"/>
  <c r="A300" i="11" s="1"/>
  <c r="J299" i="11"/>
  <c r="I299" i="11"/>
  <c r="L299" i="11" s="1"/>
  <c r="A299" i="11" s="1"/>
  <c r="J298" i="11"/>
  <c r="I298" i="11"/>
  <c r="L298" i="11" s="1"/>
  <c r="A298" i="11" s="1"/>
  <c r="J297" i="11"/>
  <c r="I297" i="11"/>
  <c r="L297" i="11" s="1"/>
  <c r="J296" i="11"/>
  <c r="I296" i="11"/>
  <c r="L296" i="11" s="1"/>
  <c r="A296" i="11" s="1"/>
  <c r="J295" i="11"/>
  <c r="I295" i="11"/>
  <c r="L295" i="11" s="1"/>
  <c r="A295" i="11" s="1"/>
  <c r="J294" i="11"/>
  <c r="I294" i="11"/>
  <c r="L294" i="11" s="1"/>
  <c r="A294" i="11" s="1"/>
  <c r="L293" i="11"/>
  <c r="A293" i="11" s="1"/>
  <c r="J292" i="11"/>
  <c r="I292" i="11"/>
  <c r="L292" i="11" s="1"/>
  <c r="A292" i="11" s="1"/>
  <c r="J291" i="11"/>
  <c r="I291" i="11"/>
  <c r="L291" i="11" s="1"/>
  <c r="A291" i="11" s="1"/>
  <c r="J290" i="11"/>
  <c r="L290" i="11" s="1"/>
  <c r="I290" i="11"/>
  <c r="I289" i="11"/>
  <c r="O287" i="11"/>
  <c r="R287" i="11" s="1"/>
  <c r="J287" i="11"/>
  <c r="I287" i="11"/>
  <c r="L287" i="11" s="1"/>
  <c r="A287" i="11" s="1"/>
  <c r="J286" i="11"/>
  <c r="I286" i="11"/>
  <c r="L286" i="11" s="1"/>
  <c r="J285" i="11"/>
  <c r="I285" i="11"/>
  <c r="L285" i="11" s="1"/>
  <c r="J284" i="11"/>
  <c r="I284" i="11"/>
  <c r="L284" i="11" s="1"/>
  <c r="A284" i="11" s="1"/>
  <c r="J283" i="11"/>
  <c r="I283" i="11"/>
  <c r="L283" i="11" s="1"/>
  <c r="A283" i="11" s="1"/>
  <c r="J282" i="11"/>
  <c r="I282" i="11"/>
  <c r="L282" i="11" s="1"/>
  <c r="A282" i="11" s="1"/>
  <c r="J281" i="11"/>
  <c r="I281" i="11"/>
  <c r="L281" i="11" s="1"/>
  <c r="A281" i="11" s="1"/>
  <c r="J280" i="11"/>
  <c r="I280" i="11"/>
  <c r="L280" i="11" s="1"/>
  <c r="A280" i="11" s="1"/>
  <c r="J279" i="11"/>
  <c r="I279" i="11"/>
  <c r="L279" i="11" s="1"/>
  <c r="A279" i="11" s="1"/>
  <c r="J278" i="11"/>
  <c r="I278" i="11"/>
  <c r="L278" i="11" s="1"/>
  <c r="A278" i="11" s="1"/>
  <c r="J277" i="11"/>
  <c r="I277" i="11"/>
  <c r="L277" i="11" s="1"/>
  <c r="A277" i="11" s="1"/>
  <c r="J276" i="11"/>
  <c r="I276" i="11"/>
  <c r="L276" i="11" s="1"/>
  <c r="A276" i="11" s="1"/>
  <c r="J275" i="11"/>
  <c r="I275" i="11"/>
  <c r="L275" i="11" s="1"/>
  <c r="A275" i="11" s="1"/>
  <c r="J274" i="11"/>
  <c r="I274" i="11"/>
  <c r="L274" i="11" s="1"/>
  <c r="J273" i="11"/>
  <c r="I273" i="11"/>
  <c r="L273" i="11" s="1"/>
  <c r="A273" i="11" s="1"/>
  <c r="K272" i="11"/>
  <c r="J272" i="11"/>
  <c r="I272" i="11"/>
  <c r="J271" i="11"/>
  <c r="I271" i="11"/>
  <c r="L271" i="11" s="1"/>
  <c r="A271" i="11" s="1"/>
  <c r="J270" i="11"/>
  <c r="I270" i="11"/>
  <c r="L270" i="11" s="1"/>
  <c r="A270" i="11" s="1"/>
  <c r="J269" i="11"/>
  <c r="I269" i="11"/>
  <c r="L269" i="11" s="1"/>
  <c r="A269" i="11" s="1"/>
  <c r="J268" i="11"/>
  <c r="I268" i="11"/>
  <c r="L268" i="11" s="1"/>
  <c r="A268" i="11" s="1"/>
  <c r="L267" i="11"/>
  <c r="A267" i="11" s="1"/>
  <c r="J267" i="11"/>
  <c r="L266" i="11"/>
  <c r="A266" i="11" s="1"/>
  <c r="J266" i="11"/>
  <c r="J265" i="11"/>
  <c r="I265" i="11"/>
  <c r="L265" i="11" s="1"/>
  <c r="A265" i="11" s="1"/>
  <c r="J264" i="11"/>
  <c r="I264" i="11"/>
  <c r="L264" i="11" s="1"/>
  <c r="A264" i="11" s="1"/>
  <c r="J263" i="11"/>
  <c r="I263" i="11"/>
  <c r="L263" i="11" s="1"/>
  <c r="A263" i="11" s="1"/>
  <c r="J262" i="11"/>
  <c r="I262" i="11"/>
  <c r="L262" i="11" s="1"/>
  <c r="A262" i="11" s="1"/>
  <c r="J261" i="11"/>
  <c r="I261" i="11"/>
  <c r="L261" i="11" s="1"/>
  <c r="A261" i="11" s="1"/>
  <c r="J260" i="11"/>
  <c r="I260" i="11"/>
  <c r="L260" i="11" s="1"/>
  <c r="A260" i="11" s="1"/>
  <c r="J259" i="11"/>
  <c r="I259" i="11"/>
  <c r="L259" i="11" s="1"/>
  <c r="J258" i="11"/>
  <c r="I258" i="11"/>
  <c r="L258" i="11" s="1"/>
  <c r="J257" i="11"/>
  <c r="I257" i="11"/>
  <c r="L257" i="11" s="1"/>
  <c r="A257" i="11" s="1"/>
  <c r="J256" i="11"/>
  <c r="I256" i="11"/>
  <c r="L256" i="11" s="1"/>
  <c r="A256" i="11" s="1"/>
  <c r="J255" i="11"/>
  <c r="I255" i="11"/>
  <c r="L255" i="11" s="1"/>
  <c r="A255" i="11" s="1"/>
  <c r="J254" i="11"/>
  <c r="I254" i="11"/>
  <c r="L254" i="11" s="1"/>
  <c r="A254" i="11" s="1"/>
  <c r="J253" i="11"/>
  <c r="I253" i="11"/>
  <c r="L253" i="11" s="1"/>
  <c r="A253" i="11" s="1"/>
  <c r="K252" i="11"/>
  <c r="G252" i="11"/>
  <c r="I252" i="11" s="1"/>
  <c r="K251" i="11"/>
  <c r="J251" i="11"/>
  <c r="I251" i="11"/>
  <c r="J250" i="11"/>
  <c r="I250" i="11"/>
  <c r="K249" i="11"/>
  <c r="G249" i="11"/>
  <c r="I249" i="11" s="1"/>
  <c r="J248" i="11"/>
  <c r="I248" i="11"/>
  <c r="L248" i="11" s="1"/>
  <c r="A248" i="11" s="1"/>
  <c r="J247" i="11"/>
  <c r="I247" i="11"/>
  <c r="L247" i="11" s="1"/>
  <c r="A247" i="11" s="1"/>
  <c r="J246" i="11"/>
  <c r="I246" i="11"/>
  <c r="L246" i="11" s="1"/>
  <c r="K245" i="11"/>
  <c r="J245" i="11"/>
  <c r="I245" i="11"/>
  <c r="K244" i="11"/>
  <c r="J244" i="11"/>
  <c r="I244" i="11"/>
  <c r="K243" i="11"/>
  <c r="J243" i="11"/>
  <c r="I243" i="11"/>
  <c r="J242" i="11"/>
  <c r="I242" i="11"/>
  <c r="L242" i="11" s="1"/>
  <c r="K241" i="11"/>
  <c r="K250" i="11" s="1"/>
  <c r="J241" i="11"/>
  <c r="I241" i="11"/>
  <c r="M240" i="11"/>
  <c r="N240" i="11" s="1"/>
  <c r="J240" i="11"/>
  <c r="I240" i="11"/>
  <c r="K239" i="11"/>
  <c r="J239" i="11"/>
  <c r="I239" i="11"/>
  <c r="J238" i="11"/>
  <c r="I238" i="11"/>
  <c r="L238" i="11" s="1"/>
  <c r="K237" i="11"/>
  <c r="J237" i="11"/>
  <c r="I237" i="11"/>
  <c r="J236" i="11"/>
  <c r="I236" i="11"/>
  <c r="L236" i="11" s="1"/>
  <c r="K235" i="11"/>
  <c r="J235" i="11"/>
  <c r="I235" i="11"/>
  <c r="K234" i="11"/>
  <c r="J234" i="11"/>
  <c r="I234" i="11"/>
  <c r="K233" i="11"/>
  <c r="J233" i="11"/>
  <c r="I233" i="11"/>
  <c r="J232" i="11"/>
  <c r="I232" i="11"/>
  <c r="L232" i="11" s="1"/>
  <c r="J231" i="11"/>
  <c r="I231" i="11"/>
  <c r="L231" i="11" s="1"/>
  <c r="O230" i="11"/>
  <c r="R230" i="11" s="1"/>
  <c r="J230" i="11"/>
  <c r="I230" i="11"/>
  <c r="K229" i="11"/>
  <c r="J229" i="11"/>
  <c r="I229" i="11"/>
  <c r="G228" i="11"/>
  <c r="J228" i="11" s="1"/>
  <c r="J227" i="11"/>
  <c r="I227" i="11"/>
  <c r="L227" i="11" s="1"/>
  <c r="J226" i="11"/>
  <c r="I226" i="11"/>
  <c r="L226" i="11" s="1"/>
  <c r="A226" i="11" s="1"/>
  <c r="J225" i="11"/>
  <c r="I225" i="11"/>
  <c r="L225" i="11" s="1"/>
  <c r="J224" i="11"/>
  <c r="I224" i="11"/>
  <c r="L224" i="11" s="1"/>
  <c r="J223" i="11"/>
  <c r="I223" i="11"/>
  <c r="L223" i="11" s="1"/>
  <c r="J222" i="11"/>
  <c r="I222" i="11"/>
  <c r="L222" i="11" s="1"/>
  <c r="A222" i="11" s="1"/>
  <c r="J221" i="11"/>
  <c r="I221" i="11"/>
  <c r="L221" i="11" s="1"/>
  <c r="A221" i="11" s="1"/>
  <c r="J220" i="11"/>
  <c r="I220" i="11"/>
  <c r="L220" i="11" s="1"/>
  <c r="A220" i="11" s="1"/>
  <c r="J219" i="11"/>
  <c r="I219" i="11"/>
  <c r="L219" i="11" s="1"/>
  <c r="A219" i="11" s="1"/>
  <c r="G218" i="11"/>
  <c r="I218" i="11" s="1"/>
  <c r="L218" i="11" s="1"/>
  <c r="A218" i="11" s="1"/>
  <c r="J217" i="11"/>
  <c r="I217" i="11"/>
  <c r="L217" i="11" s="1"/>
  <c r="J216" i="11"/>
  <c r="I216" i="11"/>
  <c r="L216" i="11" s="1"/>
  <c r="J215" i="11"/>
  <c r="I215" i="11"/>
  <c r="L215" i="11" s="1"/>
  <c r="J214" i="11"/>
  <c r="I214" i="11"/>
  <c r="L214" i="11" s="1"/>
  <c r="J213" i="11"/>
  <c r="I213" i="11"/>
  <c r="L213" i="11" s="1"/>
  <c r="A213" i="11" s="1"/>
  <c r="J212" i="11"/>
  <c r="I212" i="11"/>
  <c r="L212" i="11" s="1"/>
  <c r="A212" i="11" s="1"/>
  <c r="J211" i="11"/>
  <c r="I211" i="11"/>
  <c r="L211" i="11" s="1"/>
  <c r="A211" i="11" s="1"/>
  <c r="J210" i="11"/>
  <c r="I210" i="11"/>
  <c r="L210" i="11" s="1"/>
  <c r="A210" i="11" s="1"/>
  <c r="J209" i="11"/>
  <c r="I209" i="11"/>
  <c r="L209" i="11" s="1"/>
  <c r="A209" i="11" s="1"/>
  <c r="J208" i="11"/>
  <c r="I208" i="11"/>
  <c r="L208" i="11" s="1"/>
  <c r="A208" i="11" s="1"/>
  <c r="J207" i="11"/>
  <c r="I207" i="11"/>
  <c r="L207" i="11" s="1"/>
  <c r="A207" i="11" s="1"/>
  <c r="J206" i="11"/>
  <c r="I206" i="11"/>
  <c r="L206" i="11" s="1"/>
  <c r="A206" i="11" s="1"/>
  <c r="J205" i="11"/>
  <c r="I205" i="11"/>
  <c r="L205" i="11" s="1"/>
  <c r="J204" i="11"/>
  <c r="I204" i="11"/>
  <c r="L204" i="11" s="1"/>
  <c r="A204" i="11" s="1"/>
  <c r="J203" i="11"/>
  <c r="I203" i="11"/>
  <c r="L203" i="11" s="1"/>
  <c r="A203" i="11" s="1"/>
  <c r="J202" i="11"/>
  <c r="I202" i="11"/>
  <c r="L202" i="11" s="1"/>
  <c r="A202" i="11" s="1"/>
  <c r="J201" i="11"/>
  <c r="I201" i="11"/>
  <c r="L201" i="11" s="1"/>
  <c r="J200" i="11"/>
  <c r="I200" i="11"/>
  <c r="L200" i="11" s="1"/>
  <c r="A200" i="11" s="1"/>
  <c r="G199" i="11"/>
  <c r="I199" i="11" s="1"/>
  <c r="L199" i="11" s="1"/>
  <c r="A199" i="11" s="1"/>
  <c r="J198" i="11"/>
  <c r="I198" i="11"/>
  <c r="L198" i="11" s="1"/>
  <c r="J197" i="11"/>
  <c r="I197" i="11"/>
  <c r="L197" i="11" s="1"/>
  <c r="A197" i="11" s="1"/>
  <c r="J196" i="11"/>
  <c r="I196" i="11"/>
  <c r="L196" i="11" s="1"/>
  <c r="G195" i="11"/>
  <c r="I195" i="11" s="1"/>
  <c r="L195" i="11" s="1"/>
  <c r="A195" i="11" s="1"/>
  <c r="N194" i="11"/>
  <c r="O194" i="11" s="1"/>
  <c r="R194" i="11" s="1"/>
  <c r="J194" i="11"/>
  <c r="I194" i="11"/>
  <c r="J193" i="11"/>
  <c r="I193" i="11"/>
  <c r="L193" i="11" s="1"/>
  <c r="A193" i="11" s="1"/>
  <c r="J192" i="11"/>
  <c r="I192" i="11"/>
  <c r="L192" i="11" s="1"/>
  <c r="A192" i="11" s="1"/>
  <c r="J191" i="11"/>
  <c r="I191" i="11"/>
  <c r="L191" i="11" s="1"/>
  <c r="J190" i="11"/>
  <c r="I190" i="11"/>
  <c r="L190" i="11" s="1"/>
  <c r="A190" i="11" s="1"/>
  <c r="J189" i="11"/>
  <c r="I189" i="11"/>
  <c r="L189" i="11" s="1"/>
  <c r="A189" i="11" s="1"/>
  <c r="J188" i="11"/>
  <c r="I188" i="11"/>
  <c r="L188" i="11" s="1"/>
  <c r="A188" i="11" s="1"/>
  <c r="J187" i="11"/>
  <c r="I187" i="11"/>
  <c r="L187" i="11" s="1"/>
  <c r="J186" i="11"/>
  <c r="I186" i="11"/>
  <c r="L186" i="11" s="1"/>
  <c r="A186" i="11" s="1"/>
  <c r="J185" i="11"/>
  <c r="I185" i="11"/>
  <c r="L185" i="11" s="1"/>
  <c r="A185" i="11" s="1"/>
  <c r="O184" i="11"/>
  <c r="R184" i="11" s="1"/>
  <c r="K184" i="11"/>
  <c r="J184" i="11"/>
  <c r="I184" i="11"/>
  <c r="J183" i="11"/>
  <c r="I183" i="11"/>
  <c r="L183" i="11" s="1"/>
  <c r="J182" i="11"/>
  <c r="I182" i="11"/>
  <c r="L182" i="11" s="1"/>
  <c r="A182" i="11" s="1"/>
  <c r="M181" i="11"/>
  <c r="J181" i="11"/>
  <c r="I181" i="11"/>
  <c r="L181" i="11" s="1"/>
  <c r="A181" i="11" s="1"/>
  <c r="M180" i="11"/>
  <c r="J180" i="11"/>
  <c r="I180" i="11"/>
  <c r="L180" i="11" s="1"/>
  <c r="A180" i="11" s="1"/>
  <c r="J179" i="11"/>
  <c r="I179" i="11"/>
  <c r="L179" i="11" s="1"/>
  <c r="M178" i="11"/>
  <c r="J178" i="11"/>
  <c r="I178" i="11"/>
  <c r="L178" i="11" s="1"/>
  <c r="J177" i="11"/>
  <c r="I177" i="11"/>
  <c r="L177" i="11" s="1"/>
  <c r="J176" i="11"/>
  <c r="I176" i="11"/>
  <c r="L176" i="11" s="1"/>
  <c r="J175" i="11"/>
  <c r="I175" i="11"/>
  <c r="L175" i="11" s="1"/>
  <c r="N174" i="11"/>
  <c r="O174" i="11" s="1"/>
  <c r="R174" i="11" s="1"/>
  <c r="J174" i="11"/>
  <c r="I174" i="11"/>
  <c r="J173" i="11"/>
  <c r="I173" i="11"/>
  <c r="L173" i="11" s="1"/>
  <c r="J172" i="11"/>
  <c r="I172" i="11"/>
  <c r="L172" i="11" s="1"/>
  <c r="J171" i="11"/>
  <c r="I171" i="11"/>
  <c r="L171" i="11" s="1"/>
  <c r="J170" i="11"/>
  <c r="I170" i="11"/>
  <c r="L170" i="11" s="1"/>
  <c r="J169" i="11"/>
  <c r="I169" i="11"/>
  <c r="L169" i="11" s="1"/>
  <c r="J168" i="11"/>
  <c r="I168" i="11"/>
  <c r="L168" i="11" s="1"/>
  <c r="J167" i="11"/>
  <c r="I167" i="11"/>
  <c r="L167" i="11" s="1"/>
  <c r="J166" i="11"/>
  <c r="I166" i="11"/>
  <c r="L166" i="11" s="1"/>
  <c r="N165" i="11"/>
  <c r="J165" i="11"/>
  <c r="I165" i="11"/>
  <c r="J164" i="11"/>
  <c r="I164" i="11"/>
  <c r="L164" i="11" s="1"/>
  <c r="J163" i="11"/>
  <c r="I163" i="11"/>
  <c r="L163" i="11" s="1"/>
  <c r="J162" i="11"/>
  <c r="I162" i="11"/>
  <c r="L162" i="11" s="1"/>
  <c r="J161" i="11"/>
  <c r="I161" i="11"/>
  <c r="L161" i="11" s="1"/>
  <c r="J160" i="11"/>
  <c r="I160" i="11"/>
  <c r="L160" i="11" s="1"/>
  <c r="A160" i="11" s="1"/>
  <c r="J159" i="11"/>
  <c r="I159" i="11"/>
  <c r="L159" i="11" s="1"/>
  <c r="J158" i="11"/>
  <c r="I158" i="11"/>
  <c r="L158" i="11" s="1"/>
  <c r="A158" i="11" s="1"/>
  <c r="J157" i="11"/>
  <c r="I157" i="11"/>
  <c r="L157" i="11" s="1"/>
  <c r="N156" i="11"/>
  <c r="O156" i="11" s="1"/>
  <c r="R156" i="11" s="1"/>
  <c r="J156" i="11"/>
  <c r="I156" i="11"/>
  <c r="J155" i="11"/>
  <c r="I155" i="11"/>
  <c r="L155" i="11" s="1"/>
  <c r="J154" i="11"/>
  <c r="I154" i="11"/>
  <c r="L154" i="11" s="1"/>
  <c r="J153" i="11"/>
  <c r="I153" i="11"/>
  <c r="L153" i="11" s="1"/>
  <c r="J152" i="11"/>
  <c r="I152" i="11"/>
  <c r="L152" i="11" s="1"/>
  <c r="A152" i="11" s="1"/>
  <c r="J151" i="11"/>
  <c r="I151" i="11"/>
  <c r="L151" i="11" s="1"/>
  <c r="J150" i="11"/>
  <c r="I150" i="11"/>
  <c r="L150" i="11" s="1"/>
  <c r="J149" i="11"/>
  <c r="I149" i="11"/>
  <c r="L149" i="11" s="1"/>
  <c r="J148" i="11"/>
  <c r="I148" i="11"/>
  <c r="L148" i="11" s="1"/>
  <c r="J147" i="11"/>
  <c r="I147" i="11"/>
  <c r="L147" i="11" s="1"/>
  <c r="J146" i="11"/>
  <c r="I146" i="11"/>
  <c r="L146" i="11" s="1"/>
  <c r="J145" i="11"/>
  <c r="I145" i="11"/>
  <c r="L145" i="11" s="1"/>
  <c r="J144" i="11"/>
  <c r="I144" i="11"/>
  <c r="L144" i="11" s="1"/>
  <c r="J143" i="11"/>
  <c r="I143" i="11"/>
  <c r="L143" i="11" s="1"/>
  <c r="J142" i="11"/>
  <c r="I142" i="11"/>
  <c r="L142" i="11" s="1"/>
  <c r="A142" i="11" s="1"/>
  <c r="J141" i="11"/>
  <c r="I141" i="11"/>
  <c r="L141" i="11" s="1"/>
  <c r="A141" i="11" s="1"/>
  <c r="J140" i="11"/>
  <c r="I140" i="11"/>
  <c r="L140" i="11" s="1"/>
  <c r="K139" i="11"/>
  <c r="G139" i="11"/>
  <c r="J139" i="11" s="1"/>
  <c r="J138" i="11"/>
  <c r="I138" i="11"/>
  <c r="L138" i="11" s="1"/>
  <c r="J137" i="11"/>
  <c r="I137" i="11"/>
  <c r="L137" i="11" s="1"/>
  <c r="J136" i="11"/>
  <c r="I136" i="11"/>
  <c r="L136" i="11" s="1"/>
  <c r="J135" i="11"/>
  <c r="I135" i="11"/>
  <c r="L135" i="11" s="1"/>
  <c r="L134" i="11"/>
  <c r="H134" i="11"/>
  <c r="J133" i="11"/>
  <c r="I133" i="11"/>
  <c r="L133" i="11" s="1"/>
  <c r="A133" i="11" s="1"/>
  <c r="J132" i="11"/>
  <c r="I132" i="11"/>
  <c r="L132" i="11" s="1"/>
  <c r="A132" i="11" s="1"/>
  <c r="J131" i="11"/>
  <c r="I131" i="11"/>
  <c r="L131" i="11" s="1"/>
  <c r="A131" i="11" s="1"/>
  <c r="J130" i="11"/>
  <c r="I130" i="11"/>
  <c r="L130" i="11" s="1"/>
  <c r="A130" i="11" s="1"/>
  <c r="J129" i="11"/>
  <c r="I129" i="11"/>
  <c r="L129" i="11" s="1"/>
  <c r="J128" i="11"/>
  <c r="I128" i="11"/>
  <c r="L128" i="11" s="1"/>
  <c r="O127" i="11"/>
  <c r="J127" i="11"/>
  <c r="I127" i="11"/>
  <c r="J126" i="11"/>
  <c r="I126" i="11"/>
  <c r="L126" i="11" s="1"/>
  <c r="A126" i="11" s="1"/>
  <c r="J125" i="11"/>
  <c r="I125" i="11"/>
  <c r="L125" i="11" s="1"/>
  <c r="J124" i="11"/>
  <c r="I124" i="11"/>
  <c r="L124" i="11" s="1"/>
  <c r="A124" i="11" s="1"/>
  <c r="G123" i="11"/>
  <c r="I123" i="11" s="1"/>
  <c r="L123" i="11" s="1"/>
  <c r="J122" i="11"/>
  <c r="I122" i="11"/>
  <c r="L122" i="11" s="1"/>
  <c r="O121" i="11"/>
  <c r="R121" i="11" s="1"/>
  <c r="J121" i="11"/>
  <c r="I121" i="11"/>
  <c r="L121" i="11" s="1"/>
  <c r="A121" i="11" s="1"/>
  <c r="J120" i="11"/>
  <c r="I120" i="11"/>
  <c r="L120" i="11" s="1"/>
  <c r="J119" i="11"/>
  <c r="I119" i="11"/>
  <c r="L119" i="11" s="1"/>
  <c r="J118" i="11"/>
  <c r="I118" i="11"/>
  <c r="L118" i="11" s="1"/>
  <c r="N117" i="11"/>
  <c r="O117" i="11" s="1"/>
  <c r="R117" i="11" s="1"/>
  <c r="J117" i="11"/>
  <c r="I117" i="11"/>
  <c r="J116" i="11"/>
  <c r="I116" i="11"/>
  <c r="L116" i="11" s="1"/>
  <c r="A116" i="11" s="1"/>
  <c r="J115" i="11"/>
  <c r="I115" i="11"/>
  <c r="L115" i="11" s="1"/>
  <c r="J114" i="11"/>
  <c r="I114" i="11"/>
  <c r="L114" i="11" s="1"/>
  <c r="A114" i="11" s="1"/>
  <c r="J113" i="11"/>
  <c r="I113" i="11"/>
  <c r="L113" i="11" s="1"/>
  <c r="J112" i="11"/>
  <c r="I112" i="11"/>
  <c r="L112" i="11" s="1"/>
  <c r="J111" i="11"/>
  <c r="I111" i="11"/>
  <c r="L111" i="11" s="1"/>
  <c r="J110" i="11"/>
  <c r="I110" i="11"/>
  <c r="L110" i="11" s="1"/>
  <c r="J109" i="11"/>
  <c r="I109" i="11"/>
  <c r="L109" i="11" s="1"/>
  <c r="J108" i="11"/>
  <c r="I108" i="11"/>
  <c r="L108" i="11" s="1"/>
  <c r="K107" i="11"/>
  <c r="J107" i="11"/>
  <c r="I107" i="11"/>
  <c r="O106" i="11"/>
  <c r="R106" i="11" s="1"/>
  <c r="H106" i="11"/>
  <c r="J106" i="11" s="1"/>
  <c r="J105" i="11"/>
  <c r="I105" i="11"/>
  <c r="L105" i="11" s="1"/>
  <c r="O104" i="11"/>
  <c r="R104" i="11" s="1"/>
  <c r="K104" i="11"/>
  <c r="J104" i="11"/>
  <c r="I104" i="11"/>
  <c r="O103" i="11"/>
  <c r="R103" i="11" s="1"/>
  <c r="J103" i="11"/>
  <c r="I103" i="11"/>
  <c r="O102" i="11"/>
  <c r="R102" i="11" s="1"/>
  <c r="K102" i="11"/>
  <c r="G102" i="11"/>
  <c r="J102" i="11" s="1"/>
  <c r="O101" i="11"/>
  <c r="R101" i="11" s="1"/>
  <c r="L101" i="11"/>
  <c r="A101" i="11" s="1"/>
  <c r="J101" i="11"/>
  <c r="M100" i="11"/>
  <c r="N100" i="11" s="1"/>
  <c r="O100" i="11" s="1"/>
  <c r="R100" i="11" s="1"/>
  <c r="J100" i="11"/>
  <c r="J99" i="11"/>
  <c r="I99" i="11"/>
  <c r="L99" i="11" s="1"/>
  <c r="K98" i="11"/>
  <c r="J98" i="11"/>
  <c r="I98" i="11"/>
  <c r="J97" i="11"/>
  <c r="I97" i="11"/>
  <c r="L97" i="11" s="1"/>
  <c r="J96" i="11"/>
  <c r="I96" i="11"/>
  <c r="L96" i="11" s="1"/>
  <c r="L95" i="11"/>
  <c r="H95" i="11"/>
  <c r="J94" i="11"/>
  <c r="I94" i="11"/>
  <c r="L94" i="11" s="1"/>
  <c r="J93" i="11"/>
  <c r="I93" i="11"/>
  <c r="L93" i="11" s="1"/>
  <c r="J92" i="11"/>
  <c r="I92" i="11"/>
  <c r="L92" i="11" s="1"/>
  <c r="J91" i="11"/>
  <c r="I91" i="11"/>
  <c r="L91" i="11" s="1"/>
  <c r="A91" i="11" s="1"/>
  <c r="J90" i="11"/>
  <c r="I90" i="11"/>
  <c r="L90" i="11" s="1"/>
  <c r="A90" i="11" s="1"/>
  <c r="O89" i="11"/>
  <c r="J89" i="11"/>
  <c r="I89" i="11"/>
  <c r="L89" i="11" s="1"/>
  <c r="O88" i="11"/>
  <c r="J88" i="11"/>
  <c r="I88" i="11"/>
  <c r="L88" i="11" s="1"/>
  <c r="O87" i="11"/>
  <c r="R87" i="11" s="1"/>
  <c r="J87" i="11"/>
  <c r="I87" i="11"/>
  <c r="L87" i="11" s="1"/>
  <c r="A87" i="11" s="1"/>
  <c r="O86" i="11"/>
  <c r="R86" i="11" s="1"/>
  <c r="J86" i="11"/>
  <c r="I86" i="11"/>
  <c r="L86" i="11" s="1"/>
  <c r="O85" i="11"/>
  <c r="R85" i="11" s="1"/>
  <c r="J85" i="11"/>
  <c r="I85" i="11"/>
  <c r="L85" i="11" s="1"/>
  <c r="A85" i="11" s="1"/>
  <c r="O84" i="11"/>
  <c r="R84" i="11" s="1"/>
  <c r="J84" i="11"/>
  <c r="I84" i="11"/>
  <c r="L84" i="11" s="1"/>
  <c r="J83" i="11"/>
  <c r="I83" i="11"/>
  <c r="L83" i="11" s="1"/>
  <c r="J82" i="11"/>
  <c r="I82" i="11"/>
  <c r="L82" i="11" s="1"/>
  <c r="A82" i="11" s="1"/>
  <c r="J81" i="11"/>
  <c r="I81" i="11"/>
  <c r="L81" i="11" s="1"/>
  <c r="A81" i="11" s="1"/>
  <c r="J80" i="11"/>
  <c r="I80" i="11"/>
  <c r="L80" i="11" s="1"/>
  <c r="A80" i="11" s="1"/>
  <c r="J79" i="11"/>
  <c r="I79" i="11"/>
  <c r="L79" i="11" s="1"/>
  <c r="J78" i="11"/>
  <c r="I78" i="11"/>
  <c r="L78" i="11" s="1"/>
  <c r="A78" i="11" s="1"/>
  <c r="O77" i="11"/>
  <c r="R77" i="11" s="1"/>
  <c r="L77" i="11"/>
  <c r="J77" i="11"/>
  <c r="O76" i="11"/>
  <c r="J76" i="11"/>
  <c r="J75" i="11"/>
  <c r="I75" i="11"/>
  <c r="L75" i="11" s="1"/>
  <c r="J74" i="11"/>
  <c r="I74" i="11"/>
  <c r="L74" i="11" s="1"/>
  <c r="O73" i="11"/>
  <c r="R73" i="11" s="1"/>
  <c r="J73" i="11"/>
  <c r="I73" i="11"/>
  <c r="L73" i="11" s="1"/>
  <c r="N72" i="11"/>
  <c r="J72" i="11"/>
  <c r="I72" i="11"/>
  <c r="L72" i="11" s="1"/>
  <c r="O71" i="11"/>
  <c r="R71" i="11" s="1"/>
  <c r="J71" i="11"/>
  <c r="I71" i="11"/>
  <c r="L71" i="11" s="1"/>
  <c r="J70" i="11"/>
  <c r="I70" i="11"/>
  <c r="L70" i="11" s="1"/>
  <c r="J69" i="11"/>
  <c r="I69" i="11"/>
  <c r="L69" i="11" s="1"/>
  <c r="O68" i="11"/>
  <c r="J68" i="11"/>
  <c r="I68" i="11"/>
  <c r="J67" i="11"/>
  <c r="I67" i="11"/>
  <c r="L67" i="11" s="1"/>
  <c r="O66" i="11"/>
  <c r="R66" i="11" s="1"/>
  <c r="G66" i="11"/>
  <c r="I66" i="11" s="1"/>
  <c r="L66" i="11" s="1"/>
  <c r="A66" i="11" s="1"/>
  <c r="I65" i="11"/>
  <c r="L65" i="11" s="1"/>
  <c r="O64" i="11"/>
  <c r="R64" i="11" s="1"/>
  <c r="I64" i="11"/>
  <c r="L64" i="11" s="1"/>
  <c r="O63" i="11"/>
  <c r="R63" i="11" s="1"/>
  <c r="I63" i="11"/>
  <c r="L63" i="11" s="1"/>
  <c r="G62" i="11"/>
  <c r="I62" i="11" s="1"/>
  <c r="L62" i="11" s="1"/>
  <c r="A62" i="11" s="1"/>
  <c r="I61" i="11"/>
  <c r="L61" i="11" s="1"/>
  <c r="A61" i="11" s="1"/>
  <c r="I60" i="11"/>
  <c r="L60" i="11" s="1"/>
  <c r="A60" i="11" s="1"/>
  <c r="O59" i="11"/>
  <c r="R59" i="11" s="1"/>
  <c r="I59" i="11"/>
  <c r="L59" i="11" s="1"/>
  <c r="I58" i="11"/>
  <c r="L58" i="11" s="1"/>
  <c r="I56" i="11"/>
  <c r="L56" i="11" s="1"/>
  <c r="I55" i="11"/>
  <c r="L55" i="11" s="1"/>
  <c r="I54" i="11"/>
  <c r="L54" i="11" s="1"/>
  <c r="I53" i="11"/>
  <c r="L53" i="11" s="1"/>
  <c r="I52" i="11"/>
  <c r="L52" i="11" s="1"/>
  <c r="I51" i="11"/>
  <c r="L51" i="11" s="1"/>
  <c r="I50" i="11"/>
  <c r="L50" i="11" s="1"/>
  <c r="I49" i="11"/>
  <c r="L49" i="11" s="1"/>
  <c r="O48" i="11"/>
  <c r="R48" i="11" s="1"/>
  <c r="I48" i="11"/>
  <c r="L48" i="11" s="1"/>
  <c r="O47" i="11"/>
  <c r="R47" i="11" s="1"/>
  <c r="I47" i="11"/>
  <c r="L47" i="11" s="1"/>
  <c r="I46" i="11"/>
  <c r="L46" i="11" s="1"/>
  <c r="A46" i="11" s="1"/>
  <c r="I45" i="11"/>
  <c r="L45" i="11" s="1"/>
  <c r="I44" i="11"/>
  <c r="L44" i="11" s="1"/>
  <c r="I43" i="11"/>
  <c r="L43" i="11" s="1"/>
  <c r="M42" i="11"/>
  <c r="I42" i="11"/>
  <c r="L42" i="11" s="1"/>
  <c r="A42" i="11" s="1"/>
  <c r="I41" i="11"/>
  <c r="L41" i="11" s="1"/>
  <c r="A41" i="11" s="1"/>
  <c r="I40" i="11"/>
  <c r="L40" i="11" s="1"/>
  <c r="I39" i="11"/>
  <c r="L39" i="11" s="1"/>
  <c r="O38" i="11"/>
  <c r="I38" i="11"/>
  <c r="L38" i="11" s="1"/>
  <c r="I37" i="11"/>
  <c r="L37" i="11" s="1"/>
  <c r="I36" i="11"/>
  <c r="L36" i="11" s="1"/>
  <c r="I35" i="11"/>
  <c r="L35" i="11" s="1"/>
  <c r="K34" i="11"/>
  <c r="I34" i="11"/>
  <c r="I33" i="11"/>
  <c r="L33" i="11" s="1"/>
  <c r="I32" i="11"/>
  <c r="L32" i="11" s="1"/>
  <c r="I31" i="11"/>
  <c r="L31" i="11" s="1"/>
  <c r="I30" i="11"/>
  <c r="L30" i="11" s="1"/>
  <c r="A30" i="11" s="1"/>
  <c r="O29" i="11"/>
  <c r="R29" i="11" s="1"/>
  <c r="I29" i="11"/>
  <c r="L29" i="11" s="1"/>
  <c r="I28" i="11"/>
  <c r="L28" i="11" s="1"/>
  <c r="I27" i="11"/>
  <c r="L27" i="11" s="1"/>
  <c r="I26" i="11"/>
  <c r="L26" i="11" s="1"/>
  <c r="I25" i="11"/>
  <c r="L25" i="11" s="1"/>
  <c r="I24" i="11"/>
  <c r="L24" i="11" s="1"/>
  <c r="O23" i="11"/>
  <c r="R23" i="11" s="1"/>
  <c r="I23" i="11"/>
  <c r="L23" i="11" s="1"/>
  <c r="A23" i="11" s="1"/>
  <c r="I22" i="11"/>
  <c r="L22" i="11" s="1"/>
  <c r="O21" i="11"/>
  <c r="R21" i="11" s="1"/>
  <c r="I21" i="11"/>
  <c r="L21" i="11" s="1"/>
  <c r="I20" i="11"/>
  <c r="L20" i="11" s="1"/>
  <c r="I19" i="11"/>
  <c r="L19" i="11" s="1"/>
  <c r="O18" i="11"/>
  <c r="R18" i="11" s="1"/>
  <c r="I18" i="11"/>
  <c r="L18" i="11" s="1"/>
  <c r="O17" i="11"/>
  <c r="R17" i="11" s="1"/>
  <c r="I17" i="11"/>
  <c r="L17" i="11" s="1"/>
  <c r="O16" i="11"/>
  <c r="R16" i="11" s="1"/>
  <c r="I16" i="11"/>
  <c r="L16" i="11" s="1"/>
  <c r="O15" i="11"/>
  <c r="R15" i="11" s="1"/>
  <c r="I14" i="11"/>
  <c r="L14" i="11" s="1"/>
  <c r="G13" i="11"/>
  <c r="I13" i="11" s="1"/>
  <c r="L13" i="11" s="1"/>
  <c r="I12" i="11"/>
  <c r="L12" i="11" s="1"/>
  <c r="O11" i="11"/>
  <c r="R11" i="11" s="1"/>
  <c r="I11" i="11"/>
  <c r="L11" i="11" s="1"/>
  <c r="I10" i="11"/>
  <c r="L10" i="11" s="1"/>
  <c r="I9" i="11"/>
  <c r="L9" i="11" s="1"/>
  <c r="I8" i="11"/>
  <c r="L8" i="11" s="1"/>
  <c r="I7" i="11"/>
  <c r="L7" i="11" s="1"/>
  <c r="I6" i="11"/>
  <c r="L6" i="11" s="1"/>
  <c r="I5" i="11"/>
  <c r="L5" i="11" s="1"/>
  <c r="I4" i="11"/>
  <c r="L4" i="11" s="1"/>
  <c r="I3" i="11"/>
  <c r="L3" i="11" s="1"/>
  <c r="O2" i="11"/>
  <c r="I2" i="11"/>
  <c r="L2" i="11" s="1"/>
  <c r="B2" i="11"/>
  <c r="C932" i="11" l="1"/>
  <c r="C960" i="11"/>
  <c r="C929" i="11"/>
  <c r="C913" i="11"/>
  <c r="C85" i="11"/>
  <c r="C11" i="11"/>
  <c r="A11" i="11"/>
  <c r="C22" i="11"/>
  <c r="A22" i="11"/>
  <c r="C29" i="11"/>
  <c r="C100" i="11"/>
  <c r="A29" i="11"/>
  <c r="C51" i="11"/>
  <c r="A51" i="11"/>
  <c r="C65" i="11"/>
  <c r="C78" i="11"/>
  <c r="C132" i="11"/>
  <c r="C208" i="11"/>
  <c r="A65" i="11"/>
  <c r="C79" i="11"/>
  <c r="C467" i="11"/>
  <c r="C124" i="11"/>
  <c r="A79" i="11"/>
  <c r="C83" i="11"/>
  <c r="A83" i="11"/>
  <c r="C92" i="11"/>
  <c r="A92" i="11"/>
  <c r="C149" i="11"/>
  <c r="C202" i="11"/>
  <c r="C254" i="11"/>
  <c r="C280" i="11"/>
  <c r="A149" i="11"/>
  <c r="C155" i="11"/>
  <c r="A155" i="11"/>
  <c r="C172" i="11"/>
  <c r="A172" i="11"/>
  <c r="C191" i="11"/>
  <c r="A191" i="11"/>
  <c r="C303" i="11"/>
  <c r="A303" i="11"/>
  <c r="C6" i="11"/>
  <c r="A6" i="11"/>
  <c r="C10" i="11"/>
  <c r="A10" i="11"/>
  <c r="A13" i="11"/>
  <c r="C24" i="11"/>
  <c r="A24" i="11"/>
  <c r="C28" i="11"/>
  <c r="A28" i="11"/>
  <c r="C82" i="11"/>
  <c r="C31" i="11"/>
  <c r="A31" i="11"/>
  <c r="C197" i="11"/>
  <c r="C38" i="11"/>
  <c r="A38" i="11"/>
  <c r="C44" i="11"/>
  <c r="A44" i="11"/>
  <c r="C50" i="11"/>
  <c r="A50" i="11"/>
  <c r="A54" i="11"/>
  <c r="A59" i="11"/>
  <c r="C67" i="11"/>
  <c r="A67" i="11"/>
  <c r="C72" i="11"/>
  <c r="A72" i="11"/>
  <c r="C75" i="11"/>
  <c r="A75" i="11"/>
  <c r="C95" i="11"/>
  <c r="A95" i="11"/>
  <c r="C99" i="11"/>
  <c r="A99" i="11"/>
  <c r="C222" i="11"/>
  <c r="C119" i="11"/>
  <c r="C160" i="11"/>
  <c r="A119" i="11"/>
  <c r="C125" i="11"/>
  <c r="C192" i="11"/>
  <c r="A125" i="11"/>
  <c r="C134" i="11"/>
  <c r="A134" i="11"/>
  <c r="C162" i="11"/>
  <c r="A162" i="11"/>
  <c r="A164" i="11"/>
  <c r="A175" i="11"/>
  <c r="C177" i="11"/>
  <c r="A177" i="11"/>
  <c r="C201" i="11"/>
  <c r="C828" i="11"/>
  <c r="A201" i="11"/>
  <c r="C205" i="11"/>
  <c r="C367" i="11"/>
  <c r="A205" i="11"/>
  <c r="A215" i="11"/>
  <c r="C217" i="11"/>
  <c r="C342" i="11"/>
  <c r="C271" i="11"/>
  <c r="C279" i="11"/>
  <c r="C315" i="11"/>
  <c r="C328" i="11"/>
  <c r="C801" i="11"/>
  <c r="A217" i="11"/>
  <c r="C273" i="11"/>
  <c r="C259" i="11"/>
  <c r="C295" i="11"/>
  <c r="C418" i="11"/>
  <c r="C347" i="11"/>
  <c r="C379" i="11"/>
  <c r="C387" i="11"/>
  <c r="A259" i="11"/>
  <c r="C323" i="11"/>
  <c r="A323" i="11"/>
  <c r="C331" i="11"/>
  <c r="C449" i="11"/>
  <c r="A331" i="11"/>
  <c r="A333" i="11"/>
  <c r="C335" i="11"/>
  <c r="A335" i="11"/>
  <c r="C337" i="11"/>
  <c r="A337" i="11"/>
  <c r="C341" i="11"/>
  <c r="C419" i="11"/>
  <c r="C499" i="11"/>
  <c r="C621" i="11"/>
  <c r="A341" i="11"/>
  <c r="C343" i="11"/>
  <c r="A343" i="11"/>
  <c r="C345" i="11"/>
  <c r="C354" i="11"/>
  <c r="A345" i="11"/>
  <c r="A349" i="11"/>
  <c r="A351" i="11"/>
  <c r="A380" i="11"/>
  <c r="C462" i="11"/>
  <c r="C423" i="11"/>
  <c r="C389" i="11"/>
  <c r="A389" i="11"/>
  <c r="A426" i="11"/>
  <c r="C430" i="11"/>
  <c r="A430" i="11"/>
  <c r="C446" i="11"/>
  <c r="A446" i="11"/>
  <c r="C456" i="11"/>
  <c r="A456" i="11"/>
  <c r="C478" i="11"/>
  <c r="C586" i="11"/>
  <c r="C491" i="11"/>
  <c r="C529" i="11"/>
  <c r="C708" i="11"/>
  <c r="C893" i="11"/>
  <c r="C625" i="11"/>
  <c r="C862" i="11"/>
  <c r="C757" i="11"/>
  <c r="A478" i="11"/>
  <c r="C482" i="11"/>
  <c r="C611" i="11"/>
  <c r="C619" i="11"/>
  <c r="C756" i="11"/>
  <c r="A482" i="11"/>
  <c r="A496" i="11"/>
  <c r="A507" i="11"/>
  <c r="A520" i="11"/>
  <c r="C540" i="11"/>
  <c r="A540" i="11"/>
  <c r="C567" i="11"/>
  <c r="C592" i="11"/>
  <c r="C549" i="11"/>
  <c r="C632" i="11"/>
  <c r="C692" i="11"/>
  <c r="C716" i="11"/>
  <c r="C746" i="11"/>
  <c r="C789" i="11"/>
  <c r="C877" i="11"/>
  <c r="C897" i="11"/>
  <c r="C734" i="11"/>
  <c r="C654" i="11"/>
  <c r="C800" i="11"/>
  <c r="C820" i="11"/>
  <c r="C858" i="11"/>
  <c r="C895" i="11"/>
  <c r="C679" i="11"/>
  <c r="C728" i="11"/>
  <c r="A549" i="11"/>
  <c r="C563" i="11"/>
  <c r="C615" i="11"/>
  <c r="C612" i="11"/>
  <c r="C656" i="11"/>
  <c r="C680" i="11"/>
  <c r="C693" i="11"/>
  <c r="C717" i="11"/>
  <c r="C726" i="11"/>
  <c r="C748" i="11"/>
  <c r="C841" i="11"/>
  <c r="C631" i="11"/>
  <c r="C736" i="11"/>
  <c r="C788" i="11"/>
  <c r="A563" i="11"/>
  <c r="C576" i="11"/>
  <c r="C671" i="11"/>
  <c r="A576" i="11"/>
  <c r="C578" i="11"/>
  <c r="A578" i="11"/>
  <c r="C591" i="11"/>
  <c r="C848" i="11"/>
  <c r="A591" i="11"/>
  <c r="A595" i="11"/>
  <c r="C636" i="11"/>
  <c r="C697" i="11"/>
  <c r="A636" i="11"/>
  <c r="A642" i="11"/>
  <c r="A647" i="11"/>
  <c r="C669" i="11"/>
  <c r="A669" i="11"/>
  <c r="C673" i="11"/>
  <c r="A673" i="11"/>
  <c r="C698" i="11"/>
  <c r="A698" i="11"/>
  <c r="C709" i="11"/>
  <c r="A709" i="11"/>
  <c r="L724" i="11"/>
  <c r="A724" i="11" s="1"/>
  <c r="C7" i="11"/>
  <c r="A7" i="11"/>
  <c r="C19" i="11"/>
  <c r="A19" i="11"/>
  <c r="C32" i="11"/>
  <c r="A32" i="11"/>
  <c r="C45" i="11"/>
  <c r="C101" i="11"/>
  <c r="A45" i="11"/>
  <c r="C55" i="11"/>
  <c r="A55" i="11"/>
  <c r="C71" i="11"/>
  <c r="A71" i="11"/>
  <c r="C135" i="11"/>
  <c r="A135" i="11"/>
  <c r="C143" i="11"/>
  <c r="C267" i="11"/>
  <c r="C220" i="11"/>
  <c r="A143" i="11"/>
  <c r="C151" i="11"/>
  <c r="A151" i="11"/>
  <c r="C170" i="11"/>
  <c r="C278" i="11"/>
  <c r="C404" i="11"/>
  <c r="C365" i="11"/>
  <c r="C869" i="11"/>
  <c r="C702" i="11"/>
  <c r="A170" i="11"/>
  <c r="C285" i="11"/>
  <c r="C398" i="11"/>
  <c r="C474" i="11"/>
  <c r="C704" i="11"/>
  <c r="A285" i="11"/>
  <c r="C307" i="11"/>
  <c r="C705" i="11"/>
  <c r="A307" i="11"/>
  <c r="C309" i="11"/>
  <c r="A309" i="11"/>
  <c r="C368" i="11"/>
  <c r="A368" i="11"/>
  <c r="A484" i="11"/>
  <c r="A498" i="11"/>
  <c r="C522" i="11"/>
  <c r="C566" i="11"/>
  <c r="C607" i="11"/>
  <c r="C532" i="11"/>
  <c r="C742" i="11"/>
  <c r="C629" i="11"/>
  <c r="C678" i="11"/>
  <c r="C727" i="11"/>
  <c r="C735" i="11"/>
  <c r="C691" i="11"/>
  <c r="C753" i="11"/>
  <c r="A522" i="11"/>
  <c r="C531" i="11"/>
  <c r="C524" i="11"/>
  <c r="C564" i="11"/>
  <c r="C609" i="11"/>
  <c r="C628" i="11"/>
  <c r="C754" i="11"/>
  <c r="C802" i="11"/>
  <c r="C818" i="11"/>
  <c r="C860" i="11"/>
  <c r="C618" i="11"/>
  <c r="C738" i="11"/>
  <c r="C786" i="11"/>
  <c r="C682" i="11"/>
  <c r="C694" i="11"/>
  <c r="C655" i="11"/>
  <c r="C715" i="11"/>
  <c r="C838" i="11"/>
  <c r="A524" i="11"/>
  <c r="C526" i="11"/>
  <c r="C849" i="11"/>
  <c r="A526" i="11"/>
  <c r="A534" i="11"/>
  <c r="C546" i="11"/>
  <c r="C558" i="11"/>
  <c r="A546" i="11"/>
  <c r="A560" i="11"/>
  <c r="A582" i="11"/>
  <c r="C584" i="11"/>
  <c r="A584" i="11"/>
  <c r="C588" i="11"/>
  <c r="C851" i="11"/>
  <c r="A588" i="11"/>
  <c r="C597" i="11"/>
  <c r="A597" i="11"/>
  <c r="A599" i="11"/>
  <c r="C604" i="11"/>
  <c r="C762" i="11"/>
  <c r="C813" i="11"/>
  <c r="A604" i="11"/>
  <c r="C637" i="11"/>
  <c r="A637" i="11"/>
  <c r="C644" i="11"/>
  <c r="A644" i="11"/>
  <c r="C686" i="11"/>
  <c r="A686" i="11"/>
  <c r="C696" i="11"/>
  <c r="C731" i="11"/>
  <c r="C867" i="11"/>
  <c r="A696" i="11"/>
  <c r="C699" i="11"/>
  <c r="A699" i="11"/>
  <c r="C737" i="11"/>
  <c r="C750" i="11"/>
  <c r="C857" i="11"/>
  <c r="C718" i="11"/>
  <c r="C879" i="11"/>
  <c r="C854" i="11"/>
  <c r="A718" i="11"/>
  <c r="C289" i="11"/>
  <c r="C3" i="11"/>
  <c r="A3" i="11"/>
  <c r="C17" i="11"/>
  <c r="A17" i="11"/>
  <c r="C86" i="11"/>
  <c r="A86" i="11"/>
  <c r="C96" i="11"/>
  <c r="A96" i="11"/>
  <c r="C193" i="11"/>
  <c r="C131" i="11"/>
  <c r="C108" i="11"/>
  <c r="A108" i="11"/>
  <c r="C145" i="11"/>
  <c r="C185" i="11"/>
  <c r="A145" i="11"/>
  <c r="C168" i="11"/>
  <c r="A168" i="11"/>
  <c r="C179" i="11"/>
  <c r="A179" i="11"/>
  <c r="C20" i="11"/>
  <c r="A20" i="11"/>
  <c r="C26" i="11"/>
  <c r="A26" i="11"/>
  <c r="C33" i="11"/>
  <c r="A33" i="11"/>
  <c r="C39" i="11"/>
  <c r="A39" i="11"/>
  <c r="C52" i="11"/>
  <c r="C268" i="11"/>
  <c r="C794" i="11"/>
  <c r="A52" i="11"/>
  <c r="C61" i="11"/>
  <c r="C56" i="11"/>
  <c r="A56" i="11"/>
  <c r="C74" i="11"/>
  <c r="C130" i="11"/>
  <c r="C212" i="11"/>
  <c r="A74" i="11"/>
  <c r="C89" i="11"/>
  <c r="A89" i="11"/>
  <c r="A105" i="11"/>
  <c r="L107" i="11"/>
  <c r="C118" i="11"/>
  <c r="A118" i="11"/>
  <c r="C120" i="11"/>
  <c r="A120" i="11"/>
  <c r="C157" i="11"/>
  <c r="C730" i="11"/>
  <c r="A157" i="11"/>
  <c r="A159" i="11"/>
  <c r="C161" i="11"/>
  <c r="C207" i="11"/>
  <c r="A161" i="11"/>
  <c r="C206" i="11"/>
  <c r="C163" i="11"/>
  <c r="A163" i="11"/>
  <c r="C871" i="11"/>
  <c r="A176" i="11"/>
  <c r="C178" i="11"/>
  <c r="C68" i="11"/>
  <c r="A178" i="11"/>
  <c r="C214" i="11"/>
  <c r="C883" i="11"/>
  <c r="A214" i="11"/>
  <c r="C229" i="11"/>
  <c r="C216" i="11"/>
  <c r="A216" i="11"/>
  <c r="I228" i="11"/>
  <c r="L228" i="11" s="1"/>
  <c r="M249" i="11" s="1"/>
  <c r="C236" i="11"/>
  <c r="C403" i="11"/>
  <c r="C448" i="11"/>
  <c r="A236" i="11"/>
  <c r="A242" i="11"/>
  <c r="A258" i="11"/>
  <c r="C290" i="11"/>
  <c r="A290" i="11"/>
  <c r="C297" i="11"/>
  <c r="C326" i="11"/>
  <c r="C300" i="11"/>
  <c r="C775" i="11"/>
  <c r="C792" i="11"/>
  <c r="A297" i="11"/>
  <c r="C320" i="11"/>
  <c r="C503" i="11"/>
  <c r="A320" i="11"/>
  <c r="A330" i="11"/>
  <c r="A332" i="11"/>
  <c r="C336" i="11"/>
  <c r="C461" i="11"/>
  <c r="A336" i="11"/>
  <c r="C338" i="11"/>
  <c r="C450" i="11"/>
  <c r="A338" i="11"/>
  <c r="C344" i="11"/>
  <c r="A344" i="11"/>
  <c r="A373" i="11"/>
  <c r="A393" i="11"/>
  <c r="C500" i="11"/>
  <c r="C433" i="11"/>
  <c r="A433" i="11"/>
  <c r="C606" i="11"/>
  <c r="C435" i="11"/>
  <c r="C512" i="11"/>
  <c r="C481" i="11"/>
  <c r="A435" i="11"/>
  <c r="A439" i="11"/>
  <c r="C472" i="11"/>
  <c r="A472" i="11"/>
  <c r="C495" i="11"/>
  <c r="A495" i="11"/>
  <c r="A519" i="11"/>
  <c r="A539" i="11"/>
  <c r="C550" i="11"/>
  <c r="C652" i="11"/>
  <c r="A550" i="11"/>
  <c r="C575" i="11"/>
  <c r="A575" i="11"/>
  <c r="C577" i="11"/>
  <c r="C657" i="11"/>
  <c r="A577" i="11"/>
  <c r="C579" i="11"/>
  <c r="C868" i="11"/>
  <c r="A579" i="11"/>
  <c r="C594" i="11"/>
  <c r="C659" i="11"/>
  <c r="A594" i="11"/>
  <c r="C601" i="11"/>
  <c r="A601" i="11"/>
  <c r="C613" i="11"/>
  <c r="C797" i="11"/>
  <c r="C721" i="11"/>
  <c r="C865" i="11"/>
  <c r="C910" i="11"/>
  <c r="C899" i="11"/>
  <c r="C635" i="11"/>
  <c r="A613" i="11"/>
  <c r="C616" i="11"/>
  <c r="C676" i="11"/>
  <c r="C823" i="11"/>
  <c r="C626" i="11"/>
  <c r="A616" i="11"/>
  <c r="C763" i="11"/>
  <c r="C641" i="11"/>
  <c r="C722" i="11"/>
  <c r="A641" i="11"/>
  <c r="C670" i="11"/>
  <c r="A670" i="11"/>
  <c r="C672" i="11"/>
  <c r="A672" i="11"/>
  <c r="C706" i="11"/>
  <c r="A706" i="11"/>
  <c r="C712" i="11"/>
  <c r="A712" i="11"/>
  <c r="A723" i="11"/>
  <c r="C866" i="11"/>
  <c r="C776" i="11"/>
  <c r="C723" i="11"/>
  <c r="C824" i="11"/>
  <c r="C758" i="11"/>
  <c r="C799" i="11"/>
  <c r="C741" i="11"/>
  <c r="C855" i="11"/>
  <c r="C41" i="11"/>
  <c r="C14" i="11"/>
  <c r="C42" i="11"/>
  <c r="C91" i="11"/>
  <c r="A14" i="11"/>
  <c r="C25" i="11"/>
  <c r="C30" i="11"/>
  <c r="A25" i="11"/>
  <c r="C35" i="11"/>
  <c r="A35" i="11"/>
  <c r="C121" i="11"/>
  <c r="C48" i="11"/>
  <c r="C180" i="11"/>
  <c r="A48" i="11"/>
  <c r="C63" i="11"/>
  <c r="A63" i="11"/>
  <c r="C69" i="11"/>
  <c r="A69" i="11"/>
  <c r="C77" i="11"/>
  <c r="C15" i="11"/>
  <c r="A77" i="11"/>
  <c r="C94" i="11"/>
  <c r="A94" i="11"/>
  <c r="C110" i="11"/>
  <c r="A110" i="11"/>
  <c r="A112" i="11"/>
  <c r="A123" i="11"/>
  <c r="C129" i="11"/>
  <c r="C142" i="11"/>
  <c r="A129" i="11"/>
  <c r="C137" i="11"/>
  <c r="C392" i="11"/>
  <c r="A137" i="11"/>
  <c r="C209" i="11"/>
  <c r="C147" i="11"/>
  <c r="C203" i="11"/>
  <c r="A147" i="11"/>
  <c r="C153" i="11"/>
  <c r="A153" i="11"/>
  <c r="C166" i="11"/>
  <c r="C334" i="11"/>
  <c r="A166" i="11"/>
  <c r="C174" i="11"/>
  <c r="C210" i="11"/>
  <c r="C187" i="11"/>
  <c r="C890" i="11"/>
  <c r="A187" i="11"/>
  <c r="C224" i="11"/>
  <c r="C506" i="11"/>
  <c r="A224" i="11"/>
  <c r="A231" i="11"/>
  <c r="C246" i="11"/>
  <c r="A246" i="11"/>
  <c r="C226" i="11"/>
  <c r="C4" i="11"/>
  <c r="A4" i="11"/>
  <c r="C23" i="11"/>
  <c r="C8" i="11"/>
  <c r="C80" i="11"/>
  <c r="A8" i="11"/>
  <c r="C36" i="11"/>
  <c r="A36" i="11"/>
  <c r="C57" i="11"/>
  <c r="C181" i="11"/>
  <c r="C182" i="11"/>
  <c r="C194" i="11"/>
  <c r="C127" i="11"/>
  <c r="C76" i="11"/>
  <c r="C240" i="11"/>
  <c r="C352" i="11"/>
  <c r="C409" i="11"/>
  <c r="C553" i="11"/>
  <c r="C720" i="11"/>
  <c r="C729" i="11"/>
  <c r="C798" i="11"/>
  <c r="C882" i="11"/>
  <c r="C646" i="11"/>
  <c r="C5" i="11"/>
  <c r="C81" i="11"/>
  <c r="A5" i="11"/>
  <c r="C9" i="11"/>
  <c r="A9" i="11"/>
  <c r="C46" i="11"/>
  <c r="C12" i="11"/>
  <c r="C60" i="11"/>
  <c r="C116" i="11"/>
  <c r="A12" i="11"/>
  <c r="C16" i="11"/>
  <c r="C152" i="11"/>
  <c r="A16" i="11"/>
  <c r="C18" i="11"/>
  <c r="A18" i="11"/>
  <c r="C21" i="11"/>
  <c r="A21" i="11"/>
  <c r="C27" i="11"/>
  <c r="C87" i="11"/>
  <c r="A27" i="11"/>
  <c r="L34" i="11"/>
  <c r="N34" i="11" s="1"/>
  <c r="O34" i="11" s="1"/>
  <c r="R34" i="11" s="1"/>
  <c r="C37" i="11"/>
  <c r="A37" i="11"/>
  <c r="C90" i="11"/>
  <c r="C126" i="11"/>
  <c r="C40" i="11"/>
  <c r="A40" i="11"/>
  <c r="C114" i="11"/>
  <c r="C43" i="11"/>
  <c r="A43" i="11"/>
  <c r="C277" i="11"/>
  <c r="C321" i="11"/>
  <c r="C47" i="11"/>
  <c r="C288" i="11"/>
  <c r="C359" i="11"/>
  <c r="C407" i="11"/>
  <c r="C688" i="11"/>
  <c r="C733" i="11"/>
  <c r="C831" i="11"/>
  <c r="A47" i="11"/>
  <c r="C769" i="11"/>
  <c r="C778" i="11"/>
  <c r="C49" i="11"/>
  <c r="A49" i="11"/>
  <c r="C53" i="11"/>
  <c r="A53" i="11"/>
  <c r="C58" i="11"/>
  <c r="A58" i="11"/>
  <c r="C64" i="11"/>
  <c r="A64" i="11"/>
  <c r="C70" i="11"/>
  <c r="A70" i="11"/>
  <c r="C73" i="11"/>
  <c r="A73" i="11"/>
  <c r="C84" i="11"/>
  <c r="A84" i="11"/>
  <c r="C88" i="11"/>
  <c r="A88" i="11"/>
  <c r="C93" i="11"/>
  <c r="A93" i="11"/>
  <c r="C97" i="11"/>
  <c r="A97" i="11"/>
  <c r="C109" i="11"/>
  <c r="A109" i="11"/>
  <c r="C133" i="11"/>
  <c r="C111" i="11"/>
  <c r="C366" i="11"/>
  <c r="A111" i="11"/>
  <c r="C113" i="11"/>
  <c r="C266" i="11"/>
  <c r="C665" i="11"/>
  <c r="A113" i="11"/>
  <c r="C189" i="11"/>
  <c r="C115" i="11"/>
  <c r="A115" i="11"/>
  <c r="C122" i="11"/>
  <c r="A122" i="11"/>
  <c r="C158" i="11"/>
  <c r="C128" i="11"/>
  <c r="A128" i="11"/>
  <c r="C186" i="11"/>
  <c r="C136" i="11"/>
  <c r="A136" i="11"/>
  <c r="C138" i="11"/>
  <c r="C190" i="11"/>
  <c r="A138" i="11"/>
  <c r="C140" i="11"/>
  <c r="A140" i="11"/>
  <c r="C376" i="11"/>
  <c r="C144" i="11"/>
  <c r="A144" i="11"/>
  <c r="C221" i="11"/>
  <c r="C253" i="11"/>
  <c r="C317" i="11"/>
  <c r="C146" i="11"/>
  <c r="C283" i="11"/>
  <c r="C327" i="11"/>
  <c r="C394" i="11"/>
  <c r="C200" i="11"/>
  <c r="C276" i="11"/>
  <c r="C719" i="11"/>
  <c r="A146" i="11"/>
  <c r="C148" i="11"/>
  <c r="C386" i="11"/>
  <c r="C479" i="11"/>
  <c r="C623" i="11"/>
  <c r="C795" i="11"/>
  <c r="C770" i="11"/>
  <c r="A148" i="11"/>
  <c r="C305" i="11"/>
  <c r="C150" i="11"/>
  <c r="C282" i="11"/>
  <c r="C346" i="11"/>
  <c r="C256" i="11"/>
  <c r="C260" i="11"/>
  <c r="C324" i="11"/>
  <c r="C396" i="11"/>
  <c r="C436" i="11"/>
  <c r="C464" i="11"/>
  <c r="C204" i="11"/>
  <c r="C429" i="11"/>
  <c r="C707" i="11"/>
  <c r="A150" i="11"/>
  <c r="C154" i="11"/>
  <c r="A154" i="11"/>
  <c r="C167" i="11"/>
  <c r="A167" i="11"/>
  <c r="C169" i="11"/>
  <c r="A169" i="11"/>
  <c r="C171" i="11"/>
  <c r="A171" i="11"/>
  <c r="C173" i="11"/>
  <c r="C255" i="11"/>
  <c r="C674" i="11"/>
  <c r="A173" i="11"/>
  <c r="A183" i="11"/>
  <c r="C196" i="11"/>
  <c r="A196" i="11"/>
  <c r="C198" i="11"/>
  <c r="A198" i="11"/>
  <c r="C223" i="11"/>
  <c r="A223" i="11"/>
  <c r="C225" i="11"/>
  <c r="A225" i="11"/>
  <c r="A227" i="11"/>
  <c r="A232" i="11"/>
  <c r="A238" i="11"/>
  <c r="C329" i="11"/>
  <c r="C274" i="11"/>
  <c r="C570" i="11"/>
  <c r="C447" i="11"/>
  <c r="C468" i="11"/>
  <c r="C437" i="11"/>
  <c r="A274" i="11"/>
  <c r="C286" i="11"/>
  <c r="C298" i="11"/>
  <c r="C378" i="11"/>
  <c r="C434" i="11"/>
  <c r="C357" i="11"/>
  <c r="C493" i="11"/>
  <c r="A286" i="11"/>
  <c r="A302" i="11"/>
  <c r="C306" i="11"/>
  <c r="C316" i="11"/>
  <c r="C502" i="11"/>
  <c r="A306" i="11"/>
  <c r="A310" i="11"/>
  <c r="A361" i="11"/>
  <c r="C614" i="11"/>
  <c r="C375" i="11"/>
  <c r="C463" i="11"/>
  <c r="C523" i="11"/>
  <c r="C416" i="11"/>
  <c r="C428" i="11"/>
  <c r="C432" i="11"/>
  <c r="C480" i="11"/>
  <c r="C528" i="11"/>
  <c r="C568" i="11"/>
  <c r="C369" i="11"/>
  <c r="C605" i="11"/>
  <c r="C624" i="11"/>
  <c r="C781" i="11"/>
  <c r="C653" i="11"/>
  <c r="C681" i="11"/>
  <c r="C690" i="11"/>
  <c r="C714" i="11"/>
  <c r="C739" i="11"/>
  <c r="C711" i="11"/>
  <c r="C805" i="11"/>
  <c r="C817" i="11"/>
  <c r="A369" i="11"/>
  <c r="A397" i="11"/>
  <c r="A399" i="11"/>
  <c r="C412" i="11"/>
  <c r="A412" i="11"/>
  <c r="A476" i="11"/>
  <c r="C530" i="11"/>
  <c r="C492" i="11"/>
  <c r="C608" i="11"/>
  <c r="C525" i="11"/>
  <c r="C565" i="11"/>
  <c r="C617" i="11"/>
  <c r="C677" i="11"/>
  <c r="C743" i="11"/>
  <c r="C755" i="11"/>
  <c r="C782" i="11"/>
  <c r="C803" i="11"/>
  <c r="C627" i="11"/>
  <c r="C695" i="11"/>
  <c r="C821" i="11"/>
  <c r="C859" i="11"/>
  <c r="C880" i="11"/>
  <c r="C892" i="11"/>
  <c r="A492" i="11"/>
  <c r="A510" i="11"/>
  <c r="C527" i="11"/>
  <c r="C847" i="11"/>
  <c r="A527" i="11"/>
  <c r="C610" i="11"/>
  <c r="C548" i="11"/>
  <c r="C620" i="11"/>
  <c r="C533" i="11"/>
  <c r="C569" i="11"/>
  <c r="C585" i="11"/>
  <c r="C747" i="11"/>
  <c r="C630" i="11"/>
  <c r="C710" i="11"/>
  <c r="C683" i="11"/>
  <c r="A533" i="11"/>
  <c r="C535" i="11"/>
  <c r="C603" i="11"/>
  <c r="C640" i="11"/>
  <c r="C648" i="11"/>
  <c r="C810" i="11"/>
  <c r="C667" i="11"/>
  <c r="A535" i="11"/>
  <c r="C559" i="11"/>
  <c r="A559" i="11"/>
  <c r="C561" i="11"/>
  <c r="C759" i="11"/>
  <c r="C675" i="11"/>
  <c r="A561" i="11"/>
  <c r="C581" i="11"/>
  <c r="A581" i="11"/>
  <c r="C583" i="11"/>
  <c r="A583" i="11"/>
  <c r="C587" i="11"/>
  <c r="C850" i="11"/>
  <c r="A587" i="11"/>
  <c r="C589" i="11"/>
  <c r="A589" i="11"/>
  <c r="C598" i="11"/>
  <c r="C844" i="11"/>
  <c r="A598" i="11"/>
  <c r="N646" i="11"/>
  <c r="O646" i="11" s="1"/>
  <c r="R646" i="11" s="1"/>
  <c r="A646" i="11"/>
  <c r="C666" i="11"/>
  <c r="C761" i="11"/>
  <c r="A666" i="11"/>
  <c r="C685" i="11"/>
  <c r="A685" i="11"/>
  <c r="L725" i="11"/>
  <c r="A725" i="11" s="1"/>
  <c r="L411" i="11"/>
  <c r="A411" i="11" s="1"/>
  <c r="M443" i="11"/>
  <c r="N211" i="11"/>
  <c r="O211" i="11" s="1"/>
  <c r="R211" i="11" s="1"/>
  <c r="M665" i="11"/>
  <c r="N665" i="11" s="1"/>
  <c r="M314" i="11"/>
  <c r="N314" i="11" s="1"/>
  <c r="O314" i="11" s="1"/>
  <c r="R314" i="11" s="1"/>
  <c r="N306" i="11"/>
  <c r="M364" i="11"/>
  <c r="N364" i="11" s="1"/>
  <c r="O364" i="11" s="1"/>
  <c r="R364" i="11" s="1"/>
  <c r="M479" i="11"/>
  <c r="N479" i="11" s="1"/>
  <c r="N388" i="11"/>
  <c r="O388" i="11" s="1"/>
  <c r="R388" i="11" s="1"/>
  <c r="M420" i="11"/>
  <c r="M442" i="11"/>
  <c r="N442" i="11" s="1"/>
  <c r="M468" i="11"/>
  <c r="N468" i="11" s="1"/>
  <c r="M497" i="11"/>
  <c r="N560" i="11"/>
  <c r="L572" i="11"/>
  <c r="A572" i="11" s="1"/>
  <c r="N640" i="11"/>
  <c r="N645" i="11"/>
  <c r="O645" i="11" s="1"/>
  <c r="M680" i="11"/>
  <c r="N691" i="11"/>
  <c r="O691" i="11" s="1"/>
  <c r="M717" i="11"/>
  <c r="N717" i="11" s="1"/>
  <c r="N703" i="11"/>
  <c r="O703" i="11" s="1"/>
  <c r="R703" i="11" s="1"/>
  <c r="N707" i="11"/>
  <c r="O707" i="11" s="1"/>
  <c r="R707" i="11" s="1"/>
  <c r="M366" i="11"/>
  <c r="M267" i="11"/>
  <c r="N267" i="11" s="1"/>
  <c r="O267" i="11" s="1"/>
  <c r="R267" i="11" s="1"/>
  <c r="M407" i="11"/>
  <c r="N407" i="11" s="1"/>
  <c r="O407" i="11" s="1"/>
  <c r="R407" i="11" s="1"/>
  <c r="M508" i="11"/>
  <c r="N417" i="11"/>
  <c r="O417" i="11" s="1"/>
  <c r="M462" i="11"/>
  <c r="N462" i="11" s="1"/>
  <c r="O462" i="11" s="1"/>
  <c r="R462" i="11" s="1"/>
  <c r="N523" i="11"/>
  <c r="O523" i="11" s="1"/>
  <c r="R523" i="11" s="1"/>
  <c r="L571" i="11"/>
  <c r="A571" i="11" s="1"/>
  <c r="N618" i="11"/>
  <c r="O618" i="11" s="1"/>
  <c r="R618" i="11" s="1"/>
  <c r="M676" i="11"/>
  <c r="N676" i="11" s="1"/>
  <c r="O676" i="11" s="1"/>
  <c r="R676" i="11" s="1"/>
  <c r="N637" i="11"/>
  <c r="O637" i="11" s="1"/>
  <c r="R637" i="11" s="1"/>
  <c r="N699" i="11"/>
  <c r="O699" i="11" s="1"/>
  <c r="R699" i="11" s="1"/>
  <c r="N30" i="11"/>
  <c r="O30" i="11" s="1"/>
  <c r="R30" i="11" s="1"/>
  <c r="N200" i="11"/>
  <c r="M221" i="11" s="1"/>
  <c r="N221" i="11" s="1"/>
  <c r="N204" i="11"/>
  <c r="M256" i="11" s="1"/>
  <c r="N256" i="11" s="1"/>
  <c r="N208" i="11"/>
  <c r="O208" i="11" s="1"/>
  <c r="R208" i="11" s="1"/>
  <c r="N246" i="11"/>
  <c r="O246" i="11" s="1"/>
  <c r="R246" i="11" s="1"/>
  <c r="M415" i="11"/>
  <c r="N415" i="11" s="1"/>
  <c r="O415" i="11" s="1"/>
  <c r="R415" i="11" s="1"/>
  <c r="M474" i="11"/>
  <c r="N474" i="11" s="1"/>
  <c r="M435" i="11"/>
  <c r="M459" i="11"/>
  <c r="M469" i="11"/>
  <c r="M465" i="11"/>
  <c r="N527" i="11"/>
  <c r="N592" i="11"/>
  <c r="O592" i="11" s="1"/>
  <c r="R592" i="11" s="1"/>
  <c r="M677" i="11"/>
  <c r="N677" i="11" s="1"/>
  <c r="M656" i="11"/>
  <c r="N656" i="11" s="1"/>
  <c r="O656" i="11" s="1"/>
  <c r="R656" i="11" s="1"/>
  <c r="M747" i="11"/>
  <c r="N747" i="11" s="1"/>
  <c r="O747" i="11" s="1"/>
  <c r="R747" i="11" s="1"/>
  <c r="N726" i="11"/>
  <c r="O726" i="11" s="1"/>
  <c r="R726" i="11" s="1"/>
  <c r="N20" i="11"/>
  <c r="O20" i="11" s="1"/>
  <c r="R20" i="11" s="1"/>
  <c r="N46" i="11"/>
  <c r="N10" i="11"/>
  <c r="O10" i="11" s="1"/>
  <c r="N183" i="11"/>
  <c r="O183" i="11" s="1"/>
  <c r="N188" i="11"/>
  <c r="O188" i="11" s="1"/>
  <c r="R188" i="11" s="1"/>
  <c r="N192" i="11"/>
  <c r="O192" i="11" s="1"/>
  <c r="R192" i="11" s="1"/>
  <c r="N196" i="11"/>
  <c r="M253" i="11"/>
  <c r="N253" i="11" s="1"/>
  <c r="M280" i="11"/>
  <c r="N280" i="11" s="1"/>
  <c r="M260" i="11"/>
  <c r="M775" i="11"/>
  <c r="N775" i="11" s="1"/>
  <c r="O775" i="11" s="1"/>
  <c r="R775" i="11" s="1"/>
  <c r="M501" i="11"/>
  <c r="N501" i="11" s="1"/>
  <c r="M406" i="11"/>
  <c r="N406" i="11" s="1"/>
  <c r="N373" i="11"/>
  <c r="M405" i="11"/>
  <c r="N405" i="11" s="1"/>
  <c r="N422" i="11"/>
  <c r="N484" i="11"/>
  <c r="O484" i="11" s="1"/>
  <c r="R484" i="11" s="1"/>
  <c r="N605" i="11"/>
  <c r="O605" i="11" s="1"/>
  <c r="N609" i="11"/>
  <c r="O609" i="11" s="1"/>
  <c r="R609" i="11" s="1"/>
  <c r="M770" i="11"/>
  <c r="N770" i="11" s="1"/>
  <c r="O770" i="11" s="1"/>
  <c r="R770" i="11" s="1"/>
  <c r="N625" i="11"/>
  <c r="O625" i="11" s="1"/>
  <c r="R625" i="11" s="1"/>
  <c r="M797" i="11"/>
  <c r="N797" i="11" s="1"/>
  <c r="O797" i="11" s="1"/>
  <c r="R797" i="11" s="1"/>
  <c r="L580" i="11"/>
  <c r="A580" i="11" s="1"/>
  <c r="J123" i="11"/>
  <c r="J218" i="11"/>
  <c r="L488" i="11"/>
  <c r="A488" i="11" s="1"/>
  <c r="L489" i="11"/>
  <c r="A489" i="11" s="1"/>
  <c r="L651" i="11"/>
  <c r="A651" i="11" s="1"/>
  <c r="L684" i="11"/>
  <c r="A684" i="11" s="1"/>
  <c r="N259" i="11"/>
  <c r="O259" i="11" s="1"/>
  <c r="R259" i="11" s="1"/>
  <c r="L473" i="11"/>
  <c r="A473" i="11" s="1"/>
  <c r="N6" i="11"/>
  <c r="O6" i="11" s="1"/>
  <c r="L104" i="11"/>
  <c r="M447" i="11"/>
  <c r="N447" i="11" s="1"/>
  <c r="N439" i="11"/>
  <c r="O439" i="11" s="1"/>
  <c r="L554" i="11"/>
  <c r="A554" i="11" s="1"/>
  <c r="L600" i="11"/>
  <c r="A600" i="11" s="1"/>
  <c r="L562" i="11"/>
  <c r="A562" i="11" s="1"/>
  <c r="L237" i="11"/>
  <c r="A237" i="11" s="1"/>
  <c r="L444" i="11"/>
  <c r="A444" i="11" s="1"/>
  <c r="L445" i="11"/>
  <c r="L233" i="11"/>
  <c r="A233" i="11" s="1"/>
  <c r="L234" i="11"/>
  <c r="A234" i="11" s="1"/>
  <c r="L235" i="11"/>
  <c r="A235" i="11" s="1"/>
  <c r="L272" i="11"/>
  <c r="A272" i="11" s="1"/>
  <c r="L440" i="11"/>
  <c r="A440" i="11" s="1"/>
  <c r="L441" i="11"/>
  <c r="A441" i="11" s="1"/>
  <c r="L497" i="11"/>
  <c r="A497" i="11" s="1"/>
  <c r="M305" i="11"/>
  <c r="N305" i="11" s="1"/>
  <c r="N558" i="11"/>
  <c r="O558" i="11" s="1"/>
  <c r="R558" i="11" s="1"/>
  <c r="M294" i="11"/>
  <c r="N294" i="11" s="1"/>
  <c r="N35" i="11"/>
  <c r="O35" i="11" s="1"/>
  <c r="L250" i="11"/>
  <c r="A250" i="11" s="1"/>
  <c r="I466" i="11"/>
  <c r="L466" i="11" s="1"/>
  <c r="A466" i="11" s="1"/>
  <c r="N626" i="11"/>
  <c r="O626" i="11" s="1"/>
  <c r="R626" i="11" s="1"/>
  <c r="N686" i="11"/>
  <c r="O686" i="11" s="1"/>
  <c r="R686" i="11" s="1"/>
  <c r="N721" i="11"/>
  <c r="O721" i="11" s="1"/>
  <c r="R721" i="11" s="1"/>
  <c r="N456" i="11"/>
  <c r="O456" i="11" s="1"/>
  <c r="L470" i="11"/>
  <c r="L602" i="11"/>
  <c r="A602" i="11" s="1"/>
  <c r="L649" i="11"/>
  <c r="A649" i="11" s="1"/>
  <c r="N650" i="11"/>
  <c r="O650" i="11" s="1"/>
  <c r="N96" i="11"/>
  <c r="O96" i="11" s="1"/>
  <c r="L252" i="11"/>
  <c r="A252" i="11" s="1"/>
  <c r="N423" i="11"/>
  <c r="O423" i="11" s="1"/>
  <c r="I487" i="11"/>
  <c r="L487" i="11" s="1"/>
  <c r="A487" i="11" s="1"/>
  <c r="L505" i="11"/>
  <c r="A505" i="11" s="1"/>
  <c r="L511" i="11"/>
  <c r="A511" i="11" s="1"/>
  <c r="L514" i="11"/>
  <c r="A514" i="11" s="1"/>
  <c r="L555" i="11"/>
  <c r="A555" i="11" s="1"/>
  <c r="L557" i="11"/>
  <c r="A557" i="11" s="1"/>
  <c r="L689" i="11"/>
  <c r="A689" i="11" s="1"/>
  <c r="N8" i="11"/>
  <c r="O8" i="11" s="1"/>
  <c r="N19" i="11"/>
  <c r="O19" i="11" s="1"/>
  <c r="N51" i="11"/>
  <c r="R51" i="11" s="1"/>
  <c r="N58" i="11"/>
  <c r="O58" i="11" s="1"/>
  <c r="J95" i="11"/>
  <c r="I95" i="11"/>
  <c r="N712" i="11"/>
  <c r="O712" i="11" s="1"/>
  <c r="R712" i="11" s="1"/>
  <c r="N151" i="11"/>
  <c r="O151" i="11" s="1"/>
  <c r="N210" i="11"/>
  <c r="O210" i="11" s="1"/>
  <c r="M400" i="11"/>
  <c r="N400" i="11" s="1"/>
  <c r="M491" i="11"/>
  <c r="J20" i="11"/>
  <c r="N44" i="11"/>
  <c r="O44" i="11" s="1"/>
  <c r="R44" i="11" s="1"/>
  <c r="N214" i="11"/>
  <c r="O214" i="11" s="1"/>
  <c r="N566" i="11"/>
  <c r="O566" i="11" s="1"/>
  <c r="R566" i="11" s="1"/>
  <c r="N611" i="11"/>
  <c r="O611" i="11" s="1"/>
  <c r="M743" i="11"/>
  <c r="N743" i="11" s="1"/>
  <c r="O743" i="11" s="1"/>
  <c r="R743" i="11" s="1"/>
  <c r="N695" i="11"/>
  <c r="O695" i="11" s="1"/>
  <c r="R695" i="11" s="1"/>
  <c r="N3" i="11"/>
  <c r="O3" i="11" s="1"/>
  <c r="R3" i="11" s="1"/>
  <c r="N22" i="11"/>
  <c r="O22" i="11" s="1"/>
  <c r="N39" i="11"/>
  <c r="O39" i="11" s="1"/>
  <c r="N45" i="11"/>
  <c r="O45" i="11" s="1"/>
  <c r="N144" i="11"/>
  <c r="O144" i="11" s="1"/>
  <c r="R144" i="11" s="1"/>
  <c r="I139" i="11"/>
  <c r="L139" i="11" s="1"/>
  <c r="L184" i="11"/>
  <c r="A184" i="11" s="1"/>
  <c r="J249" i="11"/>
  <c r="L251" i="11"/>
  <c r="A251" i="11" s="1"/>
  <c r="N321" i="11"/>
  <c r="O321" i="11" s="1"/>
  <c r="R321" i="11" s="1"/>
  <c r="J370" i="11"/>
  <c r="M390" i="11"/>
  <c r="N390" i="11" s="1"/>
  <c r="O390" i="11" s="1"/>
  <c r="R390" i="11" s="1"/>
  <c r="L469" i="11"/>
  <c r="A469" i="11" s="1"/>
  <c r="L485" i="11"/>
  <c r="A485" i="11" s="1"/>
  <c r="L521" i="11"/>
  <c r="A521" i="11" s="1"/>
  <c r="L536" i="11"/>
  <c r="A536" i="11" s="1"/>
  <c r="L537" i="11"/>
  <c r="A537" i="11" s="1"/>
  <c r="L538" i="11"/>
  <c r="A538" i="11" s="1"/>
  <c r="L551" i="11"/>
  <c r="A551" i="11" s="1"/>
  <c r="L573" i="11"/>
  <c r="A573" i="11" s="1"/>
  <c r="N613" i="11"/>
  <c r="N615" i="11"/>
  <c r="O615" i="11" s="1"/>
  <c r="R615" i="11" s="1"/>
  <c r="L643" i="11"/>
  <c r="A643" i="11" s="1"/>
  <c r="N694" i="11"/>
  <c r="O694" i="11" s="1"/>
  <c r="R694" i="11" s="1"/>
  <c r="M741" i="11"/>
  <c r="N741" i="11" s="1"/>
  <c r="L241" i="11"/>
  <c r="A241" i="11" s="1"/>
  <c r="N382" i="11"/>
  <c r="O382" i="11" s="1"/>
  <c r="R382" i="11" s="1"/>
  <c r="L518" i="11"/>
  <c r="A518" i="11" s="1"/>
  <c r="L547" i="11"/>
  <c r="A547" i="11" s="1"/>
  <c r="L596" i="11"/>
  <c r="A596" i="11" s="1"/>
  <c r="N148" i="11"/>
  <c r="N666" i="11"/>
  <c r="O666" i="11" s="1"/>
  <c r="R666" i="11" s="1"/>
  <c r="N172" i="11"/>
  <c r="O172" i="11" s="1"/>
  <c r="N130" i="11"/>
  <c r="O130" i="11" s="1"/>
  <c r="R130" i="11" s="1"/>
  <c r="N147" i="11"/>
  <c r="O147" i="11" s="1"/>
  <c r="R147" i="11" s="1"/>
  <c r="N158" i="11"/>
  <c r="O158" i="11" s="1"/>
  <c r="R158" i="11" s="1"/>
  <c r="N187" i="11"/>
  <c r="O187" i="11" s="1"/>
  <c r="N191" i="11"/>
  <c r="O191" i="11" s="1"/>
  <c r="N207" i="11"/>
  <c r="O207" i="11" s="1"/>
  <c r="N5" i="11"/>
  <c r="N163" i="11"/>
  <c r="O163" i="11" s="1"/>
  <c r="R163" i="11" s="1"/>
  <c r="O46" i="11"/>
  <c r="R46" i="11" s="1"/>
  <c r="N78" i="11"/>
  <c r="O78" i="11" s="1"/>
  <c r="R78" i="11" s="1"/>
  <c r="N83" i="11"/>
  <c r="N140" i="11"/>
  <c r="O140" i="11" s="1"/>
  <c r="R140" i="11" s="1"/>
  <c r="N177" i="11"/>
  <c r="O177" i="11" s="1"/>
  <c r="N93" i="11"/>
  <c r="O93" i="11" s="1"/>
  <c r="R93" i="11" s="1"/>
  <c r="N97" i="11"/>
  <c r="O97" i="11" s="1"/>
  <c r="R97" i="11" s="1"/>
  <c r="N50" i="11"/>
  <c r="O50" i="11" s="1"/>
  <c r="R50" i="11" s="1"/>
  <c r="N7" i="11"/>
  <c r="O7" i="11" s="1"/>
  <c r="R7" i="11" s="1"/>
  <c r="N36" i="11"/>
  <c r="O36" i="11" s="1"/>
  <c r="N143" i="11"/>
  <c r="O143" i="11" s="1"/>
  <c r="R143" i="11" s="1"/>
  <c r="N153" i="11"/>
  <c r="O153" i="11" s="1"/>
  <c r="R153" i="11" s="1"/>
  <c r="N168" i="11"/>
  <c r="O168" i="11" s="1"/>
  <c r="R168" i="11" s="1"/>
  <c r="M428" i="11"/>
  <c r="N428" i="11" s="1"/>
  <c r="O428" i="11" s="1"/>
  <c r="R428" i="11" s="1"/>
  <c r="N583" i="11"/>
  <c r="O583" i="11" s="1"/>
  <c r="R583" i="11" s="1"/>
  <c r="N4" i="11"/>
  <c r="O4" i="11" s="1"/>
  <c r="N9" i="11"/>
  <c r="N14" i="11"/>
  <c r="N43" i="11"/>
  <c r="O72" i="11"/>
  <c r="R72" i="11" s="1"/>
  <c r="N95" i="11"/>
  <c r="I106" i="11"/>
  <c r="L106" i="11" s="1"/>
  <c r="O165" i="11"/>
  <c r="R165" i="11" s="1"/>
  <c r="N203" i="11"/>
  <c r="O203" i="11" s="1"/>
  <c r="N220" i="11"/>
  <c r="O220" i="11" s="1"/>
  <c r="N266" i="11"/>
  <c r="O266" i="11" s="1"/>
  <c r="N472" i="11"/>
  <c r="O472" i="11" s="1"/>
  <c r="N599" i="11"/>
  <c r="O599" i="11" s="1"/>
  <c r="N702" i="11"/>
  <c r="M416" i="11"/>
  <c r="N416" i="11" s="1"/>
  <c r="N375" i="11"/>
  <c r="M434" i="11"/>
  <c r="N434" i="11" s="1"/>
  <c r="M452" i="11"/>
  <c r="N452" i="11" s="1"/>
  <c r="L98" i="11"/>
  <c r="A98" i="11" s="1"/>
  <c r="L243" i="11"/>
  <c r="A243" i="11" s="1"/>
  <c r="L244" i="11"/>
  <c r="A244" i="11" s="1"/>
  <c r="L245" i="11"/>
  <c r="A245" i="11" s="1"/>
  <c r="L249" i="11"/>
  <c r="A249" i="11" s="1"/>
  <c r="M385" i="11"/>
  <c r="N385" i="11" s="1"/>
  <c r="N378" i="11"/>
  <c r="O378" i="11" s="1"/>
  <c r="R378" i="11" s="1"/>
  <c r="M448" i="11"/>
  <c r="N448" i="11" s="1"/>
  <c r="N430" i="11"/>
  <c r="O430" i="11" s="1"/>
  <c r="N446" i="11"/>
  <c r="O446" i="11" s="1"/>
  <c r="M480" i="11"/>
  <c r="N480" i="11" s="1"/>
  <c r="M568" i="11"/>
  <c r="N568" i="11" s="1"/>
  <c r="N549" i="11"/>
  <c r="O549" i="11" s="1"/>
  <c r="R549" i="11" s="1"/>
  <c r="N565" i="11"/>
  <c r="O565" i="11" s="1"/>
  <c r="R565" i="11" s="1"/>
  <c r="N576" i="11"/>
  <c r="O576" i="11" s="1"/>
  <c r="R576" i="11" s="1"/>
  <c r="N323" i="11"/>
  <c r="O323" i="11" s="1"/>
  <c r="L477" i="11"/>
  <c r="M517" i="11"/>
  <c r="N517" i="11" s="1"/>
  <c r="N531" i="11"/>
  <c r="O531" i="11" s="1"/>
  <c r="R531" i="11" s="1"/>
  <c r="N535" i="11"/>
  <c r="O535" i="11" s="1"/>
  <c r="R535" i="11" s="1"/>
  <c r="N589" i="11"/>
  <c r="O589" i="11" s="1"/>
  <c r="N670" i="11"/>
  <c r="O670" i="11" s="1"/>
  <c r="R670" i="11" s="1"/>
  <c r="N710" i="11"/>
  <c r="N715" i="11"/>
  <c r="O715" i="11" s="1"/>
  <c r="R715" i="11" s="1"/>
  <c r="L413" i="11"/>
  <c r="A413" i="11" s="1"/>
  <c r="L414" i="11"/>
  <c r="A414" i="11" s="1"/>
  <c r="L465" i="11"/>
  <c r="A465" i="11" s="1"/>
  <c r="L483" i="11"/>
  <c r="L509" i="11"/>
  <c r="A509" i="11" s="1"/>
  <c r="L515" i="11"/>
  <c r="A515" i="11" s="1"/>
  <c r="N559" i="11"/>
  <c r="O559" i="11" s="1"/>
  <c r="R559" i="11" s="1"/>
  <c r="R605" i="11"/>
  <c r="N698" i="11"/>
  <c r="O698" i="11" s="1"/>
  <c r="R698" i="11" s="1"/>
  <c r="L633" i="11"/>
  <c r="A633" i="11" s="1"/>
  <c r="L634" i="11"/>
  <c r="A634" i="11" s="1"/>
  <c r="N642" i="11"/>
  <c r="O642" i="11" s="1"/>
  <c r="R642" i="11" s="1"/>
  <c r="R691" i="11"/>
  <c r="L475" i="11"/>
  <c r="N475" i="11" s="1"/>
  <c r="L494" i="11"/>
  <c r="L541" i="11"/>
  <c r="A541" i="11" s="1"/>
  <c r="L542" i="11"/>
  <c r="A542" i="11" s="1"/>
  <c r="L543" i="11"/>
  <c r="A543" i="11" s="1"/>
  <c r="L544" i="11"/>
  <c r="A544" i="11" s="1"/>
  <c r="L545" i="11"/>
  <c r="A545" i="11" s="1"/>
  <c r="L556" i="11"/>
  <c r="A556" i="11" s="1"/>
  <c r="L638" i="11"/>
  <c r="A638" i="11" s="1"/>
  <c r="N685" i="11"/>
  <c r="O685" i="11" s="1"/>
  <c r="L687" i="11"/>
  <c r="A687" i="11" s="1"/>
  <c r="N693" i="11"/>
  <c r="N720" i="11"/>
  <c r="O720" i="11" s="1"/>
  <c r="R720" i="11" s="1"/>
  <c r="N40" i="11"/>
  <c r="N42" i="11"/>
  <c r="N60" i="11"/>
  <c r="N62" i="11"/>
  <c r="N82" i="11"/>
  <c r="N92" i="11"/>
  <c r="N113" i="11"/>
  <c r="N122" i="11"/>
  <c r="N125" i="11"/>
  <c r="N128" i="11"/>
  <c r="N131" i="11"/>
  <c r="M392" i="11"/>
  <c r="N392" i="11" s="1"/>
  <c r="N137" i="11"/>
  <c r="N142" i="11"/>
  <c r="N154" i="11"/>
  <c r="A2" i="11"/>
  <c r="C2" i="11"/>
  <c r="N13" i="11"/>
  <c r="N25" i="11"/>
  <c r="N27" i="11"/>
  <c r="N54" i="11"/>
  <c r="R54" i="11" s="1"/>
  <c r="N75" i="11"/>
  <c r="N81" i="11"/>
  <c r="R81" i="11" s="1"/>
  <c r="N91" i="11"/>
  <c r="N99" i="11"/>
  <c r="N111" i="11"/>
  <c r="N120" i="11"/>
  <c r="O120" i="11" s="1"/>
  <c r="M467" i="11"/>
  <c r="N467" i="11" s="1"/>
  <c r="N124" i="11"/>
  <c r="N136" i="11"/>
  <c r="N141" i="11"/>
  <c r="N146" i="11"/>
  <c r="N157" i="11"/>
  <c r="N160" i="11"/>
  <c r="N37" i="11"/>
  <c r="O37" i="11" s="1"/>
  <c r="N41" i="11"/>
  <c r="N61" i="11"/>
  <c r="N74" i="11"/>
  <c r="N80" i="11"/>
  <c r="N110" i="11"/>
  <c r="N115" i="11"/>
  <c r="N119" i="11"/>
  <c r="N135" i="11"/>
  <c r="N145" i="11"/>
  <c r="N150" i="11"/>
  <c r="M441" i="11"/>
  <c r="N159" i="11"/>
  <c r="N12" i="11"/>
  <c r="N24" i="11"/>
  <c r="N26" i="11"/>
  <c r="N28" i="11"/>
  <c r="N53" i="11"/>
  <c r="N67" i="11"/>
  <c r="N107" i="11"/>
  <c r="N109" i="11"/>
  <c r="N114" i="11"/>
  <c r="N118" i="11"/>
  <c r="N132" i="11"/>
  <c r="N149" i="11"/>
  <c r="N152" i="11"/>
  <c r="N155" i="11"/>
  <c r="O9" i="11"/>
  <c r="R9" i="11" s="1"/>
  <c r="N31" i="11"/>
  <c r="N32" i="11"/>
  <c r="N33" i="11"/>
  <c r="N49" i="11"/>
  <c r="R49" i="11" s="1"/>
  <c r="N55" i="11"/>
  <c r="N56" i="11"/>
  <c r="N65" i="11"/>
  <c r="N69" i="11"/>
  <c r="O69" i="11" s="1"/>
  <c r="N70" i="11"/>
  <c r="O70" i="11" s="1"/>
  <c r="N79" i="11"/>
  <c r="N90" i="11"/>
  <c r="N94" i="11"/>
  <c r="I102" i="11"/>
  <c r="L102" i="11" s="1"/>
  <c r="N105" i="11"/>
  <c r="N108" i="11"/>
  <c r="N112" i="11"/>
  <c r="N116" i="11"/>
  <c r="N126" i="11"/>
  <c r="N129" i="11"/>
  <c r="N133" i="11"/>
  <c r="N134" i="11"/>
  <c r="N138" i="11"/>
  <c r="N175" i="11"/>
  <c r="N176" i="11"/>
  <c r="N186" i="11"/>
  <c r="N190" i="11"/>
  <c r="N198" i="11"/>
  <c r="N202" i="11"/>
  <c r="M367" i="11"/>
  <c r="N367" i="11" s="1"/>
  <c r="N205" i="11"/>
  <c r="M265" i="11"/>
  <c r="N265" i="11" s="1"/>
  <c r="N219" i="11"/>
  <c r="N222" i="11"/>
  <c r="N227" i="11"/>
  <c r="M276" i="11"/>
  <c r="N276" i="11" s="1"/>
  <c r="M277" i="11"/>
  <c r="N277" i="11" s="1"/>
  <c r="M268" i="11"/>
  <c r="N268" i="11" s="1"/>
  <c r="N123" i="11"/>
  <c r="N162" i="11"/>
  <c r="N164" i="11"/>
  <c r="M334" i="11"/>
  <c r="N334" i="11" s="1"/>
  <c r="N166" i="11"/>
  <c r="M278" i="11"/>
  <c r="N278" i="11" s="1"/>
  <c r="N170" i="11"/>
  <c r="N171" i="11"/>
  <c r="N173" i="11"/>
  <c r="M255" i="11"/>
  <c r="N255" i="11" s="1"/>
  <c r="N185" i="11"/>
  <c r="N189" i="11"/>
  <c r="N193" i="11"/>
  <c r="N197" i="11"/>
  <c r="N201" i="11"/>
  <c r="N226" i="11"/>
  <c r="O240" i="11"/>
  <c r="R240" i="11" s="1"/>
  <c r="M272" i="11"/>
  <c r="N52" i="11"/>
  <c r="R52" i="11" s="1"/>
  <c r="N161" i="11"/>
  <c r="N167" i="11"/>
  <c r="N169" i="11"/>
  <c r="N180" i="11"/>
  <c r="M235" i="11"/>
  <c r="N213" i="11"/>
  <c r="M271" i="11"/>
  <c r="N271" i="11" s="1"/>
  <c r="N217" i="11"/>
  <c r="N225" i="11"/>
  <c r="M261" i="11"/>
  <c r="N261" i="11" s="1"/>
  <c r="N248" i="11"/>
  <c r="M402" i="11"/>
  <c r="N402" i="11" s="1"/>
  <c r="M275" i="11"/>
  <c r="N275" i="11" s="1"/>
  <c r="M414" i="11"/>
  <c r="M376" i="11"/>
  <c r="N376" i="11" s="1"/>
  <c r="M386" i="11"/>
  <c r="N386" i="11" s="1"/>
  <c r="N179" i="11"/>
  <c r="O179" i="11" s="1"/>
  <c r="N182" i="11"/>
  <c r="M487" i="11"/>
  <c r="N195" i="11"/>
  <c r="O196" i="11"/>
  <c r="R196" i="11" s="1"/>
  <c r="N199" i="11"/>
  <c r="N206" i="11"/>
  <c r="N212" i="11"/>
  <c r="N216" i="11"/>
  <c r="N223" i="11"/>
  <c r="N231" i="11"/>
  <c r="M234" i="11"/>
  <c r="M403" i="11"/>
  <c r="N403" i="11" s="1"/>
  <c r="N236" i="11"/>
  <c r="N238" i="11"/>
  <c r="M674" i="11"/>
  <c r="N674" i="11" s="1"/>
  <c r="N260" i="11"/>
  <c r="M282" i="11" s="1"/>
  <c r="N282" i="11" s="1"/>
  <c r="N178" i="11"/>
  <c r="N181" i="11"/>
  <c r="J195" i="11"/>
  <c r="N242" i="11"/>
  <c r="J252" i="11"/>
  <c r="N290" i="11"/>
  <c r="N302" i="11"/>
  <c r="M322" i="11"/>
  <c r="N322" i="11" s="1"/>
  <c r="M346" i="11"/>
  <c r="N346" i="11" s="1"/>
  <c r="M437" i="11"/>
  <c r="N437" i="11" s="1"/>
  <c r="M363" i="11"/>
  <c r="N363" i="11" s="1"/>
  <c r="N339" i="11"/>
  <c r="N345" i="11"/>
  <c r="M458" i="11"/>
  <c r="N458" i="11" s="1"/>
  <c r="N349" i="11"/>
  <c r="M440" i="11"/>
  <c r="N355" i="11"/>
  <c r="M371" i="11"/>
  <c r="N371" i="11" s="1"/>
  <c r="M401" i="11"/>
  <c r="N401" i="11" s="1"/>
  <c r="M233" i="11"/>
  <c r="M298" i="11"/>
  <c r="N286" i="11"/>
  <c r="M503" i="11"/>
  <c r="N503" i="11" s="1"/>
  <c r="N320" i="11"/>
  <c r="M342" i="11"/>
  <c r="N342" i="11" s="1"/>
  <c r="M384" i="11"/>
  <c r="N384" i="11" s="1"/>
  <c r="N332" i="11"/>
  <c r="M450" i="11"/>
  <c r="N450" i="11" s="1"/>
  <c r="N338" i="11"/>
  <c r="N344" i="11"/>
  <c r="N348" i="11"/>
  <c r="M372" i="11"/>
  <c r="N372" i="11" s="1"/>
  <c r="N353" i="11"/>
  <c r="M466" i="11"/>
  <c r="M506" i="11"/>
  <c r="N506" i="11" s="1"/>
  <c r="L239" i="11"/>
  <c r="A239" i="11" s="1"/>
  <c r="M287" i="11"/>
  <c r="M311" i="11" s="1"/>
  <c r="N311" i="11" s="1"/>
  <c r="M299" i="11"/>
  <c r="N299" i="11" s="1"/>
  <c r="M293" i="11"/>
  <c r="N293" i="11" s="1"/>
  <c r="M398" i="11"/>
  <c r="N398" i="11" s="1"/>
  <c r="N285" i="11"/>
  <c r="M308" i="11"/>
  <c r="N308" i="11" s="1"/>
  <c r="M661" i="11"/>
  <c r="N661" i="11" s="1"/>
  <c r="M313" i="11"/>
  <c r="N313" i="11" s="1"/>
  <c r="M394" i="11"/>
  <c r="N394" i="11" s="1"/>
  <c r="M449" i="11"/>
  <c r="N449" i="11" s="1"/>
  <c r="N331" i="11"/>
  <c r="N337" i="11"/>
  <c r="N347" i="11"/>
  <c r="N352" i="11"/>
  <c r="N368" i="11"/>
  <c r="N215" i="11"/>
  <c r="N224" i="11"/>
  <c r="N232" i="11"/>
  <c r="M237" i="11"/>
  <c r="M251" i="11"/>
  <c r="N258" i="11"/>
  <c r="M273" i="11"/>
  <c r="N273" i="11" s="1"/>
  <c r="M279" i="11"/>
  <c r="N274" i="11"/>
  <c r="M329" i="11"/>
  <c r="N329" i="11" s="1"/>
  <c r="M304" i="11"/>
  <c r="N304" i="11" s="1"/>
  <c r="N303" i="11"/>
  <c r="M318" i="11"/>
  <c r="N318" i="11" s="1"/>
  <c r="N310" i="11"/>
  <c r="M502" i="11"/>
  <c r="N502" i="11" s="1"/>
  <c r="N330" i="11"/>
  <c r="N335" i="11"/>
  <c r="M419" i="11"/>
  <c r="N419" i="11" s="1"/>
  <c r="N341" i="11"/>
  <c r="M396" i="11"/>
  <c r="N351" i="11"/>
  <c r="N356" i="11"/>
  <c r="M460" i="11"/>
  <c r="N460" i="11" s="1"/>
  <c r="M461" i="11"/>
  <c r="N461" i="11" s="1"/>
  <c r="M365" i="11"/>
  <c r="N365" i="11" s="1"/>
  <c r="O373" i="11"/>
  <c r="R373" i="11" s="1"/>
  <c r="N374" i="11"/>
  <c r="M391" i="11"/>
  <c r="N391" i="11" s="1"/>
  <c r="N379" i="11"/>
  <c r="N380" i="11"/>
  <c r="N399" i="11"/>
  <c r="M427" i="11"/>
  <c r="N427" i="11" s="1"/>
  <c r="M431" i="11"/>
  <c r="N431" i="11" s="1"/>
  <c r="M493" i="11"/>
  <c r="N493" i="11" s="1"/>
  <c r="M485" i="11"/>
  <c r="N297" i="11"/>
  <c r="N309" i="11"/>
  <c r="M312" i="11"/>
  <c r="N312" i="11" s="1"/>
  <c r="N325" i="11"/>
  <c r="N333" i="11"/>
  <c r="N336" i="11"/>
  <c r="N340" i="11"/>
  <c r="N343" i="11"/>
  <c r="N350" i="11"/>
  <c r="N354" i="11"/>
  <c r="M444" i="11"/>
  <c r="M664" i="11"/>
  <c r="N383" i="11"/>
  <c r="M429" i="11"/>
  <c r="N429" i="11" s="1"/>
  <c r="M451" i="11"/>
  <c r="N451" i="11" s="1"/>
  <c r="N397" i="11"/>
  <c r="N412" i="11"/>
  <c r="M453" i="11"/>
  <c r="N453" i="11" s="1"/>
  <c r="M463" i="11"/>
  <c r="N463" i="11" s="1"/>
  <c r="M464" i="11"/>
  <c r="N464" i="11" s="1"/>
  <c r="M455" i="11"/>
  <c r="N455" i="11" s="1"/>
  <c r="M300" i="11"/>
  <c r="I301" i="11"/>
  <c r="L301" i="11" s="1"/>
  <c r="A301" i="11" s="1"/>
  <c r="O306" i="11"/>
  <c r="R306" i="11" s="1"/>
  <c r="N307" i="11"/>
  <c r="M328" i="11"/>
  <c r="N328" i="11" s="1"/>
  <c r="N361" i="11"/>
  <c r="M418" i="11"/>
  <c r="N418" i="11" s="1"/>
  <c r="N387" i="11"/>
  <c r="M719" i="11"/>
  <c r="N719" i="11" s="1"/>
  <c r="M421" i="11"/>
  <c r="N421" i="11" s="1"/>
  <c r="M499" i="11"/>
  <c r="N499" i="11" s="1"/>
  <c r="O422" i="11"/>
  <c r="R422" i="11" s="1"/>
  <c r="M316" i="11"/>
  <c r="N316" i="11" s="1"/>
  <c r="N369" i="11"/>
  <c r="N377" i="11"/>
  <c r="M425" i="11"/>
  <c r="N425" i="11" s="1"/>
  <c r="M395" i="11"/>
  <c r="N395" i="11" s="1"/>
  <c r="N404" i="11"/>
  <c r="M454" i="11"/>
  <c r="N454" i="11" s="1"/>
  <c r="M436" i="11"/>
  <c r="N436" i="11" s="1"/>
  <c r="M488" i="11"/>
  <c r="N488" i="11" s="1"/>
  <c r="M473" i="11"/>
  <c r="N459" i="11"/>
  <c r="J383" i="11"/>
  <c r="N393" i="11"/>
  <c r="O409" i="11"/>
  <c r="R409" i="11" s="1"/>
  <c r="O410" i="11"/>
  <c r="R410" i="11" s="1"/>
  <c r="N420" i="11"/>
  <c r="M438" i="11"/>
  <c r="N438" i="11" s="1"/>
  <c r="N443" i="11"/>
  <c r="M570" i="11"/>
  <c r="N570" i="11" s="1"/>
  <c r="M545" i="11"/>
  <c r="N476" i="11"/>
  <c r="M505" i="11"/>
  <c r="N510" i="11"/>
  <c r="M547" i="11"/>
  <c r="N526" i="11"/>
  <c r="M586" i="11"/>
  <c r="N586" i="11" s="1"/>
  <c r="N529" i="11"/>
  <c r="M548" i="11"/>
  <c r="N548" i="11" s="1"/>
  <c r="N533" i="11"/>
  <c r="N540" i="11"/>
  <c r="M652" i="11"/>
  <c r="N652" i="11" s="1"/>
  <c r="N550" i="11"/>
  <c r="O553" i="11"/>
  <c r="R553" i="11" s="1"/>
  <c r="M432" i="11"/>
  <c r="N432" i="11" s="1"/>
  <c r="M481" i="11"/>
  <c r="N481" i="11" s="1"/>
  <c r="M512" i="11"/>
  <c r="N512" i="11" s="1"/>
  <c r="N486" i="11"/>
  <c r="N498" i="11"/>
  <c r="N508" i="11"/>
  <c r="N522" i="11"/>
  <c r="N525" i="11"/>
  <c r="O527" i="11"/>
  <c r="R527" i="11" s="1"/>
  <c r="N539" i="11"/>
  <c r="M658" i="11"/>
  <c r="N658" i="11" s="1"/>
  <c r="N552" i="11"/>
  <c r="M500" i="11"/>
  <c r="N500" i="11" s="1"/>
  <c r="M457" i="11"/>
  <c r="N457" i="11" s="1"/>
  <c r="N496" i="11"/>
  <c r="N519" i="11"/>
  <c r="M569" i="11"/>
  <c r="N569" i="11" s="1"/>
  <c r="O560" i="11"/>
  <c r="R560" i="11" s="1"/>
  <c r="N381" i="11"/>
  <c r="N389" i="11"/>
  <c r="N408" i="11"/>
  <c r="M424" i="11"/>
  <c r="N424" i="11" s="1"/>
  <c r="N426" i="11"/>
  <c r="N433" i="11"/>
  <c r="N435" i="11"/>
  <c r="N482" i="11"/>
  <c r="N491" i="11"/>
  <c r="N495" i="11"/>
  <c r="N530" i="11"/>
  <c r="N534" i="11"/>
  <c r="N537" i="11"/>
  <c r="N546" i="11"/>
  <c r="O471" i="11"/>
  <c r="R471" i="11" s="1"/>
  <c r="N478" i="11"/>
  <c r="N492" i="11"/>
  <c r="N507" i="11"/>
  <c r="M513" i="11"/>
  <c r="N513" i="11" s="1"/>
  <c r="N524" i="11"/>
  <c r="N528" i="11"/>
  <c r="N532" i="11"/>
  <c r="M567" i="11"/>
  <c r="N567" i="11" s="1"/>
  <c r="M551" i="11"/>
  <c r="N564" i="11"/>
  <c r="M622" i="11"/>
  <c r="N622" i="11" s="1"/>
  <c r="N574" i="11"/>
  <c r="N578" i="11"/>
  <c r="N587" i="11"/>
  <c r="N593" i="11"/>
  <c r="N598" i="11"/>
  <c r="M585" i="11"/>
  <c r="N585" i="11" s="1"/>
  <c r="N591" i="11"/>
  <c r="N597" i="11"/>
  <c r="N601" i="11"/>
  <c r="N604" i="11"/>
  <c r="N608" i="11"/>
  <c r="M675" i="11"/>
  <c r="N675" i="11" s="1"/>
  <c r="N561" i="11"/>
  <c r="N571" i="11"/>
  <c r="M639" i="11"/>
  <c r="N582" i="11"/>
  <c r="N584" i="11"/>
  <c r="M684" i="11"/>
  <c r="N684" i="11" s="1"/>
  <c r="N595" i="11"/>
  <c r="N603" i="11"/>
  <c r="N606" i="11"/>
  <c r="N520" i="11"/>
  <c r="N575" i="11"/>
  <c r="N579" i="11"/>
  <c r="N581" i="11"/>
  <c r="N588" i="11"/>
  <c r="M659" i="11"/>
  <c r="N659" i="11" s="1"/>
  <c r="N594" i="11"/>
  <c r="M671" i="11"/>
  <c r="N671" i="11" s="1"/>
  <c r="N620" i="11"/>
  <c r="N628" i="11"/>
  <c r="M655" i="11"/>
  <c r="N655" i="11" s="1"/>
  <c r="M657" i="11"/>
  <c r="N657" i="11" s="1"/>
  <c r="N607" i="11"/>
  <c r="N612" i="11"/>
  <c r="O613" i="11"/>
  <c r="R613" i="11" s="1"/>
  <c r="N614" i="11"/>
  <c r="N619" i="11"/>
  <c r="N624" i="11"/>
  <c r="M653" i="11"/>
  <c r="N653" i="11" s="1"/>
  <c r="N638" i="11"/>
  <c r="O640" i="11"/>
  <c r="R640" i="11" s="1"/>
  <c r="N577" i="11"/>
  <c r="N610" i="11"/>
  <c r="N617" i="11"/>
  <c r="N623" i="11"/>
  <c r="M683" i="11"/>
  <c r="N683" i="11" s="1"/>
  <c r="N630" i="11"/>
  <c r="N635" i="11"/>
  <c r="N563" i="11"/>
  <c r="N621" i="11"/>
  <c r="M678" i="11"/>
  <c r="N678" i="11" s="1"/>
  <c r="N629" i="11"/>
  <c r="N632" i="11"/>
  <c r="N616" i="11"/>
  <c r="N631" i="11"/>
  <c r="N636" i="11"/>
  <c r="L639" i="11"/>
  <c r="A639" i="11" s="1"/>
  <c r="M722" i="11"/>
  <c r="N722" i="11" s="1"/>
  <c r="N641" i="11"/>
  <c r="N648" i="11"/>
  <c r="M679" i="11"/>
  <c r="N679" i="11" s="1"/>
  <c r="N654" i="11"/>
  <c r="N673" i="11"/>
  <c r="N680" i="11"/>
  <c r="N701" i="11"/>
  <c r="N647" i="11"/>
  <c r="M667" i="11"/>
  <c r="N667" i="11" s="1"/>
  <c r="N696" i="11"/>
  <c r="N704" i="11"/>
  <c r="N627" i="11"/>
  <c r="N644" i="11"/>
  <c r="M682" i="11"/>
  <c r="N682" i="11" s="1"/>
  <c r="N669" i="11"/>
  <c r="N672" i="11"/>
  <c r="N705" i="11"/>
  <c r="N708" i="11"/>
  <c r="M681" i="11"/>
  <c r="N681" i="11" s="1"/>
  <c r="J664" i="11"/>
  <c r="I664" i="11"/>
  <c r="L664" i="11" s="1"/>
  <c r="A664" i="11" s="1"/>
  <c r="N688" i="11"/>
  <c r="M716" i="11"/>
  <c r="N716" i="11" s="1"/>
  <c r="N692" i="11"/>
  <c r="N697" i="11"/>
  <c r="N700" i="11"/>
  <c r="N709" i="11"/>
  <c r="N723" i="11"/>
  <c r="N724" i="11"/>
  <c r="N706" i="11"/>
  <c r="N718" i="11"/>
  <c r="M711" i="11"/>
  <c r="N711" i="11" s="1"/>
  <c r="N690" i="11"/>
  <c r="N714" i="11"/>
  <c r="N727" i="11"/>
  <c r="N228" i="11" l="1"/>
  <c r="N538" i="11"/>
  <c r="N497" i="11"/>
  <c r="O204" i="11"/>
  <c r="R204" i="11" s="1"/>
  <c r="M370" i="11"/>
  <c r="N370" i="11" s="1"/>
  <c r="R22" i="11"/>
  <c r="R645" i="11"/>
  <c r="R611" i="11"/>
  <c r="R183" i="11"/>
  <c r="N469" i="11"/>
  <c r="O469" i="11" s="1"/>
  <c r="R469" i="11" s="1"/>
  <c r="M239" i="11"/>
  <c r="N649" i="11"/>
  <c r="O649" i="11" s="1"/>
  <c r="R649" i="11" s="1"/>
  <c r="M509" i="11"/>
  <c r="R430" i="11"/>
  <c r="N651" i="11"/>
  <c r="N600" i="11"/>
  <c r="O600" i="11" s="1"/>
  <c r="R600" i="11" s="1"/>
  <c r="R210" i="11"/>
  <c r="C953" i="11"/>
  <c r="R650" i="11"/>
  <c r="N634" i="11"/>
  <c r="O634" i="11" s="1"/>
  <c r="R634" i="11" s="1"/>
  <c r="N557" i="11"/>
  <c r="R439" i="11"/>
  <c r="R417" i="11"/>
  <c r="N411" i="11"/>
  <c r="O411" i="11" s="1"/>
  <c r="R411" i="11" s="1"/>
  <c r="N440" i="11"/>
  <c r="O200" i="11"/>
  <c r="R200" i="11" s="1"/>
  <c r="C102" i="11"/>
  <c r="A102" i="11"/>
  <c r="C483" i="11"/>
  <c r="A483" i="11"/>
  <c r="R446" i="11"/>
  <c r="N251" i="11"/>
  <c r="R207" i="11"/>
  <c r="C475" i="11"/>
  <c r="A475" i="11"/>
  <c r="C139" i="11"/>
  <c r="A139" i="11"/>
  <c r="C445" i="11"/>
  <c r="A445" i="11"/>
  <c r="C104" i="11"/>
  <c r="A104" i="11"/>
  <c r="C732" i="11"/>
  <c r="C808" i="11"/>
  <c r="C771" i="11"/>
  <c r="C662" i="11"/>
  <c r="C537" i="11"/>
  <c r="C454" i="11"/>
  <c r="C451" i="11"/>
  <c r="C497" i="11"/>
  <c r="C348" i="11"/>
  <c r="C310" i="11"/>
  <c r="C455" i="11"/>
  <c r="C422" i="11"/>
  <c r="C633" i="11"/>
  <c r="C381" i="11"/>
  <c r="C356" i="11"/>
  <c r="C490" i="11"/>
  <c r="C261" i="11"/>
  <c r="C501" i="11"/>
  <c r="C292" i="11"/>
  <c r="C244" i="11"/>
  <c r="C340" i="11"/>
  <c r="C243" i="11"/>
  <c r="C395" i="11"/>
  <c r="C275" i="11"/>
  <c r="C325" i="11"/>
  <c r="C123" i="11"/>
  <c r="C112" i="11"/>
  <c r="C651" i="11"/>
  <c r="C457" i="11"/>
  <c r="C509" i="11"/>
  <c r="C424" i="11"/>
  <c r="C645" i="11"/>
  <c r="C408" i="11"/>
  <c r="C514" i="11"/>
  <c r="C440" i="11"/>
  <c r="C311" i="11"/>
  <c r="C701" i="11"/>
  <c r="C319" i="11"/>
  <c r="C235" i="11"/>
  <c r="C441" i="11"/>
  <c r="C141" i="11"/>
  <c r="C649" i="11"/>
  <c r="C582" i="11"/>
  <c r="C555" i="11"/>
  <c r="C660" i="11"/>
  <c r="C505" i="11"/>
  <c r="C784" i="11"/>
  <c r="C724" i="11"/>
  <c r="C595" i="11"/>
  <c r="C785" i="11"/>
  <c r="C425" i="11"/>
  <c r="C511" i="11"/>
  <c r="C562" i="11"/>
  <c r="C349" i="11"/>
  <c r="C215" i="11"/>
  <c r="C401" i="11"/>
  <c r="C211" i="11"/>
  <c r="C388" i="11"/>
  <c r="C164" i="11"/>
  <c r="C281" i="11"/>
  <c r="C188" i="11"/>
  <c r="C98" i="11"/>
  <c r="C199" i="11"/>
  <c r="C687" i="11"/>
  <c r="C783" i="11"/>
  <c r="C571" i="11"/>
  <c r="C545" i="11"/>
  <c r="C427" i="11"/>
  <c r="C361" i="11"/>
  <c r="C453" i="11"/>
  <c r="C371" i="11"/>
  <c r="C391" i="11"/>
  <c r="C374" i="11"/>
  <c r="C517" i="11"/>
  <c r="C248" i="11"/>
  <c r="C308" i="11"/>
  <c r="C291" i="11"/>
  <c r="C312" i="11"/>
  <c r="C350" i="11"/>
  <c r="C304" i="11"/>
  <c r="C284" i="11"/>
  <c r="C661" i="11"/>
  <c r="C183" i="11"/>
  <c r="C34" i="11"/>
  <c r="C66" i="11"/>
  <c r="A34" i="11"/>
  <c r="C363" i="11"/>
  <c r="C231" i="11"/>
  <c r="C313" i="11"/>
  <c r="C539" i="11"/>
  <c r="C519" i="11"/>
  <c r="C439" i="11"/>
  <c r="C489" i="11"/>
  <c r="C459" i="11"/>
  <c r="C541" i="11"/>
  <c r="C574" i="11"/>
  <c r="C332" i="11"/>
  <c r="C355" i="11"/>
  <c r="C287" i="11"/>
  <c r="C557" i="11"/>
  <c r="C251" i="11"/>
  <c r="C257" i="11"/>
  <c r="C159" i="11"/>
  <c r="C265" i="11"/>
  <c r="C107" i="11"/>
  <c r="C219" i="11"/>
  <c r="A107" i="11"/>
  <c r="C105" i="11"/>
  <c r="C599" i="11"/>
  <c r="C534" i="11"/>
  <c r="C580" i="11"/>
  <c r="C638" i="11"/>
  <c r="C484" i="11"/>
  <c r="C647" i="11"/>
  <c r="C642" i="11"/>
  <c r="C600" i="11"/>
  <c r="C713" i="11"/>
  <c r="C773" i="11"/>
  <c r="C380" i="11"/>
  <c r="C377" i="11"/>
  <c r="C431" i="11"/>
  <c r="C442" i="11"/>
  <c r="C458" i="11"/>
  <c r="C460" i="11"/>
  <c r="C237" i="11"/>
  <c r="C452" i="11"/>
  <c r="C175" i="11"/>
  <c r="C364" i="11"/>
  <c r="C314" i="11"/>
  <c r="C241" i="11"/>
  <c r="C239" i="11"/>
  <c r="C54" i="11"/>
  <c r="C466" i="11"/>
  <c r="C218" i="11"/>
  <c r="C470" i="11"/>
  <c r="A470" i="11"/>
  <c r="M580" i="11"/>
  <c r="N580" i="11" s="1"/>
  <c r="O580" i="11" s="1"/>
  <c r="R580" i="11" s="1"/>
  <c r="M573" i="11"/>
  <c r="N505" i="11"/>
  <c r="O505" i="11" s="1"/>
  <c r="R505" i="11" s="1"/>
  <c r="N485" i="11"/>
  <c r="R10" i="11"/>
  <c r="C477" i="11"/>
  <c r="A477" i="11"/>
  <c r="C106" i="11"/>
  <c r="A106" i="11"/>
  <c r="N725" i="11"/>
  <c r="O725" i="11" s="1"/>
  <c r="R725" i="11" s="1"/>
  <c r="C875" i="11"/>
  <c r="C650" i="11"/>
  <c r="C547" i="11"/>
  <c r="C596" i="11"/>
  <c r="C399" i="11"/>
  <c r="C397" i="11"/>
  <c r="C444" i="11"/>
  <c r="C421" i="11"/>
  <c r="C406" i="11"/>
  <c r="C353" i="11"/>
  <c r="C554" i="11"/>
  <c r="C322" i="11"/>
  <c r="C465" i="11"/>
  <c r="C572" i="11"/>
  <c r="C543" i="11"/>
  <c r="C270" i="11"/>
  <c r="C658" i="11"/>
  <c r="C232" i="11"/>
  <c r="C245" i="11"/>
  <c r="C410" i="11"/>
  <c r="C227" i="11"/>
  <c r="C296" i="11"/>
  <c r="C269" i="11"/>
  <c r="C417" i="11"/>
  <c r="C339" i="11"/>
  <c r="C262" i="11"/>
  <c r="C487" i="11"/>
  <c r="C891" i="11"/>
  <c r="C542" i="11"/>
  <c r="C473" i="11"/>
  <c r="C373" i="11"/>
  <c r="C330" i="11"/>
  <c r="C258" i="11"/>
  <c r="C400" i="11"/>
  <c r="C242" i="11"/>
  <c r="C402" i="11"/>
  <c r="C213" i="11"/>
  <c r="C689" i="11"/>
  <c r="C538" i="11"/>
  <c r="C593" i="11"/>
  <c r="C725" i="11"/>
  <c r="C768" i="11"/>
  <c r="C520" i="11"/>
  <c r="C556" i="11"/>
  <c r="C496" i="11"/>
  <c r="C469" i="11"/>
  <c r="C411" i="11"/>
  <c r="C536" i="11"/>
  <c r="C351" i="11"/>
  <c r="C515" i="11"/>
  <c r="C264" i="11"/>
  <c r="C703" i="11"/>
  <c r="C362" i="11"/>
  <c r="C233" i="11"/>
  <c r="C415" i="11"/>
  <c r="C250" i="11"/>
  <c r="C59" i="11"/>
  <c r="C370" i="11"/>
  <c r="C62" i="11"/>
  <c r="C494" i="11"/>
  <c r="A494" i="11"/>
  <c r="C829" i="11"/>
  <c r="C634" i="11"/>
  <c r="C510" i="11"/>
  <c r="C476" i="11"/>
  <c r="C486" i="11"/>
  <c r="C544" i="11"/>
  <c r="C360" i="11"/>
  <c r="C318" i="11"/>
  <c r="C372" i="11"/>
  <c r="C438" i="11"/>
  <c r="C302" i="11"/>
  <c r="C809" i="11"/>
  <c r="C405" i="11"/>
  <c r="C420" i="11"/>
  <c r="C443" i="11"/>
  <c r="C238" i="11"/>
  <c r="C513" i="11"/>
  <c r="C552" i="11"/>
  <c r="C382" i="11"/>
  <c r="C294" i="11"/>
  <c r="C247" i="11"/>
  <c r="C385" i="11"/>
  <c r="C299" i="11"/>
  <c r="C234" i="11"/>
  <c r="C195" i="11"/>
  <c r="C414" i="11"/>
  <c r="C521" i="11"/>
  <c r="C668" i="11"/>
  <c r="C393" i="11"/>
  <c r="C622" i="11"/>
  <c r="C508" i="11"/>
  <c r="C384" i="11"/>
  <c r="C504" i="11"/>
  <c r="C413" i="11"/>
  <c r="C358" i="11"/>
  <c r="C249" i="11"/>
  <c r="C301" i="11"/>
  <c r="C228" i="11"/>
  <c r="C383" i="11"/>
  <c r="C664" i="11"/>
  <c r="A228" i="11"/>
  <c r="C176" i="11"/>
  <c r="C700" i="11"/>
  <c r="C184" i="11"/>
  <c r="C663" i="11"/>
  <c r="C639" i="11"/>
  <c r="C560" i="11"/>
  <c r="C498" i="11"/>
  <c r="C573" i="11"/>
  <c r="C684" i="11"/>
  <c r="C643" i="11"/>
  <c r="C551" i="11"/>
  <c r="C507" i="11"/>
  <c r="C518" i="11"/>
  <c r="C426" i="11"/>
  <c r="C488" i="11"/>
  <c r="C602" i="11"/>
  <c r="C485" i="11"/>
  <c r="C333" i="11"/>
  <c r="C272" i="11"/>
  <c r="C263" i="11"/>
  <c r="C390" i="11"/>
  <c r="C293" i="11"/>
  <c r="C252" i="11"/>
  <c r="C13" i="11"/>
  <c r="N518" i="11"/>
  <c r="O518" i="11" s="1"/>
  <c r="R518" i="11" s="1"/>
  <c r="N544" i="11"/>
  <c r="R220" i="11"/>
  <c r="N487" i="11"/>
  <c r="O487" i="11" s="1"/>
  <c r="R487" i="11" s="1"/>
  <c r="N633" i="11"/>
  <c r="O633" i="11" s="1"/>
  <c r="R633" i="11" s="1"/>
  <c r="N243" i="11"/>
  <c r="N643" i="11"/>
  <c r="O643" i="11" s="1"/>
  <c r="R643" i="11" s="1"/>
  <c r="N139" i="11"/>
  <c r="N689" i="11"/>
  <c r="O689" i="11" s="1"/>
  <c r="R689" i="11" s="1"/>
  <c r="N602" i="11"/>
  <c r="O602" i="11" s="1"/>
  <c r="R602" i="11" s="1"/>
  <c r="N235" i="11"/>
  <c r="N272" i="11"/>
  <c r="M668" i="11"/>
  <c r="N668" i="11" s="1"/>
  <c r="O668" i="11" s="1"/>
  <c r="R668" i="11" s="1"/>
  <c r="N249" i="11"/>
  <c r="N98" i="11"/>
  <c r="O98" i="11" s="1"/>
  <c r="R98" i="11" s="1"/>
  <c r="N445" i="11"/>
  <c r="O445" i="11" s="1"/>
  <c r="R445" i="11" s="1"/>
  <c r="M662" i="11"/>
  <c r="N662" i="11" s="1"/>
  <c r="O662" i="11" s="1"/>
  <c r="R662" i="11" s="1"/>
  <c r="N241" i="11"/>
  <c r="N470" i="11"/>
  <c r="O470" i="11" s="1"/>
  <c r="R470" i="11" s="1"/>
  <c r="N554" i="11"/>
  <c r="O554" i="11" s="1"/>
  <c r="R554" i="11" s="1"/>
  <c r="N555" i="11"/>
  <c r="O555" i="11" s="1"/>
  <c r="R555" i="11" s="1"/>
  <c r="M264" i="11"/>
  <c r="N264" i="11" s="1"/>
  <c r="O264" i="11" s="1"/>
  <c r="R264" i="11" s="1"/>
  <c r="M660" i="11"/>
  <c r="N660" i="11" s="1"/>
  <c r="O660" i="11" s="1"/>
  <c r="R660" i="11" s="1"/>
  <c r="M572" i="11"/>
  <c r="N572" i="11" s="1"/>
  <c r="M773" i="11"/>
  <c r="N773" i="11" s="1"/>
  <c r="O773" i="11" s="1"/>
  <c r="R773" i="11" s="1"/>
  <c r="M319" i="11"/>
  <c r="N319" i="11" s="1"/>
  <c r="N514" i="11"/>
  <c r="O514" i="11" s="1"/>
  <c r="R514" i="11" s="1"/>
  <c r="M511" i="11"/>
  <c r="M489" i="11"/>
  <c r="N489" i="11" s="1"/>
  <c r="O489" i="11" s="1"/>
  <c r="R489" i="11" s="1"/>
  <c r="N233" i="11"/>
  <c r="O233" i="11" s="1"/>
  <c r="R233" i="11" s="1"/>
  <c r="M263" i="11"/>
  <c r="N263" i="11" s="1"/>
  <c r="O263" i="11" s="1"/>
  <c r="R263" i="11" s="1"/>
  <c r="N511" i="11"/>
  <c r="O511" i="11" s="1"/>
  <c r="R511" i="11" s="1"/>
  <c r="N473" i="11"/>
  <c r="O473" i="11" s="1"/>
  <c r="R473" i="11" s="1"/>
  <c r="R214" i="11"/>
  <c r="R472" i="11"/>
  <c r="R266" i="11"/>
  <c r="N596" i="11"/>
  <c r="O596" i="11" s="1"/>
  <c r="R596" i="11" s="1"/>
  <c r="N543" i="11"/>
  <c r="M663" i="11"/>
  <c r="N663" i="11" s="1"/>
  <c r="O663" i="11" s="1"/>
  <c r="R663" i="11" s="1"/>
  <c r="R456" i="11"/>
  <c r="N244" i="11"/>
  <c r="O244" i="11" s="1"/>
  <c r="R244" i="11" s="1"/>
  <c r="N551" i="11"/>
  <c r="O551" i="11" s="1"/>
  <c r="R551" i="11" s="1"/>
  <c r="R423" i="11"/>
  <c r="N237" i="11"/>
  <c r="O237" i="11" s="1"/>
  <c r="R237" i="11" s="1"/>
  <c r="R6" i="11"/>
  <c r="N494" i="11"/>
  <c r="O494" i="11" s="1"/>
  <c r="R494" i="11" s="1"/>
  <c r="M504" i="11"/>
  <c r="N504" i="11" s="1"/>
  <c r="O504" i="11" s="1"/>
  <c r="R504" i="11" s="1"/>
  <c r="M262" i="11"/>
  <c r="N262" i="11" s="1"/>
  <c r="O262" i="11" s="1"/>
  <c r="R262" i="11" s="1"/>
  <c r="M768" i="11"/>
  <c r="N768" i="11" s="1"/>
  <c r="R685" i="11"/>
  <c r="N466" i="11"/>
  <c r="N483" i="11"/>
  <c r="O483" i="11" s="1"/>
  <c r="R483" i="11" s="1"/>
  <c r="N234" i="11"/>
  <c r="O234" i="11" s="1"/>
  <c r="R234" i="11" s="1"/>
  <c r="R19" i="11"/>
  <c r="N547" i="11"/>
  <c r="O547" i="11" s="1"/>
  <c r="R547" i="11" s="1"/>
  <c r="N444" i="11"/>
  <c r="O444" i="11" s="1"/>
  <c r="R444" i="11" s="1"/>
  <c r="R589" i="11"/>
  <c r="N536" i="11"/>
  <c r="O536" i="11" s="1"/>
  <c r="R536" i="11" s="1"/>
  <c r="N573" i="11"/>
  <c r="O573" i="11" s="1"/>
  <c r="R573" i="11" s="1"/>
  <c r="N477" i="11"/>
  <c r="O477" i="11" s="1"/>
  <c r="R477" i="11" s="1"/>
  <c r="N441" i="11"/>
  <c r="O441" i="11" s="1"/>
  <c r="R441" i="11" s="1"/>
  <c r="N245" i="11"/>
  <c r="M292" i="11" s="1"/>
  <c r="N292" i="11" s="1"/>
  <c r="N562" i="11"/>
  <c r="O562" i="11" s="1"/>
  <c r="R562" i="11" s="1"/>
  <c r="R203" i="11"/>
  <c r="R177" i="11"/>
  <c r="M247" i="11"/>
  <c r="N247" i="11" s="1"/>
  <c r="R4" i="11"/>
  <c r="O148" i="11"/>
  <c r="R148" i="11" s="1"/>
  <c r="M359" i="11"/>
  <c r="N359" i="11" s="1"/>
  <c r="O359" i="11" s="1"/>
  <c r="R359" i="11" s="1"/>
  <c r="N465" i="11"/>
  <c r="O465" i="11" s="1"/>
  <c r="R465" i="11" s="1"/>
  <c r="O741" i="11"/>
  <c r="N521" i="11"/>
  <c r="R323" i="11"/>
  <c r="R45" i="11"/>
  <c r="O768" i="11"/>
  <c r="R768" i="11" s="1"/>
  <c r="R187" i="11"/>
  <c r="R8" i="11"/>
  <c r="O710" i="11"/>
  <c r="R710" i="11" s="1"/>
  <c r="O43" i="11"/>
  <c r="R43" i="11" s="1"/>
  <c r="R599" i="11"/>
  <c r="R172" i="11"/>
  <c r="N515" i="11"/>
  <c r="N509" i="11"/>
  <c r="O509" i="11" s="1"/>
  <c r="R509" i="11" s="1"/>
  <c r="N542" i="11"/>
  <c r="N414" i="11"/>
  <c r="O414" i="11" s="1"/>
  <c r="R414" i="11" s="1"/>
  <c r="M301" i="11"/>
  <c r="N301" i="11" s="1"/>
  <c r="O702" i="11"/>
  <c r="R702" i="11" s="1"/>
  <c r="M209" i="11"/>
  <c r="N209" i="11" s="1"/>
  <c r="O209" i="11" s="1"/>
  <c r="O693" i="11"/>
  <c r="R693" i="11" s="1"/>
  <c r="N687" i="11"/>
  <c r="O95" i="11"/>
  <c r="R95" i="11" s="1"/>
  <c r="N545" i="11"/>
  <c r="O545" i="11" s="1"/>
  <c r="R545" i="11" s="1"/>
  <c r="N541" i="11"/>
  <c r="O541" i="11" s="1"/>
  <c r="R541" i="11" s="1"/>
  <c r="N413" i="11"/>
  <c r="O413" i="11" s="1"/>
  <c r="R413" i="11" s="1"/>
  <c r="R191" i="11"/>
  <c r="O5" i="11"/>
  <c r="R5" i="11" s="1"/>
  <c r="M713" i="11"/>
  <c r="N713" i="11" s="1"/>
  <c r="N556" i="11"/>
  <c r="O556" i="11" s="1"/>
  <c r="R556" i="11" s="1"/>
  <c r="M490" i="11"/>
  <c r="N490" i="11" s="1"/>
  <c r="O490" i="11" s="1"/>
  <c r="R490" i="11" s="1"/>
  <c r="O375" i="11"/>
  <c r="R375" i="11" s="1"/>
  <c r="O424" i="11"/>
  <c r="R424" i="11" s="1"/>
  <c r="O457" i="11"/>
  <c r="R457" i="11" s="1"/>
  <c r="O395" i="11"/>
  <c r="R395" i="11" s="1"/>
  <c r="O451" i="11"/>
  <c r="R451" i="11" s="1"/>
  <c r="O251" i="11"/>
  <c r="R251" i="11" s="1"/>
  <c r="O282" i="11"/>
  <c r="R282" i="11" s="1"/>
  <c r="O271" i="11"/>
  <c r="R271" i="11" s="1"/>
  <c r="O438" i="11"/>
  <c r="R438" i="11" s="1"/>
  <c r="O454" i="11"/>
  <c r="R454" i="11" s="1"/>
  <c r="O418" i="11"/>
  <c r="R418" i="11" s="1"/>
  <c r="O318" i="11"/>
  <c r="R318" i="11" s="1"/>
  <c r="O342" i="11"/>
  <c r="R342" i="11" s="1"/>
  <c r="O679" i="11"/>
  <c r="R679" i="11" s="1"/>
  <c r="O653" i="11"/>
  <c r="R653" i="11" s="1"/>
  <c r="O432" i="11"/>
  <c r="R432" i="11" s="1"/>
  <c r="O436" i="11"/>
  <c r="R436" i="11" s="1"/>
  <c r="O425" i="11"/>
  <c r="R425" i="11" s="1"/>
  <c r="O421" i="11"/>
  <c r="R421" i="11" s="1"/>
  <c r="O429" i="11"/>
  <c r="R429" i="11" s="1"/>
  <c r="O329" i="11"/>
  <c r="R329" i="11" s="1"/>
  <c r="O681" i="11"/>
  <c r="R681" i="11" s="1"/>
  <c r="O667" i="11"/>
  <c r="R667" i="11" s="1"/>
  <c r="O513" i="11"/>
  <c r="R513" i="11" s="1"/>
  <c r="O500" i="11"/>
  <c r="R500" i="11" s="1"/>
  <c r="O316" i="11"/>
  <c r="R316" i="11" s="1"/>
  <c r="O328" i="11"/>
  <c r="R328" i="11" s="1"/>
  <c r="O313" i="11"/>
  <c r="R313" i="11" s="1"/>
  <c r="O308" i="11"/>
  <c r="R308" i="11" s="1"/>
  <c r="O727" i="11"/>
  <c r="R727" i="11" s="1"/>
  <c r="O717" i="11"/>
  <c r="R717" i="11" s="1"/>
  <c r="O669" i="11"/>
  <c r="R669" i="11" s="1"/>
  <c r="O644" i="11"/>
  <c r="R644" i="11" s="1"/>
  <c r="O675" i="11"/>
  <c r="R675" i="11" s="1"/>
  <c r="O678" i="11"/>
  <c r="R678" i="11" s="1"/>
  <c r="O636" i="11"/>
  <c r="R636" i="11" s="1"/>
  <c r="O616" i="11"/>
  <c r="R616" i="11" s="1"/>
  <c r="O632" i="11"/>
  <c r="R632" i="11" s="1"/>
  <c r="O630" i="11"/>
  <c r="R630" i="11" s="1"/>
  <c r="O617" i="11"/>
  <c r="R617" i="11" s="1"/>
  <c r="O577" i="11"/>
  <c r="R577" i="11" s="1"/>
  <c r="O568" i="11"/>
  <c r="R568" i="11" s="1"/>
  <c r="O622" i="11"/>
  <c r="R622" i="11" s="1"/>
  <c r="O594" i="11"/>
  <c r="R594" i="11" s="1"/>
  <c r="O581" i="11"/>
  <c r="R581" i="11" s="1"/>
  <c r="O586" i="11"/>
  <c r="R586" i="11" s="1"/>
  <c r="O571" i="11"/>
  <c r="R571" i="11" s="1"/>
  <c r="O557" i="11"/>
  <c r="R557" i="11" s="1"/>
  <c r="O601" i="11"/>
  <c r="R601" i="11" s="1"/>
  <c r="O569" i="11"/>
  <c r="R569" i="11" s="1"/>
  <c r="O524" i="11"/>
  <c r="R524" i="11" s="1"/>
  <c r="O507" i="11"/>
  <c r="R507" i="11" s="1"/>
  <c r="O499" i="11"/>
  <c r="R499" i="11" s="1"/>
  <c r="O538" i="11"/>
  <c r="R538" i="11" s="1"/>
  <c r="O537" i="11"/>
  <c r="R537" i="11" s="1"/>
  <c r="O495" i="11"/>
  <c r="R495" i="11" s="1"/>
  <c r="O491" i="11"/>
  <c r="R491" i="11" s="1"/>
  <c r="O482" i="11"/>
  <c r="R482" i="11" s="1"/>
  <c r="O435" i="11"/>
  <c r="R435" i="11" s="1"/>
  <c r="O548" i="11"/>
  <c r="R548" i="11" s="1"/>
  <c r="O519" i="11"/>
  <c r="R519" i="11" s="1"/>
  <c r="O479" i="11"/>
  <c r="R479" i="11" s="1"/>
  <c r="O539" i="11"/>
  <c r="R539" i="11" s="1"/>
  <c r="O525" i="11"/>
  <c r="R525" i="11" s="1"/>
  <c r="O474" i="11"/>
  <c r="R474" i="11" s="1"/>
  <c r="O455" i="11"/>
  <c r="R455" i="11" s="1"/>
  <c r="O416" i="11"/>
  <c r="R416" i="11" s="1"/>
  <c r="O401" i="11"/>
  <c r="R401" i="11" s="1"/>
  <c r="O449" i="11"/>
  <c r="R449" i="11" s="1"/>
  <c r="O420" i="11"/>
  <c r="R420" i="11" s="1"/>
  <c r="O393" i="11"/>
  <c r="R393" i="11" s="1"/>
  <c r="O384" i="11"/>
  <c r="R384" i="11" s="1"/>
  <c r="O459" i="11"/>
  <c r="R459" i="11" s="1"/>
  <c r="O404" i="11"/>
  <c r="R404" i="11" s="1"/>
  <c r="O400" i="11"/>
  <c r="R400" i="11" s="1"/>
  <c r="O377" i="11"/>
  <c r="R377" i="11" s="1"/>
  <c r="O452" i="11"/>
  <c r="R452" i="11" s="1"/>
  <c r="O419" i="11"/>
  <c r="R419" i="11" s="1"/>
  <c r="O372" i="11"/>
  <c r="R372" i="11" s="1"/>
  <c r="O312" i="11"/>
  <c r="R312" i="11" s="1"/>
  <c r="O293" i="11"/>
  <c r="R293" i="11" s="1"/>
  <c r="O464" i="11"/>
  <c r="R464" i="11" s="1"/>
  <c r="O397" i="11"/>
  <c r="R397" i="11" s="1"/>
  <c r="O383" i="11"/>
  <c r="R383" i="11" s="1"/>
  <c r="O354" i="11"/>
  <c r="R354" i="11" s="1"/>
  <c r="O340" i="11"/>
  <c r="R340" i="11" s="1"/>
  <c r="O434" i="11"/>
  <c r="R434" i="11" s="1"/>
  <c r="O351" i="11"/>
  <c r="R351" i="11" s="1"/>
  <c r="O294" i="11"/>
  <c r="R294" i="11" s="1"/>
  <c r="M295" i="11"/>
  <c r="N295" i="11" s="1"/>
  <c r="O232" i="11"/>
  <c r="R232" i="11" s="1"/>
  <c r="O368" i="11"/>
  <c r="R368" i="11" s="1"/>
  <c r="O352" i="11"/>
  <c r="R352" i="11" s="1"/>
  <c r="O311" i="11"/>
  <c r="R311" i="11" s="1"/>
  <c r="O299" i="11"/>
  <c r="R299" i="11" s="1"/>
  <c r="N239" i="11"/>
  <c r="O349" i="11"/>
  <c r="R349" i="11" s="1"/>
  <c r="O345" i="11"/>
  <c r="R345" i="11" s="1"/>
  <c r="O280" i="11"/>
  <c r="R280" i="11" s="1"/>
  <c r="O242" i="11"/>
  <c r="R242" i="11" s="1"/>
  <c r="O181" i="11"/>
  <c r="R181" i="11" s="1"/>
  <c r="O243" i="11"/>
  <c r="R243" i="11" s="1"/>
  <c r="O223" i="11"/>
  <c r="R223" i="11" s="1"/>
  <c r="O248" i="11"/>
  <c r="R248" i="11" s="1"/>
  <c r="O169" i="11"/>
  <c r="R169" i="11" s="1"/>
  <c r="O167" i="11"/>
  <c r="R167" i="11" s="1"/>
  <c r="O235" i="11"/>
  <c r="R235" i="11" s="1"/>
  <c r="O201" i="11"/>
  <c r="R201" i="11" s="1"/>
  <c r="O193" i="11"/>
  <c r="R193" i="11" s="1"/>
  <c r="O185" i="11"/>
  <c r="R185" i="11" s="1"/>
  <c r="O123" i="11"/>
  <c r="R123" i="11" s="1"/>
  <c r="O198" i="11"/>
  <c r="R198" i="11" s="1"/>
  <c r="O186" i="11"/>
  <c r="R186" i="11" s="1"/>
  <c r="O134" i="11"/>
  <c r="R134" i="11" s="1"/>
  <c r="O65" i="11"/>
  <c r="R65" i="11" s="1"/>
  <c r="O31" i="11"/>
  <c r="R31" i="11" s="1"/>
  <c r="O118" i="11"/>
  <c r="R118" i="11" s="1"/>
  <c r="O67" i="11"/>
  <c r="R67" i="11" s="1"/>
  <c r="O115" i="11"/>
  <c r="R115" i="11" s="1"/>
  <c r="O110" i="11"/>
  <c r="R110" i="11" s="1"/>
  <c r="O41" i="11"/>
  <c r="R41" i="11" s="1"/>
  <c r="O136" i="11"/>
  <c r="R136" i="11" s="1"/>
  <c r="O91" i="11"/>
  <c r="R91" i="11" s="1"/>
  <c r="O27" i="11"/>
  <c r="R27" i="11" s="1"/>
  <c r="O25" i="11"/>
  <c r="R25" i="11" s="1"/>
  <c r="O142" i="11"/>
  <c r="R142" i="11" s="1"/>
  <c r="O113" i="11"/>
  <c r="R113" i="11" s="1"/>
  <c r="O82" i="11"/>
  <c r="R82" i="11" s="1"/>
  <c r="O682" i="11"/>
  <c r="R682" i="11" s="1"/>
  <c r="O716" i="11"/>
  <c r="R716" i="11" s="1"/>
  <c r="O657" i="11"/>
  <c r="R657" i="11" s="1"/>
  <c r="O651" i="11"/>
  <c r="R651" i="11" s="1"/>
  <c r="O690" i="11"/>
  <c r="R690" i="11" s="1"/>
  <c r="O719" i="11"/>
  <c r="R719" i="11" s="1"/>
  <c r="O709" i="11"/>
  <c r="R709" i="11" s="1"/>
  <c r="O697" i="11"/>
  <c r="R697" i="11" s="1"/>
  <c r="O692" i="11"/>
  <c r="R692" i="11" s="1"/>
  <c r="O688" i="11"/>
  <c r="R688" i="11" s="1"/>
  <c r="O708" i="11"/>
  <c r="R708" i="11" s="1"/>
  <c r="O684" i="11"/>
  <c r="R684" i="11" s="1"/>
  <c r="O672" i="11"/>
  <c r="R672" i="11" s="1"/>
  <c r="O696" i="11"/>
  <c r="R696" i="11" s="1"/>
  <c r="O674" i="11"/>
  <c r="R674" i="11" s="1"/>
  <c r="O661" i="11"/>
  <c r="R661" i="11" s="1"/>
  <c r="O647" i="11"/>
  <c r="R647" i="11" s="1"/>
  <c r="O677" i="11"/>
  <c r="R677" i="11" s="1"/>
  <c r="O621" i="11"/>
  <c r="R621" i="11" s="1"/>
  <c r="O563" i="11"/>
  <c r="R563" i="11" s="1"/>
  <c r="O655" i="11"/>
  <c r="R655" i="11" s="1"/>
  <c r="O620" i="11"/>
  <c r="R620" i="11" s="1"/>
  <c r="O588" i="11"/>
  <c r="R588" i="11" s="1"/>
  <c r="O606" i="11"/>
  <c r="R606" i="11" s="1"/>
  <c r="O582" i="11"/>
  <c r="R582" i="11" s="1"/>
  <c r="O561" i="11"/>
  <c r="R561" i="11" s="1"/>
  <c r="O604" i="11"/>
  <c r="R604" i="11" s="1"/>
  <c r="O593" i="11"/>
  <c r="R593" i="11" s="1"/>
  <c r="O578" i="11"/>
  <c r="R578" i="11" s="1"/>
  <c r="O564" i="11"/>
  <c r="R564" i="11" s="1"/>
  <c r="O532" i="11"/>
  <c r="R532" i="11" s="1"/>
  <c r="O492" i="11"/>
  <c r="R492" i="11" s="1"/>
  <c r="O478" i="11"/>
  <c r="R478" i="11" s="1"/>
  <c r="O530" i="11"/>
  <c r="R530" i="11" s="1"/>
  <c r="O517" i="11"/>
  <c r="R517" i="11" s="1"/>
  <c r="O433" i="11"/>
  <c r="R433" i="11" s="1"/>
  <c r="O381" i="11"/>
  <c r="R381" i="11" s="1"/>
  <c r="O552" i="11"/>
  <c r="R552" i="11" s="1"/>
  <c r="O522" i="11"/>
  <c r="R522" i="11" s="1"/>
  <c r="O486" i="11"/>
  <c r="R486" i="11" s="1"/>
  <c r="O475" i="11"/>
  <c r="R475" i="11" s="1"/>
  <c r="O540" i="11"/>
  <c r="R540" i="11" s="1"/>
  <c r="O493" i="11"/>
  <c r="R493" i="11" s="1"/>
  <c r="O447" i="11"/>
  <c r="R447" i="11" s="1"/>
  <c r="O405" i="11"/>
  <c r="R405" i="11" s="1"/>
  <c r="O427" i="11"/>
  <c r="R427" i="11" s="1"/>
  <c r="O376" i="11"/>
  <c r="R376" i="11" s="1"/>
  <c r="O406" i="11"/>
  <c r="R406" i="11" s="1"/>
  <c r="O319" i="11"/>
  <c r="R319" i="11" s="1"/>
  <c r="O307" i="11"/>
  <c r="R307" i="11" s="1"/>
  <c r="O412" i="11"/>
  <c r="R412" i="11" s="1"/>
  <c r="O350" i="11"/>
  <c r="R350" i="11" s="1"/>
  <c r="O336" i="11"/>
  <c r="R336" i="11" s="1"/>
  <c r="O325" i="11"/>
  <c r="R325" i="11" s="1"/>
  <c r="O297" i="11"/>
  <c r="R297" i="11" s="1"/>
  <c r="O458" i="11"/>
  <c r="R458" i="11" s="1"/>
  <c r="O399" i="11"/>
  <c r="R399" i="11" s="1"/>
  <c r="O356" i="11"/>
  <c r="R356" i="11" s="1"/>
  <c r="O335" i="11"/>
  <c r="R335" i="11" s="1"/>
  <c r="O330" i="11"/>
  <c r="R330" i="11" s="1"/>
  <c r="O310" i="11"/>
  <c r="R310" i="11" s="1"/>
  <c r="O224" i="11"/>
  <c r="R224" i="11" s="1"/>
  <c r="N279" i="11"/>
  <c r="O370" i="11"/>
  <c r="R370" i="11" s="1"/>
  <c r="O338" i="11"/>
  <c r="R338" i="11" s="1"/>
  <c r="O332" i="11"/>
  <c r="R332" i="11" s="1"/>
  <c r="O355" i="11"/>
  <c r="R355" i="11" s="1"/>
  <c r="O339" i="11"/>
  <c r="R339" i="11" s="1"/>
  <c r="O334" i="11"/>
  <c r="R334" i="11" s="1"/>
  <c r="O278" i="11"/>
  <c r="R278" i="11" s="1"/>
  <c r="O261" i="11"/>
  <c r="R261" i="11" s="1"/>
  <c r="O178" i="11"/>
  <c r="R178" i="11" s="1"/>
  <c r="O255" i="11"/>
  <c r="R255" i="11" s="1"/>
  <c r="O249" i="11"/>
  <c r="R249" i="11" s="1"/>
  <c r="O212" i="11"/>
  <c r="R212" i="11" s="1"/>
  <c r="O206" i="11"/>
  <c r="R206" i="11" s="1"/>
  <c r="M270" i="11"/>
  <c r="O217" i="11"/>
  <c r="R217" i="11" s="1"/>
  <c r="O213" i="11"/>
  <c r="R213" i="11" s="1"/>
  <c r="O226" i="11"/>
  <c r="R226" i="11" s="1"/>
  <c r="O166" i="11"/>
  <c r="R166" i="11" s="1"/>
  <c r="O265" i="11"/>
  <c r="R265" i="11" s="1"/>
  <c r="M283" i="11"/>
  <c r="O219" i="11"/>
  <c r="R219" i="11" s="1"/>
  <c r="O205" i="11"/>
  <c r="R205" i="11" s="1"/>
  <c r="M254" i="11"/>
  <c r="N254" i="11" s="1"/>
  <c r="O202" i="11"/>
  <c r="R202" i="11" s="1"/>
  <c r="O133" i="11"/>
  <c r="R133" i="11" s="1"/>
  <c r="O108" i="11"/>
  <c r="R108" i="11" s="1"/>
  <c r="O56" i="11"/>
  <c r="R56" i="11" s="1"/>
  <c r="O155" i="11"/>
  <c r="R155" i="11" s="1"/>
  <c r="O149" i="11"/>
  <c r="R149" i="11" s="1"/>
  <c r="O53" i="11"/>
  <c r="R53" i="11" s="1"/>
  <c r="O24" i="11"/>
  <c r="R24" i="11" s="1"/>
  <c r="O12" i="11"/>
  <c r="R12" i="11" s="1"/>
  <c r="O145" i="11"/>
  <c r="R145" i="11" s="1"/>
  <c r="O135" i="11"/>
  <c r="R135" i="11" s="1"/>
  <c r="O80" i="11"/>
  <c r="R80" i="11" s="1"/>
  <c r="O74" i="11"/>
  <c r="R74" i="11" s="1"/>
  <c r="O141" i="11"/>
  <c r="R141" i="11" s="1"/>
  <c r="O139" i="11"/>
  <c r="R139" i="11" s="1"/>
  <c r="O75" i="11"/>
  <c r="R75" i="11" s="1"/>
  <c r="O60" i="11"/>
  <c r="R60" i="11" s="1"/>
  <c r="O714" i="11"/>
  <c r="R714" i="11" s="1"/>
  <c r="O711" i="11"/>
  <c r="R711" i="11" s="1"/>
  <c r="O722" i="11"/>
  <c r="R722" i="11" s="1"/>
  <c r="O706" i="11"/>
  <c r="R706" i="11" s="1"/>
  <c r="O683" i="11"/>
  <c r="R683" i="11" s="1"/>
  <c r="O704" i="11"/>
  <c r="R704" i="11" s="1"/>
  <c r="O629" i="11"/>
  <c r="R629" i="11" s="1"/>
  <c r="O635" i="11"/>
  <c r="R635" i="11" s="1"/>
  <c r="O623" i="11"/>
  <c r="R623" i="11" s="1"/>
  <c r="O619" i="11"/>
  <c r="R619" i="11" s="1"/>
  <c r="O614" i="11"/>
  <c r="R614" i="11" s="1"/>
  <c r="O612" i="11"/>
  <c r="R612" i="11" s="1"/>
  <c r="O575" i="11"/>
  <c r="R575" i="11" s="1"/>
  <c r="O595" i="11"/>
  <c r="R595" i="11" s="1"/>
  <c r="O567" i="11"/>
  <c r="R567" i="11" s="1"/>
  <c r="O591" i="11"/>
  <c r="R591" i="11" s="1"/>
  <c r="O585" i="11"/>
  <c r="R585" i="11" s="1"/>
  <c r="O598" i="11"/>
  <c r="R598" i="11" s="1"/>
  <c r="O503" i="11"/>
  <c r="R503" i="11" s="1"/>
  <c r="O546" i="11"/>
  <c r="R546" i="11" s="1"/>
  <c r="O534" i="11"/>
  <c r="R534" i="11" s="1"/>
  <c r="O521" i="11"/>
  <c r="R521" i="11" s="1"/>
  <c r="O497" i="11"/>
  <c r="R497" i="11" s="1"/>
  <c r="O467" i="11"/>
  <c r="R467" i="11" s="1"/>
  <c r="O515" i="11"/>
  <c r="O496" i="11"/>
  <c r="R496" i="11" s="1"/>
  <c r="O480" i="11"/>
  <c r="R480" i="11" s="1"/>
  <c r="O658" i="11"/>
  <c r="R658" i="11" s="1"/>
  <c r="O544" i="11"/>
  <c r="R544" i="11" s="1"/>
  <c r="O506" i="11"/>
  <c r="R506" i="11" s="1"/>
  <c r="O498" i="11"/>
  <c r="R498" i="11" s="1"/>
  <c r="O481" i="11"/>
  <c r="R481" i="11" s="1"/>
  <c r="O550" i="11"/>
  <c r="R550" i="11" s="1"/>
  <c r="O529" i="11"/>
  <c r="R529" i="11" s="1"/>
  <c r="O510" i="11"/>
  <c r="R510" i="11" s="1"/>
  <c r="O453" i="11"/>
  <c r="R453" i="11" s="1"/>
  <c r="O398" i="11"/>
  <c r="R398" i="11" s="1"/>
  <c r="O402" i="11"/>
  <c r="R402" i="11" s="1"/>
  <c r="O369" i="11"/>
  <c r="R369" i="11" s="1"/>
  <c r="O387" i="11"/>
  <c r="R387" i="11" s="1"/>
  <c r="O273" i="11"/>
  <c r="R273" i="11" s="1"/>
  <c r="O343" i="11"/>
  <c r="R343" i="11" s="1"/>
  <c r="O440" i="11"/>
  <c r="R440" i="11" s="1"/>
  <c r="O391" i="11"/>
  <c r="R391" i="11" s="1"/>
  <c r="O380" i="11"/>
  <c r="R380" i="11" s="1"/>
  <c r="O371" i="11"/>
  <c r="R371" i="11" s="1"/>
  <c r="O367" i="11"/>
  <c r="R367" i="11" s="1"/>
  <c r="O346" i="11"/>
  <c r="R346" i="11" s="1"/>
  <c r="O303" i="11"/>
  <c r="R303" i="11" s="1"/>
  <c r="O258" i="11"/>
  <c r="R258" i="11" s="1"/>
  <c r="O347" i="11"/>
  <c r="R347" i="11" s="1"/>
  <c r="O331" i="11"/>
  <c r="R331" i="11" s="1"/>
  <c r="O305" i="11"/>
  <c r="R305" i="11" s="1"/>
  <c r="O285" i="11"/>
  <c r="R285" i="11" s="1"/>
  <c r="O275" i="11"/>
  <c r="R275" i="11" s="1"/>
  <c r="O268" i="11"/>
  <c r="R268" i="11" s="1"/>
  <c r="O344" i="11"/>
  <c r="R344" i="11" s="1"/>
  <c r="O286" i="11"/>
  <c r="R286" i="11" s="1"/>
  <c r="O272" i="11"/>
  <c r="R272" i="11" s="1"/>
  <c r="O363" i="11"/>
  <c r="R363" i="11" s="1"/>
  <c r="O302" i="11"/>
  <c r="R302" i="11" s="1"/>
  <c r="N300" i="11"/>
  <c r="O290" i="11"/>
  <c r="R290" i="11" s="1"/>
  <c r="O276" i="11"/>
  <c r="R276" i="11" s="1"/>
  <c r="O228" i="11"/>
  <c r="R228" i="11" s="1"/>
  <c r="O236" i="11"/>
  <c r="R236" i="11" s="1"/>
  <c r="M229" i="11"/>
  <c r="N229" i="11" s="1"/>
  <c r="O216" i="11"/>
  <c r="R216" i="11" s="1"/>
  <c r="O195" i="11"/>
  <c r="R195" i="11" s="1"/>
  <c r="O182" i="11"/>
  <c r="R182" i="11" s="1"/>
  <c r="O225" i="11"/>
  <c r="R225" i="11" s="1"/>
  <c r="O197" i="11"/>
  <c r="R197" i="11" s="1"/>
  <c r="O189" i="11"/>
  <c r="R189" i="11" s="1"/>
  <c r="O173" i="11"/>
  <c r="R173" i="11" s="1"/>
  <c r="O170" i="11"/>
  <c r="R170" i="11" s="1"/>
  <c r="O164" i="11"/>
  <c r="R164" i="11" s="1"/>
  <c r="O190" i="11"/>
  <c r="R190" i="11" s="1"/>
  <c r="O175" i="11"/>
  <c r="R175" i="11" s="1"/>
  <c r="O129" i="11"/>
  <c r="R129" i="11" s="1"/>
  <c r="O116" i="11"/>
  <c r="R116" i="11" s="1"/>
  <c r="O90" i="11"/>
  <c r="R90" i="11" s="1"/>
  <c r="O55" i="11"/>
  <c r="R55" i="11" s="1"/>
  <c r="O132" i="11"/>
  <c r="R132" i="11" s="1"/>
  <c r="O109" i="11"/>
  <c r="R109" i="11" s="1"/>
  <c r="O107" i="11"/>
  <c r="R107" i="11" s="1"/>
  <c r="O26" i="11"/>
  <c r="R26" i="11" s="1"/>
  <c r="O159" i="11"/>
  <c r="R159" i="11" s="1"/>
  <c r="O61" i="11"/>
  <c r="R61" i="11" s="1"/>
  <c r="O157" i="11"/>
  <c r="R157" i="11" s="1"/>
  <c r="O154" i="11"/>
  <c r="R154" i="11" s="1"/>
  <c r="O125" i="11"/>
  <c r="R125" i="11" s="1"/>
  <c r="O122" i="11"/>
  <c r="R122" i="11" s="1"/>
  <c r="O92" i="11"/>
  <c r="R92" i="11" s="1"/>
  <c r="O724" i="11"/>
  <c r="R724" i="11" s="1"/>
  <c r="O723" i="11"/>
  <c r="R723" i="11" s="1"/>
  <c r="N664" i="11"/>
  <c r="O665" i="11"/>
  <c r="R665" i="11" s="1"/>
  <c r="O659" i="11"/>
  <c r="R659" i="11" s="1"/>
  <c r="O648" i="11"/>
  <c r="R648" i="11" s="1"/>
  <c r="O641" i="11"/>
  <c r="R641" i="11" s="1"/>
  <c r="N639" i="11"/>
  <c r="O631" i="11"/>
  <c r="R631" i="11" s="1"/>
  <c r="O718" i="11"/>
  <c r="R718" i="11" s="1"/>
  <c r="O700" i="11"/>
  <c r="R700" i="11" s="1"/>
  <c r="O705" i="11"/>
  <c r="R705" i="11" s="1"/>
  <c r="O671" i="11"/>
  <c r="R671" i="11" s="1"/>
  <c r="O627" i="11"/>
  <c r="R627" i="11" s="1"/>
  <c r="O701" i="11"/>
  <c r="R701" i="11" s="1"/>
  <c r="O680" i="11"/>
  <c r="R680" i="11" s="1"/>
  <c r="O673" i="11"/>
  <c r="R673" i="11" s="1"/>
  <c r="O654" i="11"/>
  <c r="R654" i="11" s="1"/>
  <c r="O652" i="11"/>
  <c r="R652" i="11" s="1"/>
  <c r="O610" i="11"/>
  <c r="R610" i="11" s="1"/>
  <c r="O570" i="11"/>
  <c r="R570" i="11" s="1"/>
  <c r="O638" i="11"/>
  <c r="R638" i="11" s="1"/>
  <c r="O624" i="11"/>
  <c r="R624" i="11" s="1"/>
  <c r="O607" i="11"/>
  <c r="R607" i="11" s="1"/>
  <c r="O628" i="11"/>
  <c r="R628" i="11" s="1"/>
  <c r="O579" i="11"/>
  <c r="R579" i="11" s="1"/>
  <c r="O520" i="11"/>
  <c r="R520" i="11" s="1"/>
  <c r="O603" i="11"/>
  <c r="R603" i="11" s="1"/>
  <c r="O584" i="11"/>
  <c r="R584" i="11" s="1"/>
  <c r="O572" i="11"/>
  <c r="R572" i="11" s="1"/>
  <c r="O608" i="11"/>
  <c r="R608" i="11" s="1"/>
  <c r="O597" i="11"/>
  <c r="R597" i="11" s="1"/>
  <c r="O587" i="11"/>
  <c r="R587" i="11" s="1"/>
  <c r="O574" i="11"/>
  <c r="R574" i="11" s="1"/>
  <c r="O528" i="11"/>
  <c r="R528" i="11" s="1"/>
  <c r="O501" i="11"/>
  <c r="R501" i="11" s="1"/>
  <c r="O488" i="11"/>
  <c r="R488" i="11" s="1"/>
  <c r="O512" i="11"/>
  <c r="R512" i="11" s="1"/>
  <c r="O502" i="11"/>
  <c r="R502" i="11" s="1"/>
  <c r="O437" i="11"/>
  <c r="R437" i="11" s="1"/>
  <c r="O426" i="11"/>
  <c r="R426" i="11" s="1"/>
  <c r="O408" i="11"/>
  <c r="R408" i="11" s="1"/>
  <c r="O389" i="11"/>
  <c r="R389" i="11" s="1"/>
  <c r="O485" i="11"/>
  <c r="R485" i="11" s="1"/>
  <c r="O466" i="11"/>
  <c r="R466" i="11" s="1"/>
  <c r="O543" i="11"/>
  <c r="R543" i="11" s="1"/>
  <c r="O542" i="11"/>
  <c r="R542" i="11" s="1"/>
  <c r="O508" i="11"/>
  <c r="R508" i="11" s="1"/>
  <c r="O403" i="11"/>
  <c r="R403" i="11" s="1"/>
  <c r="O533" i="11"/>
  <c r="R533" i="11" s="1"/>
  <c r="O526" i="11"/>
  <c r="R526" i="11" s="1"/>
  <c r="O476" i="11"/>
  <c r="R476" i="11" s="1"/>
  <c r="O468" i="11"/>
  <c r="R468" i="11" s="1"/>
  <c r="O443" i="11"/>
  <c r="R443" i="11" s="1"/>
  <c r="O431" i="11"/>
  <c r="R431" i="11" s="1"/>
  <c r="O386" i="11"/>
  <c r="R386" i="11" s="1"/>
  <c r="O450" i="11"/>
  <c r="R450" i="11" s="1"/>
  <c r="O442" i="11"/>
  <c r="R442" i="11" s="1"/>
  <c r="O385" i="11"/>
  <c r="R385" i="11" s="1"/>
  <c r="O365" i="11"/>
  <c r="R365" i="11" s="1"/>
  <c r="O460" i="11"/>
  <c r="R460" i="11" s="1"/>
  <c r="O394" i="11"/>
  <c r="R394" i="11" s="1"/>
  <c r="O392" i="11"/>
  <c r="R392" i="11" s="1"/>
  <c r="O361" i="11"/>
  <c r="R361" i="11" s="1"/>
  <c r="O304" i="11"/>
  <c r="R304" i="11" s="1"/>
  <c r="O461" i="11"/>
  <c r="R461" i="11" s="1"/>
  <c r="O463" i="11"/>
  <c r="R463" i="11" s="1"/>
  <c r="O333" i="11"/>
  <c r="R333" i="11" s="1"/>
  <c r="O309" i="11"/>
  <c r="R309" i="11" s="1"/>
  <c r="O448" i="11"/>
  <c r="R448" i="11" s="1"/>
  <c r="O379" i="11"/>
  <c r="R379" i="11" s="1"/>
  <c r="O374" i="11"/>
  <c r="R374" i="11" s="1"/>
  <c r="O341" i="11"/>
  <c r="R341" i="11" s="1"/>
  <c r="O322" i="11"/>
  <c r="R322" i="11" s="1"/>
  <c r="O274" i="11"/>
  <c r="R274" i="11" s="1"/>
  <c r="O215" i="11"/>
  <c r="R215" i="11" s="1"/>
  <c r="O337" i="11"/>
  <c r="R337" i="11" s="1"/>
  <c r="O277" i="11"/>
  <c r="R277" i="11" s="1"/>
  <c r="M358" i="11"/>
  <c r="N358" i="11" s="1"/>
  <c r="O353" i="11"/>
  <c r="R353" i="11" s="1"/>
  <c r="M360" i="11"/>
  <c r="N360" i="11" s="1"/>
  <c r="O348" i="11"/>
  <c r="R348" i="11" s="1"/>
  <c r="O320" i="11"/>
  <c r="R320" i="11" s="1"/>
  <c r="N298" i="11"/>
  <c r="M324" i="11"/>
  <c r="N324" i="11" s="1"/>
  <c r="O256" i="11"/>
  <c r="R256" i="11" s="1"/>
  <c r="O221" i="11"/>
  <c r="R221" i="11" s="1"/>
  <c r="O260" i="11"/>
  <c r="R260" i="11" s="1"/>
  <c r="O238" i="11"/>
  <c r="R238" i="11" s="1"/>
  <c r="O231" i="11"/>
  <c r="R231" i="11" s="1"/>
  <c r="M218" i="11"/>
  <c r="O199" i="11"/>
  <c r="R199" i="11" s="1"/>
  <c r="M257" i="11"/>
  <c r="N257" i="11" s="1"/>
  <c r="O180" i="11"/>
  <c r="R180" i="11" s="1"/>
  <c r="O161" i="11"/>
  <c r="R161" i="11" s="1"/>
  <c r="O171" i="11"/>
  <c r="R171" i="11" s="1"/>
  <c r="O162" i="11"/>
  <c r="R162" i="11" s="1"/>
  <c r="O253" i="11"/>
  <c r="R253" i="11" s="1"/>
  <c r="O227" i="11"/>
  <c r="R227" i="11" s="1"/>
  <c r="O222" i="11"/>
  <c r="R222" i="11" s="1"/>
  <c r="O176" i="11"/>
  <c r="R176" i="11" s="1"/>
  <c r="O138" i="11"/>
  <c r="R138" i="11" s="1"/>
  <c r="O126" i="11"/>
  <c r="R126" i="11" s="1"/>
  <c r="O112" i="11"/>
  <c r="R112" i="11" s="1"/>
  <c r="O105" i="11"/>
  <c r="R105" i="11" s="1"/>
  <c r="O94" i="11"/>
  <c r="R94" i="11" s="1"/>
  <c r="O79" i="11"/>
  <c r="R79" i="11" s="1"/>
  <c r="O32" i="11"/>
  <c r="R32" i="11" s="1"/>
  <c r="O152" i="11"/>
  <c r="R152" i="11" s="1"/>
  <c r="O114" i="11"/>
  <c r="R114" i="11" s="1"/>
  <c r="O28" i="11"/>
  <c r="R28" i="11" s="1"/>
  <c r="O150" i="11"/>
  <c r="R150" i="11" s="1"/>
  <c r="O119" i="11"/>
  <c r="R119" i="11" s="1"/>
  <c r="O160" i="11"/>
  <c r="R160" i="11" s="1"/>
  <c r="O146" i="11"/>
  <c r="R146" i="11" s="1"/>
  <c r="O124" i="11"/>
  <c r="R124" i="11" s="1"/>
  <c r="O111" i="11"/>
  <c r="R111" i="11" s="1"/>
  <c r="O99" i="11"/>
  <c r="R99" i="11" s="1"/>
  <c r="O13" i="11"/>
  <c r="R13" i="11" s="1"/>
  <c r="O137" i="11"/>
  <c r="R137" i="11" s="1"/>
  <c r="O131" i="11"/>
  <c r="R131" i="11" s="1"/>
  <c r="O128" i="11"/>
  <c r="R128" i="11" s="1"/>
  <c r="O62" i="11"/>
  <c r="R62" i="11" s="1"/>
  <c r="O42" i="11"/>
  <c r="R42" i="11" s="1"/>
  <c r="O40" i="11"/>
  <c r="R40" i="11" s="1"/>
  <c r="AI8" i="5"/>
  <c r="AM8" i="5" s="1"/>
  <c r="AI9" i="5"/>
  <c r="AM9" i="5" s="1"/>
  <c r="AI10" i="5"/>
  <c r="AM10" i="5" s="1"/>
  <c r="AI11" i="5"/>
  <c r="AM11" i="5" s="1"/>
  <c r="AI12" i="5"/>
  <c r="AM12" i="5" s="1"/>
  <c r="AI13" i="5"/>
  <c r="AM13" i="5" s="1"/>
  <c r="AI14" i="5"/>
  <c r="AM14" i="5" s="1"/>
  <c r="AI15" i="5"/>
  <c r="AM15" i="5" s="1"/>
  <c r="AI16" i="5"/>
  <c r="AI17" i="5"/>
  <c r="AM17" i="5" s="1"/>
  <c r="AI18" i="5"/>
  <c r="AM18" i="5" s="1"/>
  <c r="AI19" i="5"/>
  <c r="AI20" i="5"/>
  <c r="AM20" i="5" s="1"/>
  <c r="AI21" i="5"/>
  <c r="AM21" i="5" s="1"/>
  <c r="AI22" i="5"/>
  <c r="AM22" i="5" s="1"/>
  <c r="AI23" i="5"/>
  <c r="AM23" i="5" s="1"/>
  <c r="AI24" i="5"/>
  <c r="AI25" i="5"/>
  <c r="AM25" i="5" s="1"/>
  <c r="AI26" i="5"/>
  <c r="AM26" i="5" s="1"/>
  <c r="AI27" i="5"/>
  <c r="AI28" i="5"/>
  <c r="AM28" i="5" s="1"/>
  <c r="AI29" i="5"/>
  <c r="AM29" i="5" s="1"/>
  <c r="AI30" i="5"/>
  <c r="AM30" i="5" s="1"/>
  <c r="AI31" i="5"/>
  <c r="AI32" i="5"/>
  <c r="AI33" i="5"/>
  <c r="AM33" i="5" s="1"/>
  <c r="AI34" i="5"/>
  <c r="AM34" i="5" s="1"/>
  <c r="AI35" i="5"/>
  <c r="AI36" i="5"/>
  <c r="AM36" i="5" s="1"/>
  <c r="AI37" i="5"/>
  <c r="AM37" i="5" s="1"/>
  <c r="AI38" i="5"/>
  <c r="AM38" i="5" s="1"/>
  <c r="AI39" i="5"/>
  <c r="AI40" i="5"/>
  <c r="AM40" i="5" s="1"/>
  <c r="AI41" i="5"/>
  <c r="AM41" i="5" s="1"/>
  <c r="AI42" i="5"/>
  <c r="AM42" i="5" s="1"/>
  <c r="AI43" i="5"/>
  <c r="AM43" i="5" s="1"/>
  <c r="AI44" i="5"/>
  <c r="AM44" i="5" s="1"/>
  <c r="AI45" i="5"/>
  <c r="AM45" i="5" s="1"/>
  <c r="AI47" i="5"/>
  <c r="AM47" i="5" s="1"/>
  <c r="AI48" i="5"/>
  <c r="AI49" i="5"/>
  <c r="AM49" i="5" s="1"/>
  <c r="AI50" i="5"/>
  <c r="AM50" i="5" s="1"/>
  <c r="AI51" i="5"/>
  <c r="AI52" i="5"/>
  <c r="AM52" i="5" s="1"/>
  <c r="AI53" i="5"/>
  <c r="AM53" i="5" s="1"/>
  <c r="AI54" i="5"/>
  <c r="AM54" i="5" s="1"/>
  <c r="AI55" i="5"/>
  <c r="AI56" i="5"/>
  <c r="AI57" i="5"/>
  <c r="AM57" i="5" s="1"/>
  <c r="AI58" i="5"/>
  <c r="AM58" i="5" s="1"/>
  <c r="AI59" i="5"/>
  <c r="AI60" i="5"/>
  <c r="AM60" i="5" s="1"/>
  <c r="AI61" i="5"/>
  <c r="AM61" i="5" s="1"/>
  <c r="AI62" i="5"/>
  <c r="AM62" i="5" s="1"/>
  <c r="AI64" i="5"/>
  <c r="AM64" i="5" s="1"/>
  <c r="AI65" i="5"/>
  <c r="AM65" i="5" s="1"/>
  <c r="AI7" i="5"/>
  <c r="AM7" i="5" s="1"/>
  <c r="AJ24" i="5" l="1"/>
  <c r="AM24" i="5"/>
  <c r="AJ39" i="5"/>
  <c r="AM39" i="5"/>
  <c r="AJ19" i="5"/>
  <c r="AM19" i="5"/>
  <c r="AK59" i="5"/>
  <c r="AM59" i="5"/>
  <c r="AJ56" i="5"/>
  <c r="AM56" i="5"/>
  <c r="AK35" i="5"/>
  <c r="AM35" i="5"/>
  <c r="AJ32" i="5"/>
  <c r="AM32" i="5"/>
  <c r="AJ55" i="5"/>
  <c r="AM55" i="5"/>
  <c r="AJ16" i="5"/>
  <c r="AM16" i="5"/>
  <c r="AJ51" i="5"/>
  <c r="AM51" i="5"/>
  <c r="AJ31" i="5"/>
  <c r="AM31" i="5"/>
  <c r="AJ48" i="5"/>
  <c r="AM48" i="5"/>
  <c r="AK27" i="5"/>
  <c r="AM27" i="5"/>
  <c r="AI465" i="5"/>
  <c r="M362" i="11"/>
  <c r="N362" i="11" s="1"/>
  <c r="O362" i="11" s="1"/>
  <c r="R362" i="11" s="1"/>
  <c r="AK7" i="5"/>
  <c r="O241" i="11"/>
  <c r="R241" i="11" s="1"/>
  <c r="M250" i="11"/>
  <c r="M284" i="11"/>
  <c r="N284" i="11" s="1"/>
  <c r="O245" i="11"/>
  <c r="R245" i="11" s="1"/>
  <c r="R741" i="11"/>
  <c r="O713" i="11"/>
  <c r="R713" i="11" s="1"/>
  <c r="R515" i="11"/>
  <c r="R209" i="11"/>
  <c r="O687" i="11"/>
  <c r="R687" i="11" s="1"/>
  <c r="O298" i="11"/>
  <c r="R298" i="11" s="1"/>
  <c r="O360" i="11"/>
  <c r="R360" i="11" s="1"/>
  <c r="O358" i="11"/>
  <c r="R358" i="11" s="1"/>
  <c r="O247" i="11"/>
  <c r="R247" i="11" s="1"/>
  <c r="N283" i="11"/>
  <c r="O279" i="11"/>
  <c r="R279" i="11" s="1"/>
  <c r="M315" i="11"/>
  <c r="N315" i="11" s="1"/>
  <c r="O301" i="11"/>
  <c r="R301" i="11" s="1"/>
  <c r="O664" i="11"/>
  <c r="R664" i="11" s="1"/>
  <c r="O292" i="11"/>
  <c r="R292" i="11" s="1"/>
  <c r="O300" i="11"/>
  <c r="R300" i="11" s="1"/>
  <c r="M326" i="11"/>
  <c r="N326" i="11" s="1"/>
  <c r="O257" i="11"/>
  <c r="R257" i="11" s="1"/>
  <c r="N218" i="11"/>
  <c r="O229" i="11"/>
  <c r="R229" i="11" s="1"/>
  <c r="M269" i="11"/>
  <c r="O284" i="11"/>
  <c r="R284" i="11" s="1"/>
  <c r="O239" i="11"/>
  <c r="R239" i="11" s="1"/>
  <c r="O324" i="11"/>
  <c r="R324" i="11" s="1"/>
  <c r="O639" i="11"/>
  <c r="R639" i="11" s="1"/>
  <c r="O254" i="11"/>
  <c r="R254" i="11" s="1"/>
  <c r="N270" i="11"/>
  <c r="M291" i="11" s="1"/>
  <c r="N291" i="11" s="1"/>
  <c r="M357" i="11"/>
  <c r="N357" i="11" s="1"/>
  <c r="O295" i="11"/>
  <c r="R295" i="11" s="1"/>
  <c r="AJ59" i="5"/>
  <c r="AK56" i="5"/>
  <c r="AK31" i="5"/>
  <c r="AK19" i="5"/>
  <c r="AJ35" i="5"/>
  <c r="AK32" i="5"/>
  <c r="AK16" i="5"/>
  <c r="AK47" i="5"/>
  <c r="AJ47" i="5"/>
  <c r="AK39" i="5"/>
  <c r="AJ44" i="5"/>
  <c r="AK44" i="5"/>
  <c r="AJ60" i="5"/>
  <c r="AK60" i="5"/>
  <c r="AK51" i="5"/>
  <c r="AK48" i="5"/>
  <c r="AJ27" i="5"/>
  <c r="AK24" i="5"/>
  <c r="AJ64" i="5"/>
  <c r="AK64" i="5"/>
  <c r="AJ28" i="5"/>
  <c r="AK28" i="5"/>
  <c r="AJ23" i="5"/>
  <c r="AK23" i="5"/>
  <c r="AK11" i="5"/>
  <c r="AJ11" i="5"/>
  <c r="AJ8" i="5"/>
  <c r="AK8" i="5"/>
  <c r="AJ40" i="5"/>
  <c r="AK40" i="5"/>
  <c r="AK43" i="5"/>
  <c r="AJ43" i="5"/>
  <c r="AJ36" i="5"/>
  <c r="AK36" i="5"/>
  <c r="AJ12" i="5"/>
  <c r="AK12" i="5"/>
  <c r="AK55" i="5"/>
  <c r="AJ52" i="5"/>
  <c r="AK52" i="5"/>
  <c r="AJ15" i="5"/>
  <c r="AK15" i="5"/>
  <c r="AJ20" i="5"/>
  <c r="AK20" i="5"/>
  <c r="AK10" i="5"/>
  <c r="AJ10" i="5"/>
  <c r="AK62" i="5"/>
  <c r="AJ62" i="5"/>
  <c r="AJ57" i="5"/>
  <c r="AK57" i="5"/>
  <c r="AJ41" i="5"/>
  <c r="AK41" i="5"/>
  <c r="AK30" i="5"/>
  <c r="AJ30" i="5"/>
  <c r="AJ25" i="5"/>
  <c r="AK25" i="5"/>
  <c r="AK14" i="5"/>
  <c r="AJ14" i="5"/>
  <c r="AJ9" i="5"/>
  <c r="AK9" i="5"/>
  <c r="AJ61" i="5"/>
  <c r="AK61" i="5"/>
  <c r="AK50" i="5"/>
  <c r="AJ50" i="5"/>
  <c r="AJ45" i="5"/>
  <c r="AK45" i="5"/>
  <c r="AK34" i="5"/>
  <c r="AJ34" i="5"/>
  <c r="AJ29" i="5"/>
  <c r="AK29" i="5"/>
  <c r="AK18" i="5"/>
  <c r="AJ18" i="5"/>
  <c r="AJ13" i="5"/>
  <c r="AK13" i="5"/>
  <c r="AK58" i="5"/>
  <c r="AJ58" i="5"/>
  <c r="AJ53" i="5"/>
  <c r="AK53" i="5"/>
  <c r="AK42" i="5"/>
  <c r="AJ42" i="5"/>
  <c r="AJ37" i="5"/>
  <c r="AK37" i="5"/>
  <c r="AK26" i="5"/>
  <c r="AJ26" i="5"/>
  <c r="AJ21" i="5"/>
  <c r="AK21" i="5"/>
  <c r="AJ65" i="5"/>
  <c r="AK65" i="5"/>
  <c r="AK54" i="5"/>
  <c r="AJ54" i="5"/>
  <c r="AJ49" i="5"/>
  <c r="AK49" i="5"/>
  <c r="AK38" i="5"/>
  <c r="AJ38" i="5"/>
  <c r="AJ33" i="5"/>
  <c r="AK33" i="5"/>
  <c r="AK22" i="5"/>
  <c r="AJ22" i="5"/>
  <c r="AJ17" i="5"/>
  <c r="AK17" i="5"/>
  <c r="AJ7" i="5"/>
  <c r="AM465" i="5" l="1"/>
  <c r="AM715" i="5" s="1"/>
  <c r="AK465" i="5"/>
  <c r="AJ465" i="5"/>
  <c r="N250" i="11"/>
  <c r="O250" i="11" s="1"/>
  <c r="R250" i="11" s="1"/>
  <c r="O291" i="11"/>
  <c r="R291" i="11" s="1"/>
  <c r="O218" i="11"/>
  <c r="R218" i="11" s="1"/>
  <c r="O326" i="11"/>
  <c r="R326" i="11" s="1"/>
  <c r="N269" i="11"/>
  <c r="M252" i="11"/>
  <c r="N252" i="11" s="1"/>
  <c r="O315" i="11"/>
  <c r="R315" i="11" s="1"/>
  <c r="O357" i="11"/>
  <c r="R357" i="11" s="1"/>
  <c r="O283" i="11"/>
  <c r="R283" i="11" s="1"/>
  <c r="O270" i="11"/>
  <c r="R270" i="11" s="1"/>
  <c r="M317" i="11"/>
  <c r="M281" i="11" l="1"/>
  <c r="N281" i="11" s="1"/>
  <c r="O281" i="11" s="1"/>
  <c r="R281" i="11" s="1"/>
  <c r="O269" i="11"/>
  <c r="R269" i="11" s="1"/>
  <c r="M296" i="11"/>
  <c r="N296" i="11" s="1"/>
  <c r="N317" i="11"/>
  <c r="M327" i="11" s="1"/>
  <c r="N327" i="11" s="1"/>
  <c r="O252" i="11"/>
  <c r="R252" i="11" s="1"/>
  <c r="P8" i="5"/>
  <c r="R8" i="5" s="1"/>
  <c r="P12" i="5"/>
  <c r="R12" i="5" s="1"/>
  <c r="P16" i="5"/>
  <c r="R16" i="5" s="1"/>
  <c r="P28" i="5"/>
  <c r="R28" i="5" s="1"/>
  <c r="P32" i="5"/>
  <c r="R32" i="5" s="1"/>
  <c r="P36" i="5"/>
  <c r="R36" i="5" s="1"/>
  <c r="T36" i="5" s="1"/>
  <c r="P40" i="5"/>
  <c r="R40" i="5" s="1"/>
  <c r="P44" i="5"/>
  <c r="R44" i="5" s="1"/>
  <c r="P48" i="5"/>
  <c r="R48" i="5" s="1"/>
  <c r="P52" i="5"/>
  <c r="R52" i="5" s="1"/>
  <c r="P56" i="5"/>
  <c r="R56" i="5" s="1"/>
  <c r="P64" i="5"/>
  <c r="R64" i="5" s="1"/>
  <c r="P68" i="5"/>
  <c r="R68" i="5" s="1"/>
  <c r="P72" i="5"/>
  <c r="R72" i="5" s="1"/>
  <c r="P76" i="5"/>
  <c r="R76" i="5" s="1"/>
  <c r="P80" i="5"/>
  <c r="R80" i="5" s="1"/>
  <c r="P84" i="5"/>
  <c r="R84" i="5" s="1"/>
  <c r="P88" i="5"/>
  <c r="R88" i="5" s="1"/>
  <c r="P92" i="5"/>
  <c r="R92" i="5" s="1"/>
  <c r="P96" i="5"/>
  <c r="R96" i="5" s="1"/>
  <c r="P104" i="5"/>
  <c r="R104" i="5" s="1"/>
  <c r="P108" i="5"/>
  <c r="R108" i="5" s="1"/>
  <c r="P112" i="5"/>
  <c r="R112" i="5" s="1"/>
  <c r="P116" i="5"/>
  <c r="R116" i="5" s="1"/>
  <c r="P120" i="5"/>
  <c r="R120" i="5" s="1"/>
  <c r="P124" i="5"/>
  <c r="R124" i="5" s="1"/>
  <c r="P128" i="5"/>
  <c r="R128" i="5" s="1"/>
  <c r="P132" i="5"/>
  <c r="R132" i="5" s="1"/>
  <c r="P136" i="5"/>
  <c r="R136" i="5" s="1"/>
  <c r="P140" i="5"/>
  <c r="R140" i="5" s="1"/>
  <c r="P144" i="5"/>
  <c r="R144" i="5" s="1"/>
  <c r="P148" i="5"/>
  <c r="R148" i="5" s="1"/>
  <c r="P152" i="5"/>
  <c r="R152" i="5" s="1"/>
  <c r="P160" i="5"/>
  <c r="R160" i="5" s="1"/>
  <c r="P164" i="5"/>
  <c r="R164" i="5" s="1"/>
  <c r="P168" i="5"/>
  <c r="R168" i="5" s="1"/>
  <c r="P172" i="5"/>
  <c r="R172" i="5" s="1"/>
  <c r="P176" i="5"/>
  <c r="R176" i="5" s="1"/>
  <c r="P180" i="5"/>
  <c r="R180" i="5" s="1"/>
  <c r="P184" i="5"/>
  <c r="R184" i="5" s="1"/>
  <c r="P188" i="5"/>
  <c r="R188" i="5" s="1"/>
  <c r="P200" i="5"/>
  <c r="R200" i="5" s="1"/>
  <c r="P204" i="5"/>
  <c r="R204" i="5" s="1"/>
  <c r="P208" i="5"/>
  <c r="R208" i="5" s="1"/>
  <c r="P212" i="5"/>
  <c r="R212" i="5" s="1"/>
  <c r="P216" i="5"/>
  <c r="R216" i="5" s="1"/>
  <c r="R220" i="5"/>
  <c r="P228" i="5"/>
  <c r="R228" i="5" s="1"/>
  <c r="P232" i="5"/>
  <c r="R232" i="5" s="1"/>
  <c r="P244" i="5"/>
  <c r="R244" i="5" s="1"/>
  <c r="P248" i="5"/>
  <c r="R248" i="5" s="1"/>
  <c r="R260" i="5"/>
  <c r="R264" i="5"/>
  <c r="R268" i="5"/>
  <c r="P272" i="5"/>
  <c r="R272" i="5" s="1"/>
  <c r="R280" i="5"/>
  <c r="P288" i="5"/>
  <c r="R288" i="5" s="1"/>
  <c r="P19" i="5"/>
  <c r="R19" i="5" s="1"/>
  <c r="P39" i="5"/>
  <c r="R39" i="5" s="1"/>
  <c r="P51" i="5"/>
  <c r="R51" i="5" s="1"/>
  <c r="P59" i="5"/>
  <c r="R59" i="5" s="1"/>
  <c r="P71" i="5"/>
  <c r="R71" i="5" s="1"/>
  <c r="P83" i="5"/>
  <c r="R83" i="5" s="1"/>
  <c r="P119" i="5"/>
  <c r="R119" i="5" s="1"/>
  <c r="P135" i="5"/>
  <c r="R135" i="5" s="1"/>
  <c r="P147" i="5"/>
  <c r="R147" i="5" s="1"/>
  <c r="P159" i="5"/>
  <c r="R159" i="5" s="1"/>
  <c r="P171" i="5"/>
  <c r="R171" i="5" s="1"/>
  <c r="P9" i="5"/>
  <c r="R9" i="5" s="1"/>
  <c r="P13" i="5"/>
  <c r="R13" i="5" s="1"/>
  <c r="P17" i="5"/>
  <c r="R17" i="5" s="1"/>
  <c r="P25" i="5"/>
  <c r="R25" i="5" s="1"/>
  <c r="P37" i="5"/>
  <c r="R37" i="5" s="1"/>
  <c r="P41" i="5"/>
  <c r="R41" i="5" s="1"/>
  <c r="P45" i="5"/>
  <c r="R45" i="5" s="1"/>
  <c r="P49" i="5"/>
  <c r="R49" i="5" s="1"/>
  <c r="P53" i="5"/>
  <c r="R53" i="5" s="1"/>
  <c r="P57" i="5"/>
  <c r="R57" i="5" s="1"/>
  <c r="P61" i="5"/>
  <c r="R61" i="5" s="1"/>
  <c r="P65" i="5"/>
  <c r="R65" i="5" s="1"/>
  <c r="P69" i="5"/>
  <c r="R69" i="5" s="1"/>
  <c r="P77" i="5"/>
  <c r="R77" i="5" s="1"/>
  <c r="P85" i="5"/>
  <c r="R85" i="5" s="1"/>
  <c r="P89" i="5"/>
  <c r="R89" i="5" s="1"/>
  <c r="P101" i="5"/>
  <c r="R101" i="5" s="1"/>
  <c r="P105" i="5"/>
  <c r="R105" i="5" s="1"/>
  <c r="P109" i="5"/>
  <c r="R109" i="5" s="1"/>
  <c r="P113" i="5"/>
  <c r="R113" i="5" s="1"/>
  <c r="P117" i="5"/>
  <c r="R117" i="5" s="1"/>
  <c r="P141" i="5"/>
  <c r="R141" i="5" s="1"/>
  <c r="P145" i="5"/>
  <c r="R145" i="5" s="1"/>
  <c r="P149" i="5"/>
  <c r="R149" i="5" s="1"/>
  <c r="P153" i="5"/>
  <c r="R153" i="5" s="1"/>
  <c r="P157" i="5"/>
  <c r="R157" i="5" s="1"/>
  <c r="P161" i="5"/>
  <c r="R161" i="5" s="1"/>
  <c r="P165" i="5"/>
  <c r="R165" i="5" s="1"/>
  <c r="P169" i="5"/>
  <c r="R169" i="5" s="1"/>
  <c r="P173" i="5"/>
  <c r="R173" i="5" s="1"/>
  <c r="P177" i="5"/>
  <c r="R177" i="5" s="1"/>
  <c r="P181" i="5"/>
  <c r="R181" i="5" s="1"/>
  <c r="P185" i="5"/>
  <c r="R185" i="5" s="1"/>
  <c r="P189" i="5"/>
  <c r="R189" i="5" s="1"/>
  <c r="P193" i="5"/>
  <c r="R193" i="5" s="1"/>
  <c r="P213" i="5"/>
  <c r="R213" i="5" s="1"/>
  <c r="P217" i="5"/>
  <c r="R217" i="5" s="1"/>
  <c r="P221" i="5"/>
  <c r="R221" i="5" s="1"/>
  <c r="P225" i="5"/>
  <c r="R225" i="5" s="1"/>
  <c r="P229" i="5"/>
  <c r="R229" i="5" s="1"/>
  <c r="P233" i="5"/>
  <c r="R233" i="5" s="1"/>
  <c r="R237" i="5"/>
  <c r="P241" i="5"/>
  <c r="R241" i="5" s="1"/>
  <c r="P245" i="5"/>
  <c r="R245" i="5" s="1"/>
  <c r="P249" i="5"/>
  <c r="R249" i="5" s="1"/>
  <c r="P253" i="5"/>
  <c r="R253" i="5" s="1"/>
  <c r="P261" i="5"/>
  <c r="R261" i="5" s="1"/>
  <c r="R269" i="5"/>
  <c r="R273" i="5"/>
  <c r="T273" i="5" s="1"/>
  <c r="R277" i="5"/>
  <c r="R281" i="5"/>
  <c r="R285" i="5"/>
  <c r="P7" i="5"/>
  <c r="R7" i="5" s="1"/>
  <c r="T7" i="5" s="1"/>
  <c r="P15" i="5"/>
  <c r="R15" i="5" s="1"/>
  <c r="P23" i="5"/>
  <c r="R23" i="5" s="1"/>
  <c r="P35" i="5"/>
  <c r="R35" i="5" s="1"/>
  <c r="P47" i="5"/>
  <c r="R47" i="5" s="1"/>
  <c r="P63" i="5"/>
  <c r="R63" i="5" s="1"/>
  <c r="P75" i="5"/>
  <c r="R75" i="5" s="1"/>
  <c r="P87" i="5"/>
  <c r="R87" i="5" s="1"/>
  <c r="P111" i="5"/>
  <c r="R111" i="5" s="1"/>
  <c r="P123" i="5"/>
  <c r="R123" i="5" s="1"/>
  <c r="P131" i="5"/>
  <c r="R131" i="5" s="1"/>
  <c r="P167" i="5"/>
  <c r="R167" i="5" s="1"/>
  <c r="P10" i="5"/>
  <c r="R10" i="5" s="1"/>
  <c r="P14" i="5"/>
  <c r="R14" i="5" s="1"/>
  <c r="P22" i="5"/>
  <c r="R22" i="5" s="1"/>
  <c r="P30" i="5"/>
  <c r="R30" i="5" s="1"/>
  <c r="P34" i="5"/>
  <c r="R34" i="5" s="1"/>
  <c r="P38" i="5"/>
  <c r="R38" i="5" s="1"/>
  <c r="P42" i="5"/>
  <c r="R42" i="5" s="1"/>
  <c r="P46" i="5"/>
  <c r="R46" i="5" s="1"/>
  <c r="P50" i="5"/>
  <c r="R50" i="5" s="1"/>
  <c r="P54" i="5"/>
  <c r="R54" i="5" s="1"/>
  <c r="P62" i="5"/>
  <c r="R62" i="5" s="1"/>
  <c r="P66" i="5"/>
  <c r="R66" i="5" s="1"/>
  <c r="P70" i="5"/>
  <c r="R70" i="5" s="1"/>
  <c r="P74" i="5"/>
  <c r="R74" i="5" s="1"/>
  <c r="P78" i="5"/>
  <c r="R78" i="5" s="1"/>
  <c r="P82" i="5"/>
  <c r="R82" i="5" s="1"/>
  <c r="T82" i="5" s="1"/>
  <c r="P86" i="5"/>
  <c r="R86" i="5" s="1"/>
  <c r="P90" i="5"/>
  <c r="R90" i="5" s="1"/>
  <c r="P94" i="5"/>
  <c r="R94" i="5" s="1"/>
  <c r="P98" i="5"/>
  <c r="R98" i="5" s="1"/>
  <c r="P106" i="5"/>
  <c r="R106" i="5" s="1"/>
  <c r="P110" i="5"/>
  <c r="R110" i="5" s="1"/>
  <c r="P114" i="5"/>
  <c r="R114" i="5" s="1"/>
  <c r="P122" i="5"/>
  <c r="R122" i="5" s="1"/>
  <c r="P126" i="5"/>
  <c r="R126" i="5" s="1"/>
  <c r="P142" i="5"/>
  <c r="R142" i="5" s="1"/>
  <c r="P146" i="5"/>
  <c r="R146" i="5" s="1"/>
  <c r="P150" i="5"/>
  <c r="R150" i="5" s="1"/>
  <c r="P154" i="5"/>
  <c r="R154" i="5" s="1"/>
  <c r="P158" i="5"/>
  <c r="R158" i="5" s="1"/>
  <c r="P162" i="5"/>
  <c r="R162" i="5" s="1"/>
  <c r="P166" i="5"/>
  <c r="R166" i="5" s="1"/>
  <c r="R178" i="5"/>
  <c r="P182" i="5"/>
  <c r="R182" i="5" s="1"/>
  <c r="R186" i="5"/>
  <c r="P190" i="5"/>
  <c r="R190" i="5" s="1"/>
  <c r="P194" i="5"/>
  <c r="R194" i="5" s="1"/>
  <c r="P202" i="5"/>
  <c r="R202" i="5" s="1"/>
  <c r="P214" i="5"/>
  <c r="R214" i="5" s="1"/>
  <c r="P218" i="5"/>
  <c r="R218" i="5" s="1"/>
  <c r="P222" i="5"/>
  <c r="R222" i="5" s="1"/>
  <c r="P234" i="5"/>
  <c r="R234" i="5" s="1"/>
  <c r="P246" i="5"/>
  <c r="R246" i="5" s="1"/>
  <c r="P250" i="5"/>
  <c r="R250" i="5" s="1"/>
  <c r="P254" i="5"/>
  <c r="R254" i="5" s="1"/>
  <c r="P266" i="5"/>
  <c r="R266" i="5" s="1"/>
  <c r="R270" i="5"/>
  <c r="R274" i="5"/>
  <c r="P11" i="5"/>
  <c r="R11" i="5" s="1"/>
  <c r="P31" i="5"/>
  <c r="R31" i="5" s="1"/>
  <c r="P43" i="5"/>
  <c r="R43" i="5" s="1"/>
  <c r="P55" i="5"/>
  <c r="R55" i="5" s="1"/>
  <c r="P67" i="5"/>
  <c r="R67" i="5" s="1"/>
  <c r="P79" i="5"/>
  <c r="R79" i="5" s="1"/>
  <c r="P91" i="5"/>
  <c r="R91" i="5" s="1"/>
  <c r="P115" i="5"/>
  <c r="R115" i="5" s="1"/>
  <c r="P127" i="5"/>
  <c r="R127" i="5" s="1"/>
  <c r="P151" i="5"/>
  <c r="R151" i="5" s="1"/>
  <c r="P163" i="5"/>
  <c r="R163" i="5" s="1"/>
  <c r="P175" i="5"/>
  <c r="R175" i="5" s="1"/>
  <c r="T175" i="5" s="1"/>
  <c r="P179" i="5"/>
  <c r="R179" i="5" s="1"/>
  <c r="P195" i="5"/>
  <c r="R195" i="5" s="1"/>
  <c r="P243" i="5"/>
  <c r="R243" i="5" s="1"/>
  <c r="P259" i="5"/>
  <c r="R259" i="5" s="1"/>
  <c r="P255" i="5"/>
  <c r="R255" i="5" s="1"/>
  <c r="P183" i="5"/>
  <c r="R183" i="5" s="1"/>
  <c r="P199" i="5"/>
  <c r="R199" i="5" s="1"/>
  <c r="P215" i="5"/>
  <c r="R215" i="5" s="1"/>
  <c r="P231" i="5"/>
  <c r="R231" i="5" s="1"/>
  <c r="P247" i="5"/>
  <c r="R247" i="5" s="1"/>
  <c r="P263" i="5"/>
  <c r="R263" i="5" s="1"/>
  <c r="R279" i="5"/>
  <c r="R271" i="5"/>
  <c r="P235" i="5"/>
  <c r="R235" i="5" s="1"/>
  <c r="P251" i="5"/>
  <c r="R251" i="5" s="1"/>
  <c r="R239" i="5"/>
  <c r="P287" i="5"/>
  <c r="R287" i="5" s="1"/>
  <c r="O327" i="11" l="1"/>
  <c r="R327" i="11" s="1"/>
  <c r="O296" i="11"/>
  <c r="R296" i="11" s="1"/>
  <c r="O317" i="11"/>
  <c r="R317" i="11" s="1"/>
  <c r="H8" i="5" l="1"/>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7" i="5"/>
  <c r="T8" i="5"/>
  <c r="T9" i="5"/>
  <c r="T10" i="5"/>
  <c r="T11" i="5"/>
  <c r="T12" i="5"/>
  <c r="T13" i="5"/>
  <c r="T14" i="5"/>
  <c r="T15" i="5"/>
  <c r="T16" i="5"/>
  <c r="T17" i="5"/>
  <c r="T21" i="5"/>
  <c r="T23" i="5"/>
  <c r="T25" i="5"/>
  <c r="T30" i="5"/>
  <c r="T31" i="5"/>
  <c r="T32" i="5"/>
  <c r="T34" i="5"/>
  <c r="T35" i="5"/>
  <c r="T37" i="5"/>
  <c r="T38" i="5"/>
  <c r="T39" i="5"/>
  <c r="T40" i="5"/>
  <c r="T41" i="5"/>
  <c r="T42" i="5"/>
  <c r="T45" i="5"/>
  <c r="T46" i="5"/>
  <c r="T49" i="5"/>
  <c r="T51" i="5"/>
  <c r="T52" i="5"/>
  <c r="T53" i="5"/>
  <c r="T54" i="5"/>
  <c r="T56" i="5"/>
  <c r="T57" i="5"/>
  <c r="T59" i="5"/>
  <c r="T61" i="5"/>
  <c r="T63" i="5"/>
  <c r="T64" i="5"/>
  <c r="T65" i="5"/>
  <c r="T66" i="5"/>
  <c r="T67" i="5"/>
  <c r="T68" i="5"/>
  <c r="T69" i="5"/>
  <c r="T72" i="5"/>
  <c r="T74" i="5"/>
  <c r="T75" i="5"/>
  <c r="T76" i="5"/>
  <c r="T78" i="5"/>
  <c r="T79" i="5"/>
  <c r="T80" i="5"/>
  <c r="T83" i="5"/>
  <c r="T84" i="5"/>
  <c r="T86" i="5"/>
  <c r="T87" i="5"/>
  <c r="T88" i="5"/>
  <c r="T89" i="5"/>
  <c r="T90" i="5"/>
  <c r="T91" i="5"/>
  <c r="T92" i="5"/>
  <c r="T94" i="5"/>
  <c r="T96" i="5"/>
  <c r="T98" i="5"/>
  <c r="T104" i="5"/>
  <c r="T105" i="5"/>
  <c r="T106" i="5"/>
  <c r="T108" i="5"/>
  <c r="T109" i="5"/>
  <c r="T110" i="5"/>
  <c r="T111" i="5"/>
  <c r="T113" i="5"/>
  <c r="T114" i="5"/>
  <c r="T115" i="5"/>
  <c r="T116" i="5"/>
  <c r="T117" i="5"/>
  <c r="T119" i="5"/>
  <c r="T120" i="5"/>
  <c r="T122" i="5"/>
  <c r="T123" i="5"/>
  <c r="T124" i="5"/>
  <c r="T126" i="5"/>
  <c r="T127" i="5"/>
  <c r="T128" i="5"/>
  <c r="T131" i="5"/>
  <c r="T135" i="5"/>
  <c r="T136" i="5"/>
  <c r="T140" i="5"/>
  <c r="T141" i="5"/>
  <c r="T142" i="5"/>
  <c r="T144" i="5"/>
  <c r="T145" i="5"/>
  <c r="T146" i="5"/>
  <c r="T147" i="5"/>
  <c r="T148" i="5"/>
  <c r="T149" i="5"/>
  <c r="T150" i="5"/>
  <c r="T151" i="5"/>
  <c r="T152" i="5"/>
  <c r="T154" i="5"/>
  <c r="T157" i="5"/>
  <c r="T158" i="5"/>
  <c r="T159" i="5"/>
  <c r="T160" i="5"/>
  <c r="T161" i="5"/>
  <c r="T162" i="5"/>
  <c r="T164" i="5"/>
  <c r="T166" i="5"/>
  <c r="T167" i="5"/>
  <c r="T168" i="5"/>
  <c r="T169" i="5"/>
  <c r="T171" i="5"/>
  <c r="T172" i="5"/>
  <c r="T173" i="5"/>
  <c r="T176" i="5"/>
  <c r="T177" i="5"/>
  <c r="T178" i="5"/>
  <c r="T179" i="5"/>
  <c r="T180" i="5"/>
  <c r="T181" i="5"/>
  <c r="T182" i="5"/>
  <c r="T184" i="5"/>
  <c r="T185" i="5"/>
  <c r="T186" i="5"/>
  <c r="T189" i="5"/>
  <c r="T190" i="5"/>
  <c r="T193" i="5"/>
  <c r="T199" i="5"/>
  <c r="T200" i="5"/>
  <c r="T202" i="5"/>
  <c r="T204" i="5"/>
  <c r="T208" i="5"/>
  <c r="T212" i="5"/>
  <c r="T213" i="5"/>
  <c r="T215" i="5"/>
  <c r="T216" i="5"/>
  <c r="T217" i="5"/>
  <c r="T220" i="5"/>
  <c r="T221" i="5"/>
  <c r="T222" i="5"/>
  <c r="T228" i="5"/>
  <c r="T229" i="5"/>
  <c r="T231" i="5"/>
  <c r="T232" i="5"/>
  <c r="T234" i="5"/>
  <c r="T235" i="5"/>
  <c r="T237" i="5"/>
  <c r="T239" i="5"/>
  <c r="T241" i="5"/>
  <c r="T243" i="5"/>
  <c r="T244" i="5"/>
  <c r="T245" i="5"/>
  <c r="T246" i="5"/>
  <c r="T247" i="5"/>
  <c r="T249" i="5"/>
  <c r="T250" i="5"/>
  <c r="T251" i="5"/>
  <c r="T253" i="5"/>
  <c r="T254" i="5"/>
  <c r="T255" i="5"/>
  <c r="T260" i="5"/>
  <c r="T263" i="5"/>
  <c r="T264" i="5"/>
  <c r="T266" i="5"/>
  <c r="T268" i="5"/>
  <c r="T269" i="5"/>
  <c r="T270" i="5"/>
  <c r="T271" i="5"/>
  <c r="T272" i="5"/>
  <c r="T274" i="5"/>
  <c r="T277" i="5"/>
  <c r="T279" i="5"/>
  <c r="T280" i="5"/>
  <c r="T285" i="5"/>
  <c r="T287" i="5"/>
  <c r="T288" i="5"/>
  <c r="T290" i="5"/>
  <c r="T195" i="5" l="1"/>
  <c r="T55" i="5"/>
  <c r="T214" i="5"/>
  <c r="T261" i="5"/>
  <c r="T233" i="5"/>
  <c r="T225" i="5"/>
  <c r="T165" i="5"/>
  <c r="T153" i="5"/>
  <c r="T85" i="5"/>
  <c r="T77" i="5"/>
  <c r="T248" i="5"/>
  <c r="T188" i="5"/>
  <c r="T259" i="5"/>
  <c r="T183" i="5"/>
  <c r="T163" i="5"/>
  <c r="T218" i="5"/>
  <c r="T194" i="5"/>
  <c r="T70" i="5"/>
  <c r="R286" i="5" l="1"/>
  <c r="T286" i="5" s="1"/>
  <c r="R278" i="5"/>
  <c r="T278" i="5" s="1"/>
  <c r="R265" i="5"/>
  <c r="T265" i="5" s="1"/>
  <c r="R256" i="5"/>
  <c r="T256" i="5" s="1"/>
  <c r="R238" i="5"/>
  <c r="T238" i="5" s="1"/>
  <c r="R226" i="5"/>
  <c r="T226" i="5" s="1"/>
  <c r="R211" i="5"/>
  <c r="T211" i="5" s="1"/>
  <c r="R206" i="5"/>
  <c r="T206" i="5" s="1"/>
  <c r="R198" i="5"/>
  <c r="T198" i="5" s="1"/>
  <c r="R191" i="5"/>
  <c r="T191" i="5" s="1"/>
  <c r="R156" i="5"/>
  <c r="T156" i="5" s="1"/>
  <c r="R138" i="5"/>
  <c r="T138" i="5" s="1"/>
  <c r="R130" i="5"/>
  <c r="T130" i="5" s="1"/>
  <c r="R118" i="5"/>
  <c r="T118" i="5" s="1"/>
  <c r="R100" i="5"/>
  <c r="T100" i="5" s="1"/>
  <c r="R93" i="5"/>
  <c r="T93" i="5" s="1"/>
  <c r="R58" i="5"/>
  <c r="T58" i="5" s="1"/>
  <c r="R26" i="5"/>
  <c r="T26" i="5" s="1"/>
  <c r="P289" i="5"/>
  <c r="R289" i="5" s="1"/>
  <c r="T289" i="5" s="1"/>
  <c r="R227" i="5"/>
  <c r="T227" i="5" s="1"/>
  <c r="R201" i="5"/>
  <c r="T201" i="5" s="1"/>
  <c r="R139" i="5"/>
  <c r="T139" i="5" s="1"/>
  <c r="T102" i="5"/>
  <c r="R284" i="5"/>
  <c r="T284" i="5" s="1"/>
  <c r="T276" i="5"/>
  <c r="R262" i="5"/>
  <c r="T262" i="5" s="1"/>
  <c r="R252" i="5"/>
  <c r="T252" i="5" s="1"/>
  <c r="P236" i="5"/>
  <c r="R236" i="5" s="1"/>
  <c r="T236" i="5" s="1"/>
  <c r="R224" i="5"/>
  <c r="T224" i="5" s="1"/>
  <c r="R210" i="5"/>
  <c r="T210" i="5" s="1"/>
  <c r="R205" i="5"/>
  <c r="T205" i="5" s="1"/>
  <c r="R197" i="5"/>
  <c r="T197" i="5" s="1"/>
  <c r="R187" i="5"/>
  <c r="T187" i="5" s="1"/>
  <c r="R155" i="5"/>
  <c r="T155" i="5" s="1"/>
  <c r="R137" i="5"/>
  <c r="T137" i="5" s="1"/>
  <c r="R129" i="5"/>
  <c r="T129" i="5" s="1"/>
  <c r="R107" i="5"/>
  <c r="T107" i="5" s="1"/>
  <c r="R81" i="5"/>
  <c r="T81" i="5" s="1"/>
  <c r="R33" i="5"/>
  <c r="T33" i="5" s="1"/>
  <c r="R24" i="5"/>
  <c r="T24" i="5" s="1"/>
  <c r="R267" i="5"/>
  <c r="T267" i="5" s="1"/>
  <c r="P240" i="5"/>
  <c r="R240" i="5" s="1"/>
  <c r="T240" i="5" s="1"/>
  <c r="R207" i="5"/>
  <c r="T207" i="5" s="1"/>
  <c r="R192" i="5"/>
  <c r="T192" i="5" s="1"/>
  <c r="R121" i="5"/>
  <c r="T121" i="5" s="1"/>
  <c r="R60" i="5"/>
  <c r="T60" i="5" s="1"/>
  <c r="R20" i="5"/>
  <c r="T20" i="5" s="1"/>
  <c r="R283" i="5"/>
  <c r="T283" i="5" s="1"/>
  <c r="R275" i="5"/>
  <c r="T275" i="5" s="1"/>
  <c r="R258" i="5"/>
  <c r="T258" i="5" s="1"/>
  <c r="R242" i="5"/>
  <c r="T242" i="5" s="1"/>
  <c r="R230" i="5"/>
  <c r="T230" i="5" s="1"/>
  <c r="R223" i="5"/>
  <c r="T223" i="5" s="1"/>
  <c r="R209" i="5"/>
  <c r="T209" i="5" s="1"/>
  <c r="R203" i="5"/>
  <c r="T203" i="5" s="1"/>
  <c r="R196" i="5"/>
  <c r="T196" i="5" s="1"/>
  <c r="P174" i="5"/>
  <c r="R174" i="5" s="1"/>
  <c r="T174" i="5" s="1"/>
  <c r="P143" i="5"/>
  <c r="R143" i="5" s="1"/>
  <c r="T143" i="5" s="1"/>
  <c r="R134" i="5"/>
  <c r="T134" i="5" s="1"/>
  <c r="R125" i="5"/>
  <c r="T125" i="5" s="1"/>
  <c r="R103" i="5"/>
  <c r="T103" i="5" s="1"/>
  <c r="R97" i="5"/>
  <c r="T97" i="5" s="1"/>
  <c r="R73" i="5"/>
  <c r="T73" i="5" s="1"/>
  <c r="R29" i="5"/>
  <c r="T29" i="5" s="1"/>
  <c r="P18" i="5"/>
  <c r="R18" i="5" s="1"/>
  <c r="T18" i="5" s="1"/>
  <c r="R282" i="5"/>
  <c r="R257" i="5"/>
  <c r="T257" i="5" s="1"/>
  <c r="R219" i="5"/>
  <c r="T219" i="5" s="1"/>
  <c r="R170" i="5"/>
  <c r="R133" i="5"/>
  <c r="T133" i="5" s="1"/>
  <c r="R95" i="5"/>
  <c r="T95" i="5" s="1"/>
  <c r="R27" i="5"/>
  <c r="T27" i="5" s="1"/>
  <c r="T9" i="9" l="1"/>
  <c r="R361" i="5"/>
  <c r="R357" i="5"/>
  <c r="R360" i="5"/>
  <c r="R359" i="5"/>
  <c r="R358" i="5"/>
  <c r="R369" i="5"/>
  <c r="R376" i="5"/>
  <c r="R366" i="5"/>
  <c r="R373" i="5"/>
  <c r="R384" i="5"/>
  <c r="R377" i="5"/>
  <c r="R363" i="5"/>
  <c r="R375" i="5"/>
  <c r="R372" i="5"/>
  <c r="R378" i="5"/>
  <c r="R380" i="5"/>
  <c r="R368" i="5"/>
  <c r="R364" i="5"/>
  <c r="R362" i="5"/>
  <c r="R367" i="5"/>
  <c r="R383" i="5"/>
  <c r="R382" i="5"/>
  <c r="R374" i="5"/>
  <c r="R379" i="5"/>
  <c r="R365" i="5"/>
  <c r="R370" i="5"/>
  <c r="R38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CARLOS ARTURO YEE DE LA BARC</author>
  </authors>
  <commentList>
    <comment ref="C6" authorId="0" shapeId="0" xr:uid="{82830BDB-7ABE-46C5-8718-26425436B577}">
      <text>
        <r>
          <rPr>
            <b/>
            <sz val="9"/>
            <color indexed="81"/>
            <rFont val="Tahoma"/>
            <family val="2"/>
          </rPr>
          <t>CARLOS ARTURO YEE DE LA BARC:</t>
        </r>
        <r>
          <rPr>
            <sz val="9"/>
            <color indexed="81"/>
            <rFont val="Tahoma"/>
            <family val="2"/>
          </rPr>
          <t xml:space="preserve">
Nombre de la entidad con la que se firmo el convenio, contrato curso</t>
        </r>
      </text>
    </comment>
    <comment ref="I6" authorId="0" shapeId="0" xr:uid="{E9717ED6-6CB2-4EE1-8ABB-12BFB87ED9AF}">
      <text>
        <r>
          <rPr>
            <b/>
            <sz val="9"/>
            <color indexed="81"/>
            <rFont val="Tahoma"/>
            <family val="2"/>
          </rPr>
          <t>CARLOS ARTURO YEE DE LA BARC:</t>
        </r>
        <r>
          <rPr>
            <sz val="9"/>
            <color indexed="81"/>
            <rFont val="Tahoma"/>
            <family val="2"/>
          </rPr>
          <t xml:space="preserve">
estado del contrato, convenio o cursos que podrá ser: en ejecución, Terminado, Liquidado, Cierre Financiero.  Para el caso de la Hoja de Cursos Propios (va a existir un estado adicional que será en Aprobado-Recaudo).</t>
        </r>
      </text>
    </comment>
    <comment ref="J6" authorId="0" shapeId="0" xr:uid="{771B1DF6-732A-4765-B628-4F644502F561}">
      <text>
        <r>
          <rPr>
            <b/>
            <sz val="9"/>
            <color indexed="81"/>
            <rFont val="Tahoma"/>
            <family val="2"/>
          </rPr>
          <t>CARLOS ARTURO YEE DE LA BARC:</t>
        </r>
        <r>
          <rPr>
            <sz val="9"/>
            <color indexed="81"/>
            <rFont val="Tahoma"/>
            <family val="2"/>
          </rPr>
          <t xml:space="preserve">
• Observación al Estado que puede ser suspendido o en Litigio, si este fuere necesario o, sin diligenciar en caso de que la situación sea contraria a estas dos posibilidades.</t>
        </r>
      </text>
    </comment>
    <comment ref="L6" authorId="0" shapeId="0" xr:uid="{AA0AE427-D193-47D4-9527-E9E1EC5AB9F8}">
      <text>
        <r>
          <rPr>
            <b/>
            <sz val="9"/>
            <color indexed="81"/>
            <rFont val="Tahoma"/>
            <family val="2"/>
          </rPr>
          <t>CARLOS ARTURO YEE DE LA BARC:</t>
        </r>
        <r>
          <rPr>
            <sz val="9"/>
            <color indexed="81"/>
            <rFont val="Tahoma"/>
            <family val="2"/>
          </rPr>
          <t xml:space="preserve">
Ahorros o Corriente</t>
        </r>
      </text>
    </comment>
    <comment ref="M6" authorId="0" shapeId="0" xr:uid="{895DD856-E0E1-47B2-B89B-E0B82D812973}">
      <text>
        <r>
          <rPr>
            <b/>
            <sz val="9"/>
            <color indexed="81"/>
            <rFont val="Tahoma"/>
            <family val="2"/>
          </rPr>
          <t>CARLOS ARTURO YEE DE LA BARC:</t>
        </r>
        <r>
          <rPr>
            <sz val="9"/>
            <color indexed="81"/>
            <rFont val="Tahoma"/>
            <family val="2"/>
          </rPr>
          <t xml:space="preserve">
Bancaria</t>
        </r>
      </text>
    </comment>
    <comment ref="P6" authorId="0" shapeId="0" xr:uid="{48585BE8-0BE2-4C06-A9E3-91951B8F5C3B}">
      <text>
        <r>
          <rPr>
            <b/>
            <sz val="9"/>
            <color indexed="81"/>
            <rFont val="Tahoma"/>
            <family val="2"/>
          </rPr>
          <t>CARLOS ARTURO YEE DE LA BARC:</t>
        </r>
        <r>
          <rPr>
            <sz val="9"/>
            <color indexed="81"/>
            <rFont val="Tahoma"/>
            <family val="2"/>
          </rPr>
          <t xml:space="preserve">
Valor total firmado en contrato, convenio. curso</t>
        </r>
      </text>
    </comment>
    <comment ref="S6" authorId="0" shapeId="0" xr:uid="{1A9605D4-B88B-4C17-9EFA-7017BAA4839F}">
      <text>
        <r>
          <rPr>
            <b/>
            <sz val="9"/>
            <color indexed="81"/>
            <rFont val="Tahoma"/>
            <family val="2"/>
          </rPr>
          <t>CARLOS ARTURO YEE DE LA BARC:</t>
        </r>
        <r>
          <rPr>
            <sz val="9"/>
            <color indexed="81"/>
            <rFont val="Tahoma"/>
            <family val="2"/>
          </rPr>
          <t xml:space="preserve">
establecido por el Comité Central de extensión</t>
        </r>
      </text>
    </comment>
    <comment ref="T6" authorId="0" shapeId="0" xr:uid="{06057E81-42E1-4D26-BF73-3B0A0B288047}">
      <text>
        <r>
          <rPr>
            <b/>
            <sz val="9"/>
            <color indexed="81"/>
            <rFont val="Tahoma"/>
            <family val="2"/>
          </rPr>
          <t>CARLOS ARTURO YEE DE LA BARC:</t>
        </r>
        <r>
          <rPr>
            <sz val="9"/>
            <color indexed="81"/>
            <rFont val="Tahoma"/>
            <family val="2"/>
          </rPr>
          <t xml:space="preserve">
Se calcula multiplicando el valor total del proyecto por el 5 deapropiación según presupuesto</t>
        </r>
      </text>
    </comment>
    <comment ref="U6" authorId="0" shapeId="0" xr:uid="{EE2B36D7-3E34-44DA-90AF-2BF360D1C8E0}">
      <text>
        <r>
          <rPr>
            <b/>
            <sz val="9"/>
            <color indexed="81"/>
            <rFont val="Tahoma"/>
            <family val="2"/>
          </rPr>
          <t>CARLOS ARTURO YEE DE LA BARC:</t>
        </r>
        <r>
          <rPr>
            <sz val="9"/>
            <color indexed="81"/>
            <rFont val="Tahoma"/>
            <family val="2"/>
          </rPr>
          <t xml:space="preserve">
Es el valor de la sumatoria de todos los ingresos a la fecha( actulalización) desde la firma del contrato, convenio o cursos a la fecha. Es una columna de información.</t>
        </r>
      </text>
    </comment>
    <comment ref="V6" authorId="0" shapeId="0" xr:uid="{CF0F2C5D-070F-4D22-83A5-D1D264830D46}">
      <text>
        <r>
          <rPr>
            <b/>
            <sz val="9"/>
            <color indexed="81"/>
            <rFont val="Tahoma"/>
            <family val="2"/>
          </rPr>
          <t>CARLOS ARTURO YEE DE LA BARC:</t>
        </r>
        <r>
          <rPr>
            <sz val="9"/>
            <color indexed="81"/>
            <rFont val="Tahoma"/>
            <family val="2"/>
          </rPr>
          <t xml:space="preserve">
Este valor sobre el cual, se va a liquidar el BI del trimestre que se presenta, se to,aria la cifra de la sumatoria de ingresos del centro de costos</t>
        </r>
      </text>
    </comment>
    <comment ref="W6" authorId="0" shapeId="0" xr:uid="{F7C1A202-5DFF-4C5E-B58B-0BC92CF816E8}">
      <text>
        <r>
          <rPr>
            <b/>
            <sz val="9"/>
            <color indexed="81"/>
            <rFont val="Tahoma"/>
            <family val="2"/>
          </rPr>
          <t>CARLOS ARTURO YEE DE LA BARC:</t>
        </r>
        <r>
          <rPr>
            <sz val="9"/>
            <color indexed="81"/>
            <rFont val="Tahoma"/>
            <family val="2"/>
          </rPr>
          <t xml:space="preserve">
Se logra de multiplicar el % autorizado por el valor recaudado en el periodo</t>
        </r>
      </text>
    </comment>
    <comment ref="X6" authorId="0" shapeId="0" xr:uid="{B1870492-EE0B-4469-A55D-8FBD955CDBA1}">
      <text>
        <r>
          <rPr>
            <b/>
            <sz val="9"/>
            <color indexed="81"/>
            <rFont val="Tahoma"/>
            <family val="2"/>
          </rPr>
          <t>CARLOS ARTURO YEE DE LA BARC:</t>
        </r>
        <r>
          <rPr>
            <sz val="9"/>
            <color indexed="81"/>
            <rFont val="Tahoma"/>
            <family val="2"/>
          </rPr>
          <t xml:space="preserve">
Se logra al multiplicar el BI a distribuir en el trimestre X 40 % para el IDEXUD</t>
        </r>
      </text>
    </comment>
    <comment ref="Y6" authorId="0" shapeId="0" xr:uid="{CB6DFF7B-E44D-47A5-A3E8-81118A69B4D6}">
      <text>
        <r>
          <rPr>
            <b/>
            <sz val="9"/>
            <color indexed="81"/>
            <rFont val="Tahoma"/>
            <family val="2"/>
          </rPr>
          <t>CARLOS ARTURO YEE DE LA BARC:</t>
        </r>
        <r>
          <rPr>
            <sz val="9"/>
            <color indexed="81"/>
            <rFont val="Tahoma"/>
            <family val="2"/>
          </rPr>
          <t xml:space="preserve">
Se logra al multiplicar el BI a distribuir en el trimestre X 60 % para la universidad</t>
        </r>
      </text>
    </comment>
    <comment ref="Z6" authorId="0" shapeId="0" xr:uid="{25FA98AA-0159-4D92-9755-0ACD508CFB95}">
      <text>
        <r>
          <rPr>
            <b/>
            <sz val="9"/>
            <color indexed="81"/>
            <rFont val="Tahoma"/>
            <family val="2"/>
          </rPr>
          <t>CARLOS ARTURO YEE DE LA BARC:</t>
        </r>
        <r>
          <rPr>
            <sz val="9"/>
            <color indexed="81"/>
            <rFont val="Tahoma"/>
            <family val="2"/>
          </rPr>
          <t xml:space="preserve">
Este valor sobre el cual, se va a liquidar el BI del trimestre que se presenta, se to,aria la cifra de la sumatoria de ingresos del centro de costos</t>
        </r>
      </text>
    </comment>
    <comment ref="AA6" authorId="0" shapeId="0" xr:uid="{E17A6A9C-1108-477F-B324-E8664D7C1AD3}">
      <text>
        <r>
          <rPr>
            <b/>
            <sz val="9"/>
            <color indexed="81"/>
            <rFont val="Tahoma"/>
            <family val="2"/>
          </rPr>
          <t>CARLOS ARTURO YEE DE LA BARC:</t>
        </r>
        <r>
          <rPr>
            <sz val="9"/>
            <color indexed="81"/>
            <rFont val="Tahoma"/>
            <family val="2"/>
          </rPr>
          <t xml:space="preserve">
Se logra de multiplicar el % autorizado por el valor recaudado en el periodo</t>
        </r>
      </text>
    </comment>
    <comment ref="AB6" authorId="0" shapeId="0" xr:uid="{4C62F171-61FC-4452-97F2-742E4AD139B2}">
      <text>
        <r>
          <rPr>
            <b/>
            <sz val="9"/>
            <color indexed="81"/>
            <rFont val="Tahoma"/>
            <family val="2"/>
          </rPr>
          <t>CARLOS ARTURO YEE DE LA BARC:</t>
        </r>
        <r>
          <rPr>
            <sz val="9"/>
            <color indexed="81"/>
            <rFont val="Tahoma"/>
            <family val="2"/>
          </rPr>
          <t xml:space="preserve">
Se logra al multiplicar el BI a distribuir en el trimestre X 40 % para el IDEXUD</t>
        </r>
      </text>
    </comment>
    <comment ref="AC6" authorId="0" shapeId="0" xr:uid="{926E28DD-FE63-4598-A592-FC652562DAF0}">
      <text>
        <r>
          <rPr>
            <b/>
            <sz val="9"/>
            <color indexed="81"/>
            <rFont val="Tahoma"/>
            <family val="2"/>
          </rPr>
          <t>CARLOS ARTURO YEE DE LA BARC:</t>
        </r>
        <r>
          <rPr>
            <sz val="9"/>
            <color indexed="81"/>
            <rFont val="Tahoma"/>
            <family val="2"/>
          </rPr>
          <t xml:space="preserve">
Se logra al multiplicar el BI a distribuir en el trimestre X 60 % para la universidad</t>
        </r>
      </text>
    </comment>
    <comment ref="AD6" authorId="0" shapeId="0" xr:uid="{15A002A1-8E17-4CAF-B79C-E098E679D963}">
      <text>
        <r>
          <rPr>
            <b/>
            <sz val="9"/>
            <color indexed="81"/>
            <rFont val="Tahoma"/>
            <family val="2"/>
          </rPr>
          <t>CARLOS ARTURO YEE DE LA BARC:</t>
        </r>
        <r>
          <rPr>
            <sz val="9"/>
            <color indexed="81"/>
            <rFont val="Tahoma"/>
            <family val="2"/>
          </rPr>
          <t xml:space="preserve">
Este valor sobre el cual, se va a liquidar el BI del trimestre que se presenta, se to,aria la cifra de la sumatoria de ingresos del centro de costos</t>
        </r>
      </text>
    </comment>
    <comment ref="AE6" authorId="0" shapeId="0" xr:uid="{66FC289E-A5C6-45A4-B761-2D66E37CD880}">
      <text>
        <r>
          <rPr>
            <b/>
            <sz val="9"/>
            <color indexed="81"/>
            <rFont val="Tahoma"/>
            <family val="2"/>
          </rPr>
          <t>CARLOS ARTURO YEE DE LA BARC:</t>
        </r>
        <r>
          <rPr>
            <sz val="9"/>
            <color indexed="81"/>
            <rFont val="Tahoma"/>
            <family val="2"/>
          </rPr>
          <t xml:space="preserve">
Se logra de multiplicar el % autorizado por el valor recaudado en el periodo</t>
        </r>
      </text>
    </comment>
    <comment ref="AF6" authorId="0" shapeId="0" xr:uid="{03F60CE5-ECC3-4027-A778-3DA19481606E}">
      <text>
        <r>
          <rPr>
            <b/>
            <sz val="9"/>
            <color indexed="81"/>
            <rFont val="Tahoma"/>
            <family val="2"/>
          </rPr>
          <t>CARLOS ARTURO YEE DE LA BARC:</t>
        </r>
        <r>
          <rPr>
            <sz val="9"/>
            <color indexed="81"/>
            <rFont val="Tahoma"/>
            <family val="2"/>
          </rPr>
          <t xml:space="preserve">
Se logra al multiplicar el BI a distribuir en el trimestre X 40 % para el IDEXUD</t>
        </r>
      </text>
    </comment>
    <comment ref="AG6" authorId="0" shapeId="0" xr:uid="{6D00EB79-ABF6-4768-B466-04286495145E}">
      <text>
        <r>
          <rPr>
            <b/>
            <sz val="9"/>
            <color indexed="81"/>
            <rFont val="Tahoma"/>
            <family val="2"/>
          </rPr>
          <t>CARLOS ARTURO YEE DE LA BARC:</t>
        </r>
        <r>
          <rPr>
            <sz val="9"/>
            <color indexed="81"/>
            <rFont val="Tahoma"/>
            <family val="2"/>
          </rPr>
          <t xml:space="preserve">
Se logra al multiplicar el BI a distribuir en el trimestre X 60 % para la universidad</t>
        </r>
      </text>
    </comment>
    <comment ref="AH6" authorId="0" shapeId="0" xr:uid="{30EE0578-2F69-43AB-9D1E-B3A11D118751}">
      <text>
        <r>
          <rPr>
            <b/>
            <sz val="9"/>
            <color indexed="81"/>
            <rFont val="Tahoma"/>
            <family val="2"/>
          </rPr>
          <t>CARLOS ARTURO YEE DE LA BARC:</t>
        </r>
        <r>
          <rPr>
            <sz val="9"/>
            <color indexed="81"/>
            <rFont val="Tahoma"/>
            <family val="2"/>
          </rPr>
          <t xml:space="preserve">
Este valor sobre el cual, se va a liquidar el BI del trimestre que se presenta, se to,aria la cifra de la sumatoria de ingresos del centro de costos</t>
        </r>
      </text>
    </comment>
    <comment ref="AI6" authorId="0" shapeId="0" xr:uid="{7B52A61C-7A1D-4510-AAA1-35BB046D62CA}">
      <text>
        <r>
          <rPr>
            <b/>
            <sz val="9"/>
            <color indexed="81"/>
            <rFont val="Tahoma"/>
            <family val="2"/>
          </rPr>
          <t>CARLOS ARTURO YEE DE LA BARC:</t>
        </r>
        <r>
          <rPr>
            <sz val="9"/>
            <color indexed="81"/>
            <rFont val="Tahoma"/>
            <family val="2"/>
          </rPr>
          <t xml:space="preserve">
Se logra de multiplicar el % autorizado por el valor recaudado en el periodo</t>
        </r>
      </text>
    </comment>
    <comment ref="AJ6" authorId="0" shapeId="0" xr:uid="{E2716554-CED9-4ECE-8832-E64C9166180F}">
      <text>
        <r>
          <rPr>
            <b/>
            <sz val="9"/>
            <color indexed="81"/>
            <rFont val="Tahoma"/>
            <family val="2"/>
          </rPr>
          <t>CARLOS ARTURO YEE DE LA BARC:</t>
        </r>
        <r>
          <rPr>
            <sz val="9"/>
            <color indexed="81"/>
            <rFont val="Tahoma"/>
            <family val="2"/>
          </rPr>
          <t xml:space="preserve">
Se logra al multiplicar el BI a distribuir en el trimestre X 40 % para el IDEXUD</t>
        </r>
      </text>
    </comment>
    <comment ref="AK6" authorId="0" shapeId="0" xr:uid="{2A0DD204-8B28-44F7-AE3A-E94B4ED0E3CE}">
      <text>
        <r>
          <rPr>
            <b/>
            <sz val="9"/>
            <color indexed="81"/>
            <rFont val="Tahoma"/>
            <family val="2"/>
          </rPr>
          <t>CARLOS ARTURO YEE DE LA BARC:</t>
        </r>
        <r>
          <rPr>
            <sz val="9"/>
            <color indexed="81"/>
            <rFont val="Tahoma"/>
            <family val="2"/>
          </rPr>
          <t xml:space="preserve">
Se logra al multiplicar el BI a distribuir en el trimestre X 60 % para la universidad</t>
        </r>
      </text>
    </comment>
    <comment ref="AL6" authorId="0" shapeId="0" xr:uid="{8A59E1EE-9111-41DE-B7BE-7C395D6B8704}">
      <text>
        <r>
          <rPr>
            <b/>
            <sz val="9"/>
            <color indexed="81"/>
            <rFont val="Tahoma"/>
            <family val="2"/>
          </rPr>
          <t>CARLOS ARTURO YEE DE LA BARC:</t>
        </r>
        <r>
          <rPr>
            <sz val="9"/>
            <color indexed="81"/>
            <rFont val="Tahoma"/>
            <family val="2"/>
          </rPr>
          <t xml:space="preserve">
Se logra de multiplicar el valor total de ingresos a la fecha (Columna R) por el porcentaje de BI. Autorizado.
Jhon Jairo Castillo: 
Se obtiene de la Operación de multiplicar el Valor del Ingreso a la Fecha (Columna U) por el % de Beneficio Institucional. 
Nota: no se dede Calcular el % de ABI al Rubro ABI
</t>
        </r>
      </text>
    </comment>
    <comment ref="AM6" authorId="0" shapeId="0" xr:uid="{EF9D901A-54DB-4125-B47E-485BA87FB19E}">
      <text>
        <r>
          <rPr>
            <b/>
            <sz val="9"/>
            <color indexed="81"/>
            <rFont val="Tahoma"/>
            <family val="2"/>
          </rPr>
          <t>CARLOS ARTURO YEE DE LA BARC:</t>
        </r>
        <r>
          <rPr>
            <sz val="9"/>
            <color indexed="81"/>
            <rFont val="Tahoma"/>
            <family val="2"/>
          </rPr>
          <t xml:space="preserve">
Es una columna informativa que indica la sumatoria de los B.I. ingresados en la vigencia que se esta liquidando.
</t>
        </r>
      </text>
    </comment>
    <comment ref="AN6" authorId="0" shapeId="0" xr:uid="{91122148-A919-4549-9DA6-7071DE25F35D}">
      <text>
        <r>
          <rPr>
            <b/>
            <sz val="9"/>
            <color indexed="81"/>
            <rFont val="Tahoma"/>
            <family val="2"/>
          </rPr>
          <t>CARLOS ARTURO YEE DE LA BARC:</t>
        </r>
        <r>
          <rPr>
            <sz val="9"/>
            <color indexed="81"/>
            <rFont val="Tahoma"/>
            <family val="2"/>
          </rPr>
          <t xml:space="preserve">
En esta columna se deben incluir todos aquellos aspectos que han influido en el desarrollo del contrato, convenio o curso, así como todas las novedades importantes en desarrollo de los mismos.</t>
        </r>
      </text>
    </comment>
    <comment ref="AO6" authorId="0" shapeId="0" xr:uid="{716633F5-F9DD-4A8F-9FE5-146BFC13624C}">
      <text>
        <r>
          <rPr>
            <b/>
            <sz val="9"/>
            <color indexed="81"/>
            <rFont val="Tahoma"/>
            <family val="2"/>
          </rPr>
          <t>CARLOS ARTURO YEE DE LA BARC:</t>
        </r>
        <r>
          <rPr>
            <sz val="9"/>
            <color indexed="81"/>
            <rFont val="Tahoma"/>
            <family val="2"/>
          </rPr>
          <t xml:space="preserve">
En esta columna se deben incluir todos aquellos aspectos que han influido en el desarrollo del contrato, convenio o curso, así como todas las novedades importantes en desarrollo de los mismos.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CARLOS ARTURO YEE DE LA BARC</author>
  </authors>
  <commentList>
    <comment ref="C6" authorId="0" shapeId="0" xr:uid="{DFFDCFC3-1260-4A6F-B031-003D9DC7E9C2}">
      <text>
        <r>
          <rPr>
            <b/>
            <sz val="9"/>
            <color indexed="81"/>
            <rFont val="Tahoma"/>
            <family val="2"/>
          </rPr>
          <t>CARLOS ARTURO YEE DE LA BARC:</t>
        </r>
        <r>
          <rPr>
            <sz val="9"/>
            <color indexed="81"/>
            <rFont val="Tahoma"/>
            <family val="2"/>
          </rPr>
          <t xml:space="preserve">
Nombre de la entidad con la que se firmo el convenio, contrato curso</t>
        </r>
      </text>
    </comment>
    <comment ref="F6" authorId="0" shapeId="0" xr:uid="{00A0D48B-FE75-49D6-AC25-9BD392666DF6}">
      <text>
        <r>
          <rPr>
            <b/>
            <sz val="9"/>
            <color indexed="81"/>
            <rFont val="Tahoma"/>
            <family val="2"/>
          </rPr>
          <t>CARLOS ARTURO YEE DE LA BARC:</t>
        </r>
        <r>
          <rPr>
            <sz val="9"/>
            <color indexed="81"/>
            <rFont val="Tahoma"/>
            <family val="2"/>
          </rPr>
          <t xml:space="preserve">
estado del contrato, convenio o cursos que podrá ser: en ejecución, Terminado, Liquidado, Cierre Financiero.  Para el caso de la Hoja de Cursos Propios (va a existir un estado adicional que será en Aprobado-Recaudo).</t>
        </r>
      </text>
    </comment>
    <comment ref="H6" authorId="0" shapeId="0" xr:uid="{18B07794-6E0B-4AB5-A08F-4079EAE0BEF5}">
      <text>
        <r>
          <rPr>
            <b/>
            <sz val="9"/>
            <color indexed="81"/>
            <rFont val="Tahoma"/>
            <family val="2"/>
          </rPr>
          <t>CARLOS ARTURO YEE DE LA BARC:</t>
        </r>
        <r>
          <rPr>
            <sz val="9"/>
            <color indexed="81"/>
            <rFont val="Tahoma"/>
            <family val="2"/>
          </rPr>
          <t xml:space="preserve">
Ahorros o Corriente</t>
        </r>
      </text>
    </comment>
    <comment ref="I6" authorId="0" shapeId="0" xr:uid="{EBBEED9C-DD1E-489C-97DB-DE587647BEF8}">
      <text>
        <r>
          <rPr>
            <b/>
            <sz val="9"/>
            <color indexed="81"/>
            <rFont val="Tahoma"/>
            <family val="2"/>
          </rPr>
          <t>CARLOS ARTURO YEE DE LA BARC:</t>
        </r>
        <r>
          <rPr>
            <sz val="9"/>
            <color indexed="81"/>
            <rFont val="Tahoma"/>
            <family val="2"/>
          </rPr>
          <t xml:space="preserve">
Bancaria</t>
        </r>
      </text>
    </comment>
    <comment ref="L6" authorId="0" shapeId="0" xr:uid="{270EE1C7-8F65-4DB1-958B-B9B9D9278B91}">
      <text>
        <r>
          <rPr>
            <b/>
            <sz val="9"/>
            <color indexed="81"/>
            <rFont val="Tahoma"/>
            <family val="2"/>
          </rPr>
          <t>CARLOS ARTURO YEE DE LA BARC:</t>
        </r>
        <r>
          <rPr>
            <sz val="9"/>
            <color indexed="81"/>
            <rFont val="Tahoma"/>
            <family val="2"/>
          </rPr>
          <t xml:space="preserve">
Valor total firmado en contrato, convenio. curso</t>
        </r>
      </text>
    </comment>
    <comment ref="O6" authorId="0" shapeId="0" xr:uid="{6D76062A-78CB-46F3-A484-675488B13A27}">
      <text>
        <r>
          <rPr>
            <b/>
            <sz val="9"/>
            <color indexed="81"/>
            <rFont val="Tahoma"/>
            <family val="2"/>
          </rPr>
          <t>CARLOS ARTURO YEE DE LA BARC:</t>
        </r>
        <r>
          <rPr>
            <sz val="9"/>
            <color indexed="81"/>
            <rFont val="Tahoma"/>
            <family val="2"/>
          </rPr>
          <t xml:space="preserve">
establecido por el Comité Central de extensión</t>
        </r>
      </text>
    </comment>
    <comment ref="P6" authorId="0" shapeId="0" xr:uid="{C2E5DEAC-2C80-4C3C-B942-2132D78F2857}">
      <text>
        <r>
          <rPr>
            <b/>
            <sz val="9"/>
            <color indexed="81"/>
            <rFont val="Tahoma"/>
            <family val="2"/>
          </rPr>
          <t>CARLOS ARTURO YEE DE LA BARC:</t>
        </r>
        <r>
          <rPr>
            <sz val="9"/>
            <color indexed="81"/>
            <rFont val="Tahoma"/>
            <family val="2"/>
          </rPr>
          <t xml:space="preserve">
Se calcula multiplicando el valor total del proyecto por el 5 deapropiación según presupuesto</t>
        </r>
      </text>
    </comment>
    <comment ref="Q6" authorId="0" shapeId="0" xr:uid="{CAEC8610-E10F-44AE-8C0F-D7E2FB6FA463}">
      <text>
        <r>
          <rPr>
            <b/>
            <sz val="9"/>
            <color indexed="81"/>
            <rFont val="Tahoma"/>
            <family val="2"/>
          </rPr>
          <t>CARLOS ARTURO YEE DE LA BARC:</t>
        </r>
        <r>
          <rPr>
            <sz val="9"/>
            <color indexed="81"/>
            <rFont val="Tahoma"/>
            <family val="2"/>
          </rPr>
          <t xml:space="preserve">
Es el valor de la sumatoria de todos los ingresos a la fecha( actulalización) desde la firma del contrato, convenio o cursos a la fecha. Es una columna de información.</t>
        </r>
      </text>
    </comment>
    <comment ref="R6" authorId="0" shapeId="0" xr:uid="{A74226BC-DD5B-482E-B089-90E1D21C6D17}">
      <text>
        <r>
          <rPr>
            <b/>
            <sz val="9"/>
            <color indexed="81"/>
            <rFont val="Tahoma"/>
            <family val="2"/>
          </rPr>
          <t>CARLOS ARTURO YEE DE LA BARC:</t>
        </r>
        <r>
          <rPr>
            <sz val="9"/>
            <color indexed="81"/>
            <rFont val="Tahoma"/>
            <family val="2"/>
          </rPr>
          <t xml:space="preserve">
Este valor sobre el cual, se va a liquidar el BI del trimestre que se presenta, se to,aria la cifra de la sumatoria de ingresos del centro de costos</t>
        </r>
      </text>
    </comment>
    <comment ref="S6" authorId="0" shapeId="0" xr:uid="{C487229E-2303-4EE4-A9FE-DADF3F82E3BA}">
      <text>
        <r>
          <rPr>
            <b/>
            <sz val="9"/>
            <color indexed="81"/>
            <rFont val="Tahoma"/>
            <family val="2"/>
          </rPr>
          <t>CARLOS ARTURO YEE DE LA BARC:</t>
        </r>
        <r>
          <rPr>
            <sz val="9"/>
            <color indexed="81"/>
            <rFont val="Tahoma"/>
            <family val="2"/>
          </rPr>
          <t xml:space="preserve">
Se logra de multiplicar el % autorizado por el valor recaudado en el periodo</t>
        </r>
      </text>
    </comment>
    <comment ref="T6" authorId="0" shapeId="0" xr:uid="{7202A4FD-A1A6-4620-8AE9-4A9F745156C1}">
      <text>
        <r>
          <rPr>
            <b/>
            <sz val="9"/>
            <color indexed="81"/>
            <rFont val="Tahoma"/>
            <family val="2"/>
          </rPr>
          <t>CARLOS ARTURO YEE DE LA BARC:</t>
        </r>
        <r>
          <rPr>
            <sz val="9"/>
            <color indexed="81"/>
            <rFont val="Tahoma"/>
            <family val="2"/>
          </rPr>
          <t xml:space="preserve">
Se logra al multiplicar el BI a distribuir en el trimestre X 40 % para el IDEXUD</t>
        </r>
      </text>
    </comment>
    <comment ref="U6" authorId="0" shapeId="0" xr:uid="{18298A82-A445-4890-80D9-4FA2926EF3A2}">
      <text>
        <r>
          <rPr>
            <b/>
            <sz val="9"/>
            <color indexed="81"/>
            <rFont val="Tahoma"/>
            <family val="2"/>
          </rPr>
          <t>CARLOS ARTURO YEE DE LA BARC:</t>
        </r>
        <r>
          <rPr>
            <sz val="9"/>
            <color indexed="81"/>
            <rFont val="Tahoma"/>
            <family val="2"/>
          </rPr>
          <t xml:space="preserve">
Se logra al multiplicar el BI a distribuir en el trimestre X 60 % para la universidad</t>
        </r>
      </text>
    </comment>
    <comment ref="V6" authorId="0" shapeId="0" xr:uid="{E91ABBB5-5F41-4BA5-8506-08591D3F8A06}">
      <text>
        <r>
          <rPr>
            <b/>
            <sz val="9"/>
            <color indexed="81"/>
            <rFont val="Tahoma"/>
            <family val="2"/>
          </rPr>
          <t>CARLOS ARTURO YEE DE LA BARC:</t>
        </r>
        <r>
          <rPr>
            <sz val="9"/>
            <color indexed="81"/>
            <rFont val="Tahoma"/>
            <family val="2"/>
          </rPr>
          <t xml:space="preserve">
Este valor sobre el cual, se va a liquidar el BI del trimestre que se presenta, se to,aria la cifra de la sumatoria de ingresos del centro de costos</t>
        </r>
      </text>
    </comment>
    <comment ref="W6" authorId="0" shapeId="0" xr:uid="{1BE2E7E3-08C9-488F-BDE7-2C8B28AFC4CF}">
      <text>
        <r>
          <rPr>
            <b/>
            <sz val="9"/>
            <color indexed="81"/>
            <rFont val="Tahoma"/>
            <family val="2"/>
          </rPr>
          <t>CARLOS ARTURO YEE DE LA BARC:</t>
        </r>
        <r>
          <rPr>
            <sz val="9"/>
            <color indexed="81"/>
            <rFont val="Tahoma"/>
            <family val="2"/>
          </rPr>
          <t xml:space="preserve">
Se logra de multiplicar el % autorizado por el valor recaudado en el periodo</t>
        </r>
      </text>
    </comment>
    <comment ref="X6" authorId="0" shapeId="0" xr:uid="{9B65DCD6-EB4A-41EC-AF96-F75952698AE1}">
      <text>
        <r>
          <rPr>
            <b/>
            <sz val="9"/>
            <color indexed="81"/>
            <rFont val="Tahoma"/>
            <family val="2"/>
          </rPr>
          <t>CARLOS ARTURO YEE DE LA BARC:</t>
        </r>
        <r>
          <rPr>
            <sz val="9"/>
            <color indexed="81"/>
            <rFont val="Tahoma"/>
            <family val="2"/>
          </rPr>
          <t xml:space="preserve">
Se logra al multiplicar el BI a distribuir en el trimestre X 40 % para el IDEXUD</t>
        </r>
      </text>
    </comment>
    <comment ref="Y6" authorId="0" shapeId="0" xr:uid="{178788D4-D8D2-4FB7-BC07-B87EAD3DDF3E}">
      <text>
        <r>
          <rPr>
            <b/>
            <sz val="9"/>
            <color indexed="81"/>
            <rFont val="Tahoma"/>
            <family val="2"/>
          </rPr>
          <t>CARLOS ARTURO YEE DE LA BARC:</t>
        </r>
        <r>
          <rPr>
            <sz val="9"/>
            <color indexed="81"/>
            <rFont val="Tahoma"/>
            <family val="2"/>
          </rPr>
          <t xml:space="preserve">
Se logra al multiplicar el BI a distribuir en el trimestre X 60 % para la universidad</t>
        </r>
      </text>
    </comment>
    <comment ref="Z6" authorId="0" shapeId="0" xr:uid="{F730FA96-F667-4C70-994A-8CA626D61F8A}">
      <text>
        <r>
          <rPr>
            <b/>
            <sz val="9"/>
            <color indexed="81"/>
            <rFont val="Tahoma"/>
            <family val="2"/>
          </rPr>
          <t>CARLOS ARTURO YEE DE LA BARC:</t>
        </r>
        <r>
          <rPr>
            <sz val="9"/>
            <color indexed="81"/>
            <rFont val="Tahoma"/>
            <family val="2"/>
          </rPr>
          <t xml:space="preserve">
Este valor sobre el cual, se va a liquidar el BI del trimestre que se presenta, se to,aria la cifra de la sumatoria de ingresos del centro de costos</t>
        </r>
      </text>
    </comment>
    <comment ref="AA6" authorId="0" shapeId="0" xr:uid="{3E3965D3-26A4-4E1F-9C80-5D6DBD68D03A}">
      <text>
        <r>
          <rPr>
            <b/>
            <sz val="9"/>
            <color indexed="81"/>
            <rFont val="Tahoma"/>
            <family val="2"/>
          </rPr>
          <t>CARLOS ARTURO YEE DE LA BARC:</t>
        </r>
        <r>
          <rPr>
            <sz val="9"/>
            <color indexed="81"/>
            <rFont val="Tahoma"/>
            <family val="2"/>
          </rPr>
          <t xml:space="preserve">
Se logra de multiplicar el % autorizado por el valor recaudado en el periodo</t>
        </r>
      </text>
    </comment>
    <comment ref="AB6" authorId="0" shapeId="0" xr:uid="{494A6CDA-5C9D-4C2E-A959-E9A65AEBAA2F}">
      <text>
        <r>
          <rPr>
            <b/>
            <sz val="9"/>
            <color indexed="81"/>
            <rFont val="Tahoma"/>
            <family val="2"/>
          </rPr>
          <t>CARLOS ARTURO YEE DE LA BARC:</t>
        </r>
        <r>
          <rPr>
            <sz val="9"/>
            <color indexed="81"/>
            <rFont val="Tahoma"/>
            <family val="2"/>
          </rPr>
          <t xml:space="preserve">
Se logra al multiplicar el BI a distribuir en el trimestre X 40 % para el IDEXUD</t>
        </r>
      </text>
    </comment>
    <comment ref="AC6" authorId="0" shapeId="0" xr:uid="{043FE07E-54F6-4785-ADC5-5466D4ED2A1E}">
      <text>
        <r>
          <rPr>
            <b/>
            <sz val="9"/>
            <color indexed="81"/>
            <rFont val="Tahoma"/>
            <family val="2"/>
          </rPr>
          <t>CARLOS ARTURO YEE DE LA BARC:</t>
        </r>
        <r>
          <rPr>
            <sz val="9"/>
            <color indexed="81"/>
            <rFont val="Tahoma"/>
            <family val="2"/>
          </rPr>
          <t xml:space="preserve">
Se logra al multiplicar el BI a distribuir en el trimestre X 60 % para la universidad</t>
        </r>
      </text>
    </comment>
    <comment ref="AD6" authorId="0" shapeId="0" xr:uid="{7A85C19A-0A5F-4145-8102-9A251AF624E6}">
      <text>
        <r>
          <rPr>
            <b/>
            <sz val="9"/>
            <color indexed="81"/>
            <rFont val="Tahoma"/>
            <family val="2"/>
          </rPr>
          <t>CARLOS ARTURO YEE DE LA BARC:</t>
        </r>
        <r>
          <rPr>
            <sz val="9"/>
            <color indexed="81"/>
            <rFont val="Tahoma"/>
            <family val="2"/>
          </rPr>
          <t xml:space="preserve">
Este valor sobre el cual, se va a liquidar el BI del trimestre que se presenta, se to,aria la cifra de la sumatoria de ingresos del centro de costos</t>
        </r>
      </text>
    </comment>
    <comment ref="AE6" authorId="0" shapeId="0" xr:uid="{79250D28-99D6-4607-8194-358033D42950}">
      <text>
        <r>
          <rPr>
            <b/>
            <sz val="9"/>
            <color indexed="81"/>
            <rFont val="Tahoma"/>
            <family val="2"/>
          </rPr>
          <t>CARLOS ARTURO YEE DE LA BARC:</t>
        </r>
        <r>
          <rPr>
            <sz val="9"/>
            <color indexed="81"/>
            <rFont val="Tahoma"/>
            <family val="2"/>
          </rPr>
          <t xml:space="preserve">
Se logra de multiplicar el % autorizado por el valor recaudado en el periodo</t>
        </r>
      </text>
    </comment>
    <comment ref="AF6" authorId="0" shapeId="0" xr:uid="{9003656A-2F7F-4D94-B290-CD7F1120D17E}">
      <text>
        <r>
          <rPr>
            <b/>
            <sz val="9"/>
            <color indexed="81"/>
            <rFont val="Tahoma"/>
            <family val="2"/>
          </rPr>
          <t>CARLOS ARTURO YEE DE LA BARC:</t>
        </r>
        <r>
          <rPr>
            <sz val="9"/>
            <color indexed="81"/>
            <rFont val="Tahoma"/>
            <family val="2"/>
          </rPr>
          <t xml:space="preserve">
Se logra al multiplicar el BI a distribuir en el trimestre X 40 % para el IDEXUD</t>
        </r>
      </text>
    </comment>
    <comment ref="AG6" authorId="0" shapeId="0" xr:uid="{03319A6E-E326-418D-AAE4-3CCBC7AEC0E5}">
      <text>
        <r>
          <rPr>
            <b/>
            <sz val="9"/>
            <color indexed="81"/>
            <rFont val="Tahoma"/>
            <family val="2"/>
          </rPr>
          <t>CARLOS ARTURO YEE DE LA BARC:</t>
        </r>
        <r>
          <rPr>
            <sz val="9"/>
            <color indexed="81"/>
            <rFont val="Tahoma"/>
            <family val="2"/>
          </rPr>
          <t xml:space="preserve">
Se logra al multiplicar el BI a distribuir en el trimestre X 60 % para la universidad</t>
        </r>
      </text>
    </comment>
    <comment ref="AH6" authorId="0" shapeId="0" xr:uid="{1406BF9A-4CCC-4CB3-BD17-BE77ED355E42}">
      <text>
        <r>
          <rPr>
            <b/>
            <sz val="9"/>
            <color indexed="81"/>
            <rFont val="Tahoma"/>
            <family val="2"/>
          </rPr>
          <t>CARLOS ARTURO YEE DE LA BARC:</t>
        </r>
        <r>
          <rPr>
            <sz val="9"/>
            <color indexed="81"/>
            <rFont val="Tahoma"/>
            <family val="2"/>
          </rPr>
          <t xml:space="preserve">
Se logra de multiplicar el valor total de ingresos a la fecha (Columna R) por el porcentaje de BI. Autorizado.
Jhon Jairo Castillo: 
Se obtiene de la Operación de multiplicar el Valor del Ingreso a la Fecha (Columna U) por el % de Beneficio Institucional. 
Nota: no se dede Calcular el % de ABI al Rubro ABI
</t>
        </r>
      </text>
    </comment>
    <comment ref="AI6" authorId="0" shapeId="0" xr:uid="{4F6EA22D-4C0D-45B9-8841-E123CD440AEC}">
      <text>
        <r>
          <rPr>
            <b/>
            <sz val="9"/>
            <color indexed="81"/>
            <rFont val="Tahoma"/>
            <family val="2"/>
          </rPr>
          <t>CARLOS ARTURO YEE DE LA BARC:</t>
        </r>
        <r>
          <rPr>
            <sz val="9"/>
            <color indexed="81"/>
            <rFont val="Tahoma"/>
            <family val="2"/>
          </rPr>
          <t xml:space="preserve">
Es una columna informativa que indica la sumatoria de los B.I. ingresados en la vigencia que se esta liquidando.
</t>
        </r>
      </text>
    </comment>
  </commentList>
</comments>
</file>

<file path=xl/sharedStrings.xml><?xml version="1.0" encoding="utf-8"?>
<sst xmlns="http://schemas.openxmlformats.org/spreadsheetml/2006/main" count="8455" uniqueCount="2056">
  <si>
    <t xml:space="preserve">LLAVE </t>
  </si>
  <si>
    <t>Ultima_Fecha</t>
  </si>
  <si>
    <t xml:space="preserve">Valor </t>
  </si>
  <si>
    <t>VIGENCIA</t>
  </si>
  <si>
    <t>CUENTA</t>
  </si>
  <si>
    <t xml:space="preserve">DESCRIPCION                                       </t>
  </si>
  <si>
    <t>VALOR PROYECTO</t>
  </si>
  <si>
    <t>BENEFICIO</t>
  </si>
  <si>
    <t>%</t>
  </si>
  <si>
    <t>INGRESOS-EJECUCION A LA FECHA</t>
  </si>
  <si>
    <t>BENEF REAL</t>
  </si>
  <si>
    <t>BENEFI TOMADO</t>
  </si>
  <si>
    <t>A TOMAR</t>
  </si>
  <si>
    <t>IDEXUD</t>
  </si>
  <si>
    <t>OP IDEXUD</t>
  </si>
  <si>
    <t>UNIVERSIDAD</t>
  </si>
  <si>
    <t>OP UD</t>
  </si>
  <si>
    <t>CDP</t>
  </si>
  <si>
    <t>RP</t>
  </si>
  <si>
    <t>USUARIO</t>
  </si>
  <si>
    <t>FECHA DE DILIGENCIAMIENTO</t>
  </si>
  <si>
    <t>OBSERVACIONES</t>
  </si>
  <si>
    <t>ILUD</t>
  </si>
  <si>
    <t>LORELY</t>
  </si>
  <si>
    <t xml:space="preserve">CONV ESPECIFICO 001 DE 2019 UNIVERSIDAD FHNW      </t>
  </si>
  <si>
    <t>MONICA MOYA</t>
  </si>
  <si>
    <t xml:space="preserve">CONV  430 2016 IDIGER - FONDIGER  </t>
  </si>
  <si>
    <t xml:space="preserve">CTTO INTERV TECN 121 DE 2019 GOB NORTE SANTANDER </t>
  </si>
  <si>
    <t xml:space="preserve">CONT 148 DE 2016 FDL RAFAEL URIBE URIBE </t>
  </si>
  <si>
    <t xml:space="preserve">CTTO INTERADM 31-2019 CONCEJO MUNICIPAL DE CHIA   </t>
  </si>
  <si>
    <t>CTTO INTERVENTORIA 201-5-19 FONDO ROTATORIO POLICI</t>
  </si>
  <si>
    <t xml:space="preserve">CTTO INTERADM 001-2019 CONCEJO DE TUNJA           </t>
  </si>
  <si>
    <t xml:space="preserve">CPS 03 de 2019 ASAMBLEA DEPARTAMENTAL DEL CESAR   </t>
  </si>
  <si>
    <t xml:space="preserve">CTTO INTERADM 061-5-19 FONDO ROTATORIO POLICIA    </t>
  </si>
  <si>
    <t xml:space="preserve">MODIFICATORIO 2 ANEXO FINANCIERO 1029 2010        </t>
  </si>
  <si>
    <t xml:space="preserve">CONV. INTERAD.389 2019 FDL CIUDAD BOLIVAR         </t>
  </si>
  <si>
    <t>CONV.COOP.003 2020 CAR VALLES DEL SINU Y SAN JORGE</t>
  </si>
  <si>
    <t>NO HAY SALDO EN LA CUENTA CONTABLE. NO REALIZARON EL INGRESO. SE ANULA</t>
  </si>
  <si>
    <t xml:space="preserve">CONTRAT  1069 DE 2015 SENA                        </t>
  </si>
  <si>
    <t>SEGÚN LO ESTABLECIDO CON DIANA CARO EL VR DEL BENEFICIO A TOMAR ES DE $200,000,000, EXISTEN UNAS MULTAS POR VALOR DE $441,785,257</t>
  </si>
  <si>
    <t xml:space="preserve">CONTR 226 FDL KENNEDY                             </t>
  </si>
  <si>
    <t>KATIA FLOREZ</t>
  </si>
  <si>
    <t>SE APROPIA EL SALDO QUE HAY EN LA CUENTA CONTABLE.</t>
  </si>
  <si>
    <t>CTTO INTERAD SFP-CDCTI-027-2020 GOBER.CUNDINAMARCA</t>
  </si>
  <si>
    <t xml:space="preserve">CTTO INTER No SFP-CDCTI-044-2020                  </t>
  </si>
  <si>
    <t xml:space="preserve"> CONTRATO  083 DE 2017 ICCU                       </t>
  </si>
  <si>
    <t>CONV INTERADM 80 DE 2019 REG ADMIN Y PLAN ESP RAPE</t>
  </si>
  <si>
    <t xml:space="preserve">CTTO INTER 230 IDECUT 2020 - ASAB                 </t>
  </si>
  <si>
    <t xml:space="preserve">CTTO INTERADM 025-5-19 FONDO ROTATORIO POLICIA    </t>
  </si>
  <si>
    <t>CTTO INTERVENTORIA 201-5-19 FONDO ROTATORIO POLICIA</t>
  </si>
  <si>
    <t>EL VR A APROPIAR DE BENEFICIO SEGÚN LOS INGRESOS A MARZO 24-2021 CORRESPONDE A $ 5,154,926, PERO SOLO DE TOMA $4,798,715 SEGÚN EL SALDO EXISTENTE A LA FECHA EN LA CTA CONTABLE 2910906651.</t>
  </si>
  <si>
    <t xml:space="preserve">CTTO INTERADM 45 ASAMBLEA DEPARTAMENTAL </t>
  </si>
  <si>
    <t xml:space="preserve">SE APROPIA EL SALDO PTE DEL BENEFICIO ESTABLECIDO EN EL PRESUPUESTO, DEBIDO A QUE EL PROYECTO ESTA LIQUIDADO Y GENERA UN EXCEDENTE. </t>
  </si>
  <si>
    <t xml:space="preserve">CONV INTER 092 RAP-E-UD-GICALYT-2020              </t>
  </si>
  <si>
    <t xml:space="preserve">CENTRO PENSAMIENTO Y DIALOGO POLITICO              </t>
  </si>
  <si>
    <t>CTTO INTERADM 152-5-19 INTERV FONDO ROTATORIO POLICIA</t>
  </si>
  <si>
    <t xml:space="preserve">G-27 2013 SERVIVIENDA                             </t>
  </si>
  <si>
    <t>EMPRESA DE SERVICIOS PÚBICOS DE CHÍA EMSECHIA E.S.P.</t>
  </si>
  <si>
    <t>SEGÚN LO ACORDADO CON DIANA CARO SE APROPIA $50,000,000</t>
  </si>
  <si>
    <t>POR ERROR SE REGISTRO UN REINTEGRO DE UN AVANCE COMO UN INGRESO, SE CORRIJE EN ABRIL . OJO PARA TENER ENCUENTA AL APROPIAR BENEFICIO DE INGRESOS POSTERIORES A ABRIL 2021. EL INGRESO REAL DEL PROYECTO CON CORTE  23 DE ABRIL ES $194,067,000. SE TOMO MAS BENEFICIO DEL QUE CORRESPONDIA.</t>
  </si>
  <si>
    <t xml:space="preserve">CTTO INTER 118-ICFE-2020 - INST DE CASAS FISCALES </t>
  </si>
  <si>
    <t>CTTO INTER 2385 IDIPROM - 2020</t>
  </si>
  <si>
    <t>PROG ACADÉMICO TRANSIT  FAC MEDIO AMBIENTE 2020-3</t>
  </si>
  <si>
    <t xml:space="preserve">CONT 232 DE 2016 FDL USME                         </t>
  </si>
  <si>
    <t xml:space="preserve">PROGRAMA ACADÉMICO DE GRADO FACULTAD TECNOLÓGICA  </t>
  </si>
  <si>
    <t xml:space="preserve">PROGRAMA ACADÉMICO DE GRADO 2020-III FAC ING      </t>
  </si>
  <si>
    <t>PROGRAMA ACADÉMICO DE GRADO FACULTAD TECNOLÓGICA</t>
  </si>
  <si>
    <t xml:space="preserve">DIPLOMADO EN INNOVACIÓN  FORM Y EVAL DE PROYECTOS </t>
  </si>
  <si>
    <t>SE APROPIA $5,591,250 SEGÚN CORREO ENVIADO POR CARLOS ESTE ES EL SALDO PRESUPUESTAL.</t>
  </si>
  <si>
    <t xml:space="preserve">DIPLOMADO EN ECONOMIA CIRCULAR Y SOSTENIBILIDAD   </t>
  </si>
  <si>
    <t>CTTO INTER 085-00-D-CACOM1-DEDHU-2020</t>
  </si>
  <si>
    <t xml:space="preserve">CONV 1594 DE 2016 CAR CUNDINAMARCA                </t>
  </si>
  <si>
    <t xml:space="preserve">CONV INTER 4130-2016 - SED-ICETEX 2020            </t>
  </si>
  <si>
    <t xml:space="preserve">CONV INTER 1004-2020 - IDPAC                      </t>
  </si>
  <si>
    <t xml:space="preserve">CTTO INTERADM - INTERVENTORIA 2180684 - FONADE    </t>
  </si>
  <si>
    <t xml:space="preserve">CTTO INTER 289-2020 SUPERTRANSPORTE               </t>
  </si>
  <si>
    <t>SE APROPIA ESTE VALOR DE ACUERDO AL SALDO QUE HABIA EN ESTE MOMENTO EN LA CTA CONTABLE . QUEDA SALDO EN EL CDP Y RP PARA CUANDO INGRESE DINERO AL PROYECTO</t>
  </si>
  <si>
    <t xml:space="preserve">CTTO INTER No 390 MUNICIPIO MADRID                </t>
  </si>
  <si>
    <t xml:space="preserve">ANEXO CTTO CO1.PCCNTR.1923917 - SENA              </t>
  </si>
  <si>
    <t xml:space="preserve">CTTO 487 SERV.CAPACITACIONES PLAN INSTITUCION-INDIGER </t>
  </si>
  <si>
    <t xml:space="preserve">CTTO INTERAD 624 - 2020 MUNICIPIO FUNZA           </t>
  </si>
  <si>
    <t xml:space="preserve">CTTO CO1.PCCNTR1953890 SH SAN ANDRES              </t>
  </si>
  <si>
    <t xml:space="preserve">CTTO GEF-CA-SNC 010 - 2020                        </t>
  </si>
  <si>
    <t>CTTO INTERADM 541-2019 U ADMINIST SERV PUB - UAESP</t>
  </si>
  <si>
    <t xml:space="preserve">CTTO INTERAD 434 ESAB 2020                        </t>
  </si>
  <si>
    <t xml:space="preserve">ORDEN DE COMPRA 4500135787 COMPENSAR - ILUD       </t>
  </si>
  <si>
    <t>OBJETO ORDEN DE COMPRA COMPENSAR: EL SIGUIENTE CLAUSULADO GENERAL HACE PARTE INTEGRAL DE LAS ÓRDENES DE COMPRA EMITIDAS POR COMPENSAR CCF, EN ADELANTE “COMPENSAR” Y REGLAMENTA LA RELACIÓN COMERCIAL DE COMPENSAR Y SUS CONTRATISTAS Y/O PROVEEDORES EN ADELANTE “PROVEEDORES” OBJETO PROPUESTA IDEXUD: FORMACIÓN EN LENGUA EXTRANJERA INGLÉS PARA LOS SERVIDORES PÚBLICOS DE LA SECRETARÍA DISTRITAL DE EDUCACIÓN.</t>
  </si>
  <si>
    <t xml:space="preserve"> CONT  213 DE 2017 ALCADIA BUCARAMANGA            </t>
  </si>
  <si>
    <t>EL VR A APROPIAR DE BENEFICIO SEGÚN LOS INGRESOS A MAYO 20-2021 CORRESPONDE A $ 553,753,136 PERO SOLO SE TOMA $381,314,740 SEGÚN EL SALDO EXISTENTE A LA FECHA EN LA CTA CONTABLE 2910906310 RESTANDO LOS RP QUE ESTAN PENDIENTES DE PAGO POR VR DE $100,663,312.</t>
  </si>
  <si>
    <t xml:space="preserve">CONTR 036-2012 UNIDAD REHAB Y MTO VIAL    </t>
  </si>
  <si>
    <t>OJO REVISAR URGENTE SI NO SE HA PASADO ESTE BENEFICIO</t>
  </si>
  <si>
    <t xml:space="preserve">CONT 225 DE 2015 FDL KENNEDY               </t>
  </si>
  <si>
    <t xml:space="preserve">SE TOMA EL SALDO QUE HAY  SIIGO A LA FECHA. </t>
  </si>
  <si>
    <t xml:space="preserve">CTTO 003-2021-AGENCIA NACIONAL SEG VIAL     </t>
  </si>
  <si>
    <t>SE TOMA EL SALDO INDICADO POR  PRESUPUESTO SEGÚN CORREO DEL 28-06-2021</t>
  </si>
  <si>
    <t xml:space="preserve">CTTO INTERADM 279 2019 MUNICIPIO DE MADRID        </t>
  </si>
  <si>
    <t>R 014 00000000117 008</t>
  </si>
  <si>
    <t xml:space="preserve">DIPLOMADOS MULTIDICIPLINARIOS 2020     </t>
  </si>
  <si>
    <t>R-14-105</t>
  </si>
  <si>
    <t xml:space="preserve">CURSO EN ADMINISTRACION DE TIERRAS 2021           </t>
  </si>
  <si>
    <t>PROG. ACAD. TRANSIT. RETORNO FAC TECNOLOGICA  2021</t>
  </si>
  <si>
    <t xml:space="preserve">CPS 187 DE 2018 FDL TUNJUELITO       </t>
  </si>
  <si>
    <t>SE TOMA EL SALDO QUE HAY A LA FECHA EN SIIGO,NO EXISTEN GIROS PENDIENTES ENTONCES SE TOMA EL SALDO PARA BENEFICIO. SE ANEXA ESTADO DE CUENTA</t>
  </si>
  <si>
    <t xml:space="preserve">CONTR 880 DE 2017 DEP DEL GUAINIA         </t>
  </si>
  <si>
    <t>R-14-108</t>
  </si>
  <si>
    <t>SE TOMA EL SALDO TOTAL QUE QUEDA  DEL BENEFICIO SEGÚN PRESUPUESTO. SE REVISÓ QUE HAY SALDO DISPONIBLE PARA APROPIAR EL SALDO TOTAL TANTO EN SIIGO COMO PRESUPUESTALMENTE, DESPUES DE GIRAR LOS RP QUE SE ENCUENTRAN PENDIENTES.</t>
  </si>
  <si>
    <t xml:space="preserve">CONTRATO  79 DE 2017 FONCEP                       </t>
  </si>
  <si>
    <t>R-14-115</t>
  </si>
  <si>
    <t>SEGÚN ANALISIS DE CASOS DEPURADOS DEL AÑO 2017 SE REALIZO ESTADO DE CUENTA Y SE APROPIA EL SALDO QUE HAY EN LA CUENTA EN SIIGO.</t>
  </si>
  <si>
    <t xml:space="preserve">CTTO 021-00-G-CACOM-4-DEDHU-2021 MINDEFENSA       </t>
  </si>
  <si>
    <t>R 014 00000000118 008</t>
  </si>
  <si>
    <t xml:space="preserve">CTTO INTER 015-2020 SERVICIO GEOLÓGICO COLOMBIANO </t>
  </si>
  <si>
    <t>R 014 00000000118 006</t>
  </si>
  <si>
    <t>R 014 00000000118 010</t>
  </si>
  <si>
    <t xml:space="preserve">CONTRAT  1069 DE 2015 SENA  </t>
  </si>
  <si>
    <t>R 014 00000000117 004</t>
  </si>
  <si>
    <t>SEGÚN LO ESTABLECIDO CON DIANA CARO EL VR DEL BENEFICIO A TOMAR ES DE $200,000,000</t>
  </si>
  <si>
    <t xml:space="preserve">CTTO 003-2021-AGENCIA NACIONAL SEG VIAL           </t>
  </si>
  <si>
    <t>R 014 00000000120 006</t>
  </si>
  <si>
    <t xml:space="preserve">CONV INTER 128-2021 MUNICIPIO EL COLEGIO          </t>
  </si>
  <si>
    <t>R 014 00000000123 002</t>
  </si>
  <si>
    <t>INGRESO EL 100% DEL  PROYECTO, SE TOMA EL SALDO TOTAL QUE QUEDA POR APROPIAR DE BENEFICIO. SE TOMA CON EL RP 447  QUE YA HABIA SIDO SOLICITADO EL 9 DE MARZO DE 2021 POR VALOR DE $7,154,867.</t>
  </si>
  <si>
    <t>CTTO INTERADM 672 2019 ESC SUPERIOR DE ADMON PUBIL</t>
  </si>
  <si>
    <t>R 014 00000000173 004</t>
  </si>
  <si>
    <t>SE APROPIA PARA EL IDEXUD $1,911,097 POR QUE EN LA OP 3291 DEL 1-06-2020 YA SE HABIA APROPIADO $5,744,608 PARA UN TOTAL DE $7,655,705  CORRESPONDIENTE AL 40% DEL TOTAL DEL BENEFICIO.</t>
  </si>
  <si>
    <t>CONV INTERADM 178-2019 CORP AUTONOMA ALTO MAGDALEN</t>
  </si>
  <si>
    <t>R 014 00000000140 004</t>
  </si>
  <si>
    <t xml:space="preserve">EL VALOR CORRESPONDIENTE A APROPIAR ES $12,983,144, PERO  SE APROPIA EL SALDO QUE EXISTE EN LA CTA A LA FECHA EN SIIGO $5,226,630. </t>
  </si>
  <si>
    <t>POLICIA NACIONAL</t>
  </si>
  <si>
    <t>SEGÚN ANALISIS SE APROPIA EL 100% DEL SALDO PENDIENTE POR APROPROPIAR EN EL RP</t>
  </si>
  <si>
    <t>INSTITUTO DISTRITAL DE LAS ARTES - IDARTES</t>
  </si>
  <si>
    <t>R 014 00000000156 010</t>
  </si>
  <si>
    <t>SE APROPIA EL 100% SEGÚN SALDO PRESUPUESTAL</t>
  </si>
  <si>
    <t>CAJA DE VIVIENDA POPULAR</t>
  </si>
  <si>
    <t>CORPORACIÓN AUTÓNOMA DE LOS VALLES DEL SINU Y SAN JORGE-CVS</t>
  </si>
  <si>
    <t>SE TOMA EL TOTAL DEL SALDO POR APROPIAR SEGÚN PRESUPUESTO. PROYECTO LIQUIDADO.</t>
  </si>
  <si>
    <t>FONDO FINANCIERO DISTRITAL DE SALUD-SDS</t>
  </si>
  <si>
    <t xml:space="preserve">CURSOS LIBRES ARTE DANZARIO 2020-3 ASAB           </t>
  </si>
  <si>
    <t>SE APROPIA EL 100% SEGÚN PESUPUESTO</t>
  </si>
  <si>
    <t xml:space="preserve">PROGRAMA ACADÉMICO TRANSITORIO DE RETORNO 2020-3  </t>
  </si>
  <si>
    <t xml:space="preserve">CONT 180/2012 I D M </t>
  </si>
  <si>
    <t>CURSO INTRODUCCION A LA PROGRAMACION PYTHON 2021</t>
  </si>
  <si>
    <t xml:space="preserve">CONTRATO DE INTERVENTORIA 09 DE 2013 FUNDACION SERVICIO DE VIVIENDA POPULAR - SERVIVIENDA                </t>
  </si>
  <si>
    <t>R 014 00000000141 004</t>
  </si>
  <si>
    <t xml:space="preserve">CONTR L16 171 DE 2016 F D L PUENTE ARANDA         </t>
  </si>
  <si>
    <t>2594</t>
  </si>
  <si>
    <t>SE APROPIA PROPORCIONAL A LOS INGRESOS.SALDO POR APROPIAR $53,447,302</t>
  </si>
  <si>
    <t>R 014 00000000163 004</t>
  </si>
  <si>
    <t xml:space="preserve">No 682-2013 DPTO CORDOBA </t>
  </si>
  <si>
    <t>R 014 00000000178 008</t>
  </si>
  <si>
    <t>SE APROPIA $107,618,954 SEGÚN SALDO DISPONIBLE EN SIIGO.</t>
  </si>
  <si>
    <t xml:space="preserve">CTTO INTERADM 23252018 DEPARTAMENTO DE CASANARE  </t>
  </si>
  <si>
    <t>SE REALIZA APROPIACION DEL BENEFICIO QUE FUE DEVUELTO SEGÚN R-014 106 DEL 12-07-2019, DE ACUERDO A CORREO ENVIADO EL 22-09-2021</t>
  </si>
  <si>
    <t xml:space="preserve">CTTO INTERADM 1792 DE 2019 CORP AUTONAMA REG CUND </t>
  </si>
  <si>
    <t xml:space="preserve">CI CO1.PCCNTR.2609142 SED  </t>
  </si>
  <si>
    <t>CPS PROF 032 DE 2018 -AUDITORIA GENERAL DE LA REP.</t>
  </si>
  <si>
    <t>SE APROPIA EL SALDO PRESUPUESTAL QUE EXISTE  EN LA CTA SEP-30-2021</t>
  </si>
  <si>
    <t xml:space="preserve">CONV 055-2021 RAPE                                </t>
  </si>
  <si>
    <t>PENDIENTE DE GIRO OJO URGENTE</t>
  </si>
  <si>
    <t>POR ERROR  SE SOLICITO CDP Y RP POR VALOR DE $22,455,559 Y EL VR CORRECTO ES $22,455,549 DIFERENCIA DE $10, PARA NO ANULAR CDP Y RP SE DEJA ASI POR SER LA DIFERENCIA TAN MINIMA</t>
  </si>
  <si>
    <t xml:space="preserve">CTTO 24715-2021 IGAC                              </t>
  </si>
  <si>
    <t>noviembre</t>
  </si>
  <si>
    <t xml:space="preserve">PROG. ACAD. TRANSIT. RETORNO FAC CIENCIAS  2021-1 </t>
  </si>
  <si>
    <t>10X CONSULTORES S.A.S</t>
  </si>
  <si>
    <t>R 014 00000000194</t>
  </si>
  <si>
    <t xml:space="preserve">CTTO 891 DE 2021 INVIAS                           </t>
  </si>
  <si>
    <t xml:space="preserve">CTTO INTER ADM CO1.PCCNTR.2564825 DE 2021 SENA    </t>
  </si>
  <si>
    <t xml:space="preserve">CTTO 463-2020 FDL RAFAEL URIBE                    </t>
  </si>
  <si>
    <t>SE ANULAN OP  POR QUE LA CUENTA ESTA EMBARGADA NO SE PUEDE GIRAR</t>
  </si>
  <si>
    <t xml:space="preserve">CI CO1.PCCNTR.2750267 SED                         </t>
  </si>
  <si>
    <t xml:space="preserve">1671 DE 2014 DEPARTAMENTO DE BOYACA               </t>
  </si>
  <si>
    <t>SE APROPIA VALOR INDICADO POR ANDREA AMORTEGUI SEGÚN DISPONIBILIDAD PRESUPUESTAL</t>
  </si>
  <si>
    <t>CTTO INTER 402-2019 INST HIDROLOGIA Y METEOR IDEAM</t>
  </si>
  <si>
    <t xml:space="preserve">OC CLAUSULADA 4500184175 COMPENSAR                </t>
  </si>
  <si>
    <t>PENDIENTE ELABORAR OP HASTA QUE INGRESE DINERO , ADICIONALMENTE POR ERROR SE PIDIO TODO EL VR DE BENEFICIO DOS RP EL 3143 Y 3431, ES DECIR QUE CUANDO INGRESE DINERO NO SE DEBE SOLICITAR RP</t>
  </si>
  <si>
    <t>PROG ACAD TRANSIT DE RETORNO FAMARENA 2021</t>
  </si>
  <si>
    <t xml:space="preserve">CONT 02 DE MUN AGUA DE DIOS                       </t>
  </si>
  <si>
    <t xml:space="preserve">CTTO 2248-2021 MOVILIDAD                          </t>
  </si>
  <si>
    <t xml:space="preserve">CTTO 80-7-10089-21 SEMINARIO DINAE </t>
  </si>
  <si>
    <t>CPS + CULTURAL CORP. DIPLOM.  DRAMAT. Y DIREC. ESC</t>
  </si>
  <si>
    <t xml:space="preserve">CI 79 DE 2021 IDEP                                </t>
  </si>
  <si>
    <t>263-2362</t>
  </si>
  <si>
    <t>4433-4435</t>
  </si>
  <si>
    <t xml:space="preserve">CONT 145 2016  FDL RAFAEL URIBE URIBE             </t>
  </si>
  <si>
    <t xml:space="preserve">CONT 2142 2105 DPTO BOYACA                        </t>
  </si>
  <si>
    <t xml:space="preserve">CTTO 419 DE 2021 CNMH-IPAZUD                      </t>
  </si>
  <si>
    <t xml:space="preserve">CONVENIO UAESP-544-2021                           </t>
  </si>
  <si>
    <t xml:space="preserve">CONVENIO INTER  025 DE 2021 CHIA                  </t>
  </si>
  <si>
    <t xml:space="preserve">CI 477 DE 2021 SCRD- SDDE                         </t>
  </si>
  <si>
    <t xml:space="preserve">CONVENIO COOPERACION 001-2021 CVS                 </t>
  </si>
  <si>
    <t>TOMADO EN INF 1ER TRIMESTRE</t>
  </si>
  <si>
    <t xml:space="preserve">CI 372 DE 2021 FDL SUBA                           </t>
  </si>
  <si>
    <t xml:space="preserve">CONVENIO DE COOPERACION CDP2671 - 2021 </t>
  </si>
  <si>
    <t xml:space="preserve">CONVENIO RAPE-071-2021                            </t>
  </si>
  <si>
    <t xml:space="preserve">CONV 019 CORPOBOYACA 2021                         </t>
  </si>
  <si>
    <t xml:space="preserve">CONV CO1_PCCNTR_2996174_ SED                      </t>
  </si>
  <si>
    <t xml:space="preserve">CONV 0520-2021 CORPOAMAZONIA                      </t>
  </si>
  <si>
    <t xml:space="preserve">CONV 008-2021 CVS                                 </t>
  </si>
  <si>
    <t xml:space="preserve">CONV INTERAD 2596-2021 CAR-FAMARENA               </t>
  </si>
  <si>
    <t>CTTO INTERADM INTERV 120-5-18  FONDO ROTATORIO POL</t>
  </si>
  <si>
    <t>ANULADA NO EXISTE SALDO EN PRESUPUESTO</t>
  </si>
  <si>
    <t xml:space="preserve">CI 117 DE 2021 IDECUT                             </t>
  </si>
  <si>
    <t xml:space="preserve">CTTO SFP-CDCTI-043-2021                           </t>
  </si>
  <si>
    <t xml:space="preserve">CTTO INTERADM 97 DE 2021 CRA                      </t>
  </si>
  <si>
    <t xml:space="preserve">CI 111-ICFE-2021                                  </t>
  </si>
  <si>
    <t>SE APROPIA EL SALDO QUE HAY A LA FECHA EN BANCOS</t>
  </si>
  <si>
    <t xml:space="preserve">CTTO 278 DE 2021 FDL BOSA                         </t>
  </si>
  <si>
    <t xml:space="preserve">CTTO 593-2021 CATASTRO UAESP                      </t>
  </si>
  <si>
    <t>YA INGRESO DINERO NO SE PIDE CDP NI RP YA SE EXPIDIERON</t>
  </si>
  <si>
    <t xml:space="preserve">CI 27 DE 2021 SERVICIO GEOLOGICO COLOMBIANO       </t>
  </si>
  <si>
    <t xml:space="preserve">CTTO 105 DE 2021 MIGRACION COLOMBIA               </t>
  </si>
  <si>
    <t xml:space="preserve">CTTO 199  DE 2021 IDIGER                          </t>
  </si>
  <si>
    <t xml:space="preserve">CTTO UAESP-501-2021                               </t>
  </si>
  <si>
    <t xml:space="preserve">CD-CI-117-2021 ASAMB. DEP. SANTANDER              </t>
  </si>
  <si>
    <t xml:space="preserve">CTTO SELECC. CONTRALOR CASANARE BOYACA Y V/CENCIO </t>
  </si>
  <si>
    <t xml:space="preserve">CI 473-2021 IDECUT                                </t>
  </si>
  <si>
    <t xml:space="preserve">CPS No. 1 DE 2021 AJG PODAS Y JARDINES SAS        </t>
  </si>
  <si>
    <t xml:space="preserve">CI 426 DE 2021 IDEAM                              </t>
  </si>
  <si>
    <t xml:space="preserve">CI FDLUSA-CI-365-2021                             </t>
  </si>
  <si>
    <t xml:space="preserve">CI 1610 MININTERIOR 2021                          </t>
  </si>
  <si>
    <t xml:space="preserve">CI 842-2021 SECRET. HABITAT                       </t>
  </si>
  <si>
    <t xml:space="preserve">CTTO 008-2021 MUNICIPIO DE CAJICA                 </t>
  </si>
  <si>
    <t xml:space="preserve">CI 102-00-D-CACOM1-DEDHU-2021                     </t>
  </si>
  <si>
    <t xml:space="preserve">CI 185 ICFE 2021                                  </t>
  </si>
  <si>
    <t xml:space="preserve">CI 192 ICFE 2021                                  </t>
  </si>
  <si>
    <t xml:space="preserve">CTTO INTERAD 907-2021 SEC DISTRIT DE LA MUJER     </t>
  </si>
  <si>
    <t xml:space="preserve"> CURSO DE DRONES FAC MED AMB 2021                 </t>
  </si>
  <si>
    <t>TOMADO EN INF 2DO TRIMES</t>
  </si>
  <si>
    <t>SALDO PENDIENTE POR APROPIAR EN EL RP 969 POR QUE EN SU MOMENTO LA CUENTA NO TENIA DISPONIBILIDAD DE DINERO Y CUANDO SE REALIZO LA OP 9727 Y 9728  EN NOVIEMBRE DE 2021 NO SE TUVO ENCUENTA ESTE SALDO.</t>
  </si>
  <si>
    <t>SEGÚN INDICACION VERBAL DEL CORDINADOR DE FINANCIERA JHOVAN, APARTIR DEL 4 TRIMESTRE DE 2021 SE APROPIA 40% PARA IDEXUD Y 60% PARA UD</t>
  </si>
  <si>
    <t xml:space="preserve">CIA 305 2021 FDL RAFAEL URIBE </t>
  </si>
  <si>
    <t>se toma el vr a apropiar del estado de cuenta generado por Andrea</t>
  </si>
  <si>
    <t>CTTO 18  DE 2022 CONCEJO MPAL MOSQUERA</t>
  </si>
  <si>
    <t>TOMADO EN INF 3ER TRIMES</t>
  </si>
  <si>
    <t xml:space="preserve">CTTO 24715-2021 IGAC    </t>
  </si>
  <si>
    <t>CTTO 663 DE 2019 GOBERNACION GUAINIA</t>
  </si>
  <si>
    <t>PROG. ACAD. DE GRADO FAC. TECNO 2021.</t>
  </si>
  <si>
    <t>POR INDICACIONES DE ANGELA SEDANO SE CAMBIA DE LA CUENTA 2910908050 A 2910906629</t>
  </si>
  <si>
    <t>ACUERDO Y CONDICIO-2 DIEZX CONSULTORES S.A.S</t>
  </si>
  <si>
    <t>CONCEJO MUNICIPAL DE FUNZA - CUNDINAMARCA</t>
  </si>
  <si>
    <t xml:space="preserve">CONV INTERADM CIA-278-2018 FDL CIUDAD BOLIVAR     </t>
  </si>
  <si>
    <t>según correo estado de cuenta realizado x jenny</t>
  </si>
  <si>
    <t>según LO INDICADO X Liquidaciones (Andrea) whapsap 23-08/2022</t>
  </si>
  <si>
    <t>ANALISIS CUADRO R-14</t>
  </si>
  <si>
    <t>SEGÚN ESTADO DE CUENTA REALIZADO POR JENY SE PUEDE TOMAR TODO EL BENEFICIO</t>
  </si>
  <si>
    <t>035 2022 CONSEJO MUNICIPAL DE YOPAL</t>
  </si>
  <si>
    <t xml:space="preserve">001-00-G-CACOM-4-DE 2022      </t>
  </si>
  <si>
    <t xml:space="preserve">CONV INTERAD CD-CI-202100007 JUNIN                </t>
  </si>
  <si>
    <t xml:space="preserve">CTTO CIDARE 002-2022   </t>
  </si>
  <si>
    <t>SE ANULO RP 3431 QUE CORRESPONDIA AL AÑO 2021 Y SE EXPIDIO NUEVO RP 3997 DEL 2022</t>
  </si>
  <si>
    <t>Curso Libre Arte Danzario 2021-3</t>
  </si>
  <si>
    <t>SEGÚN LIQUIDACION REALIZADA POR ANDREA AMORTEGUI</t>
  </si>
  <si>
    <t>SENA FONDO EMPRENDER CUOTA DE GERENCIA</t>
  </si>
  <si>
    <t>SE TOMA SOBRE EL VALOR INGRESADO NO EL EJECUTADO SEGÚN LO INDICADO POR EL COORDINADOR FINANCIERO DEL IDEXUD</t>
  </si>
  <si>
    <t>CTTOIDRD-STP-CD-3879-2018</t>
  </si>
  <si>
    <t>SE TOMA BENEFICIO SEGÚN ESTADO DE CUENTA ENVIADO POR LIQUIDACIONES</t>
  </si>
  <si>
    <t xml:space="preserve">CONV  430 2016 IDIGER - FONDIGER     </t>
  </si>
  <si>
    <t>DIRECCION NACIONAL DE ESCUELAS - POLICIA NACIONAL DINAE 80-7-10060-22</t>
  </si>
  <si>
    <t>TOMADO EN INF 4TO TRIMES</t>
  </si>
  <si>
    <t>SEGÚN INDICACION DE CORDINADOR FINANCIERO</t>
  </si>
  <si>
    <t>ICFE-190- 2021</t>
  </si>
  <si>
    <t xml:space="preserve">MAFE PETRO </t>
  </si>
  <si>
    <t>SEGÚN INDICACIONES DE COORDINADOR FINANCIERO</t>
  </si>
  <si>
    <t>SE TOMA BENEFICIO SEGÚN ESTADO DE CUENTA ENVIADO POR LIQUIDACIONES- YA SE LIQUIDO Y HAY DINERO EN LA CUENTA</t>
  </si>
  <si>
    <t xml:space="preserve">CTTO INTERAD N° SCTEI-CI-028 - 2016 GOBE DE CUNDINAMARCA </t>
  </si>
  <si>
    <t>SE TOMA BENEFICIO SEGÚN ESTADO DE CUENTA ENVIADO POR ANDREA- NO EXISTE UN ULTIMO PRESUPUESTO PERO SE MODIFICO BEN ANT $39.588.370 / BEN ACTUAL $44.534.666</t>
  </si>
  <si>
    <t xml:space="preserve">CO1PCCNTR3926201-2022 SED </t>
  </si>
  <si>
    <t xml:space="preserve">CI 610-2021 FDL CIUDAD BO     </t>
  </si>
  <si>
    <t xml:space="preserve">TOMADO POR INDICACION VERBAL DE LORELYS </t>
  </si>
  <si>
    <t xml:space="preserve">CTTO ZOCS 4500448697 ENEL  </t>
  </si>
  <si>
    <t xml:space="preserve">CTO INT 2022-1114 SEC MOV     </t>
  </si>
  <si>
    <t xml:space="preserve">NO HAY SALDO A NIVEL PRESUPUESTAL- EN REUNION CON CARLOS, ANDREA Y MONICA QUEDAMOS EN LA ESPERA DE QUE JURIDICA LIBERE EL SALDO DE RP POR VALOR DE $57.936.852 Y TOMAR BENEFICIO COMO ORDEN DE DEVOLUCION </t>
  </si>
  <si>
    <t>TOMADO POR ACTA ENVIADA POR ILUD</t>
  </si>
  <si>
    <t xml:space="preserve">ANALISIS SEMANAL DE LO EJECUTADO </t>
  </si>
  <si>
    <t xml:space="preserve">CIA 253 2021 FDL RAFAEL U     
</t>
  </si>
  <si>
    <t>CONTRATO ELECTRÓNICO Nº 101-00-D-CACOM-1-DEDHU-2018</t>
  </si>
  <si>
    <t>TOMADO POR ESTADO DE CUENTA ENVIADO POR CORREO DE VANESA EL 10/11/2022</t>
  </si>
  <si>
    <t>CTTO 220375 SDH-SMINC-0006-2022</t>
  </si>
  <si>
    <t>TOMADO SEGÚN INSTRUCCIONES DE RAFAEL Y ANDRES 24/11/2022</t>
  </si>
  <si>
    <t xml:space="preserve">CONV 016-2022 CVS FAMAREN     </t>
  </si>
  <si>
    <t xml:space="preserve">ANALISIS DE LO EJECUTADO </t>
  </si>
  <si>
    <t>SE TOMA EL TOTAL DE BENEFICIO POR INDICACIONES DE MONICA Y LORELYS- NOTIFICACION WS 05-12-2022</t>
  </si>
  <si>
    <t xml:space="preserve">CONV CIA 591-2021   </t>
  </si>
  <si>
    <t>VALOR TOMADO SEGÚN ESTADO DE CUENTA ENVIADO POR ANDREA POR WS 06/12/2022</t>
  </si>
  <si>
    <t xml:space="preserve">CTTO 203-2021-FDL-TUNJUEL     </t>
  </si>
  <si>
    <t xml:space="preserve">CONV INT 593-2022 SDP    </t>
  </si>
  <si>
    <t xml:space="preserve">CTTO 104 DE 2022 CNSC     </t>
  </si>
  <si>
    <t xml:space="preserve">TOMADO SOBRE EL INGRESO SEGÚN INSTRUCCIONES DE COORDINADOR DE FINANCIERA </t>
  </si>
  <si>
    <t xml:space="preserve">SMEG-CI038-2022        </t>
  </si>
  <si>
    <t xml:space="preserve">CTTO FNTCE-087-2022   </t>
  </si>
  <si>
    <t xml:space="preserve">CTTO 1385 DE 2022 PERSONERIA DE BOGOTA </t>
  </si>
  <si>
    <t>TOMADO EN INF 1MER TRIMES DEL 2023</t>
  </si>
  <si>
    <t xml:space="preserve">BENEFICIO TOMADO POR INTRUCCIONES DEL COORDINADOR DE FINANCIERA </t>
  </si>
  <si>
    <t xml:space="preserve">CI 24-2022 CM MOSQUERA    </t>
  </si>
  <si>
    <t xml:space="preserve">CI 23-2022 CM MOSQUERA        </t>
  </si>
  <si>
    <t xml:space="preserve">CPSP 066-2022 CM FUNZA        </t>
  </si>
  <si>
    <t>CO1 PCCNTR.3914783 SED -2022</t>
  </si>
  <si>
    <t xml:space="preserve">CIA 253 2021 FDL RAFAEL U     </t>
  </si>
  <si>
    <t xml:space="preserve">CTTO 027-2022 CONCEJO MAD     </t>
  </si>
  <si>
    <t xml:space="preserve">UAESP-CD-178-2018 - UNIDAD ADMINISTRATIVA ESP     </t>
  </si>
  <si>
    <t xml:space="preserve">BENEFICIO TOMADO POR INTRUCCIONES DEL COORDINADOR DE FINANCIERA- aproximacion de lo ejecutado para tomar todo lo que hay en bancos </t>
  </si>
  <si>
    <t xml:space="preserve">CTTO 1181-2022 SD HABITAT </t>
  </si>
  <si>
    <t>OC 4500266227 COMPENSAR-2022</t>
  </si>
  <si>
    <t>DIPLOMADOS MULTIDISCIPLINARIOS-2022</t>
  </si>
  <si>
    <t xml:space="preserve">C SCTEI CI 020/2016 GOB DE CUNDINAMARCA </t>
  </si>
  <si>
    <t xml:space="preserve">BENEFICIO TOMADO SEGÚN INSTRUCCIONES DE ANDREA - ESTA EN LIQUDACION </t>
  </si>
  <si>
    <t xml:space="preserve">CURSO_METOLO_LEAN-8007-2022   </t>
  </si>
  <si>
    <t>C LIB ARTES PLAST VIS 2020</t>
  </si>
  <si>
    <t xml:space="preserve">CURSO PREPARACIÓN PRUEBA SABER 11- 2022  </t>
  </si>
  <si>
    <t>2910907203</t>
  </si>
  <si>
    <t xml:space="preserve">CTTO INT 1380-2022 PERS.   </t>
  </si>
  <si>
    <t xml:space="preserve">CONV  UAESP 629 2022      </t>
  </si>
  <si>
    <t xml:space="preserve">CD-065-CIA-001-2022           </t>
  </si>
  <si>
    <t xml:space="preserve">CI-01-2022 CAJICÁ             </t>
  </si>
  <si>
    <t xml:space="preserve">CTTO 01-2022 ZIPAQUIRÁ        </t>
  </si>
  <si>
    <t xml:space="preserve">CIA-310 DE 2022 FDL SUMAP     </t>
  </si>
  <si>
    <t xml:space="preserve">093-00-G-CACOM-4-DEDHU-22     </t>
  </si>
  <si>
    <t xml:space="preserve">PREP  ARTES ESC 2022     </t>
  </si>
  <si>
    <t xml:space="preserve">TOMADO SEGÚN ESTADO DE CUENTA DE ANDREA </t>
  </si>
  <si>
    <t xml:space="preserve">CL  ART DANZ  2022-2-ASAB     </t>
  </si>
  <si>
    <t xml:space="preserve">CONV  ATENEA 290-2022         </t>
  </si>
  <si>
    <t xml:space="preserve">PN DIBIE No.08-5-16001-23     </t>
  </si>
  <si>
    <t>TOMADO EN INF 2DO TRIMES DEL 2023</t>
  </si>
  <si>
    <t xml:space="preserve">SE ANALIZO Y SE LEBAORO EL PROCESO EN EL MES DE MARZO, PERO SE TOMO EL BENEFICIO EN EL MES DE ABRIL </t>
  </si>
  <si>
    <t>BENEFICIO TOMADO SEGÚN CORREO DE VANESA DEL 14/04/2023</t>
  </si>
  <si>
    <t xml:space="preserve">DIPL DRONES 2022 FAMARENA     </t>
  </si>
  <si>
    <t xml:space="preserve">PROG MUSICAL- ALAC-2022     </t>
  </si>
  <si>
    <t xml:space="preserve">CTTO 003-2022 CORPROGRESO     </t>
  </si>
  <si>
    <t xml:space="preserve">NO SE TOMO TODO EL VALOR DEL BENEFICIO SEGÚN LO EJECUTADO PORQUE NO ALCANZA EL VALOR EN BANCOS </t>
  </si>
  <si>
    <t xml:space="preserve">CI 001/2022 GACHALA   </t>
  </si>
  <si>
    <t xml:space="preserve">CTTO 220917 SHD 2023          </t>
  </si>
  <si>
    <t xml:space="preserve">SE TOMA BENEFICIO POR $107,987,149 QUE ES EL SALDO EN BANCOS </t>
  </si>
  <si>
    <t>ILUD-2023</t>
  </si>
  <si>
    <t xml:space="preserve">BENEFICIO TOMADO SEGÚN WS DE ANDREA EN GRUPO DE INGRESOS </t>
  </si>
  <si>
    <t>CI 001-2022 CONC FACATATI</t>
  </si>
  <si>
    <t xml:space="preserve">BENEFICIO TOMADO SEGÚN WS DE ANDREA EN GRUPO DE INGRESOS - PROY LIQUIDADO </t>
  </si>
  <si>
    <t>TOMADO SEGÚN INSTRUCCIONES DEL COORDINADOR FINANCIERO FACTURA 715-2022</t>
  </si>
  <si>
    <t xml:space="preserve">TOMADO POR INSTUCCIONES DE LORELY- SE VA A CERRAR EL PROCESO </t>
  </si>
  <si>
    <t xml:space="preserve">PREP ART PLÁST Y VIS 2022     </t>
  </si>
  <si>
    <t xml:space="preserve">CTTO 034 2023 YOPAL       </t>
  </si>
  <si>
    <t xml:space="preserve">BENEFICIO TOMADO DE LO INGRESADO, INGRESO TODO EL VALOR DEL CONTRATO </t>
  </si>
  <si>
    <t>BENEFICIO TOMADO DE FACTURA 882-2023</t>
  </si>
  <si>
    <t xml:space="preserve">CD-CI-202200013 JUNIN        </t>
  </si>
  <si>
    <t xml:space="preserve">CTTO 612 2022 FDL BOSA      </t>
  </si>
  <si>
    <t>BENEFICIO TOMADO DEL INGRESO DE LA FACTURA 847</t>
  </si>
  <si>
    <t>BENEFICIO TOMADO DEL INGRESO DE LA FACTURA 842</t>
  </si>
  <si>
    <t>BENEFICIO TOMADO DEL INGRESO DE LA FACTURA 619</t>
  </si>
  <si>
    <t>BENEFICIO TOMADO DEL INGRESO FALTANTE, SE HA TOMADO SOBRE 374,004,700 HA INGRESADO 417,675,000</t>
  </si>
  <si>
    <t>BENEFICIO TOMADO SOBRE LOS INGRESOS A 16/06/2023</t>
  </si>
  <si>
    <t xml:space="preserve">SE TOMO TODO EL BENEFICIO YA LLEGO A SU PUNTO DE EQUILIBRIO </t>
  </si>
  <si>
    <t xml:space="preserve">PREP ART MUSIC 2022 ASAB      </t>
  </si>
  <si>
    <t xml:space="preserve">CURSO DRONES  2022-2-ING    </t>
  </si>
  <si>
    <t>BENEFICIO TOMADO DE FACTURAS 557-745 DEL 2022</t>
  </si>
  <si>
    <t>SE TOMO BENEFICIO DE LAS FACTURAS 681-725 DEL 2022</t>
  </si>
  <si>
    <t>BENEFICIO TOMADO DE LA FACTURA 714-2022</t>
  </si>
  <si>
    <t xml:space="preserve">BENEFICIO TOMADO DE LO INGRESADO </t>
  </si>
  <si>
    <t xml:space="preserve">BENEFICIO TOMADO DEL RESTANTE DE EL INGRESO DE LAS FAC 610-20233 </t>
  </si>
  <si>
    <t>BENEFICIO TOMADO DE FACTURA 812-2023</t>
  </si>
  <si>
    <t>BENEFICIO TOMADO DEL INGRESO  FAC 751-2022 Y FAC 863-2023</t>
  </si>
  <si>
    <t xml:space="preserve">CPS -313-2022 WOM             </t>
  </si>
  <si>
    <t>BENEFICIO TOMADO DEL INGRESO  FAC 827-2023</t>
  </si>
  <si>
    <t>BENEFICIO TOMADO DEL INGRESO DE LA FACTURA 817</t>
  </si>
  <si>
    <t>BENEFICIO TOMADO DEL INGRESO, FACTURAS 775-877 DEL 2023</t>
  </si>
  <si>
    <t>BENEFICIO TOMADO DE INGRESOS FAC 785-829 DE 2023</t>
  </si>
  <si>
    <t xml:space="preserve">BENEFICIO TOMADO DEL INGRESO </t>
  </si>
  <si>
    <t xml:space="preserve">BENEFICIO TOMADO EL CURSO LLEGO A SU PUNTO DE EQUILIBRIO </t>
  </si>
  <si>
    <t>BENEFICIO TOMADO DE LA FACTURA 886-2023</t>
  </si>
  <si>
    <t xml:space="preserve">SABER11_2023_FAC_CIE          </t>
  </si>
  <si>
    <t xml:space="preserve">WEA-2022-FAC-ING       </t>
  </si>
  <si>
    <t>PROGRAMA TRANSITORIO DE GRADO 202202 1-III</t>
  </si>
  <si>
    <t>BENEFICIO TOMADO DE INGRESOS FAC 862 DE 2023</t>
  </si>
  <si>
    <t>SE TOMO BENEFICIO DE LO INGRESADO TENIENDO EN CUENTA LAS FACTURAS 660-559 DE 2023</t>
  </si>
  <si>
    <t xml:space="preserve"> CONT 142 DE 2015 FDL ENG     </t>
  </si>
  <si>
    <t>BENEFICIO TOMADO DE FACTURA 818 DEL 2023</t>
  </si>
  <si>
    <t>CONTRATO INTERADMINISTRATIVO IDU-132-2023</t>
  </si>
  <si>
    <t>BENEFICIO TOMADO DE FACTURA 840 DEL 2023</t>
  </si>
  <si>
    <t xml:space="preserve">CTTO 2213100 307 DE 2015      </t>
  </si>
  <si>
    <t>BENEFICIO TOMADO SEGÚN CORREO DE VANESA DEL 13/07/2023</t>
  </si>
  <si>
    <t xml:space="preserve">CI 809-2023 FDL KENNED        </t>
  </si>
  <si>
    <t xml:space="preserve">CI 393-2022 FDLFONTIBON       </t>
  </si>
  <si>
    <t xml:space="preserve">CICOM-2022-FAC-TEC            </t>
  </si>
  <si>
    <t>TOMADO EN INF 3CER TRIMES DEL 2023</t>
  </si>
  <si>
    <t xml:space="preserve">TOMADO POR ESTADO DE CUENTA ENVIADO POR ANDREA </t>
  </si>
  <si>
    <t xml:space="preserve">CI FDLM-177-2022-85246        </t>
  </si>
  <si>
    <t>BENEFICIO TOMADO DE FACTURA 884 DEL 2023</t>
  </si>
  <si>
    <t>BENEFICIO TOMADO DEL INGRESO, FACTURAS 877 del 2023</t>
  </si>
  <si>
    <t>BENEFICIO TOMADO DE FACTURA 879-2023</t>
  </si>
  <si>
    <t xml:space="preserve">BENEFICIO TOMADO SEGÚN LOS INGRESOS </t>
  </si>
  <si>
    <t>BENEFICIO TOMADO DEL INGRESO DE LA FACTURA 903-2023</t>
  </si>
  <si>
    <t>BENEFICIO TOMADO DE INGRESOS FAC 864 DE 2023</t>
  </si>
  <si>
    <t>BENEFICIO TOMADO DE LA FACTURA 907-2023</t>
  </si>
  <si>
    <t xml:space="preserve">FDLK-CD-513-2023              </t>
  </si>
  <si>
    <t>SE TOMO TODO EL BENEFICIO POR WS DE ANDREA EN EL GRUPO DE INGRESOS EL 24/07/2023</t>
  </si>
  <si>
    <t xml:space="preserve">CONT 353 DE 2016 UAESP      </t>
  </si>
  <si>
    <t xml:space="preserve">CURSO PYTHON FAC ING 2022     </t>
  </si>
  <si>
    <t xml:space="preserve">SE TOMO BENEFICIO, EL CURSO LLEGO A SU PUNTO DE EQUILIBRIO </t>
  </si>
  <si>
    <t xml:space="preserve">CTTO 07-5-20039-23 DISAN      </t>
  </si>
  <si>
    <t>BENEFICIO TOMADO DE LA FACTURA 904-2023</t>
  </si>
  <si>
    <t>BENEFICIO TOMADO DE FAC 859-2023</t>
  </si>
  <si>
    <t xml:space="preserve">CTTO 302-2023 IDECUT ASAB     </t>
  </si>
  <si>
    <t>BENEFICIO TOMADO DE LAS FAC 871-883-905 DEL 2023</t>
  </si>
  <si>
    <t xml:space="preserve">BENEFICIO TOMADO SEGÚN LOS INGRESOS DE LAS FACTURAS </t>
  </si>
  <si>
    <t xml:space="preserve">INGRESO TODO EL DINERO </t>
  </si>
  <si>
    <t>BENEFICIO TOMADO DE FACTURA 902 DEL 2023</t>
  </si>
  <si>
    <t>BENEFICIO TOMADO DE FACTURA 866 DEL 10 DE MAYO DE 2023</t>
  </si>
  <si>
    <t xml:space="preserve">CT_628-2022 FDL BOSA_IEIE   </t>
  </si>
  <si>
    <t>BENEFICIO TOMADO DEL INGRESO FACTURA 819-860 DEL 2023</t>
  </si>
  <si>
    <t xml:space="preserve">SE TOMO BEENFICIO PROPORCIONADO AL INGRESO HASTA EL MES DE MAYO </t>
  </si>
  <si>
    <t>BENEFICIO TOMADO DE INGRESOS FAC 915 DEL 2023</t>
  </si>
  <si>
    <t>2910907231</t>
  </si>
  <si>
    <t xml:space="preserve">CTTO 1769-2023 SDM         </t>
  </si>
  <si>
    <t>BENEFICIO TOMADO DEL INGRESO DE LAS FACTIRAS 891-933 DEL AÑO 2023</t>
  </si>
  <si>
    <t>BENEFICIO TOMADO DEL INGRESO DE LA FACTURA 925 DEL 2023</t>
  </si>
  <si>
    <t xml:space="preserve">EL CURSO LLEGO A SU PUNTO DE EQUILIBRIO </t>
  </si>
  <si>
    <t>BENEFICIO TOMADO DE FACTURA  911-912 DEL 2023</t>
  </si>
  <si>
    <t>2910906720</t>
  </si>
  <si>
    <t xml:space="preserve">INTER 084-2020 UNIVERSIDA     </t>
  </si>
  <si>
    <t>EL VALOR DEL BENEFICIO ESTA SOBRE LA ADICION DEL ULTIMO PRESUPUESTO (VERSION 4). SE TOMO BENEFICIO DEL INGRESO DE LA FACTURA N°887 DEL 2023</t>
  </si>
  <si>
    <t>BENEFICIO TOMADO DE LA FACTURA 935-2023</t>
  </si>
  <si>
    <t>BENEFICIO TOMADO DE LA FACTURA 930-2023</t>
  </si>
  <si>
    <t xml:space="preserve">CI 003-2023 EPA CARTAGENA     </t>
  </si>
  <si>
    <t>BENEFICIO TOMADO DE LA FACTURA 925-2023</t>
  </si>
  <si>
    <t xml:space="preserve">CTTO 123-2023 MIGRACION       </t>
  </si>
  <si>
    <t>BENEFICIO TOMADO DEL INGRESO DE LA FACTURA 921 DEL 2023</t>
  </si>
  <si>
    <t xml:space="preserve">CI 01 2023 UAEO           </t>
  </si>
  <si>
    <t xml:space="preserve">BENEFICIO TOMADO SEGÚN EJECUCION </t>
  </si>
  <si>
    <t xml:space="preserve">CI 515-2023 FDL KENNEDY       </t>
  </si>
  <si>
    <t xml:space="preserve">PRG FORM MUSIC  ALAC 2023     </t>
  </si>
  <si>
    <t>BENEFICIO TOMADO YA EL CURSO LLEGO A SU PUNTO DE EQUILIBRIO</t>
  </si>
  <si>
    <t xml:space="preserve">PREP ART ESCENICAS 2023      </t>
  </si>
  <si>
    <t xml:space="preserve">CI 011-2023 CVS      </t>
  </si>
  <si>
    <t xml:space="preserve">CI 072 APOYO LOG. 2023      </t>
  </si>
  <si>
    <t>BENEFICIO TOMADO SEGÚN INGRESOS DE LA FACTURA 941 DEL 2023</t>
  </si>
  <si>
    <t xml:space="preserve">CTTO ANT-0232791     </t>
  </si>
  <si>
    <t>BENEFICIO TOMADO SEGÚN INGRESOS DE LA FACTURA 948 DEL 2023</t>
  </si>
  <si>
    <t>BENEFICIO TOMADO DEL INGRESO DE LA FACTURA 955 DEL 2023</t>
  </si>
  <si>
    <t>BENEFICIO TOMADO SEGÚN INGRESO DE FACTURA 919-2023</t>
  </si>
  <si>
    <t>BENEFICIO TOMADO SEGUN INGRESO DE LA FAC 952 DEL 2023</t>
  </si>
  <si>
    <t xml:space="preserve">CI-1PN-DIEPO-80-7-10054-2     </t>
  </si>
  <si>
    <t>BENEFICIO TOMADO SEGÚN INGRESO DE LA FAC 936 DEL 2023</t>
  </si>
  <si>
    <t xml:space="preserve">244 DE 2014 FDL ENGATIVA      </t>
  </si>
  <si>
    <t>SE TOMO TODO EL BENEFICIO A LA FECHA, PERO LOS EXCEDENTES ESTABAN EN EL RUBRO DE BENEFICIO INSTITUCIONAL, POR LO TANTO SE TOMA 40% Y 60%</t>
  </si>
  <si>
    <t>SE TOMO BEENFICIO PROPORCIONADO AL INGRESO HASTA EL MES DE JULIO, DE LAS FACTURAS 896 Y 922 DEL 2023</t>
  </si>
  <si>
    <t>BENEFICIO TOMADO SEGÚN INGRESO DE LA FAC 972 DEL 2023</t>
  </si>
  <si>
    <t>BENEFICIO TOMADO DE LA FACTURA 968-2023</t>
  </si>
  <si>
    <t>BENEFICIO TOMADO DE LA FACTURA 940-2022</t>
  </si>
  <si>
    <t>BENEFICIO TOMADO DE FACTURA 932 DEL 2023</t>
  </si>
  <si>
    <t xml:space="preserve">CPS 001-2023 FAC TECNO EI    </t>
  </si>
  <si>
    <t>BENEFICIO TOMADO DE FACTURA 962 DEL 2023</t>
  </si>
  <si>
    <t>BENEFICIO TOMADO DEL INGRESO DE LAS FACTIRAS 981 DEL AÑO 2023</t>
  </si>
  <si>
    <t xml:space="preserve">CI 713-2023 MINTIC    </t>
  </si>
  <si>
    <t xml:space="preserve">BENEFICIO TOMADO SEGÚN EJECUCION, porcentaje 9% según presupuesto </t>
  </si>
  <si>
    <t xml:space="preserve">CI 791-2023 MINCIENCIAS   </t>
  </si>
  <si>
    <t>BENEFICIO TOMADO DE FACTURA 983 DEL 2023</t>
  </si>
  <si>
    <t>BENEFICIO TOMADO DE FACTURA 1008 DEL 2023</t>
  </si>
  <si>
    <t>BENEFICIO TOMADO SEGÚN ACTA DE LIQUIDACIÓN</t>
  </si>
  <si>
    <t>TOMADO EN INF 4TO TRIMES DEL 2023</t>
  </si>
  <si>
    <t xml:space="preserve">BENEFICIO TOMADO DEL INGRESO  FAC 1002-2023 </t>
  </si>
  <si>
    <t xml:space="preserve">BENEFICIO TOMADO DEL INGRESO  FAC 1018-2023 </t>
  </si>
  <si>
    <t xml:space="preserve">BENEFICIO TOMADO DEL INGRESO  FAC 906-2023 </t>
  </si>
  <si>
    <t xml:space="preserve">BENEFICIO TOMADO DEL INGRESO  FAC 875-2023 </t>
  </si>
  <si>
    <t>BENEFICIO TOMADO DE FACTURA 963-984 DEL 2023</t>
  </si>
  <si>
    <t xml:space="preserve">CI 31 2023 CONC MPL COLÓN     </t>
  </si>
  <si>
    <t xml:space="preserve">BENEFICIO TOMADO DEL INGRESO  FAC 1011-2023 </t>
  </si>
  <si>
    <t xml:space="preserve">CI 07  2023 CONC  CHIRIG   </t>
  </si>
  <si>
    <t xml:space="preserve">BENEFICIO TOMADO DEL INGRESO  FAC 1034-2023 </t>
  </si>
  <si>
    <t xml:space="preserve">CI CO1.PCCNTR.5155098 SED     </t>
  </si>
  <si>
    <t xml:space="preserve">BENEFICIO TOMADO DEL INGRESO  FAC 964-2023 </t>
  </si>
  <si>
    <t xml:space="preserve">BENEFICIO TOMADO DEL INGRESO  FAC 1044-2023 </t>
  </si>
  <si>
    <t xml:space="preserve">CI 453-2023 MINTRABAJO   </t>
  </si>
  <si>
    <t xml:space="preserve">12% del presupesto por parte del ministerio del trabajo sin incluir el valor de los activos productivos- BENEFICIO TOMADO DE LA EJECUCION </t>
  </si>
  <si>
    <t xml:space="preserve">ANALISIS DE LO EJECUTADO - Porcentaje según presupuesto </t>
  </si>
  <si>
    <t>BENEFICIO TOMADO DEL INGRESO DE LAS FACTIRAS 1068 DEL AÑO 2023</t>
  </si>
  <si>
    <t>BENEFICIO TOMADO DE LA FACTURA 1058-2023</t>
  </si>
  <si>
    <t>BENEFICIO TOMADO DE FACTURA 929 DEL 2023</t>
  </si>
  <si>
    <t xml:space="preserve">SE TOMO BENEFICIO PROPORCIONADO AL INGRESO </t>
  </si>
  <si>
    <t>SERVICIO 1776 DE 2015 UNODC</t>
  </si>
  <si>
    <t xml:space="preserve">TOMADO POR ESTADO DE CUENTA ENVAIDO POR ANDREA AL WS (GRUPO INGRESOS) </t>
  </si>
  <si>
    <t xml:space="preserve">CI 32 2023 SAN FRANCISCO      </t>
  </si>
  <si>
    <t>BENEFICIO TOMADO DE FACTURA 987 DEL 2023</t>
  </si>
  <si>
    <t xml:space="preserve">CI 048 2023 CONC YOPAL     </t>
  </si>
  <si>
    <t>BENEFICIO TOMADO DE FACTURA 1041 DEL 2023</t>
  </si>
  <si>
    <t xml:space="preserve">CI 1 2023 CONC MPAL BUGA     </t>
  </si>
  <si>
    <t>BENEFICIO TOMADO DE FACTURA 1031 DEL 2023</t>
  </si>
  <si>
    <t xml:space="preserve">CI 4 2023 CONC MPAL SOPO      </t>
  </si>
  <si>
    <t>BENEFICIO TOMADO DE FACTURA 1029 DEL 2023</t>
  </si>
  <si>
    <t>BENEFICIO TOMADO SEGUN INGRESO DE LA FAC 1057 DEL 2023</t>
  </si>
  <si>
    <t xml:space="preserve">CI 11 2023 CONC EL RETIRO     </t>
  </si>
  <si>
    <t>BENEFICIO TOMADO SEGUN INGRESO DE LA FAC 1027 DEL 2023</t>
  </si>
  <si>
    <t xml:space="preserve">CI 3 2023 CONC MPAL TENJO     </t>
  </si>
  <si>
    <t>BENEFICIO TOMADO SEGUN INGRESO DE LA FAC 1030 DEL 2023</t>
  </si>
  <si>
    <t xml:space="preserve">CI 002  2023 CONC GUARNE    </t>
  </si>
  <si>
    <t>BENEFICIO TOMADO SEGUN INGRESO DE LA FAC 1054 DEL 2023</t>
  </si>
  <si>
    <t xml:space="preserve">CI 316-2023 IDEAM           </t>
  </si>
  <si>
    <t>BENEFICIO TOMADO SEGUN INGRESO DE LA FAC 966 DEL 2023</t>
  </si>
  <si>
    <t xml:space="preserve">XV CONG INTER  ALED 2023      </t>
  </si>
  <si>
    <t xml:space="preserve">MULTIDISC_2023_FAC_TECNO     </t>
  </si>
  <si>
    <t xml:space="preserve">CLPREP ART DANZ 2023 ASAB  </t>
  </si>
  <si>
    <t xml:space="preserve">PREP ART MUSIC 2023 ASAB      </t>
  </si>
  <si>
    <t xml:space="preserve">PREP ART PLAT Y VIS  2023     </t>
  </si>
  <si>
    <t>BENEFICIO TOMADO DE FACTURA 953 DEL 2023</t>
  </si>
  <si>
    <t xml:space="preserve">CI 16 2023 CONC  PITALITO   </t>
  </si>
  <si>
    <t>BENEFICIO TOMADO DE FACTURA 1070 DEL 2023</t>
  </si>
  <si>
    <t xml:space="preserve">CI 979_2023 MINJUSTICIA       </t>
  </si>
  <si>
    <t>BENEFICIO TOMADO DE FACTURA 944-1077 DEL 2023</t>
  </si>
  <si>
    <t>BENEFICIO TOMADO DE FACTURA 1045 DEL 2023</t>
  </si>
  <si>
    <t xml:space="preserve">CI 14 2023 CONC  BECERRIL   </t>
  </si>
  <si>
    <t>BENEFICIO TOMADO DE FACTURA 1026 DEL 2023</t>
  </si>
  <si>
    <t xml:space="preserve">CI 6 2023 CONC MPAL SOACH     </t>
  </si>
  <si>
    <t>BENEFICIO TOMADO DE FACTURA 1028 DEL 2023</t>
  </si>
  <si>
    <t xml:space="preserve">CI 06-5-10175-23 PONAL        </t>
  </si>
  <si>
    <t>BENEFICIO TOMADO DE FACTURA 1020 DEL 2023</t>
  </si>
  <si>
    <t>BENEFICIO TOMADO DE FACTURA 1084 DEL 2023</t>
  </si>
  <si>
    <t xml:space="preserve">CI 01  2023 CONC LEJANIAS  </t>
  </si>
  <si>
    <t>BENEFICIO TOMADO DE FACTURA 1036 DEL 2023</t>
  </si>
  <si>
    <t xml:space="preserve">BENEFICIO TOMADO DEL INGRESO  FAC 1088-2023 </t>
  </si>
  <si>
    <t>BENEFICIO TOMADO SEGÚN INGRESOS DE LA FACTURA 926-1086 DEL 2023</t>
  </si>
  <si>
    <t xml:space="preserve">CMC IA 030 2023        </t>
  </si>
  <si>
    <t>BENEFICIO TOMADO SEGÚN INGRESOS DE LA FACTURA 1078 DEL 2023</t>
  </si>
  <si>
    <t xml:space="preserve">BENEFICIO TOMADO DE LO EJECUTADO </t>
  </si>
  <si>
    <t xml:space="preserve">CI 1579-2023 UNP             </t>
  </si>
  <si>
    <t>BENEFICIO TOMADO DEL INGRESO DE LAS FACTURAS 1096-1097-1098</t>
  </si>
  <si>
    <t xml:space="preserve">CI 572-2023 SDDE i3+     </t>
  </si>
  <si>
    <t>BENEFICIO TOMADO DE LA FACTURA 1109-2023</t>
  </si>
  <si>
    <t>BENEFICIO TOMADO DEL INGRESO DE LAS FACTIRAS 1122-2023</t>
  </si>
  <si>
    <t>BENEFICIO TOMADO DEL INGRESO DE LAS FACTURAS 1150 DEL 2023</t>
  </si>
  <si>
    <t xml:space="preserve">CI 999 2023 HABITAT          </t>
  </si>
  <si>
    <t>BENEFICIO TOMADO DEL INGRESO DE LAS FACTURAS 1087 DEL 2023</t>
  </si>
  <si>
    <t xml:space="preserve">CV COOP AC.INT UNIR RIOJA    </t>
  </si>
  <si>
    <t>BENEFICIO TOMADO DEL INGRESO DE LAS FACTURAS 1061 DEL 2023</t>
  </si>
  <si>
    <t>BENEFICIO TOMADO DE FACTURA 1062 DEL 2023</t>
  </si>
  <si>
    <t>BENEFICIO TOMADO SEGUN INGRESO DE LA FAC 1133 DEL 2023</t>
  </si>
  <si>
    <t>BENEFICIO TOMADO SEGÚN INGRESOS DE LA FACTURA 1101-1141 DEL 2023</t>
  </si>
  <si>
    <t xml:space="preserve">CTTO 028 2022 SUCRE FAC I   </t>
  </si>
  <si>
    <t>BENEFICIO TOMADO SEGÚN INGRESOS DE LA FACTURA 881 DEL 2023</t>
  </si>
  <si>
    <t xml:space="preserve">CI 230642-2023 SHD CB    </t>
  </si>
  <si>
    <t>BENEFICIO TOMADO SEGÚN INGRESOS DE LA FACTURA 1083-1130 DEL 2023</t>
  </si>
  <si>
    <t>BENEFICIO TOMADO SEGÚN INGRESOS DE LA FACTURA 1151 DEL 2023</t>
  </si>
  <si>
    <t xml:space="preserve">CTTO INORIA  010 -2021 DP     </t>
  </si>
  <si>
    <t>BENEFICIO TOMADO SEGÚN INGRESOS DE LA FACTURA 131-2021 408-2022 y 1090-2023- Pocentaje según presupuesto</t>
  </si>
  <si>
    <t>SE TOMO BENEFICIO PROPORCIONADO AL INGRESO HASTA EL MES DE DICIEMBRE</t>
  </si>
  <si>
    <t xml:space="preserve">CI 480-2023 FDL BOSA IEIE     </t>
  </si>
  <si>
    <t>BENEFICIO TOMADO SEGÚN INGRESOS DE LA FACTURA 1146-2023</t>
  </si>
  <si>
    <t>BENEFICIO TOMADO SEGÚN INGRESOS DE LA FACTURA 1161-1215-1217 DEL 2023</t>
  </si>
  <si>
    <t>BENEFICIO TOMADO DE FACTURA 1155 DEL 2023</t>
  </si>
  <si>
    <t>BENEFICIO TOMADO DEL INGRESO DE LAS FACTIRAS 1100 y 1201-2023</t>
  </si>
  <si>
    <t>BENEFICIO TOMADO DE LA FACTURA 1108-2023</t>
  </si>
  <si>
    <t>BENEFICIO TOMADO DE FACTURA 1156 DEL 2023</t>
  </si>
  <si>
    <t>TOMADO EN INF 1MER TRIMES DEL 2024</t>
  </si>
  <si>
    <t>BENEFICIO TOMADO DE FACTURA 1194 DEL 2023</t>
  </si>
  <si>
    <t>BENEFICIO TOMADO DE FACTURA 1113 DEL 2023</t>
  </si>
  <si>
    <t>BENEFICIO TOMADO SEGUN INGRESO DE LAS FAC 1149-1162-1195  DEL 2023</t>
  </si>
  <si>
    <t>BENEFICIO TOMADO SEGÚN LOS INGRESOS CONTRA FACTURA A LA FECHA - FAC 426-503-613-947</t>
  </si>
  <si>
    <t>BENEFICIO TOMADO DE FACTURA 1177-1179 DEL 2023</t>
  </si>
  <si>
    <t>BENEFICIO TOMADO DE FACTURA 1176 DEL 2023</t>
  </si>
  <si>
    <t>BENEFICIO TOMADO DE LAS FACTURAS 393-423-544-545-593-594 DEL 2022 Y 1220 DEL 2023</t>
  </si>
  <si>
    <t>BENEFICIO TOMADO DEL INGRESO DE LAS FACTURAS 85-178-213 DEL 2021 Y FAC 873 DEL 2023</t>
  </si>
  <si>
    <t xml:space="preserve">CTTO FEI-INS-168-2023         </t>
  </si>
  <si>
    <t>BENEFICIO TOMADO DEL INGRESO DE LA FACTURA 1178-2023</t>
  </si>
  <si>
    <t>BENEFICIO TOMADO SEGÚN INGRESOS DE LA FACTURA 1238-2023</t>
  </si>
  <si>
    <t>BENEFICIO TOMADO DE INGRESOS FAC 1153 DEL 2023</t>
  </si>
  <si>
    <t xml:space="preserve">CI 34 2023 CONC  SANTIAGO     </t>
  </si>
  <si>
    <t>BENEFICIO TOMADO DE INGRESOS FAC 988-1209 DEL 2023</t>
  </si>
  <si>
    <t xml:space="preserve">CI 20 2023 CONC  PTO RICO          </t>
  </si>
  <si>
    <t>BENEFICIO TOMADO DE INGRESOS FAC 1007-1117 DEL 2023</t>
  </si>
  <si>
    <t>BENEFICIO TOMADO DE FACTURA 1207 DEL 2023</t>
  </si>
  <si>
    <t xml:space="preserve">CI 13 2023 CONC P TRIUNFO     </t>
  </si>
  <si>
    <t>BENEFICIO TOMADO DE FACTURA 1032-1192 DEL 2023</t>
  </si>
  <si>
    <t xml:space="preserve">CI 024-2023 CONC ESPINAL      </t>
  </si>
  <si>
    <t>BENEFICIO TOMADO DE FACTURA 1248 DEL 2023</t>
  </si>
  <si>
    <t>BENEFICIO APROPIADO DEL INGRESO DE LAS FACTURAS 271 DEL 2021 389-412-464 DEL 2022  1112-1164 DEL 2023</t>
  </si>
  <si>
    <t xml:space="preserve">BENEFICIO TOMADO DEL INGRESO  FAC 1223-2023 </t>
  </si>
  <si>
    <t>BENEFICIO TOMADO DE FACTURA 1202 DEL 2023</t>
  </si>
  <si>
    <t xml:space="preserve">I CONG_GERIATROLOGIA 2023     </t>
  </si>
  <si>
    <t>CURSO LLEGO A SU PUNTO DE EQUILIBRIO- SE TOMO BENEFICIO SEGÚN INDICACIONES DEL COORDINADOR FINANCIERO</t>
  </si>
  <si>
    <t xml:space="preserve">CI 4758-2023 SOACHA           </t>
  </si>
  <si>
    <t>PAGO FC1244 CTO 4758-2023</t>
  </si>
  <si>
    <t>BENEFICIO TOMADO DEL INGRESO DE LAS FACTIRAS 1266-1274</t>
  </si>
  <si>
    <t xml:space="preserve">BENEFICIO TOMADO DE EL PAGO DE LAS FACTURAS 1265-1273 </t>
  </si>
  <si>
    <t xml:space="preserve">BENEFICIO TOMADO DEL INGRESO  FAC 1219-2023 </t>
  </si>
  <si>
    <t xml:space="preserve">CI 101-2023 CONC YOPAL      </t>
  </si>
  <si>
    <t>BENEFICIO TOMADO DEL INGRESO DE LA FACTURA  1249-2023</t>
  </si>
  <si>
    <t>BENEFICIO TOMADO DEL INGRESO DE LAS FACTURAS 1210 DEL 2023</t>
  </si>
  <si>
    <t xml:space="preserve">CI 069  2023 SEC  FUNZA       </t>
  </si>
  <si>
    <t>BENEFICIO TOMADO DEL INGRESO DE LAS FACTURAS 1040-1190 DEL 2023</t>
  </si>
  <si>
    <t xml:space="preserve">CI 068  2023 CONC  FUNZA      </t>
  </si>
  <si>
    <t>BENEFICIO TOMADO DEL INGRESO DE LAS FACTURAS 1039-1184 DEL 2023</t>
  </si>
  <si>
    <t>BENEFICIO TOMADO DEL INGRESO DE LA FACTURA 892-2023</t>
  </si>
  <si>
    <t xml:space="preserve">BENEFICIO TOMADO DE LOS INGRESO TOTALES DEL PROYECTO FAC 401-439-558-684 DEL 2022 </t>
  </si>
  <si>
    <t>BENEFICIO TOMADO DEL INGRESO POR FACTURAS A PROYECTO</t>
  </si>
  <si>
    <t>BENEFICIO TOMADO DEL INGRESO DE LA FACTURA 806-2023</t>
  </si>
  <si>
    <t>SE TOMO BENEFICIO DE LO INGRESADO TENIENDO EN CUENTA LAS FACTURAS 1065-1066 del 2023</t>
  </si>
  <si>
    <t xml:space="preserve">BENEFICIO TOMADO DEL TOTAL INGRESADO AL PROYECTO </t>
  </si>
  <si>
    <t xml:space="preserve">CURS DRONES FAMARENA 2023     </t>
  </si>
  <si>
    <t xml:space="preserve">1ER CONG INT AVALUOS 2023     </t>
  </si>
  <si>
    <t xml:space="preserve">CI CMC IA 032-2023 </t>
  </si>
  <si>
    <t xml:space="preserve">BENEFICIO TOMADO DE INGRESO DE FACTURAS 1264-1263-1268 </t>
  </si>
  <si>
    <t>BENEFICIO TOMADO DEL INGRESO  FAC 1254-2024</t>
  </si>
  <si>
    <t xml:space="preserve">CONV FDLK-CIA-556-2023        </t>
  </si>
  <si>
    <t xml:space="preserve">BENEFICIO TOMADO SEGÚN EJECUCIÓN </t>
  </si>
  <si>
    <t>BENEFICIO TOMADO DEL INGRESO DE LAS FACTURAS 1247 DEL 2023</t>
  </si>
  <si>
    <t>BENEFICIO TOMADO SEGÚN INGRESOS DE LA FACTURA 1187 DEL 2023</t>
  </si>
  <si>
    <t xml:space="preserve">PN DIBIE 08-5-160001-24  </t>
  </si>
  <si>
    <t xml:space="preserve">BENEFICIO TOMADO DE LA FACTURA 1293 QUE CRUZA CON EL ANTICIPO DE $5.000.000.000 MILLONES </t>
  </si>
  <si>
    <t>BENEFICIO TOMADO SEGÚN INGRESOS DE LA FACTURA 1173-2023</t>
  </si>
  <si>
    <t>BENEFICIO TOMADO SEGÚN INGRESOS DE LA FACTURA 1271-2024</t>
  </si>
  <si>
    <t>TOMADO EN INF 2DO TRIMES DEL 2024</t>
  </si>
  <si>
    <t>ILUD-2024</t>
  </si>
  <si>
    <t xml:space="preserve">BENEFICIO APROPIADO TENIENDO EN CUENTA EL ACTA DE LIQUIDACION DEL ILUD </t>
  </si>
  <si>
    <t>BENEFICIO TOMADO DEL INGRESO DE LA FACTURA  1250-2023</t>
  </si>
  <si>
    <t>BENEFICIO TOMADO DEL INGRESO DE LA FACTURA 1289 DEL 2024</t>
  </si>
  <si>
    <t>BENEFICIO TOMADO DE EL PAGO DE LA FACTURA 1295</t>
  </si>
  <si>
    <t xml:space="preserve">CONV 002 2016 MUN MONGÜA     </t>
  </si>
  <si>
    <t>BENEFICIO TOMADO SEGÚN ESTADO DE CUENTA ENVIADO POR VANESA EL 19/03/2024</t>
  </si>
  <si>
    <t xml:space="preserve">BENEFICIO TOMADO DE LA FACTURA 1314 QUE CRUZA CON EL ANTICIPO DE $5.000.000.000 MILLONES </t>
  </si>
  <si>
    <t xml:space="preserve">CI CM C IA 043-2023    </t>
  </si>
  <si>
    <t xml:space="preserve">BENEFICIO TOMADO DEL INGRESO DE LA FACTURA 1080-1081 DEL 2023 FACT 1259 </t>
  </si>
  <si>
    <t xml:space="preserve">CI 046-2023 CONC MADRID       </t>
  </si>
  <si>
    <t xml:space="preserve">BENEFICIO TOMADO DEL INGRESO DE LA FACTURA 1242-1243 DEL 2023 FACT 1299 </t>
  </si>
  <si>
    <t xml:space="preserve">CI 873-2023 ALC GIRARDOT      </t>
  </si>
  <si>
    <t xml:space="preserve">CEC 11721-428-2023 MINCIE     </t>
  </si>
  <si>
    <t xml:space="preserve">CONV 75-2023 RENATA        </t>
  </si>
  <si>
    <t xml:space="preserve">BENEFICIO TOMADO DE LA FACTURA 1333 QUE CRUZA CON EL ANTICIPO DE $5.000.000.000 MILLONES </t>
  </si>
  <si>
    <t>BENEFICIO TOMADO DEL INGRESO  FAC 1291-2024</t>
  </si>
  <si>
    <t xml:space="preserve">CI  01 SISMAN-LISA UNAL    </t>
  </si>
  <si>
    <t>BENEFICIO TOMADO DEL INGRESO  FAC 1307-2024</t>
  </si>
  <si>
    <t>BENEFICIO TOMADO DEL INGRESO DE LA FACTURA 1301-2024</t>
  </si>
  <si>
    <t>BENEFICIO TOMADO SEGÚN INGRESOS DE LA FACTURA 1099 DEL 2023 Y 1321 DEL 2024</t>
  </si>
  <si>
    <t>BENEFICIO TOMADO SEGÚN INGRESOS Y ANTICIPO DE LAS FACTURAS 1310-1311-1312 DEL 2024</t>
  </si>
  <si>
    <t xml:space="preserve">PN DIEPO 80-7-1005-24      </t>
  </si>
  <si>
    <t>BENEFICIO TOMADO DEL INGRESO DE LA FACTURA 1328-2024</t>
  </si>
  <si>
    <t xml:space="preserve">CI 01-2023 CONC PINILLOS      </t>
  </si>
  <si>
    <t>BENEFICIO TOMADO DEL INGRESO DE LAS FACTURAS 1275-1276 DEL 2024</t>
  </si>
  <si>
    <t xml:space="preserve">CURS LIB ART DANZ 2024-1      </t>
  </si>
  <si>
    <t xml:space="preserve">DIPLOM LIDERAZGO COLECTIV </t>
  </si>
  <si>
    <t>BENEFICIO TOMADO DE FACTURA 1308 DEL 2024</t>
  </si>
  <si>
    <t xml:space="preserve">BENEFICIO TOMADO SEGÚN ESTADO DE CUENTA DE LAS FACTURAS ENVIADO SANDRA MILENA, PROFESIONAL ADM DEL PROYECTO </t>
  </si>
  <si>
    <t>BENEFICIO TOMADO DEL INGRESO DE LA FACTURA 1769 y 1300 DEL 2024</t>
  </si>
  <si>
    <t>BENEFICIO TOMADO SEGÚN EJECUCION, el proyecto reconocio en el acta de liquidaicon la ejecucion del 100%</t>
  </si>
  <si>
    <t>BENEFICIO TOMADO DE LA FACTURA 1095-2023</t>
  </si>
  <si>
    <t xml:space="preserve">CI UAESP-604-2023      </t>
  </si>
  <si>
    <t>BENEFICIO TOMADO DE LA FACTURA 1333 QUE CRUZA CON EL ANTICIPO DE $5.000.000.000 MILLONES, factura 1362 junio 2024</t>
  </si>
  <si>
    <t xml:space="preserve">CTTO UP HOLDING SAS 2024      </t>
  </si>
  <si>
    <t>BENEFICIO TOMADO DE LA FACTURA 1346-2024</t>
  </si>
  <si>
    <t>BENEFICIO TOMADO DEL INGRESO DE FACTURA 1350-2024</t>
  </si>
  <si>
    <t xml:space="preserve">CO23000398-GAC-2023 CASUR   </t>
  </si>
  <si>
    <t>BENEFICIO TOMADO DEL INGRESO DE FACTURA 1340-2024</t>
  </si>
  <si>
    <t>BENEFICIO TOMADO DEL INGRESO DE LA FACTURA 1349-2024</t>
  </si>
  <si>
    <t>BENEFICIO TOMADO DEL INGRESO DE LA FACTURA 1358 DEL 2024</t>
  </si>
  <si>
    <t>BENEFICIO TOMADO SEGÚN INGRESOS DE LA FACTURA 1324-2024</t>
  </si>
  <si>
    <t>BENEFICIO TOMADO SEGÚN INGRESOS DE LA FACTURA 1170 DEL 2024</t>
  </si>
  <si>
    <t xml:space="preserve">CI FDLM-169-2023(92100)       </t>
  </si>
  <si>
    <t xml:space="preserve">DIPL DRONES  2023 CIE MAT    </t>
  </si>
  <si>
    <t xml:space="preserve">CI 003-2023 CONC FACATATI     </t>
  </si>
  <si>
    <t>BENEFICIO TOMADO SEGÚN INGRESO DE FACTURAS  1240-1241</t>
  </si>
  <si>
    <t>BENEFICIO TOMADO SEGÚN ESTADO DE CUENTA ENVIADO POR ANDREA EN GRUPO DE INGRESOS Y POR INGRESOS DE FACTURAS  14-15/2020 Y 264-2021</t>
  </si>
  <si>
    <t>BENEFICIO TOMADO SEGÚN ESTADO DE CUENTA ENVIADO POR ANDREA  EL 20/06/2024</t>
  </si>
  <si>
    <t xml:space="preserve">Curs. Preuniv. Ingenieros     </t>
  </si>
  <si>
    <t>BENEFICIO TOMADO DEL INGRESO DE LAS FACTURAS 1306 DEL 2024</t>
  </si>
  <si>
    <t>TOMADO EN INF 3CER TRIMES DEL 2024</t>
  </si>
  <si>
    <r>
      <t xml:space="preserve">BENEFICIO TOMADO DE LA FACTURA 1333 QUE CRUZA CON EL ANTICIPO DE $5.000.000.000 MILLONES, </t>
    </r>
    <r>
      <rPr>
        <b/>
        <sz val="11"/>
        <color theme="1" tint="4.9989318521683403E-2"/>
        <rFont val="Calibri"/>
        <family val="2"/>
        <scheme val="minor"/>
      </rPr>
      <t>FACTURA 1373 JULIO 2024</t>
    </r>
  </si>
  <si>
    <t xml:space="preserve">PROYECTO LIQUIDADO_SE TOMA BENEFICIO INSTIUCIONAL TENIENDO EN CUENTA EL SALDO EN BANCOS </t>
  </si>
  <si>
    <t>CI 001-2023 CONC MONIQUIR</t>
  </si>
  <si>
    <t>BENEFICIO TOMADO SEGÚN INGRESOS DE FACTURA No 1252-2023 y 1283-2024</t>
  </si>
  <si>
    <t xml:space="preserve">CI 29 2023 CONC  EL PEÑOL  </t>
  </si>
  <si>
    <t xml:space="preserve">BENEFICIO TOMADO SEGÚN INGRESOS DE FACTURA No 1038-1125 y estadod e cuenta </t>
  </si>
  <si>
    <t>BENEFICIO TOMADO DEL INGRESO DE LA FACTURA 1371 DEL 2024</t>
  </si>
  <si>
    <t>BENEFICIO TOMADO DE LA FACTURA 1368-2023</t>
  </si>
  <si>
    <t>BENEFICIO TOMADO SEGÚN INGRESOS DE LA FACTURA 1320 y 1341 del 2024</t>
  </si>
  <si>
    <t>CTTO 80-7-10009-24 PONAL</t>
  </si>
  <si>
    <t>BENEFICIO TOMADO SEGÚN INGRESOS DE LA FACTURA 1363 del 2024</t>
  </si>
  <si>
    <t>BENEFICIO TOMADO DEL INGRESO  FAC 1351-2024</t>
  </si>
  <si>
    <t xml:space="preserve">CONV 002-2024 CVS  </t>
  </si>
  <si>
    <t xml:space="preserve">CI 615-2024 MINTRANSPORTE  </t>
  </si>
  <si>
    <t xml:space="preserve">CTTO  002-2024 EPA C/GENA </t>
  </si>
  <si>
    <t xml:space="preserve">BENEFICIO TOMADO SEGÚN INGRESOS DE LA FACTURA 1347, se toma el total de la factura porque las retenciones estan contempladas en el presupuesto </t>
  </si>
  <si>
    <r>
      <t xml:space="preserve">BENEFICIO TOMADO DE LA FACTURA 1333 QUE CRUZA CON EL ANTICIPO DE $5.000.000.000 MILLONES, </t>
    </r>
    <r>
      <rPr>
        <b/>
        <sz val="11"/>
        <color theme="1" tint="4.9989318521683403E-2"/>
        <rFont val="Calibri"/>
        <family val="2"/>
        <scheme val="minor"/>
      </rPr>
      <t>FACTURA 1405 AGOSTO 2024</t>
    </r>
  </si>
  <si>
    <t xml:space="preserve">CTTO 1 138-2024 MIG COL   </t>
  </si>
  <si>
    <t>BENEFICIO TOMADO DEL INGRESO  FAC 1372-2024</t>
  </si>
  <si>
    <t xml:space="preserve">CTTO 230989-2023 SHD  </t>
  </si>
  <si>
    <t>BENEFICIO TOMADO DEL INGRESO  FAC 1303-2024</t>
  </si>
  <si>
    <t xml:space="preserve">CTTO CO1 PCCNTR.3540718 C   </t>
  </si>
  <si>
    <t>BENEFICIO APROPIADO SEGÚN INGRESOS PARA CIERRE FINANCIERO</t>
  </si>
  <si>
    <t>CTTO 36 DE 2022 CONCEJO MUNICIPAL DE FUNZA</t>
  </si>
  <si>
    <t>BENEFICIO TOMADO DEL INGRESO DE LA FACTURA 1397 DEL 2024</t>
  </si>
  <si>
    <t xml:space="preserve">CTTO 333-2024 MINTRANSPOR     </t>
  </si>
  <si>
    <t>BENEFICIO TOMADO DEL INGRESO DE LA FACTURA 1380-1381 Y 1391 DEL 2024</t>
  </si>
  <si>
    <t>BENEFICIO TOMADO DEL INGRESO DE FACTURA 1386-2024</t>
  </si>
  <si>
    <t xml:space="preserve">CONG INT CICOM 2024    </t>
  </si>
  <si>
    <t xml:space="preserve">DIPLOM DRONES 2024 FAMARE </t>
  </si>
  <si>
    <t xml:space="preserve">PROG FORM MUSIC ALAC 2024   </t>
  </si>
  <si>
    <t xml:space="preserve">BENEFICIO TOMADO DE MODIFICACION PRESUPUESTAL DEL CURSO </t>
  </si>
  <si>
    <t xml:space="preserve">CONGRESO WEA 2024     </t>
  </si>
  <si>
    <t xml:space="preserve">CONVENIO 4130-3-2024 SED   </t>
  </si>
  <si>
    <t xml:space="preserve">BENEFICIO TOMADO SEGÚN EJECUCION Y ACTA DE LIQUIDACION </t>
  </si>
  <si>
    <t xml:space="preserve">CI IDIGER 203-2023            </t>
  </si>
  <si>
    <t>BENEFICIO TOMADO DEL INGRESO DE FACTURA 1211-2023 y 1315-2024</t>
  </si>
  <si>
    <t>BENEFICIO TOMADO DE FACTURA 1107 DEL 2023</t>
  </si>
  <si>
    <t xml:space="preserve">CMN CI 01-2023 CONC NOBSA     </t>
  </si>
  <si>
    <t>BENEFICIO TOMADO DEL INGRESO DE FACTURA 1251-2023 y 1284-2024, SE TOMO 5 PESOS MENOS YA QUE EL SALDO EN BANCOS ES DE 1.849.281</t>
  </si>
  <si>
    <t xml:space="preserve">SE TOMO BENEFICIO INSTITUCIONAL POR V2 DEL PRESUPUESTO </t>
  </si>
  <si>
    <t xml:space="preserve">SE TOMO BENEFICIO INSTITUCIONAL POR V5 DEL PRESUPUESTO </t>
  </si>
  <si>
    <t xml:space="preserve">SE TOMO BENEFICIO INSTITUCIONAL POR V7 DEL PRESUPUESTO </t>
  </si>
  <si>
    <t xml:space="preserve">PREP ART ESCEN 2024    </t>
  </si>
  <si>
    <t xml:space="preserve">PREP ART PLAS Y VIS 2024      </t>
  </si>
  <si>
    <r>
      <t xml:space="preserve">BENEFICIO TOMADO DE LA FACTURA 1333 QUE CRUZA CON EL ANTICIPO DE $5.000.000.000 MILLONES, </t>
    </r>
    <r>
      <rPr>
        <b/>
        <sz val="11"/>
        <color theme="1" tint="4.9989318521683403E-2"/>
        <rFont val="Calibri"/>
        <family val="2"/>
        <scheme val="minor"/>
      </rPr>
      <t>FACTURA 1431 SEPTIEMBRE 2024</t>
    </r>
  </si>
  <si>
    <t>TOMADO EN INF 3CER TRIMES DEL 2025</t>
  </si>
  <si>
    <t xml:space="preserve">CTTO MINTIC 1497-2024         </t>
  </si>
  <si>
    <t>TOMADO EN INF 3CER TRIMES DEL 2026</t>
  </si>
  <si>
    <t>BENEFICIO TOMADO DEL INGRESO DE FACTURA 1497-2024</t>
  </si>
  <si>
    <t xml:space="preserve">CO1.PCCNTR.6392065 S ANDR     </t>
  </si>
  <si>
    <t>BENEFICIO TOMADO DEL INGRESO DE FACTURA 1413-2024</t>
  </si>
  <si>
    <t>BENEFICIO TOMADO DEL INGRESO DE LAS FACTURAS 1345 DEL 2024</t>
  </si>
  <si>
    <t>1 TRIMESTRE</t>
  </si>
  <si>
    <t>2 TRIMESTRE</t>
  </si>
  <si>
    <t>3 TRIMESTRE</t>
  </si>
  <si>
    <t>4 TRIMESTRE</t>
  </si>
  <si>
    <t>ITEM</t>
  </si>
  <si>
    <t>ENTIDAD CONTRATANTE</t>
  </si>
  <si>
    <t>NOMBRE PROYECTO</t>
  </si>
  <si>
    <t>Tipo</t>
  </si>
  <si>
    <t>FECHA DE SUSCRIPCIÓN</t>
  </si>
  <si>
    <t>FECHA DE FINALIZACIÓN</t>
  </si>
  <si>
    <t>DURACION EN TRIMESTRES</t>
  </si>
  <si>
    <t>ESTADO</t>
  </si>
  <si>
    <t>OBSERVACIONES AL ESTADO</t>
  </si>
  <si>
    <t>ENTIDAD BANCARIA DEPOSITARIA DE LOS RECURSOS</t>
  </si>
  <si>
    <t>TIPO DE CUENTA</t>
  </si>
  <si>
    <t>N° CUENTA</t>
  </si>
  <si>
    <t>N° CENTRO DE COSTOS ASIGNADO</t>
  </si>
  <si>
    <t>CÓDIGO CONTABLE</t>
  </si>
  <si>
    <t>VALOR  PROYECTO SEGÚN MINUTA</t>
  </si>
  <si>
    <t>VALOR ADICIONES</t>
  </si>
  <si>
    <t>VALOR TOTAL PRESUPUESTO</t>
  </si>
  <si>
    <t xml:space="preserve">% DE B.I. AUTORIZADO - SEGÚN PRESUPUESTO </t>
  </si>
  <si>
    <t>BENEFICIO TOTAL  PRESUPUESTADO</t>
  </si>
  <si>
    <t>TOTAL INGRESOS A LA FECHA</t>
  </si>
  <si>
    <t>VALOR RECAUDO DEL TRIMESTRE 1</t>
  </si>
  <si>
    <t xml:space="preserve">BENEFICIO TOTAL  A DISTRIBUIR EN EL TRIMESTRE LIQUIDADO </t>
  </si>
  <si>
    <t>IDEXUD 40%</t>
  </si>
  <si>
    <t>UNIVERSIDAD 60%</t>
  </si>
  <si>
    <t>VALOR RECAUDO DEL TRIMESTRE 2</t>
  </si>
  <si>
    <t>VALOR RECAUDO DEL TRIMESTRE 3</t>
  </si>
  <si>
    <t>VALOR RECAUDO DEL TRIMESTRE 4</t>
  </si>
  <si>
    <t>BENEFICIO TOTAL APROPIADO  (ACUMULADO) A LA FECHA</t>
  </si>
  <si>
    <t>VALOR TOTAL DE B.I. EN  LA VIGENCIA</t>
  </si>
  <si>
    <t xml:space="preserve">NOTAS PRIMER TRIMESTRE </t>
  </si>
  <si>
    <t>UNIVERSIDAD DISTRITAL FRANCISCO JOSÉ DE CALDAS - UD</t>
  </si>
  <si>
    <t>FAC-ASAB-8016-UNIVERSIDAD DISTRITAL FRANCISCO JOSÉ DE CALDAS - UD</t>
  </si>
  <si>
    <t>Curso Propio</t>
  </si>
  <si>
    <t>Liquidado</t>
  </si>
  <si>
    <t>Sin Observaciones</t>
  </si>
  <si>
    <t>OCCIDENTE</t>
  </si>
  <si>
    <t xml:space="preserve">Cuenta de ahorros </t>
  </si>
  <si>
    <t>230-85718-7</t>
  </si>
  <si>
    <t>580 16</t>
  </si>
  <si>
    <t>DIEZX CONSULTORES SAS</t>
  </si>
  <si>
    <t>ACUERDO Y CONDICIO-2-DIEZX CONSULTORES SAS</t>
  </si>
  <si>
    <t>Contrato</t>
  </si>
  <si>
    <t>En Ejecución</t>
  </si>
  <si>
    <t>230-87986-8</t>
  </si>
  <si>
    <t>567 71</t>
  </si>
  <si>
    <t>S/N ACUERDO-DIEZX CONSULTORES SAS</t>
  </si>
  <si>
    <t xml:space="preserve">Terminado </t>
  </si>
  <si>
    <t>567 36</t>
  </si>
  <si>
    <t>AGENCIA NACIONAL DE SEGURIDAD VIAL</t>
  </si>
  <si>
    <t>ANSV-003-AGENCIA NACIONAL DE SEGURIDAD VIAL</t>
  </si>
  <si>
    <t xml:space="preserve">Cierre Financiero </t>
  </si>
  <si>
    <t>230-85893- 8</t>
  </si>
  <si>
    <t>567 32</t>
  </si>
  <si>
    <t>FAC-MED-8024-UNIVERSIDAD DISTRITAL FRANCISCO JOSÉ DE CALDAS - UD</t>
  </si>
  <si>
    <t>580 24</t>
  </si>
  <si>
    <t>MINISTERIO DE DEFENSA NACIONAL</t>
  </si>
  <si>
    <t>021-00-G-CACOM-4-MINISTERIO DE DEFENSA NACIONAL</t>
  </si>
  <si>
    <t>567 31</t>
  </si>
  <si>
    <t>MUNICIPIO DE EL COLEGIO</t>
  </si>
  <si>
    <t>128-MUNICIPIO DE EL COLEGIO</t>
  </si>
  <si>
    <t>Convenio Interadministrativo</t>
  </si>
  <si>
    <t>83 10</t>
  </si>
  <si>
    <t>INSTITUTO DEPARTAMENTAL DE CULTURA Y TURISMO DE CUNDINAMARCA</t>
  </si>
  <si>
    <t>117-INSTITUTO DEPARTAMENTAL DE CULTURA Y TURISMO DE CUNDINAMARCA</t>
  </si>
  <si>
    <t>567 33</t>
  </si>
  <si>
    <t>CORPORACIÓN AUTÓNOMA REGIONAL DE LOS VALLES DEL SINÚ Y DEL SAN JORGE - CVS</t>
  </si>
  <si>
    <t>001-CORPORACIÓN AUTÓNOMA REGIONAL DE LOS VALLES DEL SINÚ Y DEL SAN JORGE - CVS</t>
  </si>
  <si>
    <t>230-89456-0</t>
  </si>
  <si>
    <t>83 11</t>
  </si>
  <si>
    <t>GOBERNACIÓN DE CUNDINAMARCA</t>
  </si>
  <si>
    <t>SFP-CDCTI-043-GOBERNACIÓN DE CUNDINAMARCA</t>
  </si>
  <si>
    <t>567 34</t>
  </si>
  <si>
    <t>INSTITUTO NACIONAL DE VIAS - INVIAS</t>
  </si>
  <si>
    <t>891-2021-INSTITUTO NACIONAL DE VIAS - INVIAS</t>
  </si>
  <si>
    <t>567 35</t>
  </si>
  <si>
    <t>CIDC-UNIVERSIDAD NACIONAL DE COLOMBIA</t>
  </si>
  <si>
    <t>80740-542 S/N CONVENIO DE ASOCIACION-UNIVERSIDAD NACIONAL DE COLOMBIA</t>
  </si>
  <si>
    <t>83 12</t>
  </si>
  <si>
    <t>FAC-TECNO-8033-UNIVERSIDAD DISTRITAL FRANCISCO JOSÉ DE CALDAS - UD</t>
  </si>
  <si>
    <t>580 33</t>
  </si>
  <si>
    <t>ORGANISMO INTERNACIONAL DE ENERGÍA ATOMICA</t>
  </si>
  <si>
    <t>24500-ORGANISMO INTERNACIONAL DE ENERGÍA ATOMICA</t>
  </si>
  <si>
    <t>567 45</t>
  </si>
  <si>
    <t xml:space="preserve">Proyecto sin beneficio institucional estipulado en el presupuesto </t>
  </si>
  <si>
    <t>COMISIÓN DE REGULACIÓN DE AGUA POTABLE Y SANEAMIENTO BÁSICO - CRA</t>
  </si>
  <si>
    <t>97-COMISIÓN DE REGULACIÓN DE AGUA POTABLE Y SANEAMIENTO BÁSICO - CRA</t>
  </si>
  <si>
    <t>567 37</t>
  </si>
  <si>
    <t>MINISTERIO DE DEFENSA NACIONAL INSTITUTO DE CASAS FISCALES DEL EJÉRCITO</t>
  </si>
  <si>
    <t>111-MINISTERIO DE DEFENSA NACIONAL INSTITUTO DE CASAS FISCALES DEL EJÉRCITO</t>
  </si>
  <si>
    <t>567 40</t>
  </si>
  <si>
    <t>FAC-ING-8029-UNIVERSIDAD DISTRITAL FRANCISCO JOSÉ DE CALDAS - UD</t>
  </si>
  <si>
    <t>580 29</t>
  </si>
  <si>
    <t>16161-UNIVERSIDAD DISTRITAL FRANCISCO JOSÉ DE CALDAS - UD</t>
  </si>
  <si>
    <t>580 37</t>
  </si>
  <si>
    <t>INSTITUTO GEOGRAFICO AGUSTIN CODAZZI - IGAC</t>
  </si>
  <si>
    <t>24715-INSTITUTO GEOGRAFICO AGUSTIN CODAZZI - IGAC</t>
  </si>
  <si>
    <t>567 39</t>
  </si>
  <si>
    <t>FIDUPREVISORA S.A.</t>
  </si>
  <si>
    <t>80740-023-FIDUPREVISORA S.A.</t>
  </si>
  <si>
    <t>567 38</t>
  </si>
  <si>
    <t>80740-110-FIDUPREVISORA S.A.</t>
  </si>
  <si>
    <t>567 41</t>
  </si>
  <si>
    <t>FAC-CIE-8032-UNIVERSIDAD DISTRITAL FRANCISCO JOSÉ DE CALDAS - UD</t>
  </si>
  <si>
    <t>580 32</t>
  </si>
  <si>
    <t>UNIVERSIDAD DE TWENTE</t>
  </si>
  <si>
    <t>3-UNIVERSIDAD DE TWENTE</t>
  </si>
  <si>
    <t>83 14</t>
  </si>
  <si>
    <t>GOBERNACIÓN DE LA GUAJIRA</t>
  </si>
  <si>
    <t>010-2021-GOBERNACIÓN DE LA GUAJIRA</t>
  </si>
  <si>
    <t>230-89464-4</t>
  </si>
  <si>
    <t>567 43</t>
  </si>
  <si>
    <t>REGIÓN ADMINISTRATIVA Y DE PLANEACION ESPECIAL — RAPE</t>
  </si>
  <si>
    <t>55-REGIÓN ADMINISTRATIVA Y DE PLANEACION ESPECIAL — RAPE</t>
  </si>
  <si>
    <t>230-89467-7</t>
  </si>
  <si>
    <t>83 13</t>
  </si>
  <si>
    <t>SERVICIO NACIONAL DE APRENDIZAJE - SENA</t>
  </si>
  <si>
    <t>CO1.PCCNTR.2564825-SERVICIO NACIONAL DE APRENDIZAJE - SENA</t>
  </si>
  <si>
    <t>Cuenta Corriente</t>
  </si>
  <si>
    <t>230-89517-9</t>
  </si>
  <si>
    <t>567 42</t>
  </si>
  <si>
    <t>80740-194-FIDUPREVISORA S.A.</t>
  </si>
  <si>
    <t>567 44</t>
  </si>
  <si>
    <t>SECRETARÍA DE EDUCACION DEL DISTRITO - SED</t>
  </si>
  <si>
    <t>2609142-SECRETARÍA DE EDUCACION DEL DISTRITO - SED</t>
  </si>
  <si>
    <t xml:space="preserve"> 230-89470-1</t>
  </si>
  <si>
    <t>83 15</t>
  </si>
  <si>
    <t>FDL BOSA</t>
  </si>
  <si>
    <t>278-FDL BOSA</t>
  </si>
  <si>
    <t>567 46</t>
  </si>
  <si>
    <t>UNIDAD ADMINISTRATIVA ESPECIAL DE CATASTRO DISTRITAL - UAECD</t>
  </si>
  <si>
    <t>593-2021-UNIDAD ADMINISTRATIVA ESPECIAL DE CATASTRO DISTRITAL - UAECD</t>
  </si>
  <si>
    <t>567 49</t>
  </si>
  <si>
    <t>FAC-MED-8040-UNIVERSIDAD DISTRITAL FRANCISCO JOSÉ DE CALDAS - UD</t>
  </si>
  <si>
    <t>580 40</t>
  </si>
  <si>
    <t>SERVICIO GEOLOGICO COLOMBIANO</t>
  </si>
  <si>
    <t>27-SERVICIO GEOLOGICO COLOMBIANO</t>
  </si>
  <si>
    <t>567 52</t>
  </si>
  <si>
    <t>MASCULTURAL CORPORACION</t>
  </si>
  <si>
    <t>CPSENELMARCO216921-1-MASCULTURAL CORPORACION</t>
  </si>
  <si>
    <t>567 48</t>
  </si>
  <si>
    <t>CENTRO NACIONAL DE MEMORIA HISTORICA</t>
  </si>
  <si>
    <t>419-CENTRO NACIONAL DE MEMORIA HISTORICA</t>
  </si>
  <si>
    <t>567 53</t>
  </si>
  <si>
    <t>CAJA DE COMPENSACIÓN FAMILIAR - COMPENSAR</t>
  </si>
  <si>
    <t>4500184175-CAJA DE COMPENSACIÓN FAMILIAR - COMPENSAR</t>
  </si>
  <si>
    <t>567 51</t>
  </si>
  <si>
    <t>SECRETARÍA DISTRITAL DE MOVILIDAD</t>
  </si>
  <si>
    <t>2248-SECRETARÍA DISTRITAL DE MOVILIDAD</t>
  </si>
  <si>
    <t>567 50</t>
  </si>
  <si>
    <t>CO1.PCCNTR.2750267-SECRETARÍA DE EDUCACION DEL DISTRITO - SED</t>
  </si>
  <si>
    <t>83 16</t>
  </si>
  <si>
    <t>FAC-MED-8044-UNIVERSIDAD DISTRITAL FRANCISCO JOSÉ DE CALDAS - UD</t>
  </si>
  <si>
    <t>580 44</t>
  </si>
  <si>
    <t>FDL SUBA</t>
  </si>
  <si>
    <t>FDLSCI-372-2021-FDL SUBA</t>
  </si>
  <si>
    <t>83 18</t>
  </si>
  <si>
    <t>INSTITUTO DISTRITAL DE GESTIÓN DE RIESGOS Y CAMBIO CLIMATICO - IDIGER - FONDIGER</t>
  </si>
  <si>
    <t>IDIGER-199-2021-INSTITUTO DISTRITAL DE GESTIÓN DE RIESGOS Y CAMBIO CLIMATICO - IDIGER - FONDIGER</t>
  </si>
  <si>
    <t>567 55</t>
  </si>
  <si>
    <t>UNIDAD ADMINISTRATIVA ESPECIAL MIGRACIÓN COLOMBIA</t>
  </si>
  <si>
    <t>105-UNIDAD ADMINISTRATIVA ESPECIAL MIGRACIÓN COLOMBIA</t>
  </si>
  <si>
    <t>567 54</t>
  </si>
  <si>
    <t>INSTITUTO  PARA LA INVESTIGACIÓN EDUCATIVA Y EL  DESARROLLO PEDAGÓGICO - IDEP</t>
  </si>
  <si>
    <t>79-INSTITUTO PARA LA INVESTIGACIÓN EDUCATIVA Y EL DESARROLLO PEDAGÓGICO - IDEP</t>
  </si>
  <si>
    <t>83 17</t>
  </si>
  <si>
    <t>CONCEJO MUNICIPAL DE VILLAVICENCIO</t>
  </si>
  <si>
    <t>36-CONCEJO MUNICIPAL DE VILLAVICENCIO</t>
  </si>
  <si>
    <t>567 60</t>
  </si>
  <si>
    <t>AVANCIENCIA - ASOCIACIÓN COLOMBIANA PARA EL AVANCE DE LA CIENCIA</t>
  </si>
  <si>
    <t>CDP2671 – 2021-AVANCIENCIA - ASOCIACIÓN COLOMBIANA PARA EL AVANCE DE LA CIENCIA</t>
  </si>
  <si>
    <t>83 19</t>
  </si>
  <si>
    <t>ASAMBLEA DEPARTAMENTAL CASANARE</t>
  </si>
  <si>
    <t>ASAMBLEA DEPARTAMENTAL SANTANDER</t>
  </si>
  <si>
    <t>CD-CI- 117- 2021-ASAMBLEA DEPARTAMENTAL SANTANDER</t>
  </si>
  <si>
    <t>567 59</t>
  </si>
  <si>
    <t>FAC - ING - 8045-UNIVERSIDAD DISTRITAL FRANCISCO JOSÉ DE CALDAS - UD</t>
  </si>
  <si>
    <t>580 45</t>
  </si>
  <si>
    <t>INSTITUTO DE HIDROLOGIA, METEREOLOGIA Y ESTUDIOS AMBIENTALES - IDEAM</t>
  </si>
  <si>
    <t>426-INSTITUTO DE HIDROLOGIA, METEREOLOGIA Y ESTUDIOS AMBIENTALES - IDEAM</t>
  </si>
  <si>
    <t>567 63</t>
  </si>
  <si>
    <t>FDL RAFAEL URIBE URIBE</t>
  </si>
  <si>
    <t>CIA-253-2021-FDL RAFAEL URIBE URIBE</t>
  </si>
  <si>
    <t>567 58</t>
  </si>
  <si>
    <t>UNIDAD ADMINISTRATIVA ESPECIAL DE SERVICIOS PÚBLICOS - UAESP</t>
  </si>
  <si>
    <t>UAESP-544-2021-UNIDAD ADMINISTRATIVA ESPECIAL DE SERVICIOS PÚBLICOS - UAESP</t>
  </si>
  <si>
    <t>83 21</t>
  </si>
  <si>
    <t>ASAMBLEA DEPARTAMENTAL DE BOYACA</t>
  </si>
  <si>
    <t>FAC-TECNO-8048-UNIVERSIDAD DISTRITAL FRANCISCO JOSÉ DE CALDAS - UD</t>
  </si>
  <si>
    <t>580 48</t>
  </si>
  <si>
    <t>UAESP-501-UNIDAD ADMINISTRATIVA ESPECIAL DE SERVICIOS PÚBLICOS - UAESP</t>
  </si>
  <si>
    <t>567 56</t>
  </si>
  <si>
    <t>2862289-SECRETARÍA DE EDUCACION DEL DISTRITO - SED</t>
  </si>
  <si>
    <t>230-89524-5</t>
  </si>
  <si>
    <t>83 20</t>
  </si>
  <si>
    <t>FAC-ASAB-8062-UNIVERSIDAD DISTRITAL FRANCISCO JOSÉ DE CALDAS - UD</t>
  </si>
  <si>
    <t>580 62</t>
  </si>
  <si>
    <t>AJG PODAS Y JARDINES SAS</t>
  </si>
  <si>
    <t>01-PODAS Y JARDINES SAS</t>
  </si>
  <si>
    <t>567 62</t>
  </si>
  <si>
    <t>FDL USAQUÉN</t>
  </si>
  <si>
    <t>FDLUSA-CI-365-2021-FDL USAQUÉN</t>
  </si>
  <si>
    <t>567 64</t>
  </si>
  <si>
    <t>MINISTERIO DEL INTERIOR Y JUSTICIA</t>
  </si>
  <si>
    <t>No. 1610 DE 2021-MINISTERIO DEL INTERIOR Y JUSTICIA</t>
  </si>
  <si>
    <t>567 65</t>
  </si>
  <si>
    <t>SECRETARÍA DISTRITAL DEL HÁBITAT</t>
  </si>
  <si>
    <t>842-SECRETARÍA DISTRITAL DEL HÁBITAT</t>
  </si>
  <si>
    <t>567 66</t>
  </si>
  <si>
    <t>102-00-D-CACOM-1-DED-MINISTERIO DE DEFENSA NACIONAL</t>
  </si>
  <si>
    <t>567 69</t>
  </si>
  <si>
    <t>473-INSTITUTO DEPARTAMENTAL DE CULTURA Y TURISMO DE CUNDINAMARCA</t>
  </si>
  <si>
    <t>567 61</t>
  </si>
  <si>
    <t>FAC-ASAB-8043-UNIVERSIDAD DISTRITAL FRANCISCO JOSÉ DE CALDAS - UD</t>
  </si>
  <si>
    <t>580 43</t>
  </si>
  <si>
    <t>185-MINISTERIO DE DEFENSA NACIONAL INSTITUTO DE CASAS FISCALES DEL EJÉRCITO</t>
  </si>
  <si>
    <t>567 70</t>
  </si>
  <si>
    <t>ALCALDÍA MUNICIPAL DE CAJICÁ</t>
  </si>
  <si>
    <t>8-ALCALDÍA MUNICIPAL DE CAJICÁ</t>
  </si>
  <si>
    <t>567 68</t>
  </si>
  <si>
    <t>80-7-10089-21-POLICIA NACIONAL</t>
  </si>
  <si>
    <t>567 67</t>
  </si>
  <si>
    <t>71-REGIÓN ADMINISTRATIVA Y DE PLANEACION ESPECIAL — RAPE</t>
  </si>
  <si>
    <t>83 22</t>
  </si>
  <si>
    <t>FAC-TECNO-8049-UNIVERSIDAD DISTRITAL FRANCISCO JOSÉ DE CALDAS - UD</t>
  </si>
  <si>
    <t>580 49</t>
  </si>
  <si>
    <t>MUNICIPIO DE CHÍA</t>
  </si>
  <si>
    <t>025-2021-MUNICIPIO DE CHÍA</t>
  </si>
  <si>
    <t>83 23</t>
  </si>
  <si>
    <t>ALCALDÍA MUNICIPAL DE JUNÍN</t>
  </si>
  <si>
    <t>CD-CI-2021000007-ALCALDÍA MUNICIPAL DE JUNÍN</t>
  </si>
  <si>
    <t>83 29</t>
  </si>
  <si>
    <t>2996174-SECRETARÍA DE EDUCACION DEL DISTRITO - SED</t>
  </si>
  <si>
    <t>83 26</t>
  </si>
  <si>
    <t>190-ICFE-2021-MINISTERIO DE DEFENSA NACIONAL INSTITUTO DE CASAS FISCALES DEL EJÉRCITO</t>
  </si>
  <si>
    <t>567 72</t>
  </si>
  <si>
    <t>FDL TUNJUELITO</t>
  </si>
  <si>
    <t>203-FDL TUNJUELITO</t>
  </si>
  <si>
    <t>567 75</t>
  </si>
  <si>
    <t>CORPORACIÓN AUTÓNOMA REGIONAL DE BOYACÁ - CORPOBOYACÁ</t>
  </si>
  <si>
    <t>019-CORPORACIÓN AUTÓNOMA REGIONAL DE BOYACÁ - CORPOBOYACÁ</t>
  </si>
  <si>
    <t>230-89548-4</t>
  </si>
  <si>
    <t>83 25</t>
  </si>
  <si>
    <t>8-CORPORACIÓN AUTÓNOMA REGIONAL DE LOS VALLES DEL SINÚ Y DEL SAN JORGE - CVS</t>
  </si>
  <si>
    <t>230-89553-4</t>
  </si>
  <si>
    <t>83 28</t>
  </si>
  <si>
    <t>FDL FONTIBÓN</t>
  </si>
  <si>
    <t>23-FDL FONTIBÓN</t>
  </si>
  <si>
    <t>83 34</t>
  </si>
  <si>
    <t>CORPORACIÓN AUTÓNOMA REGIONAL DE CUNDINAMARCA - CAR</t>
  </si>
  <si>
    <t>2596-CORPORACIÓN AUTÓNOMA REGIONAL DE CUNDINAMARCA - CAR</t>
  </si>
  <si>
    <t>230-89558-3</t>
  </si>
  <si>
    <t>83 30</t>
  </si>
  <si>
    <t>SECRETARÍA DISTRITAL DE CULTURA, RECREACIÓN Y DEPORTE</t>
  </si>
  <si>
    <t>477-2021-SECRETARÍA DISTRITAL DE CULTURA, RECREACIÓN Y DEPORTE-SCRD</t>
  </si>
  <si>
    <t>230-89545-0</t>
  </si>
  <si>
    <t>83 24</t>
  </si>
  <si>
    <t>CORPORACION PARA EL DESARROLLO SOSTENIBLE DEL SUR DE LA AMAZONIA CORPOAMAZONIA</t>
  </si>
  <si>
    <t>520-CORPORACION PARA EL DESARROLLO SOSTENIBLE DEL SUR DE LA AMAZONIA CORPOAMAZONIA</t>
  </si>
  <si>
    <t>83 27</t>
  </si>
  <si>
    <t>FDL CIUDAD BOLIVAR</t>
  </si>
  <si>
    <t>610-FDL CIUDAD BOLIVAR</t>
  </si>
  <si>
    <t>83 32</t>
  </si>
  <si>
    <t>SECRETARÍA DISTRITAL DE LA MUJER</t>
  </si>
  <si>
    <t>907-2021-LA SECRETARÍA DISTRITAL DE LA MUJER</t>
  </si>
  <si>
    <t>567 76</t>
  </si>
  <si>
    <t>CIA-305-2021-FDL RAFAEL URIBE URIBE</t>
  </si>
  <si>
    <t>567 77</t>
  </si>
  <si>
    <t>CIA-591-2021-FDL CIUDAD BOLIVAR</t>
  </si>
  <si>
    <t>83 31</t>
  </si>
  <si>
    <t>N°192-ICFE-2021-MINISTERIO DE DEFENSA NACIONAL INSTITUTO DE CASAS FISCALES DEL EJÉRCITO</t>
  </si>
  <si>
    <t>567 73</t>
  </si>
  <si>
    <t>ENEL EMGESA S.A ESP</t>
  </si>
  <si>
    <t>ZOCS 4500448697-ENEL EMGESA S.A ESP</t>
  </si>
  <si>
    <t>567 81</t>
  </si>
  <si>
    <t>001-00-G-CACOM-4- DE-MINISTERIO DE DEFENSA NACIONAL</t>
  </si>
  <si>
    <t>567 84</t>
  </si>
  <si>
    <t>CONCEJO MUNICIPAL DE YOPAL</t>
  </si>
  <si>
    <t>035-CONCEJO MUNICIPAL DE YOPAL</t>
  </si>
  <si>
    <t>567 78</t>
  </si>
  <si>
    <t>INSTITUTO COLOMBIANO DE CRÉDITO EDUCATIVO Y ESTUDIOS TÈNICOS EN EL EXTERIOR - ICETEX</t>
  </si>
  <si>
    <t>475-INSTITUTO COLOMBIANO DE CRÉDITO EDUCATIVO Y ESTUDIOS TÈNICOS EN EL EXTERIOR - ICETEX</t>
  </si>
  <si>
    <t>230-89731-6</t>
  </si>
  <si>
    <t>567 94</t>
  </si>
  <si>
    <t>CONCEJO MUNICIPAL DE MOSQUERA</t>
  </si>
  <si>
    <t>18-CONCEJO MUNICIPAL DE MOSQUERA</t>
  </si>
  <si>
    <t>567 79</t>
  </si>
  <si>
    <t>80740-011-FIDUPREVISORA S.A.</t>
  </si>
  <si>
    <t>567 83</t>
  </si>
  <si>
    <t>CO1.PCCNTR.3451677-SERVICIO NACIONAL DE APRENDIZAJE - SENA</t>
  </si>
  <si>
    <t>75 02</t>
  </si>
  <si>
    <t>CONCEJO MUNICIPAL DE CHÍA</t>
  </si>
  <si>
    <t>CO1.PCCNTR.3540718-CONCEJO MUNICIPAL DE CHÍA</t>
  </si>
  <si>
    <t>567 82</t>
  </si>
  <si>
    <t>CONCEJO MUNICIPAL DE FUNZA</t>
  </si>
  <si>
    <t>CPS-036-CONCEJO MUNICIPAL DE FUNZA</t>
  </si>
  <si>
    <t>567 80</t>
  </si>
  <si>
    <t>FAC-TECNO-8050-UNIVERSIDAD DISTRITAL FRANCISCO JOSÉ DE CALDAS - UD</t>
  </si>
  <si>
    <t>580 50</t>
  </si>
  <si>
    <t>FAC-MED-8051-UNIVERSIDAD DISTRITAL FRANCISCO JOSÉ DE CALDAS - UD</t>
  </si>
  <si>
    <t>580 51</t>
  </si>
  <si>
    <t>FAC-TECNO-8053-UNIVERSIDAD DISTRITAL FRANCISCO JOSÉ DE CALDAS - UD</t>
  </si>
  <si>
    <t>580 53</t>
  </si>
  <si>
    <t>FAC-TECNO-8046-UNIVERSIDAD DISTRITAL FRANCISCO JOSÉ DE CALDAS - UD</t>
  </si>
  <si>
    <t>580 46</t>
  </si>
  <si>
    <t>004-UNIVERSIDAD DE TWENTE</t>
  </si>
  <si>
    <t>83 33</t>
  </si>
  <si>
    <t>SECRETARIA DISTRITAL DE HACIENDA</t>
  </si>
  <si>
    <t>220375-SECRETARIA DISTRITAL DE HACIENDA</t>
  </si>
  <si>
    <t>567 86</t>
  </si>
  <si>
    <t>COMISIÓN NACIONAL DEL SERVICIO CIVIL - CNSC</t>
  </si>
  <si>
    <t>104-COMISIÓN NACIONAL DEL SERVICIO CIVIL - CNSC</t>
  </si>
  <si>
    <t>230-89617-7</t>
  </si>
  <si>
    <t>567 85</t>
  </si>
  <si>
    <t>ASOCIACIÓN COLOMBIANA DE ACONDICIONAMIENTO DEL AIRE Y DE LA REFRIGERACIÓN - ACAIRE</t>
  </si>
  <si>
    <t>CIDARE-CCDT 002-ASOCIACIÓN COLOMBIANA DE ACONDICIONAMIENTO DEL AIRE Y DE LA REFRIGERACIÓN - ACAIRE</t>
  </si>
  <si>
    <t>567 87</t>
  </si>
  <si>
    <t>FAC-ASAB-8054-UNIVERSIDAD DISTRITAL FRANCISCO JOSÉ DE CALDAS - UD</t>
  </si>
  <si>
    <t>580 54</t>
  </si>
  <si>
    <t>FAC-CIE-8034-UNIVERSIDAD DISTRITAL FRANCISCO JOSÉ DE CALDAS - UD</t>
  </si>
  <si>
    <t>580 34</t>
  </si>
  <si>
    <t>FONDO NACIONAL DEL TURISMO - FONTUR</t>
  </si>
  <si>
    <t>FNTCE-087-2022-FONDO NACIONAL DEL TURISMO - FONTUR</t>
  </si>
  <si>
    <t>567 89</t>
  </si>
  <si>
    <t>1114-SECRETARÍA DISTRITAL DE MOVILIDAD</t>
  </si>
  <si>
    <t>567 88</t>
  </si>
  <si>
    <t>FAC-ING-8007-UNIVERSIDAD DISTRITAL FRANCISCO JOSÉ DE CALDAS - UD</t>
  </si>
  <si>
    <t>580 07</t>
  </si>
  <si>
    <t>80-7-10060-22-POLICIA NACIONAL</t>
  </si>
  <si>
    <t>567 90</t>
  </si>
  <si>
    <t>4500266227-CAJA DE COMPENSACIÓN FAMILIAR - COMPENSAR</t>
  </si>
  <si>
    <t>567 93</t>
  </si>
  <si>
    <t>SECRETARÍA DISTRITAL DE PLANEACIÓN</t>
  </si>
  <si>
    <t>593-SECRETARÍA DISTRITAL DE PLANEACIÓN</t>
  </si>
  <si>
    <t>83 35</t>
  </si>
  <si>
    <t>CO1.PCCNTR.3914783-SECRETARÍA DE EDUCACION DEL DISTRITO - SED</t>
  </si>
  <si>
    <t>567 96</t>
  </si>
  <si>
    <t>CO1.PCCNTR.3926201-SECRETARÍA DE EDUCACION DEL DISTRITO - SED</t>
  </si>
  <si>
    <t>83 36</t>
  </si>
  <si>
    <t>CONVENIO DE COP. 016-CORPORACIÓN AUTÓNOMA REGIONAL DE LOS VALLES DEL SINÚ Y DEL SAN JORGE - CVS</t>
  </si>
  <si>
    <t>230-89730-8</t>
  </si>
  <si>
    <t>83 37</t>
  </si>
  <si>
    <t>UAESP-629</t>
  </si>
  <si>
    <t>230-85893-8</t>
  </si>
  <si>
    <t>83 39</t>
  </si>
  <si>
    <t>ALCALDÍA MUNICIPAL GACHALÁ CUNDINAMARCA</t>
  </si>
  <si>
    <t>1-ALCALDÍA MUNICIPAL GACHALÁ CUNDINAMARCA</t>
  </si>
  <si>
    <t>567 97</t>
  </si>
  <si>
    <t>FAC-ING-8064-UNIVERSIDAD DISTRITAL FRANCISCO JOSÉ DE CALDAS - UD</t>
  </si>
  <si>
    <t>580 64</t>
  </si>
  <si>
    <t>UNIVERSIDAD NACIONAL DE COLOMBIA</t>
  </si>
  <si>
    <t>1-UNIVERSIDAD NACIONAL DE COLOMBIA</t>
  </si>
  <si>
    <t>567 95</t>
  </si>
  <si>
    <t>DEPARTAMENTO DE CUNDINAMARCA - SECRETARÍA DE MINAS, ENERGÍA Y GAS</t>
  </si>
  <si>
    <t>SMEG-CI-038-2022-GOBERNACIÓN DE CUNDINAMARCA</t>
  </si>
  <si>
    <t>83 38</t>
  </si>
  <si>
    <t>FAC-TECNO-6792-UNIVERSIDAD DISTRITAL FRANCISCO JOSÉ DE CALDAS - UD</t>
  </si>
  <si>
    <t>567 92</t>
  </si>
  <si>
    <t>FAC-ASAB-8071-UNIVERSIDAD DISTRITAL FRANCISCO JOSÉ DE CALDAS - UD</t>
  </si>
  <si>
    <t>580 71</t>
  </si>
  <si>
    <t>80740-045-FIDUPREVISORA S.A.</t>
  </si>
  <si>
    <t>Suscrito</t>
  </si>
  <si>
    <t>572 15</t>
  </si>
  <si>
    <t>FAC-ASAB-8060-UNIVERSIDAD DISTRITAL FRANCISCO JOSÉ DE CALDAS - UD</t>
  </si>
  <si>
    <t>580 60</t>
  </si>
  <si>
    <t>FAC-ASAB-8061-UNIVERSIDAD DISTRITAL FRANCISCO JOSÉ DE CALDAS - UD</t>
  </si>
  <si>
    <t>580 61</t>
  </si>
  <si>
    <t>FAC-ASAB-8063-UNIVERSIDAD DISTRITAL FRANCISCO JOSÉ DE CALDAS - UD</t>
  </si>
  <si>
    <t>580 63</t>
  </si>
  <si>
    <t>80740-033-FIDUPREVISORA S.A.</t>
  </si>
  <si>
    <t>SUSCRITO</t>
  </si>
  <si>
    <t>572 16</t>
  </si>
  <si>
    <t>80740-082-FIDUPREVISORA S.A.</t>
  </si>
  <si>
    <t>572 17</t>
  </si>
  <si>
    <t>FAC-ING-8065 WEA-2022-UNIVERSIDAD DISTRITAL FRANCISCO JOSÉ DE CALDAS - UD</t>
  </si>
  <si>
    <t>580 65</t>
  </si>
  <si>
    <t>FAC-ING-8047-UNIVERSIDAD DISTRITAL FRANCISCO JOSÉ DE CALDAS - UD</t>
  </si>
  <si>
    <t>580 47</t>
  </si>
  <si>
    <t>668-INSTITUTO COLOMBIANO DE CRÉDITO EDUCATIVO Y ESTUDIOS TÈNICOS EN EL EXTERIOR - ICETEX</t>
  </si>
  <si>
    <t>572 19</t>
  </si>
  <si>
    <t>670-INSTITUTO COLOMBIANO DE CRÉDITO EDUCATIVO Y ESTUDIOS TÈNICOS EN EL EXTERIOR - ICETEX</t>
  </si>
  <si>
    <t>572 20</t>
  </si>
  <si>
    <t>23-CONCEJO MUNICIPAL DE MOSQUERA</t>
  </si>
  <si>
    <t>567 98</t>
  </si>
  <si>
    <t>24-CONCEJO MUNICIPAL DE MOSQUERA</t>
  </si>
  <si>
    <t>567 99</t>
  </si>
  <si>
    <t>CPSP-067-CONCEJO MUNICIPAL DE FUNZA</t>
  </si>
  <si>
    <t>572 02</t>
  </si>
  <si>
    <t>HERBARIO FORESTAL-UNIVERSIDAD DISTRITAL FRANCISCO JOSÉ DE CALDAS - UD</t>
  </si>
  <si>
    <t>97 02</t>
  </si>
  <si>
    <t>CD-CI-202200013-ALCALDÍA MUNICIPAL DE JUNÍN</t>
  </si>
  <si>
    <t>83 41</t>
  </si>
  <si>
    <t>CONCEJO MUNICIPAL DE ZIPAQUIRÁ</t>
  </si>
  <si>
    <t>1-CONCEJO MUNICIPAL DE ZIPAQUIRÁ</t>
  </si>
  <si>
    <t>572 07</t>
  </si>
  <si>
    <t>CONCEJO MUNICIPAL DE CAJICA</t>
  </si>
  <si>
    <t>CI-01-CONCEJO MUNICIPAL DE CAJICA</t>
  </si>
  <si>
    <t>572 06</t>
  </si>
  <si>
    <t>1181-SECRETARÍA DISTRITAL DEL HÁBITAT</t>
  </si>
  <si>
    <t>572 08</t>
  </si>
  <si>
    <t>PERSONERIA DE BOGOTA D.C.</t>
  </si>
  <si>
    <t>1380-PERSONERIA DE BOGOTA D.C.</t>
  </si>
  <si>
    <t>572 03</t>
  </si>
  <si>
    <t>CONCEJO MUNICIPAL DE COTA</t>
  </si>
  <si>
    <t>CD-065-CIA-001-CONCEJO MUNICIPAL DE COTA</t>
  </si>
  <si>
    <t>572 05</t>
  </si>
  <si>
    <t>CONCEJO MUNICIPAL DE MADRID</t>
  </si>
  <si>
    <t>27-CONCEJO MUNICIPAL DE MADRID</t>
  </si>
  <si>
    <t>572 04</t>
  </si>
  <si>
    <t>1385-PERSONERIA DE BOGOTA D.C.</t>
  </si>
  <si>
    <t>572 09</t>
  </si>
  <si>
    <t>FDL SUMAPAZ</t>
  </si>
  <si>
    <t>CIA-310-FDL SUMAPAZ</t>
  </si>
  <si>
    <t>572 10</t>
  </si>
  <si>
    <t>AGENCIA DISTRITAL PARA LA EDUCACIÓN SUPERIOR, LA CIENCIA Y LA TECNOLOGÍA - ATENEA</t>
  </si>
  <si>
    <t>ATENEA-290-AGENCIA DISTRITAL PARA LA EDUCACIÓN SUPERIOR, LA CIENCIA Y LA TECNOLOGÍA - ATENEA</t>
  </si>
  <si>
    <t>230-89854-6</t>
  </si>
  <si>
    <t>83 40</t>
  </si>
  <si>
    <t>Es el % Aprobado según Acta del CCE</t>
  </si>
  <si>
    <t>FAC-MED-8067-UNIVERSIDAD DISTRITAL FRANCISCO JOSÉ DE CALDAS - UD</t>
  </si>
  <si>
    <t>580 67</t>
  </si>
  <si>
    <t>WOM NETWORK SERVICES S.A.S.</t>
  </si>
  <si>
    <t>313-WOM NETWORK SERVICES S.A.S.</t>
  </si>
  <si>
    <t>572 13</t>
  </si>
  <si>
    <t>612-FDL BOSA</t>
  </si>
  <si>
    <t>572 11</t>
  </si>
  <si>
    <t>093-00-G-CACOM-4-DED-MINISTERIO DE DEFENSA NACIONAL</t>
  </si>
  <si>
    <t>572 12</t>
  </si>
  <si>
    <t>CORPORACIÓN PARA LA INVESTIGACIÓN EL DESARROLLO SOSTENIBLE Y LA PROMOCIÓN SOCIAL - CORPROGRESO</t>
  </si>
  <si>
    <t>003-2022-CORPORACIÓN PARA LA INVESTIGACIÓN EL DESARROLLO SOSTENIBLE Y LA PROMOCIÓN SOCIAL - CORPROGRESO</t>
  </si>
  <si>
    <t>572 14</t>
  </si>
  <si>
    <t>FDLF-CI-393-2022-FDL FONTIBÓN</t>
  </si>
  <si>
    <t>83 43</t>
  </si>
  <si>
    <t>80740-129-FIDUPREVISORA S.A.</t>
  </si>
  <si>
    <t>572 28</t>
  </si>
  <si>
    <t xml:space="preserve">SECRETARÍA DISTRITAL DE DESARROLLO ECONÓMICO </t>
  </si>
  <si>
    <t>914-2022-SECRETARÍA DISTRITAL DE DESARROLLO ECONÓMICO</t>
  </si>
  <si>
    <t>230-90043-3</t>
  </si>
  <si>
    <t>83 46</t>
  </si>
  <si>
    <t>CPSP-066-CONCEJO MUNICIPAL DE FUNZA</t>
  </si>
  <si>
    <t>572 01</t>
  </si>
  <si>
    <t>CONCEJO MUNICIPAL DE FACATATIVA</t>
  </si>
  <si>
    <t>001-2022-CONCEJO MUNICIPAL DE FACATATIVA</t>
  </si>
  <si>
    <t>572 18</t>
  </si>
  <si>
    <t>GOBERNACIÓN DE SUCRE</t>
  </si>
  <si>
    <t>CONV-RE-SDED-028-202-GOBERNACIÓN DE SUCRE</t>
  </si>
  <si>
    <t>230-90018-5</t>
  </si>
  <si>
    <t>572 32</t>
  </si>
  <si>
    <t>FDL LOS MARTIRES</t>
  </si>
  <si>
    <t>FDLM-177-2022(85246)-FDL LOS MARTIRES</t>
  </si>
  <si>
    <t>572 22</t>
  </si>
  <si>
    <t xml:space="preserve">220917-SECRETARIA DISTRITAL DE HACIENDA	</t>
  </si>
  <si>
    <t>572 21</t>
  </si>
  <si>
    <t>628-2022 (84804)-FDL BOSA</t>
  </si>
  <si>
    <t>572 25</t>
  </si>
  <si>
    <t>FDL KENNEDY</t>
  </si>
  <si>
    <t xml:space="preserve">CIA-809-FDL KENNEDY	</t>
  </si>
  <si>
    <t>83 42</t>
  </si>
  <si>
    <t>PN DIBIENo. 08-5-16001-23-POLICIA NACIONAL</t>
  </si>
  <si>
    <t>572 23</t>
  </si>
  <si>
    <t>INSTITUTO DE DESARROLLO URBANO - I.D.U.</t>
  </si>
  <si>
    <t>IDU-132-INSTITUTO DE DESARROLLO URBANO - I.D.U.</t>
  </si>
  <si>
    <t>Suspendido</t>
  </si>
  <si>
    <t>572 24</t>
  </si>
  <si>
    <t>UNIVERSIDAD INTERNACIONAL DE LA RIOJA – UNIR (ESPAÑA).</t>
  </si>
  <si>
    <t>ANEXOESPECIFICO-2023-UNIVERSIDAD INTERNACIONAL DE LA RIOJA – UNIR (ESPAÑA).</t>
  </si>
  <si>
    <t>572 27</t>
  </si>
  <si>
    <t>034-CONCEJO MUNICIPAL DE YOPAL</t>
  </si>
  <si>
    <t>572 26</t>
  </si>
  <si>
    <t>ELÉCTRICOS INTERNACIONAL S.A.S.</t>
  </si>
  <si>
    <t>CPS-001-2023-ELÉCTRICOS INTERNACIONAL S.A.S.</t>
  </si>
  <si>
    <t>572 33</t>
  </si>
  <si>
    <t>302-INSTITUTO DEPARTAMENTAL DE CULTURA Y TURISMO DE CUNDINAMARCA</t>
  </si>
  <si>
    <t>572 30</t>
  </si>
  <si>
    <t>CCE 1016-2021 UNAL CIDC - CONV ESPECIAL COOPER-UNIVERSIDAD NACIONAL DE COLOMBIA</t>
  </si>
  <si>
    <t>83 44</t>
  </si>
  <si>
    <t>572-SECRETARÍA DISTRITAL DE DESARROLLO ECONÓMICO</t>
  </si>
  <si>
    <t>230-89998-1</t>
  </si>
  <si>
    <t>83 45</t>
  </si>
  <si>
    <t>AGENCIA NACIONAL DE TIERRAS</t>
  </si>
  <si>
    <t>ANT-20232791-AGENCIA NACIONAL DE TIERRAS</t>
  </si>
  <si>
    <t>572 29</t>
  </si>
  <si>
    <t>07-5-20039-23-POLICIA NACIONAL</t>
  </si>
  <si>
    <t>572 34</t>
  </si>
  <si>
    <t>1769-SECRETARÍA DISTRITAL DE MOVILIDAD</t>
  </si>
  <si>
    <t>572 31</t>
  </si>
  <si>
    <t>513-FDL KENNEDY</t>
  </si>
  <si>
    <t>83 47</t>
  </si>
  <si>
    <t>SABER11_2023_FAC_CIE-UNIVERSIDAD DISTRITAL FRANCISCO JOSÉ DE CALDAS - UD</t>
  </si>
  <si>
    <t>580 76</t>
  </si>
  <si>
    <t>FAC-ING-8059-UNIVERSIDAD DISTRITAL FRANCISCO JOSÉ DE CALDAS - UD</t>
  </si>
  <si>
    <t>580 59</t>
  </si>
  <si>
    <t>515-FDL KENNEDY</t>
  </si>
  <si>
    <t>83 48</t>
  </si>
  <si>
    <t>UNIDAD ADMINISTRATIVA ESPECIAL DE UNIDAD SOLIDARIA</t>
  </si>
  <si>
    <t>01 DE 2023-UNIDAD ADMINISTRATIVA ESPECIAL DE UNIDAD SOLIDARIA</t>
  </si>
  <si>
    <t>83 49</t>
  </si>
  <si>
    <t>CO-123-2023-UNIDAD ADMINISTRATIVA ESPECIAL MIGRACIÓN COLOMBIA</t>
  </si>
  <si>
    <t>572 35</t>
  </si>
  <si>
    <t>80-7-10054-23-POLICIA NACIONAL</t>
  </si>
  <si>
    <t>572 43</t>
  </si>
  <si>
    <t>EJÉRCITO NACIONAL DE COLOMBIA</t>
  </si>
  <si>
    <t>572 36</t>
  </si>
  <si>
    <t>MINISTERIO DE LAS TECNOLOGÍAS DE LA INFORMACIÓN Y LAS COMUNICACIONES</t>
  </si>
  <si>
    <t>713-MINISTERIO DE LAS TECNOLOGÍAS DE LA INFORMACIÓN Y LAS COMUNICACIONES</t>
  </si>
  <si>
    <t>230-90069-8</t>
  </si>
  <si>
    <t>83 50</t>
  </si>
  <si>
    <t>CONCEJO MUNICIPAL GUADALAJARA DE BUGA</t>
  </si>
  <si>
    <t>572 51</t>
  </si>
  <si>
    <t>CMC IA 030 2023-CONCEJO MUNICIPAL DE CHÍA</t>
  </si>
  <si>
    <t>572 44</t>
  </si>
  <si>
    <t>CMC IA 043 2023-CONCEJO MUNICIPAL DE MADRID</t>
  </si>
  <si>
    <t>572 42</t>
  </si>
  <si>
    <t>CO1.PCCNTR.5095732-CONCEJO MUNICIPAL DE FACATATIVA</t>
  </si>
  <si>
    <t>572 37</t>
  </si>
  <si>
    <t>011 DE 2023-CORPORACIÓN AUTÓNOMA REGIONAL DE LOS VALLES DEL SINÚ Y DEL SAN JORGE - CVS</t>
  </si>
  <si>
    <t>230-90081-3</t>
  </si>
  <si>
    <t>83 51</t>
  </si>
  <si>
    <t>CONCEJO MUNICIPAL DE BECERRIL</t>
  </si>
  <si>
    <t>572 59</t>
  </si>
  <si>
    <t>CMC IA 032 2023-CONCEJO MUNICIPAL DE CHÍA</t>
  </si>
  <si>
    <t>572 40</t>
  </si>
  <si>
    <t>CONCEJO MUNICIPAL DE SUAZA</t>
  </si>
  <si>
    <t>CONTRATO INTERADMINISTRATIVO 001 DE 2023</t>
  </si>
  <si>
    <t>572 62</t>
  </si>
  <si>
    <t>CONCEJO MUNICIPAL DE CUMBAL</t>
  </si>
  <si>
    <t>CONTRATO INTERADMINISTRATIVO NO 01</t>
  </si>
  <si>
    <t>572 67</t>
  </si>
  <si>
    <t>572 50</t>
  </si>
  <si>
    <t>MINISTERIO DE JUSTICIA Y DEL DERECHO</t>
  </si>
  <si>
    <t>979-MINISTERIO DE JUSTICIA Y DEL DERECHO</t>
  </si>
  <si>
    <t>572 79</t>
  </si>
  <si>
    <t>999-2023-SECRETARÍA DISTRITAL DEL HÁBITAT</t>
  </si>
  <si>
    <t>572 49</t>
  </si>
  <si>
    <t>CONCEJO MUNICIPAL DE TANGUA</t>
  </si>
  <si>
    <t>572 69</t>
  </si>
  <si>
    <t>CONCEJO MUNICIPAL DE SIBUNDOY</t>
  </si>
  <si>
    <t>CONTRATO INTERADMINISTRATIVO NO 001 DEL 2023</t>
  </si>
  <si>
    <t>572 77</t>
  </si>
  <si>
    <t>CONCEJO MUNICIPAL DE EL PEÑOL</t>
  </si>
  <si>
    <t>CONTRATO INTERADMINISTRATIVO 002 DE 2023</t>
  </si>
  <si>
    <t>572 73</t>
  </si>
  <si>
    <t>CONCEJO MUNICIPAL DE PUERTO TRIUNFO</t>
  </si>
  <si>
    <t>572 58</t>
  </si>
  <si>
    <t>CONCEJO MUNICIPAL DE COLON</t>
  </si>
  <si>
    <t>572 75</t>
  </si>
  <si>
    <t>CONCEJO MUNICIPAL DE CODAZZI</t>
  </si>
  <si>
    <t>CONTRATO DE PRESTACION DE SERVICIOS PROFESIONALES NO. 018 DE 2023</t>
  </si>
  <si>
    <t>572 60</t>
  </si>
  <si>
    <t>FDLK-CIA-556-FDL KENNEDY</t>
  </si>
  <si>
    <t>83 55</t>
  </si>
  <si>
    <t>CONTRATO INTERADMINISTRATIVO 001-2023</t>
  </si>
  <si>
    <t>572 84</t>
  </si>
  <si>
    <t xml:space="preserve">CONCEJO MUNICIPAL DE PITALITO </t>
  </si>
  <si>
    <t>572 61</t>
  </si>
  <si>
    <t>CONTRATO INTERADMINISTRATIVO NO. 001-2023</t>
  </si>
  <si>
    <t>572 89</t>
  </si>
  <si>
    <t>CONCEJO MUNICIPAL DE LA PLATA</t>
  </si>
  <si>
    <t>CONTRATO INTERADMINISTRATIVO NO 002</t>
  </si>
  <si>
    <t>572 63</t>
  </si>
  <si>
    <t>CONTRATO INTERADMINISTRATIVO 002-2023</t>
  </si>
  <si>
    <t>572 85</t>
  </si>
  <si>
    <t>ESTABLECIMIENTO PÚBLICO AMBIENTAL DE CARTAGENA</t>
  </si>
  <si>
    <t>3-ESTABLECIMIENTO PÚBLICO AMBIENTAL DE CARTAGENA</t>
  </si>
  <si>
    <t>572 47</t>
  </si>
  <si>
    <t>CONCEJO MUNICIPAL DE YACUANQUER</t>
  </si>
  <si>
    <t>572 70</t>
  </si>
  <si>
    <t>CONCEJO MUNICIPAL DE SAN PABLO</t>
  </si>
  <si>
    <t>CONTRATO INTERADMINISTRATIVO 01 DE 2023</t>
  </si>
  <si>
    <t>572 68</t>
  </si>
  <si>
    <t>CONCEJO MUNICIPAL DE EL CHARCO</t>
  </si>
  <si>
    <t>572 71</t>
  </si>
  <si>
    <t>CONCEJO MUNICIPAL DE TENJO</t>
  </si>
  <si>
    <t>572 52</t>
  </si>
  <si>
    <t>CONCEJO MUNICIPAL DE SOPÓ</t>
  </si>
  <si>
    <t>572 53</t>
  </si>
  <si>
    <t>UNIDAD NACIONAL DE PROTECCIÓN - UNP</t>
  </si>
  <si>
    <t>1579-UNIDAD NACIONAL DE PROTECCIÓN - UNP</t>
  </si>
  <si>
    <t>572 38</t>
  </si>
  <si>
    <t>230642-SECRETARIA DISTRITAL DE HACIENDA</t>
  </si>
  <si>
    <t>572 41</t>
  </si>
  <si>
    <t>316-INSTITUTO DE HIDROLOGIA, METEREOLOGIA Y ESTUDIOS AMBIENTALES - IDEAM</t>
  </si>
  <si>
    <t>572 39</t>
  </si>
  <si>
    <t>MINISTERIO DEL TRABAJO</t>
  </si>
  <si>
    <t>453-MINISTERIO DEL TRABAJO</t>
  </si>
  <si>
    <t>83 52</t>
  </si>
  <si>
    <t>480-2023 (91276)-FDL BOSA</t>
  </si>
  <si>
    <t>572 46</t>
  </si>
  <si>
    <t>CONVENIO INTERADMINISTRATIVO NÂ° 072 DE 2023</t>
  </si>
  <si>
    <t xml:space="preserve"> 230-90112-6</t>
  </si>
  <si>
    <t>83 57</t>
  </si>
  <si>
    <t>ALCALDÍA MUNICIPAL DE GIRARDOT</t>
  </si>
  <si>
    <t>873-2023-ALCALDÍA MUNICIPAL DE GIRARDOT</t>
  </si>
  <si>
    <t>83 53</t>
  </si>
  <si>
    <t>CONCEJO MUNICIPAL DE EL RETIRO</t>
  </si>
  <si>
    <t>572 56</t>
  </si>
  <si>
    <t>CONCEJO MUNICIPAL DE LEJANIAS</t>
  </si>
  <si>
    <t>572 88</t>
  </si>
  <si>
    <t>CONCEJO MUNICIPAL DE GUAMAL</t>
  </si>
  <si>
    <t>CONTRATO INTERADMINISTRATIVO NO. 001 DE 2023 </t>
  </si>
  <si>
    <t>572 64</t>
  </si>
  <si>
    <t>CONCEJO MUNICIPAL DE BARBACOAS</t>
  </si>
  <si>
    <t>CONTRATO INTERADMINISTRATIVO 001 DE 2023 </t>
  </si>
  <si>
    <t>572 72</t>
  </si>
  <si>
    <t>CONCEJO MUNICIPAL DE SANTIAGO</t>
  </si>
  <si>
    <t>572 78</t>
  </si>
  <si>
    <t>CONCEJO MUNICIPAL DE TAMINANGO</t>
  </si>
  <si>
    <t>CONTRATO INTERADMINISTRATIVO 01 DE 2023 </t>
  </si>
  <si>
    <t>572 74</t>
  </si>
  <si>
    <t>CONCEJO MUNICIPAL DE TUMACO</t>
  </si>
  <si>
    <t>CONTRATO INTERADMINISTRATIVO 01-2023 </t>
  </si>
  <si>
    <t>572 66</t>
  </si>
  <si>
    <t>CONCEJO MUNICIPAL DE SAN FRANCISCO</t>
  </si>
  <si>
    <t>572 76</t>
  </si>
  <si>
    <t>CONCEJO MUNICIPAL DE PUERTO RICO</t>
  </si>
  <si>
    <t>572 65</t>
  </si>
  <si>
    <t>CONCEJO MUNICIPAL DE PUERTO BOYACÁ</t>
  </si>
  <si>
    <t>CONTRATO INTERADMINISTRATIVO 07 DE 2023 </t>
  </si>
  <si>
    <t>572 57</t>
  </si>
  <si>
    <t>CONCEJO MUNICIPAL DE SOACHA</t>
  </si>
  <si>
    <t>572 55</t>
  </si>
  <si>
    <t>572 82</t>
  </si>
  <si>
    <t>572 83</t>
  </si>
  <si>
    <t>CONCEJO MUNICIPAL DE GUARNE</t>
  </si>
  <si>
    <t>572 87</t>
  </si>
  <si>
    <t>CO1.PCCNTR.5155098-SECRETARÍA DE EDUCACION DEL DISTRITO - SED</t>
  </si>
  <si>
    <t>572 48</t>
  </si>
  <si>
    <t>SISTEMA UNIVERSITARIO ESTATAL (SUE)</t>
  </si>
  <si>
    <t>83 58</t>
  </si>
  <si>
    <t>FDLM-169-2023(92100)-FDL LOS MARTIRES</t>
  </si>
  <si>
    <t>83 54</t>
  </si>
  <si>
    <t>IDIGER-203-2023-INSTITUTO DISTRITAL DE GESTIÓN DE RIESGOS Y CAMBIO CLIMATICO - IDIGER - FONDIGER</t>
  </si>
  <si>
    <t>572 45</t>
  </si>
  <si>
    <t>83 59</t>
  </si>
  <si>
    <t>UNIVERSIDAD DE CARTAGENA</t>
  </si>
  <si>
    <t>580 75</t>
  </si>
  <si>
    <t>MINISTERIO DE CIENCIA, TECNOLOGÍA E INNOVACIÓN</t>
  </si>
  <si>
    <t>CFRC 021-2023-CIDC</t>
  </si>
  <si>
    <t>572 92</t>
  </si>
  <si>
    <t>572 80</t>
  </si>
  <si>
    <t>CONCEJO MUNICIPAL DE CHIRIGUANA</t>
  </si>
  <si>
    <t>572 86</t>
  </si>
  <si>
    <t>FAC-ASAB-8082-UNIVERSIDAD DISTRITAL FRANCISCO JOSÉ DE CALDAS - UD</t>
  </si>
  <si>
    <t>580 82</t>
  </si>
  <si>
    <t>791-2023-MINISTERIO DE CIENCIA, TECNOLOGÍA E INNOVACIÓN</t>
  </si>
  <si>
    <t>572 81</t>
  </si>
  <si>
    <t>FAC-ASAB-8081-UNIVERSIDAD DISTRITAL FRANCISCO JOSÉ DE CALDAS - UD</t>
  </si>
  <si>
    <t>580 81</t>
  </si>
  <si>
    <t>INSTITUTO NACIONAL DE SALUD</t>
  </si>
  <si>
    <t>FEI-INS 168-2023-INSTITUTO NACIONAL DE SALUD</t>
  </si>
  <si>
    <t>572 90</t>
  </si>
  <si>
    <t>FAC-ASAB-8079-UNIVERSIDAD DISTRITAL FRANCISCO JOSÉ DE CALDAS - UD</t>
  </si>
  <si>
    <t>580 79</t>
  </si>
  <si>
    <t>580 80</t>
  </si>
  <si>
    <t>INSTITUTO DE EXTENSIÓN Y EDUCACIÓN PARA EL TRABAJO Y DESARROLLO HUMANO - IDEXUD</t>
  </si>
  <si>
    <t>580 87</t>
  </si>
  <si>
    <t>UNIVERSIDAD PEDAGOGICA NACIONAL - UPN</t>
  </si>
  <si>
    <t>CEC UD-U PEDAGOGICA-CIDC</t>
  </si>
  <si>
    <t>83 61</t>
  </si>
  <si>
    <t>FAC-ASAB-8083-UNIVERSIDAD DISTRITAL FRANCISCO JOSÉ DE CALDAS - UD</t>
  </si>
  <si>
    <t>580 83</t>
  </si>
  <si>
    <t>FAC-MED-8085-UNIVERSIDAD DISTRITAL FRANCISCO JOSÉ DE CALDAS - UD</t>
  </si>
  <si>
    <t>580 85</t>
  </si>
  <si>
    <t>580 74</t>
  </si>
  <si>
    <t>580 86</t>
  </si>
  <si>
    <t>CONCEJO MUNICIPAL DE MONIQUIRÁ BOYACÁ</t>
  </si>
  <si>
    <t>CONVENIO INTERADMINISTRATIVO NO 001 DE 202</t>
  </si>
  <si>
    <t>572 93</t>
  </si>
  <si>
    <t>CONCEJO MUNICIPAL DE NOBSA BOYACÁ</t>
  </si>
  <si>
    <t>CONVENIO INTERADMINISTRATIVO CMN-CI-001 DE 2023</t>
  </si>
  <si>
    <t>572 94</t>
  </si>
  <si>
    <t>572 96</t>
  </si>
  <si>
    <t>CONCEJO MUNICIPAL DE PINILLOS</t>
  </si>
  <si>
    <t>572 95</t>
  </si>
  <si>
    <t>CONCEJO MUNICIPAL DE EL ESPINAL</t>
  </si>
  <si>
    <t>572 97</t>
  </si>
  <si>
    <t>CONCEJO MUNICIPAL DE LA PAZ CESAR</t>
  </si>
  <si>
    <t>572 98</t>
  </si>
  <si>
    <t>ALCALDÍA MUNICIPAL DE SOACHA</t>
  </si>
  <si>
    <t>572 91</t>
  </si>
  <si>
    <t>CORPORACIÓN RED NACIONAL ACADÉMICA DE TECNOLOGÍA AVANZADA - RENATA</t>
  </si>
  <si>
    <t>CONV-75-2023-CORPORACIÓN RED NACIONAL ACADÉMICA DE TECNOLOGÍA AVANZADA - RENATA</t>
  </si>
  <si>
    <t>83 62</t>
  </si>
  <si>
    <t>CONCEJO MUNICIPAL DE CARMEN DE APICALA</t>
  </si>
  <si>
    <t>CONTRATO INTERADMINISTRATIVO NO.001 DE 2023</t>
  </si>
  <si>
    <t>580 90</t>
  </si>
  <si>
    <t>SDH-SMINC-0083-2023 CONTRATO DE PRESTACION DE SERVICIOS 230989-2023</t>
  </si>
  <si>
    <t>573 04</t>
  </si>
  <si>
    <t>CD-CMM-046-2023-CONCEJO MUNICIPAL DE MADRID</t>
  </si>
  <si>
    <t>573 01</t>
  </si>
  <si>
    <t>572 99</t>
  </si>
  <si>
    <t>112721-428-2023-MINISTERIO DE CIENCIA, TECNOLOGÍA E INNOVACIÓN</t>
  </si>
  <si>
    <t>83 60</t>
  </si>
  <si>
    <t>573 03</t>
  </si>
  <si>
    <t>08-5-160001-24-POLICIA NACIONAL</t>
  </si>
  <si>
    <t>573 05</t>
  </si>
  <si>
    <t>80-7-10005-24-POLICIA NACIONAL</t>
  </si>
  <si>
    <t>573 06</t>
  </si>
  <si>
    <t>01-2024-UNIVERSIDAD NACIONAL DE COLOMBIA</t>
  </si>
  <si>
    <t>573 08</t>
  </si>
  <si>
    <t>MINISTERIO DE TRANSPORTE</t>
  </si>
  <si>
    <t>CONVENIO INTERADMINISTRATIVO NO. 615 DE 2024</t>
  </si>
  <si>
    <t>573 09</t>
  </si>
  <si>
    <t>SUPERINTENDENCIA DE TRANSPORTE</t>
  </si>
  <si>
    <t>333-SUPERINTENDENCIA DE TRANSPORTE</t>
  </si>
  <si>
    <t>573 07</t>
  </si>
  <si>
    <t>580 96</t>
  </si>
  <si>
    <t>80-7-10009-24-POLICIA NACIONAL</t>
  </si>
  <si>
    <t>573 10</t>
  </si>
  <si>
    <t>FAC-ASAB 8095-UNIVERSIDAD DISTRITAL FRANCISCO JOSÉ DE CALDAS - UD</t>
  </si>
  <si>
    <t>580 95</t>
  </si>
  <si>
    <t>580 91</t>
  </si>
  <si>
    <t>580 93</t>
  </si>
  <si>
    <t>1468-UNIDAD NACIONAL DE PROTECCIÓN - UNP</t>
  </si>
  <si>
    <t>573 11</t>
  </si>
  <si>
    <t>CONTRATO ELECTRÃ“NICO INTERADMINISTRATIVO NO. 138 DE 2024</t>
  </si>
  <si>
    <t>573 12</t>
  </si>
  <si>
    <t>CONTRATO INTERADMINISTRATIVO PN DIRAF NO. 06-5-10149-24</t>
  </si>
  <si>
    <t>573 13</t>
  </si>
  <si>
    <t>UPHOLDING S.A.S</t>
  </si>
  <si>
    <t>230-90368-4</t>
  </si>
  <si>
    <t>573 14</t>
  </si>
  <si>
    <t>83 63</t>
  </si>
  <si>
    <t xml:space="preserve">CTTO 463-2020 FDL RAFAEL URIBE     </t>
  </si>
  <si>
    <t>567 29</t>
  </si>
  <si>
    <t>FONDO FINANCIERO DE PROYECTOS DE DESARROLLO - FONADE</t>
  </si>
  <si>
    <t>563 70</t>
  </si>
  <si>
    <t>ALCALDÍA MUNICIPAL DE MONGUA</t>
  </si>
  <si>
    <t>CONVENIO INTERADMINISTRATIVO NO. CONINT/MOG. 002-2016</t>
  </si>
  <si>
    <t>DAVIVIENDA</t>
  </si>
  <si>
    <t>0092-0079-8107</t>
  </si>
  <si>
    <t>34 3</t>
  </si>
  <si>
    <t xml:space="preserve">MUNICIPIO FUNZA  </t>
  </si>
  <si>
    <t xml:space="preserve">CTTO INTERAD 624 - 2020 MUNICIPIO FUNZA  </t>
  </si>
  <si>
    <t>567 23</t>
  </si>
  <si>
    <t>573 16</t>
  </si>
  <si>
    <t>UNIVERSIDAD DISTRITAL FRANCISCO JOSÉ DE CALDAS</t>
  </si>
  <si>
    <t>582 16</t>
  </si>
  <si>
    <t>582 4</t>
  </si>
  <si>
    <t>582 10</t>
  </si>
  <si>
    <t>582 3</t>
  </si>
  <si>
    <t>83 65</t>
  </si>
  <si>
    <t>582 12</t>
  </si>
  <si>
    <t>582 13</t>
  </si>
  <si>
    <t xml:space="preserve">CTTO MINTIC 1497-2024        </t>
  </si>
  <si>
    <t>573 34</t>
  </si>
  <si>
    <t>GOBERNACIÓN DEPARTAMENTO ARCHIPIÉLAGO DE SAN ANDRÉS, PROVIDENCIA Y SANTA CATALIN</t>
  </si>
  <si>
    <t xml:space="preserve">CO1.PCCNTR.6392065 S ANDR   </t>
  </si>
  <si>
    <t>573 26</t>
  </si>
  <si>
    <t xml:space="preserve">TOTALES </t>
  </si>
  <si>
    <t>VALOR PRESUPUESTO MATRICULAS</t>
  </si>
  <si>
    <t>VALOR TOTAL PRESUPUESTO MATRICULAS</t>
  </si>
  <si>
    <t>NOTAS PRIMER TRIMESTRE</t>
  </si>
  <si>
    <t>UNIVERSIDAD DISTRITAL</t>
  </si>
  <si>
    <t xml:space="preserve">OCCIDENTE </t>
  </si>
  <si>
    <t>230-86428-2</t>
  </si>
  <si>
    <t>564 01</t>
  </si>
  <si>
    <t xml:space="preserve">Estado Convenio / Contrato </t>
  </si>
  <si>
    <t xml:space="preserve">Observación al estado </t>
  </si>
  <si>
    <t>Estado</t>
  </si>
  <si>
    <t xml:space="preserve">Tipo de Cuenta </t>
  </si>
  <si>
    <t>Aprobado recaudo</t>
  </si>
  <si>
    <t>Litigio</t>
  </si>
  <si>
    <t xml:space="preserve">CI 0927-2024 GOB M/LENA       </t>
  </si>
  <si>
    <t xml:space="preserve">CTTO BOG-1204-2024 ESAP     </t>
  </si>
  <si>
    <t xml:space="preserve">CTTO INTER 373-2024 IDEAM     </t>
  </si>
  <si>
    <t xml:space="preserve">CI 1972-2024 SJ CUCUTA        </t>
  </si>
  <si>
    <t xml:space="preserve">CTTO INTER 80-5-10029-24    </t>
  </si>
  <si>
    <t xml:space="preserve">C110 00129 319 2016 DADEP     </t>
  </si>
  <si>
    <t xml:space="preserve">CONV 240682 SHD               </t>
  </si>
  <si>
    <t xml:space="preserve">CI-836-2024 M/PIO MADRID </t>
  </si>
  <si>
    <t xml:space="preserve">CTTO 506-2024 ANH       </t>
  </si>
  <si>
    <t xml:space="preserve">CTTO MSPS 1138-2024 MINSA     </t>
  </si>
  <si>
    <t xml:space="preserve">CUR LIB PREP ART DAN 2024     </t>
  </si>
  <si>
    <t>573 30</t>
  </si>
  <si>
    <t>582 11</t>
  </si>
  <si>
    <t>573 38</t>
  </si>
  <si>
    <t>573 27</t>
  </si>
  <si>
    <t>573 17</t>
  </si>
  <si>
    <t>573 19</t>
  </si>
  <si>
    <t>562 30</t>
  </si>
  <si>
    <t>573 41</t>
  </si>
  <si>
    <t>573 42</t>
  </si>
  <si>
    <t>573 18</t>
  </si>
  <si>
    <t>83 66</t>
  </si>
  <si>
    <t>GOBERNACIÓN DEL MAGDALENA</t>
  </si>
  <si>
    <t xml:space="preserve">230-85893-8 </t>
  </si>
  <si>
    <t>ESCUELA SUPERIOR DE ADMINISTRACIÓN PÚBLICA - ESAP</t>
  </si>
  <si>
    <t>ALCALDÍA MUNICIPAL DE SAN JOSÉ DE CÚCUTA</t>
  </si>
  <si>
    <t>DEPARTAMENTO ADMINISTRATIVO DE LA DEFENSORÍA DEL ESPACIO PÚBLICO</t>
  </si>
  <si>
    <t>MUNICIPIO DE MADRID</t>
  </si>
  <si>
    <t>230-85893-9</t>
  </si>
  <si>
    <t>230-85893-10</t>
  </si>
  <si>
    <t>AGENCIA NACIONAL DE HIDROCARBUROS</t>
  </si>
  <si>
    <t>MINISTERIO DE SALUD Y PROTECCIÓN SOCIAL</t>
  </si>
  <si>
    <t>TOMADO EN INF 4TO TRIMES DEL 2024</t>
  </si>
  <si>
    <t>BENEFICIO TOMADO DE LA FACTURA 1469 OCTUBRE 2024 QUE CRUZA CON EL ANTICIPO DE $5.000.000.000 MILLONES</t>
  </si>
  <si>
    <t xml:space="preserve">BENEFICIO TOMADO DEL VALOR TOTAL DEL CONTRATO, APLICARON RETENCIONES PERO ESTAN ESTIPULADAS EN EL PRESUPUESTO </t>
  </si>
  <si>
    <t xml:space="preserve">BENEFICIO TOMADO SEGÚN ESTADO DE CUENTA  A CORTE DE OCTUBRE </t>
  </si>
  <si>
    <t>BENEFICIO TOMADO DE LA FACTURA 1412-2024</t>
  </si>
  <si>
    <t xml:space="preserve">BENEFICIO TOMADO SEGÚN INGRESOS DEL PROYECTO </t>
  </si>
  <si>
    <t>BENEFICIO TOMADO SEGÚN INGRESO DE FACTURA No 1423 DEL  2024</t>
  </si>
  <si>
    <t>BENEFICIO TOMADO SEGÚN INGRESOS DE LA FACTURA 1377-1379-1410 del 2024</t>
  </si>
  <si>
    <t>BENEFICIO TOMADO SEGÚN INGRESO DE FACTURA No 1446 DEL  2024</t>
  </si>
  <si>
    <t>BENEFICIO TOMADO DEL INGRESO DE LA FACTURA 1426 DEL 2024</t>
  </si>
  <si>
    <t>BENEFICIO TOMADO DEL INGRESO DE LA FACTURA 1382 DEL 2024</t>
  </si>
  <si>
    <t xml:space="preserve">BENEFICIO APROPIADO TENIENDO EN CUENTA EL ACTA DE LIQUIDACION DEL ILUD DEL TERCER TRIMESTRE </t>
  </si>
  <si>
    <t>BENEFICIO TOMADO DEL INGRESO DEL PROYECTO , LAS RETENCIONES ESTAN ESTIPULADS EN EL PRESUPUESTO</t>
  </si>
  <si>
    <t>BENEFICIO TOMADO DEL INGRESO DE FACTURA 1471-2024</t>
  </si>
  <si>
    <t>BENEFICIO TOMADO DEL INGRESO  FAC 1304-2024</t>
  </si>
  <si>
    <t>BENEFICIO TOMADO DEL INGRESO  FAC 1395-2024</t>
  </si>
  <si>
    <t>BENEFICIO TOMADO DEL INGRESO  FAC 1458 Y 1459 DEL 2024</t>
  </si>
  <si>
    <t xml:space="preserve">BENEFICIO TOMADO SEGÚN INGRESOS DE LA FACTURA 1389, se toma el total de la factura porque las retenciones estan contempladas en el presupuesto </t>
  </si>
  <si>
    <t>BENEFICIO TOMADO SEGÚN ESTAO DE CUENTA ENVIADO POR VANESA PARA CIERRE FINANCIERO, VALOR PENDIENTE DE BI $8.250.000 SALDO EN BANCOS $ 7.465.000</t>
  </si>
  <si>
    <t>BENEFICIO TOMADO SEGÚN ESTAO DE CUENTA ENVIADO POR VANESA PARA CIERRE FINANCIERO, VALOR PENDIENTE DE BI $5.853.702 SALDO EN BANCOS $ 5.845.573</t>
  </si>
  <si>
    <t>TOMADO SEGÚN INSTRUCCIONES DEL COORDINADOR FINANCIERO FACTURA 1393-2024</t>
  </si>
  <si>
    <t xml:space="preserve">CTTO 1468-2024 UNP     </t>
  </si>
  <si>
    <t>BENEFICIO TOMADO SEGÚN INGRESO DE FACTURA No 1483-1487-1488 del 2024</t>
  </si>
  <si>
    <t>BENEFICIO TOMADO DEL INGRESO DE LAS FACTURAS 1384 DEL 2024</t>
  </si>
  <si>
    <t xml:space="preserve">BENEFICIO TOMADO DEL INGRESO DE LAS FACTURAS 1475 DEL 2024, se tomo sobre el total ya que las retenciones estan estipuladas en el presupusto </t>
  </si>
  <si>
    <t>BENEFICIO TOMADO DEL INGRESO DE LAS FACTURAS 1537 DEL 2024</t>
  </si>
  <si>
    <t>BENEFICIO TOMADO DEL INGRESO DE LAS FACTURAS 1442 Y 1478 DEL 2024</t>
  </si>
  <si>
    <t xml:space="preserve">CI 33 2023 CONC  SIBUNDOY     </t>
  </si>
  <si>
    <t xml:space="preserve">El beneficio estaba por $288.429, pero el saldo en bancos es por $265.429 por lo tanto se toma ese valor por concepto de beneficio </t>
  </si>
  <si>
    <t>BENEFICIO TOMADO DEL INGRESO DE FACTURA 1464-1544 DEL 2024</t>
  </si>
  <si>
    <t>BENEFICIO TOMADO SEGÚN INGRESO DE FACTURA No 1489-1490 del 2024</t>
  </si>
  <si>
    <t>BENEFICIO TOMADO DEL INGRESO DE LAS FACTURAS 1479 DEL 2024</t>
  </si>
  <si>
    <t>TOMADO EN INF 1MER TRIMES DEL 2025</t>
  </si>
  <si>
    <t xml:space="preserve">BENEFICIO APROPIADO TENIENDO EN CUENTA EL ACTA DE LIQUIDACION DEL ILUD DEL CUARTO TRIMESTRE </t>
  </si>
  <si>
    <t>BENEFICIO TOMADO DEL INGRESO DE LA FACTURA 1448-11453- 1523 Y 1563 DEL 2024</t>
  </si>
  <si>
    <t xml:space="preserve">CI PN DILOF 06-5-10198-24     </t>
  </si>
  <si>
    <t>BENEFICIO TOMADO DEL INGRESO DE LA FACTURA 1513 DEL 2024</t>
  </si>
  <si>
    <t xml:space="preserve">CTTO INTER 307 DE 2024  </t>
  </si>
  <si>
    <t>BENEFICIO TOMADO DEL INGRESO  FAC 1508-1579 DEL 2024</t>
  </si>
  <si>
    <t xml:space="preserve">573-48_ CTO 2037-2024 MIN   </t>
  </si>
  <si>
    <t>BENEFICIO TOMADO DEL INGRESO  FAC 1565-1586 DEL 2024</t>
  </si>
  <si>
    <t>BENEFICIO TOMADO SEGÚN INGRESO DE FACTURA No 1548-1573 DEL  2024</t>
  </si>
  <si>
    <t xml:space="preserve">CIA 058 2024 FUNZA            </t>
  </si>
  <si>
    <t>BENEFICIO TOMADO SEGÚN INGRESO DE FACTURA No 1543-1558 DEL  2024</t>
  </si>
  <si>
    <t xml:space="preserve">CMC-CIA-057-2024-CHIA         </t>
  </si>
  <si>
    <t>BENEFICIO TOMADO SEGÚN INGRESO DE FACTURA No 1535 DEL  2024</t>
  </si>
  <si>
    <t>BENEFICIO TOMADO DEL INGRESO  FAC 1460 Y 1547 DEL 2024</t>
  </si>
  <si>
    <t xml:space="preserve">CT INT 2024-0523 PERSONER     </t>
  </si>
  <si>
    <t xml:space="preserve">BENEFICIO TOMADO SEGÚN INGRESOS DE LA FACTURA 1461-1501-1551 y 1610 del 2024 , se toma el total de la factura porque las retenciones estan contempladas en el presupuesto </t>
  </si>
  <si>
    <t xml:space="preserve">SE TOMO BENEFICIO INSTITUCIONAL POR V10 DEL PRESUPUESTO </t>
  </si>
  <si>
    <t xml:space="preserve">CTTO 07-5-20164-24 DISAN      </t>
  </si>
  <si>
    <t>BENEFICIO TOMADO DEL INGRESO  FAC 1533 DEL 2024</t>
  </si>
  <si>
    <t>BENEFICIO TOMADO DEL INGRESO DE FACTURA 1619-2024</t>
  </si>
  <si>
    <t>BENEFICIO TOMADO DEL INGRESO  FAC 1469 Y 1589 DEL 2024</t>
  </si>
  <si>
    <t>CTTO 06-5-10230-24 DILOF</t>
  </si>
  <si>
    <t>BENEFICIO TOMADO DEL INGRESO  FAC 1470 Y 1566 DEL 2024</t>
  </si>
  <si>
    <t xml:space="preserve">CTTO 796-2024 SHDT </t>
  </si>
  <si>
    <t>BENEFICIO TOMADO DEL INGRESO  FAC 1609 Y 1613 DEL 2024</t>
  </si>
  <si>
    <t>BENEFICIO TOMADO DEL INGRESO  FAC 1630 DEL 2025</t>
  </si>
  <si>
    <t>BENEFICIO TOMADO SEGÚN INGRESO DE FACTURA No 1454-1517-1518 DEL  2024</t>
  </si>
  <si>
    <t xml:space="preserve">CTTO 701 DE 2024 SSPD         </t>
  </si>
  <si>
    <t>BENEFICIO TOMADO SEGÚN INGRESO DE FACTURA No 1531 y 1594 DEL  2024</t>
  </si>
  <si>
    <t xml:space="preserve">089-00-G-CACOM4-DEDHU2024    </t>
  </si>
  <si>
    <t>BENEFICIO TOMADO SEGÚN INGRESO DE FACTURA No 1617-2024 Y 1634 1650 DEL 2025</t>
  </si>
  <si>
    <t>BENEFICIO TOMADO DEL INGRESO DE FACTURA 1491 y 1602 DEL 2024</t>
  </si>
  <si>
    <t xml:space="preserve">PRE-UNIV INGENIEROS 2024      </t>
  </si>
  <si>
    <t xml:space="preserve">CUR LIB PREP ART DAN 2024    </t>
  </si>
  <si>
    <t>BENEFICIO TOMADO POR V2 PRESUPUESTO DE CURSOS</t>
  </si>
  <si>
    <t xml:space="preserve">PREP ART MUSIC 2024 </t>
  </si>
  <si>
    <t>DIPL SEMIP ARTE COMUNIDAD</t>
  </si>
  <si>
    <t>BENEFICIO TOMADO SEGÚN INGRESO DE FACTURA No 1623-2024</t>
  </si>
  <si>
    <t xml:space="preserve">CTI-CD-216-2024 SUBACHOQU     </t>
  </si>
  <si>
    <t>BENEFICIO TOMADO SEGÚN INGRESO DE FACTURA No 1587-2024</t>
  </si>
  <si>
    <t xml:space="preserve">CI-042-2024 V/CENCIO          </t>
  </si>
  <si>
    <t>BENEFICIO TOMADO SEGÚN INGRESO DE FACTURA No 1549-1606-1607 DEL 2024</t>
  </si>
  <si>
    <t xml:space="preserve">OC-001-2024 CORPODESARR       </t>
  </si>
  <si>
    <t>BENEFICIO TOMADO SEGÚN INGRESO DE FACTURA 1148-2023</t>
  </si>
  <si>
    <t>BENEFICIO TOMADO DEL INGRESO DE LAS FACTURAS 1554 DEL 2024</t>
  </si>
  <si>
    <t xml:space="preserve">CTTO  UP 01 DE 2024           </t>
  </si>
  <si>
    <t>BENEFICIO TOMADO DEL INGRESO DE LAS FACTURAS 1522-1556 DEL 2024</t>
  </si>
  <si>
    <t>CIA 001 2024 MOSQUERA</t>
  </si>
  <si>
    <t>BENEFICIO TOMADO DEL INGRESO DE LAS FACTURAS 1542-1562 DEL 2024</t>
  </si>
  <si>
    <t xml:space="preserve">BENEFICIO TOMADO SEGÚN INGRESOS DE LA FACTURA 1424-2457-1482-1560 del 2024 (VALOR DISPONIBLE EN BANCOS) </t>
  </si>
  <si>
    <t xml:space="preserve">CTTO  200-30.4-562-2024       </t>
  </si>
  <si>
    <t>BENEFICIO TOMADO SEGÚN INGRESOS DE LA FACTURA 1539-1552 del 2024</t>
  </si>
  <si>
    <t xml:space="preserve">CIA-001-2024 TOCANCIPÁ        </t>
  </si>
  <si>
    <t xml:space="preserve">BENEFICIO TOMADO SEGÚN INGRESOS DE LA FACTURA 1541-1567 del 2024, se toma sobre el total ya que el gastos de estampillas esta estipulado en el presupuesto </t>
  </si>
  <si>
    <t xml:space="preserve">BENEFICIO TOMADO SEGÚN INGRESOS DE LA FACTURA 1422-1468 del 2024 , se toma el total de la factura porque las retenciones estan contempladas en el presupuesto </t>
  </si>
  <si>
    <t>573 28</t>
  </si>
  <si>
    <t>573 32</t>
  </si>
  <si>
    <t>573 48</t>
  </si>
  <si>
    <t>573 49</t>
  </si>
  <si>
    <t>573 46</t>
  </si>
  <si>
    <t>573 20</t>
  </si>
  <si>
    <t>573 35</t>
  </si>
  <si>
    <t>573 36</t>
  </si>
  <si>
    <t>573 29</t>
  </si>
  <si>
    <t>573 43</t>
  </si>
  <si>
    <t>573 61</t>
  </si>
  <si>
    <t>573 60</t>
  </si>
  <si>
    <t>573 52</t>
  </si>
  <si>
    <t>573 53</t>
  </si>
  <si>
    <t>573 44</t>
  </si>
  <si>
    <t>573 50</t>
  </si>
  <si>
    <t>573 39</t>
  </si>
  <si>
    <t>573 54</t>
  </si>
  <si>
    <t>582 05</t>
  </si>
  <si>
    <t>582 24</t>
  </si>
  <si>
    <t>582 14</t>
  </si>
  <si>
    <t>582 17</t>
  </si>
  <si>
    <t>MINISTERIO DE RELACIONES EXTERIORES</t>
  </si>
  <si>
    <t>SUPERINTENDENCIA DE SERVICIOS PÚBLICOS DOMICILIARIOS</t>
  </si>
  <si>
    <t>FUERZA AEROESPACIAL COLOMBIANA</t>
  </si>
  <si>
    <t>ALCALDÍA MUNICIPAL DE SUBACHOQUE</t>
  </si>
  <si>
    <t>CORPORACIÓN PARA EL DESARROLLO ECONÓMICO REGIONAL</t>
  </si>
  <si>
    <t>CORPORACIÓN AUTÓNOMA REGIONAL DEL GUAVIO - CORPOGUAVIO</t>
  </si>
  <si>
    <t>CONCEJO MUNICIPAL DE TOCANCIPA</t>
  </si>
  <si>
    <t>BENEFICIO TOMADO DE LA FACTURA 1510-1564 OCTUBRE 2024 QUE CRUZA CON EL ANTICIPO DE $5.000.000.000 MILLONES</t>
  </si>
  <si>
    <t>ILUD -2025</t>
  </si>
  <si>
    <t xml:space="preserve"> PN DIBIE 08-5-160001-25</t>
  </si>
  <si>
    <t>TOMADO EN INF 2DO TRIMES DEL 2025</t>
  </si>
  <si>
    <t>BENEFICIO TOMADO DE FACTURA 1643-1683-1701 DEL 2025</t>
  </si>
  <si>
    <t xml:space="preserve">CONV 1038-2024 SDP          </t>
  </si>
  <si>
    <t xml:space="preserve">BENEFICIO TOMAOD SEGÚN ESTADO DE CUENTA ENVIADO POR ANDREA 22/04/2025 Y  ACTA DE LIQUIDACION </t>
  </si>
  <si>
    <t>ILUD-2025</t>
  </si>
  <si>
    <t>BENEFICIO APROPIADO TENIENDO EN CUENTA EL ACTA DE LIQUIDACION DEL ILUD DEL PRIMER TRIMESTRE DEL 2025</t>
  </si>
  <si>
    <t>CI 137-2024 COLPENSIONES</t>
  </si>
  <si>
    <t>BENEFICIO TOMADO SEGÚN INGRESO DE FACTURA No 1612 DEL  2025</t>
  </si>
  <si>
    <t>BENEFICIO TOMADO DEL INGRESO  FAC 1492 del 2024</t>
  </si>
  <si>
    <t xml:space="preserve">CTTO ANT 20248362 </t>
  </si>
  <si>
    <t>BENEFICIO TOMADO POR INDICACIONES DEL JEFE DEL AREA DE LA FACTURA 1494 DEL 2025</t>
  </si>
  <si>
    <t xml:space="preserve">CIA 1703-2024 FDL C BOLIV     </t>
  </si>
  <si>
    <t>BENEFICIO TOMADO SEGÚN INGERSO DE FACTURA 1665 DEL 2025</t>
  </si>
  <si>
    <t xml:space="preserve">CONV FDLSC-CVNI-1161-2024     </t>
  </si>
  <si>
    <t>CONV FDLBU-CI-515-2024</t>
  </si>
  <si>
    <t xml:space="preserve">CONVENIO UAESP 560-2024     </t>
  </si>
  <si>
    <t>BENEFICIO TOMADO DE FACTURA 1735 DEL 2025</t>
  </si>
  <si>
    <t xml:space="preserve">CIA 1694-2024 FDL C BOLIV     </t>
  </si>
  <si>
    <t>BENEFICIO TOMADO DEL INGRESO DE LA FACTURA 1721 DEL 2025</t>
  </si>
  <si>
    <t xml:space="preserve">FDLF-CI-721-2024 </t>
  </si>
  <si>
    <t>BENEFICIO TOMADO DEL INGRESO DE LA FACTURA 1675 DEL 2025</t>
  </si>
  <si>
    <t>CTTO 707-2024 FDL BOSA</t>
  </si>
  <si>
    <t>BENEFICIO TOMADO DEL INGRESO DE LA FACTURA 1676 DEL 2025</t>
  </si>
  <si>
    <t xml:space="preserve">CIA 1134-2024 FDL KENNEDY     </t>
  </si>
  <si>
    <t>BENEFICIO TOMADO DEL INGRESO DE LA FACTURA 1697 DEL 2025</t>
  </si>
  <si>
    <t>BENEFICIO TOMADO SEGÚN INGRESOS DE LA FACTURA 1696</t>
  </si>
  <si>
    <t xml:space="preserve">CIA 1135-2024 FDL KENNEDY   </t>
  </si>
  <si>
    <t>BENEFICIO TOMADO SEGÚN INGRESOS DE LA FACTURA 1692 de 2025</t>
  </si>
  <si>
    <t>BENEFICIO TOMADO DEL INGRESO DE LA FACTURA 1715 DEL 2025</t>
  </si>
  <si>
    <t xml:space="preserve">CI ANT-202413299            </t>
  </si>
  <si>
    <t>BENEFICIO TOMADO DEL INGRESO DE LAS FACTURAS 1575-1614 DE 2024  fcatura 1627  DEL 2025</t>
  </si>
  <si>
    <t>BENEFICIO TOMADO DEL INGRESO DE LAS FACTURAS 1557 DEL 2024</t>
  </si>
  <si>
    <t>BENEFICIO TOMADO SEGÚN INGRESO DE FACTURA No 1682-1707  DEL 2025</t>
  </si>
  <si>
    <t xml:space="preserve">CTTO 06-5-10317-24 DILOF  </t>
  </si>
  <si>
    <t>BENEFICIO TOMADO SEGÚN INGRESO DE FACTURA No 1678  DEL 2025</t>
  </si>
  <si>
    <t xml:space="preserve">DIPLOM MULT 2025 FAC TECN    </t>
  </si>
  <si>
    <t xml:space="preserve">CO1.PCCNTR.7685385 -2025     </t>
  </si>
  <si>
    <t>BENEFICIO TOMADO DE FACTURA 1741- 1743 DEL 2025</t>
  </si>
  <si>
    <t>BENEFICIO TOMADO DE FACTURA 1764 DEL 2025</t>
  </si>
  <si>
    <t xml:space="preserve">PN-DIEPO- 80-7-10024-25  </t>
  </si>
  <si>
    <t>BENEFICIO TOMADO DE FACTURA 1719 DEL 2025</t>
  </si>
  <si>
    <t xml:space="preserve">CIA 1156-2024 FDL KENNEDY   </t>
  </si>
  <si>
    <t>BENEFICIO TOMADO DE FACTURA 1690 y 1695 DEL 2025</t>
  </si>
  <si>
    <t xml:space="preserve">FDLK CIA-1160-2024          </t>
  </si>
  <si>
    <t>BENEFICIO TOMADO DE FACTURA 1742 y 1745 DEL 2025</t>
  </si>
  <si>
    <t xml:space="preserve">BENEFICIO TOMADO DE FACTURA 1649 Y DE LOS INGRESOS A LA FECHA </t>
  </si>
  <si>
    <t>BENEFICIO TOMADO SEGÚN INGRESO DE FACTURA No 1759 DEL  2025</t>
  </si>
  <si>
    <t>BENEFICIO TOMADO SEGÚN INGRESO DE FACTURA No 1705 DEL 2025.</t>
  </si>
  <si>
    <t xml:space="preserve">CONV 414-2024 FDL CANDELA  </t>
  </si>
  <si>
    <t xml:space="preserve">CTTO ANSV-035-2025     </t>
  </si>
  <si>
    <t>BENEFICIO TOMADO DE FACTURA 1755 DEL 2025</t>
  </si>
  <si>
    <t>BENEFICIO TOMADO POR V4 PRESUPUESTO DE CURSOS</t>
  </si>
  <si>
    <t xml:space="preserve">CM-361-2024 CLUB MILITAR   </t>
  </si>
  <si>
    <t>BENEFICIO TOMADO DE FACTURA 1689 DEL 2025</t>
  </si>
  <si>
    <t xml:space="preserve">BENEFICIO TOMADO SEGÚN INGRESOS Y ESTADO DE CUENTA ENVIADO POR ANDREA EL 25 DE JUNIO (grupo ingresos) </t>
  </si>
  <si>
    <t>573 76</t>
  </si>
  <si>
    <t>83 69</t>
  </si>
  <si>
    <t>573 55</t>
  </si>
  <si>
    <t>573 33</t>
  </si>
  <si>
    <t>573 71</t>
  </si>
  <si>
    <t>83 71</t>
  </si>
  <si>
    <t>83 72</t>
  </si>
  <si>
    <t>83 74</t>
  </si>
  <si>
    <t>573 77</t>
  </si>
  <si>
    <t>573 73</t>
  </si>
  <si>
    <t>573 69</t>
  </si>
  <si>
    <t>573 70</t>
  </si>
  <si>
    <t>573 72</t>
  </si>
  <si>
    <t>573 57</t>
  </si>
  <si>
    <t>573 66</t>
  </si>
  <si>
    <t>582 27</t>
  </si>
  <si>
    <t>573 80</t>
  </si>
  <si>
    <t>573 81</t>
  </si>
  <si>
    <t>573 78</t>
  </si>
  <si>
    <t>573 74</t>
  </si>
  <si>
    <t>ADMINISTRADORA COLOMBIANA DE PENSIONES - COLPENSIONES</t>
  </si>
  <si>
    <t>FDL SAN CRISTOBAL</t>
  </si>
  <si>
    <t>FDL BARRIOS UNIDOS</t>
  </si>
  <si>
    <t>MINISTERIO DE EDUCACION NACIONAL - MEN</t>
  </si>
  <si>
    <t>83 70</t>
  </si>
  <si>
    <t>573 84</t>
  </si>
  <si>
    <t>573 63</t>
  </si>
  <si>
    <t>FDL CANDELARIA</t>
  </si>
  <si>
    <t>CLUB MILITAR</t>
  </si>
  <si>
    <t xml:space="preserve">BENEFICIO TOMADO SEGÚN INGRESO DE FACTURA No 1644 DEL  2025, OP DEL MES DE MARZO, EL BENEFICIO SE GIRO EN EL MES DE ABRIL </t>
  </si>
  <si>
    <t>FORMATO LIQUIDACIÓN BENEFICIO INSTITUCIONAL</t>
  </si>
  <si>
    <t>Código: GRF-FR-041</t>
  </si>
  <si>
    <t>Macroproceso: Gestión de Recursos</t>
  </si>
  <si>
    <t>Versión: 01</t>
  </si>
  <si>
    <t>Proceso: Gestión de Recursos Financieros</t>
  </si>
  <si>
    <t>Fecha de Aprobación:  2025/07/02</t>
  </si>
  <si>
    <t>BENEFICIO TOMADO SEGÚN INGRESOS DE LAS FACTUARAS No 1512 - 1545 DEL 2024</t>
  </si>
  <si>
    <t>BENEFICIO TOMADO DE FACTURA 1789 DEL 2025</t>
  </si>
  <si>
    <t>BENEFICIO TOMADO DE FACTURA 1806 DEL 2025</t>
  </si>
  <si>
    <t xml:space="preserve">CI 1200-2024 GOB M/LENA       </t>
  </si>
  <si>
    <t>BENEFICIO TOMADO DE LAS FACTURAS 1477 Y 1516 DEL 2024 Y 1668 DEL 2025</t>
  </si>
  <si>
    <t xml:space="preserve">CI 0720-2025 GOB M/LENA     </t>
  </si>
  <si>
    <t>BENEFICIO TOMADO DE FACTURA 1720 DEL 2025</t>
  </si>
  <si>
    <t>BENEFICIO TOMADO DE FACTURA 1629 DEL 2025</t>
  </si>
  <si>
    <t>BENEFICIO TOMADO SEGÚN INGRESO DE FACTURA No 1703 DEL 2025</t>
  </si>
  <si>
    <t>BENEFICIO TOMADO DE FACTURA 1751 DEL 2025</t>
  </si>
  <si>
    <t>BENEFICIO TOMADO DEL INGRESO  FAC 1704 DEL 2025</t>
  </si>
  <si>
    <t>BENEFICIO TOMADO SEGÚN INGRESO DE FACTURA No 1767 DEL  2025</t>
  </si>
  <si>
    <t>BENEFICIO TOMADO SEGÚN INGRESO DE FACTURA No 1667 DEL  2025</t>
  </si>
  <si>
    <t>BENEFICIO TOMADO DE FACTURA 1770 DEL 2025</t>
  </si>
  <si>
    <t xml:space="preserve">CD-CON-INTER-004-180 GUAS </t>
  </si>
  <si>
    <t>BENEFICIO TOMADO DE FACTURA 1753 DEL 2025</t>
  </si>
  <si>
    <t xml:space="preserve">Conv Coop 004-2025 CVS   </t>
  </si>
  <si>
    <t xml:space="preserve">CONV INTER 250366 SHD         </t>
  </si>
  <si>
    <t>BENEFICIO APROPIADO TENIENDO EN CUENTA EL ACTA DE LIQUIDACION DEL ILUD DEL SEGUNDO TRIMESTRE DEL 2025</t>
  </si>
  <si>
    <t xml:space="preserve">BENEFICIO TOMADO TENIENDO EN CUENTA ESTADO DE CUENTA ENVIADO POR ANDREA EN EL GRUPO DE INGRESOS, PARA CIERRE DEL PROYECTO </t>
  </si>
  <si>
    <t>BENEFICIO TOMADO SEGÚN INGRESOS DE LA FACTURA 1593-2024</t>
  </si>
  <si>
    <t>BENEFICIO TOMADO DEL INGRESO  FAC 1534 DEL 2024 y FACT 1788-2025</t>
  </si>
  <si>
    <t>DILOF 06-5-10329-2024</t>
  </si>
  <si>
    <t xml:space="preserve">BENEFICIO TOMADO DEL INGRESO  FAC 1534 </t>
  </si>
  <si>
    <t>BENEFICIO TOMADO DE FACTURA 1877 DEL 2025</t>
  </si>
  <si>
    <t>BENEFICIO TOMADO SEGÚN INGRESOS DE LA FACTURA No 1799-2025</t>
  </si>
  <si>
    <t>BENEFICIO TOMADO DEL INGRESO  FAC 1813-1814-1815 DEL 2025</t>
  </si>
  <si>
    <t>BENEFICIO TOMADO DE FACTURA 1768-1791-1803 DEL 2025</t>
  </si>
  <si>
    <t xml:space="preserve">CTO 7216296 BANCO MUNDIAL   </t>
  </si>
  <si>
    <t>BENEFICIO TOMADO SEGÚN INGRESO DE FACTURA No 1752 DEL 2025</t>
  </si>
  <si>
    <t>BENEFICIO TOMADO SEGÚN INGRESO DE FACTURA No 1844  DEL 2025</t>
  </si>
  <si>
    <t xml:space="preserve">SE TOMO BENEFICIO INSTITUCIONAL POR V4 DEL PRESUPUESTO </t>
  </si>
  <si>
    <t xml:space="preserve">CI 154-2024 MIGRACION COL     </t>
  </si>
  <si>
    <t>BENEFICIO TOMADO SEGÚN INGRESO DE FACTURA No 1497-1585 del 2024</t>
  </si>
  <si>
    <t xml:space="preserve">BENEFICIO TOMADO SEGÚN ESTADO DE CUENTA Y LIQUIDACION DEL CONVENIO  </t>
  </si>
  <si>
    <t>BENEFICIO TOMADO DE FACTURA 1953 DEL 2025</t>
  </si>
  <si>
    <t xml:space="preserve">PN-DIEPO- 80-7-10035-25 </t>
  </si>
  <si>
    <t>BENEFICIO TOMADO DE FACTURA 1820-1821 DEL 2025</t>
  </si>
  <si>
    <t xml:space="preserve">SSF CTTO 211 DE 2025          </t>
  </si>
  <si>
    <t xml:space="preserve">CTTO 001 2025 TATUAJES        </t>
  </si>
  <si>
    <t>BENEFICIO TOMADO DE FACTURA 1910 DEL 2025</t>
  </si>
  <si>
    <t xml:space="preserve">BENEFICIO TOMADO DE FACTURA 1897 DEL 2025, se toma del valor total de la factura los descuentos de estampillas estan en el presupuesto </t>
  </si>
  <si>
    <t xml:space="preserve">CI 050.3.021.027.538.2025     </t>
  </si>
  <si>
    <t>BENEFICIO TOMADO DE FACTURA 1855 DEL 2025</t>
  </si>
  <si>
    <t>BENEFICIO TOMADO DE FACTURA 1808-1809-1827 DEL 2025</t>
  </si>
  <si>
    <t>BENEFICIO TOMADO DE FACTURA 1800 DEL 2025</t>
  </si>
  <si>
    <t>BENEFICIO TOMADO SEGÚN INGERSO DE FACTURA F1728-1783-1843 CIA 1703-2024  DEL 2025</t>
  </si>
  <si>
    <t xml:space="preserve">SDT-CD-CI-087-2025          </t>
  </si>
  <si>
    <t xml:space="preserve">BENEFICIO TOMADO SEGÚN INGERSO DE FACTURA 1758 DEL 2025, se otmo del total ya que las retenciones se pueden tomar de imprevistos </t>
  </si>
  <si>
    <t>BENEFICIO TOMADO DE FACTURA 1933 DEL 2025</t>
  </si>
  <si>
    <t>BENEFICIO TOMADO DEL INGRESO DE LAS FACTURAS 1904 DEL 2024</t>
  </si>
  <si>
    <t>BENEFICIO TOMADO DEL INGRESO DE LAS FACTIRAS A CORTE DEL 24/09/2025</t>
  </si>
  <si>
    <t xml:space="preserve">CONVENIO 583-2024 ANH      </t>
  </si>
  <si>
    <t xml:space="preserve">PROG FORM MUSICAL ALAC 25     </t>
  </si>
  <si>
    <t xml:space="preserve">PREP ART MUSIC 2025 ASAB </t>
  </si>
  <si>
    <t xml:space="preserve">CONGRESO WEA 2025      </t>
  </si>
  <si>
    <t>573 40</t>
  </si>
  <si>
    <t>573 83</t>
  </si>
  <si>
    <t>573 87</t>
  </si>
  <si>
    <t>573 75</t>
  </si>
  <si>
    <t>573 86</t>
  </si>
  <si>
    <t>573 15</t>
  </si>
  <si>
    <t>83 77</t>
  </si>
  <si>
    <t>83 76</t>
  </si>
  <si>
    <t>83 75</t>
  </si>
  <si>
    <t>573 88</t>
  </si>
  <si>
    <t>573 89</t>
  </si>
  <si>
    <t>573 99</t>
  </si>
  <si>
    <t>573 93</t>
  </si>
  <si>
    <t>573 82</t>
  </si>
  <si>
    <t>582 40</t>
  </si>
  <si>
    <t>582 42</t>
  </si>
  <si>
    <t>582 43</t>
  </si>
  <si>
    <t>ALCALDÍA MUNICIPAL DE GUASCA</t>
  </si>
  <si>
    <t>BANCO MUNDIAL</t>
  </si>
  <si>
    <t>SUPERINTENDENCIA DEL SUBSIDIO FAMILIAR - SUPERSUBSIDIO</t>
  </si>
  <si>
    <t>TATTOO DC ACADEMY.SAS</t>
  </si>
  <si>
    <t>UNIVERSIDAD DEL VALLE</t>
  </si>
  <si>
    <t>230-90697-6</t>
  </si>
  <si>
    <t>Estado Suscrito / Sin acta de Inicio</t>
  </si>
  <si>
    <t>83-81</t>
  </si>
  <si>
    <t>83-80</t>
  </si>
  <si>
    <t>83-82</t>
  </si>
  <si>
    <t>83-83</t>
  </si>
  <si>
    <t>83-84</t>
  </si>
  <si>
    <t>83-86</t>
  </si>
  <si>
    <t>574-03</t>
  </si>
  <si>
    <t>573-96</t>
  </si>
  <si>
    <t>574-11</t>
  </si>
  <si>
    <t>573-85</t>
  </si>
  <si>
    <t>573-97</t>
  </si>
  <si>
    <t xml:space="preserve">CONV 1943-2025 SOACHA     </t>
  </si>
  <si>
    <t xml:space="preserve">CD-CI-67-2025 -RAP-E 2025    </t>
  </si>
  <si>
    <t xml:space="preserve">CONVENIO UAESP 387-2025       </t>
  </si>
  <si>
    <t xml:space="preserve">CI 1572 MINTIC - IDEXUD       </t>
  </si>
  <si>
    <t xml:space="preserve">CTTO 4213000-810-2025 ALC   </t>
  </si>
  <si>
    <t xml:space="preserve">CT INT 0603-2025 PERSONER   </t>
  </si>
  <si>
    <t xml:space="preserve">CTTO BOG-1435-2025   </t>
  </si>
  <si>
    <t xml:space="preserve">CO1.PCCNTR.8141578  </t>
  </si>
  <si>
    <t xml:space="preserve">CTTO ANSV-036-2025     </t>
  </si>
  <si>
    <t xml:space="preserve">CONV FDLSC-CVNI-716-2025      </t>
  </si>
  <si>
    <t xml:space="preserve">CT IN136  2025 SUPERSALUD  </t>
  </si>
  <si>
    <t>ALCALDÍA MAYOR DE BOGOTÁ</t>
  </si>
  <si>
    <t>INSTITUTO PARA LA ECONOMÍA SOCIAL - IPES</t>
  </si>
  <si>
    <t>SUPERINTENDECIA NACIONAL DE SALUD - SUPERSALUD</t>
  </si>
  <si>
    <t>230-90768-5</t>
  </si>
  <si>
    <t>230-90780-0</t>
  </si>
  <si>
    <t>TOMADO EN INF 4TO TRIMES DEL 2025</t>
  </si>
  <si>
    <t>BENEFICIO TOMADO DE FACTURA 2020 DEL 2025</t>
  </si>
  <si>
    <t>BENEFICIO APROPIADO TENIENDO EN CUENTA EL ACTA DE LIQUIDACION DEL ILUD DEL TERCER TRIMESTRE DEL 2025</t>
  </si>
  <si>
    <t>BENEFICIO TOMADO DE FACTURA 1901-1922 DEL 2025</t>
  </si>
  <si>
    <t xml:space="preserve">BENEFICIO TOMADO DEL INGRESO  FAC 1915, se tomo sobre le valor total de la factura ya que las retenciones estan estipuladas en el presupuesto </t>
  </si>
  <si>
    <t>BENEFICIO TOMADO DE FACTURA 1917-1918-1924DEL 2025</t>
  </si>
  <si>
    <t>BENEFICIO TOMADO DE FACTURA 1876 DEL 2025</t>
  </si>
  <si>
    <t>BENEFICIO TOMADO DE FACTURA 1923-1987 DEL 2025</t>
  </si>
  <si>
    <t>BENEFICIO TOMADO SEGÚN INGRESOS DE LA FACTURA 2012-2013 de 2025</t>
  </si>
  <si>
    <t>BENEFICIO TOMADO DE FACTURA 1868 DEL 2025</t>
  </si>
  <si>
    <t xml:space="preserve">BENEFICIO TOMADO SEGÚN EJECUCION_ % estipulado en el presupuesto </t>
  </si>
  <si>
    <t xml:space="preserve">BENEFICIO TOMADO DEL INGRESO  FAC 2015 Y 2069 DEL 2025, se tomo sobre le valor total de la factura ya que las retenciones estan estipuladas en el presupuesto </t>
  </si>
  <si>
    <t>BENEFICIO TOMADO SEGÚN INGRESOS DE LA FACTURA No 2063-2025</t>
  </si>
  <si>
    <t>BENEFICIO TOMADO DE FACTURA 1966 DEL 2025</t>
  </si>
  <si>
    <t xml:space="preserve">BENEFICIO TOMADO SEGÚN INGERSO DE FACTURA 1985 DEL 2025, se tomo del total ya que las retenciones se pueden tomar de imprevistos </t>
  </si>
  <si>
    <t xml:space="preserve">BENEFICIO TOMADO DEL INGRESO  FAC 2021, se tomo sobre le valor total de la factura ya que las retenciones estan estipuladas en el presupuesto </t>
  </si>
  <si>
    <t>BENEFICIO TOMADO DEL INGRESO  FAC 1880 y 20000</t>
  </si>
  <si>
    <t>BENEFICIO TOMADO DEL INGRESO  FAC2029+-2070</t>
  </si>
  <si>
    <t>BENEFICIO TOMADO DE FACTURA 2041 DEL 2025</t>
  </si>
  <si>
    <t>BENEFICIO TOMADO DEL INGRESO DE LA FACTURA 2006 DEL 2025</t>
  </si>
  <si>
    <t>BENEFICIO TOMADO DE FACTURA 2073 DEL 2025</t>
  </si>
  <si>
    <t>BENEFICIO TOMADO DE FACTURA 1747 DEL 2025</t>
  </si>
  <si>
    <t>BENEFICIO TOMADO SEGÚN EJECUCION</t>
  </si>
  <si>
    <t>Alcance beneficio diciembre del 2025</t>
  </si>
  <si>
    <r>
      <rPr>
        <b/>
        <sz val="11"/>
        <color theme="1"/>
        <rFont val="Calibri Light"/>
        <family val="2"/>
        <scheme val="major"/>
      </rPr>
      <t>Corresponde al trim 4 del 2025</t>
    </r>
    <r>
      <rPr>
        <sz val="11"/>
        <color theme="1"/>
        <rFont val="Calibri Light"/>
        <family val="2"/>
        <scheme val="major"/>
      </rPr>
      <t xml:space="preserve"> </t>
    </r>
  </si>
  <si>
    <t>Alcance beneficio diciembre del 2025 y beneficio 2026</t>
  </si>
  <si>
    <t xml:space="preserve">Conv Coop 017-2025 CVS     </t>
  </si>
  <si>
    <t xml:space="preserve">CI 362-2025 ARCHIVO GN  </t>
  </si>
  <si>
    <t xml:space="preserve">CONVENIO 352-2025 MINIGUA    </t>
  </si>
  <si>
    <t xml:space="preserve">CONVENIO UAESP 451-2025       </t>
  </si>
  <si>
    <t xml:space="preserve">CD-CINT-170-2025 JUNIN      </t>
  </si>
  <si>
    <t xml:space="preserve">CTTO 001 2025 CM PASTO       </t>
  </si>
  <si>
    <t xml:space="preserve">CTTO 553-2025 ZIPAQUIRÁ  </t>
  </si>
  <si>
    <t xml:space="preserve">DILOF -5-10237-25             </t>
  </si>
  <si>
    <t xml:space="preserve">CTTO 589 DE 20025 ANH   </t>
  </si>
  <si>
    <t xml:space="preserve">CDCI-273-2025 IMCRD ZIPAQ     </t>
  </si>
  <si>
    <t xml:space="preserve">CTTO ANSV-091-2025           </t>
  </si>
  <si>
    <t xml:space="preserve">CONVENIO UAESP 405-2025       </t>
  </si>
  <si>
    <t xml:space="preserve">081-00-G-CACOM4-DEDHU2025    </t>
  </si>
  <si>
    <t>CO1.PCCNTR.8413069 2025</t>
  </si>
  <si>
    <t xml:space="preserve">CTTO MSPS 2836-2025 MINSA     </t>
  </si>
  <si>
    <t xml:space="preserve">FDLBOSA 922-2025 CONT INT   </t>
  </si>
  <si>
    <t xml:space="preserve">CD-CON-INTER-001-092 - 26     </t>
  </si>
  <si>
    <t xml:space="preserve">PN DIBIE No. 08-5-16001-2   </t>
  </si>
  <si>
    <t xml:space="preserve">CI 050.3.021.027.052.2026     </t>
  </si>
  <si>
    <t xml:space="preserve">CTTO 276 DE 2026 SUPERSUB     </t>
  </si>
  <si>
    <t xml:space="preserve">CTTO 319-2026 U-TOLIMA      </t>
  </si>
  <si>
    <t xml:space="preserve">DIPLOM DRONES 20245 FAMAR   </t>
  </si>
  <si>
    <t>PREP ART ESC 2025</t>
  </si>
  <si>
    <t>Formación Continua Danza 2025-2- Facultad de Artes</t>
  </si>
  <si>
    <t xml:space="preserve">PREP ART PLAS Y VIS 2025     </t>
  </si>
  <si>
    <t xml:space="preserve">CL PREP ART DANZ 2025 </t>
  </si>
  <si>
    <t>83-88</t>
  </si>
  <si>
    <t>83-90</t>
  </si>
  <si>
    <t>83-91</t>
  </si>
  <si>
    <t>83-93</t>
  </si>
  <si>
    <t>573-90</t>
  </si>
  <si>
    <t>573-94</t>
  </si>
  <si>
    <t>573-98</t>
  </si>
  <si>
    <t>574-01</t>
  </si>
  <si>
    <t>574-08</t>
  </si>
  <si>
    <t>574-09</t>
  </si>
  <si>
    <t>574-14</t>
  </si>
  <si>
    <t>574-17</t>
  </si>
  <si>
    <t>574-19</t>
  </si>
  <si>
    <t>574-20</t>
  </si>
  <si>
    <t>574-22</t>
  </si>
  <si>
    <t>574-27</t>
  </si>
  <si>
    <t>574-37</t>
  </si>
  <si>
    <t>574-39</t>
  </si>
  <si>
    <t>574-40</t>
  </si>
  <si>
    <t>574-42</t>
  </si>
  <si>
    <t>574-47</t>
  </si>
  <si>
    <t>582-31</t>
  </si>
  <si>
    <t>582-36</t>
  </si>
  <si>
    <t>582-37</t>
  </si>
  <si>
    <t>582-38</t>
  </si>
  <si>
    <t>582-39</t>
  </si>
  <si>
    <t>ARCHIVO GENERAL DE LA NACIÓN - AGN</t>
  </si>
  <si>
    <t>PATRIMONIO AUTÓNOMO - FONDO PARA LA SUPERACIÓN DE BRECHAS DE DESIGUALDAD POBLACIONAL E INEQUIDAD TERRITORIAL</t>
  </si>
  <si>
    <t>CONCEJO MUNICIPAL DE PASTO</t>
  </si>
  <si>
    <t>ALCALDÍA MUNICIPAL DE ZIPAQUIRÁ</t>
  </si>
  <si>
    <t>INSTITUTO MUNICIPAL DE CULTURA, RECREACIÓN Y DEPORTE DE ZIPAQUIRÁ</t>
  </si>
  <si>
    <t>UNIVERSIDAD DEL TOLIMA</t>
  </si>
  <si>
    <t>230-90914-5</t>
  </si>
  <si>
    <t>230-90897-2</t>
  </si>
  <si>
    <t>230-90898-0</t>
  </si>
  <si>
    <t>Terminado</t>
  </si>
  <si>
    <t>CI-1313-2024</t>
  </si>
  <si>
    <t>CINT-448-2024</t>
  </si>
  <si>
    <t>CI-1704-2024</t>
  </si>
  <si>
    <t>IMC-005 DE 2024</t>
  </si>
  <si>
    <t>30 DE 2024</t>
  </si>
  <si>
    <t>CI-593-2024</t>
  </si>
  <si>
    <t>IDIGER-393-2024</t>
  </si>
  <si>
    <t>CIA-1135-2024</t>
  </si>
  <si>
    <t>C-056-2025</t>
  </si>
  <si>
    <t>CI-307-2025</t>
  </si>
  <si>
    <t>5932 DE 2025</t>
  </si>
  <si>
    <t>296 DE 2025</t>
  </si>
  <si>
    <t>DAFPC-CD-CI-048-2025</t>
  </si>
  <si>
    <t>ADN-001-20025</t>
  </si>
  <si>
    <t>001 DE 2025</t>
  </si>
  <si>
    <t>CO1.PCCNTR.8186061</t>
  </si>
  <si>
    <t>AGSE 2025 (ID de proyecto del DAAD 57753426)</t>
  </si>
  <si>
    <t>ADV -
CDI – 029 - 2025</t>
  </si>
  <si>
    <t>CD-CINT-206-2025</t>
  </si>
  <si>
    <t>CM-CPSW-106-2025</t>
  </si>
  <si>
    <t>C-083-2025</t>
  </si>
  <si>
    <t>CMP-CD-140-2025</t>
  </si>
  <si>
    <t>044-2025</t>
  </si>
  <si>
    <t>CIA-068-2025</t>
  </si>
  <si>
    <t>CIA-001-2025</t>
  </si>
  <si>
    <t>C-090-2025</t>
  </si>
  <si>
    <t>CONVOCATORIA ICETEX 2025 - PROYECTO N° 7</t>
  </si>
  <si>
    <t>CO1.PCCNTR.8556786</t>
  </si>
  <si>
    <t>FACATATIVA-999-25</t>
  </si>
  <si>
    <t>CMT-CD-031-2025</t>
  </si>
  <si>
    <t>CMC-CI-065-2025</t>
  </si>
  <si>
    <t>FDLBOSA CD 919-2025 CTO-INT.</t>
  </si>
  <si>
    <t>CM-CPS-160-2025</t>
  </si>
  <si>
    <t>002 DE 2025</t>
  </si>
  <si>
    <t>CDI-030-2025</t>
  </si>
  <si>
    <t>001-2025</t>
  </si>
  <si>
    <t>CD-CI-ADM-454-2025</t>
  </si>
  <si>
    <t>FAO-019-2025</t>
  </si>
  <si>
    <t>FAC-ING-8246</t>
  </si>
  <si>
    <t>FAC-TECNO-8245</t>
  </si>
  <si>
    <t>0984-2025</t>
  </si>
  <si>
    <t>004 DE 2025</t>
  </si>
  <si>
    <t>0668 DE 2026</t>
  </si>
  <si>
    <t>BOG 1057-2026</t>
  </si>
  <si>
    <t>CO1.PCCNTR.9242581</t>
  </si>
  <si>
    <t>CI-0710-2026</t>
  </si>
  <si>
    <t xml:space="preserve">	986-2026</t>
  </si>
  <si>
    <t>432 DE 2026</t>
  </si>
  <si>
    <t>031 DEL 29 DE ENERO DE 2026</t>
  </si>
  <si>
    <t>FAC-ING-8251</t>
  </si>
  <si>
    <t>CMZ-MC-020-2026</t>
  </si>
  <si>
    <t>FAC-ASAB-8249</t>
  </si>
  <si>
    <t>G5-277.2019.MEN</t>
  </si>
  <si>
    <t>MUNICIPIO DE LA CALERA CUNDINAMARCA</t>
  </si>
  <si>
    <t>CONCEJO DE GONZÁLEZ CONCEJO MUNICIPAL</t>
  </si>
  <si>
    <t>EMPRESA DE RENOVACIÓN Y DESARROLLO URBANO DE BOGOTÁ - RENOBO</t>
  </si>
  <si>
    <t>INSTITUTO DISTRITAL DE PATRIMONIO CULTURAL - IDPC</t>
  </si>
  <si>
    <t>INSTITUTO DISTRITAL DE GESTIÓN DE RIESGOS Y CAMBIO CLIMÁTICO - IDIGER</t>
  </si>
  <si>
    <t>FONDO DE DESARROLLO LOCAL DE KENNEDY</t>
  </si>
  <si>
    <t>ASAMBLEA DEPARTAMENTAL DEL CESAR</t>
  </si>
  <si>
    <t>UNIVERSIDAD TECNOLÓGICA DE PEREIRA</t>
  </si>
  <si>
    <t>MINISTERIO DE COMERCIO, INDUSTRIA Y TURISMO - MINCIT</t>
  </si>
  <si>
    <t>ASAMBLEA DEPARTAMENTAL DE NARIÑO</t>
  </si>
  <si>
    <t>ASAMBLEA DEPARTAMENTAL DEL GUAINIA</t>
  </si>
  <si>
    <t>UNIVERSIDAD DE CIENCIAS APLICADAS DE STUTTGART</t>
  </si>
  <si>
    <t>ASAMBLEA DEPARTAMENTAL VICHADA</t>
  </si>
  <si>
    <t>CONCEJO MUNICIPAL DE SAN JOSÉ DE CÚCUTA</t>
  </si>
  <si>
    <t>CONCEJO MUNICIPAL DE POPAYÁN</t>
  </si>
  <si>
    <t>SECRETARÍA DE EDUCACIÓN DEL DISTRITO - SED</t>
  </si>
  <si>
    <t>ALCALDIA MUNICIPAL DE FACATATIVA</t>
  </si>
  <si>
    <t>CONCEJO MUNICIPAL DE TOCANCIPÁ</t>
  </si>
  <si>
    <t>FONDO DE DESARROLLO LOCAL DE BOSA</t>
  </si>
  <si>
    <t>CONCEJO MUNICIPAL DE ALTAMIRA</t>
  </si>
  <si>
    <t>MUNICIPIO DE TENJO</t>
  </si>
  <si>
    <t>ORGANIZACIÓN DE LAS NACIONES UNIDAS PARA LA ALIMENTACIÓN Y LA AGRICULTURA - FAO</t>
  </si>
  <si>
    <t>PERSONERÍA DE BOGOTÁ D.C.</t>
  </si>
  <si>
    <t>ASAMBLEA DEPARTAMENTAL DE CASANARE</t>
  </si>
  <si>
    <t>PERSONERÍA DE BOGOTÁ</t>
  </si>
  <si>
    <t>MINISTERIO DE EDUCACIÓN NACIONAL - MEN</t>
  </si>
  <si>
    <t>SECRETARÍA DE HABITAT</t>
  </si>
  <si>
    <t>TEVEANDINA  SAS CANAL TRECE</t>
  </si>
  <si>
    <t>HOSPITAL SAN JUAN DE DIOS</t>
  </si>
  <si>
    <t>ILUD -2026</t>
  </si>
  <si>
    <t xml:space="preserve">En ejecucion </t>
  </si>
  <si>
    <r>
      <rPr>
        <b/>
        <sz val="11"/>
        <color theme="1"/>
        <rFont val="Calibri Light"/>
        <family val="2"/>
        <scheme val="major"/>
      </rPr>
      <t>Corresponde al trim 1 del 2026</t>
    </r>
    <r>
      <rPr>
        <sz val="11"/>
        <color theme="1"/>
        <rFont val="Calibri Light"/>
        <family val="2"/>
        <scheme val="major"/>
      </rPr>
      <t xml:space="preserve"> </t>
    </r>
  </si>
  <si>
    <t>573 92</t>
  </si>
  <si>
    <t>573-56</t>
  </si>
  <si>
    <t>573-91</t>
  </si>
  <si>
    <t>573-47</t>
  </si>
  <si>
    <t>573-67</t>
  </si>
  <si>
    <t>573-59</t>
  </si>
  <si>
    <t>573-68</t>
  </si>
  <si>
    <t>573-79</t>
  </si>
  <si>
    <t>573-95</t>
  </si>
  <si>
    <t>574-02</t>
  </si>
  <si>
    <t>574-04</t>
  </si>
  <si>
    <t>574-05</t>
  </si>
  <si>
    <t>573-64</t>
  </si>
  <si>
    <t>83-73</t>
  </si>
  <si>
    <t>573-72</t>
  </si>
  <si>
    <t>574-06</t>
  </si>
  <si>
    <t>574-07</t>
  </si>
  <si>
    <t>574-10</t>
  </si>
  <si>
    <t>574-12</t>
  </si>
  <si>
    <t>574-13</t>
  </si>
  <si>
    <t>574-15</t>
  </si>
  <si>
    <t>574-16</t>
  </si>
  <si>
    <t>574-18</t>
  </si>
  <si>
    <t>574-21</t>
  </si>
  <si>
    <t>574-23</t>
  </si>
  <si>
    <t>574-24</t>
  </si>
  <si>
    <t>83-87</t>
  </si>
  <si>
    <t>574-33</t>
  </si>
  <si>
    <t>574-31</t>
  </si>
  <si>
    <t>574-30</t>
  </si>
  <si>
    <t>574-38</t>
  </si>
  <si>
    <t>574-26</t>
  </si>
  <si>
    <t>574-25</t>
  </si>
  <si>
    <t>574-36</t>
  </si>
  <si>
    <t>574-29</t>
  </si>
  <si>
    <t>574-28</t>
  </si>
  <si>
    <t>83-94</t>
  </si>
  <si>
    <t>582-46</t>
  </si>
  <si>
    <t>582-45</t>
  </si>
  <si>
    <t>574-35</t>
  </si>
  <si>
    <t>574-41</t>
  </si>
  <si>
    <t>574-43</t>
  </si>
  <si>
    <t>574-48</t>
  </si>
  <si>
    <t>574-49</t>
  </si>
  <si>
    <t>574-46</t>
  </si>
  <si>
    <t>574-44</t>
  </si>
  <si>
    <t>574-45</t>
  </si>
  <si>
    <t>582-51</t>
  </si>
  <si>
    <t>574-50</t>
  </si>
  <si>
    <t>582-49</t>
  </si>
  <si>
    <t>582-55</t>
  </si>
  <si>
    <t>562-33</t>
  </si>
  <si>
    <t xml:space="preserve">NOTAS SEGUNDO TRIMESTRE </t>
  </si>
  <si>
    <t>BENEFICIO INSTITUCIONAL DEL 01  DE ABRIL AL 30 DE JUNIO DEL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</si>
</sst>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4" formatCode="_-&quot;$&quot;\ * #,##0.00_-;\-&quot;$&quot;\ * #,##0.00_-;_-&quot;$&quot;\ * &quot;-&quot;??_-;_-@_-"/>
    <numFmt numFmtId="43" formatCode="_-* #,##0.00_-;\-* #,##0.00_-;_-* &quot;-&quot;??_-;_-@_-"/>
    <numFmt numFmtId="164" formatCode="_-* #,##0_-;\-* #,##0_-;_-* &quot;-&quot;??_-;_-@_-"/>
    <numFmt numFmtId="165" formatCode="0.0%"/>
  </numFmts>
  <fonts count="16" x14ac:knownFonts="1">
    <font>
      <sz val="11"/>
      <color theme="1"/>
      <name val="Calibri"/>
      <family val="2"/>
      <scheme val="minor"/>
    </font>
    <font>
      <sz val="11"/>
      <color theme="1"/>
      <name val="Calibri"/>
      <family val="2"/>
      <scheme val="minor"/>
    </font>
    <font>
      <b/>
      <sz val="12"/>
      <color theme="1"/>
      <name val="Calibri Light"/>
      <family val="2"/>
      <scheme val="major"/>
    </font>
    <font>
      <b/>
      <sz val="11"/>
      <color theme="1"/>
      <name val="Calibri Light"/>
      <family val="2"/>
      <scheme val="major"/>
    </font>
    <font>
      <sz val="11"/>
      <color theme="1"/>
      <name val="Calibri Light"/>
      <family val="2"/>
      <scheme val="major"/>
    </font>
    <font>
      <sz val="9"/>
      <color indexed="81"/>
      <name val="Tahoma"/>
      <family val="2"/>
    </font>
    <font>
      <b/>
      <sz val="9"/>
      <color indexed="81"/>
      <name val="Tahoma"/>
      <family val="2"/>
    </font>
    <font>
      <b/>
      <sz val="9"/>
      <color theme="1"/>
      <name val="Calibri"/>
      <family val="2"/>
      <scheme val="minor"/>
    </font>
    <font>
      <sz val="11"/>
      <name val="Calibri"/>
      <family val="2"/>
      <scheme val="minor"/>
    </font>
    <font>
      <b/>
      <sz val="11"/>
      <color rgb="FFFF0000"/>
      <name val="Calibri Light"/>
      <family val="2"/>
      <scheme val="major"/>
    </font>
    <font>
      <b/>
      <sz val="11"/>
      <color theme="1" tint="4.9989318521683403E-2"/>
      <name val="Calibri"/>
      <family val="2"/>
      <scheme val="minor"/>
    </font>
    <font>
      <b/>
      <sz val="11"/>
      <color rgb="FFFF0000"/>
      <name val="Calibri"/>
      <family val="2"/>
      <scheme val="minor"/>
    </font>
    <font>
      <sz val="8"/>
      <name val="Calibri"/>
      <family val="2"/>
      <scheme val="minor"/>
    </font>
    <font>
      <b/>
      <sz val="10"/>
      <color theme="1"/>
      <name val="Calibri"/>
      <family val="2"/>
      <scheme val="minor"/>
    </font>
    <font>
      <sz val="10"/>
      <color theme="1"/>
      <name val="Calibri"/>
      <family val="2"/>
      <scheme val="minor"/>
    </font>
    <font>
      <b/>
      <sz val="11"/>
      <color theme="1"/>
      <name val="Calibri"/>
      <family val="2"/>
      <scheme val="minor"/>
    </font>
  </fonts>
  <fills count="11">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FF99"/>
        <bgColor indexed="64"/>
      </patternFill>
    </fill>
    <fill>
      <patternFill patternType="solid">
        <fgColor rgb="FFFF7C80"/>
        <bgColor indexed="64"/>
      </patternFill>
    </fill>
    <fill>
      <patternFill patternType="solid">
        <fgColor theme="9" tint="0.59999389629810485"/>
        <bgColor indexed="64"/>
      </patternFill>
    </fill>
    <fill>
      <patternFill patternType="solid">
        <fgColor theme="8"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hair">
        <color indexed="64"/>
      </right>
      <top style="hair">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top/>
      <bottom/>
      <diagonal/>
    </border>
    <border>
      <left/>
      <right style="medium">
        <color indexed="64"/>
      </right>
      <top/>
      <bottom/>
      <diagonal/>
    </border>
  </borders>
  <cellStyleXfs count="7">
    <xf numFmtId="0" fontId="0" fillId="0" borderId="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1" fillId="0" borderId="0" applyFont="0" applyFill="0" applyBorder="0" applyAlignment="0" applyProtection="0"/>
  </cellStyleXfs>
  <cellXfs count="265">
    <xf numFmtId="0" fontId="0" fillId="0" borderId="0" xfId="0"/>
    <xf numFmtId="49" fontId="2" fillId="0" borderId="0" xfId="0" applyNumberFormat="1" applyFont="1" applyAlignment="1">
      <alignment horizontal="center" vertical="center" wrapText="1"/>
    </xf>
    <xf numFmtId="3" fontId="0" fillId="0" borderId="0" xfId="0" applyNumberFormat="1"/>
    <xf numFmtId="164" fontId="0" fillId="0" borderId="0" xfId="1" applyNumberFormat="1" applyFont="1" applyFill="1"/>
    <xf numFmtId="0" fontId="3" fillId="0" borderId="0" xfId="0" applyFont="1" applyAlignment="1">
      <alignment vertical="center"/>
    </xf>
    <xf numFmtId="0" fontId="4" fillId="0" borderId="0" xfId="0" applyFont="1"/>
    <xf numFmtId="14" fontId="0" fillId="0" borderId="0" xfId="0" applyNumberFormat="1"/>
    <xf numFmtId="0" fontId="0" fillId="4" borderId="0" xfId="0" applyFill="1"/>
    <xf numFmtId="49" fontId="3" fillId="0" borderId="0" xfId="0" applyNumberFormat="1" applyFont="1" applyAlignment="1">
      <alignment horizontal="center" vertical="center" wrapText="1"/>
    </xf>
    <xf numFmtId="41" fontId="4" fillId="0" borderId="0" xfId="2" applyFont="1" applyFill="1"/>
    <xf numFmtId="49" fontId="3" fillId="0" borderId="7" xfId="0" applyNumberFormat="1" applyFont="1" applyBorder="1" applyAlignment="1">
      <alignment horizontal="center" vertical="center" wrapText="1"/>
    </xf>
    <xf numFmtId="49" fontId="3" fillId="0" borderId="8" xfId="0" applyNumberFormat="1" applyFont="1" applyBorder="1" applyAlignment="1">
      <alignment horizontal="center" vertical="center" wrapText="1"/>
    </xf>
    <xf numFmtId="49" fontId="3" fillId="2" borderId="8" xfId="0" applyNumberFormat="1" applyFont="1" applyFill="1" applyBorder="1" applyAlignment="1">
      <alignment horizontal="center" vertical="center" wrapText="1"/>
    </xf>
    <xf numFmtId="49" fontId="3" fillId="2" borderId="7" xfId="0" applyNumberFormat="1" applyFont="1" applyFill="1" applyBorder="1" applyAlignment="1">
      <alignment horizontal="center" vertical="center" wrapText="1"/>
    </xf>
    <xf numFmtId="164" fontId="3" fillId="2" borderId="7" xfId="1" applyNumberFormat="1" applyFont="1" applyFill="1" applyBorder="1" applyAlignment="1">
      <alignment horizontal="center" vertical="center" wrapText="1"/>
    </xf>
    <xf numFmtId="164" fontId="3" fillId="2" borderId="9" xfId="1" applyNumberFormat="1" applyFont="1" applyFill="1" applyBorder="1" applyAlignment="1">
      <alignment horizontal="center" vertical="center" wrapText="1"/>
    </xf>
    <xf numFmtId="1" fontId="4" fillId="0" borderId="10" xfId="2" applyNumberFormat="1" applyFont="1" applyFill="1" applyBorder="1" applyAlignment="1">
      <alignment horizontal="center" vertical="center"/>
    </xf>
    <xf numFmtId="0" fontId="3" fillId="0" borderId="2" xfId="0" applyFont="1" applyBorder="1" applyAlignment="1">
      <alignment vertical="center" wrapText="1"/>
    </xf>
    <xf numFmtId="0" fontId="3" fillId="0" borderId="3" xfId="0" applyFont="1" applyBorder="1" applyAlignment="1">
      <alignment vertical="center" wrapText="1"/>
    </xf>
    <xf numFmtId="2" fontId="3" fillId="0" borderId="3" xfId="0" applyNumberFormat="1" applyFont="1" applyBorder="1" applyAlignment="1">
      <alignment vertical="center" wrapText="1"/>
    </xf>
    <xf numFmtId="0" fontId="3" fillId="0" borderId="4" xfId="0" applyFont="1" applyBorder="1" applyAlignment="1">
      <alignment vertical="center" wrapText="1"/>
    </xf>
    <xf numFmtId="0" fontId="3" fillId="0" borderId="10" xfId="0" applyFont="1" applyBorder="1" applyAlignment="1">
      <alignment vertical="center" wrapText="1"/>
    </xf>
    <xf numFmtId="0" fontId="3" fillId="2" borderId="10" xfId="0" applyFont="1" applyFill="1" applyBorder="1" applyAlignment="1">
      <alignment vertical="center" wrapText="1"/>
    </xf>
    <xf numFmtId="41" fontId="3" fillId="0" borderId="3" xfId="0" applyNumberFormat="1" applyFont="1" applyBorder="1" applyAlignment="1">
      <alignment vertical="center"/>
    </xf>
    <xf numFmtId="14" fontId="2" fillId="0" borderId="0" xfId="0" applyNumberFormat="1" applyFont="1" applyAlignment="1">
      <alignment horizontal="center" vertical="center" wrapText="1"/>
    </xf>
    <xf numFmtId="164" fontId="2" fillId="0" borderId="0" xfId="1" applyNumberFormat="1" applyFont="1" applyAlignment="1">
      <alignment horizontal="center" vertical="center" wrapText="1"/>
    </xf>
    <xf numFmtId="49" fontId="7" fillId="0" borderId="1" xfId="0" applyNumberFormat="1" applyFont="1" applyBorder="1" applyAlignment="1">
      <alignment horizontal="center" vertical="center" wrapText="1"/>
    </xf>
    <xf numFmtId="49" fontId="7" fillId="6" borderId="1" xfId="0" applyNumberFormat="1" applyFont="1" applyFill="1" applyBorder="1" applyAlignment="1">
      <alignment horizontal="right" vertical="center" wrapText="1"/>
    </xf>
    <xf numFmtId="49" fontId="7" fillId="0" borderId="1" xfId="0" applyNumberFormat="1" applyFont="1" applyBorder="1" applyAlignment="1">
      <alignment vertical="center" wrapText="1"/>
    </xf>
    <xf numFmtId="49" fontId="7" fillId="3" borderId="1" xfId="0" applyNumberFormat="1" applyFont="1" applyFill="1" applyBorder="1" applyAlignment="1">
      <alignment horizontal="center" vertical="center" wrapText="1"/>
    </xf>
    <xf numFmtId="164" fontId="7" fillId="0" borderId="1" xfId="1" applyNumberFormat="1" applyFont="1" applyFill="1" applyBorder="1" applyAlignment="1">
      <alignment horizontal="center" vertical="center" wrapText="1"/>
    </xf>
    <xf numFmtId="49" fontId="7" fillId="6" borderId="1" xfId="0" applyNumberFormat="1" applyFont="1" applyFill="1" applyBorder="1" applyAlignment="1">
      <alignment horizontal="center" vertical="center" wrapText="1"/>
    </xf>
    <xf numFmtId="49" fontId="7" fillId="0" borderId="1" xfId="0" applyNumberFormat="1" applyFont="1" applyBorder="1" applyAlignment="1">
      <alignment horizontal="right" vertical="center" wrapText="1"/>
    </xf>
    <xf numFmtId="49" fontId="7" fillId="0" borderId="0" xfId="0" applyNumberFormat="1" applyFont="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right" vertical="center"/>
    </xf>
    <xf numFmtId="0" fontId="0" fillId="0" borderId="1" xfId="0" applyBorder="1" applyAlignment="1">
      <alignment vertical="center" wrapText="1"/>
    </xf>
    <xf numFmtId="3" fontId="0" fillId="0" borderId="1" xfId="0" applyNumberFormat="1" applyBorder="1" applyAlignment="1">
      <alignment vertical="center"/>
    </xf>
    <xf numFmtId="10" fontId="0" fillId="0" borderId="1" xfId="3" applyNumberFormat="1" applyFont="1" applyFill="1" applyBorder="1" applyAlignment="1">
      <alignment vertical="center"/>
    </xf>
    <xf numFmtId="164" fontId="0" fillId="0" borderId="1" xfId="1" applyNumberFormat="1" applyFont="1" applyFill="1" applyBorder="1" applyAlignment="1">
      <alignment vertical="center"/>
    </xf>
    <xf numFmtId="3" fontId="8" fillId="0" borderId="1" xfId="0" applyNumberFormat="1" applyFont="1" applyBorder="1" applyAlignment="1">
      <alignment horizontal="right" vertical="center"/>
    </xf>
    <xf numFmtId="3" fontId="8" fillId="0" borderId="1" xfId="0" applyNumberFormat="1" applyFont="1" applyBorder="1" applyAlignment="1">
      <alignment vertical="center"/>
    </xf>
    <xf numFmtId="164" fontId="0" fillId="0" borderId="1" xfId="1" applyNumberFormat="1" applyFont="1" applyFill="1" applyBorder="1" applyAlignment="1">
      <alignment horizontal="right" vertical="center"/>
    </xf>
    <xf numFmtId="14" fontId="0" fillId="0" borderId="1" xfId="0" applyNumberFormat="1" applyBorder="1" applyAlignment="1">
      <alignment vertical="center"/>
    </xf>
    <xf numFmtId="0" fontId="0" fillId="0" borderId="1" xfId="0" applyBorder="1" applyAlignment="1">
      <alignment vertical="center"/>
    </xf>
    <xf numFmtId="1" fontId="8" fillId="0" borderId="1" xfId="1" applyNumberFormat="1" applyFont="1" applyFill="1" applyBorder="1" applyAlignment="1">
      <alignment horizontal="center" vertical="center"/>
    </xf>
    <xf numFmtId="164" fontId="0" fillId="0" borderId="0" xfId="1" applyNumberFormat="1" applyFont="1"/>
    <xf numFmtId="0" fontId="0" fillId="0" borderId="0" xfId="0" applyAlignment="1">
      <alignment horizontal="center"/>
    </xf>
    <xf numFmtId="0" fontId="0" fillId="0" borderId="0" xfId="0" applyAlignment="1">
      <alignment horizontal="right"/>
    </xf>
    <xf numFmtId="0" fontId="0" fillId="0" borderId="0" xfId="0" applyAlignment="1">
      <alignment horizontal="center" vertical="center"/>
    </xf>
    <xf numFmtId="0" fontId="3" fillId="0" borderId="3" xfId="0" applyFont="1" applyBorder="1" applyAlignment="1">
      <alignment horizontal="center" vertical="center" wrapText="1"/>
    </xf>
    <xf numFmtId="164" fontId="3" fillId="2" borderId="3" xfId="1" applyNumberFormat="1" applyFont="1" applyFill="1" applyBorder="1" applyAlignment="1">
      <alignment horizontal="center" vertical="center" wrapText="1"/>
    </xf>
    <xf numFmtId="164" fontId="3" fillId="2" borderId="10" xfId="1" applyNumberFormat="1" applyFont="1" applyFill="1" applyBorder="1" applyAlignment="1">
      <alignment vertical="center" wrapText="1"/>
    </xf>
    <xf numFmtId="164" fontId="3" fillId="2" borderId="10" xfId="1" applyNumberFormat="1" applyFont="1" applyFill="1" applyBorder="1" applyAlignment="1">
      <alignment horizontal="center" vertical="center" wrapText="1"/>
    </xf>
    <xf numFmtId="1" fontId="7" fillId="0" borderId="1" xfId="0" applyNumberFormat="1" applyFont="1" applyBorder="1" applyAlignment="1">
      <alignment horizontal="center" vertical="center" wrapText="1"/>
    </xf>
    <xf numFmtId="1" fontId="8" fillId="0" borderId="1" xfId="0" applyNumberFormat="1" applyFont="1" applyBorder="1" applyAlignment="1">
      <alignment horizontal="center" vertical="center"/>
    </xf>
    <xf numFmtId="1" fontId="0" fillId="0" borderId="0" xfId="0" applyNumberFormat="1" applyAlignment="1">
      <alignment horizontal="center"/>
    </xf>
    <xf numFmtId="2" fontId="3" fillId="0" borderId="6" xfId="0" applyNumberFormat="1" applyFont="1" applyBorder="1" applyAlignment="1">
      <alignment horizontal="center" vertical="center" wrapText="1"/>
    </xf>
    <xf numFmtId="0" fontId="3" fillId="0" borderId="6" xfId="0" applyFont="1" applyBorder="1" applyAlignment="1">
      <alignment horizontal="center" vertical="center" wrapText="1"/>
    </xf>
    <xf numFmtId="1" fontId="3" fillId="0" borderId="6" xfId="0" applyNumberFormat="1" applyFont="1" applyBorder="1" applyAlignment="1">
      <alignment horizontal="center" vertical="center" wrapText="1"/>
    </xf>
    <xf numFmtId="1" fontId="3" fillId="2" borderId="6" xfId="0" applyNumberFormat="1" applyFont="1" applyFill="1" applyBorder="1" applyAlignment="1">
      <alignment horizontal="center" vertical="center" wrapText="1"/>
    </xf>
    <xf numFmtId="49" fontId="3" fillId="0" borderId="5" xfId="0" applyNumberFormat="1" applyFont="1" applyBorder="1" applyAlignment="1">
      <alignment horizontal="center" vertical="center" wrapText="1"/>
    </xf>
    <xf numFmtId="41" fontId="4" fillId="2" borderId="12" xfId="2" applyFont="1" applyFill="1" applyBorder="1" applyAlignment="1">
      <alignment vertical="center"/>
    </xf>
    <xf numFmtId="0" fontId="4" fillId="0" borderId="0" xfId="0" applyFont="1" applyAlignment="1">
      <alignment vertical="center"/>
    </xf>
    <xf numFmtId="0" fontId="4" fillId="2" borderId="0" xfId="0" applyFont="1" applyFill="1" applyAlignment="1">
      <alignment vertical="center"/>
    </xf>
    <xf numFmtId="0" fontId="4" fillId="0" borderId="0" xfId="0" applyFont="1" applyAlignment="1">
      <alignment horizontal="center" vertical="center"/>
    </xf>
    <xf numFmtId="2" fontId="4" fillId="0" borderId="0" xfId="0" applyNumberFormat="1" applyFont="1" applyAlignment="1">
      <alignment horizontal="center" vertical="center"/>
    </xf>
    <xf numFmtId="2" fontId="4" fillId="0" borderId="0" xfId="0" applyNumberFormat="1" applyFont="1" applyAlignment="1">
      <alignment vertical="center"/>
    </xf>
    <xf numFmtId="164" fontId="4" fillId="0" borderId="0" xfId="1" applyNumberFormat="1" applyFont="1" applyFill="1" applyAlignment="1">
      <alignment vertical="center"/>
    </xf>
    <xf numFmtId="10" fontId="3" fillId="0" borderId="8" xfId="3" applyNumberFormat="1" applyFont="1" applyFill="1" applyBorder="1" applyAlignment="1">
      <alignment horizontal="center" vertical="center" wrapText="1"/>
    </xf>
    <xf numFmtId="1" fontId="4" fillId="0" borderId="15" xfId="2" applyNumberFormat="1" applyFont="1" applyFill="1" applyBorder="1" applyAlignment="1">
      <alignment horizontal="center" vertical="center"/>
    </xf>
    <xf numFmtId="0" fontId="4" fillId="0" borderId="12" xfId="0" applyFont="1" applyBorder="1" applyAlignment="1">
      <alignment vertical="center"/>
    </xf>
    <xf numFmtId="1" fontId="4" fillId="0" borderId="12" xfId="2" applyNumberFormat="1" applyFont="1" applyFill="1" applyBorder="1" applyAlignment="1">
      <alignment horizontal="left" vertical="center"/>
    </xf>
    <xf numFmtId="1" fontId="4" fillId="2" borderId="12" xfId="2" applyNumberFormat="1" applyFont="1" applyFill="1" applyBorder="1" applyAlignment="1">
      <alignment horizontal="center" vertical="center"/>
    </xf>
    <xf numFmtId="1" fontId="4" fillId="0" borderId="12" xfId="2" applyNumberFormat="1" applyFont="1" applyFill="1" applyBorder="1" applyAlignment="1">
      <alignment horizontal="center" vertical="center"/>
    </xf>
    <xf numFmtId="41" fontId="4" fillId="0" borderId="12" xfId="2" applyFont="1" applyFill="1" applyBorder="1" applyAlignment="1">
      <alignment vertical="center"/>
    </xf>
    <xf numFmtId="0" fontId="4" fillId="0" borderId="12" xfId="2" applyNumberFormat="1" applyFont="1" applyFill="1" applyBorder="1" applyAlignment="1">
      <alignment horizontal="center" vertical="center"/>
    </xf>
    <xf numFmtId="10" fontId="4" fillId="0" borderId="12" xfId="3" applyNumberFormat="1" applyFont="1" applyFill="1" applyBorder="1" applyAlignment="1">
      <alignment horizontal="center" vertical="center"/>
    </xf>
    <xf numFmtId="1" fontId="4" fillId="0" borderId="17" xfId="2" applyNumberFormat="1" applyFont="1" applyFill="1" applyBorder="1" applyAlignment="1">
      <alignment horizontal="center" vertical="center"/>
    </xf>
    <xf numFmtId="0" fontId="3" fillId="0" borderId="18" xfId="0" applyFont="1" applyBorder="1" applyAlignment="1">
      <alignment horizontal="center" vertical="center" wrapText="1"/>
    </xf>
    <xf numFmtId="0" fontId="3" fillId="0" borderId="18" xfId="0" applyFont="1" applyBorder="1" applyAlignment="1">
      <alignment vertical="center" wrapText="1"/>
    </xf>
    <xf numFmtId="2" fontId="3" fillId="0" borderId="18" xfId="0" applyNumberFormat="1" applyFont="1" applyBorder="1" applyAlignment="1">
      <alignment horizontal="center" vertical="center" wrapText="1"/>
    </xf>
    <xf numFmtId="0" fontId="3" fillId="2" borderId="18" xfId="0" applyFont="1" applyFill="1" applyBorder="1" applyAlignment="1">
      <alignment vertical="center" wrapText="1"/>
    </xf>
    <xf numFmtId="1" fontId="4" fillId="0" borderId="20" xfId="2" applyNumberFormat="1" applyFont="1" applyFill="1" applyBorder="1" applyAlignment="1">
      <alignment horizontal="center" vertical="center"/>
    </xf>
    <xf numFmtId="0" fontId="4" fillId="0" borderId="21" xfId="0" applyFont="1" applyBorder="1" applyAlignment="1">
      <alignment horizontal="center" vertical="center"/>
    </xf>
    <xf numFmtId="0" fontId="4" fillId="0" borderId="21" xfId="0" applyFont="1" applyBorder="1" applyAlignment="1">
      <alignment vertical="center"/>
    </xf>
    <xf numFmtId="1" fontId="4" fillId="0" borderId="21" xfId="2" applyNumberFormat="1" applyFont="1" applyFill="1" applyBorder="1" applyAlignment="1">
      <alignment horizontal="left" vertical="center"/>
    </xf>
    <xf numFmtId="14" fontId="4" fillId="0" borderId="21" xfId="0" applyNumberFormat="1" applyFont="1" applyBorder="1" applyAlignment="1">
      <alignment vertical="center"/>
    </xf>
    <xf numFmtId="1" fontId="4" fillId="2" borderId="21" xfId="2" applyNumberFormat="1" applyFont="1" applyFill="1" applyBorder="1" applyAlignment="1">
      <alignment horizontal="center" vertical="center"/>
    </xf>
    <xf numFmtId="1" fontId="4" fillId="5" borderId="21" xfId="2" applyNumberFormat="1" applyFont="1" applyFill="1" applyBorder="1" applyAlignment="1">
      <alignment horizontal="center" vertical="center"/>
    </xf>
    <xf numFmtId="1" fontId="4" fillId="0" borderId="21" xfId="2" applyNumberFormat="1" applyFont="1" applyFill="1" applyBorder="1" applyAlignment="1">
      <alignment horizontal="center" vertical="center"/>
    </xf>
    <xf numFmtId="41" fontId="4" fillId="0" borderId="21" xfId="2" applyFont="1" applyFill="1" applyBorder="1" applyAlignment="1">
      <alignment horizontal="center" vertical="center"/>
    </xf>
    <xf numFmtId="0" fontId="4" fillId="0" borderId="21" xfId="2" applyNumberFormat="1" applyFont="1" applyFill="1" applyBorder="1" applyAlignment="1">
      <alignment horizontal="center" vertical="center"/>
    </xf>
    <xf numFmtId="41" fontId="4" fillId="0" borderId="21" xfId="2" applyFont="1" applyFill="1" applyBorder="1" applyAlignment="1">
      <alignment vertical="center"/>
    </xf>
    <xf numFmtId="41" fontId="4" fillId="2" borderId="21" xfId="2" applyFont="1" applyFill="1" applyBorder="1" applyAlignment="1">
      <alignment vertical="center"/>
    </xf>
    <xf numFmtId="10" fontId="4" fillId="5" borderId="21" xfId="3" applyNumberFormat="1" applyFont="1" applyFill="1" applyBorder="1" applyAlignment="1">
      <alignment horizontal="center" vertical="center"/>
    </xf>
    <xf numFmtId="49" fontId="3" fillId="0" borderId="14" xfId="0" applyNumberFormat="1" applyFont="1" applyBorder="1" applyAlignment="1">
      <alignment horizontal="center" vertical="center" wrapText="1"/>
    </xf>
    <xf numFmtId="1" fontId="3" fillId="0" borderId="23" xfId="0" applyNumberFormat="1" applyFont="1" applyBorder="1" applyAlignment="1">
      <alignment horizontal="center" vertical="center" wrapText="1"/>
    </xf>
    <xf numFmtId="1" fontId="3" fillId="2" borderId="23" xfId="0" applyNumberFormat="1" applyFont="1" applyFill="1" applyBorder="1" applyAlignment="1">
      <alignment horizontal="center" vertical="center" wrapText="1"/>
    </xf>
    <xf numFmtId="2" fontId="3" fillId="0" borderId="23" xfId="0" applyNumberFormat="1" applyFont="1" applyBorder="1" applyAlignment="1">
      <alignment horizontal="center" vertical="center" wrapText="1"/>
    </xf>
    <xf numFmtId="0" fontId="3" fillId="0" borderId="23" xfId="0" applyFont="1" applyBorder="1" applyAlignment="1">
      <alignment horizontal="center" vertical="center" wrapText="1"/>
    </xf>
    <xf numFmtId="49" fontId="3" fillId="0" borderId="24" xfId="0" applyNumberFormat="1" applyFont="1" applyBorder="1" applyAlignment="1">
      <alignment horizontal="center" vertical="center" wrapText="1"/>
    </xf>
    <xf numFmtId="49" fontId="3" fillId="0" borderId="25" xfId="0" applyNumberFormat="1" applyFont="1" applyBorder="1" applyAlignment="1">
      <alignment horizontal="center" vertical="center" wrapText="1"/>
    </xf>
    <xf numFmtId="49" fontId="3" fillId="2" borderId="25" xfId="0" applyNumberFormat="1" applyFont="1" applyFill="1" applyBorder="1" applyAlignment="1">
      <alignment horizontal="center" vertical="center" wrapText="1"/>
    </xf>
    <xf numFmtId="10" fontId="3" fillId="5" borderId="25" xfId="3" applyNumberFormat="1" applyFont="1" applyFill="1" applyBorder="1" applyAlignment="1">
      <alignment horizontal="center" vertical="center" wrapText="1"/>
    </xf>
    <xf numFmtId="49" fontId="3" fillId="2" borderId="24" xfId="0" applyNumberFormat="1" applyFont="1" applyFill="1" applyBorder="1" applyAlignment="1">
      <alignment horizontal="center" vertical="center" wrapText="1"/>
    </xf>
    <xf numFmtId="164" fontId="3" fillId="2" borderId="24" xfId="1" applyNumberFormat="1" applyFont="1" applyFill="1" applyBorder="1" applyAlignment="1">
      <alignment horizontal="center" vertical="center" wrapText="1"/>
    </xf>
    <xf numFmtId="164" fontId="3" fillId="2" borderId="26" xfId="1" applyNumberFormat="1" applyFont="1" applyFill="1" applyBorder="1" applyAlignment="1">
      <alignment horizontal="center" vertical="center" wrapText="1"/>
    </xf>
    <xf numFmtId="164" fontId="3" fillId="0" borderId="26" xfId="1" applyNumberFormat="1" applyFont="1" applyFill="1" applyBorder="1" applyAlignment="1">
      <alignment horizontal="center" vertical="center" wrapText="1"/>
    </xf>
    <xf numFmtId="41" fontId="4" fillId="0" borderId="27" xfId="2" applyFont="1" applyFill="1" applyBorder="1" applyAlignment="1">
      <alignment vertical="center"/>
    </xf>
    <xf numFmtId="164" fontId="4" fillId="0" borderId="0" xfId="1" applyNumberFormat="1" applyFont="1" applyAlignment="1">
      <alignment vertical="center"/>
    </xf>
    <xf numFmtId="164" fontId="9" fillId="0" borderId="8" xfId="1" applyNumberFormat="1" applyFont="1" applyFill="1" applyBorder="1" applyAlignment="1">
      <alignment horizontal="center" vertical="center" wrapText="1"/>
    </xf>
    <xf numFmtId="164" fontId="3" fillId="0" borderId="5" xfId="1" applyNumberFormat="1" applyFont="1" applyFill="1" applyBorder="1" applyAlignment="1">
      <alignment horizontal="center" vertical="center" wrapText="1"/>
    </xf>
    <xf numFmtId="41" fontId="3" fillId="0" borderId="10" xfId="0" applyNumberFormat="1" applyFont="1" applyBorder="1" applyAlignment="1">
      <alignment vertical="center"/>
    </xf>
    <xf numFmtId="41" fontId="3" fillId="2" borderId="18" xfId="0" applyNumberFormat="1" applyFont="1" applyFill="1" applyBorder="1" applyAlignment="1">
      <alignment horizontal="center" vertical="center" wrapText="1"/>
    </xf>
    <xf numFmtId="41" fontId="3" fillId="0" borderId="18" xfId="0" applyNumberFormat="1" applyFont="1" applyBorder="1" applyAlignment="1">
      <alignment horizontal="center" vertical="center" wrapText="1"/>
    </xf>
    <xf numFmtId="164" fontId="3" fillId="0" borderId="24" xfId="1" applyNumberFormat="1" applyFont="1" applyBorder="1" applyAlignment="1">
      <alignment horizontal="center" vertical="center" wrapText="1"/>
    </xf>
    <xf numFmtId="164" fontId="4" fillId="0" borderId="21" xfId="1" applyNumberFormat="1" applyFont="1" applyFill="1" applyBorder="1" applyAlignment="1">
      <alignment vertical="center"/>
    </xf>
    <xf numFmtId="164" fontId="3" fillId="0" borderId="18" xfId="1" applyNumberFormat="1" applyFont="1" applyBorder="1" applyAlignment="1">
      <alignment vertical="center" wrapText="1"/>
    </xf>
    <xf numFmtId="41" fontId="3" fillId="2" borderId="3" xfId="0" applyNumberFormat="1" applyFont="1" applyFill="1" applyBorder="1" applyAlignment="1">
      <alignment horizontal="center" vertical="center" wrapText="1"/>
    </xf>
    <xf numFmtId="0" fontId="4" fillId="0" borderId="0" xfId="0" applyFont="1" applyFill="1" applyAlignment="1">
      <alignment vertical="center"/>
    </xf>
    <xf numFmtId="0" fontId="4" fillId="0" borderId="0" xfId="0" applyFont="1" applyFill="1" applyAlignment="1">
      <alignment horizontal="center" vertical="center"/>
    </xf>
    <xf numFmtId="2" fontId="4" fillId="0" borderId="0" xfId="0" applyNumberFormat="1" applyFont="1" applyFill="1" applyAlignment="1">
      <alignment horizontal="center" vertical="center"/>
    </xf>
    <xf numFmtId="0" fontId="0" fillId="0" borderId="0" xfId="0" applyFill="1"/>
    <xf numFmtId="0" fontId="4" fillId="0" borderId="0" xfId="0" applyFont="1" applyFill="1"/>
    <xf numFmtId="0" fontId="0" fillId="0" borderId="1" xfId="0" applyFill="1" applyBorder="1" applyAlignment="1">
      <alignment horizontal="center" vertical="center"/>
    </xf>
    <xf numFmtId="0" fontId="0" fillId="0" borderId="1" xfId="0" applyFill="1" applyBorder="1" applyAlignment="1">
      <alignment horizontal="right" vertical="center"/>
    </xf>
    <xf numFmtId="0" fontId="0" fillId="0" borderId="1" xfId="0" applyFill="1" applyBorder="1" applyAlignment="1">
      <alignment vertical="center" wrapText="1"/>
    </xf>
    <xf numFmtId="3" fontId="0" fillId="0" borderId="1" xfId="0" applyNumberFormat="1" applyFill="1" applyBorder="1" applyAlignment="1">
      <alignment vertical="center"/>
    </xf>
    <xf numFmtId="3" fontId="8" fillId="0" borderId="1" xfId="0" applyNumberFormat="1" applyFont="1" applyFill="1" applyBorder="1" applyAlignment="1">
      <alignment horizontal="right" vertical="center"/>
    </xf>
    <xf numFmtId="3" fontId="8" fillId="0" borderId="1" xfId="0" applyNumberFormat="1" applyFont="1" applyFill="1" applyBorder="1" applyAlignment="1">
      <alignment vertical="center"/>
    </xf>
    <xf numFmtId="1" fontId="8" fillId="0" borderId="1" xfId="0" applyNumberFormat="1" applyFont="1" applyFill="1" applyBorder="1" applyAlignment="1">
      <alignment horizontal="center" vertical="center"/>
    </xf>
    <xf numFmtId="14" fontId="0" fillId="0" borderId="1" xfId="0" applyNumberFormat="1" applyFill="1" applyBorder="1" applyAlignment="1">
      <alignment vertical="center"/>
    </xf>
    <xf numFmtId="0" fontId="0" fillId="0" borderId="1" xfId="0" applyFill="1" applyBorder="1" applyAlignment="1">
      <alignment vertical="center"/>
    </xf>
    <xf numFmtId="0" fontId="0" fillId="0" borderId="1" xfId="0" applyFill="1" applyBorder="1" applyAlignment="1">
      <alignment horizontal="center"/>
    </xf>
    <xf numFmtId="10" fontId="0" fillId="0" borderId="1" xfId="3" applyNumberFormat="1" applyFont="1" applyFill="1" applyBorder="1" applyAlignment="1"/>
    <xf numFmtId="3" fontId="0" fillId="0" borderId="1" xfId="0" applyNumberFormat="1" applyFill="1" applyBorder="1"/>
    <xf numFmtId="164" fontId="0" fillId="0" borderId="1" xfId="1" applyNumberFormat="1" applyFont="1" applyFill="1" applyBorder="1"/>
    <xf numFmtId="164" fontId="0" fillId="0" borderId="1" xfId="0" applyNumberFormat="1" applyFill="1" applyBorder="1"/>
    <xf numFmtId="164" fontId="8" fillId="0" borderId="1" xfId="1" applyNumberFormat="1" applyFont="1" applyFill="1" applyBorder="1" applyAlignment="1">
      <alignment horizontal="right"/>
    </xf>
    <xf numFmtId="0" fontId="0" fillId="0" borderId="1" xfId="0" applyFill="1" applyBorder="1"/>
    <xf numFmtId="14" fontId="0" fillId="0" borderId="1" xfId="0" applyNumberFormat="1" applyFill="1" applyBorder="1"/>
    <xf numFmtId="164" fontId="11" fillId="0" borderId="1" xfId="0" applyNumberFormat="1" applyFont="1" applyFill="1" applyBorder="1"/>
    <xf numFmtId="0" fontId="0" fillId="7" borderId="1" xfId="0" applyFill="1" applyBorder="1" applyAlignment="1">
      <alignment horizontal="center"/>
    </xf>
    <xf numFmtId="0" fontId="0" fillId="7" borderId="1" xfId="0" applyFill="1" applyBorder="1" applyAlignment="1">
      <alignment horizontal="center" vertical="center"/>
    </xf>
    <xf numFmtId="0" fontId="0" fillId="7" borderId="1" xfId="0" applyFill="1" applyBorder="1" applyAlignment="1">
      <alignment vertical="center" wrapText="1"/>
    </xf>
    <xf numFmtId="3" fontId="0" fillId="7" borderId="1" xfId="0" applyNumberFormat="1" applyFill="1" applyBorder="1" applyAlignment="1">
      <alignment vertical="center"/>
    </xf>
    <xf numFmtId="10" fontId="1" fillId="7" borderId="1" xfId="3" applyNumberFormat="1" applyFont="1" applyFill="1" applyBorder="1" applyAlignment="1"/>
    <xf numFmtId="3" fontId="0" fillId="7" borderId="1" xfId="0" applyNumberFormat="1" applyFill="1" applyBorder="1"/>
    <xf numFmtId="164" fontId="1" fillId="7" borderId="1" xfId="1" applyNumberFormat="1" applyFont="1" applyFill="1" applyBorder="1"/>
    <xf numFmtId="164" fontId="0" fillId="7" borderId="1" xfId="0" applyNumberFormat="1" applyFill="1" applyBorder="1"/>
    <xf numFmtId="164" fontId="8" fillId="7" borderId="1" xfId="1" applyNumberFormat="1" applyFont="1" applyFill="1" applyBorder="1" applyAlignment="1">
      <alignment horizontal="right"/>
    </xf>
    <xf numFmtId="0" fontId="0" fillId="7" borderId="1" xfId="0" applyFill="1" applyBorder="1"/>
    <xf numFmtId="164" fontId="1" fillId="7" borderId="1" xfId="1" applyNumberFormat="1" applyFont="1" applyFill="1" applyBorder="1" applyAlignment="1">
      <alignment horizontal="right"/>
    </xf>
    <xf numFmtId="14" fontId="0" fillId="7" borderId="1" xfId="0" applyNumberFormat="1" applyFill="1" applyBorder="1"/>
    <xf numFmtId="41" fontId="4" fillId="0" borderId="22" xfId="2" applyFont="1" applyFill="1" applyBorder="1" applyAlignment="1">
      <alignment vertical="center" wrapText="1"/>
    </xf>
    <xf numFmtId="41" fontId="3" fillId="0" borderId="19" xfId="0" applyNumberFormat="1" applyFont="1" applyBorder="1" applyAlignment="1">
      <alignment vertical="center" wrapText="1"/>
    </xf>
    <xf numFmtId="0" fontId="4" fillId="0" borderId="29" xfId="0" applyFont="1" applyBorder="1" applyAlignment="1">
      <alignment vertical="center"/>
    </xf>
    <xf numFmtId="0" fontId="4" fillId="0" borderId="0" xfId="0" applyFont="1" applyBorder="1" applyAlignment="1">
      <alignment horizontal="center" vertical="center"/>
    </xf>
    <xf numFmtId="0" fontId="4" fillId="0" borderId="0" xfId="0" applyFont="1" applyBorder="1" applyAlignment="1">
      <alignment vertical="center"/>
    </xf>
    <xf numFmtId="2" fontId="4" fillId="0" borderId="0" xfId="0" applyNumberFormat="1" applyFont="1" applyBorder="1" applyAlignment="1">
      <alignment horizontal="center" vertical="center"/>
    </xf>
    <xf numFmtId="164" fontId="4" fillId="0" borderId="0" xfId="1" applyNumberFormat="1" applyFont="1" applyBorder="1" applyAlignment="1">
      <alignment vertical="center"/>
    </xf>
    <xf numFmtId="0" fontId="0" fillId="0" borderId="0" xfId="0" applyBorder="1"/>
    <xf numFmtId="0" fontId="4" fillId="0" borderId="30" xfId="0" applyFont="1" applyBorder="1" applyAlignment="1">
      <alignment vertical="center" wrapText="1"/>
    </xf>
    <xf numFmtId="0" fontId="4" fillId="0" borderId="29" xfId="0" applyFont="1" applyFill="1" applyBorder="1" applyAlignment="1">
      <alignment vertical="center"/>
    </xf>
    <xf numFmtId="0" fontId="4" fillId="0" borderId="0" xfId="0" applyFont="1" applyFill="1" applyBorder="1" applyAlignment="1">
      <alignment horizontal="center" vertical="center"/>
    </xf>
    <xf numFmtId="0" fontId="4" fillId="0" borderId="0" xfId="0" applyFont="1" applyFill="1" applyBorder="1" applyAlignment="1">
      <alignment vertical="center"/>
    </xf>
    <xf numFmtId="2" fontId="4" fillId="0" borderId="0" xfId="0" applyNumberFormat="1" applyFont="1" applyFill="1" applyBorder="1" applyAlignment="1">
      <alignment horizontal="center" vertical="center"/>
    </xf>
    <xf numFmtId="164" fontId="4" fillId="0" borderId="0" xfId="1" applyNumberFormat="1" applyFont="1" applyFill="1" applyBorder="1" applyAlignment="1">
      <alignment vertical="center"/>
    </xf>
    <xf numFmtId="0" fontId="0" fillId="0" borderId="0" xfId="0" applyFill="1" applyBorder="1"/>
    <xf numFmtId="0" fontId="4" fillId="0" borderId="30" xfId="0" applyFont="1" applyFill="1" applyBorder="1" applyAlignment="1">
      <alignment vertical="center" wrapText="1"/>
    </xf>
    <xf numFmtId="0" fontId="4" fillId="0" borderId="2" xfId="0" applyFont="1" applyFill="1" applyBorder="1" applyAlignment="1">
      <alignment vertical="center"/>
    </xf>
    <xf numFmtId="0" fontId="4" fillId="0" borderId="3" xfId="0" applyFont="1" applyFill="1" applyBorder="1" applyAlignment="1">
      <alignment horizontal="center" vertical="center"/>
    </xf>
    <xf numFmtId="0" fontId="4" fillId="0" borderId="3" xfId="0" applyFont="1" applyFill="1" applyBorder="1" applyAlignment="1">
      <alignment vertical="center"/>
    </xf>
    <xf numFmtId="2" fontId="4" fillId="0" borderId="3" xfId="0" applyNumberFormat="1" applyFont="1" applyFill="1" applyBorder="1" applyAlignment="1">
      <alignment horizontal="center" vertical="center"/>
    </xf>
    <xf numFmtId="164" fontId="4" fillId="0" borderId="3" xfId="1" applyNumberFormat="1" applyFont="1" applyFill="1" applyBorder="1" applyAlignment="1">
      <alignment vertical="center"/>
    </xf>
    <xf numFmtId="164" fontId="0" fillId="0" borderId="3" xfId="0" applyNumberFormat="1" applyFill="1" applyBorder="1"/>
    <xf numFmtId="164" fontId="4" fillId="0" borderId="3" xfId="0" applyNumberFormat="1" applyFont="1" applyFill="1" applyBorder="1" applyAlignment="1">
      <alignment vertical="center"/>
    </xf>
    <xf numFmtId="41" fontId="4" fillId="0" borderId="3" xfId="0" applyNumberFormat="1" applyFont="1" applyFill="1" applyBorder="1" applyAlignment="1">
      <alignment vertical="center"/>
    </xf>
    <xf numFmtId="0" fontId="4" fillId="0" borderId="4" xfId="0" applyFont="1" applyFill="1" applyBorder="1" applyAlignment="1">
      <alignment vertical="center" wrapText="1"/>
    </xf>
    <xf numFmtId="41" fontId="4" fillId="0" borderId="28" xfId="2" applyFont="1" applyFill="1" applyBorder="1" applyAlignment="1">
      <alignment vertical="center" wrapText="1"/>
    </xf>
    <xf numFmtId="2" fontId="4" fillId="0" borderId="0" xfId="0" applyNumberFormat="1" applyFont="1" applyFill="1" applyAlignment="1">
      <alignment vertical="center"/>
    </xf>
    <xf numFmtId="41" fontId="4" fillId="0" borderId="0" xfId="0" applyNumberFormat="1" applyFont="1" applyFill="1" applyAlignment="1">
      <alignment vertical="center"/>
    </xf>
    <xf numFmtId="43" fontId="4" fillId="0" borderId="0" xfId="0" applyNumberFormat="1" applyFont="1" applyFill="1" applyAlignment="1">
      <alignment vertical="center"/>
    </xf>
    <xf numFmtId="164" fontId="4" fillId="0" borderId="0" xfId="0" applyNumberFormat="1" applyFont="1" applyFill="1" applyAlignment="1">
      <alignment vertical="center"/>
    </xf>
    <xf numFmtId="14" fontId="0" fillId="0" borderId="0" xfId="0" applyNumberFormat="1" applyFill="1"/>
    <xf numFmtId="10" fontId="1" fillId="0" borderId="1" xfId="3" applyNumberFormat="1" applyFont="1" applyFill="1" applyBorder="1" applyAlignment="1"/>
    <xf numFmtId="164" fontId="1" fillId="0" borderId="1" xfId="1" applyNumberFormat="1" applyFont="1" applyFill="1" applyBorder="1"/>
    <xf numFmtId="164" fontId="1" fillId="0" borderId="1" xfId="1" applyNumberFormat="1" applyFont="1" applyFill="1" applyBorder="1" applyAlignment="1">
      <alignment horizontal="right"/>
    </xf>
    <xf numFmtId="0" fontId="0" fillId="8" borderId="1" xfId="0" applyFill="1" applyBorder="1" applyAlignment="1">
      <alignment horizontal="center"/>
    </xf>
    <xf numFmtId="0" fontId="0" fillId="8" borderId="1" xfId="0" applyFill="1" applyBorder="1" applyAlignment="1">
      <alignment horizontal="center" vertical="center"/>
    </xf>
    <xf numFmtId="0" fontId="0" fillId="8" borderId="1" xfId="0" applyFill="1" applyBorder="1" applyAlignment="1">
      <alignment vertical="center" wrapText="1"/>
    </xf>
    <xf numFmtId="3" fontId="0" fillId="8" borderId="1" xfId="0" applyNumberFormat="1" applyFill="1" applyBorder="1" applyAlignment="1">
      <alignment vertical="center"/>
    </xf>
    <xf numFmtId="10" fontId="1" fillId="8" borderId="1" xfId="3" applyNumberFormat="1" applyFont="1" applyFill="1" applyBorder="1" applyAlignment="1"/>
    <xf numFmtId="3" fontId="0" fillId="8" borderId="1" xfId="0" applyNumberFormat="1" applyFill="1" applyBorder="1"/>
    <xf numFmtId="164" fontId="1" fillId="8" borderId="1" xfId="1" applyNumberFormat="1" applyFont="1" applyFill="1" applyBorder="1"/>
    <xf numFmtId="164" fontId="0" fillId="8" borderId="1" xfId="0" applyNumberFormat="1" applyFill="1" applyBorder="1"/>
    <xf numFmtId="164" fontId="8" fillId="8" borderId="1" xfId="1" applyNumberFormat="1" applyFont="1" applyFill="1" applyBorder="1" applyAlignment="1">
      <alignment horizontal="right"/>
    </xf>
    <xf numFmtId="0" fontId="0" fillId="8" borderId="1" xfId="0" applyFill="1" applyBorder="1"/>
    <xf numFmtId="164" fontId="1" fillId="8" borderId="1" xfId="1" applyNumberFormat="1" applyFont="1" applyFill="1" applyBorder="1" applyAlignment="1">
      <alignment horizontal="right"/>
    </xf>
    <xf numFmtId="14" fontId="0" fillId="8" borderId="1" xfId="0" applyNumberFormat="1" applyFill="1" applyBorder="1"/>
    <xf numFmtId="0" fontId="3" fillId="0" borderId="11" xfId="0" applyFont="1" applyBorder="1" applyAlignment="1">
      <alignment vertical="center"/>
    </xf>
    <xf numFmtId="2" fontId="3" fillId="0" borderId="11" xfId="0" applyNumberFormat="1" applyFont="1" applyBorder="1" applyAlignment="1">
      <alignment vertical="center"/>
    </xf>
    <xf numFmtId="0" fontId="3" fillId="0" borderId="16" xfId="0" applyFont="1" applyBorder="1" applyAlignment="1">
      <alignment vertical="center"/>
    </xf>
    <xf numFmtId="0" fontId="0" fillId="9" borderId="1" xfId="0" applyFill="1" applyBorder="1" applyAlignment="1">
      <alignment horizontal="center"/>
    </xf>
    <xf numFmtId="0" fontId="0" fillId="9" borderId="1" xfId="0" applyFill="1" applyBorder="1" applyAlignment="1">
      <alignment horizontal="center" vertical="center"/>
    </xf>
    <xf numFmtId="0" fontId="0" fillId="9" borderId="1" xfId="0" applyFill="1" applyBorder="1" applyAlignment="1">
      <alignment vertical="center" wrapText="1"/>
    </xf>
    <xf numFmtId="3" fontId="0" fillId="9" borderId="1" xfId="0" applyNumberFormat="1" applyFill="1" applyBorder="1" applyAlignment="1">
      <alignment vertical="center"/>
    </xf>
    <xf numFmtId="10" fontId="1" fillId="9" borderId="1" xfId="3" applyNumberFormat="1" applyFont="1" applyFill="1" applyBorder="1" applyAlignment="1"/>
    <xf numFmtId="3" fontId="0" fillId="9" borderId="1" xfId="0" applyNumberFormat="1" applyFill="1" applyBorder="1"/>
    <xf numFmtId="164" fontId="1" fillId="9" borderId="1" xfId="1" applyNumberFormat="1" applyFont="1" applyFill="1" applyBorder="1"/>
    <xf numFmtId="164" fontId="0" fillId="9" borderId="1" xfId="0" applyNumberFormat="1" applyFill="1" applyBorder="1"/>
    <xf numFmtId="164" fontId="8" fillId="9" borderId="1" xfId="1" applyNumberFormat="1" applyFont="1" applyFill="1" applyBorder="1" applyAlignment="1">
      <alignment horizontal="right"/>
    </xf>
    <xf numFmtId="0" fontId="0" fillId="9" borderId="1" xfId="0" applyFill="1" applyBorder="1"/>
    <xf numFmtId="164" fontId="1" fillId="9" borderId="1" xfId="1" applyNumberFormat="1" applyFont="1" applyFill="1" applyBorder="1" applyAlignment="1">
      <alignment horizontal="right"/>
    </xf>
    <xf numFmtId="14" fontId="0" fillId="9" borderId="1" xfId="0" applyNumberFormat="1" applyFill="1" applyBorder="1"/>
    <xf numFmtId="165" fontId="1" fillId="9" borderId="1" xfId="3" applyNumberFormat="1" applyFont="1" applyFill="1" applyBorder="1" applyAlignment="1"/>
    <xf numFmtId="0" fontId="0" fillId="0" borderId="0" xfId="0" applyAlignment="1">
      <alignment vertical="center"/>
    </xf>
    <xf numFmtId="41" fontId="3" fillId="0" borderId="0" xfId="0" applyNumberFormat="1" applyFont="1" applyFill="1" applyAlignment="1">
      <alignment vertical="center"/>
    </xf>
    <xf numFmtId="0" fontId="3" fillId="0" borderId="11" xfId="0" applyFont="1" applyBorder="1" applyAlignment="1">
      <alignment horizontal="center" vertical="center"/>
    </xf>
    <xf numFmtId="0" fontId="4" fillId="0" borderId="13" xfId="0" applyFont="1" applyBorder="1" applyAlignment="1">
      <alignment vertical="center"/>
    </xf>
    <xf numFmtId="2" fontId="3" fillId="0" borderId="11" xfId="0" applyNumberFormat="1" applyFont="1" applyBorder="1" applyAlignment="1">
      <alignment horizontal="center" vertical="center"/>
    </xf>
    <xf numFmtId="0" fontId="0" fillId="10" borderId="1" xfId="0" applyFill="1" applyBorder="1" applyAlignment="1">
      <alignment horizontal="center"/>
    </xf>
    <xf numFmtId="0" fontId="0" fillId="10" borderId="1" xfId="0" applyFill="1" applyBorder="1" applyAlignment="1">
      <alignment horizontal="center" vertical="center"/>
    </xf>
    <xf numFmtId="0" fontId="0" fillId="10" borderId="1" xfId="0" applyFill="1" applyBorder="1" applyAlignment="1">
      <alignment vertical="center" wrapText="1"/>
    </xf>
    <xf numFmtId="3" fontId="0" fillId="10" borderId="1" xfId="0" applyNumberFormat="1" applyFill="1" applyBorder="1" applyAlignment="1">
      <alignment vertical="center"/>
    </xf>
    <xf numFmtId="10" fontId="1" fillId="10" borderId="1" xfId="3" applyNumberFormat="1" applyFont="1" applyFill="1" applyBorder="1" applyAlignment="1"/>
    <xf numFmtId="165" fontId="1" fillId="10" borderId="1" xfId="3" applyNumberFormat="1" applyFont="1" applyFill="1" applyBorder="1" applyAlignment="1"/>
    <xf numFmtId="164" fontId="1" fillId="10" borderId="1" xfId="1" applyNumberFormat="1" applyFont="1" applyFill="1" applyBorder="1"/>
    <xf numFmtId="164" fontId="0" fillId="10" borderId="1" xfId="0" applyNumberFormat="1" applyFill="1" applyBorder="1"/>
    <xf numFmtId="164" fontId="8" fillId="10" borderId="1" xfId="1" applyNumberFormat="1" applyFont="1" applyFill="1" applyBorder="1" applyAlignment="1">
      <alignment horizontal="right"/>
    </xf>
    <xf numFmtId="0" fontId="0" fillId="10" borderId="1" xfId="0" applyFill="1" applyBorder="1"/>
    <xf numFmtId="164" fontId="1" fillId="10" borderId="1" xfId="1" applyNumberFormat="1" applyFont="1" applyFill="1" applyBorder="1" applyAlignment="1">
      <alignment horizontal="right"/>
    </xf>
    <xf numFmtId="14" fontId="0" fillId="10" borderId="1" xfId="0" applyNumberFormat="1" applyFill="1" applyBorder="1"/>
    <xf numFmtId="164" fontId="10" fillId="0" borderId="0" xfId="1" applyNumberFormat="1" applyFont="1"/>
    <xf numFmtId="164" fontId="10" fillId="0" borderId="0" xfId="1" applyNumberFormat="1" applyFont="1" applyAlignment="1">
      <alignment horizontal="right"/>
    </xf>
    <xf numFmtId="41" fontId="3" fillId="0" borderId="3" xfId="0" applyNumberFormat="1" applyFont="1" applyBorder="1" applyAlignment="1">
      <alignment vertical="center" wrapText="1"/>
    </xf>
    <xf numFmtId="41" fontId="15" fillId="0" borderId="0" xfId="0" applyNumberFormat="1" applyFont="1"/>
    <xf numFmtId="41" fontId="4" fillId="7" borderId="21" xfId="2" applyFont="1" applyFill="1" applyBorder="1" applyAlignment="1">
      <alignment vertical="center"/>
    </xf>
    <xf numFmtId="1" fontId="4" fillId="7" borderId="20" xfId="2" applyNumberFormat="1" applyFont="1" applyFill="1" applyBorder="1" applyAlignment="1">
      <alignment horizontal="center" vertical="center"/>
    </xf>
    <xf numFmtId="0" fontId="4" fillId="7" borderId="21" xfId="0" applyFont="1" applyFill="1" applyBorder="1" applyAlignment="1">
      <alignment horizontal="center" vertical="center"/>
    </xf>
    <xf numFmtId="0" fontId="4" fillId="7" borderId="21" xfId="0" applyFont="1" applyFill="1" applyBorder="1" applyAlignment="1">
      <alignment vertical="center"/>
    </xf>
    <xf numFmtId="1" fontId="4" fillId="7" borderId="21" xfId="2" applyNumberFormat="1" applyFont="1" applyFill="1" applyBorder="1" applyAlignment="1">
      <alignment horizontal="left" vertical="center"/>
    </xf>
    <xf numFmtId="14" fontId="4" fillId="7" borderId="21" xfId="0" applyNumberFormat="1" applyFont="1" applyFill="1" applyBorder="1" applyAlignment="1">
      <alignment vertical="center"/>
    </xf>
    <xf numFmtId="1" fontId="4" fillId="7" borderId="21" xfId="2" applyNumberFormat="1" applyFont="1" applyFill="1" applyBorder="1" applyAlignment="1">
      <alignment horizontal="center" vertical="center"/>
    </xf>
    <xf numFmtId="41" fontId="4" fillId="7" borderId="21" xfId="2" applyFont="1" applyFill="1" applyBorder="1" applyAlignment="1">
      <alignment horizontal="center" vertical="center"/>
    </xf>
    <xf numFmtId="0" fontId="4" fillId="7" borderId="21" xfId="2" applyNumberFormat="1" applyFont="1" applyFill="1" applyBorder="1" applyAlignment="1">
      <alignment horizontal="center" vertical="center"/>
    </xf>
    <xf numFmtId="10" fontId="4" fillId="7" borderId="21" xfId="3" applyNumberFormat="1" applyFont="1" applyFill="1" applyBorder="1" applyAlignment="1">
      <alignment horizontal="center" vertical="center"/>
    </xf>
    <xf numFmtId="164" fontId="4" fillId="7" borderId="21" xfId="1" applyNumberFormat="1" applyFont="1" applyFill="1" applyBorder="1" applyAlignment="1">
      <alignment vertical="center"/>
    </xf>
    <xf numFmtId="41" fontId="4" fillId="7" borderId="22" xfId="2" applyFont="1" applyFill="1" applyBorder="1" applyAlignment="1">
      <alignment vertical="center" wrapText="1"/>
    </xf>
    <xf numFmtId="41" fontId="3" fillId="0" borderId="3"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left" vertical="center" wrapText="1"/>
    </xf>
    <xf numFmtId="0" fontId="8" fillId="0" borderId="1" xfId="0" applyFont="1" applyBorder="1" applyAlignment="1">
      <alignment horizontal="center"/>
    </xf>
    <xf numFmtId="0" fontId="14" fillId="0" borderId="1" xfId="0" applyFont="1" applyBorder="1" applyAlignment="1">
      <alignment horizontal="center" vertical="center" wrapText="1"/>
    </xf>
    <xf numFmtId="0" fontId="3" fillId="0" borderId="13" xfId="0" applyFont="1" applyBorder="1" applyAlignment="1">
      <alignment horizontal="center" vertical="center"/>
    </xf>
    <xf numFmtId="0" fontId="3" fillId="0" borderId="11" xfId="0" applyFont="1" applyBorder="1" applyAlignment="1">
      <alignment horizontal="center" vertical="center"/>
    </xf>
    <xf numFmtId="0" fontId="3" fillId="0" borderId="16" xfId="0" applyFont="1" applyBorder="1" applyAlignment="1">
      <alignment horizontal="center" vertical="center"/>
    </xf>
    <xf numFmtId="0" fontId="3" fillId="0" borderId="13"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3"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16" xfId="0" applyFont="1" applyFill="1" applyBorder="1" applyAlignment="1">
      <alignment horizontal="center" vertical="center"/>
    </xf>
  </cellXfs>
  <cellStyles count="7">
    <cellStyle name="Millares" xfId="1" builtinId="3"/>
    <cellStyle name="Millares [0]" xfId="2" builtinId="6"/>
    <cellStyle name="Millares [0] 2" xfId="5" xr:uid="{56CD001C-C9D1-4F65-B95A-F62417E26069}"/>
    <cellStyle name="Millares 2" xfId="4" xr:uid="{35B43A99-BC6E-4754-AC61-3BBA546812BF}"/>
    <cellStyle name="Moneda 2" xfId="6" xr:uid="{9D50D1E1-0494-40A2-AA8C-34493CDB4B9B}"/>
    <cellStyle name="Normal" xfId="0" builtinId="0"/>
    <cellStyle name="Porcentaje" xfId="3"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FFCC"/>
      <color rgb="FFFFFF99"/>
      <color rgb="FFFFFFCC"/>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467784</xdr:colOff>
      <xdr:row>0</xdr:row>
      <xdr:rowOff>0</xdr:rowOff>
    </xdr:from>
    <xdr:to>
      <xdr:col>2</xdr:col>
      <xdr:colOff>1422400</xdr:colOff>
      <xdr:row>2</xdr:row>
      <xdr:rowOff>310852</xdr:rowOff>
    </xdr:to>
    <xdr:pic>
      <xdr:nvPicPr>
        <xdr:cNvPr id="5" name="Imagen 4" descr="Resultado de imagen para escudo universidad distrital">
          <a:extLst>
            <a:ext uri="{FF2B5EF4-FFF2-40B4-BE49-F238E27FC236}">
              <a16:creationId xmlns:a16="http://schemas.microsoft.com/office/drawing/2014/main" id="{CDD50839-6F32-4D19-94F0-02BD563C48E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6996"/>
        <a:stretch/>
      </xdr:blipFill>
      <xdr:spPr bwMode="auto">
        <a:xfrm>
          <a:off x="1902884" y="0"/>
          <a:ext cx="954616" cy="920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1408642</xdr:colOff>
      <xdr:row>0</xdr:row>
      <xdr:rowOff>260352</xdr:rowOff>
    </xdr:from>
    <xdr:to>
      <xdr:col>2</xdr:col>
      <xdr:colOff>3891677</xdr:colOff>
      <xdr:row>2</xdr:row>
      <xdr:rowOff>139700</xdr:rowOff>
    </xdr:to>
    <xdr:pic>
      <xdr:nvPicPr>
        <xdr:cNvPr id="6" name="Imagen 5" descr="Resultado de imagen para escudo universidad distrital">
          <a:extLst>
            <a:ext uri="{FF2B5EF4-FFF2-40B4-BE49-F238E27FC236}">
              <a16:creationId xmlns:a16="http://schemas.microsoft.com/office/drawing/2014/main" id="{E8FC7E50-1310-4E94-B4F5-F8B54355BBF1}"/>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82213"/>
        <a:stretch/>
      </xdr:blipFill>
      <xdr:spPr bwMode="auto">
        <a:xfrm>
          <a:off x="2843742" y="260352"/>
          <a:ext cx="2483035" cy="4889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12</xdr:col>
      <xdr:colOff>1153584</xdr:colOff>
      <xdr:row>0</xdr:row>
      <xdr:rowOff>106892</xdr:rowOff>
    </xdr:from>
    <xdr:ext cx="2238375" cy="653716"/>
    <xdr:pic>
      <xdr:nvPicPr>
        <xdr:cNvPr id="7" name="3 Imagen">
          <a:extLst>
            <a:ext uri="{FF2B5EF4-FFF2-40B4-BE49-F238E27FC236}">
              <a16:creationId xmlns:a16="http://schemas.microsoft.com/office/drawing/2014/main" id="{3E99ECB2-BF3A-4FC9-99B5-1361AC39625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856624" y="106892"/>
          <a:ext cx="2238375" cy="6537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649817</xdr:colOff>
      <xdr:row>0</xdr:row>
      <xdr:rowOff>0</xdr:rowOff>
    </xdr:from>
    <xdr:to>
      <xdr:col>2</xdr:col>
      <xdr:colOff>787400</xdr:colOff>
      <xdr:row>2</xdr:row>
      <xdr:rowOff>346423</xdr:rowOff>
    </xdr:to>
    <xdr:pic>
      <xdr:nvPicPr>
        <xdr:cNvPr id="2" name="Imagen 1" descr="Resultado de imagen para escudo universidad distrital">
          <a:extLst>
            <a:ext uri="{FF2B5EF4-FFF2-40B4-BE49-F238E27FC236}">
              <a16:creationId xmlns:a16="http://schemas.microsoft.com/office/drawing/2014/main" id="{9BD6C37D-7FBC-4BC2-A9F7-3B4F670CCC2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6996"/>
        <a:stretch/>
      </xdr:blipFill>
      <xdr:spPr bwMode="auto">
        <a:xfrm>
          <a:off x="1090084" y="0"/>
          <a:ext cx="916516" cy="1040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769408</xdr:colOff>
      <xdr:row>0</xdr:row>
      <xdr:rowOff>260958</xdr:rowOff>
    </xdr:from>
    <xdr:to>
      <xdr:col>3</xdr:col>
      <xdr:colOff>262466</xdr:colOff>
      <xdr:row>2</xdr:row>
      <xdr:rowOff>205319</xdr:rowOff>
    </xdr:to>
    <xdr:pic>
      <xdr:nvPicPr>
        <xdr:cNvPr id="3" name="Imagen 2" descr="Resultado de imagen para escudo universidad distrital">
          <a:extLst>
            <a:ext uri="{FF2B5EF4-FFF2-40B4-BE49-F238E27FC236}">
              <a16:creationId xmlns:a16="http://schemas.microsoft.com/office/drawing/2014/main" id="{0DC501A5-9341-4C5F-A294-145B58700D6E}"/>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82213"/>
        <a:stretch/>
      </xdr:blipFill>
      <xdr:spPr bwMode="auto">
        <a:xfrm>
          <a:off x="1988608" y="260958"/>
          <a:ext cx="1846791" cy="6386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12</xdr:col>
      <xdr:colOff>1153584</xdr:colOff>
      <xdr:row>0</xdr:row>
      <xdr:rowOff>106892</xdr:rowOff>
    </xdr:from>
    <xdr:ext cx="2238375" cy="653716"/>
    <xdr:pic>
      <xdr:nvPicPr>
        <xdr:cNvPr id="4" name="3 Imagen">
          <a:extLst>
            <a:ext uri="{FF2B5EF4-FFF2-40B4-BE49-F238E27FC236}">
              <a16:creationId xmlns:a16="http://schemas.microsoft.com/office/drawing/2014/main" id="{561D5BBC-3114-4F14-B113-DBA98D44393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69984" y="106892"/>
          <a:ext cx="2238375" cy="6537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RepositorioDigitalizacinIDEXUD/Documentos%20compartidos/Public_Financiera1/FACTURAS_2020-2024/Facturacion_Cartera%20IDEXU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tes/RepositorioDigitalizacinIDEXUD/Documentos%20compartidos/Public_Financiera1/FACTURAS_2020-2025/Facturacion_Cartera%20IDEXU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ites/RepositorioDigitalizacinIDEXUD/Documentos%20compartidos/Public_Financiera1/BENEFICIO_INSTITUCIONAL/2025/INFORMES/Matriz_liquidacion_beneficio_2021-2022-2023-2024%20(2).xlsm"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https://udistritaleduco.sharepoint.com/sites/RepositorioDigitalizacinIDEXUD/Documentos%20compartidos/Public_Financiera1/BENEFICIO_INSTITUCIONAL/2026/INFORMES/2DO%20TRIMESTRE/Liquidacion%20beneficio%20institucional_2DO%20TRIMESTRE.xlsx" TargetMode="External"/><Relationship Id="rId2" Type="http://schemas.microsoft.com/office/2019/04/relationships/externalLinkLongPath" Target="Liquidacion%20beneficio%20institucional_2DO%20TRIMESTRE.xlsx?714EFEB0" TargetMode="External"/><Relationship Id="rId1" Type="http://schemas.openxmlformats.org/officeDocument/2006/relationships/externalLinkPath" Target="file:///\\714EFEB0\Liquidacion%20beneficio%20institucional_2DO%20TRIMESTR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tes/RepositorioDigitalizacinIDEXUD/Documentos%20compartidos/Public_Financiera1/BENEFICIO_INSTITUCIONAL/2025/INFORMES/Copia_Matriz_liquidacion_beneficio_2021-2022-2023-20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sheetName val="Factur@ Electronic@"/>
      <sheetName val="ILUD FAC"/>
      <sheetName val="2018"/>
      <sheetName val="2019-2020"/>
      <sheetName val="Hoja1"/>
    </sheetNames>
    <sheetDataSet>
      <sheetData sheetId="0"/>
      <sheetData sheetId="1">
        <row r="1363">
          <cell r="G1363">
            <v>1482230860.2</v>
          </cell>
        </row>
      </sheetData>
      <sheetData sheetId="2"/>
      <sheetData sheetId="3"/>
      <sheetData sheetId="4"/>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sheetName val="2018"/>
      <sheetName val="2019-2020"/>
      <sheetName val="Factur@ Electronic@"/>
      <sheetName val="ILUD FAC"/>
    </sheetNames>
    <sheetDataSet>
      <sheetData sheetId="0"/>
      <sheetData sheetId="1"/>
      <sheetData sheetId="2"/>
      <sheetData sheetId="3">
        <row r="1341">
          <cell r="L1341">
            <v>279125077</v>
          </cell>
        </row>
        <row r="1492">
          <cell r="L1492">
            <v>386954528</v>
          </cell>
        </row>
        <row r="1603">
          <cell r="L1603">
            <v>38206494</v>
          </cell>
        </row>
      </sheetData>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ULTIMA FECHA"/>
      <sheetName val="BASE PRIMERA FECHA"/>
      <sheetName val="Benef Primera fecha "/>
      <sheetName val="Benef Ultima fecha "/>
      <sheetName val="Hoja1"/>
      <sheetName val="FOR 100"/>
      <sheetName val="Hoja2"/>
    </sheetNames>
    <sheetDataSet>
      <sheetData sheetId="0" refreshError="1"/>
      <sheetData sheetId="1" refreshError="1"/>
      <sheetData sheetId="2" refreshError="1">
        <row r="1">
          <cell r="C1" t="str">
            <v>CUENTA</v>
          </cell>
          <cell r="E1" t="str">
            <v>VALOR PROYECTO</v>
          </cell>
        </row>
        <row r="2">
          <cell r="C2">
            <v>2453010406</v>
          </cell>
          <cell r="E2">
            <v>102650000</v>
          </cell>
        </row>
        <row r="3">
          <cell r="C3">
            <v>2453019996</v>
          </cell>
          <cell r="E3">
            <v>1829508300</v>
          </cell>
        </row>
        <row r="4">
          <cell r="C4">
            <v>2910906602</v>
          </cell>
          <cell r="E4">
            <v>899333962</v>
          </cell>
        </row>
        <row r="5">
          <cell r="C5">
            <v>2910906299</v>
          </cell>
          <cell r="E5">
            <v>1299854942</v>
          </cell>
        </row>
        <row r="6">
          <cell r="C6">
            <v>2910906646</v>
          </cell>
          <cell r="E6">
            <v>20000000</v>
          </cell>
        </row>
        <row r="7">
          <cell r="C7">
            <v>2910906651</v>
          </cell>
          <cell r="E7">
            <v>132272000</v>
          </cell>
        </row>
        <row r="8">
          <cell r="C8">
            <v>2910906657</v>
          </cell>
          <cell r="E8">
            <v>12000000</v>
          </cell>
        </row>
        <row r="9">
          <cell r="C9">
            <v>2910906661</v>
          </cell>
          <cell r="E9">
            <v>12000000</v>
          </cell>
        </row>
        <row r="10">
          <cell r="C10">
            <v>2910901164</v>
          </cell>
          <cell r="E10">
            <v>153000000</v>
          </cell>
        </row>
        <row r="11">
          <cell r="C11">
            <v>2910905961</v>
          </cell>
          <cell r="E11">
            <v>8349652066</v>
          </cell>
        </row>
        <row r="12">
          <cell r="C12">
            <v>2453018301</v>
          </cell>
          <cell r="E12">
            <v>1412976000</v>
          </cell>
        </row>
        <row r="13">
          <cell r="C13">
            <v>2453018302</v>
          </cell>
          <cell r="E13">
            <v>838224872</v>
          </cell>
        </row>
        <row r="14">
          <cell r="C14">
            <v>2910906153</v>
          </cell>
          <cell r="E14">
            <v>9399686327</v>
          </cell>
        </row>
        <row r="15">
          <cell r="C15">
            <v>2910906164</v>
          </cell>
          <cell r="E15">
            <v>3324605309</v>
          </cell>
        </row>
        <row r="16">
          <cell r="C16">
            <v>2910906707</v>
          </cell>
          <cell r="E16">
            <v>580000000</v>
          </cell>
        </row>
        <row r="17">
          <cell r="C17">
            <v>2910906713</v>
          </cell>
          <cell r="E17">
            <v>21068000</v>
          </cell>
        </row>
        <row r="18">
          <cell r="C18">
            <v>2910906320</v>
          </cell>
          <cell r="E18">
            <v>282092787</v>
          </cell>
        </row>
        <row r="19">
          <cell r="C19">
            <v>2453010405</v>
          </cell>
          <cell r="E19">
            <v>100000000</v>
          </cell>
        </row>
        <row r="20">
          <cell r="C20">
            <v>2910906718</v>
          </cell>
          <cell r="E20">
            <v>17500000</v>
          </cell>
        </row>
        <row r="21">
          <cell r="C21">
            <v>2910901163</v>
          </cell>
          <cell r="E21">
            <v>99238720</v>
          </cell>
        </row>
        <row r="22">
          <cell r="C22">
            <v>2910906699</v>
          </cell>
          <cell r="E22">
            <v>20000000</v>
          </cell>
        </row>
        <row r="23">
          <cell r="C23">
            <v>2453018306</v>
          </cell>
          <cell r="E23">
            <v>236667000</v>
          </cell>
        </row>
        <row r="24">
          <cell r="C24">
            <v>2453018307</v>
          </cell>
          <cell r="E24">
            <v>18042000</v>
          </cell>
        </row>
        <row r="25">
          <cell r="C25">
            <v>2910901169</v>
          </cell>
          <cell r="E25">
            <v>49793510</v>
          </cell>
        </row>
        <row r="26">
          <cell r="C26">
            <v>2910905878</v>
          </cell>
          <cell r="E26">
            <v>438947360</v>
          </cell>
        </row>
        <row r="27">
          <cell r="C27">
            <v>2910906260</v>
          </cell>
          <cell r="E27">
            <v>4300708566</v>
          </cell>
        </row>
        <row r="28">
          <cell r="C28">
            <v>2910906721</v>
          </cell>
          <cell r="E28">
            <v>90810000</v>
          </cell>
        </row>
        <row r="29">
          <cell r="C29">
            <v>2910906724</v>
          </cell>
          <cell r="E29">
            <v>41695800</v>
          </cell>
        </row>
        <row r="30">
          <cell r="C30">
            <v>2910908024</v>
          </cell>
          <cell r="E30">
            <v>28967499</v>
          </cell>
        </row>
        <row r="31">
          <cell r="C31">
            <v>2910906315</v>
          </cell>
          <cell r="E31">
            <v>1144495782</v>
          </cell>
        </row>
        <row r="32">
          <cell r="C32">
            <v>2910908008</v>
          </cell>
          <cell r="E32">
            <v>115871800</v>
          </cell>
        </row>
        <row r="33">
          <cell r="C33">
            <v>2910908021</v>
          </cell>
          <cell r="E33">
            <v>30368519</v>
          </cell>
        </row>
        <row r="34">
          <cell r="C34">
            <v>2910908023</v>
          </cell>
          <cell r="E34">
            <v>60569350</v>
          </cell>
        </row>
        <row r="35">
          <cell r="C35">
            <v>2910906629</v>
          </cell>
          <cell r="E35">
            <v>54670000</v>
          </cell>
        </row>
        <row r="36">
          <cell r="C36">
            <v>2910908005</v>
          </cell>
          <cell r="E36">
            <v>20110000</v>
          </cell>
        </row>
        <row r="37">
          <cell r="C37">
            <v>2910906719</v>
          </cell>
          <cell r="E37">
            <v>664875000</v>
          </cell>
        </row>
        <row r="38">
          <cell r="C38">
            <v>2453013406</v>
          </cell>
          <cell r="E38">
            <v>628595167</v>
          </cell>
        </row>
        <row r="39">
          <cell r="C39">
            <v>2453018304</v>
          </cell>
          <cell r="E39">
            <v>97000000</v>
          </cell>
        </row>
        <row r="40">
          <cell r="C40">
            <v>2453018309</v>
          </cell>
          <cell r="E40">
            <v>100000000</v>
          </cell>
        </row>
        <row r="41">
          <cell r="C41">
            <v>2910906370</v>
          </cell>
          <cell r="E41">
            <v>3829020000</v>
          </cell>
        </row>
        <row r="42">
          <cell r="C42">
            <v>2910906710</v>
          </cell>
          <cell r="E42">
            <v>1257144000</v>
          </cell>
        </row>
        <row r="43">
          <cell r="C43">
            <v>2910906715</v>
          </cell>
          <cell r="E43">
            <v>200000000</v>
          </cell>
        </row>
        <row r="44">
          <cell r="C44">
            <v>2910906717</v>
          </cell>
          <cell r="E44">
            <v>2289186700</v>
          </cell>
        </row>
        <row r="45">
          <cell r="C45">
            <v>2910906716</v>
          </cell>
          <cell r="E45">
            <v>96039870</v>
          </cell>
        </row>
        <row r="46">
          <cell r="C46">
            <v>2910906723</v>
          </cell>
          <cell r="E46">
            <v>503737398</v>
          </cell>
        </row>
        <row r="47">
          <cell r="C47">
            <v>2910906725</v>
          </cell>
          <cell r="E47">
            <v>86000000</v>
          </cell>
        </row>
        <row r="48">
          <cell r="C48">
            <v>2910906730</v>
          </cell>
          <cell r="E48">
            <v>100000000</v>
          </cell>
        </row>
        <row r="49">
          <cell r="C49">
            <v>2910906610</v>
          </cell>
          <cell r="E49">
            <v>149685000</v>
          </cell>
        </row>
        <row r="50">
          <cell r="C50">
            <v>2910906706</v>
          </cell>
          <cell r="E50">
            <v>1118239980</v>
          </cell>
        </row>
        <row r="51">
          <cell r="C51">
            <v>2910908022</v>
          </cell>
          <cell r="E51">
            <v>182875000</v>
          </cell>
        </row>
        <row r="52">
          <cell r="C52">
            <v>2910906310</v>
          </cell>
          <cell r="E52">
            <v>7100279267</v>
          </cell>
        </row>
        <row r="53">
          <cell r="C53">
            <v>2910904061</v>
          </cell>
          <cell r="E53">
            <v>102650000</v>
          </cell>
        </row>
        <row r="54">
          <cell r="C54">
            <v>2910906158</v>
          </cell>
          <cell r="E54">
            <v>3242508354</v>
          </cell>
        </row>
        <row r="55">
          <cell r="C55">
            <v>2910906732</v>
          </cell>
          <cell r="E55">
            <v>1475936000</v>
          </cell>
        </row>
        <row r="56">
          <cell r="C56">
            <v>2910906624</v>
          </cell>
          <cell r="E56">
            <v>674223041</v>
          </cell>
        </row>
        <row r="57">
          <cell r="C57">
            <v>2910908001</v>
          </cell>
          <cell r="E57">
            <v>306863645</v>
          </cell>
        </row>
        <row r="58">
          <cell r="C58">
            <v>2910908029</v>
          </cell>
          <cell r="E58">
            <v>17160000</v>
          </cell>
        </row>
        <row r="59">
          <cell r="C59">
            <v>2910908033</v>
          </cell>
          <cell r="E59">
            <v>65415600</v>
          </cell>
        </row>
        <row r="60">
          <cell r="C60">
            <v>2910906554</v>
          </cell>
          <cell r="E60">
            <v>580000000</v>
          </cell>
        </row>
        <row r="61">
          <cell r="C61">
            <v>2910906359</v>
          </cell>
          <cell r="E61">
            <v>290000000</v>
          </cell>
        </row>
        <row r="62">
          <cell r="C62">
            <v>2910906278</v>
          </cell>
          <cell r="E62">
            <v>455000000</v>
          </cell>
        </row>
        <row r="63">
          <cell r="C63">
            <v>2910906731</v>
          </cell>
          <cell r="E63">
            <v>739371600</v>
          </cell>
        </row>
        <row r="64">
          <cell r="C64">
            <v>2910906708</v>
          </cell>
          <cell r="E64">
            <v>472734000</v>
          </cell>
        </row>
        <row r="65">
          <cell r="C65">
            <v>2453018310</v>
          </cell>
          <cell r="E65">
            <v>306603272</v>
          </cell>
        </row>
        <row r="66">
          <cell r="C66">
            <v>2910906589</v>
          </cell>
          <cell r="E66">
            <v>178633122</v>
          </cell>
        </row>
        <row r="67">
          <cell r="C67">
            <v>2453013418</v>
          </cell>
          <cell r="E67">
            <v>403904382</v>
          </cell>
        </row>
        <row r="68">
          <cell r="C68">
            <v>2910901167</v>
          </cell>
          <cell r="E68">
            <v>196000000</v>
          </cell>
        </row>
        <row r="69">
          <cell r="C69">
            <v>2910906412</v>
          </cell>
          <cell r="E69">
            <v>25000000</v>
          </cell>
        </row>
        <row r="70">
          <cell r="C70">
            <v>2910906559</v>
          </cell>
          <cell r="E70">
            <v>47096000</v>
          </cell>
        </row>
        <row r="71">
          <cell r="C71">
            <v>2910906705</v>
          </cell>
          <cell r="E71">
            <v>412833333</v>
          </cell>
        </row>
        <row r="72">
          <cell r="C72">
            <v>2910908015</v>
          </cell>
          <cell r="E72">
            <v>20299702</v>
          </cell>
        </row>
        <row r="73">
          <cell r="C73">
            <v>2910908019</v>
          </cell>
          <cell r="E73">
            <v>39501132</v>
          </cell>
        </row>
        <row r="74">
          <cell r="C74">
            <v>2910901501</v>
          </cell>
          <cell r="E74">
            <v>1500000000</v>
          </cell>
        </row>
        <row r="75">
          <cell r="C75">
            <v>2910908045</v>
          </cell>
          <cell r="E75">
            <v>8285436</v>
          </cell>
        </row>
        <row r="76">
          <cell r="C76">
            <v>2910905873</v>
          </cell>
          <cell r="E76">
            <v>70368755</v>
          </cell>
        </row>
        <row r="77">
          <cell r="C77">
            <v>2910906275</v>
          </cell>
          <cell r="E77">
            <v>204869041</v>
          </cell>
        </row>
        <row r="78">
          <cell r="C78">
            <v>2453019973</v>
          </cell>
          <cell r="E78">
            <v>5588925393</v>
          </cell>
        </row>
        <row r="79">
          <cell r="C79">
            <v>2910906590</v>
          </cell>
          <cell r="E79">
            <v>1545991766</v>
          </cell>
        </row>
        <row r="80">
          <cell r="C80">
            <v>2453018315</v>
          </cell>
          <cell r="E80">
            <v>1518787008</v>
          </cell>
        </row>
        <row r="81">
          <cell r="C81">
            <v>2910906367</v>
          </cell>
          <cell r="E81">
            <v>374355870</v>
          </cell>
        </row>
        <row r="82">
          <cell r="C82">
            <v>2453018313</v>
          </cell>
          <cell r="E82">
            <v>419170248</v>
          </cell>
        </row>
        <row r="83">
          <cell r="C83">
            <v>2910906739</v>
          </cell>
          <cell r="E83">
            <v>225600000</v>
          </cell>
        </row>
        <row r="84">
          <cell r="C84">
            <v>2910908032</v>
          </cell>
          <cell r="E84">
            <v>32706980</v>
          </cell>
        </row>
        <row r="85">
          <cell r="C85">
            <v>2910906736</v>
          </cell>
          <cell r="E85">
            <v>15250000</v>
          </cell>
        </row>
        <row r="86">
          <cell r="C86">
            <v>2910906735</v>
          </cell>
          <cell r="E86">
            <v>925000000</v>
          </cell>
        </row>
        <row r="87">
          <cell r="C87">
            <v>2910906742</v>
          </cell>
          <cell r="E87">
            <v>7279682085</v>
          </cell>
        </row>
        <row r="88">
          <cell r="C88">
            <v>2910906729</v>
          </cell>
          <cell r="E88">
            <v>336230576</v>
          </cell>
        </row>
        <row r="89">
          <cell r="C89">
            <v>2453018316</v>
          </cell>
          <cell r="E89">
            <v>950649339</v>
          </cell>
        </row>
        <row r="90">
          <cell r="C90">
            <v>2910905925</v>
          </cell>
          <cell r="E90">
            <v>278763080</v>
          </cell>
        </row>
        <row r="91">
          <cell r="C91">
            <v>2910906648</v>
          </cell>
          <cell r="E91">
            <v>220315200</v>
          </cell>
        </row>
        <row r="92">
          <cell r="C92">
            <v>2910906751</v>
          </cell>
          <cell r="E92">
            <v>78690000</v>
          </cell>
        </row>
        <row r="93">
          <cell r="C93">
            <v>2910908044</v>
          </cell>
          <cell r="E93">
            <v>29981358</v>
          </cell>
        </row>
        <row r="94">
          <cell r="C94">
            <v>2910905917</v>
          </cell>
          <cell r="E94">
            <v>345047920</v>
          </cell>
        </row>
        <row r="95">
          <cell r="C95">
            <v>2910906750</v>
          </cell>
          <cell r="E95">
            <v>2243183001</v>
          </cell>
        </row>
        <row r="96">
          <cell r="C96">
            <v>2910906767</v>
          </cell>
          <cell r="E96">
            <v>400000000</v>
          </cell>
        </row>
        <row r="97">
          <cell r="C97">
            <v>2910906748</v>
          </cell>
          <cell r="E97">
            <v>116000000</v>
          </cell>
        </row>
        <row r="98">
          <cell r="C98">
            <v>2453018317</v>
          </cell>
          <cell r="E98">
            <v>92000000</v>
          </cell>
        </row>
        <row r="99">
          <cell r="C99">
            <v>2910906328</v>
          </cell>
          <cell r="E99">
            <v>760435927</v>
          </cell>
        </row>
        <row r="100">
          <cell r="C100">
            <v>2910906120</v>
          </cell>
          <cell r="E100">
            <v>708100747</v>
          </cell>
        </row>
        <row r="101">
          <cell r="C101">
            <v>2910906753</v>
          </cell>
          <cell r="E101">
            <v>737502714</v>
          </cell>
        </row>
        <row r="102">
          <cell r="C102">
            <v>2453018321</v>
          </cell>
          <cell r="E102">
            <v>439581220</v>
          </cell>
        </row>
        <row r="103">
          <cell r="C103">
            <v>2453018323</v>
          </cell>
          <cell r="E103">
            <v>430696700</v>
          </cell>
        </row>
        <row r="104">
          <cell r="C104">
            <v>2453018324</v>
          </cell>
          <cell r="E104">
            <v>3388773098</v>
          </cell>
        </row>
        <row r="105">
          <cell r="C105">
            <v>2453018311</v>
          </cell>
          <cell r="E105">
            <v>839500000</v>
          </cell>
        </row>
        <row r="106">
          <cell r="C106">
            <v>2453018318</v>
          </cell>
          <cell r="E106">
            <v>595495040</v>
          </cell>
        </row>
        <row r="107">
          <cell r="C107">
            <v>2453018319</v>
          </cell>
          <cell r="E107">
            <v>128800000</v>
          </cell>
        </row>
        <row r="108">
          <cell r="C108">
            <v>2453018322</v>
          </cell>
          <cell r="E108">
            <v>80000000</v>
          </cell>
        </row>
        <row r="109">
          <cell r="C109">
            <v>2453018325</v>
          </cell>
          <cell r="E109">
            <v>744689120</v>
          </cell>
        </row>
        <row r="110">
          <cell r="C110">
            <v>2453018326</v>
          </cell>
          <cell r="E110">
            <v>420254100</v>
          </cell>
        </row>
        <row r="111">
          <cell r="C111">
            <v>2453018327</v>
          </cell>
          <cell r="E111">
            <v>570067542</v>
          </cell>
        </row>
        <row r="112">
          <cell r="C112">
            <v>2453018328</v>
          </cell>
          <cell r="E112">
            <v>1199922000</v>
          </cell>
        </row>
        <row r="113">
          <cell r="C113">
            <v>2453018330</v>
          </cell>
          <cell r="E113">
            <v>2419332150</v>
          </cell>
        </row>
        <row r="114">
          <cell r="C114">
            <v>2910901157</v>
          </cell>
          <cell r="E114">
            <v>126000000</v>
          </cell>
        </row>
        <row r="115">
          <cell r="C115">
            <v>2910906733</v>
          </cell>
          <cell r="E115">
            <v>35000000</v>
          </cell>
        </row>
        <row r="116">
          <cell r="C116">
            <v>2910906734</v>
          </cell>
          <cell r="E116">
            <v>39028000</v>
          </cell>
        </row>
        <row r="117">
          <cell r="C117">
            <v>2910906737</v>
          </cell>
          <cell r="E117">
            <v>50000000</v>
          </cell>
        </row>
        <row r="118">
          <cell r="C118">
            <v>2910906740</v>
          </cell>
          <cell r="E118">
            <v>53704000</v>
          </cell>
        </row>
        <row r="119">
          <cell r="C119">
            <v>2910906746</v>
          </cell>
          <cell r="E119">
            <v>450000000</v>
          </cell>
        </row>
        <row r="120">
          <cell r="C120">
            <v>2910906749</v>
          </cell>
          <cell r="E120">
            <v>87371000</v>
          </cell>
        </row>
        <row r="121">
          <cell r="C121">
            <v>2910906752</v>
          </cell>
          <cell r="E121">
            <v>858400000</v>
          </cell>
        </row>
        <row r="122">
          <cell r="C122">
            <v>2910906754</v>
          </cell>
          <cell r="E122">
            <v>72667000</v>
          </cell>
        </row>
        <row r="123">
          <cell r="C123">
            <v>2910906755</v>
          </cell>
          <cell r="E123">
            <v>59999936</v>
          </cell>
        </row>
        <row r="124">
          <cell r="C124">
            <v>2910906756</v>
          </cell>
          <cell r="E124">
            <v>2243355967</v>
          </cell>
        </row>
        <row r="125">
          <cell r="C125">
            <v>2910906759</v>
          </cell>
          <cell r="E125">
            <v>70000000</v>
          </cell>
        </row>
        <row r="126">
          <cell r="C126">
            <v>2910906760</v>
          </cell>
          <cell r="E126">
            <v>94999200</v>
          </cell>
        </row>
        <row r="127">
          <cell r="C127">
            <v>2910906761</v>
          </cell>
          <cell r="E127">
            <v>21000000</v>
          </cell>
        </row>
        <row r="128">
          <cell r="C128">
            <v>2910906762</v>
          </cell>
          <cell r="E128">
            <v>20000000</v>
          </cell>
        </row>
        <row r="129">
          <cell r="C129">
            <v>2910906763</v>
          </cell>
          <cell r="E129">
            <v>100000000</v>
          </cell>
        </row>
        <row r="130">
          <cell r="C130">
            <v>2910906764</v>
          </cell>
          <cell r="E130">
            <v>114000000</v>
          </cell>
        </row>
        <row r="131">
          <cell r="C131">
            <v>2910906765</v>
          </cell>
          <cell r="E131">
            <v>81450000</v>
          </cell>
        </row>
        <row r="132">
          <cell r="C132">
            <v>2910906766</v>
          </cell>
          <cell r="E132">
            <v>39600000</v>
          </cell>
        </row>
        <row r="133">
          <cell r="C133">
            <v>2910906768</v>
          </cell>
          <cell r="E133">
            <v>205490000</v>
          </cell>
        </row>
        <row r="134">
          <cell r="C134">
            <v>2910906769</v>
          </cell>
          <cell r="E134">
            <v>483310000</v>
          </cell>
        </row>
        <row r="135">
          <cell r="C135">
            <v>2910906770</v>
          </cell>
          <cell r="E135">
            <v>248617170</v>
          </cell>
        </row>
        <row r="136">
          <cell r="C136">
            <v>2910906773</v>
          </cell>
          <cell r="E136">
            <v>248617174</v>
          </cell>
        </row>
        <row r="137">
          <cell r="C137">
            <v>2910906776</v>
          </cell>
          <cell r="E137">
            <v>150000000</v>
          </cell>
        </row>
        <row r="138">
          <cell r="C138">
            <v>2910908040</v>
          </cell>
          <cell r="E138">
            <v>92700000</v>
          </cell>
        </row>
        <row r="139">
          <cell r="C139">
            <v>2910906777</v>
          </cell>
          <cell r="E139">
            <v>1162897960</v>
          </cell>
        </row>
        <row r="140">
          <cell r="C140">
            <v>2910906779</v>
          </cell>
          <cell r="E140">
            <v>39000000</v>
          </cell>
        </row>
        <row r="141">
          <cell r="C141">
            <v>2910906667</v>
          </cell>
          <cell r="E141">
            <v>18480000</v>
          </cell>
        </row>
        <row r="142">
          <cell r="C142">
            <v>2910906771</v>
          </cell>
          <cell r="E142">
            <v>22500000</v>
          </cell>
        </row>
        <row r="143">
          <cell r="C143">
            <v>2910906780</v>
          </cell>
          <cell r="E143">
            <v>39000000</v>
          </cell>
        </row>
        <row r="144">
          <cell r="C144">
            <v>2453010950</v>
          </cell>
          <cell r="E144">
            <v>941984000</v>
          </cell>
        </row>
        <row r="145">
          <cell r="C145">
            <v>2910906778</v>
          </cell>
          <cell r="E145">
            <v>20000000</v>
          </cell>
        </row>
        <row r="146">
          <cell r="C146">
            <v>2910906784</v>
          </cell>
          <cell r="E146">
            <v>434569106</v>
          </cell>
        </row>
        <row r="147">
          <cell r="C147">
            <v>2453018329</v>
          </cell>
          <cell r="E147">
            <v>23000000</v>
          </cell>
        </row>
        <row r="148">
          <cell r="C148">
            <v>2910906787</v>
          </cell>
          <cell r="E148">
            <v>120252560</v>
          </cell>
        </row>
        <row r="149">
          <cell r="C149">
            <v>2910908043</v>
          </cell>
          <cell r="E149">
            <v>10909669</v>
          </cell>
        </row>
        <row r="150">
          <cell r="C150">
            <v>2453017502</v>
          </cell>
          <cell r="E150">
            <v>5408592000</v>
          </cell>
        </row>
        <row r="151">
          <cell r="C151">
            <v>2910906525</v>
          </cell>
          <cell r="E151">
            <v>584246639</v>
          </cell>
        </row>
        <row r="152">
          <cell r="C152">
            <v>2910906790</v>
          </cell>
          <cell r="E152">
            <v>1020000000</v>
          </cell>
        </row>
        <row r="153">
          <cell r="C153">
            <v>2910906772</v>
          </cell>
          <cell r="E153">
            <v>186462878</v>
          </cell>
        </row>
        <row r="154">
          <cell r="C154">
            <v>2910906259</v>
          </cell>
          <cell r="E154">
            <v>415656885</v>
          </cell>
        </row>
        <row r="155">
          <cell r="C155">
            <v>2453018336</v>
          </cell>
          <cell r="E155">
            <v>696232978</v>
          </cell>
        </row>
        <row r="156">
          <cell r="C156">
            <v>2453018332</v>
          </cell>
          <cell r="E156">
            <v>1703681000</v>
          </cell>
        </row>
        <row r="157">
          <cell r="C157">
            <v>2910906781</v>
          </cell>
          <cell r="E157">
            <v>98000000</v>
          </cell>
        </row>
        <row r="158">
          <cell r="C158">
            <v>2910906788</v>
          </cell>
          <cell r="E158">
            <v>2078053077</v>
          </cell>
        </row>
        <row r="159">
          <cell r="C159">
            <v>2910906758</v>
          </cell>
          <cell r="E159">
            <v>660783000</v>
          </cell>
        </row>
        <row r="160">
          <cell r="C160">
            <v>2910906503</v>
          </cell>
          <cell r="E160">
            <v>168167606</v>
          </cell>
        </row>
        <row r="161">
          <cell r="C161">
            <v>2910906786</v>
          </cell>
          <cell r="E161">
            <v>61475000</v>
          </cell>
        </row>
        <row r="162">
          <cell r="C162">
            <v>2453018337</v>
          </cell>
          <cell r="E162">
            <v>1746041438</v>
          </cell>
        </row>
        <row r="163">
          <cell r="C163">
            <v>2453018331</v>
          </cell>
          <cell r="E163">
            <v>1079098616</v>
          </cell>
        </row>
        <row r="164">
          <cell r="C164">
            <v>2910906775</v>
          </cell>
          <cell r="E164">
            <v>423000000</v>
          </cell>
        </row>
        <row r="165">
          <cell r="C165">
            <v>2453018335</v>
          </cell>
          <cell r="E165">
            <v>217600000</v>
          </cell>
        </row>
        <row r="166">
          <cell r="C166">
            <v>2910906785</v>
          </cell>
          <cell r="E166">
            <v>5617920000</v>
          </cell>
        </row>
        <row r="167">
          <cell r="C167">
            <v>2453018338</v>
          </cell>
          <cell r="E167">
            <v>75000000</v>
          </cell>
        </row>
        <row r="168">
          <cell r="C168">
            <v>2910906789</v>
          </cell>
          <cell r="E168">
            <v>9124262365</v>
          </cell>
        </row>
        <row r="169">
          <cell r="C169">
            <v>2910907209</v>
          </cell>
          <cell r="E169">
            <v>170000000</v>
          </cell>
        </row>
        <row r="170">
          <cell r="C170">
            <v>2910906799</v>
          </cell>
          <cell r="E170">
            <v>70000000</v>
          </cell>
        </row>
        <row r="171">
          <cell r="C171">
            <v>2910906798</v>
          </cell>
          <cell r="E171">
            <v>43000000</v>
          </cell>
        </row>
        <row r="172">
          <cell r="C172">
            <v>2910907201</v>
          </cell>
          <cell r="E172">
            <v>70000000</v>
          </cell>
        </row>
        <row r="173">
          <cell r="C173">
            <v>2910906796</v>
          </cell>
          <cell r="E173">
            <v>1980959670</v>
          </cell>
        </row>
        <row r="174">
          <cell r="C174">
            <v>2910907204</v>
          </cell>
          <cell r="E174">
            <v>35000000</v>
          </cell>
        </row>
        <row r="175">
          <cell r="C175">
            <v>2453018305</v>
          </cell>
          <cell r="E175">
            <v>367496237</v>
          </cell>
        </row>
        <row r="176">
          <cell r="C176">
            <v>2910907208</v>
          </cell>
          <cell r="E176">
            <v>52000000</v>
          </cell>
        </row>
        <row r="177">
          <cell r="C177">
            <v>2910906793</v>
          </cell>
          <cell r="E177">
            <v>152489124</v>
          </cell>
        </row>
        <row r="178">
          <cell r="C178">
            <v>2910908053</v>
          </cell>
          <cell r="E178">
            <v>191412500</v>
          </cell>
        </row>
        <row r="179">
          <cell r="C179">
            <v>2910906233</v>
          </cell>
          <cell r="E179">
            <v>801237000</v>
          </cell>
        </row>
        <row r="180">
          <cell r="C180">
            <v>2910908007</v>
          </cell>
          <cell r="E180">
            <v>5254500</v>
          </cell>
        </row>
        <row r="181">
          <cell r="C181">
            <v>2910908016</v>
          </cell>
          <cell r="E181">
            <v>25096800</v>
          </cell>
        </row>
        <row r="182">
          <cell r="C182">
            <v>2910908034</v>
          </cell>
          <cell r="E182">
            <v>10640000</v>
          </cell>
        </row>
        <row r="183">
          <cell r="C183" t="str">
            <v>2910907203</v>
          </cell>
          <cell r="E183">
            <v>89157600</v>
          </cell>
        </row>
        <row r="184">
          <cell r="C184">
            <v>2910908339</v>
          </cell>
          <cell r="E184">
            <v>492800000</v>
          </cell>
        </row>
        <row r="185">
          <cell r="C185">
            <v>2910907205</v>
          </cell>
          <cell r="E185">
            <v>15000000</v>
          </cell>
        </row>
        <row r="186">
          <cell r="C186">
            <v>2910907206</v>
          </cell>
          <cell r="E186">
            <v>15000000</v>
          </cell>
        </row>
        <row r="187">
          <cell r="C187">
            <v>2910907207</v>
          </cell>
          <cell r="E187">
            <v>15000000</v>
          </cell>
        </row>
        <row r="188">
          <cell r="C188">
            <v>2910907210</v>
          </cell>
          <cell r="E188">
            <v>126000000</v>
          </cell>
        </row>
        <row r="189">
          <cell r="C189">
            <v>2910907212</v>
          </cell>
          <cell r="E189">
            <v>835350000</v>
          </cell>
        </row>
        <row r="190">
          <cell r="C190">
            <v>2910908061</v>
          </cell>
          <cell r="E190">
            <v>76776000</v>
          </cell>
        </row>
        <row r="191">
          <cell r="C191">
            <v>2910908063</v>
          </cell>
          <cell r="E191">
            <v>20000000</v>
          </cell>
        </row>
        <row r="192">
          <cell r="C192">
            <v>2453018340</v>
          </cell>
          <cell r="E192">
            <v>5029012761</v>
          </cell>
        </row>
        <row r="193">
          <cell r="C193">
            <v>2910907223</v>
          </cell>
          <cell r="E193">
            <v>11000088770</v>
          </cell>
        </row>
        <row r="194">
          <cell r="C194">
            <v>2910908067</v>
          </cell>
          <cell r="E194">
            <v>168850000</v>
          </cell>
        </row>
        <row r="195">
          <cell r="C195">
            <v>2910908060</v>
          </cell>
          <cell r="E195">
            <v>411529874</v>
          </cell>
        </row>
        <row r="196">
          <cell r="C196">
            <v>2910907214</v>
          </cell>
          <cell r="E196">
            <v>173532800</v>
          </cell>
        </row>
        <row r="197">
          <cell r="C197">
            <v>2910906797</v>
          </cell>
          <cell r="E197">
            <v>349990900</v>
          </cell>
        </row>
        <row r="198">
          <cell r="C198">
            <v>2910907221</v>
          </cell>
          <cell r="E198">
            <v>242915000</v>
          </cell>
        </row>
        <row r="199">
          <cell r="C199">
            <v>2910907218</v>
          </cell>
          <cell r="E199">
            <v>35000000</v>
          </cell>
        </row>
        <row r="200">
          <cell r="C200">
            <v>2910908062</v>
          </cell>
          <cell r="E200">
            <v>118762000</v>
          </cell>
        </row>
        <row r="201">
          <cell r="C201">
            <v>2910907226</v>
          </cell>
          <cell r="E201">
            <v>27000000</v>
          </cell>
        </row>
        <row r="202">
          <cell r="C202">
            <v>2910908341</v>
          </cell>
          <cell r="E202">
            <v>29000000</v>
          </cell>
        </row>
        <row r="203">
          <cell r="C203">
            <v>2910907211</v>
          </cell>
          <cell r="E203">
            <v>690000000</v>
          </cell>
        </row>
        <row r="204">
          <cell r="C204">
            <v>2910908071</v>
          </cell>
          <cell r="E204">
            <v>201985330</v>
          </cell>
        </row>
        <row r="205">
          <cell r="C205">
            <v>2910908064</v>
          </cell>
          <cell r="E205">
            <v>9650000</v>
          </cell>
        </row>
        <row r="206">
          <cell r="C206">
            <v>2910907213</v>
          </cell>
          <cell r="E206">
            <v>108553760</v>
          </cell>
        </row>
        <row r="207">
          <cell r="C207">
            <v>2910908076</v>
          </cell>
          <cell r="E207">
            <v>26650000</v>
          </cell>
        </row>
        <row r="208">
          <cell r="C208">
            <v>2910908065</v>
          </cell>
          <cell r="E208">
            <v>45900000</v>
          </cell>
        </row>
        <row r="209">
          <cell r="C209">
            <v>2910908047</v>
          </cell>
          <cell r="E209">
            <v>19079046</v>
          </cell>
        </row>
        <row r="210">
          <cell r="C210">
            <v>2910906122</v>
          </cell>
          <cell r="E210">
            <v>659951541</v>
          </cell>
        </row>
        <row r="211">
          <cell r="C211">
            <v>2910907224</v>
          </cell>
          <cell r="E211">
            <v>153881691</v>
          </cell>
        </row>
        <row r="212">
          <cell r="C212">
            <v>2910906154</v>
          </cell>
          <cell r="E212">
            <v>32400000</v>
          </cell>
        </row>
        <row r="213">
          <cell r="C213">
            <v>2453018342</v>
          </cell>
          <cell r="E213">
            <v>452090000</v>
          </cell>
        </row>
        <row r="214">
          <cell r="C214">
            <v>2453018343</v>
          </cell>
          <cell r="E214">
            <v>243781000</v>
          </cell>
        </row>
        <row r="215">
          <cell r="C215">
            <v>2910906792</v>
          </cell>
          <cell r="E215">
            <v>7014816</v>
          </cell>
        </row>
        <row r="216">
          <cell r="C216">
            <v>2910907222</v>
          </cell>
          <cell r="E216">
            <v>390823000</v>
          </cell>
        </row>
        <row r="217">
          <cell r="C217">
            <v>2453018347</v>
          </cell>
          <cell r="E217">
            <v>1778543757</v>
          </cell>
        </row>
        <row r="218">
          <cell r="C218">
            <v>2910906255</v>
          </cell>
          <cell r="E218">
            <v>193760000</v>
          </cell>
        </row>
        <row r="219">
          <cell r="C219">
            <v>2910908059</v>
          </cell>
          <cell r="E219">
            <v>9500000</v>
          </cell>
        </row>
        <row r="220">
          <cell r="C220">
            <v>2910907234</v>
          </cell>
          <cell r="E220">
            <v>255000000</v>
          </cell>
        </row>
        <row r="221">
          <cell r="C221">
            <v>2910907230</v>
          </cell>
          <cell r="E221">
            <v>56700000</v>
          </cell>
        </row>
        <row r="222">
          <cell r="C222">
            <v>2910907225</v>
          </cell>
          <cell r="E222">
            <v>247000000</v>
          </cell>
        </row>
        <row r="223">
          <cell r="C223" t="str">
            <v>2910907231</v>
          </cell>
          <cell r="E223">
            <v>5902674987</v>
          </cell>
        </row>
        <row r="224">
          <cell r="C224" t="str">
            <v>2910906720</v>
          </cell>
          <cell r="E224">
            <v>135000000</v>
          </cell>
        </row>
        <row r="225">
          <cell r="C225">
            <v>2910907247</v>
          </cell>
          <cell r="E225">
            <v>797983995</v>
          </cell>
        </row>
        <row r="226">
          <cell r="C226">
            <v>2910907235</v>
          </cell>
          <cell r="E226">
            <v>195267045</v>
          </cell>
        </row>
        <row r="227">
          <cell r="C227">
            <v>2453018349</v>
          </cell>
          <cell r="E227">
            <v>2759044522</v>
          </cell>
        </row>
        <row r="228">
          <cell r="C228">
            <v>2453018348</v>
          </cell>
          <cell r="E228">
            <v>3529418400</v>
          </cell>
        </row>
        <row r="229">
          <cell r="C229">
            <v>2910908081</v>
          </cell>
          <cell r="E229">
            <v>220177700</v>
          </cell>
        </row>
        <row r="230">
          <cell r="C230">
            <v>2910908082</v>
          </cell>
          <cell r="E230">
            <v>40600000</v>
          </cell>
        </row>
        <row r="231">
          <cell r="C231">
            <v>2453018351</v>
          </cell>
          <cell r="E231">
            <v>1229752235</v>
          </cell>
        </row>
        <row r="232">
          <cell r="C232">
            <v>2910907236</v>
          </cell>
          <cell r="E232">
            <v>785300000</v>
          </cell>
        </row>
        <row r="233">
          <cell r="C233">
            <v>2910907229</v>
          </cell>
          <cell r="E233">
            <v>1995501200</v>
          </cell>
        </row>
        <row r="234">
          <cell r="C234">
            <v>2910907243</v>
          </cell>
          <cell r="E234">
            <v>370000000</v>
          </cell>
        </row>
        <row r="235">
          <cell r="C235">
            <v>2910905946</v>
          </cell>
          <cell r="E235">
            <v>69720000</v>
          </cell>
        </row>
        <row r="236">
          <cell r="C236">
            <v>2910907233</v>
          </cell>
          <cell r="E236">
            <v>21856311</v>
          </cell>
        </row>
        <row r="237">
          <cell r="C237">
            <v>2453018350</v>
          </cell>
          <cell r="E237">
            <v>16284654500</v>
          </cell>
        </row>
        <row r="238">
          <cell r="C238">
            <v>2910907281</v>
          </cell>
          <cell r="E238">
            <v>1291654128</v>
          </cell>
        </row>
        <row r="239">
          <cell r="C239">
            <v>2910907275</v>
          </cell>
          <cell r="E239">
            <v>3000000</v>
          </cell>
        </row>
        <row r="240">
          <cell r="C240">
            <v>2910907286</v>
          </cell>
          <cell r="E240">
            <v>5000000</v>
          </cell>
        </row>
        <row r="241">
          <cell r="C241">
            <v>2910907248</v>
          </cell>
          <cell r="E241">
            <v>920810240</v>
          </cell>
        </row>
        <row r="242">
          <cell r="C242">
            <v>2453018352</v>
          </cell>
          <cell r="E242">
            <v>5189063824</v>
          </cell>
        </row>
        <row r="243">
          <cell r="C243">
            <v>2910906138</v>
          </cell>
          <cell r="E243">
            <v>21549139</v>
          </cell>
        </row>
        <row r="244">
          <cell r="C244">
            <v>2910907276</v>
          </cell>
          <cell r="E244">
            <v>3000000</v>
          </cell>
        </row>
        <row r="245">
          <cell r="C245">
            <v>2910907250</v>
          </cell>
          <cell r="E245">
            <v>30000000</v>
          </cell>
        </row>
        <row r="246">
          <cell r="C246">
            <v>2910907251</v>
          </cell>
          <cell r="E246">
            <v>30000000</v>
          </cell>
        </row>
        <row r="247">
          <cell r="C247">
            <v>2910907253</v>
          </cell>
          <cell r="E247">
            <v>30000000</v>
          </cell>
        </row>
        <row r="248">
          <cell r="C248">
            <v>2910907256</v>
          </cell>
          <cell r="E248">
            <v>28000000</v>
          </cell>
        </row>
        <row r="249">
          <cell r="C249">
            <v>2910907252</v>
          </cell>
          <cell r="E249">
            <v>31800000</v>
          </cell>
        </row>
        <row r="250">
          <cell r="C250">
            <v>2910907287</v>
          </cell>
          <cell r="E250">
            <v>28000000</v>
          </cell>
        </row>
        <row r="251">
          <cell r="C251">
            <v>2910907239</v>
          </cell>
          <cell r="E251">
            <v>80000000</v>
          </cell>
        </row>
        <row r="252">
          <cell r="C252">
            <v>2910908074</v>
          </cell>
          <cell r="E252">
            <v>18323356</v>
          </cell>
        </row>
        <row r="253">
          <cell r="C253">
            <v>2910908075</v>
          </cell>
          <cell r="E253">
            <v>85315200</v>
          </cell>
        </row>
        <row r="254">
          <cell r="C254">
            <v>2910908080</v>
          </cell>
          <cell r="E254">
            <v>14059200</v>
          </cell>
        </row>
        <row r="255">
          <cell r="C255">
            <v>2910908079</v>
          </cell>
          <cell r="E255">
            <v>204784660</v>
          </cell>
        </row>
        <row r="256">
          <cell r="C256">
            <v>2910908083</v>
          </cell>
          <cell r="E256">
            <v>47560000</v>
          </cell>
        </row>
        <row r="257">
          <cell r="C257">
            <v>2910907261</v>
          </cell>
          <cell r="E257">
            <v>10000000</v>
          </cell>
        </row>
        <row r="258">
          <cell r="C258">
            <v>2910907279</v>
          </cell>
          <cell r="E258">
            <v>400000000</v>
          </cell>
        </row>
        <row r="259">
          <cell r="C259">
            <v>2910907259</v>
          </cell>
          <cell r="E259">
            <v>5000000</v>
          </cell>
        </row>
        <row r="260">
          <cell r="C260">
            <v>2910907255</v>
          </cell>
          <cell r="E260">
            <v>33000000</v>
          </cell>
        </row>
        <row r="261">
          <cell r="C261">
            <v>2910907280</v>
          </cell>
          <cell r="E261">
            <v>500000000</v>
          </cell>
        </row>
        <row r="262">
          <cell r="C262">
            <v>2910907288</v>
          </cell>
          <cell r="E262">
            <v>3000000</v>
          </cell>
        </row>
        <row r="263">
          <cell r="C263">
            <v>2910907244</v>
          </cell>
          <cell r="E263">
            <v>50000000</v>
          </cell>
        </row>
        <row r="264">
          <cell r="C264">
            <v>2910907238</v>
          </cell>
          <cell r="E264">
            <v>12151862208</v>
          </cell>
        </row>
        <row r="265">
          <cell r="C265">
            <v>2453018345</v>
          </cell>
          <cell r="E265">
            <v>483200000</v>
          </cell>
        </row>
        <row r="266">
          <cell r="C266">
            <v>2910907249</v>
          </cell>
          <cell r="E266">
            <v>65500000</v>
          </cell>
        </row>
        <row r="267">
          <cell r="C267">
            <v>2910907227</v>
          </cell>
          <cell r="E267">
            <v>187400000</v>
          </cell>
        </row>
        <row r="268">
          <cell r="C268">
            <v>2910907232</v>
          </cell>
          <cell r="E268">
            <v>643456583</v>
          </cell>
        </row>
        <row r="269">
          <cell r="C269">
            <v>2910907241</v>
          </cell>
          <cell r="E269">
            <v>399151141</v>
          </cell>
        </row>
        <row r="270">
          <cell r="C270">
            <v>2910906743</v>
          </cell>
          <cell r="E270">
            <v>577046931</v>
          </cell>
        </row>
        <row r="271">
          <cell r="C271">
            <v>2910907246</v>
          </cell>
          <cell r="E271">
            <v>2750500000</v>
          </cell>
        </row>
        <row r="272">
          <cell r="C272">
            <v>2910907290</v>
          </cell>
          <cell r="E272">
            <v>318870136</v>
          </cell>
        </row>
        <row r="273">
          <cell r="C273">
            <v>2910907278</v>
          </cell>
          <cell r="E273">
            <v>3000000</v>
          </cell>
        </row>
        <row r="274">
          <cell r="C274">
            <v>2910907265</v>
          </cell>
          <cell r="E274">
            <v>3000000</v>
          </cell>
        </row>
        <row r="275">
          <cell r="C275">
            <v>2910907258</v>
          </cell>
          <cell r="E275">
            <v>6000000</v>
          </cell>
        </row>
        <row r="276">
          <cell r="C276">
            <v>2910907297</v>
          </cell>
          <cell r="E276">
            <v>10000000</v>
          </cell>
        </row>
        <row r="277">
          <cell r="C277">
            <v>2910908087</v>
          </cell>
          <cell r="E277">
            <v>12251100</v>
          </cell>
        </row>
        <row r="278">
          <cell r="C278">
            <v>2910907291</v>
          </cell>
          <cell r="E278">
            <v>335000000</v>
          </cell>
        </row>
        <row r="279">
          <cell r="C279">
            <v>2910907296</v>
          </cell>
          <cell r="E279">
            <v>30000000</v>
          </cell>
        </row>
        <row r="280">
          <cell r="C280">
            <v>2910907283</v>
          </cell>
          <cell r="E280">
            <v>43000000</v>
          </cell>
        </row>
        <row r="281">
          <cell r="C281">
            <v>2910907282</v>
          </cell>
          <cell r="E281">
            <v>70000000</v>
          </cell>
        </row>
        <row r="282">
          <cell r="C282">
            <v>2910908085</v>
          </cell>
          <cell r="E282">
            <v>159900000</v>
          </cell>
        </row>
        <row r="283">
          <cell r="C283">
            <v>2910908090</v>
          </cell>
          <cell r="E283">
            <v>22820000</v>
          </cell>
        </row>
        <row r="284">
          <cell r="C284">
            <v>2910907240</v>
          </cell>
          <cell r="E284">
            <v>25000000</v>
          </cell>
        </row>
        <row r="285">
          <cell r="C285">
            <v>2453018355</v>
          </cell>
          <cell r="E285">
            <v>1960924800</v>
          </cell>
        </row>
        <row r="286">
          <cell r="C286">
            <v>2910907305</v>
          </cell>
          <cell r="E286">
            <v>16023830031</v>
          </cell>
        </row>
      </sheetData>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2025"/>
      <sheetName val="2026"/>
      <sheetName val="2DO TRIMESTRE"/>
      <sheetName val="Traslado"/>
      <sheetName val="Beneficio"/>
      <sheetName val="% 2024_2025_2026"/>
      <sheetName val="Herramienta"/>
      <sheetName val="PROY-VIGENCIA"/>
    </sheetNames>
    <sheetDataSet>
      <sheetData sheetId="0"/>
      <sheetData sheetId="1"/>
      <sheetData sheetId="2">
        <row r="1">
          <cell r="C1" t="str">
            <v>CUENTA</v>
          </cell>
          <cell r="I1" t="str">
            <v>INGRESOS A LA FECHA</v>
          </cell>
        </row>
        <row r="2">
          <cell r="C2">
            <v>2910907414</v>
          </cell>
          <cell r="I2">
            <v>3907903725</v>
          </cell>
        </row>
        <row r="3">
          <cell r="C3">
            <v>2910907385</v>
          </cell>
          <cell r="I3">
            <v>2911285770.6300001</v>
          </cell>
        </row>
        <row r="4">
          <cell r="C4">
            <v>2910907441</v>
          </cell>
          <cell r="I4">
            <v>573000000</v>
          </cell>
        </row>
        <row r="5">
          <cell r="C5">
            <v>2910907371</v>
          </cell>
          <cell r="I5">
            <v>1766886988</v>
          </cell>
        </row>
        <row r="6">
          <cell r="C6">
            <v>2910907439</v>
          </cell>
          <cell r="I6">
            <v>4689579661</v>
          </cell>
        </row>
        <row r="7">
          <cell r="C7">
            <v>2453018391</v>
          </cell>
          <cell r="I7">
            <v>3316210961</v>
          </cell>
        </row>
        <row r="8">
          <cell r="C8">
            <v>2453018383</v>
          </cell>
          <cell r="I8">
            <v>6132363345</v>
          </cell>
        </row>
        <row r="9">
          <cell r="C9">
            <v>2453018386</v>
          </cell>
          <cell r="I9">
            <v>1702585337</v>
          </cell>
        </row>
        <row r="10">
          <cell r="C10">
            <v>2453018371</v>
          </cell>
          <cell r="I10">
            <v>2180023751</v>
          </cell>
        </row>
        <row r="11">
          <cell r="C11">
            <v>2453018380</v>
          </cell>
          <cell r="I11">
            <v>223269652</v>
          </cell>
        </row>
        <row r="12">
          <cell r="C12">
            <v>2910907309</v>
          </cell>
          <cell r="I12">
            <v>334737156</v>
          </cell>
        </row>
        <row r="13">
          <cell r="C13">
            <v>2910907419</v>
          </cell>
          <cell r="I13">
            <v>262075000</v>
          </cell>
        </row>
        <row r="14">
          <cell r="C14">
            <v>2910906401</v>
          </cell>
          <cell r="I14">
            <v>1090888710</v>
          </cell>
        </row>
        <row r="15">
          <cell r="C15">
            <v>2910297392</v>
          </cell>
          <cell r="I15">
            <v>24192000</v>
          </cell>
        </row>
        <row r="16">
          <cell r="C16">
            <v>2910907429</v>
          </cell>
          <cell r="I16">
            <v>3000000</v>
          </cell>
        </row>
        <row r="17">
          <cell r="C17">
            <v>2453018331</v>
          </cell>
          <cell r="I17">
            <v>1079098616</v>
          </cell>
        </row>
        <row r="18">
          <cell r="C18">
            <v>2910907439</v>
          </cell>
          <cell r="I18">
            <v>6386897733.6300001</v>
          </cell>
        </row>
        <row r="19">
          <cell r="C19">
            <v>2910907373</v>
          </cell>
          <cell r="I19">
            <v>843640937</v>
          </cell>
        </row>
        <row r="20">
          <cell r="C20">
            <v>2910907448</v>
          </cell>
          <cell r="I20">
            <v>408164546</v>
          </cell>
        </row>
        <row r="21">
          <cell r="C21">
            <v>2910907438</v>
          </cell>
          <cell r="I21">
            <v>1264000000</v>
          </cell>
        </row>
        <row r="22">
          <cell r="C22">
            <v>2910907444</v>
          </cell>
          <cell r="I22">
            <v>400000000</v>
          </cell>
        </row>
        <row r="23">
          <cell r="C23">
            <v>2910907449</v>
          </cell>
          <cell r="I23">
            <v>1144204791</v>
          </cell>
        </row>
        <row r="24">
          <cell r="C24">
            <v>2910907447</v>
          </cell>
          <cell r="I24">
            <v>1053000000</v>
          </cell>
        </row>
        <row r="25">
          <cell r="C25">
            <v>2910907440</v>
          </cell>
          <cell r="I25">
            <v>922800000</v>
          </cell>
        </row>
        <row r="26">
          <cell r="C26">
            <v>2910907378</v>
          </cell>
          <cell r="I26">
            <v>2597599214</v>
          </cell>
        </row>
        <row r="27">
          <cell r="C27">
            <v>2910907443</v>
          </cell>
          <cell r="I27">
            <v>161200000</v>
          </cell>
        </row>
        <row r="28">
          <cell r="C28">
            <v>2453018388</v>
          </cell>
          <cell r="I28">
            <v>863649309</v>
          </cell>
        </row>
        <row r="29">
          <cell r="C29">
            <v>2453018383</v>
          </cell>
          <cell r="I29">
            <v>6426877912</v>
          </cell>
        </row>
        <row r="30">
          <cell r="C30">
            <v>2453018391</v>
          </cell>
          <cell r="I30">
            <v>3465253461</v>
          </cell>
        </row>
        <row r="31">
          <cell r="C31">
            <v>2453018372</v>
          </cell>
          <cell r="I31">
            <v>1163504743</v>
          </cell>
        </row>
        <row r="32">
          <cell r="C32">
            <v>2910907433</v>
          </cell>
          <cell r="I32">
            <v>113125000</v>
          </cell>
        </row>
        <row r="33">
          <cell r="C33">
            <v>2910908240</v>
          </cell>
          <cell r="I33">
            <v>510882373</v>
          </cell>
        </row>
        <row r="34">
          <cell r="C34">
            <v>2910908227</v>
          </cell>
          <cell r="I34">
            <v>714438063</v>
          </cell>
        </row>
        <row r="35">
          <cell r="C35">
            <v>2910907419</v>
          </cell>
          <cell r="I35">
            <v>351515000</v>
          </cell>
        </row>
        <row r="36">
          <cell r="C36">
            <v>2910907386</v>
          </cell>
          <cell r="I36">
            <v>175000000</v>
          </cell>
        </row>
        <row r="37">
          <cell r="C37">
            <v>2910907401</v>
          </cell>
          <cell r="I37">
            <v>172876628</v>
          </cell>
        </row>
        <row r="38">
          <cell r="C38">
            <v>2910907395</v>
          </cell>
          <cell r="I38">
            <v>95700000</v>
          </cell>
        </row>
        <row r="39">
          <cell r="C39">
            <v>2910907439</v>
          </cell>
          <cell r="I39">
            <v>8148520253.5799999</v>
          </cell>
        </row>
        <row r="40">
          <cell r="C40">
            <v>2910907449</v>
          </cell>
          <cell r="I40">
            <v>1811657586</v>
          </cell>
        </row>
        <row r="41">
          <cell r="C41">
            <v>2910907448</v>
          </cell>
          <cell r="I41">
            <v>600246819</v>
          </cell>
        </row>
        <row r="42">
          <cell r="C42">
            <v>2910907420</v>
          </cell>
          <cell r="I42">
            <v>789100000</v>
          </cell>
        </row>
        <row r="43">
          <cell r="C43">
            <v>2910907419</v>
          </cell>
          <cell r="I43">
            <v>442715000</v>
          </cell>
        </row>
        <row r="44">
          <cell r="C44">
            <v>2910907383</v>
          </cell>
          <cell r="I44">
            <v>7178286833</v>
          </cell>
        </row>
        <row r="45">
          <cell r="C45">
            <v>2453018391</v>
          </cell>
          <cell r="I45">
            <v>3589608051</v>
          </cell>
        </row>
        <row r="46">
          <cell r="C46">
            <v>2453018383</v>
          </cell>
          <cell r="I46">
            <v>7446353385</v>
          </cell>
        </row>
        <row r="47">
          <cell r="C47">
            <v>2453018388</v>
          </cell>
          <cell r="I47">
            <v>961610068</v>
          </cell>
        </row>
        <row r="48">
          <cell r="C48">
            <v>2453018373</v>
          </cell>
          <cell r="I48">
            <v>50894807</v>
          </cell>
        </row>
        <row r="49">
          <cell r="C49">
            <v>2910906233</v>
          </cell>
          <cell r="I49">
            <v>801237000</v>
          </cell>
        </row>
        <row r="50">
          <cell r="C50">
            <v>2910906740</v>
          </cell>
          <cell r="I50">
            <v>53704000</v>
          </cell>
        </row>
        <row r="51">
          <cell r="C51">
            <v>2910908251</v>
          </cell>
          <cell r="I51">
            <v>12000000</v>
          </cell>
        </row>
        <row r="52">
          <cell r="C52">
            <v>2910907442</v>
          </cell>
          <cell r="I52">
            <v>196000000</v>
          </cell>
        </row>
        <row r="53">
          <cell r="C53">
            <v>2910907428</v>
          </cell>
          <cell r="I53">
            <v>50880000</v>
          </cell>
        </row>
        <row r="54">
          <cell r="C54">
            <v>2910907382</v>
          </cell>
          <cell r="I54">
            <v>1668171429</v>
          </cell>
        </row>
        <row r="55">
          <cell r="C55">
            <v>2910907359</v>
          </cell>
          <cell r="I55">
            <v>9600000</v>
          </cell>
        </row>
        <row r="56">
          <cell r="C56">
            <v>2910907360</v>
          </cell>
          <cell r="I56">
            <v>115000000</v>
          </cell>
        </row>
        <row r="57">
          <cell r="C57">
            <v>2910907368</v>
          </cell>
          <cell r="I57">
            <v>35550000</v>
          </cell>
        </row>
        <row r="58">
          <cell r="C58">
            <v>2920907372</v>
          </cell>
          <cell r="I58">
            <v>1150000000</v>
          </cell>
        </row>
        <row r="59">
          <cell r="C59">
            <v>2453018375</v>
          </cell>
          <cell r="I59">
            <v>2765000000</v>
          </cell>
        </row>
        <row r="60">
          <cell r="C60">
            <v>2910907374</v>
          </cell>
          <cell r="I60">
            <v>1540503216</v>
          </cell>
        </row>
        <row r="61">
          <cell r="C61">
            <v>2910907375</v>
          </cell>
          <cell r="I61">
            <v>1944675000</v>
          </cell>
        </row>
        <row r="62">
          <cell r="C62">
            <v>2910907379</v>
          </cell>
          <cell r="I62">
            <v>18000000</v>
          </cell>
        </row>
        <row r="63">
          <cell r="C63">
            <v>2910907391</v>
          </cell>
          <cell r="I63">
            <v>70000000</v>
          </cell>
        </row>
        <row r="64">
          <cell r="C64">
            <v>2910907399</v>
          </cell>
          <cell r="I64">
            <v>205400000</v>
          </cell>
        </row>
        <row r="65">
          <cell r="C65">
            <v>2910907423</v>
          </cell>
          <cell r="I65">
            <v>47000000</v>
          </cell>
        </row>
        <row r="66">
          <cell r="C66">
            <v>2910907404</v>
          </cell>
          <cell r="I66">
            <v>55000000</v>
          </cell>
        </row>
        <row r="67">
          <cell r="C67">
            <v>2910907406</v>
          </cell>
          <cell r="I67">
            <v>80000000</v>
          </cell>
        </row>
        <row r="68">
          <cell r="C68">
            <v>2453018383</v>
          </cell>
          <cell r="I68">
            <v>10000000000</v>
          </cell>
        </row>
        <row r="69">
          <cell r="C69">
            <v>2910907436</v>
          </cell>
          <cell r="I69">
            <v>110000000</v>
          </cell>
        </row>
      </sheetData>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QUIDACION"/>
      <sheetName val="Base"/>
      <sheetName val="2DO TRIMESTRE"/>
      <sheetName val="Hoja1"/>
      <sheetName val="FOR 100"/>
      <sheetName val="Hoja2"/>
    </sheetNames>
    <sheetDataSet>
      <sheetData sheetId="0" refreshError="1"/>
      <sheetData sheetId="1" refreshError="1">
        <row r="1">
          <cell r="C1" t="str">
            <v>CUENTA</v>
          </cell>
          <cell r="E1" t="str">
            <v>VALOR PROYECTO</v>
          </cell>
        </row>
        <row r="2">
          <cell r="C2">
            <v>2910906401</v>
          </cell>
          <cell r="E2">
            <v>8107680336</v>
          </cell>
        </row>
        <row r="3">
          <cell r="C3">
            <v>2453010406</v>
          </cell>
          <cell r="E3">
            <v>102650000</v>
          </cell>
        </row>
        <row r="4">
          <cell r="C4">
            <v>2453019996</v>
          </cell>
          <cell r="E4">
            <v>1829508300</v>
          </cell>
        </row>
        <row r="5">
          <cell r="C5">
            <v>2910906602</v>
          </cell>
          <cell r="E5">
            <v>899333962</v>
          </cell>
        </row>
        <row r="6">
          <cell r="C6">
            <v>2910906299</v>
          </cell>
          <cell r="E6">
            <v>1299854942</v>
          </cell>
        </row>
        <row r="7">
          <cell r="C7">
            <v>2910906646</v>
          </cell>
          <cell r="E7">
            <v>20000000</v>
          </cell>
        </row>
        <row r="8">
          <cell r="C8">
            <v>2910906651</v>
          </cell>
          <cell r="E8">
            <v>132272000</v>
          </cell>
        </row>
        <row r="9">
          <cell r="C9">
            <v>2910906657</v>
          </cell>
          <cell r="E9">
            <v>12000000</v>
          </cell>
        </row>
        <row r="10">
          <cell r="C10">
            <v>2910906661</v>
          </cell>
          <cell r="E10">
            <v>12000000</v>
          </cell>
        </row>
        <row r="11">
          <cell r="C11">
            <v>2910901164</v>
          </cell>
          <cell r="E11">
            <v>153000000</v>
          </cell>
        </row>
        <row r="12">
          <cell r="C12">
            <v>2910905961</v>
          </cell>
          <cell r="E12">
            <v>9849652066</v>
          </cell>
        </row>
        <row r="13">
          <cell r="C13">
            <v>2453018301</v>
          </cell>
          <cell r="E13">
            <v>1412976000</v>
          </cell>
        </row>
        <row r="14">
          <cell r="C14">
            <v>2453018302</v>
          </cell>
          <cell r="E14">
            <v>838224872</v>
          </cell>
        </row>
        <row r="15">
          <cell r="C15">
            <v>2910906153</v>
          </cell>
          <cell r="E15">
            <v>0</v>
          </cell>
        </row>
        <row r="16">
          <cell r="C16">
            <v>2910906164</v>
          </cell>
          <cell r="E16">
            <v>3324605309</v>
          </cell>
        </row>
        <row r="17">
          <cell r="C17">
            <v>2910906707</v>
          </cell>
          <cell r="E17">
            <v>580000000</v>
          </cell>
        </row>
        <row r="18">
          <cell r="C18">
            <v>2910906713</v>
          </cell>
          <cell r="E18">
            <v>21068000</v>
          </cell>
        </row>
        <row r="19">
          <cell r="C19">
            <v>2910906320</v>
          </cell>
          <cell r="E19">
            <v>282092787</v>
          </cell>
        </row>
        <row r="20">
          <cell r="C20">
            <v>2453010405</v>
          </cell>
          <cell r="E20">
            <v>100000000</v>
          </cell>
        </row>
        <row r="21">
          <cell r="C21">
            <v>2910906718</v>
          </cell>
          <cell r="E21">
            <v>17500000</v>
          </cell>
        </row>
        <row r="22">
          <cell r="C22">
            <v>2910901163</v>
          </cell>
          <cell r="E22">
            <v>99238720</v>
          </cell>
        </row>
        <row r="23">
          <cell r="C23">
            <v>2910906699</v>
          </cell>
          <cell r="E23">
            <v>20000000</v>
          </cell>
        </row>
        <row r="24">
          <cell r="C24">
            <v>2453018306</v>
          </cell>
          <cell r="E24">
            <v>236667000</v>
          </cell>
        </row>
        <row r="25">
          <cell r="C25">
            <v>2453018307</v>
          </cell>
          <cell r="E25">
            <v>18042000</v>
          </cell>
        </row>
        <row r="26">
          <cell r="C26">
            <v>2910901169</v>
          </cell>
          <cell r="E26">
            <v>49793510</v>
          </cell>
        </row>
        <row r="27">
          <cell r="C27">
            <v>2910905878</v>
          </cell>
          <cell r="E27">
            <v>438947360</v>
          </cell>
        </row>
        <row r="28">
          <cell r="C28">
            <v>2910906260</v>
          </cell>
          <cell r="E28">
            <v>4300708566</v>
          </cell>
        </row>
        <row r="29">
          <cell r="C29">
            <v>2910906721</v>
          </cell>
          <cell r="E29">
            <v>90810000</v>
          </cell>
        </row>
        <row r="30">
          <cell r="C30">
            <v>2910906724</v>
          </cell>
          <cell r="E30">
            <v>41695800</v>
          </cell>
        </row>
        <row r="31">
          <cell r="C31">
            <v>2910908024</v>
          </cell>
          <cell r="E31">
            <v>28967499</v>
          </cell>
        </row>
        <row r="32">
          <cell r="C32">
            <v>2910906315</v>
          </cell>
          <cell r="E32">
            <v>1144495782</v>
          </cell>
        </row>
        <row r="33">
          <cell r="C33">
            <v>2910908008</v>
          </cell>
          <cell r="E33">
            <v>115871800</v>
          </cell>
        </row>
        <row r="34">
          <cell r="C34">
            <v>2910908021</v>
          </cell>
          <cell r="E34">
            <v>30368519</v>
          </cell>
        </row>
        <row r="35">
          <cell r="C35">
            <v>2910908023</v>
          </cell>
          <cell r="E35">
            <v>60569350</v>
          </cell>
        </row>
        <row r="36">
          <cell r="C36">
            <v>2910906629</v>
          </cell>
          <cell r="E36">
            <v>51787350</v>
          </cell>
        </row>
        <row r="37">
          <cell r="C37">
            <v>2910908005</v>
          </cell>
          <cell r="E37">
            <v>20110000</v>
          </cell>
        </row>
        <row r="38">
          <cell r="C38">
            <v>2910906719</v>
          </cell>
          <cell r="E38">
            <v>664875000</v>
          </cell>
        </row>
        <row r="39">
          <cell r="C39">
            <v>2453013406</v>
          </cell>
          <cell r="E39">
            <v>628595167</v>
          </cell>
        </row>
        <row r="40">
          <cell r="C40">
            <v>2453018304</v>
          </cell>
          <cell r="E40">
            <v>97000000</v>
          </cell>
        </row>
        <row r="41">
          <cell r="C41">
            <v>2453018309</v>
          </cell>
          <cell r="E41">
            <v>100000000</v>
          </cell>
        </row>
        <row r="42">
          <cell r="C42">
            <v>2910906370</v>
          </cell>
          <cell r="E42">
            <v>5033567040</v>
          </cell>
        </row>
        <row r="43">
          <cell r="C43">
            <v>2910906710</v>
          </cell>
          <cell r="E43">
            <v>1257144000</v>
          </cell>
        </row>
        <row r="44">
          <cell r="C44">
            <v>2910906715</v>
          </cell>
          <cell r="E44">
            <v>200000000</v>
          </cell>
        </row>
        <row r="45">
          <cell r="C45">
            <v>2910906717</v>
          </cell>
          <cell r="E45">
            <v>2289186700</v>
          </cell>
        </row>
        <row r="46">
          <cell r="C46">
            <v>2910906716</v>
          </cell>
          <cell r="E46">
            <v>96039870</v>
          </cell>
        </row>
        <row r="47">
          <cell r="C47">
            <v>2910906723</v>
          </cell>
          <cell r="E47">
            <v>503737398</v>
          </cell>
        </row>
        <row r="48">
          <cell r="C48">
            <v>2910906725</v>
          </cell>
          <cell r="E48">
            <v>86000000</v>
          </cell>
        </row>
        <row r="49">
          <cell r="C49">
            <v>2910906730</v>
          </cell>
          <cell r="E49">
            <v>179895904</v>
          </cell>
        </row>
        <row r="50">
          <cell r="C50">
            <v>2910906610</v>
          </cell>
          <cell r="E50">
            <v>149685000</v>
          </cell>
        </row>
        <row r="51">
          <cell r="C51">
            <v>2910906706</v>
          </cell>
          <cell r="E51">
            <v>1118239980</v>
          </cell>
        </row>
        <row r="52">
          <cell r="C52">
            <v>2910908022</v>
          </cell>
          <cell r="E52">
            <v>182875000</v>
          </cell>
        </row>
        <row r="53">
          <cell r="C53">
            <v>2910906310</v>
          </cell>
          <cell r="E53">
            <v>7100279267</v>
          </cell>
        </row>
        <row r="54">
          <cell r="C54">
            <v>2910904061</v>
          </cell>
          <cell r="E54">
            <v>102650000</v>
          </cell>
        </row>
        <row r="55">
          <cell r="C55">
            <v>2910906158</v>
          </cell>
          <cell r="E55">
            <v>3242508354</v>
          </cell>
        </row>
        <row r="56">
          <cell r="C56">
            <v>2910906732</v>
          </cell>
          <cell r="E56">
            <v>1475936000</v>
          </cell>
        </row>
        <row r="57">
          <cell r="C57">
            <v>2910906624</v>
          </cell>
          <cell r="E57">
            <v>674223041</v>
          </cell>
        </row>
        <row r="58">
          <cell r="C58">
            <v>2910908001</v>
          </cell>
          <cell r="E58">
            <v>379613412</v>
          </cell>
        </row>
        <row r="59">
          <cell r="C59">
            <v>2910908029</v>
          </cell>
          <cell r="E59">
            <v>17160000</v>
          </cell>
        </row>
        <row r="60">
          <cell r="C60">
            <v>2910908033</v>
          </cell>
          <cell r="E60">
            <v>65415600</v>
          </cell>
        </row>
        <row r="61">
          <cell r="C61">
            <v>2910906554</v>
          </cell>
          <cell r="E61">
            <v>580000000</v>
          </cell>
        </row>
        <row r="62">
          <cell r="C62">
            <v>2910906359</v>
          </cell>
          <cell r="E62">
            <v>290000000</v>
          </cell>
        </row>
        <row r="63">
          <cell r="C63">
            <v>2910906278</v>
          </cell>
          <cell r="E63">
            <v>455000000</v>
          </cell>
        </row>
        <row r="64">
          <cell r="C64">
            <v>2910906731</v>
          </cell>
          <cell r="E64">
            <v>1106428623</v>
          </cell>
        </row>
        <row r="65">
          <cell r="C65">
            <v>2910906708</v>
          </cell>
          <cell r="E65">
            <v>472734000</v>
          </cell>
        </row>
        <row r="66">
          <cell r="C66">
            <v>2453018310</v>
          </cell>
          <cell r="E66">
            <v>306603272</v>
          </cell>
        </row>
        <row r="67">
          <cell r="C67">
            <v>2910906589</v>
          </cell>
          <cell r="E67">
            <v>178633122</v>
          </cell>
        </row>
        <row r="68">
          <cell r="C68">
            <v>2453013418</v>
          </cell>
          <cell r="E68">
            <v>403904382</v>
          </cell>
        </row>
        <row r="69">
          <cell r="C69">
            <v>2910901167</v>
          </cell>
          <cell r="E69">
            <v>196000000</v>
          </cell>
        </row>
        <row r="70">
          <cell r="C70">
            <v>2910906412</v>
          </cell>
          <cell r="E70">
            <v>25000000</v>
          </cell>
        </row>
        <row r="71">
          <cell r="C71">
            <v>2910906559</v>
          </cell>
          <cell r="E71">
            <v>47096000</v>
          </cell>
        </row>
        <row r="72">
          <cell r="C72">
            <v>2910906705</v>
          </cell>
          <cell r="E72">
            <v>412833333</v>
          </cell>
        </row>
        <row r="73">
          <cell r="C73">
            <v>2910908015</v>
          </cell>
          <cell r="E73">
            <v>20299702</v>
          </cell>
        </row>
        <row r="74">
          <cell r="C74">
            <v>2910908019</v>
          </cell>
          <cell r="E74">
            <v>39501132</v>
          </cell>
        </row>
        <row r="75">
          <cell r="C75">
            <v>2910901501</v>
          </cell>
          <cell r="E75">
            <v>1500000000</v>
          </cell>
        </row>
        <row r="76">
          <cell r="C76">
            <v>2910908045</v>
          </cell>
          <cell r="E76">
            <v>8285436</v>
          </cell>
        </row>
        <row r="77">
          <cell r="C77">
            <v>2910905873</v>
          </cell>
          <cell r="E77">
            <v>70368755</v>
          </cell>
        </row>
        <row r="78">
          <cell r="C78">
            <v>2910906275</v>
          </cell>
          <cell r="E78">
            <v>204869041</v>
          </cell>
        </row>
        <row r="79">
          <cell r="C79">
            <v>2453019973</v>
          </cell>
          <cell r="E79">
            <v>5588925393</v>
          </cell>
        </row>
        <row r="80">
          <cell r="C80">
            <v>2910906539</v>
          </cell>
          <cell r="E80">
            <v>820000000</v>
          </cell>
        </row>
        <row r="81">
          <cell r="C81">
            <v>2910906590</v>
          </cell>
          <cell r="E81">
            <v>1545991766</v>
          </cell>
        </row>
        <row r="82">
          <cell r="C82">
            <v>2453018315</v>
          </cell>
          <cell r="E82">
            <v>1518787008</v>
          </cell>
        </row>
        <row r="83">
          <cell r="C83">
            <v>2910906367</v>
          </cell>
          <cell r="E83">
            <v>374355870</v>
          </cell>
        </row>
        <row r="84">
          <cell r="C84">
            <v>2453018313</v>
          </cell>
          <cell r="E84">
            <v>628722760</v>
          </cell>
        </row>
        <row r="85">
          <cell r="C85">
            <v>2910906739</v>
          </cell>
          <cell r="E85">
            <v>225600000</v>
          </cell>
        </row>
        <row r="86">
          <cell r="C86">
            <v>2910908032</v>
          </cell>
          <cell r="E86">
            <v>32706980</v>
          </cell>
        </row>
        <row r="87">
          <cell r="C87">
            <v>2910906736</v>
          </cell>
          <cell r="E87">
            <v>15250000</v>
          </cell>
        </row>
        <row r="88">
          <cell r="C88">
            <v>2910906735</v>
          </cell>
          <cell r="E88">
            <v>925000000</v>
          </cell>
        </row>
        <row r="89">
          <cell r="C89">
            <v>2910906742</v>
          </cell>
          <cell r="E89">
            <v>9259682085</v>
          </cell>
        </row>
        <row r="90">
          <cell r="C90">
            <v>2910906729</v>
          </cell>
          <cell r="E90">
            <v>336230576</v>
          </cell>
        </row>
        <row r="91">
          <cell r="C91">
            <v>2453018316</v>
          </cell>
          <cell r="E91">
            <v>950649339</v>
          </cell>
        </row>
        <row r="92">
          <cell r="C92">
            <v>2910905925</v>
          </cell>
          <cell r="E92">
            <v>278763080</v>
          </cell>
        </row>
        <row r="93">
          <cell r="C93">
            <v>2910906648</v>
          </cell>
          <cell r="E93">
            <v>220315200</v>
          </cell>
        </row>
        <row r="94">
          <cell r="C94">
            <v>2910906751</v>
          </cell>
          <cell r="E94">
            <v>78690000</v>
          </cell>
        </row>
        <row r="95">
          <cell r="C95">
            <v>2910908044</v>
          </cell>
          <cell r="E95">
            <v>29981358</v>
          </cell>
        </row>
        <row r="96">
          <cell r="C96">
            <v>2910905917</v>
          </cell>
          <cell r="E96">
            <v>345047920</v>
          </cell>
        </row>
        <row r="97">
          <cell r="C97">
            <v>2910906750</v>
          </cell>
          <cell r="E97">
            <v>2243183001</v>
          </cell>
        </row>
        <row r="98">
          <cell r="C98">
            <v>2910906767</v>
          </cell>
          <cell r="E98">
            <v>450000000</v>
          </cell>
        </row>
        <row r="99">
          <cell r="C99">
            <v>2910906748</v>
          </cell>
          <cell r="E99">
            <v>116000000</v>
          </cell>
        </row>
        <row r="100">
          <cell r="C100">
            <v>2453018317</v>
          </cell>
          <cell r="E100">
            <v>92000000</v>
          </cell>
        </row>
        <row r="101">
          <cell r="C101">
            <v>2910906328</v>
          </cell>
          <cell r="E101">
            <v>760435927</v>
          </cell>
        </row>
        <row r="102">
          <cell r="C102">
            <v>2910906120</v>
          </cell>
          <cell r="E102">
            <v>708100747</v>
          </cell>
        </row>
        <row r="103">
          <cell r="C103">
            <v>2910906753</v>
          </cell>
          <cell r="E103">
            <v>737502714</v>
          </cell>
        </row>
        <row r="104">
          <cell r="C104">
            <v>2453018321</v>
          </cell>
          <cell r="E104">
            <v>439581220</v>
          </cell>
        </row>
        <row r="105">
          <cell r="C105">
            <v>2453018323</v>
          </cell>
          <cell r="E105">
            <v>430696700</v>
          </cell>
        </row>
        <row r="106">
          <cell r="C106">
            <v>2453018324</v>
          </cell>
          <cell r="E106">
            <v>3388773098</v>
          </cell>
        </row>
        <row r="107">
          <cell r="C107">
            <v>2453018311</v>
          </cell>
          <cell r="E107">
            <v>839500000</v>
          </cell>
        </row>
        <row r="108">
          <cell r="C108">
            <v>2453018318</v>
          </cell>
          <cell r="E108">
            <v>595495040</v>
          </cell>
        </row>
        <row r="109">
          <cell r="C109">
            <v>2453018319</v>
          </cell>
          <cell r="E109">
            <v>128800000</v>
          </cell>
        </row>
        <row r="110">
          <cell r="C110">
            <v>2453018322</v>
          </cell>
          <cell r="E110">
            <v>80000000</v>
          </cell>
        </row>
        <row r="111">
          <cell r="C111">
            <v>2453018325</v>
          </cell>
          <cell r="E111">
            <v>744689120</v>
          </cell>
        </row>
        <row r="112">
          <cell r="C112">
            <v>2453018326</v>
          </cell>
          <cell r="E112">
            <v>420254100</v>
          </cell>
        </row>
        <row r="113">
          <cell r="C113">
            <v>2453018327</v>
          </cell>
          <cell r="E113">
            <v>570067542</v>
          </cell>
        </row>
        <row r="114">
          <cell r="C114">
            <v>2453018328</v>
          </cell>
          <cell r="E114">
            <v>1199922000</v>
          </cell>
        </row>
        <row r="115">
          <cell r="C115">
            <v>2453018330</v>
          </cell>
          <cell r="E115">
            <v>2419332150</v>
          </cell>
        </row>
        <row r="116">
          <cell r="C116">
            <v>2910901157</v>
          </cell>
          <cell r="E116">
            <v>126000000</v>
          </cell>
        </row>
        <row r="117">
          <cell r="C117">
            <v>2910906733</v>
          </cell>
          <cell r="E117">
            <v>35000000</v>
          </cell>
        </row>
        <row r="118">
          <cell r="C118">
            <v>2910906734</v>
          </cell>
          <cell r="E118">
            <v>39028000</v>
          </cell>
        </row>
        <row r="119">
          <cell r="C119">
            <v>2910906737</v>
          </cell>
          <cell r="E119">
            <v>50000000</v>
          </cell>
        </row>
        <row r="120">
          <cell r="C120">
            <v>2910906740</v>
          </cell>
          <cell r="E120">
            <v>53704000</v>
          </cell>
        </row>
        <row r="121">
          <cell r="C121">
            <v>2910906746</v>
          </cell>
          <cell r="E121">
            <v>450000000</v>
          </cell>
        </row>
        <row r="122">
          <cell r="C122">
            <v>2910906749</v>
          </cell>
          <cell r="E122">
            <v>131051000</v>
          </cell>
        </row>
        <row r="123">
          <cell r="C123">
            <v>2910906752</v>
          </cell>
          <cell r="E123">
            <v>858400000</v>
          </cell>
        </row>
        <row r="124">
          <cell r="C124">
            <v>2910906754</v>
          </cell>
          <cell r="E124">
            <v>72667000</v>
          </cell>
        </row>
        <row r="125">
          <cell r="C125">
            <v>2910906755</v>
          </cell>
          <cell r="E125">
            <v>60000000</v>
          </cell>
        </row>
        <row r="126">
          <cell r="C126">
            <v>2910906756</v>
          </cell>
          <cell r="E126">
            <v>2844873087</v>
          </cell>
        </row>
        <row r="127">
          <cell r="C127">
            <v>2910906759</v>
          </cell>
          <cell r="E127">
            <v>70000000</v>
          </cell>
        </row>
        <row r="128">
          <cell r="C128">
            <v>2910906760</v>
          </cell>
          <cell r="E128">
            <v>94999200</v>
          </cell>
        </row>
        <row r="129">
          <cell r="C129">
            <v>2910906761</v>
          </cell>
          <cell r="E129">
            <v>21000000</v>
          </cell>
        </row>
        <row r="130">
          <cell r="C130">
            <v>2910906762</v>
          </cell>
          <cell r="E130">
            <v>20000000</v>
          </cell>
        </row>
        <row r="131">
          <cell r="C131">
            <v>2910906763</v>
          </cell>
          <cell r="E131">
            <v>100000000</v>
          </cell>
        </row>
        <row r="132">
          <cell r="C132">
            <v>2910906764</v>
          </cell>
          <cell r="E132">
            <v>114000000</v>
          </cell>
        </row>
        <row r="133">
          <cell r="C133">
            <v>2910906765</v>
          </cell>
          <cell r="E133">
            <v>81450000</v>
          </cell>
        </row>
        <row r="134">
          <cell r="C134">
            <v>2910906766</v>
          </cell>
          <cell r="E134">
            <v>39600000</v>
          </cell>
        </row>
        <row r="135">
          <cell r="C135">
            <v>2910906768</v>
          </cell>
          <cell r="E135">
            <v>205490000</v>
          </cell>
        </row>
        <row r="136">
          <cell r="C136">
            <v>2910906769</v>
          </cell>
          <cell r="E136">
            <v>483310000</v>
          </cell>
        </row>
        <row r="137">
          <cell r="C137">
            <v>2910906770</v>
          </cell>
          <cell r="E137">
            <v>276617170</v>
          </cell>
        </row>
        <row r="138">
          <cell r="C138">
            <v>2910906773</v>
          </cell>
          <cell r="E138">
            <v>248617174</v>
          </cell>
        </row>
        <row r="139">
          <cell r="C139">
            <v>2910906776</v>
          </cell>
          <cell r="E139">
            <v>150000000</v>
          </cell>
        </row>
        <row r="140">
          <cell r="C140">
            <v>2910908040</v>
          </cell>
          <cell r="E140">
            <v>92700000</v>
          </cell>
        </row>
        <row r="141">
          <cell r="C141">
            <v>2910906777</v>
          </cell>
          <cell r="E141">
            <v>1162897960</v>
          </cell>
        </row>
        <row r="142">
          <cell r="C142">
            <v>2910906779</v>
          </cell>
          <cell r="E142">
            <v>39000000</v>
          </cell>
        </row>
        <row r="143">
          <cell r="C143">
            <v>2910906667</v>
          </cell>
          <cell r="E143">
            <v>18480000</v>
          </cell>
        </row>
        <row r="144">
          <cell r="C144">
            <v>2910906771</v>
          </cell>
          <cell r="E144">
            <v>22500000</v>
          </cell>
        </row>
        <row r="145">
          <cell r="C145">
            <v>2910906780</v>
          </cell>
          <cell r="E145">
            <v>39000000</v>
          </cell>
        </row>
        <row r="146">
          <cell r="C146">
            <v>2453010950</v>
          </cell>
          <cell r="E146">
            <v>941984000</v>
          </cell>
        </row>
        <row r="147">
          <cell r="C147">
            <v>2910906778</v>
          </cell>
          <cell r="E147">
            <v>20000000</v>
          </cell>
        </row>
        <row r="148">
          <cell r="C148">
            <v>2910906784</v>
          </cell>
          <cell r="E148">
            <v>515544715</v>
          </cell>
        </row>
        <row r="149">
          <cell r="C149">
            <v>2453018329</v>
          </cell>
          <cell r="E149">
            <v>23000000</v>
          </cell>
        </row>
        <row r="150">
          <cell r="C150">
            <v>2910906787</v>
          </cell>
          <cell r="E150">
            <v>120252560</v>
          </cell>
        </row>
        <row r="151">
          <cell r="C151">
            <v>2910908043</v>
          </cell>
          <cell r="E151">
            <v>10909669</v>
          </cell>
        </row>
        <row r="152">
          <cell r="C152">
            <v>2453017502</v>
          </cell>
          <cell r="E152">
            <v>5408592000</v>
          </cell>
        </row>
        <row r="153">
          <cell r="C153">
            <v>2910906525</v>
          </cell>
          <cell r="E153">
            <v>584246639</v>
          </cell>
        </row>
        <row r="154">
          <cell r="C154">
            <v>2910906790</v>
          </cell>
          <cell r="E154">
            <v>1523800000</v>
          </cell>
        </row>
        <row r="155">
          <cell r="C155">
            <v>2910906772</v>
          </cell>
          <cell r="E155">
            <v>186462878</v>
          </cell>
        </row>
        <row r="156">
          <cell r="C156">
            <v>2910906259</v>
          </cell>
          <cell r="E156">
            <v>415656885</v>
          </cell>
        </row>
        <row r="157">
          <cell r="C157">
            <v>2453018336</v>
          </cell>
          <cell r="E157">
            <v>696232978</v>
          </cell>
        </row>
        <row r="158">
          <cell r="C158">
            <v>2453018332</v>
          </cell>
          <cell r="E158">
            <v>1548681070</v>
          </cell>
        </row>
        <row r="159">
          <cell r="C159">
            <v>2910906781</v>
          </cell>
          <cell r="E159">
            <v>98000000</v>
          </cell>
        </row>
        <row r="160">
          <cell r="C160">
            <v>2910906788</v>
          </cell>
          <cell r="E160">
            <v>3667790640</v>
          </cell>
        </row>
        <row r="161">
          <cell r="C161">
            <v>2910906758</v>
          </cell>
          <cell r="E161">
            <v>660783000</v>
          </cell>
        </row>
        <row r="162">
          <cell r="C162">
            <v>2910906503</v>
          </cell>
          <cell r="E162">
            <v>168167606</v>
          </cell>
        </row>
        <row r="163">
          <cell r="C163">
            <v>2910906786</v>
          </cell>
          <cell r="E163">
            <v>61475000</v>
          </cell>
        </row>
        <row r="164">
          <cell r="C164">
            <v>2353018337</v>
          </cell>
          <cell r="E164">
            <v>1746041438</v>
          </cell>
        </row>
        <row r="165">
          <cell r="C165">
            <v>2453018331</v>
          </cell>
          <cell r="E165">
            <v>1079098616</v>
          </cell>
        </row>
        <row r="166">
          <cell r="C166">
            <v>2910906775</v>
          </cell>
          <cell r="E166">
            <v>423000000</v>
          </cell>
        </row>
        <row r="167">
          <cell r="C167">
            <v>2453018335</v>
          </cell>
          <cell r="E167">
            <v>326400000</v>
          </cell>
        </row>
        <row r="168">
          <cell r="C168">
            <v>2910906785</v>
          </cell>
          <cell r="E168">
            <v>5617920000</v>
          </cell>
        </row>
        <row r="169">
          <cell r="C169">
            <v>2453018338</v>
          </cell>
          <cell r="E169">
            <v>75000000</v>
          </cell>
        </row>
        <row r="170">
          <cell r="C170">
            <v>2910906789</v>
          </cell>
          <cell r="E170">
            <v>9124262365</v>
          </cell>
        </row>
        <row r="171">
          <cell r="C171">
            <v>2910907209</v>
          </cell>
          <cell r="E171">
            <v>170000000</v>
          </cell>
        </row>
        <row r="172">
          <cell r="C172">
            <v>2910906799</v>
          </cell>
          <cell r="E172">
            <v>70000000</v>
          </cell>
        </row>
        <row r="173">
          <cell r="C173">
            <v>2910906798</v>
          </cell>
          <cell r="E173">
            <v>43000000</v>
          </cell>
        </row>
        <row r="174">
          <cell r="C174">
            <v>2910907201</v>
          </cell>
          <cell r="E174">
            <v>70000000</v>
          </cell>
        </row>
        <row r="175">
          <cell r="C175">
            <v>2910906796</v>
          </cell>
          <cell r="E175">
            <v>1980959670</v>
          </cell>
        </row>
        <row r="176">
          <cell r="C176">
            <v>2910907204</v>
          </cell>
          <cell r="E176">
            <v>35000000</v>
          </cell>
        </row>
        <row r="177">
          <cell r="C177">
            <v>2453018305</v>
          </cell>
          <cell r="E177">
            <v>367496237</v>
          </cell>
        </row>
        <row r="178">
          <cell r="C178">
            <v>2910907208</v>
          </cell>
          <cell r="E178">
            <v>52000000</v>
          </cell>
        </row>
        <row r="179">
          <cell r="C179">
            <v>2910906793</v>
          </cell>
          <cell r="E179">
            <v>152489124</v>
          </cell>
        </row>
        <row r="180">
          <cell r="C180">
            <v>2910908053</v>
          </cell>
          <cell r="E180">
            <v>331273500</v>
          </cell>
        </row>
        <row r="181">
          <cell r="C181">
            <v>2910906233</v>
          </cell>
          <cell r="E181">
            <v>801237000</v>
          </cell>
        </row>
        <row r="182">
          <cell r="C182">
            <v>2910908007</v>
          </cell>
          <cell r="E182">
            <v>5254500</v>
          </cell>
        </row>
        <row r="183">
          <cell r="C183">
            <v>2910908016</v>
          </cell>
          <cell r="E183">
            <v>25096800</v>
          </cell>
        </row>
        <row r="184">
          <cell r="C184">
            <v>2910908034</v>
          </cell>
          <cell r="E184">
            <v>10640000</v>
          </cell>
        </row>
        <row r="185">
          <cell r="C185">
            <v>2910907203</v>
          </cell>
          <cell r="E185">
            <v>89157600</v>
          </cell>
        </row>
        <row r="186">
          <cell r="C186">
            <v>2910908339</v>
          </cell>
          <cell r="E186">
            <v>492800000</v>
          </cell>
        </row>
        <row r="187">
          <cell r="C187">
            <v>2910907205</v>
          </cell>
          <cell r="E187">
            <v>15000000</v>
          </cell>
        </row>
        <row r="188">
          <cell r="C188">
            <v>2910907206</v>
          </cell>
          <cell r="E188">
            <v>15000000</v>
          </cell>
        </row>
        <row r="189">
          <cell r="C189">
            <v>2910907207</v>
          </cell>
          <cell r="E189">
            <v>15000000</v>
          </cell>
        </row>
        <row r="190">
          <cell r="C190">
            <v>2910907210</v>
          </cell>
          <cell r="E190">
            <v>126000000</v>
          </cell>
        </row>
        <row r="191">
          <cell r="C191">
            <v>2910907212</v>
          </cell>
          <cell r="E191">
            <v>835350000</v>
          </cell>
        </row>
        <row r="192">
          <cell r="C192">
            <v>2910908061</v>
          </cell>
          <cell r="E192">
            <v>76776000</v>
          </cell>
        </row>
        <row r="193">
          <cell r="C193">
            <v>2910908063</v>
          </cell>
          <cell r="E193">
            <v>20000000</v>
          </cell>
        </row>
        <row r="194">
          <cell r="C194">
            <v>2910908340</v>
          </cell>
          <cell r="E194">
            <v>5029012761</v>
          </cell>
        </row>
        <row r="195">
          <cell r="C195">
            <v>2910907223</v>
          </cell>
          <cell r="E195">
            <v>11000088770</v>
          </cell>
        </row>
        <row r="196">
          <cell r="C196">
            <v>2910908067</v>
          </cell>
          <cell r="E196">
            <v>168850000</v>
          </cell>
        </row>
        <row r="197">
          <cell r="C197">
            <v>2910908060</v>
          </cell>
          <cell r="E197">
            <v>411529874</v>
          </cell>
        </row>
        <row r="198">
          <cell r="C198">
            <v>2910907214</v>
          </cell>
          <cell r="E198">
            <v>173532800</v>
          </cell>
        </row>
        <row r="199">
          <cell r="C199">
            <v>2910906797</v>
          </cell>
          <cell r="E199">
            <v>349990900</v>
          </cell>
        </row>
        <row r="200">
          <cell r="C200">
            <v>2910907221</v>
          </cell>
          <cell r="E200">
            <v>242915000</v>
          </cell>
        </row>
        <row r="201">
          <cell r="C201">
            <v>2910907218</v>
          </cell>
          <cell r="E201">
            <v>35000000</v>
          </cell>
        </row>
        <row r="202">
          <cell r="C202">
            <v>2910908062</v>
          </cell>
          <cell r="E202">
            <v>118762000</v>
          </cell>
        </row>
        <row r="203">
          <cell r="C203">
            <v>2910907226</v>
          </cell>
          <cell r="E203">
            <v>27000000</v>
          </cell>
        </row>
        <row r="204">
          <cell r="C204">
            <v>2910908341</v>
          </cell>
          <cell r="E204">
            <v>29000000</v>
          </cell>
        </row>
        <row r="205">
          <cell r="C205">
            <v>2453018337</v>
          </cell>
          <cell r="E205">
            <v>1746041438</v>
          </cell>
        </row>
        <row r="206">
          <cell r="C206">
            <v>2910907211</v>
          </cell>
          <cell r="E206">
            <v>690000000</v>
          </cell>
        </row>
        <row r="207">
          <cell r="C207">
            <v>2910908071</v>
          </cell>
          <cell r="E207">
            <v>201985330</v>
          </cell>
        </row>
        <row r="208">
          <cell r="C208">
            <v>2910908064</v>
          </cell>
          <cell r="E208">
            <v>9650000</v>
          </cell>
        </row>
        <row r="209">
          <cell r="C209">
            <v>2910907213</v>
          </cell>
          <cell r="E209">
            <v>108553760</v>
          </cell>
        </row>
        <row r="210">
          <cell r="C210">
            <v>2453018340</v>
          </cell>
          <cell r="E210">
            <v>7253407050</v>
          </cell>
        </row>
        <row r="211">
          <cell r="C211">
            <v>2910908076</v>
          </cell>
          <cell r="E211">
            <v>26650000</v>
          </cell>
        </row>
        <row r="212">
          <cell r="C212">
            <v>2910908065</v>
          </cell>
          <cell r="E212">
            <v>45900000</v>
          </cell>
        </row>
        <row r="213">
          <cell r="C213">
            <v>2910908047</v>
          </cell>
          <cell r="E213">
            <v>19079046</v>
          </cell>
        </row>
        <row r="214">
          <cell r="C214">
            <v>2910906122</v>
          </cell>
          <cell r="E214">
            <v>659951541</v>
          </cell>
        </row>
        <row r="215">
          <cell r="C215">
            <v>2910907224</v>
          </cell>
          <cell r="E215">
            <v>226521190</v>
          </cell>
        </row>
        <row r="216">
          <cell r="C216">
            <v>2910906154</v>
          </cell>
          <cell r="E216">
            <v>32400000</v>
          </cell>
        </row>
        <row r="217">
          <cell r="C217">
            <v>2453018342</v>
          </cell>
          <cell r="E217">
            <v>678090000</v>
          </cell>
        </row>
        <row r="218">
          <cell r="C218">
            <v>2453018343</v>
          </cell>
          <cell r="E218">
            <v>243781000</v>
          </cell>
        </row>
        <row r="219">
          <cell r="C219">
            <v>2910906792</v>
          </cell>
          <cell r="E219">
            <v>7014816</v>
          </cell>
        </row>
        <row r="220">
          <cell r="C220">
            <v>2910907222</v>
          </cell>
          <cell r="E220">
            <v>390823000</v>
          </cell>
        </row>
        <row r="221">
          <cell r="C221">
            <v>2453018347</v>
          </cell>
          <cell r="E221">
            <v>2033323757</v>
          </cell>
        </row>
        <row r="222">
          <cell r="C222">
            <v>2910906255</v>
          </cell>
          <cell r="E222">
            <v>193760000</v>
          </cell>
        </row>
        <row r="223">
          <cell r="C223">
            <v>2910908059</v>
          </cell>
          <cell r="E223">
            <v>9500000</v>
          </cell>
        </row>
        <row r="224">
          <cell r="C224">
            <v>2910907234</v>
          </cell>
          <cell r="E224">
            <v>255000000</v>
          </cell>
        </row>
        <row r="225">
          <cell r="C225">
            <v>2910907230</v>
          </cell>
          <cell r="E225">
            <v>75600000</v>
          </cell>
        </row>
        <row r="226">
          <cell r="C226">
            <v>2910907225</v>
          </cell>
          <cell r="E226">
            <v>247000000</v>
          </cell>
        </row>
        <row r="227">
          <cell r="C227">
            <v>2910907231</v>
          </cell>
          <cell r="E227">
            <v>7055787001</v>
          </cell>
        </row>
        <row r="228">
          <cell r="C228" t="str">
            <v>2910906720</v>
          </cell>
          <cell r="E228">
            <v>135000000</v>
          </cell>
        </row>
        <row r="229">
          <cell r="C229">
            <v>2910907247</v>
          </cell>
          <cell r="E229">
            <v>797983995</v>
          </cell>
        </row>
        <row r="230">
          <cell r="C230">
            <v>2910907235</v>
          </cell>
          <cell r="E230">
            <v>195267045</v>
          </cell>
        </row>
        <row r="231">
          <cell r="C231">
            <v>2453018349</v>
          </cell>
          <cell r="E231">
            <v>2759044522</v>
          </cell>
        </row>
        <row r="232">
          <cell r="C232">
            <v>2453018348</v>
          </cell>
          <cell r="E232">
            <v>3652668243</v>
          </cell>
        </row>
        <row r="233">
          <cell r="C233">
            <v>2910908081</v>
          </cell>
          <cell r="E233">
            <v>220177700</v>
          </cell>
        </row>
        <row r="234">
          <cell r="C234">
            <v>2910908082</v>
          </cell>
          <cell r="E234">
            <v>40600000</v>
          </cell>
        </row>
        <row r="235">
          <cell r="C235">
            <v>2453018351</v>
          </cell>
          <cell r="E235">
            <v>1229752235</v>
          </cell>
        </row>
        <row r="236">
          <cell r="C236">
            <v>2910907236</v>
          </cell>
          <cell r="E236">
            <v>785300000</v>
          </cell>
        </row>
        <row r="237">
          <cell r="C237">
            <v>2910907229</v>
          </cell>
          <cell r="E237">
            <v>1995501200</v>
          </cell>
        </row>
        <row r="238">
          <cell r="C238">
            <v>2910907243</v>
          </cell>
          <cell r="E238">
            <v>370000000</v>
          </cell>
        </row>
        <row r="239">
          <cell r="C239">
            <v>2910905946</v>
          </cell>
          <cell r="E239">
            <v>69720000</v>
          </cell>
        </row>
        <row r="240">
          <cell r="C240">
            <v>2910907233</v>
          </cell>
          <cell r="E240">
            <v>21856311</v>
          </cell>
        </row>
        <row r="241">
          <cell r="C241">
            <v>2453018350</v>
          </cell>
          <cell r="E241">
            <v>16284654500</v>
          </cell>
        </row>
        <row r="242">
          <cell r="C242">
            <v>2910907281</v>
          </cell>
          <cell r="E242">
            <v>1291654128</v>
          </cell>
        </row>
        <row r="243">
          <cell r="C243">
            <v>2910907275</v>
          </cell>
          <cell r="E243">
            <v>3000000</v>
          </cell>
        </row>
        <row r="244">
          <cell r="C244">
            <v>2910907286</v>
          </cell>
          <cell r="E244">
            <v>5000000</v>
          </cell>
        </row>
        <row r="245">
          <cell r="C245">
            <v>2910907248</v>
          </cell>
          <cell r="E245">
            <v>920810240</v>
          </cell>
        </row>
        <row r="246">
          <cell r="C246">
            <v>2453018352</v>
          </cell>
          <cell r="E246">
            <v>5189063824</v>
          </cell>
        </row>
        <row r="247">
          <cell r="C247">
            <v>2910906138</v>
          </cell>
          <cell r="E247">
            <v>21549139</v>
          </cell>
        </row>
        <row r="248">
          <cell r="C248">
            <v>2910907276</v>
          </cell>
          <cell r="E248">
            <v>3000000</v>
          </cell>
        </row>
        <row r="249">
          <cell r="C249">
            <v>2910907250</v>
          </cell>
          <cell r="E249">
            <v>30000000</v>
          </cell>
        </row>
        <row r="250">
          <cell r="C250">
            <v>2910907251</v>
          </cell>
          <cell r="E250">
            <v>30000000</v>
          </cell>
        </row>
        <row r="251">
          <cell r="C251">
            <v>2910907253</v>
          </cell>
          <cell r="E251">
            <v>30000000</v>
          </cell>
        </row>
        <row r="252">
          <cell r="C252">
            <v>2910907256</v>
          </cell>
          <cell r="E252">
            <v>28000000</v>
          </cell>
        </row>
        <row r="253">
          <cell r="C253">
            <v>2910907252</v>
          </cell>
          <cell r="E253">
            <v>31800000</v>
          </cell>
        </row>
        <row r="254">
          <cell r="C254">
            <v>2910907287</v>
          </cell>
          <cell r="E254">
            <v>28000000</v>
          </cell>
        </row>
        <row r="255">
          <cell r="C255">
            <v>2910907239</v>
          </cell>
          <cell r="E255">
            <v>80000000</v>
          </cell>
        </row>
        <row r="256">
          <cell r="C256">
            <v>2910908074</v>
          </cell>
          <cell r="E256">
            <v>18323356</v>
          </cell>
        </row>
        <row r="257">
          <cell r="C257">
            <v>2910908075</v>
          </cell>
          <cell r="E257">
            <v>85315200</v>
          </cell>
        </row>
        <row r="258">
          <cell r="C258">
            <v>2910908080</v>
          </cell>
          <cell r="E258">
            <v>14059200</v>
          </cell>
        </row>
        <row r="259">
          <cell r="C259">
            <v>2910908079</v>
          </cell>
          <cell r="E259">
            <v>204784660</v>
          </cell>
        </row>
        <row r="260">
          <cell r="C260">
            <v>2910908083</v>
          </cell>
          <cell r="E260">
            <v>47560000</v>
          </cell>
        </row>
        <row r="261">
          <cell r="C261">
            <v>2910907261</v>
          </cell>
          <cell r="E261">
            <v>10000000</v>
          </cell>
        </row>
        <row r="262">
          <cell r="C262">
            <v>2910907279</v>
          </cell>
          <cell r="E262">
            <v>400000000</v>
          </cell>
        </row>
        <row r="263">
          <cell r="C263">
            <v>2910907259</v>
          </cell>
          <cell r="E263">
            <v>5000000</v>
          </cell>
        </row>
        <row r="264">
          <cell r="C264">
            <v>2910907255</v>
          </cell>
          <cell r="E264">
            <v>33000000</v>
          </cell>
        </row>
        <row r="265">
          <cell r="C265">
            <v>2910907280</v>
          </cell>
          <cell r="E265">
            <v>500000000</v>
          </cell>
        </row>
        <row r="266">
          <cell r="C266">
            <v>2910907288</v>
          </cell>
          <cell r="E266">
            <v>3000000</v>
          </cell>
        </row>
        <row r="267">
          <cell r="C267">
            <v>2910907244</v>
          </cell>
          <cell r="E267">
            <v>50000000</v>
          </cell>
        </row>
        <row r="268">
          <cell r="C268">
            <v>2910907238</v>
          </cell>
          <cell r="E268">
            <v>18227793312</v>
          </cell>
        </row>
        <row r="269">
          <cell r="C269">
            <v>2453018345</v>
          </cell>
          <cell r="E269">
            <v>483200000</v>
          </cell>
        </row>
        <row r="270">
          <cell r="C270">
            <v>2910907249</v>
          </cell>
          <cell r="E270">
            <v>65500000</v>
          </cell>
        </row>
        <row r="271">
          <cell r="C271">
            <v>2910907227</v>
          </cell>
          <cell r="E271">
            <v>187400000</v>
          </cell>
        </row>
        <row r="272">
          <cell r="C272">
            <v>2910907232</v>
          </cell>
          <cell r="E272">
            <v>643456583</v>
          </cell>
        </row>
        <row r="273">
          <cell r="C273">
            <v>2910907241</v>
          </cell>
          <cell r="E273">
            <v>399151141</v>
          </cell>
        </row>
        <row r="274">
          <cell r="C274">
            <v>2910906743</v>
          </cell>
          <cell r="E274">
            <v>577046931</v>
          </cell>
        </row>
        <row r="275">
          <cell r="C275">
            <v>2910907246</v>
          </cell>
          <cell r="E275">
            <v>2750500000</v>
          </cell>
        </row>
        <row r="276">
          <cell r="C276">
            <v>2910907290</v>
          </cell>
          <cell r="E276">
            <v>318870136</v>
          </cell>
        </row>
        <row r="277">
          <cell r="C277">
            <v>2910907278</v>
          </cell>
          <cell r="E277">
            <v>3000000</v>
          </cell>
        </row>
        <row r="278">
          <cell r="C278">
            <v>2910907265</v>
          </cell>
          <cell r="E278">
            <v>3000000</v>
          </cell>
        </row>
        <row r="279">
          <cell r="C279">
            <v>2910907258</v>
          </cell>
          <cell r="E279">
            <v>6000000</v>
          </cell>
        </row>
        <row r="280">
          <cell r="C280">
            <v>2910907297</v>
          </cell>
          <cell r="E280">
            <v>10000000</v>
          </cell>
        </row>
        <row r="281">
          <cell r="C281">
            <v>2910908087</v>
          </cell>
          <cell r="E281">
            <v>12251100</v>
          </cell>
        </row>
        <row r="282">
          <cell r="C282">
            <v>2910907291</v>
          </cell>
          <cell r="E282">
            <v>335000000</v>
          </cell>
        </row>
        <row r="283">
          <cell r="C283">
            <v>2910907296</v>
          </cell>
          <cell r="E283">
            <v>30000000</v>
          </cell>
        </row>
        <row r="284">
          <cell r="C284">
            <v>2910907283</v>
          </cell>
          <cell r="E284">
            <v>43000000</v>
          </cell>
        </row>
        <row r="285">
          <cell r="C285">
            <v>2910907282</v>
          </cell>
          <cell r="E285">
            <v>70000000</v>
          </cell>
        </row>
        <row r="286">
          <cell r="C286">
            <v>2910908085</v>
          </cell>
          <cell r="E286">
            <v>159900000</v>
          </cell>
        </row>
        <row r="287">
          <cell r="C287">
            <v>2910908090</v>
          </cell>
          <cell r="E287">
            <v>22820000</v>
          </cell>
        </row>
        <row r="288">
          <cell r="C288">
            <v>2910907240</v>
          </cell>
          <cell r="E288">
            <v>25000000</v>
          </cell>
        </row>
        <row r="289">
          <cell r="C289">
            <v>2453018355</v>
          </cell>
          <cell r="E289">
            <v>1960924800</v>
          </cell>
        </row>
        <row r="290">
          <cell r="C290">
            <v>2910907305</v>
          </cell>
          <cell r="E290">
            <v>16023830031</v>
          </cell>
        </row>
        <row r="291">
          <cell r="C291">
            <v>2453013403</v>
          </cell>
          <cell r="E291">
            <v>100000000</v>
          </cell>
        </row>
        <row r="292">
          <cell r="C292">
            <v>2910907242</v>
          </cell>
          <cell r="E292">
            <v>40000000</v>
          </cell>
        </row>
        <row r="293">
          <cell r="C293">
            <v>2910907301</v>
          </cell>
          <cell r="E293">
            <v>40000000</v>
          </cell>
        </row>
        <row r="294">
          <cell r="C294">
            <v>2453018353</v>
          </cell>
          <cell r="E294">
            <v>70000000</v>
          </cell>
        </row>
        <row r="295">
          <cell r="C295">
            <v>2453018360</v>
          </cell>
          <cell r="E295">
            <v>623455500</v>
          </cell>
        </row>
        <row r="296">
          <cell r="C296">
            <v>2453018362</v>
          </cell>
          <cell r="E296">
            <v>56400000</v>
          </cell>
        </row>
        <row r="297">
          <cell r="C297">
            <v>2910907308</v>
          </cell>
          <cell r="E297">
            <v>25000000</v>
          </cell>
        </row>
        <row r="298">
          <cell r="C298">
            <v>2910907306</v>
          </cell>
          <cell r="E298">
            <v>150000000</v>
          </cell>
        </row>
        <row r="299">
          <cell r="C299">
            <v>2910907295</v>
          </cell>
          <cell r="E299">
            <v>2000000</v>
          </cell>
        </row>
        <row r="300">
          <cell r="C300">
            <v>2910908095</v>
          </cell>
          <cell r="E300">
            <v>41756000</v>
          </cell>
        </row>
        <row r="301">
          <cell r="C301">
            <v>2910908096</v>
          </cell>
          <cell r="E301">
            <v>40000000</v>
          </cell>
        </row>
        <row r="302">
          <cell r="C302">
            <v>2453018359</v>
          </cell>
          <cell r="E302">
            <v>509286400</v>
          </cell>
        </row>
        <row r="303">
          <cell r="C303">
            <v>2910907314</v>
          </cell>
          <cell r="E303">
            <v>60000000</v>
          </cell>
        </row>
        <row r="304">
          <cell r="C304">
            <v>2910907303</v>
          </cell>
          <cell r="E304">
            <v>1870184774</v>
          </cell>
        </row>
        <row r="305">
          <cell r="C305">
            <v>2453018354</v>
          </cell>
          <cell r="E305">
            <v>330437363</v>
          </cell>
        </row>
        <row r="306">
          <cell r="C306">
            <v>2910908093</v>
          </cell>
          <cell r="E306">
            <v>36500000</v>
          </cell>
        </row>
        <row r="307">
          <cell r="C307">
            <v>2910907299</v>
          </cell>
          <cell r="E307">
            <v>40000000</v>
          </cell>
        </row>
        <row r="308">
          <cell r="C308">
            <v>2910908091</v>
          </cell>
          <cell r="E308">
            <v>21600000</v>
          </cell>
        </row>
        <row r="310">
          <cell r="E310"/>
        </row>
        <row r="311">
          <cell r="E311"/>
        </row>
        <row r="312">
          <cell r="E312"/>
        </row>
        <row r="313">
          <cell r="E313"/>
        </row>
        <row r="314">
          <cell r="E314"/>
        </row>
        <row r="315">
          <cell r="E315"/>
        </row>
        <row r="316">
          <cell r="E316"/>
        </row>
        <row r="317">
          <cell r="E317"/>
        </row>
        <row r="318">
          <cell r="E318"/>
        </row>
        <row r="319">
          <cell r="E319"/>
        </row>
        <row r="320">
          <cell r="E320"/>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A584-CB26-4C27-B5FE-8C637FCF7B70}">
  <dimension ref="A1:X1103"/>
  <sheetViews>
    <sheetView zoomScale="80" zoomScaleNormal="80" workbookViewId="0">
      <pane xSplit="5" ySplit="1" topLeftCell="F1072" activePane="bottomRight" state="frozen"/>
      <selection pane="topRight" activeCell="D1" sqref="D1"/>
      <selection pane="bottomLeft" activeCell="A4" sqref="A4"/>
      <selection pane="bottomRight" activeCell="E1088" sqref="E1088"/>
    </sheetView>
  </sheetViews>
  <sheetFormatPr baseColWidth="10" defaultColWidth="11.42578125" defaultRowHeight="15" x14ac:dyDescent="0.25"/>
  <cols>
    <col min="1" max="1" width="31.7109375" bestFit="1" customWidth="1"/>
    <col min="2" max="2" width="16.7109375" style="6" customWidth="1"/>
    <col min="3" max="3" width="14.28515625" style="46" bestFit="1" customWidth="1"/>
    <col min="4" max="4" width="9.28515625" style="47" bestFit="1" customWidth="1"/>
    <col min="5" max="5" width="16.42578125" style="48" bestFit="1" customWidth="1"/>
    <col min="6" max="6" width="79.140625" customWidth="1"/>
    <col min="7" max="7" width="26.5703125" style="2" bestFit="1" customWidth="1"/>
    <col min="8" max="8" width="18" style="2" bestFit="1" customWidth="1"/>
    <col min="9" max="9" width="14.28515625" style="2" customWidth="1"/>
    <col min="10" max="10" width="10" style="2" bestFit="1" customWidth="1"/>
    <col min="11" max="11" width="19.7109375" style="2" customWidth="1"/>
    <col min="12" max="12" width="17.5703125" style="2" customWidth="1"/>
    <col min="13" max="13" width="26.7109375" style="3" customWidth="1"/>
    <col min="14" max="14" width="17.7109375" bestFit="1" customWidth="1"/>
    <col min="15" max="15" width="16.7109375" style="48" bestFit="1" customWidth="1"/>
    <col min="16" max="16" width="39.28515625" bestFit="1" customWidth="1"/>
    <col min="17" max="17" width="15.7109375" style="56" customWidth="1"/>
    <col min="18" max="18" width="17.7109375" style="48" bestFit="1" customWidth="1"/>
    <col min="19" max="21" width="12.28515625" style="56" customWidth="1"/>
    <col min="22" max="22" width="16.5703125" style="49" bestFit="1" customWidth="1"/>
    <col min="23" max="23" width="19.5703125" bestFit="1" customWidth="1"/>
    <col min="24" max="24" width="255.7109375" bestFit="1" customWidth="1"/>
    <col min="25" max="25" width="16.7109375" bestFit="1" customWidth="1"/>
  </cols>
  <sheetData>
    <row r="1" spans="1:24" s="33" customFormat="1" ht="24" x14ac:dyDescent="0.25">
      <c r="A1" s="1" t="s">
        <v>0</v>
      </c>
      <c r="B1" s="24" t="s">
        <v>1</v>
      </c>
      <c r="C1" s="25" t="s">
        <v>2</v>
      </c>
      <c r="D1" s="26" t="s">
        <v>3</v>
      </c>
      <c r="E1" s="27" t="s">
        <v>4</v>
      </c>
      <c r="F1" s="26" t="s">
        <v>5</v>
      </c>
      <c r="G1" s="26" t="s">
        <v>6</v>
      </c>
      <c r="H1" s="26" t="s">
        <v>7</v>
      </c>
      <c r="I1" s="28" t="s">
        <v>8</v>
      </c>
      <c r="J1" s="28"/>
      <c r="K1" s="26" t="s">
        <v>9</v>
      </c>
      <c r="L1" s="29" t="s">
        <v>10</v>
      </c>
      <c r="M1" s="30" t="s">
        <v>11</v>
      </c>
      <c r="N1" s="31" t="s">
        <v>12</v>
      </c>
      <c r="O1" s="32" t="s">
        <v>13</v>
      </c>
      <c r="P1" s="26"/>
      <c r="Q1" s="54" t="s">
        <v>14</v>
      </c>
      <c r="R1" s="32" t="s">
        <v>15</v>
      </c>
      <c r="S1" s="54" t="s">
        <v>16</v>
      </c>
      <c r="T1" s="54" t="s">
        <v>17</v>
      </c>
      <c r="U1" s="54" t="s">
        <v>18</v>
      </c>
      <c r="V1" s="26" t="s">
        <v>19</v>
      </c>
      <c r="W1" s="29" t="s">
        <v>20</v>
      </c>
      <c r="X1" s="26" t="s">
        <v>21</v>
      </c>
    </row>
    <row r="2" spans="1:24" ht="17.45" customHeight="1" x14ac:dyDescent="0.25">
      <c r="A2" t="str">
        <f>_xlfn.CONCAT(E2,W2,L2)</f>
        <v>291090640144222611712530,330077</v>
      </c>
      <c r="B2" s="6">
        <f t="shared" ref="B2:B65" si="0">_xlfn.MAXIFS(W:W,E:E,E2)</f>
        <v>45957</v>
      </c>
      <c r="C2" s="3">
        <f t="shared" ref="C2:C65" si="1">_xlfn.MAXIFS(L:L,E:E,E2)</f>
        <v>678878080.30633903</v>
      </c>
      <c r="D2" s="34">
        <v>2021</v>
      </c>
      <c r="E2" s="35">
        <v>2910906401</v>
      </c>
      <c r="F2" s="36" t="s">
        <v>22</v>
      </c>
      <c r="G2" s="37">
        <v>5623455339</v>
      </c>
      <c r="H2" s="37">
        <v>674814641</v>
      </c>
      <c r="I2" s="38">
        <f t="shared" ref="I2:I14" si="2">+H2/G2</f>
        <v>0.12000000005690452</v>
      </c>
      <c r="J2" s="38"/>
      <c r="K2" s="37">
        <v>5097604417</v>
      </c>
      <c r="L2" s="37">
        <f t="shared" ref="L2:L10" si="3">+K2*I2</f>
        <v>611712530.33007669</v>
      </c>
      <c r="M2" s="39">
        <v>611712530</v>
      </c>
      <c r="N2" s="37">
        <v>63102111</v>
      </c>
      <c r="O2" s="40">
        <f>+N2</f>
        <v>63102111</v>
      </c>
      <c r="P2" s="41"/>
      <c r="Q2" s="55">
        <v>52</v>
      </c>
      <c r="R2" s="42">
        <v>0</v>
      </c>
      <c r="S2" s="55">
        <v>0</v>
      </c>
      <c r="T2" s="55"/>
      <c r="U2" s="55"/>
      <c r="V2" s="34" t="s">
        <v>23</v>
      </c>
      <c r="W2" s="43">
        <v>44222</v>
      </c>
      <c r="X2" s="44"/>
    </row>
    <row r="3" spans="1:24" ht="17.45" customHeight="1" x14ac:dyDescent="0.25">
      <c r="A3" t="str">
        <f t="shared" ref="A3:A66" si="4">_xlfn.CONCAT(E3,W3,L3)</f>
        <v>24530104064423812318000</v>
      </c>
      <c r="B3" s="6">
        <f t="shared" si="0"/>
        <v>44238</v>
      </c>
      <c r="C3" s="3">
        <f t="shared" si="1"/>
        <v>12318000</v>
      </c>
      <c r="D3" s="34">
        <v>2020</v>
      </c>
      <c r="E3" s="35">
        <v>2453010406</v>
      </c>
      <c r="F3" s="36" t="s">
        <v>24</v>
      </c>
      <c r="G3" s="37">
        <v>102650000</v>
      </c>
      <c r="H3" s="37">
        <v>12318000</v>
      </c>
      <c r="I3" s="38">
        <f t="shared" si="2"/>
        <v>0.12</v>
      </c>
      <c r="J3" s="38"/>
      <c r="K3" s="37">
        <v>102650000</v>
      </c>
      <c r="L3" s="37">
        <f t="shared" si="3"/>
        <v>12318000</v>
      </c>
      <c r="M3" s="39">
        <v>8490000</v>
      </c>
      <c r="N3" s="37">
        <f t="shared" ref="N3:N10" si="5">+L3-M3</f>
        <v>3828000</v>
      </c>
      <c r="O3" s="40">
        <f t="shared" ref="O3:O13" si="6">ROUND((N3*40%),0)</f>
        <v>1531200</v>
      </c>
      <c r="P3" s="41"/>
      <c r="Q3" s="55">
        <v>455</v>
      </c>
      <c r="R3" s="42">
        <f t="shared" ref="R3:R13" si="7">+N3-O3</f>
        <v>2296800</v>
      </c>
      <c r="S3" s="55">
        <v>456</v>
      </c>
      <c r="T3" s="55">
        <v>1891</v>
      </c>
      <c r="U3" s="55">
        <v>3180</v>
      </c>
      <c r="V3" s="34" t="s">
        <v>25</v>
      </c>
      <c r="W3" s="43">
        <v>44238</v>
      </c>
      <c r="X3" s="44"/>
    </row>
    <row r="4" spans="1:24" ht="17.45" customHeight="1" x14ac:dyDescent="0.25">
      <c r="A4" t="str">
        <f t="shared" si="4"/>
        <v>245301999644238188205671,909939</v>
      </c>
      <c r="B4" s="6">
        <f t="shared" si="0"/>
        <v>44831</v>
      </c>
      <c r="C4" s="3">
        <f t="shared" si="1"/>
        <v>190206861</v>
      </c>
      <c r="D4" s="34">
        <v>2020</v>
      </c>
      <c r="E4" s="35">
        <v>2453019996</v>
      </c>
      <c r="F4" s="36" t="s">
        <v>26</v>
      </c>
      <c r="G4" s="37">
        <v>1829508300</v>
      </c>
      <c r="H4" s="37">
        <v>196018746</v>
      </c>
      <c r="I4" s="38">
        <f t="shared" si="2"/>
        <v>0.10714285690860216</v>
      </c>
      <c r="J4" s="38"/>
      <c r="K4" s="37">
        <v>1756586275</v>
      </c>
      <c r="L4" s="37">
        <f t="shared" si="3"/>
        <v>188205671.9099395</v>
      </c>
      <c r="M4" s="39">
        <v>184341692</v>
      </c>
      <c r="N4" s="37">
        <f t="shared" si="5"/>
        <v>3863979.9099394977</v>
      </c>
      <c r="O4" s="40">
        <f t="shared" si="6"/>
        <v>1545592</v>
      </c>
      <c r="P4" s="41"/>
      <c r="Q4" s="55">
        <v>457</v>
      </c>
      <c r="R4" s="42">
        <f t="shared" si="7"/>
        <v>2318387.9099394977</v>
      </c>
      <c r="S4" s="55">
        <v>458</v>
      </c>
      <c r="T4" s="55">
        <v>1889</v>
      </c>
      <c r="U4" s="55">
        <v>3178</v>
      </c>
      <c r="V4" s="34" t="s">
        <v>25</v>
      </c>
      <c r="W4" s="43">
        <v>44238</v>
      </c>
      <c r="X4" s="44"/>
    </row>
    <row r="5" spans="1:24" ht="17.45" customHeight="1" x14ac:dyDescent="0.25">
      <c r="A5" t="str">
        <f t="shared" si="4"/>
        <v>29109066024423839831418,9258679</v>
      </c>
      <c r="B5" s="6">
        <f t="shared" si="0"/>
        <v>44406</v>
      </c>
      <c r="C5" s="3">
        <f t="shared" si="1"/>
        <v>57170161</v>
      </c>
      <c r="D5" s="34">
        <v>2020</v>
      </c>
      <c r="E5" s="35">
        <v>2910906602</v>
      </c>
      <c r="F5" s="36" t="s">
        <v>27</v>
      </c>
      <c r="G5" s="37">
        <v>899333962</v>
      </c>
      <c r="H5" s="37">
        <v>74256933</v>
      </c>
      <c r="I5" s="38">
        <f t="shared" si="2"/>
        <v>8.2568807737297481E-2</v>
      </c>
      <c r="J5" s="38"/>
      <c r="K5" s="37">
        <v>482402738</v>
      </c>
      <c r="L5" s="37">
        <f t="shared" si="3"/>
        <v>39831418.925867893</v>
      </c>
      <c r="M5" s="39">
        <v>22504801</v>
      </c>
      <c r="N5" s="37">
        <f t="shared" si="5"/>
        <v>17326617.925867893</v>
      </c>
      <c r="O5" s="40">
        <f t="shared" si="6"/>
        <v>6930647</v>
      </c>
      <c r="P5" s="41"/>
      <c r="Q5" s="55">
        <v>459</v>
      </c>
      <c r="R5" s="42">
        <f t="shared" si="7"/>
        <v>10395970.925867893</v>
      </c>
      <c r="S5" s="55">
        <v>460</v>
      </c>
      <c r="T5" s="55">
        <v>1885</v>
      </c>
      <c r="U5" s="55">
        <v>3174</v>
      </c>
      <c r="V5" s="34" t="s">
        <v>25</v>
      </c>
      <c r="W5" s="43">
        <v>44238</v>
      </c>
      <c r="X5" s="44"/>
    </row>
    <row r="6" spans="1:24" ht="17.45" customHeight="1" x14ac:dyDescent="0.25">
      <c r="A6" t="str">
        <f t="shared" si="4"/>
        <v>291090629944251155982593</v>
      </c>
      <c r="B6" s="6">
        <f t="shared" si="0"/>
        <v>44251</v>
      </c>
      <c r="C6" s="3">
        <f t="shared" si="1"/>
        <v>155982593</v>
      </c>
      <c r="D6" s="34">
        <v>2021</v>
      </c>
      <c r="E6" s="35">
        <v>2910906299</v>
      </c>
      <c r="F6" s="36" t="s">
        <v>28</v>
      </c>
      <c r="G6" s="37">
        <v>1299854942</v>
      </c>
      <c r="H6" s="37">
        <v>155982593</v>
      </c>
      <c r="I6" s="38">
        <f t="shared" si="2"/>
        <v>0.11999999996922733</v>
      </c>
      <c r="J6" s="38"/>
      <c r="K6" s="37">
        <v>1299854942</v>
      </c>
      <c r="L6" s="37">
        <f t="shared" si="3"/>
        <v>155982593</v>
      </c>
      <c r="M6" s="39">
        <v>131629790</v>
      </c>
      <c r="N6" s="37">
        <f t="shared" si="5"/>
        <v>24352803</v>
      </c>
      <c r="O6" s="40">
        <f t="shared" si="6"/>
        <v>9741121</v>
      </c>
      <c r="P6" s="41"/>
      <c r="Q6" s="55">
        <v>996</v>
      </c>
      <c r="R6" s="42">
        <f t="shared" si="7"/>
        <v>14611682</v>
      </c>
      <c r="S6" s="55">
        <v>997</v>
      </c>
      <c r="T6" s="55">
        <v>283</v>
      </c>
      <c r="U6" s="55">
        <v>242</v>
      </c>
      <c r="V6" s="34" t="s">
        <v>25</v>
      </c>
      <c r="W6" s="43">
        <v>44251</v>
      </c>
      <c r="X6" s="44"/>
    </row>
    <row r="7" spans="1:24" ht="17.45" customHeight="1" x14ac:dyDescent="0.25">
      <c r="A7" t="str">
        <f t="shared" si="4"/>
        <v>2910906646442522200000</v>
      </c>
      <c r="B7" s="6">
        <f t="shared" si="0"/>
        <v>44252</v>
      </c>
      <c r="C7" s="3">
        <f t="shared" si="1"/>
        <v>2200000</v>
      </c>
      <c r="D7" s="34">
        <v>2020</v>
      </c>
      <c r="E7" s="35">
        <v>2910906646</v>
      </c>
      <c r="F7" s="36" t="s">
        <v>29</v>
      </c>
      <c r="G7" s="37">
        <v>20000000</v>
      </c>
      <c r="H7" s="37">
        <v>2200000</v>
      </c>
      <c r="I7" s="38">
        <f t="shared" si="2"/>
        <v>0.11</v>
      </c>
      <c r="J7" s="38"/>
      <c r="K7" s="37">
        <v>20000000</v>
      </c>
      <c r="L7" s="37">
        <f t="shared" si="3"/>
        <v>2200000</v>
      </c>
      <c r="M7" s="39">
        <v>1980000</v>
      </c>
      <c r="N7" s="37">
        <f t="shared" si="5"/>
        <v>220000</v>
      </c>
      <c r="O7" s="40">
        <f t="shared" si="6"/>
        <v>88000</v>
      </c>
      <c r="P7" s="41"/>
      <c r="Q7" s="55">
        <v>461</v>
      </c>
      <c r="R7" s="42">
        <f t="shared" si="7"/>
        <v>132000</v>
      </c>
      <c r="S7" s="55">
        <v>462</v>
      </c>
      <c r="T7" s="55">
        <v>1886</v>
      </c>
      <c r="U7" s="55">
        <v>3175</v>
      </c>
      <c r="V7" s="34" t="s">
        <v>25</v>
      </c>
      <c r="W7" s="43">
        <v>44252</v>
      </c>
      <c r="X7" s="44"/>
    </row>
    <row r="8" spans="1:24" ht="17.45" customHeight="1" x14ac:dyDescent="0.25">
      <c r="A8" t="str">
        <f t="shared" si="4"/>
        <v>2910906651442528717773,44</v>
      </c>
      <c r="B8" s="6">
        <f t="shared" si="0"/>
        <v>44405</v>
      </c>
      <c r="C8" s="3">
        <f t="shared" si="1"/>
        <v>15872640</v>
      </c>
      <c r="D8" s="34">
        <v>2020</v>
      </c>
      <c r="E8" s="35">
        <v>2910906651</v>
      </c>
      <c r="F8" s="36" t="s">
        <v>30</v>
      </c>
      <c r="G8" s="37">
        <v>132272000</v>
      </c>
      <c r="H8" s="37">
        <v>15872640</v>
      </c>
      <c r="I8" s="38">
        <f t="shared" si="2"/>
        <v>0.12</v>
      </c>
      <c r="J8" s="38"/>
      <c r="K8" s="37">
        <v>72648112</v>
      </c>
      <c r="L8" s="37">
        <f t="shared" si="3"/>
        <v>8717773.4399999995</v>
      </c>
      <c r="M8" s="39">
        <v>5295370</v>
      </c>
      <c r="N8" s="37">
        <f t="shared" si="5"/>
        <v>3422403.4399999995</v>
      </c>
      <c r="O8" s="40">
        <f t="shared" si="6"/>
        <v>1368961</v>
      </c>
      <c r="P8" s="41"/>
      <c r="Q8" s="55">
        <v>463</v>
      </c>
      <c r="R8" s="42">
        <f t="shared" si="7"/>
        <v>2053442.4399999995</v>
      </c>
      <c r="S8" s="55">
        <v>464</v>
      </c>
      <c r="T8" s="55">
        <v>1890</v>
      </c>
      <c r="U8" s="55">
        <v>3179</v>
      </c>
      <c r="V8" s="34" t="s">
        <v>25</v>
      </c>
      <c r="W8" s="43">
        <v>44252</v>
      </c>
      <c r="X8" s="44"/>
    </row>
    <row r="9" spans="1:24" ht="17.45" customHeight="1" x14ac:dyDescent="0.25">
      <c r="A9" t="str">
        <f t="shared" si="4"/>
        <v>2910906657442521359369,09</v>
      </c>
      <c r="B9" s="6">
        <f t="shared" si="0"/>
        <v>44252</v>
      </c>
      <c r="C9" s="3">
        <f t="shared" si="1"/>
        <v>1359369.09</v>
      </c>
      <c r="D9" s="34">
        <v>2020</v>
      </c>
      <c r="E9" s="35">
        <v>2910906657</v>
      </c>
      <c r="F9" s="36" t="s">
        <v>31</v>
      </c>
      <c r="G9" s="37">
        <v>12000000</v>
      </c>
      <c r="H9" s="37">
        <v>1527381</v>
      </c>
      <c r="I9" s="38">
        <f t="shared" si="2"/>
        <v>0.12728175</v>
      </c>
      <c r="J9" s="38"/>
      <c r="K9" s="37">
        <v>10680000</v>
      </c>
      <c r="L9" s="37">
        <f t="shared" si="3"/>
        <v>1359369.09</v>
      </c>
      <c r="M9" s="39">
        <v>0</v>
      </c>
      <c r="N9" s="37">
        <f t="shared" si="5"/>
        <v>1359369.09</v>
      </c>
      <c r="O9" s="40">
        <f t="shared" si="6"/>
        <v>543748</v>
      </c>
      <c r="P9" s="41"/>
      <c r="Q9" s="55">
        <v>465</v>
      </c>
      <c r="R9" s="42">
        <f t="shared" si="7"/>
        <v>815621.09000000008</v>
      </c>
      <c r="S9" s="55">
        <v>466</v>
      </c>
      <c r="T9" s="55">
        <v>1887</v>
      </c>
      <c r="U9" s="55">
        <v>3176</v>
      </c>
      <c r="V9" s="34" t="s">
        <v>25</v>
      </c>
      <c r="W9" s="43">
        <v>44252</v>
      </c>
      <c r="X9" s="44"/>
    </row>
    <row r="10" spans="1:24" ht="17.45" customHeight="1" x14ac:dyDescent="0.25">
      <c r="A10" t="str">
        <f t="shared" si="4"/>
        <v>2910906661442522083630</v>
      </c>
      <c r="B10" s="6">
        <f t="shared" si="0"/>
        <v>44252</v>
      </c>
      <c r="C10" s="3">
        <f t="shared" si="1"/>
        <v>2083629.9999999998</v>
      </c>
      <c r="D10" s="34">
        <v>2020</v>
      </c>
      <c r="E10" s="35">
        <v>2910906661</v>
      </c>
      <c r="F10" s="36" t="s">
        <v>32</v>
      </c>
      <c r="G10" s="37">
        <v>12000000</v>
      </c>
      <c r="H10" s="37">
        <v>2083630</v>
      </c>
      <c r="I10" s="38">
        <f t="shared" si="2"/>
        <v>0.17363583333333332</v>
      </c>
      <c r="J10" s="38"/>
      <c r="K10" s="37">
        <v>12000000</v>
      </c>
      <c r="L10" s="37">
        <f t="shared" si="3"/>
        <v>2083629.9999999998</v>
      </c>
      <c r="M10" s="39">
        <v>0</v>
      </c>
      <c r="N10" s="37">
        <f t="shared" si="5"/>
        <v>2083629.9999999998</v>
      </c>
      <c r="O10" s="40">
        <f t="shared" si="6"/>
        <v>833452</v>
      </c>
      <c r="P10" s="41"/>
      <c r="Q10" s="55">
        <v>467</v>
      </c>
      <c r="R10" s="42">
        <f t="shared" si="7"/>
        <v>1250177.9999999998</v>
      </c>
      <c r="S10" s="55">
        <v>468</v>
      </c>
      <c r="T10" s="55">
        <v>1888</v>
      </c>
      <c r="U10" s="55">
        <v>3177</v>
      </c>
      <c r="V10" s="34" t="s">
        <v>25</v>
      </c>
      <c r="W10" s="43">
        <v>44252</v>
      </c>
      <c r="X10" s="44"/>
    </row>
    <row r="11" spans="1:24" ht="17.45" customHeight="1" x14ac:dyDescent="0.25">
      <c r="A11" t="str">
        <f t="shared" si="4"/>
        <v>29109011644425716310893</v>
      </c>
      <c r="B11" s="6">
        <f t="shared" si="0"/>
        <v>44434</v>
      </c>
      <c r="C11" s="3">
        <f t="shared" si="1"/>
        <v>16310893</v>
      </c>
      <c r="D11" s="34">
        <v>2021</v>
      </c>
      <c r="E11" s="35">
        <v>2910901164</v>
      </c>
      <c r="F11" s="36" t="s">
        <v>33</v>
      </c>
      <c r="G11" s="37">
        <v>153000000</v>
      </c>
      <c r="H11" s="37">
        <v>16392857</v>
      </c>
      <c r="I11" s="38">
        <f t="shared" si="2"/>
        <v>0.10714285620915033</v>
      </c>
      <c r="J11" s="38"/>
      <c r="K11" s="37">
        <v>152234999</v>
      </c>
      <c r="L11" s="37">
        <f>ROUND((+K11*I11),0)</f>
        <v>16310893</v>
      </c>
      <c r="M11" s="39">
        <v>14037154</v>
      </c>
      <c r="N11" s="37">
        <v>2273739</v>
      </c>
      <c r="O11" s="40">
        <f t="shared" si="6"/>
        <v>909496</v>
      </c>
      <c r="P11" s="41"/>
      <c r="Q11" s="55">
        <v>1037</v>
      </c>
      <c r="R11" s="42">
        <f t="shared" si="7"/>
        <v>1364243</v>
      </c>
      <c r="S11" s="55">
        <v>1038</v>
      </c>
      <c r="T11" s="55">
        <v>321</v>
      </c>
      <c r="U11" s="55">
        <v>314</v>
      </c>
      <c r="V11" s="34" t="s">
        <v>25</v>
      </c>
      <c r="W11" s="43">
        <v>44257</v>
      </c>
      <c r="X11" s="44"/>
    </row>
    <row r="12" spans="1:24" ht="17.45" customHeight="1" x14ac:dyDescent="0.25">
      <c r="A12" t="str">
        <f t="shared" si="4"/>
        <v>291090596144257982934233</v>
      </c>
      <c r="B12" s="6">
        <f t="shared" si="0"/>
        <v>44498</v>
      </c>
      <c r="C12" s="3">
        <f t="shared" si="1"/>
        <v>1224203654</v>
      </c>
      <c r="D12" s="34">
        <v>2021</v>
      </c>
      <c r="E12" s="35">
        <v>2910905961</v>
      </c>
      <c r="F12" s="36" t="s">
        <v>34</v>
      </c>
      <c r="G12" s="37">
        <v>8349652066</v>
      </c>
      <c r="H12" s="37">
        <v>934245965</v>
      </c>
      <c r="I12" s="38">
        <f t="shared" si="2"/>
        <v>0.11189040664392158</v>
      </c>
      <c r="J12" s="38"/>
      <c r="K12" s="37">
        <v>8784794540</v>
      </c>
      <c r="L12" s="37">
        <f>ROUND((+K12*I12),0)</f>
        <v>982934233</v>
      </c>
      <c r="M12" s="39">
        <v>896365068</v>
      </c>
      <c r="N12" s="37">
        <f>+L12-M12</f>
        <v>86569165</v>
      </c>
      <c r="O12" s="40">
        <f t="shared" si="6"/>
        <v>34627666</v>
      </c>
      <c r="P12" s="41"/>
      <c r="Q12" s="55">
        <v>1039</v>
      </c>
      <c r="R12" s="42">
        <f t="shared" si="7"/>
        <v>51941499</v>
      </c>
      <c r="S12" s="55">
        <v>1040</v>
      </c>
      <c r="T12" s="55">
        <v>323</v>
      </c>
      <c r="U12" s="55">
        <v>315</v>
      </c>
      <c r="V12" s="34" t="s">
        <v>25</v>
      </c>
      <c r="W12" s="43">
        <v>44257</v>
      </c>
      <c r="X12" s="44"/>
    </row>
    <row r="13" spans="1:24" ht="17.45" customHeight="1" x14ac:dyDescent="0.25">
      <c r="A13" t="str">
        <f t="shared" si="4"/>
        <v>24530183014425760556114</v>
      </c>
      <c r="B13" s="6">
        <f t="shared" si="0"/>
        <v>45099</v>
      </c>
      <c r="C13" s="3">
        <f t="shared" si="1"/>
        <v>133063733</v>
      </c>
      <c r="D13" s="34">
        <v>2021</v>
      </c>
      <c r="E13" s="35">
        <v>2453018301</v>
      </c>
      <c r="F13" s="36" t="s">
        <v>35</v>
      </c>
      <c r="G13" s="37">
        <f>941984000+470992000</f>
        <v>1412976000</v>
      </c>
      <c r="H13" s="37">
        <v>151390286</v>
      </c>
      <c r="I13" s="38">
        <f t="shared" si="2"/>
        <v>0.1071428573450646</v>
      </c>
      <c r="J13" s="38"/>
      <c r="K13" s="37">
        <v>565190400</v>
      </c>
      <c r="L13" s="37">
        <f>ROUND((+K13*I13),0)</f>
        <v>60556114</v>
      </c>
      <c r="M13" s="39">
        <v>0</v>
      </c>
      <c r="N13" s="37">
        <f>+L13-M13</f>
        <v>60556114</v>
      </c>
      <c r="O13" s="40">
        <f t="shared" si="6"/>
        <v>24222446</v>
      </c>
      <c r="P13" s="41"/>
      <c r="Q13" s="55">
        <v>1041</v>
      </c>
      <c r="R13" s="42">
        <f t="shared" si="7"/>
        <v>36333668</v>
      </c>
      <c r="S13" s="55">
        <v>1042</v>
      </c>
      <c r="T13" s="55">
        <v>324</v>
      </c>
      <c r="U13" s="55">
        <v>316</v>
      </c>
      <c r="V13" s="34" t="s">
        <v>25</v>
      </c>
      <c r="W13" s="43">
        <v>44257</v>
      </c>
      <c r="X13" s="44"/>
    </row>
    <row r="14" spans="1:24" ht="17.45" customHeight="1" x14ac:dyDescent="0.25">
      <c r="A14" t="str">
        <f t="shared" si="4"/>
        <v>24530183024425980828827</v>
      </c>
      <c r="B14" s="6">
        <f t="shared" si="0"/>
        <v>44434</v>
      </c>
      <c r="C14" s="3">
        <f t="shared" si="1"/>
        <v>89809808</v>
      </c>
      <c r="D14" s="34">
        <v>2021</v>
      </c>
      <c r="E14" s="35">
        <v>2453018302</v>
      </c>
      <c r="F14" s="36" t="s">
        <v>36</v>
      </c>
      <c r="G14" s="37">
        <v>838224872</v>
      </c>
      <c r="H14" s="37">
        <v>89809808</v>
      </c>
      <c r="I14" s="38">
        <f t="shared" si="2"/>
        <v>0.10714285748371351</v>
      </c>
      <c r="J14" s="38"/>
      <c r="K14" s="37">
        <v>754402385</v>
      </c>
      <c r="L14" s="37">
        <f>ROUND((+K14*I14),0)</f>
        <v>80828827</v>
      </c>
      <c r="M14" s="39">
        <v>62866866</v>
      </c>
      <c r="N14" s="37">
        <f>+L14-M14</f>
        <v>17961961</v>
      </c>
      <c r="O14" s="40"/>
      <c r="P14" s="41"/>
      <c r="Q14" s="55">
        <v>1043</v>
      </c>
      <c r="R14" s="42"/>
      <c r="S14" s="55">
        <v>1044</v>
      </c>
      <c r="T14" s="55">
        <v>325</v>
      </c>
      <c r="U14" s="55">
        <v>317</v>
      </c>
      <c r="V14" s="34" t="s">
        <v>25</v>
      </c>
      <c r="W14" s="43">
        <v>44259</v>
      </c>
      <c r="X14" s="44" t="s">
        <v>37</v>
      </c>
    </row>
    <row r="15" spans="1:24" ht="17.45" customHeight="1" x14ac:dyDescent="0.25">
      <c r="A15" t="str">
        <f t="shared" si="4"/>
        <v>2910906153442571574445174</v>
      </c>
      <c r="B15" s="6">
        <f t="shared" si="0"/>
        <v>44404</v>
      </c>
      <c r="C15" s="3">
        <f t="shared" si="1"/>
        <v>1600030901.9960999</v>
      </c>
      <c r="D15" s="34">
        <v>2021</v>
      </c>
      <c r="E15" s="35">
        <v>2910906153</v>
      </c>
      <c r="F15" s="36" t="s">
        <v>38</v>
      </c>
      <c r="G15" s="37"/>
      <c r="H15" s="37"/>
      <c r="I15" s="38">
        <v>0.1071</v>
      </c>
      <c r="J15" s="38"/>
      <c r="K15" s="37">
        <v>14694821628</v>
      </c>
      <c r="L15" s="37">
        <v>1574445174</v>
      </c>
      <c r="M15" s="39">
        <v>370028904</v>
      </c>
      <c r="N15" s="37">
        <v>200000000</v>
      </c>
      <c r="O15" s="40">
        <f t="shared" ref="O15:O32" si="8">ROUND((N15*40%),0)</f>
        <v>80000000</v>
      </c>
      <c r="P15" s="41"/>
      <c r="Q15" s="45">
        <v>1080</v>
      </c>
      <c r="R15" s="42">
        <f t="shared" ref="R15:R32" si="9">+N15-O15</f>
        <v>120000000</v>
      </c>
      <c r="S15" s="45">
        <v>1081</v>
      </c>
      <c r="T15" s="45">
        <v>326</v>
      </c>
      <c r="U15" s="45">
        <v>382</v>
      </c>
      <c r="V15" s="34" t="s">
        <v>25</v>
      </c>
      <c r="W15" s="43">
        <v>44257</v>
      </c>
      <c r="X15" s="44" t="s">
        <v>39</v>
      </c>
    </row>
    <row r="16" spans="1:24" ht="17.45" customHeight="1" x14ac:dyDescent="0.25">
      <c r="A16" t="str">
        <f t="shared" si="4"/>
        <v>291090616444263346814269</v>
      </c>
      <c r="B16" s="6">
        <f t="shared" si="0"/>
        <v>44617</v>
      </c>
      <c r="C16" s="3">
        <f t="shared" si="1"/>
        <v>356207712</v>
      </c>
      <c r="D16" s="34">
        <v>2021</v>
      </c>
      <c r="E16" s="35">
        <v>2910906164</v>
      </c>
      <c r="F16" s="36" t="s">
        <v>40</v>
      </c>
      <c r="G16" s="37">
        <v>3324605309</v>
      </c>
      <c r="H16" s="37">
        <v>356207712</v>
      </c>
      <c r="I16" s="38">
        <f t="shared" ref="I16:I56" si="10">+H16/G16</f>
        <v>0.10714285723953887</v>
      </c>
      <c r="J16" s="38"/>
      <c r="K16" s="37">
        <v>3236933176</v>
      </c>
      <c r="L16" s="37">
        <f t="shared" ref="L16:L37" si="11">ROUND((+K16*I16),0)</f>
        <v>346814269</v>
      </c>
      <c r="M16" s="39">
        <v>291049114</v>
      </c>
      <c r="N16" s="37">
        <v>43224000</v>
      </c>
      <c r="O16" s="40">
        <f t="shared" si="8"/>
        <v>17289600</v>
      </c>
      <c r="P16" s="41"/>
      <c r="Q16" s="55">
        <v>1215</v>
      </c>
      <c r="R16" s="42">
        <f t="shared" si="9"/>
        <v>25934400</v>
      </c>
      <c r="S16" s="55">
        <v>1216</v>
      </c>
      <c r="T16" s="55">
        <v>339</v>
      </c>
      <c r="U16" s="55">
        <v>414</v>
      </c>
      <c r="V16" s="34" t="s">
        <v>41</v>
      </c>
      <c r="W16" s="43">
        <v>44263</v>
      </c>
      <c r="X16" s="44" t="s">
        <v>42</v>
      </c>
    </row>
    <row r="17" spans="1:24" ht="17.45" customHeight="1" x14ac:dyDescent="0.25">
      <c r="A17" t="str">
        <f t="shared" si="4"/>
        <v>29109067074427962142857</v>
      </c>
      <c r="B17" s="6">
        <f t="shared" si="0"/>
        <v>44279</v>
      </c>
      <c r="C17" s="3">
        <f t="shared" si="1"/>
        <v>62142857</v>
      </c>
      <c r="D17" s="34">
        <v>2021</v>
      </c>
      <c r="E17" s="35">
        <v>2910906707</v>
      </c>
      <c r="F17" s="36" t="s">
        <v>43</v>
      </c>
      <c r="G17" s="37">
        <v>580000000</v>
      </c>
      <c r="H17" s="37">
        <v>62142857</v>
      </c>
      <c r="I17" s="38">
        <f t="shared" si="10"/>
        <v>0.10714285689655173</v>
      </c>
      <c r="J17" s="38"/>
      <c r="K17" s="37">
        <v>580000000</v>
      </c>
      <c r="L17" s="37">
        <f t="shared" si="11"/>
        <v>62142857</v>
      </c>
      <c r="M17" s="39">
        <v>55928571</v>
      </c>
      <c r="N17" s="37">
        <v>6214286</v>
      </c>
      <c r="O17" s="40">
        <f t="shared" si="8"/>
        <v>2485714</v>
      </c>
      <c r="P17" s="41"/>
      <c r="Q17" s="55">
        <v>1471</v>
      </c>
      <c r="R17" s="42">
        <f t="shared" si="9"/>
        <v>3728572</v>
      </c>
      <c r="S17" s="55">
        <v>1472</v>
      </c>
      <c r="T17" s="55">
        <v>364</v>
      </c>
      <c r="U17" s="55">
        <v>508</v>
      </c>
      <c r="V17" s="34" t="s">
        <v>25</v>
      </c>
      <c r="W17" s="43">
        <v>44279</v>
      </c>
      <c r="X17" s="44"/>
    </row>
    <row r="18" spans="1:24" ht="17.45" customHeight="1" x14ac:dyDescent="0.25">
      <c r="A18" t="str">
        <f t="shared" si="4"/>
        <v>2910906713442792257285</v>
      </c>
      <c r="B18" s="6">
        <f t="shared" si="0"/>
        <v>44279</v>
      </c>
      <c r="C18" s="3">
        <f t="shared" si="1"/>
        <v>2257285</v>
      </c>
      <c r="D18" s="34">
        <v>2021</v>
      </c>
      <c r="E18" s="35">
        <v>2910906713</v>
      </c>
      <c r="F18" s="36" t="s">
        <v>44</v>
      </c>
      <c r="G18" s="37">
        <v>21068000</v>
      </c>
      <c r="H18" s="37">
        <v>2257285</v>
      </c>
      <c r="I18" s="38">
        <f t="shared" si="10"/>
        <v>0.1071428232390355</v>
      </c>
      <c r="J18" s="38"/>
      <c r="K18" s="37">
        <v>21068000</v>
      </c>
      <c r="L18" s="37">
        <f t="shared" si="11"/>
        <v>2257285</v>
      </c>
      <c r="M18" s="39">
        <v>0</v>
      </c>
      <c r="N18" s="37">
        <v>2257285</v>
      </c>
      <c r="O18" s="40">
        <f t="shared" si="8"/>
        <v>902914</v>
      </c>
      <c r="P18" s="41"/>
      <c r="Q18" s="55">
        <v>1473</v>
      </c>
      <c r="R18" s="42">
        <f t="shared" si="9"/>
        <v>1354371</v>
      </c>
      <c r="S18" s="55">
        <v>1474</v>
      </c>
      <c r="T18" s="55">
        <v>343</v>
      </c>
      <c r="U18" s="55">
        <v>442</v>
      </c>
      <c r="V18" s="34" t="s">
        <v>25</v>
      </c>
      <c r="W18" s="43">
        <v>44279</v>
      </c>
      <c r="X18" s="44"/>
    </row>
    <row r="19" spans="1:24" ht="17.45" customHeight="1" x14ac:dyDescent="0.25">
      <c r="A19" t="str">
        <f t="shared" si="4"/>
        <v>29109063204427925617621</v>
      </c>
      <c r="B19" s="6">
        <f t="shared" si="0"/>
        <v>44279</v>
      </c>
      <c r="C19" s="3">
        <f t="shared" si="1"/>
        <v>25617621</v>
      </c>
      <c r="D19" s="34">
        <v>2021</v>
      </c>
      <c r="E19" s="35">
        <v>2910906320</v>
      </c>
      <c r="F19" s="36" t="s">
        <v>45</v>
      </c>
      <c r="G19" s="37">
        <v>282092787</v>
      </c>
      <c r="H19" s="37">
        <v>30224228</v>
      </c>
      <c r="I19" s="38">
        <f t="shared" si="10"/>
        <v>0.10714286005476631</v>
      </c>
      <c r="J19" s="38"/>
      <c r="K19" s="37">
        <v>239097794</v>
      </c>
      <c r="L19" s="37">
        <f t="shared" si="11"/>
        <v>25617621</v>
      </c>
      <c r="M19" s="39">
        <v>25617621</v>
      </c>
      <c r="N19" s="37">
        <f>+H19-L19</f>
        <v>4606607</v>
      </c>
      <c r="O19" s="40">
        <f t="shared" si="8"/>
        <v>1842643</v>
      </c>
      <c r="P19" s="41"/>
      <c r="Q19" s="55">
        <v>1475</v>
      </c>
      <c r="R19" s="42">
        <f t="shared" si="9"/>
        <v>2763964</v>
      </c>
      <c r="S19" s="55">
        <v>1476</v>
      </c>
      <c r="T19" s="55">
        <v>344</v>
      </c>
      <c r="U19" s="55">
        <v>443</v>
      </c>
      <c r="V19" s="34" t="s">
        <v>25</v>
      </c>
      <c r="W19" s="43">
        <v>44279</v>
      </c>
      <c r="X19" s="44"/>
    </row>
    <row r="20" spans="1:24" ht="17.45" customHeight="1" x14ac:dyDescent="0.25">
      <c r="A20" t="str">
        <f t="shared" si="4"/>
        <v>2453010405442799642857</v>
      </c>
      <c r="B20" s="6">
        <f t="shared" si="0"/>
        <v>44279</v>
      </c>
      <c r="C20" s="3">
        <f t="shared" si="1"/>
        <v>9642857</v>
      </c>
      <c r="D20" s="34">
        <v>2021</v>
      </c>
      <c r="E20" s="35">
        <v>2453010405</v>
      </c>
      <c r="F20" s="36" t="s">
        <v>46</v>
      </c>
      <c r="G20" s="37">
        <v>100000000</v>
      </c>
      <c r="H20" s="37">
        <v>10714285</v>
      </c>
      <c r="I20" s="38">
        <f t="shared" si="10"/>
        <v>0.10714285</v>
      </c>
      <c r="J20" s="38">
        <f>+I20/H20</f>
        <v>1E-8</v>
      </c>
      <c r="K20" s="37">
        <v>90000000</v>
      </c>
      <c r="L20" s="37">
        <f t="shared" si="11"/>
        <v>9642857</v>
      </c>
      <c r="M20" s="39">
        <v>9639000</v>
      </c>
      <c r="N20" s="37">
        <f>+L20-M20</f>
        <v>3857</v>
      </c>
      <c r="O20" s="40">
        <f t="shared" si="8"/>
        <v>1543</v>
      </c>
      <c r="P20" s="41"/>
      <c r="Q20" s="55">
        <v>1477</v>
      </c>
      <c r="R20" s="42">
        <f t="shared" si="9"/>
        <v>2314</v>
      </c>
      <c r="S20" s="55">
        <v>1478</v>
      </c>
      <c r="T20" s="55">
        <v>346</v>
      </c>
      <c r="U20" s="55">
        <v>444</v>
      </c>
      <c r="V20" s="34" t="s">
        <v>25</v>
      </c>
      <c r="W20" s="43">
        <v>44279</v>
      </c>
      <c r="X20" s="44"/>
    </row>
    <row r="21" spans="1:24" ht="17.45" customHeight="1" x14ac:dyDescent="0.25">
      <c r="A21" t="str">
        <f t="shared" si="4"/>
        <v>2910906718442791875000</v>
      </c>
      <c r="B21" s="6">
        <f t="shared" si="0"/>
        <v>44279</v>
      </c>
      <c r="C21" s="3">
        <f t="shared" si="1"/>
        <v>1875000</v>
      </c>
      <c r="D21" s="34">
        <v>2021</v>
      </c>
      <c r="E21" s="35">
        <v>2910906718</v>
      </c>
      <c r="F21" s="36" t="s">
        <v>47</v>
      </c>
      <c r="G21" s="37">
        <v>17500000</v>
      </c>
      <c r="H21" s="37">
        <v>1875000</v>
      </c>
      <c r="I21" s="38">
        <f t="shared" si="10"/>
        <v>0.10714285714285714</v>
      </c>
      <c r="J21" s="38"/>
      <c r="K21" s="37">
        <v>17500000</v>
      </c>
      <c r="L21" s="37">
        <f t="shared" si="11"/>
        <v>1875000</v>
      </c>
      <c r="M21" s="39">
        <v>0</v>
      </c>
      <c r="N21" s="37">
        <v>1875000</v>
      </c>
      <c r="O21" s="40">
        <f t="shared" si="8"/>
        <v>750000</v>
      </c>
      <c r="P21" s="41"/>
      <c r="Q21" s="55">
        <v>1479</v>
      </c>
      <c r="R21" s="42">
        <f t="shared" si="9"/>
        <v>1125000</v>
      </c>
      <c r="S21" s="55">
        <v>1480</v>
      </c>
      <c r="T21" s="55">
        <v>347</v>
      </c>
      <c r="U21" s="55">
        <v>445</v>
      </c>
      <c r="V21" s="34" t="s">
        <v>25</v>
      </c>
      <c r="W21" s="43">
        <v>44279</v>
      </c>
      <c r="X21" s="44"/>
    </row>
    <row r="22" spans="1:24" ht="17.45" customHeight="1" x14ac:dyDescent="0.25">
      <c r="A22" t="str">
        <f t="shared" si="4"/>
        <v>2910901163442799521601</v>
      </c>
      <c r="B22" s="6">
        <f t="shared" si="0"/>
        <v>44279</v>
      </c>
      <c r="C22" s="3">
        <f t="shared" si="1"/>
        <v>9521601</v>
      </c>
      <c r="D22" s="34">
        <v>2021</v>
      </c>
      <c r="E22" s="35">
        <v>2910901163</v>
      </c>
      <c r="F22" s="36" t="s">
        <v>48</v>
      </c>
      <c r="G22" s="37">
        <v>99238720</v>
      </c>
      <c r="H22" s="37">
        <v>10632720</v>
      </c>
      <c r="I22" s="38">
        <f t="shared" si="10"/>
        <v>0.10714285714285714</v>
      </c>
      <c r="J22" s="38"/>
      <c r="K22" s="37">
        <v>88868274</v>
      </c>
      <c r="L22" s="37">
        <f t="shared" si="11"/>
        <v>9521601</v>
      </c>
      <c r="M22" s="39">
        <v>9517792</v>
      </c>
      <c r="N22" s="37">
        <f>+L22-M22</f>
        <v>3809</v>
      </c>
      <c r="O22" s="40">
        <f t="shared" si="8"/>
        <v>1524</v>
      </c>
      <c r="P22" s="41"/>
      <c r="Q22" s="55">
        <v>1481</v>
      </c>
      <c r="R22" s="42">
        <f t="shared" si="9"/>
        <v>2285</v>
      </c>
      <c r="S22" s="55">
        <v>1482</v>
      </c>
      <c r="T22" s="55">
        <v>348</v>
      </c>
      <c r="U22" s="55">
        <v>446</v>
      </c>
      <c r="V22" s="34" t="s">
        <v>25</v>
      </c>
      <c r="W22" s="43">
        <v>44279</v>
      </c>
      <c r="X22" s="44"/>
    </row>
    <row r="23" spans="1:24" ht="17.45" customHeight="1" x14ac:dyDescent="0.25">
      <c r="A23" t="str">
        <f t="shared" si="4"/>
        <v>29109066514427913872699</v>
      </c>
      <c r="B23" s="6">
        <f t="shared" si="0"/>
        <v>44405</v>
      </c>
      <c r="C23" s="3">
        <f t="shared" si="1"/>
        <v>15872640</v>
      </c>
      <c r="D23" s="34">
        <v>2021</v>
      </c>
      <c r="E23" s="35">
        <v>2910906651</v>
      </c>
      <c r="F23" s="36" t="s">
        <v>49</v>
      </c>
      <c r="G23" s="37">
        <v>132272000</v>
      </c>
      <c r="H23" s="37">
        <v>15872640</v>
      </c>
      <c r="I23" s="38">
        <f t="shared" si="10"/>
        <v>0.12</v>
      </c>
      <c r="J23" s="38"/>
      <c r="K23" s="37">
        <v>115605827</v>
      </c>
      <c r="L23" s="37">
        <f t="shared" si="11"/>
        <v>13872699</v>
      </c>
      <c r="M23" s="39">
        <v>8717773</v>
      </c>
      <c r="N23" s="37">
        <v>4798715</v>
      </c>
      <c r="O23" s="40">
        <f t="shared" si="8"/>
        <v>1919486</v>
      </c>
      <c r="P23" s="41"/>
      <c r="Q23" s="55">
        <v>1483</v>
      </c>
      <c r="R23" s="42">
        <f t="shared" si="9"/>
        <v>2879229</v>
      </c>
      <c r="S23" s="55">
        <v>1484</v>
      </c>
      <c r="T23" s="55">
        <v>349</v>
      </c>
      <c r="U23" s="55">
        <v>447</v>
      </c>
      <c r="V23" s="34" t="s">
        <v>25</v>
      </c>
      <c r="W23" s="43">
        <v>44279</v>
      </c>
      <c r="X23" s="44" t="s">
        <v>50</v>
      </c>
    </row>
    <row r="24" spans="1:24" ht="17.45" customHeight="1" x14ac:dyDescent="0.25">
      <c r="A24" t="str">
        <f t="shared" si="4"/>
        <v>2910906699442792220540</v>
      </c>
      <c r="B24" s="6">
        <f t="shared" si="0"/>
        <v>44279</v>
      </c>
      <c r="C24" s="3">
        <f t="shared" si="1"/>
        <v>2220540</v>
      </c>
      <c r="D24" s="34">
        <v>2021</v>
      </c>
      <c r="E24" s="35">
        <v>2910906699</v>
      </c>
      <c r="F24" s="36" t="s">
        <v>51</v>
      </c>
      <c r="G24" s="37">
        <v>20000000</v>
      </c>
      <c r="H24" s="37">
        <v>2317891</v>
      </c>
      <c r="I24" s="38">
        <f t="shared" si="10"/>
        <v>0.11589455</v>
      </c>
      <c r="J24" s="38"/>
      <c r="K24" s="37">
        <v>19160000</v>
      </c>
      <c r="L24" s="37">
        <f t="shared" si="11"/>
        <v>2220540</v>
      </c>
      <c r="M24" s="39">
        <v>2220540</v>
      </c>
      <c r="N24" s="37">
        <f>+H24-L24</f>
        <v>97351</v>
      </c>
      <c r="O24" s="40">
        <f t="shared" si="8"/>
        <v>38940</v>
      </c>
      <c r="P24" s="41"/>
      <c r="Q24" s="55">
        <v>1485</v>
      </c>
      <c r="R24" s="42">
        <f t="shared" si="9"/>
        <v>58411</v>
      </c>
      <c r="S24" s="55">
        <v>1486</v>
      </c>
      <c r="T24" s="55">
        <v>350</v>
      </c>
      <c r="U24" s="55">
        <v>448</v>
      </c>
      <c r="V24" s="34" t="s">
        <v>25</v>
      </c>
      <c r="W24" s="43">
        <v>44279</v>
      </c>
      <c r="X24" s="44" t="s">
        <v>52</v>
      </c>
    </row>
    <row r="25" spans="1:24" ht="17.45" customHeight="1" x14ac:dyDescent="0.25">
      <c r="A25" t="str">
        <f t="shared" si="4"/>
        <v>24530183064427918542880</v>
      </c>
      <c r="B25" s="6">
        <f t="shared" si="0"/>
        <v>44281</v>
      </c>
      <c r="C25" s="3">
        <f t="shared" si="1"/>
        <v>23107179</v>
      </c>
      <c r="D25" s="34">
        <v>2021</v>
      </c>
      <c r="E25" s="35">
        <v>2453018306</v>
      </c>
      <c r="F25" s="36" t="s">
        <v>53</v>
      </c>
      <c r="G25" s="37">
        <v>236667000</v>
      </c>
      <c r="H25" s="37">
        <v>25357179</v>
      </c>
      <c r="I25" s="38">
        <f t="shared" si="10"/>
        <v>0.10714285895371978</v>
      </c>
      <c r="J25" s="38"/>
      <c r="K25" s="37">
        <v>173066880</v>
      </c>
      <c r="L25" s="37">
        <f t="shared" si="11"/>
        <v>18542880</v>
      </c>
      <c r="M25" s="39">
        <v>0</v>
      </c>
      <c r="N25" s="37">
        <f>+L25-M25</f>
        <v>18542880</v>
      </c>
      <c r="O25" s="40">
        <f t="shared" si="8"/>
        <v>7417152</v>
      </c>
      <c r="P25" s="41"/>
      <c r="Q25" s="55">
        <v>1487</v>
      </c>
      <c r="R25" s="42">
        <f t="shared" si="9"/>
        <v>11125728</v>
      </c>
      <c r="S25" s="55">
        <v>1488</v>
      </c>
      <c r="T25" s="55">
        <v>351</v>
      </c>
      <c r="U25" s="55">
        <v>449</v>
      </c>
      <c r="V25" s="34" t="s">
        <v>25</v>
      </c>
      <c r="W25" s="43">
        <v>44279</v>
      </c>
      <c r="X25" s="44"/>
    </row>
    <row r="26" spans="1:24" ht="17.45" customHeight="1" x14ac:dyDescent="0.25">
      <c r="A26" t="str">
        <f t="shared" si="4"/>
        <v>2453018307442791933071</v>
      </c>
      <c r="B26" s="6">
        <f t="shared" si="0"/>
        <v>44279</v>
      </c>
      <c r="C26" s="3">
        <f t="shared" si="1"/>
        <v>1933071</v>
      </c>
      <c r="D26" s="34">
        <v>2021</v>
      </c>
      <c r="E26" s="35">
        <v>2453018307</v>
      </c>
      <c r="F26" s="36" t="s">
        <v>54</v>
      </c>
      <c r="G26" s="37">
        <v>18042000</v>
      </c>
      <c r="H26" s="37">
        <v>1933071</v>
      </c>
      <c r="I26" s="38">
        <f t="shared" si="10"/>
        <v>0.10714283338875956</v>
      </c>
      <c r="J26" s="38"/>
      <c r="K26" s="37">
        <v>18042000</v>
      </c>
      <c r="L26" s="37">
        <f t="shared" si="11"/>
        <v>1933071</v>
      </c>
      <c r="M26" s="39">
        <v>0</v>
      </c>
      <c r="N26" s="37">
        <f>+L26-M26</f>
        <v>1933071</v>
      </c>
      <c r="O26" s="40">
        <f t="shared" si="8"/>
        <v>773228</v>
      </c>
      <c r="P26" s="41"/>
      <c r="Q26" s="55">
        <v>1489</v>
      </c>
      <c r="R26" s="42">
        <f t="shared" si="9"/>
        <v>1159843</v>
      </c>
      <c r="S26" s="55">
        <v>1490</v>
      </c>
      <c r="T26" s="55">
        <v>353</v>
      </c>
      <c r="U26" s="55">
        <v>450</v>
      </c>
      <c r="V26" s="34" t="s">
        <v>25</v>
      </c>
      <c r="W26" s="43">
        <v>44279</v>
      </c>
      <c r="X26" s="44"/>
    </row>
    <row r="27" spans="1:24" ht="17.45" customHeight="1" x14ac:dyDescent="0.25">
      <c r="A27" t="str">
        <f t="shared" si="4"/>
        <v>2910901169442795308344</v>
      </c>
      <c r="B27" s="6">
        <f t="shared" si="0"/>
        <v>44434</v>
      </c>
      <c r="C27" s="3">
        <f t="shared" si="1"/>
        <v>5308344</v>
      </c>
      <c r="D27" s="34">
        <v>2021</v>
      </c>
      <c r="E27" s="35">
        <v>2910901169</v>
      </c>
      <c r="F27" s="36" t="s">
        <v>55</v>
      </c>
      <c r="G27" s="37">
        <v>49793510</v>
      </c>
      <c r="H27" s="37">
        <v>5335019</v>
      </c>
      <c r="I27" s="38">
        <f t="shared" si="10"/>
        <v>0.10714285857735276</v>
      </c>
      <c r="J27" s="38"/>
      <c r="K27" s="37">
        <v>49544542</v>
      </c>
      <c r="L27" s="37">
        <f t="shared" si="11"/>
        <v>5308344</v>
      </c>
      <c r="M27" s="39">
        <v>989610</v>
      </c>
      <c r="N27" s="37">
        <f>+L27-M27</f>
        <v>4318734</v>
      </c>
      <c r="O27" s="40">
        <f t="shared" si="8"/>
        <v>1727494</v>
      </c>
      <c r="P27" s="41"/>
      <c r="Q27" s="55">
        <v>1491</v>
      </c>
      <c r="R27" s="42">
        <f t="shared" si="9"/>
        <v>2591240</v>
      </c>
      <c r="S27" s="55">
        <v>1492</v>
      </c>
      <c r="T27" s="55">
        <v>354</v>
      </c>
      <c r="U27" s="55">
        <v>451</v>
      </c>
      <c r="V27" s="34" t="s">
        <v>25</v>
      </c>
      <c r="W27" s="43">
        <v>44279</v>
      </c>
      <c r="X27" s="44"/>
    </row>
    <row r="28" spans="1:24" ht="17.45" customHeight="1" x14ac:dyDescent="0.25">
      <c r="A28" t="str">
        <f t="shared" si="4"/>
        <v>29109058784427919860040</v>
      </c>
      <c r="B28" s="6">
        <f t="shared" si="0"/>
        <v>44279</v>
      </c>
      <c r="C28" s="3">
        <f t="shared" si="1"/>
        <v>19860040</v>
      </c>
      <c r="D28" s="34">
        <v>2021</v>
      </c>
      <c r="E28" s="35">
        <v>2910905878</v>
      </c>
      <c r="F28" s="36" t="s">
        <v>56</v>
      </c>
      <c r="G28" s="37">
        <v>438947360</v>
      </c>
      <c r="H28" s="37">
        <v>47030074</v>
      </c>
      <c r="I28" s="38">
        <f t="shared" si="10"/>
        <v>0.10714285649194928</v>
      </c>
      <c r="J28" s="38"/>
      <c r="K28" s="37">
        <v>185360377</v>
      </c>
      <c r="L28" s="37">
        <f t="shared" si="11"/>
        <v>19860040</v>
      </c>
      <c r="M28" s="39">
        <v>0</v>
      </c>
      <c r="N28" s="37">
        <f>+L28-M28</f>
        <v>19860040</v>
      </c>
      <c r="O28" s="40">
        <f t="shared" si="8"/>
        <v>7944016</v>
      </c>
      <c r="P28" s="41"/>
      <c r="Q28" s="55">
        <v>1493</v>
      </c>
      <c r="R28" s="42">
        <f t="shared" si="9"/>
        <v>11916024</v>
      </c>
      <c r="S28" s="55">
        <v>1494</v>
      </c>
      <c r="T28" s="55">
        <v>355</v>
      </c>
      <c r="U28" s="55">
        <v>452</v>
      </c>
      <c r="V28" s="34" t="s">
        <v>25</v>
      </c>
      <c r="W28" s="43">
        <v>44279</v>
      </c>
      <c r="X28" s="44"/>
    </row>
    <row r="29" spans="1:24" ht="17.45" customHeight="1" x14ac:dyDescent="0.25">
      <c r="A29" t="str">
        <f t="shared" si="4"/>
        <v>291090626044279306737224</v>
      </c>
      <c r="B29" s="6">
        <f t="shared" si="0"/>
        <v>44459</v>
      </c>
      <c r="C29" s="3">
        <f t="shared" si="1"/>
        <v>306737224</v>
      </c>
      <c r="D29" s="34">
        <v>2021</v>
      </c>
      <c r="E29" s="35">
        <v>2910906260</v>
      </c>
      <c r="F29" s="36" t="s">
        <v>57</v>
      </c>
      <c r="G29" s="37">
        <v>4300708566</v>
      </c>
      <c r="H29" s="37">
        <v>516085028</v>
      </c>
      <c r="I29" s="38">
        <f t="shared" si="10"/>
        <v>0.12000000001860159</v>
      </c>
      <c r="J29" s="38"/>
      <c r="K29" s="37">
        <v>2556143530</v>
      </c>
      <c r="L29" s="37">
        <f t="shared" si="11"/>
        <v>306737224</v>
      </c>
      <c r="M29" s="39">
        <v>203289922</v>
      </c>
      <c r="N29" s="37">
        <v>50000000</v>
      </c>
      <c r="O29" s="40">
        <f t="shared" si="8"/>
        <v>20000000</v>
      </c>
      <c r="P29" s="41"/>
      <c r="Q29" s="55">
        <v>1495</v>
      </c>
      <c r="R29" s="42">
        <f t="shared" si="9"/>
        <v>30000000</v>
      </c>
      <c r="S29" s="55">
        <v>1496</v>
      </c>
      <c r="T29" s="55">
        <v>356</v>
      </c>
      <c r="U29" s="55">
        <v>453</v>
      </c>
      <c r="V29" s="34" t="s">
        <v>25</v>
      </c>
      <c r="W29" s="43">
        <v>44279</v>
      </c>
      <c r="X29" s="44" t="s">
        <v>58</v>
      </c>
    </row>
    <row r="30" spans="1:24" ht="17.45" customHeight="1" x14ac:dyDescent="0.25">
      <c r="A30" t="str">
        <f t="shared" si="4"/>
        <v>24530183064428123107179</v>
      </c>
      <c r="B30" s="6">
        <f t="shared" si="0"/>
        <v>44281</v>
      </c>
      <c r="C30" s="3">
        <f t="shared" si="1"/>
        <v>23107179</v>
      </c>
      <c r="D30" s="34">
        <v>2021</v>
      </c>
      <c r="E30" s="35">
        <v>2453018306</v>
      </c>
      <c r="F30" s="36" t="s">
        <v>53</v>
      </c>
      <c r="G30" s="37">
        <v>236667000</v>
      </c>
      <c r="H30" s="37">
        <v>25357179</v>
      </c>
      <c r="I30" s="38">
        <f t="shared" si="10"/>
        <v>0.10714285895371978</v>
      </c>
      <c r="J30" s="38"/>
      <c r="K30" s="37">
        <v>215667000</v>
      </c>
      <c r="L30" s="37">
        <f t="shared" si="11"/>
        <v>23107179</v>
      </c>
      <c r="M30" s="39">
        <v>18542880</v>
      </c>
      <c r="N30" s="37">
        <f t="shared" ref="N30:N37" si="12">+L30-M30</f>
        <v>4564299</v>
      </c>
      <c r="O30" s="40">
        <f t="shared" si="8"/>
        <v>1825720</v>
      </c>
      <c r="P30" s="41"/>
      <c r="Q30" s="55">
        <v>1546</v>
      </c>
      <c r="R30" s="42">
        <f t="shared" si="9"/>
        <v>2738579</v>
      </c>
      <c r="S30" s="55">
        <v>1547</v>
      </c>
      <c r="T30" s="55">
        <v>449</v>
      </c>
      <c r="U30" s="55">
        <v>714</v>
      </c>
      <c r="V30" s="34" t="s">
        <v>25</v>
      </c>
      <c r="W30" s="43">
        <v>44281</v>
      </c>
      <c r="X30" s="44" t="s">
        <v>59</v>
      </c>
    </row>
    <row r="31" spans="1:24" ht="17.45" customHeight="1" x14ac:dyDescent="0.25">
      <c r="A31" t="str">
        <f t="shared" si="4"/>
        <v>29109067214429110155046</v>
      </c>
      <c r="B31" s="6">
        <f t="shared" si="0"/>
        <v>44406</v>
      </c>
      <c r="C31" s="3">
        <f t="shared" si="1"/>
        <v>10897200</v>
      </c>
      <c r="D31" s="34">
        <v>2021</v>
      </c>
      <c r="E31" s="35">
        <v>2910906721</v>
      </c>
      <c r="F31" s="36" t="s">
        <v>60</v>
      </c>
      <c r="G31" s="37">
        <v>90810000</v>
      </c>
      <c r="H31" s="37">
        <v>10897200</v>
      </c>
      <c r="I31" s="38">
        <f t="shared" si="10"/>
        <v>0.12</v>
      </c>
      <c r="J31" s="38"/>
      <c r="K31" s="37">
        <v>84625384</v>
      </c>
      <c r="L31" s="37">
        <f t="shared" si="11"/>
        <v>10155046</v>
      </c>
      <c r="M31" s="39">
        <v>0</v>
      </c>
      <c r="N31" s="37">
        <f t="shared" si="12"/>
        <v>10155046</v>
      </c>
      <c r="O31" s="40">
        <f t="shared" si="8"/>
        <v>4062018</v>
      </c>
      <c r="P31" s="41"/>
      <c r="Q31" s="55">
        <v>1596</v>
      </c>
      <c r="R31" s="42">
        <f t="shared" si="9"/>
        <v>6093028</v>
      </c>
      <c r="S31" s="55">
        <v>1597</v>
      </c>
      <c r="T31" s="55">
        <v>502</v>
      </c>
      <c r="U31" s="55">
        <v>760</v>
      </c>
      <c r="V31" s="34" t="s">
        <v>25</v>
      </c>
      <c r="W31" s="43">
        <v>44291</v>
      </c>
      <c r="X31" s="44"/>
    </row>
    <row r="32" spans="1:24" ht="17.45" customHeight="1" x14ac:dyDescent="0.25">
      <c r="A32" t="str">
        <f t="shared" si="4"/>
        <v>2910906724442914467407</v>
      </c>
      <c r="B32" s="6">
        <f t="shared" si="0"/>
        <v>44291</v>
      </c>
      <c r="C32" s="3">
        <f t="shared" si="1"/>
        <v>4467407</v>
      </c>
      <c r="D32" s="34">
        <v>2021</v>
      </c>
      <c r="E32" s="35">
        <v>2910906724</v>
      </c>
      <c r="F32" s="36" t="s">
        <v>61</v>
      </c>
      <c r="G32" s="37">
        <v>41695800</v>
      </c>
      <c r="H32" s="37">
        <v>4467407</v>
      </c>
      <c r="I32" s="38">
        <f t="shared" si="10"/>
        <v>0.10714285371668129</v>
      </c>
      <c r="J32" s="38"/>
      <c r="K32" s="37">
        <v>41695800</v>
      </c>
      <c r="L32" s="37">
        <f t="shared" si="11"/>
        <v>4467407</v>
      </c>
      <c r="M32" s="39">
        <v>0</v>
      </c>
      <c r="N32" s="37">
        <f t="shared" si="12"/>
        <v>4467407</v>
      </c>
      <c r="O32" s="40">
        <f t="shared" si="8"/>
        <v>1786963</v>
      </c>
      <c r="P32" s="41"/>
      <c r="Q32" s="55">
        <v>1598</v>
      </c>
      <c r="R32" s="42">
        <f t="shared" si="9"/>
        <v>2680444</v>
      </c>
      <c r="S32" s="55">
        <v>1599</v>
      </c>
      <c r="T32" s="55">
        <v>503</v>
      </c>
      <c r="U32" s="55">
        <v>761</v>
      </c>
      <c r="V32" s="34" t="s">
        <v>25</v>
      </c>
      <c r="W32" s="43">
        <v>44291</v>
      </c>
      <c r="X32" s="44"/>
    </row>
    <row r="33" spans="1:24" ht="17.45" customHeight="1" x14ac:dyDescent="0.25">
      <c r="A33" t="str">
        <f t="shared" si="4"/>
        <v>2910908024442933479129</v>
      </c>
      <c r="B33" s="6">
        <f t="shared" si="0"/>
        <v>44293</v>
      </c>
      <c r="C33" s="3">
        <f t="shared" si="1"/>
        <v>3479129</v>
      </c>
      <c r="D33" s="34">
        <v>2021</v>
      </c>
      <c r="E33" s="35">
        <v>2910908024</v>
      </c>
      <c r="F33" s="36" t="s">
        <v>62</v>
      </c>
      <c r="G33" s="37">
        <v>28967499</v>
      </c>
      <c r="H33" s="37">
        <v>3479129</v>
      </c>
      <c r="I33" s="38">
        <f t="shared" si="10"/>
        <v>0.1201045696074763</v>
      </c>
      <c r="J33" s="38"/>
      <c r="K33" s="37">
        <v>28967499</v>
      </c>
      <c r="L33" s="37">
        <f t="shared" si="11"/>
        <v>3479129</v>
      </c>
      <c r="M33" s="39">
        <v>0</v>
      </c>
      <c r="N33" s="37">
        <f t="shared" si="12"/>
        <v>3479129</v>
      </c>
      <c r="O33" s="40">
        <v>3479129</v>
      </c>
      <c r="P33" s="41"/>
      <c r="Q33" s="55">
        <v>1766</v>
      </c>
      <c r="R33" s="42">
        <v>0</v>
      </c>
      <c r="S33" s="55">
        <v>0</v>
      </c>
      <c r="T33" s="55">
        <v>504</v>
      </c>
      <c r="U33" s="55">
        <v>768</v>
      </c>
      <c r="V33" s="34" t="s">
        <v>25</v>
      </c>
      <c r="W33" s="43">
        <v>44293</v>
      </c>
      <c r="X33" s="44"/>
    </row>
    <row r="34" spans="1:24" ht="17.45" customHeight="1" x14ac:dyDescent="0.25">
      <c r="A34" t="str">
        <f t="shared" si="4"/>
        <v>291090631544294110362094</v>
      </c>
      <c r="B34" s="6">
        <f t="shared" si="0"/>
        <v>44375</v>
      </c>
      <c r="C34" s="3">
        <f t="shared" si="1"/>
        <v>122624549</v>
      </c>
      <c r="D34" s="34">
        <v>2021</v>
      </c>
      <c r="E34" s="35">
        <v>2910906315</v>
      </c>
      <c r="F34" s="36" t="s">
        <v>63</v>
      </c>
      <c r="G34" s="37">
        <v>1144495782</v>
      </c>
      <c r="H34" s="37">
        <v>122624549</v>
      </c>
      <c r="I34" s="38">
        <f t="shared" si="10"/>
        <v>0.10714285795419384</v>
      </c>
      <c r="J34" s="38"/>
      <c r="K34" s="37">
        <f>840262114+189784089</f>
        <v>1030046203</v>
      </c>
      <c r="L34" s="37">
        <f t="shared" si="11"/>
        <v>110362094</v>
      </c>
      <c r="M34" s="39">
        <v>69140917</v>
      </c>
      <c r="N34" s="37">
        <f t="shared" si="12"/>
        <v>41221177</v>
      </c>
      <c r="O34" s="40">
        <f>ROUND((N34*40%),0)</f>
        <v>16488471</v>
      </c>
      <c r="P34" s="41"/>
      <c r="Q34" s="55">
        <v>1935</v>
      </c>
      <c r="R34" s="42">
        <f>+N34-O34</f>
        <v>24732706</v>
      </c>
      <c r="S34" s="55">
        <v>1936</v>
      </c>
      <c r="T34" s="55">
        <v>508</v>
      </c>
      <c r="U34" s="55">
        <v>790</v>
      </c>
      <c r="V34" s="34" t="s">
        <v>25</v>
      </c>
      <c r="W34" s="43">
        <v>44294</v>
      </c>
      <c r="X34" s="44"/>
    </row>
    <row r="35" spans="1:24" ht="17.45" customHeight="1" x14ac:dyDescent="0.25">
      <c r="A35" t="str">
        <f t="shared" si="4"/>
        <v>29109080084429412414836</v>
      </c>
      <c r="B35" s="6">
        <f t="shared" si="0"/>
        <v>44294</v>
      </c>
      <c r="C35" s="3">
        <f t="shared" si="1"/>
        <v>12414836</v>
      </c>
      <c r="D35" s="34">
        <v>2021</v>
      </c>
      <c r="E35" s="35">
        <v>2910908008</v>
      </c>
      <c r="F35" s="36" t="s">
        <v>64</v>
      </c>
      <c r="G35" s="37">
        <v>115871800</v>
      </c>
      <c r="H35" s="37">
        <v>12414836</v>
      </c>
      <c r="I35" s="38">
        <f t="shared" si="10"/>
        <v>0.10714285960863644</v>
      </c>
      <c r="J35" s="38"/>
      <c r="K35" s="37">
        <v>115871800</v>
      </c>
      <c r="L35" s="37">
        <f t="shared" si="11"/>
        <v>12414836</v>
      </c>
      <c r="M35" s="39">
        <v>12127836</v>
      </c>
      <c r="N35" s="37">
        <f t="shared" si="12"/>
        <v>287000</v>
      </c>
      <c r="O35" s="40">
        <f>ROUND((N35*100%),0)</f>
        <v>287000</v>
      </c>
      <c r="P35" s="41"/>
      <c r="Q35" s="55">
        <v>1937</v>
      </c>
      <c r="R35" s="42">
        <v>0</v>
      </c>
      <c r="S35" s="55">
        <v>0</v>
      </c>
      <c r="T35" s="55">
        <v>509</v>
      </c>
      <c r="U35" s="55">
        <v>791</v>
      </c>
      <c r="V35" s="34" t="s">
        <v>25</v>
      </c>
      <c r="W35" s="43">
        <v>44294</v>
      </c>
      <c r="X35" s="44"/>
    </row>
    <row r="36" spans="1:24" ht="17.45" customHeight="1" x14ac:dyDescent="0.25">
      <c r="A36" t="str">
        <f t="shared" si="4"/>
        <v>2910908021442953644222</v>
      </c>
      <c r="B36" s="6">
        <f t="shared" si="0"/>
        <v>44295</v>
      </c>
      <c r="C36" s="3">
        <f t="shared" si="1"/>
        <v>3644222</v>
      </c>
      <c r="D36" s="34">
        <v>2021</v>
      </c>
      <c r="E36" s="35">
        <v>2910908021</v>
      </c>
      <c r="F36" s="36" t="s">
        <v>65</v>
      </c>
      <c r="G36" s="37">
        <v>30368519</v>
      </c>
      <c r="H36" s="37">
        <v>3644222</v>
      </c>
      <c r="I36" s="38">
        <f t="shared" si="10"/>
        <v>0.11999999077992575</v>
      </c>
      <c r="J36" s="38"/>
      <c r="K36" s="37">
        <v>30368519</v>
      </c>
      <c r="L36" s="37">
        <f t="shared" si="11"/>
        <v>3644222</v>
      </c>
      <c r="M36" s="39">
        <v>0</v>
      </c>
      <c r="N36" s="37">
        <f t="shared" si="12"/>
        <v>3644222</v>
      </c>
      <c r="O36" s="40">
        <f>ROUND((N36*100%),0)</f>
        <v>3644222</v>
      </c>
      <c r="P36" s="41"/>
      <c r="Q36" s="55">
        <v>1938</v>
      </c>
      <c r="R36" s="42">
        <v>0</v>
      </c>
      <c r="S36" s="55">
        <v>0</v>
      </c>
      <c r="T36" s="55">
        <v>514</v>
      </c>
      <c r="U36" s="55">
        <v>804</v>
      </c>
      <c r="V36" s="34" t="s">
        <v>25</v>
      </c>
      <c r="W36" s="43">
        <v>44295</v>
      </c>
      <c r="X36" s="44"/>
    </row>
    <row r="37" spans="1:24" ht="17.45" customHeight="1" x14ac:dyDescent="0.25">
      <c r="A37" t="str">
        <f t="shared" si="4"/>
        <v>2910908023442957268322</v>
      </c>
      <c r="B37" s="6">
        <f t="shared" si="0"/>
        <v>44295</v>
      </c>
      <c r="C37" s="3">
        <f t="shared" si="1"/>
        <v>7268322</v>
      </c>
      <c r="D37" s="34">
        <v>2021</v>
      </c>
      <c r="E37" s="35">
        <v>2910908023</v>
      </c>
      <c r="F37" s="36" t="s">
        <v>66</v>
      </c>
      <c r="G37" s="37">
        <v>60569350</v>
      </c>
      <c r="H37" s="37">
        <v>7268322</v>
      </c>
      <c r="I37" s="38">
        <f t="shared" si="10"/>
        <v>0.12</v>
      </c>
      <c r="J37" s="38"/>
      <c r="K37" s="37">
        <v>60569350</v>
      </c>
      <c r="L37" s="37">
        <f t="shared" si="11"/>
        <v>7268322</v>
      </c>
      <c r="M37" s="39">
        <v>0</v>
      </c>
      <c r="N37" s="37">
        <f t="shared" si="12"/>
        <v>7268322</v>
      </c>
      <c r="O37" s="40">
        <f>ROUND((N37*100%),0)</f>
        <v>7268322</v>
      </c>
      <c r="P37" s="41"/>
      <c r="Q37" s="55">
        <v>1939</v>
      </c>
      <c r="R37" s="42">
        <v>0</v>
      </c>
      <c r="S37" s="55">
        <v>0</v>
      </c>
      <c r="T37" s="55">
        <v>515</v>
      </c>
      <c r="U37" s="55">
        <v>823</v>
      </c>
      <c r="V37" s="34" t="s">
        <v>25</v>
      </c>
      <c r="W37" s="43">
        <v>44295</v>
      </c>
      <c r="X37" s="44"/>
    </row>
    <row r="38" spans="1:24" ht="17.45" customHeight="1" x14ac:dyDescent="0.25">
      <c r="A38" t="str">
        <f t="shared" si="4"/>
        <v>2910906629443015857500</v>
      </c>
      <c r="B38" s="6">
        <f t="shared" si="0"/>
        <v>44770</v>
      </c>
      <c r="C38" s="3">
        <f t="shared" si="1"/>
        <v>6214482</v>
      </c>
      <c r="D38" s="34">
        <v>2021</v>
      </c>
      <c r="E38" s="35">
        <v>2910906629</v>
      </c>
      <c r="F38" s="36" t="s">
        <v>67</v>
      </c>
      <c r="G38" s="37">
        <v>54670000</v>
      </c>
      <c r="H38" s="37">
        <v>5857500</v>
      </c>
      <c r="I38" s="38">
        <f t="shared" si="10"/>
        <v>0.10714285714285714</v>
      </c>
      <c r="J38" s="38"/>
      <c r="K38" s="37">
        <v>54670000</v>
      </c>
      <c r="L38" s="37">
        <f>+K38*I38</f>
        <v>5857500</v>
      </c>
      <c r="M38" s="39">
        <v>0</v>
      </c>
      <c r="N38" s="37">
        <v>5591250</v>
      </c>
      <c r="O38" s="40">
        <f>ROUND((N38*100%),0)</f>
        <v>5591250</v>
      </c>
      <c r="P38" s="41"/>
      <c r="Q38" s="55">
        <v>1973</v>
      </c>
      <c r="R38" s="42">
        <v>0</v>
      </c>
      <c r="S38" s="55">
        <v>0</v>
      </c>
      <c r="T38" s="55">
        <v>544</v>
      </c>
      <c r="U38" s="55">
        <v>871</v>
      </c>
      <c r="V38" s="34" t="s">
        <v>25</v>
      </c>
      <c r="W38" s="43">
        <v>44301</v>
      </c>
      <c r="X38" s="44" t="s">
        <v>68</v>
      </c>
    </row>
    <row r="39" spans="1:24" ht="17.45" customHeight="1" x14ac:dyDescent="0.25">
      <c r="A39" t="str">
        <f t="shared" si="4"/>
        <v>2910908005443012413200</v>
      </c>
      <c r="B39" s="6">
        <f t="shared" si="0"/>
        <v>44301</v>
      </c>
      <c r="C39" s="3">
        <f t="shared" si="1"/>
        <v>2413200</v>
      </c>
      <c r="D39" s="34">
        <v>2021</v>
      </c>
      <c r="E39" s="35">
        <v>2910908005</v>
      </c>
      <c r="F39" s="36" t="s">
        <v>69</v>
      </c>
      <c r="G39" s="37">
        <v>20110000</v>
      </c>
      <c r="H39" s="37">
        <v>2413200</v>
      </c>
      <c r="I39" s="38">
        <f t="shared" si="10"/>
        <v>0.12</v>
      </c>
      <c r="J39" s="38"/>
      <c r="K39" s="37">
        <v>20110000</v>
      </c>
      <c r="L39" s="37">
        <f>+K39*I39</f>
        <v>2413200</v>
      </c>
      <c r="M39" s="39">
        <v>1733400</v>
      </c>
      <c r="N39" s="37">
        <f t="shared" ref="N39:N46" si="13">+L39-M39</f>
        <v>679800</v>
      </c>
      <c r="O39" s="40">
        <f>ROUND((N39*100%),0)</f>
        <v>679800</v>
      </c>
      <c r="P39" s="41"/>
      <c r="Q39" s="55">
        <v>1974</v>
      </c>
      <c r="R39" s="42">
        <v>0</v>
      </c>
      <c r="S39" s="55">
        <v>0</v>
      </c>
      <c r="T39" s="55">
        <v>545</v>
      </c>
      <c r="U39" s="55">
        <v>872</v>
      </c>
      <c r="V39" s="34" t="s">
        <v>25</v>
      </c>
      <c r="W39" s="43">
        <v>44301</v>
      </c>
      <c r="X39" s="44"/>
    </row>
    <row r="40" spans="1:24" ht="17.45" customHeight="1" x14ac:dyDescent="0.25">
      <c r="A40" t="str">
        <f t="shared" si="4"/>
        <v>29109067194430816379464</v>
      </c>
      <c r="B40" s="6">
        <f t="shared" si="0"/>
        <v>44529</v>
      </c>
      <c r="C40" s="3">
        <f t="shared" si="1"/>
        <v>71236607</v>
      </c>
      <c r="D40" s="34">
        <v>2021</v>
      </c>
      <c r="E40" s="35">
        <v>2910906719</v>
      </c>
      <c r="F40" s="36" t="s">
        <v>70</v>
      </c>
      <c r="G40" s="37">
        <v>664875000</v>
      </c>
      <c r="H40" s="37">
        <v>71236607</v>
      </c>
      <c r="I40" s="38">
        <f t="shared" si="10"/>
        <v>0.10714285692799398</v>
      </c>
      <c r="J40" s="38"/>
      <c r="K40" s="37">
        <v>152875000</v>
      </c>
      <c r="L40" s="37">
        <f t="shared" ref="L40:L56" si="14">ROUND((+K40*I40),0)</f>
        <v>16379464</v>
      </c>
      <c r="M40" s="39">
        <v>0</v>
      </c>
      <c r="N40" s="37">
        <f t="shared" si="13"/>
        <v>16379464</v>
      </c>
      <c r="O40" s="40">
        <f>ROUND((N40*40%),0)</f>
        <v>6551786</v>
      </c>
      <c r="P40" s="41"/>
      <c r="Q40" s="55">
        <v>2467</v>
      </c>
      <c r="R40" s="42">
        <f t="shared" ref="R40:R56" si="15">+N40-O40</f>
        <v>9827678</v>
      </c>
      <c r="S40" s="55">
        <v>2468</v>
      </c>
      <c r="T40" s="55">
        <v>594</v>
      </c>
      <c r="U40" s="55">
        <v>958</v>
      </c>
      <c r="V40" s="34" t="s">
        <v>25</v>
      </c>
      <c r="W40" s="43">
        <v>44308</v>
      </c>
      <c r="X40" s="44"/>
    </row>
    <row r="41" spans="1:24" ht="17.45" customHeight="1" x14ac:dyDescent="0.25">
      <c r="A41" t="str">
        <f t="shared" si="4"/>
        <v>24530183024430880828827</v>
      </c>
      <c r="B41" s="6">
        <f t="shared" si="0"/>
        <v>44434</v>
      </c>
      <c r="C41" s="3">
        <f t="shared" si="1"/>
        <v>89809808</v>
      </c>
      <c r="D41" s="34">
        <v>2021</v>
      </c>
      <c r="E41" s="35">
        <v>2453018302</v>
      </c>
      <c r="F41" s="36" t="s">
        <v>36</v>
      </c>
      <c r="G41" s="37">
        <v>838224872</v>
      </c>
      <c r="H41" s="37">
        <v>89809808</v>
      </c>
      <c r="I41" s="38">
        <f t="shared" si="10"/>
        <v>0.10714285748371351</v>
      </c>
      <c r="J41" s="38"/>
      <c r="K41" s="37">
        <v>754402385</v>
      </c>
      <c r="L41" s="37">
        <f t="shared" si="14"/>
        <v>80828827</v>
      </c>
      <c r="M41" s="39">
        <v>62866866</v>
      </c>
      <c r="N41" s="37">
        <f t="shared" si="13"/>
        <v>17961961</v>
      </c>
      <c r="O41" s="40">
        <f>ROUND((N41*40%),0)</f>
        <v>7184784</v>
      </c>
      <c r="P41" s="41"/>
      <c r="Q41" s="55">
        <v>2227</v>
      </c>
      <c r="R41" s="42">
        <f t="shared" si="15"/>
        <v>10777177</v>
      </c>
      <c r="S41" s="55">
        <v>2228</v>
      </c>
      <c r="T41" s="55">
        <v>325</v>
      </c>
      <c r="U41" s="55">
        <v>317</v>
      </c>
      <c r="V41" s="34" t="s">
        <v>25</v>
      </c>
      <c r="W41" s="43">
        <v>44308</v>
      </c>
      <c r="X41" s="44"/>
    </row>
    <row r="42" spans="1:24" ht="17.45" customHeight="1" x14ac:dyDescent="0.25">
      <c r="A42" t="str">
        <f t="shared" si="4"/>
        <v>24530183024430889199094</v>
      </c>
      <c r="B42" s="6">
        <f t="shared" si="0"/>
        <v>44434</v>
      </c>
      <c r="C42" s="3">
        <f t="shared" si="1"/>
        <v>89809808</v>
      </c>
      <c r="D42" s="34">
        <v>2021</v>
      </c>
      <c r="E42" s="35">
        <v>2453018302</v>
      </c>
      <c r="F42" s="36" t="s">
        <v>36</v>
      </c>
      <c r="G42" s="37">
        <v>838224872</v>
      </c>
      <c r="H42" s="37">
        <v>89809808</v>
      </c>
      <c r="I42" s="38">
        <f t="shared" si="10"/>
        <v>0.10714285748371351</v>
      </c>
      <c r="J42" s="38"/>
      <c r="K42" s="37">
        <v>832524872</v>
      </c>
      <c r="L42" s="37">
        <f t="shared" si="14"/>
        <v>89199094</v>
      </c>
      <c r="M42" s="39">
        <f>62866866+17961961</f>
        <v>80828827</v>
      </c>
      <c r="N42" s="37">
        <f t="shared" si="13"/>
        <v>8370267</v>
      </c>
      <c r="O42" s="40">
        <f>ROUND((N42*40%),0)</f>
        <v>3348107</v>
      </c>
      <c r="P42" s="41"/>
      <c r="Q42" s="55">
        <v>2469</v>
      </c>
      <c r="R42" s="42">
        <f t="shared" si="15"/>
        <v>5022160</v>
      </c>
      <c r="S42" s="55">
        <v>2470</v>
      </c>
      <c r="T42" s="55">
        <v>595</v>
      </c>
      <c r="U42" s="55">
        <v>959</v>
      </c>
      <c r="V42" s="34" t="s">
        <v>25</v>
      </c>
      <c r="W42" s="43">
        <v>44308</v>
      </c>
      <c r="X42" s="44"/>
    </row>
    <row r="43" spans="1:24" ht="17.45" customHeight="1" x14ac:dyDescent="0.25">
      <c r="A43" t="str">
        <f t="shared" si="4"/>
        <v>24530134064431264237720</v>
      </c>
      <c r="B43" s="6">
        <f t="shared" si="0"/>
        <v>44498</v>
      </c>
      <c r="C43" s="3">
        <f t="shared" si="1"/>
        <v>68202670</v>
      </c>
      <c r="D43" s="34">
        <v>2021</v>
      </c>
      <c r="E43" s="35">
        <v>2453013406</v>
      </c>
      <c r="F43" s="36" t="s">
        <v>71</v>
      </c>
      <c r="G43" s="37">
        <v>628595167</v>
      </c>
      <c r="H43" s="37">
        <v>71375244</v>
      </c>
      <c r="I43" s="38">
        <f t="shared" si="10"/>
        <v>0.11354723635665497</v>
      </c>
      <c r="J43" s="38"/>
      <c r="K43" s="37">
        <v>565735650</v>
      </c>
      <c r="L43" s="37">
        <f t="shared" si="14"/>
        <v>64237720</v>
      </c>
      <c r="M43" s="39">
        <v>0</v>
      </c>
      <c r="N43" s="37">
        <f t="shared" si="13"/>
        <v>64237720</v>
      </c>
      <c r="O43" s="40">
        <f>ROUND((N43*40%),0)</f>
        <v>25695088</v>
      </c>
      <c r="P43" s="41"/>
      <c r="Q43" s="55">
        <v>2447</v>
      </c>
      <c r="R43" s="42">
        <f t="shared" si="15"/>
        <v>38542632</v>
      </c>
      <c r="S43" s="55">
        <v>2448</v>
      </c>
      <c r="T43" s="55">
        <v>596</v>
      </c>
      <c r="U43" s="55">
        <v>964</v>
      </c>
      <c r="V43" s="34" t="s">
        <v>25</v>
      </c>
      <c r="W43" s="43">
        <v>44312</v>
      </c>
      <c r="X43" s="44"/>
    </row>
    <row r="44" spans="1:24" ht="17.45" customHeight="1" x14ac:dyDescent="0.25">
      <c r="A44" t="str">
        <f t="shared" si="4"/>
        <v>24530183044431211640000</v>
      </c>
      <c r="B44" s="6">
        <f t="shared" si="0"/>
        <v>44312</v>
      </c>
      <c r="C44" s="3">
        <f t="shared" si="1"/>
        <v>11640000</v>
      </c>
      <c r="D44" s="34">
        <v>2021</v>
      </c>
      <c r="E44" s="35">
        <v>2453018304</v>
      </c>
      <c r="F44" s="36" t="s">
        <v>72</v>
      </c>
      <c r="G44" s="37">
        <v>97000000</v>
      </c>
      <c r="H44" s="37">
        <v>11640000</v>
      </c>
      <c r="I44" s="38">
        <f t="shared" si="10"/>
        <v>0.12</v>
      </c>
      <c r="J44" s="38"/>
      <c r="K44" s="37">
        <v>97000000</v>
      </c>
      <c r="L44" s="37">
        <f t="shared" si="14"/>
        <v>11640000</v>
      </c>
      <c r="M44" s="39">
        <v>0</v>
      </c>
      <c r="N44" s="37">
        <f t="shared" si="13"/>
        <v>11640000</v>
      </c>
      <c r="O44" s="40">
        <f>ROUND((N44*100%),0)</f>
        <v>11640000</v>
      </c>
      <c r="P44" s="41"/>
      <c r="Q44" s="55">
        <v>2449</v>
      </c>
      <c r="R44" s="42">
        <f t="shared" si="15"/>
        <v>0</v>
      </c>
      <c r="S44" s="55">
        <v>0</v>
      </c>
      <c r="T44" s="55">
        <v>597</v>
      </c>
      <c r="U44" s="55">
        <v>965</v>
      </c>
      <c r="V44" s="34" t="s">
        <v>25</v>
      </c>
      <c r="W44" s="43">
        <v>44312</v>
      </c>
      <c r="X44" s="44"/>
    </row>
    <row r="45" spans="1:24" ht="17.45" customHeight="1" x14ac:dyDescent="0.25">
      <c r="A45" t="str">
        <f t="shared" si="4"/>
        <v>2453018309443125357143</v>
      </c>
      <c r="B45" s="6">
        <f t="shared" si="0"/>
        <v>44463</v>
      </c>
      <c r="C45" s="3">
        <f t="shared" si="1"/>
        <v>10714286</v>
      </c>
      <c r="D45" s="34">
        <v>2021</v>
      </c>
      <c r="E45" s="35">
        <v>2453018309</v>
      </c>
      <c r="F45" s="36" t="s">
        <v>73</v>
      </c>
      <c r="G45" s="37">
        <v>100000000</v>
      </c>
      <c r="H45" s="37">
        <v>10714286</v>
      </c>
      <c r="I45" s="38">
        <f t="shared" si="10"/>
        <v>0.10714286000000001</v>
      </c>
      <c r="J45" s="38"/>
      <c r="K45" s="37">
        <v>50000000</v>
      </c>
      <c r="L45" s="37">
        <f t="shared" si="14"/>
        <v>5357143</v>
      </c>
      <c r="M45" s="39">
        <v>0</v>
      </c>
      <c r="N45" s="37">
        <f t="shared" si="13"/>
        <v>5357143</v>
      </c>
      <c r="O45" s="40">
        <f>ROUND((N45*100%),0)</f>
        <v>5357143</v>
      </c>
      <c r="P45" s="41"/>
      <c r="Q45" s="55">
        <v>2450</v>
      </c>
      <c r="R45" s="42">
        <f t="shared" si="15"/>
        <v>0</v>
      </c>
      <c r="S45" s="55">
        <v>0</v>
      </c>
      <c r="T45" s="55">
        <v>598</v>
      </c>
      <c r="U45" s="55">
        <v>966</v>
      </c>
      <c r="V45" s="34" t="s">
        <v>25</v>
      </c>
      <c r="W45" s="43">
        <v>44312</v>
      </c>
      <c r="X45" s="44"/>
    </row>
    <row r="46" spans="1:24" ht="17.45" customHeight="1" x14ac:dyDescent="0.25">
      <c r="A46" t="str">
        <f t="shared" si="4"/>
        <v>2910905961443121087367431</v>
      </c>
      <c r="B46" s="6">
        <f t="shared" si="0"/>
        <v>44498</v>
      </c>
      <c r="C46" s="3">
        <f t="shared" si="1"/>
        <v>1224203654</v>
      </c>
      <c r="D46" s="34">
        <v>2021</v>
      </c>
      <c r="E46" s="35">
        <v>2910905961</v>
      </c>
      <c r="F46" s="36" t="s">
        <v>34</v>
      </c>
      <c r="G46" s="37">
        <v>9849652066</v>
      </c>
      <c r="H46" s="37">
        <v>1114245965</v>
      </c>
      <c r="I46" s="38">
        <f t="shared" si="10"/>
        <v>0.11312541372362421</v>
      </c>
      <c r="J46" s="38"/>
      <c r="K46" s="37">
        <v>9612052631</v>
      </c>
      <c r="L46" s="37">
        <f t="shared" si="14"/>
        <v>1087367431</v>
      </c>
      <c r="M46" s="39">
        <v>982934233</v>
      </c>
      <c r="N46" s="37">
        <f t="shared" si="13"/>
        <v>104433198</v>
      </c>
      <c r="O46" s="40">
        <f>ROUND((N46*40%),0)</f>
        <v>41773279</v>
      </c>
      <c r="P46" s="41"/>
      <c r="Q46" s="55">
        <v>2451</v>
      </c>
      <c r="R46" s="42">
        <f t="shared" si="15"/>
        <v>62659919</v>
      </c>
      <c r="S46" s="55">
        <v>2452</v>
      </c>
      <c r="T46" s="55">
        <v>599</v>
      </c>
      <c r="U46" s="55">
        <v>967</v>
      </c>
      <c r="V46" s="34" t="s">
        <v>25</v>
      </c>
      <c r="W46" s="43">
        <v>44312</v>
      </c>
      <c r="X46" s="44"/>
    </row>
    <row r="47" spans="1:24" ht="17.45" customHeight="1" x14ac:dyDescent="0.25">
      <c r="A47" t="str">
        <f t="shared" si="4"/>
        <v>291090637044312246085114</v>
      </c>
      <c r="B47" s="6">
        <f t="shared" si="0"/>
        <v>45530</v>
      </c>
      <c r="C47" s="3">
        <f t="shared" si="1"/>
        <v>467234191.89532739</v>
      </c>
      <c r="D47" s="34">
        <v>2018</v>
      </c>
      <c r="E47" s="35">
        <v>2910906370</v>
      </c>
      <c r="F47" s="36" t="s">
        <v>74</v>
      </c>
      <c r="G47" s="37">
        <v>3829020000</v>
      </c>
      <c r="H47" s="37">
        <v>410252143</v>
      </c>
      <c r="I47" s="38">
        <f t="shared" si="10"/>
        <v>0.10714285718016621</v>
      </c>
      <c r="J47" s="38"/>
      <c r="K47" s="37">
        <v>2296794396</v>
      </c>
      <c r="L47" s="37">
        <f t="shared" si="14"/>
        <v>246085114</v>
      </c>
      <c r="M47" s="39">
        <v>158563039</v>
      </c>
      <c r="N47" s="37">
        <v>246085114</v>
      </c>
      <c r="O47" s="40">
        <f>ROUND((N47*40%),0)</f>
        <v>98434046</v>
      </c>
      <c r="P47" s="41"/>
      <c r="Q47" s="55">
        <v>2453</v>
      </c>
      <c r="R47" s="42">
        <f t="shared" si="15"/>
        <v>147651068</v>
      </c>
      <c r="S47" s="55">
        <v>2454</v>
      </c>
      <c r="T47" s="55">
        <v>600</v>
      </c>
      <c r="U47" s="55">
        <v>968</v>
      </c>
      <c r="V47" s="34" t="s">
        <v>25</v>
      </c>
      <c r="W47" s="43">
        <v>44312</v>
      </c>
      <c r="X47" s="44"/>
    </row>
    <row r="48" spans="1:24" ht="17.45" customHeight="1" x14ac:dyDescent="0.25">
      <c r="A48" t="str">
        <f t="shared" si="4"/>
        <v>291090671044312116734800</v>
      </c>
      <c r="B48" s="6">
        <f t="shared" si="0"/>
        <v>44656</v>
      </c>
      <c r="C48" s="3">
        <f t="shared" si="1"/>
        <v>134694000</v>
      </c>
      <c r="D48" s="34">
        <v>2021</v>
      </c>
      <c r="E48" s="35">
        <v>2910906710</v>
      </c>
      <c r="F48" s="36" t="s">
        <v>75</v>
      </c>
      <c r="G48" s="37">
        <v>1257144000</v>
      </c>
      <c r="H48" s="37">
        <v>134694000</v>
      </c>
      <c r="I48" s="38">
        <f t="shared" si="10"/>
        <v>0.10714285714285714</v>
      </c>
      <c r="J48" s="38"/>
      <c r="K48" s="37">
        <v>1089524800</v>
      </c>
      <c r="L48" s="37">
        <f t="shared" si="14"/>
        <v>116734800</v>
      </c>
      <c r="M48" s="39">
        <v>58367400</v>
      </c>
      <c r="N48" s="37">
        <v>23634355</v>
      </c>
      <c r="O48" s="40">
        <f>ROUND((N48*40%),0)</f>
        <v>9453742</v>
      </c>
      <c r="P48" s="41"/>
      <c r="Q48" s="55">
        <v>2455</v>
      </c>
      <c r="R48" s="42">
        <f t="shared" si="15"/>
        <v>14180613</v>
      </c>
      <c r="S48" s="55">
        <v>2456</v>
      </c>
      <c r="T48" s="55">
        <v>601</v>
      </c>
      <c r="U48" s="55">
        <v>969</v>
      </c>
      <c r="V48" s="34" t="s">
        <v>25</v>
      </c>
      <c r="W48" s="43">
        <v>44312</v>
      </c>
      <c r="X48" s="44" t="s">
        <v>76</v>
      </c>
    </row>
    <row r="49" spans="1:24" ht="17.45" customHeight="1" x14ac:dyDescent="0.25">
      <c r="A49" t="str">
        <f t="shared" si="4"/>
        <v>29109067154431220142865</v>
      </c>
      <c r="B49" s="6">
        <f t="shared" si="0"/>
        <v>44312</v>
      </c>
      <c r="C49" s="3">
        <f t="shared" si="1"/>
        <v>20142865</v>
      </c>
      <c r="D49" s="34">
        <v>2021</v>
      </c>
      <c r="E49" s="35">
        <v>2910906715</v>
      </c>
      <c r="F49" s="36" t="s">
        <v>77</v>
      </c>
      <c r="G49" s="37">
        <v>200000000</v>
      </c>
      <c r="H49" s="37">
        <v>21428580</v>
      </c>
      <c r="I49" s="38">
        <f t="shared" si="10"/>
        <v>0.1071429</v>
      </c>
      <c r="J49" s="38"/>
      <c r="K49" s="37">
        <v>188000000</v>
      </c>
      <c r="L49" s="37">
        <f t="shared" si="14"/>
        <v>20142865</v>
      </c>
      <c r="M49" s="39">
        <v>8057146</v>
      </c>
      <c r="N49" s="37">
        <f t="shared" ref="N49:N56" si="16">+L49-M49</f>
        <v>12085719</v>
      </c>
      <c r="O49" s="40">
        <v>12085719</v>
      </c>
      <c r="P49" s="41"/>
      <c r="Q49" s="55">
        <v>2457</v>
      </c>
      <c r="R49" s="42">
        <f t="shared" si="15"/>
        <v>0</v>
      </c>
      <c r="S49" s="55">
        <v>0</v>
      </c>
      <c r="T49" s="55">
        <v>602</v>
      </c>
      <c r="U49" s="55">
        <v>970</v>
      </c>
      <c r="V49" s="34" t="s">
        <v>25</v>
      </c>
      <c r="W49" s="43">
        <v>44312</v>
      </c>
      <c r="X49" s="44"/>
    </row>
    <row r="50" spans="1:24" ht="17.45" customHeight="1" x14ac:dyDescent="0.25">
      <c r="A50" t="str">
        <f t="shared" si="4"/>
        <v>291090671744312245270004</v>
      </c>
      <c r="B50" s="6">
        <f t="shared" si="0"/>
        <v>44312</v>
      </c>
      <c r="C50" s="3">
        <f t="shared" si="1"/>
        <v>245270004</v>
      </c>
      <c r="D50" s="34">
        <v>2021</v>
      </c>
      <c r="E50" s="35">
        <v>2910906717</v>
      </c>
      <c r="F50" s="36" t="s">
        <v>78</v>
      </c>
      <c r="G50" s="37">
        <v>2289186700</v>
      </c>
      <c r="H50" s="37">
        <v>245270004</v>
      </c>
      <c r="I50" s="38">
        <f t="shared" si="10"/>
        <v>0.10714285733007273</v>
      </c>
      <c r="J50" s="38"/>
      <c r="K50" s="37">
        <v>2289186700</v>
      </c>
      <c r="L50" s="37">
        <f t="shared" si="14"/>
        <v>245270004</v>
      </c>
      <c r="M50" s="39">
        <v>171630690</v>
      </c>
      <c r="N50" s="37">
        <f t="shared" si="16"/>
        <v>73639314</v>
      </c>
      <c r="O50" s="40">
        <f>ROUND((N50*40%),0)</f>
        <v>29455726</v>
      </c>
      <c r="P50" s="41"/>
      <c r="Q50" s="55">
        <v>2471</v>
      </c>
      <c r="R50" s="42">
        <f t="shared" si="15"/>
        <v>44183588</v>
      </c>
      <c r="S50" s="55">
        <v>2472</v>
      </c>
      <c r="T50" s="55">
        <v>623</v>
      </c>
      <c r="U50" s="55">
        <v>989</v>
      </c>
      <c r="V50" s="34" t="s">
        <v>25</v>
      </c>
      <c r="W50" s="43">
        <v>44312</v>
      </c>
      <c r="X50" s="44"/>
    </row>
    <row r="51" spans="1:24" ht="17.45" customHeight="1" x14ac:dyDescent="0.25">
      <c r="A51" t="str">
        <f t="shared" si="4"/>
        <v>29109067164431210289986</v>
      </c>
      <c r="B51" s="6">
        <f t="shared" si="0"/>
        <v>44312</v>
      </c>
      <c r="C51" s="3">
        <f t="shared" si="1"/>
        <v>10289986</v>
      </c>
      <c r="D51" s="34">
        <v>2021</v>
      </c>
      <c r="E51" s="35">
        <v>2910906716</v>
      </c>
      <c r="F51" s="36" t="s">
        <v>79</v>
      </c>
      <c r="G51" s="37">
        <v>96039870</v>
      </c>
      <c r="H51" s="37">
        <v>10289986</v>
      </c>
      <c r="I51" s="38">
        <f t="shared" si="10"/>
        <v>0.10714285639911841</v>
      </c>
      <c r="J51" s="38"/>
      <c r="K51" s="37">
        <v>96039870</v>
      </c>
      <c r="L51" s="37">
        <f t="shared" si="14"/>
        <v>10289986</v>
      </c>
      <c r="M51" s="39">
        <v>0</v>
      </c>
      <c r="N51" s="37">
        <f t="shared" si="16"/>
        <v>10289986</v>
      </c>
      <c r="O51" s="40">
        <v>10289986</v>
      </c>
      <c r="P51" s="41"/>
      <c r="Q51" s="55">
        <v>2458</v>
      </c>
      <c r="R51" s="42">
        <f t="shared" si="15"/>
        <v>0</v>
      </c>
      <c r="S51" s="55">
        <v>0</v>
      </c>
      <c r="T51" s="55">
        <v>603</v>
      </c>
      <c r="U51" s="55">
        <v>971</v>
      </c>
      <c r="V51" s="34" t="s">
        <v>25</v>
      </c>
      <c r="W51" s="43">
        <v>44312</v>
      </c>
      <c r="X51" s="44"/>
    </row>
    <row r="52" spans="1:24" ht="17.45" customHeight="1" x14ac:dyDescent="0.25">
      <c r="A52" t="str">
        <f t="shared" si="4"/>
        <v>29109067234431242529828</v>
      </c>
      <c r="B52" s="6">
        <f t="shared" si="0"/>
        <v>45467</v>
      </c>
      <c r="C52" s="3">
        <f t="shared" si="1"/>
        <v>53971864</v>
      </c>
      <c r="D52" s="34">
        <v>2021</v>
      </c>
      <c r="E52" s="35">
        <v>2910906723</v>
      </c>
      <c r="F52" s="36" t="s">
        <v>80</v>
      </c>
      <c r="G52" s="37">
        <v>503737398</v>
      </c>
      <c r="H52" s="37">
        <v>53971864</v>
      </c>
      <c r="I52" s="38">
        <f t="shared" si="10"/>
        <v>0.10714285700105991</v>
      </c>
      <c r="J52" s="38"/>
      <c r="K52" s="37">
        <v>396945060</v>
      </c>
      <c r="L52" s="37">
        <f t="shared" si="14"/>
        <v>42529828</v>
      </c>
      <c r="M52" s="39">
        <v>0</v>
      </c>
      <c r="N52" s="37">
        <f t="shared" si="16"/>
        <v>42529828</v>
      </c>
      <c r="O52" s="40">
        <v>42529828</v>
      </c>
      <c r="P52" s="41"/>
      <c r="Q52" s="55">
        <v>2459</v>
      </c>
      <c r="R52" s="42">
        <f t="shared" si="15"/>
        <v>0</v>
      </c>
      <c r="S52" s="55">
        <v>0</v>
      </c>
      <c r="T52" s="55">
        <v>604</v>
      </c>
      <c r="U52" s="55">
        <v>972</v>
      </c>
      <c r="V52" s="34" t="s">
        <v>25</v>
      </c>
      <c r="W52" s="43">
        <v>44312</v>
      </c>
      <c r="X52" s="44"/>
    </row>
    <row r="53" spans="1:24" ht="17.45" customHeight="1" x14ac:dyDescent="0.25">
      <c r="A53" t="str">
        <f t="shared" si="4"/>
        <v>2910906725443122695179</v>
      </c>
      <c r="B53" s="6">
        <f t="shared" si="0"/>
        <v>44312</v>
      </c>
      <c r="C53" s="3">
        <f t="shared" si="1"/>
        <v>2695179</v>
      </c>
      <c r="D53" s="34">
        <v>2021</v>
      </c>
      <c r="E53" s="35">
        <v>2910906725</v>
      </c>
      <c r="F53" s="36" t="s">
        <v>81</v>
      </c>
      <c r="G53" s="37">
        <v>86000000</v>
      </c>
      <c r="H53" s="37">
        <v>9214286</v>
      </c>
      <c r="I53" s="38">
        <f t="shared" si="10"/>
        <v>0.10714286046511629</v>
      </c>
      <c r="J53" s="38"/>
      <c r="K53" s="37">
        <v>25155000</v>
      </c>
      <c r="L53" s="37">
        <f t="shared" si="14"/>
        <v>2695179</v>
      </c>
      <c r="M53" s="39">
        <v>0</v>
      </c>
      <c r="N53" s="37">
        <f t="shared" si="16"/>
        <v>2695179</v>
      </c>
      <c r="O53" s="40">
        <f>ROUND((N53*40%),0)</f>
        <v>1078072</v>
      </c>
      <c r="P53" s="41"/>
      <c r="Q53" s="55">
        <v>2460</v>
      </c>
      <c r="R53" s="42">
        <f t="shared" si="15"/>
        <v>1617107</v>
      </c>
      <c r="S53" s="55">
        <v>2461</v>
      </c>
      <c r="T53" s="55">
        <v>605</v>
      </c>
      <c r="U53" s="55">
        <v>973</v>
      </c>
      <c r="V53" s="34" t="s">
        <v>25</v>
      </c>
      <c r="W53" s="43">
        <v>44312</v>
      </c>
      <c r="X53" s="44"/>
    </row>
    <row r="54" spans="1:24" ht="17.45" customHeight="1" x14ac:dyDescent="0.25">
      <c r="A54" t="str">
        <f t="shared" si="4"/>
        <v>2910906730443127709825</v>
      </c>
      <c r="B54" s="6">
        <f t="shared" si="0"/>
        <v>44441</v>
      </c>
      <c r="C54" s="3">
        <f t="shared" si="1"/>
        <v>19274820</v>
      </c>
      <c r="D54" s="34">
        <v>2021</v>
      </c>
      <c r="E54" s="35">
        <v>2910906730</v>
      </c>
      <c r="F54" s="36" t="s">
        <v>82</v>
      </c>
      <c r="G54" s="37">
        <v>100000000</v>
      </c>
      <c r="H54" s="37">
        <v>10714286</v>
      </c>
      <c r="I54" s="38">
        <f t="shared" si="10"/>
        <v>0.10714286000000001</v>
      </c>
      <c r="J54" s="38"/>
      <c r="K54" s="37">
        <v>71958362</v>
      </c>
      <c r="L54" s="37">
        <f t="shared" si="14"/>
        <v>7709825</v>
      </c>
      <c r="M54" s="39">
        <v>0</v>
      </c>
      <c r="N54" s="37">
        <f t="shared" si="16"/>
        <v>7709825</v>
      </c>
      <c r="O54" s="40">
        <v>7709825</v>
      </c>
      <c r="P54" s="41"/>
      <c r="Q54" s="55">
        <v>2462</v>
      </c>
      <c r="R54" s="42">
        <f t="shared" si="15"/>
        <v>0</v>
      </c>
      <c r="S54" s="55">
        <v>0</v>
      </c>
      <c r="T54" s="55">
        <v>606</v>
      </c>
      <c r="U54" s="55">
        <v>974</v>
      </c>
      <c r="V54" s="34" t="s">
        <v>25</v>
      </c>
      <c r="W54" s="43">
        <v>44312</v>
      </c>
      <c r="X54" s="44"/>
    </row>
    <row r="55" spans="1:24" ht="17.45" customHeight="1" x14ac:dyDescent="0.25">
      <c r="A55" t="str">
        <f t="shared" si="4"/>
        <v>29109066104431316037679</v>
      </c>
      <c r="B55" s="6">
        <f t="shared" si="0"/>
        <v>44313</v>
      </c>
      <c r="C55" s="3">
        <f t="shared" si="1"/>
        <v>16037679</v>
      </c>
      <c r="D55" s="34">
        <v>2021</v>
      </c>
      <c r="E55" s="35">
        <v>2910906610</v>
      </c>
      <c r="F55" s="36" t="s">
        <v>83</v>
      </c>
      <c r="G55" s="37">
        <v>149685000</v>
      </c>
      <c r="H55" s="37">
        <v>16037679</v>
      </c>
      <c r="I55" s="38">
        <f t="shared" si="10"/>
        <v>0.10714286000601263</v>
      </c>
      <c r="J55" s="38"/>
      <c r="K55" s="37">
        <v>149685000</v>
      </c>
      <c r="L55" s="37">
        <f t="shared" si="14"/>
        <v>16037679</v>
      </c>
      <c r="M55" s="39">
        <v>6099841</v>
      </c>
      <c r="N55" s="37">
        <f t="shared" si="16"/>
        <v>9937838</v>
      </c>
      <c r="O55" s="40">
        <f>ROUND((N55*40%),0)</f>
        <v>3975135</v>
      </c>
      <c r="P55" s="41"/>
      <c r="Q55" s="55">
        <v>2463</v>
      </c>
      <c r="R55" s="42">
        <f t="shared" si="15"/>
        <v>5962703</v>
      </c>
      <c r="S55" s="55">
        <v>2464</v>
      </c>
      <c r="T55" s="55">
        <v>613</v>
      </c>
      <c r="U55" s="55">
        <v>983</v>
      </c>
      <c r="V55" s="34" t="s">
        <v>25</v>
      </c>
      <c r="W55" s="43">
        <v>44313</v>
      </c>
      <c r="X55" s="44"/>
    </row>
    <row r="56" spans="1:24" ht="17.45" customHeight="1" x14ac:dyDescent="0.25">
      <c r="A56" t="str">
        <f t="shared" si="4"/>
        <v>291090670644314107830878</v>
      </c>
      <c r="B56" s="6">
        <f t="shared" si="0"/>
        <v>44372</v>
      </c>
      <c r="C56" s="3">
        <f t="shared" si="1"/>
        <v>119812087</v>
      </c>
      <c r="D56" s="34">
        <v>2021</v>
      </c>
      <c r="E56" s="35">
        <v>2910906706</v>
      </c>
      <c r="F56" s="36" t="s">
        <v>84</v>
      </c>
      <c r="G56" s="37">
        <v>1118239980</v>
      </c>
      <c r="H56" s="37">
        <v>119812087</v>
      </c>
      <c r="I56" s="38">
        <f t="shared" si="10"/>
        <v>0.10714344786706696</v>
      </c>
      <c r="J56" s="38"/>
      <c r="K56" s="37">
        <v>1006415982</v>
      </c>
      <c r="L56" s="37">
        <f t="shared" si="14"/>
        <v>107830878</v>
      </c>
      <c r="M56" s="39">
        <v>23962417</v>
      </c>
      <c r="N56" s="37">
        <f t="shared" si="16"/>
        <v>83868461</v>
      </c>
      <c r="O56" s="40">
        <f>ROUND((N56*40%),0)</f>
        <v>33547384</v>
      </c>
      <c r="P56" s="41"/>
      <c r="Q56" s="55">
        <v>2465</v>
      </c>
      <c r="R56" s="42">
        <f t="shared" si="15"/>
        <v>50321077</v>
      </c>
      <c r="S56" s="55">
        <v>2466</v>
      </c>
      <c r="T56" s="55">
        <v>614</v>
      </c>
      <c r="U56" s="55">
        <v>984</v>
      </c>
      <c r="V56" s="34" t="s">
        <v>25</v>
      </c>
      <c r="W56" s="43">
        <v>44314</v>
      </c>
      <c r="X56" s="44"/>
    </row>
    <row r="57" spans="1:24" ht="17.45" customHeight="1" x14ac:dyDescent="0.25">
      <c r="A57" t="str">
        <f t="shared" si="4"/>
        <v>2910906401</v>
      </c>
      <c r="B57" s="6">
        <f t="shared" si="0"/>
        <v>45957</v>
      </c>
      <c r="C57" s="3">
        <f t="shared" si="1"/>
        <v>678878080.30633903</v>
      </c>
      <c r="D57" s="34">
        <v>2021</v>
      </c>
      <c r="E57" s="35">
        <v>2910906401</v>
      </c>
      <c r="F57" s="36" t="s">
        <v>22</v>
      </c>
      <c r="G57" s="37"/>
      <c r="H57" s="37"/>
      <c r="I57" s="38">
        <v>0.12</v>
      </c>
      <c r="J57" s="38"/>
      <c r="K57" s="37"/>
      <c r="L57" s="37"/>
      <c r="M57" s="39"/>
      <c r="N57" s="37">
        <v>180546920</v>
      </c>
      <c r="O57" s="40">
        <v>180546920</v>
      </c>
      <c r="P57" s="41"/>
      <c r="Q57" s="55">
        <v>2412</v>
      </c>
      <c r="R57" s="42"/>
      <c r="S57" s="55"/>
      <c r="T57" s="55"/>
      <c r="U57" s="55"/>
      <c r="V57" s="34"/>
      <c r="W57" s="43"/>
      <c r="X57" s="44"/>
    </row>
    <row r="58" spans="1:24" ht="17.45" customHeight="1" x14ac:dyDescent="0.25">
      <c r="A58" t="str">
        <f t="shared" si="4"/>
        <v>29109080224432719593773</v>
      </c>
      <c r="B58" s="6">
        <f t="shared" si="0"/>
        <v>44327</v>
      </c>
      <c r="C58" s="3">
        <f t="shared" si="1"/>
        <v>19593773</v>
      </c>
      <c r="D58" s="34">
        <v>2021</v>
      </c>
      <c r="E58" s="35">
        <v>2910908022</v>
      </c>
      <c r="F58" s="36" t="s">
        <v>85</v>
      </c>
      <c r="G58" s="37">
        <v>182875000</v>
      </c>
      <c r="H58" s="37">
        <v>19593773</v>
      </c>
      <c r="I58" s="38">
        <f t="shared" ref="I58:I75" si="17">+H58/G58</f>
        <v>0.10714298291182502</v>
      </c>
      <c r="J58" s="38"/>
      <c r="K58" s="37">
        <v>182875000</v>
      </c>
      <c r="L58" s="37">
        <f>ROUND((+K58*I58),0)</f>
        <v>19593773</v>
      </c>
      <c r="M58" s="39">
        <v>0</v>
      </c>
      <c r="N58" s="37">
        <f>+L58-M58</f>
        <v>19593773</v>
      </c>
      <c r="O58" s="40">
        <f>ROUND((N58*100%),0)</f>
        <v>19593773</v>
      </c>
      <c r="P58" s="41"/>
      <c r="Q58" s="55">
        <v>2809</v>
      </c>
      <c r="R58" s="42">
        <v>0</v>
      </c>
      <c r="S58" s="55">
        <v>0</v>
      </c>
      <c r="T58" s="55">
        <v>739</v>
      </c>
      <c r="U58" s="55">
        <v>1022</v>
      </c>
      <c r="V58" s="34" t="s">
        <v>25</v>
      </c>
      <c r="W58" s="43">
        <v>44327</v>
      </c>
      <c r="X58" s="44" t="s">
        <v>86</v>
      </c>
    </row>
    <row r="59" spans="1:24" ht="17.45" customHeight="1" x14ac:dyDescent="0.25">
      <c r="A59" t="str">
        <f t="shared" si="4"/>
        <v>291090631044336759533756</v>
      </c>
      <c r="B59" s="6">
        <f t="shared" si="0"/>
        <v>44862</v>
      </c>
      <c r="C59" s="3">
        <f t="shared" si="1"/>
        <v>816196045.00469112</v>
      </c>
      <c r="D59" s="34">
        <v>2021</v>
      </c>
      <c r="E59" s="35">
        <v>2910906310</v>
      </c>
      <c r="F59" s="36" t="s">
        <v>87</v>
      </c>
      <c r="G59" s="37">
        <v>7100279267</v>
      </c>
      <c r="H59" s="37">
        <v>816196045</v>
      </c>
      <c r="I59" s="38">
        <f t="shared" si="17"/>
        <v>0.11495266795961646</v>
      </c>
      <c r="J59" s="38"/>
      <c r="K59" s="37">
        <v>6607360835.75</v>
      </c>
      <c r="L59" s="37">
        <f>ROUND((+K59*I59),0)</f>
        <v>759533756</v>
      </c>
      <c r="M59" s="39">
        <v>205780620</v>
      </c>
      <c r="N59" s="37">
        <v>381314740</v>
      </c>
      <c r="O59" s="40">
        <f t="shared" ref="O59:O67" si="18">ROUND((N59*40%),0)</f>
        <v>152525896</v>
      </c>
      <c r="P59" s="41"/>
      <c r="Q59" s="55">
        <v>2995</v>
      </c>
      <c r="R59" s="42">
        <f t="shared" ref="R59:R67" si="19">+N59-O59</f>
        <v>228788844</v>
      </c>
      <c r="S59" s="55">
        <v>2996</v>
      </c>
      <c r="T59" s="55">
        <v>796</v>
      </c>
      <c r="U59" s="55">
        <v>1152</v>
      </c>
      <c r="V59" s="34" t="s">
        <v>25</v>
      </c>
      <c r="W59" s="43">
        <v>44336</v>
      </c>
      <c r="X59" s="44" t="s">
        <v>88</v>
      </c>
    </row>
    <row r="60" spans="1:24" ht="17.45" customHeight="1" x14ac:dyDescent="0.25">
      <c r="A60" t="str">
        <f t="shared" si="4"/>
        <v>2910905961443571134911773</v>
      </c>
      <c r="B60" s="6">
        <f t="shared" si="0"/>
        <v>44498</v>
      </c>
      <c r="C60" s="3">
        <f t="shared" si="1"/>
        <v>1224203654</v>
      </c>
      <c r="D60" s="34">
        <v>2021</v>
      </c>
      <c r="E60" s="35">
        <v>2910905961</v>
      </c>
      <c r="F60" s="36" t="s">
        <v>34</v>
      </c>
      <c r="G60" s="37">
        <v>9849652066</v>
      </c>
      <c r="H60" s="37">
        <v>1114245965</v>
      </c>
      <c r="I60" s="38">
        <f t="shared" si="17"/>
        <v>0.11312541372362421</v>
      </c>
      <c r="J60" s="38"/>
      <c r="K60" s="37">
        <v>10032332573</v>
      </c>
      <c r="L60" s="37">
        <f>ROUND((+K60*I60),0)</f>
        <v>1134911773</v>
      </c>
      <c r="M60" s="39">
        <v>1087367431</v>
      </c>
      <c r="N60" s="37">
        <f>+L60-M60</f>
        <v>47544342</v>
      </c>
      <c r="O60" s="40">
        <f t="shared" si="18"/>
        <v>19017737</v>
      </c>
      <c r="P60" s="41"/>
      <c r="Q60" s="55">
        <v>3918</v>
      </c>
      <c r="R60" s="42">
        <f t="shared" si="19"/>
        <v>28526605</v>
      </c>
      <c r="S60" s="55">
        <v>3919</v>
      </c>
      <c r="T60" s="55">
        <v>955</v>
      </c>
      <c r="U60" s="55">
        <v>1533</v>
      </c>
      <c r="V60" s="34" t="s">
        <v>25</v>
      </c>
      <c r="W60" s="43">
        <v>44357</v>
      </c>
      <c r="X60" s="44"/>
    </row>
    <row r="61" spans="1:24" ht="17.45" customHeight="1" x14ac:dyDescent="0.25">
      <c r="A61" t="str">
        <f t="shared" si="4"/>
        <v>291090670644372119812087</v>
      </c>
      <c r="B61" s="6">
        <f t="shared" si="0"/>
        <v>44372</v>
      </c>
      <c r="C61" s="3">
        <f t="shared" si="1"/>
        <v>119812087</v>
      </c>
      <c r="D61" s="34">
        <v>2021</v>
      </c>
      <c r="E61" s="35">
        <v>2910906706</v>
      </c>
      <c r="F61" s="36" t="s">
        <v>84</v>
      </c>
      <c r="G61" s="37">
        <v>1118239980</v>
      </c>
      <c r="H61" s="37">
        <v>119812087</v>
      </c>
      <c r="I61" s="38">
        <f t="shared" si="17"/>
        <v>0.10714344786706696</v>
      </c>
      <c r="J61" s="38"/>
      <c r="K61" s="37">
        <v>1118239962</v>
      </c>
      <c r="L61" s="37">
        <f>ROUND((+K61*I61),0)+2</f>
        <v>119812087</v>
      </c>
      <c r="M61" s="39">
        <v>107830878</v>
      </c>
      <c r="N61" s="37">
        <f>+L61-M61</f>
        <v>11981209</v>
      </c>
      <c r="O61" s="40">
        <f t="shared" si="18"/>
        <v>4792484</v>
      </c>
      <c r="P61" s="41"/>
      <c r="Q61" s="55">
        <v>3920</v>
      </c>
      <c r="R61" s="42">
        <f t="shared" si="19"/>
        <v>7188725</v>
      </c>
      <c r="S61" s="55">
        <v>3921</v>
      </c>
      <c r="T61" s="55">
        <v>956</v>
      </c>
      <c r="U61" s="55">
        <v>1534</v>
      </c>
      <c r="V61" s="34" t="s">
        <v>25</v>
      </c>
      <c r="W61" s="43">
        <v>44372</v>
      </c>
      <c r="X61" s="44"/>
    </row>
    <row r="62" spans="1:24" ht="17.45" customHeight="1" x14ac:dyDescent="0.25">
      <c r="A62" t="str">
        <f t="shared" si="4"/>
        <v>24530183014437290834172</v>
      </c>
      <c r="B62" s="6">
        <f t="shared" si="0"/>
        <v>45099</v>
      </c>
      <c r="C62" s="3">
        <f t="shared" si="1"/>
        <v>133063733</v>
      </c>
      <c r="D62" s="34">
        <v>2021</v>
      </c>
      <c r="E62" s="35">
        <v>2453018301</v>
      </c>
      <c r="F62" s="36" t="s">
        <v>35</v>
      </c>
      <c r="G62" s="37">
        <f>941984000+470992000</f>
        <v>1412976000</v>
      </c>
      <c r="H62" s="37">
        <v>151390286</v>
      </c>
      <c r="I62" s="38">
        <f t="shared" si="17"/>
        <v>0.1071428573450646</v>
      </c>
      <c r="J62" s="38"/>
      <c r="K62" s="37">
        <v>847785600</v>
      </c>
      <c r="L62" s="37">
        <f>ROUND((+K62*I62),0)</f>
        <v>90834172</v>
      </c>
      <c r="M62" s="39">
        <v>60556114</v>
      </c>
      <c r="N62" s="37">
        <f>+L62-M62</f>
        <v>30278058</v>
      </c>
      <c r="O62" s="40">
        <f t="shared" si="18"/>
        <v>12111223</v>
      </c>
      <c r="P62" s="41"/>
      <c r="Q62" s="55">
        <v>3922</v>
      </c>
      <c r="R62" s="42">
        <f t="shared" si="19"/>
        <v>18166835</v>
      </c>
      <c r="S62" s="55">
        <v>3923</v>
      </c>
      <c r="T62" s="55">
        <v>957</v>
      </c>
      <c r="U62" s="55">
        <v>1535</v>
      </c>
      <c r="V62" s="34" t="s">
        <v>25</v>
      </c>
      <c r="W62" s="43">
        <v>44372</v>
      </c>
      <c r="X62" s="44"/>
    </row>
    <row r="63" spans="1:24" ht="17.45" customHeight="1" x14ac:dyDescent="0.25">
      <c r="A63" t="str">
        <f t="shared" si="4"/>
        <v>2910904061443720</v>
      </c>
      <c r="B63" s="6">
        <f t="shared" si="0"/>
        <v>44372</v>
      </c>
      <c r="C63" s="3">
        <f t="shared" si="1"/>
        <v>0</v>
      </c>
      <c r="D63" s="34">
        <v>2021</v>
      </c>
      <c r="E63" s="35">
        <v>2910904061</v>
      </c>
      <c r="F63" s="36" t="s">
        <v>89</v>
      </c>
      <c r="G63" s="37">
        <v>102650000</v>
      </c>
      <c r="H63" s="37">
        <v>12318000</v>
      </c>
      <c r="I63" s="38">
        <f t="shared" si="17"/>
        <v>0.12</v>
      </c>
      <c r="J63" s="38"/>
      <c r="K63" s="37"/>
      <c r="L63" s="37">
        <f>ROUND((+K63*I63),0)</f>
        <v>0</v>
      </c>
      <c r="M63" s="39"/>
      <c r="N63" s="37">
        <v>2628571</v>
      </c>
      <c r="O63" s="40">
        <f t="shared" si="18"/>
        <v>1051428</v>
      </c>
      <c r="P63" s="41"/>
      <c r="Q63" s="55"/>
      <c r="R63" s="42">
        <f t="shared" si="19"/>
        <v>1577143</v>
      </c>
      <c r="S63" s="55"/>
      <c r="T63" s="55"/>
      <c r="U63" s="55"/>
      <c r="V63" s="34" t="s">
        <v>25</v>
      </c>
      <c r="W63" s="43">
        <v>44372</v>
      </c>
      <c r="X63" s="44" t="s">
        <v>90</v>
      </c>
    </row>
    <row r="64" spans="1:24" ht="17.45" customHeight="1" x14ac:dyDescent="0.25">
      <c r="A64" t="str">
        <f t="shared" si="4"/>
        <v>29109061584437225769722</v>
      </c>
      <c r="B64" s="6">
        <f t="shared" si="0"/>
        <v>44372</v>
      </c>
      <c r="C64" s="3">
        <f t="shared" si="1"/>
        <v>25769722</v>
      </c>
      <c r="D64" s="34">
        <v>2021</v>
      </c>
      <c r="E64" s="35">
        <v>2910906158</v>
      </c>
      <c r="F64" s="36" t="s">
        <v>91</v>
      </c>
      <c r="G64" s="37">
        <v>3242508354</v>
      </c>
      <c r="H64" s="37">
        <v>347411515</v>
      </c>
      <c r="I64" s="38">
        <f t="shared" si="17"/>
        <v>0.10714282804281096</v>
      </c>
      <c r="J64" s="38"/>
      <c r="K64" s="37">
        <v>240517472</v>
      </c>
      <c r="L64" s="37">
        <f>ROUND((+K64*I64),0)</f>
        <v>25769722</v>
      </c>
      <c r="M64" s="39">
        <v>0</v>
      </c>
      <c r="N64" s="37">
        <v>8347305</v>
      </c>
      <c r="O64" s="40">
        <f t="shared" si="18"/>
        <v>3338922</v>
      </c>
      <c r="P64" s="41"/>
      <c r="Q64" s="55">
        <v>3924</v>
      </c>
      <c r="R64" s="42">
        <f t="shared" si="19"/>
        <v>5008383</v>
      </c>
      <c r="S64" s="55">
        <v>3925</v>
      </c>
      <c r="T64" s="55">
        <v>958</v>
      </c>
      <c r="U64" s="55">
        <v>1536</v>
      </c>
      <c r="V64" s="34" t="s">
        <v>25</v>
      </c>
      <c r="W64" s="43">
        <v>44372</v>
      </c>
      <c r="X64" s="44" t="s">
        <v>92</v>
      </c>
    </row>
    <row r="65" spans="1:24" ht="17.45" customHeight="1" x14ac:dyDescent="0.25">
      <c r="A65" t="str">
        <f t="shared" si="4"/>
        <v>29109067324437247440800</v>
      </c>
      <c r="B65" s="6">
        <f t="shared" si="0"/>
        <v>44797</v>
      </c>
      <c r="C65" s="3">
        <f t="shared" si="1"/>
        <v>158136000</v>
      </c>
      <c r="D65" s="34">
        <v>2021</v>
      </c>
      <c r="E65" s="35">
        <v>2910906732</v>
      </c>
      <c r="F65" s="36" t="s">
        <v>93</v>
      </c>
      <c r="G65" s="37">
        <v>1475936000</v>
      </c>
      <c r="H65" s="37">
        <v>158136000</v>
      </c>
      <c r="I65" s="38">
        <f t="shared" si="17"/>
        <v>0.10714285714285714</v>
      </c>
      <c r="J65" s="38"/>
      <c r="K65" s="37">
        <v>442780800</v>
      </c>
      <c r="L65" s="37">
        <f>ROUND((+K65*I65),0)</f>
        <v>47440800</v>
      </c>
      <c r="M65" s="39">
        <v>0</v>
      </c>
      <c r="N65" s="37">
        <f>+L65-M65</f>
        <v>47440800</v>
      </c>
      <c r="O65" s="40">
        <f t="shared" si="18"/>
        <v>18976320</v>
      </c>
      <c r="P65" s="41"/>
      <c r="Q65" s="55">
        <v>3926</v>
      </c>
      <c r="R65" s="42">
        <f t="shared" si="19"/>
        <v>28464480</v>
      </c>
      <c r="S65" s="55">
        <v>3927</v>
      </c>
      <c r="T65" s="55">
        <v>959</v>
      </c>
      <c r="U65" s="55">
        <v>1537</v>
      </c>
      <c r="V65" s="34" t="s">
        <v>25</v>
      </c>
      <c r="W65" s="43">
        <v>44372</v>
      </c>
      <c r="X65" s="44"/>
    </row>
    <row r="66" spans="1:24" ht="17.45" customHeight="1" x14ac:dyDescent="0.25">
      <c r="A66" t="str">
        <f t="shared" si="4"/>
        <v>291090631544375122624549</v>
      </c>
      <c r="B66" s="6">
        <f t="shared" ref="B66:B129" si="20">_xlfn.MAXIFS(W:W,E:E,E66)</f>
        <v>44375</v>
      </c>
      <c r="C66" s="3">
        <f t="shared" ref="C66:C129" si="21">_xlfn.MAXIFS(L:L,E:E,E66)</f>
        <v>122624549</v>
      </c>
      <c r="D66" s="34">
        <v>2021</v>
      </c>
      <c r="E66" s="35">
        <v>2910906315</v>
      </c>
      <c r="F66" s="36" t="s">
        <v>63</v>
      </c>
      <c r="G66" s="37">
        <f>+G34</f>
        <v>1144495782</v>
      </c>
      <c r="H66" s="37">
        <v>122624549</v>
      </c>
      <c r="I66" s="38">
        <f t="shared" si="17"/>
        <v>0.10714285795419384</v>
      </c>
      <c r="J66" s="38"/>
      <c r="K66" s="37">
        <v>1144495782</v>
      </c>
      <c r="L66" s="37">
        <f>ROUND((+K66*I66),0)</f>
        <v>122624549</v>
      </c>
      <c r="M66" s="39">
        <v>69140917</v>
      </c>
      <c r="N66" s="37">
        <v>12262455</v>
      </c>
      <c r="O66" s="40">
        <f t="shared" si="18"/>
        <v>4904982</v>
      </c>
      <c r="P66" s="41"/>
      <c r="Q66" s="55">
        <v>3967</v>
      </c>
      <c r="R66" s="42">
        <f t="shared" si="19"/>
        <v>7357473</v>
      </c>
      <c r="S66" s="55">
        <v>3968</v>
      </c>
      <c r="T66" s="55">
        <v>960</v>
      </c>
      <c r="U66" s="55">
        <v>1538</v>
      </c>
      <c r="V66" s="34" t="s">
        <v>25</v>
      </c>
      <c r="W66" s="43">
        <v>44375</v>
      </c>
      <c r="X66" s="44" t="s">
        <v>94</v>
      </c>
    </row>
    <row r="67" spans="1:24" ht="17.45" customHeight="1" x14ac:dyDescent="0.25">
      <c r="A67" t="str">
        <f t="shared" ref="A67:A130" si="22">_xlfn.CONCAT(E67,W67,L67)</f>
        <v>29109066244437828809640</v>
      </c>
      <c r="B67" s="6">
        <f t="shared" si="20"/>
        <v>44378</v>
      </c>
      <c r="C67" s="3">
        <f t="shared" si="21"/>
        <v>28809640</v>
      </c>
      <c r="D67" s="34">
        <v>2021</v>
      </c>
      <c r="E67" s="35">
        <v>2910906624</v>
      </c>
      <c r="F67" s="36" t="s">
        <v>95</v>
      </c>
      <c r="G67" s="37">
        <v>674223041</v>
      </c>
      <c r="H67" s="37">
        <v>72238183</v>
      </c>
      <c r="I67" s="38">
        <f t="shared" si="17"/>
        <v>0.10714285719582817</v>
      </c>
      <c r="J67" s="38">
        <f t="shared" ref="J67:J98" si="23">IFERROR((+H67/(G67-H67)),0)</f>
        <v>0.12000000006644686</v>
      </c>
      <c r="K67" s="37">
        <v>268889978</v>
      </c>
      <c r="L67" s="37">
        <f>ROUND((+K67*I67),0)-1</f>
        <v>28809640</v>
      </c>
      <c r="M67" s="39">
        <v>6480857</v>
      </c>
      <c r="N67" s="37">
        <f>+L67-M67</f>
        <v>22328783</v>
      </c>
      <c r="O67" s="40">
        <f t="shared" si="18"/>
        <v>8931513</v>
      </c>
      <c r="P67" s="41" t="s">
        <v>96</v>
      </c>
      <c r="Q67" s="55">
        <v>4020</v>
      </c>
      <c r="R67" s="42">
        <f t="shared" si="19"/>
        <v>13397270</v>
      </c>
      <c r="S67" s="55">
        <v>4021</v>
      </c>
      <c r="T67" s="55">
        <v>991</v>
      </c>
      <c r="U67" s="55">
        <v>1567</v>
      </c>
      <c r="V67" s="34" t="s">
        <v>25</v>
      </c>
      <c r="W67" s="43">
        <v>44378</v>
      </c>
      <c r="X67" s="44"/>
    </row>
    <row r="68" spans="1:24" ht="17.45" customHeight="1" x14ac:dyDescent="0.25">
      <c r="A68" t="str">
        <f t="shared" si="22"/>
        <v>29109080014438636823645</v>
      </c>
      <c r="B68" s="6">
        <f t="shared" si="20"/>
        <v>44603</v>
      </c>
      <c r="C68" s="3">
        <f t="shared" si="21"/>
        <v>45553609</v>
      </c>
      <c r="D68" s="34">
        <v>2021</v>
      </c>
      <c r="E68" s="35">
        <v>2910908001</v>
      </c>
      <c r="F68" s="36" t="s">
        <v>97</v>
      </c>
      <c r="G68" s="37">
        <v>306863645</v>
      </c>
      <c r="H68" s="37">
        <v>36823645</v>
      </c>
      <c r="I68" s="38">
        <f t="shared" si="17"/>
        <v>0.12000002476670053</v>
      </c>
      <c r="J68" s="38">
        <f t="shared" si="23"/>
        <v>0.13636366834543032</v>
      </c>
      <c r="K68" s="37">
        <v>306863705</v>
      </c>
      <c r="L68" s="37">
        <v>36823645</v>
      </c>
      <c r="M68" s="39">
        <v>27678504</v>
      </c>
      <c r="N68" s="37">
        <v>9145140</v>
      </c>
      <c r="O68" s="40">
        <f>+N68</f>
        <v>9145140</v>
      </c>
      <c r="P68" s="41" t="s">
        <v>98</v>
      </c>
      <c r="Q68" s="55">
        <v>4288</v>
      </c>
      <c r="R68" s="42">
        <v>0</v>
      </c>
      <c r="S68" s="55">
        <v>0</v>
      </c>
      <c r="T68" s="55">
        <v>1016</v>
      </c>
      <c r="U68" s="55">
        <v>1611</v>
      </c>
      <c r="V68" s="34" t="s">
        <v>25</v>
      </c>
      <c r="W68" s="43">
        <v>44386</v>
      </c>
      <c r="X68" s="44"/>
    </row>
    <row r="69" spans="1:24" ht="17.45" customHeight="1" x14ac:dyDescent="0.25">
      <c r="A69" t="str">
        <f t="shared" si="22"/>
        <v>2910908029443861838571</v>
      </c>
      <c r="B69" s="6">
        <f t="shared" si="20"/>
        <v>44386</v>
      </c>
      <c r="C69" s="3">
        <f t="shared" si="21"/>
        <v>1838571</v>
      </c>
      <c r="D69" s="34">
        <v>2021</v>
      </c>
      <c r="E69" s="35">
        <v>2910908029</v>
      </c>
      <c r="F69" s="36" t="s">
        <v>99</v>
      </c>
      <c r="G69" s="37">
        <v>17160000</v>
      </c>
      <c r="H69" s="37">
        <v>1838571</v>
      </c>
      <c r="I69" s="38">
        <f t="shared" si="17"/>
        <v>0.10714283216783217</v>
      </c>
      <c r="J69" s="38">
        <f t="shared" si="23"/>
        <v>0.11999996867132955</v>
      </c>
      <c r="K69" s="37">
        <v>17160000</v>
      </c>
      <c r="L69" s="37">
        <f>+K69*I69</f>
        <v>1838571</v>
      </c>
      <c r="M69" s="39">
        <v>0</v>
      </c>
      <c r="N69" s="37">
        <f>+L69-M69</f>
        <v>1838571</v>
      </c>
      <c r="O69" s="40">
        <f>+N69</f>
        <v>1838571</v>
      </c>
      <c r="P69" s="41" t="s">
        <v>98</v>
      </c>
      <c r="Q69" s="55">
        <v>4289</v>
      </c>
      <c r="R69" s="42">
        <v>0</v>
      </c>
      <c r="S69" s="55">
        <v>0</v>
      </c>
      <c r="T69" s="55">
        <v>1017</v>
      </c>
      <c r="U69" s="55">
        <v>1612</v>
      </c>
      <c r="V69" s="34" t="s">
        <v>25</v>
      </c>
      <c r="W69" s="43">
        <v>44386</v>
      </c>
      <c r="X69" s="44"/>
    </row>
    <row r="70" spans="1:24" ht="17.45" customHeight="1" x14ac:dyDescent="0.25">
      <c r="A70" t="str">
        <f t="shared" si="22"/>
        <v>2910908033443867849872</v>
      </c>
      <c r="B70" s="6">
        <f t="shared" si="20"/>
        <v>44386</v>
      </c>
      <c r="C70" s="3">
        <f t="shared" si="21"/>
        <v>7849872</v>
      </c>
      <c r="D70" s="34">
        <v>2021</v>
      </c>
      <c r="E70" s="35">
        <v>2910908033</v>
      </c>
      <c r="F70" s="36" t="s">
        <v>100</v>
      </c>
      <c r="G70" s="37">
        <v>65415600</v>
      </c>
      <c r="H70" s="37">
        <v>7849872</v>
      </c>
      <c r="I70" s="38">
        <f t="shared" si="17"/>
        <v>0.12</v>
      </c>
      <c r="J70" s="38">
        <f t="shared" si="23"/>
        <v>0.13636363636363635</v>
      </c>
      <c r="K70" s="37">
        <v>65415600</v>
      </c>
      <c r="L70" s="37">
        <f>+K70*I70</f>
        <v>7849872</v>
      </c>
      <c r="M70" s="39">
        <v>0</v>
      </c>
      <c r="N70" s="37">
        <f>+L70-M70</f>
        <v>7849872</v>
      </c>
      <c r="O70" s="40">
        <f>+N70</f>
        <v>7849872</v>
      </c>
      <c r="P70" s="41" t="s">
        <v>98</v>
      </c>
      <c r="Q70" s="55">
        <v>4403</v>
      </c>
      <c r="R70" s="42">
        <v>0</v>
      </c>
      <c r="S70" s="55">
        <v>0</v>
      </c>
      <c r="T70" s="55">
        <v>1037</v>
      </c>
      <c r="U70" s="55">
        <v>1613</v>
      </c>
      <c r="V70" s="34" t="s">
        <v>25</v>
      </c>
      <c r="W70" s="43">
        <v>44386</v>
      </c>
      <c r="X70" s="44"/>
    </row>
    <row r="71" spans="1:24" ht="17.45" customHeight="1" x14ac:dyDescent="0.25">
      <c r="A71" t="str">
        <f t="shared" si="22"/>
        <v>29109065544438958499346,2940902</v>
      </c>
      <c r="B71" s="6">
        <f t="shared" si="20"/>
        <v>44389</v>
      </c>
      <c r="C71" s="3">
        <f t="shared" si="21"/>
        <v>58499346.294090174</v>
      </c>
      <c r="D71" s="34">
        <v>2021</v>
      </c>
      <c r="E71" s="35">
        <v>2910906554</v>
      </c>
      <c r="F71" s="36" t="s">
        <v>101</v>
      </c>
      <c r="G71" s="37">
        <v>580000000</v>
      </c>
      <c r="H71" s="37">
        <v>62142857</v>
      </c>
      <c r="I71" s="38">
        <f t="shared" si="17"/>
        <v>0.10714285689655173</v>
      </c>
      <c r="J71" s="38">
        <f t="shared" si="23"/>
        <v>0.11999999969103449</v>
      </c>
      <c r="K71" s="37">
        <v>545993900</v>
      </c>
      <c r="L71" s="37">
        <f>+K71*I71</f>
        <v>58499346.294090174</v>
      </c>
      <c r="M71" s="39">
        <v>54616708</v>
      </c>
      <c r="N71" s="37">
        <v>6609130</v>
      </c>
      <c r="O71" s="40">
        <f>ROUND((N71*40%),0)</f>
        <v>2643652</v>
      </c>
      <c r="P71" s="41" t="s">
        <v>98</v>
      </c>
      <c r="Q71" s="55">
        <v>4404</v>
      </c>
      <c r="R71" s="42">
        <f>+N71-O71</f>
        <v>3965478</v>
      </c>
      <c r="S71" s="55">
        <v>4405</v>
      </c>
      <c r="T71" s="55">
        <v>1038</v>
      </c>
      <c r="U71" s="55">
        <v>1614</v>
      </c>
      <c r="V71" s="34" t="s">
        <v>25</v>
      </c>
      <c r="W71" s="43">
        <v>44389</v>
      </c>
      <c r="X71" s="44" t="s">
        <v>102</v>
      </c>
    </row>
    <row r="72" spans="1:24" ht="17.45" customHeight="1" x14ac:dyDescent="0.25">
      <c r="A72" t="str">
        <f t="shared" si="22"/>
        <v>29109063594439328834285,184</v>
      </c>
      <c r="B72" s="6">
        <f t="shared" si="20"/>
        <v>44393</v>
      </c>
      <c r="C72" s="3">
        <f t="shared" si="21"/>
        <v>28834285.183999997</v>
      </c>
      <c r="D72" s="34">
        <v>2021</v>
      </c>
      <c r="E72" s="35">
        <v>2910906359</v>
      </c>
      <c r="F72" s="36" t="s">
        <v>103</v>
      </c>
      <c r="G72" s="37">
        <v>290000000</v>
      </c>
      <c r="H72" s="37">
        <v>31071428</v>
      </c>
      <c r="I72" s="38">
        <f t="shared" si="17"/>
        <v>0.10714285517241379</v>
      </c>
      <c r="J72" s="38">
        <f t="shared" si="23"/>
        <v>0.11999999752827586</v>
      </c>
      <c r="K72" s="37">
        <v>269120000</v>
      </c>
      <c r="L72" s="37">
        <f>+K72*I72</f>
        <v>28834285.183999997</v>
      </c>
      <c r="M72" s="39">
        <v>28408011</v>
      </c>
      <c r="N72" s="37">
        <f>+H72-M72</f>
        <v>2663417</v>
      </c>
      <c r="O72" s="40">
        <f>+N72</f>
        <v>2663417</v>
      </c>
      <c r="P72" s="41" t="s">
        <v>104</v>
      </c>
      <c r="Q72" s="55">
        <v>4566</v>
      </c>
      <c r="R72" s="42">
        <f>+N72-O72</f>
        <v>0</v>
      </c>
      <c r="S72" s="55">
        <v>0</v>
      </c>
      <c r="T72" s="55">
        <v>1045</v>
      </c>
      <c r="U72" s="55">
        <v>1631</v>
      </c>
      <c r="V72" s="34" t="s">
        <v>25</v>
      </c>
      <c r="W72" s="43">
        <v>44393</v>
      </c>
      <c r="X72" s="44" t="s">
        <v>105</v>
      </c>
    </row>
    <row r="73" spans="1:24" ht="17.45" customHeight="1" x14ac:dyDescent="0.25">
      <c r="A73" t="str">
        <f t="shared" si="22"/>
        <v>29109062784440332258610</v>
      </c>
      <c r="B73" s="6">
        <f t="shared" si="20"/>
        <v>44403</v>
      </c>
      <c r="C73" s="3">
        <f t="shared" si="21"/>
        <v>32258610</v>
      </c>
      <c r="D73" s="34">
        <v>2021</v>
      </c>
      <c r="E73" s="35">
        <v>2910906278</v>
      </c>
      <c r="F73" s="36" t="s">
        <v>106</v>
      </c>
      <c r="G73" s="37">
        <v>455000000</v>
      </c>
      <c r="H73" s="37">
        <v>48750000</v>
      </c>
      <c r="I73" s="38">
        <f t="shared" si="17"/>
        <v>0.10714285714285714</v>
      </c>
      <c r="J73" s="38">
        <f t="shared" si="23"/>
        <v>0.12</v>
      </c>
      <c r="K73" s="37">
        <v>301080359</v>
      </c>
      <c r="L73" s="37">
        <f>ROUND((+K73*I73),0)</f>
        <v>32258610</v>
      </c>
      <c r="M73" s="39">
        <v>0</v>
      </c>
      <c r="N73" s="37">
        <v>1506804</v>
      </c>
      <c r="O73" s="40">
        <f>ROUND((N73*40%),0)</f>
        <v>602722</v>
      </c>
      <c r="P73" s="41" t="s">
        <v>107</v>
      </c>
      <c r="Q73" s="55">
        <v>4687</v>
      </c>
      <c r="R73" s="42">
        <f>+N73-O73</f>
        <v>904082</v>
      </c>
      <c r="S73" s="55">
        <v>4688</v>
      </c>
      <c r="T73" s="55">
        <v>1098</v>
      </c>
      <c r="U73" s="55">
        <v>1673</v>
      </c>
      <c r="V73" s="34" t="s">
        <v>25</v>
      </c>
      <c r="W73" s="43">
        <v>44403</v>
      </c>
      <c r="X73" s="44" t="s">
        <v>108</v>
      </c>
    </row>
    <row r="74" spans="1:24" ht="17.45" customHeight="1" x14ac:dyDescent="0.25">
      <c r="A74" t="str">
        <f t="shared" si="22"/>
        <v>29109067314440336868405</v>
      </c>
      <c r="B74" s="6">
        <f t="shared" si="20"/>
        <v>44797</v>
      </c>
      <c r="C74" s="3">
        <f t="shared" si="21"/>
        <v>118545925</v>
      </c>
      <c r="D74" s="34">
        <v>2021</v>
      </c>
      <c r="E74" s="35">
        <v>2910906731</v>
      </c>
      <c r="F74" s="36" t="s">
        <v>109</v>
      </c>
      <c r="G74" s="37">
        <v>739371600</v>
      </c>
      <c r="H74" s="37">
        <v>79218386</v>
      </c>
      <c r="I74" s="38">
        <f t="shared" si="17"/>
        <v>0.10714285752928568</v>
      </c>
      <c r="J74" s="38">
        <f t="shared" si="23"/>
        <v>0.12000000048473596</v>
      </c>
      <c r="K74" s="37">
        <v>344105115</v>
      </c>
      <c r="L74" s="37">
        <f>ROUND((+K74*I74),0)</f>
        <v>36868405</v>
      </c>
      <c r="M74" s="39">
        <v>0</v>
      </c>
      <c r="N74" s="37">
        <f>+L74-M74</f>
        <v>36868405</v>
      </c>
      <c r="O74" s="40">
        <f>ROUND((N74*40%),0)</f>
        <v>14747362</v>
      </c>
      <c r="P74" s="41" t="s">
        <v>110</v>
      </c>
      <c r="Q74" s="55">
        <v>4708</v>
      </c>
      <c r="R74" s="42">
        <f>+N74-O74</f>
        <v>22121043</v>
      </c>
      <c r="S74" s="55">
        <v>4709</v>
      </c>
      <c r="T74" s="55">
        <v>263</v>
      </c>
      <c r="U74" s="55">
        <v>1676</v>
      </c>
      <c r="V74" s="34" t="s">
        <v>25</v>
      </c>
      <c r="W74" s="43">
        <v>44403</v>
      </c>
      <c r="X74" s="44"/>
    </row>
    <row r="75" spans="1:24" ht="17.45" customHeight="1" x14ac:dyDescent="0.25">
      <c r="A75" t="str">
        <f t="shared" si="22"/>
        <v>29109067084440350650071</v>
      </c>
      <c r="B75" s="6">
        <f t="shared" si="20"/>
        <v>44403</v>
      </c>
      <c r="C75" s="3">
        <f t="shared" si="21"/>
        <v>50650071</v>
      </c>
      <c r="D75" s="34">
        <v>2021</v>
      </c>
      <c r="E75" s="35">
        <v>2910906708</v>
      </c>
      <c r="F75" s="36" t="s">
        <v>111</v>
      </c>
      <c r="G75" s="37">
        <v>472734000</v>
      </c>
      <c r="H75" s="37">
        <v>50650071</v>
      </c>
      <c r="I75" s="38">
        <f t="shared" si="17"/>
        <v>0.10714285623627663</v>
      </c>
      <c r="J75" s="38">
        <f t="shared" si="23"/>
        <v>0.11999999886278541</v>
      </c>
      <c r="K75" s="37">
        <v>472734000</v>
      </c>
      <c r="L75" s="37">
        <f>ROUND((+K75*I75),0)</f>
        <v>50650071</v>
      </c>
      <c r="M75" s="39">
        <v>27857539</v>
      </c>
      <c r="N75" s="37">
        <f>+L75-M75</f>
        <v>22792532</v>
      </c>
      <c r="O75" s="40">
        <f>ROUND((N75*40%),0)</f>
        <v>9117013</v>
      </c>
      <c r="P75" s="41" t="s">
        <v>112</v>
      </c>
      <c r="Q75" s="55">
        <v>4706</v>
      </c>
      <c r="R75" s="42">
        <f>+N75-O75</f>
        <v>13675519</v>
      </c>
      <c r="S75" s="55">
        <v>4707</v>
      </c>
      <c r="T75" s="55">
        <v>1103</v>
      </c>
      <c r="U75" s="55">
        <v>1675</v>
      </c>
      <c r="V75" s="34" t="s">
        <v>25</v>
      </c>
      <c r="W75" s="43">
        <v>44403</v>
      </c>
      <c r="X75" s="44"/>
    </row>
    <row r="76" spans="1:24" ht="17.45" customHeight="1" x14ac:dyDescent="0.25">
      <c r="A76" t="str">
        <f t="shared" si="22"/>
        <v>291090640144404</v>
      </c>
      <c r="B76" s="6">
        <f t="shared" si="20"/>
        <v>45957</v>
      </c>
      <c r="C76" s="3">
        <f t="shared" si="21"/>
        <v>678878080.30633903</v>
      </c>
      <c r="D76" s="34">
        <v>2021</v>
      </c>
      <c r="E76" s="35">
        <v>2910906401</v>
      </c>
      <c r="F76" s="36" t="s">
        <v>22</v>
      </c>
      <c r="G76" s="37"/>
      <c r="H76" s="37"/>
      <c r="I76" s="38"/>
      <c r="J76" s="38">
        <f t="shared" si="23"/>
        <v>0</v>
      </c>
      <c r="K76" s="37"/>
      <c r="L76" s="37"/>
      <c r="M76" s="39"/>
      <c r="N76" s="37">
        <v>147959096</v>
      </c>
      <c r="O76" s="40">
        <f>+N76</f>
        <v>147959096</v>
      </c>
      <c r="P76" s="41" t="s">
        <v>113</v>
      </c>
      <c r="Q76" s="55">
        <v>4710</v>
      </c>
      <c r="R76" s="42">
        <v>0</v>
      </c>
      <c r="S76" s="55">
        <v>0</v>
      </c>
      <c r="T76" s="55">
        <v>1104</v>
      </c>
      <c r="U76" s="55">
        <v>1677</v>
      </c>
      <c r="V76" s="34" t="s">
        <v>25</v>
      </c>
      <c r="W76" s="43">
        <v>44404</v>
      </c>
      <c r="X76" s="44"/>
    </row>
    <row r="77" spans="1:24" ht="17.45" customHeight="1" x14ac:dyDescent="0.25">
      <c r="A77" t="str">
        <f t="shared" si="22"/>
        <v>2910906153444041600030901,9961</v>
      </c>
      <c r="B77" s="6">
        <f t="shared" si="20"/>
        <v>44404</v>
      </c>
      <c r="C77" s="3">
        <f t="shared" si="21"/>
        <v>1600030901.9960999</v>
      </c>
      <c r="D77" s="34">
        <v>2021</v>
      </c>
      <c r="E77" s="35">
        <v>2910906153</v>
      </c>
      <c r="F77" s="36" t="s">
        <v>114</v>
      </c>
      <c r="G77" s="37"/>
      <c r="H77" s="37"/>
      <c r="I77" s="38">
        <v>0.1071</v>
      </c>
      <c r="J77" s="38">
        <f t="shared" si="23"/>
        <v>0</v>
      </c>
      <c r="K77" s="37">
        <v>14939597591</v>
      </c>
      <c r="L77" s="37">
        <f>+K77*I77</f>
        <v>1600030901.9960999</v>
      </c>
      <c r="M77" s="39">
        <v>570028904</v>
      </c>
      <c r="N77" s="37">
        <v>200000000</v>
      </c>
      <c r="O77" s="40">
        <f>ROUND((N77*40%),0)</f>
        <v>80000000</v>
      </c>
      <c r="P77" s="41" t="s">
        <v>115</v>
      </c>
      <c r="Q77" s="45">
        <v>4712</v>
      </c>
      <c r="R77" s="42">
        <f t="shared" ref="R77:R82" si="24">+N77-O77</f>
        <v>120000000</v>
      </c>
      <c r="S77" s="45">
        <v>4713</v>
      </c>
      <c r="T77" s="45">
        <v>1109</v>
      </c>
      <c r="U77" s="45">
        <v>1682</v>
      </c>
      <c r="V77" s="34" t="s">
        <v>25</v>
      </c>
      <c r="W77" s="43">
        <v>44404</v>
      </c>
      <c r="X77" s="44" t="s">
        <v>116</v>
      </c>
    </row>
    <row r="78" spans="1:24" ht="17.45" customHeight="1" x14ac:dyDescent="0.25">
      <c r="A78" t="str">
        <f t="shared" si="22"/>
        <v>29109067324440494881600</v>
      </c>
      <c r="B78" s="6">
        <f t="shared" si="20"/>
        <v>44797</v>
      </c>
      <c r="C78" s="3">
        <f t="shared" si="21"/>
        <v>158136000</v>
      </c>
      <c r="D78" s="34">
        <v>2021</v>
      </c>
      <c r="E78" s="35">
        <v>2910906732</v>
      </c>
      <c r="F78" s="36" t="s">
        <v>117</v>
      </c>
      <c r="G78" s="37">
        <v>1475936000</v>
      </c>
      <c r="H78" s="37">
        <v>158136000</v>
      </c>
      <c r="I78" s="38">
        <f t="shared" ref="I78:I99" si="25">+H78/G78</f>
        <v>0.10714285714285714</v>
      </c>
      <c r="J78" s="38">
        <f t="shared" si="23"/>
        <v>0.12</v>
      </c>
      <c r="K78" s="37">
        <v>885561600</v>
      </c>
      <c r="L78" s="37">
        <f>ROUND((+K78*I78),0)</f>
        <v>94881600</v>
      </c>
      <c r="M78" s="39">
        <v>47440800</v>
      </c>
      <c r="N78" s="37">
        <f t="shared" ref="N78:N83" si="26">+L78-M78</f>
        <v>47440800</v>
      </c>
      <c r="O78" s="40">
        <f>ROUND((N78*40%),0)</f>
        <v>18976320</v>
      </c>
      <c r="P78" s="41" t="s">
        <v>118</v>
      </c>
      <c r="Q78" s="55">
        <v>4714</v>
      </c>
      <c r="R78" s="42">
        <f t="shared" si="24"/>
        <v>28464480</v>
      </c>
      <c r="S78" s="55">
        <v>4715</v>
      </c>
      <c r="T78" s="55">
        <v>1110</v>
      </c>
      <c r="U78" s="55">
        <v>1683</v>
      </c>
      <c r="V78" s="34" t="s">
        <v>25</v>
      </c>
      <c r="W78" s="43">
        <v>44404</v>
      </c>
      <c r="X78" s="44"/>
    </row>
    <row r="79" spans="1:24" ht="17.45" customHeight="1" x14ac:dyDescent="0.25">
      <c r="A79" t="str">
        <f t="shared" si="22"/>
        <v>2453018310444058948355</v>
      </c>
      <c r="B79" s="6">
        <f t="shared" si="20"/>
        <v>45099</v>
      </c>
      <c r="C79" s="3">
        <f t="shared" si="21"/>
        <v>30406868</v>
      </c>
      <c r="D79" s="34">
        <v>2021</v>
      </c>
      <c r="E79" s="35">
        <v>2453018310</v>
      </c>
      <c r="F79" s="36" t="s">
        <v>119</v>
      </c>
      <c r="G79" s="37">
        <v>306603272</v>
      </c>
      <c r="H79" s="37">
        <v>32850351</v>
      </c>
      <c r="I79" s="38">
        <f t="shared" si="25"/>
        <v>0.10714285854066163</v>
      </c>
      <c r="J79" s="38">
        <f t="shared" si="23"/>
        <v>0.12000000175340594</v>
      </c>
      <c r="K79" s="37">
        <v>83517981</v>
      </c>
      <c r="L79" s="37">
        <f>ROUND((+K79*I79),0)</f>
        <v>8948355</v>
      </c>
      <c r="M79" s="39">
        <v>0</v>
      </c>
      <c r="N79" s="37">
        <f t="shared" si="26"/>
        <v>8948355</v>
      </c>
      <c r="O79" s="40">
        <f>ROUND((N79*40%),0)</f>
        <v>3579342</v>
      </c>
      <c r="P79" s="41" t="s">
        <v>120</v>
      </c>
      <c r="Q79" s="55">
        <v>4793</v>
      </c>
      <c r="R79" s="42">
        <f t="shared" si="24"/>
        <v>5369013</v>
      </c>
      <c r="S79" s="55">
        <v>4794</v>
      </c>
      <c r="T79" s="55">
        <v>1116</v>
      </c>
      <c r="U79" s="55">
        <v>1688</v>
      </c>
      <c r="V79" s="34" t="s">
        <v>25</v>
      </c>
      <c r="W79" s="43">
        <v>44405</v>
      </c>
      <c r="X79" s="44"/>
    </row>
    <row r="80" spans="1:24" ht="17.45" customHeight="1" x14ac:dyDescent="0.25">
      <c r="A80" t="str">
        <f t="shared" si="22"/>
        <v>29109066514440515872640</v>
      </c>
      <c r="B80" s="6">
        <f t="shared" si="20"/>
        <v>44405</v>
      </c>
      <c r="C80" s="3">
        <f t="shared" si="21"/>
        <v>15872640</v>
      </c>
      <c r="D80" s="34">
        <v>2021</v>
      </c>
      <c r="E80" s="35">
        <v>2910906651</v>
      </c>
      <c r="F80" s="36" t="s">
        <v>49</v>
      </c>
      <c r="G80" s="37">
        <v>132272000</v>
      </c>
      <c r="H80" s="37">
        <v>15872640</v>
      </c>
      <c r="I80" s="38">
        <f t="shared" si="25"/>
        <v>0.12</v>
      </c>
      <c r="J80" s="38">
        <f t="shared" si="23"/>
        <v>0.13636363636363635</v>
      </c>
      <c r="K80" s="37">
        <v>132272000</v>
      </c>
      <c r="L80" s="37">
        <f>ROUND((+K80*I80),0)</f>
        <v>15872640</v>
      </c>
      <c r="M80" s="39">
        <v>13516488</v>
      </c>
      <c r="N80" s="37">
        <f t="shared" si="26"/>
        <v>2356152</v>
      </c>
      <c r="O80" s="40">
        <f>ROUND((N80*40%),0)</f>
        <v>942461</v>
      </c>
      <c r="P80" s="41" t="s">
        <v>120</v>
      </c>
      <c r="Q80" s="55">
        <v>4749</v>
      </c>
      <c r="R80" s="42">
        <f t="shared" si="24"/>
        <v>1413691</v>
      </c>
      <c r="S80" s="55">
        <v>4750</v>
      </c>
      <c r="T80" s="55">
        <v>349</v>
      </c>
      <c r="U80" s="55">
        <v>447</v>
      </c>
      <c r="V80" s="34" t="s">
        <v>25</v>
      </c>
      <c r="W80" s="43">
        <v>44405</v>
      </c>
      <c r="X80" s="44" t="s">
        <v>121</v>
      </c>
    </row>
    <row r="81" spans="1:24" ht="17.45" customHeight="1" x14ac:dyDescent="0.25">
      <c r="A81" t="str">
        <f t="shared" si="22"/>
        <v>29109066024440657170161</v>
      </c>
      <c r="B81" s="6">
        <f t="shared" si="20"/>
        <v>44406</v>
      </c>
      <c r="C81" s="3">
        <f t="shared" si="21"/>
        <v>57170161</v>
      </c>
      <c r="D81" s="34">
        <v>2021</v>
      </c>
      <c r="E81" s="35">
        <v>2910906602</v>
      </c>
      <c r="F81" s="36" t="s">
        <v>27</v>
      </c>
      <c r="G81" s="37">
        <v>899333962</v>
      </c>
      <c r="H81" s="37">
        <v>74256933</v>
      </c>
      <c r="I81" s="38">
        <f t="shared" si="25"/>
        <v>8.2568807737297481E-2</v>
      </c>
      <c r="J81" s="38">
        <f t="shared" si="23"/>
        <v>9.0000000472683139E-2</v>
      </c>
      <c r="K81" s="37">
        <v>692394170</v>
      </c>
      <c r="L81" s="37">
        <f>ROUND((+K81*I81),0)</f>
        <v>57170161</v>
      </c>
      <c r="M81" s="39">
        <v>39831419</v>
      </c>
      <c r="N81" s="37">
        <f t="shared" si="26"/>
        <v>17338742</v>
      </c>
      <c r="O81" s="40">
        <v>6930647</v>
      </c>
      <c r="P81" s="41" t="s">
        <v>120</v>
      </c>
      <c r="Q81" s="55">
        <v>4795</v>
      </c>
      <c r="R81" s="42">
        <f t="shared" si="24"/>
        <v>10408095</v>
      </c>
      <c r="S81" s="55">
        <v>4796</v>
      </c>
      <c r="T81" s="55">
        <v>1117</v>
      </c>
      <c r="U81" s="55">
        <v>1690</v>
      </c>
      <c r="V81" s="34" t="s">
        <v>25</v>
      </c>
      <c r="W81" s="43">
        <v>44406</v>
      </c>
      <c r="X81" s="44"/>
    </row>
    <row r="82" spans="1:24" ht="17.45" customHeight="1" x14ac:dyDescent="0.25">
      <c r="A82" t="str">
        <f t="shared" si="22"/>
        <v>29109067214440610897200</v>
      </c>
      <c r="B82" s="6">
        <f t="shared" si="20"/>
        <v>44406</v>
      </c>
      <c r="C82" s="3">
        <f t="shared" si="21"/>
        <v>10897200</v>
      </c>
      <c r="D82" s="34">
        <v>2021</v>
      </c>
      <c r="E82" s="35">
        <v>2910906721</v>
      </c>
      <c r="F82" s="36" t="s">
        <v>60</v>
      </c>
      <c r="G82" s="37">
        <v>90810000</v>
      </c>
      <c r="H82" s="37">
        <v>10897200</v>
      </c>
      <c r="I82" s="38">
        <f t="shared" si="25"/>
        <v>0.12</v>
      </c>
      <c r="J82" s="38">
        <f t="shared" si="23"/>
        <v>0.13636363636363635</v>
      </c>
      <c r="K82" s="37">
        <v>90810000</v>
      </c>
      <c r="L82" s="37">
        <f>+K82*I82</f>
        <v>10897200</v>
      </c>
      <c r="M82" s="39">
        <v>10155046</v>
      </c>
      <c r="N82" s="37">
        <f t="shared" si="26"/>
        <v>742154</v>
      </c>
      <c r="O82" s="40">
        <f>ROUND((N82*40%),0)</f>
        <v>296862</v>
      </c>
      <c r="P82" s="41" t="s">
        <v>120</v>
      </c>
      <c r="Q82" s="55">
        <v>4797</v>
      </c>
      <c r="R82" s="42">
        <f t="shared" si="24"/>
        <v>445292</v>
      </c>
      <c r="S82" s="55">
        <v>4798</v>
      </c>
      <c r="T82" s="55">
        <v>1120</v>
      </c>
      <c r="U82" s="55">
        <v>1733</v>
      </c>
      <c r="V82" s="34" t="s">
        <v>25</v>
      </c>
      <c r="W82" s="43">
        <v>44406</v>
      </c>
      <c r="X82" s="44"/>
    </row>
    <row r="83" spans="1:24" ht="17.45" customHeight="1" x14ac:dyDescent="0.25">
      <c r="A83" t="str">
        <f t="shared" si="22"/>
        <v>29109065894441019139263</v>
      </c>
      <c r="B83" s="6">
        <f t="shared" si="20"/>
        <v>44410</v>
      </c>
      <c r="C83" s="3">
        <f t="shared" si="21"/>
        <v>19139263</v>
      </c>
      <c r="D83" s="34">
        <v>2021</v>
      </c>
      <c r="E83" s="35">
        <v>2910906589</v>
      </c>
      <c r="F83" s="36" t="s">
        <v>122</v>
      </c>
      <c r="G83" s="37">
        <v>178633122</v>
      </c>
      <c r="H83" s="37">
        <v>19139263</v>
      </c>
      <c r="I83" s="38">
        <f t="shared" si="25"/>
        <v>0.10714285674299528</v>
      </c>
      <c r="J83" s="38">
        <f t="shared" si="23"/>
        <v>0.11999999949841329</v>
      </c>
      <c r="K83" s="37">
        <v>178633122</v>
      </c>
      <c r="L83" s="37">
        <f t="shared" ref="L83:L94" si="27">ROUND((+K83*I83),0)</f>
        <v>19139263</v>
      </c>
      <c r="M83" s="39">
        <v>5744608</v>
      </c>
      <c r="N83" s="37">
        <f t="shared" si="26"/>
        <v>13394655</v>
      </c>
      <c r="O83" s="40">
        <v>1911097</v>
      </c>
      <c r="P83" s="41" t="s">
        <v>123</v>
      </c>
      <c r="Q83" s="55">
        <v>6347</v>
      </c>
      <c r="R83" s="42">
        <v>11483558</v>
      </c>
      <c r="S83" s="55">
        <v>6348</v>
      </c>
      <c r="T83" s="55">
        <v>1125</v>
      </c>
      <c r="U83" s="55">
        <v>1783</v>
      </c>
      <c r="V83" s="34" t="s">
        <v>25</v>
      </c>
      <c r="W83" s="43">
        <v>44410</v>
      </c>
      <c r="X83" s="44" t="s">
        <v>124</v>
      </c>
    </row>
    <row r="84" spans="1:24" ht="17.45" customHeight="1" x14ac:dyDescent="0.25">
      <c r="A84" t="str">
        <f t="shared" si="22"/>
        <v>24530134184441225966288</v>
      </c>
      <c r="B84" s="6">
        <f t="shared" si="20"/>
        <v>44412</v>
      </c>
      <c r="C84" s="3">
        <f t="shared" si="21"/>
        <v>25966288</v>
      </c>
      <c r="D84" s="34">
        <v>2021</v>
      </c>
      <c r="E84" s="35">
        <v>2453013418</v>
      </c>
      <c r="F84" s="36" t="s">
        <v>125</v>
      </c>
      <c r="G84" s="37">
        <v>403904382</v>
      </c>
      <c r="H84" s="37">
        <v>43277146</v>
      </c>
      <c r="I84" s="38">
        <f t="shared" si="25"/>
        <v>0.10714700787772093</v>
      </c>
      <c r="J84" s="38">
        <f t="shared" si="23"/>
        <v>0.12000520670601818</v>
      </c>
      <c r="K84" s="37">
        <v>242342630</v>
      </c>
      <c r="L84" s="37">
        <f t="shared" si="27"/>
        <v>25966288</v>
      </c>
      <c r="M84" s="39">
        <v>12983144</v>
      </c>
      <c r="N84" s="37">
        <v>5226630</v>
      </c>
      <c r="O84" s="40">
        <f>ROUND((N84*40%),0)</f>
        <v>2090652</v>
      </c>
      <c r="P84" s="41" t="s">
        <v>126</v>
      </c>
      <c r="Q84" s="55">
        <v>5335</v>
      </c>
      <c r="R84" s="42">
        <f>+N84-O84</f>
        <v>3135978</v>
      </c>
      <c r="S84" s="55">
        <v>5336</v>
      </c>
      <c r="T84" s="55">
        <v>1131</v>
      </c>
      <c r="U84" s="55">
        <v>1787</v>
      </c>
      <c r="V84" s="34" t="s">
        <v>25</v>
      </c>
      <c r="W84" s="43">
        <v>44412</v>
      </c>
      <c r="X84" s="44" t="s">
        <v>127</v>
      </c>
    </row>
    <row r="85" spans="1:24" ht="17.45" customHeight="1" x14ac:dyDescent="0.25">
      <c r="A85" t="str">
        <f t="shared" si="22"/>
        <v>29109011644443416310893</v>
      </c>
      <c r="B85" s="6">
        <f t="shared" si="20"/>
        <v>44434</v>
      </c>
      <c r="C85" s="3">
        <f t="shared" si="21"/>
        <v>16310893</v>
      </c>
      <c r="D85" s="34">
        <v>2021</v>
      </c>
      <c r="E85" s="35">
        <v>2910901164</v>
      </c>
      <c r="F85" s="36" t="s">
        <v>128</v>
      </c>
      <c r="G85" s="37">
        <v>153000000</v>
      </c>
      <c r="H85" s="37">
        <v>16392857</v>
      </c>
      <c r="I85" s="38">
        <f t="shared" si="25"/>
        <v>0.10714285620915033</v>
      </c>
      <c r="J85" s="38">
        <f t="shared" si="23"/>
        <v>0.11999999882875817</v>
      </c>
      <c r="K85" s="37">
        <v>152234999</v>
      </c>
      <c r="L85" s="37">
        <f t="shared" si="27"/>
        <v>16310893</v>
      </c>
      <c r="M85" s="39">
        <v>16310893</v>
      </c>
      <c r="N85" s="37">
        <v>81964</v>
      </c>
      <c r="O85" s="40">
        <f>ROUND((N85*40%),0)</f>
        <v>32786</v>
      </c>
      <c r="P85" s="41" t="s">
        <v>126</v>
      </c>
      <c r="Q85" s="55">
        <v>5337</v>
      </c>
      <c r="R85" s="42">
        <f>+N85-O85</f>
        <v>49178</v>
      </c>
      <c r="S85" s="55">
        <v>5338</v>
      </c>
      <c r="T85" s="55">
        <v>1314</v>
      </c>
      <c r="U85" s="55">
        <v>2139</v>
      </c>
      <c r="V85" s="34" t="s">
        <v>25</v>
      </c>
      <c r="W85" s="43">
        <v>44434</v>
      </c>
      <c r="X85" s="44"/>
    </row>
    <row r="86" spans="1:24" ht="17.45" customHeight="1" x14ac:dyDescent="0.25">
      <c r="A86" t="str">
        <f t="shared" si="22"/>
        <v>29109011674443420895000</v>
      </c>
      <c r="B86" s="6">
        <f t="shared" si="20"/>
        <v>44434</v>
      </c>
      <c r="C86" s="3">
        <f t="shared" si="21"/>
        <v>20895000</v>
      </c>
      <c r="D86" s="34">
        <v>2021</v>
      </c>
      <c r="E86" s="35">
        <v>2910901167</v>
      </c>
      <c r="F86" s="36" t="s">
        <v>128</v>
      </c>
      <c r="G86" s="37">
        <v>196000000</v>
      </c>
      <c r="H86" s="37">
        <v>21000000</v>
      </c>
      <c r="I86" s="38">
        <f t="shared" si="25"/>
        <v>0.10714285714285714</v>
      </c>
      <c r="J86" s="38">
        <f t="shared" si="23"/>
        <v>0.12</v>
      </c>
      <c r="K86" s="37">
        <v>195020000</v>
      </c>
      <c r="L86" s="37">
        <f t="shared" si="27"/>
        <v>20895000</v>
      </c>
      <c r="M86" s="39">
        <v>20895000</v>
      </c>
      <c r="N86" s="37">
        <v>105000</v>
      </c>
      <c r="O86" s="40">
        <f>ROUND((N86*40%),0)</f>
        <v>42000</v>
      </c>
      <c r="P86" s="41" t="s">
        <v>126</v>
      </c>
      <c r="Q86" s="55">
        <v>5339</v>
      </c>
      <c r="R86" s="42">
        <f>+N86-O86</f>
        <v>63000</v>
      </c>
      <c r="S86" s="55">
        <v>5340</v>
      </c>
      <c r="T86" s="55">
        <v>1315</v>
      </c>
      <c r="U86" s="55">
        <v>2140</v>
      </c>
      <c r="V86" s="34" t="s">
        <v>25</v>
      </c>
      <c r="W86" s="43">
        <v>44434</v>
      </c>
      <c r="X86" s="44"/>
    </row>
    <row r="87" spans="1:24" ht="17.45" customHeight="1" x14ac:dyDescent="0.25">
      <c r="A87" t="str">
        <f t="shared" si="22"/>
        <v>2910901169444345308344</v>
      </c>
      <c r="B87" s="6">
        <f t="shared" si="20"/>
        <v>44434</v>
      </c>
      <c r="C87" s="3">
        <f t="shared" si="21"/>
        <v>5308344</v>
      </c>
      <c r="D87" s="34">
        <v>2021</v>
      </c>
      <c r="E87" s="35">
        <v>2910901169</v>
      </c>
      <c r="F87" s="36" t="s">
        <v>128</v>
      </c>
      <c r="G87" s="37">
        <v>49793510</v>
      </c>
      <c r="H87" s="37">
        <v>5335019</v>
      </c>
      <c r="I87" s="38">
        <f t="shared" si="25"/>
        <v>0.10714285857735276</v>
      </c>
      <c r="J87" s="38">
        <f t="shared" si="23"/>
        <v>0.12000000179943129</v>
      </c>
      <c r="K87" s="37">
        <v>49544542</v>
      </c>
      <c r="L87" s="37">
        <f t="shared" si="27"/>
        <v>5308344</v>
      </c>
      <c r="M87" s="39">
        <v>5308344</v>
      </c>
      <c r="N87" s="37">
        <v>26675</v>
      </c>
      <c r="O87" s="40">
        <f>ROUND((N87*40%),0)</f>
        <v>10670</v>
      </c>
      <c r="P87" s="41" t="s">
        <v>126</v>
      </c>
      <c r="Q87" s="55">
        <v>5341</v>
      </c>
      <c r="R87" s="42">
        <f>+N87-O87</f>
        <v>16005</v>
      </c>
      <c r="S87" s="55">
        <v>5342</v>
      </c>
      <c r="T87" s="55">
        <v>1316</v>
      </c>
      <c r="U87" s="55">
        <v>2141</v>
      </c>
      <c r="V87" s="34" t="s">
        <v>25</v>
      </c>
      <c r="W87" s="43">
        <v>44434</v>
      </c>
      <c r="X87" s="44" t="s">
        <v>129</v>
      </c>
    </row>
    <row r="88" spans="1:24" ht="17.45" customHeight="1" x14ac:dyDescent="0.25">
      <c r="A88" t="str">
        <f t="shared" si="22"/>
        <v>2910906412444342400154</v>
      </c>
      <c r="B88" s="6">
        <f t="shared" si="20"/>
        <v>44434</v>
      </c>
      <c r="C88" s="3">
        <f t="shared" si="21"/>
        <v>2400154</v>
      </c>
      <c r="D88" s="34">
        <v>2021</v>
      </c>
      <c r="E88" s="35">
        <v>2910906412</v>
      </c>
      <c r="F88" s="36" t="s">
        <v>130</v>
      </c>
      <c r="G88" s="37">
        <v>25000000</v>
      </c>
      <c r="H88" s="37">
        <v>2678571</v>
      </c>
      <c r="I88" s="38">
        <f t="shared" si="25"/>
        <v>0.10714284</v>
      </c>
      <c r="J88" s="38">
        <f t="shared" si="23"/>
        <v>0.11999997849600041</v>
      </c>
      <c r="K88" s="37">
        <v>22401443</v>
      </c>
      <c r="L88" s="37">
        <f t="shared" si="27"/>
        <v>2400154</v>
      </c>
      <c r="M88" s="39">
        <v>2400154</v>
      </c>
      <c r="N88" s="37">
        <v>278417</v>
      </c>
      <c r="O88" s="40">
        <f>+N88</f>
        <v>278417</v>
      </c>
      <c r="P88" s="41" t="s">
        <v>131</v>
      </c>
      <c r="Q88" s="55">
        <v>5343</v>
      </c>
      <c r="R88" s="42">
        <v>0</v>
      </c>
      <c r="S88" s="55">
        <v>0</v>
      </c>
      <c r="T88" s="55">
        <v>1317</v>
      </c>
      <c r="U88" s="55">
        <v>2142</v>
      </c>
      <c r="V88" s="34" t="s">
        <v>25</v>
      </c>
      <c r="W88" s="43">
        <v>44434</v>
      </c>
      <c r="X88" s="44" t="s">
        <v>132</v>
      </c>
    </row>
    <row r="89" spans="1:24" ht="17.45" customHeight="1" x14ac:dyDescent="0.25">
      <c r="A89" t="str">
        <f t="shared" si="22"/>
        <v>2910906559444344864344</v>
      </c>
      <c r="B89" s="6">
        <f t="shared" si="20"/>
        <v>44434</v>
      </c>
      <c r="C89" s="3">
        <f t="shared" si="21"/>
        <v>4864344</v>
      </c>
      <c r="D89" s="34">
        <v>2021</v>
      </c>
      <c r="E89" s="35">
        <v>2910906559</v>
      </c>
      <c r="F89" s="36" t="s">
        <v>133</v>
      </c>
      <c r="G89" s="37">
        <v>47096000</v>
      </c>
      <c r="H89" s="37">
        <v>5046000</v>
      </c>
      <c r="I89" s="38">
        <f t="shared" si="25"/>
        <v>0.10714285714285714</v>
      </c>
      <c r="J89" s="38">
        <f t="shared" si="23"/>
        <v>0.12</v>
      </c>
      <c r="K89" s="37">
        <v>45400544</v>
      </c>
      <c r="L89" s="37">
        <f t="shared" si="27"/>
        <v>4864344</v>
      </c>
      <c r="M89" s="39">
        <v>3960544</v>
      </c>
      <c r="N89" s="37">
        <v>1085456</v>
      </c>
      <c r="O89" s="40">
        <f>+N89</f>
        <v>1085456</v>
      </c>
      <c r="P89" s="41"/>
      <c r="Q89" s="55">
        <v>5344</v>
      </c>
      <c r="R89" s="42">
        <v>0</v>
      </c>
      <c r="S89" s="55">
        <v>0</v>
      </c>
      <c r="T89" s="55">
        <v>1318</v>
      </c>
      <c r="U89" s="55">
        <v>2143</v>
      </c>
      <c r="V89" s="34" t="s">
        <v>25</v>
      </c>
      <c r="W89" s="43">
        <v>44434</v>
      </c>
      <c r="X89" s="44"/>
    </row>
    <row r="90" spans="1:24" ht="17.45" customHeight="1" x14ac:dyDescent="0.25">
      <c r="A90" t="str">
        <f t="shared" si="22"/>
        <v>29109067194443443808036</v>
      </c>
      <c r="B90" s="6">
        <f t="shared" si="20"/>
        <v>44529</v>
      </c>
      <c r="C90" s="3">
        <f t="shared" si="21"/>
        <v>71236607</v>
      </c>
      <c r="D90" s="34">
        <v>2021</v>
      </c>
      <c r="E90" s="35">
        <v>2910906719</v>
      </c>
      <c r="F90" s="36" t="s">
        <v>70</v>
      </c>
      <c r="G90" s="37">
        <v>664875000</v>
      </c>
      <c r="H90" s="37">
        <v>71236607</v>
      </c>
      <c r="I90" s="38">
        <f t="shared" si="25"/>
        <v>0.10714285692799398</v>
      </c>
      <c r="J90" s="38">
        <f t="shared" si="23"/>
        <v>0.11999999973047565</v>
      </c>
      <c r="K90" s="37">
        <v>408875000</v>
      </c>
      <c r="L90" s="37">
        <f t="shared" si="27"/>
        <v>43808036</v>
      </c>
      <c r="M90" s="39">
        <v>16379464</v>
      </c>
      <c r="N90" s="37">
        <f t="shared" ref="N90:N100" si="28">+L90-M90</f>
        <v>27428572</v>
      </c>
      <c r="O90" s="40">
        <f>ROUND((N90*40%),0)</f>
        <v>10971429</v>
      </c>
      <c r="P90" s="41" t="s">
        <v>126</v>
      </c>
      <c r="Q90" s="55">
        <v>5345</v>
      </c>
      <c r="R90" s="42">
        <f t="shared" ref="R90:R95" si="29">+N90-O90</f>
        <v>16457143</v>
      </c>
      <c r="S90" s="55">
        <v>5346</v>
      </c>
      <c r="T90" s="55">
        <v>1319</v>
      </c>
      <c r="U90" s="55">
        <v>2144</v>
      </c>
      <c r="V90" s="34" t="s">
        <v>25</v>
      </c>
      <c r="W90" s="43">
        <v>44434</v>
      </c>
      <c r="X90" s="44"/>
    </row>
    <row r="91" spans="1:24" ht="17.45" customHeight="1" x14ac:dyDescent="0.25">
      <c r="A91" t="str">
        <f t="shared" si="22"/>
        <v>24530183024443489809808</v>
      </c>
      <c r="B91" s="6">
        <f t="shared" si="20"/>
        <v>44434</v>
      </c>
      <c r="C91" s="3">
        <f t="shared" si="21"/>
        <v>89809808</v>
      </c>
      <c r="D91" s="34">
        <v>2021</v>
      </c>
      <c r="E91" s="35">
        <v>2453018302</v>
      </c>
      <c r="F91" s="36" t="s">
        <v>134</v>
      </c>
      <c r="G91" s="37">
        <v>838224872</v>
      </c>
      <c r="H91" s="37">
        <v>89809808</v>
      </c>
      <c r="I91" s="38">
        <f t="shared" si="25"/>
        <v>0.10714285748371351</v>
      </c>
      <c r="J91" s="38">
        <f t="shared" si="23"/>
        <v>0.12000000042757022</v>
      </c>
      <c r="K91" s="37">
        <v>838224872</v>
      </c>
      <c r="L91" s="37">
        <f t="shared" si="27"/>
        <v>89809808</v>
      </c>
      <c r="M91" s="39">
        <v>89199094</v>
      </c>
      <c r="N91" s="37">
        <f t="shared" si="28"/>
        <v>610714</v>
      </c>
      <c r="O91" s="40">
        <f>ROUND((N91*40%),0)</f>
        <v>244286</v>
      </c>
      <c r="P91" s="41" t="s">
        <v>131</v>
      </c>
      <c r="Q91" s="55">
        <v>5347</v>
      </c>
      <c r="R91" s="42">
        <f t="shared" si="29"/>
        <v>366428</v>
      </c>
      <c r="S91" s="55">
        <v>5348</v>
      </c>
      <c r="T91" s="55">
        <v>1320</v>
      </c>
      <c r="U91" s="55">
        <v>2145</v>
      </c>
      <c r="V91" s="34" t="s">
        <v>25</v>
      </c>
      <c r="W91" s="43">
        <v>44434</v>
      </c>
      <c r="X91" s="44" t="s">
        <v>135</v>
      </c>
    </row>
    <row r="92" spans="1:24" ht="17.45" customHeight="1" x14ac:dyDescent="0.25">
      <c r="A92" t="str">
        <f t="shared" si="22"/>
        <v>29109067054443444232143</v>
      </c>
      <c r="B92" s="6">
        <f t="shared" si="20"/>
        <v>44434</v>
      </c>
      <c r="C92" s="3">
        <f t="shared" si="21"/>
        <v>44232143</v>
      </c>
      <c r="D92" s="34">
        <v>2021</v>
      </c>
      <c r="E92" s="35">
        <v>2910906705</v>
      </c>
      <c r="F92" s="36" t="s">
        <v>136</v>
      </c>
      <c r="G92" s="37">
        <v>412833333</v>
      </c>
      <c r="H92" s="37">
        <v>44232143</v>
      </c>
      <c r="I92" s="38">
        <f t="shared" si="25"/>
        <v>0.10714285757540803</v>
      </c>
      <c r="J92" s="38">
        <f t="shared" si="23"/>
        <v>0.12000000054259184</v>
      </c>
      <c r="K92" s="37">
        <v>412833333</v>
      </c>
      <c r="L92" s="37">
        <f t="shared" si="27"/>
        <v>44232143</v>
      </c>
      <c r="M92" s="39">
        <v>33113839</v>
      </c>
      <c r="N92" s="37">
        <f t="shared" si="28"/>
        <v>11118304</v>
      </c>
      <c r="O92" s="40">
        <f>ROUND((N92*40%),0)</f>
        <v>4447322</v>
      </c>
      <c r="P92" s="41" t="s">
        <v>126</v>
      </c>
      <c r="Q92" s="55">
        <v>5349</v>
      </c>
      <c r="R92" s="42">
        <f t="shared" si="29"/>
        <v>6670982</v>
      </c>
      <c r="S92" s="55">
        <v>5350</v>
      </c>
      <c r="T92" s="55">
        <v>1321</v>
      </c>
      <c r="U92" s="55">
        <v>2146</v>
      </c>
      <c r="V92" s="34" t="s">
        <v>25</v>
      </c>
      <c r="W92" s="43">
        <v>44434</v>
      </c>
      <c r="X92" s="44"/>
    </row>
    <row r="93" spans="1:24" ht="17.45" customHeight="1" x14ac:dyDescent="0.25">
      <c r="A93" t="str">
        <f t="shared" si="22"/>
        <v>291090801544434421273</v>
      </c>
      <c r="B93" s="6">
        <f t="shared" si="20"/>
        <v>44434</v>
      </c>
      <c r="C93" s="3">
        <f t="shared" si="21"/>
        <v>421273</v>
      </c>
      <c r="D93" s="34">
        <v>2021</v>
      </c>
      <c r="E93" s="35">
        <v>2910908015</v>
      </c>
      <c r="F93" s="36" t="s">
        <v>137</v>
      </c>
      <c r="G93" s="37">
        <v>20299702</v>
      </c>
      <c r="H93" s="37">
        <v>421273</v>
      </c>
      <c r="I93" s="38">
        <f t="shared" si="25"/>
        <v>2.075266917711403E-2</v>
      </c>
      <c r="J93" s="38">
        <f t="shared" si="23"/>
        <v>2.1192469485390421E-2</v>
      </c>
      <c r="K93" s="37">
        <v>20299702</v>
      </c>
      <c r="L93" s="37">
        <f t="shared" si="27"/>
        <v>421273</v>
      </c>
      <c r="M93" s="39">
        <v>0</v>
      </c>
      <c r="N93" s="37">
        <f t="shared" si="28"/>
        <v>421273</v>
      </c>
      <c r="O93" s="40">
        <f>+N93</f>
        <v>421273</v>
      </c>
      <c r="P93" s="41" t="s">
        <v>126</v>
      </c>
      <c r="Q93" s="55">
        <v>5353</v>
      </c>
      <c r="R93" s="42">
        <f t="shared" si="29"/>
        <v>0</v>
      </c>
      <c r="S93" s="55">
        <v>0</v>
      </c>
      <c r="T93" s="55">
        <v>1322</v>
      </c>
      <c r="U93" s="55">
        <v>2147</v>
      </c>
      <c r="V93" s="34" t="s">
        <v>25</v>
      </c>
      <c r="W93" s="43">
        <v>44434</v>
      </c>
      <c r="X93" s="44" t="s">
        <v>138</v>
      </c>
    </row>
    <row r="94" spans="1:24" ht="17.45" customHeight="1" x14ac:dyDescent="0.25">
      <c r="A94" t="str">
        <f t="shared" si="22"/>
        <v>2910908019444344740136</v>
      </c>
      <c r="B94" s="6">
        <f t="shared" si="20"/>
        <v>44434</v>
      </c>
      <c r="C94" s="3">
        <f t="shared" si="21"/>
        <v>4740136</v>
      </c>
      <c r="D94" s="34">
        <v>2021</v>
      </c>
      <c r="E94" s="35">
        <v>2910908019</v>
      </c>
      <c r="F94" s="36" t="s">
        <v>139</v>
      </c>
      <c r="G94" s="37">
        <v>39501132</v>
      </c>
      <c r="H94" s="37">
        <v>4740136</v>
      </c>
      <c r="I94" s="38">
        <f t="shared" si="25"/>
        <v>0.12000000405051683</v>
      </c>
      <c r="J94" s="38">
        <f t="shared" si="23"/>
        <v>0.13636364159415915</v>
      </c>
      <c r="K94" s="37">
        <v>39501132</v>
      </c>
      <c r="L94" s="37">
        <f t="shared" si="27"/>
        <v>4740136</v>
      </c>
      <c r="M94" s="39">
        <v>0</v>
      </c>
      <c r="N94" s="37">
        <f t="shared" si="28"/>
        <v>4740136</v>
      </c>
      <c r="O94" s="40">
        <f>+N94</f>
        <v>4740136</v>
      </c>
      <c r="P94" s="41" t="s">
        <v>126</v>
      </c>
      <c r="Q94" s="55">
        <v>5354</v>
      </c>
      <c r="R94" s="42">
        <f t="shared" si="29"/>
        <v>0</v>
      </c>
      <c r="S94" s="55">
        <v>0</v>
      </c>
      <c r="T94" s="55">
        <v>1323</v>
      </c>
      <c r="U94" s="55">
        <v>2148</v>
      </c>
      <c r="V94" s="34" t="s">
        <v>25</v>
      </c>
      <c r="W94" s="43">
        <v>44434</v>
      </c>
      <c r="X94" s="44"/>
    </row>
    <row r="95" spans="1:24" ht="17.45" customHeight="1" x14ac:dyDescent="0.25">
      <c r="A95" t="str">
        <f t="shared" si="22"/>
        <v>291090150144434167160000</v>
      </c>
      <c r="B95" s="6">
        <f t="shared" si="20"/>
        <v>44434</v>
      </c>
      <c r="C95" s="3">
        <f t="shared" si="21"/>
        <v>167160000</v>
      </c>
      <c r="D95" s="34">
        <v>2021</v>
      </c>
      <c r="E95" s="35">
        <v>2910901501</v>
      </c>
      <c r="F95" s="36" t="s">
        <v>140</v>
      </c>
      <c r="G95" s="37">
        <v>1500000000</v>
      </c>
      <c r="H95" s="37">
        <f>150287413+29712586</f>
        <v>179999999</v>
      </c>
      <c r="I95" s="38">
        <f t="shared" si="25"/>
        <v>0.11999999933333333</v>
      </c>
      <c r="J95" s="38">
        <f t="shared" si="23"/>
        <v>0.13636363550275482</v>
      </c>
      <c r="K95" s="37">
        <v>1393000000</v>
      </c>
      <c r="L95" s="37">
        <f>+K95*0.12</f>
        <v>167160000</v>
      </c>
      <c r="M95" s="39">
        <v>72000000</v>
      </c>
      <c r="N95" s="37">
        <f t="shared" si="28"/>
        <v>95160000</v>
      </c>
      <c r="O95" s="40">
        <f>ROUND((N95*40%),0)</f>
        <v>38064000</v>
      </c>
      <c r="P95" s="41" t="s">
        <v>126</v>
      </c>
      <c r="Q95" s="55">
        <v>5355</v>
      </c>
      <c r="R95" s="42">
        <f t="shared" si="29"/>
        <v>57096000</v>
      </c>
      <c r="S95" s="55">
        <v>5356</v>
      </c>
      <c r="T95" s="55">
        <v>1311</v>
      </c>
      <c r="U95" s="55">
        <v>2082</v>
      </c>
      <c r="V95" s="34" t="s">
        <v>25</v>
      </c>
      <c r="W95" s="43">
        <v>44434</v>
      </c>
      <c r="X95" s="44"/>
    </row>
    <row r="96" spans="1:24" ht="17.45" customHeight="1" x14ac:dyDescent="0.25">
      <c r="A96" t="str">
        <f t="shared" si="22"/>
        <v>291090804544434887725</v>
      </c>
      <c r="B96" s="6">
        <f t="shared" si="20"/>
        <v>44434</v>
      </c>
      <c r="C96" s="3">
        <f t="shared" si="21"/>
        <v>887725</v>
      </c>
      <c r="D96" s="34">
        <v>2021</v>
      </c>
      <c r="E96" s="35">
        <v>2910908045</v>
      </c>
      <c r="F96" s="36" t="s">
        <v>141</v>
      </c>
      <c r="G96" s="37">
        <v>8285436</v>
      </c>
      <c r="H96" s="37">
        <v>887725</v>
      </c>
      <c r="I96" s="38">
        <f t="shared" si="25"/>
        <v>0.10714282265894033</v>
      </c>
      <c r="J96" s="38">
        <f t="shared" si="23"/>
        <v>0.11999995674337643</v>
      </c>
      <c r="K96" s="37">
        <v>8285436</v>
      </c>
      <c r="L96" s="37">
        <f>ROUND((+K96*I96),0)</f>
        <v>887725</v>
      </c>
      <c r="M96" s="39">
        <v>0</v>
      </c>
      <c r="N96" s="37">
        <f t="shared" si="28"/>
        <v>887725</v>
      </c>
      <c r="O96" s="40">
        <f>+N96</f>
        <v>887725</v>
      </c>
      <c r="P96" s="41" t="s">
        <v>131</v>
      </c>
      <c r="Q96" s="55">
        <v>5357</v>
      </c>
      <c r="R96" s="42">
        <v>0</v>
      </c>
      <c r="S96" s="55">
        <v>0</v>
      </c>
      <c r="T96" s="55">
        <v>1324</v>
      </c>
      <c r="U96" s="55">
        <v>2149</v>
      </c>
      <c r="V96" s="34" t="s">
        <v>25</v>
      </c>
      <c r="W96" s="43">
        <v>44434</v>
      </c>
      <c r="X96" s="44"/>
    </row>
    <row r="97" spans="1:24" ht="17.45" customHeight="1" x14ac:dyDescent="0.25">
      <c r="A97" t="str">
        <f t="shared" si="22"/>
        <v>2910905873444348266000</v>
      </c>
      <c r="B97" s="6">
        <f t="shared" si="20"/>
        <v>44434</v>
      </c>
      <c r="C97" s="3">
        <f t="shared" si="21"/>
        <v>8266000</v>
      </c>
      <c r="D97" s="34">
        <v>2021</v>
      </c>
      <c r="E97" s="35">
        <v>2910905873</v>
      </c>
      <c r="F97" s="36" t="s">
        <v>142</v>
      </c>
      <c r="G97" s="37">
        <v>70368755</v>
      </c>
      <c r="H97" s="37">
        <v>8266000</v>
      </c>
      <c r="I97" s="38">
        <f t="shared" si="25"/>
        <v>0.11746690701007854</v>
      </c>
      <c r="J97" s="38">
        <f t="shared" si="23"/>
        <v>0.13310198557213765</v>
      </c>
      <c r="K97" s="37">
        <v>70368755</v>
      </c>
      <c r="L97" s="37">
        <f>ROUND((+K97*I97),0)</f>
        <v>8266000</v>
      </c>
      <c r="M97" s="39">
        <v>51633</v>
      </c>
      <c r="N97" s="37">
        <f t="shared" si="28"/>
        <v>8214367</v>
      </c>
      <c r="O97" s="40">
        <f t="shared" ref="O97:O108" si="30">ROUND((N97*40%),0)</f>
        <v>3285747</v>
      </c>
      <c r="P97" s="41" t="s">
        <v>131</v>
      </c>
      <c r="Q97" s="55">
        <v>5358</v>
      </c>
      <c r="R97" s="42">
        <f t="shared" ref="R97:R119" si="31">+N97-O97</f>
        <v>4928620</v>
      </c>
      <c r="S97" s="55">
        <v>5359</v>
      </c>
      <c r="T97" s="55">
        <v>1332</v>
      </c>
      <c r="U97" s="55">
        <v>2130</v>
      </c>
      <c r="V97" s="34" t="s">
        <v>25</v>
      </c>
      <c r="W97" s="43">
        <v>44434</v>
      </c>
      <c r="X97" s="44"/>
    </row>
    <row r="98" spans="1:24" ht="17.45" customHeight="1" x14ac:dyDescent="0.25">
      <c r="A98" t="str">
        <f t="shared" si="22"/>
        <v>29109067304444119274820</v>
      </c>
      <c r="B98" s="6">
        <f t="shared" si="20"/>
        <v>44441</v>
      </c>
      <c r="C98" s="3">
        <f t="shared" si="21"/>
        <v>19274820</v>
      </c>
      <c r="D98" s="34">
        <v>2021</v>
      </c>
      <c r="E98" s="35">
        <v>2910906730</v>
      </c>
      <c r="F98" s="36" t="s">
        <v>82</v>
      </c>
      <c r="G98" s="37">
        <v>179895904</v>
      </c>
      <c r="H98" s="37">
        <v>19274820</v>
      </c>
      <c r="I98" s="38">
        <f t="shared" si="25"/>
        <v>0.10714429607024294</v>
      </c>
      <c r="J98" s="38">
        <f t="shared" si="23"/>
        <v>0.12000180499342165</v>
      </c>
      <c r="K98" s="37">
        <f>71958362+107937542</f>
        <v>179895904</v>
      </c>
      <c r="L98" s="37">
        <f>ROUND((+K98*I98),0)</f>
        <v>19274820</v>
      </c>
      <c r="M98" s="39">
        <v>7709825</v>
      </c>
      <c r="N98" s="37">
        <f t="shared" si="28"/>
        <v>11564995</v>
      </c>
      <c r="O98" s="40">
        <f t="shared" si="30"/>
        <v>4625998</v>
      </c>
      <c r="P98" s="41" t="s">
        <v>143</v>
      </c>
      <c r="Q98" s="55">
        <v>5515</v>
      </c>
      <c r="R98" s="42">
        <f t="shared" si="31"/>
        <v>6938997</v>
      </c>
      <c r="S98" s="55">
        <v>5516</v>
      </c>
      <c r="T98" s="55">
        <v>1398</v>
      </c>
      <c r="U98" s="55">
        <v>2184</v>
      </c>
      <c r="V98" s="34" t="s">
        <v>25</v>
      </c>
      <c r="W98" s="43">
        <v>44441</v>
      </c>
      <c r="X98" s="44"/>
    </row>
    <row r="99" spans="1:24" ht="17.45" customHeight="1" x14ac:dyDescent="0.25">
      <c r="A99" t="str">
        <f t="shared" si="22"/>
        <v>29109062754445921950254</v>
      </c>
      <c r="B99" s="6">
        <f t="shared" si="20"/>
        <v>44459</v>
      </c>
      <c r="C99" s="3">
        <f t="shared" si="21"/>
        <v>21950254</v>
      </c>
      <c r="D99" s="34">
        <v>2021</v>
      </c>
      <c r="E99" s="35">
        <v>2910906275</v>
      </c>
      <c r="F99" s="36" t="s">
        <v>144</v>
      </c>
      <c r="G99" s="37">
        <v>204869041</v>
      </c>
      <c r="H99" s="37">
        <v>21950254</v>
      </c>
      <c r="I99" s="38">
        <f t="shared" si="25"/>
        <v>0.10714285522525582</v>
      </c>
      <c r="J99" s="38">
        <f t="shared" ref="J99:J133" si="32">IFERROR((+H99/(G99-H99)),0)</f>
        <v>0.11999999759456091</v>
      </c>
      <c r="K99" s="37">
        <v>204869041</v>
      </c>
      <c r="L99" s="37">
        <f>+K99*I99</f>
        <v>21950254</v>
      </c>
      <c r="M99" s="39">
        <v>0</v>
      </c>
      <c r="N99" s="37">
        <f t="shared" si="28"/>
        <v>21950254</v>
      </c>
      <c r="O99" s="40">
        <f t="shared" si="30"/>
        <v>8780102</v>
      </c>
      <c r="P99" s="41" t="s">
        <v>131</v>
      </c>
      <c r="Q99" s="55">
        <v>5765</v>
      </c>
      <c r="R99" s="42">
        <f t="shared" si="31"/>
        <v>13170152</v>
      </c>
      <c r="S99" s="55">
        <v>5766</v>
      </c>
      <c r="T99" s="55">
        <v>1624</v>
      </c>
      <c r="U99" s="55">
        <v>2505</v>
      </c>
      <c r="V99" s="34" t="s">
        <v>25</v>
      </c>
      <c r="W99" s="43">
        <v>44459</v>
      </c>
      <c r="X99" s="44"/>
    </row>
    <row r="100" spans="1:24" ht="17.45" customHeight="1" x14ac:dyDescent="0.25">
      <c r="A100" t="str">
        <f t="shared" si="22"/>
        <v>291090626044459306737224</v>
      </c>
      <c r="B100" s="6">
        <f t="shared" si="20"/>
        <v>44459</v>
      </c>
      <c r="C100" s="3">
        <f t="shared" si="21"/>
        <v>306737224</v>
      </c>
      <c r="D100" s="34">
        <v>2021</v>
      </c>
      <c r="E100" s="35">
        <v>2910906260</v>
      </c>
      <c r="F100" s="36" t="s">
        <v>57</v>
      </c>
      <c r="G100" s="37">
        <v>4300708566</v>
      </c>
      <c r="H100" s="37">
        <v>516085028</v>
      </c>
      <c r="I100" s="38">
        <v>0.12000000001860159</v>
      </c>
      <c r="J100" s="38">
        <f t="shared" si="32"/>
        <v>0.136363636387657</v>
      </c>
      <c r="K100" s="37">
        <v>2556143530</v>
      </c>
      <c r="L100" s="37">
        <v>306737224</v>
      </c>
      <c r="M100" s="39">
        <f>203289922+50000000</f>
        <v>253289922</v>
      </c>
      <c r="N100" s="37">
        <f t="shared" si="28"/>
        <v>53447302</v>
      </c>
      <c r="O100" s="40">
        <f t="shared" si="30"/>
        <v>21378921</v>
      </c>
      <c r="P100" s="41" t="s">
        <v>131</v>
      </c>
      <c r="Q100" s="55">
        <v>5767</v>
      </c>
      <c r="R100" s="42">
        <f t="shared" si="31"/>
        <v>32068381</v>
      </c>
      <c r="S100" s="55">
        <v>5768</v>
      </c>
      <c r="T100" s="55">
        <v>1625</v>
      </c>
      <c r="U100" s="55" t="s">
        <v>145</v>
      </c>
      <c r="V100" s="34" t="s">
        <v>25</v>
      </c>
      <c r="W100" s="43">
        <v>44459</v>
      </c>
      <c r="X100" s="44" t="s">
        <v>146</v>
      </c>
    </row>
    <row r="101" spans="1:24" ht="17.45" customHeight="1" x14ac:dyDescent="0.25">
      <c r="A101" t="str">
        <f t="shared" si="22"/>
        <v>24530183094446310714286</v>
      </c>
      <c r="B101" s="6">
        <f t="shared" si="20"/>
        <v>44463</v>
      </c>
      <c r="C101" s="3">
        <f t="shared" si="21"/>
        <v>10714286</v>
      </c>
      <c r="D101" s="34">
        <v>2021</v>
      </c>
      <c r="E101" s="35">
        <v>2453018309</v>
      </c>
      <c r="F101" s="36" t="s">
        <v>73</v>
      </c>
      <c r="G101" s="37">
        <v>100000000</v>
      </c>
      <c r="H101" s="37">
        <v>10714286</v>
      </c>
      <c r="I101" s="38">
        <v>0.10714286000000001</v>
      </c>
      <c r="J101" s="38">
        <f t="shared" si="32"/>
        <v>0.12000000358400001</v>
      </c>
      <c r="K101" s="37">
        <v>100000000</v>
      </c>
      <c r="L101" s="37">
        <f>+K101*I101</f>
        <v>10714286</v>
      </c>
      <c r="M101" s="39">
        <v>5347143</v>
      </c>
      <c r="N101" s="37">
        <v>5357143</v>
      </c>
      <c r="O101" s="40">
        <f t="shared" si="30"/>
        <v>2142857</v>
      </c>
      <c r="P101" s="41" t="s">
        <v>147</v>
      </c>
      <c r="Q101" s="55">
        <v>6060</v>
      </c>
      <c r="R101" s="42">
        <f t="shared" si="31"/>
        <v>3214286</v>
      </c>
      <c r="S101" s="55">
        <v>6061</v>
      </c>
      <c r="T101" s="55">
        <v>1659</v>
      </c>
      <c r="U101" s="55">
        <v>2679</v>
      </c>
      <c r="V101" s="34" t="s">
        <v>25</v>
      </c>
      <c r="W101" s="43">
        <v>44463</v>
      </c>
      <c r="X101" s="44"/>
    </row>
    <row r="102" spans="1:24" ht="17.45" customHeight="1" x14ac:dyDescent="0.25">
      <c r="A102" t="str">
        <f t="shared" si="22"/>
        <v>245301997344469584362398,007632</v>
      </c>
      <c r="B102" s="6">
        <f t="shared" si="20"/>
        <v>44469</v>
      </c>
      <c r="C102" s="3">
        <f t="shared" si="21"/>
        <v>584362398.0076319</v>
      </c>
      <c r="D102" s="34">
        <v>2021</v>
      </c>
      <c r="E102" s="35">
        <v>2453019973</v>
      </c>
      <c r="F102" s="36" t="s">
        <v>148</v>
      </c>
      <c r="G102" s="37">
        <f>5741121846-152196453</f>
        <v>5588925393</v>
      </c>
      <c r="H102" s="37">
        <v>585719381</v>
      </c>
      <c r="I102" s="38">
        <f t="shared" ref="I102:I133" si="33">+H102/G102</f>
        <v>0.10479999996664834</v>
      </c>
      <c r="J102" s="38">
        <f t="shared" si="32"/>
        <v>0.11706881139716699</v>
      </c>
      <c r="K102" s="37">
        <f>5579389118-3412036</f>
        <v>5575977082</v>
      </c>
      <c r="L102" s="37">
        <f>+K102*I102</f>
        <v>584362398.0076319</v>
      </c>
      <c r="M102" s="39">
        <v>294954883</v>
      </c>
      <c r="N102" s="37">
        <v>107618954</v>
      </c>
      <c r="O102" s="40">
        <f t="shared" si="30"/>
        <v>43047582</v>
      </c>
      <c r="P102" s="41" t="s">
        <v>149</v>
      </c>
      <c r="Q102" s="55">
        <v>6062</v>
      </c>
      <c r="R102" s="42">
        <f t="shared" si="31"/>
        <v>64571372</v>
      </c>
      <c r="S102" s="55">
        <v>6063</v>
      </c>
      <c r="T102" s="55">
        <v>1689</v>
      </c>
      <c r="U102" s="55">
        <v>2712</v>
      </c>
      <c r="V102" s="34" t="s">
        <v>25</v>
      </c>
      <c r="W102" s="43">
        <v>44469</v>
      </c>
      <c r="X102" s="44" t="s">
        <v>150</v>
      </c>
    </row>
    <row r="103" spans="1:24" ht="17.45" customHeight="1" x14ac:dyDescent="0.25">
      <c r="A103" t="str">
        <f t="shared" si="22"/>
        <v>291090653944469</v>
      </c>
      <c r="B103" s="6">
        <f t="shared" si="20"/>
        <v>44469</v>
      </c>
      <c r="C103" s="3">
        <f t="shared" si="21"/>
        <v>0</v>
      </c>
      <c r="D103" s="34">
        <v>2021</v>
      </c>
      <c r="E103" s="35">
        <v>2910906539</v>
      </c>
      <c r="F103" s="36" t="s">
        <v>151</v>
      </c>
      <c r="G103" s="37">
        <v>820000000</v>
      </c>
      <c r="H103" s="37">
        <v>87897143</v>
      </c>
      <c r="I103" s="38">
        <f t="shared" si="33"/>
        <v>0.10719163780487805</v>
      </c>
      <c r="J103" s="38">
        <f t="shared" si="32"/>
        <v>0.1200611938057223</v>
      </c>
      <c r="K103" s="37"/>
      <c r="L103" s="37"/>
      <c r="M103" s="39"/>
      <c r="N103" s="37">
        <v>26368446</v>
      </c>
      <c r="O103" s="40">
        <f t="shared" si="30"/>
        <v>10547378</v>
      </c>
      <c r="P103" s="41" t="s">
        <v>147</v>
      </c>
      <c r="Q103" s="55">
        <v>6054</v>
      </c>
      <c r="R103" s="42">
        <f t="shared" si="31"/>
        <v>15821068</v>
      </c>
      <c r="S103" s="55">
        <v>6055</v>
      </c>
      <c r="T103" s="55">
        <v>1684</v>
      </c>
      <c r="U103" s="55">
        <v>2706</v>
      </c>
      <c r="V103" s="34" t="s">
        <v>25</v>
      </c>
      <c r="W103" s="43">
        <v>44469</v>
      </c>
      <c r="X103" s="44" t="s">
        <v>152</v>
      </c>
    </row>
    <row r="104" spans="1:24" ht="17.45" customHeight="1" x14ac:dyDescent="0.25">
      <c r="A104" t="str">
        <f t="shared" si="22"/>
        <v>291090659044469128200048,876711</v>
      </c>
      <c r="B104" s="6">
        <f t="shared" si="20"/>
        <v>44469</v>
      </c>
      <c r="C104" s="3">
        <f t="shared" si="21"/>
        <v>128200048.87671134</v>
      </c>
      <c r="D104" s="34">
        <v>2021</v>
      </c>
      <c r="E104" s="35">
        <v>2910906590</v>
      </c>
      <c r="F104" s="36" t="s">
        <v>153</v>
      </c>
      <c r="G104" s="37">
        <v>1545991766</v>
      </c>
      <c r="H104" s="37">
        <v>165641975</v>
      </c>
      <c r="I104" s="38">
        <f t="shared" si="33"/>
        <v>0.10714285718905957</v>
      </c>
      <c r="J104" s="38">
        <f t="shared" si="32"/>
        <v>0.12000000005795633</v>
      </c>
      <c r="K104" s="37">
        <f>772995883+423537906</f>
        <v>1196533789</v>
      </c>
      <c r="L104" s="37">
        <f>+K104*I104</f>
        <v>128200048.87671134</v>
      </c>
      <c r="M104" s="39">
        <v>52697941</v>
      </c>
      <c r="N104" s="37">
        <v>63271175</v>
      </c>
      <c r="O104" s="40">
        <f t="shared" si="30"/>
        <v>25308470</v>
      </c>
      <c r="P104" s="41" t="s">
        <v>147</v>
      </c>
      <c r="Q104" s="55">
        <v>6056</v>
      </c>
      <c r="R104" s="42">
        <f t="shared" si="31"/>
        <v>37962705</v>
      </c>
      <c r="S104" s="55">
        <v>6057</v>
      </c>
      <c r="T104" s="55">
        <v>1685</v>
      </c>
      <c r="U104" s="55">
        <v>2707</v>
      </c>
      <c r="V104" s="34" t="s">
        <v>25</v>
      </c>
      <c r="W104" s="43">
        <v>44469</v>
      </c>
      <c r="X104" s="44"/>
    </row>
    <row r="105" spans="1:24" ht="17.45" customHeight="1" x14ac:dyDescent="0.25">
      <c r="A105" t="str">
        <f t="shared" si="22"/>
        <v>24530183154446968674803</v>
      </c>
      <c r="B105" s="6">
        <f t="shared" si="20"/>
        <v>44706</v>
      </c>
      <c r="C105" s="3">
        <f t="shared" si="21"/>
        <v>128765256</v>
      </c>
      <c r="D105" s="34">
        <v>2021</v>
      </c>
      <c r="E105" s="35">
        <v>2453018315</v>
      </c>
      <c r="F105" s="36" t="s">
        <v>154</v>
      </c>
      <c r="G105" s="37">
        <v>1518787008</v>
      </c>
      <c r="H105" s="37">
        <v>171687008</v>
      </c>
      <c r="I105" s="38">
        <f t="shared" si="33"/>
        <v>0.11304218899402121</v>
      </c>
      <c r="J105" s="38">
        <f t="shared" si="32"/>
        <v>0.12744934154851162</v>
      </c>
      <c r="K105" s="37">
        <v>607514803</v>
      </c>
      <c r="L105" s="37">
        <f t="shared" ref="L105:L116" si="34">ROUND((+K105*I105),0)</f>
        <v>68674803</v>
      </c>
      <c r="M105" s="39">
        <v>0</v>
      </c>
      <c r="N105" s="37">
        <f>+L105-M105</f>
        <v>68674803</v>
      </c>
      <c r="O105" s="40">
        <f t="shared" si="30"/>
        <v>27469921</v>
      </c>
      <c r="P105" s="41" t="s">
        <v>147</v>
      </c>
      <c r="Q105" s="55">
        <v>6058</v>
      </c>
      <c r="R105" s="42">
        <f t="shared" si="31"/>
        <v>41204882</v>
      </c>
      <c r="S105" s="55">
        <v>6059</v>
      </c>
      <c r="T105" s="55">
        <v>1036</v>
      </c>
      <c r="U105" s="55">
        <v>2708</v>
      </c>
      <c r="V105" s="34" t="s">
        <v>25</v>
      </c>
      <c r="W105" s="43">
        <v>44469</v>
      </c>
      <c r="X105" s="44"/>
    </row>
    <row r="106" spans="1:24" ht="17.45" customHeight="1" x14ac:dyDescent="0.25">
      <c r="A106" t="str">
        <f t="shared" si="22"/>
        <v>29109063674446940093514</v>
      </c>
      <c r="B106" s="6">
        <f t="shared" si="20"/>
        <v>44469</v>
      </c>
      <c r="C106" s="3">
        <f t="shared" si="21"/>
        <v>40093514</v>
      </c>
      <c r="D106" s="34">
        <v>2021</v>
      </c>
      <c r="E106" s="35">
        <v>2910906367</v>
      </c>
      <c r="F106" s="36" t="s">
        <v>155</v>
      </c>
      <c r="G106" s="37">
        <v>374355870</v>
      </c>
      <c r="H106" s="37">
        <f>+G106*10.71/100</f>
        <v>40093513.677000001</v>
      </c>
      <c r="I106" s="38">
        <f t="shared" si="33"/>
        <v>0.1071</v>
      </c>
      <c r="J106" s="38">
        <f t="shared" si="32"/>
        <v>0.11994624258035615</v>
      </c>
      <c r="K106" s="37">
        <v>374355870</v>
      </c>
      <c r="L106" s="37">
        <f t="shared" si="34"/>
        <v>40093514</v>
      </c>
      <c r="M106" s="39">
        <v>8022018</v>
      </c>
      <c r="N106" s="37">
        <v>12087981</v>
      </c>
      <c r="O106" s="40">
        <f t="shared" si="30"/>
        <v>4835192</v>
      </c>
      <c r="P106" s="41" t="s">
        <v>149</v>
      </c>
      <c r="Q106" s="55">
        <v>6075</v>
      </c>
      <c r="R106" s="42">
        <f t="shared" si="31"/>
        <v>7252789</v>
      </c>
      <c r="S106" s="55">
        <v>6076</v>
      </c>
      <c r="T106" s="55">
        <v>1680</v>
      </c>
      <c r="U106" s="55">
        <v>2714</v>
      </c>
      <c r="V106" s="34" t="s">
        <v>25</v>
      </c>
      <c r="W106" s="43">
        <v>44469</v>
      </c>
      <c r="X106" s="44" t="s">
        <v>156</v>
      </c>
    </row>
    <row r="107" spans="1:24" ht="17.45" customHeight="1" x14ac:dyDescent="0.25">
      <c r="A107" t="str">
        <f t="shared" si="22"/>
        <v>24530183134447722455559</v>
      </c>
      <c r="B107" s="6">
        <f t="shared" si="20"/>
        <v>44893</v>
      </c>
      <c r="C107" s="3">
        <f t="shared" si="21"/>
        <v>58229680</v>
      </c>
      <c r="D107" s="34">
        <v>2021</v>
      </c>
      <c r="E107" s="35">
        <v>2453018313</v>
      </c>
      <c r="F107" s="36" t="s">
        <v>157</v>
      </c>
      <c r="G107" s="37">
        <v>419170248</v>
      </c>
      <c r="H107" s="37">
        <v>44911098</v>
      </c>
      <c r="I107" s="38">
        <f t="shared" si="33"/>
        <v>0.10714285714285714</v>
      </c>
      <c r="J107" s="38">
        <f t="shared" si="32"/>
        <v>0.12</v>
      </c>
      <c r="K107" s="37">
        <f>125751074+83834050+93</f>
        <v>209585217</v>
      </c>
      <c r="L107" s="37">
        <f t="shared" si="34"/>
        <v>22455559</v>
      </c>
      <c r="M107" s="39">
        <v>0</v>
      </c>
      <c r="N107" s="37">
        <f t="shared" ref="N107:N120" si="35">+L107-M107</f>
        <v>22455559</v>
      </c>
      <c r="O107" s="40">
        <f t="shared" si="30"/>
        <v>8982224</v>
      </c>
      <c r="P107" s="41" t="s">
        <v>158</v>
      </c>
      <c r="Q107" s="55">
        <v>6421</v>
      </c>
      <c r="R107" s="42">
        <f t="shared" si="31"/>
        <v>13473335</v>
      </c>
      <c r="S107" s="55">
        <v>6422</v>
      </c>
      <c r="T107" s="55">
        <v>1758</v>
      </c>
      <c r="U107" s="55">
        <v>2745</v>
      </c>
      <c r="V107" s="34" t="s">
        <v>25</v>
      </c>
      <c r="W107" s="43">
        <v>44477</v>
      </c>
      <c r="X107" s="44" t="s">
        <v>159</v>
      </c>
    </row>
    <row r="108" spans="1:24" ht="17.45" customHeight="1" x14ac:dyDescent="0.25">
      <c r="A108" t="str">
        <f t="shared" si="22"/>
        <v>29109067394449813071429</v>
      </c>
      <c r="B108" s="6">
        <f t="shared" si="20"/>
        <v>44767</v>
      </c>
      <c r="C108" s="3">
        <f t="shared" si="21"/>
        <v>24171429</v>
      </c>
      <c r="D108" s="34">
        <v>2021</v>
      </c>
      <c r="E108" s="35">
        <v>2910906739</v>
      </c>
      <c r="F108" s="36" t="s">
        <v>160</v>
      </c>
      <c r="G108" s="37">
        <v>225600000</v>
      </c>
      <c r="H108" s="37">
        <v>24171429</v>
      </c>
      <c r="I108" s="38">
        <f t="shared" si="33"/>
        <v>0.10714285904255319</v>
      </c>
      <c r="J108" s="38">
        <f t="shared" si="32"/>
        <v>0.12000000238297873</v>
      </c>
      <c r="K108" s="37">
        <v>122000000</v>
      </c>
      <c r="L108" s="37">
        <f t="shared" si="34"/>
        <v>13071429</v>
      </c>
      <c r="M108" s="39">
        <v>0</v>
      </c>
      <c r="N108" s="37">
        <f t="shared" si="35"/>
        <v>13071429</v>
      </c>
      <c r="O108" s="40">
        <f t="shared" si="30"/>
        <v>5228572</v>
      </c>
      <c r="P108" s="41" t="s">
        <v>161</v>
      </c>
      <c r="Q108" s="55">
        <v>7047</v>
      </c>
      <c r="R108" s="42">
        <f t="shared" si="31"/>
        <v>7842857</v>
      </c>
      <c r="S108" s="55">
        <v>7048</v>
      </c>
      <c r="T108" s="55">
        <v>1795</v>
      </c>
      <c r="U108" s="55">
        <v>2789</v>
      </c>
      <c r="V108" s="34" t="s">
        <v>25</v>
      </c>
      <c r="W108" s="43">
        <v>44498</v>
      </c>
      <c r="X108" s="44"/>
    </row>
    <row r="109" spans="1:24" ht="17.45" customHeight="1" x14ac:dyDescent="0.25">
      <c r="A109" t="str">
        <f t="shared" si="22"/>
        <v>2910908032444983924832</v>
      </c>
      <c r="B109" s="6">
        <f t="shared" si="20"/>
        <v>44498</v>
      </c>
      <c r="C109" s="3">
        <f t="shared" si="21"/>
        <v>3924832</v>
      </c>
      <c r="D109" s="34">
        <v>2021</v>
      </c>
      <c r="E109" s="35">
        <v>2910908032</v>
      </c>
      <c r="F109" s="36" t="s">
        <v>162</v>
      </c>
      <c r="G109" s="37">
        <v>32706980</v>
      </c>
      <c r="H109" s="37">
        <v>3924832</v>
      </c>
      <c r="I109" s="38">
        <f t="shared" si="33"/>
        <v>0.11999982878272467</v>
      </c>
      <c r="J109" s="38">
        <f t="shared" si="32"/>
        <v>0.13636341526699119</v>
      </c>
      <c r="K109" s="37">
        <v>32706980</v>
      </c>
      <c r="L109" s="37">
        <f t="shared" si="34"/>
        <v>3924832</v>
      </c>
      <c r="M109" s="39">
        <v>0</v>
      </c>
      <c r="N109" s="37">
        <f t="shared" si="35"/>
        <v>3924832</v>
      </c>
      <c r="O109" s="40">
        <f>ROUND((N109*100%),0)</f>
        <v>3924832</v>
      </c>
      <c r="P109" s="41" t="s">
        <v>161</v>
      </c>
      <c r="Q109" s="55">
        <v>7049</v>
      </c>
      <c r="R109" s="42">
        <f t="shared" si="31"/>
        <v>0</v>
      </c>
      <c r="S109" s="55">
        <v>0</v>
      </c>
      <c r="T109" s="55">
        <v>1796</v>
      </c>
      <c r="U109" s="55">
        <v>2790</v>
      </c>
      <c r="V109" s="34" t="s">
        <v>25</v>
      </c>
      <c r="W109" s="43">
        <v>44498</v>
      </c>
      <c r="X109" s="44"/>
    </row>
    <row r="110" spans="1:24" ht="17.45" customHeight="1" x14ac:dyDescent="0.25">
      <c r="A110" t="str">
        <f t="shared" si="22"/>
        <v>2910906736444901633929</v>
      </c>
      <c r="B110" s="6">
        <f t="shared" si="20"/>
        <v>44490</v>
      </c>
      <c r="C110" s="3">
        <f t="shared" si="21"/>
        <v>1633929</v>
      </c>
      <c r="D110" s="34">
        <v>2021</v>
      </c>
      <c r="E110" s="35">
        <v>2910906736</v>
      </c>
      <c r="F110" s="36" t="s">
        <v>163</v>
      </c>
      <c r="G110" s="37">
        <v>15250000</v>
      </c>
      <c r="H110" s="37">
        <v>1633929</v>
      </c>
      <c r="I110" s="38">
        <f t="shared" si="33"/>
        <v>0.10714288524590164</v>
      </c>
      <c r="J110" s="38">
        <f t="shared" si="32"/>
        <v>0.12000003525246013</v>
      </c>
      <c r="K110" s="37">
        <v>15250000</v>
      </c>
      <c r="L110" s="37">
        <f t="shared" si="34"/>
        <v>1633929</v>
      </c>
      <c r="M110" s="39">
        <v>0</v>
      </c>
      <c r="N110" s="37">
        <f t="shared" si="35"/>
        <v>1633929</v>
      </c>
      <c r="O110" s="40">
        <f t="shared" ref="O110:O119" si="36">ROUND((N110*40%),0)</f>
        <v>653572</v>
      </c>
      <c r="P110" s="41" t="s">
        <v>164</v>
      </c>
      <c r="Q110" s="55">
        <v>6910</v>
      </c>
      <c r="R110" s="42">
        <f t="shared" si="31"/>
        <v>980357</v>
      </c>
      <c r="S110" s="55">
        <v>6911</v>
      </c>
      <c r="T110" s="55">
        <v>1829</v>
      </c>
      <c r="U110" s="55">
        <v>2830</v>
      </c>
      <c r="V110" s="34" t="s">
        <v>25</v>
      </c>
      <c r="W110" s="43">
        <v>44490</v>
      </c>
      <c r="X110" s="44"/>
    </row>
    <row r="111" spans="1:24" ht="17.45" customHeight="1" x14ac:dyDescent="0.25">
      <c r="A111" t="str">
        <f t="shared" si="22"/>
        <v>29109067354449474330357</v>
      </c>
      <c r="B111" s="6">
        <f t="shared" si="20"/>
        <v>45015</v>
      </c>
      <c r="C111" s="3">
        <f t="shared" si="21"/>
        <v>99107143</v>
      </c>
      <c r="D111" s="34">
        <v>2021</v>
      </c>
      <c r="E111" s="35">
        <v>2910906735</v>
      </c>
      <c r="F111" s="36" t="s">
        <v>165</v>
      </c>
      <c r="G111" s="37">
        <v>925000000</v>
      </c>
      <c r="H111" s="37">
        <v>99107143</v>
      </c>
      <c r="I111" s="38">
        <f t="shared" si="33"/>
        <v>0.10714285729729729</v>
      </c>
      <c r="J111" s="38">
        <f t="shared" si="32"/>
        <v>0.12000000019372974</v>
      </c>
      <c r="K111" s="37">
        <v>693750000</v>
      </c>
      <c r="L111" s="37">
        <f t="shared" si="34"/>
        <v>74330357</v>
      </c>
      <c r="M111" s="39">
        <v>0</v>
      </c>
      <c r="N111" s="37">
        <f t="shared" si="35"/>
        <v>74330357</v>
      </c>
      <c r="O111" s="40">
        <f t="shared" si="36"/>
        <v>29732143</v>
      </c>
      <c r="P111" s="41" t="s">
        <v>164</v>
      </c>
      <c r="Q111" s="55">
        <v>6908</v>
      </c>
      <c r="R111" s="42">
        <f t="shared" si="31"/>
        <v>44598214</v>
      </c>
      <c r="S111" s="55">
        <v>6909</v>
      </c>
      <c r="T111" s="55">
        <v>1830</v>
      </c>
      <c r="U111" s="55">
        <v>2831</v>
      </c>
      <c r="V111" s="34" t="s">
        <v>25</v>
      </c>
      <c r="W111" s="43">
        <v>44494</v>
      </c>
      <c r="X111" s="44"/>
    </row>
    <row r="112" spans="1:24" ht="17.45" customHeight="1" x14ac:dyDescent="0.25">
      <c r="A112" t="str">
        <f t="shared" si="22"/>
        <v>291090674244494233989781</v>
      </c>
      <c r="B112" s="6">
        <f t="shared" si="20"/>
        <v>45621</v>
      </c>
      <c r="C112" s="3">
        <f t="shared" si="21"/>
        <v>730044178.95283043</v>
      </c>
      <c r="D112" s="34">
        <v>2021</v>
      </c>
      <c r="E112" s="35">
        <v>2910906742</v>
      </c>
      <c r="F112" s="36" t="s">
        <v>166</v>
      </c>
      <c r="G112" s="37">
        <v>7279682085</v>
      </c>
      <c r="H112" s="37">
        <v>779965938</v>
      </c>
      <c r="I112" s="38">
        <f t="shared" si="33"/>
        <v>0.10714285718701134</v>
      </c>
      <c r="J112" s="38">
        <f t="shared" si="32"/>
        <v>0.12000000005538704</v>
      </c>
      <c r="K112" s="37">
        <v>2183904626</v>
      </c>
      <c r="L112" s="37">
        <f t="shared" si="34"/>
        <v>233989781</v>
      </c>
      <c r="M112" s="39">
        <v>0</v>
      </c>
      <c r="N112" s="37">
        <f t="shared" si="35"/>
        <v>233989781</v>
      </c>
      <c r="O112" s="40">
        <f t="shared" si="36"/>
        <v>93595912</v>
      </c>
      <c r="P112" s="41" t="s">
        <v>164</v>
      </c>
      <c r="Q112" s="55">
        <v>6912</v>
      </c>
      <c r="R112" s="42">
        <f t="shared" si="31"/>
        <v>140393869</v>
      </c>
      <c r="S112" s="55">
        <v>6913</v>
      </c>
      <c r="T112" s="55">
        <v>1831</v>
      </c>
      <c r="U112" s="55">
        <v>2829</v>
      </c>
      <c r="V112" s="34" t="s">
        <v>25</v>
      </c>
      <c r="W112" s="43">
        <v>44494</v>
      </c>
      <c r="X112" s="44"/>
    </row>
    <row r="113" spans="1:24" ht="17.45" customHeight="1" x14ac:dyDescent="0.25">
      <c r="A113" t="str">
        <f t="shared" si="22"/>
        <v>29109067294449821614823</v>
      </c>
      <c r="B113" s="6">
        <f t="shared" si="20"/>
        <v>45316</v>
      </c>
      <c r="C113" s="3">
        <f t="shared" si="21"/>
        <v>36024705</v>
      </c>
      <c r="D113" s="34">
        <v>2021</v>
      </c>
      <c r="E113" s="35">
        <v>2910906729</v>
      </c>
      <c r="F113" s="36" t="s">
        <v>167</v>
      </c>
      <c r="G113" s="37">
        <v>336230576</v>
      </c>
      <c r="H113" s="37">
        <v>36024705</v>
      </c>
      <c r="I113" s="38">
        <f t="shared" si="33"/>
        <v>0.10714285841749265</v>
      </c>
      <c r="J113" s="38">
        <f t="shared" si="32"/>
        <v>0.12000000159890277</v>
      </c>
      <c r="K113" s="37">
        <v>201738346</v>
      </c>
      <c r="L113" s="37">
        <f t="shared" si="34"/>
        <v>21614823</v>
      </c>
      <c r="M113" s="39">
        <v>0</v>
      </c>
      <c r="N113" s="37">
        <f t="shared" si="35"/>
        <v>21614823</v>
      </c>
      <c r="O113" s="40">
        <f t="shared" si="36"/>
        <v>8645929</v>
      </c>
      <c r="P113" s="41"/>
      <c r="Q113" s="55">
        <v>7050</v>
      </c>
      <c r="R113" s="42">
        <f t="shared" si="31"/>
        <v>12968894</v>
      </c>
      <c r="S113" s="55">
        <v>9661</v>
      </c>
      <c r="T113" s="55">
        <v>1845</v>
      </c>
      <c r="U113" s="55">
        <v>2873</v>
      </c>
      <c r="V113" s="34" t="s">
        <v>25</v>
      </c>
      <c r="W113" s="43">
        <v>44498</v>
      </c>
      <c r="X113" s="44"/>
    </row>
    <row r="114" spans="1:24" ht="17.45" customHeight="1" x14ac:dyDescent="0.25">
      <c r="A114" t="str">
        <f t="shared" si="22"/>
        <v>24530134064449868202670</v>
      </c>
      <c r="B114" s="6">
        <f t="shared" si="20"/>
        <v>44498</v>
      </c>
      <c r="C114" s="3">
        <f t="shared" si="21"/>
        <v>68202670</v>
      </c>
      <c r="D114" s="34">
        <v>2021</v>
      </c>
      <c r="E114" s="35">
        <v>2453013406</v>
      </c>
      <c r="F114" s="36" t="s">
        <v>71</v>
      </c>
      <c r="G114" s="37">
        <v>628595167</v>
      </c>
      <c r="H114" s="37">
        <v>71375244</v>
      </c>
      <c r="I114" s="38">
        <f t="shared" si="33"/>
        <v>0.11354723635665497</v>
      </c>
      <c r="J114" s="38">
        <f t="shared" si="32"/>
        <v>0.12809169423757305</v>
      </c>
      <c r="K114" s="37">
        <v>600654603</v>
      </c>
      <c r="L114" s="37">
        <f t="shared" si="34"/>
        <v>68202670</v>
      </c>
      <c r="M114" s="39">
        <v>64237720</v>
      </c>
      <c r="N114" s="37">
        <f t="shared" si="35"/>
        <v>3964950</v>
      </c>
      <c r="O114" s="40">
        <f t="shared" si="36"/>
        <v>1585980</v>
      </c>
      <c r="P114" s="41"/>
      <c r="Q114" s="55">
        <v>9662</v>
      </c>
      <c r="R114" s="42">
        <f t="shared" si="31"/>
        <v>2378970</v>
      </c>
      <c r="S114" s="55">
        <v>9663</v>
      </c>
      <c r="T114" s="55">
        <v>1846</v>
      </c>
      <c r="U114" s="55">
        <v>2874</v>
      </c>
      <c r="V114" s="34" t="s">
        <v>25</v>
      </c>
      <c r="W114" s="43">
        <v>44498</v>
      </c>
      <c r="X114" s="44" t="s">
        <v>168</v>
      </c>
    </row>
    <row r="115" spans="1:24" ht="17.45" customHeight="1" x14ac:dyDescent="0.25">
      <c r="A115" t="str">
        <f t="shared" si="22"/>
        <v>24530183164449830556590</v>
      </c>
      <c r="B115" s="6">
        <f t="shared" si="20"/>
        <v>44736</v>
      </c>
      <c r="C115" s="3">
        <f t="shared" si="21"/>
        <v>101855299</v>
      </c>
      <c r="D115" s="34">
        <v>2021</v>
      </c>
      <c r="E115" s="35">
        <v>2453018316</v>
      </c>
      <c r="F115" s="36" t="s">
        <v>169</v>
      </c>
      <c r="G115" s="37">
        <v>950649339</v>
      </c>
      <c r="H115" s="37">
        <v>101855299</v>
      </c>
      <c r="I115" s="38">
        <f t="shared" si="33"/>
        <v>0.10714287047960594</v>
      </c>
      <c r="J115" s="38">
        <f t="shared" si="32"/>
        <v>0.12000001672961794</v>
      </c>
      <c r="K115" s="37">
        <v>285194802</v>
      </c>
      <c r="L115" s="37">
        <f t="shared" si="34"/>
        <v>30556590</v>
      </c>
      <c r="M115" s="39">
        <v>0</v>
      </c>
      <c r="N115" s="37">
        <f t="shared" si="35"/>
        <v>30556590</v>
      </c>
      <c r="O115" s="40">
        <f t="shared" si="36"/>
        <v>12222636</v>
      </c>
      <c r="P115" s="41"/>
      <c r="Q115" s="55">
        <v>9664</v>
      </c>
      <c r="R115" s="42">
        <f t="shared" si="31"/>
        <v>18333954</v>
      </c>
      <c r="S115" s="55">
        <v>7055</v>
      </c>
      <c r="T115" s="55">
        <v>1847</v>
      </c>
      <c r="U115" s="55">
        <v>2875</v>
      </c>
      <c r="V115" s="34" t="s">
        <v>25</v>
      </c>
      <c r="W115" s="43">
        <v>44498</v>
      </c>
      <c r="X115" s="44"/>
    </row>
    <row r="116" spans="1:24" ht="17.45" customHeight="1" x14ac:dyDescent="0.25">
      <c r="A116" t="str">
        <f t="shared" si="22"/>
        <v>2910905961444981224203654</v>
      </c>
      <c r="B116" s="6">
        <f t="shared" si="20"/>
        <v>44498</v>
      </c>
      <c r="C116" s="3">
        <f t="shared" si="21"/>
        <v>1224203654</v>
      </c>
      <c r="D116" s="34">
        <v>2021</v>
      </c>
      <c r="E116" s="35">
        <v>2910905961</v>
      </c>
      <c r="F116" s="36" t="s">
        <v>34</v>
      </c>
      <c r="G116" s="37">
        <v>10854652066</v>
      </c>
      <c r="H116" s="37">
        <v>1234845965</v>
      </c>
      <c r="I116" s="38">
        <f t="shared" si="33"/>
        <v>0.11376191125166554</v>
      </c>
      <c r="J116" s="38">
        <f t="shared" si="32"/>
        <v>0.12836495372517281</v>
      </c>
      <c r="K116" s="37">
        <v>10761103083</v>
      </c>
      <c r="L116" s="37">
        <f t="shared" si="34"/>
        <v>1224203654</v>
      </c>
      <c r="M116" s="39">
        <v>1134911773</v>
      </c>
      <c r="N116" s="37">
        <f t="shared" si="35"/>
        <v>89291881</v>
      </c>
      <c r="O116" s="40">
        <f t="shared" si="36"/>
        <v>35716752</v>
      </c>
      <c r="P116" s="41"/>
      <c r="Q116" s="55">
        <v>7056</v>
      </c>
      <c r="R116" s="42">
        <f t="shared" si="31"/>
        <v>53575129</v>
      </c>
      <c r="S116" s="55">
        <v>7057</v>
      </c>
      <c r="T116" s="55">
        <v>1848</v>
      </c>
      <c r="U116" s="55">
        <v>2876</v>
      </c>
      <c r="V116" s="34" t="s">
        <v>25</v>
      </c>
      <c r="W116" s="43">
        <v>44498</v>
      </c>
      <c r="X116" s="44"/>
    </row>
    <row r="117" spans="1:24" ht="17.45" customHeight="1" x14ac:dyDescent="0.25">
      <c r="A117" t="str">
        <f t="shared" si="22"/>
        <v>29109059254450529867473</v>
      </c>
      <c r="B117" s="6">
        <f t="shared" si="20"/>
        <v>44505</v>
      </c>
      <c r="C117" s="3">
        <f t="shared" si="21"/>
        <v>29867473</v>
      </c>
      <c r="D117" s="34">
        <v>2021</v>
      </c>
      <c r="E117" s="35">
        <v>2910905925</v>
      </c>
      <c r="F117" s="36" t="s">
        <v>170</v>
      </c>
      <c r="G117" s="37">
        <v>278763080</v>
      </c>
      <c r="H117" s="37">
        <v>29867473</v>
      </c>
      <c r="I117" s="38">
        <f t="shared" si="33"/>
        <v>0.10714285765532509</v>
      </c>
      <c r="J117" s="38">
        <f t="shared" si="32"/>
        <v>0.12000000064283979</v>
      </c>
      <c r="K117" s="37">
        <v>270712781.23000002</v>
      </c>
      <c r="L117" s="37">
        <v>29867473</v>
      </c>
      <c r="M117" s="39">
        <v>24933972</v>
      </c>
      <c r="N117" s="37">
        <f t="shared" si="35"/>
        <v>4933501</v>
      </c>
      <c r="O117" s="40">
        <f t="shared" si="36"/>
        <v>1973400</v>
      </c>
      <c r="P117" s="41"/>
      <c r="Q117" s="55">
        <v>7275</v>
      </c>
      <c r="R117" s="42">
        <f t="shared" si="31"/>
        <v>2960101</v>
      </c>
      <c r="S117" s="55">
        <v>7276</v>
      </c>
      <c r="T117" s="55">
        <v>1863</v>
      </c>
      <c r="U117" s="55">
        <v>2914</v>
      </c>
      <c r="V117" s="34" t="s">
        <v>25</v>
      </c>
      <c r="W117" s="43">
        <v>44505</v>
      </c>
      <c r="X117" s="44" t="s">
        <v>171</v>
      </c>
    </row>
    <row r="118" spans="1:24" ht="17.45" customHeight="1" x14ac:dyDescent="0.25">
      <c r="A118" t="str">
        <f t="shared" si="22"/>
        <v>29109066484450525605200</v>
      </c>
      <c r="B118" s="6">
        <f t="shared" si="20"/>
        <v>44505</v>
      </c>
      <c r="C118" s="3">
        <f t="shared" si="21"/>
        <v>25605200</v>
      </c>
      <c r="D118" s="34">
        <v>2021</v>
      </c>
      <c r="E118" s="35">
        <v>2910906648</v>
      </c>
      <c r="F118" s="36" t="s">
        <v>172</v>
      </c>
      <c r="G118" s="37">
        <v>220315200</v>
      </c>
      <c r="H118" s="37">
        <v>25605200</v>
      </c>
      <c r="I118" s="38">
        <f t="shared" si="33"/>
        <v>0.11622076007465668</v>
      </c>
      <c r="J118" s="38">
        <f t="shared" si="32"/>
        <v>0.1315042884289456</v>
      </c>
      <c r="K118" s="37">
        <v>220315200</v>
      </c>
      <c r="L118" s="37">
        <f>ROUND((+K118*I118),0)</f>
        <v>25605200</v>
      </c>
      <c r="M118" s="39">
        <v>25291200</v>
      </c>
      <c r="N118" s="37">
        <f t="shared" si="35"/>
        <v>314000</v>
      </c>
      <c r="O118" s="40">
        <f t="shared" si="36"/>
        <v>125600</v>
      </c>
      <c r="P118" s="41"/>
      <c r="Q118" s="55"/>
      <c r="R118" s="42">
        <f t="shared" si="31"/>
        <v>188400</v>
      </c>
      <c r="S118" s="55"/>
      <c r="T118" s="55"/>
      <c r="U118" s="55"/>
      <c r="V118" s="34" t="s">
        <v>25</v>
      </c>
      <c r="W118" s="43">
        <v>44505</v>
      </c>
      <c r="X118" s="44"/>
    </row>
    <row r="119" spans="1:24" ht="17.45" customHeight="1" x14ac:dyDescent="0.25">
      <c r="A119" t="str">
        <f t="shared" si="22"/>
        <v>2910906751445094215535</v>
      </c>
      <c r="B119" s="6">
        <f t="shared" si="20"/>
        <v>44813</v>
      </c>
      <c r="C119" s="3">
        <f t="shared" si="21"/>
        <v>8431071</v>
      </c>
      <c r="D119" s="34">
        <v>2021</v>
      </c>
      <c r="E119" s="35">
        <v>2910906751</v>
      </c>
      <c r="F119" s="36" t="s">
        <v>173</v>
      </c>
      <c r="G119" s="37">
        <v>78690000</v>
      </c>
      <c r="H119" s="37">
        <v>8431071</v>
      </c>
      <c r="I119" s="38">
        <f t="shared" si="33"/>
        <v>0.10714285169653069</v>
      </c>
      <c r="J119" s="38">
        <f t="shared" si="32"/>
        <v>0.11999999316812814</v>
      </c>
      <c r="K119" s="37">
        <v>39345000</v>
      </c>
      <c r="L119" s="37">
        <f>ROUND((+K119*I119),0)-1</f>
        <v>4215535</v>
      </c>
      <c r="M119" s="39">
        <v>0</v>
      </c>
      <c r="N119" s="37">
        <f t="shared" si="35"/>
        <v>4215535</v>
      </c>
      <c r="O119" s="40">
        <f t="shared" si="36"/>
        <v>1686214</v>
      </c>
      <c r="P119" s="41"/>
      <c r="Q119" s="55"/>
      <c r="R119" s="42">
        <f t="shared" si="31"/>
        <v>2529321</v>
      </c>
      <c r="S119" s="55"/>
      <c r="T119" s="55">
        <v>1918</v>
      </c>
      <c r="U119" s="55">
        <v>3143</v>
      </c>
      <c r="V119" s="34" t="s">
        <v>25</v>
      </c>
      <c r="W119" s="43">
        <v>44509</v>
      </c>
      <c r="X119" s="44" t="s">
        <v>174</v>
      </c>
    </row>
    <row r="120" spans="1:24" ht="17.45" customHeight="1" x14ac:dyDescent="0.25">
      <c r="A120" t="str">
        <f t="shared" si="22"/>
        <v>2910908044445303597933</v>
      </c>
      <c r="B120" s="6">
        <f t="shared" si="20"/>
        <v>44530</v>
      </c>
      <c r="C120" s="3">
        <f t="shared" si="21"/>
        <v>3597933</v>
      </c>
      <c r="D120" s="34">
        <v>2021</v>
      </c>
      <c r="E120" s="35">
        <v>2910908044</v>
      </c>
      <c r="F120" s="36" t="s">
        <v>175</v>
      </c>
      <c r="G120" s="37">
        <v>29981358</v>
      </c>
      <c r="H120" s="37">
        <v>3597933</v>
      </c>
      <c r="I120" s="38">
        <f t="shared" si="33"/>
        <v>0.12000567152428519</v>
      </c>
      <c r="J120" s="38">
        <f t="shared" si="32"/>
        <v>0.13637096017670186</v>
      </c>
      <c r="K120" s="37">
        <v>29981358</v>
      </c>
      <c r="L120" s="37">
        <f t="shared" ref="L120:L126" si="37">ROUND((+K120*I120),0)</f>
        <v>3597933</v>
      </c>
      <c r="M120" s="39">
        <v>0</v>
      </c>
      <c r="N120" s="37">
        <f t="shared" si="35"/>
        <v>3597933</v>
      </c>
      <c r="O120" s="40">
        <f>ROUND((N120*100%),0)</f>
        <v>3597933</v>
      </c>
      <c r="P120" s="41"/>
      <c r="Q120" s="55">
        <v>9735</v>
      </c>
      <c r="R120" s="42">
        <v>0</v>
      </c>
      <c r="S120" s="55">
        <v>0</v>
      </c>
      <c r="T120" s="55">
        <v>2092</v>
      </c>
      <c r="U120" s="55">
        <v>3432</v>
      </c>
      <c r="V120" s="34" t="s">
        <v>25</v>
      </c>
      <c r="W120" s="43">
        <v>44530</v>
      </c>
      <c r="X120" s="44"/>
    </row>
    <row r="121" spans="1:24" ht="17.45" customHeight="1" x14ac:dyDescent="0.25">
      <c r="A121" t="str">
        <f t="shared" si="22"/>
        <v>291090671044530134694000</v>
      </c>
      <c r="B121" s="6">
        <f t="shared" si="20"/>
        <v>44656</v>
      </c>
      <c r="C121" s="3">
        <f t="shared" si="21"/>
        <v>134694000</v>
      </c>
      <c r="D121" s="34">
        <v>2021</v>
      </c>
      <c r="E121" s="35">
        <v>2910906710</v>
      </c>
      <c r="F121" s="36" t="s">
        <v>75</v>
      </c>
      <c r="G121" s="37">
        <v>1257144000</v>
      </c>
      <c r="H121" s="37">
        <v>134694000</v>
      </c>
      <c r="I121" s="38">
        <f t="shared" si="33"/>
        <v>0.10714285714285714</v>
      </c>
      <c r="J121" s="38">
        <f t="shared" si="32"/>
        <v>0.12</v>
      </c>
      <c r="K121" s="37">
        <v>1257144000</v>
      </c>
      <c r="L121" s="37">
        <f t="shared" si="37"/>
        <v>134694000</v>
      </c>
      <c r="M121" s="39">
        <v>82001755</v>
      </c>
      <c r="N121" s="37">
        <v>43692245</v>
      </c>
      <c r="O121" s="40">
        <f t="shared" ref="O121:O126" si="38">ROUND((N121*40%),0)</f>
        <v>17476898</v>
      </c>
      <c r="P121" s="41"/>
      <c r="Q121" s="55">
        <v>9727</v>
      </c>
      <c r="R121" s="42">
        <f t="shared" ref="R121:R126" si="39">+N121-O121</f>
        <v>26215347</v>
      </c>
      <c r="S121" s="55">
        <v>9728</v>
      </c>
      <c r="T121" s="55">
        <v>2093</v>
      </c>
      <c r="U121" s="55">
        <v>3433</v>
      </c>
      <c r="V121" s="34" t="s">
        <v>25</v>
      </c>
      <c r="W121" s="43">
        <v>44530</v>
      </c>
      <c r="X121" s="44"/>
    </row>
    <row r="122" spans="1:24" ht="17.45" customHeight="1" x14ac:dyDescent="0.25">
      <c r="A122" t="str">
        <f t="shared" si="22"/>
        <v>291090591715769565</v>
      </c>
      <c r="B122" s="6">
        <f t="shared" si="20"/>
        <v>0</v>
      </c>
      <c r="C122" s="3">
        <f t="shared" si="21"/>
        <v>15769565</v>
      </c>
      <c r="D122" s="34">
        <v>2021</v>
      </c>
      <c r="E122" s="35">
        <v>2910905917</v>
      </c>
      <c r="F122" s="36" t="s">
        <v>176</v>
      </c>
      <c r="G122" s="37">
        <v>345047920</v>
      </c>
      <c r="H122" s="37">
        <v>45006251</v>
      </c>
      <c r="I122" s="38">
        <f t="shared" si="33"/>
        <v>0.1304347842467794</v>
      </c>
      <c r="J122" s="38">
        <f t="shared" si="32"/>
        <v>0.15000000216636578</v>
      </c>
      <c r="K122" s="37">
        <v>120900000</v>
      </c>
      <c r="L122" s="37">
        <f t="shared" si="37"/>
        <v>15769565</v>
      </c>
      <c r="M122" s="39">
        <v>8150000</v>
      </c>
      <c r="N122" s="37">
        <f>+L122-M122</f>
        <v>7619565</v>
      </c>
      <c r="O122" s="40">
        <f t="shared" si="38"/>
        <v>3047826</v>
      </c>
      <c r="P122" s="41"/>
      <c r="Q122" s="55"/>
      <c r="R122" s="42">
        <f t="shared" si="39"/>
        <v>4571739</v>
      </c>
      <c r="S122" s="55"/>
      <c r="T122" s="55"/>
      <c r="U122" s="55"/>
      <c r="V122" s="34"/>
      <c r="W122" s="43"/>
      <c r="X122" s="44"/>
    </row>
    <row r="123" spans="1:24" ht="17.45" customHeight="1" x14ac:dyDescent="0.25">
      <c r="A123" t="str">
        <f t="shared" si="22"/>
        <v>29109067504453051752664</v>
      </c>
      <c r="B123" s="6">
        <f t="shared" si="20"/>
        <v>45128</v>
      </c>
      <c r="C123" s="3">
        <f t="shared" si="21"/>
        <v>217757261</v>
      </c>
      <c r="D123" s="34">
        <v>2021</v>
      </c>
      <c r="E123" s="35">
        <v>2910906750</v>
      </c>
      <c r="F123" s="36" t="s">
        <v>177</v>
      </c>
      <c r="G123" s="37">
        <f>1448323826+794859175</f>
        <v>2243183001</v>
      </c>
      <c r="H123" s="37">
        <v>240489407</v>
      </c>
      <c r="I123" s="38">
        <f t="shared" si="33"/>
        <v>0.10720900028789046</v>
      </c>
      <c r="J123" s="38">
        <f t="shared" si="32"/>
        <v>0.12008297610802664</v>
      </c>
      <c r="K123" s="37">
        <v>482726863</v>
      </c>
      <c r="L123" s="37">
        <f t="shared" si="37"/>
        <v>51752664</v>
      </c>
      <c r="M123" s="39">
        <v>0</v>
      </c>
      <c r="N123" s="37">
        <f>+L123-M123</f>
        <v>51752664</v>
      </c>
      <c r="O123" s="40">
        <f t="shared" si="38"/>
        <v>20701066</v>
      </c>
      <c r="P123" s="41"/>
      <c r="Q123" s="55">
        <v>9733</v>
      </c>
      <c r="R123" s="42">
        <f t="shared" si="39"/>
        <v>31051598</v>
      </c>
      <c r="S123" s="55">
        <v>9734</v>
      </c>
      <c r="T123" s="55">
        <v>2094</v>
      </c>
      <c r="U123" s="55">
        <v>3434</v>
      </c>
      <c r="V123" s="34" t="s">
        <v>25</v>
      </c>
      <c r="W123" s="43">
        <v>44530</v>
      </c>
      <c r="X123" s="44"/>
    </row>
    <row r="124" spans="1:24" ht="17.45" customHeight="1" x14ac:dyDescent="0.25">
      <c r="A124" t="str">
        <f t="shared" si="22"/>
        <v>24530183104453026943637</v>
      </c>
      <c r="B124" s="6">
        <f t="shared" si="20"/>
        <v>45099</v>
      </c>
      <c r="C124" s="3">
        <f t="shared" si="21"/>
        <v>30406868</v>
      </c>
      <c r="D124" s="34">
        <v>2021</v>
      </c>
      <c r="E124" s="35">
        <v>2453018310</v>
      </c>
      <c r="F124" s="36" t="s">
        <v>119</v>
      </c>
      <c r="G124" s="37">
        <v>306603272</v>
      </c>
      <c r="H124" s="37">
        <v>32850351</v>
      </c>
      <c r="I124" s="38">
        <f t="shared" si="33"/>
        <v>0.10714285854066163</v>
      </c>
      <c r="J124" s="38">
        <f t="shared" si="32"/>
        <v>0.12000000175340594</v>
      </c>
      <c r="K124" s="37">
        <v>251473943</v>
      </c>
      <c r="L124" s="37">
        <f t="shared" si="37"/>
        <v>26943637</v>
      </c>
      <c r="M124" s="39">
        <v>8948355</v>
      </c>
      <c r="N124" s="37">
        <f>+L124-M124</f>
        <v>17995282</v>
      </c>
      <c r="O124" s="40">
        <f t="shared" si="38"/>
        <v>7198113</v>
      </c>
      <c r="P124" s="41"/>
      <c r="Q124" s="55">
        <v>9753</v>
      </c>
      <c r="R124" s="42">
        <f t="shared" si="39"/>
        <v>10797169</v>
      </c>
      <c r="S124" s="55">
        <v>9754</v>
      </c>
      <c r="T124" s="55">
        <v>2095</v>
      </c>
      <c r="U124" s="55">
        <v>3435</v>
      </c>
      <c r="V124" s="34" t="s">
        <v>25</v>
      </c>
      <c r="W124" s="43">
        <v>44530</v>
      </c>
      <c r="X124" s="44"/>
    </row>
    <row r="125" spans="1:24" ht="17.45" customHeight="1" x14ac:dyDescent="0.25">
      <c r="A125" t="str">
        <f t="shared" si="22"/>
        <v>29109067674453028957500</v>
      </c>
      <c r="B125" s="6">
        <f t="shared" si="20"/>
        <v>44767</v>
      </c>
      <c r="C125" s="3">
        <f t="shared" si="21"/>
        <v>48250000</v>
      </c>
      <c r="D125" s="34">
        <v>2021</v>
      </c>
      <c r="E125" s="35">
        <v>2910906767</v>
      </c>
      <c r="F125" s="36" t="s">
        <v>178</v>
      </c>
      <c r="G125" s="37">
        <v>400000000</v>
      </c>
      <c r="H125" s="37">
        <v>42900000</v>
      </c>
      <c r="I125" s="38">
        <f t="shared" si="33"/>
        <v>0.10725</v>
      </c>
      <c r="J125" s="38">
        <f t="shared" si="32"/>
        <v>0.1201344161299356</v>
      </c>
      <c r="K125" s="37">
        <v>270000000</v>
      </c>
      <c r="L125" s="37">
        <f t="shared" si="37"/>
        <v>28957500</v>
      </c>
      <c r="M125" s="39">
        <v>0</v>
      </c>
      <c r="N125" s="37">
        <f>+L125-M125</f>
        <v>28957500</v>
      </c>
      <c r="O125" s="40">
        <f t="shared" si="38"/>
        <v>11583000</v>
      </c>
      <c r="P125" s="41"/>
      <c r="Q125" s="55">
        <v>9736</v>
      </c>
      <c r="R125" s="42">
        <f t="shared" si="39"/>
        <v>17374500</v>
      </c>
      <c r="S125" s="55">
        <v>9737</v>
      </c>
      <c r="T125" s="55">
        <v>2096</v>
      </c>
      <c r="U125" s="55">
        <v>3436</v>
      </c>
      <c r="V125" s="34" t="s">
        <v>25</v>
      </c>
      <c r="W125" s="43">
        <v>44530</v>
      </c>
      <c r="X125" s="44"/>
    </row>
    <row r="126" spans="1:24" ht="17.45" customHeight="1" x14ac:dyDescent="0.25">
      <c r="A126" t="str">
        <f t="shared" si="22"/>
        <v>29109067194452971236607</v>
      </c>
      <c r="B126" s="6">
        <f t="shared" si="20"/>
        <v>44529</v>
      </c>
      <c r="C126" s="3">
        <f t="shared" si="21"/>
        <v>71236607</v>
      </c>
      <c r="D126" s="34">
        <v>2021</v>
      </c>
      <c r="E126" s="35">
        <v>2910906719</v>
      </c>
      <c r="F126" s="36" t="s">
        <v>70</v>
      </c>
      <c r="G126" s="37">
        <v>664875000</v>
      </c>
      <c r="H126" s="37">
        <v>71236607</v>
      </c>
      <c r="I126" s="38">
        <f t="shared" si="33"/>
        <v>0.10714285692799398</v>
      </c>
      <c r="J126" s="38">
        <f t="shared" si="32"/>
        <v>0.11999999973047565</v>
      </c>
      <c r="K126" s="37">
        <v>664875000</v>
      </c>
      <c r="L126" s="37">
        <f t="shared" si="37"/>
        <v>71236607</v>
      </c>
      <c r="M126" s="39">
        <v>43808036</v>
      </c>
      <c r="N126" s="37">
        <f>+L126-M126</f>
        <v>27428571</v>
      </c>
      <c r="O126" s="40">
        <f t="shared" si="38"/>
        <v>10971428</v>
      </c>
      <c r="P126" s="41"/>
      <c r="Q126" s="55">
        <v>9729</v>
      </c>
      <c r="R126" s="42">
        <f t="shared" si="39"/>
        <v>16457143</v>
      </c>
      <c r="S126" s="55">
        <v>9730</v>
      </c>
      <c r="T126" s="55">
        <v>2097</v>
      </c>
      <c r="U126" s="55">
        <v>3437</v>
      </c>
      <c r="V126" s="34" t="s">
        <v>25</v>
      </c>
      <c r="W126" s="43">
        <v>44529</v>
      </c>
      <c r="X126" s="44"/>
    </row>
    <row r="127" spans="1:24" ht="17.45" customHeight="1" x14ac:dyDescent="0.25">
      <c r="A127" t="str">
        <f t="shared" si="22"/>
        <v>291090640144530</v>
      </c>
      <c r="B127" s="6">
        <f t="shared" si="20"/>
        <v>45957</v>
      </c>
      <c r="C127" s="3">
        <f t="shared" si="21"/>
        <v>678878080.30633903</v>
      </c>
      <c r="D127" s="34">
        <v>2021</v>
      </c>
      <c r="E127" s="35">
        <v>2910906401</v>
      </c>
      <c r="F127" s="36" t="s">
        <v>22</v>
      </c>
      <c r="G127" s="37"/>
      <c r="H127" s="37"/>
      <c r="I127" s="38" t="e">
        <f t="shared" si="33"/>
        <v>#DIV/0!</v>
      </c>
      <c r="J127" s="38">
        <f t="shared" si="32"/>
        <v>0</v>
      </c>
      <c r="K127" s="37"/>
      <c r="L127" s="37"/>
      <c r="M127" s="39"/>
      <c r="N127" s="37">
        <v>162664006</v>
      </c>
      <c r="O127" s="40">
        <f>+N127</f>
        <v>162664006</v>
      </c>
      <c r="P127" s="41"/>
      <c r="Q127" s="55">
        <v>7850</v>
      </c>
      <c r="R127" s="42">
        <v>0</v>
      </c>
      <c r="S127" s="55">
        <v>0</v>
      </c>
      <c r="T127" s="55">
        <v>2064</v>
      </c>
      <c r="U127" s="55">
        <v>3390</v>
      </c>
      <c r="V127" s="34" t="s">
        <v>25</v>
      </c>
      <c r="W127" s="43">
        <v>44530</v>
      </c>
      <c r="X127" s="44"/>
    </row>
    <row r="128" spans="1:24" ht="17.45" customHeight="1" x14ac:dyDescent="0.25">
      <c r="A128" t="str">
        <f t="shared" si="22"/>
        <v>2910906748445308700000</v>
      </c>
      <c r="B128" s="6">
        <f t="shared" si="20"/>
        <v>44606</v>
      </c>
      <c r="C128" s="3">
        <f t="shared" si="21"/>
        <v>12402844</v>
      </c>
      <c r="D128" s="34">
        <v>2021</v>
      </c>
      <c r="E128" s="35">
        <v>2910906748</v>
      </c>
      <c r="F128" s="36" t="s">
        <v>179</v>
      </c>
      <c r="G128" s="37">
        <v>116000000</v>
      </c>
      <c r="H128" s="37">
        <v>12428571</v>
      </c>
      <c r="I128" s="38">
        <f t="shared" si="33"/>
        <v>0.10714285344827586</v>
      </c>
      <c r="J128" s="38">
        <f t="shared" si="32"/>
        <v>0.11999999536551727</v>
      </c>
      <c r="K128" s="37">
        <v>81200000</v>
      </c>
      <c r="L128" s="37">
        <f t="shared" ref="L128:L155" si="40">ROUND((+K128*I128),0)</f>
        <v>8700000</v>
      </c>
      <c r="M128" s="39">
        <v>0</v>
      </c>
      <c r="N128" s="37">
        <f t="shared" ref="N128:N159" si="41">+L128-M128</f>
        <v>8700000</v>
      </c>
      <c r="O128" s="40">
        <f t="shared" ref="O128:O140" si="42">ROUND((N128*40%),0)</f>
        <v>3480000</v>
      </c>
      <c r="P128" s="41"/>
      <c r="Q128" s="55">
        <v>9731</v>
      </c>
      <c r="R128" s="42">
        <f t="shared" ref="R128:R150" si="43">+N128-O128</f>
        <v>5220000</v>
      </c>
      <c r="S128" s="55">
        <v>9732</v>
      </c>
      <c r="T128" s="55">
        <v>2098</v>
      </c>
      <c r="U128" s="55">
        <v>3438</v>
      </c>
      <c r="V128" s="34" t="s">
        <v>25</v>
      </c>
      <c r="W128" s="43">
        <v>44530</v>
      </c>
      <c r="X128" s="44"/>
    </row>
    <row r="129" spans="1:24" ht="17.45" customHeight="1" x14ac:dyDescent="0.25">
      <c r="A129" t="str">
        <f t="shared" si="22"/>
        <v>2453018317445306900012</v>
      </c>
      <c r="B129" s="6">
        <f t="shared" si="20"/>
        <v>44603</v>
      </c>
      <c r="C129" s="3">
        <f t="shared" si="21"/>
        <v>9857160</v>
      </c>
      <c r="D129" s="34">
        <v>2021</v>
      </c>
      <c r="E129" s="35">
        <v>2453018317</v>
      </c>
      <c r="F129" s="36" t="s">
        <v>180</v>
      </c>
      <c r="G129" s="37">
        <v>92000000</v>
      </c>
      <c r="H129" s="37">
        <v>9857160</v>
      </c>
      <c r="I129" s="38">
        <f t="shared" si="33"/>
        <v>0.10714304347826087</v>
      </c>
      <c r="J129" s="38">
        <f t="shared" si="32"/>
        <v>0.12000023373917922</v>
      </c>
      <c r="K129" s="37">
        <v>64400000</v>
      </c>
      <c r="L129" s="37">
        <f t="shared" si="40"/>
        <v>6900012</v>
      </c>
      <c r="M129" s="39">
        <v>0</v>
      </c>
      <c r="N129" s="37">
        <f t="shared" si="41"/>
        <v>6900012</v>
      </c>
      <c r="O129" s="40">
        <f t="shared" si="42"/>
        <v>2760005</v>
      </c>
      <c r="P129" s="41"/>
      <c r="Q129" s="55">
        <v>9755</v>
      </c>
      <c r="R129" s="42">
        <f t="shared" si="43"/>
        <v>4140007</v>
      </c>
      <c r="S129" s="55">
        <v>9756</v>
      </c>
      <c r="T129" s="55">
        <v>2099</v>
      </c>
      <c r="U129" s="55">
        <v>3439</v>
      </c>
      <c r="V129" s="34" t="s">
        <v>25</v>
      </c>
      <c r="W129" s="43">
        <v>44530</v>
      </c>
      <c r="X129" s="44"/>
    </row>
    <row r="130" spans="1:24" ht="17.45" customHeight="1" x14ac:dyDescent="0.25">
      <c r="A130" t="str">
        <f t="shared" si="22"/>
        <v>29109067314456070975772</v>
      </c>
      <c r="B130" s="6">
        <f t="shared" ref="B130:B193" si="44">_xlfn.MAXIFS(W:W,E:E,E130)</f>
        <v>44797</v>
      </c>
      <c r="C130" s="3">
        <f t="shared" ref="C130:C193" si="45">_xlfn.MAXIFS(L:L,E:E,E130)</f>
        <v>118545925</v>
      </c>
      <c r="D130" s="34">
        <v>2021</v>
      </c>
      <c r="E130" s="35">
        <v>2910906731</v>
      </c>
      <c r="F130" s="36" t="s">
        <v>109</v>
      </c>
      <c r="G130" s="37">
        <v>739371600</v>
      </c>
      <c r="H130" s="37">
        <v>79218386</v>
      </c>
      <c r="I130" s="38">
        <f t="shared" si="33"/>
        <v>0.10714285752928568</v>
      </c>
      <c r="J130" s="38">
        <f t="shared" si="32"/>
        <v>0.12000000048473596</v>
      </c>
      <c r="K130" s="37">
        <v>662440535</v>
      </c>
      <c r="L130" s="37">
        <f t="shared" si="40"/>
        <v>70975772</v>
      </c>
      <c r="M130" s="39">
        <v>22121043</v>
      </c>
      <c r="N130" s="37">
        <f t="shared" si="41"/>
        <v>48854729</v>
      </c>
      <c r="O130" s="40">
        <f t="shared" si="42"/>
        <v>19541892</v>
      </c>
      <c r="P130" s="41"/>
      <c r="Q130" s="55">
        <v>9780</v>
      </c>
      <c r="R130" s="42">
        <f t="shared" si="43"/>
        <v>29312837</v>
      </c>
      <c r="S130" s="55">
        <v>9781</v>
      </c>
      <c r="T130" s="55" t="s">
        <v>181</v>
      </c>
      <c r="U130" s="55" t="s">
        <v>182</v>
      </c>
      <c r="V130" s="34" t="s">
        <v>25</v>
      </c>
      <c r="W130" s="43">
        <v>44560</v>
      </c>
      <c r="X130" s="44"/>
    </row>
    <row r="131" spans="1:24" ht="17.45" customHeight="1" x14ac:dyDescent="0.25">
      <c r="A131" t="str">
        <f t="shared" ref="A131:A194" si="46">_xlfn.CONCAT(E131,W131,L131)</f>
        <v>29109067394454014142857</v>
      </c>
      <c r="B131" s="6">
        <f t="shared" si="44"/>
        <v>44767</v>
      </c>
      <c r="C131" s="3">
        <f t="shared" si="45"/>
        <v>24171429</v>
      </c>
      <c r="D131" s="34">
        <v>2021</v>
      </c>
      <c r="E131" s="35">
        <v>2910906739</v>
      </c>
      <c r="F131" s="36" t="s">
        <v>160</v>
      </c>
      <c r="G131" s="37">
        <v>225600000</v>
      </c>
      <c r="H131" s="37">
        <v>24171429</v>
      </c>
      <c r="I131" s="38">
        <f t="shared" si="33"/>
        <v>0.10714285904255319</v>
      </c>
      <c r="J131" s="38">
        <f t="shared" si="32"/>
        <v>0.12000000238297873</v>
      </c>
      <c r="K131" s="37">
        <v>132000000</v>
      </c>
      <c r="L131" s="37">
        <f t="shared" si="40"/>
        <v>14142857</v>
      </c>
      <c r="M131" s="39">
        <v>13071429</v>
      </c>
      <c r="N131" s="37">
        <f t="shared" si="41"/>
        <v>1071428</v>
      </c>
      <c r="O131" s="40">
        <f t="shared" si="42"/>
        <v>428571</v>
      </c>
      <c r="P131" s="41"/>
      <c r="Q131" s="55">
        <v>9770</v>
      </c>
      <c r="R131" s="42">
        <f t="shared" si="43"/>
        <v>642857</v>
      </c>
      <c r="S131" s="55">
        <v>9771</v>
      </c>
      <c r="T131" s="55">
        <v>2179</v>
      </c>
      <c r="U131" s="55">
        <v>3599</v>
      </c>
      <c r="V131" s="34" t="s">
        <v>25</v>
      </c>
      <c r="W131" s="43">
        <v>44540</v>
      </c>
      <c r="X131" s="44"/>
    </row>
    <row r="132" spans="1:24" ht="17.45" customHeight="1" x14ac:dyDescent="0.25">
      <c r="A132" t="str">
        <f t="shared" si="46"/>
        <v>291090673244546142322400</v>
      </c>
      <c r="B132" s="6">
        <f t="shared" si="44"/>
        <v>44797</v>
      </c>
      <c r="C132" s="3">
        <f t="shared" si="45"/>
        <v>158136000</v>
      </c>
      <c r="D132" s="34">
        <v>2021</v>
      </c>
      <c r="E132" s="35">
        <v>2910906732</v>
      </c>
      <c r="F132" s="36" t="s">
        <v>117</v>
      </c>
      <c r="G132" s="37">
        <v>1475936000</v>
      </c>
      <c r="H132" s="37">
        <v>158136000</v>
      </c>
      <c r="I132" s="38">
        <f t="shared" si="33"/>
        <v>0.10714285714285714</v>
      </c>
      <c r="J132" s="38">
        <f t="shared" si="32"/>
        <v>0.12</v>
      </c>
      <c r="K132" s="37">
        <v>1328342400</v>
      </c>
      <c r="L132" s="37">
        <f t="shared" si="40"/>
        <v>142322400</v>
      </c>
      <c r="M132" s="39">
        <v>94881600</v>
      </c>
      <c r="N132" s="37">
        <f t="shared" si="41"/>
        <v>47440800</v>
      </c>
      <c r="O132" s="40">
        <f t="shared" si="42"/>
        <v>18976320</v>
      </c>
      <c r="P132" s="41"/>
      <c r="Q132" s="55">
        <v>9761</v>
      </c>
      <c r="R132" s="42">
        <f t="shared" si="43"/>
        <v>28464480</v>
      </c>
      <c r="S132" s="55">
        <v>9762</v>
      </c>
      <c r="T132" s="55">
        <v>2297</v>
      </c>
      <c r="U132" s="55">
        <v>3842</v>
      </c>
      <c r="V132" s="34" t="s">
        <v>25</v>
      </c>
      <c r="W132" s="43">
        <v>44546</v>
      </c>
      <c r="X132" s="44"/>
    </row>
    <row r="133" spans="1:24" ht="17.45" customHeight="1" x14ac:dyDescent="0.25">
      <c r="A133" t="str">
        <f t="shared" si="46"/>
        <v>29109067354454694151786</v>
      </c>
      <c r="B133" s="6">
        <f t="shared" si="44"/>
        <v>45015</v>
      </c>
      <c r="C133" s="3">
        <f t="shared" si="45"/>
        <v>99107143</v>
      </c>
      <c r="D133" s="34">
        <v>2021</v>
      </c>
      <c r="E133" s="35">
        <v>2910906735</v>
      </c>
      <c r="F133" s="36" t="s">
        <v>165</v>
      </c>
      <c r="G133" s="37">
        <v>925000000</v>
      </c>
      <c r="H133" s="37">
        <v>99107143</v>
      </c>
      <c r="I133" s="38">
        <f t="shared" si="33"/>
        <v>0.10714285729729729</v>
      </c>
      <c r="J133" s="38">
        <f t="shared" si="32"/>
        <v>0.12000000019372974</v>
      </c>
      <c r="K133" s="37">
        <v>878750000</v>
      </c>
      <c r="L133" s="37">
        <f t="shared" si="40"/>
        <v>94151786</v>
      </c>
      <c r="M133" s="39">
        <v>74330357</v>
      </c>
      <c r="N133" s="37">
        <f t="shared" si="41"/>
        <v>19821429</v>
      </c>
      <c r="O133" s="40">
        <f t="shared" si="42"/>
        <v>7928572</v>
      </c>
      <c r="P133" s="41"/>
      <c r="Q133" s="55">
        <v>9766</v>
      </c>
      <c r="R133" s="42">
        <f t="shared" si="43"/>
        <v>11892857</v>
      </c>
      <c r="S133" s="55">
        <v>9767</v>
      </c>
      <c r="T133" s="55">
        <v>2298</v>
      </c>
      <c r="U133" s="55">
        <v>3843</v>
      </c>
      <c r="V133" s="34" t="s">
        <v>25</v>
      </c>
      <c r="W133" s="43">
        <v>44546</v>
      </c>
      <c r="X133" s="44"/>
    </row>
    <row r="134" spans="1:24" ht="17.45" customHeight="1" x14ac:dyDescent="0.25">
      <c r="A134" t="str">
        <f t="shared" si="46"/>
        <v>29109063284454681442688</v>
      </c>
      <c r="B134" s="6">
        <f t="shared" si="44"/>
        <v>44546</v>
      </c>
      <c r="C134" s="3">
        <f t="shared" si="45"/>
        <v>81442688</v>
      </c>
      <c r="D134" s="34">
        <v>2021</v>
      </c>
      <c r="E134" s="35">
        <v>2910906328</v>
      </c>
      <c r="F134" s="36" t="s">
        <v>183</v>
      </c>
      <c r="G134" s="37">
        <v>760435927</v>
      </c>
      <c r="H134" s="37">
        <f>+G134*I134</f>
        <v>81442687.7817</v>
      </c>
      <c r="I134" s="38">
        <v>0.1071</v>
      </c>
      <c r="J134" s="38">
        <v>0.12</v>
      </c>
      <c r="K134" s="37">
        <v>760435927</v>
      </c>
      <c r="L134" s="37">
        <f t="shared" si="40"/>
        <v>81442688</v>
      </c>
      <c r="M134" s="39">
        <v>60224081</v>
      </c>
      <c r="N134" s="37">
        <f t="shared" si="41"/>
        <v>21218607</v>
      </c>
      <c r="O134" s="40">
        <f t="shared" si="42"/>
        <v>8487443</v>
      </c>
      <c r="P134" s="41"/>
      <c r="Q134" s="55">
        <v>9759</v>
      </c>
      <c r="R134" s="42">
        <f t="shared" si="43"/>
        <v>12731164</v>
      </c>
      <c r="S134" s="55">
        <v>9760</v>
      </c>
      <c r="T134" s="55">
        <v>2299</v>
      </c>
      <c r="U134" s="55">
        <v>3844</v>
      </c>
      <c r="V134" s="34" t="s">
        <v>25</v>
      </c>
      <c r="W134" s="43">
        <v>44546</v>
      </c>
      <c r="X134" s="44"/>
    </row>
    <row r="135" spans="1:24" ht="17.45" customHeight="1" x14ac:dyDescent="0.25">
      <c r="A135" t="str">
        <f t="shared" si="46"/>
        <v>29109061204454675867940</v>
      </c>
      <c r="B135" s="6">
        <f t="shared" si="44"/>
        <v>44546</v>
      </c>
      <c r="C135" s="3">
        <f t="shared" si="45"/>
        <v>75867940</v>
      </c>
      <c r="D135" s="34">
        <v>2021</v>
      </c>
      <c r="E135" s="35">
        <v>2910906120</v>
      </c>
      <c r="F135" s="36" t="s">
        <v>184</v>
      </c>
      <c r="G135" s="37">
        <v>708100747</v>
      </c>
      <c r="H135" s="37">
        <v>75867940</v>
      </c>
      <c r="I135" s="38">
        <f t="shared" ref="I135:I166" si="47">+H135/G135</f>
        <v>0.10714286112735875</v>
      </c>
      <c r="J135" s="38">
        <f t="shared" ref="J135:J166" si="48">IFERROR((+H135/(G135-H135)),0)</f>
        <v>0.12000000499815885</v>
      </c>
      <c r="K135" s="37">
        <v>708100747</v>
      </c>
      <c r="L135" s="37">
        <f t="shared" si="40"/>
        <v>75867940</v>
      </c>
      <c r="M135" s="39">
        <v>73266475</v>
      </c>
      <c r="N135" s="37">
        <f t="shared" si="41"/>
        <v>2601465</v>
      </c>
      <c r="O135" s="40">
        <f t="shared" si="42"/>
        <v>1040586</v>
      </c>
      <c r="P135" s="41"/>
      <c r="Q135" s="55">
        <v>9757</v>
      </c>
      <c r="R135" s="42">
        <f t="shared" si="43"/>
        <v>1560879</v>
      </c>
      <c r="S135" s="55">
        <v>9758</v>
      </c>
      <c r="T135" s="55">
        <v>2300</v>
      </c>
      <c r="U135" s="55">
        <v>3845</v>
      </c>
      <c r="V135" s="34" t="s">
        <v>25</v>
      </c>
      <c r="W135" s="43">
        <v>44546</v>
      </c>
      <c r="X135" s="44"/>
    </row>
    <row r="136" spans="1:24" ht="17.45" customHeight="1" x14ac:dyDescent="0.25">
      <c r="A136" t="str">
        <f t="shared" si="46"/>
        <v>29109067534455177623710</v>
      </c>
      <c r="B136" s="6">
        <f t="shared" si="44"/>
        <v>44736</v>
      </c>
      <c r="C136" s="3">
        <f t="shared" si="45"/>
        <v>79018148</v>
      </c>
      <c r="D136" s="34">
        <v>2021</v>
      </c>
      <c r="E136" s="35">
        <v>2910906753</v>
      </c>
      <c r="F136" s="36" t="s">
        <v>185</v>
      </c>
      <c r="G136" s="37">
        <v>737502714</v>
      </c>
      <c r="H136" s="37">
        <v>79018148</v>
      </c>
      <c r="I136" s="38">
        <f t="shared" si="47"/>
        <v>0.10714285723970908</v>
      </c>
      <c r="J136" s="38">
        <f t="shared" si="48"/>
        <v>0.12000000012149108</v>
      </c>
      <c r="K136" s="37">
        <v>724487960</v>
      </c>
      <c r="L136" s="37">
        <f t="shared" si="40"/>
        <v>77623710</v>
      </c>
      <c r="M136" s="39">
        <v>0</v>
      </c>
      <c r="N136" s="37">
        <f t="shared" si="41"/>
        <v>77623710</v>
      </c>
      <c r="O136" s="40">
        <f t="shared" si="42"/>
        <v>31049484</v>
      </c>
      <c r="P136" s="41"/>
      <c r="Q136" s="55">
        <v>9772</v>
      </c>
      <c r="R136" s="42">
        <f t="shared" si="43"/>
        <v>46574226</v>
      </c>
      <c r="S136" s="55">
        <v>9773</v>
      </c>
      <c r="T136" s="55">
        <v>2319</v>
      </c>
      <c r="U136" s="55">
        <v>3857</v>
      </c>
      <c r="V136" s="34" t="s">
        <v>25</v>
      </c>
      <c r="W136" s="43">
        <v>44551</v>
      </c>
      <c r="X136" s="44"/>
    </row>
    <row r="137" spans="1:24" ht="17.45" customHeight="1" x14ac:dyDescent="0.25">
      <c r="A137" t="str">
        <f t="shared" si="46"/>
        <v>24530183214455122757343</v>
      </c>
      <c r="B137" s="6">
        <f t="shared" si="44"/>
        <v>45042</v>
      </c>
      <c r="C137" s="3">
        <f t="shared" si="45"/>
        <v>40539368</v>
      </c>
      <c r="D137" s="34">
        <v>2021</v>
      </c>
      <c r="E137" s="35">
        <v>2453018321</v>
      </c>
      <c r="F137" s="36" t="s">
        <v>186</v>
      </c>
      <c r="G137" s="37">
        <v>439581220</v>
      </c>
      <c r="H137" s="37">
        <v>45514685</v>
      </c>
      <c r="I137" s="38">
        <f t="shared" si="47"/>
        <v>0.10354101342181998</v>
      </c>
      <c r="J137" s="38">
        <f t="shared" si="48"/>
        <v>0.11550000052656083</v>
      </c>
      <c r="K137" s="37">
        <v>219790610</v>
      </c>
      <c r="L137" s="37">
        <f t="shared" si="40"/>
        <v>22757343</v>
      </c>
      <c r="M137" s="39">
        <v>0</v>
      </c>
      <c r="N137" s="37">
        <f t="shared" si="41"/>
        <v>22757343</v>
      </c>
      <c r="O137" s="40">
        <f t="shared" si="42"/>
        <v>9102937</v>
      </c>
      <c r="P137" s="41"/>
      <c r="Q137" s="55">
        <v>9774</v>
      </c>
      <c r="R137" s="42">
        <f t="shared" si="43"/>
        <v>13654406</v>
      </c>
      <c r="S137" s="55">
        <v>9775</v>
      </c>
      <c r="T137" s="55">
        <v>2321</v>
      </c>
      <c r="U137" s="55">
        <v>3858</v>
      </c>
      <c r="V137" s="34" t="s">
        <v>25</v>
      </c>
      <c r="W137" s="43">
        <v>44551</v>
      </c>
      <c r="X137" s="44"/>
    </row>
    <row r="138" spans="1:24" ht="17.45" customHeight="1" x14ac:dyDescent="0.25">
      <c r="A138" t="str">
        <f t="shared" si="46"/>
        <v>24530183234455110629537</v>
      </c>
      <c r="B138" s="6">
        <f t="shared" si="44"/>
        <v>44736</v>
      </c>
      <c r="C138" s="3">
        <f t="shared" si="45"/>
        <v>35431790</v>
      </c>
      <c r="D138" s="34">
        <v>2021</v>
      </c>
      <c r="E138" s="35">
        <v>2453018323</v>
      </c>
      <c r="F138" s="36" t="s">
        <v>187</v>
      </c>
      <c r="G138" s="37">
        <v>430696700</v>
      </c>
      <c r="H138" s="37">
        <v>35431790</v>
      </c>
      <c r="I138" s="38">
        <f t="shared" si="47"/>
        <v>8.2266221217854693E-2</v>
      </c>
      <c r="J138" s="38">
        <f t="shared" si="48"/>
        <v>8.9640615960571865E-2</v>
      </c>
      <c r="K138" s="37">
        <v>129209010</v>
      </c>
      <c r="L138" s="37">
        <f t="shared" si="40"/>
        <v>10629537</v>
      </c>
      <c r="M138" s="39">
        <v>0</v>
      </c>
      <c r="N138" s="37">
        <f t="shared" si="41"/>
        <v>10629537</v>
      </c>
      <c r="O138" s="40">
        <f t="shared" si="42"/>
        <v>4251815</v>
      </c>
      <c r="P138" s="41"/>
      <c r="Q138" s="55">
        <v>9776</v>
      </c>
      <c r="R138" s="42">
        <f t="shared" si="43"/>
        <v>6377722</v>
      </c>
      <c r="S138" s="55">
        <v>9777</v>
      </c>
      <c r="T138" s="55">
        <v>2322</v>
      </c>
      <c r="U138" s="55">
        <v>3859</v>
      </c>
      <c r="V138" s="34" t="s">
        <v>25</v>
      </c>
      <c r="W138" s="43">
        <v>44551</v>
      </c>
      <c r="X138" s="44"/>
    </row>
    <row r="139" spans="1:24" ht="17.45" customHeight="1" x14ac:dyDescent="0.25">
      <c r="A139" t="str">
        <f t="shared" si="46"/>
        <v>245301832444551363082832</v>
      </c>
      <c r="B139" s="6">
        <f t="shared" si="44"/>
        <v>44551</v>
      </c>
      <c r="C139" s="3">
        <f t="shared" si="45"/>
        <v>363082832</v>
      </c>
      <c r="D139" s="34">
        <v>2021</v>
      </c>
      <c r="E139" s="35">
        <v>2453018324</v>
      </c>
      <c r="F139" s="36" t="s">
        <v>188</v>
      </c>
      <c r="G139" s="37">
        <f>1173000000+2215773098</f>
        <v>3388773098</v>
      </c>
      <c r="H139" s="37">
        <v>363082832</v>
      </c>
      <c r="I139" s="38">
        <f t="shared" si="47"/>
        <v>0.10714285716393515</v>
      </c>
      <c r="J139" s="38">
        <f t="shared" si="48"/>
        <v>0.12000000002644025</v>
      </c>
      <c r="K139" s="37">
        <f>3375870098+12903000</f>
        <v>3388773098</v>
      </c>
      <c r="L139" s="37">
        <f t="shared" si="40"/>
        <v>363082832</v>
      </c>
      <c r="M139" s="39">
        <v>0</v>
      </c>
      <c r="N139" s="37">
        <f t="shared" si="41"/>
        <v>363082832</v>
      </c>
      <c r="O139" s="40">
        <f t="shared" si="42"/>
        <v>145233133</v>
      </c>
      <c r="P139" s="41"/>
      <c r="Q139" s="55">
        <v>9778</v>
      </c>
      <c r="R139" s="42">
        <f t="shared" si="43"/>
        <v>217849699</v>
      </c>
      <c r="S139" s="55">
        <v>9779</v>
      </c>
      <c r="T139" s="55">
        <v>2323</v>
      </c>
      <c r="U139" s="55">
        <v>3860</v>
      </c>
      <c r="V139" s="34" t="s">
        <v>25</v>
      </c>
      <c r="W139" s="43">
        <v>44551</v>
      </c>
      <c r="X139" s="44"/>
    </row>
    <row r="140" spans="1:24" ht="17.45" customHeight="1" x14ac:dyDescent="0.25">
      <c r="A140" t="str">
        <f t="shared" si="46"/>
        <v>24530183114463674305909</v>
      </c>
      <c r="B140" s="6">
        <f t="shared" si="44"/>
        <v>44636</v>
      </c>
      <c r="C140" s="3">
        <f t="shared" si="45"/>
        <v>74305909</v>
      </c>
      <c r="D140" s="34">
        <v>2021</v>
      </c>
      <c r="E140" s="35">
        <v>2453018311</v>
      </c>
      <c r="F140" s="36" t="s">
        <v>189</v>
      </c>
      <c r="G140" s="37">
        <v>839500000</v>
      </c>
      <c r="H140" s="37">
        <v>89946429</v>
      </c>
      <c r="I140" s="38">
        <f t="shared" si="47"/>
        <v>0.10714285765336509</v>
      </c>
      <c r="J140" s="38">
        <f t="shared" si="48"/>
        <v>0.12000000064038117</v>
      </c>
      <c r="K140" s="37">
        <v>693521814</v>
      </c>
      <c r="L140" s="37">
        <f t="shared" si="40"/>
        <v>74305909</v>
      </c>
      <c r="M140" s="39">
        <v>0</v>
      </c>
      <c r="N140" s="37">
        <f t="shared" si="41"/>
        <v>74305909</v>
      </c>
      <c r="O140" s="40">
        <f t="shared" si="42"/>
        <v>29722364</v>
      </c>
      <c r="P140" s="41" t="s">
        <v>190</v>
      </c>
      <c r="Q140" s="55">
        <v>2016</v>
      </c>
      <c r="R140" s="42">
        <f t="shared" si="43"/>
        <v>44583545</v>
      </c>
      <c r="S140" s="55">
        <v>2017</v>
      </c>
      <c r="T140" s="55"/>
      <c r="U140" s="55">
        <v>549</v>
      </c>
      <c r="V140" s="34" t="s">
        <v>25</v>
      </c>
      <c r="W140" s="43">
        <v>44636</v>
      </c>
      <c r="X140" s="44"/>
    </row>
    <row r="141" spans="1:24" ht="17.45" customHeight="1" x14ac:dyDescent="0.25">
      <c r="A141" t="str">
        <f t="shared" si="46"/>
        <v>245301831544589128765256</v>
      </c>
      <c r="B141" s="6">
        <f t="shared" si="44"/>
        <v>44706</v>
      </c>
      <c r="C141" s="3">
        <f t="shared" si="45"/>
        <v>128765256</v>
      </c>
      <c r="D141" s="34">
        <v>2021</v>
      </c>
      <c r="E141" s="35">
        <v>2453018315</v>
      </c>
      <c r="F141" s="36" t="s">
        <v>154</v>
      </c>
      <c r="G141" s="37">
        <v>1518787008</v>
      </c>
      <c r="H141" s="37">
        <v>171687008</v>
      </c>
      <c r="I141" s="38">
        <f t="shared" si="47"/>
        <v>0.11304218899402121</v>
      </c>
      <c r="J141" s="38">
        <f t="shared" si="48"/>
        <v>0.12744934154851162</v>
      </c>
      <c r="K141" s="37">
        <v>1139090255</v>
      </c>
      <c r="L141" s="37">
        <f t="shared" si="40"/>
        <v>128765256</v>
      </c>
      <c r="M141" s="39">
        <v>68674803</v>
      </c>
      <c r="N141" s="37">
        <f t="shared" si="41"/>
        <v>60090453</v>
      </c>
      <c r="O141" s="40">
        <f>ROUND((+N141*0.4),0)</f>
        <v>24036181</v>
      </c>
      <c r="P141" s="41" t="s">
        <v>190</v>
      </c>
      <c r="Q141" s="55">
        <v>246</v>
      </c>
      <c r="R141" s="42">
        <f t="shared" si="43"/>
        <v>36054272</v>
      </c>
      <c r="S141" s="55">
        <v>247</v>
      </c>
      <c r="T141" s="55">
        <v>391</v>
      </c>
      <c r="U141" s="55">
        <v>89</v>
      </c>
      <c r="V141" s="34" t="s">
        <v>25</v>
      </c>
      <c r="W141" s="43">
        <v>44589</v>
      </c>
      <c r="X141" s="44"/>
    </row>
    <row r="142" spans="1:24" ht="17.45" customHeight="1" x14ac:dyDescent="0.25">
      <c r="A142" t="str">
        <f t="shared" si="46"/>
        <v>2453018317446039857160</v>
      </c>
      <c r="B142" s="6">
        <f t="shared" si="44"/>
        <v>44603</v>
      </c>
      <c r="C142" s="3">
        <f t="shared" si="45"/>
        <v>9857160</v>
      </c>
      <c r="D142" s="34">
        <v>2021</v>
      </c>
      <c r="E142" s="35">
        <v>2453018317</v>
      </c>
      <c r="F142" s="36" t="s">
        <v>180</v>
      </c>
      <c r="G142" s="37">
        <v>92000000</v>
      </c>
      <c r="H142" s="37">
        <v>9857160</v>
      </c>
      <c r="I142" s="38">
        <f t="shared" si="47"/>
        <v>0.10714304347826087</v>
      </c>
      <c r="J142" s="38">
        <f t="shared" si="48"/>
        <v>0.12000023373917922</v>
      </c>
      <c r="K142" s="37">
        <v>92000000</v>
      </c>
      <c r="L142" s="37">
        <f t="shared" si="40"/>
        <v>9857160</v>
      </c>
      <c r="M142" s="39">
        <v>6900012</v>
      </c>
      <c r="N142" s="37">
        <f t="shared" si="41"/>
        <v>2957148</v>
      </c>
      <c r="O142" s="40">
        <f>ROUND((N142*40%),0)</f>
        <v>1182859</v>
      </c>
      <c r="P142" s="41" t="s">
        <v>190</v>
      </c>
      <c r="Q142" s="55">
        <v>569</v>
      </c>
      <c r="R142" s="42">
        <f t="shared" si="43"/>
        <v>1774289</v>
      </c>
      <c r="S142" s="55">
        <v>570</v>
      </c>
      <c r="T142" s="55"/>
      <c r="U142" s="55"/>
      <c r="V142" s="34" t="s">
        <v>25</v>
      </c>
      <c r="W142" s="43">
        <v>44603</v>
      </c>
      <c r="X142" s="44"/>
    </row>
    <row r="143" spans="1:24" ht="17.45" customHeight="1" x14ac:dyDescent="0.25">
      <c r="A143" t="str">
        <f t="shared" si="46"/>
        <v>24530183184463639304983</v>
      </c>
      <c r="B143" s="6">
        <f t="shared" si="44"/>
        <v>44894</v>
      </c>
      <c r="C143" s="3">
        <f t="shared" si="45"/>
        <v>52060714</v>
      </c>
      <c r="D143" s="34">
        <v>2021</v>
      </c>
      <c r="E143" s="35">
        <v>2453018318</v>
      </c>
      <c r="F143" s="36" t="s">
        <v>191</v>
      </c>
      <c r="G143" s="37">
        <v>595495040</v>
      </c>
      <c r="H143" s="37">
        <v>63803040</v>
      </c>
      <c r="I143" s="38">
        <f t="shared" si="47"/>
        <v>0.10714285714285714</v>
      </c>
      <c r="J143" s="38">
        <f t="shared" si="48"/>
        <v>0.12</v>
      </c>
      <c r="K143" s="37">
        <v>366846508</v>
      </c>
      <c r="L143" s="37">
        <f t="shared" si="40"/>
        <v>39304983</v>
      </c>
      <c r="M143" s="39">
        <v>0</v>
      </c>
      <c r="N143" s="37">
        <f t="shared" si="41"/>
        <v>39304983</v>
      </c>
      <c r="O143" s="40">
        <f>ROUND((N143*40%),0)</f>
        <v>15721993</v>
      </c>
      <c r="P143" s="41" t="s">
        <v>190</v>
      </c>
      <c r="Q143" s="55">
        <v>2018</v>
      </c>
      <c r="R143" s="42">
        <f t="shared" si="43"/>
        <v>23582990</v>
      </c>
      <c r="S143" s="55">
        <v>2019</v>
      </c>
      <c r="T143" s="55"/>
      <c r="U143" s="55">
        <v>550</v>
      </c>
      <c r="V143" s="34" t="s">
        <v>25</v>
      </c>
      <c r="W143" s="43">
        <v>44636</v>
      </c>
      <c r="X143" s="44"/>
    </row>
    <row r="144" spans="1:24" ht="17.45" customHeight="1" x14ac:dyDescent="0.25">
      <c r="A144" t="str">
        <f t="shared" si="46"/>
        <v>2453018319446365526366</v>
      </c>
      <c r="B144" s="6">
        <f t="shared" si="44"/>
        <v>45037</v>
      </c>
      <c r="C144" s="3">
        <f t="shared" si="45"/>
        <v>13815914</v>
      </c>
      <c r="D144" s="34">
        <v>2021</v>
      </c>
      <c r="E144" s="35">
        <v>2453018319</v>
      </c>
      <c r="F144" s="36" t="s">
        <v>192</v>
      </c>
      <c r="G144" s="37">
        <v>128800000</v>
      </c>
      <c r="H144" s="37">
        <v>13815914</v>
      </c>
      <c r="I144" s="38">
        <f t="shared" si="47"/>
        <v>0.10726641304347827</v>
      </c>
      <c r="J144" s="38">
        <f t="shared" si="48"/>
        <v>0.12015500997242348</v>
      </c>
      <c r="K144" s="37">
        <v>51520000</v>
      </c>
      <c r="L144" s="37">
        <f t="shared" si="40"/>
        <v>5526366</v>
      </c>
      <c r="M144" s="39">
        <v>0</v>
      </c>
      <c r="N144" s="37">
        <f t="shared" si="41"/>
        <v>5526366</v>
      </c>
      <c r="O144" s="40">
        <f>ROUND((N144*40%),0)</f>
        <v>2210546</v>
      </c>
      <c r="P144" s="41" t="s">
        <v>190</v>
      </c>
      <c r="Q144" s="55">
        <v>2044</v>
      </c>
      <c r="R144" s="42">
        <f t="shared" si="43"/>
        <v>3315820</v>
      </c>
      <c r="S144" s="55">
        <v>2045</v>
      </c>
      <c r="T144" s="55">
        <v>788</v>
      </c>
      <c r="U144" s="55">
        <v>548</v>
      </c>
      <c r="V144" s="34" t="s">
        <v>25</v>
      </c>
      <c r="W144" s="43">
        <v>44636</v>
      </c>
      <c r="X144" s="44"/>
    </row>
    <row r="145" spans="1:24" ht="17.45" customHeight="1" x14ac:dyDescent="0.25">
      <c r="A145" t="str">
        <f t="shared" si="46"/>
        <v>2453018322446365142857</v>
      </c>
      <c r="B145" s="6">
        <f t="shared" si="44"/>
        <v>44722</v>
      </c>
      <c r="C145" s="3">
        <f t="shared" si="45"/>
        <v>8571428</v>
      </c>
      <c r="D145" s="34">
        <v>2021</v>
      </c>
      <c r="E145" s="35">
        <v>2453018322</v>
      </c>
      <c r="F145" s="36" t="s">
        <v>193</v>
      </c>
      <c r="G145" s="37">
        <v>80000000</v>
      </c>
      <c r="H145" s="37">
        <v>8571429</v>
      </c>
      <c r="I145" s="38">
        <f t="shared" si="47"/>
        <v>0.10714286250000001</v>
      </c>
      <c r="J145" s="38">
        <f t="shared" si="48"/>
        <v>0.12000000672000004</v>
      </c>
      <c r="K145" s="37">
        <v>48000000</v>
      </c>
      <c r="L145" s="37">
        <f t="shared" si="40"/>
        <v>5142857</v>
      </c>
      <c r="M145" s="39">
        <v>0</v>
      </c>
      <c r="N145" s="37">
        <f t="shared" si="41"/>
        <v>5142857</v>
      </c>
      <c r="O145" s="40">
        <f>ROUND((N145*40%),0)</f>
        <v>2057143</v>
      </c>
      <c r="P145" s="41" t="s">
        <v>190</v>
      </c>
      <c r="Q145" s="55">
        <v>2030</v>
      </c>
      <c r="R145" s="42">
        <f t="shared" si="43"/>
        <v>3085714</v>
      </c>
      <c r="S145" s="55">
        <v>2031</v>
      </c>
      <c r="T145" s="55">
        <v>794</v>
      </c>
      <c r="U145" s="55">
        <v>551</v>
      </c>
      <c r="V145" s="34" t="s">
        <v>25</v>
      </c>
      <c r="W145" s="43">
        <v>44636</v>
      </c>
      <c r="X145" s="44"/>
    </row>
    <row r="146" spans="1:24" ht="17.45" customHeight="1" x14ac:dyDescent="0.25">
      <c r="A146" t="str">
        <f t="shared" si="46"/>
        <v>24530183254463615957624</v>
      </c>
      <c r="B146" s="6">
        <f t="shared" si="44"/>
        <v>45042</v>
      </c>
      <c r="C146" s="3">
        <f t="shared" si="45"/>
        <v>78962612</v>
      </c>
      <c r="D146" s="34">
        <v>2021</v>
      </c>
      <c r="E146" s="35">
        <v>2453018325</v>
      </c>
      <c r="F146" s="36" t="s">
        <v>194</v>
      </c>
      <c r="G146" s="37">
        <v>744689120</v>
      </c>
      <c r="H146" s="37">
        <v>79788120</v>
      </c>
      <c r="I146" s="38">
        <f t="shared" si="47"/>
        <v>0.10714285714285714</v>
      </c>
      <c r="J146" s="38">
        <f t="shared" si="48"/>
        <v>0.12</v>
      </c>
      <c r="K146" s="37">
        <v>148937824</v>
      </c>
      <c r="L146" s="37">
        <f t="shared" si="40"/>
        <v>15957624</v>
      </c>
      <c r="M146" s="39">
        <v>0</v>
      </c>
      <c r="N146" s="37">
        <f t="shared" si="41"/>
        <v>15957624</v>
      </c>
      <c r="O146" s="40">
        <f>ROUND((N146*40%),0)</f>
        <v>6383050</v>
      </c>
      <c r="P146" s="41" t="s">
        <v>190</v>
      </c>
      <c r="Q146" s="55">
        <v>2020</v>
      </c>
      <c r="R146" s="42">
        <f t="shared" si="43"/>
        <v>9574574</v>
      </c>
      <c r="S146" s="55">
        <v>2021</v>
      </c>
      <c r="T146" s="55"/>
      <c r="U146" s="55">
        <v>552</v>
      </c>
      <c r="V146" s="34" t="s">
        <v>25</v>
      </c>
      <c r="W146" s="43">
        <v>44636</v>
      </c>
      <c r="X146" s="44"/>
    </row>
    <row r="147" spans="1:24" ht="17.45" customHeight="1" x14ac:dyDescent="0.25">
      <c r="A147" t="str">
        <f t="shared" si="46"/>
        <v>24530183264458913508168</v>
      </c>
      <c r="B147" s="6">
        <f t="shared" si="44"/>
        <v>44797</v>
      </c>
      <c r="C147" s="3">
        <f t="shared" si="45"/>
        <v>45027225</v>
      </c>
      <c r="D147" s="34">
        <v>2021</v>
      </c>
      <c r="E147" s="35">
        <v>2453018326</v>
      </c>
      <c r="F147" s="36" t="s">
        <v>195</v>
      </c>
      <c r="G147" s="37">
        <v>420254100</v>
      </c>
      <c r="H147" s="37">
        <v>45027225</v>
      </c>
      <c r="I147" s="38">
        <f t="shared" si="47"/>
        <v>0.10714285714285714</v>
      </c>
      <c r="J147" s="38">
        <f t="shared" si="48"/>
        <v>0.12</v>
      </c>
      <c r="K147" s="37">
        <v>126076230</v>
      </c>
      <c r="L147" s="37">
        <f t="shared" si="40"/>
        <v>13508168</v>
      </c>
      <c r="M147" s="39">
        <v>0</v>
      </c>
      <c r="N147" s="37">
        <f t="shared" si="41"/>
        <v>13508168</v>
      </c>
      <c r="O147" s="40">
        <f>ROUND((+N147*0.4),0)</f>
        <v>5403267</v>
      </c>
      <c r="P147" s="41" t="s">
        <v>190</v>
      </c>
      <c r="Q147" s="55">
        <v>269</v>
      </c>
      <c r="R147" s="42">
        <f t="shared" si="43"/>
        <v>8104901</v>
      </c>
      <c r="S147" s="55">
        <v>270</v>
      </c>
      <c r="T147" s="55">
        <v>392</v>
      </c>
      <c r="U147" s="55">
        <v>92</v>
      </c>
      <c r="V147" s="34" t="s">
        <v>25</v>
      </c>
      <c r="W147" s="43">
        <v>44589</v>
      </c>
      <c r="X147" s="44"/>
    </row>
    <row r="148" spans="1:24" ht="17.45" customHeight="1" x14ac:dyDescent="0.25">
      <c r="A148" t="str">
        <f t="shared" si="46"/>
        <v>24530183274462018323600</v>
      </c>
      <c r="B148" s="6">
        <f t="shared" si="44"/>
        <v>45467</v>
      </c>
      <c r="C148" s="3">
        <f t="shared" si="45"/>
        <v>61078665.000000007</v>
      </c>
      <c r="D148" s="34">
        <v>2021</v>
      </c>
      <c r="E148" s="35">
        <v>2453018327</v>
      </c>
      <c r="F148" s="36" t="s">
        <v>196</v>
      </c>
      <c r="G148" s="37">
        <v>570067542</v>
      </c>
      <c r="H148" s="37">
        <v>61078665</v>
      </c>
      <c r="I148" s="38">
        <f t="shared" si="47"/>
        <v>0.10714285676696184</v>
      </c>
      <c r="J148" s="38">
        <f t="shared" si="48"/>
        <v>0.11999999952847692</v>
      </c>
      <c r="K148" s="37">
        <v>171020263</v>
      </c>
      <c r="L148" s="37">
        <f t="shared" si="40"/>
        <v>18323600</v>
      </c>
      <c r="M148" s="39">
        <v>0</v>
      </c>
      <c r="N148" s="37">
        <f t="shared" si="41"/>
        <v>18323600</v>
      </c>
      <c r="O148" s="40">
        <f t="shared" ref="O148:O160" si="49">ROUND((N148*40%),0)</f>
        <v>7329440</v>
      </c>
      <c r="P148" s="41" t="s">
        <v>190</v>
      </c>
      <c r="Q148" s="55">
        <v>1357</v>
      </c>
      <c r="R148" s="42">
        <f t="shared" si="43"/>
        <v>10994160</v>
      </c>
      <c r="S148" s="55">
        <v>1358</v>
      </c>
      <c r="T148" s="55">
        <v>656</v>
      </c>
      <c r="U148" s="55">
        <v>469</v>
      </c>
      <c r="V148" s="34" t="s">
        <v>25</v>
      </c>
      <c r="W148" s="43">
        <v>44620</v>
      </c>
      <c r="X148" s="44"/>
    </row>
    <row r="149" spans="1:24" ht="17.45" customHeight="1" x14ac:dyDescent="0.25">
      <c r="A149" t="str">
        <f t="shared" si="46"/>
        <v>24530183284463638568921</v>
      </c>
      <c r="B149" s="6">
        <f t="shared" si="44"/>
        <v>44902</v>
      </c>
      <c r="C149" s="3">
        <f t="shared" si="45"/>
        <v>116812287</v>
      </c>
      <c r="D149" s="34">
        <v>2021</v>
      </c>
      <c r="E149" s="35">
        <v>2453018328</v>
      </c>
      <c r="F149" s="36" t="s">
        <v>197</v>
      </c>
      <c r="G149" s="37">
        <v>1199922000</v>
      </c>
      <c r="H149" s="37">
        <v>128563071</v>
      </c>
      <c r="I149" s="38">
        <f t="shared" si="47"/>
        <v>0.10714285678569108</v>
      </c>
      <c r="J149" s="38">
        <f t="shared" si="48"/>
        <v>0.11999999955197088</v>
      </c>
      <c r="K149" s="37">
        <v>359976600</v>
      </c>
      <c r="L149" s="37">
        <f t="shared" si="40"/>
        <v>38568921</v>
      </c>
      <c r="M149" s="39">
        <v>0</v>
      </c>
      <c r="N149" s="37">
        <f t="shared" si="41"/>
        <v>38568921</v>
      </c>
      <c r="O149" s="40">
        <f t="shared" si="49"/>
        <v>15427568</v>
      </c>
      <c r="P149" s="41" t="s">
        <v>190</v>
      </c>
      <c r="Q149" s="55">
        <v>2022</v>
      </c>
      <c r="R149" s="42">
        <f t="shared" si="43"/>
        <v>23141353</v>
      </c>
      <c r="S149" s="55">
        <v>2023</v>
      </c>
      <c r="T149" s="55"/>
      <c r="U149" s="55">
        <v>553</v>
      </c>
      <c r="V149" s="34" t="s">
        <v>25</v>
      </c>
      <c r="W149" s="43">
        <v>44636</v>
      </c>
      <c r="X149" s="44"/>
    </row>
    <row r="150" spans="1:24" ht="17.45" customHeight="1" x14ac:dyDescent="0.25">
      <c r="A150" t="str">
        <f t="shared" si="46"/>
        <v>24530183304463651842832</v>
      </c>
      <c r="B150" s="6">
        <f t="shared" si="44"/>
        <v>45912</v>
      </c>
      <c r="C150" s="3">
        <f t="shared" si="45"/>
        <v>259214159</v>
      </c>
      <c r="D150" s="34">
        <v>2021</v>
      </c>
      <c r="E150" s="35">
        <v>2453018330</v>
      </c>
      <c r="F150" s="36" t="s">
        <v>198</v>
      </c>
      <c r="G150" s="37">
        <v>2419332150</v>
      </c>
      <c r="H150" s="37">
        <v>259214159</v>
      </c>
      <c r="I150" s="38">
        <f t="shared" si="47"/>
        <v>0.10714285717238123</v>
      </c>
      <c r="J150" s="38">
        <f t="shared" si="48"/>
        <v>0.12000000003703501</v>
      </c>
      <c r="K150" s="37">
        <v>483866430</v>
      </c>
      <c r="L150" s="37">
        <f t="shared" si="40"/>
        <v>51842832</v>
      </c>
      <c r="M150" s="39">
        <v>0</v>
      </c>
      <c r="N150" s="37">
        <f t="shared" si="41"/>
        <v>51842832</v>
      </c>
      <c r="O150" s="40">
        <f t="shared" si="49"/>
        <v>20737133</v>
      </c>
      <c r="P150" s="41" t="s">
        <v>190</v>
      </c>
      <c r="Q150" s="55">
        <v>2024</v>
      </c>
      <c r="R150" s="42">
        <f t="shared" si="43"/>
        <v>31105699</v>
      </c>
      <c r="S150" s="55">
        <v>2025</v>
      </c>
      <c r="T150" s="55"/>
      <c r="U150" s="55">
        <v>554</v>
      </c>
      <c r="V150" s="34" t="s">
        <v>25</v>
      </c>
      <c r="W150" s="43">
        <v>44636</v>
      </c>
      <c r="X150" s="44"/>
    </row>
    <row r="151" spans="1:24" ht="17.45" customHeight="1" x14ac:dyDescent="0.25">
      <c r="A151" t="str">
        <f t="shared" si="46"/>
        <v>29109011574461713600000</v>
      </c>
      <c r="B151" s="6">
        <f t="shared" si="44"/>
        <v>44617</v>
      </c>
      <c r="C151" s="3">
        <f t="shared" si="45"/>
        <v>13600000</v>
      </c>
      <c r="D151" s="34">
        <v>2018</v>
      </c>
      <c r="E151" s="35">
        <v>2910901157</v>
      </c>
      <c r="F151" s="36" t="s">
        <v>199</v>
      </c>
      <c r="G151" s="37">
        <v>126000000</v>
      </c>
      <c r="H151" s="37">
        <v>13600000</v>
      </c>
      <c r="I151" s="38">
        <f t="shared" si="47"/>
        <v>0.10793650793650794</v>
      </c>
      <c r="J151" s="38">
        <f t="shared" si="48"/>
        <v>0.12099644128113879</v>
      </c>
      <c r="K151" s="37">
        <v>126000000</v>
      </c>
      <c r="L151" s="37">
        <f t="shared" si="40"/>
        <v>13600000</v>
      </c>
      <c r="M151" s="39">
        <v>13500000</v>
      </c>
      <c r="N151" s="37">
        <f t="shared" si="41"/>
        <v>100000</v>
      </c>
      <c r="O151" s="40">
        <f t="shared" si="49"/>
        <v>40000</v>
      </c>
      <c r="P151" s="41"/>
      <c r="Q151" s="55">
        <v>895</v>
      </c>
      <c r="R151" s="42"/>
      <c r="S151" s="55">
        <v>925</v>
      </c>
      <c r="T151" s="55"/>
      <c r="U151" s="55"/>
      <c r="V151" s="34" t="s">
        <v>25</v>
      </c>
      <c r="W151" s="43">
        <v>44617</v>
      </c>
      <c r="X151" s="44" t="s">
        <v>200</v>
      </c>
    </row>
    <row r="152" spans="1:24" ht="17.45" customHeight="1" x14ac:dyDescent="0.25">
      <c r="A152" t="str">
        <f t="shared" si="46"/>
        <v>291090616444617356207712</v>
      </c>
      <c r="B152" s="6">
        <f t="shared" si="44"/>
        <v>44617</v>
      </c>
      <c r="C152" s="3">
        <f t="shared" si="45"/>
        <v>356207712</v>
      </c>
      <c r="D152" s="34">
        <v>2016</v>
      </c>
      <c r="E152" s="35">
        <v>2910906164</v>
      </c>
      <c r="F152" s="36" t="s">
        <v>40</v>
      </c>
      <c r="G152" s="37">
        <v>3324605309</v>
      </c>
      <c r="H152" s="37">
        <v>356207712</v>
      </c>
      <c r="I152" s="38">
        <f t="shared" si="47"/>
        <v>0.10714285723953887</v>
      </c>
      <c r="J152" s="38">
        <f t="shared" si="48"/>
        <v>0.12000000012127755</v>
      </c>
      <c r="K152" s="37">
        <v>3324605309</v>
      </c>
      <c r="L152" s="37">
        <f t="shared" si="40"/>
        <v>356207712</v>
      </c>
      <c r="M152" s="39">
        <v>334273114</v>
      </c>
      <c r="N152" s="37">
        <f t="shared" si="41"/>
        <v>21934598</v>
      </c>
      <c r="O152" s="40">
        <f t="shared" si="49"/>
        <v>8773839</v>
      </c>
      <c r="P152" s="41" t="s">
        <v>190</v>
      </c>
      <c r="Q152" s="55">
        <v>893</v>
      </c>
      <c r="R152" s="42">
        <f t="shared" ref="R152:R178" si="50">+N152-O152</f>
        <v>13160759</v>
      </c>
      <c r="S152" s="55">
        <v>894</v>
      </c>
      <c r="T152" s="55">
        <v>601</v>
      </c>
      <c r="U152" s="55">
        <v>392</v>
      </c>
      <c r="V152" s="34" t="s">
        <v>25</v>
      </c>
      <c r="W152" s="43">
        <v>44617</v>
      </c>
      <c r="X152" s="44"/>
    </row>
    <row r="153" spans="1:24" ht="17.45" customHeight="1" x14ac:dyDescent="0.25">
      <c r="A153" t="str">
        <f t="shared" si="46"/>
        <v>2910906733446363750000</v>
      </c>
      <c r="B153" s="6">
        <f t="shared" si="44"/>
        <v>44636</v>
      </c>
      <c r="C153" s="3">
        <f t="shared" si="45"/>
        <v>3750000</v>
      </c>
      <c r="D153" s="34">
        <v>2021</v>
      </c>
      <c r="E153" s="35">
        <v>2910906733</v>
      </c>
      <c r="F153" s="36" t="s">
        <v>201</v>
      </c>
      <c r="G153" s="37">
        <v>35000000</v>
      </c>
      <c r="H153" s="37">
        <v>3750000</v>
      </c>
      <c r="I153" s="38">
        <f t="shared" si="47"/>
        <v>0.10714285714285714</v>
      </c>
      <c r="J153" s="38">
        <f t="shared" si="48"/>
        <v>0.12</v>
      </c>
      <c r="K153" s="37">
        <v>35000000</v>
      </c>
      <c r="L153" s="37">
        <f t="shared" si="40"/>
        <v>3750000</v>
      </c>
      <c r="M153" s="39">
        <v>0</v>
      </c>
      <c r="N153" s="37">
        <f t="shared" si="41"/>
        <v>3750000</v>
      </c>
      <c r="O153" s="40">
        <f t="shared" si="49"/>
        <v>1500000</v>
      </c>
      <c r="P153" s="41" t="s">
        <v>190</v>
      </c>
      <c r="Q153" s="55">
        <v>1996</v>
      </c>
      <c r="R153" s="42">
        <f t="shared" si="50"/>
        <v>2250000</v>
      </c>
      <c r="S153" s="55">
        <v>1997</v>
      </c>
      <c r="T153" s="55">
        <v>724</v>
      </c>
      <c r="U153" s="55">
        <v>533</v>
      </c>
      <c r="V153" s="34" t="s">
        <v>25</v>
      </c>
      <c r="W153" s="43">
        <v>44636</v>
      </c>
      <c r="X153" s="44"/>
    </row>
    <row r="154" spans="1:24" ht="17.45" customHeight="1" x14ac:dyDescent="0.25">
      <c r="A154" t="str">
        <f t="shared" si="46"/>
        <v>2910906734446362230171</v>
      </c>
      <c r="B154" s="6">
        <f t="shared" si="44"/>
        <v>44636</v>
      </c>
      <c r="C154" s="3">
        <f t="shared" si="45"/>
        <v>2230171</v>
      </c>
      <c r="D154" s="34">
        <v>2021</v>
      </c>
      <c r="E154" s="35">
        <v>2910906734</v>
      </c>
      <c r="F154" s="36" t="s">
        <v>202</v>
      </c>
      <c r="G154" s="37">
        <v>39028000</v>
      </c>
      <c r="H154" s="37">
        <v>4181571</v>
      </c>
      <c r="I154" s="38">
        <f t="shared" si="47"/>
        <v>0.10714284616173005</v>
      </c>
      <c r="J154" s="38">
        <f t="shared" si="48"/>
        <v>0.11999998622527433</v>
      </c>
      <c r="K154" s="37">
        <v>20814936</v>
      </c>
      <c r="L154" s="37">
        <f t="shared" si="40"/>
        <v>2230171</v>
      </c>
      <c r="M154" s="39">
        <v>0</v>
      </c>
      <c r="N154" s="37">
        <f t="shared" si="41"/>
        <v>2230171</v>
      </c>
      <c r="O154" s="40">
        <f t="shared" si="49"/>
        <v>892068</v>
      </c>
      <c r="P154" s="41" t="s">
        <v>190</v>
      </c>
      <c r="Q154" s="55">
        <v>1998</v>
      </c>
      <c r="R154" s="42">
        <f t="shared" si="50"/>
        <v>1338103</v>
      </c>
      <c r="S154" s="55">
        <v>1999</v>
      </c>
      <c r="T154" s="55">
        <v>725</v>
      </c>
      <c r="U154" s="55">
        <v>534</v>
      </c>
      <c r="V154" s="34" t="s">
        <v>25</v>
      </c>
      <c r="W154" s="43">
        <v>44636</v>
      </c>
      <c r="X154" s="44"/>
    </row>
    <row r="155" spans="1:24" ht="17.45" customHeight="1" x14ac:dyDescent="0.25">
      <c r="A155" t="str">
        <f t="shared" si="46"/>
        <v>2910906737446365357143</v>
      </c>
      <c r="B155" s="6">
        <f t="shared" si="44"/>
        <v>44636</v>
      </c>
      <c r="C155" s="3">
        <f t="shared" si="45"/>
        <v>5357143</v>
      </c>
      <c r="D155" s="34">
        <v>2021</v>
      </c>
      <c r="E155" s="35">
        <v>2910906737</v>
      </c>
      <c r="F155" s="36" t="s">
        <v>203</v>
      </c>
      <c r="G155" s="37">
        <v>50000000</v>
      </c>
      <c r="H155" s="37">
        <v>5357143</v>
      </c>
      <c r="I155" s="38">
        <f t="shared" si="47"/>
        <v>0.10714286000000001</v>
      </c>
      <c r="J155" s="38">
        <f t="shared" si="48"/>
        <v>0.12000000358400001</v>
      </c>
      <c r="K155" s="37">
        <v>50000000</v>
      </c>
      <c r="L155" s="37">
        <f t="shared" si="40"/>
        <v>5357143</v>
      </c>
      <c r="M155" s="39">
        <v>0</v>
      </c>
      <c r="N155" s="37">
        <f t="shared" si="41"/>
        <v>5357143</v>
      </c>
      <c r="O155" s="40">
        <f t="shared" si="49"/>
        <v>2142857</v>
      </c>
      <c r="P155" s="41" t="s">
        <v>190</v>
      </c>
      <c r="Q155" s="55">
        <v>2000</v>
      </c>
      <c r="R155" s="42">
        <f t="shared" si="50"/>
        <v>3214286</v>
      </c>
      <c r="S155" s="55">
        <v>2001</v>
      </c>
      <c r="T155" s="55">
        <v>726</v>
      </c>
      <c r="U155" s="55">
        <v>535</v>
      </c>
      <c r="V155" s="34" t="s">
        <v>25</v>
      </c>
      <c r="W155" s="43">
        <v>44636</v>
      </c>
      <c r="X155" s="44"/>
    </row>
    <row r="156" spans="1:24" ht="17.45" customHeight="1" x14ac:dyDescent="0.25">
      <c r="A156" t="str">
        <f t="shared" si="46"/>
        <v>2910906740446361019474</v>
      </c>
      <c r="B156" s="6">
        <f t="shared" si="44"/>
        <v>44636</v>
      </c>
      <c r="C156" s="3">
        <f t="shared" si="45"/>
        <v>1019474</v>
      </c>
      <c r="D156" s="34">
        <v>2021</v>
      </c>
      <c r="E156" s="35">
        <v>2910906740</v>
      </c>
      <c r="F156" s="36" t="s">
        <v>204</v>
      </c>
      <c r="G156" s="37">
        <v>53704000</v>
      </c>
      <c r="H156" s="37">
        <v>6445000</v>
      </c>
      <c r="I156" s="38">
        <f t="shared" si="47"/>
        <v>0.12000968270519886</v>
      </c>
      <c r="J156" s="38">
        <f t="shared" si="48"/>
        <v>0.13637613999449841</v>
      </c>
      <c r="K156" s="37">
        <v>33893937</v>
      </c>
      <c r="L156" s="37">
        <v>1019474</v>
      </c>
      <c r="M156" s="39">
        <v>0</v>
      </c>
      <c r="N156" s="37">
        <f t="shared" si="41"/>
        <v>1019474</v>
      </c>
      <c r="O156" s="40">
        <f t="shared" si="49"/>
        <v>407790</v>
      </c>
      <c r="P156" s="41" t="s">
        <v>190</v>
      </c>
      <c r="Q156" s="55">
        <v>2002</v>
      </c>
      <c r="R156" s="42">
        <f t="shared" si="50"/>
        <v>611684</v>
      </c>
      <c r="S156" s="55">
        <v>2003</v>
      </c>
      <c r="T156" s="55">
        <v>727</v>
      </c>
      <c r="U156" s="55">
        <v>536</v>
      </c>
      <c r="V156" s="34" t="s">
        <v>25</v>
      </c>
      <c r="W156" s="43">
        <v>44636</v>
      </c>
      <c r="X156" s="44" t="s">
        <v>205</v>
      </c>
    </row>
    <row r="157" spans="1:24" ht="17.45" customHeight="1" x14ac:dyDescent="0.25">
      <c r="A157" t="str">
        <f t="shared" si="46"/>
        <v>29109067464463643392857</v>
      </c>
      <c r="B157" s="6">
        <f t="shared" si="44"/>
        <v>44661</v>
      </c>
      <c r="C157" s="3">
        <f t="shared" si="45"/>
        <v>48214286</v>
      </c>
      <c r="D157" s="34">
        <v>2021</v>
      </c>
      <c r="E157" s="35">
        <v>2910906746</v>
      </c>
      <c r="F157" s="36" t="s">
        <v>206</v>
      </c>
      <c r="G157" s="37">
        <v>450000000</v>
      </c>
      <c r="H157" s="37">
        <v>48214286</v>
      </c>
      <c r="I157" s="38">
        <f t="shared" si="47"/>
        <v>0.10714285777777778</v>
      </c>
      <c r="J157" s="38">
        <f t="shared" si="48"/>
        <v>0.12000000079644445</v>
      </c>
      <c r="K157" s="37">
        <v>405000000</v>
      </c>
      <c r="L157" s="37">
        <f t="shared" ref="L157:L164" si="51">ROUND((+K157*I157),0)</f>
        <v>43392857</v>
      </c>
      <c r="M157" s="39">
        <v>0</v>
      </c>
      <c r="N157" s="37">
        <f t="shared" si="41"/>
        <v>43392857</v>
      </c>
      <c r="O157" s="40">
        <f t="shared" si="49"/>
        <v>17357143</v>
      </c>
      <c r="P157" s="41" t="s">
        <v>190</v>
      </c>
      <c r="Q157" s="55">
        <v>2004</v>
      </c>
      <c r="R157" s="42">
        <f t="shared" si="50"/>
        <v>26035714</v>
      </c>
      <c r="S157" s="55">
        <v>2005</v>
      </c>
      <c r="T157" s="55">
        <v>728</v>
      </c>
      <c r="U157" s="55">
        <v>537</v>
      </c>
      <c r="V157" s="34" t="s">
        <v>25</v>
      </c>
      <c r="W157" s="43">
        <v>44636</v>
      </c>
      <c r="X157" s="44"/>
    </row>
    <row r="158" spans="1:24" ht="17.45" customHeight="1" x14ac:dyDescent="0.25">
      <c r="A158" t="str">
        <f t="shared" si="46"/>
        <v>29109067484460612402844</v>
      </c>
      <c r="B158" s="6">
        <f t="shared" si="44"/>
        <v>44606</v>
      </c>
      <c r="C158" s="3">
        <f t="shared" si="45"/>
        <v>12402844</v>
      </c>
      <c r="D158" s="34">
        <v>2021</v>
      </c>
      <c r="E158" s="35">
        <v>2910906748</v>
      </c>
      <c r="F158" s="36" t="s">
        <v>179</v>
      </c>
      <c r="G158" s="37">
        <v>116000000</v>
      </c>
      <c r="H158" s="37">
        <v>12428571</v>
      </c>
      <c r="I158" s="38">
        <f t="shared" si="47"/>
        <v>0.10714285344827586</v>
      </c>
      <c r="J158" s="38">
        <f t="shared" si="48"/>
        <v>0.11999999536551727</v>
      </c>
      <c r="K158" s="37">
        <v>115759880</v>
      </c>
      <c r="L158" s="37">
        <f t="shared" si="51"/>
        <v>12402844</v>
      </c>
      <c r="M158" s="39">
        <v>8700000</v>
      </c>
      <c r="N158" s="37">
        <f t="shared" si="41"/>
        <v>3702844</v>
      </c>
      <c r="O158" s="40">
        <f t="shared" si="49"/>
        <v>1481138</v>
      </c>
      <c r="P158" s="41" t="s">
        <v>190</v>
      </c>
      <c r="Q158" s="55">
        <v>652</v>
      </c>
      <c r="R158" s="42">
        <f t="shared" si="50"/>
        <v>2221706</v>
      </c>
      <c r="S158" s="55">
        <v>653</v>
      </c>
      <c r="T158" s="55">
        <v>491</v>
      </c>
      <c r="U158" s="55">
        <v>277</v>
      </c>
      <c r="V158" s="34" t="s">
        <v>25</v>
      </c>
      <c r="W158" s="43">
        <v>44606</v>
      </c>
      <c r="X158" s="44"/>
    </row>
    <row r="159" spans="1:24" ht="17.45" customHeight="1" x14ac:dyDescent="0.25">
      <c r="A159" t="str">
        <f t="shared" si="46"/>
        <v>2910906749446366630000</v>
      </c>
      <c r="B159" s="6">
        <f t="shared" si="44"/>
        <v>45349</v>
      </c>
      <c r="C159" s="3">
        <f t="shared" si="45"/>
        <v>14041179</v>
      </c>
      <c r="D159" s="34">
        <v>2021</v>
      </c>
      <c r="E159" s="35">
        <v>2910906749</v>
      </c>
      <c r="F159" s="36" t="s">
        <v>207</v>
      </c>
      <c r="G159" s="37">
        <v>87371000</v>
      </c>
      <c r="H159" s="37">
        <v>9361179</v>
      </c>
      <c r="I159" s="38">
        <f t="shared" si="47"/>
        <v>0.10714286204804797</v>
      </c>
      <c r="J159" s="38">
        <f t="shared" si="48"/>
        <v>0.12000000615307142</v>
      </c>
      <c r="K159" s="37">
        <v>61880000</v>
      </c>
      <c r="L159" s="37">
        <f t="shared" si="51"/>
        <v>6630000</v>
      </c>
      <c r="M159" s="39">
        <v>0</v>
      </c>
      <c r="N159" s="37">
        <f t="shared" si="41"/>
        <v>6630000</v>
      </c>
      <c r="O159" s="40">
        <f t="shared" si="49"/>
        <v>2652000</v>
      </c>
      <c r="P159" s="41" t="s">
        <v>190</v>
      </c>
      <c r="Q159" s="55">
        <v>2006</v>
      </c>
      <c r="R159" s="42">
        <f t="shared" si="50"/>
        <v>3978000</v>
      </c>
      <c r="S159" s="55">
        <v>2007</v>
      </c>
      <c r="T159" s="55">
        <v>729</v>
      </c>
      <c r="U159" s="55">
        <v>538</v>
      </c>
      <c r="V159" s="34" t="s">
        <v>25</v>
      </c>
      <c r="W159" s="43">
        <v>44636</v>
      </c>
      <c r="X159" s="44"/>
    </row>
    <row r="160" spans="1:24" ht="17.45" customHeight="1" x14ac:dyDescent="0.25">
      <c r="A160" t="str">
        <f t="shared" si="46"/>
        <v>2910906751446364215536</v>
      </c>
      <c r="B160" s="6">
        <f t="shared" si="44"/>
        <v>44813</v>
      </c>
      <c r="C160" s="3">
        <f t="shared" si="45"/>
        <v>8431071</v>
      </c>
      <c r="D160" s="34">
        <v>2021</v>
      </c>
      <c r="E160" s="35">
        <v>2910906751</v>
      </c>
      <c r="F160" s="36" t="s">
        <v>173</v>
      </c>
      <c r="G160" s="37">
        <v>78690000</v>
      </c>
      <c r="H160" s="37">
        <v>8431071</v>
      </c>
      <c r="I160" s="38">
        <f t="shared" si="47"/>
        <v>0.10714285169653069</v>
      </c>
      <c r="J160" s="38">
        <f t="shared" si="48"/>
        <v>0.11999999316812814</v>
      </c>
      <c r="K160" s="37">
        <v>39345000</v>
      </c>
      <c r="L160" s="37">
        <f t="shared" si="51"/>
        <v>4215536</v>
      </c>
      <c r="M160" s="39">
        <v>0</v>
      </c>
      <c r="N160" s="37">
        <f t="shared" ref="N160:N183" si="52">+L160-M160</f>
        <v>4215536</v>
      </c>
      <c r="O160" s="40">
        <f t="shared" si="49"/>
        <v>1686214</v>
      </c>
      <c r="P160" s="41" t="s">
        <v>190</v>
      </c>
      <c r="Q160" s="55">
        <v>2032</v>
      </c>
      <c r="R160" s="42">
        <f t="shared" si="50"/>
        <v>2529322</v>
      </c>
      <c r="S160" s="55">
        <v>2033</v>
      </c>
      <c r="T160" s="55">
        <v>1918</v>
      </c>
      <c r="U160" s="55">
        <v>3143</v>
      </c>
      <c r="V160" s="34" t="s">
        <v>25</v>
      </c>
      <c r="W160" s="43">
        <v>44636</v>
      </c>
      <c r="X160" s="44" t="s">
        <v>208</v>
      </c>
    </row>
    <row r="161" spans="1:24" ht="17.45" customHeight="1" x14ac:dyDescent="0.25">
      <c r="A161" t="str">
        <f t="shared" si="46"/>
        <v>29109067524459218394286</v>
      </c>
      <c r="B161" s="6">
        <f t="shared" si="44"/>
        <v>44797</v>
      </c>
      <c r="C161" s="3">
        <f t="shared" si="45"/>
        <v>91971429</v>
      </c>
      <c r="D161" s="34">
        <v>2021</v>
      </c>
      <c r="E161" s="35">
        <v>2910906752</v>
      </c>
      <c r="F161" s="36" t="s">
        <v>209</v>
      </c>
      <c r="G161" s="37">
        <v>858400000</v>
      </c>
      <c r="H161" s="37">
        <v>91971429</v>
      </c>
      <c r="I161" s="38">
        <f t="shared" si="47"/>
        <v>0.10714285764212489</v>
      </c>
      <c r="J161" s="38">
        <f t="shared" si="48"/>
        <v>0.12000000062628145</v>
      </c>
      <c r="K161" s="37">
        <v>171680000</v>
      </c>
      <c r="L161" s="37">
        <f t="shared" si="51"/>
        <v>18394286</v>
      </c>
      <c r="M161" s="39">
        <v>0</v>
      </c>
      <c r="N161" s="37">
        <f t="shared" si="52"/>
        <v>18394286</v>
      </c>
      <c r="O161" s="40">
        <f>ROUND((+N161*0.4),0)</f>
        <v>7357714</v>
      </c>
      <c r="P161" s="41" t="s">
        <v>190</v>
      </c>
      <c r="Q161" s="55">
        <v>271</v>
      </c>
      <c r="R161" s="42">
        <f t="shared" si="50"/>
        <v>11036572</v>
      </c>
      <c r="S161" s="55">
        <v>272</v>
      </c>
      <c r="T161" s="55">
        <v>393</v>
      </c>
      <c r="U161" s="55">
        <v>93</v>
      </c>
      <c r="V161" s="34" t="s">
        <v>25</v>
      </c>
      <c r="W161" s="43">
        <v>44592</v>
      </c>
      <c r="X161" s="44"/>
    </row>
    <row r="162" spans="1:24" ht="17.45" customHeight="1" x14ac:dyDescent="0.25">
      <c r="A162" t="str">
        <f t="shared" si="46"/>
        <v>2910906754446367786821</v>
      </c>
      <c r="B162" s="6">
        <f t="shared" si="44"/>
        <v>44636</v>
      </c>
      <c r="C162" s="3">
        <f t="shared" si="45"/>
        <v>7786821</v>
      </c>
      <c r="D162" s="34">
        <v>2021</v>
      </c>
      <c r="E162" s="35">
        <v>2910906754</v>
      </c>
      <c r="F162" s="36" t="s">
        <v>210</v>
      </c>
      <c r="G162" s="37">
        <v>72667000</v>
      </c>
      <c r="H162" s="37">
        <v>7786821</v>
      </c>
      <c r="I162" s="38">
        <f t="shared" si="47"/>
        <v>0.1071575956073596</v>
      </c>
      <c r="J162" s="38">
        <f t="shared" si="48"/>
        <v>0.12001848823505866</v>
      </c>
      <c r="K162" s="37">
        <v>72667000</v>
      </c>
      <c r="L162" s="37">
        <f t="shared" si="51"/>
        <v>7786821</v>
      </c>
      <c r="M162" s="39">
        <v>0</v>
      </c>
      <c r="N162" s="37">
        <f t="shared" si="52"/>
        <v>7786821</v>
      </c>
      <c r="O162" s="40">
        <f>ROUND((N162*40%),0)</f>
        <v>3114728</v>
      </c>
      <c r="P162" s="41" t="s">
        <v>190</v>
      </c>
      <c r="Q162" s="55">
        <v>2008</v>
      </c>
      <c r="R162" s="42">
        <f t="shared" si="50"/>
        <v>4672093</v>
      </c>
      <c r="S162" s="55">
        <v>2009</v>
      </c>
      <c r="T162" s="55">
        <v>730</v>
      </c>
      <c r="U162" s="55">
        <v>539</v>
      </c>
      <c r="V162" s="34" t="s">
        <v>25</v>
      </c>
      <c r="W162" s="43">
        <v>44636</v>
      </c>
      <c r="X162" s="44"/>
    </row>
    <row r="163" spans="1:24" ht="17.45" customHeight="1" x14ac:dyDescent="0.25">
      <c r="A163" t="str">
        <f t="shared" si="46"/>
        <v>2910906755446363857147</v>
      </c>
      <c r="B163" s="6">
        <f t="shared" si="44"/>
        <v>45586</v>
      </c>
      <c r="C163" s="3">
        <f t="shared" si="45"/>
        <v>6428571</v>
      </c>
      <c r="D163" s="34">
        <v>2021</v>
      </c>
      <c r="E163" s="35">
        <v>2910906755</v>
      </c>
      <c r="F163" s="36" t="s">
        <v>211</v>
      </c>
      <c r="G163" s="37">
        <v>59999936</v>
      </c>
      <c r="H163" s="37">
        <v>6428571</v>
      </c>
      <c r="I163" s="38">
        <f t="shared" si="47"/>
        <v>0.10714296428582858</v>
      </c>
      <c r="J163" s="38">
        <f t="shared" si="48"/>
        <v>0.12000013440015948</v>
      </c>
      <c r="K163" s="37">
        <v>36000000</v>
      </c>
      <c r="L163" s="37">
        <f t="shared" si="51"/>
        <v>3857147</v>
      </c>
      <c r="M163" s="39">
        <v>0</v>
      </c>
      <c r="N163" s="37">
        <f t="shared" si="52"/>
        <v>3857147</v>
      </c>
      <c r="O163" s="40">
        <f>ROUND((N163*40%),0)</f>
        <v>1542859</v>
      </c>
      <c r="P163" s="41" t="s">
        <v>190</v>
      </c>
      <c r="Q163" s="55">
        <v>2010</v>
      </c>
      <c r="R163" s="42">
        <f t="shared" si="50"/>
        <v>2314288</v>
      </c>
      <c r="S163" s="55">
        <v>2011</v>
      </c>
      <c r="T163" s="55">
        <v>731</v>
      </c>
      <c r="U163" s="55">
        <v>540</v>
      </c>
      <c r="V163" s="34" t="s">
        <v>25</v>
      </c>
      <c r="W163" s="43">
        <v>44636</v>
      </c>
      <c r="X163" s="44"/>
    </row>
    <row r="164" spans="1:24" ht="17.45" customHeight="1" x14ac:dyDescent="0.25">
      <c r="A164" t="str">
        <f t="shared" si="46"/>
        <v>29109067564460172107870</v>
      </c>
      <c r="B164" s="6">
        <f t="shared" si="44"/>
        <v>45828</v>
      </c>
      <c r="C164" s="3">
        <f t="shared" si="45"/>
        <v>200890598.73619679</v>
      </c>
      <c r="D164" s="34">
        <v>2021</v>
      </c>
      <c r="E164" s="35">
        <v>2910906756</v>
      </c>
      <c r="F164" s="36" t="s">
        <v>212</v>
      </c>
      <c r="G164" s="37">
        <v>2243355967</v>
      </c>
      <c r="H164" s="37">
        <v>240359568</v>
      </c>
      <c r="I164" s="38">
        <f t="shared" si="47"/>
        <v>0.10714285719061722</v>
      </c>
      <c r="J164" s="38">
        <f t="shared" si="48"/>
        <v>0.12000000005991024</v>
      </c>
      <c r="K164" s="37">
        <v>673006790</v>
      </c>
      <c r="L164" s="37">
        <f t="shared" si="51"/>
        <v>72107870</v>
      </c>
      <c r="M164" s="39">
        <v>0</v>
      </c>
      <c r="N164" s="37">
        <f t="shared" si="52"/>
        <v>72107870</v>
      </c>
      <c r="O164" s="40">
        <f>ROUND((+N164*0.4),0)</f>
        <v>28843148</v>
      </c>
      <c r="P164" s="41" t="s">
        <v>190</v>
      </c>
      <c r="Q164" s="55">
        <v>469</v>
      </c>
      <c r="R164" s="42">
        <f t="shared" si="50"/>
        <v>43264722</v>
      </c>
      <c r="S164" s="55">
        <v>470</v>
      </c>
      <c r="T164" s="55">
        <v>461</v>
      </c>
      <c r="U164" s="55">
        <v>264</v>
      </c>
      <c r="V164" s="34" t="s">
        <v>25</v>
      </c>
      <c r="W164" s="43">
        <v>44601</v>
      </c>
      <c r="X164" s="44"/>
    </row>
    <row r="165" spans="1:24" ht="17.45" customHeight="1" x14ac:dyDescent="0.25">
      <c r="A165" t="str">
        <f t="shared" si="46"/>
        <v>2910906759446361760000</v>
      </c>
      <c r="B165" s="6">
        <f t="shared" si="44"/>
        <v>45770</v>
      </c>
      <c r="C165" s="3">
        <f t="shared" si="45"/>
        <v>7499999.9999999991</v>
      </c>
      <c r="D165" s="34">
        <v>2021</v>
      </c>
      <c r="E165" s="35">
        <v>2910906759</v>
      </c>
      <c r="F165" s="36" t="s">
        <v>213</v>
      </c>
      <c r="G165" s="37">
        <v>70000000</v>
      </c>
      <c r="H165" s="37">
        <v>7500000</v>
      </c>
      <c r="I165" s="38">
        <f t="shared" si="47"/>
        <v>0.10714285714285714</v>
      </c>
      <c r="J165" s="38">
        <f t="shared" si="48"/>
        <v>0.12</v>
      </c>
      <c r="K165" s="37">
        <v>30380000</v>
      </c>
      <c r="L165" s="37">
        <v>1760000</v>
      </c>
      <c r="M165" s="39">
        <v>0</v>
      </c>
      <c r="N165" s="37">
        <f t="shared" si="52"/>
        <v>1760000</v>
      </c>
      <c r="O165" s="40">
        <f t="shared" ref="O165:O177" si="53">ROUND((N165*40%),0)</f>
        <v>704000</v>
      </c>
      <c r="P165" s="41" t="s">
        <v>190</v>
      </c>
      <c r="Q165" s="55">
        <v>2012</v>
      </c>
      <c r="R165" s="42">
        <f t="shared" si="50"/>
        <v>1056000</v>
      </c>
      <c r="S165" s="55">
        <v>2013</v>
      </c>
      <c r="T165" s="55">
        <v>732</v>
      </c>
      <c r="U165" s="55">
        <v>541</v>
      </c>
      <c r="V165" s="34" t="s">
        <v>25</v>
      </c>
      <c r="W165" s="43">
        <v>44636</v>
      </c>
      <c r="X165" s="44" t="s">
        <v>205</v>
      </c>
    </row>
    <row r="166" spans="1:24" ht="17.45" customHeight="1" x14ac:dyDescent="0.25">
      <c r="A166" t="str">
        <f t="shared" si="46"/>
        <v>2910906760446179119915</v>
      </c>
      <c r="B166" s="6">
        <f t="shared" si="44"/>
        <v>44971</v>
      </c>
      <c r="C166" s="3">
        <f t="shared" si="45"/>
        <v>10178486</v>
      </c>
      <c r="D166" s="34">
        <v>2021</v>
      </c>
      <c r="E166" s="35">
        <v>2910906760</v>
      </c>
      <c r="F166" s="36" t="s">
        <v>214</v>
      </c>
      <c r="G166" s="37">
        <v>94999200</v>
      </c>
      <c r="H166" s="37">
        <v>10178486</v>
      </c>
      <c r="I166" s="38">
        <f t="shared" si="47"/>
        <v>0.10714286015040127</v>
      </c>
      <c r="J166" s="38">
        <f t="shared" si="48"/>
        <v>0.12000000377266336</v>
      </c>
      <c r="K166" s="37">
        <v>85119200</v>
      </c>
      <c r="L166" s="37">
        <f t="shared" ref="L166:L173" si="54">ROUND((+K166*I166),0)</f>
        <v>9119915</v>
      </c>
      <c r="M166" s="39">
        <v>0</v>
      </c>
      <c r="N166" s="37">
        <f t="shared" si="52"/>
        <v>9119915</v>
      </c>
      <c r="O166" s="40">
        <f t="shared" si="53"/>
        <v>3647966</v>
      </c>
      <c r="P166" s="41" t="s">
        <v>190</v>
      </c>
      <c r="Q166" s="55">
        <v>926</v>
      </c>
      <c r="R166" s="42">
        <f t="shared" si="50"/>
        <v>5471949</v>
      </c>
      <c r="S166" s="55">
        <v>927</v>
      </c>
      <c r="T166" s="55">
        <v>644</v>
      </c>
      <c r="U166" s="55">
        <v>467</v>
      </c>
      <c r="V166" s="34" t="s">
        <v>25</v>
      </c>
      <c r="W166" s="43">
        <v>44617</v>
      </c>
      <c r="X166" s="44"/>
    </row>
    <row r="167" spans="1:24" ht="17.45" customHeight="1" x14ac:dyDescent="0.25">
      <c r="A167" t="str">
        <f t="shared" si="46"/>
        <v>2910906761446062250000</v>
      </c>
      <c r="B167" s="6">
        <f t="shared" si="44"/>
        <v>44606</v>
      </c>
      <c r="C167" s="3">
        <f t="shared" si="45"/>
        <v>2250000</v>
      </c>
      <c r="D167" s="34">
        <v>2021</v>
      </c>
      <c r="E167" s="35">
        <v>2910906761</v>
      </c>
      <c r="F167" s="36" t="s">
        <v>215</v>
      </c>
      <c r="G167" s="37">
        <v>21000000</v>
      </c>
      <c r="H167" s="37">
        <v>2250000</v>
      </c>
      <c r="I167" s="38">
        <f t="shared" ref="I167:I198" si="55">+H167/G167</f>
        <v>0.10714285714285714</v>
      </c>
      <c r="J167" s="38">
        <f t="shared" ref="J167:J198" si="56">IFERROR((+H167/(G167-H167)),0)</f>
        <v>0.12</v>
      </c>
      <c r="K167" s="37">
        <v>21000000</v>
      </c>
      <c r="L167" s="37">
        <f t="shared" si="54"/>
        <v>2250000</v>
      </c>
      <c r="M167" s="39">
        <v>0</v>
      </c>
      <c r="N167" s="37">
        <f t="shared" si="52"/>
        <v>2250000</v>
      </c>
      <c r="O167" s="40">
        <f t="shared" si="53"/>
        <v>900000</v>
      </c>
      <c r="P167" s="41" t="s">
        <v>190</v>
      </c>
      <c r="Q167" s="55">
        <v>654</v>
      </c>
      <c r="R167" s="42">
        <f t="shared" si="50"/>
        <v>1350000</v>
      </c>
      <c r="S167" s="55">
        <v>655</v>
      </c>
      <c r="T167" s="55">
        <v>492</v>
      </c>
      <c r="U167" s="55">
        <v>278</v>
      </c>
      <c r="V167" s="34" t="s">
        <v>25</v>
      </c>
      <c r="W167" s="43">
        <v>44606</v>
      </c>
      <c r="X167" s="44"/>
    </row>
    <row r="168" spans="1:24" ht="17.45" customHeight="1" x14ac:dyDescent="0.25">
      <c r="A168" t="str">
        <f t="shared" si="46"/>
        <v>2910906762446362143000</v>
      </c>
      <c r="B168" s="6">
        <f t="shared" si="44"/>
        <v>44636</v>
      </c>
      <c r="C168" s="3">
        <f t="shared" si="45"/>
        <v>2143000</v>
      </c>
      <c r="D168" s="34">
        <v>2021</v>
      </c>
      <c r="E168" s="35">
        <v>2910906762</v>
      </c>
      <c r="F168" s="36" t="s">
        <v>216</v>
      </c>
      <c r="G168" s="37">
        <v>20000000</v>
      </c>
      <c r="H168" s="37">
        <v>2143000</v>
      </c>
      <c r="I168" s="38">
        <f t="shared" si="55"/>
        <v>0.10715</v>
      </c>
      <c r="J168" s="38">
        <f t="shared" si="56"/>
        <v>0.12000896007168058</v>
      </c>
      <c r="K168" s="37">
        <v>20000000</v>
      </c>
      <c r="L168" s="37">
        <f t="shared" si="54"/>
        <v>2143000</v>
      </c>
      <c r="M168" s="39">
        <v>0</v>
      </c>
      <c r="N168" s="37">
        <f t="shared" si="52"/>
        <v>2143000</v>
      </c>
      <c r="O168" s="40">
        <f t="shared" si="53"/>
        <v>857200</v>
      </c>
      <c r="P168" s="41" t="s">
        <v>190</v>
      </c>
      <c r="Q168" s="55">
        <v>2014</v>
      </c>
      <c r="R168" s="42">
        <f t="shared" si="50"/>
        <v>1285800</v>
      </c>
      <c r="S168" s="55">
        <v>2015</v>
      </c>
      <c r="T168" s="55">
        <v>735</v>
      </c>
      <c r="U168" s="55">
        <v>543</v>
      </c>
      <c r="V168" s="34" t="s">
        <v>25</v>
      </c>
      <c r="W168" s="43">
        <v>44636</v>
      </c>
      <c r="X168" s="44"/>
    </row>
    <row r="169" spans="1:24" ht="17.45" customHeight="1" x14ac:dyDescent="0.25">
      <c r="A169" t="str">
        <f t="shared" si="46"/>
        <v>29109067634463610714286</v>
      </c>
      <c r="B169" s="6">
        <f t="shared" si="44"/>
        <v>44636</v>
      </c>
      <c r="C169" s="3">
        <f t="shared" si="45"/>
        <v>10714286</v>
      </c>
      <c r="D169" s="34">
        <v>2021</v>
      </c>
      <c r="E169" s="35">
        <v>2910906763</v>
      </c>
      <c r="F169" s="36" t="s">
        <v>217</v>
      </c>
      <c r="G169" s="37">
        <v>100000000</v>
      </c>
      <c r="H169" s="37">
        <v>10714286</v>
      </c>
      <c r="I169" s="38">
        <f t="shared" si="55"/>
        <v>0.10714286000000001</v>
      </c>
      <c r="J169" s="38">
        <f t="shared" si="56"/>
        <v>0.12000000358400001</v>
      </c>
      <c r="K169" s="37">
        <v>100000000</v>
      </c>
      <c r="L169" s="37">
        <f t="shared" si="54"/>
        <v>10714286</v>
      </c>
      <c r="M169" s="39">
        <v>0</v>
      </c>
      <c r="N169" s="37">
        <f t="shared" si="52"/>
        <v>10714286</v>
      </c>
      <c r="O169" s="40">
        <f t="shared" si="53"/>
        <v>4285714</v>
      </c>
      <c r="P169" s="41" t="s">
        <v>190</v>
      </c>
      <c r="Q169" s="55">
        <v>2261</v>
      </c>
      <c r="R169" s="42">
        <f t="shared" si="50"/>
        <v>6428572</v>
      </c>
      <c r="S169" s="55">
        <v>2262</v>
      </c>
      <c r="T169" s="55">
        <v>734</v>
      </c>
      <c r="U169" s="55">
        <v>542</v>
      </c>
      <c r="V169" s="34" t="s">
        <v>25</v>
      </c>
      <c r="W169" s="43">
        <v>44636</v>
      </c>
      <c r="X169" s="44"/>
    </row>
    <row r="170" spans="1:24" ht="17.45" customHeight="1" x14ac:dyDescent="0.25">
      <c r="A170" t="str">
        <f t="shared" si="46"/>
        <v>2910906764446362451429</v>
      </c>
      <c r="B170" s="6">
        <f t="shared" si="44"/>
        <v>45586</v>
      </c>
      <c r="C170" s="3">
        <f t="shared" si="45"/>
        <v>12214286</v>
      </c>
      <c r="D170" s="34">
        <v>2021</v>
      </c>
      <c r="E170" s="35">
        <v>2910906764</v>
      </c>
      <c r="F170" s="36" t="s">
        <v>218</v>
      </c>
      <c r="G170" s="37">
        <v>114000000</v>
      </c>
      <c r="H170" s="37">
        <v>12214286</v>
      </c>
      <c r="I170" s="38">
        <f t="shared" si="55"/>
        <v>0.1071428596491228</v>
      </c>
      <c r="J170" s="38">
        <f t="shared" si="56"/>
        <v>0.12000000314385965</v>
      </c>
      <c r="K170" s="37">
        <v>22880000</v>
      </c>
      <c r="L170" s="37">
        <f t="shared" si="54"/>
        <v>2451429</v>
      </c>
      <c r="M170" s="39">
        <v>0</v>
      </c>
      <c r="N170" s="37">
        <f t="shared" si="52"/>
        <v>2451429</v>
      </c>
      <c r="O170" s="40">
        <f t="shared" si="53"/>
        <v>980572</v>
      </c>
      <c r="P170" s="41" t="s">
        <v>190</v>
      </c>
      <c r="Q170" s="55">
        <v>2034</v>
      </c>
      <c r="R170" s="42">
        <f t="shared" si="50"/>
        <v>1470857</v>
      </c>
      <c r="S170" s="55">
        <v>2035</v>
      </c>
      <c r="T170" s="55">
        <v>805</v>
      </c>
      <c r="U170" s="55">
        <v>555</v>
      </c>
      <c r="V170" s="34" t="s">
        <v>25</v>
      </c>
      <c r="W170" s="43">
        <v>44636</v>
      </c>
      <c r="X170" s="44"/>
    </row>
    <row r="171" spans="1:24" ht="17.45" customHeight="1" x14ac:dyDescent="0.25">
      <c r="A171" t="str">
        <f t="shared" si="46"/>
        <v>2910906765446368726786</v>
      </c>
      <c r="B171" s="6">
        <f t="shared" si="44"/>
        <v>44636</v>
      </c>
      <c r="C171" s="3">
        <f t="shared" si="45"/>
        <v>8726786</v>
      </c>
      <c r="D171" s="34">
        <v>2021</v>
      </c>
      <c r="E171" s="35">
        <v>2910906765</v>
      </c>
      <c r="F171" s="36" t="s">
        <v>219</v>
      </c>
      <c r="G171" s="37">
        <v>81450000</v>
      </c>
      <c r="H171" s="37">
        <v>8726786</v>
      </c>
      <c r="I171" s="38">
        <f t="shared" si="55"/>
        <v>0.10714286065070595</v>
      </c>
      <c r="J171" s="38">
        <f t="shared" si="56"/>
        <v>0.12000000440024557</v>
      </c>
      <c r="K171" s="37">
        <v>81450000</v>
      </c>
      <c r="L171" s="37">
        <f t="shared" si="54"/>
        <v>8726786</v>
      </c>
      <c r="M171" s="39">
        <v>0</v>
      </c>
      <c r="N171" s="37">
        <f t="shared" si="52"/>
        <v>8726786</v>
      </c>
      <c r="O171" s="40">
        <f t="shared" si="53"/>
        <v>3490714</v>
      </c>
      <c r="P171" s="41" t="s">
        <v>190</v>
      </c>
      <c r="Q171" s="55">
        <v>2036</v>
      </c>
      <c r="R171" s="42">
        <f t="shared" si="50"/>
        <v>5236072</v>
      </c>
      <c r="S171" s="55">
        <v>2037</v>
      </c>
      <c r="T171" s="55">
        <v>811</v>
      </c>
      <c r="U171" s="55">
        <v>556</v>
      </c>
      <c r="V171" s="34" t="s">
        <v>25</v>
      </c>
      <c r="W171" s="43">
        <v>44636</v>
      </c>
      <c r="X171" s="44"/>
    </row>
    <row r="172" spans="1:24" ht="17.45" customHeight="1" x14ac:dyDescent="0.25">
      <c r="A172" t="str">
        <f t="shared" si="46"/>
        <v>2910906766446284242857</v>
      </c>
      <c r="B172" s="6">
        <f t="shared" si="44"/>
        <v>44628</v>
      </c>
      <c r="C172" s="3">
        <f t="shared" si="45"/>
        <v>4242857</v>
      </c>
      <c r="D172" s="34">
        <v>2021</v>
      </c>
      <c r="E172" s="35">
        <v>2910906766</v>
      </c>
      <c r="F172" s="36" t="s">
        <v>220</v>
      </c>
      <c r="G172" s="37">
        <v>39600000</v>
      </c>
      <c r="H172" s="37">
        <v>4242857</v>
      </c>
      <c r="I172" s="38">
        <f t="shared" si="55"/>
        <v>0.10714285353535354</v>
      </c>
      <c r="J172" s="38">
        <f t="shared" si="56"/>
        <v>0.11999999547474749</v>
      </c>
      <c r="K172" s="37">
        <v>39600000</v>
      </c>
      <c r="L172" s="37">
        <f t="shared" si="54"/>
        <v>4242857</v>
      </c>
      <c r="M172" s="39">
        <v>0</v>
      </c>
      <c r="N172" s="37">
        <f t="shared" si="52"/>
        <v>4242857</v>
      </c>
      <c r="O172" s="40">
        <f t="shared" si="53"/>
        <v>1697143</v>
      </c>
      <c r="P172" s="41" t="s">
        <v>190</v>
      </c>
      <c r="Q172" s="55">
        <v>1359</v>
      </c>
      <c r="R172" s="42">
        <f t="shared" si="50"/>
        <v>2545714</v>
      </c>
      <c r="S172" s="55">
        <v>1360</v>
      </c>
      <c r="T172" s="55">
        <v>697</v>
      </c>
      <c r="U172" s="55">
        <v>499</v>
      </c>
      <c r="V172" s="34" t="s">
        <v>25</v>
      </c>
      <c r="W172" s="43">
        <v>44628</v>
      </c>
      <c r="X172" s="44"/>
    </row>
    <row r="173" spans="1:24" ht="17.45" customHeight="1" x14ac:dyDescent="0.25">
      <c r="A173" t="str">
        <f t="shared" si="46"/>
        <v>2910906768446286274929</v>
      </c>
      <c r="B173" s="6">
        <f t="shared" si="44"/>
        <v>45316</v>
      </c>
      <c r="C173" s="3">
        <f t="shared" si="45"/>
        <v>20916536</v>
      </c>
      <c r="D173" s="34">
        <v>2021</v>
      </c>
      <c r="E173" s="35">
        <v>2910906768</v>
      </c>
      <c r="F173" s="36" t="s">
        <v>221</v>
      </c>
      <c r="G173" s="37">
        <v>205490000</v>
      </c>
      <c r="H173" s="37">
        <v>22016786</v>
      </c>
      <c r="I173" s="38">
        <f t="shared" si="55"/>
        <v>0.10714285853326196</v>
      </c>
      <c r="J173" s="38">
        <f t="shared" si="56"/>
        <v>0.1200000017441238</v>
      </c>
      <c r="K173" s="37">
        <v>58566000</v>
      </c>
      <c r="L173" s="37">
        <f t="shared" si="54"/>
        <v>6274929</v>
      </c>
      <c r="M173" s="39">
        <v>0</v>
      </c>
      <c r="N173" s="37">
        <f t="shared" si="52"/>
        <v>6274929</v>
      </c>
      <c r="O173" s="40">
        <f t="shared" si="53"/>
        <v>2509972</v>
      </c>
      <c r="P173" s="41" t="s">
        <v>190</v>
      </c>
      <c r="Q173" s="55">
        <v>1422</v>
      </c>
      <c r="R173" s="42">
        <f t="shared" si="50"/>
        <v>3764957</v>
      </c>
      <c r="S173" s="55">
        <v>1423</v>
      </c>
      <c r="T173" s="55">
        <v>705</v>
      </c>
      <c r="U173" s="55">
        <v>500</v>
      </c>
      <c r="V173" s="34" t="s">
        <v>25</v>
      </c>
      <c r="W173" s="43">
        <v>44628</v>
      </c>
      <c r="X173" s="44"/>
    </row>
    <row r="174" spans="1:24" ht="17.45" customHeight="1" x14ac:dyDescent="0.25">
      <c r="A174" t="str">
        <f t="shared" si="46"/>
        <v>2910906769446363770670</v>
      </c>
      <c r="B174" s="6">
        <f t="shared" si="44"/>
        <v>45614</v>
      </c>
      <c r="C174" s="3">
        <f t="shared" si="45"/>
        <v>51641589.036495693</v>
      </c>
      <c r="D174" s="34">
        <v>2021</v>
      </c>
      <c r="E174" s="35">
        <v>2910906769</v>
      </c>
      <c r="F174" s="36" t="s">
        <v>222</v>
      </c>
      <c r="G174" s="37">
        <v>483310000</v>
      </c>
      <c r="H174" s="37">
        <v>51783214</v>
      </c>
      <c r="I174" s="38">
        <f t="shared" si="55"/>
        <v>0.1071428565516956</v>
      </c>
      <c r="J174" s="38">
        <f t="shared" si="56"/>
        <v>0.11999999925844695</v>
      </c>
      <c r="K174" s="37">
        <v>87520000</v>
      </c>
      <c r="L174" s="37">
        <v>3770670</v>
      </c>
      <c r="M174" s="39">
        <v>0</v>
      </c>
      <c r="N174" s="37">
        <f t="shared" si="52"/>
        <v>3770670</v>
      </c>
      <c r="O174" s="40">
        <f t="shared" si="53"/>
        <v>1508268</v>
      </c>
      <c r="P174" s="41" t="s">
        <v>190</v>
      </c>
      <c r="Q174" s="55">
        <v>2038</v>
      </c>
      <c r="R174" s="42">
        <f t="shared" si="50"/>
        <v>2262402</v>
      </c>
      <c r="S174" s="55">
        <v>2039</v>
      </c>
      <c r="T174" s="55">
        <v>813</v>
      </c>
      <c r="U174" s="55">
        <v>557</v>
      </c>
      <c r="V174" s="34" t="s">
        <v>25</v>
      </c>
      <c r="W174" s="43">
        <v>44636</v>
      </c>
      <c r="X174" s="44" t="s">
        <v>205</v>
      </c>
    </row>
    <row r="175" spans="1:24" ht="17.45" customHeight="1" x14ac:dyDescent="0.25">
      <c r="A175" t="str">
        <f t="shared" si="46"/>
        <v>2910906770446362490611</v>
      </c>
      <c r="B175" s="6">
        <f t="shared" si="44"/>
        <v>45098</v>
      </c>
      <c r="C175" s="3">
        <f t="shared" si="45"/>
        <v>22588645</v>
      </c>
      <c r="D175" s="34">
        <v>2021</v>
      </c>
      <c r="E175" s="35">
        <v>2910906770</v>
      </c>
      <c r="F175" s="36" t="s">
        <v>223</v>
      </c>
      <c r="G175" s="37">
        <v>248617170</v>
      </c>
      <c r="H175" s="37">
        <v>26637554</v>
      </c>
      <c r="I175" s="38">
        <f t="shared" si="55"/>
        <v>0.1071428574301606</v>
      </c>
      <c r="J175" s="38">
        <f t="shared" si="56"/>
        <v>0.12000000036039345</v>
      </c>
      <c r="K175" s="37">
        <v>23245705</v>
      </c>
      <c r="L175" s="37">
        <f>ROUND((+K175*I175),0)</f>
        <v>2490611</v>
      </c>
      <c r="M175" s="39">
        <v>0</v>
      </c>
      <c r="N175" s="37">
        <f t="shared" si="52"/>
        <v>2490611</v>
      </c>
      <c r="O175" s="40">
        <f t="shared" si="53"/>
        <v>996244</v>
      </c>
      <c r="P175" s="41" t="s">
        <v>190</v>
      </c>
      <c r="Q175" s="55">
        <v>2040</v>
      </c>
      <c r="R175" s="42">
        <f t="shared" si="50"/>
        <v>1494367</v>
      </c>
      <c r="S175" s="55">
        <v>2041</v>
      </c>
      <c r="T175" s="55">
        <v>819</v>
      </c>
      <c r="U175" s="55">
        <v>563</v>
      </c>
      <c r="V175" s="34" t="s">
        <v>25</v>
      </c>
      <c r="W175" s="43">
        <v>44636</v>
      </c>
      <c r="X175" s="44"/>
    </row>
    <row r="176" spans="1:24" ht="17.45" customHeight="1" x14ac:dyDescent="0.25">
      <c r="A176" t="str">
        <f t="shared" si="46"/>
        <v>2910906773446362490611</v>
      </c>
      <c r="B176" s="6">
        <f t="shared" si="44"/>
        <v>45043</v>
      </c>
      <c r="C176" s="3">
        <f t="shared" si="45"/>
        <v>15162255</v>
      </c>
      <c r="D176" s="34">
        <v>2021</v>
      </c>
      <c r="E176" s="35">
        <v>2910906773</v>
      </c>
      <c r="F176" s="36" t="s">
        <v>224</v>
      </c>
      <c r="G176" s="37">
        <v>248617174</v>
      </c>
      <c r="H176" s="37">
        <v>26637554</v>
      </c>
      <c r="I176" s="38">
        <f t="shared" si="55"/>
        <v>0.1071428557063399</v>
      </c>
      <c r="J176" s="38">
        <f t="shared" si="56"/>
        <v>0.11999999819803278</v>
      </c>
      <c r="K176" s="37">
        <v>23245705</v>
      </c>
      <c r="L176" s="37">
        <f>ROUND((+K176*I176),0)</f>
        <v>2490611</v>
      </c>
      <c r="M176" s="39">
        <v>0</v>
      </c>
      <c r="N176" s="37">
        <f t="shared" si="52"/>
        <v>2490611</v>
      </c>
      <c r="O176" s="40">
        <f t="shared" si="53"/>
        <v>996244</v>
      </c>
      <c r="P176" s="41" t="s">
        <v>190</v>
      </c>
      <c r="Q176" s="55">
        <v>2042</v>
      </c>
      <c r="R176" s="42">
        <f t="shared" si="50"/>
        <v>1494367</v>
      </c>
      <c r="S176" s="55">
        <v>2043</v>
      </c>
      <c r="T176" s="55">
        <v>817</v>
      </c>
      <c r="U176" s="55">
        <v>558</v>
      </c>
      <c r="V176" s="34" t="s">
        <v>25</v>
      </c>
      <c r="W176" s="43">
        <v>44636</v>
      </c>
      <c r="X176" s="44"/>
    </row>
    <row r="177" spans="1:24" ht="17.45" customHeight="1" x14ac:dyDescent="0.25">
      <c r="A177" t="str">
        <f t="shared" si="46"/>
        <v>29109067764463614490000</v>
      </c>
      <c r="B177" s="6">
        <f t="shared" si="44"/>
        <v>44636</v>
      </c>
      <c r="C177" s="3">
        <f t="shared" si="45"/>
        <v>14490000</v>
      </c>
      <c r="D177" s="34">
        <v>2021</v>
      </c>
      <c r="E177" s="35">
        <v>2910906776</v>
      </c>
      <c r="F177" s="36" t="s">
        <v>225</v>
      </c>
      <c r="G177" s="37">
        <v>150000000</v>
      </c>
      <c r="H177" s="37">
        <v>16100000</v>
      </c>
      <c r="I177" s="38">
        <f t="shared" si="55"/>
        <v>0.10733333333333334</v>
      </c>
      <c r="J177" s="38">
        <f t="shared" si="56"/>
        <v>0.12023898431665422</v>
      </c>
      <c r="K177" s="37">
        <v>135000000</v>
      </c>
      <c r="L177" s="37">
        <f>ROUND((+K177*I177),0)</f>
        <v>14490000</v>
      </c>
      <c r="M177" s="39">
        <v>0</v>
      </c>
      <c r="N177" s="37">
        <f t="shared" si="52"/>
        <v>14490000</v>
      </c>
      <c r="O177" s="40">
        <f t="shared" si="53"/>
        <v>5796000</v>
      </c>
      <c r="P177" s="41" t="s">
        <v>190</v>
      </c>
      <c r="Q177" s="55">
        <v>2028</v>
      </c>
      <c r="R177" s="42">
        <f t="shared" si="50"/>
        <v>8694000</v>
      </c>
      <c r="S177" s="55">
        <v>2029</v>
      </c>
      <c r="T177" s="55"/>
      <c r="U177" s="55">
        <v>559</v>
      </c>
      <c r="V177" s="34" t="s">
        <v>25</v>
      </c>
      <c r="W177" s="43">
        <v>44636</v>
      </c>
      <c r="X177" s="44"/>
    </row>
    <row r="178" spans="1:24" ht="17.45" customHeight="1" x14ac:dyDescent="0.25">
      <c r="A178" t="str">
        <f t="shared" si="46"/>
        <v>29109080014460345553609</v>
      </c>
      <c r="B178" s="6">
        <f t="shared" si="44"/>
        <v>44603</v>
      </c>
      <c r="C178" s="3">
        <f t="shared" si="45"/>
        <v>45553609</v>
      </c>
      <c r="D178" s="34">
        <v>2020</v>
      </c>
      <c r="E178" s="35">
        <v>2910908001</v>
      </c>
      <c r="F178" s="36" t="s">
        <v>97</v>
      </c>
      <c r="G178" s="37">
        <v>379613412</v>
      </c>
      <c r="H178" s="37">
        <v>45553609</v>
      </c>
      <c r="I178" s="38">
        <f t="shared" si="55"/>
        <v>0.11999999884092609</v>
      </c>
      <c r="J178" s="38">
        <f t="shared" si="56"/>
        <v>0.13636363486689837</v>
      </c>
      <c r="K178" s="37">
        <v>379613412</v>
      </c>
      <c r="L178" s="37">
        <f>+K178*I178</f>
        <v>45553609</v>
      </c>
      <c r="M178" s="39">
        <f>36823644+1</f>
        <v>36823645</v>
      </c>
      <c r="N178" s="37">
        <f t="shared" si="52"/>
        <v>8729964</v>
      </c>
      <c r="O178" s="40">
        <f>+N178</f>
        <v>8729964</v>
      </c>
      <c r="P178" s="41" t="s">
        <v>190</v>
      </c>
      <c r="Q178" s="55">
        <v>576</v>
      </c>
      <c r="R178" s="42">
        <f t="shared" si="50"/>
        <v>0</v>
      </c>
      <c r="S178" s="55">
        <v>0</v>
      </c>
      <c r="T178" s="55">
        <v>469</v>
      </c>
      <c r="U178" s="55">
        <v>275</v>
      </c>
      <c r="V178" s="34" t="s">
        <v>25</v>
      </c>
      <c r="W178" s="43">
        <v>44603</v>
      </c>
      <c r="X178" s="44"/>
    </row>
    <row r="179" spans="1:24" ht="17.45" customHeight="1" x14ac:dyDescent="0.25">
      <c r="A179" t="str">
        <f t="shared" si="46"/>
        <v>2910908040446009932143</v>
      </c>
      <c r="B179" s="6">
        <f t="shared" si="44"/>
        <v>44600</v>
      </c>
      <c r="C179" s="3">
        <f t="shared" si="45"/>
        <v>9932143</v>
      </c>
      <c r="D179" s="34">
        <v>2021</v>
      </c>
      <c r="E179" s="35">
        <v>2910908040</v>
      </c>
      <c r="F179" s="36" t="s">
        <v>226</v>
      </c>
      <c r="G179" s="37">
        <v>92700000</v>
      </c>
      <c r="H179" s="37">
        <v>9932143</v>
      </c>
      <c r="I179" s="38">
        <f t="shared" si="55"/>
        <v>0.10714285868392665</v>
      </c>
      <c r="J179" s="38">
        <f t="shared" si="56"/>
        <v>0.12000000193311759</v>
      </c>
      <c r="K179" s="37">
        <v>92700000</v>
      </c>
      <c r="L179" s="37">
        <f>ROUND((+K179*I179),0)</f>
        <v>9932143</v>
      </c>
      <c r="M179" s="39">
        <v>0</v>
      </c>
      <c r="N179" s="37">
        <f t="shared" si="52"/>
        <v>9932143</v>
      </c>
      <c r="O179" s="40">
        <f>ROUND((+N179*1),0)</f>
        <v>9932143</v>
      </c>
      <c r="P179" s="41" t="s">
        <v>190</v>
      </c>
      <c r="Q179" s="55">
        <v>406</v>
      </c>
      <c r="R179" s="42">
        <v>0</v>
      </c>
      <c r="S179" s="55">
        <v>0</v>
      </c>
      <c r="T179" s="55">
        <v>443</v>
      </c>
      <c r="U179" s="55">
        <v>238</v>
      </c>
      <c r="V179" s="34" t="s">
        <v>25</v>
      </c>
      <c r="W179" s="43">
        <v>44600</v>
      </c>
      <c r="X179" s="44"/>
    </row>
    <row r="180" spans="1:24" ht="17.45" customHeight="1" x14ac:dyDescent="0.25">
      <c r="A180" t="str">
        <f t="shared" si="46"/>
        <v>291090671044656134694000</v>
      </c>
      <c r="B180" s="6">
        <f t="shared" si="44"/>
        <v>44656</v>
      </c>
      <c r="C180" s="3">
        <f t="shared" si="45"/>
        <v>134694000</v>
      </c>
      <c r="D180" s="34">
        <v>2020</v>
      </c>
      <c r="E180" s="35">
        <v>2910906710</v>
      </c>
      <c r="F180" s="36" t="s">
        <v>75</v>
      </c>
      <c r="G180" s="37">
        <v>1257144000</v>
      </c>
      <c r="H180" s="37">
        <v>134694000</v>
      </c>
      <c r="I180" s="38">
        <f t="shared" si="55"/>
        <v>0.10714285714285714</v>
      </c>
      <c r="J180" s="38">
        <f t="shared" si="56"/>
        <v>0.12</v>
      </c>
      <c r="K180" s="37">
        <v>1257144000</v>
      </c>
      <c r="L180" s="37">
        <f>ROUND((+K180*I180),0)</f>
        <v>134694000</v>
      </c>
      <c r="M180" s="39">
        <f>+M121+N121</f>
        <v>125694000</v>
      </c>
      <c r="N180" s="37">
        <f t="shared" si="52"/>
        <v>9000000</v>
      </c>
      <c r="O180" s="40">
        <f t="shared" ref="O180:O211" si="57">ROUND((N180*40%),0)</f>
        <v>3600000</v>
      </c>
      <c r="P180" s="41" t="s">
        <v>227</v>
      </c>
      <c r="Q180" s="55">
        <v>2437</v>
      </c>
      <c r="R180" s="42">
        <f t="shared" ref="R180:R211" si="58">+N180-O180</f>
        <v>5400000</v>
      </c>
      <c r="S180" s="55">
        <v>2438</v>
      </c>
      <c r="T180" s="55">
        <v>601</v>
      </c>
      <c r="U180" s="55">
        <v>969</v>
      </c>
      <c r="V180" s="34" t="s">
        <v>25</v>
      </c>
      <c r="W180" s="43">
        <v>44656</v>
      </c>
      <c r="X180" s="44" t="s">
        <v>228</v>
      </c>
    </row>
    <row r="181" spans="1:24" ht="17.45" customHeight="1" x14ac:dyDescent="0.25">
      <c r="A181" t="str">
        <f t="shared" si="46"/>
        <v>291090640144671589657037</v>
      </c>
      <c r="B181" s="6">
        <f t="shared" si="44"/>
        <v>45957</v>
      </c>
      <c r="C181" s="3">
        <f t="shared" si="45"/>
        <v>678878080.30633903</v>
      </c>
      <c r="D181" s="34">
        <v>2022</v>
      </c>
      <c r="E181" s="35">
        <v>2910906401</v>
      </c>
      <c r="F181" s="36" t="s">
        <v>22</v>
      </c>
      <c r="G181" s="37">
        <v>4913808638</v>
      </c>
      <c r="H181" s="37">
        <v>589657037</v>
      </c>
      <c r="I181" s="38">
        <f t="shared" si="55"/>
        <v>0.12000000008954358</v>
      </c>
      <c r="J181" s="38">
        <f t="shared" si="56"/>
        <v>0.13636363647926597</v>
      </c>
      <c r="K181" s="37">
        <v>4913808638</v>
      </c>
      <c r="L181" s="37">
        <f>ROUND((+K181*I181),0)</f>
        <v>589657037</v>
      </c>
      <c r="M181" s="39">
        <f>+N57+N76+N127</f>
        <v>491170022</v>
      </c>
      <c r="N181" s="37">
        <f t="shared" si="52"/>
        <v>98487015</v>
      </c>
      <c r="O181" s="40">
        <f t="shared" si="57"/>
        <v>39394806</v>
      </c>
      <c r="P181" s="41" t="s">
        <v>227</v>
      </c>
      <c r="Q181" s="55">
        <v>2573</v>
      </c>
      <c r="R181" s="42">
        <f t="shared" si="58"/>
        <v>59092209</v>
      </c>
      <c r="S181" s="55">
        <v>2574</v>
      </c>
      <c r="T181" s="55">
        <v>437</v>
      </c>
      <c r="U181" s="55">
        <v>144</v>
      </c>
      <c r="V181" s="34" t="s">
        <v>25</v>
      </c>
      <c r="W181" s="43">
        <v>44671</v>
      </c>
      <c r="X181" s="44" t="s">
        <v>229</v>
      </c>
    </row>
    <row r="182" spans="1:24" ht="17.45" customHeight="1" x14ac:dyDescent="0.25">
      <c r="A182" t="str">
        <f t="shared" si="46"/>
        <v>291090640144673159075165</v>
      </c>
      <c r="B182" s="6">
        <f t="shared" si="44"/>
        <v>45957</v>
      </c>
      <c r="C182" s="3">
        <f t="shared" si="45"/>
        <v>678878080.30633903</v>
      </c>
      <c r="D182" s="34">
        <v>2022</v>
      </c>
      <c r="E182" s="35">
        <v>2910906401</v>
      </c>
      <c r="F182" s="36" t="s">
        <v>22</v>
      </c>
      <c r="G182" s="37">
        <v>1325626373</v>
      </c>
      <c r="H182" s="37">
        <v>159075165</v>
      </c>
      <c r="I182" s="38">
        <f t="shared" si="55"/>
        <v>0.12000000018104649</v>
      </c>
      <c r="J182" s="38">
        <f t="shared" si="56"/>
        <v>0.13636363659742573</v>
      </c>
      <c r="K182" s="37">
        <v>1325626373</v>
      </c>
      <c r="L182" s="37">
        <f>ROUND((+K182*I182),0)</f>
        <v>159075165</v>
      </c>
      <c r="M182" s="39">
        <v>0</v>
      </c>
      <c r="N182" s="37">
        <f t="shared" si="52"/>
        <v>159075165</v>
      </c>
      <c r="O182" s="40">
        <f t="shared" si="57"/>
        <v>63630066</v>
      </c>
      <c r="P182" s="41" t="s">
        <v>227</v>
      </c>
      <c r="Q182" s="55"/>
      <c r="R182" s="42">
        <f t="shared" si="58"/>
        <v>95445099</v>
      </c>
      <c r="S182" s="55"/>
      <c r="T182" s="55"/>
      <c r="U182" s="55"/>
      <c r="V182" s="34" t="s">
        <v>25</v>
      </c>
      <c r="W182" s="43">
        <v>44673</v>
      </c>
      <c r="X182" s="44"/>
    </row>
    <row r="183" spans="1:24" ht="17.45" customHeight="1" x14ac:dyDescent="0.25">
      <c r="A183" t="str">
        <f t="shared" si="46"/>
        <v>29109067774473631381965</v>
      </c>
      <c r="B183" s="6">
        <f t="shared" si="44"/>
        <v>45316</v>
      </c>
      <c r="C183" s="3">
        <f t="shared" si="45"/>
        <v>121501239</v>
      </c>
      <c r="D183" s="34">
        <v>2021</v>
      </c>
      <c r="E183" s="35">
        <v>2910906777</v>
      </c>
      <c r="F183" s="36" t="s">
        <v>230</v>
      </c>
      <c r="G183" s="37">
        <v>1162897960</v>
      </c>
      <c r="H183" s="37">
        <v>124596210</v>
      </c>
      <c r="I183" s="38">
        <f t="shared" si="55"/>
        <v>0.10714285714285714</v>
      </c>
      <c r="J183" s="38">
        <f t="shared" si="56"/>
        <v>0.12</v>
      </c>
      <c r="K183" s="37">
        <v>292898340</v>
      </c>
      <c r="L183" s="37">
        <f>ROUND((+K183*I183),0)</f>
        <v>31381965</v>
      </c>
      <c r="M183" s="39">
        <v>0</v>
      </c>
      <c r="N183" s="37">
        <f t="shared" si="52"/>
        <v>31381965</v>
      </c>
      <c r="O183" s="40">
        <f t="shared" si="57"/>
        <v>12552786</v>
      </c>
      <c r="P183" s="41" t="s">
        <v>227</v>
      </c>
      <c r="Q183" s="55">
        <v>5459</v>
      </c>
      <c r="R183" s="42">
        <f t="shared" si="58"/>
        <v>18829179</v>
      </c>
      <c r="S183" s="55">
        <v>5960</v>
      </c>
      <c r="T183" s="55">
        <v>1181</v>
      </c>
      <c r="U183" s="55">
        <v>2769</v>
      </c>
      <c r="V183" s="34" t="s">
        <v>25</v>
      </c>
      <c r="W183" s="43">
        <v>44736</v>
      </c>
      <c r="X183" s="44"/>
    </row>
    <row r="184" spans="1:24" ht="17.45" customHeight="1" x14ac:dyDescent="0.25">
      <c r="A184" t="str">
        <f t="shared" si="46"/>
        <v>24530183154470699393888</v>
      </c>
      <c r="B184" s="6">
        <f t="shared" si="44"/>
        <v>44706</v>
      </c>
      <c r="C184" s="3">
        <f t="shared" si="45"/>
        <v>128765256</v>
      </c>
      <c r="D184" s="34">
        <v>2021</v>
      </c>
      <c r="E184" s="35">
        <v>2453018315</v>
      </c>
      <c r="F184" s="36" t="s">
        <v>154</v>
      </c>
      <c r="G184" s="37">
        <v>1518787008</v>
      </c>
      <c r="H184" s="37">
        <v>171687008</v>
      </c>
      <c r="I184" s="38">
        <f t="shared" si="55"/>
        <v>0.11304218899402121</v>
      </c>
      <c r="J184" s="38">
        <f t="shared" si="56"/>
        <v>0.12744934154851162</v>
      </c>
      <c r="K184" s="37">
        <f>+K140+259887205</f>
        <v>953409019</v>
      </c>
      <c r="L184" s="37">
        <f>ROUND((+K184*I184),0)-8381555</f>
        <v>99393888</v>
      </c>
      <c r="M184" s="39"/>
      <c r="N184" s="37">
        <v>20996663</v>
      </c>
      <c r="O184" s="40">
        <f t="shared" si="57"/>
        <v>8398665</v>
      </c>
      <c r="P184" s="41" t="s">
        <v>227</v>
      </c>
      <c r="Q184" s="55">
        <v>4370</v>
      </c>
      <c r="R184" s="42">
        <f t="shared" si="58"/>
        <v>12597998</v>
      </c>
      <c r="S184" s="55">
        <v>4371</v>
      </c>
      <c r="T184" s="55">
        <v>1089</v>
      </c>
      <c r="U184" s="55">
        <v>2237</v>
      </c>
      <c r="V184" s="34" t="s">
        <v>25</v>
      </c>
      <c r="W184" s="43">
        <v>44706</v>
      </c>
      <c r="X184" s="44"/>
    </row>
    <row r="185" spans="1:24" ht="17.45" customHeight="1" x14ac:dyDescent="0.25">
      <c r="A185" t="str">
        <f t="shared" si="46"/>
        <v>2453018322447228571428</v>
      </c>
      <c r="B185" s="6">
        <f t="shared" si="44"/>
        <v>44722</v>
      </c>
      <c r="C185" s="3">
        <f t="shared" si="45"/>
        <v>8571428</v>
      </c>
      <c r="D185" s="34">
        <v>2021</v>
      </c>
      <c r="E185" s="35">
        <v>2453018322</v>
      </c>
      <c r="F185" s="36" t="s">
        <v>193</v>
      </c>
      <c r="G185" s="37">
        <v>80000000</v>
      </c>
      <c r="H185" s="37">
        <v>8571428</v>
      </c>
      <c r="I185" s="38">
        <f t="shared" si="55"/>
        <v>0.10714285</v>
      </c>
      <c r="J185" s="38">
        <f t="shared" si="56"/>
        <v>0.11999999104000007</v>
      </c>
      <c r="K185" s="37">
        <v>80000000</v>
      </c>
      <c r="L185" s="37">
        <f t="shared" ref="L185:L193" si="59">ROUND((+K185*I185),0)</f>
        <v>8571428</v>
      </c>
      <c r="M185" s="39">
        <v>5142857</v>
      </c>
      <c r="N185" s="37">
        <f t="shared" ref="N185:N229" si="60">+L185-M185</f>
        <v>3428571</v>
      </c>
      <c r="O185" s="40">
        <f t="shared" si="57"/>
        <v>1371428</v>
      </c>
      <c r="P185" s="41" t="s">
        <v>227</v>
      </c>
      <c r="Q185" s="55">
        <v>5342</v>
      </c>
      <c r="R185" s="42">
        <f t="shared" si="58"/>
        <v>2057143</v>
      </c>
      <c r="S185" s="55">
        <v>5343</v>
      </c>
      <c r="T185" s="55">
        <v>1106</v>
      </c>
      <c r="U185" s="55">
        <v>2699</v>
      </c>
      <c r="V185" s="34" t="s">
        <v>25</v>
      </c>
      <c r="W185" s="43">
        <v>44722</v>
      </c>
      <c r="X185" s="44"/>
    </row>
    <row r="186" spans="1:24" ht="17.45" customHeight="1" x14ac:dyDescent="0.25">
      <c r="A186" t="str">
        <f t="shared" si="46"/>
        <v>29109067534473679018148</v>
      </c>
      <c r="B186" s="6">
        <f t="shared" si="44"/>
        <v>44736</v>
      </c>
      <c r="C186" s="3">
        <f t="shared" si="45"/>
        <v>79018148</v>
      </c>
      <c r="D186" s="34">
        <v>2021</v>
      </c>
      <c r="E186" s="35">
        <v>2910906753</v>
      </c>
      <c r="F186" s="36" t="s">
        <v>185</v>
      </c>
      <c r="G186" s="37">
        <v>737502714</v>
      </c>
      <c r="H186" s="37">
        <v>79018148</v>
      </c>
      <c r="I186" s="38">
        <f t="shared" si="55"/>
        <v>0.10714285723970908</v>
      </c>
      <c r="J186" s="38">
        <f t="shared" si="56"/>
        <v>0.12000000012149108</v>
      </c>
      <c r="K186" s="37">
        <v>737502714</v>
      </c>
      <c r="L186" s="37">
        <f t="shared" si="59"/>
        <v>79018148</v>
      </c>
      <c r="M186" s="39">
        <v>77623710</v>
      </c>
      <c r="N186" s="37">
        <f t="shared" si="60"/>
        <v>1394438</v>
      </c>
      <c r="O186" s="40">
        <f t="shared" si="57"/>
        <v>557775</v>
      </c>
      <c r="P186" s="41" t="s">
        <v>227</v>
      </c>
      <c r="Q186" s="55">
        <v>5461</v>
      </c>
      <c r="R186" s="42">
        <f t="shared" si="58"/>
        <v>836663</v>
      </c>
      <c r="S186" s="55">
        <v>5462</v>
      </c>
      <c r="T186" s="55">
        <v>1163</v>
      </c>
      <c r="U186" s="55">
        <v>2760</v>
      </c>
      <c r="V186" s="34" t="s">
        <v>25</v>
      </c>
      <c r="W186" s="43">
        <v>44736</v>
      </c>
      <c r="X186" s="44"/>
    </row>
    <row r="187" spans="1:24" ht="17.45" customHeight="1" x14ac:dyDescent="0.25">
      <c r="A187" t="str">
        <f t="shared" si="46"/>
        <v>29109067694473633291400</v>
      </c>
      <c r="B187" s="6">
        <f t="shared" si="44"/>
        <v>45614</v>
      </c>
      <c r="C187" s="3">
        <f t="shared" si="45"/>
        <v>51641589.036495693</v>
      </c>
      <c r="D187" s="34">
        <v>2021</v>
      </c>
      <c r="E187" s="35">
        <v>2910906769</v>
      </c>
      <c r="F187" s="36" t="s">
        <v>222</v>
      </c>
      <c r="G187" s="37">
        <v>483310000</v>
      </c>
      <c r="H187" s="37">
        <v>51783214</v>
      </c>
      <c r="I187" s="38">
        <f t="shared" si="55"/>
        <v>0.1071428565516956</v>
      </c>
      <c r="J187" s="38">
        <f t="shared" si="56"/>
        <v>0.11999999925844695</v>
      </c>
      <c r="K187" s="37">
        <v>310719736</v>
      </c>
      <c r="L187" s="37">
        <f t="shared" si="59"/>
        <v>33291400</v>
      </c>
      <c r="M187" s="39">
        <v>3770670</v>
      </c>
      <c r="N187" s="37">
        <f t="shared" si="60"/>
        <v>29520730</v>
      </c>
      <c r="O187" s="40">
        <f t="shared" si="57"/>
        <v>11808292</v>
      </c>
      <c r="P187" s="41" t="s">
        <v>227</v>
      </c>
      <c r="Q187" s="55">
        <v>5463</v>
      </c>
      <c r="R187" s="42">
        <f t="shared" si="58"/>
        <v>17712438</v>
      </c>
      <c r="S187" s="55">
        <v>5464</v>
      </c>
      <c r="T187" s="55">
        <v>1164</v>
      </c>
      <c r="U187" s="55">
        <v>2761</v>
      </c>
      <c r="V187" s="34" t="s">
        <v>25</v>
      </c>
      <c r="W187" s="43">
        <v>44736</v>
      </c>
      <c r="X187" s="44"/>
    </row>
    <row r="188" spans="1:24" ht="17.45" customHeight="1" x14ac:dyDescent="0.25">
      <c r="A188" t="str">
        <f t="shared" si="46"/>
        <v>291090631044736783152487</v>
      </c>
      <c r="B188" s="6">
        <f t="shared" si="44"/>
        <v>44862</v>
      </c>
      <c r="C188" s="3">
        <f t="shared" si="45"/>
        <v>816196045.00469112</v>
      </c>
      <c r="D188" s="34">
        <v>2017</v>
      </c>
      <c r="E188" s="35">
        <v>2910906310</v>
      </c>
      <c r="F188" s="36" t="s">
        <v>87</v>
      </c>
      <c r="G188" s="37">
        <v>7100279267</v>
      </c>
      <c r="H188" s="37">
        <v>816196045</v>
      </c>
      <c r="I188" s="38">
        <f t="shared" si="55"/>
        <v>0.11495266795961646</v>
      </c>
      <c r="J188" s="38">
        <f t="shared" si="56"/>
        <v>0.12988307381776429</v>
      </c>
      <c r="K188" s="37">
        <v>6812825669</v>
      </c>
      <c r="L188" s="37">
        <f t="shared" si="59"/>
        <v>783152487</v>
      </c>
      <c r="M188" s="39">
        <v>595766289</v>
      </c>
      <c r="N188" s="37">
        <f t="shared" si="60"/>
        <v>187386198</v>
      </c>
      <c r="O188" s="40">
        <f t="shared" si="57"/>
        <v>74954479</v>
      </c>
      <c r="P188" s="41" t="s">
        <v>227</v>
      </c>
      <c r="Q188" s="55">
        <v>5465</v>
      </c>
      <c r="R188" s="42">
        <f t="shared" si="58"/>
        <v>112431719</v>
      </c>
      <c r="S188" s="55">
        <v>5466</v>
      </c>
      <c r="T188" s="55">
        <v>1198</v>
      </c>
      <c r="U188" s="55">
        <v>2809</v>
      </c>
      <c r="V188" s="34" t="s">
        <v>25</v>
      </c>
      <c r="W188" s="43">
        <v>44736</v>
      </c>
      <c r="X188" s="44" t="s">
        <v>231</v>
      </c>
    </row>
    <row r="189" spans="1:24" ht="17.45" customHeight="1" x14ac:dyDescent="0.25">
      <c r="A189" t="str">
        <f t="shared" si="46"/>
        <v>245301831644736101855299</v>
      </c>
      <c r="B189" s="6">
        <f t="shared" si="44"/>
        <v>44736</v>
      </c>
      <c r="C189" s="3">
        <f t="shared" si="45"/>
        <v>101855299</v>
      </c>
      <c r="D189" s="34">
        <v>2021</v>
      </c>
      <c r="E189" s="35">
        <v>2453018316</v>
      </c>
      <c r="F189" s="36" t="s">
        <v>169</v>
      </c>
      <c r="G189" s="37">
        <v>950649339</v>
      </c>
      <c r="H189" s="37">
        <v>101855299</v>
      </c>
      <c r="I189" s="38">
        <f t="shared" si="55"/>
        <v>0.10714287047960594</v>
      </c>
      <c r="J189" s="38">
        <f t="shared" si="56"/>
        <v>0.12000001672961794</v>
      </c>
      <c r="K189" s="37">
        <v>950649339</v>
      </c>
      <c r="L189" s="37">
        <f t="shared" si="59"/>
        <v>101855299</v>
      </c>
      <c r="M189" s="39">
        <v>30556590</v>
      </c>
      <c r="N189" s="37">
        <f t="shared" si="60"/>
        <v>71298709</v>
      </c>
      <c r="O189" s="40">
        <f t="shared" si="57"/>
        <v>28519484</v>
      </c>
      <c r="P189" s="41" t="s">
        <v>227</v>
      </c>
      <c r="Q189" s="55">
        <v>5467</v>
      </c>
      <c r="R189" s="42">
        <f t="shared" si="58"/>
        <v>42779225</v>
      </c>
      <c r="S189" s="55">
        <v>5468</v>
      </c>
      <c r="T189" s="55">
        <v>1165</v>
      </c>
      <c r="U189" s="55">
        <v>2762</v>
      </c>
      <c r="V189" s="34" t="s">
        <v>25</v>
      </c>
      <c r="W189" s="43">
        <v>44736</v>
      </c>
      <c r="X189" s="44"/>
    </row>
    <row r="190" spans="1:24" ht="17.45" customHeight="1" x14ac:dyDescent="0.25">
      <c r="A190" t="str">
        <f t="shared" si="46"/>
        <v>24530183234473635431790</v>
      </c>
      <c r="B190" s="6">
        <f t="shared" si="44"/>
        <v>44736</v>
      </c>
      <c r="C190" s="3">
        <f t="shared" si="45"/>
        <v>35431790</v>
      </c>
      <c r="D190" s="34">
        <v>2021</v>
      </c>
      <c r="E190" s="35">
        <v>2453018323</v>
      </c>
      <c r="F190" s="36" t="s">
        <v>187</v>
      </c>
      <c r="G190" s="37">
        <v>430696700</v>
      </c>
      <c r="H190" s="37">
        <v>35431790</v>
      </c>
      <c r="I190" s="38">
        <f t="shared" si="55"/>
        <v>8.2266221217854693E-2</v>
      </c>
      <c r="J190" s="38">
        <f t="shared" si="56"/>
        <v>8.9640615960571865E-2</v>
      </c>
      <c r="K190" s="37">
        <v>430696700</v>
      </c>
      <c r="L190" s="37">
        <f t="shared" si="59"/>
        <v>35431790</v>
      </c>
      <c r="M190" s="39">
        <v>10629537</v>
      </c>
      <c r="N190" s="37">
        <f t="shared" si="60"/>
        <v>24802253</v>
      </c>
      <c r="O190" s="40">
        <f t="shared" si="57"/>
        <v>9920901</v>
      </c>
      <c r="P190" s="41" t="s">
        <v>227</v>
      </c>
      <c r="Q190" s="55">
        <v>5469</v>
      </c>
      <c r="R190" s="42">
        <f t="shared" si="58"/>
        <v>14881352</v>
      </c>
      <c r="S190" s="55">
        <v>5470</v>
      </c>
      <c r="T190" s="55">
        <v>1166</v>
      </c>
      <c r="U190" s="55">
        <v>2763</v>
      </c>
      <c r="V190" s="34" t="s">
        <v>25</v>
      </c>
      <c r="W190" s="43">
        <v>44736</v>
      </c>
      <c r="X190" s="44"/>
    </row>
    <row r="191" spans="1:24" ht="17.45" customHeight="1" x14ac:dyDescent="0.25">
      <c r="A191" t="str">
        <f t="shared" si="46"/>
        <v>2910906779447364178571</v>
      </c>
      <c r="B191" s="6">
        <f t="shared" si="44"/>
        <v>44736</v>
      </c>
      <c r="C191" s="3">
        <f t="shared" si="45"/>
        <v>4178571</v>
      </c>
      <c r="D191" s="34">
        <v>2022</v>
      </c>
      <c r="E191" s="35">
        <v>2910906779</v>
      </c>
      <c r="F191" s="36" t="s">
        <v>232</v>
      </c>
      <c r="G191" s="37">
        <v>39000000</v>
      </c>
      <c r="H191" s="37">
        <v>4178571</v>
      </c>
      <c r="I191" s="38">
        <f t="shared" si="55"/>
        <v>0.10714284615384616</v>
      </c>
      <c r="J191" s="38">
        <f t="shared" si="56"/>
        <v>0.11999998621538478</v>
      </c>
      <c r="K191" s="37">
        <v>39000000</v>
      </c>
      <c r="L191" s="37">
        <f t="shared" si="59"/>
        <v>4178571</v>
      </c>
      <c r="M191" s="39">
        <v>0</v>
      </c>
      <c r="N191" s="37">
        <f t="shared" si="60"/>
        <v>4178571</v>
      </c>
      <c r="O191" s="40">
        <f t="shared" si="57"/>
        <v>1671428</v>
      </c>
      <c r="P191" s="41" t="s">
        <v>227</v>
      </c>
      <c r="Q191" s="55">
        <v>5471</v>
      </c>
      <c r="R191" s="42">
        <f t="shared" si="58"/>
        <v>2507143</v>
      </c>
      <c r="S191" s="55">
        <v>5472</v>
      </c>
      <c r="T191" s="55">
        <v>1167</v>
      </c>
      <c r="U191" s="55">
        <v>2764</v>
      </c>
      <c r="V191" s="34" t="s">
        <v>25</v>
      </c>
      <c r="W191" s="43">
        <v>44736</v>
      </c>
      <c r="X191" s="44"/>
    </row>
    <row r="192" spans="1:24" ht="17.45" customHeight="1" x14ac:dyDescent="0.25">
      <c r="A192" t="str">
        <f t="shared" si="46"/>
        <v>29109067674476748250000</v>
      </c>
      <c r="B192" s="6">
        <f t="shared" si="44"/>
        <v>44767</v>
      </c>
      <c r="C192" s="3">
        <f t="shared" si="45"/>
        <v>48250000</v>
      </c>
      <c r="D192" s="34">
        <v>2021</v>
      </c>
      <c r="E192" s="35">
        <v>2910906767</v>
      </c>
      <c r="F192" s="36" t="s">
        <v>178</v>
      </c>
      <c r="G192" s="37">
        <v>450000000</v>
      </c>
      <c r="H192" s="37">
        <v>48250000</v>
      </c>
      <c r="I192" s="38">
        <f t="shared" si="55"/>
        <v>0.10722222222222222</v>
      </c>
      <c r="J192" s="38">
        <f t="shared" si="56"/>
        <v>0.12009956440572496</v>
      </c>
      <c r="K192" s="37">
        <v>450000000</v>
      </c>
      <c r="L192" s="37">
        <f t="shared" si="59"/>
        <v>48250000</v>
      </c>
      <c r="M192" s="39">
        <v>28957500</v>
      </c>
      <c r="N192" s="37">
        <f t="shared" si="60"/>
        <v>19292500</v>
      </c>
      <c r="O192" s="40">
        <f t="shared" si="57"/>
        <v>7717000</v>
      </c>
      <c r="P192" s="41" t="s">
        <v>233</v>
      </c>
      <c r="Q192" s="55">
        <v>6469</v>
      </c>
      <c r="R192" s="42">
        <f t="shared" si="58"/>
        <v>11575500</v>
      </c>
      <c r="S192" s="55">
        <v>6470</v>
      </c>
      <c r="T192" s="55">
        <v>1168</v>
      </c>
      <c r="U192" s="55">
        <v>2765</v>
      </c>
      <c r="V192" s="34" t="s">
        <v>25</v>
      </c>
      <c r="W192" s="43">
        <v>44767</v>
      </c>
      <c r="X192" s="44"/>
    </row>
    <row r="193" spans="1:24" ht="17.45" customHeight="1" x14ac:dyDescent="0.25">
      <c r="A193" t="str">
        <f t="shared" si="46"/>
        <v>29109067394476724171429</v>
      </c>
      <c r="B193" s="6">
        <f t="shared" si="44"/>
        <v>44767</v>
      </c>
      <c r="C193" s="3">
        <f t="shared" si="45"/>
        <v>24171429</v>
      </c>
      <c r="D193" s="34">
        <v>2021</v>
      </c>
      <c r="E193" s="35">
        <v>2910906739</v>
      </c>
      <c r="F193" s="36" t="s">
        <v>234</v>
      </c>
      <c r="G193" s="37">
        <v>225600000</v>
      </c>
      <c r="H193" s="37">
        <v>24171429</v>
      </c>
      <c r="I193" s="38">
        <f t="shared" si="55"/>
        <v>0.10714285904255319</v>
      </c>
      <c r="J193" s="38">
        <f t="shared" si="56"/>
        <v>0.12000000238297873</v>
      </c>
      <c r="K193" s="37">
        <v>225600000</v>
      </c>
      <c r="L193" s="37">
        <f t="shared" si="59"/>
        <v>24171429</v>
      </c>
      <c r="M193" s="39">
        <v>14142857</v>
      </c>
      <c r="N193" s="37">
        <f t="shared" si="60"/>
        <v>10028572</v>
      </c>
      <c r="O193" s="40">
        <f t="shared" si="57"/>
        <v>4011429</v>
      </c>
      <c r="P193" s="41" t="s">
        <v>233</v>
      </c>
      <c r="Q193" s="55">
        <v>6471</v>
      </c>
      <c r="R193" s="42">
        <f t="shared" si="58"/>
        <v>6017143</v>
      </c>
      <c r="S193" s="55">
        <v>6472</v>
      </c>
      <c r="T193" s="55">
        <v>1282</v>
      </c>
      <c r="U193" s="55">
        <v>3149</v>
      </c>
      <c r="V193" s="34" t="s">
        <v>25</v>
      </c>
      <c r="W193" s="43">
        <v>44767</v>
      </c>
      <c r="X193" s="44"/>
    </row>
    <row r="194" spans="1:24" ht="17.45" customHeight="1" x14ac:dyDescent="0.25">
      <c r="A194" t="str">
        <f t="shared" si="46"/>
        <v>291090640144769285676720</v>
      </c>
      <c r="B194" s="6">
        <f t="shared" ref="B194:B257" si="61">_xlfn.MAXIFS(W:W,E:E,E194)</f>
        <v>45957</v>
      </c>
      <c r="C194" s="3">
        <f t="shared" ref="C194:C257" si="62">_xlfn.MAXIFS(L:L,E:E,E194)</f>
        <v>678878080.30633903</v>
      </c>
      <c r="D194" s="34">
        <v>2022</v>
      </c>
      <c r="E194" s="35">
        <v>2910906401</v>
      </c>
      <c r="F194" s="36" t="s">
        <v>22</v>
      </c>
      <c r="G194" s="37">
        <v>1325626373</v>
      </c>
      <c r="H194" s="37">
        <v>159075165</v>
      </c>
      <c r="I194" s="38">
        <f t="shared" si="55"/>
        <v>0.12000000018104649</v>
      </c>
      <c r="J194" s="38">
        <f t="shared" si="56"/>
        <v>0.13636363659742573</v>
      </c>
      <c r="K194" s="37">
        <v>2380639333</v>
      </c>
      <c r="L194" s="37">
        <v>285676720</v>
      </c>
      <c r="M194" s="39">
        <v>159075165</v>
      </c>
      <c r="N194" s="37">
        <f t="shared" si="60"/>
        <v>126601555</v>
      </c>
      <c r="O194" s="40">
        <f t="shared" si="57"/>
        <v>50640622</v>
      </c>
      <c r="P194" s="41" t="s">
        <v>233</v>
      </c>
      <c r="Q194" s="55">
        <v>6517</v>
      </c>
      <c r="R194" s="42">
        <f t="shared" si="58"/>
        <v>75960933</v>
      </c>
      <c r="S194" s="55">
        <v>6518</v>
      </c>
      <c r="T194" s="55">
        <v>1286</v>
      </c>
      <c r="U194" s="55">
        <v>3177</v>
      </c>
      <c r="V194" s="34" t="s">
        <v>25</v>
      </c>
      <c r="W194" s="43">
        <v>44769</v>
      </c>
      <c r="X194" s="44"/>
    </row>
    <row r="195" spans="1:24" ht="17.45" customHeight="1" x14ac:dyDescent="0.25">
      <c r="A195" t="str">
        <f t="shared" ref="A195:A258" si="63">_xlfn.CONCAT(E195,W195,L195)</f>
        <v>291090675044770198576435</v>
      </c>
      <c r="B195" s="6">
        <f t="shared" si="61"/>
        <v>45128</v>
      </c>
      <c r="C195" s="3">
        <f t="shared" si="62"/>
        <v>217757261</v>
      </c>
      <c r="D195" s="34">
        <v>2021</v>
      </c>
      <c r="E195" s="35">
        <v>2910906750</v>
      </c>
      <c r="F195" s="36" t="s">
        <v>177</v>
      </c>
      <c r="G195" s="37">
        <f>1448323826+794859175</f>
        <v>2243183001</v>
      </c>
      <c r="H195" s="37">
        <v>240489407</v>
      </c>
      <c r="I195" s="38">
        <f t="shared" si="55"/>
        <v>0.10720900028789046</v>
      </c>
      <c r="J195" s="38">
        <f t="shared" si="56"/>
        <v>0.12008297610802664</v>
      </c>
      <c r="K195" s="37">
        <v>1852236605</v>
      </c>
      <c r="L195" s="37">
        <f t="shared" ref="L195:L228" si="64">ROUND((+K195*I195),0)</f>
        <v>198576435</v>
      </c>
      <c r="M195" s="39">
        <v>51752664</v>
      </c>
      <c r="N195" s="37">
        <f t="shared" si="60"/>
        <v>146823771</v>
      </c>
      <c r="O195" s="40">
        <f t="shared" si="57"/>
        <v>58729508</v>
      </c>
      <c r="P195" s="41" t="s">
        <v>233</v>
      </c>
      <c r="Q195" s="55">
        <v>6620</v>
      </c>
      <c r="R195" s="42">
        <f t="shared" si="58"/>
        <v>88094263</v>
      </c>
      <c r="S195" s="55">
        <v>6621</v>
      </c>
      <c r="T195" s="55">
        <v>1299</v>
      </c>
      <c r="U195" s="55">
        <v>3205</v>
      </c>
      <c r="V195" s="34" t="s">
        <v>25</v>
      </c>
      <c r="W195" s="43">
        <v>44770</v>
      </c>
      <c r="X195" s="44"/>
    </row>
    <row r="196" spans="1:24" ht="17.45" customHeight="1" x14ac:dyDescent="0.25">
      <c r="A196" t="str">
        <f t="shared" si="63"/>
        <v>2910906667447701326830</v>
      </c>
      <c r="B196" s="6">
        <f t="shared" si="61"/>
        <v>44770</v>
      </c>
      <c r="C196" s="3">
        <f t="shared" si="62"/>
        <v>1326830</v>
      </c>
      <c r="D196" s="34">
        <v>2019</v>
      </c>
      <c r="E196" s="35">
        <v>2910906667</v>
      </c>
      <c r="F196" s="36" t="s">
        <v>235</v>
      </c>
      <c r="G196" s="37">
        <v>18480000</v>
      </c>
      <c r="H196" s="37">
        <v>1326830</v>
      </c>
      <c r="I196" s="38">
        <f t="shared" si="55"/>
        <v>7.1798160173160167E-2</v>
      </c>
      <c r="J196" s="38">
        <f t="shared" si="56"/>
        <v>7.7351883063014007E-2</v>
      </c>
      <c r="K196" s="37">
        <v>18480000</v>
      </c>
      <c r="L196" s="37">
        <f t="shared" si="64"/>
        <v>1326830</v>
      </c>
      <c r="M196" s="39">
        <v>0</v>
      </c>
      <c r="N196" s="37">
        <f t="shared" si="60"/>
        <v>1326830</v>
      </c>
      <c r="O196" s="40">
        <f t="shared" si="57"/>
        <v>530732</v>
      </c>
      <c r="P196" s="41" t="s">
        <v>233</v>
      </c>
      <c r="Q196" s="55">
        <v>6622</v>
      </c>
      <c r="R196" s="42">
        <f t="shared" si="58"/>
        <v>796098</v>
      </c>
      <c r="S196" s="55">
        <v>6623</v>
      </c>
      <c r="T196" s="55">
        <v>1300</v>
      </c>
      <c r="U196" s="55">
        <v>3206</v>
      </c>
      <c r="V196" s="34" t="s">
        <v>25</v>
      </c>
      <c r="W196" s="43">
        <v>44770</v>
      </c>
      <c r="X196" s="44"/>
    </row>
    <row r="197" spans="1:24" ht="17.45" customHeight="1" x14ac:dyDescent="0.25">
      <c r="A197" t="str">
        <f t="shared" si="63"/>
        <v>2910906629447706214482</v>
      </c>
      <c r="B197" s="6">
        <f t="shared" si="61"/>
        <v>44770</v>
      </c>
      <c r="C197" s="3">
        <f t="shared" si="62"/>
        <v>6214482</v>
      </c>
      <c r="D197" s="34">
        <v>2021</v>
      </c>
      <c r="E197" s="35">
        <v>2910906629</v>
      </c>
      <c r="F197" s="36" t="s">
        <v>236</v>
      </c>
      <c r="G197" s="37">
        <v>51787350</v>
      </c>
      <c r="H197" s="37">
        <v>6214482</v>
      </c>
      <c r="I197" s="38">
        <f t="shared" si="55"/>
        <v>0.12</v>
      </c>
      <c r="J197" s="38">
        <f t="shared" si="56"/>
        <v>0.13636363636363635</v>
      </c>
      <c r="K197" s="37">
        <v>51787350</v>
      </c>
      <c r="L197" s="37">
        <f t="shared" si="64"/>
        <v>6214482</v>
      </c>
      <c r="M197" s="39">
        <v>0</v>
      </c>
      <c r="N197" s="37">
        <f t="shared" si="60"/>
        <v>6214482</v>
      </c>
      <c r="O197" s="40">
        <f t="shared" si="57"/>
        <v>2485793</v>
      </c>
      <c r="P197" s="41" t="s">
        <v>233</v>
      </c>
      <c r="Q197" s="55">
        <v>6624</v>
      </c>
      <c r="R197" s="42">
        <f t="shared" si="58"/>
        <v>3728689</v>
      </c>
      <c r="S197" s="55">
        <v>6625</v>
      </c>
      <c r="T197" s="55">
        <v>1301</v>
      </c>
      <c r="U197" s="55">
        <v>3207</v>
      </c>
      <c r="V197" s="34" t="s">
        <v>25</v>
      </c>
      <c r="W197" s="43">
        <v>44770</v>
      </c>
      <c r="X197" s="44" t="s">
        <v>237</v>
      </c>
    </row>
    <row r="198" spans="1:24" ht="17.45" customHeight="1" x14ac:dyDescent="0.25">
      <c r="A198" t="str">
        <f t="shared" si="63"/>
        <v>2910906771447702410710</v>
      </c>
      <c r="B198" s="6">
        <f t="shared" si="61"/>
        <v>44770</v>
      </c>
      <c r="C198" s="3">
        <f t="shared" si="62"/>
        <v>2410710</v>
      </c>
      <c r="D198" s="34">
        <v>2021</v>
      </c>
      <c r="E198" s="35">
        <v>2910906771</v>
      </c>
      <c r="F198" s="36" t="s">
        <v>238</v>
      </c>
      <c r="G198" s="37">
        <v>22500000</v>
      </c>
      <c r="H198" s="37">
        <v>2410710</v>
      </c>
      <c r="I198" s="38">
        <f t="shared" si="55"/>
        <v>0.10714266666666666</v>
      </c>
      <c r="J198" s="38">
        <f t="shared" si="56"/>
        <v>0.11999976106671764</v>
      </c>
      <c r="K198" s="37">
        <v>22500000</v>
      </c>
      <c r="L198" s="37">
        <f t="shared" si="64"/>
        <v>2410710</v>
      </c>
      <c r="M198" s="39">
        <v>0</v>
      </c>
      <c r="N198" s="37">
        <f t="shared" si="60"/>
        <v>2410710</v>
      </c>
      <c r="O198" s="40">
        <f t="shared" si="57"/>
        <v>964284</v>
      </c>
      <c r="P198" s="41" t="s">
        <v>233</v>
      </c>
      <c r="Q198" s="55">
        <v>6626</v>
      </c>
      <c r="R198" s="42">
        <f t="shared" si="58"/>
        <v>1446426</v>
      </c>
      <c r="S198" s="55">
        <v>6627</v>
      </c>
      <c r="T198" s="55">
        <v>1302</v>
      </c>
      <c r="U198" s="55">
        <v>3208</v>
      </c>
      <c r="V198" s="34" t="s">
        <v>25</v>
      </c>
      <c r="W198" s="43">
        <v>44770</v>
      </c>
      <c r="X198" s="44"/>
    </row>
    <row r="199" spans="1:24" ht="17.45" customHeight="1" x14ac:dyDescent="0.25">
      <c r="A199" t="str">
        <f t="shared" si="63"/>
        <v>245301830144770114637626</v>
      </c>
      <c r="B199" s="6">
        <f t="shared" si="61"/>
        <v>45099</v>
      </c>
      <c r="C199" s="3">
        <f t="shared" si="62"/>
        <v>133063733</v>
      </c>
      <c r="D199" s="34">
        <v>2019</v>
      </c>
      <c r="E199" s="35">
        <v>2453018301</v>
      </c>
      <c r="F199" s="36" t="s">
        <v>35</v>
      </c>
      <c r="G199" s="37">
        <f>941984000+470992000</f>
        <v>1412976000</v>
      </c>
      <c r="H199" s="37">
        <v>151390286</v>
      </c>
      <c r="I199" s="38">
        <f t="shared" ref="I199:I230" si="65">+H199/G199</f>
        <v>0.1071428573450646</v>
      </c>
      <c r="J199" s="38"/>
      <c r="K199" s="37">
        <v>1069951170</v>
      </c>
      <c r="L199" s="37">
        <f t="shared" si="64"/>
        <v>114637626</v>
      </c>
      <c r="M199" s="39">
        <v>90834172</v>
      </c>
      <c r="N199" s="37">
        <f t="shared" si="60"/>
        <v>23803454</v>
      </c>
      <c r="O199" s="40">
        <f t="shared" si="57"/>
        <v>9521382</v>
      </c>
      <c r="P199" s="41" t="s">
        <v>233</v>
      </c>
      <c r="Q199" s="55">
        <v>6628</v>
      </c>
      <c r="R199" s="42">
        <f t="shared" si="58"/>
        <v>14282072</v>
      </c>
      <c r="S199" s="55">
        <v>6629</v>
      </c>
      <c r="T199" s="55">
        <v>1303</v>
      </c>
      <c r="U199" s="55">
        <v>3209</v>
      </c>
      <c r="V199" s="34" t="s">
        <v>25</v>
      </c>
      <c r="W199" s="43">
        <v>44770</v>
      </c>
      <c r="X199" s="44"/>
    </row>
    <row r="200" spans="1:24" ht="17.45" customHeight="1" x14ac:dyDescent="0.25">
      <c r="A200" t="str">
        <f t="shared" si="63"/>
        <v>24530183254477018587167</v>
      </c>
      <c r="B200" s="6">
        <f t="shared" si="61"/>
        <v>45042</v>
      </c>
      <c r="C200" s="3">
        <f t="shared" si="62"/>
        <v>78962612</v>
      </c>
      <c r="D200" s="34">
        <v>2021</v>
      </c>
      <c r="E200" s="35">
        <v>2453018325</v>
      </c>
      <c r="F200" s="36" t="s">
        <v>194</v>
      </c>
      <c r="G200" s="37">
        <v>744689120</v>
      </c>
      <c r="H200" s="37">
        <v>79788120</v>
      </c>
      <c r="I200" s="38">
        <f t="shared" si="65"/>
        <v>0.10714285714285714</v>
      </c>
      <c r="J200" s="38">
        <f t="shared" ref="J200:J231" si="66">IFERROR((+H200/(G200-H200)),0)</f>
        <v>0.12</v>
      </c>
      <c r="K200" s="37">
        <v>173480221</v>
      </c>
      <c r="L200" s="37">
        <f t="shared" si="64"/>
        <v>18587167</v>
      </c>
      <c r="M200" s="39">
        <v>15957624</v>
      </c>
      <c r="N200" s="37">
        <f t="shared" si="60"/>
        <v>2629543</v>
      </c>
      <c r="O200" s="40">
        <f t="shared" si="57"/>
        <v>1051817</v>
      </c>
      <c r="P200" s="41" t="s">
        <v>233</v>
      </c>
      <c r="Q200" s="55">
        <v>6630</v>
      </c>
      <c r="R200" s="42">
        <f t="shared" si="58"/>
        <v>1577726</v>
      </c>
      <c r="S200" s="55">
        <v>6631</v>
      </c>
      <c r="T200" s="55">
        <v>1304</v>
      </c>
      <c r="U200" s="55">
        <v>3210</v>
      </c>
      <c r="V200" s="34" t="s">
        <v>25</v>
      </c>
      <c r="W200" s="43">
        <v>44770</v>
      </c>
      <c r="X200" s="44"/>
    </row>
    <row r="201" spans="1:24" ht="17.45" customHeight="1" x14ac:dyDescent="0.25">
      <c r="A201" t="str">
        <f t="shared" si="63"/>
        <v>2910906780447702975120</v>
      </c>
      <c r="B201" s="6">
        <f t="shared" si="61"/>
        <v>45527</v>
      </c>
      <c r="C201" s="3">
        <f t="shared" si="62"/>
        <v>4178571</v>
      </c>
      <c r="D201" s="34">
        <v>2022</v>
      </c>
      <c r="E201" s="35">
        <v>2910906780</v>
      </c>
      <c r="F201" s="36" t="s">
        <v>239</v>
      </c>
      <c r="G201" s="37">
        <v>39000000</v>
      </c>
      <c r="H201" s="37">
        <v>4178571</v>
      </c>
      <c r="I201" s="38">
        <f t="shared" si="65"/>
        <v>0.10714284615384616</v>
      </c>
      <c r="J201" s="38">
        <f t="shared" si="66"/>
        <v>0.11999998621538478</v>
      </c>
      <c r="K201" s="37">
        <v>27767789</v>
      </c>
      <c r="L201" s="37">
        <f t="shared" si="64"/>
        <v>2975120</v>
      </c>
      <c r="M201" s="39">
        <v>0</v>
      </c>
      <c r="N201" s="37">
        <f t="shared" si="60"/>
        <v>2975120</v>
      </c>
      <c r="O201" s="40">
        <f t="shared" si="57"/>
        <v>1190048</v>
      </c>
      <c r="P201" s="41" t="s">
        <v>233</v>
      </c>
      <c r="Q201" s="55">
        <v>6644</v>
      </c>
      <c r="R201" s="42">
        <f t="shared" si="58"/>
        <v>1785072</v>
      </c>
      <c r="S201" s="55">
        <v>6645</v>
      </c>
      <c r="T201" s="55">
        <v>1305</v>
      </c>
      <c r="U201" s="55">
        <v>3211</v>
      </c>
      <c r="V201" s="34" t="s">
        <v>25</v>
      </c>
      <c r="W201" s="43">
        <v>44770</v>
      </c>
      <c r="X201" s="44"/>
    </row>
    <row r="202" spans="1:24" ht="17.45" customHeight="1" x14ac:dyDescent="0.25">
      <c r="A202" t="str">
        <f t="shared" si="63"/>
        <v>24530183284477095550190</v>
      </c>
      <c r="B202" s="6">
        <f t="shared" si="61"/>
        <v>44902</v>
      </c>
      <c r="C202" s="3">
        <f t="shared" si="62"/>
        <v>116812287</v>
      </c>
      <c r="D202" s="34">
        <v>2021</v>
      </c>
      <c r="E202" s="35">
        <v>2453018328</v>
      </c>
      <c r="F202" s="36" t="s">
        <v>197</v>
      </c>
      <c r="G202" s="37">
        <v>1199922000</v>
      </c>
      <c r="H202" s="37">
        <v>128563071</v>
      </c>
      <c r="I202" s="38">
        <f t="shared" si="65"/>
        <v>0.10714285678569108</v>
      </c>
      <c r="J202" s="38">
        <f t="shared" si="66"/>
        <v>0.11999999955197088</v>
      </c>
      <c r="K202" s="37">
        <v>891801777</v>
      </c>
      <c r="L202" s="37">
        <f t="shared" si="64"/>
        <v>95550190</v>
      </c>
      <c r="M202" s="39">
        <v>38568921</v>
      </c>
      <c r="N202" s="37">
        <f t="shared" si="60"/>
        <v>56981269</v>
      </c>
      <c r="O202" s="40">
        <f t="shared" si="57"/>
        <v>22792508</v>
      </c>
      <c r="P202" s="41" t="s">
        <v>233</v>
      </c>
      <c r="Q202" s="55">
        <v>6646</v>
      </c>
      <c r="R202" s="42">
        <f t="shared" si="58"/>
        <v>34188761</v>
      </c>
      <c r="S202" s="55">
        <v>6647</v>
      </c>
      <c r="T202" s="55">
        <v>1306</v>
      </c>
      <c r="U202" s="55">
        <v>3212</v>
      </c>
      <c r="V202" s="34" t="s">
        <v>25</v>
      </c>
      <c r="W202" s="43">
        <v>44770</v>
      </c>
      <c r="X202" s="44"/>
    </row>
    <row r="203" spans="1:24" ht="17.45" customHeight="1" x14ac:dyDescent="0.25">
      <c r="A203" t="str">
        <f t="shared" si="63"/>
        <v>24530183264477125528294</v>
      </c>
      <c r="B203" s="6">
        <f t="shared" si="61"/>
        <v>44797</v>
      </c>
      <c r="C203" s="3">
        <f t="shared" si="62"/>
        <v>45027225</v>
      </c>
      <c r="D203" s="34">
        <v>2021</v>
      </c>
      <c r="E203" s="35">
        <v>2453018326</v>
      </c>
      <c r="F203" s="36" t="s">
        <v>195</v>
      </c>
      <c r="G203" s="37">
        <v>420254100</v>
      </c>
      <c r="H203" s="37">
        <v>45027225</v>
      </c>
      <c r="I203" s="38">
        <f t="shared" si="65"/>
        <v>0.10714285714285714</v>
      </c>
      <c r="J203" s="38">
        <f t="shared" si="66"/>
        <v>0.12</v>
      </c>
      <c r="K203" s="37">
        <v>238264074</v>
      </c>
      <c r="L203" s="37">
        <f t="shared" si="64"/>
        <v>25528294</v>
      </c>
      <c r="M203" s="39">
        <v>13508168</v>
      </c>
      <c r="N203" s="37">
        <f t="shared" si="60"/>
        <v>12020126</v>
      </c>
      <c r="O203" s="40">
        <f t="shared" si="57"/>
        <v>4808050</v>
      </c>
      <c r="P203" s="41" t="s">
        <v>233</v>
      </c>
      <c r="Q203" s="55">
        <v>6648</v>
      </c>
      <c r="R203" s="42">
        <f t="shared" si="58"/>
        <v>7212076</v>
      </c>
      <c r="S203" s="55">
        <v>6649</v>
      </c>
      <c r="T203" s="55">
        <v>1307</v>
      </c>
      <c r="U203" s="55">
        <v>3213</v>
      </c>
      <c r="V203" s="34" t="s">
        <v>25</v>
      </c>
      <c r="W203" s="43">
        <v>44771</v>
      </c>
      <c r="X203" s="44"/>
    </row>
    <row r="204" spans="1:24" ht="17.45" customHeight="1" x14ac:dyDescent="0.25">
      <c r="A204" t="str">
        <f t="shared" si="63"/>
        <v>24530183304477165390863</v>
      </c>
      <c r="B204" s="6">
        <f t="shared" si="61"/>
        <v>45912</v>
      </c>
      <c r="C204" s="3">
        <f t="shared" si="62"/>
        <v>259214159</v>
      </c>
      <c r="D204" s="34">
        <v>2021</v>
      </c>
      <c r="E204" s="35">
        <v>2453018330</v>
      </c>
      <c r="F204" s="36" t="s">
        <v>198</v>
      </c>
      <c r="G204" s="37">
        <v>2419332150</v>
      </c>
      <c r="H204" s="37">
        <v>259214159</v>
      </c>
      <c r="I204" s="38">
        <f t="shared" si="65"/>
        <v>0.10714285717238123</v>
      </c>
      <c r="J204" s="38">
        <f t="shared" si="66"/>
        <v>0.12000000003703501</v>
      </c>
      <c r="K204" s="37">
        <v>610314725</v>
      </c>
      <c r="L204" s="37">
        <f t="shared" si="64"/>
        <v>65390863</v>
      </c>
      <c r="M204" s="39">
        <v>51842832</v>
      </c>
      <c r="N204" s="37">
        <f t="shared" si="60"/>
        <v>13548031</v>
      </c>
      <c r="O204" s="40">
        <f t="shared" si="57"/>
        <v>5419212</v>
      </c>
      <c r="P204" s="41" t="s">
        <v>233</v>
      </c>
      <c r="Q204" s="55">
        <v>6661</v>
      </c>
      <c r="R204" s="42">
        <f t="shared" si="58"/>
        <v>8128819</v>
      </c>
      <c r="S204" s="55">
        <v>6662</v>
      </c>
      <c r="T204" s="55">
        <v>1308</v>
      </c>
      <c r="U204" s="55">
        <v>3214</v>
      </c>
      <c r="V204" s="34" t="s">
        <v>25</v>
      </c>
      <c r="W204" s="43">
        <v>44771</v>
      </c>
      <c r="X204" s="44"/>
    </row>
    <row r="205" spans="1:24" ht="17.45" customHeight="1" x14ac:dyDescent="0.25">
      <c r="A205" t="str">
        <f t="shared" si="63"/>
        <v>24530109504477186203334</v>
      </c>
      <c r="B205" s="6">
        <f t="shared" si="61"/>
        <v>45015</v>
      </c>
      <c r="C205" s="3">
        <f t="shared" si="62"/>
        <v>98746979</v>
      </c>
      <c r="D205" s="34">
        <v>2018</v>
      </c>
      <c r="E205" s="35">
        <v>2453010950</v>
      </c>
      <c r="F205" s="36" t="s">
        <v>240</v>
      </c>
      <c r="G205" s="37">
        <v>941984000</v>
      </c>
      <c r="H205" s="37">
        <v>100926857</v>
      </c>
      <c r="I205" s="38">
        <f t="shared" si="65"/>
        <v>0.10714285699120155</v>
      </c>
      <c r="J205" s="38">
        <f t="shared" si="66"/>
        <v>0.11999999980976322</v>
      </c>
      <c r="K205" s="37">
        <v>804564450</v>
      </c>
      <c r="L205" s="37">
        <f t="shared" si="64"/>
        <v>86203334</v>
      </c>
      <c r="M205" s="39">
        <v>60500000</v>
      </c>
      <c r="N205" s="37">
        <f t="shared" si="60"/>
        <v>25703334</v>
      </c>
      <c r="O205" s="40">
        <f t="shared" si="57"/>
        <v>10281334</v>
      </c>
      <c r="P205" s="41" t="s">
        <v>233</v>
      </c>
      <c r="Q205" s="55">
        <v>6663</v>
      </c>
      <c r="R205" s="42">
        <f t="shared" si="58"/>
        <v>15422000</v>
      </c>
      <c r="S205" s="55">
        <v>6664</v>
      </c>
      <c r="T205" s="55">
        <v>1330</v>
      </c>
      <c r="U205" s="55">
        <v>3215</v>
      </c>
      <c r="V205" s="34" t="s">
        <v>25</v>
      </c>
      <c r="W205" s="43">
        <v>44771</v>
      </c>
      <c r="X205" s="44"/>
    </row>
    <row r="206" spans="1:24" ht="17.45" customHeight="1" x14ac:dyDescent="0.25">
      <c r="A206" t="str">
        <f t="shared" si="63"/>
        <v>2910906755447975400535</v>
      </c>
      <c r="B206" s="6">
        <f t="shared" si="61"/>
        <v>45586</v>
      </c>
      <c r="C206" s="3">
        <f t="shared" si="62"/>
        <v>6428571</v>
      </c>
      <c r="D206" s="34">
        <v>2021</v>
      </c>
      <c r="E206" s="35">
        <v>2910906755</v>
      </c>
      <c r="F206" s="36" t="s">
        <v>211</v>
      </c>
      <c r="G206" s="37">
        <v>60000000</v>
      </c>
      <c r="H206" s="37">
        <v>6428571</v>
      </c>
      <c r="I206" s="38">
        <f t="shared" si="65"/>
        <v>0.10714285</v>
      </c>
      <c r="J206" s="38">
        <f t="shared" si="66"/>
        <v>0.11999999104000007</v>
      </c>
      <c r="K206" s="37">
        <v>50405000</v>
      </c>
      <c r="L206" s="37">
        <f t="shared" si="64"/>
        <v>5400535</v>
      </c>
      <c r="M206" s="39">
        <v>3857147</v>
      </c>
      <c r="N206" s="37">
        <f t="shared" si="60"/>
        <v>1543388</v>
      </c>
      <c r="O206" s="40">
        <f t="shared" si="57"/>
        <v>617355</v>
      </c>
      <c r="P206" s="41" t="s">
        <v>233</v>
      </c>
      <c r="Q206" s="55">
        <v>7589</v>
      </c>
      <c r="R206" s="42">
        <f t="shared" si="58"/>
        <v>926033</v>
      </c>
      <c r="S206" s="55">
        <v>7590</v>
      </c>
      <c r="T206" s="55">
        <v>1347</v>
      </c>
      <c r="U206" s="55">
        <v>3314</v>
      </c>
      <c r="V206" s="34" t="s">
        <v>25</v>
      </c>
      <c r="W206" s="43">
        <v>44797</v>
      </c>
      <c r="X206" s="44"/>
    </row>
    <row r="207" spans="1:24" ht="17.45" customHeight="1" x14ac:dyDescent="0.25">
      <c r="A207" t="str">
        <f t="shared" si="63"/>
        <v>29109067524479791971429</v>
      </c>
      <c r="B207" s="6">
        <f t="shared" si="61"/>
        <v>44797</v>
      </c>
      <c r="C207" s="3">
        <f t="shared" si="62"/>
        <v>91971429</v>
      </c>
      <c r="D207" s="34">
        <v>2021</v>
      </c>
      <c r="E207" s="35">
        <v>2910906752</v>
      </c>
      <c r="F207" s="36" t="s">
        <v>209</v>
      </c>
      <c r="G207" s="37">
        <v>858400000</v>
      </c>
      <c r="H207" s="37">
        <v>91971429</v>
      </c>
      <c r="I207" s="38">
        <f t="shared" si="65"/>
        <v>0.10714285764212489</v>
      </c>
      <c r="J207" s="38">
        <f t="shared" si="66"/>
        <v>0.12000000062628145</v>
      </c>
      <c r="K207" s="37">
        <v>858400000</v>
      </c>
      <c r="L207" s="37">
        <f t="shared" si="64"/>
        <v>91971429</v>
      </c>
      <c r="M207" s="39">
        <v>18394286</v>
      </c>
      <c r="N207" s="37">
        <f t="shared" si="60"/>
        <v>73577143</v>
      </c>
      <c r="O207" s="40">
        <f t="shared" si="57"/>
        <v>29430857</v>
      </c>
      <c r="P207" s="41" t="s">
        <v>233</v>
      </c>
      <c r="Q207" s="55">
        <v>7591</v>
      </c>
      <c r="R207" s="42">
        <f t="shared" si="58"/>
        <v>44146286</v>
      </c>
      <c r="S207" s="55">
        <v>7592</v>
      </c>
      <c r="T207" s="55">
        <v>1393</v>
      </c>
      <c r="U207" s="55">
        <v>3394</v>
      </c>
      <c r="V207" s="34" t="s">
        <v>25</v>
      </c>
      <c r="W207" s="43">
        <v>44797</v>
      </c>
      <c r="X207" s="44" t="s">
        <v>241</v>
      </c>
    </row>
    <row r="208" spans="1:24" ht="17.45" customHeight="1" x14ac:dyDescent="0.25">
      <c r="A208" t="str">
        <f t="shared" si="63"/>
        <v>291090673244797158136000</v>
      </c>
      <c r="B208" s="6">
        <f t="shared" si="61"/>
        <v>44797</v>
      </c>
      <c r="C208" s="3">
        <f t="shared" si="62"/>
        <v>158136000</v>
      </c>
      <c r="D208" s="34">
        <v>2021</v>
      </c>
      <c r="E208" s="35">
        <v>2910906732</v>
      </c>
      <c r="F208" s="36" t="s">
        <v>117</v>
      </c>
      <c r="G208" s="37">
        <v>1475936000</v>
      </c>
      <c r="H208" s="37">
        <v>158136000</v>
      </c>
      <c r="I208" s="38">
        <f t="shared" si="65"/>
        <v>0.10714285714285714</v>
      </c>
      <c r="J208" s="38">
        <f t="shared" si="66"/>
        <v>0.12</v>
      </c>
      <c r="K208" s="37">
        <v>1475936000</v>
      </c>
      <c r="L208" s="37">
        <f t="shared" si="64"/>
        <v>158136000</v>
      </c>
      <c r="M208" s="39">
        <v>142322400</v>
      </c>
      <c r="N208" s="37">
        <f t="shared" si="60"/>
        <v>15813600</v>
      </c>
      <c r="O208" s="40">
        <f t="shared" si="57"/>
        <v>6325440</v>
      </c>
      <c r="P208" s="41" t="s">
        <v>233</v>
      </c>
      <c r="Q208" s="55">
        <v>7593</v>
      </c>
      <c r="R208" s="42">
        <f t="shared" si="58"/>
        <v>9488160</v>
      </c>
      <c r="S208" s="55">
        <v>7594</v>
      </c>
      <c r="T208" s="55">
        <v>1394</v>
      </c>
      <c r="U208" s="55">
        <v>3395</v>
      </c>
      <c r="V208" s="34" t="s">
        <v>25</v>
      </c>
      <c r="W208" s="43">
        <v>44797</v>
      </c>
      <c r="X208" s="44" t="s">
        <v>241</v>
      </c>
    </row>
    <row r="209" spans="1:24" ht="17.45" customHeight="1" x14ac:dyDescent="0.25">
      <c r="A209" t="str">
        <f t="shared" si="63"/>
        <v>24530183264479745027225</v>
      </c>
      <c r="B209" s="6">
        <f t="shared" si="61"/>
        <v>44797</v>
      </c>
      <c r="C209" s="3">
        <f t="shared" si="62"/>
        <v>45027225</v>
      </c>
      <c r="D209" s="34">
        <v>2021</v>
      </c>
      <c r="E209" s="35">
        <v>2453018326</v>
      </c>
      <c r="F209" s="36" t="s">
        <v>195</v>
      </c>
      <c r="G209" s="37">
        <v>420254100</v>
      </c>
      <c r="H209" s="37">
        <v>45027225</v>
      </c>
      <c r="I209" s="38">
        <f t="shared" si="65"/>
        <v>0.10714285714285714</v>
      </c>
      <c r="J209" s="38">
        <f t="shared" si="66"/>
        <v>0.12</v>
      </c>
      <c r="K209" s="37">
        <v>420254100</v>
      </c>
      <c r="L209" s="37">
        <f t="shared" si="64"/>
        <v>45027225</v>
      </c>
      <c r="M209" s="39">
        <f>+N147+N203</f>
        <v>25528294</v>
      </c>
      <c r="N209" s="37">
        <f t="shared" si="60"/>
        <v>19498931</v>
      </c>
      <c r="O209" s="40">
        <f t="shared" si="57"/>
        <v>7799572</v>
      </c>
      <c r="P209" s="41" t="s">
        <v>233</v>
      </c>
      <c r="Q209" s="55">
        <v>7595</v>
      </c>
      <c r="R209" s="42">
        <f t="shared" si="58"/>
        <v>11699359</v>
      </c>
      <c r="S209" s="55">
        <v>7596</v>
      </c>
      <c r="T209" s="55">
        <v>1395</v>
      </c>
      <c r="U209" s="55">
        <v>3396</v>
      </c>
      <c r="V209" s="34" t="s">
        <v>25</v>
      </c>
      <c r="W209" s="43">
        <v>44797</v>
      </c>
      <c r="X209" s="44" t="s">
        <v>242</v>
      </c>
    </row>
    <row r="210" spans="1:24" ht="17.45" customHeight="1" x14ac:dyDescent="0.25">
      <c r="A210" t="str">
        <f t="shared" si="63"/>
        <v>29109067694479745787887</v>
      </c>
      <c r="B210" s="6">
        <f t="shared" si="61"/>
        <v>45614</v>
      </c>
      <c r="C210" s="3">
        <f t="shared" si="62"/>
        <v>51641589.036495693</v>
      </c>
      <c r="D210" s="34">
        <v>2021</v>
      </c>
      <c r="E210" s="35">
        <v>2910906769</v>
      </c>
      <c r="F210" s="36" t="s">
        <v>222</v>
      </c>
      <c r="G210" s="37">
        <v>483310000</v>
      </c>
      <c r="H210" s="37">
        <v>51783214</v>
      </c>
      <c r="I210" s="38">
        <f t="shared" si="65"/>
        <v>0.1071428565516956</v>
      </c>
      <c r="J210" s="38">
        <f t="shared" si="66"/>
        <v>0.11999999925844695</v>
      </c>
      <c r="K210" s="37">
        <v>427353612</v>
      </c>
      <c r="L210" s="37">
        <f t="shared" si="64"/>
        <v>45787887</v>
      </c>
      <c r="M210" s="39">
        <v>33291400</v>
      </c>
      <c r="N210" s="37">
        <f t="shared" si="60"/>
        <v>12496487</v>
      </c>
      <c r="O210" s="40">
        <f t="shared" si="57"/>
        <v>4998595</v>
      </c>
      <c r="P210" s="41" t="s">
        <v>233</v>
      </c>
      <c r="Q210" s="55">
        <v>7597</v>
      </c>
      <c r="R210" s="42">
        <f t="shared" si="58"/>
        <v>7497892</v>
      </c>
      <c r="S210" s="55">
        <v>7598</v>
      </c>
      <c r="T210" s="55">
        <v>1396</v>
      </c>
      <c r="U210" s="55">
        <v>3397</v>
      </c>
      <c r="V210" s="34" t="s">
        <v>25</v>
      </c>
      <c r="W210" s="43">
        <v>44797</v>
      </c>
      <c r="X210" s="44" t="s">
        <v>243</v>
      </c>
    </row>
    <row r="211" spans="1:24" ht="17.45" customHeight="1" x14ac:dyDescent="0.25">
      <c r="A211" t="str">
        <f t="shared" si="63"/>
        <v>2910906770447977711910</v>
      </c>
      <c r="B211" s="6">
        <f t="shared" si="61"/>
        <v>45098</v>
      </c>
      <c r="C211" s="3">
        <f t="shared" si="62"/>
        <v>22588645</v>
      </c>
      <c r="D211" s="34">
        <v>2021</v>
      </c>
      <c r="E211" s="35">
        <v>2910906770</v>
      </c>
      <c r="F211" s="36" t="s">
        <v>223</v>
      </c>
      <c r="G211" s="37">
        <v>248617170</v>
      </c>
      <c r="H211" s="37">
        <v>26637554</v>
      </c>
      <c r="I211" s="38">
        <f t="shared" si="65"/>
        <v>0.1071428574301606</v>
      </c>
      <c r="J211" s="38">
        <f t="shared" si="66"/>
        <v>0.12000000036039345</v>
      </c>
      <c r="K211" s="37">
        <v>71977823</v>
      </c>
      <c r="L211" s="37">
        <f t="shared" si="64"/>
        <v>7711910</v>
      </c>
      <c r="M211" s="39">
        <v>2490611</v>
      </c>
      <c r="N211" s="37">
        <f t="shared" si="60"/>
        <v>5221299</v>
      </c>
      <c r="O211" s="40">
        <f t="shared" si="57"/>
        <v>2088520</v>
      </c>
      <c r="P211" s="41" t="s">
        <v>233</v>
      </c>
      <c r="Q211" s="55">
        <v>7599</v>
      </c>
      <c r="R211" s="42">
        <f t="shared" si="58"/>
        <v>3132779</v>
      </c>
      <c r="S211" s="55">
        <v>7600</v>
      </c>
      <c r="T211" s="55">
        <v>1397</v>
      </c>
      <c r="U211" s="55">
        <v>3398</v>
      </c>
      <c r="V211" s="34" t="s">
        <v>25</v>
      </c>
      <c r="W211" s="43">
        <v>44797</v>
      </c>
      <c r="X211" s="44"/>
    </row>
    <row r="212" spans="1:24" ht="17.45" customHeight="1" x14ac:dyDescent="0.25">
      <c r="A212" t="str">
        <f t="shared" si="63"/>
        <v>291090673144797118545925</v>
      </c>
      <c r="B212" s="6">
        <f t="shared" si="61"/>
        <v>44797</v>
      </c>
      <c r="C212" s="3">
        <f t="shared" si="62"/>
        <v>118545925</v>
      </c>
      <c r="D212" s="34">
        <v>2021</v>
      </c>
      <c r="E212" s="35">
        <v>2910906731</v>
      </c>
      <c r="F212" s="36" t="s">
        <v>109</v>
      </c>
      <c r="G212" s="37">
        <v>1106428623</v>
      </c>
      <c r="H212" s="37">
        <v>118545925</v>
      </c>
      <c r="I212" s="38">
        <f t="shared" si="65"/>
        <v>0.10714285814350268</v>
      </c>
      <c r="J212" s="38">
        <f t="shared" si="66"/>
        <v>0.12000000125520975</v>
      </c>
      <c r="K212" s="37">
        <v>1106428623</v>
      </c>
      <c r="L212" s="37">
        <f t="shared" si="64"/>
        <v>118545925</v>
      </c>
      <c r="M212" s="39">
        <v>85723134</v>
      </c>
      <c r="N212" s="37">
        <f t="shared" si="60"/>
        <v>32822791</v>
      </c>
      <c r="O212" s="40">
        <f t="shared" ref="O212:O240" si="67">ROUND((N212*40%),0)</f>
        <v>13129116</v>
      </c>
      <c r="P212" s="41" t="s">
        <v>233</v>
      </c>
      <c r="Q212" s="55">
        <v>7601</v>
      </c>
      <c r="R212" s="42">
        <f t="shared" ref="R212:R243" si="68">+N212-O212</f>
        <v>19693675</v>
      </c>
      <c r="S212" s="55">
        <v>7602</v>
      </c>
      <c r="T212" s="55">
        <v>1398</v>
      </c>
      <c r="U212" s="55">
        <v>3399</v>
      </c>
      <c r="V212" s="34" t="s">
        <v>25</v>
      </c>
      <c r="W212" s="43">
        <v>44797</v>
      </c>
      <c r="X212" s="44" t="s">
        <v>244</v>
      </c>
    </row>
    <row r="213" spans="1:24" ht="17.45" customHeight="1" x14ac:dyDescent="0.25">
      <c r="A213" t="str">
        <f t="shared" si="63"/>
        <v>2910906773447987945463</v>
      </c>
      <c r="B213" s="6">
        <f t="shared" si="61"/>
        <v>45043</v>
      </c>
      <c r="C213" s="3">
        <f t="shared" si="62"/>
        <v>15162255</v>
      </c>
      <c r="D213" s="34">
        <v>2021</v>
      </c>
      <c r="E213" s="35">
        <v>2910906773</v>
      </c>
      <c r="F213" s="36" t="s">
        <v>224</v>
      </c>
      <c r="G213" s="37">
        <v>248617174</v>
      </c>
      <c r="H213" s="37">
        <v>26637554</v>
      </c>
      <c r="I213" s="38">
        <f t="shared" si="65"/>
        <v>0.1071428557063399</v>
      </c>
      <c r="J213" s="38">
        <f t="shared" si="66"/>
        <v>0.11999999819803278</v>
      </c>
      <c r="K213" s="37">
        <v>74157657</v>
      </c>
      <c r="L213" s="37">
        <f t="shared" si="64"/>
        <v>7945463</v>
      </c>
      <c r="M213" s="39">
        <v>2490611</v>
      </c>
      <c r="N213" s="37">
        <f t="shared" si="60"/>
        <v>5454852</v>
      </c>
      <c r="O213" s="40">
        <f t="shared" si="67"/>
        <v>2181941</v>
      </c>
      <c r="P213" s="41" t="s">
        <v>233</v>
      </c>
      <c r="Q213" s="55">
        <v>7796</v>
      </c>
      <c r="R213" s="42">
        <f t="shared" si="68"/>
        <v>3272911</v>
      </c>
      <c r="S213" s="55">
        <v>7797</v>
      </c>
      <c r="T213" s="55">
        <v>1418</v>
      </c>
      <c r="U213" s="55">
        <v>3614</v>
      </c>
      <c r="V213" s="34" t="s">
        <v>25</v>
      </c>
      <c r="W213" s="43">
        <v>44798</v>
      </c>
      <c r="X213" s="44" t="s">
        <v>243</v>
      </c>
    </row>
    <row r="214" spans="1:24" ht="17.45" customHeight="1" x14ac:dyDescent="0.25">
      <c r="A214" t="str">
        <f t="shared" si="63"/>
        <v>2910906778447981317857</v>
      </c>
      <c r="B214" s="6">
        <f t="shared" si="61"/>
        <v>45588</v>
      </c>
      <c r="C214" s="3">
        <f t="shared" si="62"/>
        <v>2142857</v>
      </c>
      <c r="D214" s="34">
        <v>2022</v>
      </c>
      <c r="E214" s="35">
        <v>2910906778</v>
      </c>
      <c r="F214" s="36" t="s">
        <v>245</v>
      </c>
      <c r="G214" s="37">
        <v>20000000</v>
      </c>
      <c r="H214" s="37">
        <v>2142857</v>
      </c>
      <c r="I214" s="38">
        <f t="shared" si="65"/>
        <v>0.10714285</v>
      </c>
      <c r="J214" s="38">
        <f t="shared" si="66"/>
        <v>0.11999999104000007</v>
      </c>
      <c r="K214" s="37">
        <v>12300000</v>
      </c>
      <c r="L214" s="37">
        <f t="shared" si="64"/>
        <v>1317857</v>
      </c>
      <c r="M214" s="39">
        <v>0</v>
      </c>
      <c r="N214" s="37">
        <f t="shared" si="60"/>
        <v>1317857</v>
      </c>
      <c r="O214" s="40">
        <f t="shared" si="67"/>
        <v>527143</v>
      </c>
      <c r="P214" s="41" t="s">
        <v>233</v>
      </c>
      <c r="Q214" s="55">
        <v>7798</v>
      </c>
      <c r="R214" s="42">
        <f t="shared" si="68"/>
        <v>790714</v>
      </c>
      <c r="S214" s="55">
        <v>7799</v>
      </c>
      <c r="T214" s="55">
        <v>1419</v>
      </c>
      <c r="U214" s="55">
        <v>3615</v>
      </c>
      <c r="V214" s="34" t="s">
        <v>25</v>
      </c>
      <c r="W214" s="43">
        <v>44798</v>
      </c>
      <c r="X214" s="44" t="s">
        <v>243</v>
      </c>
    </row>
    <row r="215" spans="1:24" ht="17.45" customHeight="1" x14ac:dyDescent="0.25">
      <c r="A215" t="str">
        <f t="shared" si="63"/>
        <v>29109067844479817789272</v>
      </c>
      <c r="B215" s="6">
        <f t="shared" si="61"/>
        <v>44900</v>
      </c>
      <c r="C215" s="3">
        <f t="shared" si="62"/>
        <v>55236934</v>
      </c>
      <c r="D215" s="34">
        <v>2022</v>
      </c>
      <c r="E215" s="35">
        <v>2910906784</v>
      </c>
      <c r="F215" s="36" t="s">
        <v>246</v>
      </c>
      <c r="G215" s="37">
        <v>434569106</v>
      </c>
      <c r="H215" s="37">
        <v>46560976</v>
      </c>
      <c r="I215" s="38">
        <f t="shared" si="65"/>
        <v>0.10714285796468928</v>
      </c>
      <c r="J215" s="38">
        <f t="shared" si="66"/>
        <v>0.12000000103090623</v>
      </c>
      <c r="K215" s="37">
        <v>166033200</v>
      </c>
      <c r="L215" s="37">
        <f t="shared" si="64"/>
        <v>17789272</v>
      </c>
      <c r="M215" s="39">
        <v>0</v>
      </c>
      <c r="N215" s="37">
        <f t="shared" si="60"/>
        <v>17789272</v>
      </c>
      <c r="O215" s="40">
        <f t="shared" si="67"/>
        <v>7115709</v>
      </c>
      <c r="P215" s="41" t="s">
        <v>233</v>
      </c>
      <c r="Q215" s="55">
        <v>7800</v>
      </c>
      <c r="R215" s="42">
        <f t="shared" si="68"/>
        <v>10673563</v>
      </c>
      <c r="S215" s="55">
        <v>7801</v>
      </c>
      <c r="T215" s="55">
        <v>1420</v>
      </c>
      <c r="U215" s="55">
        <v>3616</v>
      </c>
      <c r="V215" s="34" t="s">
        <v>25</v>
      </c>
      <c r="W215" s="43">
        <v>44798</v>
      </c>
      <c r="X215" s="44" t="s">
        <v>243</v>
      </c>
    </row>
    <row r="216" spans="1:24" ht="17.45" customHeight="1" x14ac:dyDescent="0.25">
      <c r="A216" t="str">
        <f t="shared" si="63"/>
        <v>2453018329447981433670</v>
      </c>
      <c r="B216" s="6">
        <f t="shared" si="61"/>
        <v>44860</v>
      </c>
      <c r="C216" s="3">
        <f t="shared" si="62"/>
        <v>2464286</v>
      </c>
      <c r="D216" s="34">
        <v>2021</v>
      </c>
      <c r="E216" s="35">
        <v>2453018329</v>
      </c>
      <c r="F216" s="36" t="s">
        <v>247</v>
      </c>
      <c r="G216" s="37">
        <v>23000000</v>
      </c>
      <c r="H216" s="37">
        <v>2464286</v>
      </c>
      <c r="I216" s="38">
        <f t="shared" si="65"/>
        <v>0.10714286956521739</v>
      </c>
      <c r="J216" s="38">
        <f t="shared" si="66"/>
        <v>0.12000001558260891</v>
      </c>
      <c r="K216" s="37">
        <v>13380920</v>
      </c>
      <c r="L216" s="37">
        <f t="shared" si="64"/>
        <v>1433670</v>
      </c>
      <c r="M216" s="39">
        <v>0</v>
      </c>
      <c r="N216" s="37">
        <f t="shared" si="60"/>
        <v>1433670</v>
      </c>
      <c r="O216" s="40">
        <f t="shared" si="67"/>
        <v>573468</v>
      </c>
      <c r="P216" s="41" t="s">
        <v>233</v>
      </c>
      <c r="Q216" s="55">
        <v>7625</v>
      </c>
      <c r="R216" s="42">
        <f t="shared" si="68"/>
        <v>860202</v>
      </c>
      <c r="S216" s="55">
        <v>7626</v>
      </c>
      <c r="T216" s="55">
        <v>1408</v>
      </c>
      <c r="U216" s="55">
        <v>3405</v>
      </c>
      <c r="V216" s="34" t="s">
        <v>25</v>
      </c>
      <c r="W216" s="43">
        <v>44798</v>
      </c>
      <c r="X216" s="44" t="s">
        <v>243</v>
      </c>
    </row>
    <row r="217" spans="1:24" ht="17.45" customHeight="1" x14ac:dyDescent="0.25">
      <c r="A217" t="str">
        <f t="shared" si="63"/>
        <v>291090678744798730710</v>
      </c>
      <c r="B217" s="6">
        <f t="shared" si="61"/>
        <v>45498</v>
      </c>
      <c r="C217" s="3">
        <f t="shared" si="62"/>
        <v>15148141.171637964</v>
      </c>
      <c r="D217" s="34">
        <v>2022</v>
      </c>
      <c r="E217" s="35">
        <v>2910906787</v>
      </c>
      <c r="F217" s="36" t="s">
        <v>248</v>
      </c>
      <c r="G217" s="37">
        <v>120252560</v>
      </c>
      <c r="H217" s="37">
        <v>12884203</v>
      </c>
      <c r="I217" s="38">
        <f t="shared" si="65"/>
        <v>0.10714285833083304</v>
      </c>
      <c r="J217" s="38">
        <f t="shared" si="66"/>
        <v>0.12000000149019696</v>
      </c>
      <c r="K217" s="37">
        <v>6819962</v>
      </c>
      <c r="L217" s="37">
        <f t="shared" si="64"/>
        <v>730710</v>
      </c>
      <c r="M217" s="39">
        <v>0</v>
      </c>
      <c r="N217" s="37">
        <f t="shared" si="60"/>
        <v>730710</v>
      </c>
      <c r="O217" s="40">
        <f t="shared" si="67"/>
        <v>292284</v>
      </c>
      <c r="P217" s="41" t="s">
        <v>233</v>
      </c>
      <c r="Q217" s="55">
        <v>7627</v>
      </c>
      <c r="R217" s="42">
        <f t="shared" si="68"/>
        <v>438426</v>
      </c>
      <c r="S217" s="55">
        <v>7628</v>
      </c>
      <c r="T217" s="55">
        <v>1409</v>
      </c>
      <c r="U217" s="55">
        <v>3406</v>
      </c>
      <c r="V217" s="34" t="s">
        <v>25</v>
      </c>
      <c r="W217" s="43">
        <v>44798</v>
      </c>
      <c r="X217" s="44" t="s">
        <v>243</v>
      </c>
    </row>
    <row r="218" spans="1:24" ht="17.45" customHeight="1" x14ac:dyDescent="0.25">
      <c r="A218" t="str">
        <f t="shared" si="63"/>
        <v>245301830144798115708626</v>
      </c>
      <c r="B218" s="6">
        <f t="shared" si="61"/>
        <v>45099</v>
      </c>
      <c r="C218" s="3">
        <f t="shared" si="62"/>
        <v>133063733</v>
      </c>
      <c r="D218" s="34">
        <v>2019</v>
      </c>
      <c r="E218" s="35">
        <v>2453018301</v>
      </c>
      <c r="F218" s="36" t="s">
        <v>35</v>
      </c>
      <c r="G218" s="37">
        <f>941984000+470992000</f>
        <v>1412976000</v>
      </c>
      <c r="H218" s="37">
        <v>151390286</v>
      </c>
      <c r="I218" s="38">
        <f t="shared" si="65"/>
        <v>0.1071428573450646</v>
      </c>
      <c r="J218" s="38">
        <f t="shared" si="66"/>
        <v>0.12000000025364904</v>
      </c>
      <c r="K218" s="37">
        <v>1079947170</v>
      </c>
      <c r="L218" s="37">
        <f t="shared" si="64"/>
        <v>115708626</v>
      </c>
      <c r="M218" s="39">
        <f>+M199+N199</f>
        <v>114637626</v>
      </c>
      <c r="N218" s="37">
        <f t="shared" si="60"/>
        <v>1071000</v>
      </c>
      <c r="O218" s="40">
        <f t="shared" si="67"/>
        <v>428400</v>
      </c>
      <c r="P218" s="41" t="s">
        <v>233</v>
      </c>
      <c r="Q218" s="55">
        <v>7629</v>
      </c>
      <c r="R218" s="42">
        <f t="shared" si="68"/>
        <v>642600</v>
      </c>
      <c r="S218" s="55">
        <v>7630</v>
      </c>
      <c r="T218" s="55">
        <v>1410</v>
      </c>
      <c r="U218" s="55">
        <v>3407</v>
      </c>
      <c r="V218" s="34" t="s">
        <v>25</v>
      </c>
      <c r="W218" s="43">
        <v>44798</v>
      </c>
      <c r="X218" s="44" t="s">
        <v>243</v>
      </c>
    </row>
    <row r="219" spans="1:24" ht="17.45" customHeight="1" x14ac:dyDescent="0.25">
      <c r="A219" t="str">
        <f t="shared" si="63"/>
        <v>24530183134479847768956</v>
      </c>
      <c r="B219" s="6">
        <f t="shared" si="61"/>
        <v>44893</v>
      </c>
      <c r="C219" s="3">
        <f t="shared" si="62"/>
        <v>58229680</v>
      </c>
      <c r="D219" s="34">
        <v>2021</v>
      </c>
      <c r="E219" s="35">
        <v>2453018313</v>
      </c>
      <c r="F219" s="36" t="s">
        <v>157</v>
      </c>
      <c r="G219" s="37">
        <v>419170248</v>
      </c>
      <c r="H219" s="37">
        <v>44911098</v>
      </c>
      <c r="I219" s="38">
        <f t="shared" si="65"/>
        <v>0.10714285714285714</v>
      </c>
      <c r="J219" s="38">
        <f t="shared" si="66"/>
        <v>0.12</v>
      </c>
      <c r="K219" s="37">
        <v>445843586</v>
      </c>
      <c r="L219" s="37">
        <f t="shared" si="64"/>
        <v>47768956</v>
      </c>
      <c r="M219" s="39">
        <v>22455559</v>
      </c>
      <c r="N219" s="37">
        <f t="shared" si="60"/>
        <v>25313397</v>
      </c>
      <c r="O219" s="40">
        <f t="shared" si="67"/>
        <v>10125359</v>
      </c>
      <c r="P219" s="41" t="s">
        <v>233</v>
      </c>
      <c r="Q219" s="55">
        <v>7631</v>
      </c>
      <c r="R219" s="42">
        <f t="shared" si="68"/>
        <v>15188038</v>
      </c>
      <c r="S219" s="55">
        <v>7632</v>
      </c>
      <c r="T219" s="55">
        <v>1411</v>
      </c>
      <c r="U219" s="55">
        <v>3408</v>
      </c>
      <c r="V219" s="34" t="s">
        <v>25</v>
      </c>
      <c r="W219" s="43">
        <v>44798</v>
      </c>
      <c r="X219" s="44" t="s">
        <v>243</v>
      </c>
    </row>
    <row r="220" spans="1:24" ht="17.45" customHeight="1" x14ac:dyDescent="0.25">
      <c r="A220" t="str">
        <f t="shared" si="63"/>
        <v>24530183184479851364286</v>
      </c>
      <c r="B220" s="6">
        <f t="shared" si="61"/>
        <v>44894</v>
      </c>
      <c r="C220" s="3">
        <f t="shared" si="62"/>
        <v>52060714</v>
      </c>
      <c r="D220" s="34">
        <v>2021</v>
      </c>
      <c r="E220" s="35">
        <v>2453018318</v>
      </c>
      <c r="F220" s="36" t="s">
        <v>191</v>
      </c>
      <c r="G220" s="37">
        <v>595495040</v>
      </c>
      <c r="H220" s="37">
        <v>63803040</v>
      </c>
      <c r="I220" s="38">
        <f t="shared" si="65"/>
        <v>0.10714285714285714</v>
      </c>
      <c r="J220" s="38">
        <f t="shared" si="66"/>
        <v>0.12</v>
      </c>
      <c r="K220" s="37">
        <v>479400000</v>
      </c>
      <c r="L220" s="37">
        <f t="shared" si="64"/>
        <v>51364286</v>
      </c>
      <c r="M220" s="39">
        <v>39304983</v>
      </c>
      <c r="N220" s="37">
        <f t="shared" si="60"/>
        <v>12059303</v>
      </c>
      <c r="O220" s="40">
        <f t="shared" si="67"/>
        <v>4823721</v>
      </c>
      <c r="P220" s="41" t="s">
        <v>233</v>
      </c>
      <c r="Q220" s="55">
        <v>7633</v>
      </c>
      <c r="R220" s="42">
        <f t="shared" si="68"/>
        <v>7235582</v>
      </c>
      <c r="S220" s="55">
        <v>7634</v>
      </c>
      <c r="T220" s="55">
        <v>1412</v>
      </c>
      <c r="U220" s="55">
        <v>3409</v>
      </c>
      <c r="V220" s="34" t="s">
        <v>25</v>
      </c>
      <c r="W220" s="43">
        <v>44798</v>
      </c>
      <c r="X220" s="44" t="s">
        <v>243</v>
      </c>
    </row>
    <row r="221" spans="1:24" ht="17.45" customHeight="1" x14ac:dyDescent="0.25">
      <c r="A221" t="str">
        <f t="shared" si="63"/>
        <v>24530183254479830201000</v>
      </c>
      <c r="B221" s="6">
        <f t="shared" si="61"/>
        <v>45042</v>
      </c>
      <c r="C221" s="3">
        <f t="shared" si="62"/>
        <v>78962612</v>
      </c>
      <c r="D221" s="34">
        <v>2021</v>
      </c>
      <c r="E221" s="35">
        <v>2453018325</v>
      </c>
      <c r="F221" s="36" t="s">
        <v>194</v>
      </c>
      <c r="G221" s="37">
        <v>744689120</v>
      </c>
      <c r="H221" s="37">
        <v>79788120</v>
      </c>
      <c r="I221" s="38">
        <f t="shared" si="65"/>
        <v>0.10714285714285714</v>
      </c>
      <c r="J221" s="38">
        <f t="shared" si="66"/>
        <v>0.12</v>
      </c>
      <c r="K221" s="37">
        <v>281875996</v>
      </c>
      <c r="L221" s="37">
        <f t="shared" si="64"/>
        <v>30201000</v>
      </c>
      <c r="M221" s="39">
        <f>+M200+N200</f>
        <v>18587167</v>
      </c>
      <c r="N221" s="37">
        <f t="shared" si="60"/>
        <v>11613833</v>
      </c>
      <c r="O221" s="40">
        <f t="shared" si="67"/>
        <v>4645533</v>
      </c>
      <c r="P221" s="41" t="s">
        <v>233</v>
      </c>
      <c r="Q221" s="55">
        <v>7635</v>
      </c>
      <c r="R221" s="42">
        <f t="shared" si="68"/>
        <v>6968300</v>
      </c>
      <c r="S221" s="55">
        <v>7636</v>
      </c>
      <c r="T221" s="55">
        <v>1413</v>
      </c>
      <c r="U221" s="55">
        <v>3410</v>
      </c>
      <c r="V221" s="34" t="s">
        <v>25</v>
      </c>
      <c r="W221" s="43">
        <v>44798</v>
      </c>
      <c r="X221" s="44" t="s">
        <v>243</v>
      </c>
    </row>
    <row r="222" spans="1:24" ht="17.45" customHeight="1" x14ac:dyDescent="0.25">
      <c r="A222" t="str">
        <f t="shared" si="63"/>
        <v>2910906751448138431071</v>
      </c>
      <c r="B222" s="6">
        <f t="shared" si="61"/>
        <v>44813</v>
      </c>
      <c r="C222" s="3">
        <f t="shared" si="62"/>
        <v>8431071</v>
      </c>
      <c r="D222" s="34">
        <v>2021</v>
      </c>
      <c r="E222" s="35">
        <v>2910906751</v>
      </c>
      <c r="F222" s="36" t="s">
        <v>173</v>
      </c>
      <c r="G222" s="37">
        <v>78690000</v>
      </c>
      <c r="H222" s="37">
        <v>8431071</v>
      </c>
      <c r="I222" s="38">
        <f t="shared" si="65"/>
        <v>0.10714285169653069</v>
      </c>
      <c r="J222" s="38">
        <f t="shared" si="66"/>
        <v>0.11999999316812814</v>
      </c>
      <c r="K222" s="37">
        <v>78690000</v>
      </c>
      <c r="L222" s="37">
        <f t="shared" si="64"/>
        <v>8431071</v>
      </c>
      <c r="M222" s="39">
        <v>4215536</v>
      </c>
      <c r="N222" s="37">
        <f t="shared" si="60"/>
        <v>4215535</v>
      </c>
      <c r="O222" s="40">
        <f t="shared" si="67"/>
        <v>1686214</v>
      </c>
      <c r="P222" s="41" t="s">
        <v>233</v>
      </c>
      <c r="Q222" s="55">
        <v>8048</v>
      </c>
      <c r="R222" s="42">
        <f t="shared" si="68"/>
        <v>2529321</v>
      </c>
      <c r="S222" s="55">
        <v>8049</v>
      </c>
      <c r="T222" s="55">
        <v>1447</v>
      </c>
      <c r="U222" s="55">
        <v>3997</v>
      </c>
      <c r="V222" s="34" t="s">
        <v>25</v>
      </c>
      <c r="W222" s="43">
        <v>44813</v>
      </c>
      <c r="X222" s="44" t="s">
        <v>249</v>
      </c>
    </row>
    <row r="223" spans="1:24" ht="17.45" customHeight="1" x14ac:dyDescent="0.25">
      <c r="A223" t="str">
        <f t="shared" si="63"/>
        <v>2910908043448131105339</v>
      </c>
      <c r="B223" s="6">
        <f t="shared" si="61"/>
        <v>44813</v>
      </c>
      <c r="C223" s="3">
        <f t="shared" si="62"/>
        <v>1105339</v>
      </c>
      <c r="D223" s="34">
        <v>2021</v>
      </c>
      <c r="E223" s="35">
        <v>2910908043</v>
      </c>
      <c r="F223" s="36" t="s">
        <v>250</v>
      </c>
      <c r="G223" s="37">
        <v>10909669</v>
      </c>
      <c r="H223" s="37">
        <v>1105339</v>
      </c>
      <c r="I223" s="38">
        <f t="shared" si="65"/>
        <v>0.10131737269022552</v>
      </c>
      <c r="J223" s="38">
        <f t="shared" si="66"/>
        <v>0.11273988125654685</v>
      </c>
      <c r="K223" s="37">
        <v>10909669</v>
      </c>
      <c r="L223" s="37">
        <f t="shared" si="64"/>
        <v>1105339</v>
      </c>
      <c r="M223" s="39">
        <v>0</v>
      </c>
      <c r="N223" s="37">
        <f t="shared" si="60"/>
        <v>1105339</v>
      </c>
      <c r="O223" s="40">
        <f t="shared" si="67"/>
        <v>442136</v>
      </c>
      <c r="P223" s="41" t="s">
        <v>233</v>
      </c>
      <c r="Q223" s="55">
        <v>8529</v>
      </c>
      <c r="R223" s="42">
        <f t="shared" si="68"/>
        <v>663203</v>
      </c>
      <c r="S223" s="55">
        <v>8530</v>
      </c>
      <c r="T223" s="55">
        <v>1512</v>
      </c>
      <c r="U223" s="55">
        <v>4419</v>
      </c>
      <c r="V223" s="34" t="s">
        <v>25</v>
      </c>
      <c r="W223" s="43">
        <v>44813</v>
      </c>
      <c r="X223" s="44" t="s">
        <v>251</v>
      </c>
    </row>
    <row r="224" spans="1:24" ht="17.45" customHeight="1" x14ac:dyDescent="0.25">
      <c r="A224" t="str">
        <f t="shared" si="63"/>
        <v>245301750244819179388416</v>
      </c>
      <c r="B224" s="6">
        <f t="shared" si="61"/>
        <v>45133</v>
      </c>
      <c r="C224" s="3">
        <f t="shared" si="62"/>
        <v>358776831</v>
      </c>
      <c r="D224" s="34">
        <v>2021</v>
      </c>
      <c r="E224" s="35">
        <v>2453017502</v>
      </c>
      <c r="F224" s="36" t="s">
        <v>252</v>
      </c>
      <c r="G224" s="37">
        <v>5408592000</v>
      </c>
      <c r="H224" s="37">
        <v>597961385</v>
      </c>
      <c r="I224" s="38">
        <f t="shared" si="65"/>
        <v>0.11055768026133234</v>
      </c>
      <c r="J224" s="38">
        <f t="shared" si="66"/>
        <v>0.12429999990760048</v>
      </c>
      <c r="K224" s="37">
        <v>1622577600</v>
      </c>
      <c r="L224" s="37">
        <f t="shared" si="64"/>
        <v>179388416</v>
      </c>
      <c r="M224" s="39">
        <v>0</v>
      </c>
      <c r="N224" s="37">
        <f t="shared" si="60"/>
        <v>179388416</v>
      </c>
      <c r="O224" s="40">
        <f t="shared" si="67"/>
        <v>71755366</v>
      </c>
      <c r="P224" s="41" t="s">
        <v>233</v>
      </c>
      <c r="Q224" s="55">
        <v>8531</v>
      </c>
      <c r="R224" s="42">
        <f t="shared" si="68"/>
        <v>107633050</v>
      </c>
      <c r="S224" s="55">
        <v>8532</v>
      </c>
      <c r="T224" s="55">
        <v>1632</v>
      </c>
      <c r="U224" s="55">
        <v>4582</v>
      </c>
      <c r="V224" s="34" t="s">
        <v>25</v>
      </c>
      <c r="W224" s="43">
        <v>44819</v>
      </c>
      <c r="X224" s="44" t="s">
        <v>253</v>
      </c>
    </row>
    <row r="225" spans="1:24" ht="17.45" customHeight="1" x14ac:dyDescent="0.25">
      <c r="A225" t="str">
        <f t="shared" si="63"/>
        <v>29109065254483162597854</v>
      </c>
      <c r="B225" s="6">
        <f t="shared" si="61"/>
        <v>44831</v>
      </c>
      <c r="C225" s="3">
        <f t="shared" si="62"/>
        <v>62597854</v>
      </c>
      <c r="D225" s="34">
        <v>2018</v>
      </c>
      <c r="E225" s="35">
        <v>2910906525</v>
      </c>
      <c r="F225" s="36" t="s">
        <v>254</v>
      </c>
      <c r="G225" s="37">
        <v>584246639</v>
      </c>
      <c r="H225" s="37">
        <v>62597854</v>
      </c>
      <c r="I225" s="38">
        <f t="shared" si="65"/>
        <v>0.10714285683721322</v>
      </c>
      <c r="J225" s="38">
        <f t="shared" si="66"/>
        <v>0.11999999961660028</v>
      </c>
      <c r="K225" s="37">
        <v>584246639</v>
      </c>
      <c r="L225" s="37">
        <f t="shared" si="64"/>
        <v>62597854</v>
      </c>
      <c r="M225" s="39">
        <v>51828610</v>
      </c>
      <c r="N225" s="37">
        <f t="shared" si="60"/>
        <v>10769244</v>
      </c>
      <c r="O225" s="40">
        <f t="shared" si="67"/>
        <v>4307698</v>
      </c>
      <c r="P225" s="41" t="s">
        <v>233</v>
      </c>
      <c r="Q225" s="55">
        <v>8533</v>
      </c>
      <c r="R225" s="42">
        <f t="shared" si="68"/>
        <v>6461546</v>
      </c>
      <c r="S225" s="55">
        <v>8534</v>
      </c>
      <c r="T225" s="55">
        <v>1633</v>
      </c>
      <c r="U225" s="55">
        <v>4583</v>
      </c>
      <c r="V225" s="34" t="s">
        <v>25</v>
      </c>
      <c r="W225" s="43">
        <v>44831</v>
      </c>
      <c r="X225" s="44" t="s">
        <v>255</v>
      </c>
    </row>
    <row r="226" spans="1:24" ht="17.45" customHeight="1" x14ac:dyDescent="0.25">
      <c r="A226" t="str">
        <f t="shared" si="63"/>
        <v>245301999644831190206861</v>
      </c>
      <c r="B226" s="6">
        <f t="shared" si="61"/>
        <v>44831</v>
      </c>
      <c r="C226" s="3">
        <f t="shared" si="62"/>
        <v>190206861</v>
      </c>
      <c r="D226" s="34">
        <v>2016</v>
      </c>
      <c r="E226" s="35">
        <v>2453019996</v>
      </c>
      <c r="F226" s="36" t="s">
        <v>256</v>
      </c>
      <c r="G226" s="37">
        <v>1829508300</v>
      </c>
      <c r="H226" s="37">
        <v>196018746</v>
      </c>
      <c r="I226" s="38">
        <f t="shared" si="65"/>
        <v>0.10714285690860216</v>
      </c>
      <c r="J226" s="38">
        <f t="shared" si="66"/>
        <v>0.11999999970615055</v>
      </c>
      <c r="K226" s="37">
        <v>1775264037</v>
      </c>
      <c r="L226" s="37">
        <f t="shared" si="64"/>
        <v>190206861</v>
      </c>
      <c r="M226" s="39">
        <v>188205672</v>
      </c>
      <c r="N226" s="37">
        <f t="shared" si="60"/>
        <v>2001189</v>
      </c>
      <c r="O226" s="40">
        <f t="shared" si="67"/>
        <v>800476</v>
      </c>
      <c r="P226" s="41" t="s">
        <v>233</v>
      </c>
      <c r="Q226" s="55">
        <v>8535</v>
      </c>
      <c r="R226" s="42">
        <f t="shared" si="68"/>
        <v>1200713</v>
      </c>
      <c r="S226" s="55">
        <v>8536</v>
      </c>
      <c r="T226" s="55">
        <v>1634</v>
      </c>
      <c r="U226" s="55">
        <v>4584</v>
      </c>
      <c r="V226" s="34" t="s">
        <v>25</v>
      </c>
      <c r="W226" s="43">
        <v>44831</v>
      </c>
      <c r="X226" s="44" t="s">
        <v>255</v>
      </c>
    </row>
    <row r="227" spans="1:24" ht="17.45" customHeight="1" x14ac:dyDescent="0.25">
      <c r="A227" t="str">
        <f t="shared" si="63"/>
        <v>2910906790448482882256</v>
      </c>
      <c r="B227" s="6">
        <f t="shared" si="61"/>
        <v>45064</v>
      </c>
      <c r="C227" s="3">
        <f t="shared" si="62"/>
        <v>163276433</v>
      </c>
      <c r="D227" s="34">
        <v>2022</v>
      </c>
      <c r="E227" s="35">
        <v>2910906790</v>
      </c>
      <c r="F227" s="36" t="s">
        <v>257</v>
      </c>
      <c r="G227" s="37">
        <v>1020000000</v>
      </c>
      <c r="H227" s="37">
        <v>109290000</v>
      </c>
      <c r="I227" s="38">
        <f t="shared" si="65"/>
        <v>0.10714705882352941</v>
      </c>
      <c r="J227" s="38">
        <f t="shared" si="66"/>
        <v>0.12000527061303817</v>
      </c>
      <c r="K227" s="37">
        <v>26900000</v>
      </c>
      <c r="L227" s="37">
        <f t="shared" si="64"/>
        <v>2882256</v>
      </c>
      <c r="M227" s="39">
        <v>0</v>
      </c>
      <c r="N227" s="37">
        <f t="shared" si="60"/>
        <v>2882256</v>
      </c>
      <c r="O227" s="40">
        <f t="shared" si="67"/>
        <v>1152902</v>
      </c>
      <c r="P227" s="41" t="s">
        <v>258</v>
      </c>
      <c r="Q227" s="55">
        <v>8886</v>
      </c>
      <c r="R227" s="42">
        <f t="shared" si="68"/>
        <v>1729354</v>
      </c>
      <c r="S227" s="55">
        <v>8887</v>
      </c>
      <c r="T227" s="55">
        <v>1767</v>
      </c>
      <c r="U227" s="55">
        <v>4750</v>
      </c>
      <c r="V227" s="34" t="s">
        <v>25</v>
      </c>
      <c r="W227" s="43">
        <v>44848</v>
      </c>
      <c r="X227" s="44" t="s">
        <v>259</v>
      </c>
    </row>
    <row r="228" spans="1:24" ht="17.45" customHeight="1" x14ac:dyDescent="0.25">
      <c r="A228" t="str">
        <f t="shared" si="63"/>
        <v>2910906772448547654312</v>
      </c>
      <c r="B228" s="6">
        <f t="shared" si="61"/>
        <v>45316</v>
      </c>
      <c r="C228" s="3">
        <f t="shared" si="62"/>
        <v>16508624</v>
      </c>
      <c r="D228" s="34">
        <v>2021</v>
      </c>
      <c r="E228" s="35">
        <v>2910906772</v>
      </c>
      <c r="F228" s="36" t="s">
        <v>260</v>
      </c>
      <c r="G228" s="37">
        <f>125000000+14560000+26924712+19978166</f>
        <v>186462878</v>
      </c>
      <c r="H228" s="37">
        <v>19978166</v>
      </c>
      <c r="I228" s="38">
        <f t="shared" si="65"/>
        <v>0.10714285982435603</v>
      </c>
      <c r="J228" s="38">
        <f t="shared" si="66"/>
        <v>0.12000000336367221</v>
      </c>
      <c r="K228" s="37">
        <v>71440241</v>
      </c>
      <c r="L228" s="37">
        <f t="shared" si="64"/>
        <v>7654312</v>
      </c>
      <c r="M228" s="39">
        <v>0</v>
      </c>
      <c r="N228" s="37">
        <f t="shared" si="60"/>
        <v>7654312</v>
      </c>
      <c r="O228" s="40">
        <f t="shared" si="67"/>
        <v>3061725</v>
      </c>
      <c r="P228" s="41" t="s">
        <v>258</v>
      </c>
      <c r="Q228" s="55"/>
      <c r="R228" s="42">
        <f t="shared" si="68"/>
        <v>4592587</v>
      </c>
      <c r="S228" s="55"/>
      <c r="T228" s="55">
        <v>1781</v>
      </c>
      <c r="U228" s="55"/>
      <c r="V228" s="34" t="s">
        <v>261</v>
      </c>
      <c r="W228" s="43">
        <v>44854</v>
      </c>
      <c r="X228" s="44" t="s">
        <v>262</v>
      </c>
    </row>
    <row r="229" spans="1:24" ht="17.45" customHeight="1" x14ac:dyDescent="0.25">
      <c r="A229" t="str">
        <f t="shared" si="63"/>
        <v>2453018329448602464286</v>
      </c>
      <c r="B229" s="6">
        <f t="shared" si="61"/>
        <v>44860</v>
      </c>
      <c r="C229" s="3">
        <f t="shared" si="62"/>
        <v>2464286</v>
      </c>
      <c r="D229" s="34">
        <v>2021</v>
      </c>
      <c r="E229" s="35">
        <v>2453018329</v>
      </c>
      <c r="F229" s="36" t="s">
        <v>247</v>
      </c>
      <c r="G229" s="37">
        <v>23000000</v>
      </c>
      <c r="H229" s="37">
        <v>2464286</v>
      </c>
      <c r="I229" s="38">
        <f t="shared" si="65"/>
        <v>0.10714286956521739</v>
      </c>
      <c r="J229" s="38">
        <f t="shared" si="66"/>
        <v>0.12000001558260891</v>
      </c>
      <c r="K229" s="37">
        <f>G229-13380920</f>
        <v>9619080</v>
      </c>
      <c r="L229" s="37">
        <v>2464286</v>
      </c>
      <c r="M229" s="39">
        <f>N216</f>
        <v>1433670</v>
      </c>
      <c r="N229" s="37">
        <f t="shared" si="60"/>
        <v>1030616</v>
      </c>
      <c r="O229" s="40">
        <f t="shared" si="67"/>
        <v>412246</v>
      </c>
      <c r="P229" s="41" t="s">
        <v>258</v>
      </c>
      <c r="Q229" s="55"/>
      <c r="R229" s="42">
        <f t="shared" si="68"/>
        <v>618370</v>
      </c>
      <c r="S229" s="55"/>
      <c r="T229" s="55"/>
      <c r="U229" s="55"/>
      <c r="V229" s="34" t="s">
        <v>261</v>
      </c>
      <c r="W229" s="43">
        <v>44860</v>
      </c>
      <c r="X229" s="44" t="s">
        <v>263</v>
      </c>
    </row>
    <row r="230" spans="1:24" ht="17.45" customHeight="1" x14ac:dyDescent="0.25">
      <c r="A230" t="str">
        <f t="shared" si="63"/>
        <v>29109062594486044534666</v>
      </c>
      <c r="B230" s="6">
        <f t="shared" si="61"/>
        <v>44860</v>
      </c>
      <c r="C230" s="3">
        <f t="shared" si="62"/>
        <v>44534666</v>
      </c>
      <c r="D230" s="34">
        <v>2016</v>
      </c>
      <c r="E230" s="35">
        <v>2910906259</v>
      </c>
      <c r="F230" s="36" t="s">
        <v>264</v>
      </c>
      <c r="G230" s="37">
        <v>415656885</v>
      </c>
      <c r="H230" s="37">
        <v>44534666</v>
      </c>
      <c r="I230" s="38">
        <f t="shared" si="65"/>
        <v>0.10714285654139953</v>
      </c>
      <c r="J230" s="38">
        <f t="shared" si="66"/>
        <v>0.11999999924553156</v>
      </c>
      <c r="K230" s="37">
        <v>415656885</v>
      </c>
      <c r="L230" s="37">
        <v>44534666</v>
      </c>
      <c r="M230" s="39">
        <v>39588370</v>
      </c>
      <c r="N230" s="37">
        <v>4946323</v>
      </c>
      <c r="O230" s="40">
        <f t="shared" si="67"/>
        <v>1978529</v>
      </c>
      <c r="P230" s="41" t="s">
        <v>258</v>
      </c>
      <c r="Q230" s="55"/>
      <c r="R230" s="42">
        <f t="shared" si="68"/>
        <v>2967794</v>
      </c>
      <c r="S230" s="55"/>
      <c r="T230" s="55"/>
      <c r="U230" s="55"/>
      <c r="V230" s="34" t="s">
        <v>261</v>
      </c>
      <c r="W230" s="43">
        <v>44860</v>
      </c>
      <c r="X230" s="44" t="s">
        <v>265</v>
      </c>
    </row>
    <row r="231" spans="1:24" ht="17.45" customHeight="1" x14ac:dyDescent="0.25">
      <c r="A231" t="str">
        <f t="shared" si="63"/>
        <v>2453018336448601517456</v>
      </c>
      <c r="B231" s="6">
        <f t="shared" si="61"/>
        <v>45070</v>
      </c>
      <c r="C231" s="3">
        <f t="shared" si="62"/>
        <v>74596391</v>
      </c>
      <c r="D231" s="34">
        <v>2022</v>
      </c>
      <c r="E231" s="35">
        <v>2453018336</v>
      </c>
      <c r="F231" s="36" t="s">
        <v>266</v>
      </c>
      <c r="G231" s="37">
        <v>696232978</v>
      </c>
      <c r="H231" s="37">
        <v>74596391</v>
      </c>
      <c r="I231" s="38">
        <f t="shared" ref="I231:I262" si="69">+H231/G231</f>
        <v>0.10714285786100755</v>
      </c>
      <c r="J231" s="38">
        <f t="shared" si="66"/>
        <v>0.12000000090084788</v>
      </c>
      <c r="K231" s="37">
        <v>14162927</v>
      </c>
      <c r="L231" s="37">
        <f t="shared" ref="L231:L238" si="70">ROUND((+K231*I231),0)</f>
        <v>1517456</v>
      </c>
      <c r="M231" s="39">
        <v>0</v>
      </c>
      <c r="N231" s="37">
        <f t="shared" ref="N231:N238" si="71">+L231-M231</f>
        <v>1517456</v>
      </c>
      <c r="O231" s="40">
        <f t="shared" si="67"/>
        <v>606982</v>
      </c>
      <c r="P231" s="41" t="s">
        <v>258</v>
      </c>
      <c r="Q231" s="55"/>
      <c r="R231" s="42">
        <f t="shared" si="68"/>
        <v>910474</v>
      </c>
      <c r="S231" s="55"/>
      <c r="T231" s="55"/>
      <c r="U231" s="55"/>
      <c r="V231" s="34" t="s">
        <v>261</v>
      </c>
      <c r="W231" s="43">
        <v>44860</v>
      </c>
      <c r="X231" s="44" t="s">
        <v>243</v>
      </c>
    </row>
    <row r="232" spans="1:24" ht="17.45" customHeight="1" x14ac:dyDescent="0.25">
      <c r="A232" t="str">
        <f t="shared" si="63"/>
        <v>2453018332448611031984</v>
      </c>
      <c r="B232" s="6">
        <f t="shared" si="61"/>
        <v>45316</v>
      </c>
      <c r="C232" s="3">
        <f t="shared" si="62"/>
        <v>106373215</v>
      </c>
      <c r="D232" s="34">
        <v>2021</v>
      </c>
      <c r="E232" s="35">
        <v>2453018332</v>
      </c>
      <c r="F232" s="36" t="s">
        <v>267</v>
      </c>
      <c r="G232" s="37">
        <v>1703681000</v>
      </c>
      <c r="H232" s="37">
        <v>165930115</v>
      </c>
      <c r="I232" s="38">
        <f t="shared" si="69"/>
        <v>9.7395061047226561E-2</v>
      </c>
      <c r="J232" s="38">
        <f t="shared" ref="J232:J263" si="72">IFERROR((+H232/(G232-H232)),0)</f>
        <v>0.10790441847152636</v>
      </c>
      <c r="K232" s="37">
        <v>10595853</v>
      </c>
      <c r="L232" s="37">
        <f t="shared" si="70"/>
        <v>1031984</v>
      </c>
      <c r="M232" s="39">
        <v>0</v>
      </c>
      <c r="N232" s="37">
        <f t="shared" si="71"/>
        <v>1031984</v>
      </c>
      <c r="O232" s="40">
        <f t="shared" si="67"/>
        <v>412794</v>
      </c>
      <c r="P232" s="41" t="s">
        <v>258</v>
      </c>
      <c r="Q232" s="55"/>
      <c r="R232" s="42">
        <f t="shared" si="68"/>
        <v>619190</v>
      </c>
      <c r="S232" s="55"/>
      <c r="T232" s="55"/>
      <c r="U232" s="55"/>
      <c r="V232" s="34" t="s">
        <v>261</v>
      </c>
      <c r="W232" s="43">
        <v>44861</v>
      </c>
      <c r="X232" s="44" t="s">
        <v>243</v>
      </c>
    </row>
    <row r="233" spans="1:24" ht="17.45" customHeight="1" x14ac:dyDescent="0.25">
      <c r="A233" t="str">
        <f t="shared" si="63"/>
        <v>2910906770448619957542</v>
      </c>
      <c r="B233" s="6">
        <f t="shared" si="61"/>
        <v>45098</v>
      </c>
      <c r="C233" s="3">
        <f t="shared" si="62"/>
        <v>22588645</v>
      </c>
      <c r="D233" s="34">
        <v>2021</v>
      </c>
      <c r="E233" s="35">
        <v>2910906770</v>
      </c>
      <c r="F233" s="36" t="s">
        <v>223</v>
      </c>
      <c r="G233" s="37">
        <v>276617170</v>
      </c>
      <c r="H233" s="37">
        <v>29637554</v>
      </c>
      <c r="I233" s="38">
        <f t="shared" si="69"/>
        <v>0.1071428574010789</v>
      </c>
      <c r="J233" s="38">
        <f t="shared" si="72"/>
        <v>0.12000000032391338</v>
      </c>
      <c r="K233" s="37">
        <f>20959233+K211</f>
        <v>92937056</v>
      </c>
      <c r="L233" s="37">
        <f t="shared" si="70"/>
        <v>9957542</v>
      </c>
      <c r="M233" s="39">
        <f>L211</f>
        <v>7711910</v>
      </c>
      <c r="N233" s="37">
        <f t="shared" si="71"/>
        <v>2245632</v>
      </c>
      <c r="O233" s="40">
        <f t="shared" si="67"/>
        <v>898253</v>
      </c>
      <c r="P233" s="41" t="s">
        <v>258</v>
      </c>
      <c r="Q233" s="55"/>
      <c r="R233" s="42">
        <f t="shared" si="68"/>
        <v>1347379</v>
      </c>
      <c r="S233" s="55"/>
      <c r="T233" s="55"/>
      <c r="U233" s="55"/>
      <c r="V233" s="34" t="s">
        <v>261</v>
      </c>
      <c r="W233" s="43">
        <v>44861</v>
      </c>
      <c r="X233" s="44" t="s">
        <v>243</v>
      </c>
    </row>
    <row r="234" spans="1:24" ht="17.45" customHeight="1" x14ac:dyDescent="0.25">
      <c r="A234" t="str">
        <f t="shared" si="63"/>
        <v>2453018336448616305464</v>
      </c>
      <c r="B234" s="6">
        <f t="shared" si="61"/>
        <v>45070</v>
      </c>
      <c r="C234" s="3">
        <f t="shared" si="62"/>
        <v>74596391</v>
      </c>
      <c r="D234" s="34">
        <v>2022</v>
      </c>
      <c r="E234" s="35">
        <v>2453018336</v>
      </c>
      <c r="F234" s="36" t="s">
        <v>266</v>
      </c>
      <c r="G234" s="37">
        <v>696232978</v>
      </c>
      <c r="H234" s="37">
        <v>74596391</v>
      </c>
      <c r="I234" s="38">
        <f t="shared" si="69"/>
        <v>0.10714285786100755</v>
      </c>
      <c r="J234" s="38">
        <f t="shared" si="72"/>
        <v>0.12000000090084788</v>
      </c>
      <c r="K234" s="37">
        <f>44688074+K231</f>
        <v>58851001</v>
      </c>
      <c r="L234" s="37">
        <f t="shared" si="70"/>
        <v>6305464</v>
      </c>
      <c r="M234" s="39">
        <f>+L231</f>
        <v>1517456</v>
      </c>
      <c r="N234" s="37">
        <f t="shared" si="71"/>
        <v>4788008</v>
      </c>
      <c r="O234" s="40">
        <f t="shared" si="67"/>
        <v>1915203</v>
      </c>
      <c r="P234" s="41" t="s">
        <v>258</v>
      </c>
      <c r="Q234" s="55"/>
      <c r="R234" s="42">
        <f t="shared" si="68"/>
        <v>2872805</v>
      </c>
      <c r="S234" s="55"/>
      <c r="T234" s="55"/>
      <c r="U234" s="55"/>
      <c r="V234" s="34" t="s">
        <v>261</v>
      </c>
      <c r="W234" s="43">
        <v>44861</v>
      </c>
      <c r="X234" s="44" t="s">
        <v>268</v>
      </c>
    </row>
    <row r="235" spans="1:24" ht="17.45" customHeight="1" x14ac:dyDescent="0.25">
      <c r="A235" t="str">
        <f t="shared" si="63"/>
        <v>29109067734486111153741</v>
      </c>
      <c r="B235" s="6">
        <f t="shared" si="61"/>
        <v>45043</v>
      </c>
      <c r="C235" s="3">
        <f t="shared" si="62"/>
        <v>15162255</v>
      </c>
      <c r="D235" s="34">
        <v>2021</v>
      </c>
      <c r="E235" s="35">
        <v>2910906773</v>
      </c>
      <c r="F235" s="36" t="s">
        <v>224</v>
      </c>
      <c r="G235" s="37">
        <v>248617174</v>
      </c>
      <c r="H235" s="37">
        <v>26637554</v>
      </c>
      <c r="I235" s="38">
        <f t="shared" si="69"/>
        <v>0.1071428557063399</v>
      </c>
      <c r="J235" s="38">
        <f t="shared" si="72"/>
        <v>0.11999999819803278</v>
      </c>
      <c r="K235" s="37">
        <f>29943925+K213</f>
        <v>104101582</v>
      </c>
      <c r="L235" s="37">
        <f t="shared" si="70"/>
        <v>11153741</v>
      </c>
      <c r="M235" s="39">
        <f>L213</f>
        <v>7945463</v>
      </c>
      <c r="N235" s="37">
        <f t="shared" si="71"/>
        <v>3208278</v>
      </c>
      <c r="O235" s="40">
        <f t="shared" si="67"/>
        <v>1283311</v>
      </c>
      <c r="P235" s="41" t="s">
        <v>258</v>
      </c>
      <c r="Q235" s="55"/>
      <c r="R235" s="42">
        <f t="shared" si="68"/>
        <v>1924967</v>
      </c>
      <c r="S235" s="55"/>
      <c r="T235" s="55"/>
      <c r="U235" s="55"/>
      <c r="V235" s="34" t="s">
        <v>261</v>
      </c>
      <c r="W235" s="43">
        <v>44861</v>
      </c>
      <c r="X235" s="44" t="s">
        <v>243</v>
      </c>
    </row>
    <row r="236" spans="1:24" ht="17.45" customHeight="1" x14ac:dyDescent="0.25">
      <c r="A236" t="str">
        <f t="shared" si="63"/>
        <v>2910906781448612485714</v>
      </c>
      <c r="B236" s="6">
        <f t="shared" si="61"/>
        <v>45098</v>
      </c>
      <c r="C236" s="3">
        <f t="shared" si="62"/>
        <v>10500000</v>
      </c>
      <c r="D236" s="34">
        <v>2022</v>
      </c>
      <c r="E236" s="35">
        <v>2910906781</v>
      </c>
      <c r="F236" s="36" t="s">
        <v>269</v>
      </c>
      <c r="G236" s="37">
        <v>98000000</v>
      </c>
      <c r="H236" s="37">
        <v>10500000</v>
      </c>
      <c r="I236" s="38">
        <f t="shared" si="69"/>
        <v>0.10714285714285714</v>
      </c>
      <c r="J236" s="38">
        <f t="shared" si="72"/>
        <v>0.12</v>
      </c>
      <c r="K236" s="37">
        <v>23200000</v>
      </c>
      <c r="L236" s="37">
        <f t="shared" si="70"/>
        <v>2485714</v>
      </c>
      <c r="M236" s="39">
        <v>0</v>
      </c>
      <c r="N236" s="37">
        <f t="shared" si="71"/>
        <v>2485714</v>
      </c>
      <c r="O236" s="40">
        <f t="shared" si="67"/>
        <v>994286</v>
      </c>
      <c r="P236" s="41" t="s">
        <v>258</v>
      </c>
      <c r="Q236" s="55"/>
      <c r="R236" s="42">
        <f t="shared" si="68"/>
        <v>1491428</v>
      </c>
      <c r="S236" s="55"/>
      <c r="T236" s="55"/>
      <c r="U236" s="55"/>
      <c r="V236" s="34" t="s">
        <v>261</v>
      </c>
      <c r="W236" s="43">
        <v>44861</v>
      </c>
      <c r="X236" s="44" t="s">
        <v>243</v>
      </c>
    </row>
    <row r="237" spans="1:24" ht="17.45" customHeight="1" x14ac:dyDescent="0.25">
      <c r="A237" t="str">
        <f t="shared" si="63"/>
        <v>29109067844486132802129</v>
      </c>
      <c r="B237" s="6">
        <f t="shared" si="61"/>
        <v>44900</v>
      </c>
      <c r="C237" s="3">
        <f t="shared" si="62"/>
        <v>55236934</v>
      </c>
      <c r="D237" s="34">
        <v>2022</v>
      </c>
      <c r="E237" s="35">
        <v>2910906784</v>
      </c>
      <c r="F237" s="36" t="s">
        <v>246</v>
      </c>
      <c r="G237" s="37">
        <v>475056910</v>
      </c>
      <c r="H237" s="37">
        <v>50898955</v>
      </c>
      <c r="I237" s="38">
        <f t="shared" si="69"/>
        <v>0.10714285789464677</v>
      </c>
      <c r="J237" s="38">
        <f t="shared" si="72"/>
        <v>0.12000000094304492</v>
      </c>
      <c r="K237" s="37">
        <f>140120000+K215</f>
        <v>306153200</v>
      </c>
      <c r="L237" s="37">
        <f t="shared" si="70"/>
        <v>32802129</v>
      </c>
      <c r="M237" s="39">
        <f>L215</f>
        <v>17789272</v>
      </c>
      <c r="N237" s="37">
        <f t="shared" si="71"/>
        <v>15012857</v>
      </c>
      <c r="O237" s="40">
        <f t="shared" si="67"/>
        <v>6005143</v>
      </c>
      <c r="P237" s="41" t="s">
        <v>258</v>
      </c>
      <c r="Q237" s="55"/>
      <c r="R237" s="42">
        <f t="shared" si="68"/>
        <v>9007714</v>
      </c>
      <c r="S237" s="55"/>
      <c r="T237" s="55"/>
      <c r="U237" s="55"/>
      <c r="V237" s="34" t="s">
        <v>261</v>
      </c>
      <c r="W237" s="43">
        <v>44861</v>
      </c>
      <c r="X237" s="44" t="s">
        <v>243</v>
      </c>
    </row>
    <row r="238" spans="1:24" ht="17.45" customHeight="1" x14ac:dyDescent="0.25">
      <c r="A238" t="str">
        <f t="shared" si="63"/>
        <v>29109067884486150797708</v>
      </c>
      <c r="B238" s="6">
        <f t="shared" si="61"/>
        <v>45498</v>
      </c>
      <c r="C238" s="3">
        <f t="shared" si="62"/>
        <v>387879629.13729745</v>
      </c>
      <c r="D238" s="34">
        <v>2022</v>
      </c>
      <c r="E238" s="35">
        <v>2910906788</v>
      </c>
      <c r="F238" s="36" t="s">
        <v>270</v>
      </c>
      <c r="G238" s="37">
        <v>2078053077</v>
      </c>
      <c r="H238" s="37">
        <v>222662679</v>
      </c>
      <c r="I238" s="38">
        <f t="shared" si="69"/>
        <v>0.10714965919997048</v>
      </c>
      <c r="J238" s="38">
        <f t="shared" si="72"/>
        <v>0.12000853256544664</v>
      </c>
      <c r="K238" s="37">
        <v>474081846</v>
      </c>
      <c r="L238" s="37">
        <f t="shared" si="70"/>
        <v>50797708</v>
      </c>
      <c r="M238" s="39">
        <v>0</v>
      </c>
      <c r="N238" s="37">
        <f t="shared" si="71"/>
        <v>50797708</v>
      </c>
      <c r="O238" s="40">
        <f t="shared" si="67"/>
        <v>20319083</v>
      </c>
      <c r="P238" s="41" t="s">
        <v>258</v>
      </c>
      <c r="Q238" s="55"/>
      <c r="R238" s="42">
        <f t="shared" si="68"/>
        <v>30478625</v>
      </c>
      <c r="S238" s="55"/>
      <c r="T238" s="55"/>
      <c r="U238" s="55"/>
      <c r="V238" s="34" t="s">
        <v>261</v>
      </c>
      <c r="W238" s="43">
        <v>44861</v>
      </c>
      <c r="X238" s="44" t="s">
        <v>243</v>
      </c>
    </row>
    <row r="239" spans="1:24" ht="17.45" customHeight="1" x14ac:dyDescent="0.25">
      <c r="A239" t="str">
        <f t="shared" si="63"/>
        <v>291090631044862816196045,004691</v>
      </c>
      <c r="B239" s="6">
        <f t="shared" si="61"/>
        <v>44862</v>
      </c>
      <c r="C239" s="3">
        <f t="shared" si="62"/>
        <v>816196045.00469112</v>
      </c>
      <c r="D239" s="34">
        <v>2017</v>
      </c>
      <c r="E239" s="35">
        <v>2910906310</v>
      </c>
      <c r="F239" s="36" t="s">
        <v>87</v>
      </c>
      <c r="G239" s="37">
        <v>7100279267</v>
      </c>
      <c r="H239" s="37">
        <v>816196045</v>
      </c>
      <c r="I239" s="38">
        <f t="shared" si="69"/>
        <v>0.11495266795961646</v>
      </c>
      <c r="J239" s="38">
        <f t="shared" si="72"/>
        <v>0.12988307381776429</v>
      </c>
      <c r="K239" s="37">
        <f>G239-K188</f>
        <v>287453598</v>
      </c>
      <c r="L239" s="37">
        <f>K239*I239+L188</f>
        <v>816196045.00469112</v>
      </c>
      <c r="M239" s="39">
        <f>M188+N188</f>
        <v>783152487</v>
      </c>
      <c r="N239" s="37">
        <f>L239-M239</f>
        <v>33043558.004691124</v>
      </c>
      <c r="O239" s="40">
        <f t="shared" si="67"/>
        <v>13217423</v>
      </c>
      <c r="P239" s="41" t="s">
        <v>258</v>
      </c>
      <c r="Q239" s="55"/>
      <c r="R239" s="42">
        <f t="shared" si="68"/>
        <v>19826135.004691124</v>
      </c>
      <c r="S239" s="55"/>
      <c r="T239" s="55"/>
      <c r="U239" s="55"/>
      <c r="V239" s="34" t="s">
        <v>261</v>
      </c>
      <c r="W239" s="43">
        <v>44862</v>
      </c>
      <c r="X239" s="44" t="s">
        <v>271</v>
      </c>
    </row>
    <row r="240" spans="1:24" ht="17.45" customHeight="1" x14ac:dyDescent="0.25">
      <c r="A240" t="str">
        <f t="shared" si="63"/>
        <v>291090640144867438579185</v>
      </c>
      <c r="B240" s="6">
        <f t="shared" si="61"/>
        <v>45957</v>
      </c>
      <c r="C240" s="3">
        <f t="shared" si="62"/>
        <v>678878080.30633903</v>
      </c>
      <c r="D240" s="34">
        <v>2022</v>
      </c>
      <c r="E240" s="35">
        <v>2910906401</v>
      </c>
      <c r="F240" s="36" t="s">
        <v>22</v>
      </c>
      <c r="G240" s="37">
        <v>1325626373</v>
      </c>
      <c r="H240" s="37">
        <v>159075165</v>
      </c>
      <c r="I240" s="38">
        <f t="shared" si="69"/>
        <v>0.12000000018104649</v>
      </c>
      <c r="J240" s="38">
        <f t="shared" si="72"/>
        <v>0.13636363659742573</v>
      </c>
      <c r="K240" s="37">
        <v>3654826541</v>
      </c>
      <c r="L240" s="37">
        <v>438579185</v>
      </c>
      <c r="M240" s="39">
        <f>+L194</f>
        <v>285676720</v>
      </c>
      <c r="N240" s="37">
        <f t="shared" ref="N240:N286" si="73">+L240-M240</f>
        <v>152902465</v>
      </c>
      <c r="O240" s="40">
        <f t="shared" si="67"/>
        <v>61160986</v>
      </c>
      <c r="P240" s="41" t="s">
        <v>258</v>
      </c>
      <c r="Q240" s="55"/>
      <c r="R240" s="42">
        <f t="shared" si="68"/>
        <v>91741479</v>
      </c>
      <c r="S240" s="55"/>
      <c r="T240" s="55"/>
      <c r="U240" s="55"/>
      <c r="V240" s="34" t="s">
        <v>261</v>
      </c>
      <c r="W240" s="43">
        <v>44867</v>
      </c>
      <c r="X240" s="44" t="s">
        <v>272</v>
      </c>
    </row>
    <row r="241" spans="1:24" ht="17.45" customHeight="1" x14ac:dyDescent="0.25">
      <c r="A241" t="str">
        <f t="shared" si="63"/>
        <v>29109067564487376070390</v>
      </c>
      <c r="B241" s="6">
        <f t="shared" si="61"/>
        <v>45828</v>
      </c>
      <c r="C241" s="3">
        <f t="shared" si="62"/>
        <v>200890598.73619679</v>
      </c>
      <c r="D241" s="34">
        <v>2021</v>
      </c>
      <c r="E241" s="35">
        <v>2910906756</v>
      </c>
      <c r="F241" s="36" t="s">
        <v>212</v>
      </c>
      <c r="G241" s="37">
        <v>2890449087</v>
      </c>
      <c r="H241" s="37">
        <v>304807831</v>
      </c>
      <c r="I241" s="38">
        <f t="shared" si="69"/>
        <v>0.10545345094327897</v>
      </c>
      <c r="J241" s="38">
        <f t="shared" si="72"/>
        <v>0.11788481108610528</v>
      </c>
      <c r="K241" s="37">
        <f>673006790+48357846</f>
        <v>721364636</v>
      </c>
      <c r="L241" s="37">
        <f t="shared" ref="L241:L287" si="74">ROUND((+K241*I241),0)</f>
        <v>76070390</v>
      </c>
      <c r="M241" s="39">
        <v>72107870</v>
      </c>
      <c r="N241" s="37">
        <f t="shared" si="73"/>
        <v>3962520</v>
      </c>
      <c r="O241" s="40">
        <f>ROUND((+N241*0.4),0)</f>
        <v>1585008</v>
      </c>
      <c r="P241" s="41" t="s">
        <v>258</v>
      </c>
      <c r="Q241" s="55"/>
      <c r="R241" s="42">
        <f t="shared" si="68"/>
        <v>2377512</v>
      </c>
      <c r="S241" s="55"/>
      <c r="T241" s="55"/>
      <c r="U241" s="55"/>
      <c r="V241" s="34" t="s">
        <v>261</v>
      </c>
      <c r="W241" s="43">
        <v>44873</v>
      </c>
      <c r="X241" s="44" t="s">
        <v>273</v>
      </c>
    </row>
    <row r="242" spans="1:24" ht="17.45" customHeight="1" x14ac:dyDescent="0.25">
      <c r="A242" t="str">
        <f t="shared" si="63"/>
        <v>29109067584487335184059</v>
      </c>
      <c r="B242" s="6">
        <f t="shared" si="61"/>
        <v>45223</v>
      </c>
      <c r="C242" s="3">
        <f t="shared" si="62"/>
        <v>70798215</v>
      </c>
      <c r="D242" s="34">
        <v>2021</v>
      </c>
      <c r="E242" s="35">
        <v>2910906758</v>
      </c>
      <c r="F242" s="36" t="s">
        <v>274</v>
      </c>
      <c r="G242" s="37">
        <v>660783000</v>
      </c>
      <c r="H242" s="37">
        <v>70798215</v>
      </c>
      <c r="I242" s="38">
        <f t="shared" si="69"/>
        <v>0.10714291227225882</v>
      </c>
      <c r="J242" s="38">
        <f t="shared" si="72"/>
        <v>0.12000006915432573</v>
      </c>
      <c r="K242" s="37">
        <v>328384382</v>
      </c>
      <c r="L242" s="37">
        <f t="shared" si="74"/>
        <v>35184059</v>
      </c>
      <c r="M242" s="39">
        <v>0</v>
      </c>
      <c r="N242" s="37">
        <f t="shared" si="73"/>
        <v>35184059</v>
      </c>
      <c r="O242" s="40">
        <f>ROUND((+N242*0.4),0)</f>
        <v>14073624</v>
      </c>
      <c r="P242" s="41" t="s">
        <v>258</v>
      </c>
      <c r="Q242" s="55"/>
      <c r="R242" s="42">
        <f t="shared" si="68"/>
        <v>21110435</v>
      </c>
      <c r="S242" s="55"/>
      <c r="T242" s="55"/>
      <c r="U242" s="55"/>
      <c r="V242" s="34" t="s">
        <v>261</v>
      </c>
      <c r="W242" s="43">
        <v>44873</v>
      </c>
      <c r="X242" s="44" t="s">
        <v>273</v>
      </c>
    </row>
    <row r="243" spans="1:24" ht="17.45" customHeight="1" x14ac:dyDescent="0.25">
      <c r="A243" t="str">
        <f t="shared" si="63"/>
        <v>29109067774487365623486</v>
      </c>
      <c r="B243" s="6">
        <f t="shared" si="61"/>
        <v>45316</v>
      </c>
      <c r="C243" s="3">
        <f t="shared" si="62"/>
        <v>121501239</v>
      </c>
      <c r="D243" s="34">
        <v>2021</v>
      </c>
      <c r="E243" s="35">
        <v>2910906777</v>
      </c>
      <c r="F243" s="36" t="s">
        <v>230</v>
      </c>
      <c r="G243" s="37">
        <v>1162897960</v>
      </c>
      <c r="H243" s="37">
        <v>124596210</v>
      </c>
      <c r="I243" s="38">
        <f t="shared" si="69"/>
        <v>0.10714285714285714</v>
      </c>
      <c r="J243" s="38">
        <f t="shared" si="72"/>
        <v>0.12</v>
      </c>
      <c r="K243" s="37">
        <f>292898340+319587532</f>
        <v>612485872</v>
      </c>
      <c r="L243" s="37">
        <f t="shared" si="74"/>
        <v>65623486</v>
      </c>
      <c r="M243" s="39">
        <v>31381965</v>
      </c>
      <c r="N243" s="37">
        <f t="shared" si="73"/>
        <v>34241521</v>
      </c>
      <c r="O243" s="40">
        <f t="shared" ref="O243:O249" si="75">ROUND((N243*40%),0)</f>
        <v>13696608</v>
      </c>
      <c r="P243" s="41" t="s">
        <v>258</v>
      </c>
      <c r="Q243" s="55"/>
      <c r="R243" s="42">
        <f t="shared" si="68"/>
        <v>20544913</v>
      </c>
      <c r="S243" s="55"/>
      <c r="T243" s="55"/>
      <c r="U243" s="55"/>
      <c r="V243" s="34" t="s">
        <v>261</v>
      </c>
      <c r="W243" s="43">
        <v>44873</v>
      </c>
      <c r="X243" s="44" t="s">
        <v>273</v>
      </c>
    </row>
    <row r="244" spans="1:24" ht="17.45" customHeight="1" x14ac:dyDescent="0.25">
      <c r="A244" t="str">
        <f t="shared" si="63"/>
        <v>29109067904487311314729</v>
      </c>
      <c r="B244" s="6">
        <f t="shared" si="61"/>
        <v>45064</v>
      </c>
      <c r="C244" s="3">
        <f t="shared" si="62"/>
        <v>163276433</v>
      </c>
      <c r="D244" s="34">
        <v>2022</v>
      </c>
      <c r="E244" s="35">
        <v>2910906790</v>
      </c>
      <c r="F244" s="36" t="s">
        <v>257</v>
      </c>
      <c r="G244" s="37">
        <v>1020000000</v>
      </c>
      <c r="H244" s="37">
        <v>109290000</v>
      </c>
      <c r="I244" s="38">
        <f t="shared" si="69"/>
        <v>0.10714705882352941</v>
      </c>
      <c r="J244" s="38">
        <f t="shared" si="72"/>
        <v>0.12000527061303817</v>
      </c>
      <c r="K244" s="37">
        <f>26900000+78700000</f>
        <v>105600000</v>
      </c>
      <c r="L244" s="37">
        <f t="shared" si="74"/>
        <v>11314729</v>
      </c>
      <c r="M244" s="39">
        <v>2882256</v>
      </c>
      <c r="N244" s="37">
        <f t="shared" si="73"/>
        <v>8432473</v>
      </c>
      <c r="O244" s="40">
        <f t="shared" si="75"/>
        <v>3372989</v>
      </c>
      <c r="P244" s="41" t="s">
        <v>258</v>
      </c>
      <c r="Q244" s="55"/>
      <c r="R244" s="42">
        <f t="shared" ref="R244:R275" si="76">+N244-O244</f>
        <v>5059484</v>
      </c>
      <c r="S244" s="55"/>
      <c r="T244" s="55"/>
      <c r="U244" s="55"/>
      <c r="V244" s="34" t="s">
        <v>261</v>
      </c>
      <c r="W244" s="43">
        <v>44873</v>
      </c>
      <c r="X244" s="44" t="s">
        <v>273</v>
      </c>
    </row>
    <row r="245" spans="1:24" ht="17.45" customHeight="1" x14ac:dyDescent="0.25">
      <c r="A245" t="str">
        <f t="shared" si="63"/>
        <v>2453018332448735084847</v>
      </c>
      <c r="B245" s="6">
        <f t="shared" si="61"/>
        <v>45316</v>
      </c>
      <c r="C245" s="3">
        <f t="shared" si="62"/>
        <v>106373215</v>
      </c>
      <c r="D245" s="34">
        <v>2021</v>
      </c>
      <c r="E245" s="35">
        <v>2453018332</v>
      </c>
      <c r="F245" s="36" t="s">
        <v>267</v>
      </c>
      <c r="G245" s="37">
        <v>1703681070</v>
      </c>
      <c r="H245" s="37">
        <v>165930115</v>
      </c>
      <c r="I245" s="38">
        <f t="shared" si="69"/>
        <v>9.7395057045506758E-2</v>
      </c>
      <c r="J245" s="38">
        <f t="shared" si="72"/>
        <v>0.1079044135596066</v>
      </c>
      <c r="K245" s="37">
        <f>10595853+41612621</f>
        <v>52208474</v>
      </c>
      <c r="L245" s="37">
        <f t="shared" si="74"/>
        <v>5084847</v>
      </c>
      <c r="M245" s="39">
        <v>1031984</v>
      </c>
      <c r="N245" s="37">
        <f t="shared" si="73"/>
        <v>4052863</v>
      </c>
      <c r="O245" s="40">
        <f t="shared" si="75"/>
        <v>1621145</v>
      </c>
      <c r="P245" s="41" t="s">
        <v>258</v>
      </c>
      <c r="Q245" s="55"/>
      <c r="R245" s="42">
        <f t="shared" si="76"/>
        <v>2431718</v>
      </c>
      <c r="S245" s="55"/>
      <c r="T245" s="55"/>
      <c r="U245" s="55"/>
      <c r="V245" s="34" t="s">
        <v>261</v>
      </c>
      <c r="W245" s="43">
        <v>44873</v>
      </c>
      <c r="X245" s="44" t="s">
        <v>273</v>
      </c>
    </row>
    <row r="246" spans="1:24" ht="17.45" customHeight="1" x14ac:dyDescent="0.25">
      <c r="A246" t="str">
        <f t="shared" si="63"/>
        <v>29109065034487625294871</v>
      </c>
      <c r="B246" s="6">
        <f t="shared" si="61"/>
        <v>44876</v>
      </c>
      <c r="C246" s="3">
        <f t="shared" si="62"/>
        <v>25294871</v>
      </c>
      <c r="D246" s="34">
        <v>2018</v>
      </c>
      <c r="E246" s="35">
        <v>2910906503</v>
      </c>
      <c r="F246" s="36" t="s">
        <v>275</v>
      </c>
      <c r="G246" s="37">
        <v>168167606</v>
      </c>
      <c r="H246" s="37">
        <v>25294871</v>
      </c>
      <c r="I246" s="38">
        <f t="shared" si="69"/>
        <v>0.15041464644504721</v>
      </c>
      <c r="J246" s="38">
        <f t="shared" si="72"/>
        <v>0.17704477344820199</v>
      </c>
      <c r="K246" s="37">
        <v>168167606</v>
      </c>
      <c r="L246" s="37">
        <f t="shared" si="74"/>
        <v>25294871</v>
      </c>
      <c r="M246" s="39">
        <v>11326062</v>
      </c>
      <c r="N246" s="37">
        <f t="shared" si="73"/>
        <v>13968809</v>
      </c>
      <c r="O246" s="40">
        <f t="shared" si="75"/>
        <v>5587524</v>
      </c>
      <c r="P246" s="41" t="s">
        <v>258</v>
      </c>
      <c r="Q246" s="55">
        <v>10038</v>
      </c>
      <c r="R246" s="42">
        <f t="shared" si="76"/>
        <v>8381285</v>
      </c>
      <c r="S246" s="55">
        <v>10039</v>
      </c>
      <c r="T246" s="55">
        <v>1986</v>
      </c>
      <c r="U246" s="55">
        <v>5079</v>
      </c>
      <c r="V246" s="34" t="s">
        <v>261</v>
      </c>
      <c r="W246" s="43">
        <v>44876</v>
      </c>
      <c r="X246" s="44" t="s">
        <v>276</v>
      </c>
    </row>
    <row r="247" spans="1:24" ht="17.45" customHeight="1" x14ac:dyDescent="0.25">
      <c r="A247" t="str">
        <f t="shared" si="63"/>
        <v>29109067774488779623495</v>
      </c>
      <c r="B247" s="6">
        <f t="shared" si="61"/>
        <v>45316</v>
      </c>
      <c r="C247" s="3">
        <f t="shared" si="62"/>
        <v>121501239</v>
      </c>
      <c r="D247" s="34">
        <v>2021</v>
      </c>
      <c r="E247" s="35">
        <v>2910906777</v>
      </c>
      <c r="F247" s="36" t="s">
        <v>230</v>
      </c>
      <c r="G247" s="37">
        <v>1162897960</v>
      </c>
      <c r="H247" s="37">
        <v>124596210</v>
      </c>
      <c r="I247" s="38">
        <f t="shared" si="69"/>
        <v>0.10714285714285714</v>
      </c>
      <c r="J247" s="38">
        <f t="shared" si="72"/>
        <v>0.12</v>
      </c>
      <c r="K247" s="37">
        <v>743152616</v>
      </c>
      <c r="L247" s="37">
        <f t="shared" si="74"/>
        <v>79623495</v>
      </c>
      <c r="M247" s="39">
        <f>+L243</f>
        <v>65623486</v>
      </c>
      <c r="N247" s="37">
        <f t="shared" si="73"/>
        <v>14000009</v>
      </c>
      <c r="O247" s="40">
        <f t="shared" si="75"/>
        <v>5600004</v>
      </c>
      <c r="P247" s="41" t="s">
        <v>258</v>
      </c>
      <c r="Q247" s="55"/>
      <c r="R247" s="42">
        <f t="shared" si="76"/>
        <v>8400005</v>
      </c>
      <c r="S247" s="55"/>
      <c r="T247" s="55"/>
      <c r="U247" s="55"/>
      <c r="V247" s="34" t="s">
        <v>261</v>
      </c>
      <c r="W247" s="43">
        <v>44887</v>
      </c>
      <c r="X247" s="44" t="s">
        <v>273</v>
      </c>
    </row>
    <row r="248" spans="1:24" ht="17.45" customHeight="1" x14ac:dyDescent="0.25">
      <c r="A248" t="str">
        <f t="shared" si="63"/>
        <v>29109067884488869476787</v>
      </c>
      <c r="B248" s="6">
        <f t="shared" si="61"/>
        <v>45498</v>
      </c>
      <c r="C248" s="3">
        <f t="shared" si="62"/>
        <v>387879629.13729745</v>
      </c>
      <c r="D248" s="34">
        <v>2022</v>
      </c>
      <c r="E248" s="35">
        <v>2910906788</v>
      </c>
      <c r="F248" s="36" t="s">
        <v>270</v>
      </c>
      <c r="G248" s="37">
        <v>2078053077</v>
      </c>
      <c r="H248" s="37">
        <v>222662679</v>
      </c>
      <c r="I248" s="38">
        <f t="shared" si="69"/>
        <v>0.10714965919997048</v>
      </c>
      <c r="J248" s="38">
        <f t="shared" si="72"/>
        <v>0.12000853256544664</v>
      </c>
      <c r="K248" s="37">
        <v>648408846</v>
      </c>
      <c r="L248" s="37">
        <f t="shared" si="74"/>
        <v>69476787</v>
      </c>
      <c r="M248" s="39">
        <v>50797708</v>
      </c>
      <c r="N248" s="37">
        <f t="shared" si="73"/>
        <v>18679079</v>
      </c>
      <c r="O248" s="40">
        <f t="shared" si="75"/>
        <v>7471632</v>
      </c>
      <c r="P248" s="41" t="s">
        <v>258</v>
      </c>
      <c r="Q248" s="55"/>
      <c r="R248" s="42">
        <f t="shared" si="76"/>
        <v>11207447</v>
      </c>
      <c r="S248" s="55"/>
      <c r="T248" s="55"/>
      <c r="U248" s="55"/>
      <c r="V248" s="34" t="s">
        <v>261</v>
      </c>
      <c r="W248" s="43">
        <v>44888</v>
      </c>
      <c r="X248" s="44" t="s">
        <v>273</v>
      </c>
    </row>
    <row r="249" spans="1:24" ht="17.45" customHeight="1" x14ac:dyDescent="0.25">
      <c r="A249" t="str">
        <f t="shared" si="63"/>
        <v>2910906772448888863103</v>
      </c>
      <c r="B249" s="6">
        <f t="shared" si="61"/>
        <v>45316</v>
      </c>
      <c r="C249" s="3">
        <f t="shared" si="62"/>
        <v>16508624</v>
      </c>
      <c r="D249" s="34">
        <v>2021</v>
      </c>
      <c r="E249" s="35">
        <v>2910906772</v>
      </c>
      <c r="F249" s="36" t="s">
        <v>260</v>
      </c>
      <c r="G249" s="37">
        <f>125000000+14560000+26924712+19978166</f>
        <v>186462878</v>
      </c>
      <c r="H249" s="37">
        <v>19978166</v>
      </c>
      <c r="I249" s="38">
        <f t="shared" si="69"/>
        <v>0.10714285982435603</v>
      </c>
      <c r="J249" s="38">
        <f t="shared" si="72"/>
        <v>0.12000000336367221</v>
      </c>
      <c r="K249" s="37">
        <f>K228+11282051</f>
        <v>82722292</v>
      </c>
      <c r="L249" s="37">
        <f t="shared" si="74"/>
        <v>8863103</v>
      </c>
      <c r="M249" s="39">
        <f>+L228</f>
        <v>7654312</v>
      </c>
      <c r="N249" s="37">
        <f t="shared" si="73"/>
        <v>1208791</v>
      </c>
      <c r="O249" s="40">
        <f t="shared" si="75"/>
        <v>483516</v>
      </c>
      <c r="P249" s="41" t="s">
        <v>258</v>
      </c>
      <c r="Q249" s="55">
        <v>10279</v>
      </c>
      <c r="R249" s="42">
        <f t="shared" si="76"/>
        <v>725275</v>
      </c>
      <c r="S249" s="55">
        <v>10280</v>
      </c>
      <c r="T249" s="55">
        <v>2064</v>
      </c>
      <c r="U249" s="55">
        <v>5127</v>
      </c>
      <c r="V249" s="34" t="s">
        <v>261</v>
      </c>
      <c r="W249" s="43">
        <v>44888</v>
      </c>
      <c r="X249" s="44" t="s">
        <v>273</v>
      </c>
    </row>
    <row r="250" spans="1:24" ht="17.45" customHeight="1" x14ac:dyDescent="0.25">
      <c r="A250" t="str">
        <f t="shared" si="63"/>
        <v>29109067564488878248532</v>
      </c>
      <c r="B250" s="6">
        <f t="shared" si="61"/>
        <v>45828</v>
      </c>
      <c r="C250" s="3">
        <f t="shared" si="62"/>
        <v>200890598.73619679</v>
      </c>
      <c r="D250" s="34">
        <v>2021</v>
      </c>
      <c r="E250" s="35">
        <v>2910906756</v>
      </c>
      <c r="F250" s="36" t="s">
        <v>212</v>
      </c>
      <c r="G250" s="37">
        <v>2844873087</v>
      </c>
      <c r="H250" s="37">
        <v>304807831</v>
      </c>
      <c r="I250" s="38">
        <f t="shared" si="69"/>
        <v>0.10714285723073452</v>
      </c>
      <c r="J250" s="38">
        <f t="shared" si="72"/>
        <v>0.12000000011023339</v>
      </c>
      <c r="K250" s="37">
        <f>K241+8955000</f>
        <v>730319636</v>
      </c>
      <c r="L250" s="37">
        <f t="shared" si="74"/>
        <v>78248532</v>
      </c>
      <c r="M250" s="39">
        <f>M241+N241</f>
        <v>76070390</v>
      </c>
      <c r="N250" s="37">
        <f t="shared" si="73"/>
        <v>2178142</v>
      </c>
      <c r="O250" s="40">
        <f>ROUND((+N250*0.4),0)</f>
        <v>871257</v>
      </c>
      <c r="P250" s="41" t="s">
        <v>258</v>
      </c>
      <c r="Q250" s="55">
        <v>10273</v>
      </c>
      <c r="R250" s="42">
        <f t="shared" si="76"/>
        <v>1306885</v>
      </c>
      <c r="S250" s="55">
        <v>10274</v>
      </c>
      <c r="T250" s="55">
        <v>2069</v>
      </c>
      <c r="U250" s="55">
        <v>5128</v>
      </c>
      <c r="V250" s="34" t="s">
        <v>261</v>
      </c>
      <c r="W250" s="43">
        <v>44888</v>
      </c>
      <c r="X250" s="44" t="s">
        <v>273</v>
      </c>
    </row>
    <row r="251" spans="1:24" ht="17.45" customHeight="1" x14ac:dyDescent="0.25">
      <c r="A251" t="str">
        <f t="shared" si="63"/>
        <v>29109067584488836041202</v>
      </c>
      <c r="B251" s="6">
        <f t="shared" si="61"/>
        <v>45223</v>
      </c>
      <c r="C251" s="3">
        <f t="shared" si="62"/>
        <v>70798215</v>
      </c>
      <c r="D251" s="34">
        <v>2021</v>
      </c>
      <c r="E251" s="35">
        <v>2910906758</v>
      </c>
      <c r="F251" s="36" t="s">
        <v>274</v>
      </c>
      <c r="G251" s="37">
        <v>660783000</v>
      </c>
      <c r="H251" s="37">
        <v>70798215</v>
      </c>
      <c r="I251" s="38">
        <f t="shared" si="69"/>
        <v>0.10714291227225882</v>
      </c>
      <c r="J251" s="38">
        <f t="shared" si="72"/>
        <v>0.12000006915432573</v>
      </c>
      <c r="K251" s="37">
        <f>K242+8000000</f>
        <v>336384382</v>
      </c>
      <c r="L251" s="37">
        <f t="shared" si="74"/>
        <v>36041202</v>
      </c>
      <c r="M251" s="39">
        <f>+L242</f>
        <v>35184059</v>
      </c>
      <c r="N251" s="37">
        <f t="shared" si="73"/>
        <v>857143</v>
      </c>
      <c r="O251" s="40">
        <f>ROUND((+N251*0.4),0)</f>
        <v>342857</v>
      </c>
      <c r="P251" s="41" t="s">
        <v>258</v>
      </c>
      <c r="Q251" s="55">
        <v>10275</v>
      </c>
      <c r="R251" s="42">
        <f t="shared" si="76"/>
        <v>514286</v>
      </c>
      <c r="S251" s="55">
        <v>10276</v>
      </c>
      <c r="T251" s="55">
        <v>2070</v>
      </c>
      <c r="U251" s="55">
        <v>5129</v>
      </c>
      <c r="V251" s="34" t="s">
        <v>261</v>
      </c>
      <c r="W251" s="43">
        <v>44888</v>
      </c>
      <c r="X251" s="44" t="s">
        <v>273</v>
      </c>
    </row>
    <row r="252" spans="1:24" ht="17.45" customHeight="1" x14ac:dyDescent="0.25">
      <c r="A252" t="str">
        <f t="shared" si="63"/>
        <v>245301830144888119122456</v>
      </c>
      <c r="B252" s="6">
        <f t="shared" si="61"/>
        <v>45099</v>
      </c>
      <c r="C252" s="3">
        <f t="shared" si="62"/>
        <v>133063733</v>
      </c>
      <c r="D252" s="34">
        <v>2019</v>
      </c>
      <c r="E252" s="35">
        <v>2453018301</v>
      </c>
      <c r="F252" s="36" t="s">
        <v>35</v>
      </c>
      <c r="G252" s="37">
        <f>941984000+470992000</f>
        <v>1412976000</v>
      </c>
      <c r="H252" s="37">
        <v>151390286</v>
      </c>
      <c r="I252" s="38">
        <f t="shared" si="69"/>
        <v>0.1071428573450646</v>
      </c>
      <c r="J252" s="38">
        <f t="shared" si="72"/>
        <v>0.12000000025364904</v>
      </c>
      <c r="K252" s="37">
        <f>K218+31862415</f>
        <v>1111809585</v>
      </c>
      <c r="L252" s="37">
        <f t="shared" si="74"/>
        <v>119122456</v>
      </c>
      <c r="M252" s="39">
        <f>+M218+N218</f>
        <v>115708626</v>
      </c>
      <c r="N252" s="37">
        <f t="shared" si="73"/>
        <v>3413830</v>
      </c>
      <c r="O252" s="40">
        <f t="shared" ref="O252:O287" si="77">ROUND((N252*40%),0)</f>
        <v>1365532</v>
      </c>
      <c r="P252" s="41" t="s">
        <v>258</v>
      </c>
      <c r="Q252" s="55">
        <v>10265</v>
      </c>
      <c r="R252" s="42">
        <f t="shared" si="76"/>
        <v>2048298</v>
      </c>
      <c r="S252" s="55">
        <v>10266</v>
      </c>
      <c r="T252" s="55">
        <v>2065</v>
      </c>
      <c r="U252" s="55">
        <v>5123</v>
      </c>
      <c r="V252" s="34" t="s">
        <v>261</v>
      </c>
      <c r="W252" s="43">
        <v>44888</v>
      </c>
      <c r="X252" s="44" t="s">
        <v>273</v>
      </c>
    </row>
    <row r="253" spans="1:24" ht="17.45" customHeight="1" x14ac:dyDescent="0.25">
      <c r="A253" t="str">
        <f t="shared" si="63"/>
        <v>24530183254488840840433</v>
      </c>
      <c r="B253" s="6">
        <f t="shared" si="61"/>
        <v>45042</v>
      </c>
      <c r="C253" s="3">
        <f t="shared" si="62"/>
        <v>78962612</v>
      </c>
      <c r="D253" s="34">
        <v>2021</v>
      </c>
      <c r="E253" s="35">
        <v>2453018325</v>
      </c>
      <c r="F253" s="36" t="s">
        <v>194</v>
      </c>
      <c r="G253" s="37">
        <v>744689120</v>
      </c>
      <c r="H253" s="37">
        <v>79788120</v>
      </c>
      <c r="I253" s="38">
        <f t="shared" si="69"/>
        <v>0.10714285714285714</v>
      </c>
      <c r="J253" s="38">
        <f t="shared" si="72"/>
        <v>0.12</v>
      </c>
      <c r="K253" s="37">
        <v>381177375</v>
      </c>
      <c r="L253" s="37">
        <f t="shared" si="74"/>
        <v>40840433</v>
      </c>
      <c r="M253" s="39">
        <f>+L221</f>
        <v>30201000</v>
      </c>
      <c r="N253" s="37">
        <f t="shared" si="73"/>
        <v>10639433</v>
      </c>
      <c r="O253" s="40">
        <f t="shared" si="77"/>
        <v>4255773</v>
      </c>
      <c r="P253" s="41" t="s">
        <v>258</v>
      </c>
      <c r="Q253" s="55">
        <v>10267</v>
      </c>
      <c r="R253" s="42">
        <f t="shared" si="76"/>
        <v>6383660</v>
      </c>
      <c r="S253" s="55">
        <v>10268</v>
      </c>
      <c r="T253" s="55">
        <v>2066</v>
      </c>
      <c r="U253" s="55">
        <v>5124</v>
      </c>
      <c r="V253" s="34" t="s">
        <v>261</v>
      </c>
      <c r="W253" s="43">
        <v>44888</v>
      </c>
      <c r="X253" s="44" t="s">
        <v>273</v>
      </c>
    </row>
    <row r="254" spans="1:24" ht="17.45" customHeight="1" x14ac:dyDescent="0.25">
      <c r="A254" t="str">
        <f t="shared" si="63"/>
        <v>245301832844888102493673</v>
      </c>
      <c r="B254" s="6">
        <f t="shared" si="61"/>
        <v>44902</v>
      </c>
      <c r="C254" s="3">
        <f t="shared" si="62"/>
        <v>116812287</v>
      </c>
      <c r="D254" s="34">
        <v>2021</v>
      </c>
      <c r="E254" s="35">
        <v>2453018328</v>
      </c>
      <c r="F254" s="36" t="s">
        <v>197</v>
      </c>
      <c r="G254" s="37">
        <v>1199922000</v>
      </c>
      <c r="H254" s="37">
        <v>128563071</v>
      </c>
      <c r="I254" s="38">
        <f t="shared" si="69"/>
        <v>0.10714285678569108</v>
      </c>
      <c r="J254" s="38">
        <f t="shared" si="72"/>
        <v>0.11999999955197088</v>
      </c>
      <c r="K254" s="37">
        <v>956607615</v>
      </c>
      <c r="L254" s="37">
        <f t="shared" si="74"/>
        <v>102493673</v>
      </c>
      <c r="M254" s="39">
        <f>+M202+N202</f>
        <v>95550190</v>
      </c>
      <c r="N254" s="37">
        <f t="shared" si="73"/>
        <v>6943483</v>
      </c>
      <c r="O254" s="40">
        <f t="shared" si="77"/>
        <v>2777393</v>
      </c>
      <c r="P254" s="41" t="s">
        <v>258</v>
      </c>
      <c r="Q254" s="55">
        <v>10269</v>
      </c>
      <c r="R254" s="42">
        <f t="shared" si="76"/>
        <v>4166090</v>
      </c>
      <c r="S254" s="55">
        <v>10270</v>
      </c>
      <c r="T254" s="55">
        <v>2067</v>
      </c>
      <c r="U254" s="55">
        <v>5125</v>
      </c>
      <c r="V254" s="34" t="s">
        <v>261</v>
      </c>
      <c r="W254" s="43">
        <v>44888</v>
      </c>
      <c r="X254" s="44" t="s">
        <v>273</v>
      </c>
    </row>
    <row r="255" spans="1:24" ht="17.45" customHeight="1" x14ac:dyDescent="0.25">
      <c r="A255" t="str">
        <f t="shared" si="63"/>
        <v>2910906768448887570491</v>
      </c>
      <c r="B255" s="6">
        <f t="shared" si="61"/>
        <v>45316</v>
      </c>
      <c r="C255" s="3">
        <f t="shared" si="62"/>
        <v>20916536</v>
      </c>
      <c r="D255" s="34">
        <v>2021</v>
      </c>
      <c r="E255" s="35">
        <v>2910906768</v>
      </c>
      <c r="F255" s="36" t="s">
        <v>221</v>
      </c>
      <c r="G255" s="37">
        <v>205490000</v>
      </c>
      <c r="H255" s="37">
        <v>22016786</v>
      </c>
      <c r="I255" s="38">
        <f t="shared" si="69"/>
        <v>0.10714285853326196</v>
      </c>
      <c r="J255" s="38">
        <f t="shared" si="72"/>
        <v>0.1200000017441238</v>
      </c>
      <c r="K255" s="37">
        <v>70657915</v>
      </c>
      <c r="L255" s="37">
        <f t="shared" si="74"/>
        <v>7570491</v>
      </c>
      <c r="M255" s="39">
        <f>+L173</f>
        <v>6274929</v>
      </c>
      <c r="N255" s="37">
        <f t="shared" si="73"/>
        <v>1295562</v>
      </c>
      <c r="O255" s="40">
        <f t="shared" si="77"/>
        <v>518225</v>
      </c>
      <c r="P255" s="41" t="s">
        <v>258</v>
      </c>
      <c r="Q255" s="55">
        <v>10277</v>
      </c>
      <c r="R255" s="42">
        <f t="shared" si="76"/>
        <v>777337</v>
      </c>
      <c r="S255" s="55">
        <v>10278</v>
      </c>
      <c r="T255" s="55">
        <v>2071</v>
      </c>
      <c r="U255" s="55">
        <v>5130</v>
      </c>
      <c r="V255" s="34" t="s">
        <v>261</v>
      </c>
      <c r="W255" s="43">
        <v>44888</v>
      </c>
      <c r="X255" s="44" t="s">
        <v>273</v>
      </c>
    </row>
    <row r="256" spans="1:24" ht="17.45" customHeight="1" x14ac:dyDescent="0.25">
      <c r="A256" t="str">
        <f t="shared" si="63"/>
        <v>245301833044888111337664</v>
      </c>
      <c r="B256" s="6">
        <f t="shared" si="61"/>
        <v>45912</v>
      </c>
      <c r="C256" s="3">
        <f t="shared" si="62"/>
        <v>259214159</v>
      </c>
      <c r="D256" s="34">
        <v>2021</v>
      </c>
      <c r="E256" s="35">
        <v>2453018330</v>
      </c>
      <c r="F256" s="36" t="s">
        <v>198</v>
      </c>
      <c r="G256" s="37">
        <v>2419332150</v>
      </c>
      <c r="H256" s="37">
        <v>259214159</v>
      </c>
      <c r="I256" s="38">
        <f t="shared" si="69"/>
        <v>0.10714285717238123</v>
      </c>
      <c r="J256" s="38">
        <f t="shared" si="72"/>
        <v>0.12000000003703501</v>
      </c>
      <c r="K256" s="37">
        <v>1039151534</v>
      </c>
      <c r="L256" s="37">
        <f t="shared" si="74"/>
        <v>111337664</v>
      </c>
      <c r="M256" s="39">
        <f>+M204+N204</f>
        <v>65390863</v>
      </c>
      <c r="N256" s="37">
        <f t="shared" si="73"/>
        <v>45946801</v>
      </c>
      <c r="O256" s="40">
        <f t="shared" si="77"/>
        <v>18378720</v>
      </c>
      <c r="P256" s="41" t="s">
        <v>258</v>
      </c>
      <c r="Q256" s="55">
        <v>10271</v>
      </c>
      <c r="R256" s="42">
        <f t="shared" si="76"/>
        <v>27568081</v>
      </c>
      <c r="S256" s="55">
        <v>10272</v>
      </c>
      <c r="T256" s="55">
        <v>2068</v>
      </c>
      <c r="U256" s="55">
        <v>5126</v>
      </c>
      <c r="V256" s="34" t="s">
        <v>261</v>
      </c>
      <c r="W256" s="43">
        <v>44888</v>
      </c>
      <c r="X256" s="44" t="s">
        <v>273</v>
      </c>
    </row>
    <row r="257" spans="1:24" ht="17.45" customHeight="1" x14ac:dyDescent="0.25">
      <c r="A257" t="str">
        <f t="shared" si="63"/>
        <v>29109067734488813055751</v>
      </c>
      <c r="B257" s="6">
        <f t="shared" si="61"/>
        <v>45043</v>
      </c>
      <c r="C257" s="3">
        <f t="shared" si="62"/>
        <v>15162255</v>
      </c>
      <c r="D257" s="34">
        <v>2021</v>
      </c>
      <c r="E257" s="35">
        <v>2910906773</v>
      </c>
      <c r="F257" s="36" t="s">
        <v>224</v>
      </c>
      <c r="G257" s="37">
        <v>248617174</v>
      </c>
      <c r="H257" s="37">
        <v>26637554</v>
      </c>
      <c r="I257" s="38">
        <f t="shared" si="69"/>
        <v>0.1071428557063399</v>
      </c>
      <c r="J257" s="38">
        <f t="shared" si="72"/>
        <v>0.11999999819803278</v>
      </c>
      <c r="K257" s="37">
        <v>121853682</v>
      </c>
      <c r="L257" s="37">
        <f t="shared" si="74"/>
        <v>13055751</v>
      </c>
      <c r="M257" s="39">
        <f>+M235+N235</f>
        <v>11153741</v>
      </c>
      <c r="N257" s="37">
        <f t="shared" si="73"/>
        <v>1902010</v>
      </c>
      <c r="O257" s="40">
        <f t="shared" si="77"/>
        <v>760804</v>
      </c>
      <c r="P257" s="41" t="s">
        <v>258</v>
      </c>
      <c r="Q257" s="55">
        <v>10281</v>
      </c>
      <c r="R257" s="42">
        <f t="shared" si="76"/>
        <v>1141206</v>
      </c>
      <c r="S257" s="55">
        <v>10282</v>
      </c>
      <c r="T257" s="55">
        <v>2072</v>
      </c>
      <c r="U257" s="55">
        <v>5131</v>
      </c>
      <c r="V257" s="34" t="s">
        <v>261</v>
      </c>
      <c r="W257" s="43">
        <v>44888</v>
      </c>
      <c r="X257" s="44" t="s">
        <v>273</v>
      </c>
    </row>
    <row r="258" spans="1:24" ht="17.45" customHeight="1" x14ac:dyDescent="0.25">
      <c r="A258" t="str">
        <f t="shared" si="63"/>
        <v>2910906786448932700997</v>
      </c>
      <c r="B258" s="6">
        <f t="shared" ref="B258:B321" si="78">_xlfn.MAXIFS(W:W,E:E,E258)</f>
        <v>45064</v>
      </c>
      <c r="C258" s="3">
        <f t="shared" ref="C258:C321" si="79">_xlfn.MAXIFS(L:L,E:E,E258)</f>
        <v>6586607</v>
      </c>
      <c r="D258" s="34">
        <v>2022</v>
      </c>
      <c r="E258" s="35">
        <v>2910906786</v>
      </c>
      <c r="F258" s="36" t="s">
        <v>277</v>
      </c>
      <c r="G258" s="37">
        <v>61475000</v>
      </c>
      <c r="H258" s="37">
        <v>6586607</v>
      </c>
      <c r="I258" s="38">
        <f t="shared" si="69"/>
        <v>0.10714285481903213</v>
      </c>
      <c r="J258" s="38">
        <f t="shared" si="72"/>
        <v>0.11999999708499391</v>
      </c>
      <c r="K258" s="37">
        <v>25209306</v>
      </c>
      <c r="L258" s="37">
        <f t="shared" si="74"/>
        <v>2700997</v>
      </c>
      <c r="M258" s="39">
        <v>0</v>
      </c>
      <c r="N258" s="37">
        <f t="shared" si="73"/>
        <v>2700997</v>
      </c>
      <c r="O258" s="40">
        <f t="shared" si="77"/>
        <v>1080399</v>
      </c>
      <c r="P258" s="41" t="s">
        <v>258</v>
      </c>
      <c r="Q258" s="55"/>
      <c r="R258" s="42">
        <f t="shared" si="76"/>
        <v>1620598</v>
      </c>
      <c r="S258" s="55"/>
      <c r="T258" s="55"/>
      <c r="U258" s="55"/>
      <c r="V258" s="34" t="s">
        <v>261</v>
      </c>
      <c r="W258" s="43">
        <v>44893</v>
      </c>
      <c r="X258" s="44" t="s">
        <v>278</v>
      </c>
    </row>
    <row r="259" spans="1:24" ht="17.45" customHeight="1" x14ac:dyDescent="0.25">
      <c r="A259" t="str">
        <f t="shared" ref="A259:A322" si="80">_xlfn.CONCAT(E259,W259,L259)</f>
        <v>23530183374489310824107</v>
      </c>
      <c r="B259" s="6">
        <f t="shared" si="78"/>
        <v>45071</v>
      </c>
      <c r="C259" s="3">
        <f t="shared" si="79"/>
        <v>112677827</v>
      </c>
      <c r="D259" s="34">
        <v>2022</v>
      </c>
      <c r="E259" s="35">
        <v>2353018337</v>
      </c>
      <c r="F259" s="36" t="s">
        <v>279</v>
      </c>
      <c r="G259" s="37">
        <v>1746041438</v>
      </c>
      <c r="H259" s="37">
        <v>187075868</v>
      </c>
      <c r="I259" s="38">
        <f t="shared" si="69"/>
        <v>0.10714285693831282</v>
      </c>
      <c r="J259" s="38">
        <f t="shared" si="72"/>
        <v>0.1199999997434196</v>
      </c>
      <c r="K259" s="37">
        <v>101025000</v>
      </c>
      <c r="L259" s="37">
        <f t="shared" si="74"/>
        <v>10824107</v>
      </c>
      <c r="M259" s="39">
        <v>0</v>
      </c>
      <c r="N259" s="37">
        <f t="shared" si="73"/>
        <v>10824107</v>
      </c>
      <c r="O259" s="40">
        <f t="shared" si="77"/>
        <v>4329643</v>
      </c>
      <c r="P259" s="41" t="s">
        <v>258</v>
      </c>
      <c r="Q259" s="55"/>
      <c r="R259" s="42">
        <f t="shared" si="76"/>
        <v>6494464</v>
      </c>
      <c r="S259" s="55"/>
      <c r="T259" s="55"/>
      <c r="U259" s="55"/>
      <c r="V259" s="34" t="s">
        <v>261</v>
      </c>
      <c r="W259" s="43">
        <v>44893</v>
      </c>
      <c r="X259" s="44" t="s">
        <v>273</v>
      </c>
    </row>
    <row r="260" spans="1:24" ht="17.45" customHeight="1" x14ac:dyDescent="0.25">
      <c r="A260" t="str">
        <f t="shared" si="80"/>
        <v>245301833044893116542724</v>
      </c>
      <c r="B260" s="6">
        <f t="shared" si="78"/>
        <v>45912</v>
      </c>
      <c r="C260" s="3">
        <f t="shared" si="79"/>
        <v>259214159</v>
      </c>
      <c r="D260" s="34">
        <v>2021</v>
      </c>
      <c r="E260" s="35">
        <v>2453018330</v>
      </c>
      <c r="F260" s="36" t="s">
        <v>198</v>
      </c>
      <c r="G260" s="37">
        <v>2419332150</v>
      </c>
      <c r="H260" s="37">
        <v>259214159</v>
      </c>
      <c r="I260" s="38">
        <f t="shared" si="69"/>
        <v>0.10714285717238123</v>
      </c>
      <c r="J260" s="38">
        <f t="shared" si="72"/>
        <v>0.12000000003703501</v>
      </c>
      <c r="K260" s="37">
        <v>1087732094</v>
      </c>
      <c r="L260" s="37">
        <f t="shared" si="74"/>
        <v>116542724</v>
      </c>
      <c r="M260" s="39">
        <f>L256</f>
        <v>111337664</v>
      </c>
      <c r="N260" s="37">
        <f t="shared" si="73"/>
        <v>5205060</v>
      </c>
      <c r="O260" s="40">
        <f t="shared" si="77"/>
        <v>2082024</v>
      </c>
      <c r="P260" s="41" t="s">
        <v>258</v>
      </c>
      <c r="Q260" s="55"/>
      <c r="R260" s="42">
        <f t="shared" si="76"/>
        <v>3123036</v>
      </c>
      <c r="S260" s="55"/>
      <c r="T260" s="55"/>
      <c r="U260" s="55"/>
      <c r="V260" s="34" t="s">
        <v>261</v>
      </c>
      <c r="W260" s="43">
        <v>44893</v>
      </c>
      <c r="X260" s="44" t="s">
        <v>273</v>
      </c>
    </row>
    <row r="261" spans="1:24" ht="17.45" customHeight="1" x14ac:dyDescent="0.25">
      <c r="A261" t="str">
        <f t="shared" si="80"/>
        <v>29109067884489373299509</v>
      </c>
      <c r="B261" s="6">
        <f t="shared" si="78"/>
        <v>45498</v>
      </c>
      <c r="C261" s="3">
        <f t="shared" si="79"/>
        <v>387879629.13729745</v>
      </c>
      <c r="D261" s="34">
        <v>2022</v>
      </c>
      <c r="E261" s="35">
        <v>2910906788</v>
      </c>
      <c r="F261" s="36" t="s">
        <v>270</v>
      </c>
      <c r="G261" s="37">
        <v>2078053077</v>
      </c>
      <c r="H261" s="37">
        <v>222662679</v>
      </c>
      <c r="I261" s="38">
        <f t="shared" si="69"/>
        <v>0.10714965919997048</v>
      </c>
      <c r="J261" s="38">
        <f t="shared" si="72"/>
        <v>0.12000853256544664</v>
      </c>
      <c r="K261" s="37">
        <v>684085325</v>
      </c>
      <c r="L261" s="37">
        <f t="shared" si="74"/>
        <v>73299509</v>
      </c>
      <c r="M261" s="39">
        <f>+L248</f>
        <v>69476787</v>
      </c>
      <c r="N261" s="37">
        <f t="shared" si="73"/>
        <v>3822722</v>
      </c>
      <c r="O261" s="40">
        <f t="shared" si="77"/>
        <v>1529089</v>
      </c>
      <c r="P261" s="41" t="s">
        <v>258</v>
      </c>
      <c r="Q261" s="55"/>
      <c r="R261" s="42">
        <f t="shared" si="76"/>
        <v>2293633</v>
      </c>
      <c r="S261" s="55"/>
      <c r="T261" s="55"/>
      <c r="U261" s="55"/>
      <c r="V261" s="34" t="s">
        <v>261</v>
      </c>
      <c r="W261" s="43">
        <v>44893</v>
      </c>
      <c r="X261" s="44" t="s">
        <v>273</v>
      </c>
    </row>
    <row r="262" spans="1:24" ht="17.45" customHeight="1" x14ac:dyDescent="0.25">
      <c r="A262" t="str">
        <f t="shared" si="80"/>
        <v>24530183364489313058902</v>
      </c>
      <c r="B262" s="6">
        <f t="shared" si="78"/>
        <v>45070</v>
      </c>
      <c r="C262" s="3">
        <f t="shared" si="79"/>
        <v>74596391</v>
      </c>
      <c r="D262" s="34">
        <v>2022</v>
      </c>
      <c r="E262" s="35">
        <v>2453018336</v>
      </c>
      <c r="F262" s="36" t="s">
        <v>266</v>
      </c>
      <c r="G262" s="37">
        <v>696232978</v>
      </c>
      <c r="H262" s="37">
        <v>74596391</v>
      </c>
      <c r="I262" s="38">
        <f t="shared" si="69"/>
        <v>0.10714285786100755</v>
      </c>
      <c r="J262" s="38">
        <f t="shared" si="72"/>
        <v>0.12000000090084788</v>
      </c>
      <c r="K262" s="37">
        <v>121883084</v>
      </c>
      <c r="L262" s="37">
        <f t="shared" si="74"/>
        <v>13058902</v>
      </c>
      <c r="M262" s="39">
        <f>+L234</f>
        <v>6305464</v>
      </c>
      <c r="N262" s="37">
        <f t="shared" si="73"/>
        <v>6753438</v>
      </c>
      <c r="O262" s="40">
        <f t="shared" si="77"/>
        <v>2701375</v>
      </c>
      <c r="P262" s="41" t="s">
        <v>258</v>
      </c>
      <c r="Q262" s="55"/>
      <c r="R262" s="42">
        <f t="shared" si="76"/>
        <v>4052063</v>
      </c>
      <c r="S262" s="55"/>
      <c r="T262" s="55"/>
      <c r="U262" s="55"/>
      <c r="V262" s="34" t="s">
        <v>261</v>
      </c>
      <c r="W262" s="43">
        <v>44893</v>
      </c>
      <c r="X262" s="44" t="s">
        <v>273</v>
      </c>
    </row>
    <row r="263" spans="1:24" ht="17.45" customHeight="1" x14ac:dyDescent="0.25">
      <c r="A263" t="str">
        <f t="shared" si="80"/>
        <v>29109067704489310999171</v>
      </c>
      <c r="B263" s="6">
        <f t="shared" si="78"/>
        <v>45098</v>
      </c>
      <c r="C263" s="3">
        <f t="shared" si="79"/>
        <v>22588645</v>
      </c>
      <c r="D263" s="34">
        <v>2021</v>
      </c>
      <c r="E263" s="35">
        <v>2910906770</v>
      </c>
      <c r="F263" s="36" t="s">
        <v>223</v>
      </c>
      <c r="G263" s="37">
        <v>276617170</v>
      </c>
      <c r="H263" s="37">
        <v>29637554</v>
      </c>
      <c r="I263" s="38">
        <f t="shared" ref="I263:I265" si="81">+H263/G263</f>
        <v>0.1071428574010789</v>
      </c>
      <c r="J263" s="38">
        <f t="shared" si="72"/>
        <v>0.12000000032391338</v>
      </c>
      <c r="K263" s="37">
        <v>102658931</v>
      </c>
      <c r="L263" s="37">
        <f t="shared" si="74"/>
        <v>10999171</v>
      </c>
      <c r="M263" s="39">
        <f>+L233</f>
        <v>9957542</v>
      </c>
      <c r="N263" s="37">
        <f t="shared" si="73"/>
        <v>1041629</v>
      </c>
      <c r="O263" s="40">
        <f t="shared" si="77"/>
        <v>416652</v>
      </c>
      <c r="P263" s="41" t="s">
        <v>258</v>
      </c>
      <c r="Q263" s="55"/>
      <c r="R263" s="42">
        <f t="shared" si="76"/>
        <v>624977</v>
      </c>
      <c r="S263" s="55"/>
      <c r="T263" s="55"/>
      <c r="U263" s="55"/>
      <c r="V263" s="34" t="s">
        <v>261</v>
      </c>
      <c r="W263" s="43">
        <v>44893</v>
      </c>
      <c r="X263" s="44" t="s">
        <v>273</v>
      </c>
    </row>
    <row r="264" spans="1:24" ht="17.45" customHeight="1" x14ac:dyDescent="0.25">
      <c r="A264" t="str">
        <f t="shared" si="80"/>
        <v>29109067844489340308557</v>
      </c>
      <c r="B264" s="6">
        <f t="shared" si="78"/>
        <v>44900</v>
      </c>
      <c r="C264" s="3">
        <f t="shared" si="79"/>
        <v>55236934</v>
      </c>
      <c r="D264" s="34">
        <v>2022</v>
      </c>
      <c r="E264" s="35">
        <v>2910906784</v>
      </c>
      <c r="F264" s="36" t="s">
        <v>246</v>
      </c>
      <c r="G264" s="37">
        <v>515544715</v>
      </c>
      <c r="H264" s="37">
        <v>55236934</v>
      </c>
      <c r="I264" s="38">
        <f t="shared" si="81"/>
        <v>0.10714285762778113</v>
      </c>
      <c r="J264" s="38">
        <f t="shared" ref="J264:J287" si="82">IFERROR((+H264/(G264-H264)),0)</f>
        <v>0.12000000060828865</v>
      </c>
      <c r="K264" s="37">
        <v>376213200</v>
      </c>
      <c r="L264" s="37">
        <f t="shared" si="74"/>
        <v>40308557</v>
      </c>
      <c r="M264" s="39">
        <f>+L237</f>
        <v>32802129</v>
      </c>
      <c r="N264" s="37">
        <f t="shared" si="73"/>
        <v>7506428</v>
      </c>
      <c r="O264" s="40">
        <f t="shared" si="77"/>
        <v>3002571</v>
      </c>
      <c r="P264" s="41" t="s">
        <v>258</v>
      </c>
      <c r="Q264" s="55"/>
      <c r="R264" s="42">
        <f t="shared" si="76"/>
        <v>4503857</v>
      </c>
      <c r="S264" s="55"/>
      <c r="T264" s="55"/>
      <c r="U264" s="55"/>
      <c r="V264" s="34" t="s">
        <v>261</v>
      </c>
      <c r="W264" s="43">
        <v>44893</v>
      </c>
      <c r="X264" s="44" t="s">
        <v>273</v>
      </c>
    </row>
    <row r="265" spans="1:24" ht="17.45" customHeight="1" x14ac:dyDescent="0.25">
      <c r="A265" t="str">
        <f t="shared" si="80"/>
        <v>24530183134489358229680</v>
      </c>
      <c r="B265" s="6">
        <f t="shared" si="78"/>
        <v>44893</v>
      </c>
      <c r="C265" s="3">
        <f t="shared" si="79"/>
        <v>58229680</v>
      </c>
      <c r="D265" s="34">
        <v>2021</v>
      </c>
      <c r="E265" s="35">
        <v>2453018313</v>
      </c>
      <c r="F265" s="36" t="s">
        <v>157</v>
      </c>
      <c r="G265" s="37">
        <v>628722760</v>
      </c>
      <c r="H265" s="37">
        <v>67363153</v>
      </c>
      <c r="I265" s="38">
        <f t="shared" si="81"/>
        <v>0.10714285737007517</v>
      </c>
      <c r="J265" s="38">
        <f t="shared" si="82"/>
        <v>0.12000000028502229</v>
      </c>
      <c r="K265" s="37">
        <v>543477013</v>
      </c>
      <c r="L265" s="37">
        <f t="shared" si="74"/>
        <v>58229680</v>
      </c>
      <c r="M265" s="39">
        <f>+L219</f>
        <v>47768956</v>
      </c>
      <c r="N265" s="37">
        <f t="shared" si="73"/>
        <v>10460724</v>
      </c>
      <c r="O265" s="40">
        <f t="shared" si="77"/>
        <v>4184290</v>
      </c>
      <c r="P265" s="41" t="s">
        <v>258</v>
      </c>
      <c r="Q265" s="55"/>
      <c r="R265" s="42">
        <f t="shared" si="76"/>
        <v>6276434</v>
      </c>
      <c r="S265" s="55"/>
      <c r="T265" s="55"/>
      <c r="U265" s="55"/>
      <c r="V265" s="34" t="s">
        <v>261</v>
      </c>
      <c r="W265" s="43">
        <v>44893</v>
      </c>
      <c r="X265" s="44" t="s">
        <v>273</v>
      </c>
    </row>
    <row r="266" spans="1:24" ht="17.45" customHeight="1" x14ac:dyDescent="0.25">
      <c r="A266" t="str">
        <f t="shared" si="80"/>
        <v>29109067294489430556618</v>
      </c>
      <c r="B266" s="6">
        <f t="shared" si="78"/>
        <v>45316</v>
      </c>
      <c r="C266" s="3">
        <f t="shared" si="79"/>
        <v>36024705</v>
      </c>
      <c r="D266" s="34">
        <v>2022</v>
      </c>
      <c r="E266" s="35">
        <v>2910906729</v>
      </c>
      <c r="F266" s="36" t="s">
        <v>167</v>
      </c>
      <c r="G266" s="37">
        <v>336230576</v>
      </c>
      <c r="H266" s="37">
        <v>36024705</v>
      </c>
      <c r="I266" s="38">
        <v>0.10714285841749265</v>
      </c>
      <c r="J266" s="38">
        <f t="shared" si="82"/>
        <v>0.12000000159890277</v>
      </c>
      <c r="K266" s="37">
        <v>285195094</v>
      </c>
      <c r="L266" s="37">
        <f t="shared" si="74"/>
        <v>30556618</v>
      </c>
      <c r="M266" s="39">
        <v>21614823</v>
      </c>
      <c r="N266" s="37">
        <f t="shared" si="73"/>
        <v>8941795</v>
      </c>
      <c r="O266" s="40">
        <f t="shared" si="77"/>
        <v>3576718</v>
      </c>
      <c r="P266" s="41" t="s">
        <v>258</v>
      </c>
      <c r="Q266" s="55"/>
      <c r="R266" s="42">
        <f t="shared" si="76"/>
        <v>5365077</v>
      </c>
      <c r="S266" s="55"/>
      <c r="T266" s="55"/>
      <c r="U266" s="55"/>
      <c r="V266" s="34" t="s">
        <v>261</v>
      </c>
      <c r="W266" s="43">
        <v>44894</v>
      </c>
      <c r="X266" s="44" t="s">
        <v>280</v>
      </c>
    </row>
    <row r="267" spans="1:24" ht="17.45" customHeight="1" x14ac:dyDescent="0.25">
      <c r="A267" t="str">
        <f t="shared" si="80"/>
        <v>24530183184489452060714</v>
      </c>
      <c r="B267" s="6">
        <f t="shared" si="78"/>
        <v>44894</v>
      </c>
      <c r="C267" s="3">
        <f t="shared" si="79"/>
        <v>52060714</v>
      </c>
      <c r="D267" s="34">
        <v>2021</v>
      </c>
      <c r="E267" s="35">
        <v>2453018318</v>
      </c>
      <c r="F267" s="36" t="s">
        <v>191</v>
      </c>
      <c r="G267" s="37">
        <v>595495040</v>
      </c>
      <c r="H267" s="37">
        <v>63803040</v>
      </c>
      <c r="I267" s="38">
        <v>0.10714285714285714</v>
      </c>
      <c r="J267" s="38">
        <f t="shared" si="82"/>
        <v>0.12</v>
      </c>
      <c r="K267" s="37">
        <v>485900000</v>
      </c>
      <c r="L267" s="37">
        <f t="shared" si="74"/>
        <v>52060714</v>
      </c>
      <c r="M267" s="39">
        <f>+L220</f>
        <v>51364286</v>
      </c>
      <c r="N267" s="37">
        <f t="shared" si="73"/>
        <v>696428</v>
      </c>
      <c r="O267" s="40">
        <f t="shared" si="77"/>
        <v>278571</v>
      </c>
      <c r="P267" s="41" t="s">
        <v>258</v>
      </c>
      <c r="Q267" s="55"/>
      <c r="R267" s="42">
        <f t="shared" si="76"/>
        <v>417857</v>
      </c>
      <c r="S267" s="55"/>
      <c r="T267" s="55"/>
      <c r="U267" s="55"/>
      <c r="V267" s="34" t="s">
        <v>261</v>
      </c>
      <c r="W267" s="43">
        <v>44894</v>
      </c>
      <c r="X267" s="44" t="s">
        <v>280</v>
      </c>
    </row>
    <row r="268" spans="1:24" ht="17.45" customHeight="1" x14ac:dyDescent="0.25">
      <c r="A268" t="str">
        <f t="shared" si="80"/>
        <v>29109067234490043050876</v>
      </c>
      <c r="B268" s="6">
        <f t="shared" si="78"/>
        <v>45467</v>
      </c>
      <c r="C268" s="3">
        <f t="shared" si="79"/>
        <v>53971864</v>
      </c>
      <c r="D268" s="34">
        <v>2020</v>
      </c>
      <c r="E268" s="35">
        <v>2910906723</v>
      </c>
      <c r="F268" s="36" t="s">
        <v>80</v>
      </c>
      <c r="G268" s="37">
        <v>503737398</v>
      </c>
      <c r="H268" s="37">
        <v>53971864</v>
      </c>
      <c r="I268" s="38">
        <f t="shared" ref="I268:I274" si="83">H268/G268</f>
        <v>0.10714285700105991</v>
      </c>
      <c r="J268" s="38">
        <f t="shared" si="82"/>
        <v>0.11999999982212954</v>
      </c>
      <c r="K268" s="37">
        <v>401808175</v>
      </c>
      <c r="L268" s="37">
        <f t="shared" si="74"/>
        <v>43050876</v>
      </c>
      <c r="M268" s="39">
        <f>+L52</f>
        <v>42529828</v>
      </c>
      <c r="N268" s="37">
        <f t="shared" si="73"/>
        <v>521048</v>
      </c>
      <c r="O268" s="40">
        <f t="shared" si="77"/>
        <v>208419</v>
      </c>
      <c r="P268" s="41" t="s">
        <v>258</v>
      </c>
      <c r="Q268" s="55">
        <v>11211</v>
      </c>
      <c r="R268" s="42">
        <f t="shared" si="76"/>
        <v>312629</v>
      </c>
      <c r="S268" s="55">
        <v>11212</v>
      </c>
      <c r="T268" s="55">
        <v>2213</v>
      </c>
      <c r="U268" s="55">
        <v>5272</v>
      </c>
      <c r="V268" s="34" t="s">
        <v>261</v>
      </c>
      <c r="W268" s="43">
        <v>44900</v>
      </c>
      <c r="X268" s="44" t="s">
        <v>273</v>
      </c>
    </row>
    <row r="269" spans="1:24" ht="17.45" customHeight="1" x14ac:dyDescent="0.25">
      <c r="A269" t="str">
        <f t="shared" si="80"/>
        <v>29109067774490080246277</v>
      </c>
      <c r="B269" s="6">
        <f t="shared" si="78"/>
        <v>45316</v>
      </c>
      <c r="C269" s="3">
        <f t="shared" si="79"/>
        <v>121501239</v>
      </c>
      <c r="D269" s="34">
        <v>2021</v>
      </c>
      <c r="E269" s="35">
        <v>2910906777</v>
      </c>
      <c r="F269" s="36" t="s">
        <v>230</v>
      </c>
      <c r="G269" s="37">
        <v>1162897960</v>
      </c>
      <c r="H269" s="37">
        <v>124596210</v>
      </c>
      <c r="I269" s="38">
        <f t="shared" si="83"/>
        <v>0.10714285714285714</v>
      </c>
      <c r="J269" s="38">
        <f t="shared" si="82"/>
        <v>0.12</v>
      </c>
      <c r="K269" s="37">
        <v>748965255</v>
      </c>
      <c r="L269" s="37">
        <f t="shared" si="74"/>
        <v>80246277</v>
      </c>
      <c r="M269" s="39">
        <f>M247+N247</f>
        <v>79623495</v>
      </c>
      <c r="N269" s="37">
        <f t="shared" si="73"/>
        <v>622782</v>
      </c>
      <c r="O269" s="40">
        <f t="shared" si="77"/>
        <v>249113</v>
      </c>
      <c r="P269" s="41" t="s">
        <v>258</v>
      </c>
      <c r="Q269" s="55">
        <v>11213</v>
      </c>
      <c r="R269" s="42">
        <f t="shared" si="76"/>
        <v>373669</v>
      </c>
      <c r="S269" s="55">
        <v>11214</v>
      </c>
      <c r="T269" s="55">
        <v>2207</v>
      </c>
      <c r="U269" s="55">
        <v>5266</v>
      </c>
      <c r="V269" s="34" t="s">
        <v>261</v>
      </c>
      <c r="W269" s="43">
        <v>44900</v>
      </c>
      <c r="X269" s="44" t="s">
        <v>273</v>
      </c>
    </row>
    <row r="270" spans="1:24" ht="17.45" customHeight="1" x14ac:dyDescent="0.25">
      <c r="A270" t="str">
        <f t="shared" si="80"/>
        <v>29109067884490074031500</v>
      </c>
      <c r="B270" s="6">
        <f t="shared" si="78"/>
        <v>45498</v>
      </c>
      <c r="C270" s="3">
        <f t="shared" si="79"/>
        <v>387879629.13729745</v>
      </c>
      <c r="D270" s="34">
        <v>2022</v>
      </c>
      <c r="E270" s="35">
        <v>2910906788</v>
      </c>
      <c r="F270" s="36" t="s">
        <v>270</v>
      </c>
      <c r="G270" s="37">
        <v>2078053077</v>
      </c>
      <c r="H270" s="37">
        <v>222662679</v>
      </c>
      <c r="I270" s="38">
        <f t="shared" si="83"/>
        <v>0.10714965919997048</v>
      </c>
      <c r="J270" s="38">
        <f t="shared" si="82"/>
        <v>0.12000853256544664</v>
      </c>
      <c r="K270" s="37">
        <v>690916801</v>
      </c>
      <c r="L270" s="37">
        <f t="shared" si="74"/>
        <v>74031500</v>
      </c>
      <c r="M270" s="39">
        <f>+M261+N261</f>
        <v>73299509</v>
      </c>
      <c r="N270" s="37">
        <f t="shared" si="73"/>
        <v>731991</v>
      </c>
      <c r="O270" s="40">
        <f t="shared" si="77"/>
        <v>292796</v>
      </c>
      <c r="P270" s="41" t="s">
        <v>258</v>
      </c>
      <c r="Q270" s="55">
        <v>11219</v>
      </c>
      <c r="R270" s="42">
        <f t="shared" si="76"/>
        <v>439195</v>
      </c>
      <c r="S270" s="55">
        <v>11220</v>
      </c>
      <c r="T270" s="55">
        <v>2210</v>
      </c>
      <c r="U270" s="55">
        <v>5269</v>
      </c>
      <c r="V270" s="34" t="s">
        <v>261</v>
      </c>
      <c r="W270" s="43">
        <v>44900</v>
      </c>
      <c r="X270" s="44" t="s">
        <v>273</v>
      </c>
    </row>
    <row r="271" spans="1:24" ht="17.45" customHeight="1" x14ac:dyDescent="0.25">
      <c r="A271" t="str">
        <f t="shared" si="80"/>
        <v>2910906787449005966642</v>
      </c>
      <c r="B271" s="6">
        <f t="shared" si="78"/>
        <v>45498</v>
      </c>
      <c r="C271" s="3">
        <f t="shared" si="79"/>
        <v>15148141.171637964</v>
      </c>
      <c r="D271" s="34">
        <v>2022</v>
      </c>
      <c r="E271" s="35">
        <v>2910906787</v>
      </c>
      <c r="F271" s="36" t="s">
        <v>248</v>
      </c>
      <c r="G271" s="37">
        <v>120252560</v>
      </c>
      <c r="H271" s="37">
        <v>12884203</v>
      </c>
      <c r="I271" s="38">
        <f t="shared" si="83"/>
        <v>0.10714285833083304</v>
      </c>
      <c r="J271" s="38">
        <f t="shared" si="82"/>
        <v>0.12000000149019696</v>
      </c>
      <c r="K271" s="37">
        <v>55688656</v>
      </c>
      <c r="L271" s="37">
        <f t="shared" si="74"/>
        <v>5966642</v>
      </c>
      <c r="M271" s="39">
        <f>L217</f>
        <v>730710</v>
      </c>
      <c r="N271" s="37">
        <f t="shared" si="73"/>
        <v>5235932</v>
      </c>
      <c r="O271" s="40">
        <f t="shared" si="77"/>
        <v>2094373</v>
      </c>
      <c r="P271" s="41" t="s">
        <v>258</v>
      </c>
      <c r="Q271" s="55">
        <v>11217</v>
      </c>
      <c r="R271" s="42">
        <f t="shared" si="76"/>
        <v>3141559</v>
      </c>
      <c r="S271" s="55">
        <v>11218</v>
      </c>
      <c r="T271" s="55">
        <v>2209</v>
      </c>
      <c r="U271" s="55">
        <v>5268</v>
      </c>
      <c r="V271" s="34" t="s">
        <v>261</v>
      </c>
      <c r="W271" s="43">
        <v>44900</v>
      </c>
      <c r="X271" s="44" t="s">
        <v>273</v>
      </c>
    </row>
    <row r="272" spans="1:24" ht="17.45" customHeight="1" x14ac:dyDescent="0.25">
      <c r="A272" t="str">
        <f t="shared" si="80"/>
        <v>29109067844490055236934</v>
      </c>
      <c r="B272" s="6">
        <f t="shared" si="78"/>
        <v>44900</v>
      </c>
      <c r="C272" s="3">
        <f t="shared" si="79"/>
        <v>55236934</v>
      </c>
      <c r="D272" s="34">
        <v>2022</v>
      </c>
      <c r="E272" s="35">
        <v>2910906784</v>
      </c>
      <c r="F272" s="36" t="s">
        <v>246</v>
      </c>
      <c r="G272" s="37">
        <v>515544715</v>
      </c>
      <c r="H272" s="37">
        <v>55236934</v>
      </c>
      <c r="I272" s="38">
        <f t="shared" si="83"/>
        <v>0.10714285762778113</v>
      </c>
      <c r="J272" s="38">
        <f t="shared" si="82"/>
        <v>0.12000000060828865</v>
      </c>
      <c r="K272" s="37">
        <f>G272</f>
        <v>515544715</v>
      </c>
      <c r="L272" s="37">
        <f t="shared" si="74"/>
        <v>55236934</v>
      </c>
      <c r="M272" s="39">
        <f>L264</f>
        <v>40308557</v>
      </c>
      <c r="N272" s="37">
        <f t="shared" si="73"/>
        <v>14928377</v>
      </c>
      <c r="O272" s="40">
        <f t="shared" si="77"/>
        <v>5971351</v>
      </c>
      <c r="P272" s="41" t="s">
        <v>258</v>
      </c>
      <c r="Q272" s="55">
        <v>11215</v>
      </c>
      <c r="R272" s="42">
        <f t="shared" si="76"/>
        <v>8957026</v>
      </c>
      <c r="S272" s="55">
        <v>11216</v>
      </c>
      <c r="T272" s="55">
        <v>2208</v>
      </c>
      <c r="U272" s="55">
        <v>5267</v>
      </c>
      <c r="V272" s="34" t="s">
        <v>261</v>
      </c>
      <c r="W272" s="43">
        <v>44900</v>
      </c>
      <c r="X272" s="44" t="s">
        <v>281</v>
      </c>
    </row>
    <row r="273" spans="1:24" ht="17.45" customHeight="1" x14ac:dyDescent="0.25">
      <c r="A273" t="str">
        <f t="shared" si="80"/>
        <v>23530183374490012924107</v>
      </c>
      <c r="B273" s="6">
        <f t="shared" si="78"/>
        <v>45071</v>
      </c>
      <c r="C273" s="3">
        <f t="shared" si="79"/>
        <v>112677827</v>
      </c>
      <c r="D273" s="34">
        <v>2022</v>
      </c>
      <c r="E273" s="35">
        <v>2353018337</v>
      </c>
      <c r="F273" s="36" t="s">
        <v>279</v>
      </c>
      <c r="G273" s="37">
        <v>1746041438</v>
      </c>
      <c r="H273" s="37">
        <v>187075868</v>
      </c>
      <c r="I273" s="38">
        <f t="shared" si="83"/>
        <v>0.10714285693831282</v>
      </c>
      <c r="J273" s="38">
        <f t="shared" si="82"/>
        <v>0.1199999997434196</v>
      </c>
      <c r="K273" s="37">
        <v>120625000</v>
      </c>
      <c r="L273" s="37">
        <f t="shared" si="74"/>
        <v>12924107</v>
      </c>
      <c r="M273" s="39">
        <f>L259</f>
        <v>10824107</v>
      </c>
      <c r="N273" s="37">
        <f t="shared" si="73"/>
        <v>2100000</v>
      </c>
      <c r="O273" s="40">
        <f t="shared" si="77"/>
        <v>840000</v>
      </c>
      <c r="P273" s="41" t="s">
        <v>258</v>
      </c>
      <c r="Q273" s="55">
        <v>11207</v>
      </c>
      <c r="R273" s="42">
        <f t="shared" si="76"/>
        <v>1260000</v>
      </c>
      <c r="S273" s="55">
        <v>11208</v>
      </c>
      <c r="T273" s="55">
        <v>2206</v>
      </c>
      <c r="U273" s="55">
        <v>5264</v>
      </c>
      <c r="V273" s="34" t="s">
        <v>261</v>
      </c>
      <c r="W273" s="43">
        <v>44900</v>
      </c>
      <c r="X273" s="44" t="s">
        <v>273</v>
      </c>
    </row>
    <row r="274" spans="1:24" ht="17.45" customHeight="1" x14ac:dyDescent="0.25">
      <c r="A274" t="str">
        <f t="shared" si="80"/>
        <v>2453018331449006645105</v>
      </c>
      <c r="B274" s="6">
        <f t="shared" si="78"/>
        <v>45223</v>
      </c>
      <c r="C274" s="3">
        <f t="shared" si="79"/>
        <v>52886721</v>
      </c>
      <c r="D274" s="34">
        <v>2021</v>
      </c>
      <c r="E274" s="35">
        <v>2453018331</v>
      </c>
      <c r="F274" s="36" t="s">
        <v>282</v>
      </c>
      <c r="G274" s="37">
        <v>1079098616</v>
      </c>
      <c r="H274" s="37">
        <v>115617709</v>
      </c>
      <c r="I274" s="38">
        <f t="shared" si="83"/>
        <v>0.10714285727524277</v>
      </c>
      <c r="J274" s="38">
        <f t="shared" si="82"/>
        <v>0.12000000016606453</v>
      </c>
      <c r="K274" s="37">
        <v>62020979</v>
      </c>
      <c r="L274" s="37">
        <f t="shared" si="74"/>
        <v>6645105</v>
      </c>
      <c r="M274" s="39">
        <v>0</v>
      </c>
      <c r="N274" s="37">
        <f t="shared" si="73"/>
        <v>6645105</v>
      </c>
      <c r="O274" s="40">
        <f t="shared" si="77"/>
        <v>2658042</v>
      </c>
      <c r="P274" s="41" t="s">
        <v>258</v>
      </c>
      <c r="Q274" s="55">
        <v>11203</v>
      </c>
      <c r="R274" s="42">
        <f t="shared" si="76"/>
        <v>3987063</v>
      </c>
      <c r="S274" s="55">
        <v>11204</v>
      </c>
      <c r="T274" s="55">
        <v>2204</v>
      </c>
      <c r="U274" s="55">
        <v>5262</v>
      </c>
      <c r="V274" s="34" t="s">
        <v>261</v>
      </c>
      <c r="W274" s="43">
        <v>44900</v>
      </c>
      <c r="X274" s="44" t="s">
        <v>273</v>
      </c>
    </row>
    <row r="275" spans="1:24" ht="17.45" customHeight="1" x14ac:dyDescent="0.25">
      <c r="A275" t="str">
        <f t="shared" si="80"/>
        <v>24530183364490013814509</v>
      </c>
      <c r="B275" s="6">
        <f t="shared" si="78"/>
        <v>45070</v>
      </c>
      <c r="C275" s="3">
        <f t="shared" si="79"/>
        <v>74596391</v>
      </c>
      <c r="D275" s="34">
        <v>2022</v>
      </c>
      <c r="E275" s="35">
        <v>2453018336</v>
      </c>
      <c r="F275" s="36" t="s">
        <v>266</v>
      </c>
      <c r="G275" s="37">
        <v>696232978</v>
      </c>
      <c r="H275" s="37">
        <v>74596391</v>
      </c>
      <c r="I275" s="38">
        <f>+H275/G275</f>
        <v>0.10714285786100755</v>
      </c>
      <c r="J275" s="38">
        <f t="shared" si="82"/>
        <v>0.12000000090084788</v>
      </c>
      <c r="K275" s="37">
        <v>128935420</v>
      </c>
      <c r="L275" s="37">
        <f t="shared" si="74"/>
        <v>13814509</v>
      </c>
      <c r="M275" s="39">
        <f>+L262</f>
        <v>13058902</v>
      </c>
      <c r="N275" s="37">
        <f t="shared" si="73"/>
        <v>755607</v>
      </c>
      <c r="O275" s="40">
        <f t="shared" si="77"/>
        <v>302243</v>
      </c>
      <c r="P275" s="41" t="s">
        <v>258</v>
      </c>
      <c r="Q275" s="55">
        <v>11205</v>
      </c>
      <c r="R275" s="42">
        <f t="shared" si="76"/>
        <v>453364</v>
      </c>
      <c r="S275" s="55">
        <v>11206</v>
      </c>
      <c r="T275" s="55">
        <v>2205</v>
      </c>
      <c r="U275" s="55">
        <v>5263</v>
      </c>
      <c r="V275" s="34" t="s">
        <v>261</v>
      </c>
      <c r="W275" s="43">
        <v>44900</v>
      </c>
      <c r="X275" s="44" t="s">
        <v>273</v>
      </c>
    </row>
    <row r="276" spans="1:24" ht="17.45" customHeight="1" x14ac:dyDescent="0.25">
      <c r="A276" t="str">
        <f t="shared" si="80"/>
        <v>24530183254490041813826</v>
      </c>
      <c r="B276" s="6">
        <f t="shared" si="78"/>
        <v>45042</v>
      </c>
      <c r="C276" s="3">
        <f t="shared" si="79"/>
        <v>78962612</v>
      </c>
      <c r="D276" s="34">
        <v>2021</v>
      </c>
      <c r="E276" s="35">
        <v>2453018325</v>
      </c>
      <c r="F276" s="36" t="s">
        <v>194</v>
      </c>
      <c r="G276" s="37">
        <v>744689120</v>
      </c>
      <c r="H276" s="37">
        <v>79788120</v>
      </c>
      <c r="I276" s="38">
        <f>+H276/G276</f>
        <v>0.10714285714285714</v>
      </c>
      <c r="J276" s="38">
        <f t="shared" si="82"/>
        <v>0.12</v>
      </c>
      <c r="K276" s="37">
        <v>390262375</v>
      </c>
      <c r="L276" s="37">
        <f t="shared" si="74"/>
        <v>41813826</v>
      </c>
      <c r="M276" s="39">
        <f>+L253</f>
        <v>40840433</v>
      </c>
      <c r="N276" s="37">
        <f t="shared" si="73"/>
        <v>973393</v>
      </c>
      <c r="O276" s="40">
        <f t="shared" si="77"/>
        <v>389357</v>
      </c>
      <c r="P276" s="41" t="s">
        <v>258</v>
      </c>
      <c r="Q276" s="55">
        <v>11201</v>
      </c>
      <c r="R276" s="42">
        <f t="shared" ref="R276:R287" si="84">+N276-O276</f>
        <v>584036</v>
      </c>
      <c r="S276" s="55">
        <v>11202</v>
      </c>
      <c r="T276" s="55">
        <v>2211</v>
      </c>
      <c r="U276" s="55">
        <v>5270</v>
      </c>
      <c r="V276" s="34" t="s">
        <v>261</v>
      </c>
      <c r="W276" s="43">
        <v>44900</v>
      </c>
      <c r="X276" s="44" t="s">
        <v>273</v>
      </c>
    </row>
    <row r="277" spans="1:24" ht="17.45" customHeight="1" x14ac:dyDescent="0.25">
      <c r="A277" t="str">
        <f t="shared" si="80"/>
        <v>291090637044900255453242</v>
      </c>
      <c r="B277" s="6">
        <f t="shared" si="78"/>
        <v>45530</v>
      </c>
      <c r="C277" s="3">
        <f t="shared" si="79"/>
        <v>467234191.89532739</v>
      </c>
      <c r="D277" s="34">
        <v>2018</v>
      </c>
      <c r="E277" s="35">
        <v>2910906370</v>
      </c>
      <c r="F277" s="36" t="s">
        <v>74</v>
      </c>
      <c r="G277" s="37">
        <v>5033567040</v>
      </c>
      <c r="H277" s="37">
        <v>539310754</v>
      </c>
      <c r="I277" s="38">
        <f t="shared" ref="I277:I282" si="85">H277/G277</f>
        <v>0.10714285708609535</v>
      </c>
      <c r="J277" s="38">
        <f t="shared" si="82"/>
        <v>0.11999999992879801</v>
      </c>
      <c r="K277" s="37">
        <v>2384230259</v>
      </c>
      <c r="L277" s="37">
        <f t="shared" si="74"/>
        <v>255453242</v>
      </c>
      <c r="M277" s="39">
        <f>+L47</f>
        <v>246085114</v>
      </c>
      <c r="N277" s="37">
        <f t="shared" si="73"/>
        <v>9368128</v>
      </c>
      <c r="O277" s="40">
        <f t="shared" si="77"/>
        <v>3747251</v>
      </c>
      <c r="P277" s="41" t="s">
        <v>258</v>
      </c>
      <c r="Q277" s="55">
        <v>11209</v>
      </c>
      <c r="R277" s="42">
        <f t="shared" si="84"/>
        <v>5620877</v>
      </c>
      <c r="S277" s="55">
        <v>11210</v>
      </c>
      <c r="T277" s="55">
        <v>2212</v>
      </c>
      <c r="U277" s="55">
        <v>5271</v>
      </c>
      <c r="V277" s="34" t="s">
        <v>261</v>
      </c>
      <c r="W277" s="43">
        <v>44900</v>
      </c>
      <c r="X277" s="44" t="s">
        <v>273</v>
      </c>
    </row>
    <row r="278" spans="1:24" ht="17.45" customHeight="1" x14ac:dyDescent="0.25">
      <c r="A278" t="str">
        <f t="shared" si="80"/>
        <v>2910906764449014298737</v>
      </c>
      <c r="B278" s="6">
        <f t="shared" si="78"/>
        <v>45586</v>
      </c>
      <c r="C278" s="3">
        <f t="shared" si="79"/>
        <v>12214286</v>
      </c>
      <c r="D278" s="34">
        <v>2021</v>
      </c>
      <c r="E278" s="35">
        <v>2910906764</v>
      </c>
      <c r="F278" s="36" t="s">
        <v>218</v>
      </c>
      <c r="G278" s="37">
        <v>114000000</v>
      </c>
      <c r="H278" s="37">
        <v>12214286</v>
      </c>
      <c r="I278" s="38">
        <f t="shared" si="85"/>
        <v>0.1071428596491228</v>
      </c>
      <c r="J278" s="38">
        <f t="shared" si="82"/>
        <v>0.12000000314385965</v>
      </c>
      <c r="K278" s="37">
        <v>40121543</v>
      </c>
      <c r="L278" s="37">
        <f t="shared" si="74"/>
        <v>4298737</v>
      </c>
      <c r="M278" s="39">
        <f>+L170</f>
        <v>2451429</v>
      </c>
      <c r="N278" s="37">
        <f t="shared" si="73"/>
        <v>1847308</v>
      </c>
      <c r="O278" s="40">
        <f t="shared" si="77"/>
        <v>738923</v>
      </c>
      <c r="P278" s="41" t="s">
        <v>258</v>
      </c>
      <c r="Q278" s="55">
        <v>11376</v>
      </c>
      <c r="R278" s="42">
        <f t="shared" si="84"/>
        <v>1108385</v>
      </c>
      <c r="S278" s="55">
        <v>11377</v>
      </c>
      <c r="T278" s="55">
        <v>2259</v>
      </c>
      <c r="U278" s="55">
        <v>5293</v>
      </c>
      <c r="V278" s="34" t="s">
        <v>261</v>
      </c>
      <c r="W278" s="43">
        <v>44901</v>
      </c>
      <c r="X278" s="44" t="s">
        <v>273</v>
      </c>
    </row>
    <row r="279" spans="1:24" ht="17.45" customHeight="1" x14ac:dyDescent="0.25">
      <c r="A279" t="str">
        <f t="shared" si="80"/>
        <v>2910906787449016884320</v>
      </c>
      <c r="B279" s="6">
        <f t="shared" si="78"/>
        <v>45498</v>
      </c>
      <c r="C279" s="3">
        <f t="shared" si="79"/>
        <v>15148141.171637964</v>
      </c>
      <c r="D279" s="34">
        <v>2022</v>
      </c>
      <c r="E279" s="35">
        <v>2910906787</v>
      </c>
      <c r="F279" s="36" t="s">
        <v>248</v>
      </c>
      <c r="G279" s="37">
        <v>120252560</v>
      </c>
      <c r="H279" s="37">
        <v>12884203</v>
      </c>
      <c r="I279" s="38">
        <f t="shared" si="85"/>
        <v>0.10714285833083304</v>
      </c>
      <c r="J279" s="38">
        <f t="shared" si="82"/>
        <v>0.12000000149019696</v>
      </c>
      <c r="K279" s="37">
        <v>64253656</v>
      </c>
      <c r="L279" s="37">
        <f t="shared" si="74"/>
        <v>6884320</v>
      </c>
      <c r="M279" s="39">
        <f>+L271</f>
        <v>5966642</v>
      </c>
      <c r="N279" s="37">
        <f t="shared" si="73"/>
        <v>917678</v>
      </c>
      <c r="O279" s="40">
        <f t="shared" si="77"/>
        <v>367071</v>
      </c>
      <c r="P279" s="41" t="s">
        <v>258</v>
      </c>
      <c r="Q279" s="55">
        <v>11378</v>
      </c>
      <c r="R279" s="42">
        <f t="shared" si="84"/>
        <v>550607</v>
      </c>
      <c r="S279" s="55">
        <v>11379</v>
      </c>
      <c r="T279" s="55">
        <v>2260</v>
      </c>
      <c r="U279" s="55">
        <v>5294</v>
      </c>
      <c r="V279" s="34" t="s">
        <v>261</v>
      </c>
      <c r="W279" s="43">
        <v>44901</v>
      </c>
      <c r="X279" s="44" t="s">
        <v>273</v>
      </c>
    </row>
    <row r="280" spans="1:24" ht="17.45" customHeight="1" x14ac:dyDescent="0.25">
      <c r="A280" t="str">
        <f t="shared" si="80"/>
        <v>245301832844902116812287</v>
      </c>
      <c r="B280" s="6">
        <f t="shared" si="78"/>
        <v>44902</v>
      </c>
      <c r="C280" s="3">
        <f t="shared" si="79"/>
        <v>116812287</v>
      </c>
      <c r="D280" s="34">
        <v>2021</v>
      </c>
      <c r="E280" s="35">
        <v>2453018328</v>
      </c>
      <c r="F280" s="36" t="s">
        <v>197</v>
      </c>
      <c r="G280" s="37">
        <v>1199922000</v>
      </c>
      <c r="H280" s="37">
        <v>128563071</v>
      </c>
      <c r="I280" s="38">
        <f t="shared" si="85"/>
        <v>0.10714285678569108</v>
      </c>
      <c r="J280" s="38">
        <f t="shared" si="82"/>
        <v>0.11999999955197088</v>
      </c>
      <c r="K280" s="37">
        <v>1090248013</v>
      </c>
      <c r="L280" s="37">
        <f t="shared" si="74"/>
        <v>116812287</v>
      </c>
      <c r="M280" s="39">
        <f>+L254</f>
        <v>102493673</v>
      </c>
      <c r="N280" s="37">
        <f t="shared" si="73"/>
        <v>14318614</v>
      </c>
      <c r="O280" s="40">
        <f t="shared" si="77"/>
        <v>5727446</v>
      </c>
      <c r="P280" s="41" t="s">
        <v>258</v>
      </c>
      <c r="Q280" s="55">
        <v>11374</v>
      </c>
      <c r="R280" s="42">
        <f t="shared" si="84"/>
        <v>8591168</v>
      </c>
      <c r="S280" s="55">
        <v>11375</v>
      </c>
      <c r="T280" s="55">
        <v>2258</v>
      </c>
      <c r="U280" s="55">
        <v>5292</v>
      </c>
      <c r="V280" s="34" t="s">
        <v>261</v>
      </c>
      <c r="W280" s="43">
        <v>44902</v>
      </c>
      <c r="X280" s="44" t="s">
        <v>283</v>
      </c>
    </row>
    <row r="281" spans="1:24" ht="17.45" customHeight="1" x14ac:dyDescent="0.25">
      <c r="A281" t="str">
        <f t="shared" si="80"/>
        <v>29109067564490779368621</v>
      </c>
      <c r="B281" s="6">
        <f t="shared" si="78"/>
        <v>45828</v>
      </c>
      <c r="C281" s="3">
        <f t="shared" si="79"/>
        <v>200890598.73619679</v>
      </c>
      <c r="D281" s="34">
        <v>2021</v>
      </c>
      <c r="E281" s="35">
        <v>2910906756</v>
      </c>
      <c r="F281" s="36" t="s">
        <v>212</v>
      </c>
      <c r="G281" s="37">
        <v>2844873087</v>
      </c>
      <c r="H281" s="37">
        <v>304807831</v>
      </c>
      <c r="I281" s="38">
        <f t="shared" si="85"/>
        <v>0.10714285723073452</v>
      </c>
      <c r="J281" s="38">
        <f t="shared" si="82"/>
        <v>0.12000000011023339</v>
      </c>
      <c r="K281" s="37">
        <v>740773796</v>
      </c>
      <c r="L281" s="37">
        <f t="shared" si="74"/>
        <v>79368621</v>
      </c>
      <c r="M281" s="39">
        <f>+M250+N250</f>
        <v>78248532</v>
      </c>
      <c r="N281" s="37">
        <f t="shared" si="73"/>
        <v>1120089</v>
      </c>
      <c r="O281" s="40">
        <f t="shared" si="77"/>
        <v>448036</v>
      </c>
      <c r="P281" s="41" t="s">
        <v>258</v>
      </c>
      <c r="Q281" s="55">
        <v>11439</v>
      </c>
      <c r="R281" s="42">
        <f t="shared" si="84"/>
        <v>672053</v>
      </c>
      <c r="S281" s="55">
        <v>11440</v>
      </c>
      <c r="T281" s="55">
        <v>2283</v>
      </c>
      <c r="U281" s="55">
        <v>5401</v>
      </c>
      <c r="V281" s="34" t="s">
        <v>261</v>
      </c>
      <c r="W281" s="43">
        <v>44907</v>
      </c>
      <c r="X281" s="44" t="s">
        <v>273</v>
      </c>
    </row>
    <row r="282" spans="1:24" ht="17.45" customHeight="1" x14ac:dyDescent="0.25">
      <c r="A282" t="str">
        <f t="shared" si="80"/>
        <v>245301833044907145342283</v>
      </c>
      <c r="B282" s="6">
        <f t="shared" si="78"/>
        <v>45912</v>
      </c>
      <c r="C282" s="3">
        <f t="shared" si="79"/>
        <v>259214159</v>
      </c>
      <c r="D282" s="34">
        <v>2021</v>
      </c>
      <c r="E282" s="35">
        <v>2453018330</v>
      </c>
      <c r="F282" s="36" t="s">
        <v>198</v>
      </c>
      <c r="G282" s="37">
        <v>2419332150</v>
      </c>
      <c r="H282" s="37">
        <v>259214159</v>
      </c>
      <c r="I282" s="38">
        <f t="shared" si="85"/>
        <v>0.10714285717238123</v>
      </c>
      <c r="J282" s="38">
        <f t="shared" si="82"/>
        <v>0.12000000003703501</v>
      </c>
      <c r="K282" s="37">
        <v>1356527977</v>
      </c>
      <c r="L282" s="37">
        <f t="shared" si="74"/>
        <v>145342283</v>
      </c>
      <c r="M282" s="39">
        <f>M260+N260</f>
        <v>116542724</v>
      </c>
      <c r="N282" s="37">
        <f t="shared" si="73"/>
        <v>28799559</v>
      </c>
      <c r="O282" s="40">
        <f t="shared" si="77"/>
        <v>11519824</v>
      </c>
      <c r="P282" s="41" t="s">
        <v>258</v>
      </c>
      <c r="Q282" s="55">
        <v>11435</v>
      </c>
      <c r="R282" s="42">
        <f t="shared" si="84"/>
        <v>17279735</v>
      </c>
      <c r="S282" s="55">
        <v>11436</v>
      </c>
      <c r="T282" s="55">
        <v>2281</v>
      </c>
      <c r="U282" s="55">
        <v>5399</v>
      </c>
      <c r="V282" s="34" t="s">
        <v>261</v>
      </c>
      <c r="W282" s="43">
        <v>44907</v>
      </c>
      <c r="X282" s="44" t="s">
        <v>273</v>
      </c>
    </row>
    <row r="283" spans="1:24" ht="17.45" customHeight="1" x14ac:dyDescent="0.25">
      <c r="A283" t="str">
        <f t="shared" si="80"/>
        <v>24530183254490743474540</v>
      </c>
      <c r="B283" s="6">
        <f t="shared" si="78"/>
        <v>45042</v>
      </c>
      <c r="C283" s="3">
        <f t="shared" si="79"/>
        <v>78962612</v>
      </c>
      <c r="D283" s="34">
        <v>2021</v>
      </c>
      <c r="E283" s="35">
        <v>2453018325</v>
      </c>
      <c r="F283" s="36" t="s">
        <v>194</v>
      </c>
      <c r="G283" s="37">
        <v>744689120</v>
      </c>
      <c r="H283" s="37">
        <v>79788120</v>
      </c>
      <c r="I283" s="38">
        <f>+H283/G283</f>
        <v>0.10714285714285714</v>
      </c>
      <c r="J283" s="38">
        <f t="shared" si="82"/>
        <v>0.12</v>
      </c>
      <c r="K283" s="37">
        <v>405762375</v>
      </c>
      <c r="L283" s="37">
        <f t="shared" si="74"/>
        <v>43474540</v>
      </c>
      <c r="M283" s="39">
        <f>+M276+N276</f>
        <v>41813826</v>
      </c>
      <c r="N283" s="37">
        <f t="shared" si="73"/>
        <v>1660714</v>
      </c>
      <c r="O283" s="40">
        <f t="shared" si="77"/>
        <v>664286</v>
      </c>
      <c r="P283" s="41" t="s">
        <v>258</v>
      </c>
      <c r="Q283" s="55">
        <v>11433</v>
      </c>
      <c r="R283" s="42">
        <f t="shared" si="84"/>
        <v>996428</v>
      </c>
      <c r="S283" s="55">
        <v>11434</v>
      </c>
      <c r="T283" s="55">
        <v>2280</v>
      </c>
      <c r="U283" s="55">
        <v>5398</v>
      </c>
      <c r="V283" s="34" t="s">
        <v>261</v>
      </c>
      <c r="W283" s="43">
        <v>44907</v>
      </c>
      <c r="X283" s="44" t="s">
        <v>273</v>
      </c>
    </row>
    <row r="284" spans="1:24" ht="17.45" customHeight="1" x14ac:dyDescent="0.25">
      <c r="A284" t="str">
        <f t="shared" si="80"/>
        <v>29109067904490738767170</v>
      </c>
      <c r="B284" s="6">
        <f t="shared" si="78"/>
        <v>45064</v>
      </c>
      <c r="C284" s="3">
        <f t="shared" si="79"/>
        <v>163276433</v>
      </c>
      <c r="D284" s="34">
        <v>2022</v>
      </c>
      <c r="E284" s="35">
        <v>2910906790</v>
      </c>
      <c r="F284" s="36" t="s">
        <v>257</v>
      </c>
      <c r="G284" s="37">
        <v>1523800000</v>
      </c>
      <c r="H284" s="37">
        <v>163276433</v>
      </c>
      <c r="I284" s="38">
        <f>+H284/G284</f>
        <v>0.1071508288489303</v>
      </c>
      <c r="J284" s="38">
        <f t="shared" si="82"/>
        <v>0.12000999979737947</v>
      </c>
      <c r="K284" s="37">
        <v>361800000</v>
      </c>
      <c r="L284" s="37">
        <f t="shared" si="74"/>
        <v>38767170</v>
      </c>
      <c r="M284" s="39">
        <f>+M244+N244</f>
        <v>11314729</v>
      </c>
      <c r="N284" s="37">
        <f t="shared" si="73"/>
        <v>27452441</v>
      </c>
      <c r="O284" s="40">
        <f t="shared" si="77"/>
        <v>10980976</v>
      </c>
      <c r="P284" s="41" t="s">
        <v>258</v>
      </c>
      <c r="Q284" s="55">
        <v>11445</v>
      </c>
      <c r="R284" s="42">
        <f t="shared" si="84"/>
        <v>16471465</v>
      </c>
      <c r="S284" s="55">
        <v>11446</v>
      </c>
      <c r="T284" s="55">
        <v>2286</v>
      </c>
      <c r="U284" s="55">
        <v>5404</v>
      </c>
      <c r="V284" s="34" t="s">
        <v>261</v>
      </c>
      <c r="W284" s="43">
        <v>44907</v>
      </c>
      <c r="X284" s="44" t="s">
        <v>273</v>
      </c>
    </row>
    <row r="285" spans="1:24" ht="17.45" customHeight="1" x14ac:dyDescent="0.25">
      <c r="A285" t="str">
        <f t="shared" si="80"/>
        <v>29109067754490714318959</v>
      </c>
      <c r="B285" s="6">
        <f t="shared" si="78"/>
        <v>45103</v>
      </c>
      <c r="C285" s="3">
        <f t="shared" si="79"/>
        <v>45321429</v>
      </c>
      <c r="D285" s="34">
        <v>2021</v>
      </c>
      <c r="E285" s="35">
        <v>2910906775</v>
      </c>
      <c r="F285" s="36" t="s">
        <v>284</v>
      </c>
      <c r="G285" s="37">
        <v>423000000</v>
      </c>
      <c r="H285" s="37">
        <v>45321429</v>
      </c>
      <c r="I285" s="38">
        <f>+H285/G285</f>
        <v>0.10714285815602836</v>
      </c>
      <c r="J285" s="38">
        <f t="shared" si="82"/>
        <v>0.12000000127092199</v>
      </c>
      <c r="K285" s="37">
        <v>133643620</v>
      </c>
      <c r="L285" s="37">
        <f t="shared" si="74"/>
        <v>14318959</v>
      </c>
      <c r="M285" s="39">
        <v>0</v>
      </c>
      <c r="N285" s="37">
        <f t="shared" si="73"/>
        <v>14318959</v>
      </c>
      <c r="O285" s="40">
        <f t="shared" si="77"/>
        <v>5727584</v>
      </c>
      <c r="P285" s="41" t="s">
        <v>258</v>
      </c>
      <c r="Q285" s="55">
        <v>11441</v>
      </c>
      <c r="R285" s="42">
        <f t="shared" si="84"/>
        <v>8591375</v>
      </c>
      <c r="S285" s="55">
        <v>11442</v>
      </c>
      <c r="T285" s="55">
        <v>2284</v>
      </c>
      <c r="U285" s="55">
        <v>5402</v>
      </c>
      <c r="V285" s="34" t="s">
        <v>261</v>
      </c>
      <c r="W285" s="43">
        <v>44907</v>
      </c>
      <c r="X285" s="44" t="s">
        <v>273</v>
      </c>
    </row>
    <row r="286" spans="1:24" ht="17.45" customHeight="1" x14ac:dyDescent="0.25">
      <c r="A286" t="str">
        <f t="shared" si="80"/>
        <v>2453018335449076360119</v>
      </c>
      <c r="B286" s="6">
        <f t="shared" si="78"/>
        <v>45132</v>
      </c>
      <c r="C286" s="3">
        <f t="shared" si="79"/>
        <v>34971429</v>
      </c>
      <c r="D286" s="34">
        <v>2022</v>
      </c>
      <c r="E286" s="35">
        <v>2453018335</v>
      </c>
      <c r="F286" s="36" t="s">
        <v>285</v>
      </c>
      <c r="G286" s="37">
        <v>217600000</v>
      </c>
      <c r="H286" s="37">
        <v>23314285</v>
      </c>
      <c r="I286" s="38">
        <f>+H286/G286</f>
        <v>0.10714285386029412</v>
      </c>
      <c r="J286" s="38">
        <f t="shared" si="82"/>
        <v>0.11999999588235295</v>
      </c>
      <c r="K286" s="37">
        <v>59361110</v>
      </c>
      <c r="L286" s="37">
        <f t="shared" si="74"/>
        <v>6360119</v>
      </c>
      <c r="M286" s="39">
        <v>0</v>
      </c>
      <c r="N286" s="37">
        <f t="shared" si="73"/>
        <v>6360119</v>
      </c>
      <c r="O286" s="40">
        <f t="shared" si="77"/>
        <v>2544048</v>
      </c>
      <c r="P286" s="41" t="s">
        <v>258</v>
      </c>
      <c r="Q286" s="55">
        <v>11437</v>
      </c>
      <c r="R286" s="42">
        <f t="shared" si="84"/>
        <v>3816071</v>
      </c>
      <c r="S286" s="55">
        <v>11438</v>
      </c>
      <c r="T286" s="55">
        <v>2282</v>
      </c>
      <c r="U286" s="55">
        <v>5400</v>
      </c>
      <c r="V286" s="34" t="s">
        <v>261</v>
      </c>
      <c r="W286" s="43">
        <v>44907</v>
      </c>
      <c r="X286" s="44" t="s">
        <v>273</v>
      </c>
    </row>
    <row r="287" spans="1:24" ht="17.45" customHeight="1" x14ac:dyDescent="0.25">
      <c r="A287" t="str">
        <f t="shared" si="80"/>
        <v>2910906786449073343854</v>
      </c>
      <c r="B287" s="6">
        <f t="shared" si="78"/>
        <v>45064</v>
      </c>
      <c r="C287" s="3">
        <f t="shared" si="79"/>
        <v>6586607</v>
      </c>
      <c r="D287" s="34">
        <v>2022</v>
      </c>
      <c r="E287" s="35">
        <v>2910906786</v>
      </c>
      <c r="F287" s="36" t="s">
        <v>277</v>
      </c>
      <c r="G287" s="37">
        <v>61475000</v>
      </c>
      <c r="H287" s="37">
        <v>6586607</v>
      </c>
      <c r="I287" s="38">
        <f>+H287/G287</f>
        <v>0.10714285481903213</v>
      </c>
      <c r="J287" s="38">
        <f t="shared" si="82"/>
        <v>0.11999999708499391</v>
      </c>
      <c r="K287" s="37">
        <v>31209306</v>
      </c>
      <c r="L287" s="37">
        <f t="shared" si="74"/>
        <v>3343854</v>
      </c>
      <c r="M287" s="39">
        <f>+L258</f>
        <v>2700997</v>
      </c>
      <c r="N287" s="37">
        <v>641520</v>
      </c>
      <c r="O287" s="40">
        <f t="shared" si="77"/>
        <v>256608</v>
      </c>
      <c r="P287" s="41" t="s">
        <v>258</v>
      </c>
      <c r="Q287" s="55">
        <v>11443</v>
      </c>
      <c r="R287" s="42">
        <f t="shared" si="84"/>
        <v>384912</v>
      </c>
      <c r="S287" s="55">
        <v>11444</v>
      </c>
      <c r="T287" s="55">
        <v>2285</v>
      </c>
      <c r="U287" s="55">
        <v>5403</v>
      </c>
      <c r="V287" s="34" t="s">
        <v>261</v>
      </c>
      <c r="W287" s="43">
        <v>44907</v>
      </c>
      <c r="X287" s="44" t="s">
        <v>273</v>
      </c>
    </row>
    <row r="288" spans="1:24" ht="17.45" customHeight="1" x14ac:dyDescent="0.25">
      <c r="A288" t="str">
        <f t="shared" si="80"/>
        <v>291090637044909349268967</v>
      </c>
      <c r="B288" s="6">
        <f t="shared" si="78"/>
        <v>45530</v>
      </c>
      <c r="C288" s="3">
        <f t="shared" si="79"/>
        <v>467234191.89532739</v>
      </c>
      <c r="D288" s="34">
        <v>2018</v>
      </c>
      <c r="E288" s="35">
        <v>2910906370</v>
      </c>
      <c r="F288" s="36" t="s">
        <v>74</v>
      </c>
      <c r="G288" s="37">
        <v>5033567040</v>
      </c>
      <c r="H288" s="37">
        <v>539310754</v>
      </c>
      <c r="I288" s="38">
        <v>0.10714285708609535</v>
      </c>
      <c r="J288" s="38">
        <v>0.11999999992879801</v>
      </c>
      <c r="K288" s="37">
        <v>3259843695</v>
      </c>
      <c r="L288" s="37">
        <v>349268967</v>
      </c>
      <c r="M288" s="39">
        <v>255453242</v>
      </c>
      <c r="N288" s="37">
        <v>93815725</v>
      </c>
      <c r="O288" s="40">
        <v>37526290</v>
      </c>
      <c r="P288" s="41" t="s">
        <v>258</v>
      </c>
      <c r="Q288" s="55">
        <v>11570</v>
      </c>
      <c r="R288" s="42">
        <v>56289435</v>
      </c>
      <c r="S288" s="55">
        <v>11571</v>
      </c>
      <c r="T288" s="55">
        <v>2342</v>
      </c>
      <c r="U288" s="55">
        <v>5463</v>
      </c>
      <c r="V288" s="34" t="s">
        <v>261</v>
      </c>
      <c r="W288" s="43">
        <v>44909</v>
      </c>
      <c r="X288" s="44" t="s">
        <v>280</v>
      </c>
    </row>
    <row r="289" spans="1:24" ht="17.45" customHeight="1" x14ac:dyDescent="0.25">
      <c r="A289" t="str">
        <f t="shared" si="80"/>
        <v>2453010406</v>
      </c>
      <c r="B289" s="6">
        <f t="shared" si="78"/>
        <v>44238</v>
      </c>
      <c r="C289" s="3">
        <f t="shared" si="79"/>
        <v>12318000</v>
      </c>
      <c r="D289" s="34">
        <v>2019</v>
      </c>
      <c r="E289" s="35">
        <v>2453010406</v>
      </c>
      <c r="F289" s="36" t="s">
        <v>46</v>
      </c>
      <c r="G289" s="37">
        <v>102650000</v>
      </c>
      <c r="H289" s="37">
        <v>12318000</v>
      </c>
      <c r="I289" s="38">
        <f>+H289/G289</f>
        <v>0.12</v>
      </c>
      <c r="J289" s="38"/>
      <c r="K289" s="37"/>
      <c r="L289" s="37"/>
      <c r="M289" s="39"/>
      <c r="N289" s="37"/>
      <c r="O289" s="40"/>
      <c r="P289" s="41"/>
      <c r="Q289" s="55"/>
      <c r="R289" s="42"/>
      <c r="S289" s="55"/>
      <c r="T289" s="55"/>
      <c r="U289" s="55"/>
      <c r="V289" s="34" t="s">
        <v>261</v>
      </c>
      <c r="W289" s="43"/>
      <c r="X289" s="44"/>
    </row>
    <row r="290" spans="1:24" ht="17.45" customHeight="1" x14ac:dyDescent="0.25">
      <c r="A290" t="str">
        <f t="shared" si="80"/>
        <v>29109067854491860373542</v>
      </c>
      <c r="B290" s="6">
        <f t="shared" si="78"/>
        <v>44918</v>
      </c>
      <c r="C290" s="3">
        <f t="shared" si="79"/>
        <v>60373542</v>
      </c>
      <c r="D290" s="34">
        <v>2022</v>
      </c>
      <c r="E290" s="35">
        <v>2910906785</v>
      </c>
      <c r="F290" s="36" t="s">
        <v>286</v>
      </c>
      <c r="G290" s="37">
        <v>5617920000</v>
      </c>
      <c r="H290" s="37">
        <v>221929000</v>
      </c>
      <c r="I290" s="38">
        <f>H290/G290</f>
        <v>3.9503766518569149E-2</v>
      </c>
      <c r="J290" s="38">
        <f>IFERROR((+H290/(G290-H290)),0)</f>
        <v>4.1128497063838691E-2</v>
      </c>
      <c r="K290" s="37">
        <v>1467924839</v>
      </c>
      <c r="L290" s="37">
        <f>ROUND((+K290*J290),0)</f>
        <v>60373542</v>
      </c>
      <c r="M290" s="39">
        <v>0</v>
      </c>
      <c r="N290" s="37">
        <f t="shared" ref="N290:N321" si="86">+L290-M290</f>
        <v>60373542</v>
      </c>
      <c r="O290" s="40">
        <f t="shared" ref="O290:O318" si="87">ROUND((N290*40%),0)</f>
        <v>24149417</v>
      </c>
      <c r="P290" s="41" t="s">
        <v>258</v>
      </c>
      <c r="Q290" s="55"/>
      <c r="R290" s="42">
        <f t="shared" ref="R290:R353" si="88">+N290-O290</f>
        <v>36224125</v>
      </c>
      <c r="S290" s="55"/>
      <c r="T290" s="55"/>
      <c r="U290" s="55"/>
      <c r="V290" s="34" t="s">
        <v>261</v>
      </c>
      <c r="W290" s="43">
        <v>44918</v>
      </c>
      <c r="X290" s="44" t="s">
        <v>287</v>
      </c>
    </row>
    <row r="291" spans="1:24" ht="17.45" customHeight="1" x14ac:dyDescent="0.25">
      <c r="A291" t="str">
        <f t="shared" si="80"/>
        <v>29109067884491893601035</v>
      </c>
      <c r="B291" s="6">
        <f t="shared" si="78"/>
        <v>45498</v>
      </c>
      <c r="C291" s="3">
        <f t="shared" si="79"/>
        <v>387879629.13729745</v>
      </c>
      <c r="D291" s="34">
        <v>2022</v>
      </c>
      <c r="E291" s="35">
        <v>2910906788</v>
      </c>
      <c r="F291" s="36" t="s">
        <v>270</v>
      </c>
      <c r="G291" s="37">
        <v>2078053077</v>
      </c>
      <c r="H291" s="37">
        <v>222662679</v>
      </c>
      <c r="I291" s="38">
        <f>H291/G291</f>
        <v>0.10714965919997048</v>
      </c>
      <c r="J291" s="38">
        <f>IFERROR((+H291/(G291-H291)),0)</f>
        <v>0.12000853256544664</v>
      </c>
      <c r="K291" s="37">
        <v>873554201</v>
      </c>
      <c r="L291" s="37">
        <f t="shared" ref="L291:L322" si="89">ROUND((+K291*I291),0)</f>
        <v>93601035</v>
      </c>
      <c r="M291" s="39">
        <f>+M270+N270</f>
        <v>74031500</v>
      </c>
      <c r="N291" s="37">
        <f t="shared" si="86"/>
        <v>19569535</v>
      </c>
      <c r="O291" s="40">
        <f t="shared" si="87"/>
        <v>7827814</v>
      </c>
      <c r="P291" s="41" t="s">
        <v>258</v>
      </c>
      <c r="Q291" s="55"/>
      <c r="R291" s="42">
        <f t="shared" si="88"/>
        <v>11741721</v>
      </c>
      <c r="S291" s="55"/>
      <c r="T291" s="55"/>
      <c r="U291" s="55"/>
      <c r="V291" s="34" t="s">
        <v>261</v>
      </c>
      <c r="W291" s="43">
        <v>44918</v>
      </c>
      <c r="X291" s="44" t="s">
        <v>280</v>
      </c>
    </row>
    <row r="292" spans="1:24" ht="17.45" customHeight="1" x14ac:dyDescent="0.25">
      <c r="A292" t="str">
        <f t="shared" si="80"/>
        <v>24530183324491830533863</v>
      </c>
      <c r="B292" s="6">
        <f t="shared" si="78"/>
        <v>45316</v>
      </c>
      <c r="C292" s="3">
        <f t="shared" si="79"/>
        <v>106373215</v>
      </c>
      <c r="D292" s="34">
        <v>2021</v>
      </c>
      <c r="E292" s="35">
        <v>2453018332</v>
      </c>
      <c r="F292" s="36" t="s">
        <v>267</v>
      </c>
      <c r="G292" s="37">
        <v>1703681070</v>
      </c>
      <c r="H292" s="37">
        <v>165930115</v>
      </c>
      <c r="I292" s="38">
        <f>+H292/G292</f>
        <v>9.7395057045506758E-2</v>
      </c>
      <c r="J292" s="38">
        <f>IFERROR((+H292/(G292-H292)),0)</f>
        <v>0.1079044135596066</v>
      </c>
      <c r="K292" s="37">
        <v>313505268</v>
      </c>
      <c r="L292" s="37">
        <f t="shared" si="89"/>
        <v>30533863</v>
      </c>
      <c r="M292" s="39">
        <f>+M245+N245</f>
        <v>5084847</v>
      </c>
      <c r="N292" s="37">
        <f t="shared" si="86"/>
        <v>25449016</v>
      </c>
      <c r="O292" s="40">
        <f t="shared" si="87"/>
        <v>10179606</v>
      </c>
      <c r="P292" s="41" t="s">
        <v>258</v>
      </c>
      <c r="Q292" s="55"/>
      <c r="R292" s="42">
        <f t="shared" si="88"/>
        <v>15269410</v>
      </c>
      <c r="S292" s="55"/>
      <c r="T292" s="55"/>
      <c r="U292" s="55"/>
      <c r="V292" s="34" t="s">
        <v>261</v>
      </c>
      <c r="W292" s="43">
        <v>44918</v>
      </c>
      <c r="X292" s="44" t="s">
        <v>280</v>
      </c>
    </row>
    <row r="293" spans="1:24" ht="17.45" customHeight="1" x14ac:dyDescent="0.25">
      <c r="A293" t="str">
        <f t="shared" si="80"/>
        <v>29109067564491884909208</v>
      </c>
      <c r="B293" s="6">
        <f t="shared" si="78"/>
        <v>45828</v>
      </c>
      <c r="C293" s="3">
        <f t="shared" si="79"/>
        <v>200890598.73619679</v>
      </c>
      <c r="D293" s="34">
        <v>2021</v>
      </c>
      <c r="E293" s="35">
        <v>2910906756</v>
      </c>
      <c r="F293" s="36" t="s">
        <v>212</v>
      </c>
      <c r="G293" s="37">
        <v>2844873087</v>
      </c>
      <c r="H293" s="37">
        <v>304807831</v>
      </c>
      <c r="I293" s="38">
        <v>0.10714285723073452</v>
      </c>
      <c r="J293" s="38">
        <v>0.12000000011023339</v>
      </c>
      <c r="K293" s="37">
        <v>792485944</v>
      </c>
      <c r="L293" s="37">
        <f t="shared" si="89"/>
        <v>84909208</v>
      </c>
      <c r="M293" s="39">
        <f>+L281</f>
        <v>79368621</v>
      </c>
      <c r="N293" s="37">
        <f t="shared" si="86"/>
        <v>5540587</v>
      </c>
      <c r="O293" s="40">
        <f t="shared" si="87"/>
        <v>2216235</v>
      </c>
      <c r="P293" s="41" t="s">
        <v>258</v>
      </c>
      <c r="Q293" s="55"/>
      <c r="R293" s="42">
        <f t="shared" si="88"/>
        <v>3324352</v>
      </c>
      <c r="S293" s="55"/>
      <c r="T293" s="55"/>
      <c r="U293" s="55"/>
      <c r="V293" s="34" t="s">
        <v>261</v>
      </c>
      <c r="W293" s="43">
        <v>44918</v>
      </c>
      <c r="X293" s="44" t="s">
        <v>280</v>
      </c>
    </row>
    <row r="294" spans="1:24" ht="17.45" customHeight="1" x14ac:dyDescent="0.25">
      <c r="A294" t="str">
        <f t="shared" si="80"/>
        <v>29109067904491888019048</v>
      </c>
      <c r="B294" s="6">
        <f t="shared" si="78"/>
        <v>45064</v>
      </c>
      <c r="C294" s="3">
        <f t="shared" si="79"/>
        <v>163276433</v>
      </c>
      <c r="D294" s="34">
        <v>2022</v>
      </c>
      <c r="E294" s="35">
        <v>2910906790</v>
      </c>
      <c r="F294" s="36" t="s">
        <v>257</v>
      </c>
      <c r="G294" s="37">
        <v>1523800000</v>
      </c>
      <c r="H294" s="37">
        <v>163276433</v>
      </c>
      <c r="I294" s="38">
        <f>+H294/G294</f>
        <v>0.1071508288489303</v>
      </c>
      <c r="J294" s="38">
        <f t="shared" ref="J294:J313" si="90">IFERROR((+H294/(G294-H294)),0)</f>
        <v>0.12000999979737947</v>
      </c>
      <c r="K294" s="37">
        <v>821450000</v>
      </c>
      <c r="L294" s="37">
        <f t="shared" si="89"/>
        <v>88019048</v>
      </c>
      <c r="M294" s="39">
        <f>+L284</f>
        <v>38767170</v>
      </c>
      <c r="N294" s="37">
        <f t="shared" si="86"/>
        <v>49251878</v>
      </c>
      <c r="O294" s="40">
        <f t="shared" si="87"/>
        <v>19700751</v>
      </c>
      <c r="P294" s="41" t="s">
        <v>258</v>
      </c>
      <c r="Q294" s="55"/>
      <c r="R294" s="42">
        <f t="shared" si="88"/>
        <v>29551127</v>
      </c>
      <c r="S294" s="55"/>
      <c r="T294" s="55"/>
      <c r="U294" s="55"/>
      <c r="V294" s="34" t="s">
        <v>261</v>
      </c>
      <c r="W294" s="43">
        <v>44918</v>
      </c>
      <c r="X294" s="44" t="s">
        <v>280</v>
      </c>
    </row>
    <row r="295" spans="1:24" ht="17.45" customHeight="1" x14ac:dyDescent="0.25">
      <c r="A295" t="str">
        <f t="shared" si="80"/>
        <v>23530183374491833780311</v>
      </c>
      <c r="B295" s="6">
        <f t="shared" si="78"/>
        <v>45071</v>
      </c>
      <c r="C295" s="3">
        <f t="shared" si="79"/>
        <v>112677827</v>
      </c>
      <c r="D295" s="34">
        <v>2022</v>
      </c>
      <c r="E295" s="35">
        <v>2353018337</v>
      </c>
      <c r="F295" s="36" t="s">
        <v>279</v>
      </c>
      <c r="G295" s="37">
        <v>1746041438</v>
      </c>
      <c r="H295" s="37">
        <v>187075868</v>
      </c>
      <c r="I295" s="38">
        <f>H295/G295</f>
        <v>0.10714285693831282</v>
      </c>
      <c r="J295" s="38">
        <f t="shared" si="90"/>
        <v>0.1199999997434196</v>
      </c>
      <c r="K295" s="37">
        <v>315282899</v>
      </c>
      <c r="L295" s="37">
        <f t="shared" si="89"/>
        <v>33780311</v>
      </c>
      <c r="M295" s="39">
        <f>+M273+N273</f>
        <v>12924107</v>
      </c>
      <c r="N295" s="37">
        <f t="shared" si="86"/>
        <v>20856204</v>
      </c>
      <c r="O295" s="40">
        <f t="shared" si="87"/>
        <v>8342482</v>
      </c>
      <c r="P295" s="41" t="s">
        <v>258</v>
      </c>
      <c r="Q295" s="55"/>
      <c r="R295" s="42">
        <f t="shared" si="88"/>
        <v>12513722</v>
      </c>
      <c r="S295" s="55"/>
      <c r="T295" s="55"/>
      <c r="U295" s="55"/>
      <c r="V295" s="34" t="s">
        <v>261</v>
      </c>
      <c r="W295" s="43">
        <v>44918</v>
      </c>
      <c r="X295" s="44" t="s">
        <v>280</v>
      </c>
    </row>
    <row r="296" spans="1:24" ht="17.45" customHeight="1" x14ac:dyDescent="0.25">
      <c r="A296" t="str">
        <f t="shared" si="80"/>
        <v>291090677744918101890391</v>
      </c>
      <c r="B296" s="6">
        <f t="shared" si="78"/>
        <v>45316</v>
      </c>
      <c r="C296" s="3">
        <f t="shared" si="79"/>
        <v>121501239</v>
      </c>
      <c r="D296" s="34">
        <v>2021</v>
      </c>
      <c r="E296" s="35">
        <v>2910906777</v>
      </c>
      <c r="F296" s="36" t="s">
        <v>230</v>
      </c>
      <c r="G296" s="37">
        <v>1162897960</v>
      </c>
      <c r="H296" s="37">
        <v>124596210</v>
      </c>
      <c r="I296" s="38">
        <f>H296/G296</f>
        <v>0.10714285714285714</v>
      </c>
      <c r="J296" s="38">
        <f t="shared" si="90"/>
        <v>0.12</v>
      </c>
      <c r="K296" s="37">
        <v>950976980</v>
      </c>
      <c r="L296" s="37">
        <f t="shared" si="89"/>
        <v>101890391</v>
      </c>
      <c r="M296" s="39">
        <f>+M269+N269</f>
        <v>80246277</v>
      </c>
      <c r="N296" s="37">
        <f t="shared" si="86"/>
        <v>21644114</v>
      </c>
      <c r="O296" s="40">
        <f t="shared" si="87"/>
        <v>8657646</v>
      </c>
      <c r="P296" s="41" t="s">
        <v>258</v>
      </c>
      <c r="Q296" s="55"/>
      <c r="R296" s="42">
        <f t="shared" si="88"/>
        <v>12986468</v>
      </c>
      <c r="S296" s="55"/>
      <c r="T296" s="55"/>
      <c r="U296" s="55"/>
      <c r="V296" s="34" t="s">
        <v>261</v>
      </c>
      <c r="W296" s="43">
        <v>44918</v>
      </c>
      <c r="X296" s="44" t="s">
        <v>280</v>
      </c>
    </row>
    <row r="297" spans="1:24" ht="17.45" customHeight="1" x14ac:dyDescent="0.25">
      <c r="A297" t="str">
        <f t="shared" si="80"/>
        <v>2453018338449183277728</v>
      </c>
      <c r="B297" s="6">
        <f t="shared" si="78"/>
        <v>45467</v>
      </c>
      <c r="C297" s="3">
        <f t="shared" si="79"/>
        <v>7358024</v>
      </c>
      <c r="D297" s="34">
        <v>2022</v>
      </c>
      <c r="E297" s="35">
        <v>2453018338</v>
      </c>
      <c r="F297" s="36" t="s">
        <v>288</v>
      </c>
      <c r="G297" s="37">
        <v>75000000</v>
      </c>
      <c r="H297" s="37">
        <v>7358024</v>
      </c>
      <c r="I297" s="38">
        <f>H297/G297</f>
        <v>9.8106986666666673E-2</v>
      </c>
      <c r="J297" s="38">
        <f t="shared" si="90"/>
        <v>0.10877896293272095</v>
      </c>
      <c r="K297" s="37">
        <v>33409728</v>
      </c>
      <c r="L297" s="37">
        <f t="shared" si="89"/>
        <v>3277728</v>
      </c>
      <c r="M297" s="39">
        <v>0</v>
      </c>
      <c r="N297" s="37">
        <f t="shared" si="86"/>
        <v>3277728</v>
      </c>
      <c r="O297" s="40">
        <f t="shared" si="87"/>
        <v>1311091</v>
      </c>
      <c r="P297" s="41" t="s">
        <v>258</v>
      </c>
      <c r="Q297" s="55"/>
      <c r="R297" s="42">
        <f t="shared" si="88"/>
        <v>1966637</v>
      </c>
      <c r="S297" s="55"/>
      <c r="T297" s="55"/>
      <c r="U297" s="55"/>
      <c r="V297" s="34" t="s">
        <v>261</v>
      </c>
      <c r="W297" s="43">
        <v>44918</v>
      </c>
      <c r="X297" s="44" t="s">
        <v>280</v>
      </c>
    </row>
    <row r="298" spans="1:24" ht="17.45" customHeight="1" x14ac:dyDescent="0.25">
      <c r="A298" t="str">
        <f t="shared" si="80"/>
        <v>245301833512687040</v>
      </c>
      <c r="B298" s="6">
        <f t="shared" si="78"/>
        <v>45132</v>
      </c>
      <c r="C298" s="3">
        <f t="shared" si="79"/>
        <v>34971429</v>
      </c>
      <c r="D298" s="34">
        <v>2022</v>
      </c>
      <c r="E298" s="35">
        <v>2453018335</v>
      </c>
      <c r="F298" s="36" t="s">
        <v>285</v>
      </c>
      <c r="G298" s="37">
        <v>217600000</v>
      </c>
      <c r="H298" s="37">
        <v>23314285</v>
      </c>
      <c r="I298" s="38">
        <f>+H298/G298</f>
        <v>0.10714285386029412</v>
      </c>
      <c r="J298" s="38">
        <f t="shared" si="90"/>
        <v>0.11999999588235295</v>
      </c>
      <c r="K298" s="37">
        <v>118412380</v>
      </c>
      <c r="L298" s="37">
        <f t="shared" si="89"/>
        <v>12687040</v>
      </c>
      <c r="M298" s="39">
        <f>+L286</f>
        <v>6360119</v>
      </c>
      <c r="N298" s="37">
        <f t="shared" si="86"/>
        <v>6326921</v>
      </c>
      <c r="O298" s="40">
        <f t="shared" si="87"/>
        <v>2530768</v>
      </c>
      <c r="P298" s="41" t="s">
        <v>258</v>
      </c>
      <c r="Q298" s="55"/>
      <c r="R298" s="42">
        <f t="shared" si="88"/>
        <v>3796153</v>
      </c>
      <c r="S298" s="55"/>
      <c r="T298" s="55"/>
      <c r="U298" s="55"/>
      <c r="V298" s="34" t="s">
        <v>261</v>
      </c>
      <c r="W298" s="43"/>
      <c r="X298" s="44"/>
    </row>
    <row r="299" spans="1:24" ht="17.45" customHeight="1" x14ac:dyDescent="0.25">
      <c r="A299" t="str">
        <f t="shared" si="80"/>
        <v>245301833620484828</v>
      </c>
      <c r="B299" s="6">
        <f t="shared" si="78"/>
        <v>45070</v>
      </c>
      <c r="C299" s="3">
        <f t="shared" si="79"/>
        <v>74596391</v>
      </c>
      <c r="D299" s="34">
        <v>2022</v>
      </c>
      <c r="E299" s="35">
        <v>2453018336</v>
      </c>
      <c r="F299" s="36" t="s">
        <v>266</v>
      </c>
      <c r="G299" s="37">
        <v>696232978</v>
      </c>
      <c r="H299" s="37">
        <v>74596391</v>
      </c>
      <c r="I299" s="38">
        <f>+H299/G299</f>
        <v>0.10714285786100755</v>
      </c>
      <c r="J299" s="38">
        <f t="shared" si="90"/>
        <v>0.12000000090084788</v>
      </c>
      <c r="K299" s="37">
        <v>191191723</v>
      </c>
      <c r="L299" s="37">
        <f t="shared" si="89"/>
        <v>20484828</v>
      </c>
      <c r="M299" s="39">
        <f>+L275</f>
        <v>13814509</v>
      </c>
      <c r="N299" s="37">
        <f t="shared" si="86"/>
        <v>6670319</v>
      </c>
      <c r="O299" s="40">
        <f t="shared" si="87"/>
        <v>2668128</v>
      </c>
      <c r="P299" s="41" t="s">
        <v>258</v>
      </c>
      <c r="Q299" s="55"/>
      <c r="R299" s="42">
        <f t="shared" si="88"/>
        <v>4002191</v>
      </c>
      <c r="S299" s="55"/>
      <c r="T299" s="55"/>
      <c r="U299" s="55"/>
      <c r="V299" s="34" t="s">
        <v>261</v>
      </c>
      <c r="W299" s="43"/>
      <c r="X299" s="44"/>
    </row>
    <row r="300" spans="1:24" ht="17.45" customHeight="1" x14ac:dyDescent="0.25">
      <c r="A300" t="str">
        <f t="shared" si="80"/>
        <v>24530183386162675</v>
      </c>
      <c r="B300" s="6">
        <f t="shared" si="78"/>
        <v>45467</v>
      </c>
      <c r="C300" s="3">
        <f t="shared" si="79"/>
        <v>7358024</v>
      </c>
      <c r="D300" s="34">
        <v>2022</v>
      </c>
      <c r="E300" s="35">
        <v>2453018338</v>
      </c>
      <c r="F300" s="36" t="s">
        <v>288</v>
      </c>
      <c r="G300" s="37">
        <v>75000000</v>
      </c>
      <c r="H300" s="37">
        <v>7358024</v>
      </c>
      <c r="I300" s="38">
        <f>H300/G300</f>
        <v>9.8106986666666673E-2</v>
      </c>
      <c r="J300" s="38">
        <f t="shared" si="90"/>
        <v>0.10877896293272095</v>
      </c>
      <c r="K300" s="37">
        <v>62815864</v>
      </c>
      <c r="L300" s="37">
        <f t="shared" si="89"/>
        <v>6162675</v>
      </c>
      <c r="M300" s="39">
        <f>+L297</f>
        <v>3277728</v>
      </c>
      <c r="N300" s="37">
        <f t="shared" si="86"/>
        <v>2884947</v>
      </c>
      <c r="O300" s="40">
        <f t="shared" si="87"/>
        <v>1153979</v>
      </c>
      <c r="P300" s="41" t="s">
        <v>258</v>
      </c>
      <c r="Q300" s="55"/>
      <c r="R300" s="42">
        <f t="shared" si="88"/>
        <v>1730968</v>
      </c>
      <c r="S300" s="55"/>
      <c r="T300" s="55"/>
      <c r="U300" s="55"/>
      <c r="V300" s="34" t="s">
        <v>261</v>
      </c>
      <c r="W300" s="43"/>
      <c r="X300" s="44"/>
    </row>
    <row r="301" spans="1:24" ht="17.45" customHeight="1" x14ac:dyDescent="0.25">
      <c r="A301" t="str">
        <f t="shared" si="80"/>
        <v>29109067729691456</v>
      </c>
      <c r="B301" s="6">
        <f t="shared" si="78"/>
        <v>45316</v>
      </c>
      <c r="C301" s="3">
        <f t="shared" si="79"/>
        <v>16508624</v>
      </c>
      <c r="D301" s="34">
        <v>2021</v>
      </c>
      <c r="E301" s="35">
        <v>2910906772</v>
      </c>
      <c r="F301" s="36" t="s">
        <v>260</v>
      </c>
      <c r="G301" s="37">
        <f>125000000+14560000+26924712+19978166</f>
        <v>186462878</v>
      </c>
      <c r="H301" s="37">
        <v>19978166</v>
      </c>
      <c r="I301" s="38">
        <f>+H301/G301</f>
        <v>0.10714285982435603</v>
      </c>
      <c r="J301" s="38">
        <f t="shared" si="90"/>
        <v>0.12000000336367221</v>
      </c>
      <c r="K301" s="37">
        <v>90453587</v>
      </c>
      <c r="L301" s="37">
        <f t="shared" si="89"/>
        <v>9691456</v>
      </c>
      <c r="M301" s="39">
        <f>+L249</f>
        <v>8863103</v>
      </c>
      <c r="N301" s="37">
        <f t="shared" si="86"/>
        <v>828353</v>
      </c>
      <c r="O301" s="40">
        <f t="shared" si="87"/>
        <v>331341</v>
      </c>
      <c r="P301" s="41" t="s">
        <v>258</v>
      </c>
      <c r="Q301" s="55"/>
      <c r="R301" s="42">
        <f t="shared" si="88"/>
        <v>497012</v>
      </c>
      <c r="S301" s="55"/>
      <c r="T301" s="55"/>
      <c r="U301" s="55"/>
      <c r="V301" s="34" t="s">
        <v>261</v>
      </c>
      <c r="W301" s="43"/>
      <c r="X301" s="44"/>
    </row>
    <row r="302" spans="1:24" ht="17.45" customHeight="1" x14ac:dyDescent="0.25">
      <c r="A302" t="str">
        <f t="shared" si="80"/>
        <v>291090678910143815</v>
      </c>
      <c r="B302" s="6">
        <f t="shared" si="78"/>
        <v>45891</v>
      </c>
      <c r="C302" s="3">
        <f t="shared" si="79"/>
        <v>194667600.36437911</v>
      </c>
      <c r="D302" s="34">
        <v>2022</v>
      </c>
      <c r="E302" s="35">
        <v>2910906789</v>
      </c>
      <c r="F302" s="36" t="s">
        <v>289</v>
      </c>
      <c r="G302" s="37">
        <v>9124262365</v>
      </c>
      <c r="H302" s="37">
        <v>977599539</v>
      </c>
      <c r="I302" s="38">
        <f>+H302/G302</f>
        <v>0.10714285713111452</v>
      </c>
      <c r="J302" s="38">
        <f t="shared" si="90"/>
        <v>0.11999999998527004</v>
      </c>
      <c r="K302" s="37">
        <v>94675607</v>
      </c>
      <c r="L302" s="37">
        <f t="shared" si="89"/>
        <v>10143815</v>
      </c>
      <c r="M302" s="39">
        <v>0</v>
      </c>
      <c r="N302" s="37">
        <f t="shared" si="86"/>
        <v>10143815</v>
      </c>
      <c r="O302" s="40">
        <f t="shared" si="87"/>
        <v>4057526</v>
      </c>
      <c r="P302" s="41" t="s">
        <v>258</v>
      </c>
      <c r="Q302" s="55"/>
      <c r="R302" s="42">
        <f t="shared" si="88"/>
        <v>6086289</v>
      </c>
      <c r="S302" s="55"/>
      <c r="T302" s="55"/>
      <c r="U302" s="55"/>
      <c r="V302" s="34" t="s">
        <v>261</v>
      </c>
      <c r="W302" s="43"/>
      <c r="X302" s="44"/>
    </row>
    <row r="303" spans="1:24" ht="17.45" customHeight="1" x14ac:dyDescent="0.25">
      <c r="A303" t="str">
        <f t="shared" si="80"/>
        <v>29109072094493618214286</v>
      </c>
      <c r="B303" s="6">
        <f t="shared" si="78"/>
        <v>44936</v>
      </c>
      <c r="C303" s="3">
        <f t="shared" si="79"/>
        <v>18214286</v>
      </c>
      <c r="D303" s="34">
        <v>2022</v>
      </c>
      <c r="E303" s="35">
        <v>2910907209</v>
      </c>
      <c r="F303" s="36" t="s">
        <v>290</v>
      </c>
      <c r="G303" s="37">
        <v>170000000</v>
      </c>
      <c r="H303" s="37">
        <v>18214286</v>
      </c>
      <c r="I303" s="38">
        <f>+H303/G303</f>
        <v>0.1071428588235294</v>
      </c>
      <c r="J303" s="38">
        <f t="shared" si="90"/>
        <v>0.1200000021082353</v>
      </c>
      <c r="K303" s="37">
        <v>170000000</v>
      </c>
      <c r="L303" s="37">
        <f t="shared" si="89"/>
        <v>18214286</v>
      </c>
      <c r="M303" s="39">
        <v>0</v>
      </c>
      <c r="N303" s="37">
        <f t="shared" si="86"/>
        <v>18214286</v>
      </c>
      <c r="O303" s="40">
        <f t="shared" si="87"/>
        <v>7285714</v>
      </c>
      <c r="P303" s="41" t="s">
        <v>291</v>
      </c>
      <c r="Q303" s="55">
        <v>68</v>
      </c>
      <c r="R303" s="42">
        <f t="shared" si="88"/>
        <v>10928572</v>
      </c>
      <c r="S303" s="55">
        <v>69</v>
      </c>
      <c r="T303" s="55">
        <v>110</v>
      </c>
      <c r="U303" s="55">
        <v>30</v>
      </c>
      <c r="V303" s="34" t="s">
        <v>261</v>
      </c>
      <c r="W303" s="43">
        <v>44936</v>
      </c>
      <c r="X303" s="44" t="s">
        <v>292</v>
      </c>
    </row>
    <row r="304" spans="1:24" ht="17.45" customHeight="1" x14ac:dyDescent="0.25">
      <c r="A304" t="str">
        <f t="shared" si="80"/>
        <v>291090679044950118506245</v>
      </c>
      <c r="B304" s="6">
        <f t="shared" si="78"/>
        <v>45064</v>
      </c>
      <c r="C304" s="3">
        <f t="shared" si="79"/>
        <v>163276433</v>
      </c>
      <c r="D304" s="34">
        <v>2022</v>
      </c>
      <c r="E304" s="35">
        <v>2910906790</v>
      </c>
      <c r="F304" s="36" t="s">
        <v>257</v>
      </c>
      <c r="G304" s="37">
        <v>1523800000</v>
      </c>
      <c r="H304" s="37">
        <v>163276433</v>
      </c>
      <c r="I304" s="38">
        <f>+H304/G304</f>
        <v>0.1071508288489303</v>
      </c>
      <c r="J304" s="38">
        <f t="shared" si="90"/>
        <v>0.12000999979737947</v>
      </c>
      <c r="K304" s="37">
        <v>1105976000</v>
      </c>
      <c r="L304" s="37">
        <f t="shared" si="89"/>
        <v>118506245</v>
      </c>
      <c r="M304" s="39">
        <f>+L294</f>
        <v>88019048</v>
      </c>
      <c r="N304" s="37">
        <f t="shared" si="86"/>
        <v>30487197</v>
      </c>
      <c r="O304" s="40">
        <f t="shared" si="87"/>
        <v>12194879</v>
      </c>
      <c r="P304" s="41" t="s">
        <v>291</v>
      </c>
      <c r="Q304" s="55">
        <v>147</v>
      </c>
      <c r="R304" s="42">
        <f t="shared" si="88"/>
        <v>18292318</v>
      </c>
      <c r="S304" s="55">
        <v>148</v>
      </c>
      <c r="T304" s="55">
        <v>183</v>
      </c>
      <c r="U304" s="55">
        <v>64</v>
      </c>
      <c r="V304" s="34" t="s">
        <v>261</v>
      </c>
      <c r="W304" s="43">
        <v>44950</v>
      </c>
      <c r="X304" s="44" t="s">
        <v>273</v>
      </c>
    </row>
    <row r="305" spans="1:24" ht="17.45" customHeight="1" x14ac:dyDescent="0.25">
      <c r="A305" t="str">
        <f t="shared" si="80"/>
        <v>245301833044950172641192</v>
      </c>
      <c r="B305" s="6">
        <f t="shared" si="78"/>
        <v>45912</v>
      </c>
      <c r="C305" s="3">
        <f t="shared" si="79"/>
        <v>259214159</v>
      </c>
      <c r="D305" s="34">
        <v>2021</v>
      </c>
      <c r="E305" s="35">
        <v>2453018330</v>
      </c>
      <c r="F305" s="36" t="s">
        <v>198</v>
      </c>
      <c r="G305" s="37">
        <v>2419332150</v>
      </c>
      <c r="H305" s="37">
        <v>259214159</v>
      </c>
      <c r="I305" s="38">
        <f t="shared" ref="I305:I310" si="91">H305/G305</f>
        <v>0.10714285717238123</v>
      </c>
      <c r="J305" s="38">
        <f t="shared" si="90"/>
        <v>0.12000000003703501</v>
      </c>
      <c r="K305" s="37">
        <v>1611317788</v>
      </c>
      <c r="L305" s="37">
        <f t="shared" si="89"/>
        <v>172641192</v>
      </c>
      <c r="M305" s="39">
        <f>+L282</f>
        <v>145342283</v>
      </c>
      <c r="N305" s="37">
        <f t="shared" si="86"/>
        <v>27298909</v>
      </c>
      <c r="O305" s="40">
        <f t="shared" si="87"/>
        <v>10919564</v>
      </c>
      <c r="P305" s="41" t="s">
        <v>291</v>
      </c>
      <c r="Q305" s="55">
        <v>143</v>
      </c>
      <c r="R305" s="42">
        <f t="shared" si="88"/>
        <v>16379345</v>
      </c>
      <c r="S305" s="55">
        <v>144</v>
      </c>
      <c r="T305" s="55">
        <v>180</v>
      </c>
      <c r="U305" s="55">
        <v>62</v>
      </c>
      <c r="V305" s="34" t="s">
        <v>261</v>
      </c>
      <c r="W305" s="43">
        <v>44950</v>
      </c>
      <c r="X305" s="44" t="s">
        <v>273</v>
      </c>
    </row>
    <row r="306" spans="1:24" ht="17.45" customHeight="1" x14ac:dyDescent="0.25">
      <c r="A306" t="str">
        <f t="shared" si="80"/>
        <v>2910906799449504850357</v>
      </c>
      <c r="B306" s="6">
        <f t="shared" si="78"/>
        <v>45132</v>
      </c>
      <c r="C306" s="3">
        <f t="shared" si="79"/>
        <v>7275000</v>
      </c>
      <c r="D306" s="34">
        <v>2022</v>
      </c>
      <c r="E306" s="35">
        <v>2910906799</v>
      </c>
      <c r="F306" s="36" t="s">
        <v>293</v>
      </c>
      <c r="G306" s="37">
        <v>70000000</v>
      </c>
      <c r="H306" s="37">
        <v>7500000</v>
      </c>
      <c r="I306" s="38">
        <f t="shared" si="91"/>
        <v>0.10714285714285714</v>
      </c>
      <c r="J306" s="38">
        <f t="shared" si="90"/>
        <v>0.12</v>
      </c>
      <c r="K306" s="37">
        <v>45270000</v>
      </c>
      <c r="L306" s="37">
        <f t="shared" si="89"/>
        <v>4850357</v>
      </c>
      <c r="M306" s="39">
        <v>0</v>
      </c>
      <c r="N306" s="37">
        <f t="shared" si="86"/>
        <v>4850357</v>
      </c>
      <c r="O306" s="40">
        <f t="shared" si="87"/>
        <v>1940143</v>
      </c>
      <c r="P306" s="41" t="s">
        <v>291</v>
      </c>
      <c r="Q306" s="55">
        <v>151</v>
      </c>
      <c r="R306" s="42">
        <f t="shared" si="88"/>
        <v>2910214</v>
      </c>
      <c r="S306" s="55">
        <v>152</v>
      </c>
      <c r="T306" s="55">
        <v>185</v>
      </c>
      <c r="U306" s="55">
        <v>61</v>
      </c>
      <c r="V306" s="34" t="s">
        <v>261</v>
      </c>
      <c r="W306" s="43">
        <v>44950</v>
      </c>
      <c r="X306" s="44" t="s">
        <v>273</v>
      </c>
    </row>
    <row r="307" spans="1:24" ht="17.45" customHeight="1" x14ac:dyDescent="0.25">
      <c r="A307" t="str">
        <f t="shared" si="80"/>
        <v>2910906798449502854378</v>
      </c>
      <c r="B307" s="6">
        <f t="shared" si="78"/>
        <v>44984</v>
      </c>
      <c r="C307" s="3">
        <f t="shared" si="79"/>
        <v>4468929</v>
      </c>
      <c r="D307" s="34">
        <v>2022</v>
      </c>
      <c r="E307" s="35">
        <v>2910906798</v>
      </c>
      <c r="F307" s="36" t="s">
        <v>294</v>
      </c>
      <c r="G307" s="37">
        <v>43000000</v>
      </c>
      <c r="H307" s="37">
        <v>4607143</v>
      </c>
      <c r="I307" s="38">
        <f t="shared" si="91"/>
        <v>0.10714286046511629</v>
      </c>
      <c r="J307" s="38">
        <f t="shared" si="90"/>
        <v>0.12000000416744187</v>
      </c>
      <c r="K307" s="37">
        <v>26640857</v>
      </c>
      <c r="L307" s="37">
        <f t="shared" si="89"/>
        <v>2854378</v>
      </c>
      <c r="M307" s="39">
        <v>0</v>
      </c>
      <c r="N307" s="37">
        <f t="shared" si="86"/>
        <v>2854378</v>
      </c>
      <c r="O307" s="40">
        <f t="shared" si="87"/>
        <v>1141751</v>
      </c>
      <c r="P307" s="41" t="s">
        <v>291</v>
      </c>
      <c r="Q307" s="55">
        <v>149</v>
      </c>
      <c r="R307" s="42">
        <f t="shared" si="88"/>
        <v>1712627</v>
      </c>
      <c r="S307" s="55">
        <v>150</v>
      </c>
      <c r="T307" s="55">
        <v>184</v>
      </c>
      <c r="U307" s="55">
        <v>66</v>
      </c>
      <c r="V307" s="34" t="s">
        <v>261</v>
      </c>
      <c r="W307" s="43">
        <v>44950</v>
      </c>
      <c r="X307" s="44" t="s">
        <v>273</v>
      </c>
    </row>
    <row r="308" spans="1:24" ht="17.45" customHeight="1" x14ac:dyDescent="0.25">
      <c r="A308" t="str">
        <f t="shared" si="80"/>
        <v>29109067884495094531844</v>
      </c>
      <c r="B308" s="6">
        <f t="shared" si="78"/>
        <v>45498</v>
      </c>
      <c r="C308" s="3">
        <f t="shared" si="79"/>
        <v>387879629.13729745</v>
      </c>
      <c r="D308" s="34">
        <v>2022</v>
      </c>
      <c r="E308" s="35">
        <v>2910906788</v>
      </c>
      <c r="F308" s="36" t="s">
        <v>270</v>
      </c>
      <c r="G308" s="37">
        <v>2078053077</v>
      </c>
      <c r="H308" s="37">
        <v>222662679</v>
      </c>
      <c r="I308" s="38">
        <f t="shared" si="91"/>
        <v>0.10714965919997048</v>
      </c>
      <c r="J308" s="38">
        <f t="shared" si="90"/>
        <v>0.12000853256544664</v>
      </c>
      <c r="K308" s="37">
        <v>882241201</v>
      </c>
      <c r="L308" s="37">
        <f t="shared" si="89"/>
        <v>94531844</v>
      </c>
      <c r="M308" s="39">
        <f>+L291</f>
        <v>93601035</v>
      </c>
      <c r="N308" s="37">
        <f t="shared" si="86"/>
        <v>930809</v>
      </c>
      <c r="O308" s="40">
        <f t="shared" si="87"/>
        <v>372324</v>
      </c>
      <c r="P308" s="41" t="s">
        <v>291</v>
      </c>
      <c r="Q308" s="55">
        <v>145</v>
      </c>
      <c r="R308" s="42">
        <f t="shared" si="88"/>
        <v>558485</v>
      </c>
      <c r="S308" s="55">
        <v>146</v>
      </c>
      <c r="T308" s="55">
        <v>182</v>
      </c>
      <c r="U308" s="55">
        <v>63</v>
      </c>
      <c r="V308" s="34" t="s">
        <v>261</v>
      </c>
      <c r="W308" s="43">
        <v>44950</v>
      </c>
      <c r="X308" s="44" t="s">
        <v>273</v>
      </c>
    </row>
    <row r="309" spans="1:24" ht="17.45" customHeight="1" x14ac:dyDescent="0.25">
      <c r="A309" t="str">
        <f t="shared" si="80"/>
        <v>2910907201449504771787</v>
      </c>
      <c r="B309" s="6">
        <f t="shared" si="78"/>
        <v>44950</v>
      </c>
      <c r="C309" s="3">
        <f t="shared" si="79"/>
        <v>4771787</v>
      </c>
      <c r="D309" s="34">
        <v>2022</v>
      </c>
      <c r="E309" s="35">
        <v>2910907201</v>
      </c>
      <c r="F309" s="36" t="s">
        <v>295</v>
      </c>
      <c r="G309" s="37">
        <v>70000000</v>
      </c>
      <c r="H309" s="37">
        <v>7500000</v>
      </c>
      <c r="I309" s="38">
        <f t="shared" si="91"/>
        <v>0.10714285714285714</v>
      </c>
      <c r="J309" s="38">
        <f t="shared" si="90"/>
        <v>0.12</v>
      </c>
      <c r="K309" s="37">
        <v>44536680</v>
      </c>
      <c r="L309" s="37">
        <f t="shared" si="89"/>
        <v>4771787</v>
      </c>
      <c r="M309" s="39">
        <v>0</v>
      </c>
      <c r="N309" s="37">
        <f t="shared" si="86"/>
        <v>4771787</v>
      </c>
      <c r="O309" s="40">
        <f t="shared" si="87"/>
        <v>1908715</v>
      </c>
      <c r="P309" s="41" t="s">
        <v>291</v>
      </c>
      <c r="Q309" s="55">
        <v>153</v>
      </c>
      <c r="R309" s="42">
        <f t="shared" si="88"/>
        <v>2863072</v>
      </c>
      <c r="S309" s="55">
        <v>154</v>
      </c>
      <c r="T309" s="55">
        <v>186</v>
      </c>
      <c r="U309" s="55">
        <v>65</v>
      </c>
      <c r="V309" s="34" t="s">
        <v>261</v>
      </c>
      <c r="W309" s="43">
        <v>44950</v>
      </c>
      <c r="X309" s="44" t="s">
        <v>273</v>
      </c>
    </row>
    <row r="310" spans="1:24" ht="17.45" customHeight="1" x14ac:dyDescent="0.25">
      <c r="A310" t="str">
        <f t="shared" si="80"/>
        <v>29109067964459110987434</v>
      </c>
      <c r="B310" s="6">
        <f t="shared" si="78"/>
        <v>45132</v>
      </c>
      <c r="C310" s="3">
        <f t="shared" si="79"/>
        <v>212245679</v>
      </c>
      <c r="D310" s="34">
        <v>2022</v>
      </c>
      <c r="E310" s="35">
        <v>2910906796</v>
      </c>
      <c r="F310" s="36" t="s">
        <v>296</v>
      </c>
      <c r="G310" s="37">
        <v>1980959670</v>
      </c>
      <c r="H310" s="37">
        <v>212245679</v>
      </c>
      <c r="I310" s="38">
        <f t="shared" si="91"/>
        <v>0.1071428571789147</v>
      </c>
      <c r="J310" s="38">
        <f t="shared" si="90"/>
        <v>0.12000000004523061</v>
      </c>
      <c r="K310" s="37">
        <v>102549383</v>
      </c>
      <c r="L310" s="37">
        <f t="shared" si="89"/>
        <v>10987434</v>
      </c>
      <c r="M310" s="39">
        <v>0</v>
      </c>
      <c r="N310" s="37">
        <f t="shared" si="86"/>
        <v>10987434</v>
      </c>
      <c r="O310" s="40">
        <f t="shared" si="87"/>
        <v>4394974</v>
      </c>
      <c r="P310" s="41" t="s">
        <v>291</v>
      </c>
      <c r="Q310" s="55">
        <v>978</v>
      </c>
      <c r="R310" s="42">
        <f t="shared" si="88"/>
        <v>6592460</v>
      </c>
      <c r="S310" s="55">
        <v>979</v>
      </c>
      <c r="T310" s="55">
        <v>237</v>
      </c>
      <c r="U310" s="55">
        <v>224</v>
      </c>
      <c r="V310" s="34" t="s">
        <v>261</v>
      </c>
      <c r="W310" s="43">
        <v>44591</v>
      </c>
      <c r="X310" s="44" t="s">
        <v>273</v>
      </c>
    </row>
    <row r="311" spans="1:24" ht="17.45" customHeight="1" x14ac:dyDescent="0.25">
      <c r="A311" t="str">
        <f t="shared" si="80"/>
        <v>2910906786449564629568</v>
      </c>
      <c r="B311" s="6">
        <f t="shared" si="78"/>
        <v>45064</v>
      </c>
      <c r="C311" s="3">
        <f t="shared" si="79"/>
        <v>6586607</v>
      </c>
      <c r="D311" s="34">
        <v>2022</v>
      </c>
      <c r="E311" s="35">
        <v>2910906786</v>
      </c>
      <c r="F311" s="36" t="s">
        <v>277</v>
      </c>
      <c r="G311" s="37">
        <v>61475000</v>
      </c>
      <c r="H311" s="37">
        <v>6586607</v>
      </c>
      <c r="I311" s="38">
        <f>+H311/G311</f>
        <v>0.10714285481903213</v>
      </c>
      <c r="J311" s="38">
        <f t="shared" si="90"/>
        <v>0.11999999708499391</v>
      </c>
      <c r="K311" s="37">
        <v>43209306</v>
      </c>
      <c r="L311" s="37">
        <f t="shared" si="89"/>
        <v>4629568</v>
      </c>
      <c r="M311" s="39">
        <f>+M287+N287</f>
        <v>3342517</v>
      </c>
      <c r="N311" s="37">
        <f t="shared" si="86"/>
        <v>1287051</v>
      </c>
      <c r="O311" s="40">
        <f t="shared" si="87"/>
        <v>514820</v>
      </c>
      <c r="P311" s="41" t="s">
        <v>291</v>
      </c>
      <c r="Q311" s="55">
        <v>214</v>
      </c>
      <c r="R311" s="42">
        <f t="shared" si="88"/>
        <v>772231</v>
      </c>
      <c r="S311" s="55">
        <v>215</v>
      </c>
      <c r="T311" s="55">
        <v>238</v>
      </c>
      <c r="U311" s="55">
        <v>79</v>
      </c>
      <c r="V311" s="34" t="s">
        <v>261</v>
      </c>
      <c r="W311" s="43">
        <v>44956</v>
      </c>
      <c r="X311" s="44" t="s">
        <v>273</v>
      </c>
    </row>
    <row r="312" spans="1:24" ht="17.45" customHeight="1" x14ac:dyDescent="0.25">
      <c r="A312" t="str">
        <f t="shared" si="80"/>
        <v>24530183324495635067235</v>
      </c>
      <c r="B312" s="6">
        <f t="shared" si="78"/>
        <v>45316</v>
      </c>
      <c r="C312" s="3">
        <f t="shared" si="79"/>
        <v>106373215</v>
      </c>
      <c r="D312" s="34">
        <v>2021</v>
      </c>
      <c r="E312" s="35">
        <v>2453018332</v>
      </c>
      <c r="F312" s="36" t="s">
        <v>267</v>
      </c>
      <c r="G312" s="37">
        <v>1548681070</v>
      </c>
      <c r="H312" s="37">
        <v>165930115</v>
      </c>
      <c r="I312" s="38">
        <f>+H312/G312</f>
        <v>0.10714285737346813</v>
      </c>
      <c r="J312" s="38">
        <f t="shared" si="90"/>
        <v>0.12000000028927842</v>
      </c>
      <c r="K312" s="37">
        <v>327294189</v>
      </c>
      <c r="L312" s="37">
        <f t="shared" si="89"/>
        <v>35067235</v>
      </c>
      <c r="M312" s="39">
        <f>L292</f>
        <v>30533863</v>
      </c>
      <c r="N312" s="37">
        <f t="shared" si="86"/>
        <v>4533372</v>
      </c>
      <c r="O312" s="40">
        <f t="shared" si="87"/>
        <v>1813349</v>
      </c>
      <c r="P312" s="41" t="s">
        <v>291</v>
      </c>
      <c r="Q312" s="55">
        <v>208</v>
      </c>
      <c r="R312" s="42">
        <f t="shared" si="88"/>
        <v>2720023</v>
      </c>
      <c r="S312" s="55">
        <v>209</v>
      </c>
      <c r="T312" s="55">
        <v>239</v>
      </c>
      <c r="U312" s="55">
        <v>80</v>
      </c>
      <c r="V312" s="34" t="s">
        <v>261</v>
      </c>
      <c r="W312" s="43">
        <v>44956</v>
      </c>
      <c r="X312" s="44" t="s">
        <v>273</v>
      </c>
    </row>
    <row r="313" spans="1:24" ht="17.45" customHeight="1" x14ac:dyDescent="0.25">
      <c r="A313" t="str">
        <f t="shared" si="80"/>
        <v>24530183364495623834294</v>
      </c>
      <c r="B313" s="6">
        <f t="shared" si="78"/>
        <v>45070</v>
      </c>
      <c r="C313" s="3">
        <f t="shared" si="79"/>
        <v>74596391</v>
      </c>
      <c r="D313" s="34">
        <v>2022</v>
      </c>
      <c r="E313" s="35">
        <v>2453018336</v>
      </c>
      <c r="F313" s="36" t="s">
        <v>266</v>
      </c>
      <c r="G313" s="37">
        <v>696232978</v>
      </c>
      <c r="H313" s="37">
        <v>74596391</v>
      </c>
      <c r="I313" s="38">
        <f>+H313/G313</f>
        <v>0.10714285786100755</v>
      </c>
      <c r="J313" s="38">
        <f t="shared" si="90"/>
        <v>0.12000000090084788</v>
      </c>
      <c r="K313" s="37">
        <v>222453405</v>
      </c>
      <c r="L313" s="37">
        <f t="shared" si="89"/>
        <v>23834294</v>
      </c>
      <c r="M313" s="39">
        <f>+L299</f>
        <v>20484828</v>
      </c>
      <c r="N313" s="37">
        <f t="shared" si="86"/>
        <v>3349466</v>
      </c>
      <c r="O313" s="40">
        <f t="shared" si="87"/>
        <v>1339786</v>
      </c>
      <c r="P313" s="41" t="s">
        <v>291</v>
      </c>
      <c r="Q313" s="55">
        <v>210</v>
      </c>
      <c r="R313" s="42">
        <f t="shared" si="88"/>
        <v>2009680</v>
      </c>
      <c r="S313" s="55">
        <v>211</v>
      </c>
      <c r="T313" s="55">
        <v>240</v>
      </c>
      <c r="U313" s="55">
        <v>81</v>
      </c>
      <c r="V313" s="34" t="s">
        <v>261</v>
      </c>
      <c r="W313" s="43">
        <v>44956</v>
      </c>
      <c r="X313" s="44" t="s">
        <v>273</v>
      </c>
    </row>
    <row r="314" spans="1:24" ht="17.45" customHeight="1" x14ac:dyDescent="0.25">
      <c r="A314" t="str">
        <f t="shared" si="80"/>
        <v>29109067564495686337704</v>
      </c>
      <c r="B314" s="6">
        <f t="shared" si="78"/>
        <v>45828</v>
      </c>
      <c r="C314" s="3">
        <f t="shared" si="79"/>
        <v>200890598.73619679</v>
      </c>
      <c r="D314" s="34">
        <v>2021</v>
      </c>
      <c r="E314" s="35">
        <v>2910906756</v>
      </c>
      <c r="F314" s="36" t="s">
        <v>212</v>
      </c>
      <c r="G314" s="37">
        <v>2844873087</v>
      </c>
      <c r="H314" s="37">
        <v>304807831</v>
      </c>
      <c r="I314" s="38">
        <v>0.10714285723073452</v>
      </c>
      <c r="J314" s="38">
        <v>0.12000000011023339</v>
      </c>
      <c r="K314" s="37">
        <v>805818573</v>
      </c>
      <c r="L314" s="37">
        <f t="shared" si="89"/>
        <v>86337704</v>
      </c>
      <c r="M314" s="39">
        <f>+L293</f>
        <v>84909208</v>
      </c>
      <c r="N314" s="37">
        <f t="shared" si="86"/>
        <v>1428496</v>
      </c>
      <c r="O314" s="40">
        <f t="shared" si="87"/>
        <v>571398</v>
      </c>
      <c r="P314" s="41" t="s">
        <v>291</v>
      </c>
      <c r="Q314" s="55">
        <v>212</v>
      </c>
      <c r="R314" s="42">
        <f t="shared" si="88"/>
        <v>857098</v>
      </c>
      <c r="S314" s="55">
        <v>213</v>
      </c>
      <c r="T314" s="55">
        <v>241</v>
      </c>
      <c r="U314" s="55">
        <v>82</v>
      </c>
      <c r="V314" s="34" t="s">
        <v>261</v>
      </c>
      <c r="W314" s="43">
        <v>44956</v>
      </c>
      <c r="X314" s="44" t="s">
        <v>273</v>
      </c>
    </row>
    <row r="315" spans="1:24" ht="17.45" customHeight="1" x14ac:dyDescent="0.25">
      <c r="A315" t="str">
        <f t="shared" si="80"/>
        <v>2910906787449567777997</v>
      </c>
      <c r="B315" s="6">
        <f t="shared" si="78"/>
        <v>45498</v>
      </c>
      <c r="C315" s="3">
        <f t="shared" si="79"/>
        <v>15148141.171637964</v>
      </c>
      <c r="D315" s="34">
        <v>2022</v>
      </c>
      <c r="E315" s="35">
        <v>2910906787</v>
      </c>
      <c r="F315" s="36" t="s">
        <v>248</v>
      </c>
      <c r="G315" s="37">
        <v>120252560</v>
      </c>
      <c r="H315" s="37">
        <v>12884203</v>
      </c>
      <c r="I315" s="38">
        <f>H315/G315</f>
        <v>0.10714285833083304</v>
      </c>
      <c r="J315" s="38">
        <f t="shared" ref="J315:J320" si="92">IFERROR((+H315/(G315-H315)),0)</f>
        <v>0.12000000149019696</v>
      </c>
      <c r="K315" s="37">
        <v>72594638</v>
      </c>
      <c r="L315" s="37">
        <f t="shared" si="89"/>
        <v>7777997</v>
      </c>
      <c r="M315" s="39">
        <f>+M279+N279</f>
        <v>6884320</v>
      </c>
      <c r="N315" s="37">
        <f t="shared" si="86"/>
        <v>893677</v>
      </c>
      <c r="O315" s="40">
        <f t="shared" si="87"/>
        <v>357471</v>
      </c>
      <c r="P315" s="41" t="s">
        <v>291</v>
      </c>
      <c r="Q315" s="55">
        <v>216</v>
      </c>
      <c r="R315" s="42">
        <f t="shared" si="88"/>
        <v>536206</v>
      </c>
      <c r="S315" s="55">
        <v>217</v>
      </c>
      <c r="T315" s="55">
        <v>242</v>
      </c>
      <c r="U315" s="55">
        <v>83</v>
      </c>
      <c r="V315" s="34" t="s">
        <v>261</v>
      </c>
      <c r="W315" s="43">
        <v>44956</v>
      </c>
      <c r="X315" s="44" t="s">
        <v>273</v>
      </c>
    </row>
    <row r="316" spans="1:24" ht="17.45" customHeight="1" x14ac:dyDescent="0.25">
      <c r="A316" t="str">
        <f t="shared" si="80"/>
        <v>2910906799449565300357</v>
      </c>
      <c r="B316" s="6">
        <f t="shared" si="78"/>
        <v>45132</v>
      </c>
      <c r="C316" s="3">
        <f t="shared" si="79"/>
        <v>7275000</v>
      </c>
      <c r="D316" s="34">
        <v>2022</v>
      </c>
      <c r="E316" s="35">
        <v>2910906799</v>
      </c>
      <c r="F316" s="36" t="s">
        <v>293</v>
      </c>
      <c r="G316" s="37">
        <v>70000000</v>
      </c>
      <c r="H316" s="37">
        <v>7500000</v>
      </c>
      <c r="I316" s="38">
        <f>H316/G316</f>
        <v>0.10714285714285714</v>
      </c>
      <c r="J316" s="38">
        <f t="shared" si="92"/>
        <v>0.12</v>
      </c>
      <c r="K316" s="37">
        <v>49470000</v>
      </c>
      <c r="L316" s="37">
        <f t="shared" si="89"/>
        <v>5300357</v>
      </c>
      <c r="M316" s="39">
        <f>+L306</f>
        <v>4850357</v>
      </c>
      <c r="N316" s="37">
        <f t="shared" si="86"/>
        <v>450000</v>
      </c>
      <c r="O316" s="40">
        <f t="shared" si="87"/>
        <v>180000</v>
      </c>
      <c r="P316" s="41" t="s">
        <v>291</v>
      </c>
      <c r="Q316" s="55">
        <v>218</v>
      </c>
      <c r="R316" s="42">
        <f t="shared" si="88"/>
        <v>270000</v>
      </c>
      <c r="S316" s="55">
        <v>219</v>
      </c>
      <c r="T316" s="55">
        <v>243</v>
      </c>
      <c r="U316" s="55">
        <v>84</v>
      </c>
      <c r="V316" s="34" t="s">
        <v>261</v>
      </c>
      <c r="W316" s="43">
        <v>44956</v>
      </c>
      <c r="X316" s="44" t="s">
        <v>273</v>
      </c>
    </row>
    <row r="317" spans="1:24" ht="17.45" customHeight="1" x14ac:dyDescent="0.25">
      <c r="A317" t="str">
        <f t="shared" si="80"/>
        <v>24530183254495965055823</v>
      </c>
      <c r="B317" s="6">
        <f t="shared" si="78"/>
        <v>45042</v>
      </c>
      <c r="C317" s="3">
        <f t="shared" si="79"/>
        <v>78962612</v>
      </c>
      <c r="D317" s="34">
        <v>2021</v>
      </c>
      <c r="E317" s="35">
        <v>2453018325</v>
      </c>
      <c r="F317" s="36" t="s">
        <v>194</v>
      </c>
      <c r="G317" s="37">
        <v>744689120</v>
      </c>
      <c r="H317" s="37">
        <v>79788120</v>
      </c>
      <c r="I317" s="38">
        <f>+H317/G317</f>
        <v>0.10714285714285714</v>
      </c>
      <c r="J317" s="38">
        <f t="shared" si="92"/>
        <v>0.12</v>
      </c>
      <c r="K317" s="37">
        <v>607187680</v>
      </c>
      <c r="L317" s="37">
        <f t="shared" si="89"/>
        <v>65055823</v>
      </c>
      <c r="M317" s="39">
        <f>+M283+N283</f>
        <v>43474540</v>
      </c>
      <c r="N317" s="37">
        <f t="shared" si="86"/>
        <v>21581283</v>
      </c>
      <c r="O317" s="40">
        <f t="shared" si="87"/>
        <v>8632513</v>
      </c>
      <c r="P317" s="41" t="s">
        <v>291</v>
      </c>
      <c r="Q317" s="55">
        <v>368</v>
      </c>
      <c r="R317" s="42">
        <f t="shared" si="88"/>
        <v>12948770</v>
      </c>
      <c r="S317" s="55">
        <v>369</v>
      </c>
      <c r="T317" s="55">
        <v>305</v>
      </c>
      <c r="U317" s="55">
        <v>173</v>
      </c>
      <c r="V317" s="34" t="s">
        <v>261</v>
      </c>
      <c r="W317" s="43">
        <v>44959</v>
      </c>
      <c r="X317" s="44" t="s">
        <v>273</v>
      </c>
    </row>
    <row r="318" spans="1:24" ht="17.45" customHeight="1" x14ac:dyDescent="0.25">
      <c r="A318" t="str">
        <f t="shared" si="80"/>
        <v>29109067964495938363002</v>
      </c>
      <c r="B318" s="6">
        <f t="shared" si="78"/>
        <v>45132</v>
      </c>
      <c r="C318" s="3">
        <f t="shared" si="79"/>
        <v>212245679</v>
      </c>
      <c r="D318" s="34">
        <v>2022</v>
      </c>
      <c r="E318" s="35">
        <v>2910906796</v>
      </c>
      <c r="F318" s="36" t="s">
        <v>296</v>
      </c>
      <c r="G318" s="37">
        <v>1980959670</v>
      </c>
      <c r="H318" s="37">
        <v>212245679</v>
      </c>
      <c r="I318" s="38">
        <f>H318/G318</f>
        <v>0.1071428571789147</v>
      </c>
      <c r="J318" s="38">
        <f t="shared" si="92"/>
        <v>0.12000000004523061</v>
      </c>
      <c r="K318" s="37">
        <v>358054683</v>
      </c>
      <c r="L318" s="37">
        <f t="shared" si="89"/>
        <v>38363002</v>
      </c>
      <c r="M318" s="39">
        <f>+L310</f>
        <v>10987434</v>
      </c>
      <c r="N318" s="37">
        <f t="shared" si="86"/>
        <v>27375568</v>
      </c>
      <c r="O318" s="40">
        <f t="shared" si="87"/>
        <v>10950227</v>
      </c>
      <c r="P318" s="41" t="s">
        <v>291</v>
      </c>
      <c r="Q318" s="55">
        <v>372</v>
      </c>
      <c r="R318" s="42">
        <f t="shared" si="88"/>
        <v>16425341</v>
      </c>
      <c r="S318" s="55">
        <v>373</v>
      </c>
      <c r="T318" s="55">
        <v>306</v>
      </c>
      <c r="U318" s="55">
        <v>174</v>
      </c>
      <c r="V318" s="34" t="s">
        <v>261</v>
      </c>
      <c r="W318" s="43">
        <v>44959</v>
      </c>
      <c r="X318" s="44" t="s">
        <v>273</v>
      </c>
    </row>
    <row r="319" spans="1:24" ht="17.45" customHeight="1" x14ac:dyDescent="0.25">
      <c r="A319" t="str">
        <f t="shared" si="80"/>
        <v>29109067584495951609538</v>
      </c>
      <c r="B319" s="6">
        <f t="shared" si="78"/>
        <v>45223</v>
      </c>
      <c r="C319" s="3">
        <f t="shared" si="79"/>
        <v>70798215</v>
      </c>
      <c r="D319" s="34">
        <v>2021</v>
      </c>
      <c r="E319" s="35">
        <v>2910906758</v>
      </c>
      <c r="F319" s="36" t="s">
        <v>297</v>
      </c>
      <c r="G319" s="37">
        <v>660783000</v>
      </c>
      <c r="H319" s="37">
        <v>70798215</v>
      </c>
      <c r="I319" s="38">
        <f>+H319/G319</f>
        <v>0.10714291227225882</v>
      </c>
      <c r="J319" s="38">
        <f t="shared" si="92"/>
        <v>0.12000006915432573</v>
      </c>
      <c r="K319" s="37">
        <v>481688771</v>
      </c>
      <c r="L319" s="37">
        <f t="shared" si="89"/>
        <v>51609538</v>
      </c>
      <c r="M319" s="39">
        <f>+L251</f>
        <v>36041202</v>
      </c>
      <c r="N319" s="37">
        <f t="shared" si="86"/>
        <v>15568336</v>
      </c>
      <c r="O319" s="40">
        <f>ROUND((+N319*0.4),0)</f>
        <v>6227334</v>
      </c>
      <c r="P319" s="41" t="s">
        <v>291</v>
      </c>
      <c r="Q319" s="55">
        <v>370</v>
      </c>
      <c r="R319" s="42">
        <f t="shared" si="88"/>
        <v>9341002</v>
      </c>
      <c r="S319" s="55">
        <v>371</v>
      </c>
      <c r="T319" s="55">
        <v>307</v>
      </c>
      <c r="U319" s="55">
        <v>175</v>
      </c>
      <c r="V319" s="34" t="s">
        <v>261</v>
      </c>
      <c r="W319" s="43">
        <v>44959</v>
      </c>
      <c r="X319" s="44" t="s">
        <v>273</v>
      </c>
    </row>
    <row r="320" spans="1:24" ht="17.45" customHeight="1" x14ac:dyDescent="0.25">
      <c r="A320" t="str">
        <f t="shared" si="80"/>
        <v>2910907204449662631429</v>
      </c>
      <c r="B320" s="6">
        <f t="shared" si="78"/>
        <v>45132</v>
      </c>
      <c r="C320" s="3">
        <f t="shared" si="79"/>
        <v>3750000</v>
      </c>
      <c r="D320" s="34">
        <v>2022</v>
      </c>
      <c r="E320" s="35">
        <v>2910907204</v>
      </c>
      <c r="F320" s="36" t="s">
        <v>298</v>
      </c>
      <c r="G320" s="37">
        <v>35000000</v>
      </c>
      <c r="H320" s="37">
        <v>3750000</v>
      </c>
      <c r="I320" s="38">
        <f>H320/G320</f>
        <v>0.10714285714285714</v>
      </c>
      <c r="J320" s="38">
        <f t="shared" si="92"/>
        <v>0.12</v>
      </c>
      <c r="K320" s="37">
        <v>24560000</v>
      </c>
      <c r="L320" s="37">
        <f t="shared" si="89"/>
        <v>2631429</v>
      </c>
      <c r="M320" s="39">
        <v>0</v>
      </c>
      <c r="N320" s="37">
        <f t="shared" si="86"/>
        <v>2631429</v>
      </c>
      <c r="O320" s="40">
        <f t="shared" ref="O320:O357" si="93">ROUND((N320*40%),0)</f>
        <v>1052572</v>
      </c>
      <c r="P320" s="41" t="s">
        <v>291</v>
      </c>
      <c r="Q320" s="55"/>
      <c r="R320" s="42">
        <f t="shared" si="88"/>
        <v>1578857</v>
      </c>
      <c r="S320" s="55"/>
      <c r="T320" s="55"/>
      <c r="U320" s="55"/>
      <c r="V320" s="34" t="s">
        <v>261</v>
      </c>
      <c r="W320" s="43">
        <v>44966</v>
      </c>
      <c r="X320" s="44" t="s">
        <v>273</v>
      </c>
    </row>
    <row r="321" spans="1:24" ht="17.45" customHeight="1" x14ac:dyDescent="0.25">
      <c r="A321" t="str">
        <f t="shared" si="80"/>
        <v>291090637044966360310039</v>
      </c>
      <c r="B321" s="6">
        <f t="shared" si="78"/>
        <v>45530</v>
      </c>
      <c r="C321" s="3">
        <f t="shared" si="79"/>
        <v>467234191.89532739</v>
      </c>
      <c r="D321" s="34">
        <v>2018</v>
      </c>
      <c r="E321" s="35">
        <v>2910906370</v>
      </c>
      <c r="F321" s="36" t="s">
        <v>74</v>
      </c>
      <c r="G321" s="37">
        <v>5033567040</v>
      </c>
      <c r="H321" s="37">
        <v>539310754</v>
      </c>
      <c r="I321" s="38">
        <v>0.10714285708609535</v>
      </c>
      <c r="J321" s="38">
        <v>0.11999999992879801</v>
      </c>
      <c r="K321" s="37">
        <v>3362893695</v>
      </c>
      <c r="L321" s="37">
        <f t="shared" si="89"/>
        <v>360310039</v>
      </c>
      <c r="M321" s="39">
        <f>M288+N288</f>
        <v>349268967</v>
      </c>
      <c r="N321" s="37">
        <f t="shared" si="86"/>
        <v>11041072</v>
      </c>
      <c r="O321" s="40">
        <f t="shared" si="93"/>
        <v>4416429</v>
      </c>
      <c r="P321" s="41" t="s">
        <v>291</v>
      </c>
      <c r="Q321" s="55"/>
      <c r="R321" s="42">
        <f t="shared" si="88"/>
        <v>6624643</v>
      </c>
      <c r="S321" s="55"/>
      <c r="T321" s="55"/>
      <c r="U321" s="55"/>
      <c r="V321" s="34" t="s">
        <v>261</v>
      </c>
      <c r="W321" s="43">
        <v>44966</v>
      </c>
      <c r="X321" s="44" t="s">
        <v>273</v>
      </c>
    </row>
    <row r="322" spans="1:24" ht="17.45" customHeight="1" x14ac:dyDescent="0.25">
      <c r="A322" t="str">
        <f t="shared" si="80"/>
        <v>29109067894496615241672</v>
      </c>
      <c r="B322" s="6">
        <f t="shared" ref="B322:B385" si="94">_xlfn.MAXIFS(W:W,E:E,E322)</f>
        <v>45891</v>
      </c>
      <c r="C322" s="3">
        <f t="shared" ref="C322:C385" si="95">_xlfn.MAXIFS(L:L,E:E,E322)</f>
        <v>194667600.36437911</v>
      </c>
      <c r="D322" s="34">
        <v>2022</v>
      </c>
      <c r="E322" s="35">
        <v>2910906789</v>
      </c>
      <c r="F322" s="36" t="s">
        <v>289</v>
      </c>
      <c r="G322" s="37">
        <v>9124262365</v>
      </c>
      <c r="H322" s="37">
        <v>977599539</v>
      </c>
      <c r="I322" s="38">
        <f>+H322/G322</f>
        <v>0.10714285713111452</v>
      </c>
      <c r="J322" s="38">
        <f t="shared" ref="J322:J358" si="96">IFERROR((+H322/(G322-H322)),0)</f>
        <v>0.11999999998527004</v>
      </c>
      <c r="K322" s="37">
        <v>142255607</v>
      </c>
      <c r="L322" s="37">
        <f t="shared" si="89"/>
        <v>15241672</v>
      </c>
      <c r="M322" s="39">
        <f>L302</f>
        <v>10143815</v>
      </c>
      <c r="N322" s="37">
        <f t="shared" ref="N322:N353" si="97">+L322-M322</f>
        <v>5097857</v>
      </c>
      <c r="O322" s="40">
        <f t="shared" si="93"/>
        <v>2039143</v>
      </c>
      <c r="P322" s="41" t="s">
        <v>291</v>
      </c>
      <c r="Q322" s="55"/>
      <c r="R322" s="42">
        <f t="shared" si="88"/>
        <v>3058714</v>
      </c>
      <c r="S322" s="55"/>
      <c r="T322" s="55"/>
      <c r="U322" s="55"/>
      <c r="V322" s="34" t="s">
        <v>261</v>
      </c>
      <c r="W322" s="43">
        <v>44966</v>
      </c>
      <c r="X322" s="44" t="s">
        <v>273</v>
      </c>
    </row>
    <row r="323" spans="1:24" ht="17.45" customHeight="1" x14ac:dyDescent="0.25">
      <c r="A323" t="str">
        <f t="shared" ref="A323:A386" si="98">_xlfn.CONCAT(E323,W323,L323)</f>
        <v>24530183054496624227363</v>
      </c>
      <c r="B323" s="6">
        <f t="shared" si="94"/>
        <v>44966</v>
      </c>
      <c r="C323" s="3">
        <f t="shared" si="95"/>
        <v>24227363</v>
      </c>
      <c r="D323" s="34">
        <v>2018</v>
      </c>
      <c r="E323" s="35">
        <v>2453018305</v>
      </c>
      <c r="F323" s="36" t="s">
        <v>299</v>
      </c>
      <c r="G323" s="37">
        <v>367496237</v>
      </c>
      <c r="H323" s="37">
        <v>39374597</v>
      </c>
      <c r="I323" s="38">
        <f>+H323/G323</f>
        <v>0.10714285762877077</v>
      </c>
      <c r="J323" s="38">
        <f t="shared" si="96"/>
        <v>0.12000000060953005</v>
      </c>
      <c r="K323" s="37">
        <v>226122049</v>
      </c>
      <c r="L323" s="37">
        <f t="shared" ref="L323:L354" si="99">ROUND((+K323*I323),0)</f>
        <v>24227363</v>
      </c>
      <c r="M323" s="39">
        <v>0</v>
      </c>
      <c r="N323" s="37">
        <f t="shared" si="97"/>
        <v>24227363</v>
      </c>
      <c r="O323" s="40">
        <f t="shared" si="93"/>
        <v>9690945</v>
      </c>
      <c r="P323" s="41" t="s">
        <v>291</v>
      </c>
      <c r="Q323" s="55"/>
      <c r="R323" s="42">
        <f t="shared" si="88"/>
        <v>14536418</v>
      </c>
      <c r="S323" s="55"/>
      <c r="T323" s="55"/>
      <c r="U323" s="55"/>
      <c r="V323" s="34" t="s">
        <v>261</v>
      </c>
      <c r="W323" s="43">
        <v>44966</v>
      </c>
      <c r="X323" s="44" t="s">
        <v>300</v>
      </c>
    </row>
    <row r="324" spans="1:24" ht="17.45" customHeight="1" x14ac:dyDescent="0.25">
      <c r="A324" t="str">
        <f t="shared" si="98"/>
        <v>245301833044966175455667</v>
      </c>
      <c r="B324" s="6">
        <f t="shared" si="94"/>
        <v>45912</v>
      </c>
      <c r="C324" s="3">
        <f t="shared" si="95"/>
        <v>259214159</v>
      </c>
      <c r="D324" s="34">
        <v>2021</v>
      </c>
      <c r="E324" s="35">
        <v>2453018330</v>
      </c>
      <c r="F324" s="36" t="s">
        <v>198</v>
      </c>
      <c r="G324" s="37">
        <v>2419332150</v>
      </c>
      <c r="H324" s="37">
        <v>259214159</v>
      </c>
      <c r="I324" s="38">
        <f>H324/G324</f>
        <v>0.10714285717238123</v>
      </c>
      <c r="J324" s="38">
        <f t="shared" si="96"/>
        <v>0.12000000003703501</v>
      </c>
      <c r="K324" s="37">
        <v>1637586229</v>
      </c>
      <c r="L324" s="37">
        <f t="shared" si="99"/>
        <v>175455667</v>
      </c>
      <c r="M324" s="39">
        <f>+M305+N305</f>
        <v>172641192</v>
      </c>
      <c r="N324" s="37">
        <f t="shared" si="97"/>
        <v>2814475</v>
      </c>
      <c r="O324" s="40">
        <f t="shared" si="93"/>
        <v>1125790</v>
      </c>
      <c r="P324" s="41" t="s">
        <v>291</v>
      </c>
      <c r="Q324" s="55"/>
      <c r="R324" s="42">
        <f t="shared" si="88"/>
        <v>1688685</v>
      </c>
      <c r="S324" s="55"/>
      <c r="T324" s="55"/>
      <c r="U324" s="55"/>
      <c r="V324" s="34" t="s">
        <v>261</v>
      </c>
      <c r="W324" s="43">
        <v>44966</v>
      </c>
      <c r="X324" s="44" t="s">
        <v>273</v>
      </c>
    </row>
    <row r="325" spans="1:24" ht="17.45" customHeight="1" x14ac:dyDescent="0.25">
      <c r="A325" t="str">
        <f t="shared" si="98"/>
        <v>24530183364496726805941</v>
      </c>
      <c r="B325" s="6">
        <f t="shared" si="94"/>
        <v>45070</v>
      </c>
      <c r="C325" s="3">
        <f t="shared" si="95"/>
        <v>74596391</v>
      </c>
      <c r="D325" s="34">
        <v>2022</v>
      </c>
      <c r="E325" s="35">
        <v>2453018336</v>
      </c>
      <c r="F325" s="36" t="s">
        <v>266</v>
      </c>
      <c r="G325" s="37">
        <v>696232978</v>
      </c>
      <c r="H325" s="37">
        <v>74596391</v>
      </c>
      <c r="I325" s="38">
        <f>+H325/G325</f>
        <v>0.10714285786100755</v>
      </c>
      <c r="J325" s="38">
        <f t="shared" si="96"/>
        <v>0.12000000090084788</v>
      </c>
      <c r="K325" s="37">
        <v>250188779</v>
      </c>
      <c r="L325" s="37">
        <f t="shared" si="99"/>
        <v>26805941</v>
      </c>
      <c r="M325" s="39">
        <v>23834294</v>
      </c>
      <c r="N325" s="37">
        <f t="shared" si="97"/>
        <v>2971647</v>
      </c>
      <c r="O325" s="40">
        <f t="shared" si="93"/>
        <v>1188659</v>
      </c>
      <c r="P325" s="41" t="s">
        <v>291</v>
      </c>
      <c r="Q325" s="55"/>
      <c r="R325" s="42">
        <f t="shared" si="88"/>
        <v>1782988</v>
      </c>
      <c r="S325" s="55"/>
      <c r="T325" s="55"/>
      <c r="U325" s="55"/>
      <c r="V325" s="34" t="s">
        <v>261</v>
      </c>
      <c r="W325" s="43">
        <v>44967</v>
      </c>
      <c r="X325" s="44" t="s">
        <v>273</v>
      </c>
    </row>
    <row r="326" spans="1:24" ht="17.45" customHeight="1" x14ac:dyDescent="0.25">
      <c r="A326" t="str">
        <f t="shared" si="98"/>
        <v>2453018338449676500768</v>
      </c>
      <c r="B326" s="6">
        <f t="shared" si="94"/>
        <v>45467</v>
      </c>
      <c r="C326" s="3">
        <f t="shared" si="95"/>
        <v>7358024</v>
      </c>
      <c r="D326" s="34">
        <v>2022</v>
      </c>
      <c r="E326" s="35">
        <v>2453018338</v>
      </c>
      <c r="F326" s="36" t="s">
        <v>288</v>
      </c>
      <c r="G326" s="37">
        <v>75000000</v>
      </c>
      <c r="H326" s="37">
        <v>7358024</v>
      </c>
      <c r="I326" s="38">
        <f>H326/G326</f>
        <v>9.8106986666666673E-2</v>
      </c>
      <c r="J326" s="38">
        <f t="shared" si="96"/>
        <v>0.10877896293272095</v>
      </c>
      <c r="K326" s="37">
        <v>66262024</v>
      </c>
      <c r="L326" s="37">
        <f t="shared" si="99"/>
        <v>6500768</v>
      </c>
      <c r="M326" s="39">
        <f>+M300+N300</f>
        <v>6162675</v>
      </c>
      <c r="N326" s="37">
        <f t="shared" si="97"/>
        <v>338093</v>
      </c>
      <c r="O326" s="40">
        <f t="shared" si="93"/>
        <v>135237</v>
      </c>
      <c r="P326" s="41" t="s">
        <v>291</v>
      </c>
      <c r="Q326" s="55"/>
      <c r="R326" s="42">
        <f t="shared" si="88"/>
        <v>202856</v>
      </c>
      <c r="S326" s="55"/>
      <c r="T326" s="55"/>
      <c r="U326" s="55"/>
      <c r="V326" s="34" t="s">
        <v>261</v>
      </c>
      <c r="W326" s="43">
        <v>44967</v>
      </c>
      <c r="X326" s="44" t="s">
        <v>273</v>
      </c>
    </row>
    <row r="327" spans="1:24" ht="17.45" customHeight="1" x14ac:dyDescent="0.25">
      <c r="A327" t="str">
        <f t="shared" si="98"/>
        <v>24530183254496766399030</v>
      </c>
      <c r="B327" s="6">
        <f t="shared" si="94"/>
        <v>45042</v>
      </c>
      <c r="C327" s="3">
        <f t="shared" si="95"/>
        <v>78962612</v>
      </c>
      <c r="D327" s="34">
        <v>2021</v>
      </c>
      <c r="E327" s="35">
        <v>2453018325</v>
      </c>
      <c r="F327" s="36" t="s">
        <v>194</v>
      </c>
      <c r="G327" s="37">
        <v>744689120</v>
      </c>
      <c r="H327" s="37">
        <v>79788120</v>
      </c>
      <c r="I327" s="38">
        <f>+H327/G327</f>
        <v>0.10714285714285714</v>
      </c>
      <c r="J327" s="38">
        <f t="shared" si="96"/>
        <v>0.12</v>
      </c>
      <c r="K327" s="37">
        <v>619724280</v>
      </c>
      <c r="L327" s="37">
        <f t="shared" si="99"/>
        <v>66399030</v>
      </c>
      <c r="M327" s="39">
        <f>+M317+N317</f>
        <v>65055823</v>
      </c>
      <c r="N327" s="37">
        <f t="shared" si="97"/>
        <v>1343207</v>
      </c>
      <c r="O327" s="40">
        <f t="shared" si="93"/>
        <v>537283</v>
      </c>
      <c r="P327" s="41" t="s">
        <v>291</v>
      </c>
      <c r="Q327" s="55"/>
      <c r="R327" s="42">
        <f t="shared" si="88"/>
        <v>805924</v>
      </c>
      <c r="S327" s="55"/>
      <c r="T327" s="55"/>
      <c r="U327" s="55"/>
      <c r="V327" s="34" t="s">
        <v>261</v>
      </c>
      <c r="W327" s="43">
        <v>44967</v>
      </c>
      <c r="X327" s="44" t="s">
        <v>273</v>
      </c>
    </row>
    <row r="328" spans="1:24" ht="17.45" customHeight="1" x14ac:dyDescent="0.25">
      <c r="A328" t="str">
        <f t="shared" si="98"/>
        <v>2910906787449679367997</v>
      </c>
      <c r="B328" s="6">
        <f t="shared" si="94"/>
        <v>45498</v>
      </c>
      <c r="C328" s="3">
        <f t="shared" si="95"/>
        <v>15148141.171637964</v>
      </c>
      <c r="D328" s="34">
        <v>2022</v>
      </c>
      <c r="E328" s="35">
        <v>2910906787</v>
      </c>
      <c r="F328" s="36" t="s">
        <v>248</v>
      </c>
      <c r="G328" s="37">
        <v>120252560</v>
      </c>
      <c r="H328" s="37">
        <v>12884203</v>
      </c>
      <c r="I328" s="38">
        <f t="shared" ref="I328:I333" si="100">H328/G328</f>
        <v>0.10714285833083304</v>
      </c>
      <c r="J328" s="38">
        <f t="shared" si="96"/>
        <v>0.12000000149019696</v>
      </c>
      <c r="K328" s="37">
        <v>87434638</v>
      </c>
      <c r="L328" s="37">
        <f t="shared" si="99"/>
        <v>9367997</v>
      </c>
      <c r="M328" s="39">
        <f>+L315</f>
        <v>7777997</v>
      </c>
      <c r="N328" s="37">
        <f t="shared" si="97"/>
        <v>1590000</v>
      </c>
      <c r="O328" s="40">
        <f t="shared" si="93"/>
        <v>636000</v>
      </c>
      <c r="P328" s="41" t="s">
        <v>291</v>
      </c>
      <c r="Q328" s="55"/>
      <c r="R328" s="42">
        <f t="shared" si="88"/>
        <v>954000</v>
      </c>
      <c r="S328" s="55"/>
      <c r="T328" s="55"/>
      <c r="U328" s="55"/>
      <c r="V328" s="34" t="s">
        <v>261</v>
      </c>
      <c r="W328" s="43">
        <v>44967</v>
      </c>
      <c r="X328" s="44" t="s">
        <v>273</v>
      </c>
    </row>
    <row r="329" spans="1:24" ht="17.45" customHeight="1" x14ac:dyDescent="0.25">
      <c r="A329" t="str">
        <f t="shared" si="98"/>
        <v>24530183314496711639730</v>
      </c>
      <c r="B329" s="6">
        <f t="shared" si="94"/>
        <v>45223</v>
      </c>
      <c r="C329" s="3">
        <f t="shared" si="95"/>
        <v>52886721</v>
      </c>
      <c r="D329" s="34">
        <v>2021</v>
      </c>
      <c r="E329" s="35">
        <v>2453018331</v>
      </c>
      <c r="F329" s="36" t="s">
        <v>282</v>
      </c>
      <c r="G329" s="37">
        <v>1079098616</v>
      </c>
      <c r="H329" s="37">
        <v>115617709</v>
      </c>
      <c r="I329" s="38">
        <f t="shared" si="100"/>
        <v>0.10714285727524277</v>
      </c>
      <c r="J329" s="38">
        <f t="shared" si="96"/>
        <v>0.12000000016606453</v>
      </c>
      <c r="K329" s="37">
        <v>108637477</v>
      </c>
      <c r="L329" s="37">
        <f t="shared" si="99"/>
        <v>11639730</v>
      </c>
      <c r="M329" s="39">
        <f>+L274</f>
        <v>6645105</v>
      </c>
      <c r="N329" s="37">
        <f t="shared" si="97"/>
        <v>4994625</v>
      </c>
      <c r="O329" s="40">
        <f t="shared" si="93"/>
        <v>1997850</v>
      </c>
      <c r="P329" s="41" t="s">
        <v>291</v>
      </c>
      <c r="Q329" s="55"/>
      <c r="R329" s="42">
        <f t="shared" si="88"/>
        <v>2996775</v>
      </c>
      <c r="S329" s="55"/>
      <c r="T329" s="55"/>
      <c r="U329" s="55"/>
      <c r="V329" s="34" t="s">
        <v>261</v>
      </c>
      <c r="W329" s="43">
        <v>44967</v>
      </c>
      <c r="X329" s="44" t="s">
        <v>273</v>
      </c>
    </row>
    <row r="330" spans="1:24" ht="17.45" customHeight="1" x14ac:dyDescent="0.25">
      <c r="A330" t="str">
        <f t="shared" si="98"/>
        <v>291090720844967667899</v>
      </c>
      <c r="B330" s="6">
        <f t="shared" si="94"/>
        <v>45132</v>
      </c>
      <c r="C330" s="3">
        <f t="shared" si="95"/>
        <v>5571429</v>
      </c>
      <c r="D330" s="34">
        <v>2022</v>
      </c>
      <c r="E330" s="35">
        <v>2910907208</v>
      </c>
      <c r="F330" s="36" t="s">
        <v>301</v>
      </c>
      <c r="G330" s="37">
        <v>52000000</v>
      </c>
      <c r="H330" s="37">
        <v>5571429</v>
      </c>
      <c r="I330" s="38">
        <f t="shared" si="100"/>
        <v>0.10714286538461539</v>
      </c>
      <c r="J330" s="38">
        <f t="shared" si="96"/>
        <v>0.12000001033846164</v>
      </c>
      <c r="K330" s="37">
        <v>6233727</v>
      </c>
      <c r="L330" s="37">
        <f t="shared" si="99"/>
        <v>667899</v>
      </c>
      <c r="M330" s="39">
        <v>0</v>
      </c>
      <c r="N330" s="37">
        <f t="shared" si="97"/>
        <v>667899</v>
      </c>
      <c r="O330" s="40">
        <f t="shared" si="93"/>
        <v>267160</v>
      </c>
      <c r="P330" s="41" t="s">
        <v>291</v>
      </c>
      <c r="Q330" s="55"/>
      <c r="R330" s="42">
        <f t="shared" si="88"/>
        <v>400739</v>
      </c>
      <c r="S330" s="55"/>
      <c r="T330" s="55"/>
      <c r="U330" s="55"/>
      <c r="V330" s="34" t="s">
        <v>261</v>
      </c>
      <c r="W330" s="43">
        <v>44967</v>
      </c>
      <c r="X330" s="44" t="s">
        <v>273</v>
      </c>
    </row>
    <row r="331" spans="1:24" ht="17.45" customHeight="1" x14ac:dyDescent="0.25">
      <c r="A331" t="str">
        <f t="shared" si="98"/>
        <v>29109067934496711562786</v>
      </c>
      <c r="B331" s="6">
        <f t="shared" si="94"/>
        <v>45098</v>
      </c>
      <c r="C331" s="3">
        <f t="shared" si="95"/>
        <v>16338120</v>
      </c>
      <c r="D331" s="34">
        <v>2022</v>
      </c>
      <c r="E331" s="35">
        <v>2910906793</v>
      </c>
      <c r="F331" s="36" t="s">
        <v>302</v>
      </c>
      <c r="G331" s="37">
        <v>152489124</v>
      </c>
      <c r="H331" s="37">
        <v>16338120</v>
      </c>
      <c r="I331" s="38">
        <f t="shared" si="100"/>
        <v>0.10714285433235225</v>
      </c>
      <c r="J331" s="38">
        <f t="shared" si="96"/>
        <v>0.11999999647450268</v>
      </c>
      <c r="K331" s="37">
        <v>107919338</v>
      </c>
      <c r="L331" s="37">
        <f t="shared" si="99"/>
        <v>11562786</v>
      </c>
      <c r="M331" s="39">
        <v>0</v>
      </c>
      <c r="N331" s="37">
        <f t="shared" si="97"/>
        <v>11562786</v>
      </c>
      <c r="O331" s="40">
        <f t="shared" si="93"/>
        <v>4625114</v>
      </c>
      <c r="P331" s="41" t="s">
        <v>291</v>
      </c>
      <c r="Q331" s="55"/>
      <c r="R331" s="42">
        <f t="shared" si="88"/>
        <v>6937672</v>
      </c>
      <c r="S331" s="55"/>
      <c r="T331" s="55"/>
      <c r="U331" s="55"/>
      <c r="V331" s="34" t="s">
        <v>261</v>
      </c>
      <c r="W331" s="43">
        <v>44967</v>
      </c>
      <c r="X331" s="44" t="s">
        <v>273</v>
      </c>
    </row>
    <row r="332" spans="1:24" ht="17.45" customHeight="1" x14ac:dyDescent="0.25">
      <c r="A332" t="str">
        <f t="shared" si="98"/>
        <v>29109080534460517597213</v>
      </c>
      <c r="B332" s="6">
        <f t="shared" si="94"/>
        <v>45161</v>
      </c>
      <c r="C332" s="3">
        <f t="shared" si="95"/>
        <v>39752820</v>
      </c>
      <c r="D332" s="34">
        <v>2022</v>
      </c>
      <c r="E332" s="35">
        <v>2910908053</v>
      </c>
      <c r="F332" s="36" t="s">
        <v>303</v>
      </c>
      <c r="G332" s="37">
        <v>191412500</v>
      </c>
      <c r="H332" s="37">
        <v>22969500</v>
      </c>
      <c r="I332" s="38">
        <f t="shared" si="100"/>
        <v>0.12</v>
      </c>
      <c r="J332" s="38">
        <f t="shared" si="96"/>
        <v>0.13636363636363635</v>
      </c>
      <c r="K332" s="37">
        <v>146643444</v>
      </c>
      <c r="L332" s="37">
        <f t="shared" si="99"/>
        <v>17597213</v>
      </c>
      <c r="M332" s="39">
        <v>0</v>
      </c>
      <c r="N332" s="37">
        <f t="shared" si="97"/>
        <v>17597213</v>
      </c>
      <c r="O332" s="40">
        <f t="shared" si="93"/>
        <v>7038885</v>
      </c>
      <c r="P332" s="41" t="s">
        <v>291</v>
      </c>
      <c r="Q332" s="55"/>
      <c r="R332" s="42">
        <f t="shared" si="88"/>
        <v>10558328</v>
      </c>
      <c r="S332" s="55"/>
      <c r="T332" s="55"/>
      <c r="U332" s="55"/>
      <c r="V332" s="34" t="s">
        <v>261</v>
      </c>
      <c r="W332" s="43">
        <v>44605</v>
      </c>
      <c r="X332" s="44" t="s">
        <v>273</v>
      </c>
    </row>
    <row r="333" spans="1:24" ht="17.45" customHeight="1" x14ac:dyDescent="0.25">
      <c r="A333" t="str">
        <f t="shared" si="98"/>
        <v>291090623325905039</v>
      </c>
      <c r="B333" s="6">
        <f t="shared" si="94"/>
        <v>45163</v>
      </c>
      <c r="C333" s="3">
        <f t="shared" si="95"/>
        <v>47708250</v>
      </c>
      <c r="D333" s="34">
        <v>2016</v>
      </c>
      <c r="E333" s="35">
        <v>2910906233</v>
      </c>
      <c r="F333" s="36" t="s">
        <v>304</v>
      </c>
      <c r="G333" s="37">
        <v>801237000</v>
      </c>
      <c r="H333" s="37">
        <v>85846821</v>
      </c>
      <c r="I333" s="38">
        <f t="shared" si="100"/>
        <v>0.10714285660796993</v>
      </c>
      <c r="J333" s="38">
        <f t="shared" si="96"/>
        <v>0.11999999932903747</v>
      </c>
      <c r="K333" s="37">
        <v>241780363</v>
      </c>
      <c r="L333" s="37">
        <f t="shared" si="99"/>
        <v>25905039</v>
      </c>
      <c r="M333" s="39">
        <v>0</v>
      </c>
      <c r="N333" s="37">
        <f t="shared" si="97"/>
        <v>25905039</v>
      </c>
      <c r="O333" s="40">
        <f t="shared" si="93"/>
        <v>10362016</v>
      </c>
      <c r="P333" s="41" t="s">
        <v>291</v>
      </c>
      <c r="Q333" s="55"/>
      <c r="R333" s="42">
        <f t="shared" si="88"/>
        <v>15543023</v>
      </c>
      <c r="S333" s="55"/>
      <c r="T333" s="55"/>
      <c r="U333" s="55"/>
      <c r="V333" s="34" t="s">
        <v>261</v>
      </c>
      <c r="W333" s="43"/>
      <c r="X333" s="44"/>
    </row>
    <row r="334" spans="1:24" ht="17.45" customHeight="1" x14ac:dyDescent="0.25">
      <c r="A334" t="str">
        <f t="shared" si="98"/>
        <v>29109067604497110178486</v>
      </c>
      <c r="B334" s="6">
        <f t="shared" si="94"/>
        <v>44971</v>
      </c>
      <c r="C334" s="3">
        <f t="shared" si="95"/>
        <v>10178486</v>
      </c>
      <c r="D334" s="34">
        <v>2021</v>
      </c>
      <c r="E334" s="35">
        <v>2910906760</v>
      </c>
      <c r="F334" s="36" t="s">
        <v>214</v>
      </c>
      <c r="G334" s="37">
        <v>94999200</v>
      </c>
      <c r="H334" s="37">
        <v>10178486</v>
      </c>
      <c r="I334" s="38">
        <f>+H334/G334</f>
        <v>0.10714286015040127</v>
      </c>
      <c r="J334" s="38">
        <f t="shared" si="96"/>
        <v>0.12000000377266336</v>
      </c>
      <c r="K334" s="37">
        <v>94999200</v>
      </c>
      <c r="L334" s="37">
        <f t="shared" si="99"/>
        <v>10178486</v>
      </c>
      <c r="M334" s="39">
        <f>L166</f>
        <v>9119915</v>
      </c>
      <c r="N334" s="37">
        <f t="shared" si="97"/>
        <v>1058571</v>
      </c>
      <c r="O334" s="40">
        <f t="shared" si="93"/>
        <v>423428</v>
      </c>
      <c r="P334" s="41" t="s">
        <v>291</v>
      </c>
      <c r="Q334" s="55"/>
      <c r="R334" s="42">
        <f t="shared" si="88"/>
        <v>635143</v>
      </c>
      <c r="S334" s="55"/>
      <c r="T334" s="55"/>
      <c r="U334" s="55"/>
      <c r="V334" s="34" t="s">
        <v>261</v>
      </c>
      <c r="W334" s="43">
        <v>44971</v>
      </c>
      <c r="X334" s="44" t="s">
        <v>305</v>
      </c>
    </row>
    <row r="335" spans="1:24" ht="17.45" customHeight="1" x14ac:dyDescent="0.25">
      <c r="A335" t="str">
        <f t="shared" si="98"/>
        <v>2910908007562982</v>
      </c>
      <c r="B335" s="6">
        <f t="shared" si="94"/>
        <v>0</v>
      </c>
      <c r="C335" s="3">
        <f t="shared" si="95"/>
        <v>562982</v>
      </c>
      <c r="D335" s="34">
        <v>2022</v>
      </c>
      <c r="E335" s="35">
        <v>2910908007</v>
      </c>
      <c r="F335" s="36" t="s">
        <v>306</v>
      </c>
      <c r="G335" s="37">
        <v>5254500</v>
      </c>
      <c r="H335" s="37">
        <v>562982</v>
      </c>
      <c r="I335" s="38">
        <f>H335/G335</f>
        <v>0.10714282995527644</v>
      </c>
      <c r="J335" s="38">
        <f t="shared" si="96"/>
        <v>0.11999996589589979</v>
      </c>
      <c r="K335" s="37">
        <v>5254500</v>
      </c>
      <c r="L335" s="37">
        <f t="shared" si="99"/>
        <v>562982</v>
      </c>
      <c r="M335" s="39">
        <v>0</v>
      </c>
      <c r="N335" s="37">
        <f t="shared" si="97"/>
        <v>562982</v>
      </c>
      <c r="O335" s="40">
        <f t="shared" si="93"/>
        <v>225193</v>
      </c>
      <c r="P335" s="41" t="s">
        <v>291</v>
      </c>
      <c r="Q335" s="55"/>
      <c r="R335" s="42">
        <f t="shared" si="88"/>
        <v>337789</v>
      </c>
      <c r="S335" s="55"/>
      <c r="T335" s="55"/>
      <c r="U335" s="55"/>
      <c r="V335" s="34" t="s">
        <v>261</v>
      </c>
      <c r="W335" s="43"/>
      <c r="X335" s="44"/>
    </row>
    <row r="336" spans="1:24" ht="17.45" customHeight="1" x14ac:dyDescent="0.25">
      <c r="A336" t="str">
        <f t="shared" si="98"/>
        <v>2910908016292004</v>
      </c>
      <c r="B336" s="6">
        <f t="shared" si="94"/>
        <v>45099</v>
      </c>
      <c r="C336" s="3">
        <f t="shared" si="95"/>
        <v>684000</v>
      </c>
      <c r="D336" s="34">
        <v>2020</v>
      </c>
      <c r="E336" s="35">
        <v>2910908016</v>
      </c>
      <c r="F336" s="36" t="s">
        <v>307</v>
      </c>
      <c r="G336" s="37">
        <v>25096800</v>
      </c>
      <c r="H336" s="37">
        <v>684000</v>
      </c>
      <c r="I336" s="38">
        <f>H336/G336</f>
        <v>2.7254470689490294E-2</v>
      </c>
      <c r="J336" s="38">
        <f t="shared" si="96"/>
        <v>2.8018088871411717E-2</v>
      </c>
      <c r="K336" s="37">
        <v>10713990</v>
      </c>
      <c r="L336" s="37">
        <f t="shared" si="99"/>
        <v>292004</v>
      </c>
      <c r="M336" s="39">
        <v>0</v>
      </c>
      <c r="N336" s="37">
        <f t="shared" si="97"/>
        <v>292004</v>
      </c>
      <c r="O336" s="40">
        <f t="shared" si="93"/>
        <v>116802</v>
      </c>
      <c r="P336" s="41" t="s">
        <v>291</v>
      </c>
      <c r="Q336" s="55"/>
      <c r="R336" s="42">
        <f t="shared" si="88"/>
        <v>175202</v>
      </c>
      <c r="S336" s="55"/>
      <c r="T336" s="55"/>
      <c r="U336" s="55"/>
      <c r="V336" s="34" t="s">
        <v>261</v>
      </c>
      <c r="W336" s="43"/>
      <c r="X336" s="44"/>
    </row>
    <row r="337" spans="1:24" ht="17.45" customHeight="1" x14ac:dyDescent="0.25">
      <c r="A337" t="str">
        <f t="shared" si="98"/>
        <v>29109080341140000</v>
      </c>
      <c r="B337" s="6">
        <f t="shared" si="94"/>
        <v>0</v>
      </c>
      <c r="C337" s="3">
        <f t="shared" si="95"/>
        <v>1140000</v>
      </c>
      <c r="D337" s="34">
        <v>2022</v>
      </c>
      <c r="E337" s="35">
        <v>2910908034</v>
      </c>
      <c r="F337" s="36" t="s">
        <v>308</v>
      </c>
      <c r="G337" s="37">
        <v>10640000</v>
      </c>
      <c r="H337" s="37">
        <v>1140000</v>
      </c>
      <c r="I337" s="38">
        <f>H337/G337</f>
        <v>0.10714285714285714</v>
      </c>
      <c r="J337" s="38">
        <f t="shared" si="96"/>
        <v>0.12</v>
      </c>
      <c r="K337" s="37">
        <v>10640000</v>
      </c>
      <c r="L337" s="37">
        <f t="shared" si="99"/>
        <v>1140000</v>
      </c>
      <c r="M337" s="39">
        <v>0</v>
      </c>
      <c r="N337" s="37">
        <f t="shared" si="97"/>
        <v>1140000</v>
      </c>
      <c r="O337" s="40">
        <f t="shared" si="93"/>
        <v>456000</v>
      </c>
      <c r="P337" s="41" t="s">
        <v>291</v>
      </c>
      <c r="Q337" s="55"/>
      <c r="R337" s="42">
        <f t="shared" si="88"/>
        <v>684000</v>
      </c>
      <c r="S337" s="55"/>
      <c r="T337" s="55"/>
      <c r="U337" s="55"/>
      <c r="V337" s="34" t="s">
        <v>261</v>
      </c>
      <c r="W337" s="43"/>
      <c r="X337" s="44"/>
    </row>
    <row r="338" spans="1:24" ht="17.45" customHeight="1" x14ac:dyDescent="0.25">
      <c r="A338" t="str">
        <f t="shared" si="98"/>
        <v>2910907203449796165009</v>
      </c>
      <c r="B338" s="6">
        <f t="shared" si="94"/>
        <v>45098</v>
      </c>
      <c r="C338" s="3">
        <f t="shared" si="95"/>
        <v>9552600</v>
      </c>
      <c r="D338" s="34">
        <v>2022</v>
      </c>
      <c r="E338" s="35" t="s">
        <v>309</v>
      </c>
      <c r="F338" s="36" t="s">
        <v>310</v>
      </c>
      <c r="G338" s="37">
        <v>89157600</v>
      </c>
      <c r="H338" s="37">
        <v>9552600</v>
      </c>
      <c r="I338" s="38">
        <f>H338/G338</f>
        <v>0.10714285714285714</v>
      </c>
      <c r="J338" s="38">
        <f t="shared" si="96"/>
        <v>0.12</v>
      </c>
      <c r="K338" s="37">
        <v>57540080</v>
      </c>
      <c r="L338" s="37">
        <f t="shared" si="99"/>
        <v>6165009</v>
      </c>
      <c r="M338" s="39">
        <v>0</v>
      </c>
      <c r="N338" s="37">
        <f t="shared" si="97"/>
        <v>6165009</v>
      </c>
      <c r="O338" s="40">
        <f t="shared" si="93"/>
        <v>2466004</v>
      </c>
      <c r="P338" s="41" t="s">
        <v>291</v>
      </c>
      <c r="Q338" s="55"/>
      <c r="R338" s="42">
        <f t="shared" si="88"/>
        <v>3699005</v>
      </c>
      <c r="S338" s="55"/>
      <c r="T338" s="55"/>
      <c r="U338" s="55"/>
      <c r="V338" s="34" t="s">
        <v>261</v>
      </c>
      <c r="W338" s="43">
        <v>44979</v>
      </c>
      <c r="X338" s="44" t="s">
        <v>273</v>
      </c>
    </row>
    <row r="339" spans="1:24" ht="17.45" customHeight="1" x14ac:dyDescent="0.25">
      <c r="A339" t="str">
        <f t="shared" si="98"/>
        <v>24530183364497932040386</v>
      </c>
      <c r="B339" s="6">
        <f t="shared" si="94"/>
        <v>45070</v>
      </c>
      <c r="C339" s="3">
        <f t="shared" si="95"/>
        <v>74596391</v>
      </c>
      <c r="D339" s="34">
        <v>2022</v>
      </c>
      <c r="E339" s="35">
        <v>2453018336</v>
      </c>
      <c r="F339" s="36" t="s">
        <v>266</v>
      </c>
      <c r="G339" s="37">
        <v>696232978</v>
      </c>
      <c r="H339" s="37">
        <v>74596391</v>
      </c>
      <c r="I339" s="38">
        <f>+H339/G339</f>
        <v>0.10714285786100755</v>
      </c>
      <c r="J339" s="38">
        <f t="shared" si="96"/>
        <v>0.12000000090084788</v>
      </c>
      <c r="K339" s="37">
        <v>299043602</v>
      </c>
      <c r="L339" s="37">
        <f t="shared" si="99"/>
        <v>32040386</v>
      </c>
      <c r="M339" s="39">
        <v>26805941</v>
      </c>
      <c r="N339" s="37">
        <f t="shared" si="97"/>
        <v>5234445</v>
      </c>
      <c r="O339" s="40">
        <f t="shared" si="93"/>
        <v>2093778</v>
      </c>
      <c r="P339" s="41" t="s">
        <v>291</v>
      </c>
      <c r="Q339" s="55"/>
      <c r="R339" s="42">
        <f t="shared" si="88"/>
        <v>3140667</v>
      </c>
      <c r="S339" s="55"/>
      <c r="T339" s="55"/>
      <c r="U339" s="55"/>
      <c r="V339" s="34" t="s">
        <v>261</v>
      </c>
      <c r="W339" s="43">
        <v>44979</v>
      </c>
      <c r="X339" s="44" t="s">
        <v>273</v>
      </c>
    </row>
    <row r="340" spans="1:24" ht="17.45" customHeight="1" x14ac:dyDescent="0.25">
      <c r="A340" t="str">
        <f t="shared" si="98"/>
        <v>291090679044979122655661</v>
      </c>
      <c r="B340" s="6">
        <f t="shared" si="94"/>
        <v>45064</v>
      </c>
      <c r="C340" s="3">
        <f t="shared" si="95"/>
        <v>163276433</v>
      </c>
      <c r="D340" s="34">
        <v>2022</v>
      </c>
      <c r="E340" s="35">
        <v>2910906790</v>
      </c>
      <c r="F340" s="36" t="s">
        <v>257</v>
      </c>
      <c r="G340" s="37">
        <v>1523800000</v>
      </c>
      <c r="H340" s="37">
        <v>163276433</v>
      </c>
      <c r="I340" s="38">
        <f>+H340/G340</f>
        <v>0.1071508288489303</v>
      </c>
      <c r="J340" s="38">
        <f t="shared" si="96"/>
        <v>0.12000999979737947</v>
      </c>
      <c r="K340" s="37">
        <v>1144701000</v>
      </c>
      <c r="L340" s="37">
        <f t="shared" si="99"/>
        <v>122655661</v>
      </c>
      <c r="M340" s="39">
        <v>118506245</v>
      </c>
      <c r="N340" s="37">
        <f t="shared" si="97"/>
        <v>4149416</v>
      </c>
      <c r="O340" s="40">
        <f t="shared" si="93"/>
        <v>1659766</v>
      </c>
      <c r="P340" s="41" t="s">
        <v>291</v>
      </c>
      <c r="Q340" s="55"/>
      <c r="R340" s="42">
        <f t="shared" si="88"/>
        <v>2489650</v>
      </c>
      <c r="S340" s="55"/>
      <c r="T340" s="55"/>
      <c r="U340" s="55"/>
      <c r="V340" s="34" t="s">
        <v>261</v>
      </c>
      <c r="W340" s="43">
        <v>44979</v>
      </c>
      <c r="X340" s="44" t="s">
        <v>273</v>
      </c>
    </row>
    <row r="341" spans="1:24" ht="17.45" customHeight="1" x14ac:dyDescent="0.25">
      <c r="A341" t="str">
        <f t="shared" si="98"/>
        <v>291090833923571429</v>
      </c>
      <c r="B341" s="6">
        <f t="shared" si="94"/>
        <v>45132</v>
      </c>
      <c r="C341" s="3">
        <f t="shared" si="95"/>
        <v>52255649</v>
      </c>
      <c r="D341" s="34">
        <v>2022</v>
      </c>
      <c r="E341" s="35">
        <v>2910908339</v>
      </c>
      <c r="F341" s="36" t="s">
        <v>311</v>
      </c>
      <c r="G341" s="37">
        <v>492800000</v>
      </c>
      <c r="H341" s="37">
        <v>52800000</v>
      </c>
      <c r="I341" s="38">
        <f>+H341/G341</f>
        <v>0.10714285714285714</v>
      </c>
      <c r="J341" s="38">
        <f t="shared" si="96"/>
        <v>0.12</v>
      </c>
      <c r="K341" s="37">
        <v>220000000</v>
      </c>
      <c r="L341" s="37">
        <f t="shared" si="99"/>
        <v>23571429</v>
      </c>
      <c r="M341" s="39"/>
      <c r="N341" s="37">
        <f t="shared" si="97"/>
        <v>23571429</v>
      </c>
      <c r="O341" s="40">
        <f t="shared" si="93"/>
        <v>9428572</v>
      </c>
      <c r="P341" s="41" t="s">
        <v>291</v>
      </c>
      <c r="Q341" s="55"/>
      <c r="R341" s="42">
        <f t="shared" si="88"/>
        <v>14142857</v>
      </c>
      <c r="S341" s="55"/>
      <c r="T341" s="55"/>
      <c r="U341" s="55"/>
      <c r="V341" s="34" t="s">
        <v>261</v>
      </c>
      <c r="W341" s="43"/>
      <c r="X341" s="44"/>
    </row>
    <row r="342" spans="1:24" ht="17.45" customHeight="1" x14ac:dyDescent="0.25">
      <c r="A342" t="str">
        <f t="shared" si="98"/>
        <v>29109067874496711747745</v>
      </c>
      <c r="B342" s="6">
        <f t="shared" si="94"/>
        <v>45498</v>
      </c>
      <c r="C342" s="3">
        <f t="shared" si="95"/>
        <v>15148141.171637964</v>
      </c>
      <c r="D342" s="34">
        <v>2022</v>
      </c>
      <c r="E342" s="35">
        <v>2910906787</v>
      </c>
      <c r="F342" s="36" t="s">
        <v>248</v>
      </c>
      <c r="G342" s="37">
        <v>120252560</v>
      </c>
      <c r="H342" s="37">
        <v>12884203</v>
      </c>
      <c r="I342" s="38">
        <f t="shared" ref="I342:I349" si="101">H342/G342</f>
        <v>0.10714285833083304</v>
      </c>
      <c r="J342" s="38">
        <f t="shared" si="96"/>
        <v>0.12000000149019696</v>
      </c>
      <c r="K342" s="37">
        <v>109645620</v>
      </c>
      <c r="L342" s="37">
        <f t="shared" si="99"/>
        <v>11747745</v>
      </c>
      <c r="M342" s="39">
        <f>L328</f>
        <v>9367997</v>
      </c>
      <c r="N342" s="37">
        <f t="shared" si="97"/>
        <v>2379748</v>
      </c>
      <c r="O342" s="40">
        <f t="shared" si="93"/>
        <v>951899</v>
      </c>
      <c r="P342" s="41" t="s">
        <v>291</v>
      </c>
      <c r="Q342" s="55"/>
      <c r="R342" s="42">
        <f t="shared" si="88"/>
        <v>1427849</v>
      </c>
      <c r="S342" s="55"/>
      <c r="T342" s="55"/>
      <c r="U342" s="55"/>
      <c r="V342" s="34" t="s">
        <v>261</v>
      </c>
      <c r="W342" s="43">
        <v>44967</v>
      </c>
      <c r="X342" s="44" t="s">
        <v>273</v>
      </c>
    </row>
    <row r="343" spans="1:24" ht="17.45" customHeight="1" x14ac:dyDescent="0.25">
      <c r="A343" t="str">
        <f t="shared" si="98"/>
        <v>29109072051354286</v>
      </c>
      <c r="B343" s="6">
        <f t="shared" si="94"/>
        <v>0</v>
      </c>
      <c r="C343" s="3">
        <f t="shared" si="95"/>
        <v>1354286</v>
      </c>
      <c r="D343" s="34">
        <v>2022</v>
      </c>
      <c r="E343" s="35">
        <v>2910907205</v>
      </c>
      <c r="F343" s="36" t="s">
        <v>312</v>
      </c>
      <c r="G343" s="37">
        <v>15000000</v>
      </c>
      <c r="H343" s="37">
        <v>1607143</v>
      </c>
      <c r="I343" s="38">
        <f t="shared" si="101"/>
        <v>0.10714286666666667</v>
      </c>
      <c r="J343" s="38">
        <f t="shared" si="96"/>
        <v>0.12000001194666679</v>
      </c>
      <c r="K343" s="37">
        <v>12640000</v>
      </c>
      <c r="L343" s="37">
        <f t="shared" si="99"/>
        <v>1354286</v>
      </c>
      <c r="M343" s="39">
        <v>0</v>
      </c>
      <c r="N343" s="37">
        <f t="shared" si="97"/>
        <v>1354286</v>
      </c>
      <c r="O343" s="40">
        <f t="shared" si="93"/>
        <v>541714</v>
      </c>
      <c r="P343" s="41" t="s">
        <v>291</v>
      </c>
      <c r="Q343" s="55"/>
      <c r="R343" s="42">
        <f t="shared" si="88"/>
        <v>812572</v>
      </c>
      <c r="S343" s="55"/>
      <c r="T343" s="55"/>
      <c r="U343" s="55"/>
      <c r="V343" s="34" t="s">
        <v>261</v>
      </c>
      <c r="W343" s="43"/>
      <c r="X343" s="44"/>
    </row>
    <row r="344" spans="1:24" ht="17.45" customHeight="1" x14ac:dyDescent="0.25">
      <c r="A344" t="str">
        <f t="shared" si="98"/>
        <v>29109072061280049</v>
      </c>
      <c r="B344" s="6">
        <f t="shared" si="94"/>
        <v>0</v>
      </c>
      <c r="C344" s="3">
        <f t="shared" si="95"/>
        <v>1280049</v>
      </c>
      <c r="D344" s="34">
        <v>2022</v>
      </c>
      <c r="E344" s="35">
        <v>2910907206</v>
      </c>
      <c r="F344" s="36" t="s">
        <v>313</v>
      </c>
      <c r="G344" s="37">
        <v>15000000</v>
      </c>
      <c r="H344" s="37">
        <v>1607143</v>
      </c>
      <c r="I344" s="38">
        <f t="shared" si="101"/>
        <v>0.10714286666666667</v>
      </c>
      <c r="J344" s="38">
        <f t="shared" si="96"/>
        <v>0.12000001194666679</v>
      </c>
      <c r="K344" s="37">
        <v>11947120</v>
      </c>
      <c r="L344" s="37">
        <f t="shared" si="99"/>
        <v>1280049</v>
      </c>
      <c r="M344" s="39">
        <v>0</v>
      </c>
      <c r="N344" s="37">
        <f t="shared" si="97"/>
        <v>1280049</v>
      </c>
      <c r="O344" s="40">
        <f t="shared" si="93"/>
        <v>512020</v>
      </c>
      <c r="P344" s="41" t="s">
        <v>291</v>
      </c>
      <c r="Q344" s="55"/>
      <c r="R344" s="42">
        <f t="shared" si="88"/>
        <v>768029</v>
      </c>
      <c r="S344" s="55"/>
      <c r="T344" s="55"/>
      <c r="U344" s="55"/>
      <c r="V344" s="34" t="s">
        <v>261</v>
      </c>
      <c r="W344" s="43"/>
      <c r="X344" s="44"/>
    </row>
    <row r="345" spans="1:24" ht="17.45" customHeight="1" x14ac:dyDescent="0.25">
      <c r="A345" t="str">
        <f t="shared" si="98"/>
        <v>29109072071225714</v>
      </c>
      <c r="B345" s="6">
        <f t="shared" si="94"/>
        <v>45007</v>
      </c>
      <c r="C345" s="3">
        <f t="shared" si="95"/>
        <v>1607143</v>
      </c>
      <c r="D345" s="34">
        <v>2022</v>
      </c>
      <c r="E345" s="35">
        <v>2910907207</v>
      </c>
      <c r="F345" s="36" t="s">
        <v>314</v>
      </c>
      <c r="G345" s="37">
        <v>15000000</v>
      </c>
      <c r="H345" s="37">
        <v>1607143</v>
      </c>
      <c r="I345" s="38">
        <f t="shared" si="101"/>
        <v>0.10714286666666667</v>
      </c>
      <c r="J345" s="38">
        <f t="shared" si="96"/>
        <v>0.12000001194666679</v>
      </c>
      <c r="K345" s="37">
        <v>11440000</v>
      </c>
      <c r="L345" s="37">
        <f t="shared" si="99"/>
        <v>1225714</v>
      </c>
      <c r="M345" s="39">
        <v>0</v>
      </c>
      <c r="N345" s="37">
        <f t="shared" si="97"/>
        <v>1225714</v>
      </c>
      <c r="O345" s="40">
        <f t="shared" si="93"/>
        <v>490286</v>
      </c>
      <c r="P345" s="41" t="s">
        <v>291</v>
      </c>
      <c r="Q345" s="55"/>
      <c r="R345" s="42">
        <f t="shared" si="88"/>
        <v>735428</v>
      </c>
      <c r="S345" s="55"/>
      <c r="T345" s="55"/>
      <c r="U345" s="55"/>
      <c r="V345" s="34" t="s">
        <v>261</v>
      </c>
      <c r="W345" s="43"/>
      <c r="X345" s="44"/>
    </row>
    <row r="346" spans="1:24" ht="17.45" customHeight="1" x14ac:dyDescent="0.25">
      <c r="A346" t="str">
        <f t="shared" si="98"/>
        <v>245301833044966186058547</v>
      </c>
      <c r="B346" s="6">
        <f t="shared" si="94"/>
        <v>45912</v>
      </c>
      <c r="C346" s="3">
        <f t="shared" si="95"/>
        <v>259214159</v>
      </c>
      <c r="D346" s="34">
        <v>2021</v>
      </c>
      <c r="E346" s="35">
        <v>2453018330</v>
      </c>
      <c r="F346" s="36" t="s">
        <v>198</v>
      </c>
      <c r="G346" s="37">
        <v>2419332150</v>
      </c>
      <c r="H346" s="37">
        <v>259214159</v>
      </c>
      <c r="I346" s="38">
        <f t="shared" si="101"/>
        <v>0.10714285717238123</v>
      </c>
      <c r="J346" s="38">
        <f t="shared" si="96"/>
        <v>0.12000000003703501</v>
      </c>
      <c r="K346" s="37">
        <v>1736546439</v>
      </c>
      <c r="L346" s="37">
        <f t="shared" si="99"/>
        <v>186058547</v>
      </c>
      <c r="M346" s="39">
        <f>L324</f>
        <v>175455667</v>
      </c>
      <c r="N346" s="37">
        <f t="shared" si="97"/>
        <v>10602880</v>
      </c>
      <c r="O346" s="40">
        <f t="shared" si="93"/>
        <v>4241152</v>
      </c>
      <c r="P346" s="41" t="s">
        <v>291</v>
      </c>
      <c r="Q346" s="55"/>
      <c r="R346" s="42">
        <f t="shared" si="88"/>
        <v>6361728</v>
      </c>
      <c r="S346" s="55"/>
      <c r="T346" s="55"/>
      <c r="U346" s="55"/>
      <c r="V346" s="34" t="s">
        <v>261</v>
      </c>
      <c r="W346" s="43">
        <v>44966</v>
      </c>
      <c r="X346" s="44" t="s">
        <v>273</v>
      </c>
    </row>
    <row r="347" spans="1:24" ht="17.45" customHeight="1" x14ac:dyDescent="0.25">
      <c r="A347" t="str">
        <f t="shared" si="98"/>
        <v>23530183374499266099953</v>
      </c>
      <c r="B347" s="6">
        <f t="shared" si="94"/>
        <v>45071</v>
      </c>
      <c r="C347" s="3">
        <f t="shared" si="95"/>
        <v>112677827</v>
      </c>
      <c r="D347" s="34">
        <v>2022</v>
      </c>
      <c r="E347" s="35">
        <v>2353018337</v>
      </c>
      <c r="F347" s="36" t="s">
        <v>279</v>
      </c>
      <c r="G347" s="37">
        <v>1746041438</v>
      </c>
      <c r="H347" s="37">
        <v>187075868</v>
      </c>
      <c r="I347" s="38">
        <f t="shared" si="101"/>
        <v>0.10714285693831282</v>
      </c>
      <c r="J347" s="38">
        <f t="shared" si="96"/>
        <v>0.1199999997434196</v>
      </c>
      <c r="K347" s="37">
        <v>616932899</v>
      </c>
      <c r="L347" s="37">
        <f t="shared" si="99"/>
        <v>66099953</v>
      </c>
      <c r="M347" s="39">
        <v>33780311</v>
      </c>
      <c r="N347" s="37">
        <f t="shared" si="97"/>
        <v>32319642</v>
      </c>
      <c r="O347" s="40">
        <f t="shared" si="93"/>
        <v>12927857</v>
      </c>
      <c r="P347" s="41" t="s">
        <v>291</v>
      </c>
      <c r="Q347" s="55">
        <v>2202</v>
      </c>
      <c r="R347" s="42">
        <f t="shared" si="88"/>
        <v>19391785</v>
      </c>
      <c r="S347" s="55">
        <v>2203</v>
      </c>
      <c r="T347" s="55">
        <v>609</v>
      </c>
      <c r="U347" s="55">
        <v>1012</v>
      </c>
      <c r="V347" s="34" t="s">
        <v>261</v>
      </c>
      <c r="W347" s="43">
        <v>44992</v>
      </c>
      <c r="X347" s="44" t="s">
        <v>280</v>
      </c>
    </row>
    <row r="348" spans="1:24" ht="17.45" customHeight="1" x14ac:dyDescent="0.25">
      <c r="A348" t="str">
        <f t="shared" si="98"/>
        <v>29109067964499256816850</v>
      </c>
      <c r="B348" s="6">
        <f t="shared" si="94"/>
        <v>45132</v>
      </c>
      <c r="C348" s="3">
        <f t="shared" si="95"/>
        <v>212245679</v>
      </c>
      <c r="D348" s="34">
        <v>2022</v>
      </c>
      <c r="E348" s="35">
        <v>2910906796</v>
      </c>
      <c r="F348" s="36" t="s">
        <v>296</v>
      </c>
      <c r="G348" s="37">
        <v>1980959670</v>
      </c>
      <c r="H348" s="37">
        <v>212245679</v>
      </c>
      <c r="I348" s="38">
        <f t="shared" si="101"/>
        <v>0.1071428571789147</v>
      </c>
      <c r="J348" s="38">
        <f t="shared" si="96"/>
        <v>0.12000000004523061</v>
      </c>
      <c r="K348" s="37">
        <v>530290600</v>
      </c>
      <c r="L348" s="37">
        <f t="shared" si="99"/>
        <v>56816850</v>
      </c>
      <c r="M348" s="39">
        <v>38363002</v>
      </c>
      <c r="N348" s="37">
        <f t="shared" si="97"/>
        <v>18453848</v>
      </c>
      <c r="O348" s="40">
        <f t="shared" si="93"/>
        <v>7381539</v>
      </c>
      <c r="P348" s="41" t="s">
        <v>291</v>
      </c>
      <c r="Q348" s="55">
        <v>2204</v>
      </c>
      <c r="R348" s="42">
        <f t="shared" si="88"/>
        <v>11072309</v>
      </c>
      <c r="S348" s="55">
        <v>2205</v>
      </c>
      <c r="T348" s="55">
        <v>610</v>
      </c>
      <c r="U348" s="55">
        <v>1013</v>
      </c>
      <c r="V348" s="34" t="s">
        <v>261</v>
      </c>
      <c r="W348" s="43">
        <v>44992</v>
      </c>
      <c r="X348" s="44" t="s">
        <v>273</v>
      </c>
    </row>
    <row r="349" spans="1:24" ht="17.45" customHeight="1" x14ac:dyDescent="0.25">
      <c r="A349" t="str">
        <f t="shared" si="98"/>
        <v>2910907210449922528571</v>
      </c>
      <c r="B349" s="6">
        <f t="shared" si="94"/>
        <v>45125</v>
      </c>
      <c r="C349" s="3">
        <f t="shared" si="95"/>
        <v>12150000</v>
      </c>
      <c r="D349" s="34">
        <v>2022</v>
      </c>
      <c r="E349" s="35">
        <v>2910907210</v>
      </c>
      <c r="F349" s="36" t="s">
        <v>315</v>
      </c>
      <c r="G349" s="37">
        <v>126000000</v>
      </c>
      <c r="H349" s="37">
        <v>13500000</v>
      </c>
      <c r="I349" s="38">
        <f t="shared" si="101"/>
        <v>0.10714285714285714</v>
      </c>
      <c r="J349" s="38">
        <f t="shared" si="96"/>
        <v>0.12</v>
      </c>
      <c r="K349" s="37">
        <v>23600000</v>
      </c>
      <c r="L349" s="37">
        <f t="shared" si="99"/>
        <v>2528571</v>
      </c>
      <c r="M349" s="39">
        <v>0</v>
      </c>
      <c r="N349" s="37">
        <f t="shared" si="97"/>
        <v>2528571</v>
      </c>
      <c r="O349" s="40">
        <f t="shared" si="93"/>
        <v>1011428</v>
      </c>
      <c r="P349" s="41" t="s">
        <v>291</v>
      </c>
      <c r="Q349" s="55">
        <v>2206</v>
      </c>
      <c r="R349" s="42">
        <f t="shared" si="88"/>
        <v>1517143</v>
      </c>
      <c r="S349" s="55">
        <v>2207</v>
      </c>
      <c r="T349" s="55">
        <v>611</v>
      </c>
      <c r="U349" s="55">
        <v>1014</v>
      </c>
      <c r="V349" s="34" t="s">
        <v>261</v>
      </c>
      <c r="W349" s="43">
        <v>44992</v>
      </c>
      <c r="X349" s="44" t="s">
        <v>273</v>
      </c>
    </row>
    <row r="350" spans="1:24" ht="17.45" customHeight="1" x14ac:dyDescent="0.25">
      <c r="A350" t="str">
        <f t="shared" si="98"/>
        <v>245301833242632232</v>
      </c>
      <c r="B350" s="6">
        <f t="shared" si="94"/>
        <v>45316</v>
      </c>
      <c r="C350" s="3">
        <f t="shared" si="95"/>
        <v>106373215</v>
      </c>
      <c r="D350" s="34">
        <v>2021</v>
      </c>
      <c r="E350" s="35">
        <v>2453018332</v>
      </c>
      <c r="F350" s="36" t="s">
        <v>267</v>
      </c>
      <c r="G350" s="37">
        <v>1548681070</v>
      </c>
      <c r="H350" s="37">
        <v>165930115</v>
      </c>
      <c r="I350" s="38">
        <f>+H350/G350</f>
        <v>0.10714285737346813</v>
      </c>
      <c r="J350" s="38">
        <f t="shared" si="96"/>
        <v>0.12000000028927842</v>
      </c>
      <c r="K350" s="37">
        <v>397900833</v>
      </c>
      <c r="L350" s="37">
        <f t="shared" si="99"/>
        <v>42632232</v>
      </c>
      <c r="M350" s="39">
        <v>35067235</v>
      </c>
      <c r="N350" s="37">
        <f t="shared" si="97"/>
        <v>7564997</v>
      </c>
      <c r="O350" s="40">
        <f t="shared" si="93"/>
        <v>3025999</v>
      </c>
      <c r="P350" s="41" t="s">
        <v>291</v>
      </c>
      <c r="Q350" s="55">
        <v>2200</v>
      </c>
      <c r="R350" s="42">
        <f t="shared" si="88"/>
        <v>4538998</v>
      </c>
      <c r="S350" s="55">
        <v>2201</v>
      </c>
      <c r="T350" s="55">
        <v>608</v>
      </c>
      <c r="U350" s="55">
        <v>1011</v>
      </c>
      <c r="V350" s="34" t="s">
        <v>261</v>
      </c>
      <c r="W350" s="43"/>
      <c r="X350" s="44" t="s">
        <v>273</v>
      </c>
    </row>
    <row r="351" spans="1:24" ht="17.45" customHeight="1" x14ac:dyDescent="0.25">
      <c r="A351" t="str">
        <f t="shared" si="98"/>
        <v>291090721215360139</v>
      </c>
      <c r="B351" s="6">
        <f t="shared" si="94"/>
        <v>45244</v>
      </c>
      <c r="C351" s="3">
        <f t="shared" si="95"/>
        <v>89501786</v>
      </c>
      <c r="D351" s="34">
        <v>2022</v>
      </c>
      <c r="E351" s="35">
        <v>2910907212</v>
      </c>
      <c r="F351" s="36" t="s">
        <v>316</v>
      </c>
      <c r="G351" s="37">
        <v>835350000</v>
      </c>
      <c r="H351" s="37">
        <v>89501786</v>
      </c>
      <c r="I351" s="38">
        <f>+H351/G351</f>
        <v>0.10714285748488657</v>
      </c>
      <c r="J351" s="38">
        <f t="shared" si="96"/>
        <v>0.12000000042904171</v>
      </c>
      <c r="K351" s="37">
        <v>143361300</v>
      </c>
      <c r="L351" s="37">
        <f t="shared" si="99"/>
        <v>15360139</v>
      </c>
      <c r="M351" s="39">
        <v>0</v>
      </c>
      <c r="N351" s="37">
        <f t="shared" si="97"/>
        <v>15360139</v>
      </c>
      <c r="O351" s="40">
        <f t="shared" si="93"/>
        <v>6144056</v>
      </c>
      <c r="P351" s="41" t="s">
        <v>291</v>
      </c>
      <c r="Q351" s="55">
        <v>2208</v>
      </c>
      <c r="R351" s="42">
        <f t="shared" si="88"/>
        <v>9216083</v>
      </c>
      <c r="S351" s="55">
        <v>2209</v>
      </c>
      <c r="T351" s="55">
        <v>612</v>
      </c>
      <c r="U351" s="55">
        <v>1015</v>
      </c>
      <c r="V351" s="34" t="s">
        <v>261</v>
      </c>
      <c r="W351" s="43"/>
      <c r="X351" s="44"/>
    </row>
    <row r="352" spans="1:24" ht="17.45" customHeight="1" x14ac:dyDescent="0.25">
      <c r="A352" t="str">
        <f t="shared" si="98"/>
        <v>291090640144867548090217</v>
      </c>
      <c r="B352" s="6">
        <f t="shared" si="94"/>
        <v>45957</v>
      </c>
      <c r="C352" s="3">
        <f t="shared" si="95"/>
        <v>678878080.30633903</v>
      </c>
      <c r="D352" s="34">
        <v>2022</v>
      </c>
      <c r="E352" s="35">
        <v>2910906401</v>
      </c>
      <c r="F352" s="36" t="s">
        <v>22</v>
      </c>
      <c r="G352" s="37">
        <v>5701055838</v>
      </c>
      <c r="H352" s="37">
        <v>684126701</v>
      </c>
      <c r="I352" s="38">
        <f>+H352/G352</f>
        <v>0.12000000007717869</v>
      </c>
      <c r="J352" s="38">
        <f t="shared" si="96"/>
        <v>0.13636363646329891</v>
      </c>
      <c r="K352" s="37">
        <v>4567418471</v>
      </c>
      <c r="L352" s="37">
        <f t="shared" si="99"/>
        <v>548090217</v>
      </c>
      <c r="M352" s="39">
        <v>438579185</v>
      </c>
      <c r="N352" s="37">
        <f t="shared" si="97"/>
        <v>109511032</v>
      </c>
      <c r="O352" s="40">
        <f t="shared" si="93"/>
        <v>43804413</v>
      </c>
      <c r="P352" s="41" t="s">
        <v>291</v>
      </c>
      <c r="Q352" s="55">
        <v>2210</v>
      </c>
      <c r="R352" s="42">
        <f t="shared" si="88"/>
        <v>65706619</v>
      </c>
      <c r="S352" s="55">
        <v>2211</v>
      </c>
      <c r="T352" s="55">
        <v>622</v>
      </c>
      <c r="U352" s="55">
        <v>1021</v>
      </c>
      <c r="V352" s="34" t="s">
        <v>261</v>
      </c>
      <c r="W352" s="43">
        <v>44867</v>
      </c>
      <c r="X352" s="44" t="s">
        <v>272</v>
      </c>
    </row>
    <row r="353" spans="1:24" ht="17.45" customHeight="1" x14ac:dyDescent="0.25">
      <c r="A353" t="str">
        <f t="shared" si="98"/>
        <v>29109067894500723723585</v>
      </c>
      <c r="B353" s="6">
        <f t="shared" si="94"/>
        <v>45891</v>
      </c>
      <c r="C353" s="3">
        <f t="shared" si="95"/>
        <v>194667600.36437911</v>
      </c>
      <c r="D353" s="34">
        <v>2022</v>
      </c>
      <c r="E353" s="35">
        <v>2910906789</v>
      </c>
      <c r="F353" s="36" t="s">
        <v>289</v>
      </c>
      <c r="G353" s="37">
        <v>9124262365</v>
      </c>
      <c r="H353" s="37">
        <v>977599539</v>
      </c>
      <c r="I353" s="38">
        <f>+H353/G353</f>
        <v>0.10714285713111452</v>
      </c>
      <c r="J353" s="38">
        <f t="shared" si="96"/>
        <v>0.11999999998527004</v>
      </c>
      <c r="K353" s="37">
        <v>221420130</v>
      </c>
      <c r="L353" s="37">
        <f t="shared" si="99"/>
        <v>23723585</v>
      </c>
      <c r="M353" s="39">
        <v>15241672</v>
      </c>
      <c r="N353" s="37">
        <f t="shared" si="97"/>
        <v>8481913</v>
      </c>
      <c r="O353" s="40">
        <f t="shared" si="93"/>
        <v>3392765</v>
      </c>
      <c r="P353" s="41" t="s">
        <v>291</v>
      </c>
      <c r="Q353" s="55">
        <v>2633</v>
      </c>
      <c r="R353" s="42">
        <f t="shared" si="88"/>
        <v>5089148</v>
      </c>
      <c r="S353" s="55">
        <v>2634</v>
      </c>
      <c r="T353" s="55">
        <v>662</v>
      </c>
      <c r="U353" s="55">
        <v>1138</v>
      </c>
      <c r="V353" s="34" t="s">
        <v>261</v>
      </c>
      <c r="W353" s="43">
        <v>45007</v>
      </c>
      <c r="X353" s="44" t="s">
        <v>273</v>
      </c>
    </row>
    <row r="354" spans="1:24" ht="17.45" customHeight="1" x14ac:dyDescent="0.25">
      <c r="A354" t="str">
        <f t="shared" si="98"/>
        <v>2910907207450071607143</v>
      </c>
      <c r="B354" s="6">
        <f t="shared" si="94"/>
        <v>45007</v>
      </c>
      <c r="C354" s="3">
        <f t="shared" si="95"/>
        <v>1607143</v>
      </c>
      <c r="D354" s="34">
        <v>2022</v>
      </c>
      <c r="E354" s="35">
        <v>2910907207</v>
      </c>
      <c r="F354" s="36" t="s">
        <v>314</v>
      </c>
      <c r="G354" s="37">
        <v>15000000</v>
      </c>
      <c r="H354" s="37">
        <v>1607143</v>
      </c>
      <c r="I354" s="38">
        <f>H354/G354</f>
        <v>0.10714286666666667</v>
      </c>
      <c r="J354" s="38">
        <f t="shared" si="96"/>
        <v>0.12000001194666679</v>
      </c>
      <c r="K354" s="37">
        <v>15000000</v>
      </c>
      <c r="L354" s="37">
        <f t="shared" si="99"/>
        <v>1607143</v>
      </c>
      <c r="M354" s="39">
        <v>1225714</v>
      </c>
      <c r="N354" s="37">
        <f t="shared" ref="N354:N365" si="102">+L354-M354</f>
        <v>381429</v>
      </c>
      <c r="O354" s="40">
        <f t="shared" si="93"/>
        <v>152572</v>
      </c>
      <c r="P354" s="41" t="s">
        <v>291</v>
      </c>
      <c r="Q354" s="55">
        <v>2631</v>
      </c>
      <c r="R354" s="42">
        <f t="shared" ref="R354:R417" si="103">+N354-O354</f>
        <v>228857</v>
      </c>
      <c r="S354" s="55">
        <v>2632</v>
      </c>
      <c r="T354" s="55">
        <v>663</v>
      </c>
      <c r="U354" s="55">
        <v>1137</v>
      </c>
      <c r="V354" s="34" t="s">
        <v>261</v>
      </c>
      <c r="W354" s="43">
        <v>45007</v>
      </c>
      <c r="X354" s="44" t="s">
        <v>273</v>
      </c>
    </row>
    <row r="355" spans="1:24" ht="17.45" customHeight="1" x14ac:dyDescent="0.25">
      <c r="A355" t="str">
        <f t="shared" si="98"/>
        <v>2910907208450071725399</v>
      </c>
      <c r="B355" s="6">
        <f t="shared" si="94"/>
        <v>45132</v>
      </c>
      <c r="C355" s="3">
        <f t="shared" si="95"/>
        <v>5571429</v>
      </c>
      <c r="D355" s="34">
        <v>2022</v>
      </c>
      <c r="E355" s="35">
        <v>2910907208</v>
      </c>
      <c r="F355" s="36" t="s">
        <v>301</v>
      </c>
      <c r="G355" s="37">
        <v>52000000</v>
      </c>
      <c r="H355" s="37">
        <v>5571429</v>
      </c>
      <c r="I355" s="38">
        <f>H355/G355</f>
        <v>0.10714286538461539</v>
      </c>
      <c r="J355" s="38">
        <f t="shared" si="96"/>
        <v>0.12000001033846164</v>
      </c>
      <c r="K355" s="37">
        <v>16103727</v>
      </c>
      <c r="L355" s="37">
        <f t="shared" ref="L355:L386" si="104">ROUND((+K355*I355),0)</f>
        <v>1725399</v>
      </c>
      <c r="M355" s="39">
        <v>667899</v>
      </c>
      <c r="N355" s="37">
        <f t="shared" si="102"/>
        <v>1057500</v>
      </c>
      <c r="O355" s="40">
        <f t="shared" si="93"/>
        <v>423000</v>
      </c>
      <c r="P355" s="41" t="s">
        <v>291</v>
      </c>
      <c r="Q355" s="55">
        <v>2637</v>
      </c>
      <c r="R355" s="42">
        <f t="shared" si="103"/>
        <v>634500</v>
      </c>
      <c r="S355" s="55">
        <v>2638</v>
      </c>
      <c r="T355" s="55">
        <v>664</v>
      </c>
      <c r="U355" s="55">
        <v>1140</v>
      </c>
      <c r="V355" s="34" t="s">
        <v>261</v>
      </c>
      <c r="W355" s="43">
        <v>45007</v>
      </c>
      <c r="X355" s="44" t="s">
        <v>273</v>
      </c>
    </row>
    <row r="356" spans="1:24" ht="17.45" customHeight="1" x14ac:dyDescent="0.25">
      <c r="A356" t="str">
        <f t="shared" si="98"/>
        <v>291090678845007151947437</v>
      </c>
      <c r="B356" s="6">
        <f t="shared" si="94"/>
        <v>45498</v>
      </c>
      <c r="C356" s="3">
        <f t="shared" si="95"/>
        <v>387879629.13729745</v>
      </c>
      <c r="D356" s="34">
        <v>2022</v>
      </c>
      <c r="E356" s="35">
        <v>2910906788</v>
      </c>
      <c r="F356" s="36" t="s">
        <v>270</v>
      </c>
      <c r="G356" s="37">
        <v>2078053077</v>
      </c>
      <c r="H356" s="37">
        <v>222662679</v>
      </c>
      <c r="I356" s="38">
        <f>H356/G356</f>
        <v>0.10714965919997048</v>
      </c>
      <c r="J356" s="38">
        <f t="shared" si="96"/>
        <v>0.12000853256544664</v>
      </c>
      <c r="K356" s="37">
        <v>1418086054</v>
      </c>
      <c r="L356" s="37">
        <f t="shared" si="104"/>
        <v>151947437</v>
      </c>
      <c r="M356" s="39">
        <v>94531844</v>
      </c>
      <c r="N356" s="37">
        <f t="shared" si="102"/>
        <v>57415593</v>
      </c>
      <c r="O356" s="40">
        <f t="shared" si="93"/>
        <v>22966237</v>
      </c>
      <c r="P356" s="41" t="s">
        <v>291</v>
      </c>
      <c r="Q356" s="55">
        <v>2635</v>
      </c>
      <c r="R356" s="42">
        <f t="shared" si="103"/>
        <v>34449356</v>
      </c>
      <c r="S356" s="55">
        <v>2636</v>
      </c>
      <c r="T356" s="55">
        <v>661</v>
      </c>
      <c r="U356" s="55">
        <v>1139</v>
      </c>
      <c r="V356" s="34" t="s">
        <v>261</v>
      </c>
      <c r="W356" s="43">
        <v>45007</v>
      </c>
      <c r="X356" s="44" t="s">
        <v>273</v>
      </c>
    </row>
    <row r="357" spans="1:24" ht="17.45" customHeight="1" x14ac:dyDescent="0.25">
      <c r="A357" t="str">
        <f t="shared" si="98"/>
        <v>24530183354500918689640</v>
      </c>
      <c r="B357" s="6">
        <f t="shared" si="94"/>
        <v>45132</v>
      </c>
      <c r="C357" s="3">
        <f t="shared" si="95"/>
        <v>34971429</v>
      </c>
      <c r="D357" s="34">
        <v>2022</v>
      </c>
      <c r="E357" s="35">
        <v>2453018335</v>
      </c>
      <c r="F357" s="36" t="s">
        <v>285</v>
      </c>
      <c r="G357" s="37">
        <v>326400000</v>
      </c>
      <c r="H357" s="37">
        <v>34971429</v>
      </c>
      <c r="I357" s="38">
        <f>+H357/G357</f>
        <v>0.10714285845588235</v>
      </c>
      <c r="J357" s="38">
        <f t="shared" si="96"/>
        <v>0.12000000164705883</v>
      </c>
      <c r="K357" s="37">
        <v>174436642</v>
      </c>
      <c r="L357" s="37">
        <f t="shared" si="104"/>
        <v>18689640</v>
      </c>
      <c r="M357" s="39">
        <f>M298+N298</f>
        <v>12687040</v>
      </c>
      <c r="N357" s="37">
        <f t="shared" si="102"/>
        <v>6002600</v>
      </c>
      <c r="O357" s="40">
        <f t="shared" si="93"/>
        <v>2401040</v>
      </c>
      <c r="P357" s="41" t="s">
        <v>291</v>
      </c>
      <c r="Q357" s="55"/>
      <c r="R357" s="42">
        <f t="shared" si="103"/>
        <v>3601560</v>
      </c>
      <c r="S357" s="55"/>
      <c r="T357" s="55"/>
      <c r="U357" s="55"/>
      <c r="V357" s="34" t="s">
        <v>261</v>
      </c>
      <c r="W357" s="43">
        <v>45009</v>
      </c>
      <c r="X357" s="44" t="s">
        <v>273</v>
      </c>
    </row>
    <row r="358" spans="1:24" ht="17.45" customHeight="1" x14ac:dyDescent="0.25">
      <c r="A358" t="str">
        <f t="shared" si="98"/>
        <v>29109067584500957026518</v>
      </c>
      <c r="B358" s="6">
        <f t="shared" si="94"/>
        <v>45223</v>
      </c>
      <c r="C358" s="3">
        <f t="shared" si="95"/>
        <v>70798215</v>
      </c>
      <c r="D358" s="34">
        <v>2021</v>
      </c>
      <c r="E358" s="35">
        <v>2910906758</v>
      </c>
      <c r="F358" s="36" t="s">
        <v>297</v>
      </c>
      <c r="G358" s="37">
        <v>660783000</v>
      </c>
      <c r="H358" s="37">
        <v>70798215</v>
      </c>
      <c r="I358" s="38">
        <f>+H358/G358</f>
        <v>0.10714291227225882</v>
      </c>
      <c r="J358" s="38">
        <f t="shared" si="96"/>
        <v>0.12000006915432573</v>
      </c>
      <c r="K358" s="37">
        <v>532247231</v>
      </c>
      <c r="L358" s="37">
        <f t="shared" si="104"/>
        <v>57026518</v>
      </c>
      <c r="M358" s="39">
        <f>M319+N319</f>
        <v>51609538</v>
      </c>
      <c r="N358" s="37">
        <f t="shared" si="102"/>
        <v>5416980</v>
      </c>
      <c r="O358" s="40">
        <f>ROUND((+N358*0.4),0)</f>
        <v>2166792</v>
      </c>
      <c r="P358" s="41" t="s">
        <v>291</v>
      </c>
      <c r="Q358" s="55"/>
      <c r="R358" s="42">
        <f t="shared" si="103"/>
        <v>3250188</v>
      </c>
      <c r="S358" s="55"/>
      <c r="T358" s="55"/>
      <c r="U358" s="55"/>
      <c r="V358" s="34" t="s">
        <v>261</v>
      </c>
      <c r="W358" s="43">
        <v>45009</v>
      </c>
      <c r="X358" s="44" t="s">
        <v>273</v>
      </c>
    </row>
    <row r="359" spans="1:24" ht="17.45" customHeight="1" x14ac:dyDescent="0.25">
      <c r="A359" t="str">
        <f t="shared" si="98"/>
        <v>291090637045009364305511</v>
      </c>
      <c r="B359" s="6">
        <f t="shared" si="94"/>
        <v>45530</v>
      </c>
      <c r="C359" s="3">
        <f t="shared" si="95"/>
        <v>467234191.89532739</v>
      </c>
      <c r="D359" s="34">
        <v>2018</v>
      </c>
      <c r="E359" s="35">
        <v>2910906370</v>
      </c>
      <c r="F359" s="36" t="s">
        <v>74</v>
      </c>
      <c r="G359" s="37">
        <v>5033567040</v>
      </c>
      <c r="H359" s="37">
        <v>539310754</v>
      </c>
      <c r="I359" s="38">
        <v>0.10714285708609535</v>
      </c>
      <c r="J359" s="38">
        <v>0.11999999992879801</v>
      </c>
      <c r="K359" s="37">
        <v>3400184767</v>
      </c>
      <c r="L359" s="37">
        <f t="shared" si="104"/>
        <v>364305511</v>
      </c>
      <c r="M359" s="39">
        <f>M321+N321</f>
        <v>360310039</v>
      </c>
      <c r="N359" s="37">
        <f t="shared" si="102"/>
        <v>3995472</v>
      </c>
      <c r="O359" s="40">
        <f t="shared" ref="O359:O399" si="105">ROUND((N359*40%),0)</f>
        <v>1598189</v>
      </c>
      <c r="P359" s="41" t="s">
        <v>291</v>
      </c>
      <c r="Q359" s="55"/>
      <c r="R359" s="42">
        <f t="shared" si="103"/>
        <v>2397283</v>
      </c>
      <c r="S359" s="55"/>
      <c r="T359" s="55"/>
      <c r="U359" s="55"/>
      <c r="V359" s="34" t="s">
        <v>261</v>
      </c>
      <c r="W359" s="43">
        <v>45009</v>
      </c>
      <c r="X359" s="44" t="s">
        <v>273</v>
      </c>
    </row>
    <row r="360" spans="1:24" ht="17.45" customHeight="1" x14ac:dyDescent="0.25">
      <c r="A360" t="str">
        <f t="shared" si="98"/>
        <v>29109067964500967972096</v>
      </c>
      <c r="B360" s="6">
        <f t="shared" si="94"/>
        <v>45132</v>
      </c>
      <c r="C360" s="3">
        <f t="shared" si="95"/>
        <v>212245679</v>
      </c>
      <c r="D360" s="34">
        <v>2022</v>
      </c>
      <c r="E360" s="35">
        <v>2910906796</v>
      </c>
      <c r="F360" s="36" t="s">
        <v>296</v>
      </c>
      <c r="G360" s="37">
        <v>1980959670</v>
      </c>
      <c r="H360" s="37">
        <v>212245679</v>
      </c>
      <c r="I360" s="38">
        <f>H360/G360</f>
        <v>0.1071428571789147</v>
      </c>
      <c r="J360" s="38">
        <f>IFERROR((+H360/(G360-H360)),0)</f>
        <v>0.12000000004523061</v>
      </c>
      <c r="K360" s="37">
        <v>634406233</v>
      </c>
      <c r="L360" s="37">
        <f t="shared" si="104"/>
        <v>67972096</v>
      </c>
      <c r="M360" s="39">
        <f>M348+N348</f>
        <v>56816850</v>
      </c>
      <c r="N360" s="37">
        <f t="shared" si="102"/>
        <v>11155246</v>
      </c>
      <c r="O360" s="40">
        <f t="shared" si="105"/>
        <v>4462098</v>
      </c>
      <c r="P360" s="41" t="s">
        <v>291</v>
      </c>
      <c r="Q360" s="55"/>
      <c r="R360" s="42">
        <f t="shared" si="103"/>
        <v>6693148</v>
      </c>
      <c r="S360" s="55"/>
      <c r="T360" s="55"/>
      <c r="U360" s="55"/>
      <c r="V360" s="34" t="s">
        <v>261</v>
      </c>
      <c r="W360" s="43">
        <v>45009</v>
      </c>
      <c r="X360" s="44" t="s">
        <v>273</v>
      </c>
    </row>
    <row r="361" spans="1:24" ht="17.45" customHeight="1" x14ac:dyDescent="0.25">
      <c r="A361" t="str">
        <f t="shared" si="98"/>
        <v>29109080612298914</v>
      </c>
      <c r="B361" s="6">
        <f t="shared" si="94"/>
        <v>45098</v>
      </c>
      <c r="C361" s="3">
        <f t="shared" si="95"/>
        <v>8226000</v>
      </c>
      <c r="D361" s="34">
        <v>2022</v>
      </c>
      <c r="E361" s="35">
        <v>2910908061</v>
      </c>
      <c r="F361" s="36" t="s">
        <v>317</v>
      </c>
      <c r="G361" s="37">
        <v>76776000</v>
      </c>
      <c r="H361" s="37">
        <v>8226000</v>
      </c>
      <c r="I361" s="38">
        <f>H361/G361</f>
        <v>0.10714285714285714</v>
      </c>
      <c r="J361" s="38">
        <f>IFERROR((+H361/(G361-H361)),0)</f>
        <v>0.12</v>
      </c>
      <c r="K361" s="37">
        <v>21456534</v>
      </c>
      <c r="L361" s="37">
        <f t="shared" si="104"/>
        <v>2298914</v>
      </c>
      <c r="M361" s="39">
        <v>0</v>
      </c>
      <c r="N361" s="37">
        <f t="shared" si="102"/>
        <v>2298914</v>
      </c>
      <c r="O361" s="40">
        <f t="shared" si="105"/>
        <v>919566</v>
      </c>
      <c r="P361" s="41" t="s">
        <v>291</v>
      </c>
      <c r="Q361" s="55"/>
      <c r="R361" s="42">
        <f t="shared" si="103"/>
        <v>1379348</v>
      </c>
      <c r="S361" s="55"/>
      <c r="T361" s="55"/>
      <c r="U361" s="55"/>
      <c r="V361" s="34" t="s">
        <v>261</v>
      </c>
      <c r="W361" s="43"/>
      <c r="X361" s="44"/>
    </row>
    <row r="362" spans="1:24" ht="17.45" customHeight="1" x14ac:dyDescent="0.25">
      <c r="A362" t="str">
        <f t="shared" si="98"/>
        <v>29109067704489313832889</v>
      </c>
      <c r="B362" s="6">
        <f t="shared" si="94"/>
        <v>45098</v>
      </c>
      <c r="C362" s="3">
        <f t="shared" si="95"/>
        <v>22588645</v>
      </c>
      <c r="D362" s="34">
        <v>2021</v>
      </c>
      <c r="E362" s="35">
        <v>2910906770</v>
      </c>
      <c r="F362" s="36" t="s">
        <v>223</v>
      </c>
      <c r="G362" s="37">
        <v>276617170</v>
      </c>
      <c r="H362" s="37">
        <v>29637554</v>
      </c>
      <c r="I362" s="38">
        <f>+H362/G362</f>
        <v>0.1071428574010789</v>
      </c>
      <c r="J362" s="38">
        <f>IFERROR((+H362/(G362-H362)),0)</f>
        <v>0.12000000032391338</v>
      </c>
      <c r="K362" s="37">
        <v>129106967</v>
      </c>
      <c r="L362" s="37">
        <f t="shared" si="104"/>
        <v>13832889</v>
      </c>
      <c r="M362" s="39">
        <f>M263+N263</f>
        <v>10999171</v>
      </c>
      <c r="N362" s="37">
        <f t="shared" si="102"/>
        <v>2833718</v>
      </c>
      <c r="O362" s="40">
        <f t="shared" si="105"/>
        <v>1133487</v>
      </c>
      <c r="P362" s="41" t="s">
        <v>291</v>
      </c>
      <c r="Q362" s="55"/>
      <c r="R362" s="42">
        <f t="shared" si="103"/>
        <v>1700231</v>
      </c>
      <c r="S362" s="55"/>
      <c r="T362" s="55"/>
      <c r="U362" s="55"/>
      <c r="V362" s="34" t="s">
        <v>261</v>
      </c>
      <c r="W362" s="43">
        <v>44893</v>
      </c>
      <c r="X362" s="44" t="s">
        <v>273</v>
      </c>
    </row>
    <row r="363" spans="1:24" ht="17.45" customHeight="1" x14ac:dyDescent="0.25">
      <c r="A363" t="str">
        <f t="shared" si="98"/>
        <v>24530183364497937498233</v>
      </c>
      <c r="B363" s="6">
        <f t="shared" si="94"/>
        <v>45070</v>
      </c>
      <c r="C363" s="3">
        <f t="shared" si="95"/>
        <v>74596391</v>
      </c>
      <c r="D363" s="34">
        <v>2022</v>
      </c>
      <c r="E363" s="35">
        <v>2453018336</v>
      </c>
      <c r="F363" s="36" t="s">
        <v>266</v>
      </c>
      <c r="G363" s="37">
        <v>696232978</v>
      </c>
      <c r="H363" s="37">
        <v>74596391</v>
      </c>
      <c r="I363" s="38">
        <f>+H363/G363</f>
        <v>0.10714285786100755</v>
      </c>
      <c r="J363" s="38">
        <f>IFERROR((+H363/(G363-H363)),0)</f>
        <v>0.12000000090084788</v>
      </c>
      <c r="K363" s="37">
        <v>349983509</v>
      </c>
      <c r="L363" s="37">
        <f t="shared" si="104"/>
        <v>37498233</v>
      </c>
      <c r="M363" s="39">
        <f>L339</f>
        <v>32040386</v>
      </c>
      <c r="N363" s="37">
        <f t="shared" si="102"/>
        <v>5457847</v>
      </c>
      <c r="O363" s="40">
        <f t="shared" si="105"/>
        <v>2183139</v>
      </c>
      <c r="P363" s="41" t="s">
        <v>291</v>
      </c>
      <c r="Q363" s="55"/>
      <c r="R363" s="42">
        <f t="shared" si="103"/>
        <v>3274708</v>
      </c>
      <c r="S363" s="55"/>
      <c r="T363" s="55"/>
      <c r="U363" s="55"/>
      <c r="V363" s="34" t="s">
        <v>261</v>
      </c>
      <c r="W363" s="43">
        <v>44979</v>
      </c>
      <c r="X363" s="44" t="s">
        <v>273</v>
      </c>
    </row>
    <row r="364" spans="1:24" ht="17.45" customHeight="1" x14ac:dyDescent="0.25">
      <c r="A364" t="str">
        <f t="shared" si="98"/>
        <v>29109067564500995295530</v>
      </c>
      <c r="B364" s="6">
        <f t="shared" si="94"/>
        <v>45828</v>
      </c>
      <c r="C364" s="3">
        <f t="shared" si="95"/>
        <v>200890598.73619679</v>
      </c>
      <c r="D364" s="34">
        <v>2021</v>
      </c>
      <c r="E364" s="35">
        <v>2910906756</v>
      </c>
      <c r="F364" s="36" t="s">
        <v>212</v>
      </c>
      <c r="G364" s="37">
        <v>2844873087</v>
      </c>
      <c r="H364" s="37">
        <v>304807831</v>
      </c>
      <c r="I364" s="38">
        <v>0.10714285723073452</v>
      </c>
      <c r="J364" s="38">
        <v>0.12000000011023339</v>
      </c>
      <c r="K364" s="37">
        <v>889424946</v>
      </c>
      <c r="L364" s="37">
        <f t="shared" si="104"/>
        <v>95295530</v>
      </c>
      <c r="M364" s="39">
        <f>L314</f>
        <v>86337704</v>
      </c>
      <c r="N364" s="37">
        <f t="shared" si="102"/>
        <v>8957826</v>
      </c>
      <c r="O364" s="40">
        <f t="shared" si="105"/>
        <v>3583130</v>
      </c>
      <c r="P364" s="41" t="s">
        <v>291</v>
      </c>
      <c r="Q364" s="55"/>
      <c r="R364" s="42">
        <f t="shared" si="103"/>
        <v>5374696</v>
      </c>
      <c r="S364" s="55"/>
      <c r="T364" s="55"/>
      <c r="U364" s="55"/>
      <c r="V364" s="34" t="s">
        <v>261</v>
      </c>
      <c r="W364" s="43">
        <v>45009</v>
      </c>
      <c r="X364" s="44" t="s">
        <v>273</v>
      </c>
    </row>
    <row r="365" spans="1:24" ht="17.45" customHeight="1" x14ac:dyDescent="0.25">
      <c r="A365" t="str">
        <f t="shared" si="98"/>
        <v>2910906764450155842201</v>
      </c>
      <c r="B365" s="6">
        <f t="shared" si="94"/>
        <v>45586</v>
      </c>
      <c r="C365" s="3">
        <f t="shared" si="95"/>
        <v>12214286</v>
      </c>
      <c r="D365" s="34">
        <v>2021</v>
      </c>
      <c r="E365" s="35">
        <v>2910906764</v>
      </c>
      <c r="F365" s="36" t="s">
        <v>218</v>
      </c>
      <c r="G365" s="37">
        <v>114000000</v>
      </c>
      <c r="H365" s="37">
        <v>12214286</v>
      </c>
      <c r="I365" s="38">
        <f>H365/G365</f>
        <v>0.1071428596491228</v>
      </c>
      <c r="J365" s="38">
        <f t="shared" ref="J365:J387" si="106">IFERROR((+H365/(G365-H365)),0)</f>
        <v>0.12000000314385965</v>
      </c>
      <c r="K365" s="37">
        <v>54527205</v>
      </c>
      <c r="L365" s="37">
        <f t="shared" si="104"/>
        <v>5842201</v>
      </c>
      <c r="M365" s="39">
        <f>L278</f>
        <v>4298737</v>
      </c>
      <c r="N365" s="37">
        <f t="shared" si="102"/>
        <v>1543464</v>
      </c>
      <c r="O365" s="40">
        <f t="shared" si="105"/>
        <v>617386</v>
      </c>
      <c r="P365" s="41" t="s">
        <v>291</v>
      </c>
      <c r="Q365" s="55"/>
      <c r="R365" s="42">
        <f t="shared" si="103"/>
        <v>926078</v>
      </c>
      <c r="S365" s="55"/>
      <c r="T365" s="55"/>
      <c r="U365" s="55"/>
      <c r="V365" s="34" t="s">
        <v>261</v>
      </c>
      <c r="W365" s="43">
        <v>45015</v>
      </c>
      <c r="X365" s="44" t="s">
        <v>273</v>
      </c>
    </row>
    <row r="366" spans="1:24" ht="17.45" customHeight="1" x14ac:dyDescent="0.25">
      <c r="A366" t="str">
        <f t="shared" si="98"/>
        <v>29109067354501599107143</v>
      </c>
      <c r="B366" s="6">
        <f t="shared" si="94"/>
        <v>45015</v>
      </c>
      <c r="C366" s="3">
        <f t="shared" si="95"/>
        <v>99107143</v>
      </c>
      <c r="D366" s="34">
        <v>2021</v>
      </c>
      <c r="E366" s="35">
        <v>2910906735</v>
      </c>
      <c r="F366" s="36" t="s">
        <v>165</v>
      </c>
      <c r="G366" s="37">
        <v>925000000</v>
      </c>
      <c r="H366" s="37">
        <v>99107143</v>
      </c>
      <c r="I366" s="38">
        <f>+H366/G366</f>
        <v>0.10714285729729729</v>
      </c>
      <c r="J366" s="38">
        <f t="shared" si="106"/>
        <v>0.12000000019372974</v>
      </c>
      <c r="K366" s="37">
        <v>925000000</v>
      </c>
      <c r="L366" s="37">
        <f t="shared" si="104"/>
        <v>99107143</v>
      </c>
      <c r="M366" s="39">
        <f>L133</f>
        <v>94151786</v>
      </c>
      <c r="N366" s="37">
        <v>4955357</v>
      </c>
      <c r="O366" s="40">
        <f t="shared" si="105"/>
        <v>1982143</v>
      </c>
      <c r="P366" s="41" t="s">
        <v>291</v>
      </c>
      <c r="Q366" s="55"/>
      <c r="R366" s="42">
        <f t="shared" si="103"/>
        <v>2973214</v>
      </c>
      <c r="S366" s="55"/>
      <c r="T366" s="55"/>
      <c r="U366" s="55"/>
      <c r="V366" s="34" t="s">
        <v>261</v>
      </c>
      <c r="W366" s="43">
        <v>45015</v>
      </c>
      <c r="X366" s="44" t="s">
        <v>273</v>
      </c>
    </row>
    <row r="367" spans="1:24" ht="17.45" customHeight="1" x14ac:dyDescent="0.25">
      <c r="A367" t="str">
        <f t="shared" si="98"/>
        <v>24530109504501598746979</v>
      </c>
      <c r="B367" s="6">
        <f t="shared" si="94"/>
        <v>45015</v>
      </c>
      <c r="C367" s="3">
        <f t="shared" si="95"/>
        <v>98746979</v>
      </c>
      <c r="D367" s="34">
        <v>2018</v>
      </c>
      <c r="E367" s="35">
        <v>2453010950</v>
      </c>
      <c r="F367" s="36" t="s">
        <v>240</v>
      </c>
      <c r="G367" s="37">
        <v>941984000</v>
      </c>
      <c r="H367" s="37">
        <v>100926857</v>
      </c>
      <c r="I367" s="38">
        <f>+H367/G367</f>
        <v>0.10714285699120155</v>
      </c>
      <c r="J367" s="38">
        <f t="shared" si="106"/>
        <v>0.11999999980976322</v>
      </c>
      <c r="K367" s="37">
        <v>921638469</v>
      </c>
      <c r="L367" s="37">
        <f t="shared" si="104"/>
        <v>98746979</v>
      </c>
      <c r="M367" s="39">
        <f>L205</f>
        <v>86203334</v>
      </c>
      <c r="N367" s="37">
        <f t="shared" ref="N367:N395" si="107">+L367-M367</f>
        <v>12543645</v>
      </c>
      <c r="O367" s="40">
        <f t="shared" si="105"/>
        <v>5017458</v>
      </c>
      <c r="P367" s="41" t="s">
        <v>291</v>
      </c>
      <c r="Q367" s="55"/>
      <c r="R367" s="42">
        <f t="shared" si="103"/>
        <v>7526187</v>
      </c>
      <c r="S367" s="55"/>
      <c r="T367" s="55"/>
      <c r="U367" s="55"/>
      <c r="V367" s="34" t="s">
        <v>261</v>
      </c>
      <c r="W367" s="43">
        <v>45015</v>
      </c>
      <c r="X367" s="44" t="s">
        <v>318</v>
      </c>
    </row>
    <row r="368" spans="1:24" ht="17.45" customHeight="1" x14ac:dyDescent="0.25">
      <c r="A368" t="str">
        <f t="shared" si="98"/>
        <v>2910908063450152142857</v>
      </c>
      <c r="B368" s="6">
        <f t="shared" si="94"/>
        <v>45015</v>
      </c>
      <c r="C368" s="3">
        <f t="shared" si="95"/>
        <v>2142857</v>
      </c>
      <c r="D368" s="34">
        <v>2022</v>
      </c>
      <c r="E368" s="35">
        <v>2910908063</v>
      </c>
      <c r="F368" s="36" t="s">
        <v>319</v>
      </c>
      <c r="G368" s="37">
        <v>20000000</v>
      </c>
      <c r="H368" s="37">
        <v>2142857</v>
      </c>
      <c r="I368" s="38">
        <f>+H368/G368</f>
        <v>0.10714285</v>
      </c>
      <c r="J368" s="38">
        <f t="shared" si="106"/>
        <v>0.11999999104000007</v>
      </c>
      <c r="K368" s="37">
        <v>20000000</v>
      </c>
      <c r="L368" s="37">
        <f t="shared" si="104"/>
        <v>2142857</v>
      </c>
      <c r="M368" s="39">
        <v>0</v>
      </c>
      <c r="N368" s="37">
        <f t="shared" si="107"/>
        <v>2142857</v>
      </c>
      <c r="O368" s="40">
        <f t="shared" si="105"/>
        <v>857143</v>
      </c>
      <c r="P368" s="41" t="s">
        <v>291</v>
      </c>
      <c r="Q368" s="55"/>
      <c r="R368" s="42">
        <f t="shared" si="103"/>
        <v>1285714</v>
      </c>
      <c r="S368" s="55"/>
      <c r="T368" s="55"/>
      <c r="U368" s="55"/>
      <c r="V368" s="34" t="s">
        <v>261</v>
      </c>
      <c r="W368" s="43">
        <v>45015</v>
      </c>
      <c r="X368" s="44" t="s">
        <v>318</v>
      </c>
    </row>
    <row r="369" spans="1:24" ht="17.45" customHeight="1" x14ac:dyDescent="0.25">
      <c r="A369" t="str">
        <f t="shared" si="98"/>
        <v>24530183404501516594238</v>
      </c>
      <c r="B369" s="6">
        <f t="shared" si="94"/>
        <v>45524</v>
      </c>
      <c r="C369" s="3">
        <f t="shared" si="95"/>
        <v>750720353.98835123</v>
      </c>
      <c r="D369" s="34">
        <v>2022</v>
      </c>
      <c r="E369" s="35">
        <v>2453018340</v>
      </c>
      <c r="F369" s="36" t="s">
        <v>320</v>
      </c>
      <c r="G369" s="37">
        <v>5029012761</v>
      </c>
      <c r="H369" s="37">
        <v>536676091</v>
      </c>
      <c r="I369" s="38">
        <f>+H369/G369</f>
        <v>0.10671599307958089</v>
      </c>
      <c r="J369" s="38">
        <f t="shared" si="106"/>
        <v>0.11946479759274142</v>
      </c>
      <c r="K369" s="37">
        <v>155499074</v>
      </c>
      <c r="L369" s="37">
        <f t="shared" si="104"/>
        <v>16594238</v>
      </c>
      <c r="M369" s="39">
        <v>0</v>
      </c>
      <c r="N369" s="37">
        <f t="shared" si="107"/>
        <v>16594238</v>
      </c>
      <c r="O369" s="40">
        <f t="shared" si="105"/>
        <v>6637695</v>
      </c>
      <c r="P369" s="41" t="s">
        <v>291</v>
      </c>
      <c r="Q369" s="55"/>
      <c r="R369" s="42">
        <f t="shared" si="103"/>
        <v>9956543</v>
      </c>
      <c r="S369" s="55"/>
      <c r="T369" s="55"/>
      <c r="U369" s="55"/>
      <c r="V369" s="34" t="s">
        <v>261</v>
      </c>
      <c r="W369" s="43">
        <v>45015</v>
      </c>
      <c r="X369" s="44"/>
    </row>
    <row r="370" spans="1:24" ht="17.45" customHeight="1" x14ac:dyDescent="0.25">
      <c r="A370" t="str">
        <f t="shared" si="98"/>
        <v>245301830145015119557565</v>
      </c>
      <c r="B370" s="6">
        <f t="shared" si="94"/>
        <v>45099</v>
      </c>
      <c r="C370" s="3">
        <f t="shared" si="95"/>
        <v>133063733</v>
      </c>
      <c r="D370" s="34">
        <v>2019</v>
      </c>
      <c r="E370" s="35">
        <v>2453018301</v>
      </c>
      <c r="F370" s="36" t="s">
        <v>35</v>
      </c>
      <c r="G370" s="37">
        <f>941984000+470992000</f>
        <v>1412976000</v>
      </c>
      <c r="H370" s="37">
        <v>151390286</v>
      </c>
      <c r="I370" s="38">
        <f>+H370/G370</f>
        <v>0.1071428573450646</v>
      </c>
      <c r="J370" s="38">
        <f t="shared" si="106"/>
        <v>0.12000000025364904</v>
      </c>
      <c r="K370" s="37">
        <v>1115870605</v>
      </c>
      <c r="L370" s="37">
        <f t="shared" si="104"/>
        <v>119557565</v>
      </c>
      <c r="M370" s="39">
        <f>L252</f>
        <v>119122456</v>
      </c>
      <c r="N370" s="37">
        <f t="shared" si="107"/>
        <v>435109</v>
      </c>
      <c r="O370" s="40">
        <f t="shared" si="105"/>
        <v>174044</v>
      </c>
      <c r="P370" s="41" t="s">
        <v>291</v>
      </c>
      <c r="Q370" s="55"/>
      <c r="R370" s="42">
        <f t="shared" si="103"/>
        <v>261065</v>
      </c>
      <c r="S370" s="55"/>
      <c r="T370" s="55"/>
      <c r="U370" s="55"/>
      <c r="V370" s="34" t="s">
        <v>261</v>
      </c>
      <c r="W370" s="43">
        <v>45015</v>
      </c>
      <c r="X370" s="44" t="s">
        <v>273</v>
      </c>
    </row>
    <row r="371" spans="1:24" ht="17.45" customHeight="1" x14ac:dyDescent="0.25">
      <c r="A371" t="str">
        <f t="shared" si="98"/>
        <v>29109067964501685405086</v>
      </c>
      <c r="B371" s="6">
        <f t="shared" si="94"/>
        <v>45132</v>
      </c>
      <c r="C371" s="3">
        <f t="shared" si="95"/>
        <v>212245679</v>
      </c>
      <c r="D371" s="34">
        <v>2022</v>
      </c>
      <c r="E371" s="35">
        <v>2910906796</v>
      </c>
      <c r="F371" s="36" t="s">
        <v>296</v>
      </c>
      <c r="G371" s="37">
        <v>1980959670</v>
      </c>
      <c r="H371" s="37">
        <v>212245679</v>
      </c>
      <c r="I371" s="38">
        <f>H371/G371</f>
        <v>0.1071428571789147</v>
      </c>
      <c r="J371" s="38">
        <f t="shared" si="106"/>
        <v>0.12000000004523061</v>
      </c>
      <c r="K371" s="37">
        <v>797114137</v>
      </c>
      <c r="L371" s="37">
        <f t="shared" si="104"/>
        <v>85405086</v>
      </c>
      <c r="M371" s="39">
        <f>L360</f>
        <v>67972096</v>
      </c>
      <c r="N371" s="37">
        <f t="shared" si="107"/>
        <v>17432990</v>
      </c>
      <c r="O371" s="40">
        <f t="shared" si="105"/>
        <v>6973196</v>
      </c>
      <c r="P371" s="41" t="s">
        <v>291</v>
      </c>
      <c r="Q371" s="55"/>
      <c r="R371" s="42">
        <f t="shared" si="103"/>
        <v>10459794</v>
      </c>
      <c r="S371" s="55"/>
      <c r="T371" s="55"/>
      <c r="U371" s="55"/>
      <c r="V371" s="34" t="s">
        <v>261</v>
      </c>
      <c r="W371" s="43">
        <v>45016</v>
      </c>
      <c r="X371" s="44" t="s">
        <v>273</v>
      </c>
    </row>
    <row r="372" spans="1:24" ht="17.45" customHeight="1" x14ac:dyDescent="0.25">
      <c r="A372" t="str">
        <f t="shared" si="98"/>
        <v>29109067894501638252829</v>
      </c>
      <c r="B372" s="6">
        <f t="shared" si="94"/>
        <v>45891</v>
      </c>
      <c r="C372" s="3">
        <f t="shared" si="95"/>
        <v>194667600.36437911</v>
      </c>
      <c r="D372" s="34">
        <v>2022</v>
      </c>
      <c r="E372" s="35">
        <v>2910906789</v>
      </c>
      <c r="F372" s="36" t="s">
        <v>289</v>
      </c>
      <c r="G372" s="37">
        <v>9124262365</v>
      </c>
      <c r="H372" s="37">
        <v>977599539</v>
      </c>
      <c r="I372" s="38">
        <f t="shared" ref="I372:I378" si="108">+H372/G372</f>
        <v>0.10714285713111452</v>
      </c>
      <c r="J372" s="38">
        <f t="shared" si="106"/>
        <v>0.11999999998527004</v>
      </c>
      <c r="K372" s="37">
        <v>357026407</v>
      </c>
      <c r="L372" s="37">
        <f t="shared" si="104"/>
        <v>38252829</v>
      </c>
      <c r="M372" s="39">
        <f>L353</f>
        <v>23723585</v>
      </c>
      <c r="N372" s="37">
        <f t="shared" si="107"/>
        <v>14529244</v>
      </c>
      <c r="O372" s="40">
        <f t="shared" si="105"/>
        <v>5811698</v>
      </c>
      <c r="P372" s="41" t="s">
        <v>291</v>
      </c>
      <c r="Q372" s="55"/>
      <c r="R372" s="42">
        <f t="shared" si="103"/>
        <v>8717546</v>
      </c>
      <c r="S372" s="55"/>
      <c r="T372" s="55"/>
      <c r="U372" s="55"/>
      <c r="V372" s="34" t="s">
        <v>261</v>
      </c>
      <c r="W372" s="43">
        <v>45016</v>
      </c>
      <c r="X372" s="44" t="s">
        <v>273</v>
      </c>
    </row>
    <row r="373" spans="1:24" ht="17.45" customHeight="1" x14ac:dyDescent="0.25">
      <c r="A373" t="str">
        <f t="shared" si="98"/>
        <v>29109072234501780546743</v>
      </c>
      <c r="B373" s="6">
        <f t="shared" si="94"/>
        <v>45225</v>
      </c>
      <c r="C373" s="3">
        <f t="shared" si="95"/>
        <v>1161182642</v>
      </c>
      <c r="D373" s="34">
        <v>2023</v>
      </c>
      <c r="E373" s="35">
        <v>2910907223</v>
      </c>
      <c r="F373" s="36" t="s">
        <v>321</v>
      </c>
      <c r="G373" s="37">
        <v>11000088770</v>
      </c>
      <c r="H373" s="37">
        <v>1178580940</v>
      </c>
      <c r="I373" s="38">
        <f t="shared" si="108"/>
        <v>0.10714285717532442</v>
      </c>
      <c r="J373" s="38">
        <f t="shared" si="106"/>
        <v>0.12000000004072695</v>
      </c>
      <c r="K373" s="37">
        <v>751769601</v>
      </c>
      <c r="L373" s="37">
        <f t="shared" si="104"/>
        <v>80546743</v>
      </c>
      <c r="M373" s="39">
        <v>0</v>
      </c>
      <c r="N373" s="37">
        <f t="shared" si="107"/>
        <v>80546743</v>
      </c>
      <c r="O373" s="40">
        <f t="shared" si="105"/>
        <v>32218697</v>
      </c>
      <c r="P373" s="41" t="s">
        <v>322</v>
      </c>
      <c r="Q373" s="55"/>
      <c r="R373" s="42">
        <f t="shared" si="103"/>
        <v>48328046</v>
      </c>
      <c r="S373" s="55"/>
      <c r="T373" s="55"/>
      <c r="U373" s="55"/>
      <c r="V373" s="34" t="s">
        <v>261</v>
      </c>
      <c r="W373" s="43">
        <v>45017</v>
      </c>
      <c r="X373" s="44" t="s">
        <v>323</v>
      </c>
    </row>
    <row r="374" spans="1:24" ht="17.45" customHeight="1" x14ac:dyDescent="0.25">
      <c r="A374" t="str">
        <f t="shared" si="98"/>
        <v>29109067894503340399972</v>
      </c>
      <c r="B374" s="6">
        <f t="shared" si="94"/>
        <v>45891</v>
      </c>
      <c r="C374" s="3">
        <f t="shared" si="95"/>
        <v>194667600.36437911</v>
      </c>
      <c r="D374" s="34">
        <v>2022</v>
      </c>
      <c r="E374" s="35">
        <v>2910906789</v>
      </c>
      <c r="F374" s="36" t="s">
        <v>289</v>
      </c>
      <c r="G374" s="37">
        <v>9124262365</v>
      </c>
      <c r="H374" s="37">
        <v>977599539</v>
      </c>
      <c r="I374" s="38">
        <f t="shared" si="108"/>
        <v>0.10714285713111452</v>
      </c>
      <c r="J374" s="38">
        <f t="shared" si="106"/>
        <v>0.11999999998527004</v>
      </c>
      <c r="K374" s="37">
        <v>377066407</v>
      </c>
      <c r="L374" s="37">
        <f t="shared" si="104"/>
        <v>40399972</v>
      </c>
      <c r="M374" s="39">
        <v>38252829</v>
      </c>
      <c r="N374" s="37">
        <f t="shared" si="107"/>
        <v>2147143</v>
      </c>
      <c r="O374" s="40">
        <f t="shared" si="105"/>
        <v>858857</v>
      </c>
      <c r="P374" s="41" t="s">
        <v>322</v>
      </c>
      <c r="Q374" s="55"/>
      <c r="R374" s="42">
        <f t="shared" si="103"/>
        <v>1288286</v>
      </c>
      <c r="S374" s="55"/>
      <c r="T374" s="55"/>
      <c r="U374" s="55"/>
      <c r="V374" s="34" t="s">
        <v>261</v>
      </c>
      <c r="W374" s="43">
        <v>45033</v>
      </c>
      <c r="X374" s="44" t="s">
        <v>273</v>
      </c>
    </row>
    <row r="375" spans="1:24" ht="17.45" customHeight="1" x14ac:dyDescent="0.25">
      <c r="A375" t="str">
        <f t="shared" si="98"/>
        <v>24530183404501555335175</v>
      </c>
      <c r="B375" s="6">
        <f t="shared" si="94"/>
        <v>45524</v>
      </c>
      <c r="C375" s="3">
        <f t="shared" si="95"/>
        <v>750720353.98835123</v>
      </c>
      <c r="D375" s="34">
        <v>2022</v>
      </c>
      <c r="E375" s="35">
        <v>2453018340</v>
      </c>
      <c r="F375" s="36" t="s">
        <v>320</v>
      </c>
      <c r="G375" s="37">
        <v>5029012761</v>
      </c>
      <c r="H375" s="37">
        <v>536676091</v>
      </c>
      <c r="I375" s="38">
        <f t="shared" si="108"/>
        <v>0.10671599307958089</v>
      </c>
      <c r="J375" s="38">
        <f t="shared" si="106"/>
        <v>0.11946479759274142</v>
      </c>
      <c r="K375" s="37">
        <v>518527478</v>
      </c>
      <c r="L375" s="37">
        <f t="shared" si="104"/>
        <v>55335175</v>
      </c>
      <c r="M375" s="39">
        <v>16594238</v>
      </c>
      <c r="N375" s="37">
        <f t="shared" si="107"/>
        <v>38740937</v>
      </c>
      <c r="O375" s="40">
        <f t="shared" si="105"/>
        <v>15496375</v>
      </c>
      <c r="P375" s="41" t="s">
        <v>322</v>
      </c>
      <c r="Q375" s="55"/>
      <c r="R375" s="42">
        <f t="shared" si="103"/>
        <v>23244562</v>
      </c>
      <c r="S375" s="55"/>
      <c r="T375" s="55"/>
      <c r="U375" s="55"/>
      <c r="V375" s="34" t="s">
        <v>261</v>
      </c>
      <c r="W375" s="43">
        <v>45015</v>
      </c>
      <c r="X375" s="44"/>
    </row>
    <row r="376" spans="1:24" ht="17.45" customHeight="1" x14ac:dyDescent="0.25">
      <c r="A376" t="str">
        <f t="shared" si="98"/>
        <v>24530183194503713815914</v>
      </c>
      <c r="B376" s="6">
        <f t="shared" si="94"/>
        <v>45037</v>
      </c>
      <c r="C376" s="3">
        <f t="shared" si="95"/>
        <v>13815914</v>
      </c>
      <c r="D376" s="34">
        <v>2021</v>
      </c>
      <c r="E376" s="35">
        <v>2453018319</v>
      </c>
      <c r="F376" s="36" t="s">
        <v>192</v>
      </c>
      <c r="G376" s="37">
        <v>128800000</v>
      </c>
      <c r="H376" s="37">
        <v>13815914</v>
      </c>
      <c r="I376" s="38">
        <f t="shared" si="108"/>
        <v>0.10726641304347827</v>
      </c>
      <c r="J376" s="38">
        <f t="shared" si="106"/>
        <v>0.12015500997242348</v>
      </c>
      <c r="K376" s="37">
        <v>128800000</v>
      </c>
      <c r="L376" s="37">
        <f t="shared" si="104"/>
        <v>13815914</v>
      </c>
      <c r="M376" s="39">
        <f>L144</f>
        <v>5526366</v>
      </c>
      <c r="N376" s="37">
        <f t="shared" si="107"/>
        <v>8289548</v>
      </c>
      <c r="O376" s="40">
        <f t="shared" si="105"/>
        <v>3315819</v>
      </c>
      <c r="P376" s="41" t="s">
        <v>322</v>
      </c>
      <c r="Q376" s="55"/>
      <c r="R376" s="42">
        <f t="shared" si="103"/>
        <v>4973729</v>
      </c>
      <c r="S376" s="55"/>
      <c r="T376" s="55"/>
      <c r="U376" s="55"/>
      <c r="V376" s="34" t="s">
        <v>261</v>
      </c>
      <c r="W376" s="43">
        <v>45037</v>
      </c>
      <c r="X376" s="44" t="s">
        <v>324</v>
      </c>
    </row>
    <row r="377" spans="1:24" ht="17.45" customHeight="1" x14ac:dyDescent="0.25">
      <c r="A377" t="str">
        <f t="shared" si="98"/>
        <v>29109072124504023240947</v>
      </c>
      <c r="B377" s="6">
        <f t="shared" si="94"/>
        <v>45244</v>
      </c>
      <c r="C377" s="3">
        <f t="shared" si="95"/>
        <v>89501786</v>
      </c>
      <c r="D377" s="34">
        <v>2022</v>
      </c>
      <c r="E377" s="35">
        <v>2910907212</v>
      </c>
      <c r="F377" s="36" t="s">
        <v>316</v>
      </c>
      <c r="G377" s="37">
        <v>835350000</v>
      </c>
      <c r="H377" s="37">
        <v>89501786</v>
      </c>
      <c r="I377" s="38">
        <f t="shared" si="108"/>
        <v>0.10714285748488657</v>
      </c>
      <c r="J377" s="38">
        <f t="shared" si="106"/>
        <v>0.12000000042904171</v>
      </c>
      <c r="K377" s="37">
        <v>216915500</v>
      </c>
      <c r="L377" s="37">
        <f t="shared" si="104"/>
        <v>23240947</v>
      </c>
      <c r="M377" s="39">
        <v>15360139</v>
      </c>
      <c r="N377" s="37">
        <f t="shared" si="107"/>
        <v>7880808</v>
      </c>
      <c r="O377" s="40">
        <f t="shared" si="105"/>
        <v>3152323</v>
      </c>
      <c r="P377" s="41" t="s">
        <v>322</v>
      </c>
      <c r="Q377" s="55"/>
      <c r="R377" s="42">
        <f t="shared" si="103"/>
        <v>4728485</v>
      </c>
      <c r="S377" s="55"/>
      <c r="T377" s="55"/>
      <c r="U377" s="55"/>
      <c r="V377" s="34" t="s">
        <v>261</v>
      </c>
      <c r="W377" s="43">
        <v>45040</v>
      </c>
      <c r="X377" s="44" t="s">
        <v>273</v>
      </c>
    </row>
    <row r="378" spans="1:24" ht="17.45" customHeight="1" x14ac:dyDescent="0.25">
      <c r="A378" t="str">
        <f t="shared" si="98"/>
        <v>24530183354504021872384</v>
      </c>
      <c r="B378" s="6">
        <f t="shared" si="94"/>
        <v>45132</v>
      </c>
      <c r="C378" s="3">
        <f t="shared" si="95"/>
        <v>34971429</v>
      </c>
      <c r="D378" s="34">
        <v>2022</v>
      </c>
      <c r="E378" s="35">
        <v>2453018335</v>
      </c>
      <c r="F378" s="36" t="s">
        <v>285</v>
      </c>
      <c r="G378" s="37">
        <v>326400000</v>
      </c>
      <c r="H378" s="37">
        <v>34971429</v>
      </c>
      <c r="I378" s="38">
        <f t="shared" si="108"/>
        <v>0.10714285845588235</v>
      </c>
      <c r="J378" s="38">
        <f t="shared" si="106"/>
        <v>0.12000000164705883</v>
      </c>
      <c r="K378" s="37">
        <v>204142244</v>
      </c>
      <c r="L378" s="37">
        <f t="shared" si="104"/>
        <v>21872384</v>
      </c>
      <c r="M378" s="39">
        <v>18689640</v>
      </c>
      <c r="N378" s="37">
        <f t="shared" si="107"/>
        <v>3182744</v>
      </c>
      <c r="O378" s="40">
        <f t="shared" si="105"/>
        <v>1273098</v>
      </c>
      <c r="P378" s="41" t="s">
        <v>322</v>
      </c>
      <c r="Q378" s="55"/>
      <c r="R378" s="42">
        <f t="shared" si="103"/>
        <v>1909646</v>
      </c>
      <c r="S378" s="55"/>
      <c r="T378" s="55"/>
      <c r="U378" s="55"/>
      <c r="V378" s="34" t="s">
        <v>261</v>
      </c>
      <c r="W378" s="43">
        <v>45040</v>
      </c>
      <c r="X378" s="44" t="s">
        <v>273</v>
      </c>
    </row>
    <row r="379" spans="1:24" ht="17.45" customHeight="1" x14ac:dyDescent="0.25">
      <c r="A379" t="str">
        <f t="shared" si="98"/>
        <v>23530183374504089982663</v>
      </c>
      <c r="B379" s="6">
        <f t="shared" si="94"/>
        <v>45071</v>
      </c>
      <c r="C379" s="3">
        <f t="shared" si="95"/>
        <v>112677827</v>
      </c>
      <c r="D379" s="34">
        <v>2022</v>
      </c>
      <c r="E379" s="35">
        <v>2353018337</v>
      </c>
      <c r="F379" s="36" t="s">
        <v>279</v>
      </c>
      <c r="G379" s="37">
        <v>1746041438</v>
      </c>
      <c r="H379" s="37">
        <v>187075868</v>
      </c>
      <c r="I379" s="38">
        <f>H379/G379</f>
        <v>0.10714285693831282</v>
      </c>
      <c r="J379" s="38">
        <f t="shared" si="106"/>
        <v>0.1199999997434196</v>
      </c>
      <c r="K379" s="37">
        <v>839838187</v>
      </c>
      <c r="L379" s="37">
        <f t="shared" si="104"/>
        <v>89982663</v>
      </c>
      <c r="M379" s="39">
        <v>66099953</v>
      </c>
      <c r="N379" s="37">
        <f t="shared" si="107"/>
        <v>23882710</v>
      </c>
      <c r="O379" s="40">
        <f t="shared" si="105"/>
        <v>9553084</v>
      </c>
      <c r="P379" s="41" t="s">
        <v>322</v>
      </c>
      <c r="Q379" s="55"/>
      <c r="R379" s="42">
        <f t="shared" si="103"/>
        <v>14329626</v>
      </c>
      <c r="S379" s="55"/>
      <c r="T379" s="55"/>
      <c r="U379" s="55"/>
      <c r="V379" s="34" t="s">
        <v>261</v>
      </c>
      <c r="W379" s="43">
        <v>45040</v>
      </c>
      <c r="X379" s="44" t="s">
        <v>280</v>
      </c>
    </row>
    <row r="380" spans="1:24" ht="17.45" customHeight="1" x14ac:dyDescent="0.25">
      <c r="A380" t="str">
        <f t="shared" si="98"/>
        <v>2910908067450408620500</v>
      </c>
      <c r="B380" s="6">
        <f t="shared" si="94"/>
        <v>45064</v>
      </c>
      <c r="C380" s="3">
        <f t="shared" si="95"/>
        <v>18091071</v>
      </c>
      <c r="D380" s="34">
        <v>2022</v>
      </c>
      <c r="E380" s="35">
        <v>2910908067</v>
      </c>
      <c r="F380" s="36" t="s">
        <v>325</v>
      </c>
      <c r="G380" s="37">
        <v>168850000</v>
      </c>
      <c r="H380" s="37">
        <v>18091071</v>
      </c>
      <c r="I380" s="38">
        <f>H380/G380</f>
        <v>0.10714285460467871</v>
      </c>
      <c r="J380" s="38">
        <f t="shared" si="106"/>
        <v>0.11999999681610898</v>
      </c>
      <c r="K380" s="37">
        <v>80458000</v>
      </c>
      <c r="L380" s="37">
        <f t="shared" si="104"/>
        <v>8620500</v>
      </c>
      <c r="M380" s="39">
        <v>0</v>
      </c>
      <c r="N380" s="37">
        <f t="shared" si="107"/>
        <v>8620500</v>
      </c>
      <c r="O380" s="40">
        <f t="shared" si="105"/>
        <v>3448200</v>
      </c>
      <c r="P380" s="41" t="s">
        <v>322</v>
      </c>
      <c r="Q380" s="55"/>
      <c r="R380" s="42">
        <f t="shared" si="103"/>
        <v>5172300</v>
      </c>
      <c r="S380" s="55"/>
      <c r="T380" s="55"/>
      <c r="U380" s="55"/>
      <c r="V380" s="34" t="s">
        <v>261</v>
      </c>
      <c r="W380" s="43">
        <v>45040</v>
      </c>
      <c r="X380" s="44" t="s">
        <v>273</v>
      </c>
    </row>
    <row r="381" spans="1:24" ht="17.45" customHeight="1" x14ac:dyDescent="0.25">
      <c r="A381" t="str">
        <f t="shared" si="98"/>
        <v>291090678845007157763542</v>
      </c>
      <c r="B381" s="6">
        <f t="shared" si="94"/>
        <v>45498</v>
      </c>
      <c r="C381" s="3">
        <f t="shared" si="95"/>
        <v>387879629.13729745</v>
      </c>
      <c r="D381" s="34">
        <v>2022</v>
      </c>
      <c r="E381" s="35">
        <v>2910906788</v>
      </c>
      <c r="F381" s="36" t="s">
        <v>270</v>
      </c>
      <c r="G381" s="37">
        <v>2078053077</v>
      </c>
      <c r="H381" s="37">
        <v>222662679</v>
      </c>
      <c r="I381" s="38">
        <f>H381/G381</f>
        <v>0.10714965919997048</v>
      </c>
      <c r="J381" s="38">
        <f t="shared" si="106"/>
        <v>0.12000853256544664</v>
      </c>
      <c r="K381" s="37">
        <v>1472366250</v>
      </c>
      <c r="L381" s="37">
        <f t="shared" si="104"/>
        <v>157763542</v>
      </c>
      <c r="M381" s="39">
        <v>151947437</v>
      </c>
      <c r="N381" s="37">
        <f t="shared" si="107"/>
        <v>5816105</v>
      </c>
      <c r="O381" s="40">
        <f t="shared" si="105"/>
        <v>2326442</v>
      </c>
      <c r="P381" s="41" t="s">
        <v>322</v>
      </c>
      <c r="Q381" s="55"/>
      <c r="R381" s="42">
        <f t="shared" si="103"/>
        <v>3489663</v>
      </c>
      <c r="S381" s="55"/>
      <c r="T381" s="55"/>
      <c r="U381" s="55"/>
      <c r="V381" s="34" t="s">
        <v>261</v>
      </c>
      <c r="W381" s="43">
        <v>45007</v>
      </c>
      <c r="X381" s="44" t="s">
        <v>273</v>
      </c>
    </row>
    <row r="382" spans="1:24" ht="17.45" customHeight="1" x14ac:dyDescent="0.25">
      <c r="A382" t="str">
        <f t="shared" si="98"/>
        <v>291090679045064137356755</v>
      </c>
      <c r="B382" s="6">
        <f t="shared" si="94"/>
        <v>45064</v>
      </c>
      <c r="C382" s="3">
        <f t="shared" si="95"/>
        <v>163276433</v>
      </c>
      <c r="D382" s="34">
        <v>2022</v>
      </c>
      <c r="E382" s="35">
        <v>2910906790</v>
      </c>
      <c r="F382" s="36" t="s">
        <v>257</v>
      </c>
      <c r="G382" s="37">
        <v>1523800000</v>
      </c>
      <c r="H382" s="37">
        <v>163276433</v>
      </c>
      <c r="I382" s="38">
        <f>+H382/G382</f>
        <v>0.1071508288489303</v>
      </c>
      <c r="J382" s="38">
        <f t="shared" si="106"/>
        <v>0.12000999979737947</v>
      </c>
      <c r="K382" s="37">
        <v>1281901000</v>
      </c>
      <c r="L382" s="37">
        <f t="shared" si="104"/>
        <v>137356755</v>
      </c>
      <c r="M382" s="39">
        <v>122655661</v>
      </c>
      <c r="N382" s="37">
        <f t="shared" si="107"/>
        <v>14701094</v>
      </c>
      <c r="O382" s="40">
        <f t="shared" si="105"/>
        <v>5880438</v>
      </c>
      <c r="P382" s="41" t="s">
        <v>322</v>
      </c>
      <c r="Q382" s="55"/>
      <c r="R382" s="42">
        <f t="shared" si="103"/>
        <v>8820656</v>
      </c>
      <c r="S382" s="55"/>
      <c r="T382" s="55"/>
      <c r="U382" s="55"/>
      <c r="V382" s="34" t="s">
        <v>261</v>
      </c>
      <c r="W382" s="43">
        <v>45064</v>
      </c>
      <c r="X382" s="44" t="s">
        <v>273</v>
      </c>
    </row>
    <row r="383" spans="1:24" ht="17.45" customHeight="1" x14ac:dyDescent="0.25">
      <c r="A383" t="str">
        <f t="shared" si="98"/>
        <v>291090677211332977</v>
      </c>
      <c r="B383" s="6">
        <f t="shared" si="94"/>
        <v>45316</v>
      </c>
      <c r="C383" s="3">
        <f t="shared" si="95"/>
        <v>16508624</v>
      </c>
      <c r="D383" s="34">
        <v>2021</v>
      </c>
      <c r="E383" s="35">
        <v>2910906772</v>
      </c>
      <c r="F383" s="36" t="s">
        <v>260</v>
      </c>
      <c r="G383" s="37">
        <f>125000000+14560000+26924712+19978166</f>
        <v>186462878</v>
      </c>
      <c r="H383" s="37">
        <v>19978166</v>
      </c>
      <c r="I383" s="38">
        <f>+H383/G383</f>
        <v>0.10714285982435603</v>
      </c>
      <c r="J383" s="38">
        <f t="shared" si="106"/>
        <v>0.12000000336367221</v>
      </c>
      <c r="K383" s="37">
        <v>105774450</v>
      </c>
      <c r="L383" s="37">
        <f t="shared" si="104"/>
        <v>11332977</v>
      </c>
      <c r="M383" s="39">
        <v>9691456</v>
      </c>
      <c r="N383" s="37">
        <f t="shared" si="107"/>
        <v>1641521</v>
      </c>
      <c r="O383" s="40">
        <f t="shared" si="105"/>
        <v>656608</v>
      </c>
      <c r="P383" s="41" t="s">
        <v>322</v>
      </c>
      <c r="Q383" s="55"/>
      <c r="R383" s="42">
        <f t="shared" si="103"/>
        <v>984913</v>
      </c>
      <c r="S383" s="55"/>
      <c r="T383" s="55"/>
      <c r="U383" s="55"/>
      <c r="V383" s="34" t="s">
        <v>261</v>
      </c>
      <c r="W383" s="43"/>
      <c r="X383" s="44"/>
    </row>
    <row r="384" spans="1:24" ht="17.45" customHeight="1" x14ac:dyDescent="0.25">
      <c r="A384" t="str">
        <f t="shared" si="98"/>
        <v>29109080534460519310813</v>
      </c>
      <c r="B384" s="6">
        <f t="shared" si="94"/>
        <v>45161</v>
      </c>
      <c r="C384" s="3">
        <f t="shared" si="95"/>
        <v>39752820</v>
      </c>
      <c r="D384" s="34">
        <v>2022</v>
      </c>
      <c r="E384" s="35">
        <v>2910908053</v>
      </c>
      <c r="F384" s="36" t="s">
        <v>303</v>
      </c>
      <c r="G384" s="37">
        <v>211073500</v>
      </c>
      <c r="H384" s="37">
        <v>25328820</v>
      </c>
      <c r="I384" s="38">
        <f>H384/G384</f>
        <v>0.12</v>
      </c>
      <c r="J384" s="38">
        <f t="shared" si="106"/>
        <v>0.13636363636363635</v>
      </c>
      <c r="K384" s="37">
        <v>160923444</v>
      </c>
      <c r="L384" s="37">
        <f t="shared" si="104"/>
        <v>19310813</v>
      </c>
      <c r="M384" s="39">
        <f>L332</f>
        <v>17597213</v>
      </c>
      <c r="N384" s="37">
        <f t="shared" si="107"/>
        <v>1713600</v>
      </c>
      <c r="O384" s="40">
        <f t="shared" si="105"/>
        <v>685440</v>
      </c>
      <c r="P384" s="41" t="s">
        <v>322</v>
      </c>
      <c r="Q384" s="55"/>
      <c r="R384" s="42">
        <f t="shared" si="103"/>
        <v>1028160</v>
      </c>
      <c r="S384" s="55"/>
      <c r="T384" s="55"/>
      <c r="U384" s="55"/>
      <c r="V384" s="34" t="s">
        <v>261</v>
      </c>
      <c r="W384" s="43">
        <v>44605</v>
      </c>
      <c r="X384" s="44" t="s">
        <v>273</v>
      </c>
    </row>
    <row r="385" spans="1:24" ht="17.45" customHeight="1" x14ac:dyDescent="0.25">
      <c r="A385" t="str">
        <f t="shared" si="98"/>
        <v>24530183364497960200350</v>
      </c>
      <c r="B385" s="6">
        <f t="shared" si="94"/>
        <v>45070</v>
      </c>
      <c r="C385" s="3">
        <f t="shared" si="95"/>
        <v>74596391</v>
      </c>
      <c r="D385" s="34">
        <v>2022</v>
      </c>
      <c r="E385" s="35">
        <v>2453018336</v>
      </c>
      <c r="F385" s="36" t="s">
        <v>266</v>
      </c>
      <c r="G385" s="37">
        <v>696232978</v>
      </c>
      <c r="H385" s="37">
        <v>74596391</v>
      </c>
      <c r="I385" s="38">
        <f>+H385/G385</f>
        <v>0.10714285786100755</v>
      </c>
      <c r="J385" s="38">
        <f t="shared" si="106"/>
        <v>0.12000000090084788</v>
      </c>
      <c r="K385" s="37">
        <v>561869934</v>
      </c>
      <c r="L385" s="37">
        <f t="shared" si="104"/>
        <v>60200350</v>
      </c>
      <c r="M385" s="39">
        <f>L363</f>
        <v>37498233</v>
      </c>
      <c r="N385" s="37">
        <f t="shared" si="107"/>
        <v>22702117</v>
      </c>
      <c r="O385" s="40">
        <f t="shared" si="105"/>
        <v>9080847</v>
      </c>
      <c r="P385" s="41" t="s">
        <v>322</v>
      </c>
      <c r="Q385" s="55"/>
      <c r="R385" s="42">
        <f t="shared" si="103"/>
        <v>13621270</v>
      </c>
      <c r="S385" s="55"/>
      <c r="T385" s="55"/>
      <c r="U385" s="55"/>
      <c r="V385" s="34" t="s">
        <v>261</v>
      </c>
      <c r="W385" s="43">
        <v>44979</v>
      </c>
      <c r="X385" s="44" t="s">
        <v>273</v>
      </c>
    </row>
    <row r="386" spans="1:24" ht="17.45" customHeight="1" x14ac:dyDescent="0.25">
      <c r="A386" t="str">
        <f t="shared" si="98"/>
        <v>24530183274462022182309</v>
      </c>
      <c r="B386" s="6">
        <f t="shared" ref="B386:B449" si="109">_xlfn.MAXIFS(W:W,E:E,E386)</f>
        <v>45467</v>
      </c>
      <c r="C386" s="3">
        <f t="shared" ref="C386:C449" si="110">_xlfn.MAXIFS(L:L,E:E,E386)</f>
        <v>61078665.000000007</v>
      </c>
      <c r="D386" s="34">
        <v>2021</v>
      </c>
      <c r="E386" s="35">
        <v>2453018327</v>
      </c>
      <c r="F386" s="36" t="s">
        <v>196</v>
      </c>
      <c r="G386" s="37">
        <v>570067542</v>
      </c>
      <c r="H386" s="37">
        <v>61078665</v>
      </c>
      <c r="I386" s="38">
        <f>+H386/G386</f>
        <v>0.10714285676696184</v>
      </c>
      <c r="J386" s="38">
        <f t="shared" si="106"/>
        <v>0.11999999952847692</v>
      </c>
      <c r="K386" s="37">
        <v>207034881</v>
      </c>
      <c r="L386" s="37">
        <f t="shared" si="104"/>
        <v>22182309</v>
      </c>
      <c r="M386" s="39">
        <f>L148</f>
        <v>18323600</v>
      </c>
      <c r="N386" s="37">
        <f t="shared" si="107"/>
        <v>3858709</v>
      </c>
      <c r="O386" s="40">
        <f t="shared" si="105"/>
        <v>1543484</v>
      </c>
      <c r="P386" s="41" t="s">
        <v>322</v>
      </c>
      <c r="Q386" s="55"/>
      <c r="R386" s="42">
        <f t="shared" si="103"/>
        <v>2315225</v>
      </c>
      <c r="S386" s="55"/>
      <c r="T386" s="55"/>
      <c r="U386" s="55"/>
      <c r="V386" s="34" t="s">
        <v>261</v>
      </c>
      <c r="W386" s="43">
        <v>44620</v>
      </c>
      <c r="X386" s="44"/>
    </row>
    <row r="387" spans="1:24" ht="17.45" customHeight="1" x14ac:dyDescent="0.25">
      <c r="A387" t="str">
        <f t="shared" ref="A387:A450" si="111">_xlfn.CONCAT(E387,W387,L387)</f>
        <v>23530183374504096526030</v>
      </c>
      <c r="B387" s="6">
        <f t="shared" si="109"/>
        <v>45071</v>
      </c>
      <c r="C387" s="3">
        <f t="shared" si="110"/>
        <v>112677827</v>
      </c>
      <c r="D387" s="34">
        <v>2022</v>
      </c>
      <c r="E387" s="35">
        <v>2353018337</v>
      </c>
      <c r="F387" s="36" t="s">
        <v>279</v>
      </c>
      <c r="G387" s="37">
        <v>1746041438</v>
      </c>
      <c r="H387" s="37">
        <v>187075868</v>
      </c>
      <c r="I387" s="38">
        <f>H387/G387</f>
        <v>0.10714285693831282</v>
      </c>
      <c r="J387" s="38">
        <f t="shared" si="106"/>
        <v>0.1199999997434196</v>
      </c>
      <c r="K387" s="37">
        <v>900909616</v>
      </c>
      <c r="L387" s="37">
        <f t="shared" ref="L387:L408" si="112">ROUND((+K387*I387),0)</f>
        <v>96526030</v>
      </c>
      <c r="M387" s="39">
        <v>89982663</v>
      </c>
      <c r="N387" s="37">
        <f t="shared" si="107"/>
        <v>6543367</v>
      </c>
      <c r="O387" s="40">
        <f t="shared" si="105"/>
        <v>2617347</v>
      </c>
      <c r="P387" s="41" t="s">
        <v>322</v>
      </c>
      <c r="Q387" s="55"/>
      <c r="R387" s="42">
        <f t="shared" si="103"/>
        <v>3926020</v>
      </c>
      <c r="S387" s="55"/>
      <c r="T387" s="55"/>
      <c r="U387" s="55"/>
      <c r="V387" s="34" t="s">
        <v>261</v>
      </c>
      <c r="W387" s="43">
        <v>45040</v>
      </c>
      <c r="X387" s="44" t="s">
        <v>280</v>
      </c>
    </row>
    <row r="388" spans="1:24" ht="17.45" customHeight="1" x14ac:dyDescent="0.25">
      <c r="A388" t="str">
        <f t="shared" si="111"/>
        <v>29109067564504098197905</v>
      </c>
      <c r="B388" s="6">
        <f t="shared" si="109"/>
        <v>45828</v>
      </c>
      <c r="C388" s="3">
        <f t="shared" si="110"/>
        <v>200890598.73619679</v>
      </c>
      <c r="D388" s="34">
        <v>2021</v>
      </c>
      <c r="E388" s="35">
        <v>2910906756</v>
      </c>
      <c r="F388" s="36" t="s">
        <v>212</v>
      </c>
      <c r="G388" s="37">
        <v>2844873087</v>
      </c>
      <c r="H388" s="37">
        <v>304807831</v>
      </c>
      <c r="I388" s="38">
        <v>0.10714285723073452</v>
      </c>
      <c r="J388" s="38">
        <v>0.12000000011023339</v>
      </c>
      <c r="K388" s="37">
        <v>916513775</v>
      </c>
      <c r="L388" s="37">
        <f t="shared" si="112"/>
        <v>98197905</v>
      </c>
      <c r="M388" s="39">
        <v>95295530</v>
      </c>
      <c r="N388" s="37">
        <f t="shared" si="107"/>
        <v>2902375</v>
      </c>
      <c r="O388" s="40">
        <f t="shared" si="105"/>
        <v>1160950</v>
      </c>
      <c r="P388" s="41" t="s">
        <v>322</v>
      </c>
      <c r="Q388" s="55"/>
      <c r="R388" s="42">
        <f t="shared" si="103"/>
        <v>1741425</v>
      </c>
      <c r="S388" s="55"/>
      <c r="T388" s="55"/>
      <c r="U388" s="55"/>
      <c r="V388" s="34" t="s">
        <v>261</v>
      </c>
      <c r="W388" s="43">
        <v>45040</v>
      </c>
      <c r="X388" s="44" t="s">
        <v>273</v>
      </c>
    </row>
    <row r="389" spans="1:24" ht="17.45" customHeight="1" x14ac:dyDescent="0.25">
      <c r="A389" t="str">
        <f t="shared" si="111"/>
        <v>29109080609917792</v>
      </c>
      <c r="B389" s="6">
        <f t="shared" si="109"/>
        <v>45099</v>
      </c>
      <c r="C389" s="3">
        <f t="shared" si="110"/>
        <v>44092486</v>
      </c>
      <c r="D389" s="34">
        <v>2022</v>
      </c>
      <c r="E389" s="35">
        <v>2910908060</v>
      </c>
      <c r="F389" s="36" t="s">
        <v>326</v>
      </c>
      <c r="G389" s="37">
        <v>411529874</v>
      </c>
      <c r="H389" s="37">
        <v>44092486</v>
      </c>
      <c r="I389" s="38">
        <v>0.10714285723073452</v>
      </c>
      <c r="J389" s="38">
        <v>0.12000000011023339</v>
      </c>
      <c r="K389" s="37">
        <v>92566060</v>
      </c>
      <c r="L389" s="37">
        <f t="shared" si="112"/>
        <v>9917792</v>
      </c>
      <c r="M389" s="39">
        <v>0</v>
      </c>
      <c r="N389" s="37">
        <f t="shared" si="107"/>
        <v>9917792</v>
      </c>
      <c r="O389" s="40">
        <f t="shared" si="105"/>
        <v>3967117</v>
      </c>
      <c r="P389" s="41" t="s">
        <v>322</v>
      </c>
      <c r="Q389" s="55"/>
      <c r="R389" s="42">
        <f t="shared" si="103"/>
        <v>5950675</v>
      </c>
      <c r="S389" s="55"/>
      <c r="T389" s="55"/>
      <c r="U389" s="55"/>
      <c r="V389" s="34" t="s">
        <v>261</v>
      </c>
      <c r="W389" s="43"/>
      <c r="X389" s="44"/>
    </row>
    <row r="390" spans="1:24" ht="17.45" customHeight="1" x14ac:dyDescent="0.25">
      <c r="A390" t="str">
        <f t="shared" si="111"/>
        <v>291090675645042106708946</v>
      </c>
      <c r="B390" s="6">
        <f t="shared" si="109"/>
        <v>45828</v>
      </c>
      <c r="C390" s="3">
        <f t="shared" si="110"/>
        <v>200890598.73619679</v>
      </c>
      <c r="D390" s="34">
        <v>2021</v>
      </c>
      <c r="E390" s="35">
        <v>2910906756</v>
      </c>
      <c r="F390" s="36" t="s">
        <v>212</v>
      </c>
      <c r="G390" s="37">
        <v>2844873087</v>
      </c>
      <c r="H390" s="37">
        <v>304807831</v>
      </c>
      <c r="I390" s="38">
        <v>0.10714285723073452</v>
      </c>
      <c r="J390" s="38">
        <v>0.12000000011023339</v>
      </c>
      <c r="K390" s="37">
        <v>995950159</v>
      </c>
      <c r="L390" s="37">
        <f t="shared" si="112"/>
        <v>106708946</v>
      </c>
      <c r="M390" s="39">
        <f>L388</f>
        <v>98197905</v>
      </c>
      <c r="N390" s="37">
        <f t="shared" si="107"/>
        <v>8511041</v>
      </c>
      <c r="O390" s="40">
        <f t="shared" si="105"/>
        <v>3404416</v>
      </c>
      <c r="P390" s="41" t="s">
        <v>322</v>
      </c>
      <c r="Q390" s="55"/>
      <c r="R390" s="42">
        <f t="shared" si="103"/>
        <v>5106625</v>
      </c>
      <c r="S390" s="55"/>
      <c r="T390" s="55"/>
      <c r="U390" s="55"/>
      <c r="V390" s="34" t="s">
        <v>261</v>
      </c>
      <c r="W390" s="43">
        <v>45042</v>
      </c>
      <c r="X390" s="44" t="s">
        <v>273</v>
      </c>
    </row>
    <row r="391" spans="1:24" ht="17.45" customHeight="1" x14ac:dyDescent="0.25">
      <c r="A391" t="str">
        <f t="shared" si="111"/>
        <v>29109067894504240989258</v>
      </c>
      <c r="B391" s="6">
        <f t="shared" si="109"/>
        <v>45891</v>
      </c>
      <c r="C391" s="3">
        <f t="shared" si="110"/>
        <v>194667600.36437911</v>
      </c>
      <c r="D391" s="34">
        <v>2022</v>
      </c>
      <c r="E391" s="35">
        <v>2910906789</v>
      </c>
      <c r="F391" s="36" t="s">
        <v>289</v>
      </c>
      <c r="G391" s="37">
        <v>9124262365</v>
      </c>
      <c r="H391" s="37">
        <v>977599539</v>
      </c>
      <c r="I391" s="38">
        <f>+H391/G391</f>
        <v>0.10714285713111452</v>
      </c>
      <c r="J391" s="38">
        <f t="shared" ref="J391:J406" si="113">IFERROR((+H391/(G391-H391)),0)</f>
        <v>0.11999999998527004</v>
      </c>
      <c r="K391" s="37">
        <v>382566407</v>
      </c>
      <c r="L391" s="37">
        <f t="shared" si="112"/>
        <v>40989258</v>
      </c>
      <c r="M391" s="39">
        <f>L374</f>
        <v>40399972</v>
      </c>
      <c r="N391" s="37">
        <f t="shared" si="107"/>
        <v>589286</v>
      </c>
      <c r="O391" s="40">
        <f t="shared" si="105"/>
        <v>235714</v>
      </c>
      <c r="P391" s="41" t="s">
        <v>322</v>
      </c>
      <c r="Q391" s="55"/>
      <c r="R391" s="42">
        <f t="shared" si="103"/>
        <v>353572</v>
      </c>
      <c r="S391" s="55"/>
      <c r="T391" s="55"/>
      <c r="U391" s="55"/>
      <c r="V391" s="34" t="s">
        <v>261</v>
      </c>
      <c r="W391" s="43">
        <v>45042</v>
      </c>
      <c r="X391" s="44" t="s">
        <v>273</v>
      </c>
    </row>
    <row r="392" spans="1:24" ht="17.45" customHeight="1" x14ac:dyDescent="0.25">
      <c r="A392" t="str">
        <f t="shared" si="111"/>
        <v>24530183214504240539368</v>
      </c>
      <c r="B392" s="6">
        <f t="shared" si="109"/>
        <v>45042</v>
      </c>
      <c r="C392" s="3">
        <f t="shared" si="110"/>
        <v>40539368</v>
      </c>
      <c r="D392" s="34">
        <v>2021</v>
      </c>
      <c r="E392" s="35">
        <v>2453018321</v>
      </c>
      <c r="F392" s="36" t="s">
        <v>186</v>
      </c>
      <c r="G392" s="37">
        <v>439581220</v>
      </c>
      <c r="H392" s="37">
        <v>45514685</v>
      </c>
      <c r="I392" s="38">
        <f>+H392/G392</f>
        <v>0.10354101342181998</v>
      </c>
      <c r="J392" s="38">
        <f t="shared" si="113"/>
        <v>0.11550000052656083</v>
      </c>
      <c r="K392" s="37">
        <v>391529566</v>
      </c>
      <c r="L392" s="37">
        <f t="shared" si="112"/>
        <v>40539368</v>
      </c>
      <c r="M392" s="39">
        <f>L137</f>
        <v>22757343</v>
      </c>
      <c r="N392" s="37">
        <f t="shared" si="107"/>
        <v>17782025</v>
      </c>
      <c r="O392" s="40">
        <f t="shared" si="105"/>
        <v>7112810</v>
      </c>
      <c r="P392" s="41" t="s">
        <v>322</v>
      </c>
      <c r="Q392" s="55"/>
      <c r="R392" s="42">
        <f t="shared" si="103"/>
        <v>10669215</v>
      </c>
      <c r="S392" s="55"/>
      <c r="T392" s="55"/>
      <c r="U392" s="55"/>
      <c r="V392" s="34" t="s">
        <v>261</v>
      </c>
      <c r="W392" s="43">
        <v>45042</v>
      </c>
      <c r="X392" s="44" t="s">
        <v>273</v>
      </c>
    </row>
    <row r="393" spans="1:24" ht="17.45" customHeight="1" x14ac:dyDescent="0.25">
      <c r="A393" t="str">
        <f t="shared" si="111"/>
        <v>291090721445042983742</v>
      </c>
      <c r="B393" s="6">
        <f t="shared" si="109"/>
        <v>45316</v>
      </c>
      <c r="C393" s="3">
        <f t="shared" si="110"/>
        <v>18592800</v>
      </c>
      <c r="D393" s="34">
        <v>2022</v>
      </c>
      <c r="E393" s="35">
        <v>2910907214</v>
      </c>
      <c r="F393" s="36" t="s">
        <v>327</v>
      </c>
      <c r="G393" s="37">
        <v>173532800</v>
      </c>
      <c r="H393" s="37">
        <v>18592800</v>
      </c>
      <c r="I393" s="38">
        <f>+H393/G393</f>
        <v>0.10714285714285714</v>
      </c>
      <c r="J393" s="38">
        <f t="shared" si="113"/>
        <v>0.12</v>
      </c>
      <c r="K393" s="37">
        <v>9181594</v>
      </c>
      <c r="L393" s="37">
        <f t="shared" si="112"/>
        <v>983742</v>
      </c>
      <c r="M393" s="39">
        <v>0</v>
      </c>
      <c r="N393" s="37">
        <f t="shared" si="107"/>
        <v>983742</v>
      </c>
      <c r="O393" s="40">
        <f t="shared" si="105"/>
        <v>393497</v>
      </c>
      <c r="P393" s="41" t="s">
        <v>322</v>
      </c>
      <c r="Q393" s="55"/>
      <c r="R393" s="42">
        <f t="shared" si="103"/>
        <v>590245</v>
      </c>
      <c r="S393" s="55"/>
      <c r="T393" s="55"/>
      <c r="U393" s="55"/>
      <c r="V393" s="34" t="s">
        <v>261</v>
      </c>
      <c r="W393" s="43">
        <v>45042</v>
      </c>
      <c r="X393" s="44"/>
    </row>
    <row r="394" spans="1:24" ht="17.45" customHeight="1" x14ac:dyDescent="0.25">
      <c r="A394" t="str">
        <f t="shared" si="111"/>
        <v>24530183254504269898251</v>
      </c>
      <c r="B394" s="6">
        <f t="shared" si="109"/>
        <v>45042</v>
      </c>
      <c r="C394" s="3">
        <f t="shared" si="110"/>
        <v>78962612</v>
      </c>
      <c r="D394" s="34">
        <v>2021</v>
      </c>
      <c r="E394" s="35">
        <v>2453018325</v>
      </c>
      <c r="F394" s="36" t="s">
        <v>194</v>
      </c>
      <c r="G394" s="37">
        <v>744689120</v>
      </c>
      <c r="H394" s="37">
        <v>79788120</v>
      </c>
      <c r="I394" s="38">
        <f>+H394/G394</f>
        <v>0.10714285714285714</v>
      </c>
      <c r="J394" s="38">
        <f t="shared" si="113"/>
        <v>0.12</v>
      </c>
      <c r="K394" s="37">
        <v>652383677</v>
      </c>
      <c r="L394" s="37">
        <f t="shared" si="112"/>
        <v>69898251</v>
      </c>
      <c r="M394" s="39">
        <f>L327</f>
        <v>66399030</v>
      </c>
      <c r="N394" s="37">
        <f t="shared" si="107"/>
        <v>3499221</v>
      </c>
      <c r="O394" s="40">
        <f t="shared" si="105"/>
        <v>1399688</v>
      </c>
      <c r="P394" s="41" t="s">
        <v>322</v>
      </c>
      <c r="Q394" s="55"/>
      <c r="R394" s="42">
        <f t="shared" si="103"/>
        <v>2099533</v>
      </c>
      <c r="S394" s="55"/>
      <c r="T394" s="55"/>
      <c r="U394" s="55"/>
      <c r="V394" s="34" t="s">
        <v>261</v>
      </c>
      <c r="W394" s="43">
        <v>45042</v>
      </c>
      <c r="X394" s="44" t="s">
        <v>273</v>
      </c>
    </row>
    <row r="395" spans="1:24" ht="17.45" customHeight="1" x14ac:dyDescent="0.25">
      <c r="A395" t="str">
        <f t="shared" si="111"/>
        <v>24530183364504361467018</v>
      </c>
      <c r="B395" s="6">
        <f t="shared" si="109"/>
        <v>45070</v>
      </c>
      <c r="C395" s="3">
        <f t="shared" si="110"/>
        <v>74596391</v>
      </c>
      <c r="D395" s="34">
        <v>2022</v>
      </c>
      <c r="E395" s="35">
        <v>2453018336</v>
      </c>
      <c r="F395" s="36" t="s">
        <v>266</v>
      </c>
      <c r="G395" s="37">
        <v>696232978</v>
      </c>
      <c r="H395" s="37">
        <v>74596391</v>
      </c>
      <c r="I395" s="38">
        <f>+H395/G395</f>
        <v>0.10714285786100755</v>
      </c>
      <c r="J395" s="38">
        <f t="shared" si="113"/>
        <v>0.12000000090084788</v>
      </c>
      <c r="K395" s="37">
        <v>573692161</v>
      </c>
      <c r="L395" s="37">
        <f t="shared" si="112"/>
        <v>61467018</v>
      </c>
      <c r="M395" s="39">
        <f>L385</f>
        <v>60200350</v>
      </c>
      <c r="N395" s="37">
        <f t="shared" si="107"/>
        <v>1266668</v>
      </c>
      <c r="O395" s="40">
        <f t="shared" si="105"/>
        <v>506667</v>
      </c>
      <c r="P395" s="41" t="s">
        <v>322</v>
      </c>
      <c r="Q395" s="55"/>
      <c r="R395" s="42">
        <f t="shared" si="103"/>
        <v>760001</v>
      </c>
      <c r="S395" s="55"/>
      <c r="T395" s="55"/>
      <c r="U395" s="55"/>
      <c r="V395" s="34" t="s">
        <v>261</v>
      </c>
      <c r="W395" s="43">
        <v>45043</v>
      </c>
      <c r="X395" s="44" t="s">
        <v>273</v>
      </c>
    </row>
    <row r="396" spans="1:24" ht="17.45" customHeight="1" x14ac:dyDescent="0.25">
      <c r="A396" t="str">
        <f t="shared" si="111"/>
        <v>245301833045043188897231</v>
      </c>
      <c r="B396" s="6">
        <f t="shared" si="109"/>
        <v>45912</v>
      </c>
      <c r="C396" s="3">
        <f t="shared" si="110"/>
        <v>259214159</v>
      </c>
      <c r="D396" s="34">
        <v>2021</v>
      </c>
      <c r="E396" s="35">
        <v>2453018330</v>
      </c>
      <c r="F396" s="36" t="s">
        <v>198</v>
      </c>
      <c r="G396" s="37">
        <v>2419332150</v>
      </c>
      <c r="H396" s="37">
        <v>259214159</v>
      </c>
      <c r="I396" s="38">
        <f>H396/G396</f>
        <v>0.10714285717238123</v>
      </c>
      <c r="J396" s="38">
        <f t="shared" si="113"/>
        <v>0.12000000003703501</v>
      </c>
      <c r="K396" s="37">
        <v>1763040818</v>
      </c>
      <c r="L396" s="37">
        <f t="shared" si="112"/>
        <v>188897231</v>
      </c>
      <c r="M396" s="39">
        <f>L346</f>
        <v>186058547</v>
      </c>
      <c r="N396" s="37">
        <v>2768855</v>
      </c>
      <c r="O396" s="40">
        <f t="shared" si="105"/>
        <v>1107542</v>
      </c>
      <c r="P396" s="41" t="s">
        <v>322</v>
      </c>
      <c r="Q396" s="55"/>
      <c r="R396" s="42">
        <f t="shared" si="103"/>
        <v>1661313</v>
      </c>
      <c r="S396" s="55"/>
      <c r="T396" s="55"/>
      <c r="U396" s="55"/>
      <c r="V396" s="34" t="s">
        <v>261</v>
      </c>
      <c r="W396" s="43">
        <v>45043</v>
      </c>
      <c r="X396" s="44" t="s">
        <v>328</v>
      </c>
    </row>
    <row r="397" spans="1:24" ht="17.45" customHeight="1" x14ac:dyDescent="0.25">
      <c r="A397" t="str">
        <f t="shared" si="111"/>
        <v>2910906797450437044107</v>
      </c>
      <c r="B397" s="6">
        <f t="shared" si="109"/>
        <v>45195</v>
      </c>
      <c r="C397" s="3">
        <f t="shared" si="110"/>
        <v>27968302</v>
      </c>
      <c r="D397" s="34">
        <v>2022</v>
      </c>
      <c r="E397" s="35">
        <v>2910906797</v>
      </c>
      <c r="F397" s="36" t="s">
        <v>329</v>
      </c>
      <c r="G397" s="37">
        <v>349990900</v>
      </c>
      <c r="H397" s="37">
        <v>37499025</v>
      </c>
      <c r="I397" s="38">
        <f>H397/G397</f>
        <v>0.10714285714285714</v>
      </c>
      <c r="J397" s="38">
        <f t="shared" si="113"/>
        <v>0.12</v>
      </c>
      <c r="K397" s="37">
        <v>65745000</v>
      </c>
      <c r="L397" s="37">
        <f t="shared" si="112"/>
        <v>7044107</v>
      </c>
      <c r="M397" s="39">
        <v>0</v>
      </c>
      <c r="N397" s="37">
        <f t="shared" ref="N397:N428" si="114">+L397-M397</f>
        <v>7044107</v>
      </c>
      <c r="O397" s="40">
        <f t="shared" si="105"/>
        <v>2817643</v>
      </c>
      <c r="P397" s="41" t="s">
        <v>322</v>
      </c>
      <c r="Q397" s="55"/>
      <c r="R397" s="42">
        <f t="shared" si="103"/>
        <v>4226464</v>
      </c>
      <c r="S397" s="55"/>
      <c r="T397" s="55"/>
      <c r="U397" s="55"/>
      <c r="V397" s="34" t="s">
        <v>261</v>
      </c>
      <c r="W397" s="43">
        <v>45043</v>
      </c>
      <c r="X397" s="44" t="s">
        <v>273</v>
      </c>
    </row>
    <row r="398" spans="1:24" ht="17.45" customHeight="1" x14ac:dyDescent="0.25">
      <c r="A398" t="str">
        <f t="shared" si="111"/>
        <v>29109067754504316917280</v>
      </c>
      <c r="B398" s="6">
        <f t="shared" si="109"/>
        <v>45103</v>
      </c>
      <c r="C398" s="3">
        <f t="shared" si="110"/>
        <v>45321429</v>
      </c>
      <c r="D398" s="34">
        <v>2021</v>
      </c>
      <c r="E398" s="35">
        <v>2910906775</v>
      </c>
      <c r="F398" s="36" t="s">
        <v>284</v>
      </c>
      <c r="G398" s="37">
        <v>423000000</v>
      </c>
      <c r="H398" s="37">
        <v>45321429</v>
      </c>
      <c r="I398" s="38">
        <f t="shared" ref="I398:I403" si="115">+H398/G398</f>
        <v>0.10714285815602836</v>
      </c>
      <c r="J398" s="38">
        <f t="shared" si="113"/>
        <v>0.12000000127092199</v>
      </c>
      <c r="K398" s="37">
        <v>157894611</v>
      </c>
      <c r="L398" s="37">
        <f t="shared" si="112"/>
        <v>16917280</v>
      </c>
      <c r="M398" s="39">
        <f>L285</f>
        <v>14318959</v>
      </c>
      <c r="N398" s="37">
        <f t="shared" si="114"/>
        <v>2598321</v>
      </c>
      <c r="O398" s="40">
        <f t="shared" si="105"/>
        <v>1039328</v>
      </c>
      <c r="P398" s="41" t="s">
        <v>322</v>
      </c>
      <c r="Q398" s="55"/>
      <c r="R398" s="42">
        <f t="shared" si="103"/>
        <v>1558993</v>
      </c>
      <c r="S398" s="55"/>
      <c r="T398" s="55"/>
      <c r="U398" s="55"/>
      <c r="V398" s="34" t="s">
        <v>261</v>
      </c>
      <c r="W398" s="43">
        <v>45043</v>
      </c>
      <c r="X398" s="44" t="s">
        <v>273</v>
      </c>
    </row>
    <row r="399" spans="1:24" ht="17.45" customHeight="1" x14ac:dyDescent="0.25">
      <c r="A399" t="str">
        <f t="shared" si="111"/>
        <v>2910907221450432615164</v>
      </c>
      <c r="B399" s="6">
        <f t="shared" si="109"/>
        <v>45742</v>
      </c>
      <c r="C399" s="3">
        <f t="shared" si="110"/>
        <v>25740314.108714286</v>
      </c>
      <c r="D399" s="34">
        <v>2023</v>
      </c>
      <c r="E399" s="35">
        <v>2910907221</v>
      </c>
      <c r="F399" s="36" t="s">
        <v>330</v>
      </c>
      <c r="G399" s="37">
        <v>242915000</v>
      </c>
      <c r="H399" s="37">
        <v>26026607</v>
      </c>
      <c r="I399" s="38">
        <f t="shared" si="115"/>
        <v>0.10714285655476195</v>
      </c>
      <c r="J399" s="38">
        <f t="shared" si="113"/>
        <v>0.11999999926229339</v>
      </c>
      <c r="K399" s="37">
        <v>24408197</v>
      </c>
      <c r="L399" s="37">
        <f t="shared" si="112"/>
        <v>2615164</v>
      </c>
      <c r="M399" s="39">
        <v>0</v>
      </c>
      <c r="N399" s="37">
        <f t="shared" si="114"/>
        <v>2615164</v>
      </c>
      <c r="O399" s="40">
        <f t="shared" si="105"/>
        <v>1046066</v>
      </c>
      <c r="P399" s="41" t="s">
        <v>322</v>
      </c>
      <c r="Q399" s="55"/>
      <c r="R399" s="42">
        <f t="shared" si="103"/>
        <v>1569098</v>
      </c>
      <c r="S399" s="55"/>
      <c r="T399" s="55"/>
      <c r="U399" s="55"/>
      <c r="V399" s="34" t="s">
        <v>261</v>
      </c>
      <c r="W399" s="43">
        <v>45043</v>
      </c>
      <c r="X399" s="44"/>
    </row>
    <row r="400" spans="1:24" ht="17.45" customHeight="1" x14ac:dyDescent="0.25">
      <c r="A400" t="str">
        <f t="shared" si="111"/>
        <v>29109067584504359001943</v>
      </c>
      <c r="B400" s="6">
        <f t="shared" si="109"/>
        <v>45223</v>
      </c>
      <c r="C400" s="3">
        <f t="shared" si="110"/>
        <v>70798215</v>
      </c>
      <c r="D400" s="34">
        <v>2021</v>
      </c>
      <c r="E400" s="35">
        <v>2910906758</v>
      </c>
      <c r="F400" s="36" t="s">
        <v>297</v>
      </c>
      <c r="G400" s="37">
        <v>660783000</v>
      </c>
      <c r="H400" s="37">
        <v>70798215</v>
      </c>
      <c r="I400" s="38">
        <f t="shared" si="115"/>
        <v>0.10714291227225882</v>
      </c>
      <c r="J400" s="38">
        <f t="shared" si="113"/>
        <v>0.12000006915432573</v>
      </c>
      <c r="K400" s="37">
        <v>550684519</v>
      </c>
      <c r="L400" s="37">
        <f t="shared" si="112"/>
        <v>59001943</v>
      </c>
      <c r="M400" s="39">
        <f>L358</f>
        <v>57026518</v>
      </c>
      <c r="N400" s="37">
        <f t="shared" si="114"/>
        <v>1975425</v>
      </c>
      <c r="O400" s="40">
        <f>ROUND((+N400*0.4),0)</f>
        <v>790170</v>
      </c>
      <c r="P400" s="41" t="s">
        <v>322</v>
      </c>
      <c r="Q400" s="55"/>
      <c r="R400" s="42">
        <f t="shared" si="103"/>
        <v>1185255</v>
      </c>
      <c r="S400" s="55"/>
      <c r="T400" s="55"/>
      <c r="U400" s="55"/>
      <c r="V400" s="34" t="s">
        <v>261</v>
      </c>
      <c r="W400" s="43">
        <v>45043</v>
      </c>
      <c r="X400" s="44" t="s">
        <v>273</v>
      </c>
    </row>
    <row r="401" spans="1:24" ht="17.45" customHeight="1" x14ac:dyDescent="0.25">
      <c r="A401" t="str">
        <f t="shared" si="111"/>
        <v>29109067704504314577203</v>
      </c>
      <c r="B401" s="6">
        <f t="shared" si="109"/>
        <v>45098</v>
      </c>
      <c r="C401" s="3">
        <f t="shared" si="110"/>
        <v>22588645</v>
      </c>
      <c r="D401" s="34">
        <v>2021</v>
      </c>
      <c r="E401" s="35">
        <v>2910906770</v>
      </c>
      <c r="F401" s="36" t="s">
        <v>223</v>
      </c>
      <c r="G401" s="37">
        <v>276617170</v>
      </c>
      <c r="H401" s="37">
        <v>29637554</v>
      </c>
      <c r="I401" s="38">
        <f t="shared" si="115"/>
        <v>0.1071428574010789</v>
      </c>
      <c r="J401" s="38">
        <f t="shared" si="113"/>
        <v>0.12000000032391338</v>
      </c>
      <c r="K401" s="37">
        <v>136053898</v>
      </c>
      <c r="L401" s="37">
        <f t="shared" si="112"/>
        <v>14577203</v>
      </c>
      <c r="M401" s="39">
        <f>L362</f>
        <v>13832889</v>
      </c>
      <c r="N401" s="37">
        <f t="shared" si="114"/>
        <v>744314</v>
      </c>
      <c r="O401" s="40">
        <f t="shared" ref="O401:O432" si="116">ROUND((N401*40%),0)</f>
        <v>297726</v>
      </c>
      <c r="P401" s="41" t="s">
        <v>322</v>
      </c>
      <c r="Q401" s="55"/>
      <c r="R401" s="42">
        <f t="shared" si="103"/>
        <v>446588</v>
      </c>
      <c r="S401" s="55"/>
      <c r="T401" s="55"/>
      <c r="U401" s="55"/>
      <c r="V401" s="34" t="s">
        <v>261</v>
      </c>
      <c r="W401" s="43">
        <v>45043</v>
      </c>
      <c r="X401" s="44" t="s">
        <v>273</v>
      </c>
    </row>
    <row r="402" spans="1:24" ht="17.45" customHeight="1" x14ac:dyDescent="0.25">
      <c r="A402" t="str">
        <f t="shared" si="111"/>
        <v>29109067734504315162255</v>
      </c>
      <c r="B402" s="6">
        <f t="shared" si="109"/>
        <v>45043</v>
      </c>
      <c r="C402" s="3">
        <f t="shared" si="110"/>
        <v>15162255</v>
      </c>
      <c r="D402" s="34">
        <v>2021</v>
      </c>
      <c r="E402" s="35">
        <v>2910906773</v>
      </c>
      <c r="F402" s="36" t="s">
        <v>224</v>
      </c>
      <c r="G402" s="37">
        <v>248617174</v>
      </c>
      <c r="H402" s="37">
        <v>26637554</v>
      </c>
      <c r="I402" s="38">
        <f t="shared" si="115"/>
        <v>0.1071428557063399</v>
      </c>
      <c r="J402" s="38">
        <f t="shared" si="113"/>
        <v>0.11999999819803278</v>
      </c>
      <c r="K402" s="37">
        <v>141514384</v>
      </c>
      <c r="L402" s="37">
        <f t="shared" si="112"/>
        <v>15162255</v>
      </c>
      <c r="M402" s="39">
        <f>L257</f>
        <v>13055751</v>
      </c>
      <c r="N402" s="37">
        <f t="shared" si="114"/>
        <v>2106504</v>
      </c>
      <c r="O402" s="40">
        <f t="shared" si="116"/>
        <v>842602</v>
      </c>
      <c r="P402" s="41" t="s">
        <v>322</v>
      </c>
      <c r="Q402" s="55"/>
      <c r="R402" s="42">
        <f t="shared" si="103"/>
        <v>1263902</v>
      </c>
      <c r="S402" s="55"/>
      <c r="T402" s="55"/>
      <c r="U402" s="55"/>
      <c r="V402" s="34" t="s">
        <v>261</v>
      </c>
      <c r="W402" s="43">
        <v>45043</v>
      </c>
      <c r="X402" s="44" t="s">
        <v>273</v>
      </c>
    </row>
    <row r="403" spans="1:24" ht="17.45" customHeight="1" x14ac:dyDescent="0.25">
      <c r="A403" t="str">
        <f t="shared" si="111"/>
        <v>2910906781450437640430</v>
      </c>
      <c r="B403" s="6">
        <f t="shared" si="109"/>
        <v>45098</v>
      </c>
      <c r="C403" s="3">
        <f t="shared" si="110"/>
        <v>10500000</v>
      </c>
      <c r="D403" s="34">
        <v>2022</v>
      </c>
      <c r="E403" s="35">
        <v>2910906781</v>
      </c>
      <c r="F403" s="36" t="s">
        <v>269</v>
      </c>
      <c r="G403" s="37">
        <v>98000000</v>
      </c>
      <c r="H403" s="37">
        <v>10500000</v>
      </c>
      <c r="I403" s="38">
        <f t="shared" si="115"/>
        <v>0.10714285714285714</v>
      </c>
      <c r="J403" s="38">
        <f t="shared" si="113"/>
        <v>0.12</v>
      </c>
      <c r="K403" s="37">
        <v>71310680</v>
      </c>
      <c r="L403" s="37">
        <f t="shared" si="112"/>
        <v>7640430</v>
      </c>
      <c r="M403" s="39">
        <f>L236</f>
        <v>2485714</v>
      </c>
      <c r="N403" s="37">
        <f t="shared" si="114"/>
        <v>5154716</v>
      </c>
      <c r="O403" s="40">
        <f t="shared" si="116"/>
        <v>2061886</v>
      </c>
      <c r="P403" s="41" t="s">
        <v>322</v>
      </c>
      <c r="Q403" s="55"/>
      <c r="R403" s="42">
        <f t="shared" si="103"/>
        <v>3092830</v>
      </c>
      <c r="S403" s="55"/>
      <c r="T403" s="55"/>
      <c r="U403" s="55"/>
      <c r="V403" s="34" t="s">
        <v>261</v>
      </c>
      <c r="W403" s="43">
        <v>45043</v>
      </c>
      <c r="X403" s="44" t="s">
        <v>273</v>
      </c>
    </row>
    <row r="404" spans="1:24" ht="17.45" customHeight="1" x14ac:dyDescent="0.25">
      <c r="A404" t="str">
        <f t="shared" si="111"/>
        <v>2910906764450438109611</v>
      </c>
      <c r="B404" s="6">
        <f t="shared" si="109"/>
        <v>45586</v>
      </c>
      <c r="C404" s="3">
        <f t="shared" si="110"/>
        <v>12214286</v>
      </c>
      <c r="D404" s="34">
        <v>2021</v>
      </c>
      <c r="E404" s="35">
        <v>2910906764</v>
      </c>
      <c r="F404" s="36" t="s">
        <v>218</v>
      </c>
      <c r="G404" s="37">
        <v>114000000</v>
      </c>
      <c r="H404" s="37">
        <v>12214286</v>
      </c>
      <c r="I404" s="38">
        <f>H404/G404</f>
        <v>0.1071428596491228</v>
      </c>
      <c r="J404" s="38">
        <f t="shared" si="113"/>
        <v>0.12000000314385965</v>
      </c>
      <c r="K404" s="37">
        <v>75689705</v>
      </c>
      <c r="L404" s="37">
        <f t="shared" si="112"/>
        <v>8109611</v>
      </c>
      <c r="M404" s="39">
        <v>5842201</v>
      </c>
      <c r="N404" s="37">
        <f t="shared" si="114"/>
        <v>2267410</v>
      </c>
      <c r="O404" s="40">
        <f t="shared" si="116"/>
        <v>906964</v>
      </c>
      <c r="P404" s="41" t="s">
        <v>322</v>
      </c>
      <c r="Q404" s="55"/>
      <c r="R404" s="42">
        <f t="shared" si="103"/>
        <v>1360446</v>
      </c>
      <c r="S404" s="55"/>
      <c r="T404" s="55"/>
      <c r="U404" s="55"/>
      <c r="V404" s="34" t="s">
        <v>261</v>
      </c>
      <c r="W404" s="43">
        <v>45043</v>
      </c>
      <c r="X404" s="44" t="s">
        <v>273</v>
      </c>
    </row>
    <row r="405" spans="1:24" ht="17.45" customHeight="1" x14ac:dyDescent="0.25">
      <c r="A405" t="str">
        <f t="shared" si="111"/>
        <v>291090678845043174779234</v>
      </c>
      <c r="B405" s="6">
        <f t="shared" si="109"/>
        <v>45498</v>
      </c>
      <c r="C405" s="3">
        <f t="shared" si="110"/>
        <v>387879629.13729745</v>
      </c>
      <c r="D405" s="34">
        <v>2022</v>
      </c>
      <c r="E405" s="35">
        <v>2910906788</v>
      </c>
      <c r="F405" s="36" t="s">
        <v>270</v>
      </c>
      <c r="G405" s="37">
        <v>2078053077</v>
      </c>
      <c r="H405" s="37">
        <v>222662679</v>
      </c>
      <c r="I405" s="38">
        <f>H405/G405</f>
        <v>0.10714965919997048</v>
      </c>
      <c r="J405" s="38">
        <f t="shared" si="113"/>
        <v>0.12000853256544664</v>
      </c>
      <c r="K405" s="37">
        <v>1631169290</v>
      </c>
      <c r="L405" s="37">
        <f t="shared" si="112"/>
        <v>174779234</v>
      </c>
      <c r="M405" s="39">
        <f>L381</f>
        <v>157763542</v>
      </c>
      <c r="N405" s="37">
        <f t="shared" si="114"/>
        <v>17015692</v>
      </c>
      <c r="O405" s="40">
        <f t="shared" si="116"/>
        <v>6806277</v>
      </c>
      <c r="P405" s="41" t="s">
        <v>322</v>
      </c>
      <c r="Q405" s="55"/>
      <c r="R405" s="42">
        <f t="shared" si="103"/>
        <v>10209415</v>
      </c>
      <c r="S405" s="55"/>
      <c r="T405" s="55"/>
      <c r="U405" s="55"/>
      <c r="V405" s="34" t="s">
        <v>261</v>
      </c>
      <c r="W405" s="43">
        <v>45043</v>
      </c>
      <c r="X405" s="44" t="s">
        <v>273</v>
      </c>
    </row>
    <row r="406" spans="1:24" ht="17.45" customHeight="1" x14ac:dyDescent="0.25">
      <c r="A406" t="str">
        <f t="shared" si="111"/>
        <v>29109067964504386793658</v>
      </c>
      <c r="B406" s="6">
        <f t="shared" si="109"/>
        <v>45132</v>
      </c>
      <c r="C406" s="3">
        <f t="shared" si="110"/>
        <v>212245679</v>
      </c>
      <c r="D406" s="34">
        <v>2022</v>
      </c>
      <c r="E406" s="35">
        <v>2910906796</v>
      </c>
      <c r="F406" s="36" t="s">
        <v>296</v>
      </c>
      <c r="G406" s="37">
        <v>1980959670</v>
      </c>
      <c r="H406" s="37">
        <v>212245679</v>
      </c>
      <c r="I406" s="38">
        <f>H406/G406</f>
        <v>0.1071428571789147</v>
      </c>
      <c r="J406" s="38">
        <f t="shared" si="113"/>
        <v>0.12000000004523061</v>
      </c>
      <c r="K406" s="37">
        <v>810074137</v>
      </c>
      <c r="L406" s="37">
        <f t="shared" si="112"/>
        <v>86793658</v>
      </c>
      <c r="M406" s="39">
        <f>L371</f>
        <v>85405086</v>
      </c>
      <c r="N406" s="37">
        <f t="shared" si="114"/>
        <v>1388572</v>
      </c>
      <c r="O406" s="40">
        <f t="shared" si="116"/>
        <v>555429</v>
      </c>
      <c r="P406" s="41" t="s">
        <v>322</v>
      </c>
      <c r="Q406" s="55"/>
      <c r="R406" s="42">
        <f t="shared" si="103"/>
        <v>833143</v>
      </c>
      <c r="S406" s="55"/>
      <c r="T406" s="55"/>
      <c r="U406" s="55"/>
      <c r="V406" s="34" t="s">
        <v>261</v>
      </c>
      <c r="W406" s="43">
        <v>45043</v>
      </c>
      <c r="X406" s="44" t="s">
        <v>273</v>
      </c>
    </row>
    <row r="407" spans="1:24" ht="17.45" customHeight="1" x14ac:dyDescent="0.25">
      <c r="A407" t="str">
        <f t="shared" si="111"/>
        <v>291090637045043395841576</v>
      </c>
      <c r="B407" s="6">
        <f t="shared" si="109"/>
        <v>45530</v>
      </c>
      <c r="C407" s="3">
        <f t="shared" si="110"/>
        <v>467234191.89532739</v>
      </c>
      <c r="D407" s="34">
        <v>2018</v>
      </c>
      <c r="E407" s="35">
        <v>2910906370</v>
      </c>
      <c r="F407" s="36" t="s">
        <v>74</v>
      </c>
      <c r="G407" s="37">
        <v>5033567040</v>
      </c>
      <c r="H407" s="37">
        <v>539310754</v>
      </c>
      <c r="I407" s="38">
        <v>0.10714285708609535</v>
      </c>
      <c r="J407" s="38">
        <v>0.11999999992879801</v>
      </c>
      <c r="K407" s="37">
        <v>3694521377</v>
      </c>
      <c r="L407" s="37">
        <f t="shared" si="112"/>
        <v>395841576</v>
      </c>
      <c r="M407" s="39">
        <f>L359</f>
        <v>364305511</v>
      </c>
      <c r="N407" s="37">
        <f t="shared" si="114"/>
        <v>31536065</v>
      </c>
      <c r="O407" s="40">
        <f t="shared" si="116"/>
        <v>12614426</v>
      </c>
      <c r="P407" s="41" t="s">
        <v>322</v>
      </c>
      <c r="Q407" s="55"/>
      <c r="R407" s="42">
        <f t="shared" si="103"/>
        <v>18921639</v>
      </c>
      <c r="S407" s="55"/>
      <c r="T407" s="55"/>
      <c r="U407" s="55"/>
      <c r="V407" s="34" t="s">
        <v>261</v>
      </c>
      <c r="W407" s="43">
        <v>45043</v>
      </c>
      <c r="X407" s="44" t="s">
        <v>273</v>
      </c>
    </row>
    <row r="408" spans="1:24" ht="17.45" customHeight="1" x14ac:dyDescent="0.25">
      <c r="A408" t="str">
        <f t="shared" si="111"/>
        <v>291090722345043173096207</v>
      </c>
      <c r="B408" s="6">
        <f t="shared" si="109"/>
        <v>45225</v>
      </c>
      <c r="C408" s="3">
        <f t="shared" si="110"/>
        <v>1161182642</v>
      </c>
      <c r="D408" s="34">
        <v>2023</v>
      </c>
      <c r="E408" s="35">
        <v>2910907223</v>
      </c>
      <c r="F408" s="36" t="s">
        <v>321</v>
      </c>
      <c r="G408" s="37">
        <v>11000088770</v>
      </c>
      <c r="H408" s="37">
        <v>1178580940</v>
      </c>
      <c r="I408" s="38">
        <f>+H408/G408</f>
        <v>0.10714285717532442</v>
      </c>
      <c r="J408" s="38">
        <f t="shared" ref="J408:J414" si="117">IFERROR((+H408/(G408-H408)),0)</f>
        <v>0.12000000004072695</v>
      </c>
      <c r="K408" s="37">
        <v>1615564601</v>
      </c>
      <c r="L408" s="37">
        <f t="shared" si="112"/>
        <v>173096207</v>
      </c>
      <c r="M408" s="39">
        <v>80546743</v>
      </c>
      <c r="N408" s="37">
        <f t="shared" si="114"/>
        <v>92549464</v>
      </c>
      <c r="O408" s="40">
        <f t="shared" si="116"/>
        <v>37019786</v>
      </c>
      <c r="P408" s="41" t="s">
        <v>322</v>
      </c>
      <c r="Q408" s="55"/>
      <c r="R408" s="42">
        <f t="shared" si="103"/>
        <v>55529678</v>
      </c>
      <c r="S408" s="55"/>
      <c r="T408" s="55"/>
      <c r="U408" s="55"/>
      <c r="V408" s="34" t="s">
        <v>261</v>
      </c>
      <c r="W408" s="43">
        <v>45043</v>
      </c>
      <c r="X408" s="44" t="s">
        <v>331</v>
      </c>
    </row>
    <row r="409" spans="1:24" ht="17.45" customHeight="1" x14ac:dyDescent="0.25">
      <c r="A409" t="str">
        <f t="shared" si="111"/>
        <v>291090640145064183575593</v>
      </c>
      <c r="B409" s="6">
        <f t="shared" si="109"/>
        <v>45957</v>
      </c>
      <c r="C409" s="3">
        <f t="shared" si="110"/>
        <v>678878080.30633903</v>
      </c>
      <c r="D409" s="34">
        <v>2023</v>
      </c>
      <c r="E409" s="35">
        <v>2910906401</v>
      </c>
      <c r="F409" s="36" t="s">
        <v>332</v>
      </c>
      <c r="G409" s="37">
        <v>6793432665</v>
      </c>
      <c r="H409" s="37">
        <v>737913960</v>
      </c>
      <c r="I409" s="38">
        <f>+H409/G409</f>
        <v>0.10862166394932539</v>
      </c>
      <c r="J409" s="38">
        <f t="shared" si="117"/>
        <v>0.12185809274946331</v>
      </c>
      <c r="K409" s="37">
        <v>1553483009</v>
      </c>
      <c r="L409" s="37">
        <v>183575593</v>
      </c>
      <c r="M409" s="39">
        <v>0</v>
      </c>
      <c r="N409" s="37">
        <f t="shared" si="114"/>
        <v>183575593</v>
      </c>
      <c r="O409" s="40">
        <f t="shared" si="116"/>
        <v>73430237</v>
      </c>
      <c r="P409" s="41" t="s">
        <v>322</v>
      </c>
      <c r="Q409" s="55"/>
      <c r="R409" s="42">
        <f t="shared" si="103"/>
        <v>110145356</v>
      </c>
      <c r="S409" s="55"/>
      <c r="T409" s="55"/>
      <c r="U409" s="55"/>
      <c r="V409" s="34" t="s">
        <v>261</v>
      </c>
      <c r="W409" s="43">
        <v>45064</v>
      </c>
      <c r="X409" s="44"/>
    </row>
    <row r="410" spans="1:24" ht="17.45" customHeight="1" x14ac:dyDescent="0.25">
      <c r="A410" t="str">
        <f t="shared" si="111"/>
        <v>291090679045064163276433</v>
      </c>
      <c r="B410" s="6">
        <f t="shared" si="109"/>
        <v>45064</v>
      </c>
      <c r="C410" s="3">
        <f t="shared" si="110"/>
        <v>163276433</v>
      </c>
      <c r="D410" s="34">
        <v>2022</v>
      </c>
      <c r="E410" s="35">
        <v>2910906790</v>
      </c>
      <c r="F410" s="36" t="s">
        <v>257</v>
      </c>
      <c r="G410" s="37">
        <v>1523800000</v>
      </c>
      <c r="H410" s="37">
        <v>163276433</v>
      </c>
      <c r="I410" s="38">
        <f>+H410/G410</f>
        <v>0.1071508288489303</v>
      </c>
      <c r="J410" s="38">
        <f t="shared" si="117"/>
        <v>0.12000999979737947</v>
      </c>
      <c r="K410" s="37">
        <v>1281901000</v>
      </c>
      <c r="L410" s="37">
        <v>163276433</v>
      </c>
      <c r="M410" s="39">
        <v>137356755</v>
      </c>
      <c r="N410" s="37">
        <f t="shared" si="114"/>
        <v>25919678</v>
      </c>
      <c r="O410" s="40">
        <f t="shared" si="116"/>
        <v>10367871</v>
      </c>
      <c r="P410" s="41" t="s">
        <v>322</v>
      </c>
      <c r="Q410" s="55"/>
      <c r="R410" s="42">
        <f t="shared" si="103"/>
        <v>15551807</v>
      </c>
      <c r="S410" s="55"/>
      <c r="T410" s="55"/>
      <c r="U410" s="55"/>
      <c r="V410" s="34" t="s">
        <v>261</v>
      </c>
      <c r="W410" s="43">
        <v>45064</v>
      </c>
      <c r="X410" s="44" t="s">
        <v>333</v>
      </c>
    </row>
    <row r="411" spans="1:24" ht="17.45" customHeight="1" x14ac:dyDescent="0.25">
      <c r="A411" t="str">
        <f t="shared" si="111"/>
        <v>29109080674506418091071</v>
      </c>
      <c r="B411" s="6">
        <f t="shared" si="109"/>
        <v>45064</v>
      </c>
      <c r="C411" s="3">
        <f t="shared" si="110"/>
        <v>18091071</v>
      </c>
      <c r="D411" s="34">
        <v>2022</v>
      </c>
      <c r="E411" s="35">
        <v>2910908067</v>
      </c>
      <c r="F411" s="36" t="s">
        <v>325</v>
      </c>
      <c r="G411" s="37">
        <v>168850000</v>
      </c>
      <c r="H411" s="37">
        <v>18091071</v>
      </c>
      <c r="I411" s="38">
        <f>H411/G411</f>
        <v>0.10714285460467871</v>
      </c>
      <c r="J411" s="38">
        <f t="shared" si="117"/>
        <v>0.11999999681610898</v>
      </c>
      <c r="K411" s="37">
        <f>G411</f>
        <v>168850000</v>
      </c>
      <c r="L411" s="37">
        <f t="shared" ref="L411:L416" si="118">ROUND((+K411*I411),0)</f>
        <v>18091071</v>
      </c>
      <c r="M411" s="39">
        <v>8620500</v>
      </c>
      <c r="N411" s="37">
        <f t="shared" si="114"/>
        <v>9470571</v>
      </c>
      <c r="O411" s="40">
        <f t="shared" si="116"/>
        <v>3788228</v>
      </c>
      <c r="P411" s="41" t="s">
        <v>322</v>
      </c>
      <c r="Q411" s="55"/>
      <c r="R411" s="42">
        <f t="shared" si="103"/>
        <v>5682343</v>
      </c>
      <c r="S411" s="55"/>
      <c r="T411" s="55"/>
      <c r="U411" s="55"/>
      <c r="V411" s="34" t="s">
        <v>261</v>
      </c>
      <c r="W411" s="43">
        <v>45064</v>
      </c>
      <c r="X411" s="44" t="s">
        <v>333</v>
      </c>
    </row>
    <row r="412" spans="1:24" ht="17.45" customHeight="1" x14ac:dyDescent="0.25">
      <c r="A412" t="str">
        <f t="shared" si="111"/>
        <v>2910907218450643750000</v>
      </c>
      <c r="B412" s="6">
        <f t="shared" si="109"/>
        <v>45064</v>
      </c>
      <c r="C412" s="3">
        <f t="shared" si="110"/>
        <v>3750000</v>
      </c>
      <c r="D412" s="34">
        <v>2023</v>
      </c>
      <c r="E412" s="35">
        <v>2910907218</v>
      </c>
      <c r="F412" s="36" t="s">
        <v>334</v>
      </c>
      <c r="G412" s="37">
        <v>35000000</v>
      </c>
      <c r="H412" s="37">
        <v>3750000</v>
      </c>
      <c r="I412" s="38">
        <f>H412/G412</f>
        <v>0.10714285714285714</v>
      </c>
      <c r="J412" s="38">
        <f t="shared" si="117"/>
        <v>0.12</v>
      </c>
      <c r="K412" s="37">
        <v>35000000</v>
      </c>
      <c r="L412" s="37">
        <f t="shared" si="118"/>
        <v>3750000</v>
      </c>
      <c r="M412" s="39">
        <v>0</v>
      </c>
      <c r="N412" s="37">
        <f t="shared" si="114"/>
        <v>3750000</v>
      </c>
      <c r="O412" s="40">
        <f t="shared" si="116"/>
        <v>1500000</v>
      </c>
      <c r="P412" s="41" t="s">
        <v>322</v>
      </c>
      <c r="Q412" s="55"/>
      <c r="R412" s="42">
        <f t="shared" si="103"/>
        <v>2250000</v>
      </c>
      <c r="S412" s="55"/>
      <c r="T412" s="55"/>
      <c r="U412" s="55"/>
      <c r="V412" s="34" t="s">
        <v>261</v>
      </c>
      <c r="W412" s="43">
        <v>45064</v>
      </c>
      <c r="X412" s="44" t="s">
        <v>333</v>
      </c>
    </row>
    <row r="413" spans="1:24" ht="17.45" customHeight="1" x14ac:dyDescent="0.25">
      <c r="A413" t="str">
        <f t="shared" si="111"/>
        <v>2910906786450646586607</v>
      </c>
      <c r="B413" s="6">
        <f t="shared" si="109"/>
        <v>45064</v>
      </c>
      <c r="C413" s="3">
        <f t="shared" si="110"/>
        <v>6586607</v>
      </c>
      <c r="D413" s="34">
        <v>2022</v>
      </c>
      <c r="E413" s="35">
        <v>2910906786</v>
      </c>
      <c r="F413" s="36" t="s">
        <v>277</v>
      </c>
      <c r="G413" s="37">
        <v>61475000</v>
      </c>
      <c r="H413" s="37">
        <v>6586607</v>
      </c>
      <c r="I413" s="38">
        <f>+H413/G413</f>
        <v>0.10714285481903213</v>
      </c>
      <c r="J413" s="38">
        <f t="shared" si="117"/>
        <v>0.11999999708499391</v>
      </c>
      <c r="K413" s="37">
        <f>G413</f>
        <v>61475000</v>
      </c>
      <c r="L413" s="37">
        <f t="shared" si="118"/>
        <v>6586607</v>
      </c>
      <c r="M413" s="39">
        <v>4629568</v>
      </c>
      <c r="N413" s="37">
        <f t="shared" si="114"/>
        <v>1957039</v>
      </c>
      <c r="O413" s="40">
        <f t="shared" si="116"/>
        <v>782816</v>
      </c>
      <c r="P413" s="41" t="s">
        <v>322</v>
      </c>
      <c r="Q413" s="55"/>
      <c r="R413" s="42">
        <f t="shared" si="103"/>
        <v>1174223</v>
      </c>
      <c r="S413" s="55"/>
      <c r="T413" s="55"/>
      <c r="U413" s="55"/>
      <c r="V413" s="34" t="s">
        <v>261</v>
      </c>
      <c r="W413" s="43">
        <v>45064</v>
      </c>
      <c r="X413" s="44" t="s">
        <v>335</v>
      </c>
    </row>
    <row r="414" spans="1:24" ht="17.45" customHeight="1" x14ac:dyDescent="0.25">
      <c r="A414" t="str">
        <f t="shared" si="111"/>
        <v>291090674245070531622420</v>
      </c>
      <c r="B414" s="6">
        <f t="shared" si="109"/>
        <v>45621</v>
      </c>
      <c r="C414" s="3">
        <f t="shared" si="110"/>
        <v>730044178.95283043</v>
      </c>
      <c r="D414" s="34">
        <v>2021</v>
      </c>
      <c r="E414" s="35">
        <v>2910906742</v>
      </c>
      <c r="F414" s="36" t="s">
        <v>166</v>
      </c>
      <c r="G414" s="37">
        <v>9259682085</v>
      </c>
      <c r="H414" s="37">
        <v>992108795</v>
      </c>
      <c r="I414" s="38">
        <f>+H414/G414</f>
        <v>0.10714285716214197</v>
      </c>
      <c r="J414" s="38">
        <f t="shared" si="117"/>
        <v>0.12000000002419089</v>
      </c>
      <c r="K414" s="37">
        <f>2777904626+K112</f>
        <v>4961809252</v>
      </c>
      <c r="L414" s="37">
        <f t="shared" si="118"/>
        <v>531622420</v>
      </c>
      <c r="M414" s="39">
        <f>L112</f>
        <v>233989781</v>
      </c>
      <c r="N414" s="37">
        <f t="shared" si="114"/>
        <v>297632639</v>
      </c>
      <c r="O414" s="40">
        <f t="shared" si="116"/>
        <v>119053056</v>
      </c>
      <c r="P414" s="41" t="s">
        <v>322</v>
      </c>
      <c r="Q414" s="55"/>
      <c r="R414" s="42">
        <f t="shared" si="103"/>
        <v>178579583</v>
      </c>
      <c r="S414" s="55"/>
      <c r="T414" s="55"/>
      <c r="U414" s="55"/>
      <c r="V414" s="34" t="s">
        <v>261</v>
      </c>
      <c r="W414" s="43">
        <v>45070</v>
      </c>
      <c r="X414" s="44" t="s">
        <v>336</v>
      </c>
    </row>
    <row r="415" spans="1:24" ht="17.45" customHeight="1" x14ac:dyDescent="0.25">
      <c r="A415" t="str">
        <f t="shared" si="111"/>
        <v>291090675645070138003826</v>
      </c>
      <c r="B415" s="6">
        <f t="shared" si="109"/>
        <v>45828</v>
      </c>
      <c r="C415" s="3">
        <f t="shared" si="110"/>
        <v>200890598.73619679</v>
      </c>
      <c r="D415" s="34">
        <v>2021</v>
      </c>
      <c r="E415" s="35">
        <v>2910906756</v>
      </c>
      <c r="F415" s="36" t="s">
        <v>212</v>
      </c>
      <c r="G415" s="37">
        <v>2844873087</v>
      </c>
      <c r="H415" s="37">
        <v>304807831</v>
      </c>
      <c r="I415" s="38">
        <v>0.10714285723073452</v>
      </c>
      <c r="J415" s="38">
        <v>0.12000000011023339</v>
      </c>
      <c r="K415" s="37">
        <v>1288035712</v>
      </c>
      <c r="L415" s="37">
        <f t="shared" si="118"/>
        <v>138003826</v>
      </c>
      <c r="M415" s="39">
        <f>L390</f>
        <v>106708946</v>
      </c>
      <c r="N415" s="37">
        <f t="shared" si="114"/>
        <v>31294880</v>
      </c>
      <c r="O415" s="40">
        <f t="shared" si="116"/>
        <v>12517952</v>
      </c>
      <c r="P415" s="41" t="s">
        <v>322</v>
      </c>
      <c r="Q415" s="55"/>
      <c r="R415" s="42">
        <f t="shared" si="103"/>
        <v>18776928</v>
      </c>
      <c r="S415" s="55"/>
      <c r="T415" s="55"/>
      <c r="U415" s="55"/>
      <c r="V415" s="34" t="s">
        <v>261</v>
      </c>
      <c r="W415" s="43">
        <v>45070</v>
      </c>
      <c r="X415" s="44" t="s">
        <v>273</v>
      </c>
    </row>
    <row r="416" spans="1:24" ht="17.45" customHeight="1" x14ac:dyDescent="0.25">
      <c r="A416" t="str">
        <f t="shared" si="111"/>
        <v>245301834045070108886504</v>
      </c>
      <c r="B416" s="6">
        <f t="shared" si="109"/>
        <v>45524</v>
      </c>
      <c r="C416" s="3">
        <f t="shared" si="110"/>
        <v>750720353.98835123</v>
      </c>
      <c r="D416" s="34">
        <v>2022</v>
      </c>
      <c r="E416" s="35">
        <v>2453018340</v>
      </c>
      <c r="F416" s="36" t="s">
        <v>320</v>
      </c>
      <c r="G416" s="37">
        <v>5029012761</v>
      </c>
      <c r="H416" s="37">
        <v>536676091</v>
      </c>
      <c r="I416" s="38">
        <f>+H416/G416</f>
        <v>0.10671599307958089</v>
      </c>
      <c r="J416" s="38">
        <f t="shared" ref="J416:J422" si="119">IFERROR((+H416/(G416-H416)),0)</f>
        <v>0.11946479759274142</v>
      </c>
      <c r="K416" s="37">
        <v>1020339134</v>
      </c>
      <c r="L416" s="37">
        <f t="shared" si="118"/>
        <v>108886504</v>
      </c>
      <c r="M416" s="39">
        <f>L375</f>
        <v>55335175</v>
      </c>
      <c r="N416" s="37">
        <f t="shared" si="114"/>
        <v>53551329</v>
      </c>
      <c r="O416" s="40">
        <f t="shared" si="116"/>
        <v>21420532</v>
      </c>
      <c r="P416" s="41" t="s">
        <v>322</v>
      </c>
      <c r="Q416" s="55"/>
      <c r="R416" s="42">
        <f t="shared" si="103"/>
        <v>32130797</v>
      </c>
      <c r="S416" s="55"/>
      <c r="T416" s="55"/>
      <c r="U416" s="55"/>
      <c r="V416" s="34" t="s">
        <v>261</v>
      </c>
      <c r="W416" s="43">
        <v>45070</v>
      </c>
      <c r="X416" s="44"/>
    </row>
    <row r="417" spans="1:24" ht="17.45" customHeight="1" x14ac:dyDescent="0.25">
      <c r="A417" t="str">
        <f t="shared" si="111"/>
        <v>24530183364507074596391</v>
      </c>
      <c r="B417" s="6">
        <f t="shared" si="109"/>
        <v>45070</v>
      </c>
      <c r="C417" s="3">
        <f t="shared" si="110"/>
        <v>74596391</v>
      </c>
      <c r="D417" s="34">
        <v>2022</v>
      </c>
      <c r="E417" s="35">
        <v>2453018336</v>
      </c>
      <c r="F417" s="36" t="s">
        <v>266</v>
      </c>
      <c r="G417" s="37">
        <v>696232978</v>
      </c>
      <c r="H417" s="37">
        <v>74596391</v>
      </c>
      <c r="I417" s="38">
        <f>+H417/G417</f>
        <v>0.10714285786100755</v>
      </c>
      <c r="J417" s="38">
        <f t="shared" si="119"/>
        <v>0.12000000090084788</v>
      </c>
      <c r="K417" s="37">
        <v>573692161</v>
      </c>
      <c r="L417" s="37">
        <f>H417</f>
        <v>74596391</v>
      </c>
      <c r="M417" s="39">
        <v>61467018</v>
      </c>
      <c r="N417" s="37">
        <f t="shared" si="114"/>
        <v>13129373</v>
      </c>
      <c r="O417" s="40">
        <f t="shared" si="116"/>
        <v>5251749</v>
      </c>
      <c r="P417" s="41" t="s">
        <v>322</v>
      </c>
      <c r="Q417" s="55"/>
      <c r="R417" s="42">
        <f t="shared" si="103"/>
        <v>7877624</v>
      </c>
      <c r="S417" s="55"/>
      <c r="T417" s="55"/>
      <c r="U417" s="55"/>
      <c r="V417" s="34" t="s">
        <v>261</v>
      </c>
      <c r="W417" s="43">
        <v>45070</v>
      </c>
      <c r="X417" s="44" t="s">
        <v>337</v>
      </c>
    </row>
    <row r="418" spans="1:24" ht="17.45" customHeight="1" x14ac:dyDescent="0.25">
      <c r="A418" t="str">
        <f t="shared" si="111"/>
        <v>235301833745071112677827</v>
      </c>
      <c r="B418" s="6">
        <f t="shared" si="109"/>
        <v>45071</v>
      </c>
      <c r="C418" s="3">
        <f t="shared" si="110"/>
        <v>112677827</v>
      </c>
      <c r="D418" s="34">
        <v>2022</v>
      </c>
      <c r="E418" s="35">
        <v>2353018337</v>
      </c>
      <c r="F418" s="36" t="s">
        <v>279</v>
      </c>
      <c r="G418" s="37">
        <v>1746041438</v>
      </c>
      <c r="H418" s="37">
        <v>187075868</v>
      </c>
      <c r="I418" s="38">
        <f>H418/G418</f>
        <v>0.10714285693831282</v>
      </c>
      <c r="J418" s="38">
        <f t="shared" si="119"/>
        <v>0.1199999997434196</v>
      </c>
      <c r="K418" s="37">
        <v>1051659723</v>
      </c>
      <c r="L418" s="37">
        <f t="shared" ref="L418:L461" si="120">ROUND((+K418*I418),0)</f>
        <v>112677827</v>
      </c>
      <c r="M418" s="39">
        <f>L387</f>
        <v>96526030</v>
      </c>
      <c r="N418" s="37">
        <f t="shared" si="114"/>
        <v>16151797</v>
      </c>
      <c r="O418" s="40">
        <f t="shared" si="116"/>
        <v>6460719</v>
      </c>
      <c r="P418" s="41" t="s">
        <v>322</v>
      </c>
      <c r="Q418" s="55"/>
      <c r="R418" s="42">
        <f t="shared" ref="R418:R481" si="121">+N418-O418</f>
        <v>9691078</v>
      </c>
      <c r="S418" s="55"/>
      <c r="T418" s="55"/>
      <c r="U418" s="55"/>
      <c r="V418" s="34" t="s">
        <v>261</v>
      </c>
      <c r="W418" s="43">
        <v>45071</v>
      </c>
      <c r="X418" s="44" t="s">
        <v>280</v>
      </c>
    </row>
    <row r="419" spans="1:24" ht="17.45" customHeight="1" x14ac:dyDescent="0.25">
      <c r="A419" t="str">
        <f t="shared" si="111"/>
        <v>29109083394507146714286</v>
      </c>
      <c r="B419" s="6">
        <f t="shared" si="109"/>
        <v>45132</v>
      </c>
      <c r="C419" s="3">
        <f t="shared" si="110"/>
        <v>52255649</v>
      </c>
      <c r="D419" s="34">
        <v>2022</v>
      </c>
      <c r="E419" s="35">
        <v>2910908339</v>
      </c>
      <c r="F419" s="36" t="s">
        <v>311</v>
      </c>
      <c r="G419" s="37">
        <v>492800000</v>
      </c>
      <c r="H419" s="37">
        <v>52800000</v>
      </c>
      <c r="I419" s="38">
        <f>+H419/G419</f>
        <v>0.10714285714285714</v>
      </c>
      <c r="J419" s="38">
        <f t="shared" si="119"/>
        <v>0.12</v>
      </c>
      <c r="K419" s="37">
        <v>436000000</v>
      </c>
      <c r="L419" s="37">
        <f t="shared" si="120"/>
        <v>46714286</v>
      </c>
      <c r="M419" s="39">
        <f>L341</f>
        <v>23571429</v>
      </c>
      <c r="N419" s="37">
        <f t="shared" si="114"/>
        <v>23142857</v>
      </c>
      <c r="O419" s="40">
        <f t="shared" si="116"/>
        <v>9257143</v>
      </c>
      <c r="P419" s="41" t="s">
        <v>322</v>
      </c>
      <c r="Q419" s="55"/>
      <c r="R419" s="42">
        <f t="shared" si="121"/>
        <v>13885714</v>
      </c>
      <c r="S419" s="55"/>
      <c r="T419" s="55"/>
      <c r="U419" s="55"/>
      <c r="V419" s="34" t="s">
        <v>261</v>
      </c>
      <c r="W419" s="43">
        <v>45071</v>
      </c>
      <c r="X419" s="44" t="s">
        <v>280</v>
      </c>
    </row>
    <row r="420" spans="1:24" ht="17.45" customHeight="1" x14ac:dyDescent="0.25">
      <c r="A420" t="str">
        <f t="shared" si="111"/>
        <v>291090678845071181568657</v>
      </c>
      <c r="B420" s="6">
        <f t="shared" si="109"/>
        <v>45498</v>
      </c>
      <c r="C420" s="3">
        <f t="shared" si="110"/>
        <v>387879629.13729745</v>
      </c>
      <c r="D420" s="34">
        <v>2022</v>
      </c>
      <c r="E420" s="35">
        <v>2910906788</v>
      </c>
      <c r="F420" s="36" t="s">
        <v>270</v>
      </c>
      <c r="G420" s="37">
        <v>2594259504</v>
      </c>
      <c r="H420" s="37">
        <v>277956749</v>
      </c>
      <c r="I420" s="38">
        <f>H420/G420</f>
        <v>0.10714300114210934</v>
      </c>
      <c r="J420" s="38">
        <f t="shared" si="119"/>
        <v>0.12000018063269108</v>
      </c>
      <c r="K420" s="37">
        <v>1694638518</v>
      </c>
      <c r="L420" s="37">
        <f t="shared" si="120"/>
        <v>181568657</v>
      </c>
      <c r="M420" s="39">
        <f>L405</f>
        <v>174779234</v>
      </c>
      <c r="N420" s="37">
        <f t="shared" si="114"/>
        <v>6789423</v>
      </c>
      <c r="O420" s="40">
        <f t="shared" si="116"/>
        <v>2715769</v>
      </c>
      <c r="P420" s="41" t="s">
        <v>322</v>
      </c>
      <c r="Q420" s="55"/>
      <c r="R420" s="42">
        <f t="shared" si="121"/>
        <v>4073654</v>
      </c>
      <c r="S420" s="55"/>
      <c r="T420" s="55"/>
      <c r="U420" s="55"/>
      <c r="V420" s="34" t="s">
        <v>261</v>
      </c>
      <c r="W420" s="43">
        <v>45071</v>
      </c>
      <c r="X420" s="44" t="s">
        <v>273</v>
      </c>
    </row>
    <row r="421" spans="1:24" ht="17.45" customHeight="1" x14ac:dyDescent="0.25">
      <c r="A421" t="str">
        <f t="shared" si="111"/>
        <v>291090679645071109048076</v>
      </c>
      <c r="B421" s="6">
        <f t="shared" si="109"/>
        <v>45132</v>
      </c>
      <c r="C421" s="3">
        <f t="shared" si="110"/>
        <v>212245679</v>
      </c>
      <c r="D421" s="34">
        <v>2022</v>
      </c>
      <c r="E421" s="35">
        <v>2910906796</v>
      </c>
      <c r="F421" s="36" t="s">
        <v>296</v>
      </c>
      <c r="G421" s="37">
        <v>1980959670</v>
      </c>
      <c r="H421" s="37">
        <v>212245679</v>
      </c>
      <c r="I421" s="38">
        <f>H421/G421</f>
        <v>0.1071428571789147</v>
      </c>
      <c r="J421" s="38">
        <f t="shared" si="119"/>
        <v>0.12000000004523061</v>
      </c>
      <c r="K421" s="37">
        <v>1017782042</v>
      </c>
      <c r="L421" s="37">
        <f t="shared" si="120"/>
        <v>109048076</v>
      </c>
      <c r="M421" s="39">
        <f>L406</f>
        <v>86793658</v>
      </c>
      <c r="N421" s="37">
        <f t="shared" si="114"/>
        <v>22254418</v>
      </c>
      <c r="O421" s="40">
        <f t="shared" si="116"/>
        <v>8901767</v>
      </c>
      <c r="P421" s="41" t="s">
        <v>322</v>
      </c>
      <c r="Q421" s="55"/>
      <c r="R421" s="42">
        <f t="shared" si="121"/>
        <v>13352651</v>
      </c>
      <c r="S421" s="55"/>
      <c r="T421" s="55"/>
      <c r="U421" s="55"/>
      <c r="V421" s="34" t="s">
        <v>261</v>
      </c>
      <c r="W421" s="43">
        <v>45071</v>
      </c>
      <c r="X421" s="44" t="s">
        <v>273</v>
      </c>
    </row>
    <row r="422" spans="1:24" ht="17.45" customHeight="1" x14ac:dyDescent="0.25">
      <c r="A422" t="str">
        <f t="shared" si="111"/>
        <v>29109067894507150102829</v>
      </c>
      <c r="B422" s="6">
        <f t="shared" si="109"/>
        <v>45891</v>
      </c>
      <c r="C422" s="3">
        <f t="shared" si="110"/>
        <v>194667600.36437911</v>
      </c>
      <c r="D422" s="34">
        <v>2022</v>
      </c>
      <c r="E422" s="35">
        <v>2910906789</v>
      </c>
      <c r="F422" s="36" t="s">
        <v>289</v>
      </c>
      <c r="G422" s="37">
        <v>9124262365</v>
      </c>
      <c r="H422" s="37">
        <v>977599539</v>
      </c>
      <c r="I422" s="38">
        <f>+H422/G422</f>
        <v>0.10714285713111452</v>
      </c>
      <c r="J422" s="38">
        <f t="shared" si="119"/>
        <v>0.11999999998527004</v>
      </c>
      <c r="K422" s="37">
        <v>467626407</v>
      </c>
      <c r="L422" s="37">
        <f t="shared" si="120"/>
        <v>50102829</v>
      </c>
      <c r="M422" s="39">
        <v>40989258</v>
      </c>
      <c r="N422" s="37">
        <f t="shared" si="114"/>
        <v>9113571</v>
      </c>
      <c r="O422" s="40">
        <f t="shared" si="116"/>
        <v>3645428</v>
      </c>
      <c r="P422" s="41" t="s">
        <v>322</v>
      </c>
      <c r="Q422" s="55"/>
      <c r="R422" s="42">
        <f t="shared" si="121"/>
        <v>5468143</v>
      </c>
      <c r="S422" s="55"/>
      <c r="T422" s="55"/>
      <c r="U422" s="55"/>
      <c r="V422" s="34" t="s">
        <v>261</v>
      </c>
      <c r="W422" s="43">
        <v>45071</v>
      </c>
      <c r="X422" s="44" t="s">
        <v>273</v>
      </c>
    </row>
    <row r="423" spans="1:24" ht="17.45" customHeight="1" x14ac:dyDescent="0.25">
      <c r="A423" t="str">
        <f t="shared" si="111"/>
        <v>29109080604507123892787</v>
      </c>
      <c r="B423" s="6">
        <f t="shared" si="109"/>
        <v>45099</v>
      </c>
      <c r="C423" s="3">
        <f t="shared" si="110"/>
        <v>44092486</v>
      </c>
      <c r="D423" s="34">
        <v>2022</v>
      </c>
      <c r="E423" s="35">
        <v>2910908060</v>
      </c>
      <c r="F423" s="36" t="s">
        <v>326</v>
      </c>
      <c r="G423" s="37">
        <v>411529874</v>
      </c>
      <c r="H423" s="37">
        <v>44092486</v>
      </c>
      <c r="I423" s="38">
        <v>0.10714285723073452</v>
      </c>
      <c r="J423" s="38">
        <v>0.12000000011023339</v>
      </c>
      <c r="K423" s="37">
        <v>222999346</v>
      </c>
      <c r="L423" s="37">
        <f t="shared" si="120"/>
        <v>23892787</v>
      </c>
      <c r="M423" s="39">
        <v>9917792</v>
      </c>
      <c r="N423" s="37">
        <f t="shared" si="114"/>
        <v>13974995</v>
      </c>
      <c r="O423" s="40">
        <f t="shared" si="116"/>
        <v>5589998</v>
      </c>
      <c r="P423" s="41" t="s">
        <v>322</v>
      </c>
      <c r="Q423" s="55"/>
      <c r="R423" s="42">
        <f t="shared" si="121"/>
        <v>8384997</v>
      </c>
      <c r="S423" s="55"/>
      <c r="T423" s="55"/>
      <c r="U423" s="55"/>
      <c r="V423" s="34" t="s">
        <v>261</v>
      </c>
      <c r="W423" s="43">
        <v>45071</v>
      </c>
      <c r="X423" s="44" t="s">
        <v>280</v>
      </c>
    </row>
    <row r="424" spans="1:24" ht="17.45" customHeight="1" x14ac:dyDescent="0.25">
      <c r="A424" t="str">
        <f t="shared" si="111"/>
        <v>2910907214450754878963</v>
      </c>
      <c r="B424" s="6">
        <f t="shared" si="109"/>
        <v>45316</v>
      </c>
      <c r="C424" s="3">
        <f t="shared" si="110"/>
        <v>18592800</v>
      </c>
      <c r="D424" s="34">
        <v>2022</v>
      </c>
      <c r="E424" s="35">
        <v>2910907214</v>
      </c>
      <c r="F424" s="36" t="s">
        <v>327</v>
      </c>
      <c r="G424" s="37">
        <v>173532800</v>
      </c>
      <c r="H424" s="37">
        <v>18592800</v>
      </c>
      <c r="I424" s="38">
        <f>+H424/G424</f>
        <v>0.10714285714285714</v>
      </c>
      <c r="J424" s="38">
        <f t="shared" ref="J424:J461" si="122">IFERROR((+H424/(G424-H424)),0)</f>
        <v>0.12</v>
      </c>
      <c r="K424" s="37">
        <v>45536988</v>
      </c>
      <c r="L424" s="37">
        <f t="shared" si="120"/>
        <v>4878963</v>
      </c>
      <c r="M424" s="39">
        <f>L393</f>
        <v>983742</v>
      </c>
      <c r="N424" s="37">
        <f t="shared" si="114"/>
        <v>3895221</v>
      </c>
      <c r="O424" s="40">
        <f t="shared" si="116"/>
        <v>1558088</v>
      </c>
      <c r="P424" s="41" t="s">
        <v>322</v>
      </c>
      <c r="Q424" s="55"/>
      <c r="R424" s="42">
        <f t="shared" si="121"/>
        <v>2337133</v>
      </c>
      <c r="S424" s="55"/>
      <c r="T424" s="55"/>
      <c r="U424" s="55"/>
      <c r="V424" s="34" t="s">
        <v>261</v>
      </c>
      <c r="W424" s="43">
        <v>45075</v>
      </c>
      <c r="X424" s="44" t="s">
        <v>280</v>
      </c>
    </row>
    <row r="425" spans="1:24" ht="17.45" customHeight="1" x14ac:dyDescent="0.25">
      <c r="A425" t="str">
        <f t="shared" si="111"/>
        <v>29109072124507531121754</v>
      </c>
      <c r="B425" s="6">
        <f t="shared" si="109"/>
        <v>45244</v>
      </c>
      <c r="C425" s="3">
        <f t="shared" si="110"/>
        <v>89501786</v>
      </c>
      <c r="D425" s="34">
        <v>2022</v>
      </c>
      <c r="E425" s="35">
        <v>2910907212</v>
      </c>
      <c r="F425" s="36" t="s">
        <v>316</v>
      </c>
      <c r="G425" s="37">
        <v>835350000</v>
      </c>
      <c r="H425" s="37">
        <v>89501786</v>
      </c>
      <c r="I425" s="38">
        <f>+H425/G425</f>
        <v>0.10714285748488657</v>
      </c>
      <c r="J425" s="38">
        <f t="shared" si="122"/>
        <v>0.12000000042904171</v>
      </c>
      <c r="K425" s="37">
        <v>290469700</v>
      </c>
      <c r="L425" s="37">
        <f t="shared" si="120"/>
        <v>31121754</v>
      </c>
      <c r="M425" s="39">
        <f>L377</f>
        <v>23240947</v>
      </c>
      <c r="N425" s="37">
        <f t="shared" si="114"/>
        <v>7880807</v>
      </c>
      <c r="O425" s="40">
        <f t="shared" si="116"/>
        <v>3152323</v>
      </c>
      <c r="P425" s="41" t="s">
        <v>322</v>
      </c>
      <c r="Q425" s="55"/>
      <c r="R425" s="42">
        <f t="shared" si="121"/>
        <v>4728484</v>
      </c>
      <c r="S425" s="55"/>
      <c r="T425" s="55"/>
      <c r="U425" s="55"/>
      <c r="V425" s="34" t="s">
        <v>261</v>
      </c>
      <c r="W425" s="43">
        <v>45075</v>
      </c>
      <c r="X425" s="44" t="s">
        <v>273</v>
      </c>
    </row>
    <row r="426" spans="1:24" ht="17.45" customHeight="1" x14ac:dyDescent="0.25">
      <c r="A426" t="str">
        <f t="shared" si="111"/>
        <v>2910908062450756748480</v>
      </c>
      <c r="B426" s="6">
        <f t="shared" si="109"/>
        <v>45099</v>
      </c>
      <c r="C426" s="3">
        <f t="shared" si="110"/>
        <v>12724500</v>
      </c>
      <c r="D426" s="34">
        <v>2022</v>
      </c>
      <c r="E426" s="35">
        <v>2910908062</v>
      </c>
      <c r="F426" s="36" t="s">
        <v>338</v>
      </c>
      <c r="G426" s="37">
        <v>118762000</v>
      </c>
      <c r="H426" s="37">
        <v>12724500</v>
      </c>
      <c r="I426" s="38">
        <f>+H426/G426</f>
        <v>0.10714285714285714</v>
      </c>
      <c r="J426" s="38">
        <f t="shared" si="122"/>
        <v>0.12</v>
      </c>
      <c r="K426" s="37">
        <v>62985811</v>
      </c>
      <c r="L426" s="37">
        <f t="shared" si="120"/>
        <v>6748480</v>
      </c>
      <c r="M426" s="39">
        <v>0</v>
      </c>
      <c r="N426" s="37">
        <f t="shared" si="114"/>
        <v>6748480</v>
      </c>
      <c r="O426" s="40">
        <f t="shared" si="116"/>
        <v>2699392</v>
      </c>
      <c r="P426" s="41" t="s">
        <v>322</v>
      </c>
      <c r="Q426" s="55"/>
      <c r="R426" s="42">
        <f t="shared" si="121"/>
        <v>4049088</v>
      </c>
      <c r="S426" s="55"/>
      <c r="T426" s="55"/>
      <c r="U426" s="55"/>
      <c r="V426" s="34" t="s">
        <v>261</v>
      </c>
      <c r="W426" s="43">
        <v>45075</v>
      </c>
      <c r="X426" s="44" t="s">
        <v>273</v>
      </c>
    </row>
    <row r="427" spans="1:24" ht="17.45" customHeight="1" x14ac:dyDescent="0.25">
      <c r="A427" t="str">
        <f t="shared" si="111"/>
        <v>2910907221450756375878</v>
      </c>
      <c r="B427" s="6">
        <f t="shared" si="109"/>
        <v>45742</v>
      </c>
      <c r="C427" s="3">
        <f t="shared" si="110"/>
        <v>25740314.108714286</v>
      </c>
      <c r="D427" s="34">
        <v>2023</v>
      </c>
      <c r="E427" s="35">
        <v>2910907221</v>
      </c>
      <c r="F427" s="36" t="s">
        <v>330</v>
      </c>
      <c r="G427" s="37">
        <v>242915000</v>
      </c>
      <c r="H427" s="37">
        <v>26026607</v>
      </c>
      <c r="I427" s="38">
        <f>+H427/G427</f>
        <v>0.10714285655476195</v>
      </c>
      <c r="J427" s="38">
        <f t="shared" si="122"/>
        <v>0.11999999926229339</v>
      </c>
      <c r="K427" s="37">
        <v>59508197</v>
      </c>
      <c r="L427" s="37">
        <f t="shared" si="120"/>
        <v>6375878</v>
      </c>
      <c r="M427" s="39">
        <f>L399</f>
        <v>2615164</v>
      </c>
      <c r="N427" s="37">
        <f t="shared" si="114"/>
        <v>3760714</v>
      </c>
      <c r="O427" s="40">
        <f t="shared" si="116"/>
        <v>1504286</v>
      </c>
      <c r="P427" s="41" t="s">
        <v>322</v>
      </c>
      <c r="Q427" s="55"/>
      <c r="R427" s="42">
        <f t="shared" si="121"/>
        <v>2256428</v>
      </c>
      <c r="S427" s="55"/>
      <c r="T427" s="55"/>
      <c r="U427" s="55"/>
      <c r="V427" s="34" t="s">
        <v>261</v>
      </c>
      <c r="W427" s="43">
        <v>45075</v>
      </c>
      <c r="X427" s="44" t="s">
        <v>280</v>
      </c>
    </row>
    <row r="428" spans="1:24" ht="17.45" customHeight="1" x14ac:dyDescent="0.25">
      <c r="A428" t="str">
        <f t="shared" si="111"/>
        <v>245301834045075118539011</v>
      </c>
      <c r="B428" s="6">
        <f t="shared" si="109"/>
        <v>45524</v>
      </c>
      <c r="C428" s="3">
        <f t="shared" si="110"/>
        <v>750720353.98835123</v>
      </c>
      <c r="D428" s="34">
        <v>2022</v>
      </c>
      <c r="E428" s="35">
        <v>2453018340</v>
      </c>
      <c r="F428" s="36" t="s">
        <v>320</v>
      </c>
      <c r="G428" s="37">
        <v>5029012761</v>
      </c>
      <c r="H428" s="37">
        <v>536676091</v>
      </c>
      <c r="I428" s="38">
        <f>+H428/G428</f>
        <v>0.10671599307958089</v>
      </c>
      <c r="J428" s="38">
        <f t="shared" si="122"/>
        <v>0.11946479759274142</v>
      </c>
      <c r="K428" s="37">
        <v>1110789562</v>
      </c>
      <c r="L428" s="37">
        <f t="shared" si="120"/>
        <v>118539011</v>
      </c>
      <c r="M428" s="39">
        <f>L416</f>
        <v>108886504</v>
      </c>
      <c r="N428" s="37">
        <f t="shared" si="114"/>
        <v>9652507</v>
      </c>
      <c r="O428" s="40">
        <f t="shared" si="116"/>
        <v>3861003</v>
      </c>
      <c r="P428" s="41" t="s">
        <v>322</v>
      </c>
      <c r="Q428" s="55"/>
      <c r="R428" s="42">
        <f t="shared" si="121"/>
        <v>5791504</v>
      </c>
      <c r="S428" s="55"/>
      <c r="T428" s="55"/>
      <c r="U428" s="55"/>
      <c r="V428" s="34" t="s">
        <v>261</v>
      </c>
      <c r="W428" s="43">
        <v>45075</v>
      </c>
      <c r="X428" s="44"/>
    </row>
    <row r="429" spans="1:24" ht="17.45" customHeight="1" x14ac:dyDescent="0.25">
      <c r="A429" t="str">
        <f t="shared" si="111"/>
        <v>245301833045075199663789</v>
      </c>
      <c r="B429" s="6">
        <f t="shared" si="109"/>
        <v>45912</v>
      </c>
      <c r="C429" s="3">
        <f t="shared" si="110"/>
        <v>259214159</v>
      </c>
      <c r="D429" s="34">
        <v>2021</v>
      </c>
      <c r="E429" s="35">
        <v>2453018330</v>
      </c>
      <c r="F429" s="36" t="s">
        <v>198</v>
      </c>
      <c r="G429" s="37">
        <v>2419332150</v>
      </c>
      <c r="H429" s="37">
        <v>259214159</v>
      </c>
      <c r="I429" s="38">
        <f>H429/G429</f>
        <v>0.10714285717238123</v>
      </c>
      <c r="J429" s="38">
        <f t="shared" si="122"/>
        <v>0.12000000003703501</v>
      </c>
      <c r="K429" s="37">
        <v>1863528698</v>
      </c>
      <c r="L429" s="37">
        <f t="shared" si="120"/>
        <v>199663789</v>
      </c>
      <c r="M429" s="39">
        <f>L396</f>
        <v>188897231</v>
      </c>
      <c r="N429" s="37">
        <f t="shared" ref="N429:N460" si="123">+L429-M429</f>
        <v>10766558</v>
      </c>
      <c r="O429" s="40">
        <f t="shared" si="116"/>
        <v>4306623</v>
      </c>
      <c r="P429" s="41" t="s">
        <v>322</v>
      </c>
      <c r="Q429" s="55"/>
      <c r="R429" s="42">
        <f t="shared" si="121"/>
        <v>6459935</v>
      </c>
      <c r="S429" s="55"/>
      <c r="T429" s="55"/>
      <c r="U429" s="55"/>
      <c r="V429" s="34" t="s">
        <v>261</v>
      </c>
      <c r="W429" s="43">
        <v>45075</v>
      </c>
      <c r="X429" s="44" t="s">
        <v>280</v>
      </c>
    </row>
    <row r="430" spans="1:24" ht="17.45" customHeight="1" x14ac:dyDescent="0.25">
      <c r="A430" t="str">
        <f t="shared" si="111"/>
        <v>2910907226450902892857</v>
      </c>
      <c r="B430" s="6">
        <f t="shared" si="109"/>
        <v>45090</v>
      </c>
      <c r="C430" s="3">
        <f t="shared" si="110"/>
        <v>2892857</v>
      </c>
      <c r="D430" s="34">
        <v>2023</v>
      </c>
      <c r="E430" s="35">
        <v>2910907226</v>
      </c>
      <c r="F430" s="36" t="s">
        <v>339</v>
      </c>
      <c r="G430" s="37">
        <v>27000000</v>
      </c>
      <c r="H430" s="37">
        <v>2892857</v>
      </c>
      <c r="I430" s="38">
        <f>H430/G430</f>
        <v>0.10714285185185185</v>
      </c>
      <c r="J430" s="38">
        <f t="shared" si="122"/>
        <v>0.11999999336296301</v>
      </c>
      <c r="K430" s="37">
        <v>27000000</v>
      </c>
      <c r="L430" s="37">
        <f t="shared" si="120"/>
        <v>2892857</v>
      </c>
      <c r="M430" s="39">
        <v>0</v>
      </c>
      <c r="N430" s="37">
        <f t="shared" si="123"/>
        <v>2892857</v>
      </c>
      <c r="O430" s="40">
        <f t="shared" si="116"/>
        <v>1157143</v>
      </c>
      <c r="P430" s="41" t="s">
        <v>322</v>
      </c>
      <c r="Q430" s="55"/>
      <c r="R430" s="42">
        <f t="shared" si="121"/>
        <v>1735714</v>
      </c>
      <c r="S430" s="55"/>
      <c r="T430" s="55"/>
      <c r="U430" s="55"/>
      <c r="V430" s="34" t="s">
        <v>261</v>
      </c>
      <c r="W430" s="43">
        <v>45090</v>
      </c>
      <c r="X430" s="44" t="s">
        <v>340</v>
      </c>
    </row>
    <row r="431" spans="1:24" ht="17.45" customHeight="1" x14ac:dyDescent="0.25">
      <c r="A431" t="str">
        <f t="shared" si="111"/>
        <v>29109072124509040071932</v>
      </c>
      <c r="B431" s="6">
        <f t="shared" si="109"/>
        <v>45244</v>
      </c>
      <c r="C431" s="3">
        <f t="shared" si="110"/>
        <v>89501786</v>
      </c>
      <c r="D431" s="34">
        <v>2022</v>
      </c>
      <c r="E431" s="35">
        <v>2910907212</v>
      </c>
      <c r="F431" s="36" t="s">
        <v>316</v>
      </c>
      <c r="G431" s="37">
        <v>835350000</v>
      </c>
      <c r="H431" s="37">
        <v>89501786</v>
      </c>
      <c r="I431" s="38">
        <f>+H431/G431</f>
        <v>0.10714285748488657</v>
      </c>
      <c r="J431" s="38">
        <f t="shared" si="122"/>
        <v>0.12000000042904171</v>
      </c>
      <c r="K431" s="37">
        <v>374004700</v>
      </c>
      <c r="L431" s="37">
        <f t="shared" si="120"/>
        <v>40071932</v>
      </c>
      <c r="M431" s="39">
        <f>L425</f>
        <v>31121754</v>
      </c>
      <c r="N431" s="37">
        <f t="shared" si="123"/>
        <v>8950178</v>
      </c>
      <c r="O431" s="40">
        <f t="shared" si="116"/>
        <v>3580071</v>
      </c>
      <c r="P431" s="41" t="s">
        <v>322</v>
      </c>
      <c r="Q431" s="55"/>
      <c r="R431" s="42">
        <f t="shared" si="121"/>
        <v>5370107</v>
      </c>
      <c r="S431" s="55"/>
      <c r="T431" s="55"/>
      <c r="U431" s="55"/>
      <c r="V431" s="34" t="s">
        <v>261</v>
      </c>
      <c r="W431" s="43">
        <v>45090</v>
      </c>
      <c r="X431" s="44" t="s">
        <v>341</v>
      </c>
    </row>
    <row r="432" spans="1:24" ht="17.45" customHeight="1" x14ac:dyDescent="0.25">
      <c r="A432" t="str">
        <f t="shared" si="111"/>
        <v>245301834045090138825976</v>
      </c>
      <c r="B432" s="6">
        <f t="shared" si="109"/>
        <v>45524</v>
      </c>
      <c r="C432" s="3">
        <f t="shared" si="110"/>
        <v>750720353.98835123</v>
      </c>
      <c r="D432" s="34">
        <v>2022</v>
      </c>
      <c r="E432" s="35">
        <v>2453018340</v>
      </c>
      <c r="F432" s="36" t="s">
        <v>320</v>
      </c>
      <c r="G432" s="37">
        <v>5029012761</v>
      </c>
      <c r="H432" s="37">
        <v>536676091</v>
      </c>
      <c r="I432" s="38">
        <f>+H432/G432</f>
        <v>0.10671599307958089</v>
      </c>
      <c r="J432" s="38">
        <f t="shared" si="122"/>
        <v>0.11946479759274142</v>
      </c>
      <c r="K432" s="37">
        <v>1300891948</v>
      </c>
      <c r="L432" s="37">
        <f t="shared" si="120"/>
        <v>138825976</v>
      </c>
      <c r="M432" s="39">
        <f>L428</f>
        <v>118539011</v>
      </c>
      <c r="N432" s="37">
        <f t="shared" si="123"/>
        <v>20286965</v>
      </c>
      <c r="O432" s="40">
        <f t="shared" si="116"/>
        <v>8114786</v>
      </c>
      <c r="P432" s="41" t="s">
        <v>322</v>
      </c>
      <c r="Q432" s="55"/>
      <c r="R432" s="42">
        <f t="shared" si="121"/>
        <v>12172179</v>
      </c>
      <c r="S432" s="55"/>
      <c r="T432" s="55"/>
      <c r="U432" s="55"/>
      <c r="V432" s="34" t="s">
        <v>261</v>
      </c>
      <c r="W432" s="43">
        <v>45090</v>
      </c>
      <c r="X432" s="44" t="s">
        <v>280</v>
      </c>
    </row>
    <row r="433" spans="1:24" ht="17.45" customHeight="1" x14ac:dyDescent="0.25">
      <c r="A433" t="str">
        <f t="shared" si="111"/>
        <v>291090834145090863614</v>
      </c>
      <c r="B433" s="6">
        <f t="shared" si="109"/>
        <v>45132</v>
      </c>
      <c r="C433" s="3">
        <f t="shared" si="110"/>
        <v>1335043</v>
      </c>
      <c r="D433" s="34">
        <v>2022</v>
      </c>
      <c r="E433" s="35">
        <v>2910908341</v>
      </c>
      <c r="F433" s="36" t="s">
        <v>342</v>
      </c>
      <c r="G433" s="37">
        <v>29000000</v>
      </c>
      <c r="H433" s="37">
        <v>3107143</v>
      </c>
      <c r="I433" s="38">
        <f>+H433/G433</f>
        <v>0.10714286206896552</v>
      </c>
      <c r="J433" s="38">
        <f t="shared" si="122"/>
        <v>0.12000000617931038</v>
      </c>
      <c r="K433" s="37">
        <v>8060400</v>
      </c>
      <c r="L433" s="37">
        <f t="shared" si="120"/>
        <v>863614</v>
      </c>
      <c r="M433" s="39">
        <v>0</v>
      </c>
      <c r="N433" s="37">
        <f t="shared" si="123"/>
        <v>863614</v>
      </c>
      <c r="O433" s="40">
        <f t="shared" ref="O433:O464" si="124">ROUND((N433*40%),0)</f>
        <v>345446</v>
      </c>
      <c r="P433" s="41" t="s">
        <v>322</v>
      </c>
      <c r="Q433" s="55"/>
      <c r="R433" s="42">
        <f t="shared" si="121"/>
        <v>518168</v>
      </c>
      <c r="S433" s="55"/>
      <c r="T433" s="55"/>
      <c r="U433" s="55"/>
      <c r="V433" s="34" t="s">
        <v>261</v>
      </c>
      <c r="W433" s="43">
        <v>45090</v>
      </c>
      <c r="X433" s="44" t="s">
        <v>280</v>
      </c>
    </row>
    <row r="434" spans="1:24" ht="17.45" customHeight="1" x14ac:dyDescent="0.25">
      <c r="A434" t="str">
        <f t="shared" si="111"/>
        <v>24530183354509028170384</v>
      </c>
      <c r="B434" s="6">
        <f t="shared" si="109"/>
        <v>45132</v>
      </c>
      <c r="C434" s="3">
        <f t="shared" si="110"/>
        <v>34971429</v>
      </c>
      <c r="D434" s="34">
        <v>2022</v>
      </c>
      <c r="E434" s="35">
        <v>2453018335</v>
      </c>
      <c r="F434" s="36" t="s">
        <v>285</v>
      </c>
      <c r="G434" s="37">
        <v>326400000</v>
      </c>
      <c r="H434" s="37">
        <v>34971429</v>
      </c>
      <c r="I434" s="38">
        <f>+H434/G434</f>
        <v>0.10714285845588235</v>
      </c>
      <c r="J434" s="38">
        <f t="shared" si="122"/>
        <v>0.12000000164705883</v>
      </c>
      <c r="K434" s="37">
        <v>262923582</v>
      </c>
      <c r="L434" s="37">
        <f t="shared" si="120"/>
        <v>28170384</v>
      </c>
      <c r="M434" s="39">
        <f>L378</f>
        <v>21872384</v>
      </c>
      <c r="N434" s="37">
        <f t="shared" si="123"/>
        <v>6298000</v>
      </c>
      <c r="O434" s="40">
        <f t="shared" si="124"/>
        <v>2519200</v>
      </c>
      <c r="P434" s="41" t="s">
        <v>322</v>
      </c>
      <c r="Q434" s="55"/>
      <c r="R434" s="42">
        <f t="shared" si="121"/>
        <v>3778800</v>
      </c>
      <c r="S434" s="55"/>
      <c r="T434" s="55"/>
      <c r="U434" s="55"/>
      <c r="V434" s="34" t="s">
        <v>261</v>
      </c>
      <c r="W434" s="43">
        <v>45090</v>
      </c>
      <c r="X434" s="44" t="s">
        <v>273</v>
      </c>
    </row>
    <row r="435" spans="1:24" ht="17.45" customHeight="1" x14ac:dyDescent="0.25">
      <c r="A435" t="str">
        <f t="shared" si="111"/>
        <v>245301833745090121520065</v>
      </c>
      <c r="B435" s="6">
        <f t="shared" si="109"/>
        <v>45244</v>
      </c>
      <c r="C435" s="3">
        <f t="shared" si="110"/>
        <v>178958636</v>
      </c>
      <c r="D435" s="34">
        <v>2022</v>
      </c>
      <c r="E435" s="35">
        <v>2453018337</v>
      </c>
      <c r="F435" s="36" t="s">
        <v>279</v>
      </c>
      <c r="G435" s="37">
        <v>1746041438</v>
      </c>
      <c r="H435" s="37">
        <v>187075868</v>
      </c>
      <c r="I435" s="38">
        <f>H435/G435</f>
        <v>0.10714285693831282</v>
      </c>
      <c r="J435" s="38">
        <f t="shared" si="122"/>
        <v>0.1199999997434196</v>
      </c>
      <c r="K435" s="37">
        <v>1134187272</v>
      </c>
      <c r="L435" s="37">
        <f t="shared" si="120"/>
        <v>121520065</v>
      </c>
      <c r="M435" s="39">
        <f>L418</f>
        <v>112677827</v>
      </c>
      <c r="N435" s="37">
        <f t="shared" si="123"/>
        <v>8842238</v>
      </c>
      <c r="O435" s="40">
        <f t="shared" si="124"/>
        <v>3536895</v>
      </c>
      <c r="P435" s="41" t="s">
        <v>322</v>
      </c>
      <c r="Q435" s="55"/>
      <c r="R435" s="42">
        <f t="shared" si="121"/>
        <v>5305343</v>
      </c>
      <c r="S435" s="55"/>
      <c r="T435" s="55"/>
      <c r="U435" s="55"/>
      <c r="V435" s="34" t="s">
        <v>261</v>
      </c>
      <c r="W435" s="43">
        <v>45090</v>
      </c>
      <c r="X435" s="44" t="s">
        <v>280</v>
      </c>
    </row>
    <row r="436" spans="1:24" ht="17.45" customHeight="1" x14ac:dyDescent="0.25">
      <c r="A436" t="str">
        <f t="shared" si="111"/>
        <v>245301833045090209368572</v>
      </c>
      <c r="B436" s="6">
        <f t="shared" si="109"/>
        <v>45912</v>
      </c>
      <c r="C436" s="3">
        <f t="shared" si="110"/>
        <v>259214159</v>
      </c>
      <c r="D436" s="34">
        <v>2021</v>
      </c>
      <c r="E436" s="35">
        <v>2453018330</v>
      </c>
      <c r="F436" s="36" t="s">
        <v>198</v>
      </c>
      <c r="G436" s="37">
        <v>2419332150</v>
      </c>
      <c r="H436" s="37">
        <v>259214159</v>
      </c>
      <c r="I436" s="38">
        <f>H436/G436</f>
        <v>0.10714285717238123</v>
      </c>
      <c r="J436" s="38">
        <f t="shared" si="122"/>
        <v>0.12000000003703501</v>
      </c>
      <c r="K436" s="37">
        <v>1954106672</v>
      </c>
      <c r="L436" s="37">
        <f t="shared" si="120"/>
        <v>209368572</v>
      </c>
      <c r="M436" s="39">
        <f>L429</f>
        <v>199663789</v>
      </c>
      <c r="N436" s="37">
        <f t="shared" si="123"/>
        <v>9704783</v>
      </c>
      <c r="O436" s="40">
        <f t="shared" si="124"/>
        <v>3881913</v>
      </c>
      <c r="P436" s="41" t="s">
        <v>322</v>
      </c>
      <c r="Q436" s="55"/>
      <c r="R436" s="42">
        <f t="shared" si="121"/>
        <v>5822870</v>
      </c>
      <c r="S436" s="55"/>
      <c r="T436" s="55"/>
      <c r="U436" s="55"/>
      <c r="V436" s="34" t="s">
        <v>261</v>
      </c>
      <c r="W436" s="43">
        <v>45090</v>
      </c>
      <c r="X436" s="44" t="s">
        <v>280</v>
      </c>
    </row>
    <row r="437" spans="1:24" ht="17.45" customHeight="1" x14ac:dyDescent="0.25">
      <c r="A437" t="str">
        <f t="shared" si="111"/>
        <v>24530183314509321441571</v>
      </c>
      <c r="B437" s="6">
        <f t="shared" si="109"/>
        <v>45223</v>
      </c>
      <c r="C437" s="3">
        <f t="shared" si="110"/>
        <v>52886721</v>
      </c>
      <c r="D437" s="34">
        <v>2021</v>
      </c>
      <c r="E437" s="35">
        <v>2453018331</v>
      </c>
      <c r="F437" s="36" t="s">
        <v>282</v>
      </c>
      <c r="G437" s="37">
        <v>1079098616</v>
      </c>
      <c r="H437" s="37">
        <v>115617709</v>
      </c>
      <c r="I437" s="38">
        <f>H437/G437</f>
        <v>0.10714285727524277</v>
      </c>
      <c r="J437" s="38">
        <f t="shared" si="122"/>
        <v>0.12000000016606453</v>
      </c>
      <c r="K437" s="37">
        <v>200121328</v>
      </c>
      <c r="L437" s="37">
        <f t="shared" si="120"/>
        <v>21441571</v>
      </c>
      <c r="M437" s="39">
        <f>L329</f>
        <v>11639730</v>
      </c>
      <c r="N437" s="37">
        <f t="shared" si="123"/>
        <v>9801841</v>
      </c>
      <c r="O437" s="40">
        <f t="shared" si="124"/>
        <v>3920736</v>
      </c>
      <c r="P437" s="41" t="s">
        <v>322</v>
      </c>
      <c r="Q437" s="55"/>
      <c r="R437" s="42">
        <f t="shared" si="121"/>
        <v>5881105</v>
      </c>
      <c r="S437" s="55"/>
      <c r="T437" s="55"/>
      <c r="U437" s="55"/>
      <c r="V437" s="34" t="s">
        <v>261</v>
      </c>
      <c r="W437" s="43">
        <v>45093</v>
      </c>
      <c r="X437" s="44" t="s">
        <v>273</v>
      </c>
    </row>
    <row r="438" spans="1:24" ht="17.45" customHeight="1" x14ac:dyDescent="0.25">
      <c r="A438" t="str">
        <f t="shared" si="111"/>
        <v>29109067894509258459972</v>
      </c>
      <c r="B438" s="6">
        <f t="shared" si="109"/>
        <v>45891</v>
      </c>
      <c r="C438" s="3">
        <f t="shared" si="110"/>
        <v>194667600.36437911</v>
      </c>
      <c r="D438" s="34">
        <v>2022</v>
      </c>
      <c r="E438" s="35">
        <v>2910906789</v>
      </c>
      <c r="F438" s="36" t="s">
        <v>289</v>
      </c>
      <c r="G438" s="37">
        <v>9124262365</v>
      </c>
      <c r="H438" s="37">
        <v>977599539</v>
      </c>
      <c r="I438" s="38">
        <f>+H438/G438</f>
        <v>0.10714285713111452</v>
      </c>
      <c r="J438" s="38">
        <f t="shared" si="122"/>
        <v>0.11999999998527004</v>
      </c>
      <c r="K438" s="37">
        <v>545626407</v>
      </c>
      <c r="L438" s="37">
        <f t="shared" si="120"/>
        <v>58459972</v>
      </c>
      <c r="M438" s="39">
        <f>L422</f>
        <v>50102829</v>
      </c>
      <c r="N438" s="37">
        <f t="shared" si="123"/>
        <v>8357143</v>
      </c>
      <c r="O438" s="40">
        <f t="shared" si="124"/>
        <v>3342857</v>
      </c>
      <c r="P438" s="41" t="s">
        <v>322</v>
      </c>
      <c r="Q438" s="55"/>
      <c r="R438" s="42">
        <f t="shared" si="121"/>
        <v>5014286</v>
      </c>
      <c r="S438" s="55"/>
      <c r="T438" s="55"/>
      <c r="U438" s="55"/>
      <c r="V438" s="34" t="s">
        <v>261</v>
      </c>
      <c r="W438" s="43">
        <v>45092</v>
      </c>
      <c r="X438" s="44" t="s">
        <v>273</v>
      </c>
    </row>
    <row r="439" spans="1:24" ht="17.45" customHeight="1" x14ac:dyDescent="0.25">
      <c r="A439" t="str">
        <f t="shared" si="111"/>
        <v>29109072114509322178571</v>
      </c>
      <c r="B439" s="6">
        <f t="shared" si="109"/>
        <v>45163</v>
      </c>
      <c r="C439" s="3">
        <f t="shared" si="110"/>
        <v>66535750</v>
      </c>
      <c r="D439" s="34">
        <v>2022</v>
      </c>
      <c r="E439" s="35">
        <v>2910907211</v>
      </c>
      <c r="F439" s="36" t="s">
        <v>343</v>
      </c>
      <c r="G439" s="37">
        <v>690000000</v>
      </c>
      <c r="H439" s="37">
        <v>73928571</v>
      </c>
      <c r="I439" s="38">
        <f>+H439/G439</f>
        <v>0.10714285652173913</v>
      </c>
      <c r="J439" s="38">
        <f t="shared" si="122"/>
        <v>0.11999999922086957</v>
      </c>
      <c r="K439" s="37">
        <v>207000000</v>
      </c>
      <c r="L439" s="37">
        <f t="shared" si="120"/>
        <v>22178571</v>
      </c>
      <c r="M439" s="39">
        <v>0</v>
      </c>
      <c r="N439" s="37">
        <f t="shared" si="123"/>
        <v>22178571</v>
      </c>
      <c r="O439" s="40">
        <f t="shared" si="124"/>
        <v>8871428</v>
      </c>
      <c r="P439" s="41" t="s">
        <v>322</v>
      </c>
      <c r="Q439" s="55"/>
      <c r="R439" s="42">
        <f t="shared" si="121"/>
        <v>13307143</v>
      </c>
      <c r="S439" s="55"/>
      <c r="T439" s="55"/>
      <c r="U439" s="55"/>
      <c r="V439" s="34" t="s">
        <v>261</v>
      </c>
      <c r="W439" s="43">
        <v>45093</v>
      </c>
      <c r="X439" s="44" t="s">
        <v>344</v>
      </c>
    </row>
    <row r="440" spans="1:24" ht="17.45" customHeight="1" x14ac:dyDescent="0.25">
      <c r="A440" t="str">
        <f t="shared" si="111"/>
        <v>2910907208450935068257</v>
      </c>
      <c r="B440" s="6">
        <f t="shared" si="109"/>
        <v>45132</v>
      </c>
      <c r="C440" s="3">
        <f t="shared" si="110"/>
        <v>5571429</v>
      </c>
      <c r="D440" s="34">
        <v>2022</v>
      </c>
      <c r="E440" s="35">
        <v>2910907208</v>
      </c>
      <c r="F440" s="36" t="s">
        <v>301</v>
      </c>
      <c r="G440" s="37">
        <v>52000000</v>
      </c>
      <c r="H440" s="37">
        <v>5571429</v>
      </c>
      <c r="I440" s="38">
        <f>H440/G440</f>
        <v>0.10714286538461539</v>
      </c>
      <c r="J440" s="38">
        <f t="shared" si="122"/>
        <v>0.12000001033846164</v>
      </c>
      <c r="K440" s="37">
        <f>31200000+K355</f>
        <v>47303727</v>
      </c>
      <c r="L440" s="37">
        <f t="shared" si="120"/>
        <v>5068257</v>
      </c>
      <c r="M440" s="39">
        <f>L355</f>
        <v>1725399</v>
      </c>
      <c r="N440" s="37">
        <f t="shared" si="123"/>
        <v>3342858</v>
      </c>
      <c r="O440" s="40">
        <f t="shared" si="124"/>
        <v>1337143</v>
      </c>
      <c r="P440" s="41" t="s">
        <v>322</v>
      </c>
      <c r="Q440" s="55"/>
      <c r="R440" s="42">
        <f t="shared" si="121"/>
        <v>2005715</v>
      </c>
      <c r="S440" s="55"/>
      <c r="T440" s="55"/>
      <c r="U440" s="55"/>
      <c r="V440" s="34" t="s">
        <v>261</v>
      </c>
      <c r="W440" s="43">
        <v>45093</v>
      </c>
      <c r="X440" s="44" t="s">
        <v>345</v>
      </c>
    </row>
    <row r="441" spans="1:24" ht="17.45" customHeight="1" x14ac:dyDescent="0.25">
      <c r="A441" t="str">
        <f t="shared" si="111"/>
        <v>2910906749450939361179</v>
      </c>
      <c r="B441" s="6">
        <f t="shared" si="109"/>
        <v>45349</v>
      </c>
      <c r="C441" s="3">
        <f t="shared" si="110"/>
        <v>14041179</v>
      </c>
      <c r="D441" s="34">
        <v>2021</v>
      </c>
      <c r="E441" s="35">
        <v>2910906749</v>
      </c>
      <c r="F441" s="36" t="s">
        <v>207</v>
      </c>
      <c r="G441" s="37">
        <v>131051000</v>
      </c>
      <c r="H441" s="37">
        <v>14041179</v>
      </c>
      <c r="I441" s="38">
        <f>+H441/G441</f>
        <v>0.10714286041312161</v>
      </c>
      <c r="J441" s="38">
        <f t="shared" si="122"/>
        <v>0.12000000410221977</v>
      </c>
      <c r="K441" s="37">
        <f>25491000+K159</f>
        <v>87371000</v>
      </c>
      <c r="L441" s="37">
        <f t="shared" si="120"/>
        <v>9361179</v>
      </c>
      <c r="M441" s="39">
        <f>L159</f>
        <v>6630000</v>
      </c>
      <c r="N441" s="37">
        <f t="shared" si="123"/>
        <v>2731179</v>
      </c>
      <c r="O441" s="40">
        <f t="shared" si="124"/>
        <v>1092472</v>
      </c>
      <c r="P441" s="41" t="s">
        <v>322</v>
      </c>
      <c r="Q441" s="55"/>
      <c r="R441" s="42">
        <f t="shared" si="121"/>
        <v>1638707</v>
      </c>
      <c r="S441" s="55"/>
      <c r="T441" s="55"/>
      <c r="U441" s="55"/>
      <c r="V441" s="34" t="s">
        <v>261</v>
      </c>
      <c r="W441" s="43">
        <v>45093</v>
      </c>
      <c r="X441" s="44" t="s">
        <v>346</v>
      </c>
    </row>
    <row r="442" spans="1:24" ht="17.45" customHeight="1" x14ac:dyDescent="0.25">
      <c r="A442" t="str">
        <f t="shared" si="111"/>
        <v>29109072124509044750893</v>
      </c>
      <c r="B442" s="6">
        <f t="shared" si="109"/>
        <v>45244</v>
      </c>
      <c r="C442" s="3">
        <f t="shared" si="110"/>
        <v>89501786</v>
      </c>
      <c r="D442" s="34">
        <v>2022</v>
      </c>
      <c r="E442" s="35">
        <v>2910907212</v>
      </c>
      <c r="F442" s="36" t="s">
        <v>316</v>
      </c>
      <c r="G442" s="37">
        <v>835350000</v>
      </c>
      <c r="H442" s="37">
        <v>89501786</v>
      </c>
      <c r="I442" s="38">
        <f>+H442/G442</f>
        <v>0.10714285748488657</v>
      </c>
      <c r="J442" s="38">
        <f t="shared" si="122"/>
        <v>0.12000000042904171</v>
      </c>
      <c r="K442" s="37">
        <v>417675000</v>
      </c>
      <c r="L442" s="37">
        <f t="shared" si="120"/>
        <v>44750893</v>
      </c>
      <c r="M442" s="39">
        <f>L431</f>
        <v>40071932</v>
      </c>
      <c r="N442" s="37">
        <f t="shared" si="123"/>
        <v>4678961</v>
      </c>
      <c r="O442" s="40">
        <f t="shared" si="124"/>
        <v>1871584</v>
      </c>
      <c r="P442" s="41" t="s">
        <v>322</v>
      </c>
      <c r="Q442" s="55"/>
      <c r="R442" s="42">
        <f t="shared" si="121"/>
        <v>2807377</v>
      </c>
      <c r="S442" s="55"/>
      <c r="T442" s="55"/>
      <c r="U442" s="55"/>
      <c r="V442" s="34" t="s">
        <v>261</v>
      </c>
      <c r="W442" s="43">
        <v>45090</v>
      </c>
      <c r="X442" s="44" t="s">
        <v>347</v>
      </c>
    </row>
    <row r="443" spans="1:24" ht="17.45" customHeight="1" x14ac:dyDescent="0.25">
      <c r="A443" t="str">
        <f t="shared" si="111"/>
        <v>291090678845093226724524</v>
      </c>
      <c r="B443" s="6">
        <f t="shared" si="109"/>
        <v>45498</v>
      </c>
      <c r="C443" s="3">
        <f t="shared" si="110"/>
        <v>387879629.13729745</v>
      </c>
      <c r="D443" s="34">
        <v>2022</v>
      </c>
      <c r="E443" s="35">
        <v>2910906788</v>
      </c>
      <c r="F443" s="36" t="s">
        <v>270</v>
      </c>
      <c r="G443" s="37">
        <v>2594259504</v>
      </c>
      <c r="H443" s="37">
        <v>277956749</v>
      </c>
      <c r="I443" s="38">
        <f>H443/G443</f>
        <v>0.10714300114210934</v>
      </c>
      <c r="J443" s="38">
        <f t="shared" si="122"/>
        <v>0.12000018063269108</v>
      </c>
      <c r="K443" s="37">
        <v>2116092710</v>
      </c>
      <c r="L443" s="37">
        <f t="shared" si="120"/>
        <v>226724524</v>
      </c>
      <c r="M443" s="39">
        <f>L420</f>
        <v>181568657</v>
      </c>
      <c r="N443" s="37">
        <f t="shared" si="123"/>
        <v>45155867</v>
      </c>
      <c r="O443" s="40">
        <f t="shared" si="124"/>
        <v>18062347</v>
      </c>
      <c r="P443" s="41" t="s">
        <v>322</v>
      </c>
      <c r="Q443" s="55"/>
      <c r="R443" s="42">
        <f t="shared" si="121"/>
        <v>27093520</v>
      </c>
      <c r="S443" s="55"/>
      <c r="T443" s="55"/>
      <c r="U443" s="55"/>
      <c r="V443" s="34" t="s">
        <v>261</v>
      </c>
      <c r="W443" s="43">
        <v>45093</v>
      </c>
      <c r="X443" s="44" t="s">
        <v>348</v>
      </c>
    </row>
    <row r="444" spans="1:24" ht="17.45" customHeight="1" x14ac:dyDescent="0.25">
      <c r="A444" t="str">
        <f t="shared" si="111"/>
        <v>2910908061450988226000</v>
      </c>
      <c r="B444" s="6">
        <f t="shared" si="109"/>
        <v>45098</v>
      </c>
      <c r="C444" s="3">
        <f t="shared" si="110"/>
        <v>8226000</v>
      </c>
      <c r="D444" s="34">
        <v>2022</v>
      </c>
      <c r="E444" s="35">
        <v>2910908061</v>
      </c>
      <c r="F444" s="36" t="s">
        <v>317</v>
      </c>
      <c r="G444" s="37">
        <v>76776000</v>
      </c>
      <c r="H444" s="37">
        <v>8226000</v>
      </c>
      <c r="I444" s="38">
        <f>H444/G444</f>
        <v>0.10714285714285714</v>
      </c>
      <c r="J444" s="38">
        <f t="shared" si="122"/>
        <v>0.12</v>
      </c>
      <c r="K444" s="37">
        <f>G444</f>
        <v>76776000</v>
      </c>
      <c r="L444" s="37">
        <f t="shared" si="120"/>
        <v>8226000</v>
      </c>
      <c r="M444" s="39">
        <f>L361</f>
        <v>2298914</v>
      </c>
      <c r="N444" s="37">
        <f t="shared" si="123"/>
        <v>5927086</v>
      </c>
      <c r="O444" s="40">
        <f t="shared" si="124"/>
        <v>2370834</v>
      </c>
      <c r="P444" s="41" t="s">
        <v>322</v>
      </c>
      <c r="Q444" s="55"/>
      <c r="R444" s="42">
        <f t="shared" si="121"/>
        <v>3556252</v>
      </c>
      <c r="S444" s="55"/>
      <c r="T444" s="55"/>
      <c r="U444" s="55"/>
      <c r="V444" s="34" t="s">
        <v>261</v>
      </c>
      <c r="W444" s="43">
        <v>45098</v>
      </c>
      <c r="X444" s="44" t="s">
        <v>349</v>
      </c>
    </row>
    <row r="445" spans="1:24" ht="17.45" customHeight="1" x14ac:dyDescent="0.25">
      <c r="A445" t="str">
        <f t="shared" si="111"/>
        <v>29109080714509821641285</v>
      </c>
      <c r="B445" s="6">
        <f t="shared" si="109"/>
        <v>45098</v>
      </c>
      <c r="C445" s="3">
        <f t="shared" si="110"/>
        <v>21641285</v>
      </c>
      <c r="D445" s="34">
        <v>2022</v>
      </c>
      <c r="E445" s="35">
        <v>2910908071</v>
      </c>
      <c r="F445" s="36" t="s">
        <v>350</v>
      </c>
      <c r="G445" s="37">
        <v>201985330</v>
      </c>
      <c r="H445" s="37">
        <v>21641285</v>
      </c>
      <c r="I445" s="38">
        <f>H445/G445</f>
        <v>0.10714285537469478</v>
      </c>
      <c r="J445" s="38">
        <f t="shared" si="122"/>
        <v>0.11999999778201714</v>
      </c>
      <c r="K445" s="37">
        <f>G445</f>
        <v>201985330</v>
      </c>
      <c r="L445" s="37">
        <f t="shared" si="120"/>
        <v>21641285</v>
      </c>
      <c r="M445" s="39">
        <v>0</v>
      </c>
      <c r="N445" s="37">
        <f t="shared" si="123"/>
        <v>21641285</v>
      </c>
      <c r="O445" s="40">
        <f t="shared" si="124"/>
        <v>8656514</v>
      </c>
      <c r="P445" s="41" t="s">
        <v>322</v>
      </c>
      <c r="Q445" s="55"/>
      <c r="R445" s="42">
        <f t="shared" si="121"/>
        <v>12984771</v>
      </c>
      <c r="S445" s="55"/>
      <c r="T445" s="55"/>
      <c r="U445" s="55"/>
      <c r="V445" s="34" t="s">
        <v>261</v>
      </c>
      <c r="W445" s="43">
        <v>45098</v>
      </c>
      <c r="X445" s="44" t="s">
        <v>349</v>
      </c>
    </row>
    <row r="446" spans="1:24" ht="17.45" customHeight="1" x14ac:dyDescent="0.25">
      <c r="A446" t="str">
        <f t="shared" si="111"/>
        <v>2910908064450981033929</v>
      </c>
      <c r="B446" s="6">
        <f t="shared" si="109"/>
        <v>45098</v>
      </c>
      <c r="C446" s="3">
        <f t="shared" si="110"/>
        <v>1033929</v>
      </c>
      <c r="D446" s="34">
        <v>2022</v>
      </c>
      <c r="E446" s="35">
        <v>2910908064</v>
      </c>
      <c r="F446" s="36" t="s">
        <v>351</v>
      </c>
      <c r="G446" s="37">
        <v>9650000</v>
      </c>
      <c r="H446" s="37">
        <v>1033929</v>
      </c>
      <c r="I446" s="38">
        <f>H446/G446</f>
        <v>0.10714290155440415</v>
      </c>
      <c r="J446" s="38">
        <f t="shared" si="122"/>
        <v>0.12000005570984733</v>
      </c>
      <c r="K446" s="37">
        <v>9650000</v>
      </c>
      <c r="L446" s="37">
        <f t="shared" si="120"/>
        <v>1033929</v>
      </c>
      <c r="M446" s="39">
        <v>0</v>
      </c>
      <c r="N446" s="37">
        <f t="shared" si="123"/>
        <v>1033929</v>
      </c>
      <c r="O446" s="40">
        <f t="shared" si="124"/>
        <v>413572</v>
      </c>
      <c r="P446" s="41" t="s">
        <v>322</v>
      </c>
      <c r="Q446" s="55"/>
      <c r="R446" s="42">
        <f t="shared" si="121"/>
        <v>620357</v>
      </c>
      <c r="S446" s="55"/>
      <c r="T446" s="55"/>
      <c r="U446" s="55"/>
      <c r="V446" s="34" t="s">
        <v>261</v>
      </c>
      <c r="W446" s="43">
        <v>45098</v>
      </c>
      <c r="X446" s="44" t="s">
        <v>349</v>
      </c>
    </row>
    <row r="447" spans="1:24" ht="17.45" customHeight="1" x14ac:dyDescent="0.25">
      <c r="A447" t="str">
        <f t="shared" si="111"/>
        <v>24530183314509833430732</v>
      </c>
      <c r="B447" s="6">
        <f t="shared" si="109"/>
        <v>45223</v>
      </c>
      <c r="C447" s="3">
        <f t="shared" si="110"/>
        <v>52886721</v>
      </c>
      <c r="D447" s="34">
        <v>2021</v>
      </c>
      <c r="E447" s="35">
        <v>2453018331</v>
      </c>
      <c r="F447" s="36" t="s">
        <v>282</v>
      </c>
      <c r="G447" s="37">
        <v>1079098616</v>
      </c>
      <c r="H447" s="37">
        <v>115617709</v>
      </c>
      <c r="I447" s="38">
        <f>H447/G447</f>
        <v>0.10714285727524277</v>
      </c>
      <c r="J447" s="38">
        <f t="shared" si="122"/>
        <v>0.12000000016606453</v>
      </c>
      <c r="K447" s="37">
        <v>312020164</v>
      </c>
      <c r="L447" s="37">
        <f t="shared" si="120"/>
        <v>33430732</v>
      </c>
      <c r="M447" s="39">
        <f>L437</f>
        <v>21441571</v>
      </c>
      <c r="N447" s="37">
        <f t="shared" si="123"/>
        <v>11989161</v>
      </c>
      <c r="O447" s="40">
        <f t="shared" si="124"/>
        <v>4795664</v>
      </c>
      <c r="P447" s="41" t="s">
        <v>322</v>
      </c>
      <c r="Q447" s="55"/>
      <c r="R447" s="42">
        <f t="shared" si="121"/>
        <v>7193497</v>
      </c>
      <c r="S447" s="55"/>
      <c r="T447" s="55"/>
      <c r="U447" s="55"/>
      <c r="V447" s="34" t="s">
        <v>261</v>
      </c>
      <c r="W447" s="43">
        <v>45098</v>
      </c>
      <c r="X447" s="44" t="s">
        <v>273</v>
      </c>
    </row>
    <row r="448" spans="1:24" ht="17.45" customHeight="1" x14ac:dyDescent="0.25">
      <c r="A448" t="str">
        <f t="shared" si="111"/>
        <v>29109067814509810500000</v>
      </c>
      <c r="B448" s="6">
        <f t="shared" si="109"/>
        <v>45098</v>
      </c>
      <c r="C448" s="3">
        <f t="shared" si="110"/>
        <v>10500000</v>
      </c>
      <c r="D448" s="34">
        <v>2022</v>
      </c>
      <c r="E448" s="35">
        <v>2910906781</v>
      </c>
      <c r="F448" s="36" t="s">
        <v>269</v>
      </c>
      <c r="G448" s="37">
        <v>98000000</v>
      </c>
      <c r="H448" s="37">
        <v>10500000</v>
      </c>
      <c r="I448" s="38">
        <f>+H448/G448</f>
        <v>0.10714285714285714</v>
      </c>
      <c r="J448" s="38">
        <f t="shared" si="122"/>
        <v>0.12</v>
      </c>
      <c r="K448" s="37">
        <v>98000000</v>
      </c>
      <c r="L448" s="37">
        <f t="shared" si="120"/>
        <v>10500000</v>
      </c>
      <c r="M448" s="39">
        <f>L403</f>
        <v>7640430</v>
      </c>
      <c r="N448" s="37">
        <f t="shared" si="123"/>
        <v>2859570</v>
      </c>
      <c r="O448" s="40">
        <f t="shared" si="124"/>
        <v>1143828</v>
      </c>
      <c r="P448" s="41" t="s">
        <v>322</v>
      </c>
      <c r="Q448" s="55"/>
      <c r="R448" s="42">
        <f t="shared" si="121"/>
        <v>1715742</v>
      </c>
      <c r="S448" s="55"/>
      <c r="T448" s="55"/>
      <c r="U448" s="55"/>
      <c r="V448" s="34" t="s">
        <v>261</v>
      </c>
      <c r="W448" s="43">
        <v>45098</v>
      </c>
      <c r="X448" s="44" t="s">
        <v>352</v>
      </c>
    </row>
    <row r="449" spans="1:24" ht="17.45" customHeight="1" x14ac:dyDescent="0.25">
      <c r="A449" t="str">
        <f t="shared" si="111"/>
        <v>29109067934509816338120</v>
      </c>
      <c r="B449" s="6">
        <f t="shared" si="109"/>
        <v>45098</v>
      </c>
      <c r="C449" s="3">
        <f t="shared" si="110"/>
        <v>16338120</v>
      </c>
      <c r="D449" s="34">
        <v>2022</v>
      </c>
      <c r="E449" s="35">
        <v>2910906793</v>
      </c>
      <c r="F449" s="36" t="s">
        <v>302</v>
      </c>
      <c r="G449" s="37">
        <v>152489124</v>
      </c>
      <c r="H449" s="37">
        <v>16338120</v>
      </c>
      <c r="I449" s="38">
        <f>H449/G449</f>
        <v>0.10714285433235225</v>
      </c>
      <c r="J449" s="38">
        <f t="shared" si="122"/>
        <v>0.11999999647450268</v>
      </c>
      <c r="K449" s="37">
        <v>152489124</v>
      </c>
      <c r="L449" s="37">
        <f t="shared" si="120"/>
        <v>16338120</v>
      </c>
      <c r="M449" s="39">
        <f>L331</f>
        <v>11562786</v>
      </c>
      <c r="N449" s="37">
        <f t="shared" si="123"/>
        <v>4775334</v>
      </c>
      <c r="O449" s="40">
        <f t="shared" si="124"/>
        <v>1910134</v>
      </c>
      <c r="P449" s="41" t="s">
        <v>322</v>
      </c>
      <c r="Q449" s="55"/>
      <c r="R449" s="42">
        <f t="shared" si="121"/>
        <v>2865200</v>
      </c>
      <c r="S449" s="55"/>
      <c r="T449" s="55"/>
      <c r="U449" s="55"/>
      <c r="V449" s="34" t="s">
        <v>261</v>
      </c>
      <c r="W449" s="43">
        <v>45098</v>
      </c>
      <c r="X449" s="44" t="s">
        <v>353</v>
      </c>
    </row>
    <row r="450" spans="1:24" ht="17.45" customHeight="1" x14ac:dyDescent="0.25">
      <c r="A450" t="str">
        <f t="shared" si="111"/>
        <v>2910907203450989552600</v>
      </c>
      <c r="B450" s="6">
        <f t="shared" ref="B450:B513" si="125">_xlfn.MAXIFS(W:W,E:E,E450)</f>
        <v>45098</v>
      </c>
      <c r="C450" s="3">
        <f t="shared" ref="C450:C513" si="126">_xlfn.MAXIFS(L:L,E:E,E450)</f>
        <v>9552600</v>
      </c>
      <c r="D450" s="34">
        <v>2022</v>
      </c>
      <c r="E450" s="35">
        <v>2910907203</v>
      </c>
      <c r="F450" s="36" t="s">
        <v>310</v>
      </c>
      <c r="G450" s="37">
        <v>89157600</v>
      </c>
      <c r="H450" s="37">
        <v>9552600</v>
      </c>
      <c r="I450" s="38">
        <f>H450/G450</f>
        <v>0.10714285714285714</v>
      </c>
      <c r="J450" s="38">
        <f t="shared" si="122"/>
        <v>0.12</v>
      </c>
      <c r="K450" s="37">
        <v>89157600</v>
      </c>
      <c r="L450" s="37">
        <f t="shared" si="120"/>
        <v>9552600</v>
      </c>
      <c r="M450" s="39">
        <f>L338</f>
        <v>6165009</v>
      </c>
      <c r="N450" s="37">
        <f t="shared" si="123"/>
        <v>3387591</v>
      </c>
      <c r="O450" s="40">
        <f t="shared" si="124"/>
        <v>1355036</v>
      </c>
      <c r="P450" s="41" t="s">
        <v>322</v>
      </c>
      <c r="Q450" s="55"/>
      <c r="R450" s="42">
        <f t="shared" si="121"/>
        <v>2032555</v>
      </c>
      <c r="S450" s="55"/>
      <c r="T450" s="55"/>
      <c r="U450" s="55"/>
      <c r="V450" s="34" t="s">
        <v>261</v>
      </c>
      <c r="W450" s="43">
        <v>45098</v>
      </c>
      <c r="X450" s="44" t="s">
        <v>340</v>
      </c>
    </row>
    <row r="451" spans="1:24" ht="17.45" customHeight="1" x14ac:dyDescent="0.25">
      <c r="A451" t="str">
        <f t="shared" ref="A451:A514" si="127">_xlfn.CONCAT(E451,W451,L451)</f>
        <v>2910906797450989787246</v>
      </c>
      <c r="B451" s="6">
        <f t="shared" si="125"/>
        <v>45195</v>
      </c>
      <c r="C451" s="3">
        <f t="shared" si="126"/>
        <v>27968302</v>
      </c>
      <c r="D451" s="34">
        <v>2022</v>
      </c>
      <c r="E451" s="35">
        <v>2910906797</v>
      </c>
      <c r="F451" s="36" t="s">
        <v>329</v>
      </c>
      <c r="G451" s="37">
        <v>349990900</v>
      </c>
      <c r="H451" s="37">
        <v>37499025</v>
      </c>
      <c r="I451" s="38">
        <f>H451/G451</f>
        <v>0.10714285714285714</v>
      </c>
      <c r="J451" s="38">
        <f t="shared" si="122"/>
        <v>0.12</v>
      </c>
      <c r="K451" s="37">
        <v>91347625</v>
      </c>
      <c r="L451" s="37">
        <f t="shared" si="120"/>
        <v>9787246</v>
      </c>
      <c r="M451" s="39">
        <f>L397</f>
        <v>7044107</v>
      </c>
      <c r="N451" s="37">
        <f t="shared" si="123"/>
        <v>2743139</v>
      </c>
      <c r="O451" s="40">
        <f t="shared" si="124"/>
        <v>1097256</v>
      </c>
      <c r="P451" s="41" t="s">
        <v>322</v>
      </c>
      <c r="Q451" s="55"/>
      <c r="R451" s="42">
        <f t="shared" si="121"/>
        <v>1645883</v>
      </c>
      <c r="S451" s="55"/>
      <c r="T451" s="55"/>
      <c r="U451" s="55"/>
      <c r="V451" s="34" t="s">
        <v>261</v>
      </c>
      <c r="W451" s="43">
        <v>45098</v>
      </c>
      <c r="X451" s="44" t="s">
        <v>354</v>
      </c>
    </row>
    <row r="452" spans="1:24" ht="17.45" customHeight="1" x14ac:dyDescent="0.25">
      <c r="A452" t="str">
        <f t="shared" si="127"/>
        <v>29109067704509820098034</v>
      </c>
      <c r="B452" s="6">
        <f t="shared" si="125"/>
        <v>45098</v>
      </c>
      <c r="C452" s="3">
        <f t="shared" si="126"/>
        <v>22588645</v>
      </c>
      <c r="D452" s="34">
        <v>2021</v>
      </c>
      <c r="E452" s="35">
        <v>2910906770</v>
      </c>
      <c r="F452" s="36" t="s">
        <v>223</v>
      </c>
      <c r="G452" s="37">
        <v>276617170</v>
      </c>
      <c r="H452" s="37">
        <v>29637554</v>
      </c>
      <c r="I452" s="38">
        <f>+H452/G452</f>
        <v>0.1071428574010789</v>
      </c>
      <c r="J452" s="38">
        <f t="shared" si="122"/>
        <v>0.12000000032391338</v>
      </c>
      <c r="K452" s="37">
        <v>187581652</v>
      </c>
      <c r="L452" s="37">
        <f t="shared" si="120"/>
        <v>20098034</v>
      </c>
      <c r="M452" s="39">
        <f>L401</f>
        <v>14577203</v>
      </c>
      <c r="N452" s="37">
        <f t="shared" si="123"/>
        <v>5520831</v>
      </c>
      <c r="O452" s="40">
        <f t="shared" si="124"/>
        <v>2208332</v>
      </c>
      <c r="P452" s="41" t="s">
        <v>322</v>
      </c>
      <c r="Q452" s="55"/>
      <c r="R452" s="42">
        <f t="shared" si="121"/>
        <v>3312499</v>
      </c>
      <c r="S452" s="55"/>
      <c r="T452" s="55"/>
      <c r="U452" s="55"/>
      <c r="V452" s="34" t="s">
        <v>261</v>
      </c>
      <c r="W452" s="43">
        <v>45098</v>
      </c>
      <c r="X452" s="44" t="s">
        <v>355</v>
      </c>
    </row>
    <row r="453" spans="1:24" ht="17.45" customHeight="1" x14ac:dyDescent="0.25">
      <c r="A453" t="str">
        <f t="shared" si="127"/>
        <v>291090679645098169796543</v>
      </c>
      <c r="B453" s="6">
        <f t="shared" si="125"/>
        <v>45132</v>
      </c>
      <c r="C453" s="3">
        <f t="shared" si="126"/>
        <v>212245679</v>
      </c>
      <c r="D453" s="34">
        <v>2022</v>
      </c>
      <c r="E453" s="35">
        <v>2910906796</v>
      </c>
      <c r="F453" s="36" t="s">
        <v>296</v>
      </c>
      <c r="G453" s="37">
        <v>1980959670</v>
      </c>
      <c r="H453" s="37">
        <v>212245679</v>
      </c>
      <c r="I453" s="38">
        <f>H453/G453</f>
        <v>0.1071428571789147</v>
      </c>
      <c r="J453" s="38">
        <f t="shared" si="122"/>
        <v>0.12000000004523061</v>
      </c>
      <c r="K453" s="37">
        <v>1584767736</v>
      </c>
      <c r="L453" s="37">
        <f t="shared" si="120"/>
        <v>169796543</v>
      </c>
      <c r="M453" s="39">
        <f>L421</f>
        <v>109048076</v>
      </c>
      <c r="N453" s="37">
        <f t="shared" si="123"/>
        <v>60748467</v>
      </c>
      <c r="O453" s="40">
        <f t="shared" si="124"/>
        <v>24299387</v>
      </c>
      <c r="P453" s="41" t="s">
        <v>322</v>
      </c>
      <c r="Q453" s="55"/>
      <c r="R453" s="42">
        <f t="shared" si="121"/>
        <v>36449080</v>
      </c>
      <c r="S453" s="55"/>
      <c r="T453" s="55"/>
      <c r="U453" s="55"/>
      <c r="V453" s="34" t="s">
        <v>261</v>
      </c>
      <c r="W453" s="43">
        <v>45098</v>
      </c>
      <c r="X453" s="44" t="s">
        <v>356</v>
      </c>
    </row>
    <row r="454" spans="1:24" ht="17.45" customHeight="1" x14ac:dyDescent="0.25">
      <c r="A454" t="str">
        <f t="shared" si="127"/>
        <v>2910907221450987722094</v>
      </c>
      <c r="B454" s="6">
        <f t="shared" si="125"/>
        <v>45742</v>
      </c>
      <c r="C454" s="3">
        <f t="shared" si="126"/>
        <v>25740314.108714286</v>
      </c>
      <c r="D454" s="34">
        <v>2023</v>
      </c>
      <c r="E454" s="35">
        <v>2910907221</v>
      </c>
      <c r="F454" s="36" t="s">
        <v>330</v>
      </c>
      <c r="G454" s="37">
        <v>242915000</v>
      </c>
      <c r="H454" s="37">
        <v>26026607</v>
      </c>
      <c r="I454" s="38">
        <f>+H454/G454</f>
        <v>0.10714285655476195</v>
      </c>
      <c r="J454" s="38">
        <f t="shared" si="122"/>
        <v>0.11999999926229339</v>
      </c>
      <c r="K454" s="37">
        <v>72072880</v>
      </c>
      <c r="L454" s="37">
        <f t="shared" si="120"/>
        <v>7722094</v>
      </c>
      <c r="M454" s="39">
        <f>L427</f>
        <v>6375878</v>
      </c>
      <c r="N454" s="37">
        <f t="shared" si="123"/>
        <v>1346216</v>
      </c>
      <c r="O454" s="40">
        <f t="shared" si="124"/>
        <v>538486</v>
      </c>
      <c r="P454" s="41" t="s">
        <v>322</v>
      </c>
      <c r="Q454" s="55"/>
      <c r="R454" s="42">
        <f t="shared" si="121"/>
        <v>807730</v>
      </c>
      <c r="S454" s="55"/>
      <c r="T454" s="55"/>
      <c r="U454" s="55"/>
      <c r="V454" s="34" t="s">
        <v>261</v>
      </c>
      <c r="W454" s="43">
        <v>45098</v>
      </c>
      <c r="X454" s="44" t="s">
        <v>357</v>
      </c>
    </row>
    <row r="455" spans="1:24" ht="17.45" customHeight="1" x14ac:dyDescent="0.25">
      <c r="A455" t="str">
        <f t="shared" si="127"/>
        <v>29109067894509869027886</v>
      </c>
      <c r="B455" s="6">
        <f t="shared" si="125"/>
        <v>45891</v>
      </c>
      <c r="C455" s="3">
        <f t="shared" si="126"/>
        <v>194667600.36437911</v>
      </c>
      <c r="D455" s="34">
        <v>2022</v>
      </c>
      <c r="E455" s="35">
        <v>2910906789</v>
      </c>
      <c r="F455" s="36" t="s">
        <v>289</v>
      </c>
      <c r="G455" s="37">
        <v>9124262365</v>
      </c>
      <c r="H455" s="37">
        <v>977599539</v>
      </c>
      <c r="I455" s="38">
        <f>+H455/G455</f>
        <v>0.10714285713111452</v>
      </c>
      <c r="J455" s="38">
        <f t="shared" si="122"/>
        <v>0.11999999998527004</v>
      </c>
      <c r="K455" s="37">
        <v>644260268</v>
      </c>
      <c r="L455" s="37">
        <f t="shared" si="120"/>
        <v>69027886</v>
      </c>
      <c r="M455" s="39">
        <f>L438</f>
        <v>58459972</v>
      </c>
      <c r="N455" s="37">
        <f t="shared" si="123"/>
        <v>10567914</v>
      </c>
      <c r="O455" s="40">
        <f t="shared" si="124"/>
        <v>4227166</v>
      </c>
      <c r="P455" s="41" t="s">
        <v>322</v>
      </c>
      <c r="Q455" s="55"/>
      <c r="R455" s="42">
        <f t="shared" si="121"/>
        <v>6340748</v>
      </c>
      <c r="S455" s="55"/>
      <c r="T455" s="55"/>
      <c r="U455" s="55"/>
      <c r="V455" s="34" t="s">
        <v>261</v>
      </c>
      <c r="W455" s="43">
        <v>45098</v>
      </c>
      <c r="X455" s="44" t="s">
        <v>358</v>
      </c>
    </row>
    <row r="456" spans="1:24" ht="17.45" customHeight="1" x14ac:dyDescent="0.25">
      <c r="A456" t="str">
        <f t="shared" si="127"/>
        <v>29109072134509811630760</v>
      </c>
      <c r="B456" s="6">
        <f t="shared" si="125"/>
        <v>45098</v>
      </c>
      <c r="C456" s="3">
        <f t="shared" si="126"/>
        <v>11630760</v>
      </c>
      <c r="D456" s="34">
        <v>2022</v>
      </c>
      <c r="E456" s="35">
        <v>2910907213</v>
      </c>
      <c r="F456" s="36" t="s">
        <v>359</v>
      </c>
      <c r="G456" s="37">
        <v>108553760</v>
      </c>
      <c r="H456" s="37">
        <v>11630760</v>
      </c>
      <c r="I456" s="38">
        <f>+H456/G456</f>
        <v>0.10714285714285714</v>
      </c>
      <c r="J456" s="38">
        <f t="shared" si="122"/>
        <v>0.12</v>
      </c>
      <c r="K456" s="37">
        <v>108553760</v>
      </c>
      <c r="L456" s="37">
        <f t="shared" si="120"/>
        <v>11630760</v>
      </c>
      <c r="M456" s="39">
        <v>0</v>
      </c>
      <c r="N456" s="37">
        <f t="shared" si="123"/>
        <v>11630760</v>
      </c>
      <c r="O456" s="40">
        <f t="shared" si="124"/>
        <v>4652304</v>
      </c>
      <c r="P456" s="41" t="s">
        <v>322</v>
      </c>
      <c r="Q456" s="55"/>
      <c r="R456" s="42">
        <f t="shared" si="121"/>
        <v>6978456</v>
      </c>
      <c r="S456" s="55"/>
      <c r="T456" s="55"/>
      <c r="U456" s="55"/>
      <c r="V456" s="34" t="s">
        <v>261</v>
      </c>
      <c r="W456" s="43">
        <v>45098</v>
      </c>
      <c r="X456" s="44" t="s">
        <v>360</v>
      </c>
    </row>
    <row r="457" spans="1:24" ht="17.45" customHeight="1" x14ac:dyDescent="0.25">
      <c r="A457" t="str">
        <f t="shared" si="127"/>
        <v>29109072114509836964321</v>
      </c>
      <c r="B457" s="6">
        <f t="shared" si="125"/>
        <v>45163</v>
      </c>
      <c r="C457" s="3">
        <f t="shared" si="126"/>
        <v>66535750</v>
      </c>
      <c r="D457" s="34">
        <v>2022</v>
      </c>
      <c r="E457" s="35">
        <v>2910907211</v>
      </c>
      <c r="F457" s="36" t="s">
        <v>343</v>
      </c>
      <c r="G457" s="37">
        <v>690000000</v>
      </c>
      <c r="H457" s="37">
        <v>73928571</v>
      </c>
      <c r="I457" s="38">
        <f>+H457/G457</f>
        <v>0.10714285652173913</v>
      </c>
      <c r="J457" s="38">
        <f t="shared" si="122"/>
        <v>0.11999999922086957</v>
      </c>
      <c r="K457" s="37">
        <v>345000333</v>
      </c>
      <c r="L457" s="37">
        <f t="shared" si="120"/>
        <v>36964321</v>
      </c>
      <c r="M457" s="39">
        <f>L439</f>
        <v>22178571</v>
      </c>
      <c r="N457" s="37">
        <f t="shared" si="123"/>
        <v>14785750</v>
      </c>
      <c r="O457" s="40">
        <f t="shared" si="124"/>
        <v>5914300</v>
      </c>
      <c r="P457" s="41" t="s">
        <v>322</v>
      </c>
      <c r="Q457" s="55"/>
      <c r="R457" s="42">
        <f t="shared" si="121"/>
        <v>8871450</v>
      </c>
      <c r="S457" s="55"/>
      <c r="T457" s="55"/>
      <c r="U457" s="55"/>
      <c r="V457" s="34" t="s">
        <v>261</v>
      </c>
      <c r="W457" s="43">
        <v>45098</v>
      </c>
      <c r="X457" s="44" t="s">
        <v>361</v>
      </c>
    </row>
    <row r="458" spans="1:24" ht="17.45" customHeight="1" x14ac:dyDescent="0.25">
      <c r="A458" t="str">
        <f t="shared" si="127"/>
        <v>2910907210450989450000</v>
      </c>
      <c r="B458" s="6">
        <f t="shared" si="125"/>
        <v>45125</v>
      </c>
      <c r="C458" s="3">
        <f t="shared" si="126"/>
        <v>12150000</v>
      </c>
      <c r="D458" s="34">
        <v>2022</v>
      </c>
      <c r="E458" s="35">
        <v>2910907210</v>
      </c>
      <c r="F458" s="36" t="s">
        <v>315</v>
      </c>
      <c r="G458" s="37">
        <v>126000000</v>
      </c>
      <c r="H458" s="37">
        <v>13500000</v>
      </c>
      <c r="I458" s="38">
        <f>H458/G458</f>
        <v>0.10714285714285714</v>
      </c>
      <c r="J458" s="38">
        <f t="shared" si="122"/>
        <v>0.12</v>
      </c>
      <c r="K458" s="37">
        <v>88200000</v>
      </c>
      <c r="L458" s="37">
        <f t="shared" si="120"/>
        <v>9450000</v>
      </c>
      <c r="M458" s="39">
        <f>L349</f>
        <v>2528571</v>
      </c>
      <c r="N458" s="37">
        <f t="shared" si="123"/>
        <v>6921429</v>
      </c>
      <c r="O458" s="40">
        <f t="shared" si="124"/>
        <v>2768572</v>
      </c>
      <c r="P458" s="41" t="s">
        <v>322</v>
      </c>
      <c r="Q458" s="55"/>
      <c r="R458" s="42">
        <f t="shared" si="121"/>
        <v>4152857</v>
      </c>
      <c r="S458" s="55"/>
      <c r="T458" s="55"/>
      <c r="U458" s="55"/>
      <c r="V458" s="34" t="s">
        <v>261</v>
      </c>
      <c r="W458" s="43">
        <v>45098</v>
      </c>
      <c r="X458" s="44" t="s">
        <v>362</v>
      </c>
    </row>
    <row r="459" spans="1:24" ht="17.45" customHeight="1" x14ac:dyDescent="0.25">
      <c r="A459" t="str">
        <f t="shared" si="127"/>
        <v>2910907214450986507480</v>
      </c>
      <c r="B459" s="6">
        <f t="shared" si="125"/>
        <v>45316</v>
      </c>
      <c r="C459" s="3">
        <f t="shared" si="126"/>
        <v>18592800</v>
      </c>
      <c r="D459" s="34">
        <v>2022</v>
      </c>
      <c r="E459" s="35">
        <v>2910907214</v>
      </c>
      <c r="F459" s="36" t="s">
        <v>327</v>
      </c>
      <c r="G459" s="37">
        <v>173532800</v>
      </c>
      <c r="H459" s="37">
        <v>18592800</v>
      </c>
      <c r="I459" s="38">
        <f>+H459/G459</f>
        <v>0.10714285714285714</v>
      </c>
      <c r="J459" s="38">
        <f t="shared" si="122"/>
        <v>0.12</v>
      </c>
      <c r="K459" s="37">
        <v>60736480</v>
      </c>
      <c r="L459" s="37">
        <f t="shared" si="120"/>
        <v>6507480</v>
      </c>
      <c r="M459" s="39">
        <f>L424</f>
        <v>4878963</v>
      </c>
      <c r="N459" s="37">
        <f t="shared" si="123"/>
        <v>1628517</v>
      </c>
      <c r="O459" s="40">
        <f t="shared" si="124"/>
        <v>651407</v>
      </c>
      <c r="P459" s="41" t="s">
        <v>322</v>
      </c>
      <c r="Q459" s="55"/>
      <c r="R459" s="42">
        <f t="shared" si="121"/>
        <v>977110</v>
      </c>
      <c r="S459" s="55"/>
      <c r="T459" s="55"/>
      <c r="U459" s="55"/>
      <c r="V459" s="34" t="s">
        <v>261</v>
      </c>
      <c r="W459" s="43">
        <v>45098</v>
      </c>
      <c r="X459" s="44" t="s">
        <v>363</v>
      </c>
    </row>
    <row r="460" spans="1:24" ht="17.45" customHeight="1" x14ac:dyDescent="0.25">
      <c r="A460" t="str">
        <f t="shared" si="127"/>
        <v>29109062334509844072678</v>
      </c>
      <c r="B460" s="6">
        <f t="shared" si="125"/>
        <v>45163</v>
      </c>
      <c r="C460" s="3">
        <f t="shared" si="126"/>
        <v>47708250</v>
      </c>
      <c r="D460" s="34">
        <v>2016</v>
      </c>
      <c r="E460" s="35">
        <v>2910906233</v>
      </c>
      <c r="F460" s="36" t="s">
        <v>304</v>
      </c>
      <c r="G460" s="37">
        <v>801237000</v>
      </c>
      <c r="H460" s="37">
        <v>85846821</v>
      </c>
      <c r="I460" s="38">
        <f>H460/G460</f>
        <v>0.10714285660796993</v>
      </c>
      <c r="J460" s="38">
        <f t="shared" si="122"/>
        <v>0.11999999932903747</v>
      </c>
      <c r="K460" s="37">
        <v>411345000</v>
      </c>
      <c r="L460" s="37">
        <f t="shared" si="120"/>
        <v>44072678</v>
      </c>
      <c r="M460" s="39">
        <f>L333</f>
        <v>25905039</v>
      </c>
      <c r="N460" s="37">
        <f t="shared" si="123"/>
        <v>18167639</v>
      </c>
      <c r="O460" s="40">
        <f t="shared" si="124"/>
        <v>7267056</v>
      </c>
      <c r="P460" s="41" t="s">
        <v>322</v>
      </c>
      <c r="Q460" s="55"/>
      <c r="R460" s="42">
        <f t="shared" si="121"/>
        <v>10900583</v>
      </c>
      <c r="S460" s="55"/>
      <c r="T460" s="55"/>
      <c r="U460" s="55"/>
      <c r="V460" s="34" t="s">
        <v>261</v>
      </c>
      <c r="W460" s="43">
        <v>45098</v>
      </c>
      <c r="X460" s="44" t="s">
        <v>364</v>
      </c>
    </row>
    <row r="461" spans="1:24" ht="17.45" customHeight="1" x14ac:dyDescent="0.25">
      <c r="A461" t="str">
        <f t="shared" si="127"/>
        <v>291090801645099684000</v>
      </c>
      <c r="B461" s="6">
        <f t="shared" si="125"/>
        <v>45099</v>
      </c>
      <c r="C461" s="3">
        <f t="shared" si="126"/>
        <v>684000</v>
      </c>
      <c r="D461" s="34">
        <v>2020</v>
      </c>
      <c r="E461" s="35">
        <v>2910908016</v>
      </c>
      <c r="F461" s="36" t="s">
        <v>307</v>
      </c>
      <c r="G461" s="37">
        <v>25096800</v>
      </c>
      <c r="H461" s="37">
        <v>684000</v>
      </c>
      <c r="I461" s="38">
        <f>H461/G461</f>
        <v>2.7254470689490294E-2</v>
      </c>
      <c r="J461" s="38">
        <f t="shared" si="122"/>
        <v>2.8018088871411717E-2</v>
      </c>
      <c r="K461" s="37">
        <v>25096800</v>
      </c>
      <c r="L461" s="37">
        <f t="shared" si="120"/>
        <v>684000</v>
      </c>
      <c r="M461" s="39">
        <f>L336</f>
        <v>292004</v>
      </c>
      <c r="N461" s="37">
        <f t="shared" ref="N461:N492" si="128">+L461-M461</f>
        <v>391996</v>
      </c>
      <c r="O461" s="40">
        <f t="shared" si="124"/>
        <v>156798</v>
      </c>
      <c r="P461" s="41" t="s">
        <v>322</v>
      </c>
      <c r="Q461" s="55"/>
      <c r="R461" s="42">
        <f t="shared" si="121"/>
        <v>235198</v>
      </c>
      <c r="S461" s="55"/>
      <c r="T461" s="55"/>
      <c r="U461" s="55"/>
      <c r="V461" s="34" t="s">
        <v>261</v>
      </c>
      <c r="W461" s="43">
        <v>45099</v>
      </c>
      <c r="X461" s="44" t="s">
        <v>365</v>
      </c>
    </row>
    <row r="462" spans="1:24" ht="17.45" customHeight="1" x14ac:dyDescent="0.25">
      <c r="A462" t="str">
        <f t="shared" si="127"/>
        <v>29109080604509944092486</v>
      </c>
      <c r="B462" s="6">
        <f t="shared" si="125"/>
        <v>45099</v>
      </c>
      <c r="C462" s="3">
        <f t="shared" si="126"/>
        <v>44092486</v>
      </c>
      <c r="D462" s="34">
        <v>2022</v>
      </c>
      <c r="E462" s="35">
        <v>2910908060</v>
      </c>
      <c r="F462" s="36" t="s">
        <v>326</v>
      </c>
      <c r="G462" s="37">
        <v>411529874</v>
      </c>
      <c r="H462" s="37">
        <v>44092486</v>
      </c>
      <c r="I462" s="38">
        <v>0.10714285723073452</v>
      </c>
      <c r="J462" s="38">
        <v>0.12000000011023339</v>
      </c>
      <c r="K462" s="37">
        <f>G462</f>
        <v>411529874</v>
      </c>
      <c r="L462" s="37">
        <v>44092486</v>
      </c>
      <c r="M462" s="39">
        <f>L423</f>
        <v>23892787</v>
      </c>
      <c r="N462" s="37">
        <f t="shared" si="128"/>
        <v>20199699</v>
      </c>
      <c r="O462" s="40">
        <f t="shared" si="124"/>
        <v>8079880</v>
      </c>
      <c r="P462" s="41" t="s">
        <v>322</v>
      </c>
      <c r="Q462" s="55"/>
      <c r="R462" s="42">
        <f t="shared" si="121"/>
        <v>12119819</v>
      </c>
      <c r="S462" s="55"/>
      <c r="T462" s="55"/>
      <c r="U462" s="55"/>
      <c r="V462" s="34" t="s">
        <v>261</v>
      </c>
      <c r="W462" s="43">
        <v>45099</v>
      </c>
      <c r="X462" s="44" t="s">
        <v>365</v>
      </c>
    </row>
    <row r="463" spans="1:24" ht="17.45" customHeight="1" x14ac:dyDescent="0.25">
      <c r="A463" t="str">
        <f t="shared" si="127"/>
        <v>245301834045099202994614</v>
      </c>
      <c r="B463" s="6">
        <f t="shared" si="125"/>
        <v>45524</v>
      </c>
      <c r="C463" s="3">
        <f t="shared" si="126"/>
        <v>750720353.98835123</v>
      </c>
      <c r="D463" s="34">
        <v>2022</v>
      </c>
      <c r="E463" s="35">
        <v>2453018340</v>
      </c>
      <c r="F463" s="36" t="s">
        <v>320</v>
      </c>
      <c r="G463" s="37">
        <v>5029012761</v>
      </c>
      <c r="H463" s="37">
        <v>536676091</v>
      </c>
      <c r="I463" s="38">
        <f>+H463/G463</f>
        <v>0.10671599307958089</v>
      </c>
      <c r="J463" s="38">
        <f t="shared" ref="J463:J494" si="129">IFERROR((+H463/(G463-H463)),0)</f>
        <v>0.11946479759274142</v>
      </c>
      <c r="K463" s="37">
        <v>1902194868</v>
      </c>
      <c r="L463" s="37">
        <f t="shared" ref="L463:L470" si="130">ROUND((+K463*I463),0)</f>
        <v>202994614</v>
      </c>
      <c r="M463" s="39">
        <f>L432</f>
        <v>138825976</v>
      </c>
      <c r="N463" s="37">
        <f t="shared" si="128"/>
        <v>64168638</v>
      </c>
      <c r="O463" s="40">
        <f t="shared" si="124"/>
        <v>25667455</v>
      </c>
      <c r="P463" s="41" t="s">
        <v>322</v>
      </c>
      <c r="Q463" s="55"/>
      <c r="R463" s="42">
        <f t="shared" si="121"/>
        <v>38501183</v>
      </c>
      <c r="S463" s="55"/>
      <c r="T463" s="55"/>
      <c r="U463" s="55"/>
      <c r="V463" s="34" t="s">
        <v>261</v>
      </c>
      <c r="W463" s="43">
        <v>45099</v>
      </c>
      <c r="X463" s="44" t="s">
        <v>280</v>
      </c>
    </row>
    <row r="464" spans="1:24" ht="17.45" customHeight="1" x14ac:dyDescent="0.25">
      <c r="A464" t="str">
        <f t="shared" si="127"/>
        <v>245301833045099232237873</v>
      </c>
      <c r="B464" s="6">
        <f t="shared" si="125"/>
        <v>45912</v>
      </c>
      <c r="C464" s="3">
        <f t="shared" si="126"/>
        <v>259214159</v>
      </c>
      <c r="D464" s="34">
        <v>2021</v>
      </c>
      <c r="E464" s="35">
        <v>2453018330</v>
      </c>
      <c r="F464" s="36" t="s">
        <v>198</v>
      </c>
      <c r="G464" s="37">
        <v>2419332150</v>
      </c>
      <c r="H464" s="37">
        <v>259214159</v>
      </c>
      <c r="I464" s="38">
        <f>H464/G464</f>
        <v>0.10714285717238123</v>
      </c>
      <c r="J464" s="38">
        <f t="shared" si="129"/>
        <v>0.12000000003703501</v>
      </c>
      <c r="K464" s="37">
        <v>2167553483</v>
      </c>
      <c r="L464" s="37">
        <f t="shared" si="130"/>
        <v>232237873</v>
      </c>
      <c r="M464" s="39">
        <f>L436</f>
        <v>209368572</v>
      </c>
      <c r="N464" s="37">
        <f t="shared" si="128"/>
        <v>22869301</v>
      </c>
      <c r="O464" s="40">
        <f t="shared" si="124"/>
        <v>9147720</v>
      </c>
      <c r="P464" s="41" t="s">
        <v>322</v>
      </c>
      <c r="Q464" s="55"/>
      <c r="R464" s="42">
        <f t="shared" si="121"/>
        <v>13721581</v>
      </c>
      <c r="S464" s="55"/>
      <c r="T464" s="55"/>
      <c r="U464" s="55"/>
      <c r="V464" s="34" t="s">
        <v>261</v>
      </c>
      <c r="W464" s="43">
        <v>45099</v>
      </c>
      <c r="X464" s="44" t="s">
        <v>280</v>
      </c>
    </row>
    <row r="465" spans="1:24" ht="17.45" customHeight="1" x14ac:dyDescent="0.25">
      <c r="A465" t="str">
        <f t="shared" si="127"/>
        <v>291090678845099249980165</v>
      </c>
      <c r="B465" s="6">
        <f t="shared" si="125"/>
        <v>45498</v>
      </c>
      <c r="C465" s="3">
        <f t="shared" si="126"/>
        <v>387879629.13729745</v>
      </c>
      <c r="D465" s="34">
        <v>2022</v>
      </c>
      <c r="E465" s="35">
        <v>2910906788</v>
      </c>
      <c r="F465" s="36" t="s">
        <v>270</v>
      </c>
      <c r="G465" s="37">
        <v>2594259504</v>
      </c>
      <c r="H465" s="37">
        <v>277956749</v>
      </c>
      <c r="I465" s="38">
        <f>H465/G465</f>
        <v>0.10714300114210934</v>
      </c>
      <c r="J465" s="38">
        <f t="shared" si="129"/>
        <v>0.12000018063269108</v>
      </c>
      <c r="K465" s="37">
        <f>2116092710+217052364</f>
        <v>2333145074</v>
      </c>
      <c r="L465" s="37">
        <f t="shared" si="130"/>
        <v>249980165</v>
      </c>
      <c r="M465" s="39">
        <f>L443</f>
        <v>226724524</v>
      </c>
      <c r="N465" s="37">
        <f t="shared" si="128"/>
        <v>23255641</v>
      </c>
      <c r="O465" s="40">
        <f t="shared" ref="O465:O496" si="131">ROUND((N465*40%),0)</f>
        <v>9302256</v>
      </c>
      <c r="P465" s="41" t="s">
        <v>322</v>
      </c>
      <c r="Q465" s="55"/>
      <c r="R465" s="42">
        <f t="shared" si="121"/>
        <v>13953385</v>
      </c>
      <c r="S465" s="55"/>
      <c r="T465" s="55"/>
      <c r="U465" s="55"/>
      <c r="V465" s="34" t="s">
        <v>261</v>
      </c>
      <c r="W465" s="43">
        <v>45099</v>
      </c>
      <c r="X465" s="44" t="s">
        <v>366</v>
      </c>
    </row>
    <row r="466" spans="1:24" ht="17.45" customHeight="1" x14ac:dyDescent="0.25">
      <c r="A466" t="str">
        <f t="shared" si="127"/>
        <v>245301830145099133063733</v>
      </c>
      <c r="B466" s="6">
        <f t="shared" si="125"/>
        <v>45099</v>
      </c>
      <c r="C466" s="3">
        <f t="shared" si="126"/>
        <v>133063733</v>
      </c>
      <c r="D466" s="34">
        <v>2019</v>
      </c>
      <c r="E466" s="35">
        <v>2453018301</v>
      </c>
      <c r="F466" s="36" t="s">
        <v>35</v>
      </c>
      <c r="G466" s="37">
        <f>941984000+470992000</f>
        <v>1412976000</v>
      </c>
      <c r="H466" s="37">
        <v>151390286</v>
      </c>
      <c r="I466" s="38">
        <f>+H466/G466</f>
        <v>0.1071428573450646</v>
      </c>
      <c r="J466" s="38">
        <f t="shared" si="129"/>
        <v>0.12000000025364904</v>
      </c>
      <c r="K466" s="37">
        <v>1241928170</v>
      </c>
      <c r="L466" s="37">
        <f t="shared" si="130"/>
        <v>133063733</v>
      </c>
      <c r="M466" s="39">
        <f>L370</f>
        <v>119557565</v>
      </c>
      <c r="N466" s="37">
        <f t="shared" si="128"/>
        <v>13506168</v>
      </c>
      <c r="O466" s="40">
        <f t="shared" si="131"/>
        <v>5402467</v>
      </c>
      <c r="P466" s="41" t="s">
        <v>322</v>
      </c>
      <c r="Q466" s="55"/>
      <c r="R466" s="42">
        <f t="shared" si="121"/>
        <v>8103701</v>
      </c>
      <c r="S466" s="55"/>
      <c r="T466" s="55"/>
      <c r="U466" s="55"/>
      <c r="V466" s="34" t="s">
        <v>261</v>
      </c>
      <c r="W466" s="43">
        <v>45099</v>
      </c>
      <c r="X466" s="44" t="s">
        <v>273</v>
      </c>
    </row>
    <row r="467" spans="1:24" ht="17.45" customHeight="1" x14ac:dyDescent="0.25">
      <c r="A467" t="str">
        <f t="shared" si="127"/>
        <v>24530183104509930406868</v>
      </c>
      <c r="B467" s="6">
        <f t="shared" si="125"/>
        <v>45099</v>
      </c>
      <c r="C467" s="3">
        <f t="shared" si="126"/>
        <v>30406868</v>
      </c>
      <c r="D467" s="34">
        <v>2021</v>
      </c>
      <c r="E467" s="35">
        <v>2453018310</v>
      </c>
      <c r="F467" s="36" t="s">
        <v>119</v>
      </c>
      <c r="G467" s="37">
        <v>306603272</v>
      </c>
      <c r="H467" s="37">
        <v>32850351</v>
      </c>
      <c r="I467" s="38">
        <f>+H467/G467</f>
        <v>0.10714285854066163</v>
      </c>
      <c r="J467" s="38">
        <f t="shared" si="129"/>
        <v>0.12000000175340594</v>
      </c>
      <c r="K467" s="37">
        <v>283797434</v>
      </c>
      <c r="L467" s="37">
        <f t="shared" si="130"/>
        <v>30406868</v>
      </c>
      <c r="M467" s="39">
        <f>L124</f>
        <v>26943637</v>
      </c>
      <c r="N467" s="37">
        <f t="shared" si="128"/>
        <v>3463231</v>
      </c>
      <c r="O467" s="40">
        <f t="shared" si="131"/>
        <v>1385292</v>
      </c>
      <c r="P467" s="41" t="s">
        <v>322</v>
      </c>
      <c r="Q467" s="55"/>
      <c r="R467" s="42">
        <f t="shared" si="121"/>
        <v>2077939</v>
      </c>
      <c r="S467" s="55"/>
      <c r="T467" s="55"/>
      <c r="U467" s="55"/>
      <c r="V467" s="34" t="s">
        <v>261</v>
      </c>
      <c r="W467" s="43">
        <v>45099</v>
      </c>
      <c r="X467" s="44" t="s">
        <v>280</v>
      </c>
    </row>
    <row r="468" spans="1:24" ht="17.45" customHeight="1" x14ac:dyDescent="0.25">
      <c r="A468" t="str">
        <f t="shared" si="127"/>
        <v>24530183314509937012596</v>
      </c>
      <c r="B468" s="6">
        <f t="shared" si="125"/>
        <v>45223</v>
      </c>
      <c r="C468" s="3">
        <f t="shared" si="126"/>
        <v>52886721</v>
      </c>
      <c r="D468" s="34">
        <v>2021</v>
      </c>
      <c r="E468" s="35">
        <v>2453018331</v>
      </c>
      <c r="F468" s="36" t="s">
        <v>282</v>
      </c>
      <c r="G468" s="37">
        <v>1079098616</v>
      </c>
      <c r="H468" s="37">
        <v>115617709</v>
      </c>
      <c r="I468" s="38">
        <f>H468/G468</f>
        <v>0.10714285727524277</v>
      </c>
      <c r="J468" s="38">
        <f t="shared" si="129"/>
        <v>0.12000000016606453</v>
      </c>
      <c r="K468" s="37">
        <v>345450896</v>
      </c>
      <c r="L468" s="37">
        <f t="shared" si="130"/>
        <v>37012596</v>
      </c>
      <c r="M468" s="39">
        <f>L447</f>
        <v>33430732</v>
      </c>
      <c r="N468" s="37">
        <f t="shared" si="128"/>
        <v>3581864</v>
      </c>
      <c r="O468" s="40">
        <f t="shared" si="131"/>
        <v>1432746</v>
      </c>
      <c r="P468" s="41" t="s">
        <v>322</v>
      </c>
      <c r="Q468" s="55"/>
      <c r="R468" s="42">
        <f t="shared" si="121"/>
        <v>2149118</v>
      </c>
      <c r="S468" s="55"/>
      <c r="T468" s="55"/>
      <c r="U468" s="55"/>
      <c r="V468" s="34" t="s">
        <v>261</v>
      </c>
      <c r="W468" s="43">
        <v>45099</v>
      </c>
      <c r="X468" s="44" t="s">
        <v>273</v>
      </c>
    </row>
    <row r="469" spans="1:24" ht="17.45" customHeight="1" x14ac:dyDescent="0.25">
      <c r="A469" t="str">
        <f t="shared" si="127"/>
        <v>29109080624509912724500</v>
      </c>
      <c r="B469" s="6">
        <f t="shared" si="125"/>
        <v>45099</v>
      </c>
      <c r="C469" s="3">
        <f t="shared" si="126"/>
        <v>12724500</v>
      </c>
      <c r="D469" s="34">
        <v>2022</v>
      </c>
      <c r="E469" s="35">
        <v>2910908062</v>
      </c>
      <c r="F469" s="36" t="s">
        <v>338</v>
      </c>
      <c r="G469" s="37">
        <v>118762000</v>
      </c>
      <c r="H469" s="37">
        <v>12724500</v>
      </c>
      <c r="I469" s="38">
        <f t="shared" ref="I469:I480" si="132">+H469/G469</f>
        <v>0.10714285714285714</v>
      </c>
      <c r="J469" s="38">
        <f t="shared" si="129"/>
        <v>0.12</v>
      </c>
      <c r="K469" s="37">
        <f>G469</f>
        <v>118762000</v>
      </c>
      <c r="L469" s="37">
        <f t="shared" si="130"/>
        <v>12724500</v>
      </c>
      <c r="M469" s="39">
        <f>L426</f>
        <v>6748480</v>
      </c>
      <c r="N469" s="37">
        <f t="shared" si="128"/>
        <v>5976020</v>
      </c>
      <c r="O469" s="40">
        <f t="shared" si="131"/>
        <v>2390408</v>
      </c>
      <c r="P469" s="41" t="s">
        <v>322</v>
      </c>
      <c r="Q469" s="55"/>
      <c r="R469" s="42">
        <f t="shared" si="121"/>
        <v>3585612</v>
      </c>
      <c r="S469" s="55"/>
      <c r="T469" s="55"/>
      <c r="U469" s="55"/>
      <c r="V469" s="34" t="s">
        <v>261</v>
      </c>
      <c r="W469" s="43">
        <v>45099</v>
      </c>
      <c r="X469" s="44" t="s">
        <v>273</v>
      </c>
    </row>
    <row r="470" spans="1:24" ht="17.45" customHeight="1" x14ac:dyDescent="0.25">
      <c r="A470" t="str">
        <f t="shared" si="127"/>
        <v>2910908076450992855357</v>
      </c>
      <c r="B470" s="6">
        <f t="shared" si="125"/>
        <v>45099</v>
      </c>
      <c r="C470" s="3">
        <f t="shared" si="126"/>
        <v>2855357</v>
      </c>
      <c r="D470" s="34">
        <v>2023</v>
      </c>
      <c r="E470" s="35">
        <v>2910908076</v>
      </c>
      <c r="F470" s="36" t="s">
        <v>367</v>
      </c>
      <c r="G470" s="37">
        <v>26650000</v>
      </c>
      <c r="H470" s="37">
        <v>2855357</v>
      </c>
      <c r="I470" s="38">
        <f t="shared" si="132"/>
        <v>0.10714285178236398</v>
      </c>
      <c r="J470" s="38">
        <f t="shared" si="129"/>
        <v>0.11999999327579741</v>
      </c>
      <c r="K470" s="37">
        <f>G470</f>
        <v>26650000</v>
      </c>
      <c r="L470" s="37">
        <f t="shared" si="130"/>
        <v>2855357</v>
      </c>
      <c r="M470" s="39">
        <v>0</v>
      </c>
      <c r="N470" s="37">
        <f t="shared" si="128"/>
        <v>2855357</v>
      </c>
      <c r="O470" s="40">
        <f t="shared" si="131"/>
        <v>1142143</v>
      </c>
      <c r="P470" s="41" t="s">
        <v>322</v>
      </c>
      <c r="Q470" s="55"/>
      <c r="R470" s="42">
        <f t="shared" si="121"/>
        <v>1713214</v>
      </c>
      <c r="S470" s="55"/>
      <c r="T470" s="55"/>
      <c r="U470" s="55"/>
      <c r="V470" s="34" t="s">
        <v>261</v>
      </c>
      <c r="W470" s="43">
        <v>45099</v>
      </c>
      <c r="X470" s="44" t="s">
        <v>365</v>
      </c>
    </row>
    <row r="471" spans="1:24" ht="17.45" customHeight="1" x14ac:dyDescent="0.25">
      <c r="A471" t="str">
        <f t="shared" si="127"/>
        <v>2910908065450994917857</v>
      </c>
      <c r="B471" s="6">
        <f t="shared" si="125"/>
        <v>45099</v>
      </c>
      <c r="C471" s="3">
        <f t="shared" si="126"/>
        <v>4917857</v>
      </c>
      <c r="D471" s="34">
        <v>2022</v>
      </c>
      <c r="E471" s="35">
        <v>2910908065</v>
      </c>
      <c r="F471" s="36" t="s">
        <v>368</v>
      </c>
      <c r="G471" s="37">
        <v>45900000</v>
      </c>
      <c r="H471" s="37">
        <v>4917875</v>
      </c>
      <c r="I471" s="38">
        <f t="shared" si="132"/>
        <v>0.10714324618736383</v>
      </c>
      <c r="J471" s="38">
        <f t="shared" si="129"/>
        <v>0.12000048801764183</v>
      </c>
      <c r="K471" s="37">
        <f>G471</f>
        <v>45900000</v>
      </c>
      <c r="L471" s="37">
        <v>4917857</v>
      </c>
      <c r="M471" s="39">
        <v>0</v>
      </c>
      <c r="N471" s="37">
        <f t="shared" si="128"/>
        <v>4917857</v>
      </c>
      <c r="O471" s="40">
        <f t="shared" si="131"/>
        <v>1967143</v>
      </c>
      <c r="P471" s="41" t="s">
        <v>322</v>
      </c>
      <c r="Q471" s="55"/>
      <c r="R471" s="42">
        <f t="shared" si="121"/>
        <v>2950714</v>
      </c>
      <c r="S471" s="55"/>
      <c r="T471" s="55"/>
      <c r="U471" s="55"/>
      <c r="V471" s="34" t="s">
        <v>261</v>
      </c>
      <c r="W471" s="43">
        <v>45099</v>
      </c>
      <c r="X471" s="44" t="s">
        <v>365</v>
      </c>
    </row>
    <row r="472" spans="1:24" ht="17.45" customHeight="1" x14ac:dyDescent="0.25">
      <c r="A472" t="str">
        <f t="shared" si="127"/>
        <v>2910908047450992289486</v>
      </c>
      <c r="B472" s="6">
        <f t="shared" si="125"/>
        <v>45099</v>
      </c>
      <c r="C472" s="3">
        <f t="shared" si="126"/>
        <v>2289486</v>
      </c>
      <c r="D472" s="34">
        <v>2022</v>
      </c>
      <c r="E472" s="35">
        <v>2910908047</v>
      </c>
      <c r="F472" s="36" t="s">
        <v>369</v>
      </c>
      <c r="G472" s="37">
        <v>19079046</v>
      </c>
      <c r="H472" s="37">
        <v>2289486</v>
      </c>
      <c r="I472" s="38">
        <f t="shared" si="132"/>
        <v>0.12000002515849063</v>
      </c>
      <c r="J472" s="38">
        <f t="shared" si="129"/>
        <v>0.13636366885135762</v>
      </c>
      <c r="K472" s="37">
        <f>G472</f>
        <v>19079046</v>
      </c>
      <c r="L472" s="37">
        <f>H472</f>
        <v>2289486</v>
      </c>
      <c r="M472" s="39">
        <v>0</v>
      </c>
      <c r="N472" s="37">
        <f t="shared" si="128"/>
        <v>2289486</v>
      </c>
      <c r="O472" s="40">
        <f t="shared" si="131"/>
        <v>915794</v>
      </c>
      <c r="P472" s="41" t="s">
        <v>322</v>
      </c>
      <c r="Q472" s="55"/>
      <c r="R472" s="42">
        <f t="shared" si="121"/>
        <v>1373692</v>
      </c>
      <c r="S472" s="55"/>
      <c r="T472" s="55"/>
      <c r="U472" s="55"/>
      <c r="V472" s="34" t="s">
        <v>261</v>
      </c>
      <c r="W472" s="43">
        <v>45099</v>
      </c>
      <c r="X472" s="44" t="s">
        <v>365</v>
      </c>
    </row>
    <row r="473" spans="1:24" ht="17.45" customHeight="1" x14ac:dyDescent="0.25">
      <c r="A473" t="str">
        <f t="shared" si="127"/>
        <v>2910907214451039296400</v>
      </c>
      <c r="B473" s="6">
        <f t="shared" si="125"/>
        <v>45316</v>
      </c>
      <c r="C473" s="3">
        <f t="shared" si="126"/>
        <v>18592800</v>
      </c>
      <c r="D473" s="34">
        <v>2022</v>
      </c>
      <c r="E473" s="35">
        <v>2910907214</v>
      </c>
      <c r="F473" s="36" t="s">
        <v>327</v>
      </c>
      <c r="G473" s="37">
        <v>173532800</v>
      </c>
      <c r="H473" s="37">
        <v>18592800</v>
      </c>
      <c r="I473" s="38">
        <f t="shared" si="132"/>
        <v>0.10714285714285714</v>
      </c>
      <c r="J473" s="38">
        <f t="shared" si="129"/>
        <v>0.12</v>
      </c>
      <c r="K473" s="37">
        <f>K459+26029920</f>
        <v>86766400</v>
      </c>
      <c r="L473" s="37">
        <f t="shared" ref="L473:L515" si="133">ROUND((+K473*I473),0)</f>
        <v>9296400</v>
      </c>
      <c r="M473" s="39">
        <f>L459</f>
        <v>6507480</v>
      </c>
      <c r="N473" s="37">
        <f t="shared" si="128"/>
        <v>2788920</v>
      </c>
      <c r="O473" s="40">
        <f t="shared" si="131"/>
        <v>1115568</v>
      </c>
      <c r="P473" s="41" t="s">
        <v>322</v>
      </c>
      <c r="Q473" s="55"/>
      <c r="R473" s="42">
        <f t="shared" si="121"/>
        <v>1673352</v>
      </c>
      <c r="S473" s="55"/>
      <c r="T473" s="55"/>
      <c r="U473" s="55"/>
      <c r="V473" s="34" t="s">
        <v>261</v>
      </c>
      <c r="W473" s="43">
        <v>45103</v>
      </c>
      <c r="X473" s="44" t="s">
        <v>370</v>
      </c>
    </row>
    <row r="474" spans="1:24" ht="17.45" customHeight="1" x14ac:dyDescent="0.25">
      <c r="A474" t="str">
        <f t="shared" si="127"/>
        <v>29109067754510340789286</v>
      </c>
      <c r="B474" s="6">
        <f t="shared" si="125"/>
        <v>45103</v>
      </c>
      <c r="C474" s="3">
        <f t="shared" si="126"/>
        <v>45321429</v>
      </c>
      <c r="D474" s="34">
        <v>2021</v>
      </c>
      <c r="E474" s="35">
        <v>2910906775</v>
      </c>
      <c r="F474" s="36" t="s">
        <v>284</v>
      </c>
      <c r="G474" s="37">
        <v>423000000</v>
      </c>
      <c r="H474" s="37">
        <v>45321429</v>
      </c>
      <c r="I474" s="38">
        <f t="shared" si="132"/>
        <v>0.10714285815602836</v>
      </c>
      <c r="J474" s="38">
        <f t="shared" si="129"/>
        <v>0.12000000127092199</v>
      </c>
      <c r="K474" s="37">
        <v>380700000</v>
      </c>
      <c r="L474" s="37">
        <f t="shared" si="133"/>
        <v>40789286</v>
      </c>
      <c r="M474" s="39">
        <f>L398</f>
        <v>16917280</v>
      </c>
      <c r="N474" s="37">
        <f t="shared" si="128"/>
        <v>23872006</v>
      </c>
      <c r="O474" s="40">
        <f t="shared" si="131"/>
        <v>9548802</v>
      </c>
      <c r="P474" s="41" t="s">
        <v>322</v>
      </c>
      <c r="Q474" s="55"/>
      <c r="R474" s="42">
        <f t="shared" si="121"/>
        <v>14323204</v>
      </c>
      <c r="S474" s="55"/>
      <c r="T474" s="55"/>
      <c r="U474" s="55"/>
      <c r="V474" s="34" t="s">
        <v>261</v>
      </c>
      <c r="W474" s="43">
        <v>45103</v>
      </c>
      <c r="X474" s="44" t="s">
        <v>371</v>
      </c>
    </row>
    <row r="475" spans="1:24" ht="17.45" customHeight="1" x14ac:dyDescent="0.25">
      <c r="A475" t="str">
        <f t="shared" si="127"/>
        <v>29109061224510379194185</v>
      </c>
      <c r="B475" s="6">
        <f t="shared" si="125"/>
        <v>45103</v>
      </c>
      <c r="C475" s="3">
        <f t="shared" si="126"/>
        <v>79194185</v>
      </c>
      <c r="D475" s="34">
        <v>2015</v>
      </c>
      <c r="E475" s="35">
        <v>2910906122</v>
      </c>
      <c r="F475" s="36" t="s">
        <v>372</v>
      </c>
      <c r="G475" s="37">
        <v>659951541</v>
      </c>
      <c r="H475" s="37">
        <v>79194185</v>
      </c>
      <c r="I475" s="38">
        <f t="shared" si="132"/>
        <v>0.12000000012122101</v>
      </c>
      <c r="J475" s="38">
        <f t="shared" si="129"/>
        <v>0.13636363652017178</v>
      </c>
      <c r="K475" s="37">
        <f>G475</f>
        <v>659951541</v>
      </c>
      <c r="L475" s="37">
        <f t="shared" si="133"/>
        <v>79194185</v>
      </c>
      <c r="M475" s="39">
        <v>68475213</v>
      </c>
      <c r="N475" s="37">
        <f t="shared" si="128"/>
        <v>10718972</v>
      </c>
      <c r="O475" s="40">
        <f t="shared" si="131"/>
        <v>4287589</v>
      </c>
      <c r="P475" s="41" t="s">
        <v>322</v>
      </c>
      <c r="Q475" s="55"/>
      <c r="R475" s="42">
        <f t="shared" si="121"/>
        <v>6431383</v>
      </c>
      <c r="S475" s="55"/>
      <c r="T475" s="55"/>
      <c r="U475" s="55"/>
      <c r="V475" s="34" t="s">
        <v>261</v>
      </c>
      <c r="W475" s="43">
        <v>45103</v>
      </c>
      <c r="X475" s="44" t="s">
        <v>373</v>
      </c>
    </row>
    <row r="476" spans="1:24" ht="17.45" customHeight="1" x14ac:dyDescent="0.25">
      <c r="A476" t="str">
        <f t="shared" si="127"/>
        <v>2910907224451255163555</v>
      </c>
      <c r="B476" s="6">
        <f t="shared" si="125"/>
        <v>45316</v>
      </c>
      <c r="C476" s="3">
        <f t="shared" si="126"/>
        <v>19784544</v>
      </c>
      <c r="D476" s="34">
        <v>2023</v>
      </c>
      <c r="E476" s="35">
        <v>2910907224</v>
      </c>
      <c r="F476" s="36" t="s">
        <v>374</v>
      </c>
      <c r="G476" s="37">
        <v>153881691</v>
      </c>
      <c r="H476" s="37">
        <v>16487324</v>
      </c>
      <c r="I476" s="38">
        <f t="shared" si="132"/>
        <v>0.1071428569107679</v>
      </c>
      <c r="J476" s="38">
        <f t="shared" si="129"/>
        <v>0.11999999970886725</v>
      </c>
      <c r="K476" s="37">
        <v>48193181</v>
      </c>
      <c r="L476" s="37">
        <f t="shared" si="133"/>
        <v>5163555</v>
      </c>
      <c r="M476" s="39">
        <v>0</v>
      </c>
      <c r="N476" s="37">
        <f t="shared" si="128"/>
        <v>5163555</v>
      </c>
      <c r="O476" s="40">
        <f t="shared" si="131"/>
        <v>2065422</v>
      </c>
      <c r="P476" s="41" t="s">
        <v>322</v>
      </c>
      <c r="Q476" s="55"/>
      <c r="R476" s="42">
        <f t="shared" si="121"/>
        <v>3098133</v>
      </c>
      <c r="S476" s="55"/>
      <c r="T476" s="55"/>
      <c r="U476" s="55"/>
      <c r="V476" s="34" t="s">
        <v>261</v>
      </c>
      <c r="W476" s="43">
        <v>45125</v>
      </c>
      <c r="X476" s="44" t="s">
        <v>375</v>
      </c>
    </row>
    <row r="477" spans="1:24" ht="17.45" customHeight="1" x14ac:dyDescent="0.25">
      <c r="A477" t="str">
        <f t="shared" si="127"/>
        <v>2910906154451253479280</v>
      </c>
      <c r="B477" s="6">
        <f t="shared" si="125"/>
        <v>45125</v>
      </c>
      <c r="C477" s="3">
        <f t="shared" si="126"/>
        <v>3479280</v>
      </c>
      <c r="D477" s="34">
        <v>2015</v>
      </c>
      <c r="E477" s="35">
        <v>2910906154</v>
      </c>
      <c r="F477" s="36" t="s">
        <v>376</v>
      </c>
      <c r="G477" s="37">
        <v>32400000</v>
      </c>
      <c r="H477" s="37">
        <v>3479280</v>
      </c>
      <c r="I477" s="38">
        <f t="shared" si="132"/>
        <v>0.10738518518518518</v>
      </c>
      <c r="J477" s="38">
        <f t="shared" si="129"/>
        <v>0.12030405882011236</v>
      </c>
      <c r="K477" s="37">
        <f>G477</f>
        <v>32400000</v>
      </c>
      <c r="L477" s="37">
        <f t="shared" si="133"/>
        <v>3479280</v>
      </c>
      <c r="M477" s="39">
        <v>3208560</v>
      </c>
      <c r="N477" s="37">
        <f t="shared" si="128"/>
        <v>270720</v>
      </c>
      <c r="O477" s="40">
        <f t="shared" si="131"/>
        <v>108288</v>
      </c>
      <c r="P477" s="41" t="s">
        <v>322</v>
      </c>
      <c r="Q477" s="55"/>
      <c r="R477" s="42">
        <f t="shared" si="121"/>
        <v>162432</v>
      </c>
      <c r="S477" s="55"/>
      <c r="T477" s="55"/>
      <c r="U477" s="55"/>
      <c r="V477" s="34" t="s">
        <v>261</v>
      </c>
      <c r="W477" s="43">
        <v>45125</v>
      </c>
      <c r="X477" s="44" t="s">
        <v>377</v>
      </c>
    </row>
    <row r="478" spans="1:24" ht="17.45" customHeight="1" x14ac:dyDescent="0.25">
      <c r="A478" t="str">
        <f t="shared" si="127"/>
        <v>2453018342451251992857</v>
      </c>
      <c r="B478" s="6">
        <f t="shared" si="125"/>
        <v>45621</v>
      </c>
      <c r="C478" s="3">
        <f t="shared" si="126"/>
        <v>55256697.428571425</v>
      </c>
      <c r="D478" s="34">
        <v>2023</v>
      </c>
      <c r="E478" s="35">
        <v>2453018342</v>
      </c>
      <c r="F478" s="36" t="s">
        <v>378</v>
      </c>
      <c r="G478" s="37">
        <v>452090000</v>
      </c>
      <c r="H478" s="37">
        <v>48438214</v>
      </c>
      <c r="I478" s="38">
        <f t="shared" si="132"/>
        <v>0.10714285651087173</v>
      </c>
      <c r="J478" s="38">
        <f t="shared" si="129"/>
        <v>0.1199999992072375</v>
      </c>
      <c r="K478" s="37">
        <v>18600000</v>
      </c>
      <c r="L478" s="37">
        <f t="shared" si="133"/>
        <v>1992857</v>
      </c>
      <c r="M478" s="39">
        <v>0</v>
      </c>
      <c r="N478" s="37">
        <f t="shared" si="128"/>
        <v>1992857</v>
      </c>
      <c r="O478" s="40">
        <f t="shared" si="131"/>
        <v>797143</v>
      </c>
      <c r="P478" s="41" t="s">
        <v>322</v>
      </c>
      <c r="Q478" s="55"/>
      <c r="R478" s="42">
        <f t="shared" si="121"/>
        <v>1195714</v>
      </c>
      <c r="S478" s="55"/>
      <c r="T478" s="55"/>
      <c r="U478" s="55"/>
      <c r="V478" s="34" t="s">
        <v>261</v>
      </c>
      <c r="W478" s="43">
        <v>45125</v>
      </c>
      <c r="X478" s="44" t="s">
        <v>280</v>
      </c>
    </row>
    <row r="479" spans="1:24" ht="17.45" customHeight="1" x14ac:dyDescent="0.25">
      <c r="A479" t="str">
        <f t="shared" si="127"/>
        <v>24530183274512527411317</v>
      </c>
      <c r="B479" s="6">
        <f t="shared" si="125"/>
        <v>45467</v>
      </c>
      <c r="C479" s="3">
        <f t="shared" si="126"/>
        <v>61078665.000000007</v>
      </c>
      <c r="D479" s="34">
        <v>2021</v>
      </c>
      <c r="E479" s="35">
        <v>2453018327</v>
      </c>
      <c r="F479" s="36" t="s">
        <v>196</v>
      </c>
      <c r="G479" s="37">
        <v>570067542</v>
      </c>
      <c r="H479" s="37">
        <v>61078665</v>
      </c>
      <c r="I479" s="38">
        <f t="shared" si="132"/>
        <v>0.10714285676696184</v>
      </c>
      <c r="J479" s="38">
        <f t="shared" si="129"/>
        <v>0.11999999952847692</v>
      </c>
      <c r="K479" s="37">
        <v>255838960</v>
      </c>
      <c r="L479" s="37">
        <f t="shared" si="133"/>
        <v>27411317</v>
      </c>
      <c r="M479" s="39">
        <f>L386</f>
        <v>22182309</v>
      </c>
      <c r="N479" s="37">
        <f t="shared" si="128"/>
        <v>5229008</v>
      </c>
      <c r="O479" s="40">
        <f t="shared" si="131"/>
        <v>2091603</v>
      </c>
      <c r="P479" s="41" t="s">
        <v>322</v>
      </c>
      <c r="Q479" s="55"/>
      <c r="R479" s="42">
        <f t="shared" si="121"/>
        <v>3137405</v>
      </c>
      <c r="S479" s="55"/>
      <c r="T479" s="55"/>
      <c r="U479" s="55"/>
      <c r="V479" s="34" t="s">
        <v>261</v>
      </c>
      <c r="W479" s="43">
        <v>45125</v>
      </c>
      <c r="X479" s="44" t="s">
        <v>280</v>
      </c>
    </row>
    <row r="480" spans="1:24" ht="17.45" customHeight="1" x14ac:dyDescent="0.25">
      <c r="A480" t="str">
        <f t="shared" si="127"/>
        <v>245301834045125311652970</v>
      </c>
      <c r="B480" s="6">
        <f t="shared" si="125"/>
        <v>45524</v>
      </c>
      <c r="C480" s="3">
        <f t="shared" si="126"/>
        <v>750720353.98835123</v>
      </c>
      <c r="D480" s="34">
        <v>2022</v>
      </c>
      <c r="E480" s="35">
        <v>2453018340</v>
      </c>
      <c r="F480" s="36" t="s">
        <v>320</v>
      </c>
      <c r="G480" s="37">
        <v>5029012761</v>
      </c>
      <c r="H480" s="37">
        <v>536676091</v>
      </c>
      <c r="I480" s="38">
        <f t="shared" si="132"/>
        <v>0.10671599307958089</v>
      </c>
      <c r="J480" s="38">
        <f t="shared" si="129"/>
        <v>0.11946479759274142</v>
      </c>
      <c r="K480" s="37">
        <v>2920396096</v>
      </c>
      <c r="L480" s="37">
        <f t="shared" si="133"/>
        <v>311652970</v>
      </c>
      <c r="M480" s="39">
        <f>L463</f>
        <v>202994614</v>
      </c>
      <c r="N480" s="37">
        <f t="shared" si="128"/>
        <v>108658356</v>
      </c>
      <c r="O480" s="40">
        <f t="shared" si="131"/>
        <v>43463342</v>
      </c>
      <c r="P480" s="41" t="s">
        <v>322</v>
      </c>
      <c r="Q480" s="55"/>
      <c r="R480" s="42">
        <f t="shared" si="121"/>
        <v>65195014</v>
      </c>
      <c r="S480" s="55"/>
      <c r="T480" s="55"/>
      <c r="U480" s="55"/>
      <c r="V480" s="34" t="s">
        <v>261</v>
      </c>
      <c r="W480" s="43">
        <v>45125</v>
      </c>
      <c r="X480" s="44" t="s">
        <v>280</v>
      </c>
    </row>
    <row r="481" spans="1:24" ht="17.45" customHeight="1" x14ac:dyDescent="0.25">
      <c r="A481" t="str">
        <f t="shared" si="127"/>
        <v>245301833745125153380659</v>
      </c>
      <c r="B481" s="6">
        <f t="shared" si="125"/>
        <v>45244</v>
      </c>
      <c r="C481" s="3">
        <f t="shared" si="126"/>
        <v>178958636</v>
      </c>
      <c r="D481" s="34">
        <v>2022</v>
      </c>
      <c r="E481" s="35">
        <v>2453018337</v>
      </c>
      <c r="F481" s="36" t="s">
        <v>279</v>
      </c>
      <c r="G481" s="37">
        <v>1746041438</v>
      </c>
      <c r="H481" s="37">
        <v>187075868</v>
      </c>
      <c r="I481" s="38">
        <f>H481/G481</f>
        <v>0.10714285693831282</v>
      </c>
      <c r="J481" s="38">
        <f t="shared" si="129"/>
        <v>0.1199999997434196</v>
      </c>
      <c r="K481" s="37">
        <v>1431552823</v>
      </c>
      <c r="L481" s="37">
        <f t="shared" si="133"/>
        <v>153380659</v>
      </c>
      <c r="M481" s="39">
        <f>L435</f>
        <v>121520065</v>
      </c>
      <c r="N481" s="37">
        <f t="shared" si="128"/>
        <v>31860594</v>
      </c>
      <c r="O481" s="40">
        <f t="shared" si="131"/>
        <v>12744238</v>
      </c>
      <c r="P481" s="41" t="s">
        <v>322</v>
      </c>
      <c r="Q481" s="55"/>
      <c r="R481" s="42">
        <f t="shared" si="121"/>
        <v>19116356</v>
      </c>
      <c r="S481" s="55"/>
      <c r="T481" s="55"/>
      <c r="U481" s="55"/>
      <c r="V481" s="34" t="s">
        <v>261</v>
      </c>
      <c r="W481" s="43">
        <v>45125</v>
      </c>
      <c r="X481" s="44" t="s">
        <v>280</v>
      </c>
    </row>
    <row r="482" spans="1:24" ht="17.45" customHeight="1" x14ac:dyDescent="0.25">
      <c r="A482" t="str">
        <f t="shared" si="127"/>
        <v>2453018343451256680978</v>
      </c>
      <c r="B482" s="6">
        <f t="shared" si="125"/>
        <v>45433</v>
      </c>
      <c r="C482" s="3">
        <f t="shared" si="126"/>
        <v>22186609.407061499</v>
      </c>
      <c r="D482" s="34">
        <v>2023</v>
      </c>
      <c r="E482" s="35">
        <v>2453018343</v>
      </c>
      <c r="F482" s="36" t="s">
        <v>379</v>
      </c>
      <c r="G482" s="37">
        <v>243781000</v>
      </c>
      <c r="H482" s="37">
        <v>26119393</v>
      </c>
      <c r="I482" s="38">
        <f>H482/G482</f>
        <v>0.1071428577288632</v>
      </c>
      <c r="J482" s="38">
        <f t="shared" si="129"/>
        <v>0.120000000735086</v>
      </c>
      <c r="K482" s="37">
        <v>62355797</v>
      </c>
      <c r="L482" s="37">
        <f t="shared" si="133"/>
        <v>6680978</v>
      </c>
      <c r="M482" s="39">
        <v>0</v>
      </c>
      <c r="N482" s="37">
        <f t="shared" si="128"/>
        <v>6680978</v>
      </c>
      <c r="O482" s="40">
        <f t="shared" si="131"/>
        <v>2672391</v>
      </c>
      <c r="P482" s="41" t="s">
        <v>322</v>
      </c>
      <c r="Q482" s="55"/>
      <c r="R482" s="42">
        <f t="shared" ref="R482:R545" si="134">+N482-O482</f>
        <v>4008587</v>
      </c>
      <c r="S482" s="55"/>
      <c r="T482" s="55"/>
      <c r="U482" s="55"/>
      <c r="V482" s="34" t="s">
        <v>261</v>
      </c>
      <c r="W482" s="43">
        <v>45125</v>
      </c>
      <c r="X482" s="44" t="s">
        <v>280</v>
      </c>
    </row>
    <row r="483" spans="1:24" ht="17.45" customHeight="1" x14ac:dyDescent="0.25">
      <c r="A483" t="str">
        <f t="shared" si="127"/>
        <v>291090679245125751587</v>
      </c>
      <c r="B483" s="6">
        <f t="shared" si="125"/>
        <v>45125</v>
      </c>
      <c r="C483" s="3">
        <f t="shared" si="126"/>
        <v>751587</v>
      </c>
      <c r="D483" s="34">
        <v>2022</v>
      </c>
      <c r="E483" s="35">
        <v>2910906792</v>
      </c>
      <c r="F483" s="36" t="s">
        <v>380</v>
      </c>
      <c r="G483" s="37">
        <v>7014816</v>
      </c>
      <c r="H483" s="37">
        <v>751587</v>
      </c>
      <c r="I483" s="38">
        <f>H483/G483</f>
        <v>0.10714279604767965</v>
      </c>
      <c r="J483" s="38">
        <f t="shared" si="129"/>
        <v>0.1199999233622146</v>
      </c>
      <c r="K483" s="37">
        <f>G483</f>
        <v>7014816</v>
      </c>
      <c r="L483" s="37">
        <f t="shared" si="133"/>
        <v>751587</v>
      </c>
      <c r="M483" s="39">
        <v>0</v>
      </c>
      <c r="N483" s="37">
        <f t="shared" si="128"/>
        <v>751587</v>
      </c>
      <c r="O483" s="40">
        <f t="shared" si="131"/>
        <v>300635</v>
      </c>
      <c r="P483" s="41" t="s">
        <v>381</v>
      </c>
      <c r="Q483" s="55"/>
      <c r="R483" s="42">
        <f t="shared" si="134"/>
        <v>450952</v>
      </c>
      <c r="S483" s="55"/>
      <c r="T483" s="55"/>
      <c r="U483" s="55"/>
      <c r="V483" s="34" t="s">
        <v>261</v>
      </c>
      <c r="W483" s="43">
        <v>45125</v>
      </c>
      <c r="X483" s="44" t="s">
        <v>382</v>
      </c>
    </row>
    <row r="484" spans="1:24" ht="17.45" customHeight="1" x14ac:dyDescent="0.25">
      <c r="A484" t="str">
        <f t="shared" si="127"/>
        <v>2910907222451257956040</v>
      </c>
      <c r="B484" s="6">
        <f t="shared" si="125"/>
        <v>45274</v>
      </c>
      <c r="C484" s="3">
        <f t="shared" si="126"/>
        <v>39780198</v>
      </c>
      <c r="D484" s="34">
        <v>2022</v>
      </c>
      <c r="E484" s="35">
        <v>2910907222</v>
      </c>
      <c r="F484" s="36" t="s">
        <v>383</v>
      </c>
      <c r="G484" s="37">
        <v>390823000</v>
      </c>
      <c r="H484" s="37">
        <v>41873893</v>
      </c>
      <c r="I484" s="38">
        <f>H484/G484</f>
        <v>0.10714285750838615</v>
      </c>
      <c r="J484" s="38">
        <f t="shared" si="129"/>
        <v>0.12000000045851958</v>
      </c>
      <c r="K484" s="37">
        <v>74256370</v>
      </c>
      <c r="L484" s="37">
        <f t="shared" si="133"/>
        <v>7956040</v>
      </c>
      <c r="M484" s="39">
        <v>0</v>
      </c>
      <c r="N484" s="37">
        <f t="shared" si="128"/>
        <v>7956040</v>
      </c>
      <c r="O484" s="40">
        <f t="shared" si="131"/>
        <v>3182416</v>
      </c>
      <c r="P484" s="41" t="s">
        <v>381</v>
      </c>
      <c r="Q484" s="55"/>
      <c r="R484" s="42">
        <f t="shared" si="134"/>
        <v>4773624</v>
      </c>
      <c r="S484" s="55"/>
      <c r="T484" s="55"/>
      <c r="U484" s="55"/>
      <c r="V484" s="34" t="s">
        <v>261</v>
      </c>
      <c r="W484" s="43">
        <v>45125</v>
      </c>
      <c r="X484" s="44" t="s">
        <v>384</v>
      </c>
    </row>
    <row r="485" spans="1:24" ht="17.45" customHeight="1" x14ac:dyDescent="0.25">
      <c r="A485" t="str">
        <f t="shared" si="127"/>
        <v>29109072104512512150000</v>
      </c>
      <c r="B485" s="6">
        <f t="shared" si="125"/>
        <v>45125</v>
      </c>
      <c r="C485" s="3">
        <f t="shared" si="126"/>
        <v>12150000</v>
      </c>
      <c r="D485" s="34">
        <v>2022</v>
      </c>
      <c r="E485" s="35">
        <v>2910907210</v>
      </c>
      <c r="F485" s="36" t="s">
        <v>315</v>
      </c>
      <c r="G485" s="37">
        <v>126000000</v>
      </c>
      <c r="H485" s="37">
        <v>13500000</v>
      </c>
      <c r="I485" s="38">
        <f>H485/G485</f>
        <v>0.10714285714285714</v>
      </c>
      <c r="J485" s="38">
        <f t="shared" si="129"/>
        <v>0.12</v>
      </c>
      <c r="K485" s="37">
        <f>88200000+25200000</f>
        <v>113400000</v>
      </c>
      <c r="L485" s="37">
        <f t="shared" si="133"/>
        <v>12150000</v>
      </c>
      <c r="M485" s="39">
        <f>L458</f>
        <v>9450000</v>
      </c>
      <c r="N485" s="37">
        <f t="shared" si="128"/>
        <v>2700000</v>
      </c>
      <c r="O485" s="40">
        <f t="shared" si="131"/>
        <v>1080000</v>
      </c>
      <c r="P485" s="41" t="s">
        <v>381</v>
      </c>
      <c r="Q485" s="55"/>
      <c r="R485" s="42">
        <f t="shared" si="134"/>
        <v>1620000</v>
      </c>
      <c r="S485" s="55"/>
      <c r="T485" s="55"/>
      <c r="U485" s="55"/>
      <c r="V485" s="34" t="s">
        <v>261</v>
      </c>
      <c r="W485" s="43">
        <v>45125</v>
      </c>
      <c r="X485" s="44" t="s">
        <v>385</v>
      </c>
    </row>
    <row r="486" spans="1:24" ht="17.45" customHeight="1" x14ac:dyDescent="0.25">
      <c r="A486" t="str">
        <f t="shared" si="127"/>
        <v>29109072214512515444188</v>
      </c>
      <c r="B486" s="6">
        <f t="shared" si="125"/>
        <v>45742</v>
      </c>
      <c r="C486" s="3">
        <f t="shared" si="126"/>
        <v>25740314.108714286</v>
      </c>
      <c r="D486" s="34">
        <v>2023</v>
      </c>
      <c r="E486" s="35">
        <v>2910907221</v>
      </c>
      <c r="F486" s="36" t="s">
        <v>330</v>
      </c>
      <c r="G486" s="37">
        <v>242915000</v>
      </c>
      <c r="H486" s="37">
        <v>26026607</v>
      </c>
      <c r="I486" s="38">
        <f>+H486/G486</f>
        <v>0.10714285655476195</v>
      </c>
      <c r="J486" s="38">
        <f t="shared" si="129"/>
        <v>0.11999999926229339</v>
      </c>
      <c r="K486" s="37">
        <v>144145760</v>
      </c>
      <c r="L486" s="37">
        <f t="shared" si="133"/>
        <v>15444188</v>
      </c>
      <c r="M486" s="39">
        <v>7722094</v>
      </c>
      <c r="N486" s="37">
        <f t="shared" si="128"/>
        <v>7722094</v>
      </c>
      <c r="O486" s="40">
        <f t="shared" si="131"/>
        <v>3088838</v>
      </c>
      <c r="P486" s="41" t="s">
        <v>381</v>
      </c>
      <c r="Q486" s="55"/>
      <c r="R486" s="42">
        <f t="shared" si="134"/>
        <v>4633256</v>
      </c>
      <c r="S486" s="55"/>
      <c r="T486" s="55"/>
      <c r="U486" s="55"/>
      <c r="V486" s="34" t="s">
        <v>261</v>
      </c>
      <c r="W486" s="43">
        <v>45125</v>
      </c>
      <c r="X486" s="44" t="s">
        <v>386</v>
      </c>
    </row>
    <row r="487" spans="1:24" ht="17.45" customHeight="1" x14ac:dyDescent="0.25">
      <c r="A487" t="str">
        <f t="shared" si="127"/>
        <v>291090675045128217757261</v>
      </c>
      <c r="B487" s="6">
        <f t="shared" si="125"/>
        <v>45128</v>
      </c>
      <c r="C487" s="3">
        <f t="shared" si="126"/>
        <v>217757261</v>
      </c>
      <c r="D487" s="34">
        <v>2021</v>
      </c>
      <c r="E487" s="35">
        <v>2910906750</v>
      </c>
      <c r="F487" s="36" t="s">
        <v>177</v>
      </c>
      <c r="G487" s="37">
        <f>1448323826+794859175</f>
        <v>2243183001</v>
      </c>
      <c r="H487" s="37">
        <v>240489407</v>
      </c>
      <c r="I487" s="38">
        <f>+H487/G487</f>
        <v>0.10720900028789046</v>
      </c>
      <c r="J487" s="38">
        <f t="shared" si="129"/>
        <v>0.12008297610802664</v>
      </c>
      <c r="K487" s="37">
        <v>2031147202</v>
      </c>
      <c r="L487" s="37">
        <f t="shared" si="133"/>
        <v>217757261</v>
      </c>
      <c r="M487" s="39">
        <f>L195</f>
        <v>198576435</v>
      </c>
      <c r="N487" s="37">
        <f t="shared" si="128"/>
        <v>19180826</v>
      </c>
      <c r="O487" s="40">
        <f t="shared" si="131"/>
        <v>7672330</v>
      </c>
      <c r="P487" s="41" t="s">
        <v>381</v>
      </c>
      <c r="Q487" s="55"/>
      <c r="R487" s="42">
        <f t="shared" si="134"/>
        <v>11508496</v>
      </c>
      <c r="S487" s="55"/>
      <c r="T487" s="55"/>
      <c r="U487" s="55"/>
      <c r="V487" s="34" t="s">
        <v>261</v>
      </c>
      <c r="W487" s="43">
        <v>45128</v>
      </c>
      <c r="X487" s="44" t="s">
        <v>387</v>
      </c>
    </row>
    <row r="488" spans="1:24" ht="17.45" customHeight="1" x14ac:dyDescent="0.25">
      <c r="A488" t="str">
        <f t="shared" si="127"/>
        <v>29109072124512853701072</v>
      </c>
      <c r="B488" s="6">
        <f t="shared" si="125"/>
        <v>45244</v>
      </c>
      <c r="C488" s="3">
        <f t="shared" si="126"/>
        <v>89501786</v>
      </c>
      <c r="D488" s="34">
        <v>2022</v>
      </c>
      <c r="E488" s="35">
        <v>2910907212</v>
      </c>
      <c r="F488" s="36" t="s">
        <v>316</v>
      </c>
      <c r="G488" s="37">
        <v>835350000</v>
      </c>
      <c r="H488" s="37">
        <v>89501786</v>
      </c>
      <c r="I488" s="38">
        <f>+H488/G488</f>
        <v>0.10714285748488657</v>
      </c>
      <c r="J488" s="38">
        <f t="shared" si="129"/>
        <v>0.12000000042904171</v>
      </c>
      <c r="K488" s="37">
        <f>417675000+83535000</f>
        <v>501210000</v>
      </c>
      <c r="L488" s="37">
        <f t="shared" si="133"/>
        <v>53701072</v>
      </c>
      <c r="M488" s="39">
        <f>L442</f>
        <v>44750893</v>
      </c>
      <c r="N488" s="37">
        <f t="shared" si="128"/>
        <v>8950179</v>
      </c>
      <c r="O488" s="40">
        <f t="shared" si="131"/>
        <v>3580072</v>
      </c>
      <c r="P488" s="41" t="s">
        <v>381</v>
      </c>
      <c r="Q488" s="55"/>
      <c r="R488" s="42">
        <f t="shared" si="134"/>
        <v>5370107</v>
      </c>
      <c r="S488" s="55"/>
      <c r="T488" s="55"/>
      <c r="U488" s="55"/>
      <c r="V488" s="34" t="s">
        <v>261</v>
      </c>
      <c r="W488" s="43">
        <v>45128</v>
      </c>
      <c r="X488" s="44" t="s">
        <v>388</v>
      </c>
    </row>
    <row r="489" spans="1:24" ht="17.45" customHeight="1" x14ac:dyDescent="0.25">
      <c r="A489" t="str">
        <f t="shared" si="127"/>
        <v>29109072144512812085320</v>
      </c>
      <c r="B489" s="6">
        <f t="shared" si="125"/>
        <v>45316</v>
      </c>
      <c r="C489" s="3">
        <f t="shared" si="126"/>
        <v>18592800</v>
      </c>
      <c r="D489" s="34">
        <v>2022</v>
      </c>
      <c r="E489" s="35">
        <v>2910907214</v>
      </c>
      <c r="F489" s="36" t="s">
        <v>327</v>
      </c>
      <c r="G489" s="37">
        <v>173532800</v>
      </c>
      <c r="H489" s="37">
        <v>18592800</v>
      </c>
      <c r="I489" s="38">
        <f>+H489/G489</f>
        <v>0.10714285714285714</v>
      </c>
      <c r="J489" s="38">
        <f t="shared" si="129"/>
        <v>0.12</v>
      </c>
      <c r="K489" s="37">
        <f>86766400+26029920</f>
        <v>112796320</v>
      </c>
      <c r="L489" s="37">
        <f t="shared" si="133"/>
        <v>12085320</v>
      </c>
      <c r="M489" s="39">
        <f>L473</f>
        <v>9296400</v>
      </c>
      <c r="N489" s="37">
        <f t="shared" si="128"/>
        <v>2788920</v>
      </c>
      <c r="O489" s="40">
        <f t="shared" si="131"/>
        <v>1115568</v>
      </c>
      <c r="P489" s="41" t="s">
        <v>381</v>
      </c>
      <c r="Q489" s="55"/>
      <c r="R489" s="42">
        <f t="shared" si="134"/>
        <v>1673352</v>
      </c>
      <c r="S489" s="55"/>
      <c r="T489" s="55"/>
      <c r="U489" s="55"/>
      <c r="V489" s="34" t="s">
        <v>261</v>
      </c>
      <c r="W489" s="43">
        <v>45128</v>
      </c>
      <c r="X489" s="44" t="s">
        <v>389</v>
      </c>
    </row>
    <row r="490" spans="1:24" ht="17.45" customHeight="1" x14ac:dyDescent="0.25">
      <c r="A490" t="str">
        <f t="shared" si="127"/>
        <v>291090678845131273235807</v>
      </c>
      <c r="B490" s="6">
        <f t="shared" si="125"/>
        <v>45498</v>
      </c>
      <c r="C490" s="3">
        <f t="shared" si="126"/>
        <v>387879629.13729745</v>
      </c>
      <c r="D490" s="34">
        <v>2022</v>
      </c>
      <c r="E490" s="35">
        <v>2910906788</v>
      </c>
      <c r="F490" s="36" t="s">
        <v>270</v>
      </c>
      <c r="G490" s="37">
        <v>3667790640</v>
      </c>
      <c r="H490" s="37">
        <v>392977569</v>
      </c>
      <c r="I490" s="38">
        <f>H490/G490</f>
        <v>0.10714285725970445</v>
      </c>
      <c r="J490" s="38">
        <f t="shared" si="129"/>
        <v>0.12000000014657325</v>
      </c>
      <c r="K490" s="37">
        <v>2550200858</v>
      </c>
      <c r="L490" s="37">
        <f t="shared" si="133"/>
        <v>273235807</v>
      </c>
      <c r="M490" s="39">
        <f>L465</f>
        <v>249980165</v>
      </c>
      <c r="N490" s="37">
        <f t="shared" si="128"/>
        <v>23255642</v>
      </c>
      <c r="O490" s="40">
        <f t="shared" si="131"/>
        <v>9302257</v>
      </c>
      <c r="P490" s="41" t="s">
        <v>381</v>
      </c>
      <c r="Q490" s="55"/>
      <c r="R490" s="42">
        <f t="shared" si="134"/>
        <v>13953385</v>
      </c>
      <c r="S490" s="55"/>
      <c r="T490" s="55"/>
      <c r="U490" s="55"/>
      <c r="V490" s="34" t="s">
        <v>261</v>
      </c>
      <c r="W490" s="43">
        <v>45131</v>
      </c>
      <c r="X490" s="44" t="s">
        <v>390</v>
      </c>
    </row>
    <row r="491" spans="1:24" ht="17.45" customHeight="1" x14ac:dyDescent="0.25">
      <c r="A491" t="str">
        <f t="shared" si="127"/>
        <v>2453018342451322905714</v>
      </c>
      <c r="B491" s="6">
        <f t="shared" si="125"/>
        <v>45621</v>
      </c>
      <c r="C491" s="3">
        <f t="shared" si="126"/>
        <v>55256697.428571425</v>
      </c>
      <c r="D491" s="34">
        <v>2023</v>
      </c>
      <c r="E491" s="35">
        <v>2453018342</v>
      </c>
      <c r="F491" s="36" t="s">
        <v>378</v>
      </c>
      <c r="G491" s="37">
        <v>452090000</v>
      </c>
      <c r="H491" s="37">
        <v>48438214</v>
      </c>
      <c r="I491" s="38">
        <f t="shared" ref="I491:I496" si="135">+H491/G491</f>
        <v>0.10714285651087173</v>
      </c>
      <c r="J491" s="38">
        <f t="shared" si="129"/>
        <v>0.1199999992072375</v>
      </c>
      <c r="K491" s="37">
        <v>27120000</v>
      </c>
      <c r="L491" s="37">
        <f t="shared" si="133"/>
        <v>2905714</v>
      </c>
      <c r="M491" s="39">
        <f>L478</f>
        <v>1992857</v>
      </c>
      <c r="N491" s="37">
        <f t="shared" si="128"/>
        <v>912857</v>
      </c>
      <c r="O491" s="40">
        <f t="shared" si="131"/>
        <v>365143</v>
      </c>
      <c r="P491" s="41" t="s">
        <v>381</v>
      </c>
      <c r="Q491" s="55"/>
      <c r="R491" s="42">
        <f t="shared" si="134"/>
        <v>547714</v>
      </c>
      <c r="S491" s="55"/>
      <c r="T491" s="55"/>
      <c r="U491" s="55"/>
      <c r="V491" s="34" t="s">
        <v>261</v>
      </c>
      <c r="W491" s="43">
        <v>45132</v>
      </c>
      <c r="X491" s="44" t="s">
        <v>280</v>
      </c>
    </row>
    <row r="492" spans="1:24" ht="17.45" customHeight="1" x14ac:dyDescent="0.25">
      <c r="A492" t="str">
        <f t="shared" si="127"/>
        <v>2453018347451323996000</v>
      </c>
      <c r="B492" s="6">
        <f t="shared" si="125"/>
        <v>45730</v>
      </c>
      <c r="C492" s="3">
        <f t="shared" si="126"/>
        <v>227416985.11999634</v>
      </c>
      <c r="D492" s="34">
        <v>2023</v>
      </c>
      <c r="E492" s="35">
        <v>2453018347</v>
      </c>
      <c r="F492" s="36" t="s">
        <v>391</v>
      </c>
      <c r="G492" s="37">
        <v>1778543757</v>
      </c>
      <c r="H492" s="37">
        <v>213425250</v>
      </c>
      <c r="I492" s="38">
        <f t="shared" si="135"/>
        <v>0.1199999995277035</v>
      </c>
      <c r="J492" s="38">
        <f t="shared" si="129"/>
        <v>0.13636363575374935</v>
      </c>
      <c r="K492" s="37">
        <v>33300000</v>
      </c>
      <c r="L492" s="37">
        <f t="shared" si="133"/>
        <v>3996000</v>
      </c>
      <c r="M492" s="39">
        <v>0</v>
      </c>
      <c r="N492" s="37">
        <f t="shared" si="128"/>
        <v>3996000</v>
      </c>
      <c r="O492" s="40">
        <f t="shared" si="131"/>
        <v>1598400</v>
      </c>
      <c r="P492" s="41" t="s">
        <v>381</v>
      </c>
      <c r="Q492" s="55"/>
      <c r="R492" s="42">
        <f t="shared" si="134"/>
        <v>2397600</v>
      </c>
      <c r="S492" s="55"/>
      <c r="T492" s="55"/>
      <c r="U492" s="55"/>
      <c r="V492" s="34" t="s">
        <v>261</v>
      </c>
      <c r="W492" s="43">
        <v>45132</v>
      </c>
      <c r="X492" s="44" t="s">
        <v>280</v>
      </c>
    </row>
    <row r="493" spans="1:24" ht="17.45" customHeight="1" x14ac:dyDescent="0.25">
      <c r="A493" t="str">
        <f t="shared" si="127"/>
        <v>24530183354513234971429</v>
      </c>
      <c r="B493" s="6">
        <f t="shared" si="125"/>
        <v>45132</v>
      </c>
      <c r="C493" s="3">
        <f t="shared" si="126"/>
        <v>34971429</v>
      </c>
      <c r="D493" s="34">
        <v>2022</v>
      </c>
      <c r="E493" s="35">
        <v>2453018335</v>
      </c>
      <c r="F493" s="36" t="s">
        <v>285</v>
      </c>
      <c r="G493" s="37">
        <v>326400000</v>
      </c>
      <c r="H493" s="37">
        <v>34971429</v>
      </c>
      <c r="I493" s="38">
        <f t="shared" si="135"/>
        <v>0.10714285845588235</v>
      </c>
      <c r="J493" s="38">
        <f t="shared" si="129"/>
        <v>0.12000000164705883</v>
      </c>
      <c r="K493" s="37">
        <v>326400000</v>
      </c>
      <c r="L493" s="37">
        <f t="shared" si="133"/>
        <v>34971429</v>
      </c>
      <c r="M493" s="39">
        <f>L434</f>
        <v>28170384</v>
      </c>
      <c r="N493" s="37">
        <f t="shared" ref="N493:N524" si="136">+L493-M493</f>
        <v>6801045</v>
      </c>
      <c r="O493" s="40">
        <f t="shared" si="131"/>
        <v>2720418</v>
      </c>
      <c r="P493" s="41" t="s">
        <v>381</v>
      </c>
      <c r="Q493" s="55"/>
      <c r="R493" s="42">
        <f t="shared" si="134"/>
        <v>4080627</v>
      </c>
      <c r="S493" s="55"/>
      <c r="T493" s="55"/>
      <c r="U493" s="55"/>
      <c r="V493" s="34" t="s">
        <v>261</v>
      </c>
      <c r="W493" s="43">
        <v>45132</v>
      </c>
      <c r="X493" s="44" t="s">
        <v>392</v>
      </c>
    </row>
    <row r="494" spans="1:24" ht="17.45" customHeight="1" x14ac:dyDescent="0.25">
      <c r="A494" t="str">
        <f t="shared" si="127"/>
        <v>29109062554513220760000</v>
      </c>
      <c r="B494" s="6">
        <f t="shared" si="125"/>
        <v>45132</v>
      </c>
      <c r="C494" s="3">
        <f t="shared" si="126"/>
        <v>20760000</v>
      </c>
      <c r="D494" s="34">
        <v>2016</v>
      </c>
      <c r="E494" s="35">
        <v>2910906255</v>
      </c>
      <c r="F494" s="36" t="s">
        <v>393</v>
      </c>
      <c r="G494" s="37">
        <v>193760000</v>
      </c>
      <c r="H494" s="37">
        <v>20760000</v>
      </c>
      <c r="I494" s="38">
        <f t="shared" si="135"/>
        <v>0.10714285714285714</v>
      </c>
      <c r="J494" s="38">
        <f t="shared" si="129"/>
        <v>0.12</v>
      </c>
      <c r="K494" s="37">
        <f>G494</f>
        <v>193760000</v>
      </c>
      <c r="L494" s="37">
        <f t="shared" si="133"/>
        <v>20760000</v>
      </c>
      <c r="M494" s="39">
        <v>4792884</v>
      </c>
      <c r="N494" s="37">
        <f t="shared" si="136"/>
        <v>15967116</v>
      </c>
      <c r="O494" s="40">
        <f t="shared" si="131"/>
        <v>6386846</v>
      </c>
      <c r="P494" s="41" t="s">
        <v>381</v>
      </c>
      <c r="Q494" s="55"/>
      <c r="R494" s="42">
        <f t="shared" si="134"/>
        <v>9580270</v>
      </c>
      <c r="S494" s="55"/>
      <c r="T494" s="55"/>
      <c r="U494" s="55"/>
      <c r="V494" s="34" t="s">
        <v>261</v>
      </c>
      <c r="W494" s="43">
        <v>45132</v>
      </c>
      <c r="X494" s="44" t="s">
        <v>392</v>
      </c>
    </row>
    <row r="495" spans="1:24" ht="17.45" customHeight="1" x14ac:dyDescent="0.25">
      <c r="A495" t="str">
        <f t="shared" si="127"/>
        <v>2910908059451321017857</v>
      </c>
      <c r="B495" s="6">
        <f t="shared" si="125"/>
        <v>45132</v>
      </c>
      <c r="C495" s="3">
        <f t="shared" si="126"/>
        <v>1017857</v>
      </c>
      <c r="D495" s="34">
        <v>2022</v>
      </c>
      <c r="E495" s="35">
        <v>2910908059</v>
      </c>
      <c r="F495" s="36" t="s">
        <v>394</v>
      </c>
      <c r="G495" s="37">
        <v>9500000</v>
      </c>
      <c r="H495" s="37">
        <v>1017857</v>
      </c>
      <c r="I495" s="38">
        <f t="shared" si="135"/>
        <v>0.10714284210526316</v>
      </c>
      <c r="J495" s="38">
        <f t="shared" ref="J495:J526" si="137">IFERROR((+H495/(G495-H495)),0)</f>
        <v>0.11999998113684242</v>
      </c>
      <c r="K495" s="37">
        <v>9500000</v>
      </c>
      <c r="L495" s="37">
        <f t="shared" si="133"/>
        <v>1017857</v>
      </c>
      <c r="M495" s="39">
        <v>0</v>
      </c>
      <c r="N495" s="37">
        <f t="shared" si="136"/>
        <v>1017857</v>
      </c>
      <c r="O495" s="40">
        <f t="shared" si="131"/>
        <v>407143</v>
      </c>
      <c r="P495" s="41" t="s">
        <v>381</v>
      </c>
      <c r="Q495" s="55"/>
      <c r="R495" s="42">
        <f t="shared" si="134"/>
        <v>610714</v>
      </c>
      <c r="S495" s="55"/>
      <c r="T495" s="55"/>
      <c r="U495" s="55"/>
      <c r="V495" s="34" t="s">
        <v>261</v>
      </c>
      <c r="W495" s="43">
        <v>45132</v>
      </c>
      <c r="X495" s="44" t="s">
        <v>395</v>
      </c>
    </row>
    <row r="496" spans="1:24" ht="17.45" customHeight="1" x14ac:dyDescent="0.25">
      <c r="A496" t="str">
        <f t="shared" si="127"/>
        <v>2910907234451325409643</v>
      </c>
      <c r="B496" s="6">
        <f t="shared" si="125"/>
        <v>45443</v>
      </c>
      <c r="C496" s="3">
        <f t="shared" si="126"/>
        <v>27321428.571428567</v>
      </c>
      <c r="D496" s="34">
        <v>2023</v>
      </c>
      <c r="E496" s="35">
        <v>2910907234</v>
      </c>
      <c r="F496" s="36" t="s">
        <v>396</v>
      </c>
      <c r="G496" s="37">
        <v>255000000</v>
      </c>
      <c r="H496" s="37">
        <v>27321429</v>
      </c>
      <c r="I496" s="38">
        <f t="shared" si="135"/>
        <v>0.1071428588235294</v>
      </c>
      <c r="J496" s="38">
        <f t="shared" si="137"/>
        <v>0.1200000021082353</v>
      </c>
      <c r="K496" s="37">
        <v>50490000</v>
      </c>
      <c r="L496" s="37">
        <f t="shared" si="133"/>
        <v>5409643</v>
      </c>
      <c r="M496" s="39">
        <v>0</v>
      </c>
      <c r="N496" s="37">
        <f t="shared" si="136"/>
        <v>5409643</v>
      </c>
      <c r="O496" s="40">
        <f t="shared" si="131"/>
        <v>2163857</v>
      </c>
      <c r="P496" s="41" t="s">
        <v>381</v>
      </c>
      <c r="Q496" s="55"/>
      <c r="R496" s="42">
        <f t="shared" si="134"/>
        <v>3245786</v>
      </c>
      <c r="S496" s="55"/>
      <c r="T496" s="55"/>
      <c r="U496" s="55"/>
      <c r="V496" s="34" t="s">
        <v>261</v>
      </c>
      <c r="W496" s="43">
        <v>45132</v>
      </c>
      <c r="X496" s="44" t="s">
        <v>397</v>
      </c>
    </row>
    <row r="497" spans="1:24" ht="17.45" customHeight="1" x14ac:dyDescent="0.25">
      <c r="A497" t="str">
        <f t="shared" si="127"/>
        <v>291090679645132212245679</v>
      </c>
      <c r="B497" s="6">
        <f t="shared" si="125"/>
        <v>45132</v>
      </c>
      <c r="C497" s="3">
        <f t="shared" si="126"/>
        <v>212245679</v>
      </c>
      <c r="D497" s="34">
        <v>2022</v>
      </c>
      <c r="E497" s="35">
        <v>2910906796</v>
      </c>
      <c r="F497" s="36" t="s">
        <v>296</v>
      </c>
      <c r="G497" s="37">
        <v>1980959670</v>
      </c>
      <c r="H497" s="37">
        <v>212245679</v>
      </c>
      <c r="I497" s="38">
        <f>H497/G497</f>
        <v>0.1071428571789147</v>
      </c>
      <c r="J497" s="38">
        <f t="shared" si="137"/>
        <v>0.12000000004523061</v>
      </c>
      <c r="K497" s="37">
        <f>1584767736+396191934</f>
        <v>1980959670</v>
      </c>
      <c r="L497" s="37">
        <f t="shared" si="133"/>
        <v>212245679</v>
      </c>
      <c r="M497" s="39">
        <f>L453</f>
        <v>169796543</v>
      </c>
      <c r="N497" s="37">
        <f t="shared" si="136"/>
        <v>42449136</v>
      </c>
      <c r="O497" s="40">
        <f t="shared" ref="O497:O528" si="138">ROUND((N497*40%),0)</f>
        <v>16979654</v>
      </c>
      <c r="P497" s="41" t="s">
        <v>381</v>
      </c>
      <c r="Q497" s="55"/>
      <c r="R497" s="42">
        <f t="shared" si="134"/>
        <v>25469482</v>
      </c>
      <c r="S497" s="55"/>
      <c r="T497" s="55"/>
      <c r="U497" s="55"/>
      <c r="V497" s="34" t="s">
        <v>261</v>
      </c>
      <c r="W497" s="43">
        <v>45132</v>
      </c>
      <c r="X497" s="44" t="s">
        <v>398</v>
      </c>
    </row>
    <row r="498" spans="1:24" ht="17.45" customHeight="1" x14ac:dyDescent="0.25">
      <c r="A498" t="str">
        <f t="shared" si="127"/>
        <v>2910907230451322256429</v>
      </c>
      <c r="B498" s="6">
        <f t="shared" si="125"/>
        <v>45316</v>
      </c>
      <c r="C498" s="3">
        <f t="shared" si="126"/>
        <v>6595714</v>
      </c>
      <c r="D498" s="34">
        <v>2023</v>
      </c>
      <c r="E498" s="35">
        <v>2910907230</v>
      </c>
      <c r="F498" s="36" t="s">
        <v>399</v>
      </c>
      <c r="G498" s="37">
        <v>56700000</v>
      </c>
      <c r="H498" s="37">
        <v>6075000</v>
      </c>
      <c r="I498" s="38">
        <f>H498/G498</f>
        <v>0.10714285714285714</v>
      </c>
      <c r="J498" s="38">
        <f t="shared" si="137"/>
        <v>0.12</v>
      </c>
      <c r="K498" s="37">
        <v>21060000</v>
      </c>
      <c r="L498" s="37">
        <f t="shared" si="133"/>
        <v>2256429</v>
      </c>
      <c r="M498" s="39">
        <v>0</v>
      </c>
      <c r="N498" s="37">
        <f t="shared" si="136"/>
        <v>2256429</v>
      </c>
      <c r="O498" s="40">
        <f t="shared" si="138"/>
        <v>902572</v>
      </c>
      <c r="P498" s="41" t="s">
        <v>381</v>
      </c>
      <c r="Q498" s="55"/>
      <c r="R498" s="42">
        <f t="shared" si="134"/>
        <v>1353857</v>
      </c>
      <c r="S498" s="55"/>
      <c r="T498" s="55"/>
      <c r="U498" s="55"/>
      <c r="V498" s="34" t="s">
        <v>261</v>
      </c>
      <c r="W498" s="43">
        <v>45132</v>
      </c>
      <c r="X498" s="44" t="s">
        <v>400</v>
      </c>
    </row>
    <row r="499" spans="1:24" ht="17.45" customHeight="1" x14ac:dyDescent="0.25">
      <c r="A499" t="str">
        <f t="shared" si="127"/>
        <v>29109083394513251719388</v>
      </c>
      <c r="B499" s="6">
        <f t="shared" si="125"/>
        <v>45132</v>
      </c>
      <c r="C499" s="3">
        <f t="shared" si="126"/>
        <v>52255649</v>
      </c>
      <c r="D499" s="34">
        <v>2022</v>
      </c>
      <c r="E499" s="35">
        <v>2910908339</v>
      </c>
      <c r="F499" s="36" t="s">
        <v>311</v>
      </c>
      <c r="G499" s="37">
        <v>492800000</v>
      </c>
      <c r="H499" s="37">
        <v>52800000</v>
      </c>
      <c r="I499" s="38">
        <f>+H499/G499</f>
        <v>0.10714285714285714</v>
      </c>
      <c r="J499" s="38">
        <f t="shared" si="137"/>
        <v>0.12</v>
      </c>
      <c r="K499" s="37">
        <v>482714286</v>
      </c>
      <c r="L499" s="37">
        <f t="shared" si="133"/>
        <v>51719388</v>
      </c>
      <c r="M499" s="39">
        <f>L419</f>
        <v>46714286</v>
      </c>
      <c r="N499" s="37">
        <f t="shared" si="136"/>
        <v>5005102</v>
      </c>
      <c r="O499" s="40">
        <f t="shared" si="138"/>
        <v>2002041</v>
      </c>
      <c r="P499" s="41" t="s">
        <v>381</v>
      </c>
      <c r="Q499" s="55"/>
      <c r="R499" s="42">
        <f t="shared" si="134"/>
        <v>3003061</v>
      </c>
      <c r="S499" s="55"/>
      <c r="T499" s="55"/>
      <c r="U499" s="55"/>
      <c r="V499" s="34" t="s">
        <v>261</v>
      </c>
      <c r="W499" s="43">
        <v>45132</v>
      </c>
      <c r="X499" s="44" t="s">
        <v>280</v>
      </c>
    </row>
    <row r="500" spans="1:24" ht="17.45" customHeight="1" x14ac:dyDescent="0.25">
      <c r="A500" t="str">
        <f t="shared" si="127"/>
        <v>2910908341451321335043</v>
      </c>
      <c r="B500" s="6">
        <f t="shared" si="125"/>
        <v>45132</v>
      </c>
      <c r="C500" s="3">
        <f t="shared" si="126"/>
        <v>1335043</v>
      </c>
      <c r="D500" s="34">
        <v>2022</v>
      </c>
      <c r="E500" s="35">
        <v>2910908341</v>
      </c>
      <c r="F500" s="36" t="s">
        <v>342</v>
      </c>
      <c r="G500" s="37">
        <v>29000000</v>
      </c>
      <c r="H500" s="37">
        <v>3107143</v>
      </c>
      <c r="I500" s="38">
        <f>+H500/G500</f>
        <v>0.10714286206896552</v>
      </c>
      <c r="J500" s="38">
        <f t="shared" si="137"/>
        <v>0.12000000617931038</v>
      </c>
      <c r="K500" s="37">
        <v>12460400</v>
      </c>
      <c r="L500" s="37">
        <f t="shared" si="133"/>
        <v>1335043</v>
      </c>
      <c r="M500" s="39">
        <f>L433</f>
        <v>863614</v>
      </c>
      <c r="N500" s="37">
        <f t="shared" si="136"/>
        <v>471429</v>
      </c>
      <c r="O500" s="40">
        <f t="shared" si="138"/>
        <v>188572</v>
      </c>
      <c r="P500" s="41" t="s">
        <v>381</v>
      </c>
      <c r="Q500" s="55"/>
      <c r="R500" s="42">
        <f t="shared" si="134"/>
        <v>282857</v>
      </c>
      <c r="S500" s="55"/>
      <c r="T500" s="55"/>
      <c r="U500" s="55"/>
      <c r="V500" s="34" t="s">
        <v>261</v>
      </c>
      <c r="W500" s="43">
        <v>45132</v>
      </c>
      <c r="X500" s="44" t="s">
        <v>280</v>
      </c>
    </row>
    <row r="501" spans="1:24" ht="17.45" customHeight="1" x14ac:dyDescent="0.25">
      <c r="A501" t="str">
        <f t="shared" si="127"/>
        <v>24530183324513248984806</v>
      </c>
      <c r="B501" s="6">
        <f t="shared" si="125"/>
        <v>45316</v>
      </c>
      <c r="C501" s="3">
        <f t="shared" si="126"/>
        <v>106373215</v>
      </c>
      <c r="D501" s="34">
        <v>2021</v>
      </c>
      <c r="E501" s="35">
        <v>2453018332</v>
      </c>
      <c r="F501" s="36" t="s">
        <v>267</v>
      </c>
      <c r="G501" s="37">
        <v>1548681070</v>
      </c>
      <c r="H501" s="37">
        <v>165930115</v>
      </c>
      <c r="I501" s="38">
        <f>+H501/G501</f>
        <v>0.10714285737346813</v>
      </c>
      <c r="J501" s="38">
        <f t="shared" si="137"/>
        <v>0.12000000028927842</v>
      </c>
      <c r="K501" s="37">
        <v>457191521</v>
      </c>
      <c r="L501" s="37">
        <f t="shared" si="133"/>
        <v>48984806</v>
      </c>
      <c r="M501" s="39">
        <f>L350</f>
        <v>42632232</v>
      </c>
      <c r="N501" s="37">
        <f t="shared" si="136"/>
        <v>6352574</v>
      </c>
      <c r="O501" s="40">
        <f t="shared" si="138"/>
        <v>2541030</v>
      </c>
      <c r="P501" s="41" t="s">
        <v>381</v>
      </c>
      <c r="Q501" s="55"/>
      <c r="R501" s="42">
        <f t="shared" si="134"/>
        <v>3811544</v>
      </c>
      <c r="S501" s="55"/>
      <c r="T501" s="55"/>
      <c r="U501" s="55"/>
      <c r="V501" s="34" t="s">
        <v>261</v>
      </c>
      <c r="W501" s="43">
        <v>45132</v>
      </c>
      <c r="X501" s="44" t="s">
        <v>273</v>
      </c>
    </row>
    <row r="502" spans="1:24" ht="17.45" customHeight="1" x14ac:dyDescent="0.25">
      <c r="A502" t="str">
        <f t="shared" si="127"/>
        <v>2910906799451327275000</v>
      </c>
      <c r="B502" s="6">
        <f t="shared" si="125"/>
        <v>45132</v>
      </c>
      <c r="C502" s="3">
        <f t="shared" si="126"/>
        <v>7275000</v>
      </c>
      <c r="D502" s="34">
        <v>2022</v>
      </c>
      <c r="E502" s="35">
        <v>2910906799</v>
      </c>
      <c r="F502" s="36" t="s">
        <v>293</v>
      </c>
      <c r="G502" s="37">
        <v>70000000</v>
      </c>
      <c r="H502" s="37">
        <v>7500000</v>
      </c>
      <c r="I502" s="38">
        <f>H502/G502</f>
        <v>0.10714285714285714</v>
      </c>
      <c r="J502" s="38">
        <f t="shared" si="137"/>
        <v>0.12</v>
      </c>
      <c r="K502" s="37">
        <v>67900000</v>
      </c>
      <c r="L502" s="37">
        <f t="shared" si="133"/>
        <v>7275000</v>
      </c>
      <c r="M502" s="39">
        <f>L316</f>
        <v>5300357</v>
      </c>
      <c r="N502" s="37">
        <f t="shared" si="136"/>
        <v>1974643</v>
      </c>
      <c r="O502" s="40">
        <f t="shared" si="138"/>
        <v>789857</v>
      </c>
      <c r="P502" s="41" t="s">
        <v>381</v>
      </c>
      <c r="Q502" s="55"/>
      <c r="R502" s="42">
        <f t="shared" si="134"/>
        <v>1184786</v>
      </c>
      <c r="S502" s="55"/>
      <c r="T502" s="55"/>
      <c r="U502" s="55"/>
      <c r="V502" s="34" t="s">
        <v>261</v>
      </c>
      <c r="W502" s="43">
        <v>45132</v>
      </c>
      <c r="X502" s="44" t="s">
        <v>401</v>
      </c>
    </row>
    <row r="503" spans="1:24" ht="17.45" customHeight="1" x14ac:dyDescent="0.25">
      <c r="A503" t="str">
        <f t="shared" si="127"/>
        <v>2910907204451323750000</v>
      </c>
      <c r="B503" s="6">
        <f t="shared" si="125"/>
        <v>45132</v>
      </c>
      <c r="C503" s="3">
        <f t="shared" si="126"/>
        <v>3750000</v>
      </c>
      <c r="D503" s="34">
        <v>2022</v>
      </c>
      <c r="E503" s="35">
        <v>2910907204</v>
      </c>
      <c r="F503" s="36" t="s">
        <v>298</v>
      </c>
      <c r="G503" s="37">
        <v>35000000</v>
      </c>
      <c r="H503" s="37">
        <v>3750000</v>
      </c>
      <c r="I503" s="38">
        <f>H503/G503</f>
        <v>0.10714285714285714</v>
      </c>
      <c r="J503" s="38">
        <f t="shared" si="137"/>
        <v>0.12</v>
      </c>
      <c r="K503" s="37">
        <v>35000000</v>
      </c>
      <c r="L503" s="37">
        <f t="shared" si="133"/>
        <v>3750000</v>
      </c>
      <c r="M503" s="39">
        <f>L320</f>
        <v>2631429</v>
      </c>
      <c r="N503" s="37">
        <f t="shared" si="136"/>
        <v>1118571</v>
      </c>
      <c r="O503" s="40">
        <f t="shared" si="138"/>
        <v>447428</v>
      </c>
      <c r="P503" s="41" t="s">
        <v>381</v>
      </c>
      <c r="Q503" s="55"/>
      <c r="R503" s="42">
        <f t="shared" si="134"/>
        <v>671143</v>
      </c>
      <c r="S503" s="55"/>
      <c r="T503" s="55"/>
      <c r="U503" s="55"/>
      <c r="V503" s="34" t="s">
        <v>261</v>
      </c>
      <c r="W503" s="43">
        <v>45132</v>
      </c>
      <c r="X503" s="44" t="s">
        <v>402</v>
      </c>
    </row>
    <row r="504" spans="1:24" ht="17.45" customHeight="1" x14ac:dyDescent="0.25">
      <c r="A504" t="str">
        <f t="shared" si="127"/>
        <v>2910907208451325571429</v>
      </c>
      <c r="B504" s="6">
        <f t="shared" si="125"/>
        <v>45132</v>
      </c>
      <c r="C504" s="3">
        <f t="shared" si="126"/>
        <v>5571429</v>
      </c>
      <c r="D504" s="34">
        <v>2022</v>
      </c>
      <c r="E504" s="35">
        <v>2910907208</v>
      </c>
      <c r="F504" s="36" t="s">
        <v>301</v>
      </c>
      <c r="G504" s="37">
        <v>52000000</v>
      </c>
      <c r="H504" s="37">
        <v>5571429</v>
      </c>
      <c r="I504" s="38">
        <f>H504/G504</f>
        <v>0.10714286538461539</v>
      </c>
      <c r="J504" s="38">
        <f t="shared" si="137"/>
        <v>0.12000001033846164</v>
      </c>
      <c r="K504" s="37">
        <v>52000000</v>
      </c>
      <c r="L504" s="37">
        <f t="shared" si="133"/>
        <v>5571429</v>
      </c>
      <c r="M504" s="39">
        <f>L440</f>
        <v>5068257</v>
      </c>
      <c r="N504" s="37">
        <f t="shared" si="136"/>
        <v>503172</v>
      </c>
      <c r="O504" s="40">
        <f t="shared" si="138"/>
        <v>201269</v>
      </c>
      <c r="P504" s="41" t="s">
        <v>381</v>
      </c>
      <c r="Q504" s="55"/>
      <c r="R504" s="42">
        <f t="shared" si="134"/>
        <v>301903</v>
      </c>
      <c r="S504" s="55"/>
      <c r="T504" s="55"/>
      <c r="U504" s="55"/>
      <c r="V504" s="34" t="s">
        <v>261</v>
      </c>
      <c r="W504" s="43">
        <v>45132</v>
      </c>
      <c r="X504" s="44" t="s">
        <v>364</v>
      </c>
    </row>
    <row r="505" spans="1:24" ht="17.45" customHeight="1" x14ac:dyDescent="0.25">
      <c r="A505" t="str">
        <f t="shared" si="127"/>
        <v>29109072224513315912079</v>
      </c>
      <c r="B505" s="6">
        <f t="shared" si="125"/>
        <v>45274</v>
      </c>
      <c r="C505" s="3">
        <f t="shared" si="126"/>
        <v>39780198</v>
      </c>
      <c r="D505" s="34">
        <v>2022</v>
      </c>
      <c r="E505" s="35">
        <v>2910907222</v>
      </c>
      <c r="F505" s="36" t="s">
        <v>383</v>
      </c>
      <c r="G505" s="37">
        <v>390823000</v>
      </c>
      <c r="H505" s="37">
        <v>41873893</v>
      </c>
      <c r="I505" s="38">
        <f>H505/G505</f>
        <v>0.10714285750838615</v>
      </c>
      <c r="J505" s="38">
        <f t="shared" si="137"/>
        <v>0.12000000045851958</v>
      </c>
      <c r="K505" s="37">
        <f>74256370+74256370</f>
        <v>148512740</v>
      </c>
      <c r="L505" s="37">
        <f t="shared" si="133"/>
        <v>15912079</v>
      </c>
      <c r="M505" s="39">
        <f>L484</f>
        <v>7956040</v>
      </c>
      <c r="N505" s="37">
        <f t="shared" si="136"/>
        <v>7956039</v>
      </c>
      <c r="O505" s="40">
        <f t="shared" si="138"/>
        <v>3182416</v>
      </c>
      <c r="P505" s="41" t="s">
        <v>381</v>
      </c>
      <c r="Q505" s="55"/>
      <c r="R505" s="42">
        <f t="shared" si="134"/>
        <v>4773623</v>
      </c>
      <c r="S505" s="55"/>
      <c r="T505" s="55"/>
      <c r="U505" s="55"/>
      <c r="V505" s="34" t="s">
        <v>261</v>
      </c>
      <c r="W505" s="43">
        <v>45133</v>
      </c>
      <c r="X505" s="44" t="s">
        <v>403</v>
      </c>
    </row>
    <row r="506" spans="1:24" ht="17.45" customHeight="1" x14ac:dyDescent="0.25">
      <c r="A506" t="str">
        <f t="shared" si="127"/>
        <v>245301750245133358776831</v>
      </c>
      <c r="B506" s="6">
        <f t="shared" si="125"/>
        <v>45133</v>
      </c>
      <c r="C506" s="3">
        <f t="shared" si="126"/>
        <v>358776831</v>
      </c>
      <c r="D506" s="34">
        <v>2021</v>
      </c>
      <c r="E506" s="35">
        <v>2453017502</v>
      </c>
      <c r="F506" s="36" t="s">
        <v>252</v>
      </c>
      <c r="G506" s="37">
        <v>5408592000</v>
      </c>
      <c r="H506" s="37">
        <v>597961385</v>
      </c>
      <c r="I506" s="38">
        <f t="shared" ref="I506:I511" si="139">+H506/G506</f>
        <v>0.11055768026133234</v>
      </c>
      <c r="J506" s="38">
        <f t="shared" si="137"/>
        <v>0.12429999990760048</v>
      </c>
      <c r="K506" s="37">
        <v>3245155200</v>
      </c>
      <c r="L506" s="37">
        <f t="shared" si="133"/>
        <v>358776831</v>
      </c>
      <c r="M506" s="39">
        <f>L224</f>
        <v>179388416</v>
      </c>
      <c r="N506" s="37">
        <f t="shared" si="136"/>
        <v>179388415</v>
      </c>
      <c r="O506" s="40">
        <f t="shared" si="138"/>
        <v>71755366</v>
      </c>
      <c r="P506" s="41" t="s">
        <v>381</v>
      </c>
      <c r="Q506" s="55"/>
      <c r="R506" s="42">
        <f t="shared" si="134"/>
        <v>107633049</v>
      </c>
      <c r="S506" s="55"/>
      <c r="T506" s="55"/>
      <c r="U506" s="55"/>
      <c r="V506" s="34" t="s">
        <v>261</v>
      </c>
      <c r="W506" s="43">
        <v>45133</v>
      </c>
      <c r="X506" s="44" t="s">
        <v>404</v>
      </c>
    </row>
    <row r="507" spans="1:24" ht="17.45" customHeight="1" x14ac:dyDescent="0.25">
      <c r="A507" t="str">
        <f t="shared" si="127"/>
        <v>29109072254513313232143</v>
      </c>
      <c r="B507" s="6">
        <f t="shared" si="125"/>
        <v>45350</v>
      </c>
      <c r="C507" s="3">
        <f t="shared" si="126"/>
        <v>26464286</v>
      </c>
      <c r="D507" s="34">
        <v>2023</v>
      </c>
      <c r="E507" s="35">
        <v>2910907225</v>
      </c>
      <c r="F507" s="36" t="s">
        <v>405</v>
      </c>
      <c r="G507" s="37">
        <v>247000000</v>
      </c>
      <c r="H507" s="37">
        <v>26464286</v>
      </c>
      <c r="I507" s="38">
        <f t="shared" si="139"/>
        <v>0.10714285829959515</v>
      </c>
      <c r="J507" s="38">
        <f t="shared" si="137"/>
        <v>0.12000000145101215</v>
      </c>
      <c r="K507" s="37">
        <v>123500000</v>
      </c>
      <c r="L507" s="37">
        <f t="shared" si="133"/>
        <v>13232143</v>
      </c>
      <c r="M507" s="39">
        <v>0</v>
      </c>
      <c r="N507" s="37">
        <f t="shared" si="136"/>
        <v>13232143</v>
      </c>
      <c r="O507" s="40">
        <f t="shared" si="138"/>
        <v>5292857</v>
      </c>
      <c r="P507" s="41" t="s">
        <v>381</v>
      </c>
      <c r="Q507" s="55"/>
      <c r="R507" s="42">
        <f t="shared" si="134"/>
        <v>7939286</v>
      </c>
      <c r="S507" s="55"/>
      <c r="T507" s="55"/>
      <c r="U507" s="55"/>
      <c r="V507" s="34" t="s">
        <v>261</v>
      </c>
      <c r="W507" s="43">
        <v>45133</v>
      </c>
      <c r="X507" s="44" t="s">
        <v>406</v>
      </c>
    </row>
    <row r="508" spans="1:24" ht="17.45" customHeight="1" x14ac:dyDescent="0.25">
      <c r="A508" t="str">
        <f t="shared" si="127"/>
        <v>291090722345152389596338</v>
      </c>
      <c r="B508" s="6">
        <f t="shared" si="125"/>
        <v>45225</v>
      </c>
      <c r="C508" s="3">
        <f t="shared" si="126"/>
        <v>1161182642</v>
      </c>
      <c r="D508" s="34">
        <v>2023</v>
      </c>
      <c r="E508" s="35">
        <v>2910907223</v>
      </c>
      <c r="F508" s="36" t="s">
        <v>321</v>
      </c>
      <c r="G508" s="37">
        <v>11000088770</v>
      </c>
      <c r="H508" s="37">
        <v>1178580940</v>
      </c>
      <c r="I508" s="38">
        <f t="shared" si="139"/>
        <v>0.10714285717532442</v>
      </c>
      <c r="J508" s="38">
        <f t="shared" si="137"/>
        <v>0.12000000004072695</v>
      </c>
      <c r="K508" s="37">
        <v>3636232483</v>
      </c>
      <c r="L508" s="37">
        <f t="shared" si="133"/>
        <v>389596338</v>
      </c>
      <c r="M508" s="39">
        <f>L408</f>
        <v>173096207</v>
      </c>
      <c r="N508" s="37">
        <f t="shared" si="136"/>
        <v>216500131</v>
      </c>
      <c r="O508" s="40">
        <f t="shared" si="138"/>
        <v>86600052</v>
      </c>
      <c r="P508" s="41" t="s">
        <v>381</v>
      </c>
      <c r="Q508" s="55"/>
      <c r="R508" s="42">
        <f t="shared" si="134"/>
        <v>129900079</v>
      </c>
      <c r="S508" s="55"/>
      <c r="T508" s="55"/>
      <c r="U508" s="55"/>
      <c r="V508" s="34" t="s">
        <v>261</v>
      </c>
      <c r="W508" s="43">
        <v>45152</v>
      </c>
      <c r="X508" s="44" t="s">
        <v>407</v>
      </c>
    </row>
    <row r="509" spans="1:24" ht="17.45" customHeight="1" x14ac:dyDescent="0.25">
      <c r="A509" t="str">
        <f t="shared" si="127"/>
        <v>29109072144516014874240</v>
      </c>
      <c r="B509" s="6">
        <f t="shared" si="125"/>
        <v>45316</v>
      </c>
      <c r="C509" s="3">
        <f t="shared" si="126"/>
        <v>18592800</v>
      </c>
      <c r="D509" s="34">
        <v>2022</v>
      </c>
      <c r="E509" s="35">
        <v>2910907214</v>
      </c>
      <c r="F509" s="36" t="s">
        <v>327</v>
      </c>
      <c r="G509" s="37">
        <v>173532800</v>
      </c>
      <c r="H509" s="37">
        <v>18592800</v>
      </c>
      <c r="I509" s="38">
        <f t="shared" si="139"/>
        <v>0.10714285714285714</v>
      </c>
      <c r="J509" s="38">
        <f t="shared" si="137"/>
        <v>0.12</v>
      </c>
      <c r="K509" s="37">
        <f>86766400+26029920+26029920</f>
        <v>138826240</v>
      </c>
      <c r="L509" s="37">
        <f t="shared" si="133"/>
        <v>14874240</v>
      </c>
      <c r="M509" s="39">
        <f>L489</f>
        <v>12085320</v>
      </c>
      <c r="N509" s="37">
        <f t="shared" si="136"/>
        <v>2788920</v>
      </c>
      <c r="O509" s="40">
        <f t="shared" si="138"/>
        <v>1115568</v>
      </c>
      <c r="P509" s="41" t="s">
        <v>381</v>
      </c>
      <c r="Q509" s="55"/>
      <c r="R509" s="42">
        <f t="shared" si="134"/>
        <v>1673352</v>
      </c>
      <c r="S509" s="55"/>
      <c r="T509" s="55"/>
      <c r="U509" s="55"/>
      <c r="V509" s="34" t="s">
        <v>261</v>
      </c>
      <c r="W509" s="43">
        <v>45160</v>
      </c>
      <c r="X509" s="44" t="s">
        <v>408</v>
      </c>
    </row>
    <row r="510" spans="1:24" ht="17.45" customHeight="1" x14ac:dyDescent="0.25">
      <c r="A510" t="str">
        <f t="shared" si="127"/>
        <v>29109072314516034454457</v>
      </c>
      <c r="B510" s="6">
        <f t="shared" si="125"/>
        <v>45880</v>
      </c>
      <c r="C510" s="3">
        <f t="shared" si="126"/>
        <v>725275008</v>
      </c>
      <c r="D510" s="34">
        <v>2023</v>
      </c>
      <c r="E510" s="35" t="s">
        <v>409</v>
      </c>
      <c r="F510" s="36" t="s">
        <v>410</v>
      </c>
      <c r="G510" s="37">
        <v>5902674987</v>
      </c>
      <c r="H510" s="37">
        <v>632429463</v>
      </c>
      <c r="I510" s="38">
        <f t="shared" si="139"/>
        <v>0.10714285716100871</v>
      </c>
      <c r="J510" s="38">
        <f t="shared" si="137"/>
        <v>0.12000000002276934</v>
      </c>
      <c r="K510" s="37">
        <v>321574931</v>
      </c>
      <c r="L510" s="37">
        <f t="shared" si="133"/>
        <v>34454457</v>
      </c>
      <c r="M510" s="39">
        <v>0</v>
      </c>
      <c r="N510" s="37">
        <f t="shared" si="136"/>
        <v>34454457</v>
      </c>
      <c r="O510" s="40">
        <f t="shared" si="138"/>
        <v>13781783</v>
      </c>
      <c r="P510" s="41" t="s">
        <v>381</v>
      </c>
      <c r="Q510" s="55"/>
      <c r="R510" s="42">
        <f t="shared" si="134"/>
        <v>20672674</v>
      </c>
      <c r="S510" s="55"/>
      <c r="T510" s="55"/>
      <c r="U510" s="55"/>
      <c r="V510" s="34" t="s">
        <v>261</v>
      </c>
      <c r="W510" s="43">
        <v>45160</v>
      </c>
      <c r="X510" s="44" t="s">
        <v>411</v>
      </c>
    </row>
    <row r="511" spans="1:24" ht="17.45" customHeight="1" x14ac:dyDescent="0.25">
      <c r="A511" t="str">
        <f t="shared" si="127"/>
        <v>29109072124512962651250</v>
      </c>
      <c r="B511" s="6">
        <f t="shared" si="125"/>
        <v>45244</v>
      </c>
      <c r="C511" s="3">
        <f t="shared" si="126"/>
        <v>89501786</v>
      </c>
      <c r="D511" s="34">
        <v>2022</v>
      </c>
      <c r="E511" s="35">
        <v>2910907212</v>
      </c>
      <c r="F511" s="36" t="s">
        <v>316</v>
      </c>
      <c r="G511" s="37">
        <v>835350000</v>
      </c>
      <c r="H511" s="37">
        <v>89501786</v>
      </c>
      <c r="I511" s="38">
        <f t="shared" si="139"/>
        <v>0.10714285748488657</v>
      </c>
      <c r="J511" s="38">
        <f t="shared" si="137"/>
        <v>0.12000000042904171</v>
      </c>
      <c r="K511" s="37">
        <f>417675000+83535000+83535000</f>
        <v>584745000</v>
      </c>
      <c r="L511" s="37">
        <f t="shared" si="133"/>
        <v>62651250</v>
      </c>
      <c r="M511" s="39">
        <f>L488</f>
        <v>53701072</v>
      </c>
      <c r="N511" s="37">
        <f t="shared" si="136"/>
        <v>8950178</v>
      </c>
      <c r="O511" s="40">
        <f t="shared" si="138"/>
        <v>3580071</v>
      </c>
      <c r="P511" s="41" t="s">
        <v>381</v>
      </c>
      <c r="Q511" s="55"/>
      <c r="R511" s="42">
        <f t="shared" si="134"/>
        <v>5370107</v>
      </c>
      <c r="S511" s="55"/>
      <c r="T511" s="55"/>
      <c r="U511" s="55"/>
      <c r="V511" s="34" t="s">
        <v>261</v>
      </c>
      <c r="W511" s="43">
        <v>45129</v>
      </c>
      <c r="X511" s="44" t="s">
        <v>412</v>
      </c>
    </row>
    <row r="512" spans="1:24" ht="17.45" customHeight="1" x14ac:dyDescent="0.25">
      <c r="A512" t="str">
        <f t="shared" si="127"/>
        <v>245301833745160164288422</v>
      </c>
      <c r="B512" s="6">
        <f t="shared" si="125"/>
        <v>45244</v>
      </c>
      <c r="C512" s="3">
        <f t="shared" si="126"/>
        <v>178958636</v>
      </c>
      <c r="D512" s="34">
        <v>2022</v>
      </c>
      <c r="E512" s="35">
        <v>2453018337</v>
      </c>
      <c r="F512" s="36" t="s">
        <v>279</v>
      </c>
      <c r="G512" s="37">
        <v>1746041438</v>
      </c>
      <c r="H512" s="37">
        <v>187075868</v>
      </c>
      <c r="I512" s="38">
        <f>H512/G512</f>
        <v>0.10714285693831282</v>
      </c>
      <c r="J512" s="38">
        <f t="shared" si="137"/>
        <v>0.1199999997434196</v>
      </c>
      <c r="K512" s="37">
        <v>1533358612</v>
      </c>
      <c r="L512" s="37">
        <f t="shared" si="133"/>
        <v>164288422</v>
      </c>
      <c r="M512" s="39">
        <f>L481</f>
        <v>153380659</v>
      </c>
      <c r="N512" s="37">
        <f t="shared" si="136"/>
        <v>10907763</v>
      </c>
      <c r="O512" s="40">
        <f t="shared" si="138"/>
        <v>4363105</v>
      </c>
      <c r="P512" s="41" t="s">
        <v>381</v>
      </c>
      <c r="Q512" s="55"/>
      <c r="R512" s="42">
        <f t="shared" si="134"/>
        <v>6544658</v>
      </c>
      <c r="S512" s="55"/>
      <c r="T512" s="55"/>
      <c r="U512" s="55"/>
      <c r="V512" s="34" t="s">
        <v>261</v>
      </c>
      <c r="W512" s="43">
        <v>45160</v>
      </c>
      <c r="X512" s="44" t="s">
        <v>280</v>
      </c>
    </row>
    <row r="513" spans="1:24" ht="17.45" customHeight="1" x14ac:dyDescent="0.25">
      <c r="A513" t="str">
        <f t="shared" si="127"/>
        <v>24530183324516182667910</v>
      </c>
      <c r="B513" s="6">
        <f t="shared" si="125"/>
        <v>45316</v>
      </c>
      <c r="C513" s="3">
        <f t="shared" si="126"/>
        <v>106373215</v>
      </c>
      <c r="D513" s="34">
        <v>2021</v>
      </c>
      <c r="E513" s="35">
        <v>2453018332</v>
      </c>
      <c r="F513" s="36" t="s">
        <v>267</v>
      </c>
      <c r="G513" s="37">
        <v>1548681070</v>
      </c>
      <c r="H513" s="37">
        <v>165930115</v>
      </c>
      <c r="I513" s="38">
        <f>+H513/G513</f>
        <v>0.10714285737346813</v>
      </c>
      <c r="J513" s="38">
        <f t="shared" si="137"/>
        <v>0.12000000028927842</v>
      </c>
      <c r="K513" s="37">
        <v>771567159</v>
      </c>
      <c r="L513" s="37">
        <f t="shared" si="133"/>
        <v>82667910</v>
      </c>
      <c r="M513" s="39">
        <f>L501</f>
        <v>48984806</v>
      </c>
      <c r="N513" s="37">
        <f t="shared" si="136"/>
        <v>33683104</v>
      </c>
      <c r="O513" s="40">
        <f t="shared" si="138"/>
        <v>13473242</v>
      </c>
      <c r="P513" s="41" t="s">
        <v>381</v>
      </c>
      <c r="Q513" s="55">
        <v>9019</v>
      </c>
      <c r="R513" s="42">
        <f t="shared" si="134"/>
        <v>20209862</v>
      </c>
      <c r="S513" s="55">
        <v>9020</v>
      </c>
      <c r="T513" s="55">
        <v>1860</v>
      </c>
      <c r="U513" s="55">
        <v>3158</v>
      </c>
      <c r="V513" s="34" t="s">
        <v>261</v>
      </c>
      <c r="W513" s="43">
        <v>45161</v>
      </c>
      <c r="X513" s="44" t="s">
        <v>273</v>
      </c>
    </row>
    <row r="514" spans="1:24" ht="17.45" customHeight="1" x14ac:dyDescent="0.25">
      <c r="A514" t="str">
        <f t="shared" si="127"/>
        <v>29109080534516139752820</v>
      </c>
      <c r="B514" s="6">
        <f t="shared" ref="B514:B577" si="140">_xlfn.MAXIFS(W:W,E:E,E514)</f>
        <v>45161</v>
      </c>
      <c r="C514" s="3">
        <f t="shared" ref="C514:C577" si="141">_xlfn.MAXIFS(L:L,E:E,E514)</f>
        <v>39752820</v>
      </c>
      <c r="D514" s="34">
        <v>2022</v>
      </c>
      <c r="E514" s="35">
        <v>2910908053</v>
      </c>
      <c r="F514" s="36" t="s">
        <v>303</v>
      </c>
      <c r="G514" s="37">
        <v>331273500</v>
      </c>
      <c r="H514" s="37">
        <v>39752820</v>
      </c>
      <c r="I514" s="38">
        <f>H514/G514</f>
        <v>0.12</v>
      </c>
      <c r="J514" s="38">
        <f t="shared" si="137"/>
        <v>0.13636363636363635</v>
      </c>
      <c r="K514" s="37">
        <f>G514</f>
        <v>331273500</v>
      </c>
      <c r="L514" s="37">
        <f t="shared" si="133"/>
        <v>39752820</v>
      </c>
      <c r="M514" s="39">
        <v>19310813</v>
      </c>
      <c r="N514" s="37">
        <f t="shared" si="136"/>
        <v>20442007</v>
      </c>
      <c r="O514" s="40">
        <f t="shared" si="138"/>
        <v>8176803</v>
      </c>
      <c r="P514" s="41" t="s">
        <v>381</v>
      </c>
      <c r="Q514" s="55">
        <v>9035</v>
      </c>
      <c r="R514" s="42">
        <f t="shared" si="134"/>
        <v>12265204</v>
      </c>
      <c r="S514" s="55">
        <v>9036</v>
      </c>
      <c r="T514" s="55">
        <v>1859</v>
      </c>
      <c r="U514" s="55">
        <v>3157</v>
      </c>
      <c r="V514" s="34" t="s">
        <v>261</v>
      </c>
      <c r="W514" s="43">
        <v>45161</v>
      </c>
      <c r="X514" s="44" t="s">
        <v>413</v>
      </c>
    </row>
    <row r="515" spans="1:24" ht="17.45" customHeight="1" x14ac:dyDescent="0.25">
      <c r="A515" t="str">
        <f t="shared" ref="A515:A578" si="142">_xlfn.CONCAT(E515,W515,L515)</f>
        <v>29109062334516347708250</v>
      </c>
      <c r="B515" s="6">
        <f t="shared" si="140"/>
        <v>45163</v>
      </c>
      <c r="C515" s="3">
        <f t="shared" si="141"/>
        <v>47708250</v>
      </c>
      <c r="D515" s="34">
        <v>2016</v>
      </c>
      <c r="E515" s="35">
        <v>2910906233</v>
      </c>
      <c r="F515" s="36" t="s">
        <v>304</v>
      </c>
      <c r="G515" s="37">
        <v>801237000</v>
      </c>
      <c r="H515" s="37">
        <v>85846821</v>
      </c>
      <c r="I515" s="38">
        <f>H515/G515</f>
        <v>0.10714285660796993</v>
      </c>
      <c r="J515" s="38">
        <f t="shared" si="137"/>
        <v>0.11999999932903747</v>
      </c>
      <c r="K515" s="37">
        <f>411345000+29940000+3992000</f>
        <v>445277000</v>
      </c>
      <c r="L515" s="37">
        <f t="shared" si="133"/>
        <v>47708250</v>
      </c>
      <c r="M515" s="39">
        <v>44072678</v>
      </c>
      <c r="N515" s="37">
        <f t="shared" si="136"/>
        <v>3635572</v>
      </c>
      <c r="O515" s="40">
        <f t="shared" si="138"/>
        <v>1454229</v>
      </c>
      <c r="P515" s="41" t="s">
        <v>381</v>
      </c>
      <c r="Q515" s="55">
        <v>9021</v>
      </c>
      <c r="R515" s="42">
        <f t="shared" si="134"/>
        <v>2181343</v>
      </c>
      <c r="S515" s="55">
        <v>9022</v>
      </c>
      <c r="T515" s="55">
        <v>1881</v>
      </c>
      <c r="U515" s="55">
        <v>3256</v>
      </c>
      <c r="V515" s="34" t="s">
        <v>261</v>
      </c>
      <c r="W515" s="43">
        <v>45163</v>
      </c>
      <c r="X515" s="44" t="s">
        <v>414</v>
      </c>
    </row>
    <row r="516" spans="1:24" ht="17.45" customHeight="1" x14ac:dyDescent="0.25">
      <c r="A516" t="str">
        <f t="shared" si="142"/>
        <v>29109067204516314464286</v>
      </c>
      <c r="B516" s="6">
        <f t="shared" si="140"/>
        <v>45163</v>
      </c>
      <c r="C516" s="3">
        <f t="shared" si="141"/>
        <v>14464286</v>
      </c>
      <c r="D516" s="34">
        <v>2020</v>
      </c>
      <c r="E516" s="35" t="s">
        <v>415</v>
      </c>
      <c r="F516" s="36" t="s">
        <v>416</v>
      </c>
      <c r="G516" s="37">
        <v>135000000</v>
      </c>
      <c r="H516" s="37">
        <v>14464286</v>
      </c>
      <c r="I516" s="38">
        <f>H516/G516</f>
        <v>0.10714285925925926</v>
      </c>
      <c r="J516" s="38">
        <f t="shared" si="137"/>
        <v>0.12000000265481482</v>
      </c>
      <c r="K516" s="37">
        <v>135000000</v>
      </c>
      <c r="L516" s="37">
        <v>14464286</v>
      </c>
      <c r="M516" s="39">
        <v>0</v>
      </c>
      <c r="N516" s="37">
        <f t="shared" si="136"/>
        <v>14464286</v>
      </c>
      <c r="O516" s="40">
        <f t="shared" si="138"/>
        <v>5785714</v>
      </c>
      <c r="P516" s="41" t="s">
        <v>381</v>
      </c>
      <c r="Q516" s="55">
        <v>9023</v>
      </c>
      <c r="R516" s="42">
        <f t="shared" si="134"/>
        <v>8678572</v>
      </c>
      <c r="S516" s="55">
        <v>9024</v>
      </c>
      <c r="T516" s="55">
        <v>1882</v>
      </c>
      <c r="U516" s="55">
        <v>3255</v>
      </c>
      <c r="V516" s="34" t="s">
        <v>261</v>
      </c>
      <c r="W516" s="43">
        <v>45163</v>
      </c>
      <c r="X516" s="44" t="s">
        <v>417</v>
      </c>
    </row>
    <row r="517" spans="1:24" ht="17.45" customHeight="1" x14ac:dyDescent="0.25">
      <c r="A517" t="str">
        <f t="shared" si="142"/>
        <v>291090678845163295632374</v>
      </c>
      <c r="B517" s="6">
        <f t="shared" si="140"/>
        <v>45498</v>
      </c>
      <c r="C517" s="3">
        <f t="shared" si="141"/>
        <v>387879629.13729745</v>
      </c>
      <c r="D517" s="34">
        <v>2022</v>
      </c>
      <c r="E517" s="35">
        <v>2910906788</v>
      </c>
      <c r="F517" s="36" t="s">
        <v>270</v>
      </c>
      <c r="G517" s="37">
        <v>3667790640</v>
      </c>
      <c r="H517" s="37">
        <v>392977569</v>
      </c>
      <c r="I517" s="38">
        <f>H517/G517</f>
        <v>0.10714285725970445</v>
      </c>
      <c r="J517" s="38">
        <f t="shared" si="137"/>
        <v>0.12000000014657325</v>
      </c>
      <c r="K517" s="37">
        <v>2759235491</v>
      </c>
      <c r="L517" s="37">
        <f t="shared" ref="L517:L552" si="143">ROUND((+K517*I517),0)</f>
        <v>295632374</v>
      </c>
      <c r="M517" s="39">
        <f>L490</f>
        <v>273235807</v>
      </c>
      <c r="N517" s="37">
        <f t="shared" si="136"/>
        <v>22396567</v>
      </c>
      <c r="O517" s="40">
        <f t="shared" si="138"/>
        <v>8958627</v>
      </c>
      <c r="P517" s="41" t="s">
        <v>381</v>
      </c>
      <c r="Q517" s="55">
        <v>9025</v>
      </c>
      <c r="R517" s="42">
        <f t="shared" si="134"/>
        <v>13437940</v>
      </c>
      <c r="S517" s="55">
        <v>9026</v>
      </c>
      <c r="T517" s="55">
        <v>1883</v>
      </c>
      <c r="U517" s="55">
        <v>3257</v>
      </c>
      <c r="V517" s="34" t="s">
        <v>261</v>
      </c>
      <c r="W517" s="43">
        <v>45163</v>
      </c>
      <c r="X517" s="44" t="s">
        <v>418</v>
      </c>
    </row>
    <row r="518" spans="1:24" ht="17.45" customHeight="1" x14ac:dyDescent="0.25">
      <c r="A518" t="str">
        <f t="shared" si="142"/>
        <v>29109072344516317581340</v>
      </c>
      <c r="B518" s="6">
        <f t="shared" si="140"/>
        <v>45443</v>
      </c>
      <c r="C518" s="3">
        <f t="shared" si="141"/>
        <v>27321428.571428567</v>
      </c>
      <c r="D518" s="34">
        <v>2023</v>
      </c>
      <c r="E518" s="35">
        <v>2910907234</v>
      </c>
      <c r="F518" s="36" t="s">
        <v>396</v>
      </c>
      <c r="G518" s="37">
        <v>255000000</v>
      </c>
      <c r="H518" s="37">
        <v>27321429</v>
      </c>
      <c r="I518" s="38">
        <f t="shared" ref="I518:I537" si="144">+H518/G518</f>
        <v>0.1071428588235294</v>
      </c>
      <c r="J518" s="38">
        <f t="shared" si="137"/>
        <v>0.1200000021082353</v>
      </c>
      <c r="K518" s="37">
        <f>50490000+113602500</f>
        <v>164092500</v>
      </c>
      <c r="L518" s="37">
        <f t="shared" si="143"/>
        <v>17581340</v>
      </c>
      <c r="M518" s="39">
        <v>5409643</v>
      </c>
      <c r="N518" s="37">
        <f t="shared" si="136"/>
        <v>12171697</v>
      </c>
      <c r="O518" s="40">
        <f t="shared" si="138"/>
        <v>4868679</v>
      </c>
      <c r="P518" s="41" t="s">
        <v>381</v>
      </c>
      <c r="Q518" s="55">
        <v>9029</v>
      </c>
      <c r="R518" s="42">
        <f t="shared" si="134"/>
        <v>7303018</v>
      </c>
      <c r="S518" s="55">
        <v>9030</v>
      </c>
      <c r="T518" s="55">
        <v>1885</v>
      </c>
      <c r="U518" s="55">
        <v>3259</v>
      </c>
      <c r="V518" s="34" t="s">
        <v>261</v>
      </c>
      <c r="W518" s="43">
        <v>45163</v>
      </c>
      <c r="X518" s="44" t="s">
        <v>419</v>
      </c>
    </row>
    <row r="519" spans="1:24" ht="17.45" customHeight="1" x14ac:dyDescent="0.25">
      <c r="A519" t="str">
        <f t="shared" si="142"/>
        <v>29109072474516331976359</v>
      </c>
      <c r="B519" s="6">
        <f t="shared" si="140"/>
        <v>45281</v>
      </c>
      <c r="C519" s="3">
        <f t="shared" si="141"/>
        <v>63952717</v>
      </c>
      <c r="D519" s="34">
        <v>2023</v>
      </c>
      <c r="E519" s="35">
        <v>2910907247</v>
      </c>
      <c r="F519" s="36" t="s">
        <v>420</v>
      </c>
      <c r="G519" s="37">
        <v>797983995</v>
      </c>
      <c r="H519" s="37">
        <v>85498285</v>
      </c>
      <c r="I519" s="38">
        <f t="shared" si="144"/>
        <v>0.10714285691907893</v>
      </c>
      <c r="J519" s="38">
        <f t="shared" si="137"/>
        <v>0.11999999971929262</v>
      </c>
      <c r="K519" s="37">
        <v>298446014</v>
      </c>
      <c r="L519" s="37">
        <f t="shared" si="143"/>
        <v>31976359</v>
      </c>
      <c r="M519" s="39">
        <v>0</v>
      </c>
      <c r="N519" s="37">
        <f t="shared" si="136"/>
        <v>31976359</v>
      </c>
      <c r="O519" s="40">
        <f t="shared" si="138"/>
        <v>12790544</v>
      </c>
      <c r="P519" s="41" t="s">
        <v>381</v>
      </c>
      <c r="Q519" s="55">
        <v>9033</v>
      </c>
      <c r="R519" s="42">
        <f t="shared" si="134"/>
        <v>19185815</v>
      </c>
      <c r="S519" s="55">
        <v>9034</v>
      </c>
      <c r="T519" s="55">
        <v>1887</v>
      </c>
      <c r="U519" s="55">
        <v>3261</v>
      </c>
      <c r="V519" s="34" t="s">
        <v>261</v>
      </c>
      <c r="W519" s="43">
        <v>45163</v>
      </c>
      <c r="X519" s="44" t="s">
        <v>421</v>
      </c>
    </row>
    <row r="520" spans="1:24" ht="17.45" customHeight="1" x14ac:dyDescent="0.25">
      <c r="A520" t="str">
        <f t="shared" si="142"/>
        <v>29109072353057914</v>
      </c>
      <c r="B520" s="6">
        <f t="shared" si="140"/>
        <v>45467</v>
      </c>
      <c r="C520" s="3">
        <f t="shared" si="141"/>
        <v>20921469</v>
      </c>
      <c r="D520" s="34">
        <v>2023</v>
      </c>
      <c r="E520" s="35">
        <v>2910907235</v>
      </c>
      <c r="F520" s="36" t="s">
        <v>422</v>
      </c>
      <c r="G520" s="37">
        <v>195267045</v>
      </c>
      <c r="H520" s="37">
        <v>20921469</v>
      </c>
      <c r="I520" s="38">
        <f t="shared" si="144"/>
        <v>0.10714285659415801</v>
      </c>
      <c r="J520" s="38">
        <f t="shared" si="137"/>
        <v>0.11999999931171182</v>
      </c>
      <c r="K520" s="37">
        <v>28540531</v>
      </c>
      <c r="L520" s="37">
        <f t="shared" si="143"/>
        <v>3057914</v>
      </c>
      <c r="M520" s="39">
        <v>0</v>
      </c>
      <c r="N520" s="37">
        <f t="shared" si="136"/>
        <v>3057914</v>
      </c>
      <c r="O520" s="40">
        <f t="shared" si="138"/>
        <v>1223166</v>
      </c>
      <c r="P520" s="41" t="s">
        <v>381</v>
      </c>
      <c r="Q520" s="55">
        <v>9031</v>
      </c>
      <c r="R520" s="42">
        <f t="shared" si="134"/>
        <v>1834748</v>
      </c>
      <c r="S520" s="55">
        <v>9032</v>
      </c>
      <c r="T520" s="55">
        <v>1886</v>
      </c>
      <c r="U520" s="55">
        <v>3260</v>
      </c>
      <c r="V520" s="34"/>
      <c r="W520" s="43"/>
      <c r="X520" s="44"/>
    </row>
    <row r="521" spans="1:24" ht="17.45" customHeight="1" x14ac:dyDescent="0.25">
      <c r="A521" t="str">
        <f t="shared" si="142"/>
        <v>29109072114516366535750</v>
      </c>
      <c r="B521" s="6">
        <f t="shared" si="140"/>
        <v>45163</v>
      </c>
      <c r="C521" s="3">
        <f t="shared" si="141"/>
        <v>66535750</v>
      </c>
      <c r="D521" s="34">
        <v>2022</v>
      </c>
      <c r="E521" s="35">
        <v>2910907211</v>
      </c>
      <c r="F521" s="36" t="s">
        <v>343</v>
      </c>
      <c r="G521" s="37">
        <v>690000000</v>
      </c>
      <c r="H521" s="37">
        <v>73928571</v>
      </c>
      <c r="I521" s="38">
        <f t="shared" si="144"/>
        <v>0.10714285652173913</v>
      </c>
      <c r="J521" s="38">
        <f t="shared" si="137"/>
        <v>0.11999999922086957</v>
      </c>
      <c r="K521" s="37">
        <f>345000333+276000000</f>
        <v>621000333</v>
      </c>
      <c r="L521" s="37">
        <f t="shared" si="143"/>
        <v>66535750</v>
      </c>
      <c r="M521" s="39">
        <v>36964321</v>
      </c>
      <c r="N521" s="37">
        <f t="shared" si="136"/>
        <v>29571429</v>
      </c>
      <c r="O521" s="40">
        <f t="shared" si="138"/>
        <v>11828572</v>
      </c>
      <c r="P521" s="41" t="s">
        <v>381</v>
      </c>
      <c r="Q521" s="55">
        <v>9027</v>
      </c>
      <c r="R521" s="42">
        <f t="shared" si="134"/>
        <v>17742857</v>
      </c>
      <c r="S521" s="55">
        <v>9028</v>
      </c>
      <c r="T521" s="55">
        <v>1884</v>
      </c>
      <c r="U521" s="55">
        <v>3258</v>
      </c>
      <c r="V521" s="34" t="s">
        <v>261</v>
      </c>
      <c r="W521" s="43">
        <v>45163</v>
      </c>
      <c r="X521" s="44" t="s">
        <v>423</v>
      </c>
    </row>
    <row r="522" spans="1:24" ht="17.45" customHeight="1" x14ac:dyDescent="0.25">
      <c r="A522" t="str">
        <f t="shared" si="142"/>
        <v>2453018349451676851795</v>
      </c>
      <c r="B522" s="6">
        <f t="shared" si="140"/>
        <v>45433</v>
      </c>
      <c r="C522" s="3">
        <f t="shared" si="141"/>
        <v>275206500.04064482</v>
      </c>
      <c r="D522" s="34">
        <v>2023</v>
      </c>
      <c r="E522" s="35">
        <v>2453018349</v>
      </c>
      <c r="F522" s="36" t="s">
        <v>424</v>
      </c>
      <c r="G522" s="37">
        <v>2759044522</v>
      </c>
      <c r="H522" s="37">
        <v>295611913</v>
      </c>
      <c r="I522" s="38">
        <f t="shared" si="144"/>
        <v>0.10714285711696826</v>
      </c>
      <c r="J522" s="38">
        <f t="shared" si="137"/>
        <v>0.11999999996752499</v>
      </c>
      <c r="K522" s="37">
        <v>63950091</v>
      </c>
      <c r="L522" s="37">
        <f t="shared" si="143"/>
        <v>6851795</v>
      </c>
      <c r="M522" s="39">
        <v>0</v>
      </c>
      <c r="N522" s="37">
        <f t="shared" si="136"/>
        <v>6851795</v>
      </c>
      <c r="O522" s="40">
        <f t="shared" si="138"/>
        <v>2740718</v>
      </c>
      <c r="P522" s="41" t="s">
        <v>381</v>
      </c>
      <c r="Q522" s="55">
        <v>9095</v>
      </c>
      <c r="R522" s="42">
        <f t="shared" si="134"/>
        <v>4111077</v>
      </c>
      <c r="S522" s="55">
        <v>9096</v>
      </c>
      <c r="T522" s="55">
        <v>1902</v>
      </c>
      <c r="U522" s="55">
        <v>3270</v>
      </c>
      <c r="V522" s="34" t="s">
        <v>261</v>
      </c>
      <c r="W522" s="43">
        <v>45167</v>
      </c>
      <c r="X522" s="44" t="s">
        <v>425</v>
      </c>
    </row>
    <row r="523" spans="1:24" ht="17.45" customHeight="1" x14ac:dyDescent="0.25">
      <c r="A523" t="str">
        <f t="shared" si="142"/>
        <v>245301834045167357674390</v>
      </c>
      <c r="B523" s="6">
        <f t="shared" si="140"/>
        <v>45524</v>
      </c>
      <c r="C523" s="3">
        <f t="shared" si="141"/>
        <v>750720353.98835123</v>
      </c>
      <c r="D523" s="34">
        <v>2022</v>
      </c>
      <c r="E523" s="35">
        <v>2453018340</v>
      </c>
      <c r="F523" s="36" t="s">
        <v>320</v>
      </c>
      <c r="G523" s="37">
        <v>7253407050</v>
      </c>
      <c r="H523" s="37">
        <v>774054537</v>
      </c>
      <c r="I523" s="38">
        <f t="shared" si="144"/>
        <v>0.10671599314145758</v>
      </c>
      <c r="J523" s="38">
        <f t="shared" si="137"/>
        <v>0.11946479767028537</v>
      </c>
      <c r="K523" s="37">
        <v>3351647487</v>
      </c>
      <c r="L523" s="37">
        <f t="shared" si="143"/>
        <v>357674390</v>
      </c>
      <c r="M523" s="39">
        <v>311652970</v>
      </c>
      <c r="N523" s="37">
        <f t="shared" si="136"/>
        <v>46021420</v>
      </c>
      <c r="O523" s="40">
        <f t="shared" si="138"/>
        <v>18408568</v>
      </c>
      <c r="P523" s="41" t="s">
        <v>381</v>
      </c>
      <c r="Q523" s="55">
        <v>9089</v>
      </c>
      <c r="R523" s="42">
        <f t="shared" si="134"/>
        <v>27612852</v>
      </c>
      <c r="S523" s="55">
        <v>9090</v>
      </c>
      <c r="T523" s="55">
        <v>1899</v>
      </c>
      <c r="U523" s="55">
        <v>3267</v>
      </c>
      <c r="V523" s="34" t="s">
        <v>261</v>
      </c>
      <c r="W523" s="43">
        <v>45167</v>
      </c>
      <c r="X523" s="44" t="s">
        <v>425</v>
      </c>
    </row>
    <row r="524" spans="1:24" ht="17.45" customHeight="1" x14ac:dyDescent="0.25">
      <c r="A524" t="str">
        <f t="shared" si="142"/>
        <v>2453018348451673257143</v>
      </c>
      <c r="B524" s="6">
        <f t="shared" si="140"/>
        <v>45553</v>
      </c>
      <c r="C524" s="3">
        <f t="shared" si="141"/>
        <v>250867949.19596934</v>
      </c>
      <c r="D524" s="34">
        <v>2023</v>
      </c>
      <c r="E524" s="35">
        <v>2453018348</v>
      </c>
      <c r="F524" s="36" t="s">
        <v>426</v>
      </c>
      <c r="G524" s="37">
        <v>3529418400</v>
      </c>
      <c r="H524" s="37">
        <v>378151971</v>
      </c>
      <c r="I524" s="38">
        <f t="shared" si="144"/>
        <v>0.1071428570214288</v>
      </c>
      <c r="J524" s="38">
        <f t="shared" si="137"/>
        <v>0.11999999984768028</v>
      </c>
      <c r="K524" s="37">
        <v>30400000</v>
      </c>
      <c r="L524" s="37">
        <f t="shared" si="143"/>
        <v>3257143</v>
      </c>
      <c r="M524" s="39">
        <v>0</v>
      </c>
      <c r="N524" s="37">
        <f t="shared" si="136"/>
        <v>3257143</v>
      </c>
      <c r="O524" s="40">
        <f t="shared" si="138"/>
        <v>1302857</v>
      </c>
      <c r="P524" s="41" t="s">
        <v>381</v>
      </c>
      <c r="Q524" s="55">
        <v>9093</v>
      </c>
      <c r="R524" s="42">
        <f t="shared" si="134"/>
        <v>1954286</v>
      </c>
      <c r="S524" s="55">
        <v>9094</v>
      </c>
      <c r="T524" s="55">
        <v>1901</v>
      </c>
      <c r="U524" s="55">
        <v>3269</v>
      </c>
      <c r="V524" s="34" t="s">
        <v>261</v>
      </c>
      <c r="W524" s="43">
        <v>45167</v>
      </c>
      <c r="X524" s="44" t="s">
        <v>425</v>
      </c>
    </row>
    <row r="525" spans="1:24" ht="17.45" customHeight="1" x14ac:dyDescent="0.25">
      <c r="A525" t="str">
        <f t="shared" si="142"/>
        <v>24530183474516712467520</v>
      </c>
      <c r="B525" s="6">
        <f t="shared" si="140"/>
        <v>45730</v>
      </c>
      <c r="C525" s="3">
        <f t="shared" si="141"/>
        <v>227416985.11999634</v>
      </c>
      <c r="D525" s="34">
        <v>2023</v>
      </c>
      <c r="E525" s="35">
        <v>2453018347</v>
      </c>
      <c r="F525" s="36" t="s">
        <v>391</v>
      </c>
      <c r="G525" s="37">
        <v>1778543757</v>
      </c>
      <c r="H525" s="37">
        <v>213425250</v>
      </c>
      <c r="I525" s="38">
        <f t="shared" si="144"/>
        <v>0.1199999995277035</v>
      </c>
      <c r="J525" s="38">
        <f t="shared" si="137"/>
        <v>0.13636363575374935</v>
      </c>
      <c r="K525" s="37">
        <v>103896000</v>
      </c>
      <c r="L525" s="37">
        <f t="shared" si="143"/>
        <v>12467520</v>
      </c>
      <c r="M525" s="39">
        <v>3996000</v>
      </c>
      <c r="N525" s="37">
        <f t="shared" ref="N525:N539" si="145">+L525-M525</f>
        <v>8471520</v>
      </c>
      <c r="O525" s="40">
        <f t="shared" si="138"/>
        <v>3388608</v>
      </c>
      <c r="P525" s="41" t="s">
        <v>381</v>
      </c>
      <c r="Q525" s="55">
        <v>9091</v>
      </c>
      <c r="R525" s="42">
        <f t="shared" si="134"/>
        <v>5082912</v>
      </c>
      <c r="S525" s="55">
        <v>9092</v>
      </c>
      <c r="T525" s="55">
        <v>1900</v>
      </c>
      <c r="U525" s="55">
        <v>3268</v>
      </c>
      <c r="V525" s="34" t="s">
        <v>261</v>
      </c>
      <c r="W525" s="43">
        <v>45167</v>
      </c>
      <c r="X525" s="44" t="s">
        <v>280</v>
      </c>
    </row>
    <row r="526" spans="1:24" ht="17.45" customHeight="1" x14ac:dyDescent="0.25">
      <c r="A526" t="str">
        <f t="shared" si="142"/>
        <v>29109080814518323590468</v>
      </c>
      <c r="B526" s="6">
        <f t="shared" si="140"/>
        <v>45532</v>
      </c>
      <c r="C526" s="3">
        <f t="shared" si="141"/>
        <v>53635157</v>
      </c>
      <c r="D526" s="34">
        <v>2023</v>
      </c>
      <c r="E526" s="35">
        <v>2910908081</v>
      </c>
      <c r="F526" s="36" t="s">
        <v>427</v>
      </c>
      <c r="G526" s="37">
        <v>220177700</v>
      </c>
      <c r="H526" s="37">
        <v>23590468</v>
      </c>
      <c r="I526" s="38">
        <f t="shared" si="144"/>
        <v>0.10714285779168371</v>
      </c>
      <c r="J526" s="38">
        <f t="shared" si="137"/>
        <v>0.12000000081388805</v>
      </c>
      <c r="K526" s="37">
        <v>220177700</v>
      </c>
      <c r="L526" s="37">
        <f t="shared" si="143"/>
        <v>23590468</v>
      </c>
      <c r="M526" s="39">
        <v>0</v>
      </c>
      <c r="N526" s="37">
        <f t="shared" si="145"/>
        <v>23590468</v>
      </c>
      <c r="O526" s="40">
        <f t="shared" si="138"/>
        <v>9436187</v>
      </c>
      <c r="P526" s="41" t="s">
        <v>381</v>
      </c>
      <c r="Q526" s="55"/>
      <c r="R526" s="42">
        <f t="shared" si="134"/>
        <v>14154281</v>
      </c>
      <c r="S526" s="55"/>
      <c r="T526" s="55"/>
      <c r="U526" s="55"/>
      <c r="V526" s="34" t="s">
        <v>261</v>
      </c>
      <c r="W526" s="43">
        <v>45183</v>
      </c>
      <c r="X526" s="44" t="s">
        <v>428</v>
      </c>
    </row>
    <row r="527" spans="1:24" ht="17.45" customHeight="1" x14ac:dyDescent="0.25">
      <c r="A527" t="str">
        <f t="shared" si="142"/>
        <v>2910908082451834350000</v>
      </c>
      <c r="B527" s="6">
        <f t="shared" si="140"/>
        <v>45532</v>
      </c>
      <c r="C527" s="3">
        <f t="shared" si="141"/>
        <v>11005393</v>
      </c>
      <c r="D527" s="34">
        <v>2023</v>
      </c>
      <c r="E527" s="35">
        <v>2910908082</v>
      </c>
      <c r="F527" s="36" t="s">
        <v>429</v>
      </c>
      <c r="G527" s="37">
        <v>40600000</v>
      </c>
      <c r="H527" s="37">
        <v>4350000</v>
      </c>
      <c r="I527" s="38">
        <f t="shared" si="144"/>
        <v>0.10714285714285714</v>
      </c>
      <c r="J527" s="38">
        <f t="shared" ref="J527:J562" si="146">IFERROR((+H527/(G527-H527)),0)</f>
        <v>0.12</v>
      </c>
      <c r="K527" s="37">
        <v>40600000</v>
      </c>
      <c r="L527" s="37">
        <f t="shared" si="143"/>
        <v>4350000</v>
      </c>
      <c r="M527" s="39"/>
      <c r="N527" s="37">
        <f t="shared" si="145"/>
        <v>4350000</v>
      </c>
      <c r="O527" s="40">
        <f t="shared" si="138"/>
        <v>1740000</v>
      </c>
      <c r="P527" s="41" t="s">
        <v>381</v>
      </c>
      <c r="Q527" s="55"/>
      <c r="R527" s="42">
        <f t="shared" si="134"/>
        <v>2610000</v>
      </c>
      <c r="S527" s="55"/>
      <c r="T527" s="55"/>
      <c r="U527" s="55"/>
      <c r="V527" s="34" t="s">
        <v>261</v>
      </c>
      <c r="W527" s="43">
        <v>45183</v>
      </c>
      <c r="X527" s="44" t="s">
        <v>428</v>
      </c>
    </row>
    <row r="528" spans="1:24" ht="17.45" customHeight="1" x14ac:dyDescent="0.25">
      <c r="A528" t="str">
        <f t="shared" si="142"/>
        <v>245301834045183364335348</v>
      </c>
      <c r="B528" s="6">
        <f t="shared" si="140"/>
        <v>45524</v>
      </c>
      <c r="C528" s="3">
        <f t="shared" si="141"/>
        <v>750720353.98835123</v>
      </c>
      <c r="D528" s="34">
        <v>2022</v>
      </c>
      <c r="E528" s="35">
        <v>2453018340</v>
      </c>
      <c r="F528" s="36" t="s">
        <v>320</v>
      </c>
      <c r="G528" s="37">
        <v>7253407050</v>
      </c>
      <c r="H528" s="37">
        <v>774054537</v>
      </c>
      <c r="I528" s="38">
        <f t="shared" si="144"/>
        <v>0.10671599314145758</v>
      </c>
      <c r="J528" s="38">
        <f t="shared" si="146"/>
        <v>0.11946479767028537</v>
      </c>
      <c r="K528" s="37">
        <v>3414065105</v>
      </c>
      <c r="L528" s="37">
        <f t="shared" si="143"/>
        <v>364335348</v>
      </c>
      <c r="M528" s="39">
        <v>357674390</v>
      </c>
      <c r="N528" s="37">
        <f t="shared" si="145"/>
        <v>6660958</v>
      </c>
      <c r="O528" s="40">
        <f t="shared" si="138"/>
        <v>2664383</v>
      </c>
      <c r="P528" s="41" t="s">
        <v>381</v>
      </c>
      <c r="Q528" s="55"/>
      <c r="R528" s="42">
        <f t="shared" si="134"/>
        <v>3996575</v>
      </c>
      <c r="S528" s="55"/>
      <c r="T528" s="55"/>
      <c r="U528" s="55"/>
      <c r="V528" s="34" t="s">
        <v>261</v>
      </c>
      <c r="W528" s="43">
        <v>45183</v>
      </c>
      <c r="X528" s="44" t="s">
        <v>425</v>
      </c>
    </row>
    <row r="529" spans="1:24" ht="17.45" customHeight="1" x14ac:dyDescent="0.25">
      <c r="A529" t="str">
        <f t="shared" si="142"/>
        <v>24530183424518310834459</v>
      </c>
      <c r="B529" s="6">
        <f t="shared" si="140"/>
        <v>45621</v>
      </c>
      <c r="C529" s="3">
        <f t="shared" si="141"/>
        <v>55256697.428571425</v>
      </c>
      <c r="D529" s="34">
        <v>2023</v>
      </c>
      <c r="E529" s="35">
        <v>2453018342</v>
      </c>
      <c r="F529" s="36" t="s">
        <v>378</v>
      </c>
      <c r="G529" s="37">
        <v>452090000</v>
      </c>
      <c r="H529" s="37">
        <v>48438214</v>
      </c>
      <c r="I529" s="38">
        <f t="shared" si="144"/>
        <v>0.10714285651087173</v>
      </c>
      <c r="J529" s="38">
        <f t="shared" si="146"/>
        <v>0.1199999992072375</v>
      </c>
      <c r="K529" s="37">
        <v>101121622</v>
      </c>
      <c r="L529" s="37">
        <f t="shared" si="143"/>
        <v>10834459</v>
      </c>
      <c r="M529" s="39">
        <v>2905714</v>
      </c>
      <c r="N529" s="37">
        <f t="shared" si="145"/>
        <v>7928745</v>
      </c>
      <c r="O529" s="40">
        <f t="shared" ref="O529:O556" si="147">ROUND((N529*40%),0)</f>
        <v>3171498</v>
      </c>
      <c r="P529" s="41" t="s">
        <v>381</v>
      </c>
      <c r="Q529" s="55"/>
      <c r="R529" s="42">
        <f t="shared" si="134"/>
        <v>4757247</v>
      </c>
      <c r="S529" s="55"/>
      <c r="T529" s="55"/>
      <c r="U529" s="55"/>
      <c r="V529" s="34" t="s">
        <v>261</v>
      </c>
      <c r="W529" s="43">
        <v>45183</v>
      </c>
      <c r="X529" s="44" t="s">
        <v>280</v>
      </c>
    </row>
    <row r="530" spans="1:24" ht="17.45" customHeight="1" x14ac:dyDescent="0.25">
      <c r="A530" t="str">
        <f t="shared" si="142"/>
        <v>24530183474518316544102</v>
      </c>
      <c r="B530" s="6">
        <f t="shared" si="140"/>
        <v>45730</v>
      </c>
      <c r="C530" s="3">
        <f t="shared" si="141"/>
        <v>227416985.11999634</v>
      </c>
      <c r="D530" s="34">
        <v>2023</v>
      </c>
      <c r="E530" s="35">
        <v>2453018347</v>
      </c>
      <c r="F530" s="36" t="s">
        <v>391</v>
      </c>
      <c r="G530" s="37">
        <v>1778543757</v>
      </c>
      <c r="H530" s="37">
        <v>213425250</v>
      </c>
      <c r="I530" s="38">
        <f t="shared" si="144"/>
        <v>0.1199999995277035</v>
      </c>
      <c r="J530" s="38">
        <f t="shared" si="146"/>
        <v>0.13636363575374935</v>
      </c>
      <c r="K530" s="37">
        <v>137867520</v>
      </c>
      <c r="L530" s="37">
        <f t="shared" si="143"/>
        <v>16544102</v>
      </c>
      <c r="M530" s="39">
        <v>12467520</v>
      </c>
      <c r="N530" s="37">
        <f t="shared" si="145"/>
        <v>4076582</v>
      </c>
      <c r="O530" s="40">
        <f t="shared" si="147"/>
        <v>1630633</v>
      </c>
      <c r="P530" s="41" t="s">
        <v>381</v>
      </c>
      <c r="Q530" s="55"/>
      <c r="R530" s="42">
        <f t="shared" si="134"/>
        <v>2445949</v>
      </c>
      <c r="S530" s="55"/>
      <c r="T530" s="55"/>
      <c r="U530" s="55"/>
      <c r="V530" s="34" t="s">
        <v>261</v>
      </c>
      <c r="W530" s="43">
        <v>45183</v>
      </c>
      <c r="X530" s="44" t="s">
        <v>280</v>
      </c>
    </row>
    <row r="531" spans="1:24" ht="17.45" customHeight="1" x14ac:dyDescent="0.25">
      <c r="A531" t="str">
        <f t="shared" si="142"/>
        <v>2453018348451835675051</v>
      </c>
      <c r="B531" s="6">
        <f t="shared" si="140"/>
        <v>45553</v>
      </c>
      <c r="C531" s="3">
        <f t="shared" si="141"/>
        <v>250867949.19596934</v>
      </c>
      <c r="D531" s="34">
        <v>2023</v>
      </c>
      <c r="E531" s="35">
        <v>2453018348</v>
      </c>
      <c r="F531" s="36" t="s">
        <v>426</v>
      </c>
      <c r="G531" s="37">
        <v>3529418400</v>
      </c>
      <c r="H531" s="37">
        <v>378151971</v>
      </c>
      <c r="I531" s="38">
        <f t="shared" si="144"/>
        <v>0.1071428570214288</v>
      </c>
      <c r="J531" s="38">
        <f t="shared" si="146"/>
        <v>0.11999999984768028</v>
      </c>
      <c r="K531" s="37">
        <v>52967143</v>
      </c>
      <c r="L531" s="37">
        <f t="shared" si="143"/>
        <v>5675051</v>
      </c>
      <c r="M531" s="39">
        <v>3257143</v>
      </c>
      <c r="N531" s="37">
        <f t="shared" si="145"/>
        <v>2417908</v>
      </c>
      <c r="O531" s="40">
        <f t="shared" si="147"/>
        <v>967163</v>
      </c>
      <c r="P531" s="41" t="s">
        <v>381</v>
      </c>
      <c r="Q531" s="55"/>
      <c r="R531" s="42">
        <f t="shared" si="134"/>
        <v>1450745</v>
      </c>
      <c r="S531" s="55"/>
      <c r="T531" s="55"/>
      <c r="U531" s="55"/>
      <c r="V531" s="34" t="s">
        <v>261</v>
      </c>
      <c r="W531" s="43">
        <v>45183</v>
      </c>
      <c r="X531" s="44" t="s">
        <v>425</v>
      </c>
    </row>
    <row r="532" spans="1:24" ht="17.45" customHeight="1" x14ac:dyDescent="0.25">
      <c r="A532" t="str">
        <f t="shared" si="142"/>
        <v>24530183494518313264488</v>
      </c>
      <c r="B532" s="6">
        <f t="shared" si="140"/>
        <v>45433</v>
      </c>
      <c r="C532" s="3">
        <f t="shared" si="141"/>
        <v>275206500.04064482</v>
      </c>
      <c r="D532" s="34">
        <v>2023</v>
      </c>
      <c r="E532" s="35">
        <v>2453018349</v>
      </c>
      <c r="F532" s="36" t="s">
        <v>424</v>
      </c>
      <c r="G532" s="37">
        <v>2759044522</v>
      </c>
      <c r="H532" s="37">
        <v>295611913</v>
      </c>
      <c r="I532" s="38">
        <f t="shared" si="144"/>
        <v>0.10714285711696826</v>
      </c>
      <c r="J532" s="38">
        <f t="shared" si="146"/>
        <v>0.11999999996752499</v>
      </c>
      <c r="K532" s="37">
        <v>123801886</v>
      </c>
      <c r="L532" s="37">
        <f t="shared" si="143"/>
        <v>13264488</v>
      </c>
      <c r="M532" s="39">
        <v>6851795</v>
      </c>
      <c r="N532" s="37">
        <f t="shared" si="145"/>
        <v>6412693</v>
      </c>
      <c r="O532" s="40">
        <f t="shared" si="147"/>
        <v>2565077</v>
      </c>
      <c r="P532" s="41" t="s">
        <v>381</v>
      </c>
      <c r="Q532" s="55"/>
      <c r="R532" s="42">
        <f t="shared" si="134"/>
        <v>3847616</v>
      </c>
      <c r="S532" s="55"/>
      <c r="T532" s="55"/>
      <c r="U532" s="55"/>
      <c r="V532" s="34" t="s">
        <v>261</v>
      </c>
      <c r="W532" s="43">
        <v>45183</v>
      </c>
      <c r="X532" s="44" t="s">
        <v>425</v>
      </c>
    </row>
    <row r="533" spans="1:24" ht="17.45" customHeight="1" x14ac:dyDescent="0.25">
      <c r="A533" t="str">
        <f t="shared" si="142"/>
        <v>24530183514518313587832</v>
      </c>
      <c r="B533" s="6">
        <f t="shared" si="140"/>
        <v>45433</v>
      </c>
      <c r="C533" s="3">
        <f t="shared" si="141"/>
        <v>128964400.14361468</v>
      </c>
      <c r="D533" s="34">
        <v>2023</v>
      </c>
      <c r="E533" s="35">
        <v>2453018351</v>
      </c>
      <c r="F533" s="36" t="s">
        <v>430</v>
      </c>
      <c r="G533" s="37">
        <v>1229752235</v>
      </c>
      <c r="H533" s="37">
        <v>131759168</v>
      </c>
      <c r="I533" s="38">
        <f t="shared" si="144"/>
        <v>0.10714285711381528</v>
      </c>
      <c r="J533" s="38">
        <f t="shared" si="146"/>
        <v>0.1199999999635699</v>
      </c>
      <c r="K533" s="37">
        <v>126819763</v>
      </c>
      <c r="L533" s="37">
        <f t="shared" si="143"/>
        <v>13587832</v>
      </c>
      <c r="M533" s="39">
        <v>0</v>
      </c>
      <c r="N533" s="37">
        <f t="shared" si="145"/>
        <v>13587832</v>
      </c>
      <c r="O533" s="40">
        <f t="shared" si="147"/>
        <v>5435133</v>
      </c>
      <c r="P533" s="41" t="s">
        <v>381</v>
      </c>
      <c r="Q533" s="55"/>
      <c r="R533" s="42">
        <f t="shared" si="134"/>
        <v>8152699</v>
      </c>
      <c r="S533" s="55"/>
      <c r="T533" s="55"/>
      <c r="U533" s="55"/>
      <c r="V533" s="34" t="s">
        <v>261</v>
      </c>
      <c r="W533" s="43">
        <v>45183</v>
      </c>
      <c r="X533" s="44" t="s">
        <v>425</v>
      </c>
    </row>
    <row r="534" spans="1:24" ht="17.45" customHeight="1" x14ac:dyDescent="0.25">
      <c r="A534" t="str">
        <f t="shared" si="142"/>
        <v>29109072364518316827857</v>
      </c>
      <c r="B534" s="6">
        <f t="shared" si="140"/>
        <v>45771</v>
      </c>
      <c r="C534" s="3">
        <f t="shared" si="141"/>
        <v>84139286</v>
      </c>
      <c r="D534" s="34">
        <v>2023</v>
      </c>
      <c r="E534" s="35">
        <v>2910907236</v>
      </c>
      <c r="F534" s="36" t="s">
        <v>431</v>
      </c>
      <c r="G534" s="37">
        <v>785300000</v>
      </c>
      <c r="H534" s="37">
        <v>84139286</v>
      </c>
      <c r="I534" s="38">
        <f t="shared" si="144"/>
        <v>0.10714285750668534</v>
      </c>
      <c r="J534" s="38">
        <f t="shared" si="146"/>
        <v>0.12000000045638609</v>
      </c>
      <c r="K534" s="37">
        <v>157060000</v>
      </c>
      <c r="L534" s="37">
        <f t="shared" si="143"/>
        <v>16827857</v>
      </c>
      <c r="M534" s="39">
        <v>0</v>
      </c>
      <c r="N534" s="37">
        <f t="shared" si="145"/>
        <v>16827857</v>
      </c>
      <c r="O534" s="40">
        <f t="shared" si="147"/>
        <v>6731143</v>
      </c>
      <c r="P534" s="41" t="s">
        <v>381</v>
      </c>
      <c r="Q534" s="55"/>
      <c r="R534" s="42">
        <f t="shared" si="134"/>
        <v>10096714</v>
      </c>
      <c r="S534" s="55"/>
      <c r="T534" s="55"/>
      <c r="U534" s="55"/>
      <c r="V534" s="34" t="s">
        <v>261</v>
      </c>
      <c r="W534" s="43">
        <v>45183</v>
      </c>
      <c r="X534" s="44" t="s">
        <v>432</v>
      </c>
    </row>
    <row r="535" spans="1:24" ht="17.45" customHeight="1" x14ac:dyDescent="0.25">
      <c r="A535" t="str">
        <f t="shared" si="142"/>
        <v>29109072294518319047090</v>
      </c>
      <c r="B535" s="6">
        <f t="shared" si="140"/>
        <v>45498</v>
      </c>
      <c r="C535" s="3">
        <f t="shared" si="141"/>
        <v>169192109.99999997</v>
      </c>
      <c r="D535" s="34">
        <v>2023</v>
      </c>
      <c r="E535" s="35">
        <v>2910907229</v>
      </c>
      <c r="F535" s="36" t="s">
        <v>433</v>
      </c>
      <c r="G535" s="37">
        <v>1995501200</v>
      </c>
      <c r="H535" s="37">
        <v>213803700</v>
      </c>
      <c r="I535" s="38">
        <f t="shared" si="144"/>
        <v>0.10714285714285714</v>
      </c>
      <c r="J535" s="38">
        <f t="shared" si="146"/>
        <v>0.12</v>
      </c>
      <c r="K535" s="37">
        <v>177772840</v>
      </c>
      <c r="L535" s="37">
        <f t="shared" si="143"/>
        <v>19047090</v>
      </c>
      <c r="M535" s="39">
        <v>0</v>
      </c>
      <c r="N535" s="37">
        <f t="shared" si="145"/>
        <v>19047090</v>
      </c>
      <c r="O535" s="40">
        <f t="shared" si="147"/>
        <v>7618836</v>
      </c>
      <c r="P535" s="41" t="s">
        <v>381</v>
      </c>
      <c r="Q535" s="55"/>
      <c r="R535" s="42">
        <f t="shared" si="134"/>
        <v>11428254</v>
      </c>
      <c r="S535" s="55"/>
      <c r="T535" s="55"/>
      <c r="U535" s="55"/>
      <c r="V535" s="34" t="s">
        <v>261</v>
      </c>
      <c r="W535" s="43">
        <v>45183</v>
      </c>
      <c r="X535" s="44" t="s">
        <v>434</v>
      </c>
    </row>
    <row r="536" spans="1:24" ht="17.45" customHeight="1" x14ac:dyDescent="0.25">
      <c r="A536" t="str">
        <f t="shared" si="142"/>
        <v>29109072124518471601429</v>
      </c>
      <c r="B536" s="6">
        <f t="shared" si="140"/>
        <v>45244</v>
      </c>
      <c r="C536" s="3">
        <f t="shared" si="141"/>
        <v>89501786</v>
      </c>
      <c r="D536" s="34">
        <v>2022</v>
      </c>
      <c r="E536" s="35">
        <v>2910907212</v>
      </c>
      <c r="F536" s="36" t="s">
        <v>316</v>
      </c>
      <c r="G536" s="37">
        <v>835350000</v>
      </c>
      <c r="H536" s="37">
        <v>89501786</v>
      </c>
      <c r="I536" s="38">
        <f t="shared" si="144"/>
        <v>0.10714285748488657</v>
      </c>
      <c r="J536" s="38">
        <f t="shared" si="146"/>
        <v>0.12000000042904171</v>
      </c>
      <c r="K536" s="37">
        <f>417675000+83535000+83535000+83535000</f>
        <v>668280000</v>
      </c>
      <c r="L536" s="37">
        <f t="shared" si="143"/>
        <v>71601429</v>
      </c>
      <c r="M536" s="39">
        <v>62651250</v>
      </c>
      <c r="N536" s="37">
        <f t="shared" si="145"/>
        <v>8950179</v>
      </c>
      <c r="O536" s="40">
        <f t="shared" si="147"/>
        <v>3580072</v>
      </c>
      <c r="P536" s="41" t="s">
        <v>381</v>
      </c>
      <c r="Q536" s="55"/>
      <c r="R536" s="42">
        <f t="shared" si="134"/>
        <v>5370107</v>
      </c>
      <c r="S536" s="55"/>
      <c r="T536" s="55"/>
      <c r="U536" s="55"/>
      <c r="V536" s="34" t="s">
        <v>261</v>
      </c>
      <c r="W536" s="43">
        <v>45184</v>
      </c>
      <c r="X536" s="44" t="s">
        <v>435</v>
      </c>
    </row>
    <row r="537" spans="1:24" ht="17.45" customHeight="1" x14ac:dyDescent="0.25">
      <c r="A537" t="str">
        <f t="shared" si="142"/>
        <v>29109072214518423166283</v>
      </c>
      <c r="B537" s="6">
        <f t="shared" si="140"/>
        <v>45742</v>
      </c>
      <c r="C537" s="3">
        <f t="shared" si="141"/>
        <v>25740314.108714286</v>
      </c>
      <c r="D537" s="34">
        <v>2023</v>
      </c>
      <c r="E537" s="35">
        <v>2910907221</v>
      </c>
      <c r="F537" s="36" t="s">
        <v>330</v>
      </c>
      <c r="G537" s="37">
        <v>242915000</v>
      </c>
      <c r="H537" s="37">
        <v>26026607</v>
      </c>
      <c r="I537" s="38">
        <f t="shared" si="144"/>
        <v>0.10714285655476195</v>
      </c>
      <c r="J537" s="38">
        <f t="shared" si="146"/>
        <v>0.11999999926229339</v>
      </c>
      <c r="K537" s="37">
        <f>144145760+72072880</f>
        <v>216218640</v>
      </c>
      <c r="L537" s="37">
        <f t="shared" si="143"/>
        <v>23166283</v>
      </c>
      <c r="M537" s="39">
        <v>15444188</v>
      </c>
      <c r="N537" s="37">
        <f t="shared" si="145"/>
        <v>7722095</v>
      </c>
      <c r="O537" s="40">
        <f t="shared" si="147"/>
        <v>3088838</v>
      </c>
      <c r="P537" s="41" t="s">
        <v>381</v>
      </c>
      <c r="Q537" s="55"/>
      <c r="R537" s="42">
        <f t="shared" si="134"/>
        <v>4633257</v>
      </c>
      <c r="S537" s="55"/>
      <c r="T537" s="55"/>
      <c r="U537" s="55"/>
      <c r="V537" s="34" t="s">
        <v>261</v>
      </c>
      <c r="W537" s="43">
        <v>45184</v>
      </c>
      <c r="X537" s="44" t="s">
        <v>436</v>
      </c>
    </row>
    <row r="538" spans="1:24" ht="17.45" customHeight="1" x14ac:dyDescent="0.25">
      <c r="A538" t="str">
        <f t="shared" si="142"/>
        <v>2910907230451843124286</v>
      </c>
      <c r="B538" s="6">
        <f t="shared" si="140"/>
        <v>45316</v>
      </c>
      <c r="C538" s="3">
        <f t="shared" si="141"/>
        <v>6595714</v>
      </c>
      <c r="D538" s="34">
        <v>2023</v>
      </c>
      <c r="E538" s="35">
        <v>2910907230</v>
      </c>
      <c r="F538" s="36" t="s">
        <v>399</v>
      </c>
      <c r="G538" s="37">
        <v>56700000</v>
      </c>
      <c r="H538" s="37">
        <v>6075000</v>
      </c>
      <c r="I538" s="38">
        <f>H538/G538</f>
        <v>0.10714285714285714</v>
      </c>
      <c r="J538" s="38">
        <f t="shared" si="146"/>
        <v>0.12</v>
      </c>
      <c r="K538" s="37">
        <f>21060000+8100000</f>
        <v>29160000</v>
      </c>
      <c r="L538" s="37">
        <f t="shared" si="143"/>
        <v>3124286</v>
      </c>
      <c r="M538" s="39">
        <v>2256429</v>
      </c>
      <c r="N538" s="37">
        <f t="shared" si="145"/>
        <v>867857</v>
      </c>
      <c r="O538" s="40">
        <f t="shared" si="147"/>
        <v>347143</v>
      </c>
      <c r="P538" s="41" t="s">
        <v>381</v>
      </c>
      <c r="Q538" s="55"/>
      <c r="R538" s="42">
        <f t="shared" si="134"/>
        <v>520714</v>
      </c>
      <c r="S538" s="55"/>
      <c r="T538" s="55"/>
      <c r="U538" s="55"/>
      <c r="V538" s="34" t="s">
        <v>261</v>
      </c>
      <c r="W538" s="43">
        <v>45184</v>
      </c>
      <c r="X538" s="44" t="s">
        <v>437</v>
      </c>
    </row>
    <row r="539" spans="1:24" ht="17.45" customHeight="1" x14ac:dyDescent="0.25">
      <c r="A539" t="str">
        <f t="shared" si="142"/>
        <v>29109072434518419821429</v>
      </c>
      <c r="B539" s="6">
        <f t="shared" si="140"/>
        <v>45195</v>
      </c>
      <c r="C539" s="3">
        <f t="shared" si="141"/>
        <v>39642857</v>
      </c>
      <c r="D539" s="34">
        <v>2023</v>
      </c>
      <c r="E539" s="35">
        <v>2910907243</v>
      </c>
      <c r="F539" s="36" t="s">
        <v>438</v>
      </c>
      <c r="G539" s="37">
        <v>370000000</v>
      </c>
      <c r="H539" s="37">
        <v>39642857</v>
      </c>
      <c r="I539" s="38">
        <f>H539/G539</f>
        <v>0.10714285675675676</v>
      </c>
      <c r="J539" s="38">
        <f t="shared" si="146"/>
        <v>0.11999999951567568</v>
      </c>
      <c r="K539" s="37">
        <v>185000000</v>
      </c>
      <c r="L539" s="37">
        <f t="shared" si="143"/>
        <v>19821429</v>
      </c>
      <c r="M539" s="39"/>
      <c r="N539" s="37">
        <f t="shared" si="145"/>
        <v>19821429</v>
      </c>
      <c r="O539" s="40">
        <f t="shared" si="147"/>
        <v>7928572</v>
      </c>
      <c r="P539" s="41" t="s">
        <v>381</v>
      </c>
      <c r="Q539" s="55"/>
      <c r="R539" s="42">
        <f t="shared" si="134"/>
        <v>11892857</v>
      </c>
      <c r="S539" s="55"/>
      <c r="T539" s="55"/>
      <c r="U539" s="55"/>
      <c r="V539" s="34" t="s">
        <v>261</v>
      </c>
      <c r="W539" s="43">
        <v>45184</v>
      </c>
      <c r="X539" s="44" t="s">
        <v>439</v>
      </c>
    </row>
    <row r="540" spans="1:24" ht="17.45" customHeight="1" x14ac:dyDescent="0.25">
      <c r="A540" t="str">
        <f t="shared" si="142"/>
        <v>2910905946451877470000</v>
      </c>
      <c r="B540" s="6">
        <f t="shared" si="140"/>
        <v>45187</v>
      </c>
      <c r="C540" s="3">
        <f t="shared" si="141"/>
        <v>7470000</v>
      </c>
      <c r="D540" s="34">
        <v>2014</v>
      </c>
      <c r="E540" s="35">
        <v>2910905946</v>
      </c>
      <c r="F540" s="36" t="s">
        <v>440</v>
      </c>
      <c r="G540" s="37">
        <v>69720000</v>
      </c>
      <c r="H540" s="37">
        <v>7470000</v>
      </c>
      <c r="I540" s="38">
        <f>H540/G540</f>
        <v>0.10714285714285714</v>
      </c>
      <c r="J540" s="38">
        <f t="shared" si="146"/>
        <v>0.12</v>
      </c>
      <c r="K540" s="37">
        <v>69720000</v>
      </c>
      <c r="L540" s="37">
        <f t="shared" si="143"/>
        <v>7470000</v>
      </c>
      <c r="M540" s="39">
        <v>5220000</v>
      </c>
      <c r="N540" s="37">
        <f>L540-M540</f>
        <v>2250000</v>
      </c>
      <c r="O540" s="40">
        <f t="shared" si="147"/>
        <v>900000</v>
      </c>
      <c r="P540" s="41" t="s">
        <v>381</v>
      </c>
      <c r="Q540" s="55"/>
      <c r="R540" s="42">
        <f t="shared" si="134"/>
        <v>1350000</v>
      </c>
      <c r="S540" s="55"/>
      <c r="T540" s="55"/>
      <c r="U540" s="55"/>
      <c r="V540" s="34" t="s">
        <v>261</v>
      </c>
      <c r="W540" s="43">
        <v>45187</v>
      </c>
      <c r="X540" s="44" t="s">
        <v>441</v>
      </c>
    </row>
    <row r="541" spans="1:24" ht="17.45" customHeight="1" x14ac:dyDescent="0.25">
      <c r="A541" t="str">
        <f t="shared" si="142"/>
        <v>291090722345187605480294</v>
      </c>
      <c r="B541" s="6">
        <f t="shared" si="140"/>
        <v>45225</v>
      </c>
      <c r="C541" s="3">
        <f t="shared" si="141"/>
        <v>1161182642</v>
      </c>
      <c r="D541" s="34">
        <v>2023</v>
      </c>
      <c r="E541" s="35">
        <v>2910907223</v>
      </c>
      <c r="F541" s="36" t="s">
        <v>321</v>
      </c>
      <c r="G541" s="37">
        <v>11000088770</v>
      </c>
      <c r="H541" s="37">
        <v>1178580940</v>
      </c>
      <c r="I541" s="38">
        <f>+H541/G541</f>
        <v>0.10714285717532442</v>
      </c>
      <c r="J541" s="38">
        <f t="shared" si="146"/>
        <v>0.12000000004072695</v>
      </c>
      <c r="K541" s="37">
        <f>3636232483+953539704+1061377219</f>
        <v>5651149406</v>
      </c>
      <c r="L541" s="37">
        <f t="shared" si="143"/>
        <v>605480294</v>
      </c>
      <c r="M541" s="39">
        <v>389596338</v>
      </c>
      <c r="N541" s="37">
        <f t="shared" ref="N541:N572" si="148">+L541-M541</f>
        <v>215883956</v>
      </c>
      <c r="O541" s="40">
        <f t="shared" si="147"/>
        <v>86353582</v>
      </c>
      <c r="P541" s="41" t="s">
        <v>381</v>
      </c>
      <c r="Q541" s="55"/>
      <c r="R541" s="42">
        <f t="shared" si="134"/>
        <v>129530374</v>
      </c>
      <c r="S541" s="55"/>
      <c r="T541" s="55"/>
      <c r="U541" s="55"/>
      <c r="V541" s="34" t="s">
        <v>261</v>
      </c>
      <c r="W541" s="43">
        <v>45187</v>
      </c>
      <c r="X541" s="44" t="s">
        <v>442</v>
      </c>
    </row>
    <row r="542" spans="1:24" ht="17.45" customHeight="1" x14ac:dyDescent="0.25">
      <c r="A542" t="str">
        <f t="shared" si="142"/>
        <v>29109072434519539642857</v>
      </c>
      <c r="B542" s="6">
        <f t="shared" si="140"/>
        <v>45195</v>
      </c>
      <c r="C542" s="3">
        <f t="shared" si="141"/>
        <v>39642857</v>
      </c>
      <c r="D542" s="34">
        <v>2023</v>
      </c>
      <c r="E542" s="35">
        <v>2910907243</v>
      </c>
      <c r="F542" s="36" t="s">
        <v>438</v>
      </c>
      <c r="G542" s="37">
        <v>370000000</v>
      </c>
      <c r="H542" s="37">
        <v>39642857</v>
      </c>
      <c r="I542" s="38">
        <f>H542/G542</f>
        <v>0.10714285675675676</v>
      </c>
      <c r="J542" s="38">
        <f t="shared" si="146"/>
        <v>0.11999999951567568</v>
      </c>
      <c r="K542" s="37">
        <f>185000000+185000000</f>
        <v>370000000</v>
      </c>
      <c r="L542" s="37">
        <f t="shared" si="143"/>
        <v>39642857</v>
      </c>
      <c r="M542" s="39">
        <v>19821429</v>
      </c>
      <c r="N542" s="37">
        <f t="shared" si="148"/>
        <v>19821428</v>
      </c>
      <c r="O542" s="40">
        <f t="shared" si="147"/>
        <v>7928571</v>
      </c>
      <c r="P542" s="41" t="s">
        <v>381</v>
      </c>
      <c r="Q542" s="55"/>
      <c r="R542" s="42">
        <f t="shared" si="134"/>
        <v>11892857</v>
      </c>
      <c r="S542" s="55"/>
      <c r="T542" s="55"/>
      <c r="U542" s="55"/>
      <c r="V542" s="34" t="s">
        <v>261</v>
      </c>
      <c r="W542" s="43">
        <v>45195</v>
      </c>
      <c r="X542" s="44" t="s">
        <v>443</v>
      </c>
    </row>
    <row r="543" spans="1:24" ht="17.45" customHeight="1" x14ac:dyDescent="0.25">
      <c r="A543" t="str">
        <f t="shared" si="142"/>
        <v>291090678845198318887985</v>
      </c>
      <c r="B543" s="6">
        <f t="shared" si="140"/>
        <v>45498</v>
      </c>
      <c r="C543" s="3">
        <f t="shared" si="141"/>
        <v>387879629.13729745</v>
      </c>
      <c r="D543" s="34">
        <v>2022</v>
      </c>
      <c r="E543" s="35">
        <v>2910906788</v>
      </c>
      <c r="F543" s="36" t="s">
        <v>270</v>
      </c>
      <c r="G543" s="37">
        <v>3667790640</v>
      </c>
      <c r="H543" s="37">
        <v>392977569</v>
      </c>
      <c r="I543" s="38">
        <f>H543/G543</f>
        <v>0.10714285725970445</v>
      </c>
      <c r="J543" s="38">
        <f t="shared" si="146"/>
        <v>0.12000000014657325</v>
      </c>
      <c r="K543" s="37">
        <f>2759235491+217052364</f>
        <v>2976287855</v>
      </c>
      <c r="L543" s="37">
        <f t="shared" si="143"/>
        <v>318887985</v>
      </c>
      <c r="M543" s="39">
        <v>295632374</v>
      </c>
      <c r="N543" s="37">
        <f t="shared" si="148"/>
        <v>23255611</v>
      </c>
      <c r="O543" s="40">
        <f t="shared" si="147"/>
        <v>9302244</v>
      </c>
      <c r="P543" s="41" t="s">
        <v>381</v>
      </c>
      <c r="Q543" s="55"/>
      <c r="R543" s="42">
        <f t="shared" si="134"/>
        <v>13953367</v>
      </c>
      <c r="S543" s="55"/>
      <c r="T543" s="55"/>
      <c r="U543" s="55"/>
      <c r="V543" s="34" t="s">
        <v>261</v>
      </c>
      <c r="W543" s="43">
        <v>45198</v>
      </c>
      <c r="X543" s="44" t="s">
        <v>444</v>
      </c>
    </row>
    <row r="544" spans="1:24" ht="17.45" customHeight="1" x14ac:dyDescent="0.25">
      <c r="A544" t="str">
        <f t="shared" si="142"/>
        <v>29109067974519527968302</v>
      </c>
      <c r="B544" s="6">
        <f t="shared" si="140"/>
        <v>45195</v>
      </c>
      <c r="C544" s="3">
        <f t="shared" si="141"/>
        <v>27968302</v>
      </c>
      <c r="D544" s="34">
        <v>2022</v>
      </c>
      <c r="E544" s="35">
        <v>2910906797</v>
      </c>
      <c r="F544" s="36" t="s">
        <v>329</v>
      </c>
      <c r="G544" s="37">
        <v>349990900</v>
      </c>
      <c r="H544" s="37">
        <v>37499025</v>
      </c>
      <c r="I544" s="38">
        <f>H544/G544</f>
        <v>0.10714285714285714</v>
      </c>
      <c r="J544" s="38">
        <f t="shared" si="146"/>
        <v>0.12</v>
      </c>
      <c r="K544" s="37">
        <f>91347625+169689856</f>
        <v>261037481</v>
      </c>
      <c r="L544" s="37">
        <f t="shared" si="143"/>
        <v>27968302</v>
      </c>
      <c r="M544" s="39">
        <v>9787246</v>
      </c>
      <c r="N544" s="37">
        <f t="shared" si="148"/>
        <v>18181056</v>
      </c>
      <c r="O544" s="40">
        <f t="shared" si="147"/>
        <v>7272422</v>
      </c>
      <c r="P544" s="41" t="s">
        <v>381</v>
      </c>
      <c r="Q544" s="55"/>
      <c r="R544" s="42">
        <f t="shared" si="134"/>
        <v>10908634</v>
      </c>
      <c r="S544" s="55"/>
      <c r="T544" s="55"/>
      <c r="U544" s="55"/>
      <c r="V544" s="34" t="s">
        <v>261</v>
      </c>
      <c r="W544" s="43">
        <v>45195</v>
      </c>
      <c r="X544" s="44" t="s">
        <v>445</v>
      </c>
    </row>
    <row r="545" spans="1:24" ht="17.45" customHeight="1" x14ac:dyDescent="0.25">
      <c r="A545" t="str">
        <f t="shared" si="142"/>
        <v>29109072244519510327110</v>
      </c>
      <c r="B545" s="6">
        <f t="shared" si="140"/>
        <v>45316</v>
      </c>
      <c r="C545" s="3">
        <f t="shared" si="141"/>
        <v>19784544</v>
      </c>
      <c r="D545" s="34">
        <v>2023</v>
      </c>
      <c r="E545" s="35">
        <v>2910907224</v>
      </c>
      <c r="F545" s="36" t="s">
        <v>374</v>
      </c>
      <c r="G545" s="37">
        <v>153881691</v>
      </c>
      <c r="H545" s="37">
        <v>16487324</v>
      </c>
      <c r="I545" s="38">
        <f t="shared" ref="I545:I562" si="149">+H545/G545</f>
        <v>0.1071428569107679</v>
      </c>
      <c r="J545" s="38">
        <f t="shared" si="146"/>
        <v>0.11999999970886725</v>
      </c>
      <c r="K545" s="37">
        <f>48193181+48193181</f>
        <v>96386362</v>
      </c>
      <c r="L545" s="37">
        <f t="shared" si="143"/>
        <v>10327110</v>
      </c>
      <c r="M545" s="39">
        <f>L476</f>
        <v>5163555</v>
      </c>
      <c r="N545" s="37">
        <f t="shared" si="148"/>
        <v>5163555</v>
      </c>
      <c r="O545" s="40">
        <f t="shared" si="147"/>
        <v>2065422</v>
      </c>
      <c r="P545" s="41" t="s">
        <v>381</v>
      </c>
      <c r="Q545" s="55"/>
      <c r="R545" s="42">
        <f t="shared" si="134"/>
        <v>3098133</v>
      </c>
      <c r="S545" s="55"/>
      <c r="T545" s="55"/>
      <c r="U545" s="55"/>
      <c r="V545" s="34" t="s">
        <v>261</v>
      </c>
      <c r="W545" s="43">
        <v>45195</v>
      </c>
      <c r="X545" s="44" t="s">
        <v>446</v>
      </c>
    </row>
    <row r="546" spans="1:24" ht="17.45" customHeight="1" x14ac:dyDescent="0.25">
      <c r="A546" t="str">
        <f t="shared" si="142"/>
        <v>291090723345195750000</v>
      </c>
      <c r="B546" s="6">
        <f t="shared" si="140"/>
        <v>45223</v>
      </c>
      <c r="C546" s="3">
        <f t="shared" si="141"/>
        <v>2341748</v>
      </c>
      <c r="D546" s="34">
        <v>2023</v>
      </c>
      <c r="E546" s="35">
        <v>2910907233</v>
      </c>
      <c r="F546" s="36" t="s">
        <v>447</v>
      </c>
      <c r="G546" s="37">
        <v>21856311</v>
      </c>
      <c r="H546" s="37">
        <v>2341748</v>
      </c>
      <c r="I546" s="38">
        <f t="shared" si="149"/>
        <v>0.10714287511739744</v>
      </c>
      <c r="J546" s="38">
        <f t="shared" si="146"/>
        <v>0.1200000225472638</v>
      </c>
      <c r="K546" s="37">
        <v>7000000</v>
      </c>
      <c r="L546" s="37">
        <f t="shared" si="143"/>
        <v>750000</v>
      </c>
      <c r="M546" s="39">
        <v>0</v>
      </c>
      <c r="N546" s="37">
        <f t="shared" si="148"/>
        <v>750000</v>
      </c>
      <c r="O546" s="40">
        <f t="shared" si="147"/>
        <v>300000</v>
      </c>
      <c r="P546" s="41" t="s">
        <v>381</v>
      </c>
      <c r="Q546" s="55"/>
      <c r="R546" s="42">
        <f t="shared" ref="R546:R609" si="150">+N546-O546</f>
        <v>450000</v>
      </c>
      <c r="S546" s="55"/>
      <c r="T546" s="55"/>
      <c r="U546" s="55"/>
      <c r="V546" s="34" t="s">
        <v>261</v>
      </c>
      <c r="W546" s="43">
        <v>45195</v>
      </c>
      <c r="X546" s="44" t="s">
        <v>448</v>
      </c>
    </row>
    <row r="547" spans="1:24" ht="17.45" customHeight="1" x14ac:dyDescent="0.25">
      <c r="A547" t="str">
        <f t="shared" si="142"/>
        <v>29109072314519578099479</v>
      </c>
      <c r="B547" s="6">
        <f t="shared" si="140"/>
        <v>45880</v>
      </c>
      <c r="C547" s="3">
        <f t="shared" si="141"/>
        <v>725275008</v>
      </c>
      <c r="D547" s="34">
        <v>2023</v>
      </c>
      <c r="E547" s="35">
        <v>2910907231</v>
      </c>
      <c r="F547" s="36" t="s">
        <v>410</v>
      </c>
      <c r="G547" s="37">
        <v>5902674987</v>
      </c>
      <c r="H547" s="37">
        <v>632429463</v>
      </c>
      <c r="I547" s="38">
        <f t="shared" si="149"/>
        <v>0.10714285716100871</v>
      </c>
      <c r="J547" s="38">
        <f t="shared" si="146"/>
        <v>0.12000000002276934</v>
      </c>
      <c r="K547" s="37">
        <f>321574931+407353544</f>
        <v>728928475</v>
      </c>
      <c r="L547" s="37">
        <f t="shared" si="143"/>
        <v>78099479</v>
      </c>
      <c r="M547" s="39">
        <f>L510</f>
        <v>34454457</v>
      </c>
      <c r="N547" s="37">
        <f t="shared" si="148"/>
        <v>43645022</v>
      </c>
      <c r="O547" s="40">
        <f t="shared" si="147"/>
        <v>17458009</v>
      </c>
      <c r="P547" s="41" t="s">
        <v>381</v>
      </c>
      <c r="Q547" s="55"/>
      <c r="R547" s="42">
        <f t="shared" si="150"/>
        <v>26187013</v>
      </c>
      <c r="S547" s="55"/>
      <c r="T547" s="55"/>
      <c r="U547" s="55"/>
      <c r="V547" s="34" t="s">
        <v>261</v>
      </c>
      <c r="W547" s="43">
        <v>45195</v>
      </c>
      <c r="X547" s="44" t="s">
        <v>449</v>
      </c>
    </row>
    <row r="548" spans="1:24" ht="17.45" customHeight="1" x14ac:dyDescent="0.25">
      <c r="A548" t="str">
        <f t="shared" si="142"/>
        <v>24530183514519526271860</v>
      </c>
      <c r="B548" s="6">
        <f t="shared" si="140"/>
        <v>45433</v>
      </c>
      <c r="C548" s="3">
        <f t="shared" si="141"/>
        <v>128964400.14361468</v>
      </c>
      <c r="D548" s="34">
        <v>2023</v>
      </c>
      <c r="E548" s="35">
        <v>2453018351</v>
      </c>
      <c r="F548" s="36" t="s">
        <v>430</v>
      </c>
      <c r="G548" s="37">
        <v>1229752235</v>
      </c>
      <c r="H548" s="37">
        <v>131759168</v>
      </c>
      <c r="I548" s="38">
        <f t="shared" si="149"/>
        <v>0.10714285711381528</v>
      </c>
      <c r="J548" s="38">
        <f t="shared" si="146"/>
        <v>0.1199999999635699</v>
      </c>
      <c r="K548" s="37">
        <v>245204024</v>
      </c>
      <c r="L548" s="37">
        <f t="shared" si="143"/>
        <v>26271860</v>
      </c>
      <c r="M548" s="39">
        <f>L533</f>
        <v>13587832</v>
      </c>
      <c r="N548" s="37">
        <f t="shared" si="148"/>
        <v>12684028</v>
      </c>
      <c r="O548" s="40">
        <f t="shared" si="147"/>
        <v>5073611</v>
      </c>
      <c r="P548" s="41" t="s">
        <v>381</v>
      </c>
      <c r="Q548" s="55"/>
      <c r="R548" s="42">
        <f t="shared" si="150"/>
        <v>7610417</v>
      </c>
      <c r="S548" s="55"/>
      <c r="T548" s="55"/>
      <c r="U548" s="55"/>
      <c r="V548" s="34" t="s">
        <v>261</v>
      </c>
      <c r="W548" s="43">
        <v>45195</v>
      </c>
      <c r="X548" s="44" t="s">
        <v>425</v>
      </c>
    </row>
    <row r="549" spans="1:24" ht="17.45" customHeight="1" x14ac:dyDescent="0.25">
      <c r="A549" t="str">
        <f t="shared" si="142"/>
        <v>24530183504519511183804</v>
      </c>
      <c r="B549" s="6">
        <f t="shared" si="140"/>
        <v>45743</v>
      </c>
      <c r="C549" s="3">
        <f t="shared" si="141"/>
        <v>1344604499.9999998</v>
      </c>
      <c r="D549" s="34">
        <v>2023</v>
      </c>
      <c r="E549" s="35">
        <v>2453018350</v>
      </c>
      <c r="F549" s="36" t="s">
        <v>450</v>
      </c>
      <c r="G549" s="37">
        <v>16284654500</v>
      </c>
      <c r="H549" s="37">
        <v>1344604500</v>
      </c>
      <c r="I549" s="38">
        <f t="shared" si="149"/>
        <v>8.2568807339449546E-2</v>
      </c>
      <c r="J549" s="38">
        <f t="shared" si="146"/>
        <v>0.09</v>
      </c>
      <c r="K549" s="37">
        <v>135448287</v>
      </c>
      <c r="L549" s="37">
        <f t="shared" si="143"/>
        <v>11183804</v>
      </c>
      <c r="M549" s="39">
        <v>0</v>
      </c>
      <c r="N549" s="37">
        <f t="shared" si="148"/>
        <v>11183804</v>
      </c>
      <c r="O549" s="40">
        <f t="shared" si="147"/>
        <v>4473522</v>
      </c>
      <c r="P549" s="41" t="s">
        <v>381</v>
      </c>
      <c r="Q549" s="55"/>
      <c r="R549" s="42">
        <f t="shared" si="150"/>
        <v>6710282</v>
      </c>
      <c r="S549" s="55"/>
      <c r="T549" s="55"/>
      <c r="U549" s="55"/>
      <c r="V549" s="34" t="s">
        <v>261</v>
      </c>
      <c r="W549" s="43">
        <v>45195</v>
      </c>
      <c r="X549" s="44" t="s">
        <v>451</v>
      </c>
    </row>
    <row r="550" spans="1:24" ht="17.45" customHeight="1" x14ac:dyDescent="0.25">
      <c r="A550" t="str">
        <f t="shared" si="142"/>
        <v>29109072814519634597879</v>
      </c>
      <c r="B550" s="6">
        <f t="shared" si="140"/>
        <v>45281</v>
      </c>
      <c r="C550" s="3">
        <f t="shared" si="141"/>
        <v>69195757</v>
      </c>
      <c r="D550" s="34">
        <v>2023</v>
      </c>
      <c r="E550" s="35">
        <v>2910907281</v>
      </c>
      <c r="F550" s="36" t="s">
        <v>452</v>
      </c>
      <c r="G550" s="37">
        <v>1291654128</v>
      </c>
      <c r="H550" s="37">
        <v>138391514</v>
      </c>
      <c r="I550" s="38">
        <f t="shared" si="149"/>
        <v>0.10714285736405744</v>
      </c>
      <c r="J550" s="38">
        <f t="shared" si="146"/>
        <v>0.12000000027747366</v>
      </c>
      <c r="K550" s="37">
        <v>322913532</v>
      </c>
      <c r="L550" s="37">
        <f t="shared" si="143"/>
        <v>34597879</v>
      </c>
      <c r="M550" s="39">
        <v>0</v>
      </c>
      <c r="N550" s="37">
        <f t="shared" si="148"/>
        <v>34597879</v>
      </c>
      <c r="O550" s="40">
        <f t="shared" si="147"/>
        <v>13839152</v>
      </c>
      <c r="P550" s="41" t="s">
        <v>381</v>
      </c>
      <c r="Q550" s="55"/>
      <c r="R550" s="42">
        <f t="shared" si="150"/>
        <v>20758727</v>
      </c>
      <c r="S550" s="55"/>
      <c r="T550" s="55"/>
      <c r="U550" s="55"/>
      <c r="V550" s="34" t="s">
        <v>261</v>
      </c>
      <c r="W550" s="43">
        <v>45196</v>
      </c>
      <c r="X550" s="44" t="s">
        <v>453</v>
      </c>
    </row>
    <row r="551" spans="1:24" ht="17.45" customHeight="1" x14ac:dyDescent="0.25">
      <c r="A551" t="str">
        <f t="shared" si="142"/>
        <v>2910907235451968112493</v>
      </c>
      <c r="B551" s="6">
        <f t="shared" si="140"/>
        <v>45467</v>
      </c>
      <c r="C551" s="3">
        <f t="shared" si="141"/>
        <v>20921469</v>
      </c>
      <c r="D551" s="34">
        <v>2023</v>
      </c>
      <c r="E551" s="35">
        <v>2910907235</v>
      </c>
      <c r="F551" s="36" t="s">
        <v>422</v>
      </c>
      <c r="G551" s="37">
        <v>195267045</v>
      </c>
      <c r="H551" s="37">
        <v>20921469</v>
      </c>
      <c r="I551" s="38">
        <f t="shared" si="149"/>
        <v>0.10714285659415801</v>
      </c>
      <c r="J551" s="38">
        <f t="shared" si="146"/>
        <v>0.11999999931171182</v>
      </c>
      <c r="K551" s="37">
        <f>28540531+47176068</f>
        <v>75716599</v>
      </c>
      <c r="L551" s="37">
        <f t="shared" si="143"/>
        <v>8112493</v>
      </c>
      <c r="M551" s="39">
        <f>L520</f>
        <v>3057914</v>
      </c>
      <c r="N551" s="37">
        <f t="shared" si="148"/>
        <v>5054579</v>
      </c>
      <c r="O551" s="40">
        <f t="shared" si="147"/>
        <v>2021832</v>
      </c>
      <c r="P551" s="41" t="s">
        <v>381</v>
      </c>
      <c r="Q551" s="55"/>
      <c r="R551" s="42">
        <f t="shared" si="150"/>
        <v>3032747</v>
      </c>
      <c r="S551" s="55"/>
      <c r="T551" s="55"/>
      <c r="U551" s="55"/>
      <c r="V551" s="34" t="s">
        <v>261</v>
      </c>
      <c r="W551" s="43">
        <v>45196</v>
      </c>
      <c r="X551" s="44" t="s">
        <v>454</v>
      </c>
    </row>
    <row r="552" spans="1:24" ht="17.45" customHeight="1" x14ac:dyDescent="0.25">
      <c r="A552" t="str">
        <f t="shared" si="142"/>
        <v>24530183324519697094307</v>
      </c>
      <c r="B552" s="6">
        <f t="shared" si="140"/>
        <v>45316</v>
      </c>
      <c r="C552" s="3">
        <f t="shared" si="141"/>
        <v>106373215</v>
      </c>
      <c r="D552" s="34">
        <v>2021</v>
      </c>
      <c r="E552" s="35">
        <v>2453018332</v>
      </c>
      <c r="F552" s="36" t="s">
        <v>267</v>
      </c>
      <c r="G552" s="37">
        <v>1548681070</v>
      </c>
      <c r="H552" s="37">
        <v>165930115</v>
      </c>
      <c r="I552" s="38">
        <f t="shared" si="149"/>
        <v>0.10714285737346813</v>
      </c>
      <c r="J552" s="38">
        <f t="shared" si="146"/>
        <v>0.12000000028927842</v>
      </c>
      <c r="K552" s="37">
        <v>906213531</v>
      </c>
      <c r="L552" s="37">
        <f t="shared" si="143"/>
        <v>97094307</v>
      </c>
      <c r="M552" s="39">
        <v>82667910</v>
      </c>
      <c r="N552" s="37">
        <f t="shared" si="148"/>
        <v>14426397</v>
      </c>
      <c r="O552" s="40">
        <f t="shared" si="147"/>
        <v>5770559</v>
      </c>
      <c r="P552" s="41" t="s">
        <v>381</v>
      </c>
      <c r="Q552" s="55"/>
      <c r="R552" s="42">
        <f t="shared" si="150"/>
        <v>8655838</v>
      </c>
      <c r="S552" s="55"/>
      <c r="T552" s="55"/>
      <c r="U552" s="55"/>
      <c r="V552" s="34" t="s">
        <v>261</v>
      </c>
      <c r="W552" s="43">
        <v>45196</v>
      </c>
      <c r="X552" s="44" t="s">
        <v>273</v>
      </c>
    </row>
    <row r="553" spans="1:24" ht="17.45" customHeight="1" x14ac:dyDescent="0.25">
      <c r="A553" t="str">
        <f t="shared" si="142"/>
        <v>291090640145197380279241</v>
      </c>
      <c r="B553" s="6">
        <f t="shared" si="140"/>
        <v>45957</v>
      </c>
      <c r="C553" s="3">
        <f t="shared" si="141"/>
        <v>678878080.30633903</v>
      </c>
      <c r="D553" s="34">
        <v>2023</v>
      </c>
      <c r="E553" s="35">
        <v>2910906401</v>
      </c>
      <c r="F553" s="36" t="s">
        <v>332</v>
      </c>
      <c r="G553" s="37">
        <v>6793432665</v>
      </c>
      <c r="H553" s="37">
        <v>737913960</v>
      </c>
      <c r="I553" s="38">
        <f t="shared" si="149"/>
        <v>0.10862166394932539</v>
      </c>
      <c r="J553" s="38">
        <f t="shared" si="146"/>
        <v>0.12185809274946331</v>
      </c>
      <c r="K553" s="37">
        <f>3270056079-101062400</f>
        <v>3168993679</v>
      </c>
      <c r="L553" s="37">
        <v>380279241</v>
      </c>
      <c r="M553" s="39">
        <f>L409</f>
        <v>183575593</v>
      </c>
      <c r="N553" s="37">
        <f t="shared" si="148"/>
        <v>196703648</v>
      </c>
      <c r="O553" s="40">
        <f t="shared" si="147"/>
        <v>78681459</v>
      </c>
      <c r="P553" s="41" t="s">
        <v>381</v>
      </c>
      <c r="Q553" s="55"/>
      <c r="R553" s="42">
        <f t="shared" si="150"/>
        <v>118022189</v>
      </c>
      <c r="S553" s="55"/>
      <c r="T553" s="55"/>
      <c r="U553" s="55"/>
      <c r="V553" s="34" t="s">
        <v>261</v>
      </c>
      <c r="W553" s="43">
        <v>45197</v>
      </c>
      <c r="X553" s="44" t="s">
        <v>455</v>
      </c>
    </row>
    <row r="554" spans="1:24" ht="17.45" customHeight="1" x14ac:dyDescent="0.25">
      <c r="A554" t="str">
        <f t="shared" si="142"/>
        <v>291090678945223135760738</v>
      </c>
      <c r="B554" s="6">
        <f t="shared" si="140"/>
        <v>45891</v>
      </c>
      <c r="C554" s="3">
        <f t="shared" si="141"/>
        <v>194667600.36437911</v>
      </c>
      <c r="D554" s="34">
        <v>2022</v>
      </c>
      <c r="E554" s="35">
        <v>2910906789</v>
      </c>
      <c r="F554" s="36" t="s">
        <v>289</v>
      </c>
      <c r="G554" s="37">
        <v>9124262365</v>
      </c>
      <c r="H554" s="37">
        <v>977599539</v>
      </c>
      <c r="I554" s="38">
        <f t="shared" si="149"/>
        <v>0.10714285713111452</v>
      </c>
      <c r="J554" s="38">
        <f t="shared" si="146"/>
        <v>0.11999999998527004</v>
      </c>
      <c r="K554" s="37">
        <f>644260268+622839949</f>
        <v>1267100217</v>
      </c>
      <c r="L554" s="37">
        <f t="shared" ref="L554:L589" si="151">ROUND((+K554*I554),0)</f>
        <v>135760738</v>
      </c>
      <c r="M554" s="39">
        <v>69027886</v>
      </c>
      <c r="N554" s="37">
        <f t="shared" si="148"/>
        <v>66732852</v>
      </c>
      <c r="O554" s="40">
        <f t="shared" si="147"/>
        <v>26693141</v>
      </c>
      <c r="P554" s="41" t="s">
        <v>456</v>
      </c>
      <c r="Q554" s="55"/>
      <c r="R554" s="42">
        <f t="shared" si="150"/>
        <v>40039711</v>
      </c>
      <c r="S554" s="55"/>
      <c r="T554" s="55"/>
      <c r="U554" s="55"/>
      <c r="V554" s="34" t="s">
        <v>261</v>
      </c>
      <c r="W554" s="43">
        <v>45223</v>
      </c>
      <c r="X554" s="44" t="s">
        <v>457</v>
      </c>
    </row>
    <row r="555" spans="1:24" ht="17.45" customHeight="1" x14ac:dyDescent="0.25">
      <c r="A555" t="str">
        <f t="shared" si="142"/>
        <v>29109072364522333655714</v>
      </c>
      <c r="B555" s="6">
        <f t="shared" si="140"/>
        <v>45771</v>
      </c>
      <c r="C555" s="3">
        <f t="shared" si="141"/>
        <v>84139286</v>
      </c>
      <c r="D555" s="34">
        <v>2023</v>
      </c>
      <c r="E555" s="35">
        <v>2910907236</v>
      </c>
      <c r="F555" s="36" t="s">
        <v>431</v>
      </c>
      <c r="G555" s="37">
        <v>785300000</v>
      </c>
      <c r="H555" s="37">
        <v>84139286</v>
      </c>
      <c r="I555" s="38">
        <f t="shared" si="149"/>
        <v>0.10714285750668534</v>
      </c>
      <c r="J555" s="38">
        <f t="shared" si="146"/>
        <v>0.12000000045638609</v>
      </c>
      <c r="K555" s="37">
        <f>157060000+157060000</f>
        <v>314120000</v>
      </c>
      <c r="L555" s="37">
        <f t="shared" si="151"/>
        <v>33655714</v>
      </c>
      <c r="M555" s="39">
        <v>16827857</v>
      </c>
      <c r="N555" s="37">
        <f t="shared" si="148"/>
        <v>16827857</v>
      </c>
      <c r="O555" s="40">
        <f t="shared" si="147"/>
        <v>6731143</v>
      </c>
      <c r="P555" s="41" t="s">
        <v>456</v>
      </c>
      <c r="Q555" s="55"/>
      <c r="R555" s="42">
        <f t="shared" si="150"/>
        <v>10096714</v>
      </c>
      <c r="S555" s="55"/>
      <c r="T555" s="55"/>
      <c r="U555" s="55"/>
      <c r="V555" s="34" t="s">
        <v>261</v>
      </c>
      <c r="W555" s="43">
        <v>45223</v>
      </c>
      <c r="X555" s="44" t="s">
        <v>458</v>
      </c>
    </row>
    <row r="556" spans="1:24" ht="17.45" customHeight="1" x14ac:dyDescent="0.25">
      <c r="A556" t="str">
        <f t="shared" si="142"/>
        <v>29109072254522323817857</v>
      </c>
      <c r="B556" s="6">
        <f t="shared" si="140"/>
        <v>45350</v>
      </c>
      <c r="C556" s="3">
        <f t="shared" si="141"/>
        <v>26464286</v>
      </c>
      <c r="D556" s="34">
        <v>2023</v>
      </c>
      <c r="E556" s="35">
        <v>2910907225</v>
      </c>
      <c r="F556" s="36" t="s">
        <v>405</v>
      </c>
      <c r="G556" s="37">
        <v>247000000</v>
      </c>
      <c r="H556" s="37">
        <v>26464286</v>
      </c>
      <c r="I556" s="38">
        <f t="shared" si="149"/>
        <v>0.10714285829959515</v>
      </c>
      <c r="J556" s="38">
        <f t="shared" si="146"/>
        <v>0.12000000145101215</v>
      </c>
      <c r="K556" s="37">
        <f>123500000+98800000</f>
        <v>222300000</v>
      </c>
      <c r="L556" s="37">
        <f t="shared" si="151"/>
        <v>23817857</v>
      </c>
      <c r="M556" s="39">
        <v>13232143</v>
      </c>
      <c r="N556" s="37">
        <f t="shared" si="148"/>
        <v>10585714</v>
      </c>
      <c r="O556" s="40">
        <f t="shared" si="147"/>
        <v>4234286</v>
      </c>
      <c r="P556" s="41" t="s">
        <v>456</v>
      </c>
      <c r="Q556" s="55"/>
      <c r="R556" s="42">
        <f t="shared" si="150"/>
        <v>6351428</v>
      </c>
      <c r="S556" s="55"/>
      <c r="T556" s="55"/>
      <c r="U556" s="55"/>
      <c r="V556" s="34" t="s">
        <v>261</v>
      </c>
      <c r="W556" s="43">
        <v>45223</v>
      </c>
      <c r="X556" s="44" t="s">
        <v>459</v>
      </c>
    </row>
    <row r="557" spans="1:24" ht="17.45" customHeight="1" x14ac:dyDescent="0.25">
      <c r="A557" t="str">
        <f t="shared" si="142"/>
        <v>29109067584522362541854</v>
      </c>
      <c r="B557" s="6">
        <f t="shared" si="140"/>
        <v>45223</v>
      </c>
      <c r="C557" s="3">
        <f t="shared" si="141"/>
        <v>70798215</v>
      </c>
      <c r="D557" s="34">
        <v>2021</v>
      </c>
      <c r="E557" s="35">
        <v>2910906758</v>
      </c>
      <c r="F557" s="36" t="s">
        <v>297</v>
      </c>
      <c r="G557" s="37">
        <v>660783000</v>
      </c>
      <c r="H557" s="37">
        <v>70798215</v>
      </c>
      <c r="I557" s="38">
        <f t="shared" si="149"/>
        <v>0.10714291227225882</v>
      </c>
      <c r="J557" s="38">
        <f t="shared" si="146"/>
        <v>0.12000006915432573</v>
      </c>
      <c r="K557" s="37">
        <f>550684519+33039150</f>
        <v>583723669</v>
      </c>
      <c r="L557" s="37">
        <f t="shared" si="151"/>
        <v>62541854</v>
      </c>
      <c r="M557" s="39">
        <v>59001943</v>
      </c>
      <c r="N557" s="37">
        <f t="shared" si="148"/>
        <v>3539911</v>
      </c>
      <c r="O557" s="40">
        <f>ROUND((+N557*0.4),0)</f>
        <v>1415964</v>
      </c>
      <c r="P557" s="41" t="s">
        <v>456</v>
      </c>
      <c r="Q557" s="55"/>
      <c r="R557" s="42">
        <f t="shared" si="150"/>
        <v>2123947</v>
      </c>
      <c r="S557" s="55"/>
      <c r="T557" s="55"/>
      <c r="U557" s="55"/>
      <c r="V557" s="34" t="s">
        <v>261</v>
      </c>
      <c r="W557" s="43">
        <v>45223</v>
      </c>
      <c r="X557" s="44" t="s">
        <v>460</v>
      </c>
    </row>
    <row r="558" spans="1:24" ht="17.45" customHeight="1" x14ac:dyDescent="0.25">
      <c r="A558" t="str">
        <f t="shared" si="142"/>
        <v>2910907233452232341748</v>
      </c>
      <c r="B558" s="6">
        <f t="shared" si="140"/>
        <v>45223</v>
      </c>
      <c r="C558" s="3">
        <f t="shared" si="141"/>
        <v>2341748</v>
      </c>
      <c r="D558" s="34">
        <v>2023</v>
      </c>
      <c r="E558" s="35">
        <v>2910907233</v>
      </c>
      <c r="F558" s="36" t="s">
        <v>447</v>
      </c>
      <c r="G558" s="37">
        <v>21856311</v>
      </c>
      <c r="H558" s="37">
        <v>2341748</v>
      </c>
      <c r="I558" s="38">
        <f t="shared" si="149"/>
        <v>0.10714287511739744</v>
      </c>
      <c r="J558" s="38">
        <f t="shared" si="146"/>
        <v>0.1200000225472638</v>
      </c>
      <c r="K558" s="37">
        <v>21856311</v>
      </c>
      <c r="L558" s="37">
        <f t="shared" si="151"/>
        <v>2341748</v>
      </c>
      <c r="M558" s="39">
        <v>750000</v>
      </c>
      <c r="N558" s="37">
        <f t="shared" si="148"/>
        <v>1591748</v>
      </c>
      <c r="O558" s="40">
        <f t="shared" ref="O558:O589" si="152">ROUND((N558*40%),0)</f>
        <v>636699</v>
      </c>
      <c r="P558" s="41" t="s">
        <v>456</v>
      </c>
      <c r="Q558" s="55"/>
      <c r="R558" s="42">
        <f t="shared" si="150"/>
        <v>955049</v>
      </c>
      <c r="S558" s="55"/>
      <c r="T558" s="55"/>
      <c r="U558" s="55"/>
      <c r="V558" s="34" t="s">
        <v>261</v>
      </c>
      <c r="W558" s="43">
        <v>45223</v>
      </c>
      <c r="X558" s="44" t="s">
        <v>461</v>
      </c>
    </row>
    <row r="559" spans="1:24" ht="17.45" customHeight="1" x14ac:dyDescent="0.25">
      <c r="A559" t="str">
        <f t="shared" si="142"/>
        <v>291090727545223160715</v>
      </c>
      <c r="B559" s="6">
        <f t="shared" si="140"/>
        <v>45223</v>
      </c>
      <c r="C559" s="3">
        <f t="shared" si="141"/>
        <v>160715</v>
      </c>
      <c r="D559" s="34">
        <v>2023</v>
      </c>
      <c r="E559" s="35">
        <v>2910907275</v>
      </c>
      <c r="F559" s="36" t="s">
        <v>462</v>
      </c>
      <c r="G559" s="37">
        <v>3000000</v>
      </c>
      <c r="H559" s="37">
        <v>321429</v>
      </c>
      <c r="I559" s="38">
        <f t="shared" si="149"/>
        <v>0.107143</v>
      </c>
      <c r="J559" s="38">
        <f t="shared" si="146"/>
        <v>0.12000017920002867</v>
      </c>
      <c r="K559" s="37">
        <v>1500000</v>
      </c>
      <c r="L559" s="37">
        <f t="shared" si="151"/>
        <v>160715</v>
      </c>
      <c r="M559" s="39">
        <v>0</v>
      </c>
      <c r="N559" s="37">
        <f t="shared" si="148"/>
        <v>160715</v>
      </c>
      <c r="O559" s="40">
        <f t="shared" si="152"/>
        <v>64286</v>
      </c>
      <c r="P559" s="41" t="s">
        <v>456</v>
      </c>
      <c r="Q559" s="55"/>
      <c r="R559" s="42">
        <f t="shared" si="150"/>
        <v>96429</v>
      </c>
      <c r="S559" s="55"/>
      <c r="T559" s="55"/>
      <c r="U559" s="55"/>
      <c r="V559" s="34" t="s">
        <v>261</v>
      </c>
      <c r="W559" s="43">
        <v>45223</v>
      </c>
      <c r="X559" s="44" t="s">
        <v>463</v>
      </c>
    </row>
    <row r="560" spans="1:24" ht="17.45" customHeight="1" x14ac:dyDescent="0.25">
      <c r="A560" t="str">
        <f t="shared" si="142"/>
        <v>291090728645223257143</v>
      </c>
      <c r="B560" s="6">
        <f t="shared" si="140"/>
        <v>45348</v>
      </c>
      <c r="C560" s="3">
        <f t="shared" si="141"/>
        <v>525000</v>
      </c>
      <c r="D560" s="34">
        <v>2023</v>
      </c>
      <c r="E560" s="35">
        <v>2910907286</v>
      </c>
      <c r="F560" s="36" t="s">
        <v>464</v>
      </c>
      <c r="G560" s="37">
        <v>5000000</v>
      </c>
      <c r="H560" s="37">
        <v>535714</v>
      </c>
      <c r="I560" s="38">
        <f t="shared" si="149"/>
        <v>0.1071428</v>
      </c>
      <c r="J560" s="38">
        <f t="shared" si="146"/>
        <v>0.11999992832000458</v>
      </c>
      <c r="K560" s="37">
        <v>2400000</v>
      </c>
      <c r="L560" s="37">
        <f t="shared" si="151"/>
        <v>257143</v>
      </c>
      <c r="M560" s="39">
        <v>0</v>
      </c>
      <c r="N560" s="37">
        <f t="shared" si="148"/>
        <v>257143</v>
      </c>
      <c r="O560" s="40">
        <f t="shared" si="152"/>
        <v>102857</v>
      </c>
      <c r="P560" s="41" t="s">
        <v>456</v>
      </c>
      <c r="Q560" s="55"/>
      <c r="R560" s="42">
        <f t="shared" si="150"/>
        <v>154286</v>
      </c>
      <c r="S560" s="55"/>
      <c r="T560" s="55"/>
      <c r="U560" s="55"/>
      <c r="V560" s="34" t="s">
        <v>261</v>
      </c>
      <c r="W560" s="43">
        <v>45223</v>
      </c>
      <c r="X560" s="44" t="s">
        <v>465</v>
      </c>
    </row>
    <row r="561" spans="1:24" ht="17.45" customHeight="1" x14ac:dyDescent="0.25">
      <c r="A561" t="str">
        <f t="shared" si="142"/>
        <v>29109072484522339463296</v>
      </c>
      <c r="B561" s="6">
        <f t="shared" si="140"/>
        <v>45439</v>
      </c>
      <c r="C561" s="3">
        <f t="shared" si="141"/>
        <v>98658239.999999985</v>
      </c>
      <c r="D561" s="34">
        <v>2023</v>
      </c>
      <c r="E561" s="35">
        <v>2910907248</v>
      </c>
      <c r="F561" s="36" t="s">
        <v>466</v>
      </c>
      <c r="G561" s="37">
        <v>920810240</v>
      </c>
      <c r="H561" s="37">
        <v>98658240</v>
      </c>
      <c r="I561" s="38">
        <f t="shared" si="149"/>
        <v>0.10714285714285714</v>
      </c>
      <c r="J561" s="38">
        <f t="shared" si="146"/>
        <v>0.12</v>
      </c>
      <c r="K561" s="37">
        <v>368324096</v>
      </c>
      <c r="L561" s="37">
        <f t="shared" si="151"/>
        <v>39463296</v>
      </c>
      <c r="M561" s="39">
        <v>0</v>
      </c>
      <c r="N561" s="37">
        <f t="shared" si="148"/>
        <v>39463296</v>
      </c>
      <c r="O561" s="40">
        <f t="shared" si="152"/>
        <v>15785318</v>
      </c>
      <c r="P561" s="41" t="s">
        <v>456</v>
      </c>
      <c r="Q561" s="55"/>
      <c r="R561" s="42">
        <f t="shared" si="150"/>
        <v>23677978</v>
      </c>
      <c r="S561" s="55"/>
      <c r="T561" s="55"/>
      <c r="U561" s="55"/>
      <c r="V561" s="34" t="s">
        <v>261</v>
      </c>
      <c r="W561" s="43">
        <v>45223</v>
      </c>
      <c r="X561" s="44" t="s">
        <v>467</v>
      </c>
    </row>
    <row r="562" spans="1:24" ht="17.45" customHeight="1" x14ac:dyDescent="0.25">
      <c r="A562" t="str">
        <f t="shared" si="142"/>
        <v>29109072124522380551607</v>
      </c>
      <c r="B562" s="6">
        <f t="shared" si="140"/>
        <v>45244</v>
      </c>
      <c r="C562" s="3">
        <f t="shared" si="141"/>
        <v>89501786</v>
      </c>
      <c r="D562" s="34">
        <v>2022</v>
      </c>
      <c r="E562" s="35">
        <v>2910907212</v>
      </c>
      <c r="F562" s="36" t="s">
        <v>316</v>
      </c>
      <c r="G562" s="37">
        <v>835350000</v>
      </c>
      <c r="H562" s="37">
        <v>89501786</v>
      </c>
      <c r="I562" s="38">
        <f t="shared" si="149"/>
        <v>0.10714285748488657</v>
      </c>
      <c r="J562" s="38">
        <f t="shared" si="146"/>
        <v>0.12000000042904171</v>
      </c>
      <c r="K562" s="37">
        <f>417675000+83535000+83535000+83535000+83535000</f>
        <v>751815000</v>
      </c>
      <c r="L562" s="37">
        <f t="shared" si="151"/>
        <v>80551607</v>
      </c>
      <c r="M562" s="39">
        <v>71601429</v>
      </c>
      <c r="N562" s="37">
        <f t="shared" si="148"/>
        <v>8950178</v>
      </c>
      <c r="O562" s="40">
        <f t="shared" si="152"/>
        <v>3580071</v>
      </c>
      <c r="P562" s="41" t="s">
        <v>456</v>
      </c>
      <c r="Q562" s="55"/>
      <c r="R562" s="42">
        <f t="shared" si="150"/>
        <v>5370107</v>
      </c>
      <c r="S562" s="55"/>
      <c r="T562" s="55"/>
      <c r="U562" s="55"/>
      <c r="V562" s="34" t="s">
        <v>261</v>
      </c>
      <c r="W562" s="43">
        <v>45223</v>
      </c>
      <c r="X562" s="44" t="s">
        <v>468</v>
      </c>
    </row>
    <row r="563" spans="1:24" ht="17.45" customHeight="1" x14ac:dyDescent="0.25">
      <c r="A563" t="str">
        <f t="shared" si="142"/>
        <v>2453018352452238866659</v>
      </c>
      <c r="B563" s="6">
        <f t="shared" si="140"/>
        <v>45531</v>
      </c>
      <c r="C563" s="3">
        <f t="shared" si="141"/>
        <v>218662504.66231647</v>
      </c>
      <c r="D563" s="34">
        <v>2023</v>
      </c>
      <c r="E563" s="35">
        <v>2453018352</v>
      </c>
      <c r="F563" s="36" t="s">
        <v>469</v>
      </c>
      <c r="G563" s="37">
        <v>5189063824</v>
      </c>
      <c r="H563" s="37">
        <v>261032799</v>
      </c>
      <c r="I563" s="38">
        <v>0.107142857484887</v>
      </c>
      <c r="J563" s="38">
        <v>0.12000000042904171</v>
      </c>
      <c r="K563" s="37">
        <v>82755481</v>
      </c>
      <c r="L563" s="37">
        <f t="shared" si="151"/>
        <v>8866659</v>
      </c>
      <c r="M563" s="39">
        <v>0</v>
      </c>
      <c r="N563" s="37">
        <f t="shared" si="148"/>
        <v>8866659</v>
      </c>
      <c r="O563" s="40">
        <f t="shared" si="152"/>
        <v>3546664</v>
      </c>
      <c r="P563" s="41" t="s">
        <v>456</v>
      </c>
      <c r="Q563" s="55"/>
      <c r="R563" s="42">
        <f t="shared" si="150"/>
        <v>5319995</v>
      </c>
      <c r="S563" s="55"/>
      <c r="T563" s="55"/>
      <c r="U563" s="55"/>
      <c r="V563" s="34" t="s">
        <v>261</v>
      </c>
      <c r="W563" s="43">
        <v>45223</v>
      </c>
      <c r="X563" s="44" t="s">
        <v>470</v>
      </c>
    </row>
    <row r="564" spans="1:24" ht="17.45" customHeight="1" x14ac:dyDescent="0.25">
      <c r="A564" t="str">
        <f t="shared" si="142"/>
        <v>24530183484522312577324</v>
      </c>
      <c r="B564" s="6">
        <f t="shared" si="140"/>
        <v>45553</v>
      </c>
      <c r="C564" s="3">
        <f t="shared" si="141"/>
        <v>250867949.19596934</v>
      </c>
      <c r="D564" s="34">
        <v>2023</v>
      </c>
      <c r="E564" s="35">
        <v>2453018348</v>
      </c>
      <c r="F564" s="36" t="s">
        <v>426</v>
      </c>
      <c r="G564" s="37">
        <v>3529418400</v>
      </c>
      <c r="H564" s="37">
        <v>378151971</v>
      </c>
      <c r="I564" s="38">
        <f t="shared" ref="I564:I569" si="153">+H564/G564</f>
        <v>0.1071428570214288</v>
      </c>
      <c r="J564" s="38">
        <f t="shared" ref="J564:J611" si="154">IFERROR((+H564/(G564-H564)),0)</f>
        <v>0.11999999984768028</v>
      </c>
      <c r="K564" s="37">
        <v>117388361</v>
      </c>
      <c r="L564" s="37">
        <f t="shared" si="151"/>
        <v>12577324</v>
      </c>
      <c r="M564" s="39">
        <v>5675051</v>
      </c>
      <c r="N564" s="37">
        <f t="shared" si="148"/>
        <v>6902273</v>
      </c>
      <c r="O564" s="40">
        <f t="shared" si="152"/>
        <v>2760909</v>
      </c>
      <c r="P564" s="41" t="s">
        <v>456</v>
      </c>
      <c r="Q564" s="55"/>
      <c r="R564" s="42">
        <f t="shared" si="150"/>
        <v>4141364</v>
      </c>
      <c r="S564" s="55"/>
      <c r="T564" s="55"/>
      <c r="U564" s="55"/>
      <c r="V564" s="34" t="s">
        <v>261</v>
      </c>
      <c r="W564" s="43">
        <v>45223</v>
      </c>
      <c r="X564" s="44" t="s">
        <v>425</v>
      </c>
    </row>
    <row r="565" spans="1:24" ht="17.45" customHeight="1" x14ac:dyDescent="0.25">
      <c r="A565" t="str">
        <f t="shared" si="142"/>
        <v>24530183474522336016358</v>
      </c>
      <c r="B565" s="6">
        <f t="shared" si="140"/>
        <v>45730</v>
      </c>
      <c r="C565" s="3">
        <f t="shared" si="141"/>
        <v>227416985.11999634</v>
      </c>
      <c r="D565" s="34">
        <v>2023</v>
      </c>
      <c r="E565" s="35">
        <v>2453018347</v>
      </c>
      <c r="F565" s="36" t="s">
        <v>391</v>
      </c>
      <c r="G565" s="37">
        <v>1778543757</v>
      </c>
      <c r="H565" s="37">
        <v>213425250</v>
      </c>
      <c r="I565" s="38">
        <f t="shared" si="153"/>
        <v>0.1199999995277035</v>
      </c>
      <c r="J565" s="38">
        <f t="shared" si="154"/>
        <v>0.13636363575374935</v>
      </c>
      <c r="K565" s="37">
        <v>300136316</v>
      </c>
      <c r="L565" s="37">
        <f t="shared" si="151"/>
        <v>36016358</v>
      </c>
      <c r="M565" s="39">
        <v>16544102</v>
      </c>
      <c r="N565" s="37">
        <f t="shared" si="148"/>
        <v>19472256</v>
      </c>
      <c r="O565" s="40">
        <f t="shared" si="152"/>
        <v>7788902</v>
      </c>
      <c r="P565" s="41" t="s">
        <v>456</v>
      </c>
      <c r="Q565" s="55"/>
      <c r="R565" s="42">
        <f t="shared" si="150"/>
        <v>11683354</v>
      </c>
      <c r="S565" s="55"/>
      <c r="T565" s="55"/>
      <c r="U565" s="55"/>
      <c r="V565" s="34" t="s">
        <v>261</v>
      </c>
      <c r="W565" s="43">
        <v>45223</v>
      </c>
      <c r="X565" s="44" t="s">
        <v>471</v>
      </c>
    </row>
    <row r="566" spans="1:24" ht="17.45" customHeight="1" x14ac:dyDescent="0.25">
      <c r="A566" t="str">
        <f t="shared" si="142"/>
        <v>24530183494522321108705</v>
      </c>
      <c r="B566" s="6">
        <f t="shared" si="140"/>
        <v>45433</v>
      </c>
      <c r="C566" s="3">
        <f t="shared" si="141"/>
        <v>275206500.04064482</v>
      </c>
      <c r="D566" s="34">
        <v>2023</v>
      </c>
      <c r="E566" s="35">
        <v>2453018349</v>
      </c>
      <c r="F566" s="36" t="s">
        <v>424</v>
      </c>
      <c r="G566" s="37">
        <v>2759044522</v>
      </c>
      <c r="H566" s="37">
        <v>295611913</v>
      </c>
      <c r="I566" s="38">
        <f t="shared" si="153"/>
        <v>0.10714285711696826</v>
      </c>
      <c r="J566" s="38">
        <f t="shared" si="154"/>
        <v>0.11999999996752499</v>
      </c>
      <c r="K566" s="37">
        <v>197014579</v>
      </c>
      <c r="L566" s="37">
        <f t="shared" si="151"/>
        <v>21108705</v>
      </c>
      <c r="M566" s="39">
        <v>13264488</v>
      </c>
      <c r="N566" s="37">
        <f t="shared" si="148"/>
        <v>7844217</v>
      </c>
      <c r="O566" s="40">
        <f t="shared" si="152"/>
        <v>3137687</v>
      </c>
      <c r="P566" s="41" t="s">
        <v>456</v>
      </c>
      <c r="Q566" s="55"/>
      <c r="R566" s="42">
        <f t="shared" si="150"/>
        <v>4706530</v>
      </c>
      <c r="S566" s="55"/>
      <c r="T566" s="55"/>
      <c r="U566" s="55"/>
      <c r="V566" s="34" t="s">
        <v>261</v>
      </c>
      <c r="W566" s="43">
        <v>45223</v>
      </c>
      <c r="X566" s="44" t="s">
        <v>425</v>
      </c>
    </row>
    <row r="567" spans="1:24" ht="17.45" customHeight="1" x14ac:dyDescent="0.25">
      <c r="A567" t="str">
        <f t="shared" si="142"/>
        <v>24530183504522335432470</v>
      </c>
      <c r="B567" s="6">
        <f t="shared" si="140"/>
        <v>45743</v>
      </c>
      <c r="C567" s="3">
        <f t="shared" si="141"/>
        <v>1344604499.9999998</v>
      </c>
      <c r="D567" s="34">
        <v>2023</v>
      </c>
      <c r="E567" s="35">
        <v>2453018350</v>
      </c>
      <c r="F567" s="36" t="s">
        <v>450</v>
      </c>
      <c r="G567" s="37">
        <v>16284654500</v>
      </c>
      <c r="H567" s="37">
        <v>1344604500</v>
      </c>
      <c r="I567" s="38">
        <f t="shared" si="153"/>
        <v>8.2568807339449546E-2</v>
      </c>
      <c r="J567" s="38">
        <f t="shared" si="154"/>
        <v>0.09</v>
      </c>
      <c r="K567" s="37">
        <v>429126581</v>
      </c>
      <c r="L567" s="37">
        <f t="shared" si="151"/>
        <v>35432470</v>
      </c>
      <c r="M567" s="39">
        <f>L549</f>
        <v>11183804</v>
      </c>
      <c r="N567" s="37">
        <f t="shared" si="148"/>
        <v>24248666</v>
      </c>
      <c r="O567" s="40">
        <f t="shared" si="152"/>
        <v>9699466</v>
      </c>
      <c r="P567" s="41" t="s">
        <v>456</v>
      </c>
      <c r="Q567" s="55"/>
      <c r="R567" s="42">
        <f t="shared" si="150"/>
        <v>14549200</v>
      </c>
      <c r="S567" s="55"/>
      <c r="T567" s="55"/>
      <c r="U567" s="55"/>
      <c r="V567" s="34" t="s">
        <v>261</v>
      </c>
      <c r="W567" s="43">
        <v>45223</v>
      </c>
      <c r="X567" s="44" t="s">
        <v>451</v>
      </c>
    </row>
    <row r="568" spans="1:24" ht="17.45" customHeight="1" x14ac:dyDescent="0.25">
      <c r="A568" t="str">
        <f t="shared" si="142"/>
        <v>245301834045223371442103</v>
      </c>
      <c r="B568" s="6">
        <f t="shared" si="140"/>
        <v>45524</v>
      </c>
      <c r="C568" s="3">
        <f t="shared" si="141"/>
        <v>750720353.98835123</v>
      </c>
      <c r="D568" s="34">
        <v>2022</v>
      </c>
      <c r="E568" s="35">
        <v>2453018340</v>
      </c>
      <c r="F568" s="36" t="s">
        <v>320</v>
      </c>
      <c r="G568" s="37">
        <v>7253407050</v>
      </c>
      <c r="H568" s="37">
        <v>774054537</v>
      </c>
      <c r="I568" s="38">
        <f t="shared" si="153"/>
        <v>0.10671599314145758</v>
      </c>
      <c r="J568" s="38">
        <f t="shared" si="154"/>
        <v>0.11946479767028537</v>
      </c>
      <c r="K568" s="37">
        <v>3480660131</v>
      </c>
      <c r="L568" s="37">
        <f t="shared" si="151"/>
        <v>371442103</v>
      </c>
      <c r="M568" s="39">
        <f>L528</f>
        <v>364335348</v>
      </c>
      <c r="N568" s="37">
        <f t="shared" si="148"/>
        <v>7106755</v>
      </c>
      <c r="O568" s="40">
        <f t="shared" si="152"/>
        <v>2842702</v>
      </c>
      <c r="P568" s="41" t="s">
        <v>456</v>
      </c>
      <c r="Q568" s="55"/>
      <c r="R568" s="42">
        <f t="shared" si="150"/>
        <v>4264053</v>
      </c>
      <c r="S568" s="55"/>
      <c r="T568" s="55"/>
      <c r="U568" s="55"/>
      <c r="V568" s="34" t="s">
        <v>261</v>
      </c>
      <c r="W568" s="43">
        <v>45223</v>
      </c>
      <c r="X568" s="44" t="s">
        <v>425</v>
      </c>
    </row>
    <row r="569" spans="1:24" ht="17.45" customHeight="1" x14ac:dyDescent="0.25">
      <c r="A569" t="str">
        <f t="shared" si="142"/>
        <v>24530183514522338481168</v>
      </c>
      <c r="B569" s="6">
        <f t="shared" si="140"/>
        <v>45433</v>
      </c>
      <c r="C569" s="3">
        <f t="shared" si="141"/>
        <v>128964400.14361468</v>
      </c>
      <c r="D569" s="34">
        <v>2023</v>
      </c>
      <c r="E569" s="35">
        <v>2453018351</v>
      </c>
      <c r="F569" s="36" t="s">
        <v>430</v>
      </c>
      <c r="G569" s="37">
        <v>1229752235</v>
      </c>
      <c r="H569" s="37">
        <v>131759168</v>
      </c>
      <c r="I569" s="38">
        <f t="shared" si="153"/>
        <v>0.10714285711381528</v>
      </c>
      <c r="J569" s="38">
        <f t="shared" si="154"/>
        <v>0.1199999999635699</v>
      </c>
      <c r="K569" s="37">
        <v>359157572</v>
      </c>
      <c r="L569" s="37">
        <f t="shared" si="151"/>
        <v>38481168</v>
      </c>
      <c r="M569" s="39">
        <f>L548</f>
        <v>26271860</v>
      </c>
      <c r="N569" s="37">
        <f t="shared" si="148"/>
        <v>12209308</v>
      </c>
      <c r="O569" s="40">
        <f t="shared" si="152"/>
        <v>4883723</v>
      </c>
      <c r="P569" s="41" t="s">
        <v>456</v>
      </c>
      <c r="Q569" s="55"/>
      <c r="R569" s="42">
        <f t="shared" si="150"/>
        <v>7325585</v>
      </c>
      <c r="S569" s="55"/>
      <c r="T569" s="55"/>
      <c r="U569" s="55"/>
      <c r="V569" s="34" t="s">
        <v>261</v>
      </c>
      <c r="W569" s="43">
        <v>45223</v>
      </c>
      <c r="X569" s="44" t="s">
        <v>425</v>
      </c>
    </row>
    <row r="570" spans="1:24" ht="17.45" customHeight="1" x14ac:dyDescent="0.25">
      <c r="A570" t="str">
        <f t="shared" si="142"/>
        <v>24530183314522352886721</v>
      </c>
      <c r="B570" s="6">
        <f t="shared" si="140"/>
        <v>45223</v>
      </c>
      <c r="C570" s="3">
        <f t="shared" si="141"/>
        <v>52886721</v>
      </c>
      <c r="D570" s="34">
        <v>2021</v>
      </c>
      <c r="E570" s="35">
        <v>2453018331</v>
      </c>
      <c r="F570" s="36" t="s">
        <v>282</v>
      </c>
      <c r="G570" s="37">
        <v>1079098616</v>
      </c>
      <c r="H570" s="37">
        <v>115617709</v>
      </c>
      <c r="I570" s="38">
        <f>H570/G570</f>
        <v>0.10714285727524277</v>
      </c>
      <c r="J570" s="38">
        <f t="shared" si="154"/>
        <v>0.12000000016606453</v>
      </c>
      <c r="K570" s="37">
        <v>493609397</v>
      </c>
      <c r="L570" s="37">
        <f t="shared" si="151"/>
        <v>52886721</v>
      </c>
      <c r="M570" s="39">
        <f>L468</f>
        <v>37012596</v>
      </c>
      <c r="N570" s="37">
        <f t="shared" si="148"/>
        <v>15874125</v>
      </c>
      <c r="O570" s="40">
        <f t="shared" si="152"/>
        <v>6349650</v>
      </c>
      <c r="P570" s="41" t="s">
        <v>456</v>
      </c>
      <c r="Q570" s="55"/>
      <c r="R570" s="42">
        <f t="shared" si="150"/>
        <v>9524475</v>
      </c>
      <c r="S570" s="55"/>
      <c r="T570" s="55"/>
      <c r="U570" s="55"/>
      <c r="V570" s="34" t="s">
        <v>261</v>
      </c>
      <c r="W570" s="43">
        <v>45223</v>
      </c>
      <c r="X570" s="44" t="s">
        <v>273</v>
      </c>
    </row>
    <row r="571" spans="1:24" ht="17.45" customHeight="1" x14ac:dyDescent="0.25">
      <c r="A571" t="str">
        <f t="shared" si="142"/>
        <v>291090723145224122359798</v>
      </c>
      <c r="B571" s="6">
        <f t="shared" si="140"/>
        <v>45880</v>
      </c>
      <c r="C571" s="3">
        <f t="shared" si="141"/>
        <v>725275008</v>
      </c>
      <c r="D571" s="34">
        <v>2023</v>
      </c>
      <c r="E571" s="35">
        <v>2910907231</v>
      </c>
      <c r="F571" s="36" t="s">
        <v>410</v>
      </c>
      <c r="G571" s="37">
        <v>5902674987</v>
      </c>
      <c r="H571" s="37">
        <v>632429463</v>
      </c>
      <c r="I571" s="38">
        <f>+H571/G571</f>
        <v>0.10714285716100871</v>
      </c>
      <c r="J571" s="38">
        <f t="shared" si="154"/>
        <v>0.12000000002276934</v>
      </c>
      <c r="K571" s="37">
        <f>321574931+407353544+413096307</f>
        <v>1142024782</v>
      </c>
      <c r="L571" s="37">
        <f t="shared" si="151"/>
        <v>122359798</v>
      </c>
      <c r="M571" s="39">
        <v>78099479</v>
      </c>
      <c r="N571" s="37">
        <f t="shared" si="148"/>
        <v>44260319</v>
      </c>
      <c r="O571" s="40">
        <f t="shared" si="152"/>
        <v>17704128</v>
      </c>
      <c r="P571" s="41" t="s">
        <v>456</v>
      </c>
      <c r="Q571" s="55"/>
      <c r="R571" s="42">
        <f t="shared" si="150"/>
        <v>26556191</v>
      </c>
      <c r="S571" s="55"/>
      <c r="T571" s="55"/>
      <c r="U571" s="55"/>
      <c r="V571" s="34" t="s">
        <v>261</v>
      </c>
      <c r="W571" s="43">
        <v>45224</v>
      </c>
      <c r="X571" s="44" t="s">
        <v>472</v>
      </c>
    </row>
    <row r="572" spans="1:24" ht="17.45" customHeight="1" x14ac:dyDescent="0.25">
      <c r="A572" t="str">
        <f t="shared" si="142"/>
        <v>291090678845224342143595</v>
      </c>
      <c r="B572" s="6">
        <f t="shared" si="140"/>
        <v>45498</v>
      </c>
      <c r="C572" s="3">
        <f t="shared" si="141"/>
        <v>387879629.13729745</v>
      </c>
      <c r="D572" s="34">
        <v>2022</v>
      </c>
      <c r="E572" s="35">
        <v>2910906788</v>
      </c>
      <c r="F572" s="36" t="s">
        <v>270</v>
      </c>
      <c r="G572" s="37">
        <v>3667790640</v>
      </c>
      <c r="H572" s="37">
        <v>392977569</v>
      </c>
      <c r="I572" s="38">
        <f>H572/G572</f>
        <v>0.10714285725970445</v>
      </c>
      <c r="J572" s="38">
        <f t="shared" si="154"/>
        <v>0.12000000014657325</v>
      </c>
      <c r="K572" s="37">
        <f>2759235491+217052364+217052364</f>
        <v>3193340219</v>
      </c>
      <c r="L572" s="37">
        <f t="shared" si="151"/>
        <v>342143595</v>
      </c>
      <c r="M572" s="39">
        <f>L543</f>
        <v>318887985</v>
      </c>
      <c r="N572" s="37">
        <f t="shared" si="148"/>
        <v>23255610</v>
      </c>
      <c r="O572" s="40">
        <f t="shared" si="152"/>
        <v>9302244</v>
      </c>
      <c r="P572" s="41" t="s">
        <v>456</v>
      </c>
      <c r="Q572" s="55"/>
      <c r="R572" s="42">
        <f t="shared" si="150"/>
        <v>13953366</v>
      </c>
      <c r="S572" s="55"/>
      <c r="T572" s="55"/>
      <c r="U572" s="55"/>
      <c r="V572" s="34" t="s">
        <v>261</v>
      </c>
      <c r="W572" s="43">
        <v>45224</v>
      </c>
      <c r="X572" s="44" t="s">
        <v>473</v>
      </c>
    </row>
    <row r="573" spans="1:24" ht="17.45" customHeight="1" x14ac:dyDescent="0.25">
      <c r="A573" t="str">
        <f t="shared" si="142"/>
        <v>29109072224522423868119</v>
      </c>
      <c r="B573" s="6">
        <f t="shared" si="140"/>
        <v>45274</v>
      </c>
      <c r="C573" s="3">
        <f t="shared" si="141"/>
        <v>39780198</v>
      </c>
      <c r="D573" s="34">
        <v>2022</v>
      </c>
      <c r="E573" s="35">
        <v>2910907222</v>
      </c>
      <c r="F573" s="36" t="s">
        <v>383</v>
      </c>
      <c r="G573" s="37">
        <v>390823000</v>
      </c>
      <c r="H573" s="37">
        <v>41873893</v>
      </c>
      <c r="I573" s="38">
        <f>H573/G573</f>
        <v>0.10714285750838615</v>
      </c>
      <c r="J573" s="38">
        <f t="shared" si="154"/>
        <v>0.12000000045851958</v>
      </c>
      <c r="K573" s="37">
        <f>74256370+74256370+74256370</f>
        <v>222769110</v>
      </c>
      <c r="L573" s="37">
        <f t="shared" si="151"/>
        <v>23868119</v>
      </c>
      <c r="M573" s="39">
        <f>L505</f>
        <v>15912079</v>
      </c>
      <c r="N573" s="37">
        <f t="shared" ref="N573:N589" si="155">+L573-M573</f>
        <v>7956040</v>
      </c>
      <c r="O573" s="40">
        <f t="shared" si="152"/>
        <v>3182416</v>
      </c>
      <c r="P573" s="41" t="s">
        <v>456</v>
      </c>
      <c r="Q573" s="55"/>
      <c r="R573" s="42">
        <f t="shared" si="150"/>
        <v>4773624</v>
      </c>
      <c r="S573" s="55"/>
      <c r="T573" s="55"/>
      <c r="U573" s="55"/>
      <c r="V573" s="34" t="s">
        <v>261</v>
      </c>
      <c r="W573" s="43">
        <v>45224</v>
      </c>
      <c r="X573" s="44" t="s">
        <v>474</v>
      </c>
    </row>
    <row r="574" spans="1:24" ht="17.45" customHeight="1" x14ac:dyDescent="0.25">
      <c r="A574" t="str">
        <f t="shared" si="142"/>
        <v>291090722345225731226369</v>
      </c>
      <c r="B574" s="6">
        <f t="shared" si="140"/>
        <v>45225</v>
      </c>
      <c r="C574" s="3">
        <f t="shared" si="141"/>
        <v>1161182642</v>
      </c>
      <c r="D574" s="34">
        <v>2023</v>
      </c>
      <c r="E574" s="35">
        <v>2910907223</v>
      </c>
      <c r="F574" s="36" t="s">
        <v>321</v>
      </c>
      <c r="G574" s="37">
        <v>11000088770</v>
      </c>
      <c r="H574" s="37">
        <v>1178580940</v>
      </c>
      <c r="I574" s="38">
        <f t="shared" ref="I574:I579" si="156">+H574/G574</f>
        <v>0.10714285717532442</v>
      </c>
      <c r="J574" s="38">
        <f t="shared" si="154"/>
        <v>0.12000000004072695</v>
      </c>
      <c r="K574" s="37">
        <v>6824779445</v>
      </c>
      <c r="L574" s="37">
        <f t="shared" si="151"/>
        <v>731226369</v>
      </c>
      <c r="M574" s="39">
        <v>605480294</v>
      </c>
      <c r="N574" s="37">
        <f t="shared" si="155"/>
        <v>125746075</v>
      </c>
      <c r="O574" s="40">
        <f t="shared" si="152"/>
        <v>50298430</v>
      </c>
      <c r="P574" s="41" t="s">
        <v>456</v>
      </c>
      <c r="Q574" s="55"/>
      <c r="R574" s="42">
        <f t="shared" si="150"/>
        <v>75447645</v>
      </c>
      <c r="S574" s="55"/>
      <c r="T574" s="55"/>
      <c r="U574" s="55"/>
      <c r="V574" s="34" t="s">
        <v>261</v>
      </c>
      <c r="W574" s="43">
        <v>45225</v>
      </c>
      <c r="X574" s="44" t="s">
        <v>475</v>
      </c>
    </row>
    <row r="575" spans="1:24" ht="17.45" customHeight="1" x14ac:dyDescent="0.25">
      <c r="A575" t="str">
        <f t="shared" si="142"/>
        <v>2910906138452252308836</v>
      </c>
      <c r="B575" s="6">
        <f t="shared" si="140"/>
        <v>45225</v>
      </c>
      <c r="C575" s="3">
        <f t="shared" si="141"/>
        <v>2308836</v>
      </c>
      <c r="D575" s="34">
        <v>2015</v>
      </c>
      <c r="E575" s="35">
        <v>2910906138</v>
      </c>
      <c r="F575" s="36" t="s">
        <v>476</v>
      </c>
      <c r="G575" s="37">
        <v>21549139</v>
      </c>
      <c r="H575" s="37">
        <v>2308836</v>
      </c>
      <c r="I575" s="38">
        <f t="shared" si="156"/>
        <v>0.10714284222678223</v>
      </c>
      <c r="J575" s="38">
        <f t="shared" si="154"/>
        <v>0.11999998128927596</v>
      </c>
      <c r="K575" s="37">
        <v>21549139</v>
      </c>
      <c r="L575" s="37">
        <f t="shared" si="151"/>
        <v>2308836</v>
      </c>
      <c r="M575" s="39">
        <v>2198400</v>
      </c>
      <c r="N575" s="37">
        <f t="shared" si="155"/>
        <v>110436</v>
      </c>
      <c r="O575" s="40">
        <f t="shared" si="152"/>
        <v>44174</v>
      </c>
      <c r="P575" s="41" t="s">
        <v>456</v>
      </c>
      <c r="Q575" s="55"/>
      <c r="R575" s="42">
        <f t="shared" si="150"/>
        <v>66262</v>
      </c>
      <c r="S575" s="55"/>
      <c r="T575" s="55"/>
      <c r="U575" s="55"/>
      <c r="V575" s="34" t="s">
        <v>261</v>
      </c>
      <c r="W575" s="43">
        <v>45225</v>
      </c>
      <c r="X575" s="44" t="s">
        <v>477</v>
      </c>
    </row>
    <row r="576" spans="1:24" ht="17.45" customHeight="1" x14ac:dyDescent="0.25">
      <c r="A576" t="str">
        <f t="shared" si="142"/>
        <v>291090727645225160715</v>
      </c>
      <c r="B576" s="6">
        <f t="shared" si="140"/>
        <v>45316</v>
      </c>
      <c r="C576" s="3">
        <f t="shared" si="141"/>
        <v>321429</v>
      </c>
      <c r="D576" s="34">
        <v>2023</v>
      </c>
      <c r="E576" s="35">
        <v>2910907276</v>
      </c>
      <c r="F576" s="36" t="s">
        <v>478</v>
      </c>
      <c r="G576" s="37">
        <v>3000000</v>
      </c>
      <c r="H576" s="37">
        <v>321429</v>
      </c>
      <c r="I576" s="38">
        <f t="shared" si="156"/>
        <v>0.107143</v>
      </c>
      <c r="J576" s="38">
        <f t="shared" si="154"/>
        <v>0.12000017920002867</v>
      </c>
      <c r="K576" s="37">
        <v>1500000</v>
      </c>
      <c r="L576" s="37">
        <f t="shared" si="151"/>
        <v>160715</v>
      </c>
      <c r="M576" s="39">
        <v>0</v>
      </c>
      <c r="N576" s="37">
        <f t="shared" si="155"/>
        <v>160715</v>
      </c>
      <c r="O576" s="40">
        <f t="shared" si="152"/>
        <v>64286</v>
      </c>
      <c r="P576" s="41" t="s">
        <v>456</v>
      </c>
      <c r="Q576" s="55"/>
      <c r="R576" s="42">
        <f t="shared" si="150"/>
        <v>96429</v>
      </c>
      <c r="S576" s="55"/>
      <c r="T576" s="55"/>
      <c r="U576" s="55"/>
      <c r="V576" s="34" t="s">
        <v>261</v>
      </c>
      <c r="W576" s="43">
        <v>45225</v>
      </c>
      <c r="X576" s="44" t="s">
        <v>479</v>
      </c>
    </row>
    <row r="577" spans="1:24" ht="17.45" customHeight="1" x14ac:dyDescent="0.25">
      <c r="A577" t="str">
        <f t="shared" si="142"/>
        <v>2910907250452251607143</v>
      </c>
      <c r="B577" s="6">
        <f t="shared" si="140"/>
        <v>45316</v>
      </c>
      <c r="C577" s="3">
        <f t="shared" si="141"/>
        <v>3214286</v>
      </c>
      <c r="D577" s="34">
        <v>2023</v>
      </c>
      <c r="E577" s="35">
        <v>2910907250</v>
      </c>
      <c r="F577" s="36" t="s">
        <v>480</v>
      </c>
      <c r="G577" s="37">
        <v>30000000</v>
      </c>
      <c r="H577" s="37">
        <v>3214286</v>
      </c>
      <c r="I577" s="38">
        <f t="shared" si="156"/>
        <v>0.10714286666666667</v>
      </c>
      <c r="J577" s="38">
        <f t="shared" si="154"/>
        <v>0.12000001194666679</v>
      </c>
      <c r="K577" s="37">
        <v>15000000</v>
      </c>
      <c r="L577" s="37">
        <f t="shared" si="151"/>
        <v>1607143</v>
      </c>
      <c r="M577" s="39">
        <v>0</v>
      </c>
      <c r="N577" s="37">
        <f t="shared" si="155"/>
        <v>1607143</v>
      </c>
      <c r="O577" s="40">
        <f t="shared" si="152"/>
        <v>642857</v>
      </c>
      <c r="P577" s="41" t="s">
        <v>456</v>
      </c>
      <c r="Q577" s="55"/>
      <c r="R577" s="42">
        <f t="shared" si="150"/>
        <v>964286</v>
      </c>
      <c r="S577" s="55"/>
      <c r="T577" s="55"/>
      <c r="U577" s="55"/>
      <c r="V577" s="34" t="s">
        <v>261</v>
      </c>
      <c r="W577" s="43">
        <v>45225</v>
      </c>
      <c r="X577" s="44" t="s">
        <v>481</v>
      </c>
    </row>
    <row r="578" spans="1:24" ht="17.45" customHeight="1" x14ac:dyDescent="0.25">
      <c r="A578" t="str">
        <f t="shared" si="142"/>
        <v>2910907251452251417500</v>
      </c>
      <c r="B578" s="6">
        <f t="shared" ref="B578:B641" si="157">_xlfn.MAXIFS(W:W,E:E,E578)</f>
        <v>45225</v>
      </c>
      <c r="C578" s="3">
        <f t="shared" ref="C578:C641" si="158">_xlfn.MAXIFS(L:L,E:E,E578)</f>
        <v>1417500</v>
      </c>
      <c r="D578" s="34">
        <v>2023</v>
      </c>
      <c r="E578" s="35">
        <v>2910907251</v>
      </c>
      <c r="F578" s="36" t="s">
        <v>482</v>
      </c>
      <c r="G578" s="37">
        <v>30000000</v>
      </c>
      <c r="H578" s="37">
        <v>3214286</v>
      </c>
      <c r="I578" s="38">
        <f t="shared" si="156"/>
        <v>0.10714286666666667</v>
      </c>
      <c r="J578" s="38">
        <f t="shared" si="154"/>
        <v>0.12000001194666679</v>
      </c>
      <c r="K578" s="37">
        <v>13230000</v>
      </c>
      <c r="L578" s="37">
        <f t="shared" si="151"/>
        <v>1417500</v>
      </c>
      <c r="M578" s="39">
        <v>0</v>
      </c>
      <c r="N578" s="37">
        <f t="shared" si="155"/>
        <v>1417500</v>
      </c>
      <c r="O578" s="40">
        <f t="shared" si="152"/>
        <v>567000</v>
      </c>
      <c r="P578" s="41" t="s">
        <v>456</v>
      </c>
      <c r="Q578" s="55"/>
      <c r="R578" s="42">
        <f t="shared" si="150"/>
        <v>850500</v>
      </c>
      <c r="S578" s="55"/>
      <c r="T578" s="55"/>
      <c r="U578" s="55"/>
      <c r="V578" s="34" t="s">
        <v>261</v>
      </c>
      <c r="W578" s="43">
        <v>45225</v>
      </c>
      <c r="X578" s="44" t="s">
        <v>483</v>
      </c>
    </row>
    <row r="579" spans="1:24" ht="17.45" customHeight="1" x14ac:dyDescent="0.25">
      <c r="A579" t="str">
        <f t="shared" ref="A579:A642" si="159">_xlfn.CONCAT(E579,W579,L579)</f>
        <v>2910907253452251550893</v>
      </c>
      <c r="B579" s="6">
        <f t="shared" si="157"/>
        <v>45586</v>
      </c>
      <c r="C579" s="3">
        <f t="shared" si="158"/>
        <v>3214285.9999999995</v>
      </c>
      <c r="D579" s="34">
        <v>2023</v>
      </c>
      <c r="E579" s="35">
        <v>2910907253</v>
      </c>
      <c r="F579" s="36" t="s">
        <v>484</v>
      </c>
      <c r="G579" s="37">
        <v>30000000</v>
      </c>
      <c r="H579" s="37">
        <v>3214286</v>
      </c>
      <c r="I579" s="38">
        <f t="shared" si="156"/>
        <v>0.10714286666666667</v>
      </c>
      <c r="J579" s="38">
        <f t="shared" si="154"/>
        <v>0.12000001194666679</v>
      </c>
      <c r="K579" s="37">
        <v>14475000</v>
      </c>
      <c r="L579" s="37">
        <f t="shared" si="151"/>
        <v>1550893</v>
      </c>
      <c r="M579" s="39">
        <v>0</v>
      </c>
      <c r="N579" s="37">
        <f t="shared" si="155"/>
        <v>1550893</v>
      </c>
      <c r="O579" s="40">
        <f t="shared" si="152"/>
        <v>620357</v>
      </c>
      <c r="P579" s="41" t="s">
        <v>456</v>
      </c>
      <c r="Q579" s="55"/>
      <c r="R579" s="42">
        <f t="shared" si="150"/>
        <v>930536</v>
      </c>
      <c r="S579" s="55"/>
      <c r="T579" s="55"/>
      <c r="U579" s="55"/>
      <c r="V579" s="34" t="s">
        <v>261</v>
      </c>
      <c r="W579" s="43">
        <v>45225</v>
      </c>
      <c r="X579" s="44" t="s">
        <v>485</v>
      </c>
    </row>
    <row r="580" spans="1:24" ht="17.45" customHeight="1" x14ac:dyDescent="0.25">
      <c r="A580" t="str">
        <f t="shared" si="159"/>
        <v>2910907230452253992143</v>
      </c>
      <c r="B580" s="6">
        <f t="shared" si="157"/>
        <v>45316</v>
      </c>
      <c r="C580" s="3">
        <f t="shared" si="158"/>
        <v>6595714</v>
      </c>
      <c r="D580" s="34">
        <v>2023</v>
      </c>
      <c r="E580" s="35">
        <v>2910907230</v>
      </c>
      <c r="F580" s="36" t="s">
        <v>399</v>
      </c>
      <c r="G580" s="37">
        <v>75600000</v>
      </c>
      <c r="H580" s="37">
        <v>8100000</v>
      </c>
      <c r="I580" s="38">
        <f>H580/G580</f>
        <v>0.10714285714285714</v>
      </c>
      <c r="J580" s="38">
        <f t="shared" si="154"/>
        <v>0.12</v>
      </c>
      <c r="K580" s="37">
        <f>21060000+8100000+8100000</f>
        <v>37260000</v>
      </c>
      <c r="L580" s="37">
        <f t="shared" si="151"/>
        <v>3992143</v>
      </c>
      <c r="M580" s="39">
        <f>L538</f>
        <v>3124286</v>
      </c>
      <c r="N580" s="37">
        <f t="shared" si="155"/>
        <v>867857</v>
      </c>
      <c r="O580" s="40">
        <f t="shared" si="152"/>
        <v>347143</v>
      </c>
      <c r="P580" s="41" t="s">
        <v>456</v>
      </c>
      <c r="Q580" s="55"/>
      <c r="R580" s="42">
        <f t="shared" si="150"/>
        <v>520714</v>
      </c>
      <c r="S580" s="55"/>
      <c r="T580" s="55"/>
      <c r="U580" s="55"/>
      <c r="V580" s="34" t="s">
        <v>261</v>
      </c>
      <c r="W580" s="43">
        <v>45225</v>
      </c>
      <c r="X580" s="44" t="s">
        <v>486</v>
      </c>
    </row>
    <row r="581" spans="1:24" ht="17.45" customHeight="1" x14ac:dyDescent="0.25">
      <c r="A581" t="str">
        <f t="shared" si="159"/>
        <v>2910907256452251183500</v>
      </c>
      <c r="B581" s="6">
        <f t="shared" si="157"/>
        <v>45225</v>
      </c>
      <c r="C581" s="3">
        <f t="shared" si="158"/>
        <v>1183500</v>
      </c>
      <c r="D581" s="34">
        <v>2023</v>
      </c>
      <c r="E581" s="35">
        <v>2910907256</v>
      </c>
      <c r="F581" s="36" t="s">
        <v>487</v>
      </c>
      <c r="G581" s="37">
        <v>28000000</v>
      </c>
      <c r="H581" s="37">
        <v>3000000</v>
      </c>
      <c r="I581" s="38">
        <f>H581/G581</f>
        <v>0.10714285714285714</v>
      </c>
      <c r="J581" s="38">
        <f t="shared" si="154"/>
        <v>0.12</v>
      </c>
      <c r="K581" s="37">
        <v>11046000</v>
      </c>
      <c r="L581" s="37">
        <f t="shared" si="151"/>
        <v>1183500</v>
      </c>
      <c r="M581" s="39">
        <v>0</v>
      </c>
      <c r="N581" s="37">
        <f t="shared" si="155"/>
        <v>1183500</v>
      </c>
      <c r="O581" s="40">
        <f t="shared" si="152"/>
        <v>473400</v>
      </c>
      <c r="P581" s="41" t="s">
        <v>456</v>
      </c>
      <c r="Q581" s="55"/>
      <c r="R581" s="42">
        <f t="shared" si="150"/>
        <v>710100</v>
      </c>
      <c r="S581" s="55"/>
      <c r="T581" s="55"/>
      <c r="U581" s="55"/>
      <c r="V581" s="34" t="s">
        <v>261</v>
      </c>
      <c r="W581" s="43">
        <v>45225</v>
      </c>
      <c r="X581" s="44" t="s">
        <v>488</v>
      </c>
    </row>
    <row r="582" spans="1:24" ht="17.45" customHeight="1" x14ac:dyDescent="0.25">
      <c r="A582" t="str">
        <f t="shared" si="159"/>
        <v>2910907252452251601357</v>
      </c>
      <c r="B582" s="6">
        <f t="shared" si="157"/>
        <v>45274</v>
      </c>
      <c r="C582" s="3">
        <f t="shared" si="158"/>
        <v>3178864</v>
      </c>
      <c r="D582" s="34">
        <v>2023</v>
      </c>
      <c r="E582" s="35">
        <v>2910907252</v>
      </c>
      <c r="F582" s="36" t="s">
        <v>489</v>
      </c>
      <c r="G582" s="37">
        <v>31800000</v>
      </c>
      <c r="H582" s="37">
        <v>3407143</v>
      </c>
      <c r="I582" s="38">
        <f>H582/G582</f>
        <v>0.10714286163522013</v>
      </c>
      <c r="J582" s="38">
        <f t="shared" si="154"/>
        <v>0.12000000563522016</v>
      </c>
      <c r="K582" s="37">
        <v>14946000</v>
      </c>
      <c r="L582" s="37">
        <f t="shared" si="151"/>
        <v>1601357</v>
      </c>
      <c r="M582" s="39">
        <v>0</v>
      </c>
      <c r="N582" s="37">
        <f t="shared" si="155"/>
        <v>1601357</v>
      </c>
      <c r="O582" s="40">
        <f t="shared" si="152"/>
        <v>640543</v>
      </c>
      <c r="P582" s="41" t="s">
        <v>456</v>
      </c>
      <c r="Q582" s="55"/>
      <c r="R582" s="42">
        <f t="shared" si="150"/>
        <v>960814</v>
      </c>
      <c r="S582" s="55"/>
      <c r="T582" s="55"/>
      <c r="U582" s="55"/>
      <c r="V582" s="34" t="s">
        <v>261</v>
      </c>
      <c r="W582" s="43">
        <v>45225</v>
      </c>
      <c r="X582" s="44" t="s">
        <v>490</v>
      </c>
    </row>
    <row r="583" spans="1:24" ht="17.45" customHeight="1" x14ac:dyDescent="0.25">
      <c r="A583" t="str">
        <f t="shared" si="159"/>
        <v>2910907287452251500000</v>
      </c>
      <c r="B583" s="6">
        <f t="shared" si="157"/>
        <v>45225</v>
      </c>
      <c r="C583" s="3">
        <f t="shared" si="158"/>
        <v>1500000</v>
      </c>
      <c r="D583" s="34">
        <v>2023</v>
      </c>
      <c r="E583" s="35">
        <v>2910907287</v>
      </c>
      <c r="F583" s="36" t="s">
        <v>491</v>
      </c>
      <c r="G583" s="37">
        <v>28000000</v>
      </c>
      <c r="H583" s="37">
        <v>3000000</v>
      </c>
      <c r="I583" s="38">
        <f>H583/G583</f>
        <v>0.10714285714285714</v>
      </c>
      <c r="J583" s="38">
        <f t="shared" si="154"/>
        <v>0.12</v>
      </c>
      <c r="K583" s="37">
        <v>14000000</v>
      </c>
      <c r="L583" s="37">
        <f t="shared" si="151"/>
        <v>1500000</v>
      </c>
      <c r="M583" s="39">
        <v>0</v>
      </c>
      <c r="N583" s="37">
        <f t="shared" si="155"/>
        <v>1500000</v>
      </c>
      <c r="O583" s="40">
        <f t="shared" si="152"/>
        <v>600000</v>
      </c>
      <c r="P583" s="41" t="s">
        <v>456</v>
      </c>
      <c r="Q583" s="55"/>
      <c r="R583" s="42">
        <f t="shared" si="150"/>
        <v>900000</v>
      </c>
      <c r="S583" s="55"/>
      <c r="T583" s="55"/>
      <c r="U583" s="55"/>
      <c r="V583" s="34" t="s">
        <v>261</v>
      </c>
      <c r="W583" s="43">
        <v>45225</v>
      </c>
      <c r="X583" s="44" t="s">
        <v>492</v>
      </c>
    </row>
    <row r="584" spans="1:24" ht="17.45" customHeight="1" x14ac:dyDescent="0.25">
      <c r="A584" t="str">
        <f t="shared" si="159"/>
        <v>2910907239452253522885</v>
      </c>
      <c r="B584" s="6">
        <f t="shared" si="157"/>
        <v>45225</v>
      </c>
      <c r="C584" s="3">
        <f t="shared" si="158"/>
        <v>3522885</v>
      </c>
      <c r="D584" s="34">
        <v>2023</v>
      </c>
      <c r="E584" s="35">
        <v>2910907239</v>
      </c>
      <c r="F584" s="36" t="s">
        <v>493</v>
      </c>
      <c r="G584" s="37">
        <v>80000000</v>
      </c>
      <c r="H584" s="37">
        <v>8571429</v>
      </c>
      <c r="I584" s="38">
        <f>H584/G584</f>
        <v>0.10714286250000001</v>
      </c>
      <c r="J584" s="38">
        <f t="shared" si="154"/>
        <v>0.12000000672000004</v>
      </c>
      <c r="K584" s="37">
        <v>32880258.859999999</v>
      </c>
      <c r="L584" s="37">
        <f t="shared" si="151"/>
        <v>3522885</v>
      </c>
      <c r="M584" s="39">
        <v>0</v>
      </c>
      <c r="N584" s="37">
        <f t="shared" si="155"/>
        <v>3522885</v>
      </c>
      <c r="O584" s="40">
        <f t="shared" si="152"/>
        <v>1409154</v>
      </c>
      <c r="P584" s="41" t="s">
        <v>456</v>
      </c>
      <c r="Q584" s="55"/>
      <c r="R584" s="42">
        <f t="shared" si="150"/>
        <v>2113731</v>
      </c>
      <c r="S584" s="55"/>
      <c r="T584" s="55"/>
      <c r="U584" s="55"/>
      <c r="V584" s="34" t="s">
        <v>261</v>
      </c>
      <c r="W584" s="43">
        <v>45225</v>
      </c>
      <c r="X584" s="44" t="s">
        <v>494</v>
      </c>
    </row>
    <row r="585" spans="1:24" ht="17.45" customHeight="1" x14ac:dyDescent="0.25">
      <c r="A585" t="str">
        <f t="shared" si="159"/>
        <v>24530183514519548777214</v>
      </c>
      <c r="B585" s="6">
        <f t="shared" si="157"/>
        <v>45433</v>
      </c>
      <c r="C585" s="3">
        <f t="shared" si="158"/>
        <v>128964400.14361468</v>
      </c>
      <c r="D585" s="34">
        <v>2023</v>
      </c>
      <c r="E585" s="35">
        <v>2453018351</v>
      </c>
      <c r="F585" s="36" t="s">
        <v>430</v>
      </c>
      <c r="G585" s="37">
        <v>1229752235</v>
      </c>
      <c r="H585" s="37">
        <v>131759168</v>
      </c>
      <c r="I585" s="38">
        <f t="shared" ref="I585:I592" si="160">+H585/G585</f>
        <v>0.10714285711381528</v>
      </c>
      <c r="J585" s="38">
        <f t="shared" si="154"/>
        <v>0.1199999999635699</v>
      </c>
      <c r="K585" s="37">
        <v>455254001</v>
      </c>
      <c r="L585" s="37">
        <f t="shared" si="151"/>
        <v>48777214</v>
      </c>
      <c r="M585" s="39">
        <f>L569</f>
        <v>38481168</v>
      </c>
      <c r="N585" s="37">
        <f t="shared" si="155"/>
        <v>10296046</v>
      </c>
      <c r="O585" s="40">
        <f t="shared" si="152"/>
        <v>4118418</v>
      </c>
      <c r="P585" s="41" t="s">
        <v>456</v>
      </c>
      <c r="Q585" s="55"/>
      <c r="R585" s="42">
        <f t="shared" si="150"/>
        <v>6177628</v>
      </c>
      <c r="S585" s="55"/>
      <c r="T585" s="55"/>
      <c r="U585" s="55"/>
      <c r="V585" s="34" t="s">
        <v>261</v>
      </c>
      <c r="W585" s="43">
        <v>45195</v>
      </c>
      <c r="X585" s="44" t="s">
        <v>425</v>
      </c>
    </row>
    <row r="586" spans="1:24" ht="17.45" customHeight="1" x14ac:dyDescent="0.25">
      <c r="A586" t="str">
        <f t="shared" si="159"/>
        <v>24530183424522515810652</v>
      </c>
      <c r="B586" s="6">
        <f t="shared" si="157"/>
        <v>45621</v>
      </c>
      <c r="C586" s="3">
        <f t="shared" si="158"/>
        <v>55256697.428571425</v>
      </c>
      <c r="D586" s="34">
        <v>2023</v>
      </c>
      <c r="E586" s="35">
        <v>2453018342</v>
      </c>
      <c r="F586" s="36" t="s">
        <v>378</v>
      </c>
      <c r="G586" s="37">
        <v>678090000</v>
      </c>
      <c r="H586" s="37">
        <v>72652500</v>
      </c>
      <c r="I586" s="38">
        <f t="shared" si="160"/>
        <v>0.10714285714285714</v>
      </c>
      <c r="J586" s="38">
        <f t="shared" si="154"/>
        <v>0.12</v>
      </c>
      <c r="K586" s="37">
        <v>147566081</v>
      </c>
      <c r="L586" s="37">
        <f t="shared" si="151"/>
        <v>15810652</v>
      </c>
      <c r="M586" s="39">
        <f>L529</f>
        <v>10834459</v>
      </c>
      <c r="N586" s="37">
        <f t="shared" si="155"/>
        <v>4976193</v>
      </c>
      <c r="O586" s="40">
        <f t="shared" si="152"/>
        <v>1990477</v>
      </c>
      <c r="P586" s="41" t="s">
        <v>456</v>
      </c>
      <c r="Q586" s="55"/>
      <c r="R586" s="42">
        <f t="shared" si="150"/>
        <v>2985716</v>
      </c>
      <c r="S586" s="55"/>
      <c r="T586" s="55"/>
      <c r="U586" s="55"/>
      <c r="V586" s="34" t="s">
        <v>261</v>
      </c>
      <c r="W586" s="43">
        <v>45225</v>
      </c>
      <c r="X586" s="44" t="s">
        <v>280</v>
      </c>
    </row>
    <row r="587" spans="1:24" ht="17.45" customHeight="1" x14ac:dyDescent="0.25">
      <c r="A587" t="str">
        <f t="shared" si="159"/>
        <v>2910908074452251963217</v>
      </c>
      <c r="B587" s="6">
        <f t="shared" si="157"/>
        <v>45532</v>
      </c>
      <c r="C587" s="3">
        <f t="shared" si="158"/>
        <v>3239167</v>
      </c>
      <c r="D587" s="34">
        <v>2023</v>
      </c>
      <c r="E587" s="35">
        <v>2910908074</v>
      </c>
      <c r="F587" s="36" t="s">
        <v>495</v>
      </c>
      <c r="G587" s="37">
        <v>18323356</v>
      </c>
      <c r="H587" s="37">
        <v>1963217</v>
      </c>
      <c r="I587" s="38">
        <f t="shared" si="160"/>
        <v>0.10714287273575866</v>
      </c>
      <c r="J587" s="38">
        <f t="shared" si="154"/>
        <v>0.12000001955973602</v>
      </c>
      <c r="K587" s="37">
        <v>18323356</v>
      </c>
      <c r="L587" s="37">
        <f t="shared" si="151"/>
        <v>1963217</v>
      </c>
      <c r="M587" s="39">
        <v>0</v>
      </c>
      <c r="N587" s="37">
        <f t="shared" si="155"/>
        <v>1963217</v>
      </c>
      <c r="O587" s="40">
        <f t="shared" si="152"/>
        <v>785287</v>
      </c>
      <c r="P587" s="41" t="s">
        <v>456</v>
      </c>
      <c r="Q587" s="55"/>
      <c r="R587" s="42">
        <f t="shared" si="150"/>
        <v>1177930</v>
      </c>
      <c r="S587" s="55"/>
      <c r="T587" s="55"/>
      <c r="U587" s="55"/>
      <c r="V587" s="34" t="s">
        <v>261</v>
      </c>
      <c r="W587" s="43">
        <v>45225</v>
      </c>
      <c r="X587" s="44" t="s">
        <v>413</v>
      </c>
    </row>
    <row r="588" spans="1:24" ht="17.45" customHeight="1" x14ac:dyDescent="0.25">
      <c r="A588" t="str">
        <f t="shared" si="159"/>
        <v>2910908075452259140914</v>
      </c>
      <c r="B588" s="6">
        <f t="shared" si="157"/>
        <v>45685</v>
      </c>
      <c r="C588" s="3">
        <f t="shared" si="158"/>
        <v>33992303</v>
      </c>
      <c r="D588" s="34">
        <v>2023</v>
      </c>
      <c r="E588" s="35">
        <v>2910908075</v>
      </c>
      <c r="F588" s="36" t="s">
        <v>496</v>
      </c>
      <c r="G588" s="37">
        <v>85315200</v>
      </c>
      <c r="H588" s="37">
        <v>9140914</v>
      </c>
      <c r="I588" s="38">
        <f t="shared" si="160"/>
        <v>0.10714285379393121</v>
      </c>
      <c r="J588" s="38">
        <f t="shared" si="154"/>
        <v>0.11999999579910732</v>
      </c>
      <c r="K588" s="37">
        <v>85315200</v>
      </c>
      <c r="L588" s="37">
        <f t="shared" si="151"/>
        <v>9140914</v>
      </c>
      <c r="M588" s="39">
        <v>0</v>
      </c>
      <c r="N588" s="37">
        <f t="shared" si="155"/>
        <v>9140914</v>
      </c>
      <c r="O588" s="40">
        <f t="shared" si="152"/>
        <v>3656366</v>
      </c>
      <c r="P588" s="41" t="s">
        <v>456</v>
      </c>
      <c r="Q588" s="55"/>
      <c r="R588" s="42">
        <f t="shared" si="150"/>
        <v>5484548</v>
      </c>
      <c r="S588" s="55"/>
      <c r="T588" s="55"/>
      <c r="U588" s="55"/>
      <c r="V588" s="34" t="s">
        <v>261</v>
      </c>
      <c r="W588" s="43">
        <v>45225</v>
      </c>
      <c r="X588" s="44" t="s">
        <v>413</v>
      </c>
    </row>
    <row r="589" spans="1:24" ht="17.45" customHeight="1" x14ac:dyDescent="0.25">
      <c r="A589" t="str">
        <f t="shared" si="159"/>
        <v>2910908080452251506343</v>
      </c>
      <c r="B589" s="6">
        <f t="shared" si="157"/>
        <v>45225</v>
      </c>
      <c r="C589" s="3">
        <f t="shared" si="158"/>
        <v>1506343</v>
      </c>
      <c r="D589" s="34">
        <v>2023</v>
      </c>
      <c r="E589" s="35">
        <v>2910908080</v>
      </c>
      <c r="F589" s="36" t="s">
        <v>497</v>
      </c>
      <c r="G589" s="37">
        <v>14059200</v>
      </c>
      <c r="H589" s="37">
        <v>1506343</v>
      </c>
      <c r="I589" s="38">
        <f t="shared" si="160"/>
        <v>0.10714286730397178</v>
      </c>
      <c r="J589" s="38">
        <f t="shared" si="154"/>
        <v>0.12000001274610234</v>
      </c>
      <c r="K589" s="37">
        <v>14059200</v>
      </c>
      <c r="L589" s="37">
        <f t="shared" si="151"/>
        <v>1506343</v>
      </c>
      <c r="M589" s="39">
        <v>0</v>
      </c>
      <c r="N589" s="37">
        <f t="shared" si="155"/>
        <v>1506343</v>
      </c>
      <c r="O589" s="40">
        <f t="shared" si="152"/>
        <v>602537</v>
      </c>
      <c r="P589" s="41" t="s">
        <v>456</v>
      </c>
      <c r="Q589" s="55"/>
      <c r="R589" s="42">
        <f t="shared" si="150"/>
        <v>903806</v>
      </c>
      <c r="S589" s="55"/>
      <c r="T589" s="55"/>
      <c r="U589" s="55"/>
      <c r="V589" s="34" t="s">
        <v>261</v>
      </c>
      <c r="W589" s="43">
        <v>45225</v>
      </c>
      <c r="X589" s="44" t="s">
        <v>413</v>
      </c>
    </row>
    <row r="590" spans="1:24" ht="17.45" customHeight="1" x14ac:dyDescent="0.25">
      <c r="A590" t="str">
        <f t="shared" si="159"/>
        <v>29109080794522521941214</v>
      </c>
      <c r="B590" s="6">
        <f t="shared" si="157"/>
        <v>45531</v>
      </c>
      <c r="C590" s="3">
        <f t="shared" si="158"/>
        <v>47562819.999999993</v>
      </c>
      <c r="D590" s="34">
        <v>2023</v>
      </c>
      <c r="E590" s="35">
        <v>2910908079</v>
      </c>
      <c r="F590" s="36" t="s">
        <v>498</v>
      </c>
      <c r="G590" s="37">
        <v>204784660</v>
      </c>
      <c r="H590" s="37">
        <v>21941214</v>
      </c>
      <c r="I590" s="38">
        <f t="shared" si="160"/>
        <v>0.10714285923564783</v>
      </c>
      <c r="J590" s="38">
        <f t="shared" si="154"/>
        <v>0.12000000262519664</v>
      </c>
      <c r="K590" s="37">
        <v>204784660</v>
      </c>
      <c r="L590" s="37">
        <v>21941214</v>
      </c>
      <c r="M590" s="39">
        <v>0</v>
      </c>
      <c r="N590" s="37">
        <v>21941213</v>
      </c>
      <c r="O590" s="40">
        <v>8776486</v>
      </c>
      <c r="P590" s="41" t="s">
        <v>456</v>
      </c>
      <c r="Q590" s="55"/>
      <c r="R590" s="42">
        <f t="shared" si="150"/>
        <v>13164727</v>
      </c>
      <c r="S590" s="55"/>
      <c r="T590" s="55"/>
      <c r="U590" s="55"/>
      <c r="V590" s="34" t="s">
        <v>261</v>
      </c>
      <c r="W590" s="43">
        <v>45225</v>
      </c>
      <c r="X590" s="44" t="s">
        <v>413</v>
      </c>
    </row>
    <row r="591" spans="1:24" ht="17.45" customHeight="1" x14ac:dyDescent="0.25">
      <c r="A591" t="str">
        <f t="shared" si="159"/>
        <v>2910908083452255095714</v>
      </c>
      <c r="B591" s="6">
        <f t="shared" si="157"/>
        <v>45532</v>
      </c>
      <c r="C591" s="3">
        <f t="shared" si="158"/>
        <v>12475179.000000002</v>
      </c>
      <c r="D591" s="34">
        <v>2023</v>
      </c>
      <c r="E591" s="35">
        <v>2910908083</v>
      </c>
      <c r="F591" s="36" t="s">
        <v>499</v>
      </c>
      <c r="G591" s="37">
        <v>47560000</v>
      </c>
      <c r="H591" s="37">
        <v>5095714</v>
      </c>
      <c r="I591" s="38">
        <f t="shared" si="160"/>
        <v>0.1071428511354079</v>
      </c>
      <c r="J591" s="38">
        <f t="shared" si="154"/>
        <v>0.11999999246425573</v>
      </c>
      <c r="K591" s="37">
        <v>47560000</v>
      </c>
      <c r="L591" s="37">
        <f t="shared" ref="L591:L622" si="161">ROUND((+K591*I591),0)</f>
        <v>5095714</v>
      </c>
      <c r="M591" s="39">
        <v>0</v>
      </c>
      <c r="N591" s="37">
        <f t="shared" ref="N591:N622" si="162">+L591-M591</f>
        <v>5095714</v>
      </c>
      <c r="O591" s="40">
        <f t="shared" ref="O591:O622" si="163">ROUND((N591*40%),0)</f>
        <v>2038286</v>
      </c>
      <c r="P591" s="41" t="s">
        <v>456</v>
      </c>
      <c r="Q591" s="55"/>
      <c r="R591" s="42">
        <f t="shared" si="150"/>
        <v>3057428</v>
      </c>
      <c r="S591" s="55"/>
      <c r="T591" s="55"/>
      <c r="U591" s="55"/>
      <c r="V591" s="34" t="s">
        <v>261</v>
      </c>
      <c r="W591" s="43">
        <v>45225</v>
      </c>
      <c r="X591" s="44" t="s">
        <v>413</v>
      </c>
    </row>
    <row r="592" spans="1:24" ht="17.45" customHeight="1" x14ac:dyDescent="0.25">
      <c r="A592" t="str">
        <f t="shared" si="159"/>
        <v>245301835045230218999388</v>
      </c>
      <c r="B592" s="6">
        <f t="shared" si="157"/>
        <v>45743</v>
      </c>
      <c r="C592" s="3">
        <f t="shared" si="158"/>
        <v>1344604499.9999998</v>
      </c>
      <c r="D592" s="34">
        <v>2023</v>
      </c>
      <c r="E592" s="35">
        <v>2453018350</v>
      </c>
      <c r="F592" s="36" t="s">
        <v>450</v>
      </c>
      <c r="G592" s="37">
        <v>16284654500</v>
      </c>
      <c r="H592" s="37">
        <v>1344604500</v>
      </c>
      <c r="I592" s="38">
        <f t="shared" si="160"/>
        <v>8.2568807339449546E-2</v>
      </c>
      <c r="J592" s="38">
        <f t="shared" si="154"/>
        <v>0.09</v>
      </c>
      <c r="K592" s="37">
        <v>2652325921</v>
      </c>
      <c r="L592" s="37">
        <f t="shared" si="161"/>
        <v>218999388</v>
      </c>
      <c r="M592" s="39">
        <v>35432470</v>
      </c>
      <c r="N592" s="37">
        <f t="shared" si="162"/>
        <v>183566918</v>
      </c>
      <c r="O592" s="40">
        <f t="shared" si="163"/>
        <v>73426767</v>
      </c>
      <c r="P592" s="41" t="s">
        <v>456</v>
      </c>
      <c r="Q592" s="55"/>
      <c r="R592" s="42">
        <f t="shared" si="150"/>
        <v>110140151</v>
      </c>
      <c r="S592" s="55"/>
      <c r="T592" s="55"/>
      <c r="U592" s="55"/>
      <c r="V592" s="34" t="s">
        <v>261</v>
      </c>
      <c r="W592" s="43">
        <v>45230</v>
      </c>
      <c r="X592" s="44" t="s">
        <v>451</v>
      </c>
    </row>
    <row r="593" spans="1:24" ht="17.45" customHeight="1" x14ac:dyDescent="0.25">
      <c r="A593" t="str">
        <f t="shared" si="159"/>
        <v>29109072224524431824159</v>
      </c>
      <c r="B593" s="6">
        <f t="shared" si="157"/>
        <v>45274</v>
      </c>
      <c r="C593" s="3">
        <f t="shared" si="158"/>
        <v>39780198</v>
      </c>
      <c r="D593" s="34">
        <v>2022</v>
      </c>
      <c r="E593" s="35">
        <v>2910907222</v>
      </c>
      <c r="F593" s="36" t="s">
        <v>383</v>
      </c>
      <c r="G593" s="37">
        <v>390823000</v>
      </c>
      <c r="H593" s="37">
        <v>41873893</v>
      </c>
      <c r="I593" s="38">
        <f>H593/G593</f>
        <v>0.10714285750838615</v>
      </c>
      <c r="J593" s="38">
        <f t="shared" si="154"/>
        <v>0.12000000045851958</v>
      </c>
      <c r="K593" s="37">
        <v>297025480</v>
      </c>
      <c r="L593" s="37">
        <f t="shared" si="161"/>
        <v>31824159</v>
      </c>
      <c r="M593" s="39">
        <v>23868119</v>
      </c>
      <c r="N593" s="37">
        <f t="shared" si="162"/>
        <v>7956040</v>
      </c>
      <c r="O593" s="40">
        <f t="shared" si="163"/>
        <v>3182416</v>
      </c>
      <c r="P593" s="41" t="s">
        <v>456</v>
      </c>
      <c r="Q593" s="55"/>
      <c r="R593" s="42">
        <f t="shared" si="150"/>
        <v>4773624</v>
      </c>
      <c r="S593" s="55"/>
      <c r="T593" s="55"/>
      <c r="U593" s="55"/>
      <c r="V593" s="34" t="s">
        <v>261</v>
      </c>
      <c r="W593" s="43">
        <v>45244</v>
      </c>
      <c r="X593" s="44" t="s">
        <v>500</v>
      </c>
    </row>
    <row r="594" spans="1:24" ht="17.45" customHeight="1" x14ac:dyDescent="0.25">
      <c r="A594" t="str">
        <f t="shared" si="159"/>
        <v>291090726145244535730</v>
      </c>
      <c r="B594" s="6">
        <f t="shared" si="157"/>
        <v>45316</v>
      </c>
      <c r="C594" s="3">
        <f t="shared" si="158"/>
        <v>1071429</v>
      </c>
      <c r="D594" s="34">
        <v>2023</v>
      </c>
      <c r="E594" s="35">
        <v>2910907261</v>
      </c>
      <c r="F594" s="36" t="s">
        <v>501</v>
      </c>
      <c r="G594" s="37">
        <v>10000000</v>
      </c>
      <c r="H594" s="37">
        <v>1071459</v>
      </c>
      <c r="I594" s="38">
        <f>H594/G594</f>
        <v>0.1071459</v>
      </c>
      <c r="J594" s="38">
        <f t="shared" si="154"/>
        <v>0.12000381697300824</v>
      </c>
      <c r="K594" s="37">
        <v>5000000</v>
      </c>
      <c r="L594" s="37">
        <f t="shared" si="161"/>
        <v>535730</v>
      </c>
      <c r="M594" s="39">
        <v>0</v>
      </c>
      <c r="N594" s="37">
        <f t="shared" si="162"/>
        <v>535730</v>
      </c>
      <c r="O594" s="40">
        <f t="shared" si="163"/>
        <v>214292</v>
      </c>
      <c r="P594" s="41" t="s">
        <v>456</v>
      </c>
      <c r="Q594" s="55"/>
      <c r="R594" s="42">
        <f t="shared" si="150"/>
        <v>321438</v>
      </c>
      <c r="S594" s="55"/>
      <c r="T594" s="55"/>
      <c r="U594" s="55"/>
      <c r="V594" s="34" t="s">
        <v>261</v>
      </c>
      <c r="W594" s="43">
        <v>45244</v>
      </c>
      <c r="X594" s="44" t="s">
        <v>502</v>
      </c>
    </row>
    <row r="595" spans="1:24" ht="17.45" customHeight="1" x14ac:dyDescent="0.25">
      <c r="A595" t="str">
        <f t="shared" si="159"/>
        <v>29109072794524425714286</v>
      </c>
      <c r="B595" s="6">
        <f t="shared" si="157"/>
        <v>45439</v>
      </c>
      <c r="C595" s="3">
        <f t="shared" si="158"/>
        <v>42857143</v>
      </c>
      <c r="D595" s="34">
        <v>2023</v>
      </c>
      <c r="E595" s="35">
        <v>2910907279</v>
      </c>
      <c r="F595" s="36" t="s">
        <v>503</v>
      </c>
      <c r="G595" s="37">
        <v>400000000</v>
      </c>
      <c r="H595" s="37">
        <v>42857143</v>
      </c>
      <c r="I595" s="38">
        <f>H595/G595</f>
        <v>0.10714285749999999</v>
      </c>
      <c r="J595" s="38">
        <f t="shared" si="154"/>
        <v>0.12000000044799999</v>
      </c>
      <c r="K595" s="37">
        <v>240000000</v>
      </c>
      <c r="L595" s="37">
        <f t="shared" si="161"/>
        <v>25714286</v>
      </c>
      <c r="M595" s="39">
        <v>0</v>
      </c>
      <c r="N595" s="37">
        <f t="shared" si="162"/>
        <v>25714286</v>
      </c>
      <c r="O595" s="40">
        <f t="shared" si="163"/>
        <v>10285714</v>
      </c>
      <c r="P595" s="41" t="s">
        <v>456</v>
      </c>
      <c r="Q595" s="55"/>
      <c r="R595" s="42">
        <f t="shared" si="150"/>
        <v>15428572</v>
      </c>
      <c r="S595" s="55"/>
      <c r="T595" s="55"/>
      <c r="U595" s="55"/>
      <c r="V595" s="34" t="s">
        <v>261</v>
      </c>
      <c r="W595" s="43">
        <v>45244</v>
      </c>
      <c r="X595" s="44" t="s">
        <v>504</v>
      </c>
    </row>
    <row r="596" spans="1:24" ht="17.45" customHeight="1" x14ac:dyDescent="0.25">
      <c r="A596" t="str">
        <f t="shared" si="159"/>
        <v>29109072244524415490665</v>
      </c>
      <c r="B596" s="6">
        <f t="shared" si="157"/>
        <v>45316</v>
      </c>
      <c r="C596" s="3">
        <f t="shared" si="158"/>
        <v>19784544</v>
      </c>
      <c r="D596" s="34">
        <v>2023</v>
      </c>
      <c r="E596" s="35">
        <v>2910907224</v>
      </c>
      <c r="F596" s="36" t="s">
        <v>374</v>
      </c>
      <c r="G596" s="37">
        <v>226521190</v>
      </c>
      <c r="H596" s="37">
        <v>24270127</v>
      </c>
      <c r="I596" s="38">
        <f t="shared" ref="I596:I605" si="164">+H596/G596</f>
        <v>0.10714285493555813</v>
      </c>
      <c r="J596" s="38">
        <f t="shared" si="154"/>
        <v>0.11999999723116413</v>
      </c>
      <c r="K596" s="37">
        <f>48193181+48193181+48193181</f>
        <v>144579543</v>
      </c>
      <c r="L596" s="37">
        <f t="shared" si="161"/>
        <v>15490665</v>
      </c>
      <c r="M596" s="39">
        <v>10327110</v>
      </c>
      <c r="N596" s="37">
        <f t="shared" si="162"/>
        <v>5163555</v>
      </c>
      <c r="O596" s="40">
        <f t="shared" si="163"/>
        <v>2065422</v>
      </c>
      <c r="P596" s="41" t="s">
        <v>456</v>
      </c>
      <c r="Q596" s="55"/>
      <c r="R596" s="42">
        <f t="shared" si="150"/>
        <v>3098133</v>
      </c>
      <c r="S596" s="55"/>
      <c r="T596" s="55"/>
      <c r="U596" s="55"/>
      <c r="V596" s="34" t="s">
        <v>261</v>
      </c>
      <c r="W596" s="43">
        <v>45244</v>
      </c>
      <c r="X596" s="44" t="s">
        <v>505</v>
      </c>
    </row>
    <row r="597" spans="1:24" ht="17.45" customHeight="1" x14ac:dyDescent="0.25">
      <c r="A597" t="str">
        <f t="shared" si="159"/>
        <v>291090725945244267857</v>
      </c>
      <c r="B597" s="6">
        <f t="shared" si="157"/>
        <v>45244</v>
      </c>
      <c r="C597" s="3">
        <f t="shared" si="158"/>
        <v>267857</v>
      </c>
      <c r="D597" s="34">
        <v>2023</v>
      </c>
      <c r="E597" s="35">
        <v>2910907259</v>
      </c>
      <c r="F597" s="36" t="s">
        <v>506</v>
      </c>
      <c r="G597" s="37">
        <v>5000000</v>
      </c>
      <c r="H597" s="37">
        <v>535714</v>
      </c>
      <c r="I597" s="38">
        <f t="shared" si="164"/>
        <v>0.1071428</v>
      </c>
      <c r="J597" s="38">
        <f t="shared" si="154"/>
        <v>0.11999992832000458</v>
      </c>
      <c r="K597" s="37">
        <v>2500000</v>
      </c>
      <c r="L597" s="37">
        <f t="shared" si="161"/>
        <v>267857</v>
      </c>
      <c r="M597" s="39">
        <v>0</v>
      </c>
      <c r="N597" s="37">
        <f t="shared" si="162"/>
        <v>267857</v>
      </c>
      <c r="O597" s="40">
        <f t="shared" si="163"/>
        <v>107143</v>
      </c>
      <c r="P597" s="41" t="s">
        <v>456</v>
      </c>
      <c r="Q597" s="55"/>
      <c r="R597" s="42">
        <f t="shared" si="150"/>
        <v>160714</v>
      </c>
      <c r="S597" s="55"/>
      <c r="T597" s="55"/>
      <c r="U597" s="55"/>
      <c r="V597" s="34" t="s">
        <v>261</v>
      </c>
      <c r="W597" s="43">
        <v>45244</v>
      </c>
      <c r="X597" s="44" t="s">
        <v>507</v>
      </c>
    </row>
    <row r="598" spans="1:24" ht="17.45" customHeight="1" x14ac:dyDescent="0.25">
      <c r="A598" t="str">
        <f t="shared" si="159"/>
        <v>2910907255452441697143</v>
      </c>
      <c r="B598" s="6">
        <f t="shared" si="157"/>
        <v>45531</v>
      </c>
      <c r="C598" s="3">
        <f t="shared" si="158"/>
        <v>3394285.4399999995</v>
      </c>
      <c r="D598" s="34">
        <v>2023</v>
      </c>
      <c r="E598" s="35">
        <v>2910907255</v>
      </c>
      <c r="F598" s="36" t="s">
        <v>508</v>
      </c>
      <c r="G598" s="37">
        <v>33000000</v>
      </c>
      <c r="H598" s="37">
        <v>3535714</v>
      </c>
      <c r="I598" s="38">
        <f t="shared" si="164"/>
        <v>0.10714284848484848</v>
      </c>
      <c r="J598" s="38">
        <f t="shared" si="154"/>
        <v>0.11999998913939404</v>
      </c>
      <c r="K598" s="37">
        <v>15840000</v>
      </c>
      <c r="L598" s="37">
        <f t="shared" si="161"/>
        <v>1697143</v>
      </c>
      <c r="M598" s="39">
        <v>0</v>
      </c>
      <c r="N598" s="37">
        <f t="shared" si="162"/>
        <v>1697143</v>
      </c>
      <c r="O598" s="40">
        <f t="shared" si="163"/>
        <v>678857</v>
      </c>
      <c r="P598" s="41" t="s">
        <v>456</v>
      </c>
      <c r="Q598" s="55"/>
      <c r="R598" s="42">
        <f t="shared" si="150"/>
        <v>1018286</v>
      </c>
      <c r="S598" s="55"/>
      <c r="T598" s="55"/>
      <c r="U598" s="55"/>
      <c r="V598" s="34" t="s">
        <v>261</v>
      </c>
      <c r="W598" s="43">
        <v>45244</v>
      </c>
      <c r="X598" s="44" t="s">
        <v>509</v>
      </c>
    </row>
    <row r="599" spans="1:24" ht="17.45" customHeight="1" x14ac:dyDescent="0.25">
      <c r="A599" t="str">
        <f t="shared" si="159"/>
        <v>29109072804524410714286</v>
      </c>
      <c r="B599" s="6">
        <f t="shared" si="157"/>
        <v>45316</v>
      </c>
      <c r="C599" s="3">
        <f t="shared" si="158"/>
        <v>53571429</v>
      </c>
      <c r="D599" s="34">
        <v>2023</v>
      </c>
      <c r="E599" s="35">
        <v>2910907280</v>
      </c>
      <c r="F599" s="36" t="s">
        <v>510</v>
      </c>
      <c r="G599" s="37">
        <v>500000000</v>
      </c>
      <c r="H599" s="37">
        <v>53571429</v>
      </c>
      <c r="I599" s="38">
        <f t="shared" si="164"/>
        <v>0.10714285799999999</v>
      </c>
      <c r="J599" s="38">
        <f t="shared" si="154"/>
        <v>0.12000000107520001</v>
      </c>
      <c r="K599" s="37">
        <v>100000000</v>
      </c>
      <c r="L599" s="37">
        <f t="shared" si="161"/>
        <v>10714286</v>
      </c>
      <c r="M599" s="39">
        <v>0</v>
      </c>
      <c r="N599" s="37">
        <f t="shared" si="162"/>
        <v>10714286</v>
      </c>
      <c r="O599" s="40">
        <f t="shared" si="163"/>
        <v>4285714</v>
      </c>
      <c r="P599" s="41" t="s">
        <v>456</v>
      </c>
      <c r="Q599" s="55"/>
      <c r="R599" s="42">
        <f t="shared" si="150"/>
        <v>6428572</v>
      </c>
      <c r="S599" s="55"/>
      <c r="T599" s="55"/>
      <c r="U599" s="55"/>
      <c r="V599" s="34" t="s">
        <v>261</v>
      </c>
      <c r="W599" s="43">
        <v>45244</v>
      </c>
      <c r="X599" s="44" t="s">
        <v>511</v>
      </c>
    </row>
    <row r="600" spans="1:24" ht="17.45" customHeight="1" x14ac:dyDescent="0.25">
      <c r="A600" t="str">
        <f t="shared" si="159"/>
        <v>29109072354524414362604</v>
      </c>
      <c r="B600" s="6">
        <f t="shared" si="157"/>
        <v>45467</v>
      </c>
      <c r="C600" s="3">
        <f t="shared" si="158"/>
        <v>20921469</v>
      </c>
      <c r="D600" s="34">
        <v>2023</v>
      </c>
      <c r="E600" s="35">
        <v>2910907235</v>
      </c>
      <c r="F600" s="36" t="s">
        <v>422</v>
      </c>
      <c r="G600" s="37">
        <v>195267045</v>
      </c>
      <c r="H600" s="37">
        <v>20921469</v>
      </c>
      <c r="I600" s="38">
        <f t="shared" si="164"/>
        <v>0.10714285659415801</v>
      </c>
      <c r="J600" s="38">
        <f t="shared" si="154"/>
        <v>0.11999999931171182</v>
      </c>
      <c r="K600" s="37">
        <f>28540531+47176068+58334369</f>
        <v>134050968</v>
      </c>
      <c r="L600" s="37">
        <f t="shared" si="161"/>
        <v>14362604</v>
      </c>
      <c r="M600" s="39">
        <v>8112493</v>
      </c>
      <c r="N600" s="37">
        <f t="shared" si="162"/>
        <v>6250111</v>
      </c>
      <c r="O600" s="40">
        <f t="shared" si="163"/>
        <v>2500044</v>
      </c>
      <c r="P600" s="41" t="s">
        <v>456</v>
      </c>
      <c r="Q600" s="55"/>
      <c r="R600" s="42">
        <f t="shared" si="150"/>
        <v>3750067</v>
      </c>
      <c r="S600" s="55"/>
      <c r="T600" s="55"/>
      <c r="U600" s="55"/>
      <c r="V600" s="34" t="s">
        <v>261</v>
      </c>
      <c r="W600" s="43">
        <v>45244</v>
      </c>
      <c r="X600" s="44" t="s">
        <v>512</v>
      </c>
    </row>
    <row r="601" spans="1:24" ht="17.45" customHeight="1" x14ac:dyDescent="0.25">
      <c r="A601" t="str">
        <f t="shared" si="159"/>
        <v>291090728845244160715</v>
      </c>
      <c r="B601" s="6">
        <f t="shared" si="157"/>
        <v>45244</v>
      </c>
      <c r="C601" s="3">
        <f t="shared" si="158"/>
        <v>160715</v>
      </c>
      <c r="D601" s="34">
        <v>2023</v>
      </c>
      <c r="E601" s="35">
        <v>2910907288</v>
      </c>
      <c r="F601" s="36" t="s">
        <v>513</v>
      </c>
      <c r="G601" s="37">
        <v>3000000</v>
      </c>
      <c r="H601" s="37">
        <v>321429</v>
      </c>
      <c r="I601" s="38">
        <f t="shared" si="164"/>
        <v>0.107143</v>
      </c>
      <c r="J601" s="38">
        <f t="shared" si="154"/>
        <v>0.12000017920002867</v>
      </c>
      <c r="K601" s="37">
        <v>1500000</v>
      </c>
      <c r="L601" s="37">
        <f t="shared" si="161"/>
        <v>160715</v>
      </c>
      <c r="M601" s="39">
        <v>0</v>
      </c>
      <c r="N601" s="37">
        <f t="shared" si="162"/>
        <v>160715</v>
      </c>
      <c r="O601" s="40">
        <f t="shared" si="163"/>
        <v>64286</v>
      </c>
      <c r="P601" s="41" t="s">
        <v>456</v>
      </c>
      <c r="Q601" s="55"/>
      <c r="R601" s="42">
        <f t="shared" si="150"/>
        <v>96429</v>
      </c>
      <c r="S601" s="55"/>
      <c r="T601" s="55"/>
      <c r="U601" s="55"/>
      <c r="V601" s="34" t="s">
        <v>261</v>
      </c>
      <c r="W601" s="43">
        <v>45244</v>
      </c>
      <c r="X601" s="44" t="s">
        <v>514</v>
      </c>
    </row>
    <row r="602" spans="1:24" ht="17.45" customHeight="1" x14ac:dyDescent="0.25">
      <c r="A602" t="str">
        <f t="shared" si="159"/>
        <v>29109072124524489501786</v>
      </c>
      <c r="B602" s="6">
        <f t="shared" si="157"/>
        <v>45244</v>
      </c>
      <c r="C602" s="3">
        <f t="shared" si="158"/>
        <v>89501786</v>
      </c>
      <c r="D602" s="34">
        <v>2022</v>
      </c>
      <c r="E602" s="35">
        <v>2910907212</v>
      </c>
      <c r="F602" s="36" t="s">
        <v>316</v>
      </c>
      <c r="G602" s="37">
        <v>835350000</v>
      </c>
      <c r="H602" s="37">
        <v>89501786</v>
      </c>
      <c r="I602" s="38">
        <f t="shared" si="164"/>
        <v>0.10714285748488657</v>
      </c>
      <c r="J602" s="38">
        <f t="shared" si="154"/>
        <v>0.12000000042904171</v>
      </c>
      <c r="K602" s="37">
        <f>417675000+83535000+83535000+83535000+83535000+83535000</f>
        <v>835350000</v>
      </c>
      <c r="L602" s="37">
        <f t="shared" si="161"/>
        <v>89501786</v>
      </c>
      <c r="M602" s="39">
        <v>80551607</v>
      </c>
      <c r="N602" s="37">
        <f t="shared" si="162"/>
        <v>8950179</v>
      </c>
      <c r="O602" s="40">
        <f t="shared" si="163"/>
        <v>3580072</v>
      </c>
      <c r="P602" s="41" t="s">
        <v>456</v>
      </c>
      <c r="Q602" s="55"/>
      <c r="R602" s="42">
        <f t="shared" si="150"/>
        <v>5370107</v>
      </c>
      <c r="S602" s="55"/>
      <c r="T602" s="55"/>
      <c r="U602" s="55"/>
      <c r="V602" s="34" t="s">
        <v>261</v>
      </c>
      <c r="W602" s="43">
        <v>45244</v>
      </c>
      <c r="X602" s="44" t="s">
        <v>515</v>
      </c>
    </row>
    <row r="603" spans="1:24" ht="17.45" customHeight="1" x14ac:dyDescent="0.25">
      <c r="A603" t="str">
        <f t="shared" si="159"/>
        <v>29109072294524442853560</v>
      </c>
      <c r="B603" s="6">
        <f t="shared" si="157"/>
        <v>45498</v>
      </c>
      <c r="C603" s="3">
        <f t="shared" si="158"/>
        <v>169192109.99999997</v>
      </c>
      <c r="D603" s="34">
        <v>2023</v>
      </c>
      <c r="E603" s="35">
        <v>2910907229</v>
      </c>
      <c r="F603" s="36" t="s">
        <v>433</v>
      </c>
      <c r="G603" s="37">
        <v>1995501200</v>
      </c>
      <c r="H603" s="37">
        <v>213803700</v>
      </c>
      <c r="I603" s="38">
        <f t="shared" si="164"/>
        <v>0.10714285714285714</v>
      </c>
      <c r="J603" s="38">
        <f t="shared" si="154"/>
        <v>0.12</v>
      </c>
      <c r="K603" s="37">
        <v>399966560</v>
      </c>
      <c r="L603" s="37">
        <f t="shared" si="161"/>
        <v>42853560</v>
      </c>
      <c r="M603" s="39">
        <v>19047090</v>
      </c>
      <c r="N603" s="37">
        <f t="shared" si="162"/>
        <v>23806470</v>
      </c>
      <c r="O603" s="40">
        <f t="shared" si="163"/>
        <v>9522588</v>
      </c>
      <c r="P603" s="41" t="s">
        <v>456</v>
      </c>
      <c r="Q603" s="55"/>
      <c r="R603" s="42">
        <f t="shared" si="150"/>
        <v>14283882</v>
      </c>
      <c r="S603" s="55"/>
      <c r="T603" s="55"/>
      <c r="U603" s="55"/>
      <c r="V603" s="34" t="s">
        <v>261</v>
      </c>
      <c r="W603" s="43">
        <v>45244</v>
      </c>
      <c r="X603" s="44" t="s">
        <v>516</v>
      </c>
    </row>
    <row r="604" spans="1:24" ht="17.45" customHeight="1" x14ac:dyDescent="0.25">
      <c r="A604" t="str">
        <f t="shared" si="159"/>
        <v>2910907244452442477679</v>
      </c>
      <c r="B604" s="6">
        <f t="shared" si="157"/>
        <v>45498</v>
      </c>
      <c r="C604" s="3">
        <f t="shared" si="158"/>
        <v>5357143</v>
      </c>
      <c r="D604" s="34">
        <v>2023</v>
      </c>
      <c r="E604" s="35">
        <v>2910907244</v>
      </c>
      <c r="F604" s="36" t="s">
        <v>517</v>
      </c>
      <c r="G604" s="37">
        <v>50000000</v>
      </c>
      <c r="H604" s="37">
        <v>5357143</v>
      </c>
      <c r="I604" s="38">
        <f t="shared" si="164"/>
        <v>0.10714286000000001</v>
      </c>
      <c r="J604" s="38">
        <f t="shared" si="154"/>
        <v>0.12000000358400001</v>
      </c>
      <c r="K604" s="37">
        <v>23125000</v>
      </c>
      <c r="L604" s="37">
        <f t="shared" si="161"/>
        <v>2477679</v>
      </c>
      <c r="M604" s="39">
        <v>0</v>
      </c>
      <c r="N604" s="37">
        <f t="shared" si="162"/>
        <v>2477679</v>
      </c>
      <c r="O604" s="40">
        <f t="shared" si="163"/>
        <v>991072</v>
      </c>
      <c r="P604" s="41" t="s">
        <v>456</v>
      </c>
      <c r="Q604" s="55"/>
      <c r="R604" s="42">
        <f t="shared" si="150"/>
        <v>1486607</v>
      </c>
      <c r="S604" s="55"/>
      <c r="T604" s="55"/>
      <c r="U604" s="55"/>
      <c r="V604" s="34" t="s">
        <v>261</v>
      </c>
      <c r="W604" s="43">
        <v>45244</v>
      </c>
      <c r="X604" s="44" t="s">
        <v>518</v>
      </c>
    </row>
    <row r="605" spans="1:24" ht="17.45" customHeight="1" x14ac:dyDescent="0.25">
      <c r="A605" t="str">
        <f t="shared" si="159"/>
        <v>245301834045244431817544</v>
      </c>
      <c r="B605" s="6">
        <f t="shared" si="157"/>
        <v>45524</v>
      </c>
      <c r="C605" s="3">
        <f t="shared" si="158"/>
        <v>750720353.98835123</v>
      </c>
      <c r="D605" s="34">
        <v>2022</v>
      </c>
      <c r="E605" s="35">
        <v>2453018340</v>
      </c>
      <c r="F605" s="36" t="s">
        <v>320</v>
      </c>
      <c r="G605" s="37">
        <v>7253407050</v>
      </c>
      <c r="H605" s="37">
        <v>774054537</v>
      </c>
      <c r="I605" s="38">
        <f t="shared" si="164"/>
        <v>0.10671599314145758</v>
      </c>
      <c r="J605" s="38">
        <f t="shared" si="154"/>
        <v>0.11946479767028537</v>
      </c>
      <c r="K605" s="37">
        <v>4046418264</v>
      </c>
      <c r="L605" s="37">
        <f t="shared" si="161"/>
        <v>431817544</v>
      </c>
      <c r="M605" s="39">
        <v>371442103</v>
      </c>
      <c r="N605" s="37">
        <f t="shared" si="162"/>
        <v>60375441</v>
      </c>
      <c r="O605" s="40">
        <f t="shared" si="163"/>
        <v>24150176</v>
      </c>
      <c r="P605" s="41" t="s">
        <v>456</v>
      </c>
      <c r="Q605" s="55"/>
      <c r="R605" s="42">
        <f t="shared" si="150"/>
        <v>36225265</v>
      </c>
      <c r="S605" s="55"/>
      <c r="T605" s="55"/>
      <c r="U605" s="55"/>
      <c r="V605" s="34" t="s">
        <v>261</v>
      </c>
      <c r="W605" s="43">
        <v>45244</v>
      </c>
      <c r="X605" s="44" t="s">
        <v>425</v>
      </c>
    </row>
    <row r="606" spans="1:24" ht="17.45" customHeight="1" x14ac:dyDescent="0.25">
      <c r="A606" t="str">
        <f t="shared" si="159"/>
        <v>245301833745244178958636</v>
      </c>
      <c r="B606" s="6">
        <f t="shared" si="157"/>
        <v>45244</v>
      </c>
      <c r="C606" s="3">
        <f t="shared" si="158"/>
        <v>178958636</v>
      </c>
      <c r="D606" s="34">
        <v>2022</v>
      </c>
      <c r="E606" s="35">
        <v>2453018337</v>
      </c>
      <c r="F606" s="36" t="s">
        <v>279</v>
      </c>
      <c r="G606" s="37">
        <v>1746041438</v>
      </c>
      <c r="H606" s="37">
        <v>187075868</v>
      </c>
      <c r="I606" s="38">
        <f>H606/G606</f>
        <v>0.10714285693831282</v>
      </c>
      <c r="J606" s="38">
        <f t="shared" si="154"/>
        <v>0.1199999997434196</v>
      </c>
      <c r="K606" s="37">
        <v>1670280606</v>
      </c>
      <c r="L606" s="37">
        <f t="shared" si="161"/>
        <v>178958636</v>
      </c>
      <c r="M606" s="39">
        <v>164288422</v>
      </c>
      <c r="N606" s="37">
        <f t="shared" si="162"/>
        <v>14670214</v>
      </c>
      <c r="O606" s="40">
        <f t="shared" si="163"/>
        <v>5868086</v>
      </c>
      <c r="P606" s="41" t="s">
        <v>456</v>
      </c>
      <c r="Q606" s="55"/>
      <c r="R606" s="42">
        <f t="shared" si="150"/>
        <v>8802128</v>
      </c>
      <c r="S606" s="55"/>
      <c r="T606" s="55"/>
      <c r="U606" s="55"/>
      <c r="V606" s="34" t="s">
        <v>261</v>
      </c>
      <c r="W606" s="43">
        <v>45244</v>
      </c>
      <c r="X606" s="44" t="s">
        <v>519</v>
      </c>
    </row>
    <row r="607" spans="1:24" ht="17.45" customHeight="1" x14ac:dyDescent="0.25">
      <c r="A607" t="str">
        <f t="shared" si="159"/>
        <v>24530183494524430380975</v>
      </c>
      <c r="B607" s="6">
        <f t="shared" si="157"/>
        <v>45433</v>
      </c>
      <c r="C607" s="3">
        <f t="shared" si="158"/>
        <v>275206500.04064482</v>
      </c>
      <c r="D607" s="34">
        <v>2023</v>
      </c>
      <c r="E607" s="35">
        <v>2453018349</v>
      </c>
      <c r="F607" s="36" t="s">
        <v>424</v>
      </c>
      <c r="G607" s="37">
        <v>2759044522</v>
      </c>
      <c r="H607" s="37">
        <v>295611913</v>
      </c>
      <c r="I607" s="38">
        <f>+H607/G607</f>
        <v>0.10714285711696826</v>
      </c>
      <c r="J607" s="38">
        <f t="shared" si="154"/>
        <v>0.11999999996752499</v>
      </c>
      <c r="K607" s="37">
        <v>283555763</v>
      </c>
      <c r="L607" s="37">
        <f t="shared" si="161"/>
        <v>30380975</v>
      </c>
      <c r="M607" s="39">
        <v>21108705</v>
      </c>
      <c r="N607" s="37">
        <f t="shared" si="162"/>
        <v>9272270</v>
      </c>
      <c r="O607" s="40">
        <f t="shared" si="163"/>
        <v>3708908</v>
      </c>
      <c r="P607" s="41" t="s">
        <v>456</v>
      </c>
      <c r="Q607" s="55"/>
      <c r="R607" s="42">
        <f t="shared" si="150"/>
        <v>5563362</v>
      </c>
      <c r="S607" s="55"/>
      <c r="T607" s="55"/>
      <c r="U607" s="55"/>
      <c r="V607" s="34" t="s">
        <v>261</v>
      </c>
      <c r="W607" s="43">
        <v>45244</v>
      </c>
      <c r="X607" s="44" t="s">
        <v>425</v>
      </c>
    </row>
    <row r="608" spans="1:24" ht="17.45" customHeight="1" x14ac:dyDescent="0.25">
      <c r="A608" t="str">
        <f t="shared" si="159"/>
        <v>24530183474524442151028</v>
      </c>
      <c r="B608" s="6">
        <f t="shared" si="157"/>
        <v>45730</v>
      </c>
      <c r="C608" s="3">
        <f t="shared" si="158"/>
        <v>227416985.11999634</v>
      </c>
      <c r="D608" s="34">
        <v>2023</v>
      </c>
      <c r="E608" s="35">
        <v>2453018347</v>
      </c>
      <c r="F608" s="36" t="s">
        <v>391</v>
      </c>
      <c r="G608" s="37">
        <v>1778543757</v>
      </c>
      <c r="H608" s="37">
        <v>213425250</v>
      </c>
      <c r="I608" s="38">
        <f>+H608/G608</f>
        <v>0.1199999995277035</v>
      </c>
      <c r="J608" s="38">
        <f t="shared" si="154"/>
        <v>0.13636363575374935</v>
      </c>
      <c r="K608" s="37">
        <v>351258572</v>
      </c>
      <c r="L608" s="37">
        <f t="shared" si="161"/>
        <v>42151028</v>
      </c>
      <c r="M608" s="39">
        <v>36016358</v>
      </c>
      <c r="N608" s="37">
        <f t="shared" si="162"/>
        <v>6134670</v>
      </c>
      <c r="O608" s="40">
        <f t="shared" si="163"/>
        <v>2453868</v>
      </c>
      <c r="P608" s="41" t="s">
        <v>456</v>
      </c>
      <c r="Q608" s="55"/>
      <c r="R608" s="42">
        <f t="shared" si="150"/>
        <v>3680802</v>
      </c>
      <c r="S608" s="55"/>
      <c r="T608" s="55"/>
      <c r="U608" s="55"/>
      <c r="V608" s="34" t="s">
        <v>261</v>
      </c>
      <c r="W608" s="43">
        <v>45244</v>
      </c>
      <c r="X608" s="44" t="s">
        <v>471</v>
      </c>
    </row>
    <row r="609" spans="1:24" ht="17.45" customHeight="1" x14ac:dyDescent="0.25">
      <c r="A609" t="str">
        <f t="shared" si="159"/>
        <v>24530183484524420181497</v>
      </c>
      <c r="B609" s="6">
        <f t="shared" si="157"/>
        <v>45553</v>
      </c>
      <c r="C609" s="3">
        <f t="shared" si="158"/>
        <v>250867949.19596934</v>
      </c>
      <c r="D609" s="34">
        <v>2023</v>
      </c>
      <c r="E609" s="35">
        <v>2453018348</v>
      </c>
      <c r="F609" s="36" t="s">
        <v>426</v>
      </c>
      <c r="G609" s="37">
        <v>3529418400</v>
      </c>
      <c r="H609" s="37">
        <v>378151971</v>
      </c>
      <c r="I609" s="38">
        <f>+H609/G609</f>
        <v>0.1071428570214288</v>
      </c>
      <c r="J609" s="38">
        <f t="shared" si="154"/>
        <v>0.11999999984768028</v>
      </c>
      <c r="K609" s="37">
        <v>188360635</v>
      </c>
      <c r="L609" s="37">
        <f t="shared" si="161"/>
        <v>20181497</v>
      </c>
      <c r="M609" s="39">
        <v>12577324</v>
      </c>
      <c r="N609" s="37">
        <f t="shared" si="162"/>
        <v>7604173</v>
      </c>
      <c r="O609" s="40">
        <f t="shared" si="163"/>
        <v>3041669</v>
      </c>
      <c r="P609" s="41" t="s">
        <v>456</v>
      </c>
      <c r="Q609" s="55"/>
      <c r="R609" s="42">
        <f t="shared" si="150"/>
        <v>4562504</v>
      </c>
      <c r="S609" s="55"/>
      <c r="T609" s="55"/>
      <c r="U609" s="55"/>
      <c r="V609" s="34" t="s">
        <v>261</v>
      </c>
      <c r="W609" s="43">
        <v>45244</v>
      </c>
      <c r="X609" s="44" t="s">
        <v>425</v>
      </c>
    </row>
    <row r="610" spans="1:24" ht="17.45" customHeight="1" x14ac:dyDescent="0.25">
      <c r="A610" t="str">
        <f t="shared" si="159"/>
        <v>24530183514524457324244</v>
      </c>
      <c r="B610" s="6">
        <f t="shared" si="157"/>
        <v>45433</v>
      </c>
      <c r="C610" s="3">
        <f t="shared" si="158"/>
        <v>128964400.14361468</v>
      </c>
      <c r="D610" s="34">
        <v>2023</v>
      </c>
      <c r="E610" s="35">
        <v>2453018351</v>
      </c>
      <c r="F610" s="36" t="s">
        <v>430</v>
      </c>
      <c r="G610" s="37">
        <v>1229752235</v>
      </c>
      <c r="H610" s="37">
        <v>131759168</v>
      </c>
      <c r="I610" s="38">
        <f>+H610/G610</f>
        <v>0.10714285711381528</v>
      </c>
      <c r="J610" s="38">
        <f t="shared" si="154"/>
        <v>0.1199999999635699</v>
      </c>
      <c r="K610" s="37">
        <v>535026279</v>
      </c>
      <c r="L610" s="37">
        <f t="shared" si="161"/>
        <v>57324244</v>
      </c>
      <c r="M610" s="39">
        <v>48777214</v>
      </c>
      <c r="N610" s="37">
        <f t="shared" si="162"/>
        <v>8547030</v>
      </c>
      <c r="O610" s="40">
        <f t="shared" si="163"/>
        <v>3418812</v>
      </c>
      <c r="P610" s="41" t="s">
        <v>456</v>
      </c>
      <c r="Q610" s="55"/>
      <c r="R610" s="42">
        <f t="shared" ref="R610:R673" si="165">+N610-O610</f>
        <v>5128218</v>
      </c>
      <c r="S610" s="55"/>
      <c r="T610" s="55"/>
      <c r="U610" s="55"/>
      <c r="V610" s="34" t="s">
        <v>261</v>
      </c>
      <c r="W610" s="43">
        <v>45244</v>
      </c>
      <c r="X610" s="44" t="s">
        <v>425</v>
      </c>
    </row>
    <row r="611" spans="1:24" ht="17.45" customHeight="1" x14ac:dyDescent="0.25">
      <c r="A611" t="str">
        <f t="shared" si="159"/>
        <v>24530183434524414204016</v>
      </c>
      <c r="B611" s="6">
        <f t="shared" si="157"/>
        <v>45433</v>
      </c>
      <c r="C611" s="3">
        <f t="shared" si="158"/>
        <v>22186609.407061499</v>
      </c>
      <c r="D611" s="34">
        <v>2023</v>
      </c>
      <c r="E611" s="35">
        <v>2453018343</v>
      </c>
      <c r="F611" s="36" t="s">
        <v>379</v>
      </c>
      <c r="G611" s="37">
        <v>243781000</v>
      </c>
      <c r="H611" s="37">
        <v>26119393</v>
      </c>
      <c r="I611" s="38">
        <f>H611/G611</f>
        <v>0.1071428577288632</v>
      </c>
      <c r="J611" s="38">
        <f t="shared" si="154"/>
        <v>0.120000000735086</v>
      </c>
      <c r="K611" s="37">
        <v>132570819</v>
      </c>
      <c r="L611" s="37">
        <f t="shared" si="161"/>
        <v>14204016</v>
      </c>
      <c r="M611" s="39">
        <v>6680978</v>
      </c>
      <c r="N611" s="37">
        <f t="shared" si="162"/>
        <v>7523038</v>
      </c>
      <c r="O611" s="40">
        <f t="shared" si="163"/>
        <v>3009215</v>
      </c>
      <c r="P611" s="41" t="s">
        <v>456</v>
      </c>
      <c r="Q611" s="55"/>
      <c r="R611" s="42">
        <f t="shared" si="165"/>
        <v>4513823</v>
      </c>
      <c r="S611" s="55"/>
      <c r="T611" s="55"/>
      <c r="U611" s="55"/>
      <c r="V611" s="34" t="s">
        <v>261</v>
      </c>
      <c r="W611" s="43">
        <v>45244</v>
      </c>
      <c r="X611" s="44" t="s">
        <v>280</v>
      </c>
    </row>
    <row r="612" spans="1:24" ht="17.45" customHeight="1" x14ac:dyDescent="0.25">
      <c r="A612" t="str">
        <f t="shared" si="159"/>
        <v>24530183524524419048012</v>
      </c>
      <c r="B612" s="6">
        <f t="shared" si="157"/>
        <v>45531</v>
      </c>
      <c r="C612" s="3">
        <f t="shared" si="158"/>
        <v>218662504.66231647</v>
      </c>
      <c r="D612" s="34">
        <v>2023</v>
      </c>
      <c r="E612" s="35">
        <v>2453018352</v>
      </c>
      <c r="F612" s="36" t="s">
        <v>469</v>
      </c>
      <c r="G612" s="37">
        <v>5189063824</v>
      </c>
      <c r="H612" s="37">
        <v>261032799</v>
      </c>
      <c r="I612" s="38">
        <v>0.10714285748488657</v>
      </c>
      <c r="J612" s="38">
        <v>0.12000000042904171</v>
      </c>
      <c r="K612" s="37">
        <v>177781448</v>
      </c>
      <c r="L612" s="37">
        <f t="shared" si="161"/>
        <v>19048012</v>
      </c>
      <c r="M612" s="39">
        <v>8866659</v>
      </c>
      <c r="N612" s="37">
        <f t="shared" si="162"/>
        <v>10181353</v>
      </c>
      <c r="O612" s="40">
        <f t="shared" si="163"/>
        <v>4072541</v>
      </c>
      <c r="P612" s="41" t="s">
        <v>456</v>
      </c>
      <c r="Q612" s="55"/>
      <c r="R612" s="42">
        <f t="shared" si="165"/>
        <v>6108812</v>
      </c>
      <c r="S612" s="55"/>
      <c r="T612" s="55"/>
      <c r="U612" s="55"/>
      <c r="V612" s="34" t="s">
        <v>261</v>
      </c>
      <c r="W612" s="43">
        <v>45244</v>
      </c>
      <c r="X612" s="44" t="s">
        <v>470</v>
      </c>
    </row>
    <row r="613" spans="1:24" ht="17.45" customHeight="1" x14ac:dyDescent="0.25">
      <c r="A613" t="str">
        <f t="shared" si="159"/>
        <v>291090723845257341683578</v>
      </c>
      <c r="B613" s="6">
        <f t="shared" si="157"/>
        <v>45642</v>
      </c>
      <c r="C613" s="3">
        <f t="shared" si="158"/>
        <v>1951263569.1784461</v>
      </c>
      <c r="D613" s="34">
        <v>2023</v>
      </c>
      <c r="E613" s="35">
        <v>2910907238</v>
      </c>
      <c r="F613" s="36" t="s">
        <v>520</v>
      </c>
      <c r="G613" s="37">
        <v>12151862208</v>
      </c>
      <c r="H613" s="37">
        <v>1301985237</v>
      </c>
      <c r="I613" s="38">
        <v>0.107142857484887</v>
      </c>
      <c r="J613" s="38">
        <v>0.12000000042904171</v>
      </c>
      <c r="K613" s="37">
        <v>3189046719</v>
      </c>
      <c r="L613" s="37">
        <f t="shared" si="161"/>
        <v>341683578</v>
      </c>
      <c r="M613" s="39">
        <v>0</v>
      </c>
      <c r="N613" s="37">
        <f t="shared" si="162"/>
        <v>341683578</v>
      </c>
      <c r="O613" s="40">
        <f t="shared" si="163"/>
        <v>136673431</v>
      </c>
      <c r="P613" s="41" t="s">
        <v>456</v>
      </c>
      <c r="Q613" s="55"/>
      <c r="R613" s="42">
        <f t="shared" si="165"/>
        <v>205010147</v>
      </c>
      <c r="S613" s="55"/>
      <c r="T613" s="55"/>
      <c r="U613" s="55"/>
      <c r="V613" s="34" t="s">
        <v>261</v>
      </c>
      <c r="W613" s="43">
        <v>45257</v>
      </c>
      <c r="X613" s="44" t="s">
        <v>521</v>
      </c>
    </row>
    <row r="614" spans="1:24" ht="17.45" customHeight="1" x14ac:dyDescent="0.25">
      <c r="A614" t="str">
        <f t="shared" si="159"/>
        <v>245301834045257470962790</v>
      </c>
      <c r="B614" s="6">
        <f t="shared" si="157"/>
        <v>45524</v>
      </c>
      <c r="C614" s="3">
        <f t="shared" si="158"/>
        <v>750720353.98835123</v>
      </c>
      <c r="D614" s="34">
        <v>2022</v>
      </c>
      <c r="E614" s="35">
        <v>2453018340</v>
      </c>
      <c r="F614" s="36" t="s">
        <v>320</v>
      </c>
      <c r="G614" s="37">
        <v>7253407050</v>
      </c>
      <c r="H614" s="37">
        <v>774054537</v>
      </c>
      <c r="I614" s="38">
        <f>+H614/G614</f>
        <v>0.10671599314145758</v>
      </c>
      <c r="J614" s="38">
        <f>IFERROR((+H614/(G614-H614)),0)</f>
        <v>0.11946479767028537</v>
      </c>
      <c r="K614" s="37">
        <v>4413235321</v>
      </c>
      <c r="L614" s="37">
        <f t="shared" si="161"/>
        <v>470962790</v>
      </c>
      <c r="M614" s="39">
        <v>431817544</v>
      </c>
      <c r="N614" s="37">
        <f t="shared" si="162"/>
        <v>39145246</v>
      </c>
      <c r="O614" s="40">
        <f t="shared" si="163"/>
        <v>15658098</v>
      </c>
      <c r="P614" s="41" t="s">
        <v>456</v>
      </c>
      <c r="Q614" s="55"/>
      <c r="R614" s="42">
        <f t="shared" si="165"/>
        <v>23487148</v>
      </c>
      <c r="S614" s="55"/>
      <c r="T614" s="55"/>
      <c r="U614" s="55"/>
      <c r="V614" s="34" t="s">
        <v>261</v>
      </c>
      <c r="W614" s="43">
        <v>45257</v>
      </c>
      <c r="X614" s="44" t="s">
        <v>425</v>
      </c>
    </row>
    <row r="615" spans="1:24" ht="17.45" customHeight="1" x14ac:dyDescent="0.25">
      <c r="A615" t="str">
        <f t="shared" si="159"/>
        <v>24530183524525735477725</v>
      </c>
      <c r="B615" s="6">
        <f t="shared" si="157"/>
        <v>45531</v>
      </c>
      <c r="C615" s="3">
        <f t="shared" si="158"/>
        <v>218662504.66231647</v>
      </c>
      <c r="D615" s="34">
        <v>2023</v>
      </c>
      <c r="E615" s="35">
        <v>2453018352</v>
      </c>
      <c r="F615" s="36" t="s">
        <v>469</v>
      </c>
      <c r="G615" s="37">
        <v>5189063824</v>
      </c>
      <c r="H615" s="37">
        <v>261032799</v>
      </c>
      <c r="I615" s="38">
        <v>0.10714285748488657</v>
      </c>
      <c r="J615" s="38">
        <v>0.12000000042904171</v>
      </c>
      <c r="K615" s="37">
        <v>331125432</v>
      </c>
      <c r="L615" s="37">
        <f t="shared" si="161"/>
        <v>35477725</v>
      </c>
      <c r="M615" s="39">
        <v>19048012</v>
      </c>
      <c r="N615" s="37">
        <f t="shared" si="162"/>
        <v>16429713</v>
      </c>
      <c r="O615" s="40">
        <f t="shared" si="163"/>
        <v>6571885</v>
      </c>
      <c r="P615" s="41" t="s">
        <v>456</v>
      </c>
      <c r="Q615" s="55"/>
      <c r="R615" s="42">
        <f t="shared" si="165"/>
        <v>9857828</v>
      </c>
      <c r="S615" s="55"/>
      <c r="T615" s="55"/>
      <c r="U615" s="55"/>
      <c r="V615" s="34" t="s">
        <v>261</v>
      </c>
      <c r="W615" s="43">
        <v>45257</v>
      </c>
      <c r="X615" s="44" t="s">
        <v>470</v>
      </c>
    </row>
    <row r="616" spans="1:24" ht="17.45" customHeight="1" x14ac:dyDescent="0.25">
      <c r="A616" t="str">
        <f t="shared" si="159"/>
        <v>24530183454525710343475</v>
      </c>
      <c r="B616" s="6">
        <f t="shared" si="157"/>
        <v>45525</v>
      </c>
      <c r="C616" s="3">
        <f t="shared" si="158"/>
        <v>45271421.946191989</v>
      </c>
      <c r="D616" s="34">
        <v>2023</v>
      </c>
      <c r="E616" s="35">
        <v>2453018345</v>
      </c>
      <c r="F616" s="36" t="s">
        <v>522</v>
      </c>
      <c r="G616" s="37">
        <v>483200000</v>
      </c>
      <c r="H616" s="37">
        <v>51771429</v>
      </c>
      <c r="I616" s="38">
        <v>0.107142857484887</v>
      </c>
      <c r="J616" s="38">
        <v>0.12000000042904171</v>
      </c>
      <c r="K616" s="37">
        <v>96539100</v>
      </c>
      <c r="L616" s="37">
        <f t="shared" si="161"/>
        <v>10343475</v>
      </c>
      <c r="M616" s="39">
        <v>0</v>
      </c>
      <c r="N616" s="37">
        <f t="shared" si="162"/>
        <v>10343475</v>
      </c>
      <c r="O616" s="40">
        <f t="shared" si="163"/>
        <v>4137390</v>
      </c>
      <c r="P616" s="41" t="s">
        <v>456</v>
      </c>
      <c r="Q616" s="55"/>
      <c r="R616" s="42">
        <f t="shared" si="165"/>
        <v>6206085</v>
      </c>
      <c r="S616" s="55"/>
      <c r="T616" s="55"/>
      <c r="U616" s="55"/>
      <c r="V616" s="34" t="s">
        <v>261</v>
      </c>
      <c r="W616" s="43">
        <v>45257</v>
      </c>
      <c r="X616" s="44"/>
    </row>
    <row r="617" spans="1:24" ht="17.45" customHeight="1" x14ac:dyDescent="0.25">
      <c r="A617" t="str">
        <f t="shared" si="159"/>
        <v>24530183474525752582628</v>
      </c>
      <c r="B617" s="6">
        <f t="shared" si="157"/>
        <v>45730</v>
      </c>
      <c r="C617" s="3">
        <f t="shared" si="158"/>
        <v>227416985.11999634</v>
      </c>
      <c r="D617" s="34">
        <v>2023</v>
      </c>
      <c r="E617" s="35">
        <v>2453018347</v>
      </c>
      <c r="F617" s="36" t="s">
        <v>391</v>
      </c>
      <c r="G617" s="37">
        <v>1778543757</v>
      </c>
      <c r="H617" s="37">
        <v>213425250</v>
      </c>
      <c r="I617" s="38">
        <f>+H617/G617</f>
        <v>0.1199999995277035</v>
      </c>
      <c r="J617" s="38">
        <f t="shared" ref="J617:J625" si="166">IFERROR((+H617/(G617-H617)),0)</f>
        <v>0.13636363575374935</v>
      </c>
      <c r="K617" s="37">
        <v>438188572</v>
      </c>
      <c r="L617" s="37">
        <f t="shared" si="161"/>
        <v>52582628</v>
      </c>
      <c r="M617" s="39">
        <v>42151028</v>
      </c>
      <c r="N617" s="37">
        <f t="shared" si="162"/>
        <v>10431600</v>
      </c>
      <c r="O617" s="40">
        <f t="shared" si="163"/>
        <v>4172640</v>
      </c>
      <c r="P617" s="41" t="s">
        <v>456</v>
      </c>
      <c r="Q617" s="55"/>
      <c r="R617" s="42">
        <f t="shared" si="165"/>
        <v>6258960</v>
      </c>
      <c r="S617" s="55"/>
      <c r="T617" s="55"/>
      <c r="U617" s="55"/>
      <c r="V617" s="34" t="s">
        <v>261</v>
      </c>
      <c r="W617" s="43">
        <v>45257</v>
      </c>
      <c r="X617" s="44" t="s">
        <v>471</v>
      </c>
    </row>
    <row r="618" spans="1:24" ht="17.45" customHeight="1" x14ac:dyDescent="0.25">
      <c r="A618" t="str">
        <f t="shared" si="159"/>
        <v>24530183484524426288639</v>
      </c>
      <c r="B618" s="6">
        <f t="shared" si="157"/>
        <v>45553</v>
      </c>
      <c r="C618" s="3">
        <f t="shared" si="158"/>
        <v>250867949.19596934</v>
      </c>
      <c r="D618" s="34">
        <v>2023</v>
      </c>
      <c r="E618" s="35">
        <v>2453018348</v>
      </c>
      <c r="F618" s="36" t="s">
        <v>426</v>
      </c>
      <c r="G618" s="37">
        <v>3529418400</v>
      </c>
      <c r="H618" s="37">
        <v>378151971</v>
      </c>
      <c r="I618" s="38">
        <f>+H618/G618</f>
        <v>0.1071428570214288</v>
      </c>
      <c r="J618" s="38">
        <f t="shared" si="166"/>
        <v>0.11999999984768028</v>
      </c>
      <c r="K618" s="37">
        <v>245360635</v>
      </c>
      <c r="L618" s="37">
        <f t="shared" si="161"/>
        <v>26288639</v>
      </c>
      <c r="M618" s="39">
        <v>20181497</v>
      </c>
      <c r="N618" s="37">
        <f t="shared" si="162"/>
        <v>6107142</v>
      </c>
      <c r="O618" s="40">
        <f t="shared" si="163"/>
        <v>2442857</v>
      </c>
      <c r="P618" s="41" t="s">
        <v>456</v>
      </c>
      <c r="Q618" s="55"/>
      <c r="R618" s="42">
        <f t="shared" si="165"/>
        <v>3664285</v>
      </c>
      <c r="S618" s="55"/>
      <c r="T618" s="55"/>
      <c r="U618" s="55"/>
      <c r="V618" s="34" t="s">
        <v>261</v>
      </c>
      <c r="W618" s="43">
        <v>45244</v>
      </c>
      <c r="X618" s="44" t="s">
        <v>425</v>
      </c>
    </row>
    <row r="619" spans="1:24" ht="17.45" customHeight="1" x14ac:dyDescent="0.25">
      <c r="A619" t="str">
        <f t="shared" si="159"/>
        <v>24530183434524416040899</v>
      </c>
      <c r="B619" s="6">
        <f t="shared" si="157"/>
        <v>45433</v>
      </c>
      <c r="C619" s="3">
        <f t="shared" si="158"/>
        <v>22186609.407061499</v>
      </c>
      <c r="D619" s="34">
        <v>2023</v>
      </c>
      <c r="E619" s="35">
        <v>2453018343</v>
      </c>
      <c r="F619" s="36" t="s">
        <v>379</v>
      </c>
      <c r="G619" s="37">
        <v>243781000</v>
      </c>
      <c r="H619" s="37">
        <v>26119393</v>
      </c>
      <c r="I619" s="38">
        <f>H619/G619</f>
        <v>0.1071428577288632</v>
      </c>
      <c r="J619" s="38">
        <f t="shared" si="166"/>
        <v>0.120000000735086</v>
      </c>
      <c r="K619" s="37">
        <v>149715054</v>
      </c>
      <c r="L619" s="37">
        <f t="shared" si="161"/>
        <v>16040899</v>
      </c>
      <c r="M619" s="39">
        <v>14204016</v>
      </c>
      <c r="N619" s="37">
        <f t="shared" si="162"/>
        <v>1836883</v>
      </c>
      <c r="O619" s="40">
        <f t="shared" si="163"/>
        <v>734753</v>
      </c>
      <c r="P619" s="41" t="s">
        <v>456</v>
      </c>
      <c r="Q619" s="55"/>
      <c r="R619" s="42">
        <f t="shared" si="165"/>
        <v>1102130</v>
      </c>
      <c r="S619" s="55"/>
      <c r="T619" s="55"/>
      <c r="U619" s="55"/>
      <c r="V619" s="34" t="s">
        <v>261</v>
      </c>
      <c r="W619" s="43">
        <v>45244</v>
      </c>
      <c r="X619" s="44" t="s">
        <v>280</v>
      </c>
    </row>
    <row r="620" spans="1:24" ht="17.45" customHeight="1" x14ac:dyDescent="0.25">
      <c r="A620" t="str">
        <f t="shared" si="159"/>
        <v>24530183514524466870290</v>
      </c>
      <c r="B620" s="6">
        <f t="shared" si="157"/>
        <v>45433</v>
      </c>
      <c r="C620" s="3">
        <f t="shared" si="158"/>
        <v>128964400.14361468</v>
      </c>
      <c r="D620" s="34">
        <v>2023</v>
      </c>
      <c r="E620" s="35">
        <v>2453018351</v>
      </c>
      <c r="F620" s="36" t="s">
        <v>430</v>
      </c>
      <c r="G620" s="37">
        <v>1229752235</v>
      </c>
      <c r="H620" s="37">
        <v>131759168</v>
      </c>
      <c r="I620" s="38">
        <f t="shared" ref="I620:I625" si="167">+H620/G620</f>
        <v>0.10714285711381528</v>
      </c>
      <c r="J620" s="38">
        <f t="shared" si="166"/>
        <v>0.1199999999635699</v>
      </c>
      <c r="K620" s="37">
        <v>624122708</v>
      </c>
      <c r="L620" s="37">
        <f t="shared" si="161"/>
        <v>66870290</v>
      </c>
      <c r="M620" s="39">
        <v>57324244</v>
      </c>
      <c r="N620" s="37">
        <f t="shared" si="162"/>
        <v>9546046</v>
      </c>
      <c r="O620" s="40">
        <f t="shared" si="163"/>
        <v>3818418</v>
      </c>
      <c r="P620" s="41" t="s">
        <v>456</v>
      </c>
      <c r="Q620" s="55"/>
      <c r="R620" s="42">
        <f t="shared" si="165"/>
        <v>5727628</v>
      </c>
      <c r="S620" s="55"/>
      <c r="T620" s="55"/>
      <c r="U620" s="55"/>
      <c r="V620" s="34" t="s">
        <v>261</v>
      </c>
      <c r="W620" s="43">
        <v>45244</v>
      </c>
      <c r="X620" s="44" t="s">
        <v>425</v>
      </c>
    </row>
    <row r="621" spans="1:24" ht="17.45" customHeight="1" x14ac:dyDescent="0.25">
      <c r="A621" t="str">
        <f t="shared" si="159"/>
        <v>29109083394513252255649</v>
      </c>
      <c r="B621" s="6">
        <f t="shared" si="157"/>
        <v>45132</v>
      </c>
      <c r="C621" s="3">
        <f t="shared" si="158"/>
        <v>52255649</v>
      </c>
      <c r="D621" s="34">
        <v>2022</v>
      </c>
      <c r="E621" s="35">
        <v>2910908339</v>
      </c>
      <c r="F621" s="36" t="s">
        <v>311</v>
      </c>
      <c r="G621" s="37">
        <v>492800000</v>
      </c>
      <c r="H621" s="37">
        <v>52800000</v>
      </c>
      <c r="I621" s="38">
        <f t="shared" si="167"/>
        <v>0.10714285714285714</v>
      </c>
      <c r="J621" s="38">
        <f t="shared" si="166"/>
        <v>0.12</v>
      </c>
      <c r="K621" s="37">
        <v>487719388</v>
      </c>
      <c r="L621" s="37">
        <f t="shared" si="161"/>
        <v>52255649</v>
      </c>
      <c r="M621" s="39">
        <v>51719388</v>
      </c>
      <c r="N621" s="37">
        <f t="shared" si="162"/>
        <v>536261</v>
      </c>
      <c r="O621" s="40">
        <f t="shared" si="163"/>
        <v>214504</v>
      </c>
      <c r="P621" s="41" t="s">
        <v>456</v>
      </c>
      <c r="Q621" s="55"/>
      <c r="R621" s="42">
        <f t="shared" si="165"/>
        <v>321757</v>
      </c>
      <c r="S621" s="55"/>
      <c r="T621" s="55"/>
      <c r="U621" s="55"/>
      <c r="V621" s="34" t="s">
        <v>261</v>
      </c>
      <c r="W621" s="43">
        <v>45132</v>
      </c>
      <c r="X621" s="44" t="s">
        <v>280</v>
      </c>
    </row>
    <row r="622" spans="1:24" ht="17.45" customHeight="1" x14ac:dyDescent="0.25">
      <c r="A622" t="str">
        <f t="shared" si="159"/>
        <v>291090722345225979242127</v>
      </c>
      <c r="B622" s="6">
        <f t="shared" si="157"/>
        <v>45225</v>
      </c>
      <c r="C622" s="3">
        <f t="shared" si="158"/>
        <v>1161182642</v>
      </c>
      <c r="D622" s="34">
        <v>2023</v>
      </c>
      <c r="E622" s="35">
        <v>2910907223</v>
      </c>
      <c r="F622" s="36" t="s">
        <v>321</v>
      </c>
      <c r="G622" s="37">
        <v>11000088770</v>
      </c>
      <c r="H622" s="37">
        <v>1178580940</v>
      </c>
      <c r="I622" s="38">
        <f t="shared" si="167"/>
        <v>0.10714285717532442</v>
      </c>
      <c r="J622" s="38">
        <f t="shared" si="166"/>
        <v>0.12000000004072695</v>
      </c>
      <c r="K622" s="37">
        <v>9139593181.5</v>
      </c>
      <c r="L622" s="37">
        <f t="shared" si="161"/>
        <v>979242127</v>
      </c>
      <c r="M622" s="39">
        <f>L574</f>
        <v>731226369</v>
      </c>
      <c r="N622" s="37">
        <f t="shared" si="162"/>
        <v>248015758</v>
      </c>
      <c r="O622" s="40">
        <f t="shared" si="163"/>
        <v>99206303</v>
      </c>
      <c r="P622" s="41" t="s">
        <v>456</v>
      </c>
      <c r="Q622" s="55"/>
      <c r="R622" s="42">
        <f t="shared" si="165"/>
        <v>148809455</v>
      </c>
      <c r="S622" s="55"/>
      <c r="T622" s="55"/>
      <c r="U622" s="55"/>
      <c r="V622" s="34" t="s">
        <v>261</v>
      </c>
      <c r="W622" s="43">
        <v>45225</v>
      </c>
      <c r="X622" s="44" t="s">
        <v>475</v>
      </c>
    </row>
    <row r="623" spans="1:24" ht="17.45" customHeight="1" x14ac:dyDescent="0.25">
      <c r="A623" t="str">
        <f t="shared" si="159"/>
        <v>24530183274527438075913</v>
      </c>
      <c r="B623" s="6">
        <f t="shared" si="157"/>
        <v>45467</v>
      </c>
      <c r="C623" s="3">
        <f t="shared" si="158"/>
        <v>61078665.000000007</v>
      </c>
      <c r="D623" s="34">
        <v>2021</v>
      </c>
      <c r="E623" s="35">
        <v>2453018327</v>
      </c>
      <c r="F623" s="36" t="s">
        <v>196</v>
      </c>
      <c r="G623" s="37">
        <v>570067542</v>
      </c>
      <c r="H623" s="37">
        <v>61078665</v>
      </c>
      <c r="I623" s="38">
        <f t="shared" si="167"/>
        <v>0.10714285676696184</v>
      </c>
      <c r="J623" s="38">
        <f t="shared" si="166"/>
        <v>0.11999999952847692</v>
      </c>
      <c r="K623" s="37">
        <v>355375193</v>
      </c>
      <c r="L623" s="37">
        <f t="shared" ref="L623:L645" si="168">ROUND((+K623*I623),0)</f>
        <v>38075913</v>
      </c>
      <c r="M623" s="39">
        <v>27411317</v>
      </c>
      <c r="N623" s="37">
        <f t="shared" ref="N623:N654" si="169">+L623-M623</f>
        <v>10664596</v>
      </c>
      <c r="O623" s="40">
        <f t="shared" ref="O623:O654" si="170">ROUND((N623*40%),0)</f>
        <v>4265838</v>
      </c>
      <c r="P623" s="41" t="s">
        <v>456</v>
      </c>
      <c r="Q623" s="55"/>
      <c r="R623" s="42">
        <f t="shared" si="165"/>
        <v>6398758</v>
      </c>
      <c r="S623" s="55"/>
      <c r="T623" s="55"/>
      <c r="U623" s="55"/>
      <c r="V623" s="34" t="s">
        <v>261</v>
      </c>
      <c r="W623" s="43">
        <v>45274</v>
      </c>
      <c r="X623" s="44" t="s">
        <v>425</v>
      </c>
    </row>
    <row r="624" spans="1:24" ht="17.45" customHeight="1" x14ac:dyDescent="0.25">
      <c r="A624" t="str">
        <f t="shared" si="159"/>
        <v>245301834045274534464177</v>
      </c>
      <c r="B624" s="6">
        <f t="shared" si="157"/>
        <v>45524</v>
      </c>
      <c r="C624" s="3">
        <f t="shared" si="158"/>
        <v>750720353.98835123</v>
      </c>
      <c r="D624" s="34">
        <v>2022</v>
      </c>
      <c r="E624" s="35">
        <v>2453018340</v>
      </c>
      <c r="F624" s="36" t="s">
        <v>320</v>
      </c>
      <c r="G624" s="37">
        <v>7253407050</v>
      </c>
      <c r="H624" s="37">
        <v>774054537</v>
      </c>
      <c r="I624" s="38">
        <f t="shared" si="167"/>
        <v>0.10671599314145758</v>
      </c>
      <c r="J624" s="38">
        <f t="shared" si="166"/>
        <v>0.11946479767028537</v>
      </c>
      <c r="K624" s="37">
        <v>5008285646</v>
      </c>
      <c r="L624" s="37">
        <f t="shared" si="168"/>
        <v>534464177</v>
      </c>
      <c r="M624" s="39">
        <v>470962790</v>
      </c>
      <c r="N624" s="37">
        <f t="shared" si="169"/>
        <v>63501387</v>
      </c>
      <c r="O624" s="40">
        <f t="shared" si="170"/>
        <v>25400555</v>
      </c>
      <c r="P624" s="41" t="s">
        <v>456</v>
      </c>
      <c r="Q624" s="55"/>
      <c r="R624" s="42">
        <f t="shared" si="165"/>
        <v>38100832</v>
      </c>
      <c r="S624" s="55"/>
      <c r="T624" s="55"/>
      <c r="U624" s="55"/>
      <c r="V624" s="34" t="s">
        <v>261</v>
      </c>
      <c r="W624" s="43">
        <v>45274</v>
      </c>
      <c r="X624" s="44" t="s">
        <v>425</v>
      </c>
    </row>
    <row r="625" spans="1:24" ht="17.45" customHeight="1" x14ac:dyDescent="0.25">
      <c r="A625" t="str">
        <f t="shared" si="159"/>
        <v>24530183424527424677079</v>
      </c>
      <c r="B625" s="6">
        <f t="shared" si="157"/>
        <v>45621</v>
      </c>
      <c r="C625" s="3">
        <f t="shared" si="158"/>
        <v>55256697.428571425</v>
      </c>
      <c r="D625" s="34">
        <v>2023</v>
      </c>
      <c r="E625" s="35">
        <v>2453018342</v>
      </c>
      <c r="F625" s="36" t="s">
        <v>378</v>
      </c>
      <c r="G625" s="37">
        <v>678090000</v>
      </c>
      <c r="H625" s="37">
        <v>72652500</v>
      </c>
      <c r="I625" s="38">
        <f t="shared" si="167"/>
        <v>0.10714285714285714</v>
      </c>
      <c r="J625" s="38">
        <f t="shared" si="166"/>
        <v>0.12</v>
      </c>
      <c r="K625" s="37">
        <v>230319406</v>
      </c>
      <c r="L625" s="37">
        <f t="shared" si="168"/>
        <v>24677079</v>
      </c>
      <c r="M625" s="39">
        <v>15810652</v>
      </c>
      <c r="N625" s="37">
        <f t="shared" si="169"/>
        <v>8866427</v>
      </c>
      <c r="O625" s="40">
        <f t="shared" si="170"/>
        <v>3546571</v>
      </c>
      <c r="P625" s="41" t="s">
        <v>456</v>
      </c>
      <c r="Q625" s="55"/>
      <c r="R625" s="42">
        <f t="shared" si="165"/>
        <v>5319856</v>
      </c>
      <c r="S625" s="55"/>
      <c r="T625" s="55"/>
      <c r="U625" s="55"/>
      <c r="V625" s="34" t="s">
        <v>261</v>
      </c>
      <c r="W625" s="43">
        <v>45274</v>
      </c>
      <c r="X625" s="44" t="s">
        <v>425</v>
      </c>
    </row>
    <row r="626" spans="1:24" ht="17.45" customHeight="1" x14ac:dyDescent="0.25">
      <c r="A626" t="str">
        <f t="shared" si="159"/>
        <v>24530183454527428737882</v>
      </c>
      <c r="B626" s="6">
        <f t="shared" si="157"/>
        <v>45525</v>
      </c>
      <c r="C626" s="3">
        <f t="shared" si="158"/>
        <v>45271421.946191989</v>
      </c>
      <c r="D626" s="34">
        <v>2023</v>
      </c>
      <c r="E626" s="35">
        <v>2453018345</v>
      </c>
      <c r="F626" s="36" t="s">
        <v>522</v>
      </c>
      <c r="G626" s="37">
        <v>483200000</v>
      </c>
      <c r="H626" s="37">
        <v>51771429</v>
      </c>
      <c r="I626" s="38">
        <v>0.107142857484887</v>
      </c>
      <c r="J626" s="38">
        <v>0.12000000042904171</v>
      </c>
      <c r="K626" s="37">
        <v>268220235</v>
      </c>
      <c r="L626" s="37">
        <f t="shared" si="168"/>
        <v>28737882</v>
      </c>
      <c r="M626" s="39">
        <v>10343475</v>
      </c>
      <c r="N626" s="37">
        <f t="shared" si="169"/>
        <v>18394407</v>
      </c>
      <c r="O626" s="40">
        <f t="shared" si="170"/>
        <v>7357763</v>
      </c>
      <c r="P626" s="41" t="s">
        <v>456</v>
      </c>
      <c r="Q626" s="55"/>
      <c r="R626" s="42">
        <f t="shared" si="165"/>
        <v>11036644</v>
      </c>
      <c r="S626" s="55"/>
      <c r="T626" s="55"/>
      <c r="U626" s="55"/>
      <c r="V626" s="34" t="s">
        <v>261</v>
      </c>
      <c r="W626" s="43">
        <v>45274</v>
      </c>
      <c r="X626" s="44" t="s">
        <v>425</v>
      </c>
    </row>
    <row r="627" spans="1:24" ht="17.45" customHeight="1" x14ac:dyDescent="0.25">
      <c r="A627" t="str">
        <f t="shared" si="159"/>
        <v>24530183474527469935613</v>
      </c>
      <c r="B627" s="6">
        <f t="shared" si="157"/>
        <v>45730</v>
      </c>
      <c r="C627" s="3">
        <f t="shared" si="158"/>
        <v>227416985.11999634</v>
      </c>
      <c r="D627" s="34">
        <v>2023</v>
      </c>
      <c r="E627" s="35">
        <v>2453018347</v>
      </c>
      <c r="F627" s="36" t="s">
        <v>391</v>
      </c>
      <c r="G627" s="37">
        <v>1778543757</v>
      </c>
      <c r="H627" s="37">
        <v>213425250</v>
      </c>
      <c r="I627" s="38">
        <f>+H627/G627</f>
        <v>0.1199999995277035</v>
      </c>
      <c r="J627" s="38">
        <f>IFERROR((+H627/(G627-H627)),0)</f>
        <v>0.13636363575374935</v>
      </c>
      <c r="K627" s="37">
        <v>582796777</v>
      </c>
      <c r="L627" s="37">
        <f t="shared" si="168"/>
        <v>69935613</v>
      </c>
      <c r="M627" s="39">
        <v>52582628</v>
      </c>
      <c r="N627" s="37">
        <f t="shared" si="169"/>
        <v>17352985</v>
      </c>
      <c r="O627" s="40">
        <f t="shared" si="170"/>
        <v>6941194</v>
      </c>
      <c r="P627" s="41" t="s">
        <v>456</v>
      </c>
      <c r="Q627" s="55"/>
      <c r="R627" s="42">
        <f t="shared" si="165"/>
        <v>10411791</v>
      </c>
      <c r="S627" s="55"/>
      <c r="T627" s="55"/>
      <c r="U627" s="55"/>
      <c r="V627" s="34" t="s">
        <v>261</v>
      </c>
      <c r="W627" s="43">
        <v>45274</v>
      </c>
      <c r="X627" s="44" t="s">
        <v>471</v>
      </c>
    </row>
    <row r="628" spans="1:24" ht="17.45" customHeight="1" x14ac:dyDescent="0.25">
      <c r="A628" t="str">
        <f t="shared" si="159"/>
        <v>24530183484527440584852</v>
      </c>
      <c r="B628" s="6">
        <f t="shared" si="157"/>
        <v>45553</v>
      </c>
      <c r="C628" s="3">
        <f t="shared" si="158"/>
        <v>250867949.19596934</v>
      </c>
      <c r="D628" s="34">
        <v>2023</v>
      </c>
      <c r="E628" s="35">
        <v>2453018348</v>
      </c>
      <c r="F628" s="36" t="s">
        <v>426</v>
      </c>
      <c r="G628" s="37">
        <v>3529418400</v>
      </c>
      <c r="H628" s="37">
        <v>378151971</v>
      </c>
      <c r="I628" s="38">
        <f>+H628/G628</f>
        <v>0.1071428570214288</v>
      </c>
      <c r="J628" s="38">
        <f>IFERROR((+H628/(G628-H628)),0)</f>
        <v>0.11999999984768028</v>
      </c>
      <c r="K628" s="37">
        <v>378791950</v>
      </c>
      <c r="L628" s="37">
        <f t="shared" si="168"/>
        <v>40584852</v>
      </c>
      <c r="M628" s="39">
        <v>26288639</v>
      </c>
      <c r="N628" s="37">
        <f t="shared" si="169"/>
        <v>14296213</v>
      </c>
      <c r="O628" s="40">
        <f t="shared" si="170"/>
        <v>5718485</v>
      </c>
      <c r="P628" s="41" t="s">
        <v>456</v>
      </c>
      <c r="Q628" s="55"/>
      <c r="R628" s="42">
        <f t="shared" si="165"/>
        <v>8577728</v>
      </c>
      <c r="S628" s="55"/>
      <c r="T628" s="55"/>
      <c r="U628" s="55"/>
      <c r="V628" s="34" t="s">
        <v>261</v>
      </c>
      <c r="W628" s="43">
        <v>45274</v>
      </c>
      <c r="X628" s="44" t="s">
        <v>425</v>
      </c>
    </row>
    <row r="629" spans="1:24" ht="17.45" customHeight="1" x14ac:dyDescent="0.25">
      <c r="A629" t="str">
        <f t="shared" si="159"/>
        <v>24530183494527454184546</v>
      </c>
      <c r="B629" s="6">
        <f t="shared" si="157"/>
        <v>45433</v>
      </c>
      <c r="C629" s="3">
        <f t="shared" si="158"/>
        <v>275206500.04064482</v>
      </c>
      <c r="D629" s="34">
        <v>2023</v>
      </c>
      <c r="E629" s="35">
        <v>2453018349</v>
      </c>
      <c r="F629" s="36" t="s">
        <v>424</v>
      </c>
      <c r="G629" s="37">
        <v>2759044522</v>
      </c>
      <c r="H629" s="37">
        <v>295611913</v>
      </c>
      <c r="I629" s="38">
        <f>+H629/G629</f>
        <v>0.10714285711696826</v>
      </c>
      <c r="J629" s="38">
        <f>IFERROR((+H629/(G629-H629)),0)</f>
        <v>0.11999999996752499</v>
      </c>
      <c r="K629" s="37">
        <v>505722433</v>
      </c>
      <c r="L629" s="37">
        <f t="shared" si="168"/>
        <v>54184546</v>
      </c>
      <c r="M629" s="39">
        <v>30380975</v>
      </c>
      <c r="N629" s="37">
        <f t="shared" si="169"/>
        <v>23803571</v>
      </c>
      <c r="O629" s="40">
        <f t="shared" si="170"/>
        <v>9521428</v>
      </c>
      <c r="P629" s="41" t="s">
        <v>456</v>
      </c>
      <c r="Q629" s="55"/>
      <c r="R629" s="42">
        <f t="shared" si="165"/>
        <v>14282143</v>
      </c>
      <c r="S629" s="55"/>
      <c r="T629" s="55"/>
      <c r="U629" s="55"/>
      <c r="V629" s="34" t="s">
        <v>261</v>
      </c>
      <c r="W629" s="43">
        <v>45274</v>
      </c>
      <c r="X629" s="44" t="s">
        <v>425</v>
      </c>
    </row>
    <row r="630" spans="1:24" ht="17.45" customHeight="1" x14ac:dyDescent="0.25">
      <c r="A630" t="str">
        <f t="shared" si="159"/>
        <v>24530183514527476856073</v>
      </c>
      <c r="B630" s="6">
        <f t="shared" si="157"/>
        <v>45433</v>
      </c>
      <c r="C630" s="3">
        <f t="shared" si="158"/>
        <v>128964400.14361468</v>
      </c>
      <c r="D630" s="34">
        <v>2023</v>
      </c>
      <c r="E630" s="35">
        <v>2453018351</v>
      </c>
      <c r="F630" s="36" t="s">
        <v>430</v>
      </c>
      <c r="G630" s="37">
        <v>1229752235</v>
      </c>
      <c r="H630" s="37">
        <v>131759168</v>
      </c>
      <c r="I630" s="38">
        <f>+H630/G630</f>
        <v>0.10714285711381528</v>
      </c>
      <c r="J630" s="38">
        <f>IFERROR((+H630/(G630-H630)),0)</f>
        <v>0.1199999999635699</v>
      </c>
      <c r="K630" s="37">
        <v>717323352</v>
      </c>
      <c r="L630" s="37">
        <f t="shared" si="168"/>
        <v>76856073</v>
      </c>
      <c r="M630" s="39">
        <v>66870290</v>
      </c>
      <c r="N630" s="37">
        <f t="shared" si="169"/>
        <v>9985783</v>
      </c>
      <c r="O630" s="40">
        <f t="shared" si="170"/>
        <v>3994313</v>
      </c>
      <c r="P630" s="41" t="s">
        <v>456</v>
      </c>
      <c r="Q630" s="55"/>
      <c r="R630" s="42">
        <f t="shared" si="165"/>
        <v>5991470</v>
      </c>
      <c r="S630" s="55"/>
      <c r="T630" s="55"/>
      <c r="U630" s="55"/>
      <c r="V630" s="34" t="s">
        <v>261</v>
      </c>
      <c r="W630" s="43">
        <v>45274</v>
      </c>
      <c r="X630" s="44" t="s">
        <v>425</v>
      </c>
    </row>
    <row r="631" spans="1:24" ht="17.45" customHeight="1" x14ac:dyDescent="0.25">
      <c r="A631" t="str">
        <f t="shared" si="159"/>
        <v>24530183524527458067462</v>
      </c>
      <c r="B631" s="6">
        <f t="shared" si="157"/>
        <v>45531</v>
      </c>
      <c r="C631" s="3">
        <f t="shared" si="158"/>
        <v>218662504.66231647</v>
      </c>
      <c r="D631" s="34">
        <v>2023</v>
      </c>
      <c r="E631" s="35">
        <v>2453018352</v>
      </c>
      <c r="F631" s="36" t="s">
        <v>469</v>
      </c>
      <c r="G631" s="37">
        <v>5189063824</v>
      </c>
      <c r="H631" s="37">
        <v>261032799</v>
      </c>
      <c r="I631" s="38">
        <v>0.10714285748488657</v>
      </c>
      <c r="J631" s="38">
        <v>0.12000000042904171</v>
      </c>
      <c r="K631" s="37">
        <v>541962973</v>
      </c>
      <c r="L631" s="37">
        <f t="shared" si="168"/>
        <v>58067462</v>
      </c>
      <c r="M631" s="39">
        <v>35477725</v>
      </c>
      <c r="N631" s="37">
        <f t="shared" si="169"/>
        <v>22589737</v>
      </c>
      <c r="O631" s="40">
        <f t="shared" si="170"/>
        <v>9035895</v>
      </c>
      <c r="P631" s="41" t="s">
        <v>456</v>
      </c>
      <c r="Q631" s="55"/>
      <c r="R631" s="42">
        <f t="shared" si="165"/>
        <v>13553842</v>
      </c>
      <c r="S631" s="55"/>
      <c r="T631" s="55"/>
      <c r="U631" s="55"/>
      <c r="V631" s="34" t="s">
        <v>261</v>
      </c>
      <c r="W631" s="43">
        <v>45274</v>
      </c>
      <c r="X631" s="44" t="s">
        <v>470</v>
      </c>
    </row>
    <row r="632" spans="1:24" ht="17.45" customHeight="1" x14ac:dyDescent="0.25">
      <c r="A632" t="str">
        <f t="shared" si="159"/>
        <v>245301835045274268631669</v>
      </c>
      <c r="B632" s="6">
        <f t="shared" si="157"/>
        <v>45743</v>
      </c>
      <c r="C632" s="3">
        <f t="shared" si="158"/>
        <v>1344604499.9999998</v>
      </c>
      <c r="D632" s="34">
        <v>2023</v>
      </c>
      <c r="E632" s="35">
        <v>2453018350</v>
      </c>
      <c r="F632" s="36" t="s">
        <v>450</v>
      </c>
      <c r="G632" s="37">
        <v>16284654500</v>
      </c>
      <c r="H632" s="37">
        <v>1344604500</v>
      </c>
      <c r="I632" s="38">
        <f>+H632/G632</f>
        <v>8.2568807339449546E-2</v>
      </c>
      <c r="J632" s="38">
        <f>IFERROR((+H632/(G632-H632)),0)</f>
        <v>0.09</v>
      </c>
      <c r="K632" s="37">
        <v>3253427993</v>
      </c>
      <c r="L632" s="37">
        <f t="shared" si="168"/>
        <v>268631669</v>
      </c>
      <c r="M632" s="39">
        <v>218999388</v>
      </c>
      <c r="N632" s="37">
        <f t="shared" si="169"/>
        <v>49632281</v>
      </c>
      <c r="O632" s="40">
        <f t="shared" si="170"/>
        <v>19852912</v>
      </c>
      <c r="P632" s="41" t="s">
        <v>456</v>
      </c>
      <c r="Q632" s="55"/>
      <c r="R632" s="42">
        <f t="shared" si="165"/>
        <v>29779369</v>
      </c>
      <c r="S632" s="55"/>
      <c r="T632" s="55"/>
      <c r="U632" s="55"/>
      <c r="V632" s="34" t="s">
        <v>261</v>
      </c>
      <c r="W632" s="43">
        <v>45274</v>
      </c>
      <c r="X632" s="44" t="s">
        <v>451</v>
      </c>
    </row>
    <row r="633" spans="1:24" ht="17.45" customHeight="1" x14ac:dyDescent="0.25">
      <c r="A633" t="str">
        <f t="shared" si="159"/>
        <v>291090678845274365399206</v>
      </c>
      <c r="B633" s="6">
        <f t="shared" si="157"/>
        <v>45498</v>
      </c>
      <c r="C633" s="3">
        <f t="shared" si="158"/>
        <v>387879629.13729745</v>
      </c>
      <c r="D633" s="34">
        <v>2022</v>
      </c>
      <c r="E633" s="35">
        <v>2910906788</v>
      </c>
      <c r="F633" s="36" t="s">
        <v>270</v>
      </c>
      <c r="G633" s="37">
        <v>3667790640</v>
      </c>
      <c r="H633" s="37">
        <v>392977569</v>
      </c>
      <c r="I633" s="38">
        <f>H633/G633</f>
        <v>0.10714285725970445</v>
      </c>
      <c r="J633" s="38">
        <f>IFERROR((+H633/(G633-H633)),0)</f>
        <v>0.12000000014657325</v>
      </c>
      <c r="K633" s="37">
        <f>2759235491+217052364+217052364+217052364</f>
        <v>3410392583</v>
      </c>
      <c r="L633" s="37">
        <f t="shared" si="168"/>
        <v>365399206</v>
      </c>
      <c r="M633" s="39">
        <v>342143595</v>
      </c>
      <c r="N633" s="37">
        <f t="shared" si="169"/>
        <v>23255611</v>
      </c>
      <c r="O633" s="40">
        <f t="shared" si="170"/>
        <v>9302244</v>
      </c>
      <c r="P633" s="41" t="s">
        <v>456</v>
      </c>
      <c r="Q633" s="55"/>
      <c r="R633" s="42">
        <f t="shared" si="165"/>
        <v>13953367</v>
      </c>
      <c r="S633" s="55"/>
      <c r="T633" s="55"/>
      <c r="U633" s="55"/>
      <c r="V633" s="34" t="s">
        <v>261</v>
      </c>
      <c r="W633" s="43">
        <v>45274</v>
      </c>
      <c r="X633" s="44" t="s">
        <v>523</v>
      </c>
    </row>
    <row r="634" spans="1:24" ht="17.45" customHeight="1" x14ac:dyDescent="0.25">
      <c r="A634" t="str">
        <f t="shared" si="159"/>
        <v>291090723145274170041994</v>
      </c>
      <c r="B634" s="6">
        <f t="shared" si="157"/>
        <v>45880</v>
      </c>
      <c r="C634" s="3">
        <f t="shared" si="158"/>
        <v>725275008</v>
      </c>
      <c r="D634" s="34">
        <v>2023</v>
      </c>
      <c r="E634" s="35">
        <v>2910907231</v>
      </c>
      <c r="F634" s="36" t="s">
        <v>410</v>
      </c>
      <c r="G634" s="37">
        <v>5902674987</v>
      </c>
      <c r="H634" s="37">
        <v>632429463</v>
      </c>
      <c r="I634" s="38">
        <f>+H634/G634</f>
        <v>0.10714285716100871</v>
      </c>
      <c r="J634" s="38">
        <f>IFERROR((+H634/(G634-H634)),0)</f>
        <v>0.12000000002276934</v>
      </c>
      <c r="K634" s="37">
        <f>321574931+407353544+413096307+445033833</f>
        <v>1587058615</v>
      </c>
      <c r="L634" s="37">
        <f t="shared" si="168"/>
        <v>170041994</v>
      </c>
      <c r="M634" s="39">
        <v>122359798</v>
      </c>
      <c r="N634" s="37">
        <f t="shared" si="169"/>
        <v>47682196</v>
      </c>
      <c r="O634" s="40">
        <f t="shared" si="170"/>
        <v>19072878</v>
      </c>
      <c r="P634" s="41" t="s">
        <v>456</v>
      </c>
      <c r="Q634" s="55"/>
      <c r="R634" s="42">
        <f t="shared" si="165"/>
        <v>28609318</v>
      </c>
      <c r="S634" s="55"/>
      <c r="T634" s="55"/>
      <c r="U634" s="55"/>
      <c r="V634" s="34" t="s">
        <v>261</v>
      </c>
      <c r="W634" s="43">
        <v>45274</v>
      </c>
      <c r="X634" s="44" t="s">
        <v>524</v>
      </c>
    </row>
    <row r="635" spans="1:24" ht="17.45" customHeight="1" x14ac:dyDescent="0.25">
      <c r="A635" t="str">
        <f t="shared" si="159"/>
        <v>291090723845274537798014</v>
      </c>
      <c r="B635" s="6">
        <f t="shared" si="157"/>
        <v>45642</v>
      </c>
      <c r="C635" s="3">
        <f t="shared" si="158"/>
        <v>1951263569.1784461</v>
      </c>
      <c r="D635" s="34">
        <v>2023</v>
      </c>
      <c r="E635" s="35">
        <v>2910907238</v>
      </c>
      <c r="F635" s="36" t="s">
        <v>520</v>
      </c>
      <c r="G635" s="37">
        <v>12151862208</v>
      </c>
      <c r="H635" s="37">
        <v>1301985237</v>
      </c>
      <c r="I635" s="38">
        <v>0.107142857484887</v>
      </c>
      <c r="J635" s="38">
        <v>0.12000000042904171</v>
      </c>
      <c r="K635" s="37">
        <f>3189046719+1830401400</f>
        <v>5019448119</v>
      </c>
      <c r="L635" s="37">
        <f t="shared" si="168"/>
        <v>537798014</v>
      </c>
      <c r="M635" s="39">
        <v>341683578</v>
      </c>
      <c r="N635" s="37">
        <f t="shared" si="169"/>
        <v>196114436</v>
      </c>
      <c r="O635" s="40">
        <f t="shared" si="170"/>
        <v>78445774</v>
      </c>
      <c r="P635" s="41" t="s">
        <v>456</v>
      </c>
      <c r="Q635" s="55"/>
      <c r="R635" s="42">
        <f t="shared" si="165"/>
        <v>117668662</v>
      </c>
      <c r="S635" s="55"/>
      <c r="T635" s="55"/>
      <c r="U635" s="55"/>
      <c r="V635" s="34" t="s">
        <v>261</v>
      </c>
      <c r="W635" s="43">
        <v>45274</v>
      </c>
      <c r="X635" s="44" t="s">
        <v>525</v>
      </c>
    </row>
    <row r="636" spans="1:24" ht="17.45" customHeight="1" x14ac:dyDescent="0.25">
      <c r="A636" t="str">
        <f t="shared" si="159"/>
        <v>2910907249452743426118</v>
      </c>
      <c r="B636" s="6">
        <f t="shared" si="157"/>
        <v>45349</v>
      </c>
      <c r="C636" s="3">
        <f t="shared" si="158"/>
        <v>6964286</v>
      </c>
      <c r="D636" s="34">
        <v>2023</v>
      </c>
      <c r="E636" s="35">
        <v>2910907249</v>
      </c>
      <c r="F636" s="36" t="s">
        <v>526</v>
      </c>
      <c r="G636" s="37">
        <v>65500000</v>
      </c>
      <c r="H636" s="37">
        <v>7017857</v>
      </c>
      <c r="I636" s="38">
        <v>0.107142857484887</v>
      </c>
      <c r="J636" s="38">
        <v>0.12000000042904171</v>
      </c>
      <c r="K636" s="37">
        <v>31977100</v>
      </c>
      <c r="L636" s="37">
        <f t="shared" si="168"/>
        <v>3426118</v>
      </c>
      <c r="M636" s="39">
        <v>0</v>
      </c>
      <c r="N636" s="37">
        <f t="shared" si="169"/>
        <v>3426118</v>
      </c>
      <c r="O636" s="40">
        <f t="shared" si="170"/>
        <v>1370447</v>
      </c>
      <c r="P636" s="41" t="s">
        <v>456</v>
      </c>
      <c r="Q636" s="55"/>
      <c r="R636" s="42">
        <f t="shared" si="165"/>
        <v>2055671</v>
      </c>
      <c r="S636" s="55"/>
      <c r="T636" s="55"/>
      <c r="U636" s="55"/>
      <c r="V636" s="34" t="s">
        <v>261</v>
      </c>
      <c r="W636" s="43">
        <v>45274</v>
      </c>
      <c r="X636" s="44" t="s">
        <v>527</v>
      </c>
    </row>
    <row r="637" spans="1:24" ht="17.45" customHeight="1" x14ac:dyDescent="0.25">
      <c r="A637" t="str">
        <f t="shared" si="159"/>
        <v>2910907227452744134457</v>
      </c>
      <c r="B637" s="6">
        <f t="shared" si="157"/>
        <v>45274</v>
      </c>
      <c r="C637" s="3">
        <f t="shared" si="158"/>
        <v>4134457</v>
      </c>
      <c r="D637" s="34">
        <v>2023</v>
      </c>
      <c r="E637" s="35">
        <v>2910907227</v>
      </c>
      <c r="F637" s="36" t="s">
        <v>528</v>
      </c>
      <c r="G637" s="37">
        <v>187400000</v>
      </c>
      <c r="H637" s="37">
        <v>20078571</v>
      </c>
      <c r="I637" s="38">
        <v>0.107142857484887</v>
      </c>
      <c r="J637" s="38">
        <v>0.12000000042904171</v>
      </c>
      <c r="K637" s="37">
        <v>38588261</v>
      </c>
      <c r="L637" s="37">
        <f t="shared" si="168"/>
        <v>4134457</v>
      </c>
      <c r="M637" s="39">
        <v>0</v>
      </c>
      <c r="N637" s="37">
        <f t="shared" si="169"/>
        <v>4134457</v>
      </c>
      <c r="O637" s="40">
        <f t="shared" si="170"/>
        <v>1653783</v>
      </c>
      <c r="P637" s="41" t="s">
        <v>456</v>
      </c>
      <c r="Q637" s="55"/>
      <c r="R637" s="42">
        <f t="shared" si="165"/>
        <v>2480674</v>
      </c>
      <c r="S637" s="55"/>
      <c r="T637" s="55"/>
      <c r="U637" s="55"/>
      <c r="V637" s="34" t="s">
        <v>261</v>
      </c>
      <c r="W637" s="43">
        <v>45274</v>
      </c>
      <c r="X637" s="44" t="s">
        <v>529</v>
      </c>
    </row>
    <row r="638" spans="1:24" ht="17.45" customHeight="1" x14ac:dyDescent="0.25">
      <c r="A638" t="str">
        <f t="shared" si="159"/>
        <v>29109072224527439780198</v>
      </c>
      <c r="B638" s="6">
        <f t="shared" si="157"/>
        <v>45274</v>
      </c>
      <c r="C638" s="3">
        <f t="shared" si="158"/>
        <v>39780198</v>
      </c>
      <c r="D638" s="34">
        <v>2022</v>
      </c>
      <c r="E638" s="35">
        <v>2910907222</v>
      </c>
      <c r="F638" s="36" t="s">
        <v>383</v>
      </c>
      <c r="G638" s="37">
        <v>390823000</v>
      </c>
      <c r="H638" s="37">
        <v>41873893</v>
      </c>
      <c r="I638" s="38">
        <f>H638/G638</f>
        <v>0.10714285750838615</v>
      </c>
      <c r="J638" s="38">
        <f t="shared" ref="J638:J655" si="171">IFERROR((+H638/(G638-H638)),0)</f>
        <v>0.12000000045851958</v>
      </c>
      <c r="K638" s="37">
        <f>297025480+74256370</f>
        <v>371281850</v>
      </c>
      <c r="L638" s="37">
        <f t="shared" si="168"/>
        <v>39780198</v>
      </c>
      <c r="M638" s="39">
        <v>31824159</v>
      </c>
      <c r="N638" s="37">
        <f t="shared" si="169"/>
        <v>7956039</v>
      </c>
      <c r="O638" s="40">
        <f t="shared" si="170"/>
        <v>3182416</v>
      </c>
      <c r="P638" s="41" t="s">
        <v>456</v>
      </c>
      <c r="Q638" s="55"/>
      <c r="R638" s="42">
        <f t="shared" si="165"/>
        <v>4773623</v>
      </c>
      <c r="S638" s="55"/>
      <c r="T638" s="55"/>
      <c r="U638" s="55"/>
      <c r="V638" s="34" t="s">
        <v>261</v>
      </c>
      <c r="W638" s="43">
        <v>45274</v>
      </c>
      <c r="X638" s="44" t="s">
        <v>530</v>
      </c>
    </row>
    <row r="639" spans="1:24" ht="17.45" customHeight="1" x14ac:dyDescent="0.25">
      <c r="A639" t="str">
        <f t="shared" si="159"/>
        <v>2910907252452743178864</v>
      </c>
      <c r="B639" s="6">
        <f t="shared" si="157"/>
        <v>45274</v>
      </c>
      <c r="C639" s="3">
        <f t="shared" si="158"/>
        <v>3178864</v>
      </c>
      <c r="D639" s="34">
        <v>2023</v>
      </c>
      <c r="E639" s="35">
        <v>2910907252</v>
      </c>
      <c r="F639" s="36" t="s">
        <v>489</v>
      </c>
      <c r="G639" s="37">
        <v>31800000</v>
      </c>
      <c r="H639" s="37">
        <v>3407143</v>
      </c>
      <c r="I639" s="38">
        <f>H639/G639</f>
        <v>0.10714286163522013</v>
      </c>
      <c r="J639" s="38">
        <f t="shared" si="171"/>
        <v>0.12000000563522016</v>
      </c>
      <c r="K639" s="37">
        <f>14946000+14723400</f>
        <v>29669400</v>
      </c>
      <c r="L639" s="37">
        <f t="shared" si="168"/>
        <v>3178864</v>
      </c>
      <c r="M639" s="39">
        <f>L582</f>
        <v>1601357</v>
      </c>
      <c r="N639" s="37">
        <f t="shared" si="169"/>
        <v>1577507</v>
      </c>
      <c r="O639" s="40">
        <f t="shared" si="170"/>
        <v>631003</v>
      </c>
      <c r="P639" s="41" t="s">
        <v>456</v>
      </c>
      <c r="Q639" s="55"/>
      <c r="R639" s="42">
        <f t="shared" si="165"/>
        <v>946504</v>
      </c>
      <c r="S639" s="55"/>
      <c r="T639" s="55"/>
      <c r="U639" s="55"/>
      <c r="V639" s="34" t="s">
        <v>261</v>
      </c>
      <c r="W639" s="43">
        <v>45274</v>
      </c>
      <c r="X639" s="44" t="s">
        <v>531</v>
      </c>
    </row>
    <row r="640" spans="1:24" ht="17.45" customHeight="1" x14ac:dyDescent="0.25">
      <c r="A640" t="str">
        <f t="shared" si="159"/>
        <v>29109072294527489862360</v>
      </c>
      <c r="B640" s="6">
        <f t="shared" si="157"/>
        <v>45498</v>
      </c>
      <c r="C640" s="3">
        <f t="shared" si="158"/>
        <v>169192109.99999997</v>
      </c>
      <c r="D640" s="34">
        <v>2023</v>
      </c>
      <c r="E640" s="35">
        <v>2910907229</v>
      </c>
      <c r="F640" s="36" t="s">
        <v>433</v>
      </c>
      <c r="G640" s="37">
        <v>1995501200</v>
      </c>
      <c r="H640" s="37">
        <v>213803700</v>
      </c>
      <c r="I640" s="38">
        <f>+H640/G640</f>
        <v>0.10714285714285714</v>
      </c>
      <c r="J640" s="38">
        <f t="shared" si="171"/>
        <v>0.12</v>
      </c>
      <c r="K640" s="37">
        <v>838715360</v>
      </c>
      <c r="L640" s="37">
        <f t="shared" si="168"/>
        <v>89862360</v>
      </c>
      <c r="M640" s="39">
        <v>42853560</v>
      </c>
      <c r="N640" s="37">
        <f t="shared" si="169"/>
        <v>47008800</v>
      </c>
      <c r="O640" s="40">
        <f t="shared" si="170"/>
        <v>18803520</v>
      </c>
      <c r="P640" s="41" t="s">
        <v>456</v>
      </c>
      <c r="Q640" s="55"/>
      <c r="R640" s="42">
        <f t="shared" si="165"/>
        <v>28205280</v>
      </c>
      <c r="S640" s="55"/>
      <c r="T640" s="55"/>
      <c r="U640" s="55"/>
      <c r="V640" s="34" t="s">
        <v>261</v>
      </c>
      <c r="W640" s="43">
        <v>45274</v>
      </c>
      <c r="X640" s="44" t="s">
        <v>532</v>
      </c>
    </row>
    <row r="641" spans="1:24" ht="17.45" customHeight="1" x14ac:dyDescent="0.25">
      <c r="A641" t="str">
        <f t="shared" si="159"/>
        <v>29109072324527420682533</v>
      </c>
      <c r="B641" s="6">
        <f t="shared" si="157"/>
        <v>45439</v>
      </c>
      <c r="C641" s="3">
        <f t="shared" si="158"/>
        <v>59353440.954516016</v>
      </c>
      <c r="D641" s="34">
        <v>2022</v>
      </c>
      <c r="E641" s="35">
        <v>2910907232</v>
      </c>
      <c r="F641" s="36" t="s">
        <v>533</v>
      </c>
      <c r="G641" s="37">
        <v>643456583</v>
      </c>
      <c r="H641" s="37">
        <v>68941777</v>
      </c>
      <c r="I641" s="38">
        <f>+H641/G641</f>
        <v>0.10714285753138375</v>
      </c>
      <c r="J641" s="38">
        <f t="shared" si="171"/>
        <v>0.12000000048736777</v>
      </c>
      <c r="K641" s="37">
        <v>193036974.89999998</v>
      </c>
      <c r="L641" s="37">
        <f t="shared" si="168"/>
        <v>20682533</v>
      </c>
      <c r="M641" s="39">
        <v>0</v>
      </c>
      <c r="N641" s="37">
        <f t="shared" si="169"/>
        <v>20682533</v>
      </c>
      <c r="O641" s="40">
        <f t="shared" si="170"/>
        <v>8273013</v>
      </c>
      <c r="P641" s="41" t="s">
        <v>456</v>
      </c>
      <c r="Q641" s="55"/>
      <c r="R641" s="42">
        <f t="shared" si="165"/>
        <v>12409520</v>
      </c>
      <c r="S641" s="55"/>
      <c r="T641" s="55"/>
      <c r="U641" s="55"/>
      <c r="V641" s="34" t="s">
        <v>261</v>
      </c>
      <c r="W641" s="43">
        <v>45274</v>
      </c>
      <c r="X641" s="44" t="s">
        <v>534</v>
      </c>
    </row>
    <row r="642" spans="1:24" ht="17.45" customHeight="1" x14ac:dyDescent="0.25">
      <c r="A642" t="str">
        <f t="shared" si="159"/>
        <v>29109072414527422958645</v>
      </c>
      <c r="B642" s="6">
        <f t="shared" ref="B642:B705" si="172">_xlfn.MAXIFS(W:W,E:E,E642)</f>
        <v>45833</v>
      </c>
      <c r="C642" s="3">
        <f t="shared" ref="C642:C705" si="173">_xlfn.MAXIFS(L:L,E:E,E642)</f>
        <v>42766223</v>
      </c>
      <c r="D642" s="34">
        <v>2023</v>
      </c>
      <c r="E642" s="35">
        <v>2910907241</v>
      </c>
      <c r="F642" s="36" t="s">
        <v>535</v>
      </c>
      <c r="G642" s="37">
        <v>399151141</v>
      </c>
      <c r="H642" s="37">
        <v>42766223</v>
      </c>
      <c r="I642" s="38">
        <f>+H642/G642</f>
        <v>0.10714293060232039</v>
      </c>
      <c r="J642" s="38">
        <f t="shared" si="171"/>
        <v>0.12000009214755827</v>
      </c>
      <c r="K642" s="37">
        <v>214280538</v>
      </c>
      <c r="L642" s="37">
        <f t="shared" si="168"/>
        <v>22958645</v>
      </c>
      <c r="M642" s="39">
        <v>0</v>
      </c>
      <c r="N642" s="37">
        <f t="shared" si="169"/>
        <v>22958645</v>
      </c>
      <c r="O642" s="40">
        <f t="shared" si="170"/>
        <v>9183458</v>
      </c>
      <c r="P642" s="41" t="s">
        <v>456</v>
      </c>
      <c r="Q642" s="55"/>
      <c r="R642" s="42">
        <f t="shared" si="165"/>
        <v>13775187</v>
      </c>
      <c r="S642" s="55"/>
      <c r="T642" s="55"/>
      <c r="U642" s="55"/>
      <c r="V642" s="34" t="s">
        <v>261</v>
      </c>
      <c r="W642" s="43">
        <v>45274</v>
      </c>
      <c r="X642" s="44" t="s">
        <v>536</v>
      </c>
    </row>
    <row r="643" spans="1:24" ht="17.45" customHeight="1" x14ac:dyDescent="0.25">
      <c r="A643" t="str">
        <f t="shared" ref="A643:A706" si="174">_xlfn.CONCAT(E643,W643,L643)</f>
        <v>29109072354524418673892</v>
      </c>
      <c r="B643" s="6">
        <f t="shared" si="172"/>
        <v>45467</v>
      </c>
      <c r="C643" s="3">
        <f t="shared" si="173"/>
        <v>20921469</v>
      </c>
      <c r="D643" s="34">
        <v>2023</v>
      </c>
      <c r="E643" s="35">
        <v>2910907235</v>
      </c>
      <c r="F643" s="36" t="s">
        <v>422</v>
      </c>
      <c r="G643" s="37">
        <v>195267045</v>
      </c>
      <c r="H643" s="37">
        <v>20921469</v>
      </c>
      <c r="I643" s="38">
        <f>+H643/G643</f>
        <v>0.10714285659415801</v>
      </c>
      <c r="J643" s="38">
        <f t="shared" si="171"/>
        <v>0.11999999931171182</v>
      </c>
      <c r="K643" s="37">
        <f>28540531+47176068+58334369+40238696</f>
        <v>174289664</v>
      </c>
      <c r="L643" s="37">
        <f t="shared" si="168"/>
        <v>18673892</v>
      </c>
      <c r="M643" s="39">
        <v>14362604</v>
      </c>
      <c r="N643" s="37">
        <f t="shared" si="169"/>
        <v>4311288</v>
      </c>
      <c r="O643" s="40">
        <f t="shared" si="170"/>
        <v>1724515</v>
      </c>
      <c r="P643" s="41" t="s">
        <v>456</v>
      </c>
      <c r="Q643" s="55"/>
      <c r="R643" s="42">
        <f t="shared" si="165"/>
        <v>2586773</v>
      </c>
      <c r="S643" s="55"/>
      <c r="T643" s="55"/>
      <c r="U643" s="55"/>
      <c r="V643" s="34" t="s">
        <v>261</v>
      </c>
      <c r="W643" s="43">
        <v>45244</v>
      </c>
      <c r="X643" s="44" t="s">
        <v>537</v>
      </c>
    </row>
    <row r="644" spans="1:24" ht="17.45" customHeight="1" x14ac:dyDescent="0.25">
      <c r="A644" t="str">
        <f t="shared" si="174"/>
        <v>2910906743452445288324</v>
      </c>
      <c r="B644" s="6">
        <f t="shared" si="172"/>
        <v>45244</v>
      </c>
      <c r="C644" s="3">
        <f t="shared" si="173"/>
        <v>5288324</v>
      </c>
      <c r="D644" s="34">
        <v>2023</v>
      </c>
      <c r="E644" s="35">
        <v>2910906743</v>
      </c>
      <c r="F644" s="36" t="s">
        <v>538</v>
      </c>
      <c r="G644" s="37">
        <v>577046931</v>
      </c>
      <c r="H644" s="37">
        <v>5815144</v>
      </c>
      <c r="I644" s="38">
        <f>+H644/G644</f>
        <v>1.0077419508882199E-2</v>
      </c>
      <c r="J644" s="38">
        <f t="shared" si="171"/>
        <v>1.0180007717252611E-2</v>
      </c>
      <c r="K644" s="37">
        <v>524769705.19999999</v>
      </c>
      <c r="L644" s="37">
        <f t="shared" si="168"/>
        <v>5288324</v>
      </c>
      <c r="M644" s="39">
        <v>0</v>
      </c>
      <c r="N644" s="37">
        <f t="shared" si="169"/>
        <v>5288324</v>
      </c>
      <c r="O644" s="40">
        <f t="shared" si="170"/>
        <v>2115330</v>
      </c>
      <c r="P644" s="41" t="s">
        <v>456</v>
      </c>
      <c r="Q644" s="55"/>
      <c r="R644" s="42">
        <f t="shared" si="165"/>
        <v>3172994</v>
      </c>
      <c r="S644" s="55"/>
      <c r="T644" s="55"/>
      <c r="U644" s="55"/>
      <c r="V644" s="34" t="s">
        <v>261</v>
      </c>
      <c r="W644" s="43">
        <v>45244</v>
      </c>
      <c r="X644" s="44" t="s">
        <v>539</v>
      </c>
    </row>
    <row r="645" spans="1:24" ht="17.45" customHeight="1" x14ac:dyDescent="0.25">
      <c r="A645" t="str">
        <f t="shared" si="174"/>
        <v>2910907223452251161182642</v>
      </c>
      <c r="B645" s="6">
        <f t="shared" si="172"/>
        <v>45225</v>
      </c>
      <c r="C645" s="3">
        <f t="shared" si="173"/>
        <v>1161182642</v>
      </c>
      <c r="D645" s="34">
        <v>2023</v>
      </c>
      <c r="E645" s="35">
        <v>2910907223</v>
      </c>
      <c r="F645" s="36" t="s">
        <v>321</v>
      </c>
      <c r="G645" s="37">
        <v>11000088770</v>
      </c>
      <c r="H645" s="37">
        <v>1178580940</v>
      </c>
      <c r="I645" s="38">
        <v>0.1071</v>
      </c>
      <c r="J645" s="38">
        <f t="shared" si="171"/>
        <v>0.12000000004072695</v>
      </c>
      <c r="K645" s="37">
        <v>10842041479</v>
      </c>
      <c r="L645" s="37">
        <f t="shared" si="168"/>
        <v>1161182642</v>
      </c>
      <c r="M645" s="39">
        <v>979242127</v>
      </c>
      <c r="N645" s="37">
        <f t="shared" si="169"/>
        <v>181940515</v>
      </c>
      <c r="O645" s="40">
        <f t="shared" si="170"/>
        <v>72776206</v>
      </c>
      <c r="P645" s="41" t="s">
        <v>456</v>
      </c>
      <c r="Q645" s="55"/>
      <c r="R645" s="42">
        <f t="shared" si="165"/>
        <v>109164309</v>
      </c>
      <c r="S645" s="55"/>
      <c r="T645" s="55"/>
      <c r="U645" s="55"/>
      <c r="V645" s="34" t="s">
        <v>261</v>
      </c>
      <c r="W645" s="43">
        <v>45225</v>
      </c>
      <c r="X645" s="44" t="s">
        <v>540</v>
      </c>
    </row>
    <row r="646" spans="1:24" ht="17.45" customHeight="1" x14ac:dyDescent="0.25">
      <c r="A646" t="str">
        <f t="shared" si="174"/>
        <v>291090640145280551844955</v>
      </c>
      <c r="B646" s="6">
        <f t="shared" si="172"/>
        <v>45957</v>
      </c>
      <c r="C646" s="3">
        <f t="shared" si="173"/>
        <v>678878080.30633903</v>
      </c>
      <c r="D646" s="34">
        <v>2023</v>
      </c>
      <c r="E646" s="35">
        <v>2910906401</v>
      </c>
      <c r="F646" s="36" t="s">
        <v>332</v>
      </c>
      <c r="G646" s="37">
        <v>6793432665</v>
      </c>
      <c r="H646" s="37">
        <v>737913960</v>
      </c>
      <c r="I646" s="38">
        <f t="shared" ref="I646:I655" si="175">+H646/G646</f>
        <v>0.10862166394932539</v>
      </c>
      <c r="J646" s="38">
        <f t="shared" si="171"/>
        <v>0.12185809274946331</v>
      </c>
      <c r="K646" s="37">
        <v>4593324259</v>
      </c>
      <c r="L646" s="37">
        <f>551198911+646044</f>
        <v>551844955</v>
      </c>
      <c r="M646" s="39">
        <v>380279241</v>
      </c>
      <c r="N646" s="37">
        <f t="shared" si="169"/>
        <v>171565714</v>
      </c>
      <c r="O646" s="40">
        <f t="shared" si="170"/>
        <v>68626286</v>
      </c>
      <c r="P646" s="41" t="s">
        <v>456</v>
      </c>
      <c r="Q646" s="55"/>
      <c r="R646" s="42">
        <f t="shared" si="165"/>
        <v>102939428</v>
      </c>
      <c r="S646" s="55"/>
      <c r="T646" s="55"/>
      <c r="U646" s="55"/>
      <c r="V646" s="34" t="s">
        <v>261</v>
      </c>
      <c r="W646" s="43">
        <v>45280</v>
      </c>
      <c r="X646" s="44" t="s">
        <v>455</v>
      </c>
    </row>
    <row r="647" spans="1:24" ht="17.45" customHeight="1" x14ac:dyDescent="0.25">
      <c r="A647" t="str">
        <f t="shared" si="174"/>
        <v>29109072464528158939286</v>
      </c>
      <c r="B647" s="6">
        <f t="shared" si="172"/>
        <v>45891</v>
      </c>
      <c r="C647" s="3">
        <f t="shared" si="173"/>
        <v>292131177.05616194</v>
      </c>
      <c r="D647" s="34">
        <v>2023</v>
      </c>
      <c r="E647" s="35">
        <v>2910907246</v>
      </c>
      <c r="F647" s="36" t="s">
        <v>541</v>
      </c>
      <c r="G647" s="37">
        <v>2750500000</v>
      </c>
      <c r="H647" s="37">
        <v>294696428.51999998</v>
      </c>
      <c r="I647" s="38">
        <f t="shared" si="175"/>
        <v>0.10714285712415923</v>
      </c>
      <c r="J647" s="38">
        <f t="shared" si="171"/>
        <v>0.11999999997654534</v>
      </c>
      <c r="K647" s="37">
        <v>550100000</v>
      </c>
      <c r="L647" s="37">
        <f t="shared" ref="L647:L678" si="176">ROUND((+K647*I647),0)</f>
        <v>58939286</v>
      </c>
      <c r="M647" s="39">
        <v>0</v>
      </c>
      <c r="N647" s="37">
        <f t="shared" si="169"/>
        <v>58939286</v>
      </c>
      <c r="O647" s="40">
        <f t="shared" si="170"/>
        <v>23575714</v>
      </c>
      <c r="P647" s="41" t="s">
        <v>456</v>
      </c>
      <c r="Q647" s="55"/>
      <c r="R647" s="42">
        <f t="shared" si="165"/>
        <v>35363572</v>
      </c>
      <c r="S647" s="55"/>
      <c r="T647" s="55"/>
      <c r="U647" s="55"/>
      <c r="V647" s="34" t="s">
        <v>261</v>
      </c>
      <c r="W647" s="43">
        <v>45281</v>
      </c>
      <c r="X647" s="44" t="s">
        <v>542</v>
      </c>
    </row>
    <row r="648" spans="1:24" ht="17.45" customHeight="1" x14ac:dyDescent="0.25">
      <c r="A648" t="str">
        <f t="shared" si="174"/>
        <v>291090722945281151592010</v>
      </c>
      <c r="B648" s="6">
        <f t="shared" si="172"/>
        <v>45498</v>
      </c>
      <c r="C648" s="3">
        <f t="shared" si="173"/>
        <v>169192109.99999997</v>
      </c>
      <c r="D648" s="34">
        <v>2023</v>
      </c>
      <c r="E648" s="35">
        <v>2910907229</v>
      </c>
      <c r="F648" s="36" t="s">
        <v>433</v>
      </c>
      <c r="G648" s="37">
        <v>1995501200</v>
      </c>
      <c r="H648" s="37">
        <v>213803700</v>
      </c>
      <c r="I648" s="38">
        <f t="shared" si="175"/>
        <v>0.10714285714285714</v>
      </c>
      <c r="J648" s="38">
        <f t="shared" si="171"/>
        <v>0.12</v>
      </c>
      <c r="K648" s="37">
        <v>1414858760</v>
      </c>
      <c r="L648" s="37">
        <f t="shared" si="176"/>
        <v>151592010</v>
      </c>
      <c r="M648" s="39">
        <v>89862360</v>
      </c>
      <c r="N648" s="37">
        <f t="shared" si="169"/>
        <v>61729650</v>
      </c>
      <c r="O648" s="40">
        <f t="shared" si="170"/>
        <v>24691860</v>
      </c>
      <c r="P648" s="41" t="s">
        <v>456</v>
      </c>
      <c r="Q648" s="55"/>
      <c r="R648" s="42">
        <f t="shared" si="165"/>
        <v>37037790</v>
      </c>
      <c r="S648" s="55"/>
      <c r="T648" s="55"/>
      <c r="U648" s="55"/>
      <c r="V648" s="34" t="s">
        <v>261</v>
      </c>
      <c r="W648" s="43">
        <v>45281</v>
      </c>
      <c r="X648" s="44" t="s">
        <v>543</v>
      </c>
    </row>
    <row r="649" spans="1:24" ht="17.45" customHeight="1" x14ac:dyDescent="0.25">
      <c r="A649" t="str">
        <f t="shared" si="174"/>
        <v>29109072804528129464286</v>
      </c>
      <c r="B649" s="6">
        <f t="shared" si="172"/>
        <v>45316</v>
      </c>
      <c r="C649" s="3">
        <f t="shared" si="173"/>
        <v>53571429</v>
      </c>
      <c r="D649" s="34">
        <v>2023</v>
      </c>
      <c r="E649" s="35">
        <v>2910907280</v>
      </c>
      <c r="F649" s="36" t="s">
        <v>510</v>
      </c>
      <c r="G649" s="37">
        <v>500000000</v>
      </c>
      <c r="H649" s="37">
        <v>53571429</v>
      </c>
      <c r="I649" s="38">
        <f t="shared" si="175"/>
        <v>0.10714285799999999</v>
      </c>
      <c r="J649" s="38">
        <f t="shared" si="171"/>
        <v>0.12000000107520001</v>
      </c>
      <c r="K649" s="37">
        <f>100000000+175000000</f>
        <v>275000000</v>
      </c>
      <c r="L649" s="37">
        <f t="shared" si="176"/>
        <v>29464286</v>
      </c>
      <c r="M649" s="39">
        <v>10714286</v>
      </c>
      <c r="N649" s="37">
        <f t="shared" si="169"/>
        <v>18750000</v>
      </c>
      <c r="O649" s="40">
        <f t="shared" si="170"/>
        <v>7500000</v>
      </c>
      <c r="P649" s="41" t="s">
        <v>456</v>
      </c>
      <c r="Q649" s="55"/>
      <c r="R649" s="42">
        <f t="shared" si="165"/>
        <v>11250000</v>
      </c>
      <c r="S649" s="55"/>
      <c r="T649" s="55"/>
      <c r="U649" s="55"/>
      <c r="V649" s="34" t="s">
        <v>261</v>
      </c>
      <c r="W649" s="43">
        <v>45281</v>
      </c>
      <c r="X649" s="44" t="s">
        <v>544</v>
      </c>
    </row>
    <row r="650" spans="1:24" ht="17.45" customHeight="1" x14ac:dyDescent="0.25">
      <c r="A650" t="str">
        <f t="shared" si="174"/>
        <v>291090723145281266878839</v>
      </c>
      <c r="B650" s="6">
        <f t="shared" si="172"/>
        <v>45880</v>
      </c>
      <c r="C650" s="3">
        <f t="shared" si="173"/>
        <v>725275008</v>
      </c>
      <c r="D650" s="34">
        <v>2023</v>
      </c>
      <c r="E650" s="35">
        <v>2910907231</v>
      </c>
      <c r="F650" s="36" t="s">
        <v>410</v>
      </c>
      <c r="G650" s="37">
        <v>5902674987</v>
      </c>
      <c r="H650" s="37">
        <v>632429463</v>
      </c>
      <c r="I650" s="38">
        <f t="shared" si="175"/>
        <v>0.10714285716100871</v>
      </c>
      <c r="J650" s="38">
        <f t="shared" si="171"/>
        <v>0.12000000002276934</v>
      </c>
      <c r="K650" s="37">
        <v>2490869164</v>
      </c>
      <c r="L650" s="37">
        <f t="shared" si="176"/>
        <v>266878839</v>
      </c>
      <c r="M650" s="39">
        <v>170041994</v>
      </c>
      <c r="N650" s="37">
        <f t="shared" si="169"/>
        <v>96836845</v>
      </c>
      <c r="O650" s="40">
        <f t="shared" si="170"/>
        <v>38734738</v>
      </c>
      <c r="P650" s="41" t="s">
        <v>456</v>
      </c>
      <c r="Q650" s="55"/>
      <c r="R650" s="42">
        <f t="shared" si="165"/>
        <v>58102107</v>
      </c>
      <c r="S650" s="55"/>
      <c r="T650" s="55"/>
      <c r="U650" s="55"/>
      <c r="V650" s="34" t="s">
        <v>261</v>
      </c>
      <c r="W650" s="43">
        <v>45281</v>
      </c>
      <c r="X650" s="44" t="s">
        <v>545</v>
      </c>
    </row>
    <row r="651" spans="1:24" ht="17.45" customHeight="1" x14ac:dyDescent="0.25">
      <c r="A651" t="str">
        <f t="shared" si="174"/>
        <v>29109072474528163952717</v>
      </c>
      <c r="B651" s="6">
        <f t="shared" si="172"/>
        <v>45281</v>
      </c>
      <c r="C651" s="3">
        <f t="shared" si="173"/>
        <v>63952717</v>
      </c>
      <c r="D651" s="34">
        <v>2023</v>
      </c>
      <c r="E651" s="35">
        <v>2910907247</v>
      </c>
      <c r="F651" s="36" t="s">
        <v>420</v>
      </c>
      <c r="G651" s="37">
        <v>797983995</v>
      </c>
      <c r="H651" s="37">
        <v>85498285</v>
      </c>
      <c r="I651" s="38">
        <f t="shared" si="175"/>
        <v>0.10714285691907893</v>
      </c>
      <c r="J651" s="38">
        <f t="shared" si="171"/>
        <v>0.11999999971929262</v>
      </c>
      <c r="K651" s="37">
        <f>298446014+298446014</f>
        <v>596892028</v>
      </c>
      <c r="L651" s="37">
        <f t="shared" si="176"/>
        <v>63952717</v>
      </c>
      <c r="M651" s="39">
        <v>31976359</v>
      </c>
      <c r="N651" s="37">
        <f t="shared" si="169"/>
        <v>31976358</v>
      </c>
      <c r="O651" s="40">
        <f t="shared" si="170"/>
        <v>12790543</v>
      </c>
      <c r="P651" s="41" t="s">
        <v>456</v>
      </c>
      <c r="Q651" s="55"/>
      <c r="R651" s="42">
        <f t="shared" si="165"/>
        <v>19185815</v>
      </c>
      <c r="S651" s="55"/>
      <c r="T651" s="55"/>
      <c r="U651" s="55"/>
      <c r="V651" s="34" t="s">
        <v>261</v>
      </c>
      <c r="W651" s="43">
        <v>45281</v>
      </c>
      <c r="X651" s="44" t="s">
        <v>546</v>
      </c>
    </row>
    <row r="652" spans="1:24" ht="17.45" customHeight="1" x14ac:dyDescent="0.25">
      <c r="A652" t="str">
        <f t="shared" si="174"/>
        <v>29109072814528169195757</v>
      </c>
      <c r="B652" s="6">
        <f t="shared" si="172"/>
        <v>45281</v>
      </c>
      <c r="C652" s="3">
        <f t="shared" si="173"/>
        <v>69195757</v>
      </c>
      <c r="D652" s="34">
        <v>2023</v>
      </c>
      <c r="E652" s="35">
        <v>2910907281</v>
      </c>
      <c r="F652" s="36" t="s">
        <v>452</v>
      </c>
      <c r="G652" s="37">
        <v>1291654128</v>
      </c>
      <c r="H652" s="37">
        <v>138391514</v>
      </c>
      <c r="I652" s="38">
        <f t="shared" si="175"/>
        <v>0.10714285736405744</v>
      </c>
      <c r="J652" s="38">
        <f t="shared" si="171"/>
        <v>0.12000000027747366</v>
      </c>
      <c r="K652" s="37">
        <v>645827064</v>
      </c>
      <c r="L652" s="37">
        <f t="shared" si="176"/>
        <v>69195757</v>
      </c>
      <c r="M652" s="39">
        <f>L550</f>
        <v>34597879</v>
      </c>
      <c r="N652" s="37">
        <f t="shared" si="169"/>
        <v>34597878</v>
      </c>
      <c r="O652" s="40">
        <f t="shared" si="170"/>
        <v>13839151</v>
      </c>
      <c r="P652" s="41" t="s">
        <v>456</v>
      </c>
      <c r="Q652" s="55"/>
      <c r="R652" s="42">
        <f t="shared" si="165"/>
        <v>20758727</v>
      </c>
      <c r="S652" s="55"/>
      <c r="T652" s="55"/>
      <c r="U652" s="55"/>
      <c r="V652" s="34" t="s">
        <v>261</v>
      </c>
      <c r="W652" s="43">
        <v>45281</v>
      </c>
      <c r="X652" s="44" t="s">
        <v>547</v>
      </c>
    </row>
    <row r="653" spans="1:24" ht="17.45" customHeight="1" x14ac:dyDescent="0.25">
      <c r="A653" t="str">
        <f t="shared" si="174"/>
        <v>245301834045281564602696</v>
      </c>
      <c r="B653" s="6">
        <f t="shared" si="172"/>
        <v>45524</v>
      </c>
      <c r="C653" s="3">
        <f t="shared" si="173"/>
        <v>750720353.98835123</v>
      </c>
      <c r="D653" s="34">
        <v>2022</v>
      </c>
      <c r="E653" s="35">
        <v>2453018340</v>
      </c>
      <c r="F653" s="36" t="s">
        <v>320</v>
      </c>
      <c r="G653" s="37">
        <v>7253407050</v>
      </c>
      <c r="H653" s="37">
        <v>774054537</v>
      </c>
      <c r="I653" s="38">
        <f t="shared" si="175"/>
        <v>0.10671599314145758</v>
      </c>
      <c r="J653" s="38">
        <f t="shared" si="171"/>
        <v>0.11946479767028537</v>
      </c>
      <c r="K653" s="37">
        <v>5290703662</v>
      </c>
      <c r="L653" s="37">
        <f t="shared" si="176"/>
        <v>564602696</v>
      </c>
      <c r="M653" s="39">
        <f>L624</f>
        <v>534464177</v>
      </c>
      <c r="N653" s="37">
        <f t="shared" si="169"/>
        <v>30138519</v>
      </c>
      <c r="O653" s="40">
        <f t="shared" si="170"/>
        <v>12055408</v>
      </c>
      <c r="P653" s="41" t="s">
        <v>456</v>
      </c>
      <c r="Q653" s="55"/>
      <c r="R653" s="42">
        <f t="shared" si="165"/>
        <v>18083111</v>
      </c>
      <c r="S653" s="55"/>
      <c r="T653" s="55"/>
      <c r="U653" s="55"/>
      <c r="V653" s="34" t="s">
        <v>261</v>
      </c>
      <c r="W653" s="43">
        <v>45281</v>
      </c>
      <c r="X653" s="44" t="s">
        <v>425</v>
      </c>
    </row>
    <row r="654" spans="1:24" ht="17.45" customHeight="1" x14ac:dyDescent="0.25">
      <c r="A654" t="str">
        <f t="shared" si="174"/>
        <v>245301835045281461362651</v>
      </c>
      <c r="B654" s="6">
        <f t="shared" si="172"/>
        <v>45743</v>
      </c>
      <c r="C654" s="3">
        <f t="shared" si="173"/>
        <v>1344604499.9999998</v>
      </c>
      <c r="D654" s="34">
        <v>2023</v>
      </c>
      <c r="E654" s="35">
        <v>2453018350</v>
      </c>
      <c r="F654" s="36" t="s">
        <v>450</v>
      </c>
      <c r="G654" s="37">
        <v>16284654500</v>
      </c>
      <c r="H654" s="37">
        <v>1344604500</v>
      </c>
      <c r="I654" s="38">
        <f t="shared" si="175"/>
        <v>8.2568807339449546E-2</v>
      </c>
      <c r="J654" s="38">
        <f t="shared" si="171"/>
        <v>0.09</v>
      </c>
      <c r="K654" s="37">
        <v>5587614323</v>
      </c>
      <c r="L654" s="37">
        <f t="shared" si="176"/>
        <v>461362651</v>
      </c>
      <c r="M654" s="39">
        <v>268631669</v>
      </c>
      <c r="N654" s="37">
        <f t="shared" si="169"/>
        <v>192730982</v>
      </c>
      <c r="O654" s="40">
        <f t="shared" si="170"/>
        <v>77092393</v>
      </c>
      <c r="P654" s="41" t="s">
        <v>456</v>
      </c>
      <c r="Q654" s="55"/>
      <c r="R654" s="42">
        <f t="shared" si="165"/>
        <v>115638589</v>
      </c>
      <c r="S654" s="55"/>
      <c r="T654" s="55"/>
      <c r="U654" s="55"/>
      <c r="V654" s="34" t="s">
        <v>261</v>
      </c>
      <c r="W654" s="43">
        <v>45281</v>
      </c>
      <c r="X654" s="44" t="s">
        <v>451</v>
      </c>
    </row>
    <row r="655" spans="1:24" ht="17.45" customHeight="1" x14ac:dyDescent="0.25">
      <c r="A655" t="str">
        <f t="shared" si="174"/>
        <v>24530183484527455555923</v>
      </c>
      <c r="B655" s="6">
        <f t="shared" si="172"/>
        <v>45553</v>
      </c>
      <c r="C655" s="3">
        <f t="shared" si="173"/>
        <v>250867949.19596934</v>
      </c>
      <c r="D655" s="34">
        <v>2023</v>
      </c>
      <c r="E655" s="35">
        <v>2453018348</v>
      </c>
      <c r="F655" s="36" t="s">
        <v>426</v>
      </c>
      <c r="G655" s="37">
        <v>3529418400</v>
      </c>
      <c r="H655" s="37">
        <v>378151971</v>
      </c>
      <c r="I655" s="38">
        <f t="shared" si="175"/>
        <v>0.1071428570214288</v>
      </c>
      <c r="J655" s="38">
        <f t="shared" si="171"/>
        <v>0.11999999984768028</v>
      </c>
      <c r="K655" s="37">
        <v>518521950</v>
      </c>
      <c r="L655" s="37">
        <f t="shared" si="176"/>
        <v>55555923</v>
      </c>
      <c r="M655" s="39">
        <f>L628</f>
        <v>40584852</v>
      </c>
      <c r="N655" s="37">
        <f t="shared" ref="N655:N686" si="177">+L655-M655</f>
        <v>14971071</v>
      </c>
      <c r="O655" s="40">
        <f t="shared" ref="O655:O686" si="178">ROUND((N655*40%),0)</f>
        <v>5988428</v>
      </c>
      <c r="P655" s="41" t="s">
        <v>456</v>
      </c>
      <c r="Q655" s="55"/>
      <c r="R655" s="42">
        <f t="shared" si="165"/>
        <v>8982643</v>
      </c>
      <c r="S655" s="55"/>
      <c r="T655" s="55"/>
      <c r="U655" s="55"/>
      <c r="V655" s="34" t="s">
        <v>261</v>
      </c>
      <c r="W655" s="43">
        <v>45274</v>
      </c>
      <c r="X655" s="44" t="s">
        <v>425</v>
      </c>
    </row>
    <row r="656" spans="1:24" ht="17.45" customHeight="1" x14ac:dyDescent="0.25">
      <c r="A656" t="str">
        <f t="shared" si="174"/>
        <v>24530183524527496822643</v>
      </c>
      <c r="B656" s="6">
        <f t="shared" si="172"/>
        <v>45531</v>
      </c>
      <c r="C656" s="3">
        <f t="shared" si="173"/>
        <v>218662504.66231647</v>
      </c>
      <c r="D656" s="34">
        <v>2023</v>
      </c>
      <c r="E656" s="35">
        <v>2453018352</v>
      </c>
      <c r="F656" s="36" t="s">
        <v>469</v>
      </c>
      <c r="G656" s="37">
        <v>5189063824</v>
      </c>
      <c r="H656" s="37">
        <v>261032799</v>
      </c>
      <c r="I656" s="38">
        <v>0.10714285748488657</v>
      </c>
      <c r="J656" s="38">
        <v>0.12000000042904171</v>
      </c>
      <c r="K656" s="37">
        <v>903678001</v>
      </c>
      <c r="L656" s="37">
        <f t="shared" si="176"/>
        <v>96822643</v>
      </c>
      <c r="M656" s="39">
        <f>L631</f>
        <v>58067462</v>
      </c>
      <c r="N656" s="37">
        <f t="shared" si="177"/>
        <v>38755181</v>
      </c>
      <c r="O656" s="40">
        <f t="shared" si="178"/>
        <v>15502072</v>
      </c>
      <c r="P656" s="41" t="s">
        <v>456</v>
      </c>
      <c r="Q656" s="55"/>
      <c r="R656" s="42">
        <f t="shared" si="165"/>
        <v>23253109</v>
      </c>
      <c r="S656" s="55"/>
      <c r="T656" s="55"/>
      <c r="U656" s="55"/>
      <c r="V656" s="34" t="s">
        <v>261</v>
      </c>
      <c r="W656" s="43">
        <v>45274</v>
      </c>
      <c r="X656" s="44" t="s">
        <v>470</v>
      </c>
    </row>
    <row r="657" spans="1:24" ht="17.45" customHeight="1" x14ac:dyDescent="0.25">
      <c r="A657" t="str">
        <f t="shared" si="174"/>
        <v>2910907250453163214286</v>
      </c>
      <c r="B657" s="6">
        <f t="shared" si="172"/>
        <v>45316</v>
      </c>
      <c r="C657" s="3">
        <f t="shared" si="173"/>
        <v>3214286</v>
      </c>
      <c r="D657" s="34">
        <v>2023</v>
      </c>
      <c r="E657" s="35">
        <v>2910907250</v>
      </c>
      <c r="F657" s="36" t="s">
        <v>480</v>
      </c>
      <c r="G657" s="37">
        <v>30000000</v>
      </c>
      <c r="H657" s="37">
        <v>3214286</v>
      </c>
      <c r="I657" s="38">
        <f>+H657/G657</f>
        <v>0.10714286666666667</v>
      </c>
      <c r="J657" s="38">
        <f t="shared" ref="J657:J675" si="179">IFERROR((+H657/(G657-H657)),0)</f>
        <v>0.12000001194666679</v>
      </c>
      <c r="K657" s="37">
        <v>30000000</v>
      </c>
      <c r="L657" s="37">
        <f t="shared" si="176"/>
        <v>3214286</v>
      </c>
      <c r="M657" s="39">
        <f>L577</f>
        <v>1607143</v>
      </c>
      <c r="N657" s="37">
        <f t="shared" si="177"/>
        <v>1607143</v>
      </c>
      <c r="O657" s="40">
        <f t="shared" si="178"/>
        <v>642857</v>
      </c>
      <c r="P657" s="41" t="s">
        <v>548</v>
      </c>
      <c r="Q657" s="55">
        <v>446</v>
      </c>
      <c r="R657" s="42">
        <f t="shared" si="165"/>
        <v>964286</v>
      </c>
      <c r="S657" s="55">
        <v>447</v>
      </c>
      <c r="T657" s="55">
        <v>173</v>
      </c>
      <c r="U657" s="55">
        <v>74</v>
      </c>
      <c r="V657" s="34" t="s">
        <v>261</v>
      </c>
      <c r="W657" s="43">
        <v>45316</v>
      </c>
      <c r="X657" s="44" t="s">
        <v>549</v>
      </c>
    </row>
    <row r="658" spans="1:24" ht="17.45" customHeight="1" x14ac:dyDescent="0.25">
      <c r="A658" t="str">
        <f t="shared" si="174"/>
        <v>245301833245316106373215</v>
      </c>
      <c r="B658" s="6">
        <f t="shared" si="172"/>
        <v>45316</v>
      </c>
      <c r="C658" s="3">
        <f t="shared" si="173"/>
        <v>106373215</v>
      </c>
      <c r="D658" s="34">
        <v>2021</v>
      </c>
      <c r="E658" s="35">
        <v>2453018332</v>
      </c>
      <c r="F658" s="36" t="s">
        <v>267</v>
      </c>
      <c r="G658" s="37">
        <v>1548681070</v>
      </c>
      <c r="H658" s="37">
        <v>165930115</v>
      </c>
      <c r="I658" s="38">
        <f>+H658/G658</f>
        <v>0.10714285737346813</v>
      </c>
      <c r="J658" s="38">
        <f t="shared" si="179"/>
        <v>0.12000000028927842</v>
      </c>
      <c r="K658" s="37">
        <v>992816670</v>
      </c>
      <c r="L658" s="37">
        <f t="shared" si="176"/>
        <v>106373215</v>
      </c>
      <c r="M658" s="39">
        <f>L552</f>
        <v>97094307</v>
      </c>
      <c r="N658" s="37">
        <f t="shared" si="177"/>
        <v>9278908</v>
      </c>
      <c r="O658" s="40">
        <f t="shared" si="178"/>
        <v>3711563</v>
      </c>
      <c r="P658" s="41" t="s">
        <v>548</v>
      </c>
      <c r="Q658" s="55">
        <v>410</v>
      </c>
      <c r="R658" s="42">
        <f t="shared" si="165"/>
        <v>5567345</v>
      </c>
      <c r="S658" s="55">
        <v>411</v>
      </c>
      <c r="T658" s="55">
        <v>174</v>
      </c>
      <c r="U658" s="55">
        <v>75</v>
      </c>
      <c r="V658" s="34" t="s">
        <v>261</v>
      </c>
      <c r="W658" s="43">
        <v>45316</v>
      </c>
      <c r="X658" s="44" t="s">
        <v>273</v>
      </c>
    </row>
    <row r="659" spans="1:24" ht="17.45" customHeight="1" x14ac:dyDescent="0.25">
      <c r="A659" t="str">
        <f t="shared" si="174"/>
        <v>2910907261453161071429</v>
      </c>
      <c r="B659" s="6">
        <f t="shared" si="172"/>
        <v>45316</v>
      </c>
      <c r="C659" s="3">
        <f t="shared" si="173"/>
        <v>1071429</v>
      </c>
      <c r="D659" s="34">
        <v>2023</v>
      </c>
      <c r="E659" s="35">
        <v>2910907261</v>
      </c>
      <c r="F659" s="36" t="s">
        <v>501</v>
      </c>
      <c r="G659" s="37">
        <v>10000000</v>
      </c>
      <c r="H659" s="37">
        <v>1071429</v>
      </c>
      <c r="I659" s="38">
        <f>H659/G659</f>
        <v>0.1071429</v>
      </c>
      <c r="J659" s="38">
        <f t="shared" si="179"/>
        <v>0.12000005376000258</v>
      </c>
      <c r="K659" s="37">
        <v>10000000</v>
      </c>
      <c r="L659" s="37">
        <f t="shared" si="176"/>
        <v>1071429</v>
      </c>
      <c r="M659" s="39">
        <f>L594</f>
        <v>535730</v>
      </c>
      <c r="N659" s="37">
        <f t="shared" si="177"/>
        <v>535699</v>
      </c>
      <c r="O659" s="40">
        <f t="shared" si="178"/>
        <v>214280</v>
      </c>
      <c r="P659" s="41" t="s">
        <v>548</v>
      </c>
      <c r="Q659" s="55">
        <v>450</v>
      </c>
      <c r="R659" s="42">
        <f t="shared" si="165"/>
        <v>321419</v>
      </c>
      <c r="S659" s="55">
        <v>451</v>
      </c>
      <c r="T659" s="55">
        <v>193</v>
      </c>
      <c r="U659" s="55">
        <v>94</v>
      </c>
      <c r="V659" s="34" t="s">
        <v>261</v>
      </c>
      <c r="W659" s="43">
        <v>45316</v>
      </c>
      <c r="X659" s="44" t="s">
        <v>550</v>
      </c>
    </row>
    <row r="660" spans="1:24" ht="17.45" customHeight="1" x14ac:dyDescent="0.25">
      <c r="A660" t="str">
        <f t="shared" si="174"/>
        <v>2910907230453166595714</v>
      </c>
      <c r="B660" s="6">
        <f t="shared" si="172"/>
        <v>45316</v>
      </c>
      <c r="C660" s="3">
        <f t="shared" si="173"/>
        <v>6595714</v>
      </c>
      <c r="D660" s="34">
        <v>2023</v>
      </c>
      <c r="E660" s="35">
        <v>2910907230</v>
      </c>
      <c r="F660" s="36" t="s">
        <v>399</v>
      </c>
      <c r="G660" s="37">
        <v>75600000</v>
      </c>
      <c r="H660" s="37">
        <v>8100000</v>
      </c>
      <c r="I660" s="38">
        <f>H660/G660</f>
        <v>0.10714285714285714</v>
      </c>
      <c r="J660" s="38">
        <f t="shared" si="179"/>
        <v>0.12</v>
      </c>
      <c r="K660" s="37">
        <v>61560000</v>
      </c>
      <c r="L660" s="37">
        <f t="shared" si="176"/>
        <v>6595714</v>
      </c>
      <c r="M660" s="39">
        <f>L580</f>
        <v>3992143</v>
      </c>
      <c r="N660" s="37">
        <f t="shared" si="177"/>
        <v>2603571</v>
      </c>
      <c r="O660" s="40">
        <f t="shared" si="178"/>
        <v>1041428</v>
      </c>
      <c r="P660" s="41" t="s">
        <v>548</v>
      </c>
      <c r="Q660" s="55">
        <v>442</v>
      </c>
      <c r="R660" s="42">
        <f t="shared" si="165"/>
        <v>1562143</v>
      </c>
      <c r="S660" s="55">
        <v>443</v>
      </c>
      <c r="T660" s="55">
        <v>190</v>
      </c>
      <c r="U660" s="55">
        <v>91</v>
      </c>
      <c r="V660" s="34" t="s">
        <v>261</v>
      </c>
      <c r="W660" s="43">
        <v>45316</v>
      </c>
      <c r="X660" s="44" t="s">
        <v>551</v>
      </c>
    </row>
    <row r="661" spans="1:24" ht="17.45" customHeight="1" x14ac:dyDescent="0.25">
      <c r="A661" t="str">
        <f t="shared" si="174"/>
        <v>291090677745316121501239</v>
      </c>
      <c r="B661" s="6">
        <f t="shared" si="172"/>
        <v>45316</v>
      </c>
      <c r="C661" s="3">
        <f t="shared" si="173"/>
        <v>121501239</v>
      </c>
      <c r="D661" s="34">
        <v>2021</v>
      </c>
      <c r="E661" s="35">
        <v>2910906777</v>
      </c>
      <c r="F661" s="36" t="s">
        <v>230</v>
      </c>
      <c r="G661" s="37">
        <v>1162897960</v>
      </c>
      <c r="H661" s="37">
        <v>124596210</v>
      </c>
      <c r="I661" s="38">
        <f>H661/G661</f>
        <v>0.10714285714285714</v>
      </c>
      <c r="J661" s="38">
        <f t="shared" si="179"/>
        <v>0.12</v>
      </c>
      <c r="K661" s="37">
        <v>1134011560</v>
      </c>
      <c r="L661" s="37">
        <f t="shared" si="176"/>
        <v>121501239</v>
      </c>
      <c r="M661" s="39">
        <f>L296</f>
        <v>101890391</v>
      </c>
      <c r="N661" s="37">
        <f t="shared" si="177"/>
        <v>19610848</v>
      </c>
      <c r="O661" s="40">
        <f t="shared" si="178"/>
        <v>7844339</v>
      </c>
      <c r="P661" s="41" t="s">
        <v>548</v>
      </c>
      <c r="Q661" s="55">
        <v>434</v>
      </c>
      <c r="R661" s="42">
        <f t="shared" si="165"/>
        <v>11766509</v>
      </c>
      <c r="S661" s="55">
        <v>435</v>
      </c>
      <c r="T661" s="55">
        <v>186</v>
      </c>
      <c r="U661" s="55">
        <v>87</v>
      </c>
      <c r="V661" s="34" t="s">
        <v>261</v>
      </c>
      <c r="W661" s="43">
        <v>45316</v>
      </c>
      <c r="X661" s="44" t="s">
        <v>552</v>
      </c>
    </row>
    <row r="662" spans="1:24" ht="17.45" customHeight="1" x14ac:dyDescent="0.25">
      <c r="A662" t="str">
        <f t="shared" si="174"/>
        <v>29109072244531619784544</v>
      </c>
      <c r="B662" s="6">
        <f t="shared" si="172"/>
        <v>45316</v>
      </c>
      <c r="C662" s="3">
        <f t="shared" si="173"/>
        <v>19784544</v>
      </c>
      <c r="D662" s="34">
        <v>2023</v>
      </c>
      <c r="E662" s="35">
        <v>2910907224</v>
      </c>
      <c r="F662" s="36" t="s">
        <v>374</v>
      </c>
      <c r="G662" s="37">
        <v>226521190</v>
      </c>
      <c r="H662" s="37">
        <v>24270127</v>
      </c>
      <c r="I662" s="38">
        <f>+H662/G662</f>
        <v>0.10714285493555813</v>
      </c>
      <c r="J662" s="38">
        <f t="shared" si="179"/>
        <v>0.11999999723116413</v>
      </c>
      <c r="K662" s="37">
        <v>184655750</v>
      </c>
      <c r="L662" s="37">
        <f t="shared" si="176"/>
        <v>19784544</v>
      </c>
      <c r="M662" s="39">
        <f>L596</f>
        <v>15490665</v>
      </c>
      <c r="N662" s="37">
        <f t="shared" si="177"/>
        <v>4293879</v>
      </c>
      <c r="O662" s="40">
        <f t="shared" si="178"/>
        <v>1717552</v>
      </c>
      <c r="P662" s="41" t="s">
        <v>548</v>
      </c>
      <c r="Q662" s="55">
        <v>438</v>
      </c>
      <c r="R662" s="42">
        <f t="shared" si="165"/>
        <v>2576327</v>
      </c>
      <c r="S662" s="55">
        <v>439</v>
      </c>
      <c r="T662" s="55">
        <v>188</v>
      </c>
      <c r="U662" s="55">
        <v>89</v>
      </c>
      <c r="V662" s="34" t="s">
        <v>261</v>
      </c>
      <c r="W662" s="43">
        <v>45316</v>
      </c>
      <c r="X662" s="44" t="s">
        <v>553</v>
      </c>
    </row>
    <row r="663" spans="1:24" ht="17.45" customHeight="1" x14ac:dyDescent="0.25">
      <c r="A663" t="str">
        <f t="shared" si="174"/>
        <v>29109072804531653571429</v>
      </c>
      <c r="B663" s="6">
        <f t="shared" si="172"/>
        <v>45316</v>
      </c>
      <c r="C663" s="3">
        <f t="shared" si="173"/>
        <v>53571429</v>
      </c>
      <c r="D663" s="34">
        <v>2023</v>
      </c>
      <c r="E663" s="35">
        <v>2910907280</v>
      </c>
      <c r="F663" s="36" t="s">
        <v>510</v>
      </c>
      <c r="G663" s="37">
        <v>500000000</v>
      </c>
      <c r="H663" s="37">
        <v>53571429</v>
      </c>
      <c r="I663" s="38">
        <f>+H663/G663</f>
        <v>0.10714285799999999</v>
      </c>
      <c r="J663" s="38">
        <f t="shared" si="179"/>
        <v>0.12000000107520001</v>
      </c>
      <c r="K663" s="37">
        <v>500000000</v>
      </c>
      <c r="L663" s="37">
        <f t="shared" si="176"/>
        <v>53571429</v>
      </c>
      <c r="M663" s="39">
        <f>L649</f>
        <v>29464286</v>
      </c>
      <c r="N663" s="37">
        <f t="shared" si="177"/>
        <v>24107143</v>
      </c>
      <c r="O663" s="40">
        <f t="shared" si="178"/>
        <v>9642857</v>
      </c>
      <c r="P663" s="41" t="s">
        <v>548</v>
      </c>
      <c r="Q663" s="55">
        <v>460</v>
      </c>
      <c r="R663" s="42">
        <f t="shared" si="165"/>
        <v>14464286</v>
      </c>
      <c r="S663" s="55">
        <v>461</v>
      </c>
      <c r="T663" s="55">
        <v>200</v>
      </c>
      <c r="U663" s="55">
        <v>99</v>
      </c>
      <c r="V663" s="34" t="s">
        <v>261</v>
      </c>
      <c r="W663" s="43">
        <v>45316</v>
      </c>
      <c r="X663" s="44" t="s">
        <v>554</v>
      </c>
    </row>
    <row r="664" spans="1:24" ht="17.45" customHeight="1" x14ac:dyDescent="0.25">
      <c r="A664" t="str">
        <f t="shared" si="174"/>
        <v>29109067724531616508624</v>
      </c>
      <c r="B664" s="6">
        <f t="shared" si="172"/>
        <v>45316</v>
      </c>
      <c r="C664" s="3">
        <f t="shared" si="173"/>
        <v>16508624</v>
      </c>
      <c r="D664" s="34">
        <v>2021</v>
      </c>
      <c r="E664" s="35">
        <v>2910906772</v>
      </c>
      <c r="F664" s="36" t="s">
        <v>260</v>
      </c>
      <c r="G664" s="37">
        <f>125000000+14560000+26924712+19978166</f>
        <v>186462878</v>
      </c>
      <c r="H664" s="37">
        <v>19978166</v>
      </c>
      <c r="I664" s="38">
        <f>+H664/G664</f>
        <v>0.10714285982435603</v>
      </c>
      <c r="J664" s="38">
        <f t="shared" si="179"/>
        <v>0.12000000336367221</v>
      </c>
      <c r="K664" s="37">
        <v>154080490</v>
      </c>
      <c r="L664" s="37">
        <f t="shared" si="176"/>
        <v>16508624</v>
      </c>
      <c r="M664" s="39">
        <f>L383</f>
        <v>11332977</v>
      </c>
      <c r="N664" s="37">
        <f t="shared" si="177"/>
        <v>5175647</v>
      </c>
      <c r="O664" s="40">
        <f t="shared" si="178"/>
        <v>2070259</v>
      </c>
      <c r="P664" s="41" t="s">
        <v>548</v>
      </c>
      <c r="Q664" s="55">
        <v>432</v>
      </c>
      <c r="R664" s="42">
        <f t="shared" si="165"/>
        <v>3105388</v>
      </c>
      <c r="S664" s="55">
        <v>433</v>
      </c>
      <c r="T664" s="55">
        <v>185</v>
      </c>
      <c r="U664" s="55">
        <v>86</v>
      </c>
      <c r="V664" s="34" t="s">
        <v>261</v>
      </c>
      <c r="W664" s="43">
        <v>45316</v>
      </c>
      <c r="X664" s="44" t="s">
        <v>555</v>
      </c>
    </row>
    <row r="665" spans="1:24" ht="17.45" customHeight="1" x14ac:dyDescent="0.25">
      <c r="A665" t="str">
        <f t="shared" si="174"/>
        <v>29109067294531636024705</v>
      </c>
      <c r="B665" s="6">
        <f t="shared" si="172"/>
        <v>45316</v>
      </c>
      <c r="C665" s="3">
        <f t="shared" si="173"/>
        <v>36024705</v>
      </c>
      <c r="D665" s="34">
        <v>2022</v>
      </c>
      <c r="E665" s="35">
        <v>2910906729</v>
      </c>
      <c r="F665" s="36" t="s">
        <v>167</v>
      </c>
      <c r="G665" s="37">
        <v>336230576</v>
      </c>
      <c r="H665" s="37">
        <v>36024705</v>
      </c>
      <c r="I665" s="38">
        <v>0.10714285841749265</v>
      </c>
      <c r="J665" s="38">
        <f t="shared" si="179"/>
        <v>0.12000000159890277</v>
      </c>
      <c r="K665" s="37">
        <v>336230576</v>
      </c>
      <c r="L665" s="37">
        <f t="shared" si="176"/>
        <v>36024705</v>
      </c>
      <c r="M665" s="39">
        <f>L266</f>
        <v>30556618</v>
      </c>
      <c r="N665" s="37">
        <f t="shared" si="177"/>
        <v>5468087</v>
      </c>
      <c r="O665" s="40">
        <f t="shared" si="178"/>
        <v>2187235</v>
      </c>
      <c r="P665" s="41" t="s">
        <v>548</v>
      </c>
      <c r="Q665" s="55">
        <v>428</v>
      </c>
      <c r="R665" s="42">
        <f t="shared" si="165"/>
        <v>3280852</v>
      </c>
      <c r="S665" s="55">
        <v>429</v>
      </c>
      <c r="T665" s="55">
        <v>183</v>
      </c>
      <c r="U665" s="55">
        <v>84</v>
      </c>
      <c r="V665" s="34" t="s">
        <v>261</v>
      </c>
      <c r="W665" s="43">
        <v>45316</v>
      </c>
      <c r="X665" s="44" t="s">
        <v>556</v>
      </c>
    </row>
    <row r="666" spans="1:24" ht="17.45" customHeight="1" x14ac:dyDescent="0.25">
      <c r="A666" t="str">
        <f t="shared" si="174"/>
        <v>29109072904531613665863</v>
      </c>
      <c r="B666" s="6">
        <f t="shared" si="172"/>
        <v>45439</v>
      </c>
      <c r="C666" s="3">
        <f t="shared" si="173"/>
        <v>30748191.364285715</v>
      </c>
      <c r="D666" s="34">
        <v>2023</v>
      </c>
      <c r="E666" s="35">
        <v>2910907290</v>
      </c>
      <c r="F666" s="36" t="s">
        <v>557</v>
      </c>
      <c r="G666" s="37">
        <v>318870136</v>
      </c>
      <c r="H666" s="37">
        <v>34164657</v>
      </c>
      <c r="I666" s="38">
        <v>0.10714285841749265</v>
      </c>
      <c r="J666" s="38">
        <f t="shared" si="179"/>
        <v>0.1199999983140472</v>
      </c>
      <c r="K666" s="37">
        <v>127548055</v>
      </c>
      <c r="L666" s="37">
        <f t="shared" si="176"/>
        <v>13665863</v>
      </c>
      <c r="M666" s="39">
        <v>0</v>
      </c>
      <c r="N666" s="37">
        <f t="shared" si="177"/>
        <v>13665863</v>
      </c>
      <c r="O666" s="40">
        <f t="shared" si="178"/>
        <v>5466345</v>
      </c>
      <c r="P666" s="41" t="s">
        <v>548</v>
      </c>
      <c r="Q666" s="55">
        <v>462</v>
      </c>
      <c r="R666" s="42">
        <f t="shared" si="165"/>
        <v>8199518</v>
      </c>
      <c r="S666" s="55">
        <v>463</v>
      </c>
      <c r="T666" s="55">
        <v>201</v>
      </c>
      <c r="U666" s="55">
        <v>101</v>
      </c>
      <c r="V666" s="34" t="s">
        <v>261</v>
      </c>
      <c r="W666" s="43">
        <v>45316</v>
      </c>
      <c r="X666" s="44" t="s">
        <v>558</v>
      </c>
    </row>
    <row r="667" spans="1:24" ht="17.45" customHeight="1" x14ac:dyDescent="0.25">
      <c r="A667" t="str">
        <f t="shared" si="174"/>
        <v>291090722945316159874410</v>
      </c>
      <c r="B667" s="6">
        <f t="shared" si="172"/>
        <v>45498</v>
      </c>
      <c r="C667" s="3">
        <f t="shared" si="173"/>
        <v>169192109.99999997</v>
      </c>
      <c r="D667" s="34">
        <v>2023</v>
      </c>
      <c r="E667" s="35">
        <v>2910907229</v>
      </c>
      <c r="F667" s="36" t="s">
        <v>433</v>
      </c>
      <c r="G667" s="37">
        <v>1995501200</v>
      </c>
      <c r="H667" s="37">
        <v>213803700</v>
      </c>
      <c r="I667" s="38">
        <f t="shared" ref="I667:I675" si="180">+H667/G667</f>
        <v>0.10714285714285714</v>
      </c>
      <c r="J667" s="38">
        <f t="shared" si="179"/>
        <v>0.12</v>
      </c>
      <c r="K667" s="37">
        <v>1492161160</v>
      </c>
      <c r="L667" s="37">
        <f t="shared" si="176"/>
        <v>159874410</v>
      </c>
      <c r="M667" s="39">
        <f>L648</f>
        <v>151592010</v>
      </c>
      <c r="N667" s="37">
        <f t="shared" si="177"/>
        <v>8282400</v>
      </c>
      <c r="O667" s="40">
        <f t="shared" si="178"/>
        <v>3312960</v>
      </c>
      <c r="P667" s="41" t="s">
        <v>548</v>
      </c>
      <c r="Q667" s="55">
        <v>440</v>
      </c>
      <c r="R667" s="42">
        <f t="shared" si="165"/>
        <v>4969440</v>
      </c>
      <c r="S667" s="55">
        <v>441</v>
      </c>
      <c r="T667" s="55">
        <v>189</v>
      </c>
      <c r="U667" s="55">
        <v>90</v>
      </c>
      <c r="V667" s="34" t="s">
        <v>261</v>
      </c>
      <c r="W667" s="43">
        <v>45316</v>
      </c>
      <c r="X667" s="44" t="s">
        <v>559</v>
      </c>
    </row>
    <row r="668" spans="1:24" ht="17.45" customHeight="1" x14ac:dyDescent="0.25">
      <c r="A668" t="str">
        <f t="shared" si="174"/>
        <v>29109072144531618592800</v>
      </c>
      <c r="B668" s="6">
        <f t="shared" si="172"/>
        <v>45316</v>
      </c>
      <c r="C668" s="3">
        <f t="shared" si="173"/>
        <v>18592800</v>
      </c>
      <c r="D668" s="34">
        <v>2022</v>
      </c>
      <c r="E668" s="35">
        <v>2910907214</v>
      </c>
      <c r="F668" s="36" t="s">
        <v>327</v>
      </c>
      <c r="G668" s="37">
        <v>173532800</v>
      </c>
      <c r="H668" s="37">
        <v>18592800</v>
      </c>
      <c r="I668" s="38">
        <f t="shared" si="180"/>
        <v>0.10714285714285714</v>
      </c>
      <c r="J668" s="38">
        <f t="shared" si="179"/>
        <v>0.12</v>
      </c>
      <c r="K668" s="37">
        <v>173532800</v>
      </c>
      <c r="L668" s="37">
        <f t="shared" si="176"/>
        <v>18592800</v>
      </c>
      <c r="M668" s="39">
        <f>L509</f>
        <v>14874240</v>
      </c>
      <c r="N668" s="37">
        <f t="shared" si="177"/>
        <v>3718560</v>
      </c>
      <c r="O668" s="40">
        <f t="shared" si="178"/>
        <v>1487424</v>
      </c>
      <c r="P668" s="41" t="s">
        <v>548</v>
      </c>
      <c r="Q668" s="55">
        <v>436</v>
      </c>
      <c r="R668" s="42">
        <f t="shared" si="165"/>
        <v>2231136</v>
      </c>
      <c r="S668" s="55">
        <v>437</v>
      </c>
      <c r="T668" s="55">
        <v>187</v>
      </c>
      <c r="U668" s="55">
        <v>88</v>
      </c>
      <c r="V668" s="34" t="s">
        <v>261</v>
      </c>
      <c r="W668" s="43">
        <v>45316</v>
      </c>
      <c r="X668" s="44" t="s">
        <v>560</v>
      </c>
    </row>
    <row r="669" spans="1:24" ht="17.45" customHeight="1" x14ac:dyDescent="0.25">
      <c r="A669" t="str">
        <f t="shared" si="174"/>
        <v>291090727845316321429</v>
      </c>
      <c r="B669" s="6">
        <f t="shared" si="172"/>
        <v>45316</v>
      </c>
      <c r="C669" s="3">
        <f t="shared" si="173"/>
        <v>321429</v>
      </c>
      <c r="D669" s="34">
        <v>2023</v>
      </c>
      <c r="E669" s="35">
        <v>2910907278</v>
      </c>
      <c r="F669" s="36" t="s">
        <v>561</v>
      </c>
      <c r="G669" s="37">
        <v>3000000</v>
      </c>
      <c r="H669" s="37">
        <v>321429</v>
      </c>
      <c r="I669" s="38">
        <f t="shared" si="180"/>
        <v>0.107143</v>
      </c>
      <c r="J669" s="38">
        <f t="shared" si="179"/>
        <v>0.12000017920002867</v>
      </c>
      <c r="K669" s="37">
        <v>3000000</v>
      </c>
      <c r="L669" s="37">
        <f t="shared" si="176"/>
        <v>321429</v>
      </c>
      <c r="M669" s="39">
        <v>0</v>
      </c>
      <c r="N669" s="37">
        <f t="shared" si="177"/>
        <v>321429</v>
      </c>
      <c r="O669" s="40">
        <f t="shared" si="178"/>
        <v>128572</v>
      </c>
      <c r="P669" s="41" t="s">
        <v>548</v>
      </c>
      <c r="Q669" s="55">
        <v>456</v>
      </c>
      <c r="R669" s="42">
        <f t="shared" si="165"/>
        <v>192857</v>
      </c>
      <c r="S669" s="55">
        <v>457</v>
      </c>
      <c r="T669" s="55">
        <v>198</v>
      </c>
      <c r="U669" s="55">
        <v>97</v>
      </c>
      <c r="V669" s="34" t="s">
        <v>261</v>
      </c>
      <c r="W669" s="43">
        <v>45316</v>
      </c>
      <c r="X669" s="44" t="s">
        <v>562</v>
      </c>
    </row>
    <row r="670" spans="1:24" ht="17.45" customHeight="1" x14ac:dyDescent="0.25">
      <c r="A670" t="str">
        <f t="shared" si="174"/>
        <v>291090726545316321429</v>
      </c>
      <c r="B670" s="6">
        <f t="shared" si="172"/>
        <v>45316</v>
      </c>
      <c r="C670" s="3">
        <f t="shared" si="173"/>
        <v>321429</v>
      </c>
      <c r="D670" s="34">
        <v>2023</v>
      </c>
      <c r="E670" s="35">
        <v>2910907265</v>
      </c>
      <c r="F670" s="36" t="s">
        <v>563</v>
      </c>
      <c r="G670" s="37">
        <v>3000000</v>
      </c>
      <c r="H670" s="37">
        <v>321429</v>
      </c>
      <c r="I670" s="38">
        <f t="shared" si="180"/>
        <v>0.107143</v>
      </c>
      <c r="J670" s="38">
        <f t="shared" si="179"/>
        <v>0.12000017920002867</v>
      </c>
      <c r="K670" s="37">
        <v>3000000</v>
      </c>
      <c r="L670" s="37">
        <f t="shared" si="176"/>
        <v>321429</v>
      </c>
      <c r="M670" s="39">
        <v>0</v>
      </c>
      <c r="N670" s="37">
        <f t="shared" si="177"/>
        <v>321429</v>
      </c>
      <c r="O670" s="40">
        <f t="shared" si="178"/>
        <v>128572</v>
      </c>
      <c r="P670" s="41" t="s">
        <v>548</v>
      </c>
      <c r="Q670" s="55">
        <v>452</v>
      </c>
      <c r="R670" s="42">
        <f t="shared" si="165"/>
        <v>192857</v>
      </c>
      <c r="S670" s="55">
        <v>453</v>
      </c>
      <c r="T670" s="55">
        <v>194</v>
      </c>
      <c r="U670" s="55">
        <v>95</v>
      </c>
      <c r="V670" s="34" t="s">
        <v>261</v>
      </c>
      <c r="W670" s="43">
        <v>45316</v>
      </c>
      <c r="X670" s="44" t="s">
        <v>564</v>
      </c>
    </row>
    <row r="671" spans="1:24" ht="17.45" customHeight="1" x14ac:dyDescent="0.25">
      <c r="A671" t="str">
        <f t="shared" si="174"/>
        <v>291090727645316321429</v>
      </c>
      <c r="B671" s="6">
        <f t="shared" si="172"/>
        <v>45316</v>
      </c>
      <c r="C671" s="3">
        <f t="shared" si="173"/>
        <v>321429</v>
      </c>
      <c r="D671" s="34">
        <v>2023</v>
      </c>
      <c r="E671" s="35">
        <v>2910907276</v>
      </c>
      <c r="F671" s="36" t="s">
        <v>478</v>
      </c>
      <c r="G671" s="37">
        <v>3000000</v>
      </c>
      <c r="H671" s="37">
        <v>321429</v>
      </c>
      <c r="I671" s="38">
        <f t="shared" si="180"/>
        <v>0.107143</v>
      </c>
      <c r="J671" s="38">
        <f t="shared" si="179"/>
        <v>0.12000017920002867</v>
      </c>
      <c r="K671" s="37">
        <v>3000000</v>
      </c>
      <c r="L671" s="37">
        <f t="shared" si="176"/>
        <v>321429</v>
      </c>
      <c r="M671" s="39">
        <f>L576</f>
        <v>160715</v>
      </c>
      <c r="N671" s="37">
        <f t="shared" si="177"/>
        <v>160714</v>
      </c>
      <c r="O671" s="40">
        <f t="shared" si="178"/>
        <v>64286</v>
      </c>
      <c r="P671" s="41" t="s">
        <v>548</v>
      </c>
      <c r="Q671" s="55">
        <v>454</v>
      </c>
      <c r="R671" s="42">
        <f t="shared" si="165"/>
        <v>96428</v>
      </c>
      <c r="S671" s="55">
        <v>455</v>
      </c>
      <c r="T671" s="55">
        <v>196</v>
      </c>
      <c r="U671" s="55">
        <v>96</v>
      </c>
      <c r="V671" s="34" t="s">
        <v>261</v>
      </c>
      <c r="W671" s="43">
        <v>45316</v>
      </c>
      <c r="X671" s="44" t="s">
        <v>565</v>
      </c>
    </row>
    <row r="672" spans="1:24" ht="17.45" customHeight="1" x14ac:dyDescent="0.25">
      <c r="A672" t="str">
        <f t="shared" si="174"/>
        <v>291090725845316585000</v>
      </c>
      <c r="B672" s="6">
        <f t="shared" si="172"/>
        <v>45316</v>
      </c>
      <c r="C672" s="3">
        <f t="shared" si="173"/>
        <v>585000</v>
      </c>
      <c r="D672" s="34">
        <v>2023</v>
      </c>
      <c r="E672" s="35">
        <v>2910907258</v>
      </c>
      <c r="F672" s="36" t="s">
        <v>566</v>
      </c>
      <c r="G672" s="37">
        <v>6000000</v>
      </c>
      <c r="H672" s="37">
        <v>642857</v>
      </c>
      <c r="I672" s="38">
        <f t="shared" si="180"/>
        <v>0.10714283333333334</v>
      </c>
      <c r="J672" s="38">
        <f t="shared" si="179"/>
        <v>0.11999997013333413</v>
      </c>
      <c r="K672" s="37">
        <v>5460000</v>
      </c>
      <c r="L672" s="37">
        <f t="shared" si="176"/>
        <v>585000</v>
      </c>
      <c r="M672" s="39">
        <v>0</v>
      </c>
      <c r="N672" s="37">
        <f t="shared" si="177"/>
        <v>585000</v>
      </c>
      <c r="O672" s="40">
        <f t="shared" si="178"/>
        <v>234000</v>
      </c>
      <c r="P672" s="41" t="s">
        <v>548</v>
      </c>
      <c r="Q672" s="55">
        <v>448</v>
      </c>
      <c r="R672" s="42">
        <f t="shared" si="165"/>
        <v>351000</v>
      </c>
      <c r="S672" s="55">
        <v>449</v>
      </c>
      <c r="T672" s="55">
        <v>192</v>
      </c>
      <c r="U672" s="55">
        <v>93</v>
      </c>
      <c r="V672" s="34" t="s">
        <v>261</v>
      </c>
      <c r="W672" s="43">
        <v>45316</v>
      </c>
      <c r="X672" s="44" t="s">
        <v>567</v>
      </c>
    </row>
    <row r="673" spans="1:24" ht="17.45" customHeight="1" x14ac:dyDescent="0.25">
      <c r="A673" t="str">
        <f t="shared" si="174"/>
        <v>291090729745316892500</v>
      </c>
      <c r="B673" s="6">
        <f t="shared" si="172"/>
        <v>45316</v>
      </c>
      <c r="C673" s="3">
        <f t="shared" si="173"/>
        <v>892500</v>
      </c>
      <c r="D673" s="34">
        <v>2023</v>
      </c>
      <c r="E673" s="35">
        <v>2910907297</v>
      </c>
      <c r="F673" s="36" t="s">
        <v>568</v>
      </c>
      <c r="G673" s="37">
        <v>10000000</v>
      </c>
      <c r="H673" s="37">
        <v>1071429</v>
      </c>
      <c r="I673" s="38">
        <f t="shared" si="180"/>
        <v>0.1071429</v>
      </c>
      <c r="J673" s="38">
        <f t="shared" si="179"/>
        <v>0.12000005376000258</v>
      </c>
      <c r="K673" s="37">
        <v>8330000</v>
      </c>
      <c r="L673" s="37">
        <f t="shared" si="176"/>
        <v>892500</v>
      </c>
      <c r="M673" s="39">
        <v>0</v>
      </c>
      <c r="N673" s="37">
        <f t="shared" si="177"/>
        <v>892500</v>
      </c>
      <c r="O673" s="40">
        <f t="shared" si="178"/>
        <v>357000</v>
      </c>
      <c r="P673" s="41" t="s">
        <v>548</v>
      </c>
      <c r="Q673" s="55">
        <v>464</v>
      </c>
      <c r="R673" s="42">
        <f t="shared" si="165"/>
        <v>535500</v>
      </c>
      <c r="S673" s="55">
        <v>465</v>
      </c>
      <c r="T673" s="55">
        <v>202</v>
      </c>
      <c r="U673" s="55">
        <v>101</v>
      </c>
      <c r="V673" s="34" t="s">
        <v>261</v>
      </c>
      <c r="W673" s="43">
        <v>45316</v>
      </c>
      <c r="X673" s="44" t="s">
        <v>569</v>
      </c>
    </row>
    <row r="674" spans="1:24" ht="17.45" customHeight="1" x14ac:dyDescent="0.25">
      <c r="A674" t="str">
        <f t="shared" si="174"/>
        <v>29109067684531620916536</v>
      </c>
      <c r="B674" s="6">
        <f t="shared" si="172"/>
        <v>45316</v>
      </c>
      <c r="C674" s="3">
        <f t="shared" si="173"/>
        <v>20916536</v>
      </c>
      <c r="D674" s="34">
        <v>2021</v>
      </c>
      <c r="E674" s="35">
        <v>2910906768</v>
      </c>
      <c r="F674" s="36" t="s">
        <v>221</v>
      </c>
      <c r="G674" s="37">
        <v>205490000</v>
      </c>
      <c r="H674" s="37">
        <v>22016786</v>
      </c>
      <c r="I674" s="38">
        <f t="shared" si="180"/>
        <v>0.10714285853326196</v>
      </c>
      <c r="J674" s="38">
        <f t="shared" si="179"/>
        <v>0.1200000017441238</v>
      </c>
      <c r="K674" s="37">
        <v>195221000</v>
      </c>
      <c r="L674" s="37">
        <f t="shared" si="176"/>
        <v>20916536</v>
      </c>
      <c r="M674" s="39">
        <f>L255</f>
        <v>7570491</v>
      </c>
      <c r="N674" s="37">
        <f t="shared" si="177"/>
        <v>13346045</v>
      </c>
      <c r="O674" s="40">
        <f t="shared" si="178"/>
        <v>5338418</v>
      </c>
      <c r="P674" s="41" t="s">
        <v>548</v>
      </c>
      <c r="Q674" s="55">
        <v>430</v>
      </c>
      <c r="R674" s="42">
        <f t="shared" ref="R674:R737" si="181">+N674-O674</f>
        <v>8007627</v>
      </c>
      <c r="S674" s="55">
        <v>431</v>
      </c>
      <c r="T674" s="55">
        <v>184</v>
      </c>
      <c r="U674" s="55">
        <v>85</v>
      </c>
      <c r="V674" s="34" t="s">
        <v>261</v>
      </c>
      <c r="W674" s="43">
        <v>45316</v>
      </c>
      <c r="X674" s="44" t="s">
        <v>570</v>
      </c>
    </row>
    <row r="675" spans="1:24" ht="17.45" customHeight="1" x14ac:dyDescent="0.25">
      <c r="A675" t="str">
        <f t="shared" si="174"/>
        <v>29109072484531678926592</v>
      </c>
      <c r="B675" s="6">
        <f t="shared" si="172"/>
        <v>45439</v>
      </c>
      <c r="C675" s="3">
        <f t="shared" si="173"/>
        <v>98658239.999999985</v>
      </c>
      <c r="D675" s="34">
        <v>2023</v>
      </c>
      <c r="E675" s="35">
        <v>2910907248</v>
      </c>
      <c r="F675" s="36" t="s">
        <v>466</v>
      </c>
      <c r="G675" s="37">
        <v>920810240</v>
      </c>
      <c r="H675" s="37">
        <v>98658240</v>
      </c>
      <c r="I675" s="38">
        <f t="shared" si="180"/>
        <v>0.10714285714285714</v>
      </c>
      <c r="J675" s="38">
        <f t="shared" si="179"/>
        <v>0.12</v>
      </c>
      <c r="K675" s="37">
        <v>736648192</v>
      </c>
      <c r="L675" s="37">
        <f t="shared" si="176"/>
        <v>78926592</v>
      </c>
      <c r="M675" s="39">
        <f>L561</f>
        <v>39463296</v>
      </c>
      <c r="N675" s="37">
        <f t="shared" si="177"/>
        <v>39463296</v>
      </c>
      <c r="O675" s="40">
        <f t="shared" si="178"/>
        <v>15785318</v>
      </c>
      <c r="P675" s="41" t="s">
        <v>548</v>
      </c>
      <c r="Q675" s="55">
        <v>444</v>
      </c>
      <c r="R675" s="42">
        <f t="shared" si="181"/>
        <v>23677978</v>
      </c>
      <c r="S675" s="55">
        <v>445</v>
      </c>
      <c r="T675" s="55">
        <v>191</v>
      </c>
      <c r="U675" s="55">
        <v>92</v>
      </c>
      <c r="V675" s="34" t="s">
        <v>261</v>
      </c>
      <c r="W675" s="43">
        <v>45316</v>
      </c>
      <c r="X675" s="44" t="s">
        <v>571</v>
      </c>
    </row>
    <row r="676" spans="1:24" ht="17.45" customHeight="1" x14ac:dyDescent="0.25">
      <c r="A676" t="str">
        <f t="shared" si="174"/>
        <v>24530183454531735747104</v>
      </c>
      <c r="B676" s="6">
        <f t="shared" si="172"/>
        <v>45525</v>
      </c>
      <c r="C676" s="3">
        <f t="shared" si="173"/>
        <v>45271421.946191989</v>
      </c>
      <c r="D676" s="34">
        <v>2023</v>
      </c>
      <c r="E676" s="35">
        <v>2453018345</v>
      </c>
      <c r="F676" s="36" t="s">
        <v>522</v>
      </c>
      <c r="G676" s="37">
        <v>483200000</v>
      </c>
      <c r="H676" s="37">
        <v>51771429</v>
      </c>
      <c r="I676" s="38">
        <v>0.107142857484887</v>
      </c>
      <c r="J676" s="38">
        <v>0.12000000042904171</v>
      </c>
      <c r="K676" s="37">
        <v>333639634</v>
      </c>
      <c r="L676" s="37">
        <f t="shared" si="176"/>
        <v>35747104</v>
      </c>
      <c r="M676" s="39">
        <f>L626</f>
        <v>28737882</v>
      </c>
      <c r="N676" s="37">
        <f t="shared" si="177"/>
        <v>7009222</v>
      </c>
      <c r="O676" s="40">
        <f t="shared" si="178"/>
        <v>2803689</v>
      </c>
      <c r="P676" s="41" t="s">
        <v>548</v>
      </c>
      <c r="Q676" s="55">
        <v>414</v>
      </c>
      <c r="R676" s="42">
        <f t="shared" si="181"/>
        <v>4205533</v>
      </c>
      <c r="S676" s="55">
        <v>415</v>
      </c>
      <c r="T676" s="55">
        <v>176</v>
      </c>
      <c r="U676" s="55">
        <v>77</v>
      </c>
      <c r="V676" s="34" t="s">
        <v>261</v>
      </c>
      <c r="W676" s="43">
        <v>45317</v>
      </c>
      <c r="X676" s="44" t="s">
        <v>425</v>
      </c>
    </row>
    <row r="677" spans="1:24" ht="17.45" customHeight="1" x14ac:dyDescent="0.25">
      <c r="A677" t="str">
        <f t="shared" si="174"/>
        <v>24530183474531793111982</v>
      </c>
      <c r="B677" s="6">
        <f t="shared" si="172"/>
        <v>45730</v>
      </c>
      <c r="C677" s="3">
        <f t="shared" si="173"/>
        <v>227416985.11999634</v>
      </c>
      <c r="D677" s="34">
        <v>2023</v>
      </c>
      <c r="E677" s="35">
        <v>2453018347</v>
      </c>
      <c r="F677" s="36" t="s">
        <v>391</v>
      </c>
      <c r="G677" s="37">
        <v>1778543757</v>
      </c>
      <c r="H677" s="37">
        <v>213425250</v>
      </c>
      <c r="I677" s="38">
        <f>+H677/G677</f>
        <v>0.1199999995277035</v>
      </c>
      <c r="J677" s="38">
        <f>IFERROR((+H677/(G677-H677)),0)</f>
        <v>0.13636363575374935</v>
      </c>
      <c r="K677" s="37">
        <v>775933184</v>
      </c>
      <c r="L677" s="37">
        <f t="shared" si="176"/>
        <v>93111982</v>
      </c>
      <c r="M677" s="39">
        <f>L627</f>
        <v>69935613</v>
      </c>
      <c r="N677" s="37">
        <f t="shared" si="177"/>
        <v>23176369</v>
      </c>
      <c r="O677" s="40">
        <f t="shared" si="178"/>
        <v>9270548</v>
      </c>
      <c r="P677" s="41" t="s">
        <v>548</v>
      </c>
      <c r="Q677" s="55">
        <v>416</v>
      </c>
      <c r="R677" s="42">
        <f t="shared" si="181"/>
        <v>13905821</v>
      </c>
      <c r="S677" s="55">
        <v>417</v>
      </c>
      <c r="T677" s="55">
        <v>177</v>
      </c>
      <c r="U677" s="55">
        <v>78</v>
      </c>
      <c r="V677" s="34" t="s">
        <v>261</v>
      </c>
      <c r="W677" s="43">
        <v>45317</v>
      </c>
      <c r="X677" s="44" t="s">
        <v>471</v>
      </c>
    </row>
    <row r="678" spans="1:24" ht="17.45" customHeight="1" x14ac:dyDescent="0.25">
      <c r="A678" t="str">
        <f t="shared" si="174"/>
        <v>245301834945317105910636</v>
      </c>
      <c r="B678" s="6">
        <f t="shared" si="172"/>
        <v>45433</v>
      </c>
      <c r="C678" s="3">
        <f t="shared" si="173"/>
        <v>275206500.04064482</v>
      </c>
      <c r="D678" s="34">
        <v>2023</v>
      </c>
      <c r="E678" s="35">
        <v>2453018349</v>
      </c>
      <c r="F678" s="36" t="s">
        <v>424</v>
      </c>
      <c r="G678" s="37">
        <v>2759044522</v>
      </c>
      <c r="H678" s="37">
        <v>295611913</v>
      </c>
      <c r="I678" s="38">
        <f>+H678/G678</f>
        <v>0.10714285711696826</v>
      </c>
      <c r="J678" s="38">
        <f>IFERROR((+H678/(G678-H678)),0)</f>
        <v>0.11999999996752499</v>
      </c>
      <c r="K678" s="37">
        <v>988499271</v>
      </c>
      <c r="L678" s="37">
        <f t="shared" si="176"/>
        <v>105910636</v>
      </c>
      <c r="M678" s="39">
        <f>L629</f>
        <v>54184546</v>
      </c>
      <c r="N678" s="37">
        <f t="shared" si="177"/>
        <v>51726090</v>
      </c>
      <c r="O678" s="40">
        <f t="shared" si="178"/>
        <v>20690436</v>
      </c>
      <c r="P678" s="41" t="s">
        <v>548</v>
      </c>
      <c r="Q678" s="55">
        <v>420</v>
      </c>
      <c r="R678" s="42">
        <f t="shared" si="181"/>
        <v>31035654</v>
      </c>
      <c r="S678" s="55">
        <v>421</v>
      </c>
      <c r="T678" s="55">
        <v>179</v>
      </c>
      <c r="U678" s="55">
        <v>80</v>
      </c>
      <c r="V678" s="34" t="s">
        <v>261</v>
      </c>
      <c r="W678" s="43">
        <v>45317</v>
      </c>
      <c r="X678" s="44" t="s">
        <v>425</v>
      </c>
    </row>
    <row r="679" spans="1:24" ht="17.45" customHeight="1" x14ac:dyDescent="0.25">
      <c r="A679" t="str">
        <f t="shared" si="174"/>
        <v>245301835045317530414275</v>
      </c>
      <c r="B679" s="6">
        <f t="shared" si="172"/>
        <v>45743</v>
      </c>
      <c r="C679" s="3">
        <f t="shared" si="173"/>
        <v>1344604499.9999998</v>
      </c>
      <c r="D679" s="34">
        <v>2023</v>
      </c>
      <c r="E679" s="35">
        <v>2453018350</v>
      </c>
      <c r="F679" s="36" t="s">
        <v>450</v>
      </c>
      <c r="G679" s="37">
        <v>16284654500</v>
      </c>
      <c r="H679" s="37">
        <v>1344604500</v>
      </c>
      <c r="I679" s="38">
        <f>+H679/G679</f>
        <v>8.2568807339449546E-2</v>
      </c>
      <c r="J679" s="38">
        <f>IFERROR((+H679/(G679-H679)),0)</f>
        <v>0.09</v>
      </c>
      <c r="K679" s="37">
        <v>6423906224</v>
      </c>
      <c r="L679" s="37">
        <f t="shared" ref="L679:L710" si="182">ROUND((+K679*I679),0)</f>
        <v>530414275</v>
      </c>
      <c r="M679" s="39">
        <f>L654</f>
        <v>461362651</v>
      </c>
      <c r="N679" s="37">
        <f t="shared" si="177"/>
        <v>69051624</v>
      </c>
      <c r="O679" s="40">
        <f t="shared" si="178"/>
        <v>27620650</v>
      </c>
      <c r="P679" s="41" t="s">
        <v>548</v>
      </c>
      <c r="Q679" s="55">
        <v>422</v>
      </c>
      <c r="R679" s="42">
        <f t="shared" si="181"/>
        <v>41430974</v>
      </c>
      <c r="S679" s="55">
        <v>423</v>
      </c>
      <c r="T679" s="55">
        <v>180</v>
      </c>
      <c r="U679" s="55">
        <v>81</v>
      </c>
      <c r="V679" s="34" t="s">
        <v>261</v>
      </c>
      <c r="W679" s="43">
        <v>45317</v>
      </c>
      <c r="X679" s="44" t="s">
        <v>451</v>
      </c>
    </row>
    <row r="680" spans="1:24" ht="17.45" customHeight="1" x14ac:dyDescent="0.25">
      <c r="A680" t="str">
        <f t="shared" si="174"/>
        <v>245301835245317112565410</v>
      </c>
      <c r="B680" s="6">
        <f t="shared" si="172"/>
        <v>45531</v>
      </c>
      <c r="C680" s="3">
        <f t="shared" si="173"/>
        <v>218662504.66231647</v>
      </c>
      <c r="D680" s="34">
        <v>2023</v>
      </c>
      <c r="E680" s="35">
        <v>2453018352</v>
      </c>
      <c r="F680" s="36" t="s">
        <v>469</v>
      </c>
      <c r="G680" s="37">
        <v>5189063824</v>
      </c>
      <c r="H680" s="37">
        <v>261032799</v>
      </c>
      <c r="I680" s="38">
        <v>0.10714285748488657</v>
      </c>
      <c r="J680" s="38">
        <v>0.12000000042904171</v>
      </c>
      <c r="K680" s="37">
        <v>1050610489</v>
      </c>
      <c r="L680" s="37">
        <f t="shared" si="182"/>
        <v>112565410</v>
      </c>
      <c r="M680" s="39">
        <f>L656</f>
        <v>96822643</v>
      </c>
      <c r="N680" s="37">
        <f t="shared" si="177"/>
        <v>15742767</v>
      </c>
      <c r="O680" s="40">
        <f t="shared" si="178"/>
        <v>6297107</v>
      </c>
      <c r="P680" s="41" t="s">
        <v>548</v>
      </c>
      <c r="Q680" s="55">
        <v>426</v>
      </c>
      <c r="R680" s="42">
        <f t="shared" si="181"/>
        <v>9445660</v>
      </c>
      <c r="S680" s="55">
        <v>427</v>
      </c>
      <c r="T680" s="55">
        <v>182</v>
      </c>
      <c r="U680" s="55">
        <v>83</v>
      </c>
      <c r="V680" s="34" t="s">
        <v>261</v>
      </c>
      <c r="W680" s="43">
        <v>45317</v>
      </c>
      <c r="X680" s="44" t="s">
        <v>470</v>
      </c>
    </row>
    <row r="681" spans="1:24" ht="17.45" customHeight="1" x14ac:dyDescent="0.25">
      <c r="A681" t="str">
        <f t="shared" si="174"/>
        <v>245301834045317589622953</v>
      </c>
      <c r="B681" s="6">
        <f t="shared" si="172"/>
        <v>45524</v>
      </c>
      <c r="C681" s="3">
        <f t="shared" si="173"/>
        <v>750720353.98835123</v>
      </c>
      <c r="D681" s="34">
        <v>2022</v>
      </c>
      <c r="E681" s="35">
        <v>2453018340</v>
      </c>
      <c r="F681" s="36" t="s">
        <v>320</v>
      </c>
      <c r="G681" s="37">
        <v>7253407050</v>
      </c>
      <c r="H681" s="37">
        <v>774054537</v>
      </c>
      <c r="I681" s="38">
        <f>+H681/G681</f>
        <v>0.10671599314145758</v>
      </c>
      <c r="J681" s="38">
        <f t="shared" ref="J681:J687" si="183">IFERROR((+H681/(G681-H681)),0)</f>
        <v>0.11946479767028537</v>
      </c>
      <c r="K681" s="37">
        <v>5525160150</v>
      </c>
      <c r="L681" s="37">
        <f t="shared" si="182"/>
        <v>589622953</v>
      </c>
      <c r="M681" s="39">
        <f>L653</f>
        <v>564602696</v>
      </c>
      <c r="N681" s="37">
        <f t="shared" si="177"/>
        <v>25020257</v>
      </c>
      <c r="O681" s="40">
        <f t="shared" si="178"/>
        <v>10008103</v>
      </c>
      <c r="P681" s="41" t="s">
        <v>548</v>
      </c>
      <c r="Q681" s="55">
        <v>412</v>
      </c>
      <c r="R681" s="42">
        <f t="shared" si="181"/>
        <v>15012154</v>
      </c>
      <c r="S681" s="55">
        <v>413</v>
      </c>
      <c r="T681" s="55">
        <v>175</v>
      </c>
      <c r="U681" s="55">
        <v>76</v>
      </c>
      <c r="V681" s="34" t="s">
        <v>261</v>
      </c>
      <c r="W681" s="43">
        <v>45317</v>
      </c>
      <c r="X681" s="44" t="s">
        <v>425</v>
      </c>
    </row>
    <row r="682" spans="1:24" ht="17.45" customHeight="1" x14ac:dyDescent="0.25">
      <c r="A682" t="str">
        <f t="shared" si="174"/>
        <v>24530183484531762142775</v>
      </c>
      <c r="B682" s="6">
        <f t="shared" si="172"/>
        <v>45553</v>
      </c>
      <c r="C682" s="3">
        <f t="shared" si="173"/>
        <v>250867949.19596934</v>
      </c>
      <c r="D682" s="34">
        <v>2023</v>
      </c>
      <c r="E682" s="35">
        <v>2453018348</v>
      </c>
      <c r="F682" s="36" t="s">
        <v>426</v>
      </c>
      <c r="G682" s="37">
        <v>3529418400</v>
      </c>
      <c r="H682" s="37">
        <v>378151971</v>
      </c>
      <c r="I682" s="38">
        <f>+H682/G682</f>
        <v>0.1071428570214288</v>
      </c>
      <c r="J682" s="38">
        <f t="shared" si="183"/>
        <v>0.11999999984768028</v>
      </c>
      <c r="K682" s="37">
        <v>579999234</v>
      </c>
      <c r="L682" s="37">
        <f t="shared" si="182"/>
        <v>62142775</v>
      </c>
      <c r="M682" s="39">
        <f>L655</f>
        <v>55555923</v>
      </c>
      <c r="N682" s="37">
        <f t="shared" si="177"/>
        <v>6586852</v>
      </c>
      <c r="O682" s="40">
        <f t="shared" si="178"/>
        <v>2634741</v>
      </c>
      <c r="P682" s="41" t="s">
        <v>548</v>
      </c>
      <c r="Q682" s="55">
        <v>418</v>
      </c>
      <c r="R682" s="42">
        <f t="shared" si="181"/>
        <v>3952111</v>
      </c>
      <c r="S682" s="55">
        <v>418</v>
      </c>
      <c r="T682" s="55">
        <v>178</v>
      </c>
      <c r="U682" s="55">
        <v>79</v>
      </c>
      <c r="V682" s="34" t="s">
        <v>261</v>
      </c>
      <c r="W682" s="43">
        <v>45317</v>
      </c>
      <c r="X682" s="44" t="s">
        <v>425</v>
      </c>
    </row>
    <row r="683" spans="1:24" ht="17.45" customHeight="1" x14ac:dyDescent="0.25">
      <c r="A683" t="str">
        <f t="shared" si="174"/>
        <v>245301835145317121079004</v>
      </c>
      <c r="B683" s="6">
        <f t="shared" si="172"/>
        <v>45433</v>
      </c>
      <c r="C683" s="3">
        <f t="shared" si="173"/>
        <v>128964400.14361468</v>
      </c>
      <c r="D683" s="34">
        <v>2023</v>
      </c>
      <c r="E683" s="35">
        <v>2453018351</v>
      </c>
      <c r="F683" s="36" t="s">
        <v>430</v>
      </c>
      <c r="G683" s="37">
        <v>1229752235</v>
      </c>
      <c r="H683" s="37">
        <v>131759168</v>
      </c>
      <c r="I683" s="38">
        <f>+H683/G683</f>
        <v>0.10714285711381528</v>
      </c>
      <c r="J683" s="38">
        <f t="shared" si="183"/>
        <v>0.1199999999635699</v>
      </c>
      <c r="K683" s="37">
        <v>1130070700</v>
      </c>
      <c r="L683" s="37">
        <f t="shared" si="182"/>
        <v>121079004</v>
      </c>
      <c r="M683" s="39">
        <f>L630</f>
        <v>76856073</v>
      </c>
      <c r="N683" s="37">
        <f t="shared" si="177"/>
        <v>44222931</v>
      </c>
      <c r="O683" s="40">
        <f t="shared" si="178"/>
        <v>17689172</v>
      </c>
      <c r="P683" s="41" t="s">
        <v>548</v>
      </c>
      <c r="Q683" s="55">
        <v>424</v>
      </c>
      <c r="R683" s="42">
        <f t="shared" si="181"/>
        <v>26533759</v>
      </c>
      <c r="S683" s="55">
        <v>425</v>
      </c>
      <c r="T683" s="55">
        <v>181</v>
      </c>
      <c r="U683" s="55">
        <v>82</v>
      </c>
      <c r="V683" s="34" t="s">
        <v>261</v>
      </c>
      <c r="W683" s="43">
        <v>45317</v>
      </c>
      <c r="X683" s="44" t="s">
        <v>425</v>
      </c>
    </row>
    <row r="684" spans="1:24" ht="17.45" customHeight="1" x14ac:dyDescent="0.25">
      <c r="A684" t="str">
        <f t="shared" si="174"/>
        <v>29109072794531738571429</v>
      </c>
      <c r="B684" s="6">
        <f t="shared" si="172"/>
        <v>45439</v>
      </c>
      <c r="C684" s="3">
        <f t="shared" si="173"/>
        <v>42857143</v>
      </c>
      <c r="D684" s="34">
        <v>2023</v>
      </c>
      <c r="E684" s="35">
        <v>2910907279</v>
      </c>
      <c r="F684" s="36" t="s">
        <v>503</v>
      </c>
      <c r="G684" s="37">
        <v>400000000</v>
      </c>
      <c r="H684" s="37">
        <v>42857143</v>
      </c>
      <c r="I684" s="38">
        <f>H684/G684</f>
        <v>0.10714285749999999</v>
      </c>
      <c r="J684" s="38">
        <f t="shared" si="183"/>
        <v>0.12000000044799999</v>
      </c>
      <c r="K684" s="37">
        <f>240000000+120000000</f>
        <v>360000000</v>
      </c>
      <c r="L684" s="37">
        <f t="shared" si="182"/>
        <v>38571429</v>
      </c>
      <c r="M684" s="39">
        <f>L595</f>
        <v>25714286</v>
      </c>
      <c r="N684" s="37">
        <f t="shared" si="177"/>
        <v>12857143</v>
      </c>
      <c r="O684" s="40">
        <f t="shared" si="178"/>
        <v>5142857</v>
      </c>
      <c r="P684" s="41" t="s">
        <v>548</v>
      </c>
      <c r="Q684" s="55">
        <v>458</v>
      </c>
      <c r="R684" s="42">
        <f t="shared" si="181"/>
        <v>7714286</v>
      </c>
      <c r="S684" s="55">
        <v>459</v>
      </c>
      <c r="T684" s="55">
        <v>199</v>
      </c>
      <c r="U684" s="55">
        <v>98</v>
      </c>
      <c r="V684" s="34" t="s">
        <v>261</v>
      </c>
      <c r="W684" s="43">
        <v>45317</v>
      </c>
      <c r="X684" s="44" t="s">
        <v>572</v>
      </c>
    </row>
    <row r="685" spans="1:24" ht="17.45" customHeight="1" x14ac:dyDescent="0.25">
      <c r="A685" t="str">
        <f t="shared" si="174"/>
        <v>2910908087453171312093</v>
      </c>
      <c r="B685" s="6">
        <f t="shared" si="172"/>
        <v>45317</v>
      </c>
      <c r="C685" s="3">
        <f t="shared" si="173"/>
        <v>1312093</v>
      </c>
      <c r="D685" s="34">
        <v>2023</v>
      </c>
      <c r="E685" s="35">
        <v>2910908087</v>
      </c>
      <c r="F685" s="36" t="s">
        <v>573</v>
      </c>
      <c r="G685" s="37">
        <v>12251100</v>
      </c>
      <c r="H685" s="37">
        <v>1312093</v>
      </c>
      <c r="I685" s="38">
        <f>H685/G685</f>
        <v>0.10710001550881146</v>
      </c>
      <c r="J685" s="38">
        <f t="shared" si="183"/>
        <v>0.1199462620327421</v>
      </c>
      <c r="K685" s="37">
        <v>12251100</v>
      </c>
      <c r="L685" s="37">
        <f t="shared" si="182"/>
        <v>1312093</v>
      </c>
      <c r="M685" s="39">
        <v>0</v>
      </c>
      <c r="N685" s="37">
        <f t="shared" si="177"/>
        <v>1312093</v>
      </c>
      <c r="O685" s="40">
        <f t="shared" si="178"/>
        <v>524837</v>
      </c>
      <c r="P685" s="41" t="s">
        <v>548</v>
      </c>
      <c r="Q685" s="55">
        <v>466</v>
      </c>
      <c r="R685" s="42">
        <f t="shared" si="181"/>
        <v>787256</v>
      </c>
      <c r="S685" s="55">
        <v>467</v>
      </c>
      <c r="T685" s="55">
        <v>203</v>
      </c>
      <c r="U685" s="55">
        <v>102</v>
      </c>
      <c r="V685" s="34" t="s">
        <v>261</v>
      </c>
      <c r="W685" s="43">
        <v>45317</v>
      </c>
      <c r="X685" s="44" t="s">
        <v>574</v>
      </c>
    </row>
    <row r="686" spans="1:24" ht="17.45" customHeight="1" x14ac:dyDescent="0.25">
      <c r="A686" t="str">
        <f t="shared" si="174"/>
        <v>29109072914534835892857</v>
      </c>
      <c r="B686" s="6">
        <f t="shared" si="172"/>
        <v>45348</v>
      </c>
      <c r="C686" s="3">
        <f t="shared" si="173"/>
        <v>35892857</v>
      </c>
      <c r="D686" s="34">
        <v>2023</v>
      </c>
      <c r="E686" s="35">
        <v>2910907291</v>
      </c>
      <c r="F686" s="36" t="s">
        <v>575</v>
      </c>
      <c r="G686" s="37">
        <v>335000000</v>
      </c>
      <c r="H686" s="37">
        <v>35892857</v>
      </c>
      <c r="I686" s="38">
        <f>H686/G686</f>
        <v>0.10714285671641791</v>
      </c>
      <c r="J686" s="38">
        <f t="shared" si="183"/>
        <v>0.11999999946507463</v>
      </c>
      <c r="K686" s="37">
        <v>335000000</v>
      </c>
      <c r="L686" s="37">
        <f t="shared" si="182"/>
        <v>35892857</v>
      </c>
      <c r="M686" s="39">
        <v>0</v>
      </c>
      <c r="N686" s="37">
        <f t="shared" si="177"/>
        <v>35892857</v>
      </c>
      <c r="O686" s="40">
        <f t="shared" si="178"/>
        <v>14357143</v>
      </c>
      <c r="P686" s="41" t="s">
        <v>548</v>
      </c>
      <c r="Q686" s="55">
        <v>1066</v>
      </c>
      <c r="R686" s="42">
        <f t="shared" si="181"/>
        <v>21535714</v>
      </c>
      <c r="S686" s="55">
        <v>1067</v>
      </c>
      <c r="T686" s="55">
        <v>586</v>
      </c>
      <c r="U686" s="55">
        <v>852</v>
      </c>
      <c r="V686" s="34" t="s">
        <v>261</v>
      </c>
      <c r="W686" s="43">
        <v>45348</v>
      </c>
      <c r="X686" s="44" t="s">
        <v>576</v>
      </c>
    </row>
    <row r="687" spans="1:24" ht="17.45" customHeight="1" x14ac:dyDescent="0.25">
      <c r="A687" t="str">
        <f t="shared" si="174"/>
        <v>291090723145348360854052</v>
      </c>
      <c r="B687" s="6">
        <f t="shared" si="172"/>
        <v>45880</v>
      </c>
      <c r="C687" s="3">
        <f t="shared" si="173"/>
        <v>725275008</v>
      </c>
      <c r="D687" s="34">
        <v>2023</v>
      </c>
      <c r="E687" s="35">
        <v>2910907231</v>
      </c>
      <c r="F687" s="36" t="s">
        <v>410</v>
      </c>
      <c r="G687" s="37">
        <v>5902674987</v>
      </c>
      <c r="H687" s="37">
        <v>632429463</v>
      </c>
      <c r="I687" s="38">
        <f>+H687/G687</f>
        <v>0.10714285716100871</v>
      </c>
      <c r="J687" s="38">
        <f t="shared" si="183"/>
        <v>0.12000000002276934</v>
      </c>
      <c r="K687" s="37">
        <f>2490869164+877101991</f>
        <v>3367971155</v>
      </c>
      <c r="L687" s="37">
        <f t="shared" si="182"/>
        <v>360854052</v>
      </c>
      <c r="M687" s="39">
        <v>266878839</v>
      </c>
      <c r="N687" s="37">
        <f t="shared" ref="N687:N718" si="184">+L687-M687</f>
        <v>93975213</v>
      </c>
      <c r="O687" s="40">
        <f t="shared" ref="O687:O700" si="185">ROUND((N687*40%),0)</f>
        <v>37590085</v>
      </c>
      <c r="P687" s="41" t="s">
        <v>548</v>
      </c>
      <c r="Q687" s="55">
        <v>1056</v>
      </c>
      <c r="R687" s="42">
        <f t="shared" si="181"/>
        <v>56385128</v>
      </c>
      <c r="S687" s="55">
        <v>1057</v>
      </c>
      <c r="T687" s="55">
        <v>581</v>
      </c>
      <c r="U687" s="55">
        <v>847</v>
      </c>
      <c r="V687" s="34" t="s">
        <v>261</v>
      </c>
      <c r="W687" s="43">
        <v>45348</v>
      </c>
      <c r="X687" s="44" t="s">
        <v>577</v>
      </c>
    </row>
    <row r="688" spans="1:24" ht="17.45" customHeight="1" x14ac:dyDescent="0.25">
      <c r="A688" t="str">
        <f t="shared" si="174"/>
        <v>291090637045348421474590</v>
      </c>
      <c r="B688" s="6">
        <f t="shared" si="172"/>
        <v>45530</v>
      </c>
      <c r="C688" s="3">
        <f t="shared" si="173"/>
        <v>467234191.89532739</v>
      </c>
      <c r="D688" s="34">
        <v>2018</v>
      </c>
      <c r="E688" s="35">
        <v>2910906370</v>
      </c>
      <c r="F688" s="36" t="s">
        <v>74</v>
      </c>
      <c r="G688" s="37">
        <v>5033567040</v>
      </c>
      <c r="H688" s="37">
        <v>539310754</v>
      </c>
      <c r="I688" s="38">
        <v>0.10714285708609535</v>
      </c>
      <c r="J688" s="38">
        <v>0.11999999992879801</v>
      </c>
      <c r="K688" s="37">
        <f>3694521377+239241468</f>
        <v>3933762845</v>
      </c>
      <c r="L688" s="37">
        <f t="shared" si="182"/>
        <v>421474590</v>
      </c>
      <c r="M688" s="39">
        <v>395841576</v>
      </c>
      <c r="N688" s="37">
        <f t="shared" si="184"/>
        <v>25633014</v>
      </c>
      <c r="O688" s="40">
        <f t="shared" si="185"/>
        <v>10253206</v>
      </c>
      <c r="P688" s="41" t="s">
        <v>548</v>
      </c>
      <c r="Q688" s="55">
        <v>1054</v>
      </c>
      <c r="R688" s="42">
        <f t="shared" si="181"/>
        <v>15379808</v>
      </c>
      <c r="S688" s="55">
        <v>1055</v>
      </c>
      <c r="T688" s="55">
        <v>580</v>
      </c>
      <c r="U688" s="55">
        <v>846</v>
      </c>
      <c r="V688" s="34" t="s">
        <v>261</v>
      </c>
      <c r="W688" s="43">
        <v>45348</v>
      </c>
      <c r="X688" s="44" t="s">
        <v>578</v>
      </c>
    </row>
    <row r="689" spans="1:24" ht="17.45" customHeight="1" x14ac:dyDescent="0.25">
      <c r="A689" t="str">
        <f t="shared" si="174"/>
        <v>291090728645348525000</v>
      </c>
      <c r="B689" s="6">
        <f t="shared" si="172"/>
        <v>45348</v>
      </c>
      <c r="C689" s="3">
        <f t="shared" si="173"/>
        <v>525000</v>
      </c>
      <c r="D689" s="34">
        <v>2023</v>
      </c>
      <c r="E689" s="35">
        <v>2910907286</v>
      </c>
      <c r="F689" s="36" t="s">
        <v>464</v>
      </c>
      <c r="G689" s="37">
        <v>5000000</v>
      </c>
      <c r="H689" s="37">
        <v>535714</v>
      </c>
      <c r="I689" s="38">
        <f>+H689/G689</f>
        <v>0.1071428</v>
      </c>
      <c r="J689" s="38">
        <f>IFERROR((+H689/(G689-H689)),0)</f>
        <v>0.11999992832000458</v>
      </c>
      <c r="K689" s="37">
        <f>2400000+2500000</f>
        <v>4900000</v>
      </c>
      <c r="L689" s="37">
        <f t="shared" si="182"/>
        <v>525000</v>
      </c>
      <c r="M689" s="39">
        <v>257143</v>
      </c>
      <c r="N689" s="37">
        <f t="shared" si="184"/>
        <v>267857</v>
      </c>
      <c r="O689" s="40">
        <f t="shared" si="185"/>
        <v>107143</v>
      </c>
      <c r="P689" s="41" t="s">
        <v>548</v>
      </c>
      <c r="Q689" s="55">
        <v>1064</v>
      </c>
      <c r="R689" s="42">
        <f t="shared" si="181"/>
        <v>160714</v>
      </c>
      <c r="S689" s="55">
        <v>1065</v>
      </c>
      <c r="T689" s="55">
        <v>585</v>
      </c>
      <c r="U689" s="55">
        <v>851</v>
      </c>
      <c r="V689" s="34" t="s">
        <v>261</v>
      </c>
      <c r="W689" s="43">
        <v>45348</v>
      </c>
      <c r="X689" s="44" t="s">
        <v>579</v>
      </c>
    </row>
    <row r="690" spans="1:24" ht="17.45" customHeight="1" x14ac:dyDescent="0.25">
      <c r="A690" t="str">
        <f t="shared" si="174"/>
        <v>245301834045348649997862</v>
      </c>
      <c r="B690" s="6">
        <f t="shared" si="172"/>
        <v>45524</v>
      </c>
      <c r="C690" s="3">
        <f t="shared" si="173"/>
        <v>750720353.98835123</v>
      </c>
      <c r="D690" s="34">
        <v>2022</v>
      </c>
      <c r="E690" s="35">
        <v>2453018340</v>
      </c>
      <c r="F690" s="36" t="s">
        <v>320</v>
      </c>
      <c r="G690" s="37">
        <v>7253407050</v>
      </c>
      <c r="H690" s="37">
        <v>774054537</v>
      </c>
      <c r="I690" s="38">
        <f>+H690/G690</f>
        <v>0.10671599314145758</v>
      </c>
      <c r="J690" s="38">
        <f>IFERROR((+H690/(G690-H690)),0)</f>
        <v>0.11946479767028537</v>
      </c>
      <c r="K690" s="37">
        <v>6090913304</v>
      </c>
      <c r="L690" s="37">
        <f t="shared" si="182"/>
        <v>649997862</v>
      </c>
      <c r="M690" s="39">
        <v>589622953</v>
      </c>
      <c r="N690" s="37">
        <f t="shared" si="184"/>
        <v>60374909</v>
      </c>
      <c r="O690" s="40">
        <f t="shared" si="185"/>
        <v>24149964</v>
      </c>
      <c r="P690" s="41" t="s">
        <v>548</v>
      </c>
      <c r="Q690" s="55">
        <v>1042</v>
      </c>
      <c r="R690" s="42">
        <f t="shared" si="181"/>
        <v>36224945</v>
      </c>
      <c r="S690" s="55">
        <v>1043</v>
      </c>
      <c r="T690" s="55">
        <v>574</v>
      </c>
      <c r="U690" s="55">
        <v>841</v>
      </c>
      <c r="V690" s="34" t="s">
        <v>261</v>
      </c>
      <c r="W690" s="43">
        <v>45348</v>
      </c>
      <c r="X690" s="44" t="s">
        <v>425</v>
      </c>
    </row>
    <row r="691" spans="1:24" ht="17.45" customHeight="1" x14ac:dyDescent="0.25">
      <c r="A691" t="str">
        <f t="shared" si="174"/>
        <v>245301834945348164197176</v>
      </c>
      <c r="B691" s="6">
        <f t="shared" si="172"/>
        <v>45433</v>
      </c>
      <c r="C691" s="3">
        <f t="shared" si="173"/>
        <v>275206500.04064482</v>
      </c>
      <c r="D691" s="34">
        <v>2023</v>
      </c>
      <c r="E691" s="35">
        <v>2453018349</v>
      </c>
      <c r="F691" s="36" t="s">
        <v>424</v>
      </c>
      <c r="G691" s="37">
        <v>2759044522</v>
      </c>
      <c r="H691" s="37">
        <v>295611913</v>
      </c>
      <c r="I691" s="38">
        <f>+H691/G691</f>
        <v>0.10714285711696826</v>
      </c>
      <c r="J691" s="38">
        <f>IFERROR((+H691/(G691-H691)),0)</f>
        <v>0.11999999996752499</v>
      </c>
      <c r="K691" s="37">
        <v>1532506981</v>
      </c>
      <c r="L691" s="37">
        <f t="shared" si="182"/>
        <v>164197176</v>
      </c>
      <c r="M691" s="39">
        <v>105910636</v>
      </c>
      <c r="N691" s="37">
        <f t="shared" si="184"/>
        <v>58286540</v>
      </c>
      <c r="O691" s="40">
        <f t="shared" si="185"/>
        <v>23314616</v>
      </c>
      <c r="P691" s="41" t="s">
        <v>548</v>
      </c>
      <c r="Q691" s="55">
        <v>1048</v>
      </c>
      <c r="R691" s="42">
        <f t="shared" si="181"/>
        <v>34971924</v>
      </c>
      <c r="S691" s="55">
        <v>1049</v>
      </c>
      <c r="T691" s="55">
        <v>577</v>
      </c>
      <c r="U691" s="55">
        <v>843</v>
      </c>
      <c r="V691" s="34" t="s">
        <v>261</v>
      </c>
      <c r="W691" s="43">
        <v>45348</v>
      </c>
      <c r="X691" s="44" t="s">
        <v>425</v>
      </c>
    </row>
    <row r="692" spans="1:24" ht="17.45" customHeight="1" x14ac:dyDescent="0.25">
      <c r="A692" t="str">
        <f t="shared" si="174"/>
        <v>245301835045348559647896</v>
      </c>
      <c r="B692" s="6">
        <f t="shared" si="172"/>
        <v>45743</v>
      </c>
      <c r="C692" s="3">
        <f t="shared" si="173"/>
        <v>1344604499.9999998</v>
      </c>
      <c r="D692" s="34">
        <v>2023</v>
      </c>
      <c r="E692" s="35">
        <v>2453018350</v>
      </c>
      <c r="F692" s="36" t="s">
        <v>450</v>
      </c>
      <c r="G692" s="37">
        <v>16284654500</v>
      </c>
      <c r="H692" s="37">
        <v>1344604500</v>
      </c>
      <c r="I692" s="38">
        <f>+H692/G692</f>
        <v>8.2568807339449546E-2</v>
      </c>
      <c r="J692" s="38">
        <f>IFERROR((+H692/(G692-H692)),0)</f>
        <v>0.09</v>
      </c>
      <c r="K692" s="37">
        <v>6777957848</v>
      </c>
      <c r="L692" s="37">
        <f t="shared" si="182"/>
        <v>559647896</v>
      </c>
      <c r="M692" s="39">
        <v>530414275</v>
      </c>
      <c r="N692" s="37">
        <f t="shared" si="184"/>
        <v>29233621</v>
      </c>
      <c r="O692" s="40">
        <f t="shared" si="185"/>
        <v>11693448</v>
      </c>
      <c r="P692" s="41" t="s">
        <v>548</v>
      </c>
      <c r="Q692" s="55">
        <v>1050</v>
      </c>
      <c r="R692" s="42">
        <f t="shared" si="181"/>
        <v>17540173</v>
      </c>
      <c r="S692" s="55">
        <v>1051</v>
      </c>
      <c r="T692" s="55">
        <v>578</v>
      </c>
      <c r="U692" s="55">
        <v>844</v>
      </c>
      <c r="V692" s="34" t="s">
        <v>261</v>
      </c>
      <c r="W692" s="43">
        <v>45348</v>
      </c>
      <c r="X692" s="44" t="s">
        <v>451</v>
      </c>
    </row>
    <row r="693" spans="1:24" ht="17.45" customHeight="1" x14ac:dyDescent="0.25">
      <c r="A693" t="str">
        <f t="shared" si="174"/>
        <v>245301835245348143556964</v>
      </c>
      <c r="B693" s="6">
        <f t="shared" si="172"/>
        <v>45531</v>
      </c>
      <c r="C693" s="3">
        <f t="shared" si="173"/>
        <v>218662504.66231647</v>
      </c>
      <c r="D693" s="34">
        <v>2023</v>
      </c>
      <c r="E693" s="35">
        <v>2453018352</v>
      </c>
      <c r="F693" s="36" t="s">
        <v>469</v>
      </c>
      <c r="G693" s="37">
        <v>5189063824</v>
      </c>
      <c r="H693" s="37">
        <v>261032799</v>
      </c>
      <c r="I693" s="38">
        <v>0.10714285748488657</v>
      </c>
      <c r="J693" s="38">
        <v>0.12000000042904171</v>
      </c>
      <c r="K693" s="37">
        <v>1339864991</v>
      </c>
      <c r="L693" s="37">
        <f t="shared" si="182"/>
        <v>143556964</v>
      </c>
      <c r="M693" s="39">
        <v>112565410</v>
      </c>
      <c r="N693" s="37">
        <f t="shared" si="184"/>
        <v>30991554</v>
      </c>
      <c r="O693" s="40">
        <f t="shared" si="185"/>
        <v>12396622</v>
      </c>
      <c r="P693" s="41" t="s">
        <v>548</v>
      </c>
      <c r="Q693" s="55">
        <v>1052</v>
      </c>
      <c r="R693" s="42">
        <f t="shared" si="181"/>
        <v>18594932</v>
      </c>
      <c r="S693" s="55">
        <v>1053</v>
      </c>
      <c r="T693" s="55">
        <v>579</v>
      </c>
      <c r="U693" s="55">
        <v>845</v>
      </c>
      <c r="V693" s="34" t="s">
        <v>261</v>
      </c>
      <c r="W693" s="43">
        <v>45348</v>
      </c>
      <c r="X693" s="44" t="s">
        <v>470</v>
      </c>
    </row>
    <row r="694" spans="1:24" ht="17.45" customHeight="1" x14ac:dyDescent="0.25">
      <c r="A694" t="str">
        <f t="shared" si="174"/>
        <v>24530183484534883305295</v>
      </c>
      <c r="B694" s="6">
        <f t="shared" si="172"/>
        <v>45553</v>
      </c>
      <c r="C694" s="3">
        <f t="shared" si="173"/>
        <v>250867949.19596934</v>
      </c>
      <c r="D694" s="34">
        <v>2023</v>
      </c>
      <c r="E694" s="35">
        <v>2453018348</v>
      </c>
      <c r="F694" s="36" t="s">
        <v>426</v>
      </c>
      <c r="G694" s="37">
        <v>3652668243</v>
      </c>
      <c r="H694" s="37">
        <v>391357312</v>
      </c>
      <c r="I694" s="38">
        <f>+H694/G694</f>
        <v>0.10714285721130026</v>
      </c>
      <c r="J694" s="38">
        <f>IFERROR((+H694/(G694-H694)),0)</f>
        <v>0.12000000008585504</v>
      </c>
      <c r="K694" s="37">
        <v>777516086</v>
      </c>
      <c r="L694" s="37">
        <f t="shared" si="182"/>
        <v>83305295</v>
      </c>
      <c r="M694" s="39">
        <v>62142775</v>
      </c>
      <c r="N694" s="37">
        <f t="shared" si="184"/>
        <v>21162520</v>
      </c>
      <c r="O694" s="40">
        <f t="shared" si="185"/>
        <v>8465008</v>
      </c>
      <c r="P694" s="41" t="s">
        <v>548</v>
      </c>
      <c r="Q694" s="55">
        <v>1046</v>
      </c>
      <c r="R694" s="42">
        <f t="shared" si="181"/>
        <v>12697512</v>
      </c>
      <c r="S694" s="55">
        <v>1047</v>
      </c>
      <c r="T694" s="55">
        <v>576</v>
      </c>
      <c r="U694" s="55">
        <v>842</v>
      </c>
      <c r="V694" s="34" t="s">
        <v>261</v>
      </c>
      <c r="W694" s="43">
        <v>45348</v>
      </c>
      <c r="X694" s="44" t="s">
        <v>425</v>
      </c>
    </row>
    <row r="695" spans="1:24" ht="17.45" customHeight="1" x14ac:dyDescent="0.25">
      <c r="A695" t="str">
        <f t="shared" si="174"/>
        <v>245301834745348102809946</v>
      </c>
      <c r="B695" s="6">
        <f t="shared" si="172"/>
        <v>45730</v>
      </c>
      <c r="C695" s="3">
        <f t="shared" si="173"/>
        <v>227416985.11999634</v>
      </c>
      <c r="D695" s="34">
        <v>2023</v>
      </c>
      <c r="E695" s="35">
        <v>2453018347</v>
      </c>
      <c r="F695" s="36" t="s">
        <v>391</v>
      </c>
      <c r="G695" s="37">
        <v>1778543757</v>
      </c>
      <c r="H695" s="37">
        <v>213425250</v>
      </c>
      <c r="I695" s="38">
        <f>+H695/G695</f>
        <v>0.1199999995277035</v>
      </c>
      <c r="J695" s="38">
        <f>IFERROR((+H695/(G695-H695)),0)</f>
        <v>0.13636363575374935</v>
      </c>
      <c r="K695" s="37">
        <v>856749553</v>
      </c>
      <c r="L695" s="37">
        <f t="shared" si="182"/>
        <v>102809946</v>
      </c>
      <c r="M695" s="39">
        <v>93111982</v>
      </c>
      <c r="N695" s="37">
        <f t="shared" si="184"/>
        <v>9697964</v>
      </c>
      <c r="O695" s="40">
        <f t="shared" si="185"/>
        <v>3879186</v>
      </c>
      <c r="P695" s="41" t="s">
        <v>548</v>
      </c>
      <c r="Q695" s="55">
        <v>1044</v>
      </c>
      <c r="R695" s="42">
        <f t="shared" si="181"/>
        <v>5818778</v>
      </c>
      <c r="S695" s="55">
        <v>1045</v>
      </c>
      <c r="T695" s="55">
        <v>575</v>
      </c>
      <c r="U695" s="55">
        <v>841</v>
      </c>
      <c r="V695" s="34" t="s">
        <v>261</v>
      </c>
      <c r="W695" s="43">
        <v>45348</v>
      </c>
      <c r="X695" s="44" t="s">
        <v>471</v>
      </c>
    </row>
    <row r="696" spans="1:24" ht="17.45" customHeight="1" x14ac:dyDescent="0.25">
      <c r="A696" t="str">
        <f t="shared" si="174"/>
        <v>2910907296453491607143</v>
      </c>
      <c r="B696" s="6">
        <f t="shared" si="172"/>
        <v>45586</v>
      </c>
      <c r="C696" s="3">
        <f t="shared" si="173"/>
        <v>3214285.9999999995</v>
      </c>
      <c r="D696" s="34">
        <v>2023</v>
      </c>
      <c r="E696" s="35">
        <v>2910907296</v>
      </c>
      <c r="F696" s="36" t="s">
        <v>580</v>
      </c>
      <c r="G696" s="37">
        <v>30000000</v>
      </c>
      <c r="H696" s="37">
        <v>3214286</v>
      </c>
      <c r="I696" s="38">
        <f>+H696/G696</f>
        <v>0.10714286666666667</v>
      </c>
      <c r="J696" s="38">
        <f>IFERROR((+H696/(G696-H696)),0)</f>
        <v>0.12000001194666679</v>
      </c>
      <c r="K696" s="37">
        <v>15000000</v>
      </c>
      <c r="L696" s="37">
        <f t="shared" si="182"/>
        <v>1607143</v>
      </c>
      <c r="M696" s="39">
        <v>0</v>
      </c>
      <c r="N696" s="37">
        <f t="shared" si="184"/>
        <v>1607143</v>
      </c>
      <c r="O696" s="40">
        <f t="shared" si="185"/>
        <v>642857</v>
      </c>
      <c r="P696" s="41" t="s">
        <v>548</v>
      </c>
      <c r="Q696" s="55">
        <v>1068</v>
      </c>
      <c r="R696" s="42">
        <f t="shared" si="181"/>
        <v>964286</v>
      </c>
      <c r="S696" s="55">
        <v>1069</v>
      </c>
      <c r="T696" s="55">
        <v>587</v>
      </c>
      <c r="U696" s="55">
        <v>853</v>
      </c>
      <c r="V696" s="34" t="s">
        <v>261</v>
      </c>
      <c r="W696" s="43">
        <v>45349</v>
      </c>
      <c r="X696" s="44" t="s">
        <v>581</v>
      </c>
    </row>
    <row r="697" spans="1:24" ht="17.45" customHeight="1" x14ac:dyDescent="0.25">
      <c r="A697" t="str">
        <f t="shared" si="174"/>
        <v>2910907249453496964286</v>
      </c>
      <c r="B697" s="6">
        <f t="shared" si="172"/>
        <v>45349</v>
      </c>
      <c r="C697" s="3">
        <f t="shared" si="173"/>
        <v>6964286</v>
      </c>
      <c r="D697" s="34">
        <v>2023</v>
      </c>
      <c r="E697" s="35">
        <v>2910907249</v>
      </c>
      <c r="F697" s="36" t="s">
        <v>526</v>
      </c>
      <c r="G697" s="37">
        <v>65500000</v>
      </c>
      <c r="H697" s="37">
        <v>7017857</v>
      </c>
      <c r="I697" s="38">
        <v>0.107142857484887</v>
      </c>
      <c r="J697" s="38">
        <v>0.12000000042904171</v>
      </c>
      <c r="K697" s="37">
        <v>65000000</v>
      </c>
      <c r="L697" s="37">
        <f t="shared" si="182"/>
        <v>6964286</v>
      </c>
      <c r="M697" s="39">
        <v>3426118</v>
      </c>
      <c r="N697" s="37">
        <f t="shared" si="184"/>
        <v>3538168</v>
      </c>
      <c r="O697" s="40">
        <f t="shared" si="185"/>
        <v>1415267</v>
      </c>
      <c r="P697" s="41" t="s">
        <v>548</v>
      </c>
      <c r="Q697" s="55">
        <v>1058</v>
      </c>
      <c r="R697" s="42">
        <f t="shared" si="181"/>
        <v>2122901</v>
      </c>
      <c r="S697" s="55">
        <v>1059</v>
      </c>
      <c r="T697" s="55">
        <v>582</v>
      </c>
      <c r="U697" s="55">
        <v>848</v>
      </c>
      <c r="V697" s="34" t="s">
        <v>261</v>
      </c>
      <c r="W697" s="43">
        <v>45349</v>
      </c>
      <c r="X697" s="44" t="s">
        <v>582</v>
      </c>
    </row>
    <row r="698" spans="1:24" ht="17.45" customHeight="1" x14ac:dyDescent="0.25">
      <c r="A698" t="str">
        <f t="shared" si="174"/>
        <v>2910907283453494607143</v>
      </c>
      <c r="B698" s="6">
        <f t="shared" si="172"/>
        <v>45349</v>
      </c>
      <c r="C698" s="3">
        <f t="shared" si="173"/>
        <v>4607143</v>
      </c>
      <c r="D698" s="34">
        <v>2023</v>
      </c>
      <c r="E698" s="35">
        <v>2910907283</v>
      </c>
      <c r="F698" s="36" t="s">
        <v>583</v>
      </c>
      <c r="G698" s="37">
        <v>43000000</v>
      </c>
      <c r="H698" s="37">
        <v>4607143</v>
      </c>
      <c r="I698" s="38">
        <v>0.107142857484887</v>
      </c>
      <c r="J698" s="38">
        <v>0.12000000042904171</v>
      </c>
      <c r="K698" s="37">
        <v>43000000</v>
      </c>
      <c r="L698" s="37">
        <f t="shared" si="182"/>
        <v>4607143</v>
      </c>
      <c r="M698" s="39">
        <v>0</v>
      </c>
      <c r="N698" s="37">
        <f t="shared" si="184"/>
        <v>4607143</v>
      </c>
      <c r="O698" s="40">
        <f t="shared" si="185"/>
        <v>1842857</v>
      </c>
      <c r="P698" s="41" t="s">
        <v>548</v>
      </c>
      <c r="Q698" s="55">
        <v>1062</v>
      </c>
      <c r="R698" s="42">
        <f t="shared" si="181"/>
        <v>2764286</v>
      </c>
      <c r="S698" s="55">
        <v>1063</v>
      </c>
      <c r="T698" s="55">
        <v>584</v>
      </c>
      <c r="U698" s="55">
        <v>850</v>
      </c>
      <c r="V698" s="34" t="s">
        <v>261</v>
      </c>
      <c r="W698" s="43">
        <v>45349</v>
      </c>
      <c r="X698" s="44" t="s">
        <v>584</v>
      </c>
    </row>
    <row r="699" spans="1:24" ht="17.45" customHeight="1" x14ac:dyDescent="0.25">
      <c r="A699" t="str">
        <f t="shared" si="174"/>
        <v>2910907282453497500000</v>
      </c>
      <c r="B699" s="6">
        <f t="shared" si="172"/>
        <v>45349</v>
      </c>
      <c r="C699" s="3">
        <f t="shared" si="173"/>
        <v>7500000</v>
      </c>
      <c r="D699" s="34">
        <v>2023</v>
      </c>
      <c r="E699" s="35">
        <v>2910907282</v>
      </c>
      <c r="F699" s="36" t="s">
        <v>585</v>
      </c>
      <c r="G699" s="37">
        <v>70000000</v>
      </c>
      <c r="H699" s="37">
        <v>7500000</v>
      </c>
      <c r="I699" s="38">
        <v>0.107142857484887</v>
      </c>
      <c r="J699" s="38">
        <v>0.12000000042904171</v>
      </c>
      <c r="K699" s="37">
        <v>70000000</v>
      </c>
      <c r="L699" s="37">
        <f t="shared" si="182"/>
        <v>7500000</v>
      </c>
      <c r="M699" s="39">
        <v>0</v>
      </c>
      <c r="N699" s="37">
        <f t="shared" si="184"/>
        <v>7500000</v>
      </c>
      <c r="O699" s="40">
        <f t="shared" si="185"/>
        <v>3000000</v>
      </c>
      <c r="P699" s="41" t="s">
        <v>548</v>
      </c>
      <c r="Q699" s="55">
        <v>1060</v>
      </c>
      <c r="R699" s="42">
        <f t="shared" si="181"/>
        <v>4500000</v>
      </c>
      <c r="S699" s="55">
        <v>1061</v>
      </c>
      <c r="T699" s="55">
        <v>583</v>
      </c>
      <c r="U699" s="55">
        <v>849</v>
      </c>
      <c r="V699" s="34" t="s">
        <v>261</v>
      </c>
      <c r="W699" s="43">
        <v>45349</v>
      </c>
      <c r="X699" s="44" t="s">
        <v>586</v>
      </c>
    </row>
    <row r="700" spans="1:24" ht="17.45" customHeight="1" x14ac:dyDescent="0.25">
      <c r="A700" t="str">
        <f t="shared" si="174"/>
        <v>29109067494534914041179</v>
      </c>
      <c r="B700" s="6">
        <f t="shared" si="172"/>
        <v>45349</v>
      </c>
      <c r="C700" s="3">
        <f t="shared" si="173"/>
        <v>14041179</v>
      </c>
      <c r="D700" s="34">
        <v>2021</v>
      </c>
      <c r="E700" s="35">
        <v>2910906749</v>
      </c>
      <c r="F700" s="36" t="s">
        <v>207</v>
      </c>
      <c r="G700" s="37">
        <v>131051000</v>
      </c>
      <c r="H700" s="37">
        <v>14041179</v>
      </c>
      <c r="I700" s="38">
        <f>+H700/G700</f>
        <v>0.10714286041312161</v>
      </c>
      <c r="J700" s="38">
        <f t="shared" ref="J700:J716" si="186">IFERROR((+H700/(G700-H700)),0)</f>
        <v>0.12000000410221977</v>
      </c>
      <c r="K700" s="37">
        <v>131051000</v>
      </c>
      <c r="L700" s="37">
        <f t="shared" si="182"/>
        <v>14041179</v>
      </c>
      <c r="M700" s="39">
        <v>9361179</v>
      </c>
      <c r="N700" s="37">
        <f t="shared" si="184"/>
        <v>4680000</v>
      </c>
      <c r="O700" s="40">
        <f t="shared" si="185"/>
        <v>1872000</v>
      </c>
      <c r="P700" s="41" t="s">
        <v>548</v>
      </c>
      <c r="Q700" s="55">
        <v>1171</v>
      </c>
      <c r="R700" s="42">
        <f t="shared" si="181"/>
        <v>2808000</v>
      </c>
      <c r="S700" s="55">
        <v>1172</v>
      </c>
      <c r="T700" s="55">
        <v>605</v>
      </c>
      <c r="U700" s="55">
        <v>868</v>
      </c>
      <c r="V700" s="34" t="s">
        <v>261</v>
      </c>
      <c r="W700" s="43">
        <v>45349</v>
      </c>
      <c r="X700" s="44" t="s">
        <v>587</v>
      </c>
    </row>
    <row r="701" spans="1:24" ht="17.45" customHeight="1" x14ac:dyDescent="0.25">
      <c r="A701" t="str">
        <f t="shared" si="174"/>
        <v>29109067584498470798215</v>
      </c>
      <c r="B701" s="6">
        <f t="shared" si="172"/>
        <v>45223</v>
      </c>
      <c r="C701" s="3">
        <f t="shared" si="173"/>
        <v>70798215</v>
      </c>
      <c r="D701" s="34">
        <v>2021</v>
      </c>
      <c r="E701" s="35">
        <v>2910906758</v>
      </c>
      <c r="F701" s="36" t="s">
        <v>297</v>
      </c>
      <c r="G701" s="37">
        <v>660783000</v>
      </c>
      <c r="H701" s="37">
        <v>70798215</v>
      </c>
      <c r="I701" s="38">
        <f>+H701/G701</f>
        <v>0.10714291227225882</v>
      </c>
      <c r="J701" s="38">
        <f t="shared" si="186"/>
        <v>0.12000006915432573</v>
      </c>
      <c r="K701" s="37">
        <v>660783000</v>
      </c>
      <c r="L701" s="37">
        <f t="shared" si="182"/>
        <v>70798215</v>
      </c>
      <c r="M701" s="39">
        <v>62541854</v>
      </c>
      <c r="N701" s="37">
        <f t="shared" si="184"/>
        <v>8256361</v>
      </c>
      <c r="O701" s="40">
        <f>ROUND((+N701*0.4),0)</f>
        <v>3302544</v>
      </c>
      <c r="P701" s="41" t="s">
        <v>548</v>
      </c>
      <c r="Q701" s="55">
        <v>1173</v>
      </c>
      <c r="R701" s="42">
        <f t="shared" si="181"/>
        <v>4953817</v>
      </c>
      <c r="S701" s="55">
        <v>1174</v>
      </c>
      <c r="T701" s="55">
        <v>606</v>
      </c>
      <c r="U701" s="55">
        <v>869</v>
      </c>
      <c r="V701" s="34" t="s">
        <v>261</v>
      </c>
      <c r="W701" s="43">
        <v>44984</v>
      </c>
      <c r="X701" s="44" t="s">
        <v>588</v>
      </c>
    </row>
    <row r="702" spans="1:24" ht="17.45" customHeight="1" x14ac:dyDescent="0.25">
      <c r="A702" t="str">
        <f t="shared" si="174"/>
        <v>2910906764453499762857</v>
      </c>
      <c r="B702" s="6">
        <f t="shared" si="172"/>
        <v>45586</v>
      </c>
      <c r="C702" s="3">
        <f t="shared" si="173"/>
        <v>12214286</v>
      </c>
      <c r="D702" s="34">
        <v>2021</v>
      </c>
      <c r="E702" s="35">
        <v>2910906764</v>
      </c>
      <c r="F702" s="36" t="s">
        <v>218</v>
      </c>
      <c r="G702" s="37">
        <v>114000000</v>
      </c>
      <c r="H702" s="37">
        <v>12214286</v>
      </c>
      <c r="I702" s="38">
        <f>H702/G702</f>
        <v>0.1071428596491228</v>
      </c>
      <c r="J702" s="38">
        <f t="shared" si="186"/>
        <v>0.12000000314385965</v>
      </c>
      <c r="K702" s="37">
        <v>91120000</v>
      </c>
      <c r="L702" s="37">
        <f t="shared" si="182"/>
        <v>9762857</v>
      </c>
      <c r="M702" s="39">
        <v>8109611</v>
      </c>
      <c r="N702" s="37">
        <f t="shared" si="184"/>
        <v>1653246</v>
      </c>
      <c r="O702" s="40">
        <f t="shared" ref="O702:O733" si="187">ROUND((N702*40%),0)</f>
        <v>661298</v>
      </c>
      <c r="P702" s="41" t="s">
        <v>548</v>
      </c>
      <c r="Q702" s="55">
        <v>1175</v>
      </c>
      <c r="R702" s="42">
        <f t="shared" si="181"/>
        <v>991948</v>
      </c>
      <c r="S702" s="55">
        <v>1176</v>
      </c>
      <c r="T702" s="55">
        <v>607</v>
      </c>
      <c r="U702" s="55">
        <v>870</v>
      </c>
      <c r="V702" s="34" t="s">
        <v>261</v>
      </c>
      <c r="W702" s="43">
        <v>45349</v>
      </c>
      <c r="X702" s="44" t="s">
        <v>589</v>
      </c>
    </row>
    <row r="703" spans="1:24" ht="17.45" customHeight="1" x14ac:dyDescent="0.25">
      <c r="A703" t="str">
        <f t="shared" si="174"/>
        <v>29109067704498422588645</v>
      </c>
      <c r="B703" s="6">
        <f t="shared" si="172"/>
        <v>45098</v>
      </c>
      <c r="C703" s="3">
        <f t="shared" si="173"/>
        <v>22588645</v>
      </c>
      <c r="D703" s="34">
        <v>2021</v>
      </c>
      <c r="E703" s="35">
        <v>2910906770</v>
      </c>
      <c r="F703" s="36" t="s">
        <v>223</v>
      </c>
      <c r="G703" s="37">
        <v>276617170</v>
      </c>
      <c r="H703" s="37">
        <v>29637554</v>
      </c>
      <c r="I703" s="38">
        <f>+H703/G703</f>
        <v>0.1071428574010789</v>
      </c>
      <c r="J703" s="38">
        <f t="shared" si="186"/>
        <v>0.12000000032391338</v>
      </c>
      <c r="K703" s="37">
        <v>210827357</v>
      </c>
      <c r="L703" s="37">
        <f t="shared" si="182"/>
        <v>22588645</v>
      </c>
      <c r="M703" s="39">
        <v>20098034</v>
      </c>
      <c r="N703" s="37">
        <f t="shared" si="184"/>
        <v>2490611</v>
      </c>
      <c r="O703" s="40">
        <f t="shared" si="187"/>
        <v>996244</v>
      </c>
      <c r="P703" s="41" t="s">
        <v>548</v>
      </c>
      <c r="Q703" s="55">
        <v>1177</v>
      </c>
      <c r="R703" s="42">
        <f t="shared" si="181"/>
        <v>1494367</v>
      </c>
      <c r="S703" s="55">
        <v>1178</v>
      </c>
      <c r="T703" s="55">
        <v>608</v>
      </c>
      <c r="U703" s="55">
        <v>871</v>
      </c>
      <c r="V703" s="34" t="s">
        <v>261</v>
      </c>
      <c r="W703" s="43">
        <v>44984</v>
      </c>
      <c r="X703" s="44" t="s">
        <v>590</v>
      </c>
    </row>
    <row r="704" spans="1:24" ht="17.45" customHeight="1" x14ac:dyDescent="0.25">
      <c r="A704" t="str">
        <f t="shared" si="174"/>
        <v>29109067754498445321429</v>
      </c>
      <c r="B704" s="6">
        <f t="shared" si="172"/>
        <v>45103</v>
      </c>
      <c r="C704" s="3">
        <f t="shared" si="173"/>
        <v>45321429</v>
      </c>
      <c r="D704" s="34">
        <v>2021</v>
      </c>
      <c r="E704" s="35">
        <v>2910906775</v>
      </c>
      <c r="F704" s="36" t="s">
        <v>284</v>
      </c>
      <c r="G704" s="37">
        <v>423000000</v>
      </c>
      <c r="H704" s="37">
        <v>45321429</v>
      </c>
      <c r="I704" s="38">
        <f>+H704/G704</f>
        <v>0.10714285815602836</v>
      </c>
      <c r="J704" s="38">
        <f t="shared" si="186"/>
        <v>0.12000000127092199</v>
      </c>
      <c r="K704" s="37">
        <v>423000000</v>
      </c>
      <c r="L704" s="37">
        <f t="shared" si="182"/>
        <v>45321429</v>
      </c>
      <c r="M704" s="39">
        <v>40789286</v>
      </c>
      <c r="N704" s="37">
        <f t="shared" si="184"/>
        <v>4532143</v>
      </c>
      <c r="O704" s="40">
        <f t="shared" si="187"/>
        <v>1812857</v>
      </c>
      <c r="P704" s="41" t="s">
        <v>548</v>
      </c>
      <c r="Q704" s="55">
        <v>1179</v>
      </c>
      <c r="R704" s="42">
        <f t="shared" si="181"/>
        <v>2719286</v>
      </c>
      <c r="S704" s="55">
        <v>1180</v>
      </c>
      <c r="T704" s="55">
        <v>609</v>
      </c>
      <c r="U704" s="55">
        <v>872</v>
      </c>
      <c r="V704" s="34" t="s">
        <v>261</v>
      </c>
      <c r="W704" s="43">
        <v>44984</v>
      </c>
      <c r="X704" s="44" t="s">
        <v>591</v>
      </c>
    </row>
    <row r="705" spans="1:24" ht="17.45" customHeight="1" x14ac:dyDescent="0.25">
      <c r="A705" t="str">
        <f t="shared" si="174"/>
        <v>2910906798449844468929</v>
      </c>
      <c r="B705" s="6">
        <f t="shared" si="172"/>
        <v>44984</v>
      </c>
      <c r="C705" s="3">
        <f t="shared" si="173"/>
        <v>4468929</v>
      </c>
      <c r="D705" s="34">
        <v>2022</v>
      </c>
      <c r="E705" s="35">
        <v>2910906798</v>
      </c>
      <c r="F705" s="36" t="s">
        <v>294</v>
      </c>
      <c r="G705" s="37">
        <v>43000000</v>
      </c>
      <c r="H705" s="37">
        <v>4607143</v>
      </c>
      <c r="I705" s="38">
        <f>H705/G705</f>
        <v>0.10714286046511629</v>
      </c>
      <c r="J705" s="38">
        <f t="shared" si="186"/>
        <v>0.12000000416744187</v>
      </c>
      <c r="K705" s="37">
        <v>41710000</v>
      </c>
      <c r="L705" s="37">
        <f t="shared" si="182"/>
        <v>4468929</v>
      </c>
      <c r="M705" s="39">
        <v>2854378</v>
      </c>
      <c r="N705" s="37">
        <f t="shared" si="184"/>
        <v>1614551</v>
      </c>
      <c r="O705" s="40">
        <f t="shared" si="187"/>
        <v>645820</v>
      </c>
      <c r="P705" s="41" t="s">
        <v>548</v>
      </c>
      <c r="Q705" s="55">
        <v>1181</v>
      </c>
      <c r="R705" s="42">
        <f t="shared" si="181"/>
        <v>968731</v>
      </c>
      <c r="S705" s="55">
        <v>1182</v>
      </c>
      <c r="T705" s="55">
        <v>610</v>
      </c>
      <c r="U705" s="55">
        <v>873</v>
      </c>
      <c r="V705" s="34" t="s">
        <v>261</v>
      </c>
      <c r="W705" s="43">
        <v>44984</v>
      </c>
      <c r="X705" s="44" t="s">
        <v>592</v>
      </c>
    </row>
    <row r="706" spans="1:24" ht="17.45" customHeight="1" x14ac:dyDescent="0.25">
      <c r="A706" t="str">
        <f t="shared" si="174"/>
        <v>29109080854534917132143</v>
      </c>
      <c r="B706" s="6">
        <f t="shared" ref="B706:B769" si="188">_xlfn.MAXIFS(W:W,E:E,E706)</f>
        <v>45349</v>
      </c>
      <c r="C706" s="3">
        <f t="shared" ref="C706:C769" si="189">_xlfn.MAXIFS(L:L,E:E,E706)</f>
        <v>17132143</v>
      </c>
      <c r="D706" s="34">
        <v>2023</v>
      </c>
      <c r="E706" s="35">
        <v>2910908085</v>
      </c>
      <c r="F706" s="36" t="s">
        <v>593</v>
      </c>
      <c r="G706" s="37">
        <v>159900000</v>
      </c>
      <c r="H706" s="37">
        <v>17132143</v>
      </c>
      <c r="I706" s="38">
        <f>+H706/G706</f>
        <v>0.10714285803627267</v>
      </c>
      <c r="J706" s="38">
        <f t="shared" si="186"/>
        <v>0.12000000112070044</v>
      </c>
      <c r="K706" s="37">
        <v>159900000</v>
      </c>
      <c r="L706" s="37">
        <f t="shared" si="182"/>
        <v>17132143</v>
      </c>
      <c r="M706" s="39">
        <v>0</v>
      </c>
      <c r="N706" s="37">
        <f t="shared" si="184"/>
        <v>17132143</v>
      </c>
      <c r="O706" s="40">
        <f t="shared" si="187"/>
        <v>6852857</v>
      </c>
      <c r="P706" s="41" t="s">
        <v>548</v>
      </c>
      <c r="Q706" s="55">
        <v>1187</v>
      </c>
      <c r="R706" s="42">
        <f t="shared" si="181"/>
        <v>10279286</v>
      </c>
      <c r="S706" s="55">
        <v>1188</v>
      </c>
      <c r="T706" s="55">
        <v>611</v>
      </c>
      <c r="U706" s="55">
        <v>874</v>
      </c>
      <c r="V706" s="34" t="s">
        <v>261</v>
      </c>
      <c r="W706" s="43">
        <v>45349</v>
      </c>
      <c r="X706" s="44" t="s">
        <v>413</v>
      </c>
    </row>
    <row r="707" spans="1:24" ht="17.45" customHeight="1" x14ac:dyDescent="0.25">
      <c r="A707" t="str">
        <f t="shared" ref="A707:A770" si="190">_xlfn.CONCAT(E707,W707,L707)</f>
        <v>245301833045470234726270</v>
      </c>
      <c r="B707" s="6">
        <f t="shared" si="188"/>
        <v>45912</v>
      </c>
      <c r="C707" s="3">
        <f t="shared" si="189"/>
        <v>259214159</v>
      </c>
      <c r="D707" s="34">
        <v>2021</v>
      </c>
      <c r="E707" s="35">
        <v>2453018330</v>
      </c>
      <c r="F707" s="36" t="s">
        <v>198</v>
      </c>
      <c r="G707" s="37">
        <v>2419332150</v>
      </c>
      <c r="H707" s="37">
        <v>259214159</v>
      </c>
      <c r="I707" s="38">
        <f>H707/G707</f>
        <v>0.10714285717238123</v>
      </c>
      <c r="J707" s="38">
        <f t="shared" si="186"/>
        <v>0.12000000003703501</v>
      </c>
      <c r="K707" s="37">
        <v>2190778523</v>
      </c>
      <c r="L707" s="37">
        <f t="shared" si="182"/>
        <v>234726270</v>
      </c>
      <c r="M707" s="39">
        <v>232237873</v>
      </c>
      <c r="N707" s="37">
        <f t="shared" si="184"/>
        <v>2488397</v>
      </c>
      <c r="O707" s="40">
        <f t="shared" si="187"/>
        <v>995359</v>
      </c>
      <c r="P707" s="41" t="s">
        <v>548</v>
      </c>
      <c r="Q707" s="55">
        <v>1163</v>
      </c>
      <c r="R707" s="42">
        <f t="shared" si="181"/>
        <v>1493038</v>
      </c>
      <c r="S707" s="55">
        <v>1164</v>
      </c>
      <c r="T707" s="55">
        <v>602</v>
      </c>
      <c r="U707" s="55">
        <v>865</v>
      </c>
      <c r="V707" s="34" t="s">
        <v>261</v>
      </c>
      <c r="W707" s="43">
        <v>45470</v>
      </c>
      <c r="X707" s="44" t="s">
        <v>280</v>
      </c>
    </row>
    <row r="708" spans="1:24" ht="17.45" customHeight="1" x14ac:dyDescent="0.25">
      <c r="A708" t="str">
        <f t="shared" si="190"/>
        <v>24530183424534927160874</v>
      </c>
      <c r="B708" s="6">
        <f t="shared" si="188"/>
        <v>45621</v>
      </c>
      <c r="C708" s="3">
        <f t="shared" si="189"/>
        <v>55256697.428571425</v>
      </c>
      <c r="D708" s="34">
        <v>2023</v>
      </c>
      <c r="E708" s="35">
        <v>2453018342</v>
      </c>
      <c r="F708" s="36" t="s">
        <v>378</v>
      </c>
      <c r="G708" s="37">
        <v>678090000</v>
      </c>
      <c r="H708" s="37">
        <v>72652500</v>
      </c>
      <c r="I708" s="38">
        <f t="shared" ref="I708:I716" si="191">+H708/G708</f>
        <v>0.10714285714285714</v>
      </c>
      <c r="J708" s="38">
        <f t="shared" si="186"/>
        <v>0.12</v>
      </c>
      <c r="K708" s="37">
        <v>253501494</v>
      </c>
      <c r="L708" s="37">
        <f t="shared" si="182"/>
        <v>27160874</v>
      </c>
      <c r="M708" s="39">
        <v>24677079</v>
      </c>
      <c r="N708" s="37">
        <f t="shared" si="184"/>
        <v>2483795</v>
      </c>
      <c r="O708" s="40">
        <f t="shared" si="187"/>
        <v>993518</v>
      </c>
      <c r="P708" s="41" t="s">
        <v>548</v>
      </c>
      <c r="Q708" s="55">
        <v>1167</v>
      </c>
      <c r="R708" s="42">
        <f t="shared" si="181"/>
        <v>1490277</v>
      </c>
      <c r="S708" s="55">
        <v>1168</v>
      </c>
      <c r="T708" s="55">
        <v>603</v>
      </c>
      <c r="U708" s="55">
        <v>866</v>
      </c>
      <c r="V708" s="34" t="s">
        <v>261</v>
      </c>
      <c r="W708" s="43">
        <v>45349</v>
      </c>
      <c r="X708" s="44" t="s">
        <v>425</v>
      </c>
    </row>
    <row r="709" spans="1:24" ht="17.45" customHeight="1" x14ac:dyDescent="0.25">
      <c r="A709" t="str">
        <f t="shared" si="190"/>
        <v>2910908090453492445000</v>
      </c>
      <c r="B709" s="6">
        <f t="shared" si="188"/>
        <v>45349</v>
      </c>
      <c r="C709" s="3">
        <f t="shared" si="189"/>
        <v>2445000</v>
      </c>
      <c r="D709" s="34">
        <v>2023</v>
      </c>
      <c r="E709" s="35">
        <v>2910908090</v>
      </c>
      <c r="F709" s="36" t="s">
        <v>594</v>
      </c>
      <c r="G709" s="37">
        <v>22820000</v>
      </c>
      <c r="H709" s="37">
        <v>2445000</v>
      </c>
      <c r="I709" s="38">
        <f t="shared" si="191"/>
        <v>0.10714285714285714</v>
      </c>
      <c r="J709" s="38">
        <f t="shared" si="186"/>
        <v>0.12</v>
      </c>
      <c r="K709" s="37">
        <v>22820000</v>
      </c>
      <c r="L709" s="37">
        <f t="shared" si="182"/>
        <v>2445000</v>
      </c>
      <c r="M709" s="39">
        <v>0</v>
      </c>
      <c r="N709" s="37">
        <f t="shared" si="184"/>
        <v>2445000</v>
      </c>
      <c r="O709" s="40">
        <f t="shared" si="187"/>
        <v>978000</v>
      </c>
      <c r="P709" s="41" t="s">
        <v>548</v>
      </c>
      <c r="Q709" s="55">
        <v>1189</v>
      </c>
      <c r="R709" s="42">
        <f t="shared" si="181"/>
        <v>1467000</v>
      </c>
      <c r="S709" s="55">
        <v>1190</v>
      </c>
      <c r="T709" s="55">
        <v>612</v>
      </c>
      <c r="U709" s="55">
        <v>875</v>
      </c>
      <c r="V709" s="34" t="s">
        <v>261</v>
      </c>
      <c r="W709" s="43">
        <v>45349</v>
      </c>
      <c r="X709" s="44" t="s">
        <v>413</v>
      </c>
    </row>
    <row r="710" spans="1:24" ht="17.45" customHeight="1" x14ac:dyDescent="0.25">
      <c r="A710" t="str">
        <f t="shared" si="190"/>
        <v>245301835145348127263603</v>
      </c>
      <c r="B710" s="6">
        <f t="shared" si="188"/>
        <v>45433</v>
      </c>
      <c r="C710" s="3">
        <f t="shared" si="189"/>
        <v>128964400.14361468</v>
      </c>
      <c r="D710" s="34">
        <v>2023</v>
      </c>
      <c r="E710" s="35">
        <v>2453018351</v>
      </c>
      <c r="F710" s="36" t="s">
        <v>430</v>
      </c>
      <c r="G710" s="37">
        <v>1229752235</v>
      </c>
      <c r="H710" s="37">
        <v>131759168</v>
      </c>
      <c r="I710" s="38">
        <f t="shared" si="191"/>
        <v>0.10714285711381528</v>
      </c>
      <c r="J710" s="38">
        <f t="shared" si="186"/>
        <v>0.1199999999635699</v>
      </c>
      <c r="K710" s="37">
        <v>1187793631</v>
      </c>
      <c r="L710" s="37">
        <f t="shared" si="182"/>
        <v>127263603</v>
      </c>
      <c r="M710" s="39">
        <v>121079004</v>
      </c>
      <c r="N710" s="37">
        <f t="shared" si="184"/>
        <v>6184599</v>
      </c>
      <c r="O710" s="40">
        <f t="shared" si="187"/>
        <v>2473840</v>
      </c>
      <c r="P710" s="41" t="s">
        <v>548</v>
      </c>
      <c r="Q710" s="55">
        <v>1169</v>
      </c>
      <c r="R710" s="42">
        <f t="shared" si="181"/>
        <v>3710759</v>
      </c>
      <c r="S710" s="55">
        <v>1170</v>
      </c>
      <c r="T710" s="55">
        <v>604</v>
      </c>
      <c r="U710" s="55">
        <v>867</v>
      </c>
      <c r="V710" s="34" t="s">
        <v>261</v>
      </c>
      <c r="W710" s="43">
        <v>45348</v>
      </c>
      <c r="X710" s="44" t="s">
        <v>425</v>
      </c>
    </row>
    <row r="711" spans="1:24" ht="17.45" customHeight="1" x14ac:dyDescent="0.25">
      <c r="A711" t="str">
        <f t="shared" si="190"/>
        <v>245301834044620662103836</v>
      </c>
      <c r="B711" s="6">
        <f t="shared" si="188"/>
        <v>45524</v>
      </c>
      <c r="C711" s="3">
        <f t="shared" si="189"/>
        <v>750720353.98835123</v>
      </c>
      <c r="D711" s="34">
        <v>2022</v>
      </c>
      <c r="E711" s="35">
        <v>2453018340</v>
      </c>
      <c r="F711" s="36" t="s">
        <v>320</v>
      </c>
      <c r="G711" s="37">
        <v>7253407050</v>
      </c>
      <c r="H711" s="37">
        <v>774054537</v>
      </c>
      <c r="I711" s="38">
        <f t="shared" si="191"/>
        <v>0.10671599314145758</v>
      </c>
      <c r="J711" s="38">
        <f t="shared" si="186"/>
        <v>0.11946479767028537</v>
      </c>
      <c r="K711" s="37">
        <v>6204354348</v>
      </c>
      <c r="L711" s="37">
        <f t="shared" ref="L711:L719" si="192">ROUND((+K711*I711),0)</f>
        <v>662103836</v>
      </c>
      <c r="M711" s="39">
        <f>L690</f>
        <v>649997862</v>
      </c>
      <c r="N711" s="37">
        <f t="shared" si="184"/>
        <v>12105974</v>
      </c>
      <c r="O711" s="40">
        <f t="shared" si="187"/>
        <v>4842390</v>
      </c>
      <c r="P711" s="41" t="s">
        <v>548</v>
      </c>
      <c r="Q711" s="55">
        <v>1165</v>
      </c>
      <c r="R711" s="42">
        <f t="shared" si="181"/>
        <v>7263584</v>
      </c>
      <c r="S711" s="55">
        <v>1166</v>
      </c>
      <c r="T711" s="55">
        <v>619</v>
      </c>
      <c r="U711" s="55">
        <v>908</v>
      </c>
      <c r="V711" s="34" t="s">
        <v>261</v>
      </c>
      <c r="W711" s="43">
        <v>44620</v>
      </c>
      <c r="X711" s="44" t="s">
        <v>425</v>
      </c>
    </row>
    <row r="712" spans="1:24" ht="17.45" customHeight="1" x14ac:dyDescent="0.25">
      <c r="A712" t="str">
        <f t="shared" si="190"/>
        <v>2910907240446202678572</v>
      </c>
      <c r="B712" s="6">
        <f t="shared" si="188"/>
        <v>44620</v>
      </c>
      <c r="C712" s="3">
        <f t="shared" si="189"/>
        <v>2678572</v>
      </c>
      <c r="D712" s="34">
        <v>2023</v>
      </c>
      <c r="E712" s="35">
        <v>2910907240</v>
      </c>
      <c r="F712" s="36" t="s">
        <v>595</v>
      </c>
      <c r="G712" s="37">
        <v>25000000</v>
      </c>
      <c r="H712" s="37">
        <v>2678572</v>
      </c>
      <c r="I712" s="38">
        <f t="shared" si="191"/>
        <v>0.10714288</v>
      </c>
      <c r="J712" s="38">
        <f t="shared" si="186"/>
        <v>0.12000002867200073</v>
      </c>
      <c r="K712" s="37">
        <v>25000000</v>
      </c>
      <c r="L712" s="37">
        <f t="shared" si="192"/>
        <v>2678572</v>
      </c>
      <c r="M712" s="39">
        <v>0</v>
      </c>
      <c r="N712" s="37">
        <f t="shared" si="184"/>
        <v>2678572</v>
      </c>
      <c r="O712" s="40">
        <f t="shared" si="187"/>
        <v>1071429</v>
      </c>
      <c r="P712" s="41" t="s">
        <v>548</v>
      </c>
      <c r="Q712" s="55">
        <v>1185</v>
      </c>
      <c r="R712" s="42">
        <f t="shared" si="181"/>
        <v>1607143</v>
      </c>
      <c r="S712" s="55">
        <v>1186</v>
      </c>
      <c r="T712" s="55">
        <v>621</v>
      </c>
      <c r="U712" s="55">
        <v>910</v>
      </c>
      <c r="V712" s="34" t="s">
        <v>261</v>
      </c>
      <c r="W712" s="43">
        <v>44620</v>
      </c>
      <c r="X712" s="44" t="s">
        <v>596</v>
      </c>
    </row>
    <row r="713" spans="1:24" ht="17.45" customHeight="1" x14ac:dyDescent="0.25">
      <c r="A713" t="str">
        <f t="shared" si="190"/>
        <v>29109072254535026464286</v>
      </c>
      <c r="B713" s="6">
        <f t="shared" si="188"/>
        <v>45350</v>
      </c>
      <c r="C713" s="3">
        <f t="shared" si="189"/>
        <v>26464286</v>
      </c>
      <c r="D713" s="34">
        <v>2023</v>
      </c>
      <c r="E713" s="35">
        <v>2910907225</v>
      </c>
      <c r="F713" s="36" t="s">
        <v>405</v>
      </c>
      <c r="G713" s="37">
        <v>247000000</v>
      </c>
      <c r="H713" s="37">
        <v>26464286</v>
      </c>
      <c r="I713" s="38">
        <f t="shared" si="191"/>
        <v>0.10714285829959515</v>
      </c>
      <c r="J713" s="38">
        <f t="shared" si="186"/>
        <v>0.12000000145101215</v>
      </c>
      <c r="K713" s="37">
        <v>247000000</v>
      </c>
      <c r="L713" s="37">
        <f t="shared" si="192"/>
        <v>26464286</v>
      </c>
      <c r="M713" s="39">
        <f>L556</f>
        <v>23817857</v>
      </c>
      <c r="N713" s="37">
        <f t="shared" si="184"/>
        <v>2646429</v>
      </c>
      <c r="O713" s="40">
        <f t="shared" si="187"/>
        <v>1058572</v>
      </c>
      <c r="P713" s="41" t="s">
        <v>548</v>
      </c>
      <c r="Q713" s="55">
        <v>1183</v>
      </c>
      <c r="R713" s="42">
        <f t="shared" si="181"/>
        <v>1587857</v>
      </c>
      <c r="S713" s="55">
        <v>1184</v>
      </c>
      <c r="T713" s="55">
        <v>620</v>
      </c>
      <c r="U713" s="55">
        <v>909</v>
      </c>
      <c r="V713" s="34" t="s">
        <v>261</v>
      </c>
      <c r="W713" s="43">
        <v>45350</v>
      </c>
      <c r="X713" s="44" t="s">
        <v>597</v>
      </c>
    </row>
    <row r="714" spans="1:24" ht="17.45" customHeight="1" x14ac:dyDescent="0.25">
      <c r="A714" t="str">
        <f t="shared" si="190"/>
        <v>245301834045363672934300</v>
      </c>
      <c r="B714" s="6">
        <f t="shared" si="188"/>
        <v>45524</v>
      </c>
      <c r="C714" s="3">
        <f t="shared" si="189"/>
        <v>750720353.98835123</v>
      </c>
      <c r="D714" s="34">
        <v>2022</v>
      </c>
      <c r="E714" s="35">
        <v>2453018340</v>
      </c>
      <c r="F714" s="36" t="s">
        <v>320</v>
      </c>
      <c r="G714" s="37">
        <v>7253407050</v>
      </c>
      <c r="H714" s="37">
        <v>774054537</v>
      </c>
      <c r="I714" s="38">
        <f t="shared" si="191"/>
        <v>0.10671599314145758</v>
      </c>
      <c r="J714" s="38">
        <f t="shared" si="186"/>
        <v>0.11946479767028537</v>
      </c>
      <c r="K714" s="37">
        <v>6305843013</v>
      </c>
      <c r="L714" s="37">
        <f t="shared" si="192"/>
        <v>672934300</v>
      </c>
      <c r="M714" s="39">
        <v>662103836</v>
      </c>
      <c r="N714" s="37">
        <f t="shared" si="184"/>
        <v>10830464</v>
      </c>
      <c r="O714" s="40">
        <f t="shared" si="187"/>
        <v>4332186</v>
      </c>
      <c r="P714" s="41" t="s">
        <v>548</v>
      </c>
      <c r="Q714" s="55">
        <v>2147</v>
      </c>
      <c r="R714" s="42">
        <f t="shared" si="181"/>
        <v>6498278</v>
      </c>
      <c r="S714" s="55">
        <v>2148</v>
      </c>
      <c r="T714" s="55">
        <v>699</v>
      </c>
      <c r="U714" s="55">
        <v>1122</v>
      </c>
      <c r="V714" s="34" t="s">
        <v>261</v>
      </c>
      <c r="W714" s="43">
        <v>45363</v>
      </c>
      <c r="X714" s="44" t="s">
        <v>425</v>
      </c>
    </row>
    <row r="715" spans="1:24" ht="17.45" customHeight="1" x14ac:dyDescent="0.25">
      <c r="A715" t="str">
        <f t="shared" si="190"/>
        <v>24530183484536389997708</v>
      </c>
      <c r="B715" s="6">
        <f t="shared" si="188"/>
        <v>45553</v>
      </c>
      <c r="C715" s="3">
        <f t="shared" si="189"/>
        <v>250867949.19596934</v>
      </c>
      <c r="D715" s="34">
        <v>2023</v>
      </c>
      <c r="E715" s="35">
        <v>2453018348</v>
      </c>
      <c r="F715" s="36" t="s">
        <v>426</v>
      </c>
      <c r="G715" s="37">
        <v>3652668243</v>
      </c>
      <c r="H715" s="37">
        <v>391357312</v>
      </c>
      <c r="I715" s="38">
        <f t="shared" si="191"/>
        <v>0.10714285721130026</v>
      </c>
      <c r="J715" s="38">
        <f t="shared" si="186"/>
        <v>0.12000000008585504</v>
      </c>
      <c r="K715" s="37">
        <v>839978606</v>
      </c>
      <c r="L715" s="37">
        <f t="shared" si="192"/>
        <v>89997708</v>
      </c>
      <c r="M715" s="39">
        <v>83305295</v>
      </c>
      <c r="N715" s="37">
        <f t="shared" si="184"/>
        <v>6692413</v>
      </c>
      <c r="O715" s="40">
        <f t="shared" si="187"/>
        <v>2676965</v>
      </c>
      <c r="P715" s="41" t="s">
        <v>548</v>
      </c>
      <c r="Q715" s="55">
        <v>2149</v>
      </c>
      <c r="R715" s="42">
        <f t="shared" si="181"/>
        <v>4015448</v>
      </c>
      <c r="S715" s="55">
        <v>2150</v>
      </c>
      <c r="T715" s="55">
        <v>700</v>
      </c>
      <c r="U715" s="55">
        <v>1123</v>
      </c>
      <c r="V715" s="34" t="s">
        <v>261</v>
      </c>
      <c r="W715" s="43">
        <v>45363</v>
      </c>
      <c r="X715" s="44" t="s">
        <v>425</v>
      </c>
    </row>
    <row r="716" spans="1:24" ht="17.45" customHeight="1" x14ac:dyDescent="0.25">
      <c r="A716" t="str">
        <f t="shared" si="190"/>
        <v>245301835045363567820966</v>
      </c>
      <c r="B716" s="6">
        <f t="shared" si="188"/>
        <v>45743</v>
      </c>
      <c r="C716" s="3">
        <f t="shared" si="189"/>
        <v>1344604499.9999998</v>
      </c>
      <c r="D716" s="34">
        <v>2023</v>
      </c>
      <c r="E716" s="35">
        <v>2453018350</v>
      </c>
      <c r="F716" s="36" t="s">
        <v>450</v>
      </c>
      <c r="G716" s="37">
        <v>16284654500</v>
      </c>
      <c r="H716" s="37">
        <v>1344604500</v>
      </c>
      <c r="I716" s="38">
        <f t="shared" si="191"/>
        <v>8.2568807339449546E-2</v>
      </c>
      <c r="J716" s="38">
        <f t="shared" si="186"/>
        <v>0.09</v>
      </c>
      <c r="K716" s="37">
        <v>6876942808</v>
      </c>
      <c r="L716" s="37">
        <f t="shared" si="192"/>
        <v>567820966</v>
      </c>
      <c r="M716" s="39">
        <f>L692</f>
        <v>559647896</v>
      </c>
      <c r="N716" s="37">
        <f t="shared" si="184"/>
        <v>8173070</v>
      </c>
      <c r="O716" s="40">
        <f t="shared" si="187"/>
        <v>3269228</v>
      </c>
      <c r="P716" s="41" t="s">
        <v>548</v>
      </c>
      <c r="Q716" s="55">
        <v>2151</v>
      </c>
      <c r="R716" s="42">
        <f t="shared" si="181"/>
        <v>4903842</v>
      </c>
      <c r="S716" s="55">
        <v>2152</v>
      </c>
      <c r="T716" s="55">
        <v>701</v>
      </c>
      <c r="U716" s="55">
        <v>1124</v>
      </c>
      <c r="V716" s="34" t="s">
        <v>261</v>
      </c>
      <c r="W716" s="43">
        <v>45363</v>
      </c>
      <c r="X716" s="44" t="s">
        <v>451</v>
      </c>
    </row>
    <row r="717" spans="1:24" ht="17.45" customHeight="1" x14ac:dyDescent="0.25">
      <c r="A717" t="str">
        <f t="shared" si="190"/>
        <v>245301835245363177543766</v>
      </c>
      <c r="B717" s="6">
        <f t="shared" si="188"/>
        <v>45531</v>
      </c>
      <c r="C717" s="3">
        <f t="shared" si="189"/>
        <v>218662504.66231647</v>
      </c>
      <c r="D717" s="34">
        <v>2023</v>
      </c>
      <c r="E717" s="35">
        <v>2453018352</v>
      </c>
      <c r="F717" s="36" t="s">
        <v>469</v>
      </c>
      <c r="G717" s="37">
        <v>5189063824</v>
      </c>
      <c r="H717" s="37">
        <v>261032799</v>
      </c>
      <c r="I717" s="38">
        <v>0.10714285748488657</v>
      </c>
      <c r="J717" s="38">
        <v>0.12000000042904171</v>
      </c>
      <c r="K717" s="37">
        <v>1657075141</v>
      </c>
      <c r="L717" s="37">
        <f t="shared" si="192"/>
        <v>177543766</v>
      </c>
      <c r="M717" s="39">
        <f>L693</f>
        <v>143556964</v>
      </c>
      <c r="N717" s="37">
        <f t="shared" si="184"/>
        <v>33986802</v>
      </c>
      <c r="O717" s="40">
        <f t="shared" si="187"/>
        <v>13594721</v>
      </c>
      <c r="P717" s="41" t="s">
        <v>548</v>
      </c>
      <c r="Q717" s="55">
        <v>2153</v>
      </c>
      <c r="R717" s="42">
        <f t="shared" si="181"/>
        <v>20392081</v>
      </c>
      <c r="S717" s="55">
        <v>2154</v>
      </c>
      <c r="T717" s="55">
        <v>702</v>
      </c>
      <c r="U717" s="55">
        <v>1125</v>
      </c>
      <c r="V717" s="34" t="s">
        <v>261</v>
      </c>
      <c r="W717" s="43">
        <v>45363</v>
      </c>
      <c r="X717" s="44" t="s">
        <v>470</v>
      </c>
    </row>
    <row r="718" spans="1:24" ht="17.45" customHeight="1" x14ac:dyDescent="0.25">
      <c r="A718" t="str">
        <f t="shared" si="190"/>
        <v>24530183554536314545297</v>
      </c>
      <c r="B718" s="6">
        <f t="shared" si="188"/>
        <v>45587</v>
      </c>
      <c r="C718" s="3">
        <f t="shared" si="189"/>
        <v>131411371.46442096</v>
      </c>
      <c r="D718" s="34">
        <v>2023</v>
      </c>
      <c r="E718" s="35">
        <v>2453018355</v>
      </c>
      <c r="F718" s="36" t="s">
        <v>598</v>
      </c>
      <c r="G718" s="37">
        <v>1960924800</v>
      </c>
      <c r="H718" s="37">
        <v>210099086</v>
      </c>
      <c r="I718" s="38">
        <v>0.10714285748488657</v>
      </c>
      <c r="J718" s="38">
        <v>0.12000000042904171</v>
      </c>
      <c r="K718" s="37">
        <v>135756103</v>
      </c>
      <c r="L718" s="37">
        <f t="shared" si="192"/>
        <v>14545297</v>
      </c>
      <c r="M718" s="39">
        <v>0</v>
      </c>
      <c r="N718" s="37">
        <f t="shared" si="184"/>
        <v>14545297</v>
      </c>
      <c r="O718" s="40">
        <f t="shared" si="187"/>
        <v>5818119</v>
      </c>
      <c r="P718" s="41" t="s">
        <v>548</v>
      </c>
      <c r="Q718" s="55">
        <v>2155</v>
      </c>
      <c r="R718" s="42">
        <f t="shared" si="181"/>
        <v>8727178</v>
      </c>
      <c r="S718" s="55">
        <v>2156</v>
      </c>
      <c r="T718" s="55">
        <v>703</v>
      </c>
      <c r="U718" s="55">
        <v>1126</v>
      </c>
      <c r="V718" s="34" t="s">
        <v>261</v>
      </c>
      <c r="W718" s="43">
        <v>45363</v>
      </c>
      <c r="X718" s="44" t="s">
        <v>425</v>
      </c>
    </row>
    <row r="719" spans="1:24" ht="17.45" customHeight="1" x14ac:dyDescent="0.25">
      <c r="A719" t="str">
        <f t="shared" si="190"/>
        <v>24530183254499778962612</v>
      </c>
      <c r="B719" s="6">
        <f t="shared" si="188"/>
        <v>45042</v>
      </c>
      <c r="C719" s="3">
        <f t="shared" si="189"/>
        <v>78962612</v>
      </c>
      <c r="D719" s="34">
        <v>2021</v>
      </c>
      <c r="E719" s="35">
        <v>2453018325</v>
      </c>
      <c r="F719" s="36" t="s">
        <v>194</v>
      </c>
      <c r="G719" s="37">
        <v>744689120</v>
      </c>
      <c r="H719" s="37">
        <v>79788120</v>
      </c>
      <c r="I719" s="38">
        <f>+H719/G719</f>
        <v>0.10714285714285714</v>
      </c>
      <c r="J719" s="38">
        <f>IFERROR((+H719/(G719-H719)),0)</f>
        <v>0.12</v>
      </c>
      <c r="K719" s="37">
        <v>736984380</v>
      </c>
      <c r="L719" s="37">
        <f t="shared" si="192"/>
        <v>78962612</v>
      </c>
      <c r="M719" s="39">
        <f>L394</f>
        <v>69898251</v>
      </c>
      <c r="N719" s="37">
        <f t="shared" ref="N719:N750" si="193">+L719-M719</f>
        <v>9064361</v>
      </c>
      <c r="O719" s="40">
        <f t="shared" si="187"/>
        <v>3625744</v>
      </c>
      <c r="P719" s="41" t="s">
        <v>548</v>
      </c>
      <c r="Q719" s="55">
        <v>2145</v>
      </c>
      <c r="R719" s="42">
        <f t="shared" si="181"/>
        <v>5438617</v>
      </c>
      <c r="S719" s="55">
        <v>2146</v>
      </c>
      <c r="T719" s="55">
        <v>698</v>
      </c>
      <c r="U719" s="55">
        <v>1121</v>
      </c>
      <c r="V719" s="34" t="s">
        <v>261</v>
      </c>
      <c r="W719" s="43">
        <v>44997</v>
      </c>
      <c r="X719" s="44" t="s">
        <v>599</v>
      </c>
    </row>
    <row r="720" spans="1:24" ht="17.45" customHeight="1" x14ac:dyDescent="0.25">
      <c r="A720" t="str">
        <f t="shared" si="190"/>
        <v>291090640145363662995461</v>
      </c>
      <c r="B720" s="6">
        <f t="shared" si="188"/>
        <v>45957</v>
      </c>
      <c r="C720" s="3">
        <f t="shared" si="189"/>
        <v>678878080.30633903</v>
      </c>
      <c r="D720" s="34">
        <v>2023</v>
      </c>
      <c r="E720" s="35">
        <v>2910906401</v>
      </c>
      <c r="F720" s="36" t="s">
        <v>332</v>
      </c>
      <c r="G720" s="37">
        <v>7279783033</v>
      </c>
      <c r="H720" s="37">
        <v>749688255</v>
      </c>
      <c r="I720" s="38">
        <f>+H720/G720</f>
        <v>0.10298222510225738</v>
      </c>
      <c r="J720" s="38">
        <f>IFERROR((+H720/(G720-H720)),0)</f>
        <v>0.11480511087307836</v>
      </c>
      <c r="K720" s="37">
        <v>5524962179</v>
      </c>
      <c r="L720" s="37">
        <f>ROUND((+K720*12/100),0)</f>
        <v>662995461</v>
      </c>
      <c r="M720" s="39">
        <v>551844955</v>
      </c>
      <c r="N720" s="37">
        <f t="shared" si="193"/>
        <v>111150506</v>
      </c>
      <c r="O720" s="40">
        <f t="shared" si="187"/>
        <v>44460202</v>
      </c>
      <c r="P720" s="41" t="s">
        <v>548</v>
      </c>
      <c r="Q720" s="55">
        <v>2157</v>
      </c>
      <c r="R720" s="42">
        <f t="shared" si="181"/>
        <v>66690304</v>
      </c>
      <c r="S720" s="55">
        <v>2158</v>
      </c>
      <c r="T720" s="55">
        <v>704</v>
      </c>
      <c r="U720" s="55">
        <v>1127</v>
      </c>
      <c r="V720" s="34" t="s">
        <v>261</v>
      </c>
      <c r="W720" s="43">
        <v>45363</v>
      </c>
      <c r="X720" s="44" t="s">
        <v>455</v>
      </c>
    </row>
    <row r="721" spans="1:24" ht="17.45" customHeight="1" x14ac:dyDescent="0.25">
      <c r="A721" t="str">
        <f t="shared" si="190"/>
        <v>291090723845364733912451</v>
      </c>
      <c r="B721" s="6">
        <f t="shared" si="188"/>
        <v>45642</v>
      </c>
      <c r="C721" s="3">
        <f t="shared" si="189"/>
        <v>1951263569.1784461</v>
      </c>
      <c r="D721" s="34">
        <v>2023</v>
      </c>
      <c r="E721" s="35">
        <v>2910907238</v>
      </c>
      <c r="F721" s="36" t="s">
        <v>520</v>
      </c>
      <c r="G721" s="37">
        <v>18227793312</v>
      </c>
      <c r="H721" s="37">
        <v>1952977855</v>
      </c>
      <c r="I721" s="38">
        <v>0.107142857484887</v>
      </c>
      <c r="J721" s="38">
        <v>0.12000000042904171</v>
      </c>
      <c r="K721" s="37">
        <f>3189046719+1830401400+1830401400</f>
        <v>6849849519</v>
      </c>
      <c r="L721" s="37">
        <f t="shared" ref="L721:L745" si="194">ROUND((+K721*I721),0)</f>
        <v>733912451</v>
      </c>
      <c r="M721" s="39">
        <v>537798014</v>
      </c>
      <c r="N721" s="37">
        <f t="shared" si="193"/>
        <v>196114437</v>
      </c>
      <c r="O721" s="40">
        <f t="shared" si="187"/>
        <v>78445775</v>
      </c>
      <c r="P721" s="41" t="s">
        <v>548</v>
      </c>
      <c r="Q721" s="55">
        <v>2161</v>
      </c>
      <c r="R721" s="42">
        <f t="shared" si="181"/>
        <v>117668662</v>
      </c>
      <c r="S721" s="55">
        <v>2162</v>
      </c>
      <c r="T721" s="55">
        <v>706</v>
      </c>
      <c r="U721" s="55">
        <v>1129</v>
      </c>
      <c r="V721" s="34" t="s">
        <v>261</v>
      </c>
      <c r="W721" s="43">
        <v>45364</v>
      </c>
      <c r="X721" s="44" t="s">
        <v>600</v>
      </c>
    </row>
    <row r="722" spans="1:24" ht="17.45" customHeight="1" x14ac:dyDescent="0.25">
      <c r="A722" t="str">
        <f t="shared" si="190"/>
        <v>29109072324536446463138</v>
      </c>
      <c r="B722" s="6">
        <f t="shared" si="188"/>
        <v>45439</v>
      </c>
      <c r="C722" s="3">
        <f t="shared" si="189"/>
        <v>59353440.954516016</v>
      </c>
      <c r="D722" s="34">
        <v>2022</v>
      </c>
      <c r="E722" s="35">
        <v>2910907232</v>
      </c>
      <c r="F722" s="36" t="s">
        <v>533</v>
      </c>
      <c r="G722" s="37">
        <v>643456583</v>
      </c>
      <c r="H722" s="37">
        <v>68941777</v>
      </c>
      <c r="I722" s="38">
        <f>+H722/G722</f>
        <v>0.10714285753138375</v>
      </c>
      <c r="J722" s="38">
        <f>IFERROR((+H722/(G722-H722)),0)</f>
        <v>0.12000000048736777</v>
      </c>
      <c r="K722" s="37">
        <v>433655955.49000001</v>
      </c>
      <c r="L722" s="37">
        <f t="shared" si="194"/>
        <v>46463138</v>
      </c>
      <c r="M722" s="39">
        <f>L641</f>
        <v>20682533</v>
      </c>
      <c r="N722" s="37">
        <f t="shared" si="193"/>
        <v>25780605</v>
      </c>
      <c r="O722" s="40">
        <f t="shared" si="187"/>
        <v>10312242</v>
      </c>
      <c r="P722" s="41" t="s">
        <v>548</v>
      </c>
      <c r="Q722" s="55">
        <v>2159</v>
      </c>
      <c r="R722" s="42">
        <f t="shared" si="181"/>
        <v>15468363</v>
      </c>
      <c r="S722" s="55">
        <v>2160</v>
      </c>
      <c r="T722" s="55">
        <v>705</v>
      </c>
      <c r="U722" s="55">
        <v>1128</v>
      </c>
      <c r="V722" s="34" t="s">
        <v>261</v>
      </c>
      <c r="W722" s="43">
        <v>45364</v>
      </c>
      <c r="X722" s="44" t="s">
        <v>601</v>
      </c>
    </row>
    <row r="723" spans="1:24" ht="17.45" customHeight="1" x14ac:dyDescent="0.25">
      <c r="A723" t="str">
        <f t="shared" si="190"/>
        <v>291090730545364197861366</v>
      </c>
      <c r="B723" s="6">
        <f t="shared" si="188"/>
        <v>45639</v>
      </c>
      <c r="C723" s="3">
        <f t="shared" si="189"/>
        <v>1657912075.6085422</v>
      </c>
      <c r="D723" s="34">
        <v>2024</v>
      </c>
      <c r="E723" s="35">
        <v>2910907305</v>
      </c>
      <c r="F723" s="36" t="s">
        <v>602</v>
      </c>
      <c r="G723" s="37">
        <v>16023830031</v>
      </c>
      <c r="H723" s="37">
        <v>1716840708</v>
      </c>
      <c r="I723" s="38">
        <f>+H723/G723</f>
        <v>0.10714296798446864</v>
      </c>
      <c r="J723" s="38">
        <f>IFERROR((+H723/(G723-H723)),0)</f>
        <v>0.12000013903973471</v>
      </c>
      <c r="K723" s="37">
        <v>1846704175</v>
      </c>
      <c r="L723" s="37">
        <f t="shared" si="194"/>
        <v>197861366</v>
      </c>
      <c r="M723" s="39">
        <v>0</v>
      </c>
      <c r="N723" s="37">
        <f t="shared" si="193"/>
        <v>197861366</v>
      </c>
      <c r="O723" s="40">
        <f t="shared" si="187"/>
        <v>79144546</v>
      </c>
      <c r="P723" s="41" t="s">
        <v>548</v>
      </c>
      <c r="Q723" s="55">
        <v>2163</v>
      </c>
      <c r="R723" s="42">
        <f t="shared" si="181"/>
        <v>118716820</v>
      </c>
      <c r="S723" s="55">
        <v>2164</v>
      </c>
      <c r="T723" s="55">
        <v>712</v>
      </c>
      <c r="U723" s="55">
        <v>1324</v>
      </c>
      <c r="V723" s="34" t="s">
        <v>261</v>
      </c>
      <c r="W723" s="43">
        <v>45364</v>
      </c>
      <c r="X723" s="44" t="s">
        <v>603</v>
      </c>
    </row>
    <row r="724" spans="1:24" ht="17.45" customHeight="1" x14ac:dyDescent="0.25">
      <c r="A724" t="str">
        <f t="shared" si="190"/>
        <v>29109072414537242295823</v>
      </c>
      <c r="B724" s="6">
        <f t="shared" si="188"/>
        <v>45833</v>
      </c>
      <c r="C724" s="3">
        <f t="shared" si="189"/>
        <v>42766223</v>
      </c>
      <c r="D724" s="34">
        <v>2023</v>
      </c>
      <c r="E724" s="35">
        <v>2910907241</v>
      </c>
      <c r="F724" s="36" t="s">
        <v>535</v>
      </c>
      <c r="G724" s="37">
        <v>399151141</v>
      </c>
      <c r="H724" s="37">
        <v>42766223</v>
      </c>
      <c r="I724" s="38">
        <f>+H724/G724</f>
        <v>0.10714293060232039</v>
      </c>
      <c r="J724" s="38">
        <f>IFERROR((+H724/(G724-H724)),0)</f>
        <v>0.12000009214755827</v>
      </c>
      <c r="K724" s="37">
        <f>214280538+180480207</f>
        <v>394760745</v>
      </c>
      <c r="L724" s="37">
        <f t="shared" si="194"/>
        <v>42295823</v>
      </c>
      <c r="M724" s="39">
        <v>22958645</v>
      </c>
      <c r="N724" s="37">
        <f t="shared" si="193"/>
        <v>19337178</v>
      </c>
      <c r="O724" s="40">
        <f t="shared" si="187"/>
        <v>7734871</v>
      </c>
      <c r="P724" s="41" t="s">
        <v>548</v>
      </c>
      <c r="Q724" s="55"/>
      <c r="R724" s="42">
        <f t="shared" si="181"/>
        <v>11602307</v>
      </c>
      <c r="S724" s="55"/>
      <c r="T724" s="55"/>
      <c r="U724" s="55"/>
      <c r="V724" s="34" t="s">
        <v>261</v>
      </c>
      <c r="W724" s="43">
        <v>45372</v>
      </c>
      <c r="X724" s="44" t="s">
        <v>604</v>
      </c>
    </row>
    <row r="725" spans="1:24" ht="17.45" customHeight="1" x14ac:dyDescent="0.25">
      <c r="A725" t="str">
        <f t="shared" si="190"/>
        <v>291090724645372147348214</v>
      </c>
      <c r="B725" s="6">
        <f t="shared" si="188"/>
        <v>45891</v>
      </c>
      <c r="C725" s="3">
        <f t="shared" si="189"/>
        <v>292131177.05616194</v>
      </c>
      <c r="D725" s="34">
        <v>2023</v>
      </c>
      <c r="E725" s="35">
        <v>2910907246</v>
      </c>
      <c r="F725" s="36" t="s">
        <v>541</v>
      </c>
      <c r="G725" s="37">
        <v>2750500000</v>
      </c>
      <c r="H725" s="37">
        <v>294696428.51999998</v>
      </c>
      <c r="I725" s="38">
        <f>+H725/G725</f>
        <v>0.10714285712415923</v>
      </c>
      <c r="J725" s="38">
        <f>IFERROR((+H725/(G725-H725)),0)</f>
        <v>0.11999999997654534</v>
      </c>
      <c r="K725" s="37">
        <f>550100000+825150000</f>
        <v>1375250000</v>
      </c>
      <c r="L725" s="37">
        <f t="shared" si="194"/>
        <v>147348214</v>
      </c>
      <c r="M725" s="39">
        <v>58939286</v>
      </c>
      <c r="N725" s="37">
        <f t="shared" si="193"/>
        <v>88408928</v>
      </c>
      <c r="O725" s="40">
        <f t="shared" si="187"/>
        <v>35363571</v>
      </c>
      <c r="P725" s="41" t="s">
        <v>548</v>
      </c>
      <c r="Q725" s="55"/>
      <c r="R725" s="42">
        <f t="shared" si="181"/>
        <v>53045357</v>
      </c>
      <c r="S725" s="55"/>
      <c r="T725" s="55"/>
      <c r="U725" s="55"/>
      <c r="V725" s="34" t="s">
        <v>261</v>
      </c>
      <c r="W725" s="43">
        <v>45372</v>
      </c>
      <c r="X725" s="44" t="s">
        <v>605</v>
      </c>
    </row>
    <row r="726" spans="1:24" ht="17.45" customHeight="1" x14ac:dyDescent="0.25">
      <c r="A726" t="str">
        <f t="shared" si="190"/>
        <v>245301835245372201440620</v>
      </c>
      <c r="B726" s="6">
        <f t="shared" si="188"/>
        <v>45531</v>
      </c>
      <c r="C726" s="3">
        <f t="shared" si="189"/>
        <v>218662504.66231647</v>
      </c>
      <c r="D726" s="34">
        <v>2023</v>
      </c>
      <c r="E726" s="35">
        <v>2453018352</v>
      </c>
      <c r="F726" s="36" t="s">
        <v>469</v>
      </c>
      <c r="G726" s="37">
        <v>5189063824</v>
      </c>
      <c r="H726" s="37">
        <v>261032799</v>
      </c>
      <c r="I726" s="38">
        <v>0.10714285748488657</v>
      </c>
      <c r="J726" s="38">
        <v>0.12000000042904171</v>
      </c>
      <c r="K726" s="37">
        <v>1880112445</v>
      </c>
      <c r="L726" s="37">
        <f t="shared" si="194"/>
        <v>201440620</v>
      </c>
      <c r="M726" s="39">
        <v>177543766</v>
      </c>
      <c r="N726" s="37">
        <f t="shared" si="193"/>
        <v>23896854</v>
      </c>
      <c r="O726" s="40">
        <f t="shared" si="187"/>
        <v>9558742</v>
      </c>
      <c r="P726" s="41" t="s">
        <v>548</v>
      </c>
      <c r="Q726" s="55"/>
      <c r="R726" s="42">
        <f t="shared" si="181"/>
        <v>14338112</v>
      </c>
      <c r="S726" s="55"/>
      <c r="T726" s="55"/>
      <c r="U726" s="55"/>
      <c r="V726" s="34" t="s">
        <v>261</v>
      </c>
      <c r="W726" s="43">
        <v>45372</v>
      </c>
      <c r="X726" s="44" t="s">
        <v>470</v>
      </c>
    </row>
    <row r="727" spans="1:24" ht="17.45" customHeight="1" x14ac:dyDescent="0.25">
      <c r="A727" t="str">
        <f t="shared" si="190"/>
        <v>245301834945372200302865</v>
      </c>
      <c r="B727" s="6">
        <f t="shared" si="188"/>
        <v>45433</v>
      </c>
      <c r="C727" s="3">
        <f t="shared" si="189"/>
        <v>275206500.04064482</v>
      </c>
      <c r="D727" s="34">
        <v>2023</v>
      </c>
      <c r="E727" s="35">
        <v>2453018349</v>
      </c>
      <c r="F727" s="36" t="s">
        <v>424</v>
      </c>
      <c r="G727" s="37">
        <v>2759044522</v>
      </c>
      <c r="H727" s="37">
        <v>295611913</v>
      </c>
      <c r="I727" s="38">
        <f t="shared" ref="I727:I732" si="195">+H727/G727</f>
        <v>0.10714285711696826</v>
      </c>
      <c r="J727" s="38">
        <f t="shared" ref="J727:J732" si="196">IFERROR((+H727/(G727-H727)),0)</f>
        <v>0.11999999996752499</v>
      </c>
      <c r="K727" s="37">
        <v>1869493408</v>
      </c>
      <c r="L727" s="37">
        <f t="shared" si="194"/>
        <v>200302865</v>
      </c>
      <c r="M727" s="39">
        <v>164197176</v>
      </c>
      <c r="N727" s="37">
        <f t="shared" si="193"/>
        <v>36105689</v>
      </c>
      <c r="O727" s="40">
        <f t="shared" si="187"/>
        <v>14442276</v>
      </c>
      <c r="P727" s="41" t="s">
        <v>548</v>
      </c>
      <c r="Q727" s="55"/>
      <c r="R727" s="42">
        <f t="shared" si="181"/>
        <v>21663413</v>
      </c>
      <c r="S727" s="55"/>
      <c r="T727" s="55"/>
      <c r="U727" s="55"/>
      <c r="V727" s="34" t="s">
        <v>261</v>
      </c>
      <c r="W727" s="43">
        <v>45372</v>
      </c>
      <c r="X727" s="44" t="s">
        <v>425</v>
      </c>
    </row>
    <row r="728" spans="1:24" s="123" customFormat="1" ht="17.45" customHeight="1" x14ac:dyDescent="0.25">
      <c r="A728" t="str">
        <f t="shared" si="190"/>
        <v>245301835045383738400986</v>
      </c>
      <c r="B728" s="6">
        <f t="shared" si="188"/>
        <v>45743</v>
      </c>
      <c r="C728" s="3">
        <f t="shared" si="189"/>
        <v>1344604499.9999998</v>
      </c>
      <c r="D728" s="125">
        <v>2023</v>
      </c>
      <c r="E728" s="126">
        <v>2453018350</v>
      </c>
      <c r="F728" s="127" t="s">
        <v>450</v>
      </c>
      <c r="G728" s="128">
        <v>16284654500</v>
      </c>
      <c r="H728" s="128">
        <v>1344604500</v>
      </c>
      <c r="I728" s="38">
        <f t="shared" si="195"/>
        <v>8.2568807339449546E-2</v>
      </c>
      <c r="J728" s="38">
        <f t="shared" si="196"/>
        <v>0.09</v>
      </c>
      <c r="K728" s="128">
        <v>8942856391</v>
      </c>
      <c r="L728" s="128">
        <f t="shared" si="194"/>
        <v>738400986</v>
      </c>
      <c r="M728" s="39">
        <v>567820966</v>
      </c>
      <c r="N728" s="128">
        <f t="shared" si="193"/>
        <v>170580020</v>
      </c>
      <c r="O728" s="129">
        <f t="shared" si="187"/>
        <v>68232008</v>
      </c>
      <c r="P728" s="130" t="s">
        <v>606</v>
      </c>
      <c r="Q728" s="131">
        <v>2975</v>
      </c>
      <c r="R728" s="42">
        <f t="shared" si="181"/>
        <v>102348012</v>
      </c>
      <c r="S728" s="131">
        <v>2976</v>
      </c>
      <c r="T728" s="131">
        <v>776</v>
      </c>
      <c r="U728" s="131">
        <v>1412</v>
      </c>
      <c r="V728" s="125" t="s">
        <v>261</v>
      </c>
      <c r="W728" s="132">
        <v>45383</v>
      </c>
      <c r="X728" s="133" t="s">
        <v>451</v>
      </c>
    </row>
    <row r="729" spans="1:24" s="123" customFormat="1" ht="17.45" customHeight="1" x14ac:dyDescent="0.25">
      <c r="A729" t="str">
        <f t="shared" si="190"/>
        <v>291090640145390203193369</v>
      </c>
      <c r="B729" s="6">
        <f t="shared" si="188"/>
        <v>45957</v>
      </c>
      <c r="C729" s="3">
        <f t="shared" si="189"/>
        <v>678878080.30633903</v>
      </c>
      <c r="D729" s="125">
        <v>2024</v>
      </c>
      <c r="E729" s="126">
        <v>2910906401</v>
      </c>
      <c r="F729" s="127" t="s">
        <v>607</v>
      </c>
      <c r="G729" s="128">
        <v>8107680336</v>
      </c>
      <c r="H729" s="128">
        <v>972921640</v>
      </c>
      <c r="I729" s="38">
        <f t="shared" si="195"/>
        <v>0.11999999996053125</v>
      </c>
      <c r="J729" s="38">
        <f t="shared" si="196"/>
        <v>0.13636363631266948</v>
      </c>
      <c r="K729" s="128">
        <v>1693278073</v>
      </c>
      <c r="L729" s="128">
        <f t="shared" si="194"/>
        <v>203193369</v>
      </c>
      <c r="M729" s="39">
        <v>0</v>
      </c>
      <c r="N729" s="128">
        <f t="shared" si="193"/>
        <v>203193369</v>
      </c>
      <c r="O729" s="129">
        <f t="shared" si="187"/>
        <v>81277348</v>
      </c>
      <c r="P729" s="130" t="s">
        <v>606</v>
      </c>
      <c r="Q729" s="131">
        <v>3676</v>
      </c>
      <c r="R729" s="42">
        <f t="shared" si="181"/>
        <v>121916021</v>
      </c>
      <c r="S729" s="131">
        <v>3677</v>
      </c>
      <c r="T729" s="131">
        <v>830</v>
      </c>
      <c r="U729" s="131">
        <v>1463</v>
      </c>
      <c r="V729" s="125" t="s">
        <v>261</v>
      </c>
      <c r="W729" s="132">
        <v>45390</v>
      </c>
      <c r="X729" s="133" t="s">
        <v>608</v>
      </c>
    </row>
    <row r="730" spans="1:24" s="123" customFormat="1" ht="17.45" customHeight="1" x14ac:dyDescent="0.25">
      <c r="A730" t="str">
        <f t="shared" si="190"/>
        <v>29109067464466148214286</v>
      </c>
      <c r="B730" s="6">
        <f t="shared" si="188"/>
        <v>44661</v>
      </c>
      <c r="C730" s="3">
        <f t="shared" si="189"/>
        <v>48214286</v>
      </c>
      <c r="D730" s="125">
        <v>2021</v>
      </c>
      <c r="E730" s="126">
        <v>2910906746</v>
      </c>
      <c r="F730" s="127" t="s">
        <v>206</v>
      </c>
      <c r="G730" s="128">
        <v>450000000</v>
      </c>
      <c r="H730" s="128">
        <v>48214286</v>
      </c>
      <c r="I730" s="38">
        <f t="shared" si="195"/>
        <v>0.10714285777777778</v>
      </c>
      <c r="J730" s="38">
        <f t="shared" si="196"/>
        <v>0.12000000079644445</v>
      </c>
      <c r="K730" s="128">
        <v>450000000</v>
      </c>
      <c r="L730" s="128">
        <f t="shared" si="194"/>
        <v>48214286</v>
      </c>
      <c r="M730" s="39">
        <v>43392857</v>
      </c>
      <c r="N730" s="128">
        <f t="shared" si="193"/>
        <v>4821429</v>
      </c>
      <c r="O730" s="129">
        <f t="shared" si="187"/>
        <v>1928572</v>
      </c>
      <c r="P730" s="130" t="s">
        <v>606</v>
      </c>
      <c r="Q730" s="131">
        <v>3678</v>
      </c>
      <c r="R730" s="42">
        <f t="shared" si="181"/>
        <v>2892857</v>
      </c>
      <c r="S730" s="131">
        <v>3679</v>
      </c>
      <c r="T730" s="131">
        <v>862</v>
      </c>
      <c r="U730" s="131">
        <v>1470</v>
      </c>
      <c r="V730" s="125" t="s">
        <v>261</v>
      </c>
      <c r="W730" s="132">
        <v>44661</v>
      </c>
      <c r="X730" s="133"/>
    </row>
    <row r="731" spans="1:24" s="123" customFormat="1" ht="17.45" customHeight="1" x14ac:dyDescent="0.25">
      <c r="A731" t="str">
        <f t="shared" si="190"/>
        <v>2910907296454013005357</v>
      </c>
      <c r="B731" s="6">
        <f t="shared" si="188"/>
        <v>45586</v>
      </c>
      <c r="C731" s="3">
        <f t="shared" si="189"/>
        <v>3214285.9999999995</v>
      </c>
      <c r="D731" s="125">
        <v>2023</v>
      </c>
      <c r="E731" s="126">
        <v>2910907296</v>
      </c>
      <c r="F731" s="127" t="s">
        <v>580</v>
      </c>
      <c r="G731" s="128">
        <v>30000000</v>
      </c>
      <c r="H731" s="128">
        <v>3214286</v>
      </c>
      <c r="I731" s="38">
        <f t="shared" si="195"/>
        <v>0.10714286666666667</v>
      </c>
      <c r="J731" s="38">
        <f t="shared" si="196"/>
        <v>0.12000001194666679</v>
      </c>
      <c r="K731" s="128">
        <v>28050000</v>
      </c>
      <c r="L731" s="128">
        <f t="shared" si="194"/>
        <v>3005357</v>
      </c>
      <c r="M731" s="39">
        <v>1607143</v>
      </c>
      <c r="N731" s="128">
        <f t="shared" si="193"/>
        <v>1398214</v>
      </c>
      <c r="O731" s="129">
        <f t="shared" si="187"/>
        <v>559286</v>
      </c>
      <c r="P731" s="130" t="s">
        <v>606</v>
      </c>
      <c r="Q731" s="131">
        <v>3684</v>
      </c>
      <c r="R731" s="42">
        <f t="shared" si="181"/>
        <v>838928</v>
      </c>
      <c r="S731" s="131">
        <v>3685</v>
      </c>
      <c r="T731" s="131">
        <v>949</v>
      </c>
      <c r="U731" s="131">
        <v>1629</v>
      </c>
      <c r="V731" s="125" t="s">
        <v>261</v>
      </c>
      <c r="W731" s="132">
        <v>45401</v>
      </c>
      <c r="X731" s="133" t="s">
        <v>609</v>
      </c>
    </row>
    <row r="732" spans="1:24" s="123" customFormat="1" ht="17.45" customHeight="1" x14ac:dyDescent="0.25">
      <c r="A732" t="str">
        <f t="shared" si="190"/>
        <v>291090723145401412555975</v>
      </c>
      <c r="B732" s="6">
        <f t="shared" si="188"/>
        <v>45880</v>
      </c>
      <c r="C732" s="3">
        <f t="shared" si="189"/>
        <v>725275008</v>
      </c>
      <c r="D732" s="125">
        <v>2023</v>
      </c>
      <c r="E732" s="126">
        <v>2910907231</v>
      </c>
      <c r="F732" s="127" t="s">
        <v>410</v>
      </c>
      <c r="G732" s="128">
        <v>7055787001</v>
      </c>
      <c r="H732" s="128">
        <v>755977179</v>
      </c>
      <c r="I732" s="38">
        <f t="shared" si="195"/>
        <v>0.10714285718841246</v>
      </c>
      <c r="J732" s="38">
        <f t="shared" si="196"/>
        <v>0.12000000005714458</v>
      </c>
      <c r="K732" s="128">
        <v>3850522428</v>
      </c>
      <c r="L732" s="128">
        <f t="shared" si="194"/>
        <v>412555975</v>
      </c>
      <c r="M732" s="39">
        <v>360854052</v>
      </c>
      <c r="N732" s="128">
        <f t="shared" si="193"/>
        <v>51701923</v>
      </c>
      <c r="O732" s="129">
        <f t="shared" si="187"/>
        <v>20680769</v>
      </c>
      <c r="P732" s="130" t="s">
        <v>606</v>
      </c>
      <c r="Q732" s="131">
        <v>3680</v>
      </c>
      <c r="R732" s="42">
        <f t="shared" si="181"/>
        <v>31021154</v>
      </c>
      <c r="S732" s="131">
        <v>3681</v>
      </c>
      <c r="T732" s="131">
        <v>948</v>
      </c>
      <c r="U732" s="131">
        <v>1628</v>
      </c>
      <c r="V732" s="125" t="s">
        <v>261</v>
      </c>
      <c r="W732" s="132">
        <v>45401</v>
      </c>
      <c r="X732" s="133" t="s">
        <v>610</v>
      </c>
    </row>
    <row r="733" spans="1:24" s="123" customFormat="1" ht="17.45" customHeight="1" x14ac:dyDescent="0.25">
      <c r="A733" t="str">
        <f t="shared" si="190"/>
        <v>291090637045401431387296</v>
      </c>
      <c r="B733" s="6">
        <f t="shared" si="188"/>
        <v>45530</v>
      </c>
      <c r="C733" s="3">
        <f t="shared" si="189"/>
        <v>467234191.89532739</v>
      </c>
      <c r="D733" s="125">
        <v>2018</v>
      </c>
      <c r="E733" s="126">
        <v>2910906370</v>
      </c>
      <c r="F733" s="127" t="s">
        <v>74</v>
      </c>
      <c r="G733" s="128">
        <v>5033567040</v>
      </c>
      <c r="H733" s="128">
        <v>539310754</v>
      </c>
      <c r="I733" s="38">
        <v>0.10714285708609535</v>
      </c>
      <c r="J733" s="38">
        <v>0.11999999992879801</v>
      </c>
      <c r="K733" s="128">
        <v>4026281431</v>
      </c>
      <c r="L733" s="128">
        <f t="shared" si="194"/>
        <v>431387296</v>
      </c>
      <c r="M733" s="39">
        <v>421474590</v>
      </c>
      <c r="N733" s="128">
        <f t="shared" si="193"/>
        <v>9912706</v>
      </c>
      <c r="O733" s="129">
        <f t="shared" si="187"/>
        <v>3965082</v>
      </c>
      <c r="P733" s="130" t="s">
        <v>606</v>
      </c>
      <c r="Q733" s="131">
        <v>3674</v>
      </c>
      <c r="R733" s="42">
        <f t="shared" si="181"/>
        <v>5947624</v>
      </c>
      <c r="S733" s="131">
        <v>3675</v>
      </c>
      <c r="T733" s="131">
        <v>947</v>
      </c>
      <c r="U733" s="131">
        <v>1631</v>
      </c>
      <c r="V733" s="125" t="s">
        <v>261</v>
      </c>
      <c r="W733" s="132">
        <v>45401</v>
      </c>
      <c r="X733" s="133" t="s">
        <v>611</v>
      </c>
    </row>
    <row r="734" spans="1:24" s="123" customFormat="1" ht="17.45" customHeight="1" x14ac:dyDescent="0.25">
      <c r="A734" t="str">
        <f t="shared" si="190"/>
        <v>245301835045401764567529</v>
      </c>
      <c r="B734" s="6">
        <f t="shared" si="188"/>
        <v>45743</v>
      </c>
      <c r="C734" s="3">
        <f t="shared" si="189"/>
        <v>1344604499.9999998</v>
      </c>
      <c r="D734" s="125">
        <v>2023</v>
      </c>
      <c r="E734" s="126">
        <v>2453018350</v>
      </c>
      <c r="F734" s="127" t="s">
        <v>450</v>
      </c>
      <c r="G734" s="128">
        <v>16284654500</v>
      </c>
      <c r="H734" s="128">
        <v>1344604500</v>
      </c>
      <c r="I734" s="38">
        <f>+H734/G734</f>
        <v>8.2568807339449546E-2</v>
      </c>
      <c r="J734" s="38">
        <f>IFERROR((+H734/(G734-H734)),0)</f>
        <v>0.09</v>
      </c>
      <c r="K734" s="128">
        <v>9259762295</v>
      </c>
      <c r="L734" s="128">
        <f t="shared" si="194"/>
        <v>764567529</v>
      </c>
      <c r="M734" s="39">
        <v>738400986</v>
      </c>
      <c r="N734" s="128">
        <f t="shared" si="193"/>
        <v>26166543</v>
      </c>
      <c r="O734" s="129">
        <f t="shared" ref="O734:O765" si="197">ROUND((N734*40%),0)</f>
        <v>10466617</v>
      </c>
      <c r="P734" s="130" t="s">
        <v>606</v>
      </c>
      <c r="Q734" s="131">
        <v>3668</v>
      </c>
      <c r="R734" s="42">
        <f t="shared" si="181"/>
        <v>15699926</v>
      </c>
      <c r="S734" s="131">
        <v>3669</v>
      </c>
      <c r="T734" s="131">
        <v>944</v>
      </c>
      <c r="U734" s="131">
        <v>1626</v>
      </c>
      <c r="V734" s="125" t="s">
        <v>261</v>
      </c>
      <c r="W734" s="132">
        <v>45401</v>
      </c>
      <c r="X734" s="133" t="s">
        <v>451</v>
      </c>
    </row>
    <row r="735" spans="1:24" s="123" customFormat="1" ht="17.45" customHeight="1" x14ac:dyDescent="0.25">
      <c r="A735" t="str">
        <f t="shared" si="190"/>
        <v>245301834945401224976796</v>
      </c>
      <c r="B735" s="6">
        <f t="shared" si="188"/>
        <v>45433</v>
      </c>
      <c r="C735" s="3">
        <f t="shared" si="189"/>
        <v>275206500.04064482</v>
      </c>
      <c r="D735" s="125">
        <v>2023</v>
      </c>
      <c r="E735" s="126">
        <v>2453018349</v>
      </c>
      <c r="F735" s="127" t="s">
        <v>424</v>
      </c>
      <c r="G735" s="128">
        <v>2759044522</v>
      </c>
      <c r="H735" s="128">
        <v>295611913</v>
      </c>
      <c r="I735" s="38">
        <f>+H735/G735</f>
        <v>0.10714285711696826</v>
      </c>
      <c r="J735" s="38">
        <f>IFERROR((+H735/(G735-H735)),0)</f>
        <v>0.11999999996752499</v>
      </c>
      <c r="K735" s="128">
        <v>2099783430</v>
      </c>
      <c r="L735" s="128">
        <f t="shared" si="194"/>
        <v>224976796</v>
      </c>
      <c r="M735" s="39">
        <v>200302865</v>
      </c>
      <c r="N735" s="128">
        <f t="shared" si="193"/>
        <v>24673931</v>
      </c>
      <c r="O735" s="129">
        <f t="shared" si="197"/>
        <v>9869572</v>
      </c>
      <c r="P735" s="130" t="s">
        <v>606</v>
      </c>
      <c r="Q735" s="131">
        <v>3664</v>
      </c>
      <c r="R735" s="42">
        <f t="shared" si="181"/>
        <v>14804359</v>
      </c>
      <c r="S735" s="131">
        <v>3665</v>
      </c>
      <c r="T735" s="131">
        <v>943</v>
      </c>
      <c r="U735" s="131">
        <v>1625</v>
      </c>
      <c r="V735" s="125" t="s">
        <v>261</v>
      </c>
      <c r="W735" s="132">
        <v>45401</v>
      </c>
      <c r="X735" s="133" t="s">
        <v>425</v>
      </c>
    </row>
    <row r="736" spans="1:24" s="123" customFormat="1" ht="17.45" customHeight="1" x14ac:dyDescent="0.25">
      <c r="A736" t="str">
        <f t="shared" si="190"/>
        <v>245301835245401209922975</v>
      </c>
      <c r="B736" s="6">
        <f t="shared" si="188"/>
        <v>45531</v>
      </c>
      <c r="C736" s="3">
        <f t="shared" si="189"/>
        <v>218662504.66231647</v>
      </c>
      <c r="D736" s="125">
        <v>2023</v>
      </c>
      <c r="E736" s="126">
        <v>2453018352</v>
      </c>
      <c r="F736" s="127" t="s">
        <v>469</v>
      </c>
      <c r="G736" s="128">
        <v>5189063824</v>
      </c>
      <c r="H736" s="128">
        <v>261032799</v>
      </c>
      <c r="I736" s="38">
        <v>0.10714285748488657</v>
      </c>
      <c r="J736" s="38">
        <v>0.12000000042904171</v>
      </c>
      <c r="K736" s="128">
        <v>1959281092</v>
      </c>
      <c r="L736" s="128">
        <f t="shared" si="194"/>
        <v>209922975</v>
      </c>
      <c r="M736" s="39">
        <v>201440620</v>
      </c>
      <c r="N736" s="128">
        <f t="shared" si="193"/>
        <v>8482355</v>
      </c>
      <c r="O736" s="129">
        <f t="shared" si="197"/>
        <v>3392942</v>
      </c>
      <c r="P736" s="130" t="s">
        <v>606</v>
      </c>
      <c r="Q736" s="131">
        <v>3670</v>
      </c>
      <c r="R736" s="42">
        <f t="shared" si="181"/>
        <v>5089413</v>
      </c>
      <c r="S736" s="131">
        <v>3671</v>
      </c>
      <c r="T736" s="131">
        <v>945</v>
      </c>
      <c r="U736" s="131">
        <v>1627</v>
      </c>
      <c r="V736" s="125" t="s">
        <v>261</v>
      </c>
      <c r="W736" s="132">
        <v>45401</v>
      </c>
      <c r="X736" s="133" t="s">
        <v>470</v>
      </c>
    </row>
    <row r="737" spans="1:24" s="123" customFormat="1" ht="17.45" customHeight="1" x14ac:dyDescent="0.25">
      <c r="A737" t="str">
        <f t="shared" si="190"/>
        <v>24530183554540141918136</v>
      </c>
      <c r="B737" s="6">
        <f t="shared" si="188"/>
        <v>45587</v>
      </c>
      <c r="C737" s="3">
        <f t="shared" si="189"/>
        <v>131411371.46442096</v>
      </c>
      <c r="D737" s="125">
        <v>2023</v>
      </c>
      <c r="E737" s="126">
        <v>2453018355</v>
      </c>
      <c r="F737" s="127" t="s">
        <v>598</v>
      </c>
      <c r="G737" s="128">
        <v>1960924800</v>
      </c>
      <c r="H737" s="128">
        <v>210099086</v>
      </c>
      <c r="I737" s="38">
        <v>0.10714285748488657</v>
      </c>
      <c r="J737" s="38">
        <v>0.12000000042904171</v>
      </c>
      <c r="K737" s="128">
        <v>391235933</v>
      </c>
      <c r="L737" s="128">
        <f t="shared" si="194"/>
        <v>41918136</v>
      </c>
      <c r="M737" s="39">
        <v>14545297</v>
      </c>
      <c r="N737" s="128">
        <f t="shared" si="193"/>
        <v>27372839</v>
      </c>
      <c r="O737" s="129">
        <f t="shared" si="197"/>
        <v>10949136</v>
      </c>
      <c r="P737" s="130" t="s">
        <v>606</v>
      </c>
      <c r="Q737" s="131">
        <v>3672</v>
      </c>
      <c r="R737" s="42">
        <f t="shared" si="181"/>
        <v>16423703</v>
      </c>
      <c r="S737" s="131">
        <v>3673</v>
      </c>
      <c r="T737" s="131">
        <v>946</v>
      </c>
      <c r="U737" s="131">
        <v>1630</v>
      </c>
      <c r="V737" s="125" t="s">
        <v>261</v>
      </c>
      <c r="W737" s="132">
        <v>45401</v>
      </c>
      <c r="X737" s="133" t="s">
        <v>425</v>
      </c>
    </row>
    <row r="738" spans="1:24" s="123" customFormat="1" ht="17.45" customHeight="1" x14ac:dyDescent="0.25">
      <c r="A738" t="str">
        <f t="shared" si="190"/>
        <v>245301834845401107667088</v>
      </c>
      <c r="B738" s="6">
        <f t="shared" si="188"/>
        <v>45553</v>
      </c>
      <c r="C738" s="3">
        <f t="shared" si="189"/>
        <v>250867949.19596934</v>
      </c>
      <c r="D738" s="125">
        <v>2023</v>
      </c>
      <c r="E738" s="126">
        <v>2453018348</v>
      </c>
      <c r="F738" s="127" t="s">
        <v>426</v>
      </c>
      <c r="G738" s="128">
        <v>3652668243</v>
      </c>
      <c r="H738" s="128">
        <v>391357312</v>
      </c>
      <c r="I738" s="38">
        <f t="shared" ref="I738:I745" si="198">+H738/G738</f>
        <v>0.10714285721130026</v>
      </c>
      <c r="J738" s="38">
        <f t="shared" ref="J738:J747" si="199">IFERROR((+H738/(G738-H738)),0)</f>
        <v>0.12000000008585504</v>
      </c>
      <c r="K738" s="128">
        <v>1004892818</v>
      </c>
      <c r="L738" s="128">
        <f t="shared" si="194"/>
        <v>107667088</v>
      </c>
      <c r="M738" s="39">
        <v>89997708</v>
      </c>
      <c r="N738" s="128">
        <f t="shared" si="193"/>
        <v>17669380</v>
      </c>
      <c r="O738" s="129">
        <f t="shared" si="197"/>
        <v>7067752</v>
      </c>
      <c r="P738" s="130" t="s">
        <v>606</v>
      </c>
      <c r="Q738" s="131">
        <v>3662</v>
      </c>
      <c r="R738" s="42">
        <f t="shared" ref="R738:R797" si="200">+N738-O738</f>
        <v>10601628</v>
      </c>
      <c r="S738" s="131">
        <v>3663</v>
      </c>
      <c r="T738" s="131">
        <v>942</v>
      </c>
      <c r="U738" s="131">
        <v>1624</v>
      </c>
      <c r="V738" s="125" t="s">
        <v>261</v>
      </c>
      <c r="W738" s="132">
        <v>45401</v>
      </c>
      <c r="X738" s="133" t="s">
        <v>425</v>
      </c>
    </row>
    <row r="739" spans="1:24" s="123" customFormat="1" ht="17.45" customHeight="1" x14ac:dyDescent="0.25">
      <c r="A739" t="str">
        <f t="shared" si="190"/>
        <v>245301834045401683796613</v>
      </c>
      <c r="B739" s="6">
        <f t="shared" si="188"/>
        <v>45524</v>
      </c>
      <c r="C739" s="3">
        <f t="shared" si="189"/>
        <v>750720353.98835123</v>
      </c>
      <c r="D739" s="125">
        <v>2022</v>
      </c>
      <c r="E739" s="126">
        <v>2453018340</v>
      </c>
      <c r="F739" s="127" t="s">
        <v>320</v>
      </c>
      <c r="G739" s="128">
        <v>7253407050</v>
      </c>
      <c r="H739" s="128">
        <v>774054537</v>
      </c>
      <c r="I739" s="38">
        <f t="shared" si="198"/>
        <v>0.10671599314145758</v>
      </c>
      <c r="J739" s="38">
        <f t="shared" si="199"/>
        <v>0.11946479767028537</v>
      </c>
      <c r="K739" s="128">
        <v>6407630131</v>
      </c>
      <c r="L739" s="128">
        <f t="shared" si="194"/>
        <v>683796613</v>
      </c>
      <c r="M739" s="39">
        <v>672934300</v>
      </c>
      <c r="N739" s="128">
        <f t="shared" si="193"/>
        <v>10862313</v>
      </c>
      <c r="O739" s="129">
        <f t="shared" si="197"/>
        <v>4344925</v>
      </c>
      <c r="P739" s="130" t="s">
        <v>606</v>
      </c>
      <c r="Q739" s="131">
        <v>3658</v>
      </c>
      <c r="R739" s="42">
        <f t="shared" si="200"/>
        <v>6517388</v>
      </c>
      <c r="S739" s="131">
        <v>3659</v>
      </c>
      <c r="T739" s="131">
        <v>941</v>
      </c>
      <c r="U739" s="131">
        <v>1623</v>
      </c>
      <c r="V739" s="125" t="s">
        <v>261</v>
      </c>
      <c r="W739" s="132">
        <v>45401</v>
      </c>
      <c r="X739" s="133" t="s">
        <v>425</v>
      </c>
    </row>
    <row r="740" spans="1:24" s="123" customFormat="1" ht="17.45" customHeight="1" x14ac:dyDescent="0.25">
      <c r="A740" t="str">
        <f t="shared" si="190"/>
        <v>24530134034540410714286</v>
      </c>
      <c r="B740" s="6">
        <f t="shared" si="188"/>
        <v>45404</v>
      </c>
      <c r="C740" s="3">
        <f t="shared" si="189"/>
        <v>10714286</v>
      </c>
      <c r="D740" s="125">
        <v>2016</v>
      </c>
      <c r="E740" s="126">
        <v>2453013403</v>
      </c>
      <c r="F740" s="127" t="s">
        <v>612</v>
      </c>
      <c r="G740" s="128">
        <v>100000000</v>
      </c>
      <c r="H740" s="128">
        <v>10714286</v>
      </c>
      <c r="I740" s="38">
        <f t="shared" si="198"/>
        <v>0.10714286000000001</v>
      </c>
      <c r="J740" s="38">
        <f t="shared" si="199"/>
        <v>0.12000000358400001</v>
      </c>
      <c r="K740" s="128">
        <v>100000000</v>
      </c>
      <c r="L740" s="128">
        <f t="shared" si="194"/>
        <v>10714286</v>
      </c>
      <c r="M740" s="39">
        <v>10125000</v>
      </c>
      <c r="N740" s="128">
        <f t="shared" si="193"/>
        <v>589286</v>
      </c>
      <c r="O740" s="129">
        <f t="shared" si="197"/>
        <v>235714</v>
      </c>
      <c r="P740" s="130" t="s">
        <v>606</v>
      </c>
      <c r="Q740" s="131">
        <v>3571</v>
      </c>
      <c r="R740" s="42">
        <f t="shared" si="200"/>
        <v>353572</v>
      </c>
      <c r="S740" s="131">
        <v>352</v>
      </c>
      <c r="T740" s="131">
        <v>914</v>
      </c>
      <c r="U740" s="131">
        <v>1608</v>
      </c>
      <c r="V740" s="125" t="s">
        <v>261</v>
      </c>
      <c r="W740" s="132">
        <v>45404</v>
      </c>
      <c r="X740" s="133" t="s">
        <v>613</v>
      </c>
    </row>
    <row r="741" spans="1:24" s="123" customFormat="1" ht="17.45" customHeight="1" x14ac:dyDescent="0.25">
      <c r="A741" t="str">
        <f t="shared" si="190"/>
        <v>291090730545404351127659</v>
      </c>
      <c r="B741" s="6">
        <f t="shared" si="188"/>
        <v>45639</v>
      </c>
      <c r="C741" s="3">
        <f t="shared" si="189"/>
        <v>1657912075.6085422</v>
      </c>
      <c r="D741" s="125">
        <v>2024</v>
      </c>
      <c r="E741" s="126">
        <v>2910907305</v>
      </c>
      <c r="F741" s="127" t="s">
        <v>602</v>
      </c>
      <c r="G741" s="128">
        <v>16023830031</v>
      </c>
      <c r="H741" s="128">
        <v>1716840708</v>
      </c>
      <c r="I741" s="38">
        <f t="shared" si="198"/>
        <v>0.10714296798446864</v>
      </c>
      <c r="J741" s="38">
        <f t="shared" si="199"/>
        <v>0.12000013903973471</v>
      </c>
      <c r="K741" s="128">
        <v>3277188094.3000002</v>
      </c>
      <c r="L741" s="128">
        <f t="shared" si="194"/>
        <v>351127659</v>
      </c>
      <c r="M741" s="39">
        <f>L723</f>
        <v>197861366</v>
      </c>
      <c r="N741" s="128">
        <f t="shared" si="193"/>
        <v>153266293</v>
      </c>
      <c r="O741" s="129">
        <f t="shared" si="197"/>
        <v>61306517</v>
      </c>
      <c r="P741" s="130" t="s">
        <v>606</v>
      </c>
      <c r="Q741" s="131">
        <v>3688</v>
      </c>
      <c r="R741" s="42">
        <f t="shared" si="200"/>
        <v>91959776</v>
      </c>
      <c r="S741" s="131">
        <v>3689</v>
      </c>
      <c r="T741" s="131">
        <v>951</v>
      </c>
      <c r="U741" s="131">
        <v>1632</v>
      </c>
      <c r="V741" s="125" t="s">
        <v>261</v>
      </c>
      <c r="W741" s="132">
        <v>45404</v>
      </c>
      <c r="X741" s="133" t="s">
        <v>614</v>
      </c>
    </row>
    <row r="742" spans="1:24" s="123" customFormat="1" ht="17.45" customHeight="1" x14ac:dyDescent="0.25">
      <c r="A742" t="str">
        <f t="shared" si="190"/>
        <v>245301834945405243813505</v>
      </c>
      <c r="B742" s="6">
        <f t="shared" si="188"/>
        <v>45433</v>
      </c>
      <c r="C742" s="3">
        <f t="shared" si="189"/>
        <v>275206500.04064482</v>
      </c>
      <c r="D742" s="125">
        <v>2023</v>
      </c>
      <c r="E742" s="126">
        <v>2453018349</v>
      </c>
      <c r="F742" s="127" t="s">
        <v>424</v>
      </c>
      <c r="G742" s="128">
        <v>2759044522</v>
      </c>
      <c r="H742" s="128">
        <v>295611913</v>
      </c>
      <c r="I742" s="38">
        <f t="shared" si="198"/>
        <v>0.10714285711696826</v>
      </c>
      <c r="J742" s="38">
        <f t="shared" si="199"/>
        <v>0.11999999996752499</v>
      </c>
      <c r="K742" s="128">
        <v>2275592713</v>
      </c>
      <c r="L742" s="128">
        <f t="shared" si="194"/>
        <v>243813505</v>
      </c>
      <c r="M742" s="39">
        <f>L735</f>
        <v>224976796</v>
      </c>
      <c r="N742" s="128">
        <f t="shared" si="193"/>
        <v>18836709</v>
      </c>
      <c r="O742" s="129">
        <f t="shared" si="197"/>
        <v>7534684</v>
      </c>
      <c r="P742" s="130" t="s">
        <v>606</v>
      </c>
      <c r="Q742" s="131">
        <v>3666</v>
      </c>
      <c r="R742" s="42">
        <f t="shared" si="200"/>
        <v>11302025</v>
      </c>
      <c r="S742" s="131">
        <v>3667</v>
      </c>
      <c r="T742" s="131">
        <v>959</v>
      </c>
      <c r="U742" s="131">
        <v>1634</v>
      </c>
      <c r="V742" s="125" t="s">
        <v>261</v>
      </c>
      <c r="W742" s="132">
        <v>45405</v>
      </c>
      <c r="X742" s="133" t="s">
        <v>425</v>
      </c>
    </row>
    <row r="743" spans="1:24" s="123" customFormat="1" ht="17.45" customHeight="1" x14ac:dyDescent="0.25">
      <c r="A743" t="str">
        <f t="shared" si="190"/>
        <v>245301834745405114803582</v>
      </c>
      <c r="B743" s="6">
        <f t="shared" si="188"/>
        <v>45730</v>
      </c>
      <c r="C743" s="3">
        <f t="shared" si="189"/>
        <v>227416985.11999634</v>
      </c>
      <c r="D743" s="125">
        <v>2023</v>
      </c>
      <c r="E743" s="126">
        <v>2453018347</v>
      </c>
      <c r="F743" s="127" t="s">
        <v>391</v>
      </c>
      <c r="G743" s="128">
        <v>1778543757</v>
      </c>
      <c r="H743" s="128">
        <v>213425250</v>
      </c>
      <c r="I743" s="38">
        <f t="shared" si="198"/>
        <v>0.1199999995277035</v>
      </c>
      <c r="J743" s="38">
        <f t="shared" si="199"/>
        <v>0.13636363575374935</v>
      </c>
      <c r="K743" s="128">
        <v>956696517</v>
      </c>
      <c r="L743" s="128">
        <f t="shared" si="194"/>
        <v>114803582</v>
      </c>
      <c r="M743" s="39">
        <f>L695</f>
        <v>102809946</v>
      </c>
      <c r="N743" s="128">
        <f t="shared" si="193"/>
        <v>11993636</v>
      </c>
      <c r="O743" s="129">
        <f t="shared" si="197"/>
        <v>4797454</v>
      </c>
      <c r="P743" s="130" t="s">
        <v>606</v>
      </c>
      <c r="Q743" s="131">
        <v>3660</v>
      </c>
      <c r="R743" s="42">
        <f t="shared" si="200"/>
        <v>7196182</v>
      </c>
      <c r="S743" s="131">
        <v>3661</v>
      </c>
      <c r="T743" s="131">
        <v>958</v>
      </c>
      <c r="U743" s="131">
        <v>1633</v>
      </c>
      <c r="V743" s="125" t="s">
        <v>261</v>
      </c>
      <c r="W743" s="132">
        <v>45405</v>
      </c>
      <c r="X743" s="133" t="s">
        <v>471</v>
      </c>
    </row>
    <row r="744" spans="1:24" s="123" customFormat="1" ht="17.45" customHeight="1" x14ac:dyDescent="0.25">
      <c r="A744" t="str">
        <f t="shared" si="190"/>
        <v>2910907242454054285714</v>
      </c>
      <c r="B744" s="6">
        <f t="shared" si="188"/>
        <v>45405</v>
      </c>
      <c r="C744" s="3">
        <f t="shared" si="189"/>
        <v>4285714</v>
      </c>
      <c r="D744" s="125">
        <v>2023</v>
      </c>
      <c r="E744" s="126">
        <v>2910907242</v>
      </c>
      <c r="F744" s="127" t="s">
        <v>615</v>
      </c>
      <c r="G744" s="128">
        <v>40000000</v>
      </c>
      <c r="H744" s="128">
        <v>4285714</v>
      </c>
      <c r="I744" s="38">
        <f t="shared" si="198"/>
        <v>0.10714285</v>
      </c>
      <c r="J744" s="38">
        <f t="shared" si="199"/>
        <v>0.11999999104000007</v>
      </c>
      <c r="K744" s="128">
        <v>40000000</v>
      </c>
      <c r="L744" s="128">
        <f t="shared" si="194"/>
        <v>4285714</v>
      </c>
      <c r="M744" s="39">
        <v>0</v>
      </c>
      <c r="N744" s="128">
        <f t="shared" si="193"/>
        <v>4285714</v>
      </c>
      <c r="O744" s="129">
        <f t="shared" si="197"/>
        <v>1714286</v>
      </c>
      <c r="P744" s="130" t="s">
        <v>606</v>
      </c>
      <c r="Q744" s="131">
        <v>3682</v>
      </c>
      <c r="R744" s="42">
        <f t="shared" si="200"/>
        <v>2571428</v>
      </c>
      <c r="S744" s="131">
        <v>3683</v>
      </c>
      <c r="T744" s="131">
        <v>960</v>
      </c>
      <c r="U744" s="131">
        <v>1635</v>
      </c>
      <c r="V744" s="125" t="s">
        <v>261</v>
      </c>
      <c r="W744" s="132">
        <v>45405</v>
      </c>
      <c r="X744" s="133" t="s">
        <v>616</v>
      </c>
    </row>
    <row r="745" spans="1:24" s="123" customFormat="1" ht="17.45" customHeight="1" x14ac:dyDescent="0.25">
      <c r="A745" t="str">
        <f t="shared" si="190"/>
        <v>2910907301454054285714</v>
      </c>
      <c r="B745" s="6">
        <f t="shared" si="188"/>
        <v>45405</v>
      </c>
      <c r="C745" s="3">
        <f t="shared" si="189"/>
        <v>4285714</v>
      </c>
      <c r="D745" s="125">
        <v>2023</v>
      </c>
      <c r="E745" s="126">
        <v>2910907301</v>
      </c>
      <c r="F745" s="127" t="s">
        <v>617</v>
      </c>
      <c r="G745" s="128">
        <v>40000000</v>
      </c>
      <c r="H745" s="128">
        <v>4285714</v>
      </c>
      <c r="I745" s="38">
        <f t="shared" si="198"/>
        <v>0.10714285</v>
      </c>
      <c r="J745" s="38">
        <f t="shared" si="199"/>
        <v>0.11999999104000007</v>
      </c>
      <c r="K745" s="128">
        <v>40000000</v>
      </c>
      <c r="L745" s="128">
        <f t="shared" si="194"/>
        <v>4285714</v>
      </c>
      <c r="M745" s="39">
        <v>0</v>
      </c>
      <c r="N745" s="128">
        <f t="shared" si="193"/>
        <v>4285714</v>
      </c>
      <c r="O745" s="129">
        <f t="shared" si="197"/>
        <v>1714286</v>
      </c>
      <c r="P745" s="130" t="s">
        <v>606</v>
      </c>
      <c r="Q745" s="131">
        <v>3686</v>
      </c>
      <c r="R745" s="42">
        <f t="shared" si="200"/>
        <v>2571428</v>
      </c>
      <c r="S745" s="131">
        <v>3687</v>
      </c>
      <c r="T745" s="131">
        <v>961</v>
      </c>
      <c r="U745" s="131">
        <v>1636</v>
      </c>
      <c r="V745" s="125" t="s">
        <v>261</v>
      </c>
      <c r="W745" s="132">
        <v>45405</v>
      </c>
      <c r="X745" s="133" t="s">
        <v>618</v>
      </c>
    </row>
    <row r="746" spans="1:24" s="123" customFormat="1" ht="17.45" customHeight="1" x14ac:dyDescent="0.25">
      <c r="A746" t="str">
        <f t="shared" si="190"/>
        <v>245301835045433857666556,66055</v>
      </c>
      <c r="B746" s="6">
        <f t="shared" si="188"/>
        <v>45743</v>
      </c>
      <c r="C746" s="3">
        <f t="shared" si="189"/>
        <v>1344604499.9999998</v>
      </c>
      <c r="D746" s="125">
        <v>2023</v>
      </c>
      <c r="E746" s="126">
        <v>2453018350</v>
      </c>
      <c r="F746" s="127" t="s">
        <v>450</v>
      </c>
      <c r="G746" s="128">
        <v>16284654500</v>
      </c>
      <c r="H746" s="128">
        <v>1344604500</v>
      </c>
      <c r="I746" s="38"/>
      <c r="J746" s="38">
        <f t="shared" si="199"/>
        <v>0.09</v>
      </c>
      <c r="K746" s="128">
        <v>10387294964</v>
      </c>
      <c r="L746" s="128">
        <f>+K746/(1+$J$746)*$J$746</f>
        <v>857666556.66055036</v>
      </c>
      <c r="M746" s="39">
        <v>764567529</v>
      </c>
      <c r="N746" s="128">
        <f t="shared" si="193"/>
        <v>93099027.660550356</v>
      </c>
      <c r="O746" s="129">
        <f t="shared" si="197"/>
        <v>37239611</v>
      </c>
      <c r="P746" s="130" t="s">
        <v>606</v>
      </c>
      <c r="Q746" s="131">
        <v>5136</v>
      </c>
      <c r="R746" s="42">
        <f t="shared" si="200"/>
        <v>55859416.660550356</v>
      </c>
      <c r="S746" s="131">
        <v>5137</v>
      </c>
      <c r="T746" s="131">
        <v>1243</v>
      </c>
      <c r="U746" s="131">
        <v>2022</v>
      </c>
      <c r="V746" s="125" t="s">
        <v>261</v>
      </c>
      <c r="W746" s="132">
        <v>45433</v>
      </c>
      <c r="X746" s="133" t="s">
        <v>451</v>
      </c>
    </row>
    <row r="747" spans="1:24" s="123" customFormat="1" ht="17.45" customHeight="1" x14ac:dyDescent="0.25">
      <c r="A747" t="str">
        <f t="shared" si="190"/>
        <v>245301835145433128964400,143615</v>
      </c>
      <c r="B747" s="6">
        <f t="shared" si="188"/>
        <v>45433</v>
      </c>
      <c r="C747" s="3">
        <f t="shared" si="189"/>
        <v>128964400.14361468</v>
      </c>
      <c r="D747" s="125">
        <v>2023</v>
      </c>
      <c r="E747" s="126">
        <v>2453018351</v>
      </c>
      <c r="F747" s="127" t="s">
        <v>430</v>
      </c>
      <c r="G747" s="128">
        <v>1229752235</v>
      </c>
      <c r="H747" s="128">
        <v>131759168</v>
      </c>
      <c r="I747" s="38"/>
      <c r="J747" s="38">
        <f t="shared" si="199"/>
        <v>0.1199999999635699</v>
      </c>
      <c r="K747" s="128">
        <v>1203667735</v>
      </c>
      <c r="L747" s="128">
        <f>+K747/(1+$J$747)*$J$747</f>
        <v>128964400.14361468</v>
      </c>
      <c r="M747" s="39">
        <f>L710</f>
        <v>127263603</v>
      </c>
      <c r="N747" s="128">
        <f t="shared" si="193"/>
        <v>1700797.1436146796</v>
      </c>
      <c r="O747" s="129">
        <f t="shared" si="197"/>
        <v>680319</v>
      </c>
      <c r="P747" s="130" t="s">
        <v>606</v>
      </c>
      <c r="Q747" s="131">
        <v>5138</v>
      </c>
      <c r="R747" s="42">
        <f t="shared" si="200"/>
        <v>1020478.1436146796</v>
      </c>
      <c r="S747" s="131">
        <v>5139</v>
      </c>
      <c r="T747" s="131">
        <v>1244</v>
      </c>
      <c r="U747" s="131">
        <v>2023</v>
      </c>
      <c r="V747" s="125" t="s">
        <v>261</v>
      </c>
      <c r="W747" s="132">
        <v>45433</v>
      </c>
      <c r="X747" s="133" t="s">
        <v>425</v>
      </c>
    </row>
    <row r="748" spans="1:24" s="123" customFormat="1" ht="17.45" customHeight="1" x14ac:dyDescent="0.25">
      <c r="A748" t="str">
        <f t="shared" si="190"/>
        <v>245301835245433211827873,140498</v>
      </c>
      <c r="B748" s="6">
        <f t="shared" si="188"/>
        <v>45531</v>
      </c>
      <c r="C748" s="3">
        <f t="shared" si="189"/>
        <v>218662504.66231647</v>
      </c>
      <c r="D748" s="125">
        <v>2023</v>
      </c>
      <c r="E748" s="126">
        <v>2453018352</v>
      </c>
      <c r="F748" s="127" t="s">
        <v>469</v>
      </c>
      <c r="G748" s="128">
        <v>5189063824</v>
      </c>
      <c r="H748" s="128">
        <v>261032799</v>
      </c>
      <c r="I748" s="38"/>
      <c r="J748" s="38">
        <v>0.12000000042904171</v>
      </c>
      <c r="K748" s="128">
        <v>1977060143</v>
      </c>
      <c r="L748" s="128">
        <f>+K748/(1+$J$748)*$J$748</f>
        <v>211827873.14049843</v>
      </c>
      <c r="M748" s="39">
        <v>209922975</v>
      </c>
      <c r="N748" s="128">
        <f t="shared" si="193"/>
        <v>1904898.1404984295</v>
      </c>
      <c r="O748" s="129">
        <f t="shared" si="197"/>
        <v>761959</v>
      </c>
      <c r="P748" s="130" t="s">
        <v>606</v>
      </c>
      <c r="Q748" s="131">
        <v>5140</v>
      </c>
      <c r="R748" s="42">
        <f t="shared" si="200"/>
        <v>1142939.1404984295</v>
      </c>
      <c r="S748" s="131">
        <v>5141</v>
      </c>
      <c r="T748" s="131">
        <v>1245</v>
      </c>
      <c r="U748" s="131">
        <v>2024</v>
      </c>
      <c r="V748" s="125" t="s">
        <v>261</v>
      </c>
      <c r="W748" s="132">
        <v>45433</v>
      </c>
      <c r="X748" s="133" t="s">
        <v>470</v>
      </c>
    </row>
    <row r="749" spans="1:24" s="123" customFormat="1" ht="17.45" customHeight="1" x14ac:dyDescent="0.25">
      <c r="A749" t="str">
        <f t="shared" si="190"/>
        <v>2453018353454335755178,57142857</v>
      </c>
      <c r="B749" s="6">
        <f t="shared" si="188"/>
        <v>45441</v>
      </c>
      <c r="C749" s="3">
        <f t="shared" si="189"/>
        <v>7499999.9999999991</v>
      </c>
      <c r="D749" s="125">
        <v>2023</v>
      </c>
      <c r="E749" s="126">
        <v>2453018353</v>
      </c>
      <c r="F749" s="127" t="s">
        <v>619</v>
      </c>
      <c r="G749" s="128">
        <v>70000000</v>
      </c>
      <c r="H749" s="128">
        <v>7500000</v>
      </c>
      <c r="I749" s="38"/>
      <c r="J749" s="38">
        <f t="shared" ref="J749:J787" si="201">IFERROR((+H749/(G749-H749)),0)</f>
        <v>0.12</v>
      </c>
      <c r="K749" s="128">
        <v>53715000</v>
      </c>
      <c r="L749" s="128">
        <f>+K749/(1+$J$749)*$J$749</f>
        <v>5755178.5714285709</v>
      </c>
      <c r="M749" s="39">
        <v>0</v>
      </c>
      <c r="N749" s="128">
        <f t="shared" si="193"/>
        <v>5755178.5714285709</v>
      </c>
      <c r="O749" s="129">
        <f t="shared" si="197"/>
        <v>2302071</v>
      </c>
      <c r="P749" s="130" t="s">
        <v>606</v>
      </c>
      <c r="Q749" s="131">
        <v>5142</v>
      </c>
      <c r="R749" s="42">
        <f t="shared" si="200"/>
        <v>3453107.5714285709</v>
      </c>
      <c r="S749" s="131">
        <v>5143</v>
      </c>
      <c r="T749" s="131">
        <v>1289</v>
      </c>
      <c r="U749" s="131">
        <v>2080</v>
      </c>
      <c r="V749" s="125" t="s">
        <v>261</v>
      </c>
      <c r="W749" s="132">
        <v>45433</v>
      </c>
      <c r="X749" s="133" t="s">
        <v>425</v>
      </c>
    </row>
    <row r="750" spans="1:24" s="123" customFormat="1" ht="17.45" customHeight="1" x14ac:dyDescent="0.25">
      <c r="A750" t="str">
        <f t="shared" si="190"/>
        <v>24530183554543361329343,4762591</v>
      </c>
      <c r="B750" s="6">
        <f t="shared" si="188"/>
        <v>45587</v>
      </c>
      <c r="C750" s="3">
        <f t="shared" si="189"/>
        <v>131411371.46442096</v>
      </c>
      <c r="D750" s="125">
        <v>2023</v>
      </c>
      <c r="E750" s="126">
        <v>2453018355</v>
      </c>
      <c r="F750" s="127" t="s">
        <v>598</v>
      </c>
      <c r="G750" s="128">
        <v>1960924800</v>
      </c>
      <c r="H750" s="128">
        <v>210099086</v>
      </c>
      <c r="I750" s="38"/>
      <c r="J750" s="38">
        <f t="shared" si="201"/>
        <v>0.12000000018277091</v>
      </c>
      <c r="K750" s="128">
        <v>572407205</v>
      </c>
      <c r="L750" s="128">
        <f t="shared" ref="L750:L771" si="202">+K750/(1+J750)*J750</f>
        <v>61329343.476259075</v>
      </c>
      <c r="M750" s="39">
        <f>L737</f>
        <v>41918136</v>
      </c>
      <c r="N750" s="128">
        <f t="shared" si="193"/>
        <v>19411207.476259075</v>
      </c>
      <c r="O750" s="129">
        <f t="shared" si="197"/>
        <v>7764483</v>
      </c>
      <c r="P750" s="130" t="s">
        <v>606</v>
      </c>
      <c r="Q750" s="131">
        <v>5144</v>
      </c>
      <c r="R750" s="42">
        <f t="shared" si="200"/>
        <v>11646724.476259075</v>
      </c>
      <c r="S750" s="131">
        <v>5145</v>
      </c>
      <c r="T750" s="131">
        <v>1247</v>
      </c>
      <c r="U750" s="131">
        <v>2027</v>
      </c>
      <c r="V750" s="125" t="s">
        <v>261</v>
      </c>
      <c r="W750" s="132">
        <v>45433</v>
      </c>
      <c r="X750" s="133" t="s">
        <v>425</v>
      </c>
    </row>
    <row r="751" spans="1:24" s="123" customFormat="1" ht="17.45" customHeight="1" x14ac:dyDescent="0.25">
      <c r="A751" t="str">
        <f t="shared" si="190"/>
        <v>2453018360454332658117,12419695</v>
      </c>
      <c r="B751" s="6">
        <f t="shared" si="188"/>
        <v>45730</v>
      </c>
      <c r="C751" s="3">
        <f t="shared" si="189"/>
        <v>36391063.840622641</v>
      </c>
      <c r="D751" s="125">
        <v>2023</v>
      </c>
      <c r="E751" s="126">
        <v>2453018360</v>
      </c>
      <c r="F751" s="127" t="s">
        <v>620</v>
      </c>
      <c r="G751" s="128">
        <v>623455500</v>
      </c>
      <c r="H751" s="128">
        <v>66798804</v>
      </c>
      <c r="I751" s="38"/>
      <c r="J751" s="38">
        <f t="shared" si="201"/>
        <v>0.12000000086229089</v>
      </c>
      <c r="K751" s="128">
        <v>24809093</v>
      </c>
      <c r="L751" s="128">
        <f t="shared" si="202"/>
        <v>2658117.1241969508</v>
      </c>
      <c r="M751" s="39">
        <v>0</v>
      </c>
      <c r="N751" s="128">
        <f t="shared" ref="N751:N775" si="203">+L751-M751</f>
        <v>2658117.1241969508</v>
      </c>
      <c r="O751" s="129">
        <f t="shared" si="197"/>
        <v>1063247</v>
      </c>
      <c r="P751" s="130" t="s">
        <v>606</v>
      </c>
      <c r="Q751" s="131">
        <v>5146</v>
      </c>
      <c r="R751" s="42">
        <f t="shared" si="200"/>
        <v>1594870.1241969508</v>
      </c>
      <c r="S751" s="131">
        <v>5147</v>
      </c>
      <c r="T751" s="131">
        <v>1248</v>
      </c>
      <c r="U751" s="131">
        <v>2028</v>
      </c>
      <c r="V751" s="125" t="s">
        <v>261</v>
      </c>
      <c r="W751" s="132">
        <v>45433</v>
      </c>
      <c r="X751" s="133" t="s">
        <v>425</v>
      </c>
    </row>
    <row r="752" spans="1:24" s="123" customFormat="1" ht="17.45" customHeight="1" x14ac:dyDescent="0.25">
      <c r="A752" t="str">
        <f t="shared" si="190"/>
        <v>2453018362454334289093,68431727</v>
      </c>
      <c r="B752" s="6">
        <f t="shared" si="188"/>
        <v>45531</v>
      </c>
      <c r="C752" s="3">
        <f t="shared" si="189"/>
        <v>6042857</v>
      </c>
      <c r="D752" s="125">
        <v>2023</v>
      </c>
      <c r="E752" s="126">
        <v>2453018362</v>
      </c>
      <c r="F752" s="127" t="s">
        <v>621</v>
      </c>
      <c r="G752" s="128">
        <v>56400000</v>
      </c>
      <c r="H752" s="128">
        <v>6042857</v>
      </c>
      <c r="I752" s="38"/>
      <c r="J752" s="38">
        <f t="shared" si="201"/>
        <v>0.11999999682269505</v>
      </c>
      <c r="K752" s="128">
        <v>40031542</v>
      </c>
      <c r="L752" s="128">
        <f t="shared" si="202"/>
        <v>4289093.6843172694</v>
      </c>
      <c r="M752" s="39">
        <v>0</v>
      </c>
      <c r="N752" s="128">
        <f t="shared" si="203"/>
        <v>4289093.6843172694</v>
      </c>
      <c r="O752" s="129">
        <f t="shared" si="197"/>
        <v>1715637</v>
      </c>
      <c r="P752" s="130" t="s">
        <v>606</v>
      </c>
      <c r="Q752" s="131">
        <v>5148</v>
      </c>
      <c r="R752" s="42">
        <f t="shared" si="200"/>
        <v>2573456.6843172694</v>
      </c>
      <c r="S752" s="131">
        <v>5149</v>
      </c>
      <c r="T752" s="131">
        <v>1249</v>
      </c>
      <c r="U752" s="131">
        <v>2029</v>
      </c>
      <c r="V752" s="125" t="s">
        <v>261</v>
      </c>
      <c r="W752" s="132">
        <v>45433</v>
      </c>
      <c r="X752" s="133" t="s">
        <v>425</v>
      </c>
    </row>
    <row r="753" spans="1:24" s="123" customFormat="1" ht="17.45" customHeight="1" x14ac:dyDescent="0.25">
      <c r="A753" t="str">
        <f t="shared" si="190"/>
        <v>245301834945433275206500,040645</v>
      </c>
      <c r="B753" s="6">
        <f t="shared" si="188"/>
        <v>45433</v>
      </c>
      <c r="C753" s="3">
        <f t="shared" si="189"/>
        <v>275206500.04064482</v>
      </c>
      <c r="D753" s="125">
        <v>2023</v>
      </c>
      <c r="E753" s="126">
        <v>2453018349</v>
      </c>
      <c r="F753" s="127" t="s">
        <v>424</v>
      </c>
      <c r="G753" s="128">
        <v>2759044522</v>
      </c>
      <c r="H753" s="128">
        <v>295611913</v>
      </c>
      <c r="I753" s="38"/>
      <c r="J753" s="38">
        <f t="shared" si="201"/>
        <v>0.11999999996752499</v>
      </c>
      <c r="K753" s="128">
        <v>2568594001</v>
      </c>
      <c r="L753" s="128">
        <f t="shared" si="202"/>
        <v>275206500.04064482</v>
      </c>
      <c r="M753" s="39">
        <v>243813505</v>
      </c>
      <c r="N753" s="128">
        <f t="shared" si="203"/>
        <v>31392995.040644825</v>
      </c>
      <c r="O753" s="129">
        <f t="shared" si="197"/>
        <v>12557198</v>
      </c>
      <c r="P753" s="130" t="s">
        <v>606</v>
      </c>
      <c r="Q753" s="131">
        <v>5134</v>
      </c>
      <c r="R753" s="42">
        <f t="shared" si="200"/>
        <v>18835797.040644825</v>
      </c>
      <c r="S753" s="131">
        <v>5135</v>
      </c>
      <c r="T753" s="131">
        <v>1242</v>
      </c>
      <c r="U753" s="131">
        <v>2021</v>
      </c>
      <c r="V753" s="125" t="s">
        <v>261</v>
      </c>
      <c r="W753" s="132">
        <v>45433</v>
      </c>
      <c r="X753" s="133" t="s">
        <v>425</v>
      </c>
    </row>
    <row r="754" spans="1:24" s="123" customFormat="1" ht="17.45" customHeight="1" x14ac:dyDescent="0.25">
      <c r="A754" t="str">
        <f t="shared" si="190"/>
        <v>245301834845433122820771,292744</v>
      </c>
      <c r="B754" s="6">
        <f t="shared" si="188"/>
        <v>45553</v>
      </c>
      <c r="C754" s="3">
        <f t="shared" si="189"/>
        <v>250867949.19596934</v>
      </c>
      <c r="D754" s="125">
        <v>2023</v>
      </c>
      <c r="E754" s="126">
        <v>2453018348</v>
      </c>
      <c r="F754" s="127" t="s">
        <v>426</v>
      </c>
      <c r="G754" s="128">
        <v>3652668243</v>
      </c>
      <c r="H754" s="128">
        <v>391357312</v>
      </c>
      <c r="I754" s="38"/>
      <c r="J754" s="38">
        <f t="shared" si="201"/>
        <v>0.12000000008585504</v>
      </c>
      <c r="K754" s="128">
        <v>1146327198</v>
      </c>
      <c r="L754" s="128">
        <f t="shared" si="202"/>
        <v>122820771.29274392</v>
      </c>
      <c r="M754" s="39">
        <v>107667088</v>
      </c>
      <c r="N754" s="128">
        <f t="shared" si="203"/>
        <v>15153683.292743921</v>
      </c>
      <c r="O754" s="129">
        <f t="shared" si="197"/>
        <v>6061473</v>
      </c>
      <c r="P754" s="130" t="s">
        <v>606</v>
      </c>
      <c r="Q754" s="131">
        <v>5132</v>
      </c>
      <c r="R754" s="42">
        <f t="shared" si="200"/>
        <v>9092210.2927439213</v>
      </c>
      <c r="S754" s="131">
        <v>5133</v>
      </c>
      <c r="T754" s="131">
        <v>1241</v>
      </c>
      <c r="U754" s="131">
        <v>2020</v>
      </c>
      <c r="V754" s="125" t="s">
        <v>261</v>
      </c>
      <c r="W754" s="132">
        <v>45433</v>
      </c>
      <c r="X754" s="133" t="s">
        <v>425</v>
      </c>
    </row>
    <row r="755" spans="1:24" s="123" customFormat="1" ht="17.45" customHeight="1" x14ac:dyDescent="0.25">
      <c r="A755" t="str">
        <f t="shared" si="190"/>
        <v>245301834745433123633338,729197</v>
      </c>
      <c r="B755" s="6">
        <f t="shared" si="188"/>
        <v>45730</v>
      </c>
      <c r="C755" s="3">
        <f t="shared" si="189"/>
        <v>227416985.11999634</v>
      </c>
      <c r="D755" s="125">
        <v>2023</v>
      </c>
      <c r="E755" s="126">
        <v>2453018347</v>
      </c>
      <c r="F755" s="127" t="s">
        <v>391</v>
      </c>
      <c r="G755" s="128">
        <v>2033323757</v>
      </c>
      <c r="H755" s="128">
        <v>243997849</v>
      </c>
      <c r="I755" s="38"/>
      <c r="J755" s="38">
        <f t="shared" si="201"/>
        <v>0.13636300011590732</v>
      </c>
      <c r="K755" s="128">
        <v>1030282053</v>
      </c>
      <c r="L755" s="128">
        <f t="shared" si="202"/>
        <v>123633338.72919676</v>
      </c>
      <c r="M755" s="39">
        <v>114803582</v>
      </c>
      <c r="N755" s="128">
        <f t="shared" si="203"/>
        <v>8829756.7291967571</v>
      </c>
      <c r="O755" s="129">
        <f t="shared" si="197"/>
        <v>3531903</v>
      </c>
      <c r="P755" s="130" t="s">
        <v>606</v>
      </c>
      <c r="Q755" s="131">
        <v>5130</v>
      </c>
      <c r="R755" s="42">
        <f t="shared" si="200"/>
        <v>5297853.7291967571</v>
      </c>
      <c r="S755" s="131">
        <v>5131</v>
      </c>
      <c r="T755" s="131">
        <v>1240</v>
      </c>
      <c r="U755" s="131">
        <v>2019</v>
      </c>
      <c r="V755" s="125" t="s">
        <v>261</v>
      </c>
      <c r="W755" s="132">
        <v>45433</v>
      </c>
      <c r="X755" s="133" t="s">
        <v>471</v>
      </c>
    </row>
    <row r="756" spans="1:24" s="123" customFormat="1" ht="17.45" customHeight="1" x14ac:dyDescent="0.25">
      <c r="A756" t="str">
        <f t="shared" si="190"/>
        <v>24530183434543322186609,4070615</v>
      </c>
      <c r="B756" s="6">
        <f t="shared" si="188"/>
        <v>45433</v>
      </c>
      <c r="C756" s="3">
        <f t="shared" si="189"/>
        <v>22186609.407061499</v>
      </c>
      <c r="D756" s="125">
        <v>2023</v>
      </c>
      <c r="E756" s="126">
        <v>2453018343</v>
      </c>
      <c r="F756" s="127" t="s">
        <v>379</v>
      </c>
      <c r="G756" s="128">
        <v>243781000</v>
      </c>
      <c r="H756" s="128">
        <v>26119393</v>
      </c>
      <c r="I756" s="38"/>
      <c r="J756" s="38">
        <f t="shared" si="201"/>
        <v>0.120000000735086</v>
      </c>
      <c r="K756" s="128">
        <v>207075020</v>
      </c>
      <c r="L756" s="128">
        <f t="shared" si="202"/>
        <v>22186609.407061499</v>
      </c>
      <c r="M756" s="39">
        <v>16040899</v>
      </c>
      <c r="N756" s="128">
        <f t="shared" si="203"/>
        <v>6145710.4070614986</v>
      </c>
      <c r="O756" s="129">
        <f t="shared" si="197"/>
        <v>2458284</v>
      </c>
      <c r="P756" s="130" t="s">
        <v>606</v>
      </c>
      <c r="Q756" s="131">
        <v>5128</v>
      </c>
      <c r="R756" s="42">
        <f t="shared" si="200"/>
        <v>3687426.4070614986</v>
      </c>
      <c r="S756" s="131">
        <v>5129</v>
      </c>
      <c r="T756" s="131">
        <v>1239</v>
      </c>
      <c r="U756" s="131">
        <v>2037</v>
      </c>
      <c r="V756" s="125" t="s">
        <v>261</v>
      </c>
      <c r="W756" s="132">
        <v>45433</v>
      </c>
      <c r="X756" s="133" t="s">
        <v>280</v>
      </c>
    </row>
    <row r="757" spans="1:24" s="123" customFormat="1" ht="17.45" customHeight="1" x14ac:dyDescent="0.25">
      <c r="A757" t="str">
        <f t="shared" si="190"/>
        <v>24530183424543331556280,9642857</v>
      </c>
      <c r="B757" s="6">
        <f t="shared" si="188"/>
        <v>45621</v>
      </c>
      <c r="C757" s="3">
        <f t="shared" si="189"/>
        <v>55256697.428571425</v>
      </c>
      <c r="D757" s="125">
        <v>2023</v>
      </c>
      <c r="E757" s="126">
        <v>2453018342</v>
      </c>
      <c r="F757" s="127" t="s">
        <v>378</v>
      </c>
      <c r="G757" s="128">
        <v>678090000</v>
      </c>
      <c r="H757" s="128">
        <v>72652500</v>
      </c>
      <c r="I757" s="38"/>
      <c r="J757" s="38">
        <f t="shared" si="201"/>
        <v>0.12</v>
      </c>
      <c r="K757" s="128">
        <v>294525289</v>
      </c>
      <c r="L757" s="128">
        <f t="shared" si="202"/>
        <v>31556280.964285713</v>
      </c>
      <c r="M757" s="39">
        <v>27160874</v>
      </c>
      <c r="N757" s="128">
        <f t="shared" si="203"/>
        <v>4395406.9642857127</v>
      </c>
      <c r="O757" s="129">
        <f t="shared" si="197"/>
        <v>1758163</v>
      </c>
      <c r="P757" s="130" t="s">
        <v>606</v>
      </c>
      <c r="Q757" s="131">
        <v>5126</v>
      </c>
      <c r="R757" s="42">
        <f t="shared" si="200"/>
        <v>2637243.9642857127</v>
      </c>
      <c r="S757" s="131">
        <v>5127</v>
      </c>
      <c r="T757" s="131">
        <v>1238</v>
      </c>
      <c r="U757" s="131">
        <v>2018</v>
      </c>
      <c r="V757" s="125" t="s">
        <v>261</v>
      </c>
      <c r="W757" s="132">
        <v>45433</v>
      </c>
      <c r="X757" s="133" t="s">
        <v>425</v>
      </c>
    </row>
    <row r="758" spans="1:24" s="123" customFormat="1" ht="17.45" customHeight="1" x14ac:dyDescent="0.25">
      <c r="A758" t="str">
        <f t="shared" si="190"/>
        <v>291090730545439507761050,8</v>
      </c>
      <c r="B758" s="6">
        <f t="shared" si="188"/>
        <v>45639</v>
      </c>
      <c r="C758" s="3">
        <f t="shared" si="189"/>
        <v>1657912075.6085422</v>
      </c>
      <c r="D758" s="125">
        <v>2024</v>
      </c>
      <c r="E758" s="126">
        <v>2910907305</v>
      </c>
      <c r="F758" s="127" t="s">
        <v>602</v>
      </c>
      <c r="G758" s="128">
        <v>16023830031</v>
      </c>
      <c r="H758" s="128">
        <v>1716840708</v>
      </c>
      <c r="I758" s="38"/>
      <c r="J758" s="38">
        <f t="shared" si="201"/>
        <v>0.12000013903973471</v>
      </c>
      <c r="K758" s="128">
        <v>4739098238.1000004</v>
      </c>
      <c r="L758" s="128">
        <f t="shared" si="202"/>
        <v>507761050.80000001</v>
      </c>
      <c r="M758" s="39">
        <v>351127659</v>
      </c>
      <c r="N758" s="128">
        <f t="shared" si="203"/>
        <v>156633391.80000001</v>
      </c>
      <c r="O758" s="129">
        <f t="shared" si="197"/>
        <v>62653357</v>
      </c>
      <c r="P758" s="130" t="s">
        <v>606</v>
      </c>
      <c r="Q758" s="131">
        <v>5164</v>
      </c>
      <c r="R758" s="42">
        <f t="shared" si="200"/>
        <v>93980034.800000012</v>
      </c>
      <c r="S758" s="131">
        <v>5165</v>
      </c>
      <c r="T758" s="131">
        <v>1261</v>
      </c>
      <c r="U758" s="131">
        <v>2063</v>
      </c>
      <c r="V758" s="125" t="s">
        <v>261</v>
      </c>
      <c r="W758" s="132">
        <v>45439</v>
      </c>
      <c r="X758" s="133" t="s">
        <v>622</v>
      </c>
    </row>
    <row r="759" spans="1:24" s="123" customFormat="1" ht="17.45" customHeight="1" x14ac:dyDescent="0.25">
      <c r="A759" t="str">
        <f t="shared" si="190"/>
        <v>29109072484543998658240</v>
      </c>
      <c r="B759" s="6">
        <f t="shared" si="188"/>
        <v>45439</v>
      </c>
      <c r="C759" s="3">
        <f t="shared" si="189"/>
        <v>98658239.999999985</v>
      </c>
      <c r="D759" s="125">
        <v>2023</v>
      </c>
      <c r="E759" s="126">
        <v>2910907248</v>
      </c>
      <c r="F759" s="127" t="s">
        <v>466</v>
      </c>
      <c r="G759" s="128">
        <v>920810240</v>
      </c>
      <c r="H759" s="128">
        <v>98658240</v>
      </c>
      <c r="I759" s="38"/>
      <c r="J759" s="38">
        <f t="shared" si="201"/>
        <v>0.12</v>
      </c>
      <c r="K759" s="128">
        <v>920810240</v>
      </c>
      <c r="L759" s="128">
        <f t="shared" si="202"/>
        <v>98658239.999999985</v>
      </c>
      <c r="M759" s="39">
        <v>78926592</v>
      </c>
      <c r="N759" s="128">
        <f t="shared" si="203"/>
        <v>19731647.999999985</v>
      </c>
      <c r="O759" s="129">
        <f t="shared" si="197"/>
        <v>7892659</v>
      </c>
      <c r="P759" s="130" t="s">
        <v>606</v>
      </c>
      <c r="Q759" s="131">
        <v>5156</v>
      </c>
      <c r="R759" s="42">
        <f t="shared" si="200"/>
        <v>11838988.999999985</v>
      </c>
      <c r="S759" s="131">
        <v>5157</v>
      </c>
      <c r="T759" s="131">
        <v>1257</v>
      </c>
      <c r="U759" s="131">
        <v>2059</v>
      </c>
      <c r="V759" s="125" t="s">
        <v>261</v>
      </c>
      <c r="W759" s="132">
        <v>45439</v>
      </c>
      <c r="X759" s="133" t="s">
        <v>623</v>
      </c>
    </row>
    <row r="760" spans="1:24" s="123" customFormat="1" ht="17.45" customHeight="1" x14ac:dyDescent="0.25">
      <c r="A760" t="str">
        <f t="shared" si="190"/>
        <v>2910907308454391339285,5</v>
      </c>
      <c r="B760" s="6">
        <f t="shared" si="188"/>
        <v>45498</v>
      </c>
      <c r="C760" s="3">
        <f t="shared" si="189"/>
        <v>2678571</v>
      </c>
      <c r="D760" s="125">
        <v>2023</v>
      </c>
      <c r="E760" s="126">
        <v>2910907308</v>
      </c>
      <c r="F760" s="127" t="s">
        <v>624</v>
      </c>
      <c r="G760" s="128">
        <v>25000000</v>
      </c>
      <c r="H760" s="128">
        <v>2678571</v>
      </c>
      <c r="I760" s="38"/>
      <c r="J760" s="38">
        <f t="shared" si="201"/>
        <v>0.11999997849600041</v>
      </c>
      <c r="K760" s="128">
        <v>12500000</v>
      </c>
      <c r="L760" s="128">
        <f t="shared" si="202"/>
        <v>1339285.5</v>
      </c>
      <c r="M760" s="39">
        <v>0</v>
      </c>
      <c r="N760" s="128">
        <f t="shared" si="203"/>
        <v>1339285.5</v>
      </c>
      <c r="O760" s="129">
        <f t="shared" si="197"/>
        <v>535714</v>
      </c>
      <c r="P760" s="130" t="s">
        <v>606</v>
      </c>
      <c r="Q760" s="131">
        <v>5166</v>
      </c>
      <c r="R760" s="42">
        <f t="shared" si="200"/>
        <v>803571.5</v>
      </c>
      <c r="S760" s="131">
        <v>5167</v>
      </c>
      <c r="T760" s="131">
        <v>1263</v>
      </c>
      <c r="U760" s="131">
        <v>2065</v>
      </c>
      <c r="V760" s="125" t="s">
        <v>261</v>
      </c>
      <c r="W760" s="132">
        <v>45439</v>
      </c>
      <c r="X760" s="133" t="s">
        <v>625</v>
      </c>
    </row>
    <row r="761" spans="1:24" s="123" customFormat="1" ht="17.45" customHeight="1" x14ac:dyDescent="0.25">
      <c r="A761" t="str">
        <f t="shared" si="190"/>
        <v>29109072904543930748191,3642857</v>
      </c>
      <c r="B761" s="6">
        <f t="shared" si="188"/>
        <v>45439</v>
      </c>
      <c r="C761" s="3">
        <f t="shared" si="189"/>
        <v>30748191.364285715</v>
      </c>
      <c r="D761" s="125">
        <v>2023</v>
      </c>
      <c r="E761" s="126">
        <v>2910907290</v>
      </c>
      <c r="F761" s="127" t="s">
        <v>557</v>
      </c>
      <c r="G761" s="128">
        <v>318870136</v>
      </c>
      <c r="H761" s="128">
        <v>34164657</v>
      </c>
      <c r="I761" s="38"/>
      <c r="J761" s="38">
        <f t="shared" si="201"/>
        <v>0.1199999983140472</v>
      </c>
      <c r="K761" s="128">
        <v>286983123</v>
      </c>
      <c r="L761" s="128">
        <f t="shared" si="202"/>
        <v>30748191.364285715</v>
      </c>
      <c r="M761" s="39">
        <v>13665863</v>
      </c>
      <c r="N761" s="128">
        <f t="shared" si="203"/>
        <v>17082328.364285715</v>
      </c>
      <c r="O761" s="129">
        <f t="shared" si="197"/>
        <v>6832931</v>
      </c>
      <c r="P761" s="130" t="s">
        <v>606</v>
      </c>
      <c r="Q761" s="131">
        <v>5160</v>
      </c>
      <c r="R761" s="42">
        <f t="shared" si="200"/>
        <v>10249397.364285715</v>
      </c>
      <c r="S761" s="131">
        <v>5161</v>
      </c>
      <c r="T761" s="131">
        <v>1259</v>
      </c>
      <c r="U761" s="131">
        <v>2061</v>
      </c>
      <c r="V761" s="125" t="s">
        <v>261</v>
      </c>
      <c r="W761" s="132">
        <v>45439</v>
      </c>
      <c r="X761" s="133" t="s">
        <v>626</v>
      </c>
    </row>
    <row r="762" spans="1:24" s="123" customFormat="1" ht="17.45" customHeight="1" x14ac:dyDescent="0.25">
      <c r="A762" t="str">
        <f t="shared" si="190"/>
        <v>2910907244454394941964,4175</v>
      </c>
      <c r="B762" s="6">
        <f t="shared" si="188"/>
        <v>45498</v>
      </c>
      <c r="C762" s="3">
        <f t="shared" si="189"/>
        <v>5357143</v>
      </c>
      <c r="D762" s="125">
        <v>2023</v>
      </c>
      <c r="E762" s="126">
        <v>2910907244</v>
      </c>
      <c r="F762" s="127" t="s">
        <v>517</v>
      </c>
      <c r="G762" s="128">
        <v>50000000</v>
      </c>
      <c r="H762" s="128">
        <v>5357143</v>
      </c>
      <c r="I762" s="38"/>
      <c r="J762" s="38">
        <f t="shared" si="201"/>
        <v>0.12000000358400001</v>
      </c>
      <c r="K762" s="128">
        <v>46125000</v>
      </c>
      <c r="L762" s="128">
        <f t="shared" si="202"/>
        <v>4941964.4174999995</v>
      </c>
      <c r="M762" s="39">
        <v>2477679</v>
      </c>
      <c r="N762" s="128">
        <f t="shared" si="203"/>
        <v>2464285.4174999995</v>
      </c>
      <c r="O762" s="129">
        <f t="shared" si="197"/>
        <v>985714</v>
      </c>
      <c r="P762" s="130" t="s">
        <v>606</v>
      </c>
      <c r="Q762" s="131">
        <v>5154</v>
      </c>
      <c r="R762" s="42">
        <f t="shared" si="200"/>
        <v>1478571.4174999995</v>
      </c>
      <c r="S762" s="131">
        <v>5155</v>
      </c>
      <c r="T762" s="131">
        <v>1256</v>
      </c>
      <c r="U762" s="131">
        <v>2058</v>
      </c>
      <c r="V762" s="125" t="s">
        <v>261</v>
      </c>
      <c r="W762" s="132">
        <v>45439</v>
      </c>
      <c r="X762" s="133" t="s">
        <v>627</v>
      </c>
    </row>
    <row r="763" spans="1:24" s="123" customFormat="1" ht="17.45" customHeight="1" x14ac:dyDescent="0.25">
      <c r="A763" t="str">
        <f t="shared" si="190"/>
        <v>29109072324543959353440,954516</v>
      </c>
      <c r="B763" s="6">
        <f t="shared" si="188"/>
        <v>45439</v>
      </c>
      <c r="C763" s="3">
        <f t="shared" si="189"/>
        <v>59353440.954516016</v>
      </c>
      <c r="D763" s="125">
        <v>2022</v>
      </c>
      <c r="E763" s="126">
        <v>2910907232</v>
      </c>
      <c r="F763" s="127" t="s">
        <v>533</v>
      </c>
      <c r="G763" s="128">
        <v>643456583</v>
      </c>
      <c r="H763" s="128">
        <v>68941777</v>
      </c>
      <c r="I763" s="38"/>
      <c r="J763" s="38">
        <f t="shared" si="201"/>
        <v>0.12000000048736777</v>
      </c>
      <c r="K763" s="128">
        <v>553965446.89999998</v>
      </c>
      <c r="L763" s="128">
        <f t="shared" si="202"/>
        <v>59353440.954516016</v>
      </c>
      <c r="M763" s="39">
        <v>46463138</v>
      </c>
      <c r="N763" s="128">
        <f t="shared" si="203"/>
        <v>12890302.954516016</v>
      </c>
      <c r="O763" s="129">
        <f t="shared" si="197"/>
        <v>5156121</v>
      </c>
      <c r="P763" s="130" t="s">
        <v>606</v>
      </c>
      <c r="Q763" s="131">
        <v>5152</v>
      </c>
      <c r="R763" s="42">
        <f t="shared" si="200"/>
        <v>7734181.9545160159</v>
      </c>
      <c r="S763" s="131">
        <v>5153</v>
      </c>
      <c r="T763" s="131">
        <v>1255</v>
      </c>
      <c r="U763" s="131">
        <v>2057</v>
      </c>
      <c r="V763" s="125" t="s">
        <v>261</v>
      </c>
      <c r="W763" s="132">
        <v>45439</v>
      </c>
      <c r="X763" s="133" t="s">
        <v>628</v>
      </c>
    </row>
    <row r="764" spans="1:24" s="123" customFormat="1" ht="17.45" customHeight="1" x14ac:dyDescent="0.25">
      <c r="A764" t="str">
        <f t="shared" si="190"/>
        <v>2910907306454398037500</v>
      </c>
      <c r="B764" s="6">
        <f t="shared" si="188"/>
        <v>45464</v>
      </c>
      <c r="C764" s="3">
        <f t="shared" si="189"/>
        <v>16075000</v>
      </c>
      <c r="D764" s="125">
        <v>2023</v>
      </c>
      <c r="E764" s="126">
        <v>2910907306</v>
      </c>
      <c r="F764" s="127" t="s">
        <v>629</v>
      </c>
      <c r="G764" s="128">
        <v>150000000</v>
      </c>
      <c r="H764" s="128">
        <v>16075000</v>
      </c>
      <c r="I764" s="38"/>
      <c r="J764" s="38">
        <f t="shared" si="201"/>
        <v>0.12002986746313235</v>
      </c>
      <c r="K764" s="128">
        <v>75000000</v>
      </c>
      <c r="L764" s="128">
        <f t="shared" si="202"/>
        <v>8037500</v>
      </c>
      <c r="M764" s="39">
        <v>0</v>
      </c>
      <c r="N764" s="128">
        <f t="shared" si="203"/>
        <v>8037500</v>
      </c>
      <c r="O764" s="129">
        <f t="shared" si="197"/>
        <v>3215000</v>
      </c>
      <c r="P764" s="130" t="s">
        <v>606</v>
      </c>
      <c r="Q764" s="131">
        <v>5172</v>
      </c>
      <c r="R764" s="42">
        <f t="shared" si="200"/>
        <v>4822500</v>
      </c>
      <c r="S764" s="131">
        <v>5173</v>
      </c>
      <c r="T764" s="131">
        <v>1288</v>
      </c>
      <c r="U764" s="131">
        <v>2079</v>
      </c>
      <c r="V764" s="125" t="s">
        <v>261</v>
      </c>
      <c r="W764" s="132">
        <v>45439</v>
      </c>
      <c r="X764" s="133" t="s">
        <v>630</v>
      </c>
    </row>
    <row r="765" spans="1:24" s="123" customFormat="1" ht="17.45" customHeight="1" x14ac:dyDescent="0.25">
      <c r="A765" t="str">
        <f t="shared" si="190"/>
        <v>291090729545439214286</v>
      </c>
      <c r="B765" s="6">
        <f t="shared" si="188"/>
        <v>45439</v>
      </c>
      <c r="C765" s="3">
        <f t="shared" si="189"/>
        <v>214286</v>
      </c>
      <c r="D765" s="125">
        <v>2023</v>
      </c>
      <c r="E765" s="126">
        <v>2910907295</v>
      </c>
      <c r="F765" s="127" t="s">
        <v>631</v>
      </c>
      <c r="G765" s="128">
        <v>2000000</v>
      </c>
      <c r="H765" s="128">
        <v>214286</v>
      </c>
      <c r="I765" s="38"/>
      <c r="J765" s="38">
        <f t="shared" si="201"/>
        <v>0.12000017920002867</v>
      </c>
      <c r="K765" s="128">
        <v>2000000</v>
      </c>
      <c r="L765" s="128">
        <f t="shared" si="202"/>
        <v>214286</v>
      </c>
      <c r="M765" s="39">
        <v>0</v>
      </c>
      <c r="N765" s="128">
        <f t="shared" si="203"/>
        <v>214286</v>
      </c>
      <c r="O765" s="129">
        <f t="shared" si="197"/>
        <v>85714</v>
      </c>
      <c r="P765" s="130" t="s">
        <v>606</v>
      </c>
      <c r="Q765" s="131">
        <v>5162</v>
      </c>
      <c r="R765" s="42">
        <f t="shared" si="200"/>
        <v>128572</v>
      </c>
      <c r="S765" s="131">
        <v>5163</v>
      </c>
      <c r="T765" s="131">
        <v>1260</v>
      </c>
      <c r="U765" s="131">
        <v>2062</v>
      </c>
      <c r="V765" s="125" t="s">
        <v>261</v>
      </c>
      <c r="W765" s="132">
        <v>45439</v>
      </c>
      <c r="X765" s="133" t="s">
        <v>632</v>
      </c>
    </row>
    <row r="766" spans="1:24" s="123" customFormat="1" ht="17.45" customHeight="1" x14ac:dyDescent="0.25">
      <c r="A766" t="str">
        <f t="shared" si="190"/>
        <v>2910908095454394473857</v>
      </c>
      <c r="B766" s="6">
        <f t="shared" si="188"/>
        <v>45439</v>
      </c>
      <c r="C766" s="3">
        <f t="shared" si="189"/>
        <v>4473857</v>
      </c>
      <c r="D766" s="125">
        <v>2024</v>
      </c>
      <c r="E766" s="126">
        <v>2910908095</v>
      </c>
      <c r="F766" s="127" t="s">
        <v>633</v>
      </c>
      <c r="G766" s="128">
        <v>41756000</v>
      </c>
      <c r="H766" s="128">
        <v>4473857</v>
      </c>
      <c r="I766" s="38"/>
      <c r="J766" s="38">
        <f t="shared" si="201"/>
        <v>0.11999999570840121</v>
      </c>
      <c r="K766" s="128">
        <v>41756000</v>
      </c>
      <c r="L766" s="128">
        <f t="shared" si="202"/>
        <v>4473857</v>
      </c>
      <c r="M766" s="39">
        <v>0</v>
      </c>
      <c r="N766" s="128">
        <f t="shared" si="203"/>
        <v>4473857</v>
      </c>
      <c r="O766" s="129">
        <f t="shared" ref="O766:O793" si="204">ROUND((N766*40%),0)</f>
        <v>1789543</v>
      </c>
      <c r="P766" s="130" t="s">
        <v>606</v>
      </c>
      <c r="Q766" s="131">
        <v>5168</v>
      </c>
      <c r="R766" s="42">
        <f t="shared" si="200"/>
        <v>2684314</v>
      </c>
      <c r="S766" s="131">
        <v>5169</v>
      </c>
      <c r="T766" s="131">
        <v>1264</v>
      </c>
      <c r="U766" s="131">
        <v>2066</v>
      </c>
      <c r="V766" s="125" t="s">
        <v>261</v>
      </c>
      <c r="W766" s="132">
        <v>45439</v>
      </c>
      <c r="X766" s="133" t="s">
        <v>365</v>
      </c>
    </row>
    <row r="767" spans="1:24" s="123" customFormat="1" ht="17.45" customHeight="1" x14ac:dyDescent="0.25">
      <c r="A767" t="str">
        <f t="shared" si="190"/>
        <v>2910908096454394285714</v>
      </c>
      <c r="B767" s="6">
        <f t="shared" si="188"/>
        <v>45439</v>
      </c>
      <c r="C767" s="3">
        <f t="shared" si="189"/>
        <v>4285714</v>
      </c>
      <c r="D767" s="125">
        <v>2024</v>
      </c>
      <c r="E767" s="126">
        <v>2910908096</v>
      </c>
      <c r="F767" s="127" t="s">
        <v>634</v>
      </c>
      <c r="G767" s="128">
        <v>40000000</v>
      </c>
      <c r="H767" s="128">
        <v>4285714</v>
      </c>
      <c r="I767" s="38"/>
      <c r="J767" s="38">
        <f t="shared" si="201"/>
        <v>0.11999999104000007</v>
      </c>
      <c r="K767" s="128">
        <v>40000000</v>
      </c>
      <c r="L767" s="128">
        <f t="shared" si="202"/>
        <v>4285714</v>
      </c>
      <c r="M767" s="39">
        <v>0</v>
      </c>
      <c r="N767" s="128">
        <f t="shared" si="203"/>
        <v>4285714</v>
      </c>
      <c r="O767" s="129">
        <f t="shared" si="204"/>
        <v>1714286</v>
      </c>
      <c r="P767" s="130" t="s">
        <v>606</v>
      </c>
      <c r="Q767" s="131">
        <v>5170</v>
      </c>
      <c r="R767" s="42">
        <f t="shared" si="200"/>
        <v>2571428</v>
      </c>
      <c r="S767" s="131">
        <v>5171</v>
      </c>
      <c r="T767" s="131">
        <v>1265</v>
      </c>
      <c r="U767" s="131">
        <v>2067</v>
      </c>
      <c r="V767" s="125" t="s">
        <v>261</v>
      </c>
      <c r="W767" s="132">
        <v>45439</v>
      </c>
      <c r="X767" s="133" t="s">
        <v>365</v>
      </c>
    </row>
    <row r="768" spans="1:24" s="123" customFormat="1" ht="17.45" customHeight="1" x14ac:dyDescent="0.25">
      <c r="A768" t="str">
        <f t="shared" si="190"/>
        <v>29109072794543942857143</v>
      </c>
      <c r="B768" s="6">
        <f t="shared" si="188"/>
        <v>45439</v>
      </c>
      <c r="C768" s="3">
        <f t="shared" si="189"/>
        <v>42857143</v>
      </c>
      <c r="D768" s="125">
        <v>2023</v>
      </c>
      <c r="E768" s="126">
        <v>2910907279</v>
      </c>
      <c r="F768" s="127" t="s">
        <v>503</v>
      </c>
      <c r="G768" s="128">
        <v>400000000</v>
      </c>
      <c r="H768" s="128">
        <v>42857143</v>
      </c>
      <c r="I768" s="38"/>
      <c r="J768" s="38">
        <f t="shared" si="201"/>
        <v>0.12000000044799999</v>
      </c>
      <c r="K768" s="128">
        <v>400000000</v>
      </c>
      <c r="L768" s="128">
        <f t="shared" si="202"/>
        <v>42857143</v>
      </c>
      <c r="M768" s="39">
        <f>L684</f>
        <v>38571429</v>
      </c>
      <c r="N768" s="128">
        <f t="shared" si="203"/>
        <v>4285714</v>
      </c>
      <c r="O768" s="129">
        <f t="shared" si="204"/>
        <v>1714286</v>
      </c>
      <c r="P768" s="130" t="s">
        <v>606</v>
      </c>
      <c r="Q768" s="131">
        <v>5158</v>
      </c>
      <c r="R768" s="42">
        <f t="shared" si="200"/>
        <v>2571428</v>
      </c>
      <c r="S768" s="131">
        <v>5159</v>
      </c>
      <c r="T768" s="131">
        <v>1258</v>
      </c>
      <c r="U768" s="131">
        <v>2060</v>
      </c>
      <c r="V768" s="125" t="s">
        <v>261</v>
      </c>
      <c r="W768" s="132">
        <v>45439</v>
      </c>
      <c r="X768" s="133" t="s">
        <v>635</v>
      </c>
    </row>
    <row r="769" spans="1:24" s="123" customFormat="1" ht="17.45" customHeight="1" x14ac:dyDescent="0.25">
      <c r="A769" t="str">
        <f t="shared" si="190"/>
        <v>291090637045439459436628,006601</v>
      </c>
      <c r="B769" s="6">
        <f t="shared" si="188"/>
        <v>45530</v>
      </c>
      <c r="C769" s="3">
        <f t="shared" si="189"/>
        <v>467234191.89532739</v>
      </c>
      <c r="D769" s="125">
        <v>2018</v>
      </c>
      <c r="E769" s="126">
        <v>2910906370</v>
      </c>
      <c r="F769" s="127" t="s">
        <v>74</v>
      </c>
      <c r="G769" s="128">
        <v>5033567040</v>
      </c>
      <c r="H769" s="128">
        <v>539310754</v>
      </c>
      <c r="I769" s="38"/>
      <c r="J769" s="38">
        <f t="shared" si="201"/>
        <v>0.11999999992879801</v>
      </c>
      <c r="K769" s="128">
        <v>4288075197</v>
      </c>
      <c r="L769" s="128">
        <f t="shared" si="202"/>
        <v>459436628.00660121</v>
      </c>
      <c r="M769" s="39">
        <v>431387296</v>
      </c>
      <c r="N769" s="128">
        <f t="shared" si="203"/>
        <v>28049332.006601214</v>
      </c>
      <c r="O769" s="129">
        <f t="shared" si="204"/>
        <v>11219733</v>
      </c>
      <c r="P769" s="130" t="s">
        <v>606</v>
      </c>
      <c r="Q769" s="131">
        <v>5150</v>
      </c>
      <c r="R769" s="42">
        <f t="shared" si="200"/>
        <v>16829599.006601214</v>
      </c>
      <c r="S769" s="131">
        <v>5151</v>
      </c>
      <c r="T769" s="131">
        <v>1254</v>
      </c>
      <c r="U769" s="131">
        <v>2056</v>
      </c>
      <c r="V769" s="125" t="s">
        <v>261</v>
      </c>
      <c r="W769" s="132">
        <v>45439</v>
      </c>
      <c r="X769" s="133" t="s">
        <v>636</v>
      </c>
    </row>
    <row r="770" spans="1:24" s="123" customFormat="1" ht="17.45" customHeight="1" x14ac:dyDescent="0.25">
      <c r="A770" t="str">
        <f t="shared" si="190"/>
        <v>24530183274544151608344,5332253</v>
      </c>
      <c r="B770" s="6">
        <f t="shared" ref="B770:B833" si="205">_xlfn.MAXIFS(W:W,E:E,E770)</f>
        <v>45467</v>
      </c>
      <c r="C770" s="3">
        <f t="shared" ref="C770:C833" si="206">_xlfn.MAXIFS(L:L,E:E,E770)</f>
        <v>61078665.000000007</v>
      </c>
      <c r="D770" s="125">
        <v>2021</v>
      </c>
      <c r="E770" s="126">
        <v>2453018327</v>
      </c>
      <c r="F770" s="127" t="s">
        <v>196</v>
      </c>
      <c r="G770" s="128">
        <v>570067542</v>
      </c>
      <c r="H770" s="128">
        <v>61078665</v>
      </c>
      <c r="I770" s="38"/>
      <c r="J770" s="38">
        <f t="shared" si="201"/>
        <v>0.11999999952847692</v>
      </c>
      <c r="K770" s="128">
        <v>481677884</v>
      </c>
      <c r="L770" s="128">
        <f t="shared" si="202"/>
        <v>51608344.533225261</v>
      </c>
      <c r="M770" s="39">
        <f>L623</f>
        <v>38075913</v>
      </c>
      <c r="N770" s="128">
        <f t="shared" si="203"/>
        <v>13532431.533225261</v>
      </c>
      <c r="O770" s="129">
        <f t="shared" si="204"/>
        <v>5412973</v>
      </c>
      <c r="P770" s="130" t="s">
        <v>606</v>
      </c>
      <c r="Q770" s="131">
        <v>5737</v>
      </c>
      <c r="R770" s="42">
        <f t="shared" si="200"/>
        <v>8119458.5332252607</v>
      </c>
      <c r="S770" s="131">
        <v>5738</v>
      </c>
      <c r="T770" s="131">
        <v>1302</v>
      </c>
      <c r="U770" s="131">
        <v>2161</v>
      </c>
      <c r="V770" s="125" t="s">
        <v>261</v>
      </c>
      <c r="W770" s="132">
        <v>45441</v>
      </c>
      <c r="X770" s="133" t="s">
        <v>425</v>
      </c>
    </row>
    <row r="771" spans="1:24" s="123" customFormat="1" ht="17.45" customHeight="1" x14ac:dyDescent="0.25">
      <c r="A771" t="str">
        <f t="shared" ref="A771:A834" si="207">_xlfn.CONCAT(E771,W771,L771)</f>
        <v>291090723145441514400630,897286</v>
      </c>
      <c r="B771" s="6">
        <f t="shared" si="205"/>
        <v>45880</v>
      </c>
      <c r="C771" s="3">
        <f t="shared" si="206"/>
        <v>725275008</v>
      </c>
      <c r="D771" s="125">
        <v>2023</v>
      </c>
      <c r="E771" s="126">
        <v>2910907231</v>
      </c>
      <c r="F771" s="127" t="s">
        <v>410</v>
      </c>
      <c r="G771" s="128">
        <v>7055787001</v>
      </c>
      <c r="H771" s="128">
        <v>755977179</v>
      </c>
      <c r="I771" s="38"/>
      <c r="J771" s="38">
        <f t="shared" si="201"/>
        <v>0.12000000005714458</v>
      </c>
      <c r="K771" s="128">
        <v>4801072553</v>
      </c>
      <c r="L771" s="128">
        <f t="shared" si="202"/>
        <v>514400630.89728576</v>
      </c>
      <c r="M771" s="39">
        <v>412555975</v>
      </c>
      <c r="N771" s="128">
        <f t="shared" si="203"/>
        <v>101844655.89728576</v>
      </c>
      <c r="O771" s="129">
        <f t="shared" si="204"/>
        <v>40737862</v>
      </c>
      <c r="P771" s="130" t="s">
        <v>606</v>
      </c>
      <c r="Q771" s="131">
        <v>5741</v>
      </c>
      <c r="R771" s="42">
        <f t="shared" si="200"/>
        <v>61106793.897285759</v>
      </c>
      <c r="S771" s="131">
        <v>5742</v>
      </c>
      <c r="T771" s="131">
        <v>1304</v>
      </c>
      <c r="U771" s="131">
        <v>2163</v>
      </c>
      <c r="V771" s="125" t="s">
        <v>261</v>
      </c>
      <c r="W771" s="132">
        <v>45441</v>
      </c>
      <c r="X771" s="133" t="s">
        <v>637</v>
      </c>
    </row>
    <row r="772" spans="1:24" s="123" customFormat="1" ht="17.45" customHeight="1" x14ac:dyDescent="0.25">
      <c r="A772" t="str">
        <f t="shared" si="207"/>
        <v>2453018353454417500000</v>
      </c>
      <c r="B772" s="6">
        <f t="shared" si="205"/>
        <v>45441</v>
      </c>
      <c r="C772" s="3">
        <f t="shared" si="206"/>
        <v>7499999.9999999991</v>
      </c>
      <c r="D772" s="125">
        <v>2023</v>
      </c>
      <c r="E772" s="126">
        <v>2453018353</v>
      </c>
      <c r="F772" s="127" t="s">
        <v>619</v>
      </c>
      <c r="G772" s="128">
        <v>70000000</v>
      </c>
      <c r="H772" s="128">
        <v>7500000</v>
      </c>
      <c r="I772" s="38"/>
      <c r="J772" s="38">
        <f t="shared" si="201"/>
        <v>0.12</v>
      </c>
      <c r="K772" s="128">
        <v>70000000</v>
      </c>
      <c r="L772" s="128">
        <f>+K772/(1+$J$749)*$J$749</f>
        <v>7499999.9999999991</v>
      </c>
      <c r="M772" s="39">
        <f>L749</f>
        <v>5755178.5714285709</v>
      </c>
      <c r="N772" s="128">
        <f t="shared" si="203"/>
        <v>1744821.4285714282</v>
      </c>
      <c r="O772" s="129">
        <f t="shared" si="204"/>
        <v>697929</v>
      </c>
      <c r="P772" s="130" t="s">
        <v>606</v>
      </c>
      <c r="Q772" s="131">
        <v>5739</v>
      </c>
      <c r="R772" s="42">
        <f t="shared" si="200"/>
        <v>1046892.4285714282</v>
      </c>
      <c r="S772" s="131">
        <v>5740</v>
      </c>
      <c r="T772" s="131">
        <v>1303</v>
      </c>
      <c r="U772" s="131">
        <v>2162</v>
      </c>
      <c r="V772" s="125" t="s">
        <v>261</v>
      </c>
      <c r="W772" s="132">
        <v>45441</v>
      </c>
      <c r="X772" s="133" t="s">
        <v>638</v>
      </c>
    </row>
    <row r="773" spans="1:24" s="123" customFormat="1" ht="17.45" customHeight="1" x14ac:dyDescent="0.25">
      <c r="A773" t="str">
        <f t="shared" si="207"/>
        <v>29109072344544327321428,5714286</v>
      </c>
      <c r="B773" s="6">
        <f t="shared" si="205"/>
        <v>45443</v>
      </c>
      <c r="C773" s="3">
        <f t="shared" si="206"/>
        <v>27321428.571428567</v>
      </c>
      <c r="D773" s="125">
        <v>2023</v>
      </c>
      <c r="E773" s="126">
        <v>2910907234</v>
      </c>
      <c r="F773" s="127" t="s">
        <v>396</v>
      </c>
      <c r="G773" s="128">
        <v>255000000</v>
      </c>
      <c r="H773" s="128">
        <v>27321429</v>
      </c>
      <c r="I773" s="38"/>
      <c r="J773" s="38">
        <f t="shared" si="201"/>
        <v>0.1200000021082353</v>
      </c>
      <c r="K773" s="128">
        <v>255000000</v>
      </c>
      <c r="L773" s="128">
        <f>+K773/(1+$J$749)*$J$749</f>
        <v>27321428.571428567</v>
      </c>
      <c r="M773" s="39">
        <f>L518</f>
        <v>17581340</v>
      </c>
      <c r="N773" s="128">
        <f t="shared" si="203"/>
        <v>9740088.5714285672</v>
      </c>
      <c r="O773" s="129">
        <f t="shared" si="204"/>
        <v>3896035</v>
      </c>
      <c r="P773" s="130" t="s">
        <v>606</v>
      </c>
      <c r="Q773" s="131">
        <v>5780</v>
      </c>
      <c r="R773" s="42">
        <f t="shared" si="200"/>
        <v>5844053.5714285672</v>
      </c>
      <c r="S773" s="131">
        <v>5781</v>
      </c>
      <c r="T773" s="131">
        <v>1312</v>
      </c>
      <c r="U773" s="131">
        <v>2170</v>
      </c>
      <c r="V773" s="125" t="s">
        <v>261</v>
      </c>
      <c r="W773" s="132">
        <v>45443</v>
      </c>
      <c r="X773" s="133" t="s">
        <v>639</v>
      </c>
    </row>
    <row r="774" spans="1:24" s="123" customFormat="1" ht="17.45" customHeight="1" x14ac:dyDescent="0.25">
      <c r="A774" t="str">
        <f t="shared" si="207"/>
        <v>24530183594544824777600</v>
      </c>
      <c r="B774" s="6">
        <f t="shared" si="205"/>
        <v>45448</v>
      </c>
      <c r="C774" s="3">
        <f t="shared" si="206"/>
        <v>24777600</v>
      </c>
      <c r="D774" s="125">
        <v>2023</v>
      </c>
      <c r="E774" s="126">
        <v>2453018359</v>
      </c>
      <c r="F774" s="127" t="s">
        <v>640</v>
      </c>
      <c r="G774" s="128">
        <v>509286400</v>
      </c>
      <c r="H774" s="128">
        <v>54566400</v>
      </c>
      <c r="I774" s="38"/>
      <c r="J774" s="38">
        <f t="shared" si="201"/>
        <v>0.12</v>
      </c>
      <c r="K774" s="128">
        <v>206480000</v>
      </c>
      <c r="L774" s="128">
        <f>+K774*J774</f>
        <v>24777600</v>
      </c>
      <c r="M774" s="39">
        <v>0</v>
      </c>
      <c r="N774" s="128">
        <f t="shared" si="203"/>
        <v>24777600</v>
      </c>
      <c r="O774" s="129">
        <f t="shared" si="204"/>
        <v>9911040</v>
      </c>
      <c r="P774" s="130" t="s">
        <v>606</v>
      </c>
      <c r="Q774" s="131">
        <v>6348</v>
      </c>
      <c r="R774" s="42">
        <f t="shared" si="200"/>
        <v>14866560</v>
      </c>
      <c r="S774" s="131">
        <v>6349</v>
      </c>
      <c r="T774" s="131">
        <v>1409</v>
      </c>
      <c r="U774" s="131">
        <v>2236</v>
      </c>
      <c r="V774" s="125" t="s">
        <v>261</v>
      </c>
      <c r="W774" s="132">
        <v>45448</v>
      </c>
      <c r="X774" s="133" t="s">
        <v>425</v>
      </c>
    </row>
    <row r="775" spans="1:24" s="123" customFormat="1" ht="17.45" customHeight="1" x14ac:dyDescent="0.25">
      <c r="A775" t="str">
        <f t="shared" si="207"/>
        <v>2453018338454557210519,45879776</v>
      </c>
      <c r="B775" s="6">
        <f t="shared" si="205"/>
        <v>45467</v>
      </c>
      <c r="C775" s="3">
        <f t="shared" si="206"/>
        <v>7358024</v>
      </c>
      <c r="D775" s="125">
        <v>2022</v>
      </c>
      <c r="E775" s="126">
        <v>2453018338</v>
      </c>
      <c r="F775" s="127" t="s">
        <v>288</v>
      </c>
      <c r="G775" s="128">
        <v>75000000</v>
      </c>
      <c r="H775" s="128">
        <v>7358024</v>
      </c>
      <c r="I775" s="38"/>
      <c r="J775" s="38">
        <f t="shared" si="201"/>
        <v>0.10877896293272095</v>
      </c>
      <c r="K775" s="128">
        <v>73496493</v>
      </c>
      <c r="L775" s="128">
        <f>+K775/(1+$J$775)*$J$775</f>
        <v>7210519.4587977603</v>
      </c>
      <c r="M775" s="39">
        <f>L326</f>
        <v>6500768</v>
      </c>
      <c r="N775" s="128">
        <f t="shared" si="203"/>
        <v>709751.45879776031</v>
      </c>
      <c r="O775" s="129">
        <f t="shared" si="204"/>
        <v>283901</v>
      </c>
      <c r="P775" s="130" t="s">
        <v>606</v>
      </c>
      <c r="Q775" s="131">
        <v>6346</v>
      </c>
      <c r="R775" s="42">
        <f t="shared" si="200"/>
        <v>425850.45879776031</v>
      </c>
      <c r="S775" s="131">
        <v>6347</v>
      </c>
      <c r="T775" s="131">
        <v>1471</v>
      </c>
      <c r="U775" s="131">
        <v>2279</v>
      </c>
      <c r="V775" s="125" t="s">
        <v>261</v>
      </c>
      <c r="W775" s="132">
        <v>45455</v>
      </c>
      <c r="X775" s="133" t="s">
        <v>273</v>
      </c>
    </row>
    <row r="776" spans="1:24" s="123" customFormat="1" ht="17.45" customHeight="1" x14ac:dyDescent="0.25">
      <c r="A776" t="str">
        <f t="shared" si="207"/>
        <v>291090730545462666571664,389286</v>
      </c>
      <c r="B776" s="6">
        <f t="shared" si="205"/>
        <v>45639</v>
      </c>
      <c r="C776" s="3">
        <f t="shared" si="206"/>
        <v>1657912075.6085422</v>
      </c>
      <c r="D776" s="125">
        <v>2024</v>
      </c>
      <c r="E776" s="126">
        <v>2910907305</v>
      </c>
      <c r="F776" s="127" t="s">
        <v>602</v>
      </c>
      <c r="G776" s="128">
        <v>16023830031</v>
      </c>
      <c r="H776" s="128">
        <v>1716840708</v>
      </c>
      <c r="I776" s="38"/>
      <c r="J776" s="38">
        <f t="shared" si="201"/>
        <v>0.12000013903973471</v>
      </c>
      <c r="K776" s="128">
        <f>4739098238+'[1]Factur@ Electronic@'!$G$1363</f>
        <v>6221329098.1999998</v>
      </c>
      <c r="L776" s="128">
        <f>+K776/(1+J776)*J776</f>
        <v>666571664.38928556</v>
      </c>
      <c r="M776" s="39">
        <v>507761050.80000001</v>
      </c>
      <c r="N776" s="128">
        <v>159089095</v>
      </c>
      <c r="O776" s="129">
        <f t="shared" si="204"/>
        <v>63635638</v>
      </c>
      <c r="P776" s="130" t="s">
        <v>606</v>
      </c>
      <c r="Q776" s="131">
        <v>6354</v>
      </c>
      <c r="R776" s="42">
        <f t="shared" si="200"/>
        <v>95453457</v>
      </c>
      <c r="S776" s="131">
        <v>6355</v>
      </c>
      <c r="T776" s="131">
        <v>1494</v>
      </c>
      <c r="U776" s="131">
        <v>2382</v>
      </c>
      <c r="V776" s="125" t="s">
        <v>261</v>
      </c>
      <c r="W776" s="132">
        <v>45462</v>
      </c>
      <c r="X776" s="133" t="s">
        <v>641</v>
      </c>
    </row>
    <row r="777" spans="1:24" s="123" customFormat="1" ht="17.45" customHeight="1" x14ac:dyDescent="0.25">
      <c r="A777" t="str">
        <f t="shared" si="207"/>
        <v>2910907314454643214285,5</v>
      </c>
      <c r="B777" s="6">
        <f t="shared" si="205"/>
        <v>45586</v>
      </c>
      <c r="C777" s="3">
        <f t="shared" si="206"/>
        <v>6428570</v>
      </c>
      <c r="D777" s="125">
        <v>2024</v>
      </c>
      <c r="E777" s="126">
        <v>2910907314</v>
      </c>
      <c r="F777" s="127" t="s">
        <v>642</v>
      </c>
      <c r="G777" s="128">
        <v>60000000</v>
      </c>
      <c r="H777" s="128">
        <v>6428571</v>
      </c>
      <c r="I777" s="38"/>
      <c r="J777" s="38">
        <f t="shared" si="201"/>
        <v>0.11999999104000007</v>
      </c>
      <c r="K777" s="128">
        <v>30000000</v>
      </c>
      <c r="L777" s="128">
        <f t="shared" ref="L777:L787" si="208">+K777/(1+J777)*J777</f>
        <v>3214285.5</v>
      </c>
      <c r="M777" s="39">
        <v>0</v>
      </c>
      <c r="N777" s="128">
        <f t="shared" ref="N777:N793" si="209">+L777-M777</f>
        <v>3214285.5</v>
      </c>
      <c r="O777" s="129">
        <f t="shared" si="204"/>
        <v>1285714</v>
      </c>
      <c r="P777" s="130" t="s">
        <v>606</v>
      </c>
      <c r="Q777" s="131">
        <v>6358</v>
      </c>
      <c r="R777" s="42">
        <f t="shared" si="200"/>
        <v>1928571.5</v>
      </c>
      <c r="S777" s="131">
        <v>6359</v>
      </c>
      <c r="T777" s="131">
        <v>1519</v>
      </c>
      <c r="U777" s="131">
        <v>2411</v>
      </c>
      <c r="V777" s="125" t="s">
        <v>261</v>
      </c>
      <c r="W777" s="132">
        <v>45464</v>
      </c>
      <c r="X777" s="133" t="s">
        <v>643</v>
      </c>
    </row>
    <row r="778" spans="1:24" s="123" customFormat="1" ht="17.45" customHeight="1" x14ac:dyDescent="0.25">
      <c r="A778" t="str">
        <f t="shared" si="207"/>
        <v>291090637045464464053531,361298</v>
      </c>
      <c r="B778" s="6">
        <f t="shared" si="205"/>
        <v>45530</v>
      </c>
      <c r="C778" s="3">
        <f t="shared" si="206"/>
        <v>467234191.89532739</v>
      </c>
      <c r="D778" s="125">
        <v>2018</v>
      </c>
      <c r="E778" s="126">
        <v>2910906370</v>
      </c>
      <c r="F778" s="127" t="s">
        <v>74</v>
      </c>
      <c r="G778" s="128">
        <v>5033567040</v>
      </c>
      <c r="H778" s="128">
        <v>539310754</v>
      </c>
      <c r="I778" s="38"/>
      <c r="J778" s="38">
        <f t="shared" si="201"/>
        <v>0.11999999992879801</v>
      </c>
      <c r="K778" s="128">
        <v>4331166295</v>
      </c>
      <c r="L778" s="128">
        <f t="shared" si="208"/>
        <v>464053531.36129808</v>
      </c>
      <c r="M778" s="39">
        <f>L769</f>
        <v>459436628.00660121</v>
      </c>
      <c r="N778" s="128">
        <f t="shared" si="209"/>
        <v>4616903.3546968699</v>
      </c>
      <c r="O778" s="129">
        <f t="shared" si="204"/>
        <v>1846761</v>
      </c>
      <c r="P778" s="130" t="s">
        <v>606</v>
      </c>
      <c r="Q778" s="131">
        <v>6350</v>
      </c>
      <c r="R778" s="42">
        <f t="shared" si="200"/>
        <v>2770142.3546968699</v>
      </c>
      <c r="S778" s="131">
        <v>6351</v>
      </c>
      <c r="T778" s="131">
        <v>1515</v>
      </c>
      <c r="U778" s="131">
        <v>2408</v>
      </c>
      <c r="V778" s="125" t="s">
        <v>261</v>
      </c>
      <c r="W778" s="132">
        <v>45464</v>
      </c>
      <c r="X778" s="133" t="s">
        <v>644</v>
      </c>
    </row>
    <row r="779" spans="1:24" s="123" customFormat="1" ht="17.45" customHeight="1" x14ac:dyDescent="0.25">
      <c r="A779" t="str">
        <f t="shared" si="207"/>
        <v>29109073034546429906258,2393393</v>
      </c>
      <c r="B779" s="6">
        <f t="shared" si="205"/>
        <v>45741</v>
      </c>
      <c r="C779" s="3">
        <f t="shared" si="206"/>
        <v>75459224.865958109</v>
      </c>
      <c r="D779" s="125">
        <v>2024</v>
      </c>
      <c r="E779" s="126">
        <v>2910907303</v>
      </c>
      <c r="F779" s="127" t="s">
        <v>645</v>
      </c>
      <c r="G779" s="128">
        <v>1870184774</v>
      </c>
      <c r="H779" s="128">
        <v>200376940</v>
      </c>
      <c r="I779" s="38"/>
      <c r="J779" s="38">
        <f t="shared" si="201"/>
        <v>0.11999999995209029</v>
      </c>
      <c r="K779" s="128">
        <v>279125077</v>
      </c>
      <c r="L779" s="128">
        <f t="shared" si="208"/>
        <v>29906258.239339288</v>
      </c>
      <c r="M779" s="39">
        <v>0</v>
      </c>
      <c r="N779" s="128">
        <f t="shared" si="209"/>
        <v>29906258.239339288</v>
      </c>
      <c r="O779" s="129">
        <f t="shared" si="204"/>
        <v>11962503</v>
      </c>
      <c r="P779" s="130" t="s">
        <v>606</v>
      </c>
      <c r="Q779" s="131">
        <v>6352</v>
      </c>
      <c r="R779" s="42">
        <f t="shared" si="200"/>
        <v>17943755.239339288</v>
      </c>
      <c r="S779" s="131">
        <v>6353</v>
      </c>
      <c r="T779" s="131">
        <v>1517</v>
      </c>
      <c r="U779" s="131">
        <v>2409</v>
      </c>
      <c r="V779" s="125" t="s">
        <v>261</v>
      </c>
      <c r="W779" s="132">
        <v>45464</v>
      </c>
      <c r="X779" s="133" t="s">
        <v>646</v>
      </c>
    </row>
    <row r="780" spans="1:24" s="123" customFormat="1" ht="17.45" customHeight="1" x14ac:dyDescent="0.25">
      <c r="A780" t="str">
        <f t="shared" si="207"/>
        <v>29109073064546416075000</v>
      </c>
      <c r="B780" s="6">
        <f t="shared" si="205"/>
        <v>45464</v>
      </c>
      <c r="C780" s="3">
        <f t="shared" si="206"/>
        <v>16075000</v>
      </c>
      <c r="D780" s="125">
        <v>2023</v>
      </c>
      <c r="E780" s="126">
        <v>2910907306</v>
      </c>
      <c r="F780" s="127" t="s">
        <v>629</v>
      </c>
      <c r="G780" s="128">
        <v>150000000</v>
      </c>
      <c r="H780" s="128">
        <v>16075000</v>
      </c>
      <c r="I780" s="38"/>
      <c r="J780" s="38">
        <f t="shared" si="201"/>
        <v>0.12002986746313235</v>
      </c>
      <c r="K780" s="128">
        <f>75000000+75000000</f>
        <v>150000000</v>
      </c>
      <c r="L780" s="128">
        <f t="shared" si="208"/>
        <v>16075000</v>
      </c>
      <c r="M780" s="39">
        <f>L764</f>
        <v>8037500</v>
      </c>
      <c r="N780" s="128">
        <f t="shared" si="209"/>
        <v>8037500</v>
      </c>
      <c r="O780" s="129">
        <f t="shared" si="204"/>
        <v>3215000</v>
      </c>
      <c r="P780" s="130" t="s">
        <v>606</v>
      </c>
      <c r="Q780" s="131">
        <v>6356</v>
      </c>
      <c r="R780" s="42">
        <f t="shared" si="200"/>
        <v>4822500</v>
      </c>
      <c r="S780" s="131">
        <v>6357</v>
      </c>
      <c r="T780" s="131">
        <v>1518</v>
      </c>
      <c r="U780" s="131">
        <v>2410</v>
      </c>
      <c r="V780" s="125" t="s">
        <v>261</v>
      </c>
      <c r="W780" s="132">
        <v>45464</v>
      </c>
      <c r="X780" s="133" t="s">
        <v>647</v>
      </c>
    </row>
    <row r="781" spans="1:24" s="123" customFormat="1" ht="17.45" customHeight="1" x14ac:dyDescent="0.25">
      <c r="A781" t="str">
        <f t="shared" si="207"/>
        <v>245301834045467726848627,792442</v>
      </c>
      <c r="B781" s="6">
        <f t="shared" si="205"/>
        <v>45524</v>
      </c>
      <c r="C781" s="3">
        <f t="shared" si="206"/>
        <v>750720353.98835123</v>
      </c>
      <c r="D781" s="125">
        <v>2022</v>
      </c>
      <c r="E781" s="126">
        <v>2453018340</v>
      </c>
      <c r="F781" s="127" t="s">
        <v>320</v>
      </c>
      <c r="G781" s="128">
        <v>7253407050</v>
      </c>
      <c r="H781" s="128">
        <v>774054537</v>
      </c>
      <c r="I781" s="38"/>
      <c r="J781" s="38">
        <f t="shared" si="201"/>
        <v>0.11946479767028537</v>
      </c>
      <c r="K781" s="128">
        <v>6811056210</v>
      </c>
      <c r="L781" s="128">
        <f t="shared" si="208"/>
        <v>726848627.79244196</v>
      </c>
      <c r="M781" s="39">
        <v>683796613</v>
      </c>
      <c r="N781" s="128">
        <f t="shared" si="209"/>
        <v>43052014.792441964</v>
      </c>
      <c r="O781" s="129">
        <f t="shared" si="204"/>
        <v>17220806</v>
      </c>
      <c r="P781" s="130" t="s">
        <v>606</v>
      </c>
      <c r="Q781" s="131">
        <v>6936</v>
      </c>
      <c r="R781" s="42">
        <f t="shared" si="200"/>
        <v>25831208.792441964</v>
      </c>
      <c r="S781" s="131">
        <v>6937</v>
      </c>
      <c r="T781" s="131">
        <v>1534</v>
      </c>
      <c r="U781" s="131">
        <v>2431</v>
      </c>
      <c r="V781" s="125" t="s">
        <v>261</v>
      </c>
      <c r="W781" s="132">
        <v>45467</v>
      </c>
      <c r="X781" s="133" t="s">
        <v>425</v>
      </c>
    </row>
    <row r="782" spans="1:24" s="123" customFormat="1" ht="17.45" customHeight="1" x14ac:dyDescent="0.25">
      <c r="A782" t="str">
        <f t="shared" si="207"/>
        <v>245301834745467129104087,106644</v>
      </c>
      <c r="B782" s="6">
        <f t="shared" si="205"/>
        <v>45730</v>
      </c>
      <c r="C782" s="3">
        <f t="shared" si="206"/>
        <v>227416985.11999634</v>
      </c>
      <c r="D782" s="125">
        <v>2023</v>
      </c>
      <c r="E782" s="126">
        <v>2453018347</v>
      </c>
      <c r="F782" s="127" t="s">
        <v>391</v>
      </c>
      <c r="G782" s="128">
        <v>2033323757</v>
      </c>
      <c r="H782" s="128">
        <v>243997849</v>
      </c>
      <c r="I782" s="38"/>
      <c r="J782" s="38">
        <f t="shared" si="201"/>
        <v>0.13636300011590732</v>
      </c>
      <c r="K782" s="128">
        <v>1075871810</v>
      </c>
      <c r="L782" s="128">
        <f t="shared" si="208"/>
        <v>129104087.10664402</v>
      </c>
      <c r="M782" s="39">
        <v>123633338.72919676</v>
      </c>
      <c r="N782" s="128">
        <f t="shared" si="209"/>
        <v>5470748.3774472624</v>
      </c>
      <c r="O782" s="129">
        <f t="shared" si="204"/>
        <v>2188299</v>
      </c>
      <c r="P782" s="130" t="s">
        <v>606</v>
      </c>
      <c r="Q782" s="131">
        <v>6938</v>
      </c>
      <c r="R782" s="42">
        <f t="shared" si="200"/>
        <v>3282449.3774472624</v>
      </c>
      <c r="S782" s="131">
        <v>6939</v>
      </c>
      <c r="T782" s="131">
        <v>1535</v>
      </c>
      <c r="U782" s="131">
        <v>2432</v>
      </c>
      <c r="V782" s="125" t="s">
        <v>261</v>
      </c>
      <c r="W782" s="132">
        <v>45467</v>
      </c>
      <c r="X782" s="133" t="s">
        <v>471</v>
      </c>
    </row>
    <row r="783" spans="1:24" s="123" customFormat="1" ht="17.45" customHeight="1" x14ac:dyDescent="0.25">
      <c r="A783" t="str">
        <f t="shared" si="207"/>
        <v>291090723145467552155128,413338</v>
      </c>
      <c r="B783" s="6">
        <f t="shared" si="205"/>
        <v>45880</v>
      </c>
      <c r="C783" s="3">
        <f t="shared" si="206"/>
        <v>725275008</v>
      </c>
      <c r="D783" s="125">
        <v>2023</v>
      </c>
      <c r="E783" s="126">
        <v>2910907231</v>
      </c>
      <c r="F783" s="127" t="s">
        <v>410</v>
      </c>
      <c r="G783" s="128">
        <v>7055787001</v>
      </c>
      <c r="H783" s="128">
        <v>755977179</v>
      </c>
      <c r="I783" s="38"/>
      <c r="J783" s="38">
        <f t="shared" si="201"/>
        <v>0.12000000005714458</v>
      </c>
      <c r="K783" s="128">
        <v>5153447863</v>
      </c>
      <c r="L783" s="128">
        <f t="shared" si="208"/>
        <v>552155128.4133383</v>
      </c>
      <c r="M783" s="39">
        <v>514400630.897286</v>
      </c>
      <c r="N783" s="128">
        <f t="shared" si="209"/>
        <v>37754497.516052306</v>
      </c>
      <c r="O783" s="129">
        <f t="shared" si="204"/>
        <v>15101799</v>
      </c>
      <c r="P783" s="130" t="s">
        <v>606</v>
      </c>
      <c r="Q783" s="131">
        <v>6952</v>
      </c>
      <c r="R783" s="42">
        <f t="shared" si="200"/>
        <v>22652698.516052306</v>
      </c>
      <c r="S783" s="131">
        <v>6953</v>
      </c>
      <c r="T783" s="131">
        <v>1542</v>
      </c>
      <c r="U783" s="131">
        <v>2439</v>
      </c>
      <c r="V783" s="125" t="s">
        <v>261</v>
      </c>
      <c r="W783" s="132">
        <v>45467</v>
      </c>
      <c r="X783" s="133" t="s">
        <v>648</v>
      </c>
    </row>
    <row r="784" spans="1:24" s="123" customFormat="1" ht="17.45" customHeight="1" x14ac:dyDescent="0.25">
      <c r="A784" t="str">
        <f t="shared" si="207"/>
        <v>291090724645467235757142,816</v>
      </c>
      <c r="B784" s="6">
        <f t="shared" si="205"/>
        <v>45891</v>
      </c>
      <c r="C784" s="3">
        <f t="shared" si="206"/>
        <v>292131177.05616194</v>
      </c>
      <c r="D784" s="125">
        <v>2023</v>
      </c>
      <c r="E784" s="126">
        <v>2910907246</v>
      </c>
      <c r="F784" s="127" t="s">
        <v>541</v>
      </c>
      <c r="G784" s="128">
        <v>2750500000</v>
      </c>
      <c r="H784" s="128">
        <v>294696428.51999998</v>
      </c>
      <c r="I784" s="38"/>
      <c r="J784" s="38">
        <f t="shared" si="201"/>
        <v>0.11999999997654534</v>
      </c>
      <c r="K784" s="128">
        <v>2200400000</v>
      </c>
      <c r="L784" s="128">
        <f t="shared" si="208"/>
        <v>235757142.81599998</v>
      </c>
      <c r="M784" s="39">
        <v>147348214</v>
      </c>
      <c r="N784" s="128">
        <f t="shared" si="209"/>
        <v>88408928.815999985</v>
      </c>
      <c r="O784" s="129">
        <f t="shared" si="204"/>
        <v>35363572</v>
      </c>
      <c r="P784" s="130" t="s">
        <v>606</v>
      </c>
      <c r="Q784" s="131">
        <v>6956</v>
      </c>
      <c r="R784" s="42">
        <f t="shared" si="200"/>
        <v>53045356.815999985</v>
      </c>
      <c r="S784" s="131">
        <v>6957</v>
      </c>
      <c r="T784" s="131">
        <v>1544</v>
      </c>
      <c r="U784" s="131">
        <v>2441</v>
      </c>
      <c r="V784" s="125" t="s">
        <v>261</v>
      </c>
      <c r="W784" s="132">
        <v>45467</v>
      </c>
      <c r="X784" s="133" t="s">
        <v>649</v>
      </c>
    </row>
    <row r="785" spans="1:24" s="123" customFormat="1" ht="17.45" customHeight="1" x14ac:dyDescent="0.25">
      <c r="A785" t="str">
        <f t="shared" si="207"/>
        <v>29109072354546720921469</v>
      </c>
      <c r="B785" s="6">
        <f t="shared" si="205"/>
        <v>45467</v>
      </c>
      <c r="C785" s="3">
        <f t="shared" si="206"/>
        <v>20921469</v>
      </c>
      <c r="D785" s="125">
        <v>2023</v>
      </c>
      <c r="E785" s="126">
        <v>2910907235</v>
      </c>
      <c r="F785" s="127" t="s">
        <v>422</v>
      </c>
      <c r="G785" s="128">
        <v>195267045</v>
      </c>
      <c r="H785" s="128">
        <v>20921469</v>
      </c>
      <c r="I785" s="38"/>
      <c r="J785" s="38">
        <f t="shared" si="201"/>
        <v>0.11999999931171182</v>
      </c>
      <c r="K785" s="128">
        <v>195267045</v>
      </c>
      <c r="L785" s="128">
        <f t="shared" si="208"/>
        <v>20921469</v>
      </c>
      <c r="M785" s="39">
        <v>18673892</v>
      </c>
      <c r="N785" s="128">
        <f t="shared" si="209"/>
        <v>2247577</v>
      </c>
      <c r="O785" s="129">
        <f t="shared" si="204"/>
        <v>899031</v>
      </c>
      <c r="P785" s="130" t="s">
        <v>606</v>
      </c>
      <c r="Q785" s="131">
        <v>6954</v>
      </c>
      <c r="R785" s="42">
        <f t="shared" si="200"/>
        <v>1348546</v>
      </c>
      <c r="S785" s="131">
        <v>6955</v>
      </c>
      <c r="T785" s="131">
        <v>1543</v>
      </c>
      <c r="U785" s="131">
        <v>2440</v>
      </c>
      <c r="V785" s="125" t="s">
        <v>261</v>
      </c>
      <c r="W785" s="132">
        <v>45467</v>
      </c>
      <c r="X785" s="133" t="s">
        <v>650</v>
      </c>
    </row>
    <row r="786" spans="1:24" s="123" customFormat="1" ht="17.45" customHeight="1" x14ac:dyDescent="0.25">
      <c r="A786" t="str">
        <f t="shared" si="207"/>
        <v>245301834845467133058665,906427</v>
      </c>
      <c r="B786" s="6">
        <f t="shared" si="205"/>
        <v>45553</v>
      </c>
      <c r="C786" s="3">
        <f t="shared" si="206"/>
        <v>250867949.19596934</v>
      </c>
      <c r="D786" s="125">
        <v>2023</v>
      </c>
      <c r="E786" s="126">
        <v>2453018348</v>
      </c>
      <c r="F786" s="127" t="s">
        <v>426</v>
      </c>
      <c r="G786" s="128">
        <v>3652668243</v>
      </c>
      <c r="H786" s="128">
        <v>391357312</v>
      </c>
      <c r="I786" s="38"/>
      <c r="J786" s="38">
        <f t="shared" si="201"/>
        <v>0.12000000008585504</v>
      </c>
      <c r="K786" s="128">
        <v>1241880881</v>
      </c>
      <c r="L786" s="128">
        <f t="shared" si="208"/>
        <v>133058665.90642677</v>
      </c>
      <c r="M786" s="39">
        <v>122820771.29274392</v>
      </c>
      <c r="N786" s="128">
        <f t="shared" si="209"/>
        <v>10237894.613682851</v>
      </c>
      <c r="O786" s="129">
        <f t="shared" si="204"/>
        <v>4095158</v>
      </c>
      <c r="P786" s="130" t="s">
        <v>606</v>
      </c>
      <c r="Q786" s="131">
        <v>6940</v>
      </c>
      <c r="R786" s="42">
        <f t="shared" si="200"/>
        <v>6142736.6136828512</v>
      </c>
      <c r="S786" s="131">
        <v>6941</v>
      </c>
      <c r="T786" s="131">
        <v>1536</v>
      </c>
      <c r="U786" s="131">
        <v>2433</v>
      </c>
      <c r="V786" s="125" t="s">
        <v>261</v>
      </c>
      <c r="W786" s="132">
        <v>45467</v>
      </c>
      <c r="X786" s="133" t="s">
        <v>425</v>
      </c>
    </row>
    <row r="787" spans="1:24" s="123" customFormat="1" ht="17.45" customHeight="1" x14ac:dyDescent="0.25">
      <c r="A787" t="str">
        <f t="shared" si="207"/>
        <v>2453018360454674228629,66998742</v>
      </c>
      <c r="B787" s="6">
        <f t="shared" si="205"/>
        <v>45730</v>
      </c>
      <c r="C787" s="3">
        <f t="shared" si="206"/>
        <v>36391063.840622641</v>
      </c>
      <c r="D787" s="125">
        <v>2023</v>
      </c>
      <c r="E787" s="126">
        <v>2453018360</v>
      </c>
      <c r="F787" s="127" t="s">
        <v>620</v>
      </c>
      <c r="G787" s="128">
        <v>623455500</v>
      </c>
      <c r="H787" s="128">
        <v>66798804</v>
      </c>
      <c r="I787" s="38"/>
      <c r="J787" s="38">
        <f t="shared" si="201"/>
        <v>0.12000000086229089</v>
      </c>
      <c r="K787" s="128">
        <v>39467210</v>
      </c>
      <c r="L787" s="128">
        <f t="shared" si="208"/>
        <v>4228629.6699874178</v>
      </c>
      <c r="M787" s="39">
        <v>2658117.1241969508</v>
      </c>
      <c r="N787" s="128">
        <f t="shared" si="209"/>
        <v>1570512.5457904669</v>
      </c>
      <c r="O787" s="129">
        <f t="shared" si="204"/>
        <v>628205</v>
      </c>
      <c r="P787" s="130" t="s">
        <v>606</v>
      </c>
      <c r="Q787" s="131">
        <v>6948</v>
      </c>
      <c r="R787" s="42">
        <f t="shared" si="200"/>
        <v>942307.54579046695</v>
      </c>
      <c r="S787" s="131">
        <v>6949</v>
      </c>
      <c r="T787" s="131">
        <v>1540</v>
      </c>
      <c r="U787" s="131">
        <v>2437</v>
      </c>
      <c r="V787" s="125" t="s">
        <v>261</v>
      </c>
      <c r="W787" s="132">
        <v>45467</v>
      </c>
      <c r="X787" s="133" t="s">
        <v>425</v>
      </c>
    </row>
    <row r="788" spans="1:24" s="123" customFormat="1" ht="17.45" customHeight="1" x14ac:dyDescent="0.25">
      <c r="A788" t="str">
        <f t="shared" si="207"/>
        <v>245301835245467216138592,654259</v>
      </c>
      <c r="B788" s="6">
        <f t="shared" si="205"/>
        <v>45531</v>
      </c>
      <c r="C788" s="3">
        <f t="shared" si="206"/>
        <v>218662504.66231647</v>
      </c>
      <c r="D788" s="125">
        <v>2023</v>
      </c>
      <c r="E788" s="126">
        <v>2453018352</v>
      </c>
      <c r="F788" s="127" t="s">
        <v>469</v>
      </c>
      <c r="G788" s="128">
        <v>5189063824</v>
      </c>
      <c r="H788" s="128">
        <v>261032799</v>
      </c>
      <c r="I788" s="38"/>
      <c r="J788" s="38">
        <v>0.12000000042904171</v>
      </c>
      <c r="K788" s="128">
        <v>2017293525</v>
      </c>
      <c r="L788" s="128">
        <f>+K788/(1+$J$748)*$J$748</f>
        <v>216138592.65425944</v>
      </c>
      <c r="M788" s="39">
        <v>211827873.14049843</v>
      </c>
      <c r="N788" s="128">
        <f t="shared" si="209"/>
        <v>4310719.5137610137</v>
      </c>
      <c r="O788" s="129">
        <f t="shared" si="204"/>
        <v>1724288</v>
      </c>
      <c r="P788" s="130" t="s">
        <v>606</v>
      </c>
      <c r="Q788" s="131">
        <v>6944</v>
      </c>
      <c r="R788" s="42">
        <f t="shared" si="200"/>
        <v>2586431.5137610137</v>
      </c>
      <c r="S788" s="131">
        <v>6945</v>
      </c>
      <c r="T788" s="131">
        <v>1538</v>
      </c>
      <c r="U788" s="131">
        <v>2434</v>
      </c>
      <c r="V788" s="125" t="s">
        <v>261</v>
      </c>
      <c r="W788" s="132">
        <v>45467</v>
      </c>
      <c r="X788" s="133" t="s">
        <v>470</v>
      </c>
    </row>
    <row r="789" spans="1:24" s="123" customFormat="1" ht="17.45" customHeight="1" x14ac:dyDescent="0.25">
      <c r="A789" t="str">
        <f t="shared" si="207"/>
        <v>245301835045467903743807,944954</v>
      </c>
      <c r="B789" s="6">
        <f t="shared" si="205"/>
        <v>45743</v>
      </c>
      <c r="C789" s="3">
        <f t="shared" si="206"/>
        <v>1344604499.9999998</v>
      </c>
      <c r="D789" s="125">
        <v>2023</v>
      </c>
      <c r="E789" s="126">
        <v>2453018350</v>
      </c>
      <c r="F789" s="127" t="s">
        <v>450</v>
      </c>
      <c r="G789" s="128">
        <v>16284654500</v>
      </c>
      <c r="H789" s="128">
        <v>1344604500</v>
      </c>
      <c r="I789" s="38"/>
      <c r="J789" s="38">
        <f t="shared" ref="J789:J798" si="210">IFERROR((+H789/(G789-H789)),0)</f>
        <v>0.09</v>
      </c>
      <c r="K789" s="128">
        <v>10945341674</v>
      </c>
      <c r="L789" s="128">
        <f>+K789/(1+$J$789)*$J$789</f>
        <v>903743807.94495416</v>
      </c>
      <c r="M789" s="39">
        <v>857666556.66055036</v>
      </c>
      <c r="N789" s="128">
        <f t="shared" si="209"/>
        <v>46077251.284403801</v>
      </c>
      <c r="O789" s="129">
        <f t="shared" si="204"/>
        <v>18430901</v>
      </c>
      <c r="P789" s="130" t="s">
        <v>606</v>
      </c>
      <c r="Q789" s="131">
        <v>6942</v>
      </c>
      <c r="R789" s="42">
        <f t="shared" si="200"/>
        <v>27646350.284403801</v>
      </c>
      <c r="S789" s="131">
        <v>6943</v>
      </c>
      <c r="T789" s="131">
        <v>1537</v>
      </c>
      <c r="U789" s="131">
        <v>2434</v>
      </c>
      <c r="V789" s="125" t="s">
        <v>261</v>
      </c>
      <c r="W789" s="132">
        <v>45467</v>
      </c>
      <c r="X789" s="133" t="s">
        <v>451</v>
      </c>
    </row>
    <row r="790" spans="1:24" s="123" customFormat="1" ht="17.45" customHeight="1" x14ac:dyDescent="0.25">
      <c r="A790" t="str">
        <f t="shared" si="207"/>
        <v>2453018354454675489232,93659901</v>
      </c>
      <c r="B790" s="6">
        <f t="shared" si="205"/>
        <v>45924</v>
      </c>
      <c r="C790" s="3">
        <f t="shared" si="206"/>
        <v>23665036.380637806</v>
      </c>
      <c r="D790" s="125">
        <v>2023</v>
      </c>
      <c r="E790" s="126">
        <v>2453018354</v>
      </c>
      <c r="F790" s="127" t="s">
        <v>651</v>
      </c>
      <c r="G790" s="128">
        <v>330437363</v>
      </c>
      <c r="H790" s="128">
        <v>35404003</v>
      </c>
      <c r="I790" s="38"/>
      <c r="J790" s="38">
        <f t="shared" si="210"/>
        <v>0.11999999932211056</v>
      </c>
      <c r="K790" s="128">
        <v>51232841</v>
      </c>
      <c r="L790" s="128">
        <f>+K790/(1+$J$790)*$J$790</f>
        <v>5489232.9365990097</v>
      </c>
      <c r="M790" s="39">
        <v>0</v>
      </c>
      <c r="N790" s="128">
        <f t="shared" si="209"/>
        <v>5489232.9365990097</v>
      </c>
      <c r="O790" s="129">
        <f t="shared" si="204"/>
        <v>2195693</v>
      </c>
      <c r="P790" s="130" t="s">
        <v>606</v>
      </c>
      <c r="Q790" s="131">
        <v>6946</v>
      </c>
      <c r="R790" s="42">
        <f t="shared" si="200"/>
        <v>3293539.9365990097</v>
      </c>
      <c r="S790" s="131">
        <v>6947</v>
      </c>
      <c r="T790" s="131">
        <v>1539</v>
      </c>
      <c r="U790" s="131">
        <v>2436</v>
      </c>
      <c r="V790" s="125" t="s">
        <v>261</v>
      </c>
      <c r="W790" s="132">
        <v>45467</v>
      </c>
      <c r="X790" s="133" t="s">
        <v>425</v>
      </c>
    </row>
    <row r="791" spans="1:24" s="123" customFormat="1" ht="17.45" customHeight="1" x14ac:dyDescent="0.25">
      <c r="A791" t="str">
        <f t="shared" si="207"/>
        <v>2910908093454673910714</v>
      </c>
      <c r="B791" s="6">
        <f t="shared" si="205"/>
        <v>45467</v>
      </c>
      <c r="C791" s="3">
        <f t="shared" si="206"/>
        <v>4339286</v>
      </c>
      <c r="D791" s="125">
        <v>2023</v>
      </c>
      <c r="E791" s="126">
        <v>2910908093</v>
      </c>
      <c r="F791" s="127" t="s">
        <v>652</v>
      </c>
      <c r="G791" s="128">
        <v>36500000</v>
      </c>
      <c r="H791" s="128">
        <v>3910714</v>
      </c>
      <c r="I791" s="38"/>
      <c r="J791" s="38">
        <f t="shared" si="210"/>
        <v>0.119999990180822</v>
      </c>
      <c r="K791" s="128">
        <v>36500000</v>
      </c>
      <c r="L791" s="128">
        <f>+K791/(1+$J$791)*$J$791</f>
        <v>3910714</v>
      </c>
      <c r="M791" s="39">
        <v>0</v>
      </c>
      <c r="N791" s="128">
        <f t="shared" si="209"/>
        <v>3910714</v>
      </c>
      <c r="O791" s="129">
        <f t="shared" si="204"/>
        <v>1564286</v>
      </c>
      <c r="P791" s="130" t="s">
        <v>606</v>
      </c>
      <c r="Q791" s="131">
        <v>6962</v>
      </c>
      <c r="R791" s="42">
        <f t="shared" si="200"/>
        <v>2346428</v>
      </c>
      <c r="S791" s="131">
        <v>6963</v>
      </c>
      <c r="T791" s="131">
        <v>1547</v>
      </c>
      <c r="U791" s="131">
        <v>2444</v>
      </c>
      <c r="V791" s="125" t="s">
        <v>261</v>
      </c>
      <c r="W791" s="132">
        <v>45467</v>
      </c>
      <c r="X791" s="133" t="s">
        <v>428</v>
      </c>
    </row>
    <row r="792" spans="1:24" s="123" customFormat="1" ht="17.45" customHeight="1" x14ac:dyDescent="0.25">
      <c r="A792" t="str">
        <f t="shared" si="207"/>
        <v>2453018338454677358024</v>
      </c>
      <c r="B792" s="6">
        <f t="shared" si="205"/>
        <v>45467</v>
      </c>
      <c r="C792" s="3">
        <f t="shared" si="206"/>
        <v>7358024</v>
      </c>
      <c r="D792" s="125">
        <v>2022</v>
      </c>
      <c r="E792" s="126">
        <v>2453018338</v>
      </c>
      <c r="F792" s="127" t="s">
        <v>288</v>
      </c>
      <c r="G792" s="128">
        <v>75000000</v>
      </c>
      <c r="H792" s="128">
        <v>7358024</v>
      </c>
      <c r="I792" s="38"/>
      <c r="J792" s="38">
        <f t="shared" si="210"/>
        <v>0.10877896293272095</v>
      </c>
      <c r="K792" s="128">
        <v>75000000</v>
      </c>
      <c r="L792" s="128">
        <f>+K792/(1+$J$792)*$J$775</f>
        <v>7358024</v>
      </c>
      <c r="M792" s="39">
        <v>7210519.4587977603</v>
      </c>
      <c r="N792" s="128">
        <f t="shared" si="209"/>
        <v>147504.54120223969</v>
      </c>
      <c r="O792" s="129">
        <f t="shared" si="204"/>
        <v>59002</v>
      </c>
      <c r="P792" s="130" t="s">
        <v>606</v>
      </c>
      <c r="Q792" s="131">
        <v>6934</v>
      </c>
      <c r="R792" s="42">
        <f t="shared" si="200"/>
        <v>88502.541202239692</v>
      </c>
      <c r="S792" s="131">
        <v>6935</v>
      </c>
      <c r="T792" s="131">
        <v>1533</v>
      </c>
      <c r="U792" s="131">
        <v>2430</v>
      </c>
      <c r="V792" s="125" t="s">
        <v>261</v>
      </c>
      <c r="W792" s="132">
        <v>45467</v>
      </c>
      <c r="X792" s="133" t="s">
        <v>273</v>
      </c>
    </row>
    <row r="793" spans="1:24" s="123" customFormat="1" ht="17.45" customHeight="1" x14ac:dyDescent="0.25">
      <c r="A793" t="str">
        <f t="shared" si="207"/>
        <v>2910907299454673889285,455</v>
      </c>
      <c r="B793" s="6">
        <f t="shared" si="205"/>
        <v>45467</v>
      </c>
      <c r="C793" s="3">
        <f t="shared" si="206"/>
        <v>3889285.4550000001</v>
      </c>
      <c r="D793" s="125">
        <v>2023</v>
      </c>
      <c r="E793" s="126">
        <v>2910907299</v>
      </c>
      <c r="F793" s="127" t="s">
        <v>653</v>
      </c>
      <c r="G793" s="128">
        <v>40000000</v>
      </c>
      <c r="H793" s="128">
        <v>4285714</v>
      </c>
      <c r="I793" s="38"/>
      <c r="J793" s="38">
        <f t="shared" si="210"/>
        <v>0.11999999104000007</v>
      </c>
      <c r="K793" s="128">
        <v>36300000</v>
      </c>
      <c r="L793" s="128">
        <f>+K793/(1+$J$793)*$J$793</f>
        <v>3889285.4550000001</v>
      </c>
      <c r="M793" s="39">
        <v>0</v>
      </c>
      <c r="N793" s="128">
        <f t="shared" si="209"/>
        <v>3889285.4550000001</v>
      </c>
      <c r="O793" s="129">
        <f t="shared" si="204"/>
        <v>1555714</v>
      </c>
      <c r="P793" s="130" t="s">
        <v>606</v>
      </c>
      <c r="Q793" s="131">
        <v>6958</v>
      </c>
      <c r="R793" s="42">
        <f t="shared" si="200"/>
        <v>2333571.4550000001</v>
      </c>
      <c r="S793" s="131">
        <v>6959</v>
      </c>
      <c r="T793" s="131">
        <v>1545</v>
      </c>
      <c r="U793" s="131">
        <v>2442</v>
      </c>
      <c r="V793" s="125" t="s">
        <v>261</v>
      </c>
      <c r="W793" s="132">
        <v>45467</v>
      </c>
      <c r="X793" s="133" t="s">
        <v>654</v>
      </c>
    </row>
    <row r="794" spans="1:24" s="123" customFormat="1" ht="17.45" customHeight="1" x14ac:dyDescent="0.25">
      <c r="A794" t="str">
        <f t="shared" si="207"/>
        <v>29109067234546753971864</v>
      </c>
      <c r="B794" s="6">
        <f t="shared" si="205"/>
        <v>45467</v>
      </c>
      <c r="C794" s="3">
        <f t="shared" si="206"/>
        <v>53971864</v>
      </c>
      <c r="D794" s="125">
        <v>2020</v>
      </c>
      <c r="E794" s="126">
        <v>2910906723</v>
      </c>
      <c r="F794" s="127" t="s">
        <v>80</v>
      </c>
      <c r="G794" s="128">
        <v>503737398</v>
      </c>
      <c r="H794" s="128">
        <v>53971864</v>
      </c>
      <c r="I794" s="38"/>
      <c r="J794" s="38">
        <f t="shared" si="210"/>
        <v>0.11999999982212954</v>
      </c>
      <c r="K794" s="128">
        <v>503737398</v>
      </c>
      <c r="L794" s="128">
        <f>+K794/(1+$J$794)*$J$794</f>
        <v>53971864</v>
      </c>
      <c r="M794" s="39">
        <v>43050876</v>
      </c>
      <c r="N794" s="128">
        <f t="shared" ref="N794" si="211">+L794-M794</f>
        <v>10920988</v>
      </c>
      <c r="O794" s="129">
        <f t="shared" ref="O794" si="212">ROUND((N794*40%),0)</f>
        <v>4368395</v>
      </c>
      <c r="P794" s="130" t="s">
        <v>606</v>
      </c>
      <c r="Q794" s="131">
        <v>6950</v>
      </c>
      <c r="R794" s="42">
        <f t="shared" si="200"/>
        <v>6552593</v>
      </c>
      <c r="S794" s="131">
        <v>6951</v>
      </c>
      <c r="T794" s="131">
        <v>1541</v>
      </c>
      <c r="U794" s="131">
        <v>2438</v>
      </c>
      <c r="V794" s="125" t="s">
        <v>261</v>
      </c>
      <c r="W794" s="132">
        <v>45467</v>
      </c>
      <c r="X794" s="133" t="s">
        <v>655</v>
      </c>
    </row>
    <row r="795" spans="1:24" s="123" customFormat="1" ht="17.45" customHeight="1" x14ac:dyDescent="0.25">
      <c r="A795" t="str">
        <f t="shared" si="207"/>
        <v>24530183274546761078665</v>
      </c>
      <c r="B795" s="6">
        <f t="shared" si="205"/>
        <v>45467</v>
      </c>
      <c r="C795" s="3">
        <f t="shared" si="206"/>
        <v>61078665.000000007</v>
      </c>
      <c r="D795" s="125">
        <v>2021</v>
      </c>
      <c r="E795" s="126">
        <v>2453018327</v>
      </c>
      <c r="F795" s="127" t="s">
        <v>196</v>
      </c>
      <c r="G795" s="128">
        <v>570067542</v>
      </c>
      <c r="H795" s="128">
        <v>61078665</v>
      </c>
      <c r="I795" s="38"/>
      <c r="J795" s="38">
        <f t="shared" si="210"/>
        <v>0.11999999952847692</v>
      </c>
      <c r="K795" s="128">
        <v>570067542</v>
      </c>
      <c r="L795" s="128">
        <f t="shared" ref="L795:L796" si="213">+K795/(1+J795)*J795</f>
        <v>61078665.000000007</v>
      </c>
      <c r="M795" s="39">
        <v>51608344.533225261</v>
      </c>
      <c r="N795" s="128">
        <f t="shared" ref="N795:N800" si="214">+L795-M795</f>
        <v>9470320.4667747468</v>
      </c>
      <c r="O795" s="129">
        <f>ROUND((N795*40%),0)</f>
        <v>3788128</v>
      </c>
      <c r="P795" s="130" t="s">
        <v>606</v>
      </c>
      <c r="Q795" s="131">
        <v>6932</v>
      </c>
      <c r="R795" s="42">
        <f t="shared" si="200"/>
        <v>5682192.4667747468</v>
      </c>
      <c r="S795" s="131">
        <v>6933</v>
      </c>
      <c r="T795" s="131">
        <v>1532</v>
      </c>
      <c r="U795" s="131">
        <v>2429</v>
      </c>
      <c r="V795" s="125" t="s">
        <v>261</v>
      </c>
      <c r="W795" s="132">
        <v>45467</v>
      </c>
      <c r="X795" s="133" t="s">
        <v>656</v>
      </c>
    </row>
    <row r="796" spans="1:24" s="123" customFormat="1" ht="17.45" customHeight="1" x14ac:dyDescent="0.25">
      <c r="A796" t="str">
        <f t="shared" si="207"/>
        <v>2910908091454672314286</v>
      </c>
      <c r="B796" s="6">
        <f t="shared" si="205"/>
        <v>45467</v>
      </c>
      <c r="C796" s="3">
        <f t="shared" si="206"/>
        <v>2314286</v>
      </c>
      <c r="D796" s="125">
        <v>2023</v>
      </c>
      <c r="E796" s="126">
        <v>2910908091</v>
      </c>
      <c r="F796" s="127" t="s">
        <v>657</v>
      </c>
      <c r="G796" s="128">
        <v>21600000</v>
      </c>
      <c r="H796" s="128">
        <v>2314286</v>
      </c>
      <c r="I796" s="38"/>
      <c r="J796" s="38">
        <f t="shared" si="210"/>
        <v>0.12000001659259284</v>
      </c>
      <c r="K796" s="128">
        <v>21600000</v>
      </c>
      <c r="L796" s="128">
        <f t="shared" si="213"/>
        <v>2314286</v>
      </c>
      <c r="M796" s="39">
        <v>0</v>
      </c>
      <c r="N796" s="128">
        <f t="shared" si="214"/>
        <v>2314286</v>
      </c>
      <c r="O796" s="129">
        <f>ROUND((N796*40%),0)</f>
        <v>925714</v>
      </c>
      <c r="P796" s="130" t="s">
        <v>606</v>
      </c>
      <c r="Q796" s="131">
        <v>6960</v>
      </c>
      <c r="R796" s="42">
        <f t="shared" si="200"/>
        <v>1388572</v>
      </c>
      <c r="S796" s="131">
        <v>6961</v>
      </c>
      <c r="T796" s="131">
        <v>1546</v>
      </c>
      <c r="U796" s="131">
        <v>2443</v>
      </c>
      <c r="V796" s="125" t="s">
        <v>261</v>
      </c>
      <c r="W796" s="132">
        <v>45467</v>
      </c>
      <c r="X796" s="133" t="s">
        <v>428</v>
      </c>
    </row>
    <row r="797" spans="1:24" s="123" customFormat="1" ht="17.45" customHeight="1" x14ac:dyDescent="0.25">
      <c r="A797" t="str">
        <f t="shared" si="207"/>
        <v>291090723845470930026884,246601</v>
      </c>
      <c r="B797" s="6">
        <f t="shared" si="205"/>
        <v>45642</v>
      </c>
      <c r="C797" s="3">
        <f t="shared" si="206"/>
        <v>1951263569.1784461</v>
      </c>
      <c r="D797" s="125">
        <v>2023</v>
      </c>
      <c r="E797" s="126">
        <v>2910907238</v>
      </c>
      <c r="F797" s="127" t="s">
        <v>520</v>
      </c>
      <c r="G797" s="128">
        <v>18227793312</v>
      </c>
      <c r="H797" s="128">
        <v>1952977855</v>
      </c>
      <c r="I797" s="38"/>
      <c r="J797" s="38">
        <f t="shared" si="210"/>
        <v>0.12000000000983115</v>
      </c>
      <c r="K797" s="128">
        <v>8680250919</v>
      </c>
      <c r="L797" s="128">
        <f>+K797/(1+J797)*J797</f>
        <v>930026884.24660146</v>
      </c>
      <c r="M797" s="39">
        <f>L721</f>
        <v>733912451</v>
      </c>
      <c r="N797" s="128">
        <f t="shared" si="214"/>
        <v>196114433.24660146</v>
      </c>
      <c r="O797" s="129">
        <f t="shared" ref="O797" si="215">ROUND((N797*40%),0)</f>
        <v>78445773</v>
      </c>
      <c r="P797" s="130" t="s">
        <v>606</v>
      </c>
      <c r="Q797" s="131">
        <v>7008</v>
      </c>
      <c r="R797" s="42">
        <f t="shared" si="200"/>
        <v>117668660.24660146</v>
      </c>
      <c r="S797" s="131">
        <v>7009</v>
      </c>
      <c r="T797" s="131">
        <v>1560</v>
      </c>
      <c r="U797" s="131">
        <v>2460</v>
      </c>
      <c r="V797" s="125" t="s">
        <v>261</v>
      </c>
      <c r="W797" s="132">
        <v>45470</v>
      </c>
      <c r="X797" s="133" t="s">
        <v>658</v>
      </c>
    </row>
    <row r="798" spans="1:24" s="123" customFormat="1" ht="17.45" customHeight="1" x14ac:dyDescent="0.25">
      <c r="A798" t="str">
        <f t="shared" si="207"/>
        <v>291090640145498381516535,56</v>
      </c>
      <c r="B798" s="6">
        <f t="shared" si="205"/>
        <v>45957</v>
      </c>
      <c r="C798" s="3">
        <f t="shared" si="206"/>
        <v>678878080.30633903</v>
      </c>
      <c r="D798" s="134">
        <v>2024</v>
      </c>
      <c r="E798" s="126">
        <v>2910906401</v>
      </c>
      <c r="F798" s="127" t="s">
        <v>607</v>
      </c>
      <c r="G798" s="128">
        <v>6176884103</v>
      </c>
      <c r="H798" s="128">
        <v>688967032</v>
      </c>
      <c r="I798" s="135"/>
      <c r="J798" s="135">
        <f t="shared" si="210"/>
        <v>0.12554253701112461</v>
      </c>
      <c r="K798" s="136">
        <v>3179304463</v>
      </c>
      <c r="L798" s="136">
        <f>K798*12/100</f>
        <v>381516535.56</v>
      </c>
      <c r="M798" s="137">
        <v>203193369</v>
      </c>
      <c r="N798" s="138">
        <f t="shared" si="214"/>
        <v>178323166.56</v>
      </c>
      <c r="O798" s="139">
        <f>ROUND((N798*40%),0)</f>
        <v>71329267</v>
      </c>
      <c r="P798" s="140" t="s">
        <v>659</v>
      </c>
      <c r="Q798" s="134"/>
      <c r="R798" s="42">
        <f t="shared" ref="R798:R861" si="216">+N798-O798</f>
        <v>106993899.56</v>
      </c>
      <c r="S798" s="134"/>
      <c r="T798" s="134"/>
      <c r="U798" s="134"/>
      <c r="V798" s="125" t="s">
        <v>261</v>
      </c>
      <c r="W798" s="141">
        <v>45498</v>
      </c>
      <c r="X798" s="140" t="s">
        <v>608</v>
      </c>
    </row>
    <row r="799" spans="1:24" s="123" customFormat="1" ht="17.45" customHeight="1" x14ac:dyDescent="0.25">
      <c r="A799" t="str">
        <f t="shared" si="207"/>
        <v>291090730545498825622786,609525</v>
      </c>
      <c r="B799" s="6">
        <f t="shared" si="205"/>
        <v>45639</v>
      </c>
      <c r="C799" s="3">
        <f t="shared" si="206"/>
        <v>1657912075.6085422</v>
      </c>
      <c r="D799" s="134">
        <v>2024</v>
      </c>
      <c r="E799" s="126">
        <v>2910907305</v>
      </c>
      <c r="F799" s="127" t="s">
        <v>602</v>
      </c>
      <c r="G799" s="128">
        <v>16023830031</v>
      </c>
      <c r="H799" s="128">
        <v>1716840708</v>
      </c>
      <c r="I799" s="135"/>
      <c r="J799" s="135">
        <f t="shared" ref="J799:J803" si="217">IFERROR((+H799/(G799-H799)),0)</f>
        <v>0.12000013903973471</v>
      </c>
      <c r="K799" s="136">
        <v>7705804703.1999998</v>
      </c>
      <c r="L799" s="136">
        <f>+K799/(1+J799)*J799</f>
        <v>825622786.60952532</v>
      </c>
      <c r="M799" s="137">
        <v>666571664.38928604</v>
      </c>
      <c r="N799" s="138">
        <f t="shared" si="214"/>
        <v>159051122.22023928</v>
      </c>
      <c r="O799" s="139">
        <f>ROUND((N799*40%),0)</f>
        <v>63620449</v>
      </c>
      <c r="P799" s="140" t="s">
        <v>659</v>
      </c>
      <c r="Q799" s="134"/>
      <c r="R799" s="42">
        <f t="shared" si="216"/>
        <v>95430673.220239282</v>
      </c>
      <c r="S799" s="134"/>
      <c r="T799" s="134"/>
      <c r="U799" s="134"/>
      <c r="V799" s="125" t="s">
        <v>261</v>
      </c>
      <c r="W799" s="141">
        <v>45498</v>
      </c>
      <c r="X799" s="140" t="s">
        <v>660</v>
      </c>
    </row>
    <row r="800" spans="1:24" s="123" customFormat="1" ht="17.45" customHeight="1" x14ac:dyDescent="0.25">
      <c r="A800" t="str">
        <f t="shared" si="207"/>
        <v>2453018350454981124420558,44954</v>
      </c>
      <c r="B800" s="6">
        <f t="shared" si="205"/>
        <v>45743</v>
      </c>
      <c r="C800" s="3">
        <f t="shared" si="206"/>
        <v>1344604499.9999998</v>
      </c>
      <c r="D800" s="134">
        <v>2023</v>
      </c>
      <c r="E800" s="126">
        <v>2453018350</v>
      </c>
      <c r="F800" s="127" t="s">
        <v>450</v>
      </c>
      <c r="G800" s="128">
        <v>16284654500</v>
      </c>
      <c r="H800" s="128">
        <v>1344604500</v>
      </c>
      <c r="I800" s="135"/>
      <c r="J800" s="135">
        <f t="shared" si="217"/>
        <v>0.09</v>
      </c>
      <c r="K800" s="136">
        <v>13617982319</v>
      </c>
      <c r="L800" s="136">
        <f>+K800/(1+J800)*J800</f>
        <v>1124420558.4495411</v>
      </c>
      <c r="M800" s="137">
        <v>903743807.94495416</v>
      </c>
      <c r="N800" s="138">
        <f t="shared" si="214"/>
        <v>220676750.50458694</v>
      </c>
      <c r="O800" s="139">
        <f t="shared" ref="O800:O803" si="218">ROUND((N800*40%),0)</f>
        <v>88270700</v>
      </c>
      <c r="P800" s="140" t="s">
        <v>659</v>
      </c>
      <c r="Q800" s="134"/>
      <c r="R800" s="42">
        <f t="shared" si="216"/>
        <v>132406050.50458694</v>
      </c>
      <c r="S800" s="134"/>
      <c r="T800" s="134"/>
      <c r="U800" s="134"/>
      <c r="V800" s="125" t="s">
        <v>261</v>
      </c>
      <c r="W800" s="141">
        <v>45498</v>
      </c>
      <c r="X800" s="140" t="s">
        <v>451</v>
      </c>
    </row>
    <row r="801" spans="1:24" s="123" customFormat="1" ht="17.45" customHeight="1" x14ac:dyDescent="0.25">
      <c r="A801" t="str">
        <f t="shared" si="207"/>
        <v>29109067874549815148141,171638</v>
      </c>
      <c r="B801" s="6">
        <f t="shared" si="205"/>
        <v>45498</v>
      </c>
      <c r="C801" s="3">
        <f t="shared" si="206"/>
        <v>15148141.171637964</v>
      </c>
      <c r="D801" s="134">
        <v>2022</v>
      </c>
      <c r="E801" s="126">
        <v>2910906787</v>
      </c>
      <c r="F801" s="127" t="s">
        <v>248</v>
      </c>
      <c r="G801" s="128">
        <v>143707560</v>
      </c>
      <c r="H801" s="128">
        <v>15397239</v>
      </c>
      <c r="I801" s="135"/>
      <c r="J801" s="135">
        <f t="shared" si="217"/>
        <v>0.12000000374093055</v>
      </c>
      <c r="K801" s="136">
        <v>141382647</v>
      </c>
      <c r="L801" s="136">
        <f>+K801/(1+J801)*J801</f>
        <v>15148141.171637964</v>
      </c>
      <c r="M801" s="137">
        <v>11747745</v>
      </c>
      <c r="N801" s="142">
        <v>1324581</v>
      </c>
      <c r="O801" s="139">
        <f>ROUND((N801*40%),0)</f>
        <v>529832</v>
      </c>
      <c r="P801" s="140" t="s">
        <v>659</v>
      </c>
      <c r="Q801" s="134"/>
      <c r="R801" s="42">
        <f t="shared" si="216"/>
        <v>794749</v>
      </c>
      <c r="S801" s="134"/>
      <c r="T801" s="134"/>
      <c r="U801" s="134"/>
      <c r="V801" s="125" t="s">
        <v>261</v>
      </c>
      <c r="W801" s="141">
        <v>45498</v>
      </c>
      <c r="X801" s="140" t="s">
        <v>661</v>
      </c>
    </row>
    <row r="802" spans="1:24" s="123" customFormat="1" ht="17.45" customHeight="1" x14ac:dyDescent="0.25">
      <c r="A802" t="str">
        <f t="shared" si="207"/>
        <v>245301834845498150607295,453351</v>
      </c>
      <c r="B802" s="6">
        <f t="shared" si="205"/>
        <v>45553</v>
      </c>
      <c r="C802" s="3">
        <f t="shared" si="206"/>
        <v>250867949.19596934</v>
      </c>
      <c r="D802" s="134">
        <v>2023</v>
      </c>
      <c r="E802" s="126">
        <v>2453018348</v>
      </c>
      <c r="F802" s="127" t="s">
        <v>426</v>
      </c>
      <c r="G802" s="128">
        <v>3652668243</v>
      </c>
      <c r="H802" s="128">
        <v>391357312</v>
      </c>
      <c r="I802" s="135"/>
      <c r="J802" s="135">
        <f t="shared" si="217"/>
        <v>0.12000000008585504</v>
      </c>
      <c r="K802" s="136">
        <v>1405668090</v>
      </c>
      <c r="L802" s="136">
        <f>+K802/(1+J802)*J802</f>
        <v>150607295.45335117</v>
      </c>
      <c r="M802" s="137">
        <v>133058665.90642677</v>
      </c>
      <c r="N802" s="138">
        <f t="shared" ref="N802" si="219">+L802-M802</f>
        <v>17548629.546924397</v>
      </c>
      <c r="O802" s="139">
        <f t="shared" si="218"/>
        <v>7019452</v>
      </c>
      <c r="P802" s="140" t="s">
        <v>659</v>
      </c>
      <c r="Q802" s="134"/>
      <c r="R802" s="42">
        <f t="shared" si="216"/>
        <v>10529177.546924397</v>
      </c>
      <c r="S802" s="134"/>
      <c r="T802" s="134"/>
      <c r="U802" s="134"/>
      <c r="V802" s="125" t="s">
        <v>261</v>
      </c>
      <c r="W802" s="141">
        <v>45498</v>
      </c>
      <c r="X802" s="140" t="s">
        <v>425</v>
      </c>
    </row>
    <row r="803" spans="1:24" s="123" customFormat="1" ht="17.45" customHeight="1" x14ac:dyDescent="0.25">
      <c r="A803" t="str">
        <f t="shared" si="207"/>
        <v>245301834745498141771772,453915</v>
      </c>
      <c r="B803" s="6">
        <f t="shared" si="205"/>
        <v>45730</v>
      </c>
      <c r="C803" s="3">
        <f t="shared" si="206"/>
        <v>227416985.11999634</v>
      </c>
      <c r="D803" s="134">
        <v>2023</v>
      </c>
      <c r="E803" s="126">
        <v>2453018347</v>
      </c>
      <c r="F803" s="127" t="s">
        <v>391</v>
      </c>
      <c r="G803" s="128">
        <v>2033323757</v>
      </c>
      <c r="H803" s="128">
        <v>243997849</v>
      </c>
      <c r="I803" s="135"/>
      <c r="J803" s="135">
        <f t="shared" si="217"/>
        <v>0.13636300011590732</v>
      </c>
      <c r="K803" s="136">
        <v>1181436288</v>
      </c>
      <c r="L803" s="136">
        <f t="shared" ref="L803:L813" si="220">+K803/(1+J803)*J803</f>
        <v>141771772.45391545</v>
      </c>
      <c r="M803" s="137">
        <v>129104087.10664402</v>
      </c>
      <c r="N803" s="138">
        <f>+L803-M803</f>
        <v>12667685.347271428</v>
      </c>
      <c r="O803" s="139">
        <f t="shared" si="218"/>
        <v>5067074</v>
      </c>
      <c r="P803" s="140" t="s">
        <v>659</v>
      </c>
      <c r="Q803" s="134"/>
      <c r="R803" s="42">
        <f t="shared" si="216"/>
        <v>7600611.3472714275</v>
      </c>
      <c r="S803" s="134"/>
      <c r="T803" s="134"/>
      <c r="U803" s="134"/>
      <c r="V803" s="125" t="s">
        <v>261</v>
      </c>
      <c r="W803" s="141">
        <v>45498</v>
      </c>
      <c r="X803" s="140" t="s">
        <v>471</v>
      </c>
    </row>
    <row r="804" spans="1:24" s="123" customFormat="1" ht="17.45" customHeight="1" x14ac:dyDescent="0.25">
      <c r="A804" t="str">
        <f t="shared" si="207"/>
        <v>2453018360454986754041,79333295</v>
      </c>
      <c r="B804" s="6">
        <f t="shared" si="205"/>
        <v>45730</v>
      </c>
      <c r="C804" s="3">
        <f t="shared" si="206"/>
        <v>36391063.840622641</v>
      </c>
      <c r="D804" s="134">
        <v>2023</v>
      </c>
      <c r="E804" s="126">
        <v>2453018360</v>
      </c>
      <c r="F804" s="127" t="s">
        <v>620</v>
      </c>
      <c r="G804" s="128">
        <v>623455500</v>
      </c>
      <c r="H804" s="128">
        <v>66798804</v>
      </c>
      <c r="I804" s="135"/>
      <c r="J804" s="135">
        <f>IFERROR((+H804/(G804-H804)),0)</f>
        <v>0.12000000086229089</v>
      </c>
      <c r="K804" s="136">
        <v>63037723</v>
      </c>
      <c r="L804" s="136">
        <f t="shared" si="220"/>
        <v>6754041.7933329511</v>
      </c>
      <c r="M804" s="137">
        <v>4228629.6699874178</v>
      </c>
      <c r="N804" s="138">
        <f t="shared" ref="N804" si="221">+L804-M804</f>
        <v>2525412.1233455334</v>
      </c>
      <c r="O804" s="139">
        <f>ROUND((N804*40%),0)</f>
        <v>1010165</v>
      </c>
      <c r="P804" s="140" t="s">
        <v>659</v>
      </c>
      <c r="Q804" s="134"/>
      <c r="R804" s="42">
        <f t="shared" si="216"/>
        <v>1515247.1233455334</v>
      </c>
      <c r="S804" s="134"/>
      <c r="T804" s="134"/>
      <c r="U804" s="134"/>
      <c r="V804" s="125" t="s">
        <v>261</v>
      </c>
      <c r="W804" s="141">
        <v>45498</v>
      </c>
      <c r="X804" s="140" t="s">
        <v>425</v>
      </c>
    </row>
    <row r="805" spans="1:24" s="123" customFormat="1" ht="17.45" customHeight="1" x14ac:dyDescent="0.25">
      <c r="A805" t="str">
        <f t="shared" si="207"/>
        <v>245301834045498739245714,798212</v>
      </c>
      <c r="B805" s="6">
        <f t="shared" si="205"/>
        <v>45524</v>
      </c>
      <c r="C805" s="3">
        <f t="shared" si="206"/>
        <v>750720353.98835123</v>
      </c>
      <c r="D805" s="134">
        <v>2022</v>
      </c>
      <c r="E805" s="126">
        <v>2453018340</v>
      </c>
      <c r="F805" s="127" t="s">
        <v>320</v>
      </c>
      <c r="G805" s="128">
        <v>7253407050</v>
      </c>
      <c r="H805" s="128">
        <v>774054537</v>
      </c>
      <c r="I805" s="135"/>
      <c r="J805" s="135">
        <f>IFERROR((+H805/(G805-H805)),0)</f>
        <v>0.11946479767028537</v>
      </c>
      <c r="K805" s="136">
        <v>6927225180</v>
      </c>
      <c r="L805" s="136">
        <f t="shared" si="220"/>
        <v>739245714.79821229</v>
      </c>
      <c r="M805" s="137">
        <v>726848627.79244196</v>
      </c>
      <c r="N805" s="138">
        <f>+L805-M805</f>
        <v>12397087.005770326</v>
      </c>
      <c r="O805" s="139">
        <f t="shared" ref="O805:O811" si="222">ROUND((N805*40%),0)</f>
        <v>4958835</v>
      </c>
      <c r="P805" s="140" t="s">
        <v>659</v>
      </c>
      <c r="Q805" s="134"/>
      <c r="R805" s="42">
        <f t="shared" si="216"/>
        <v>7438252.0057703257</v>
      </c>
      <c r="S805" s="134"/>
      <c r="T805" s="134"/>
      <c r="U805" s="134"/>
      <c r="V805" s="125" t="s">
        <v>261</v>
      </c>
      <c r="W805" s="141">
        <v>45498</v>
      </c>
      <c r="X805" s="140" t="s">
        <v>425</v>
      </c>
    </row>
    <row r="806" spans="1:24" s="123" customFormat="1" ht="17.45" customHeight="1" x14ac:dyDescent="0.25">
      <c r="A806" t="str">
        <f t="shared" si="207"/>
        <v>291090729345498535714</v>
      </c>
      <c r="B806" s="6">
        <f t="shared" si="205"/>
        <v>45498</v>
      </c>
      <c r="C806" s="3">
        <f t="shared" si="206"/>
        <v>535714</v>
      </c>
      <c r="D806" s="134">
        <v>2023</v>
      </c>
      <c r="E806" s="126">
        <v>2910907293</v>
      </c>
      <c r="F806" s="127" t="s">
        <v>662</v>
      </c>
      <c r="G806" s="128">
        <v>5000000</v>
      </c>
      <c r="H806" s="128">
        <v>535714</v>
      </c>
      <c r="I806" s="135"/>
      <c r="J806" s="135">
        <f>IFERROR((+H806/(G806-H806)),0)</f>
        <v>0.11999992832000458</v>
      </c>
      <c r="K806" s="136">
        <v>5000000</v>
      </c>
      <c r="L806" s="136">
        <f t="shared" si="220"/>
        <v>535714</v>
      </c>
      <c r="M806" s="137">
        <v>0</v>
      </c>
      <c r="N806" s="138">
        <f>+L806-M806</f>
        <v>535714</v>
      </c>
      <c r="O806" s="139">
        <f t="shared" si="222"/>
        <v>214286</v>
      </c>
      <c r="P806" s="140" t="s">
        <v>659</v>
      </c>
      <c r="Q806" s="134"/>
      <c r="R806" s="42">
        <f t="shared" si="216"/>
        <v>321428</v>
      </c>
      <c r="S806" s="134"/>
      <c r="T806" s="134"/>
      <c r="U806" s="134"/>
      <c r="V806" s="125" t="s">
        <v>261</v>
      </c>
      <c r="W806" s="141">
        <v>45498</v>
      </c>
      <c r="X806" s="140" t="s">
        <v>663</v>
      </c>
    </row>
    <row r="807" spans="1:24" s="123" customFormat="1" ht="17.45" customHeight="1" x14ac:dyDescent="0.25">
      <c r="A807" t="str">
        <f t="shared" si="207"/>
        <v>291090727345498321429</v>
      </c>
      <c r="B807" s="6">
        <f t="shared" si="205"/>
        <v>45498</v>
      </c>
      <c r="C807" s="3">
        <f t="shared" si="206"/>
        <v>321429</v>
      </c>
      <c r="D807" s="134">
        <v>2023</v>
      </c>
      <c r="E807" s="126">
        <v>2910907273</v>
      </c>
      <c r="F807" s="127" t="s">
        <v>664</v>
      </c>
      <c r="G807" s="128">
        <v>3000000</v>
      </c>
      <c r="H807" s="128">
        <v>321429</v>
      </c>
      <c r="I807" s="135"/>
      <c r="J807" s="135">
        <f>IFERROR((+H807/(G807-H807)),0)</f>
        <v>0.12000017920002867</v>
      </c>
      <c r="K807" s="136">
        <v>3000000</v>
      </c>
      <c r="L807" s="136">
        <f t="shared" si="220"/>
        <v>321429</v>
      </c>
      <c r="M807" s="137">
        <v>0</v>
      </c>
      <c r="N807" s="138">
        <f>+L807-M807</f>
        <v>321429</v>
      </c>
      <c r="O807" s="139">
        <f t="shared" si="222"/>
        <v>128572</v>
      </c>
      <c r="P807" s="140" t="s">
        <v>659</v>
      </c>
      <c r="Q807" s="134"/>
      <c r="R807" s="42">
        <f t="shared" si="216"/>
        <v>192857</v>
      </c>
      <c r="S807" s="134"/>
      <c r="T807" s="134"/>
      <c r="U807" s="134"/>
      <c r="V807" s="125" t="s">
        <v>261</v>
      </c>
      <c r="W807" s="141">
        <v>45498</v>
      </c>
      <c r="X807" s="140" t="s">
        <v>665</v>
      </c>
    </row>
    <row r="808" spans="1:24" s="123" customFormat="1" ht="17.45" customHeight="1" x14ac:dyDescent="0.25">
      <c r="A808" t="str">
        <f t="shared" si="207"/>
        <v>291090723145498597653007,361255</v>
      </c>
      <c r="B808" s="6">
        <f t="shared" si="205"/>
        <v>45880</v>
      </c>
      <c r="C808" s="3">
        <f t="shared" si="206"/>
        <v>725275008</v>
      </c>
      <c r="D808" s="134">
        <v>2023</v>
      </c>
      <c r="E808" s="126">
        <v>2910907231</v>
      </c>
      <c r="F808" s="127" t="s">
        <v>410</v>
      </c>
      <c r="G808" s="128">
        <v>7055787001</v>
      </c>
      <c r="H808" s="128">
        <v>755977179</v>
      </c>
      <c r="I808" s="135"/>
      <c r="J808" s="135">
        <f t="shared" ref="J808:J816" si="223">IFERROR((+H808/(G808-H808)),0)</f>
        <v>0.12000000005714458</v>
      </c>
      <c r="K808" s="136">
        <v>5578094733</v>
      </c>
      <c r="L808" s="136">
        <f t="shared" si="220"/>
        <v>597653007.36125469</v>
      </c>
      <c r="M808" s="137">
        <v>552155128.4133383</v>
      </c>
      <c r="N808" s="138">
        <f>+L808-M808</f>
        <v>45497878.947916389</v>
      </c>
      <c r="O808" s="139">
        <f t="shared" si="222"/>
        <v>18199152</v>
      </c>
      <c r="P808" s="140" t="s">
        <v>659</v>
      </c>
      <c r="Q808" s="134"/>
      <c r="R808" s="42">
        <f t="shared" si="216"/>
        <v>27298726.947916389</v>
      </c>
      <c r="S808" s="134"/>
      <c r="T808" s="134"/>
      <c r="U808" s="134"/>
      <c r="V808" s="125" t="s">
        <v>261</v>
      </c>
      <c r="W808" s="141">
        <v>45498</v>
      </c>
      <c r="X808" s="140" t="s">
        <v>666</v>
      </c>
    </row>
    <row r="809" spans="1:24" s="123" customFormat="1" ht="17.45" customHeight="1" x14ac:dyDescent="0.25">
      <c r="A809" t="str">
        <f t="shared" si="207"/>
        <v>291090678845498387879629,137297</v>
      </c>
      <c r="B809" s="6">
        <f t="shared" si="205"/>
        <v>45498</v>
      </c>
      <c r="C809" s="3">
        <f t="shared" si="206"/>
        <v>387879629.13729745</v>
      </c>
      <c r="D809" s="134">
        <v>2022</v>
      </c>
      <c r="E809" s="126">
        <v>2910906788</v>
      </c>
      <c r="F809" s="127" t="s">
        <v>270</v>
      </c>
      <c r="G809" s="128">
        <v>3667790640</v>
      </c>
      <c r="H809" s="128">
        <v>392977569</v>
      </c>
      <c r="I809" s="135"/>
      <c r="J809" s="135">
        <f t="shared" si="223"/>
        <v>0.12000000014657325</v>
      </c>
      <c r="K809" s="136">
        <v>3620209868</v>
      </c>
      <c r="L809" s="136">
        <f t="shared" si="220"/>
        <v>387879629.13729745</v>
      </c>
      <c r="M809" s="137">
        <v>365399206</v>
      </c>
      <c r="N809" s="138">
        <f>+L809-M809</f>
        <v>22480423.137297451</v>
      </c>
      <c r="O809" s="139">
        <f t="shared" si="222"/>
        <v>8992169</v>
      </c>
      <c r="P809" s="140" t="s">
        <v>659</v>
      </c>
      <c r="Q809" s="134"/>
      <c r="R809" s="42">
        <f t="shared" si="216"/>
        <v>13488254.137297451</v>
      </c>
      <c r="S809" s="134"/>
      <c r="T809" s="134"/>
      <c r="U809" s="134"/>
      <c r="V809" s="125" t="s">
        <v>261</v>
      </c>
      <c r="W809" s="141">
        <v>45498</v>
      </c>
      <c r="X809" s="140" t="s">
        <v>667</v>
      </c>
    </row>
    <row r="810" spans="1:24" s="123" customFormat="1" ht="17.45" customHeight="1" x14ac:dyDescent="0.25">
      <c r="A810" t="str">
        <f t="shared" si="207"/>
        <v>291090722945498169192110</v>
      </c>
      <c r="B810" s="6">
        <f t="shared" si="205"/>
        <v>45498</v>
      </c>
      <c r="C810" s="3">
        <f t="shared" si="206"/>
        <v>169192109.99999997</v>
      </c>
      <c r="D810" s="134">
        <v>2023</v>
      </c>
      <c r="E810" s="126">
        <v>2910907229</v>
      </c>
      <c r="F810" s="127" t="s">
        <v>433</v>
      </c>
      <c r="G810" s="128">
        <v>1995501200</v>
      </c>
      <c r="H810" s="128">
        <v>213803700</v>
      </c>
      <c r="I810" s="135"/>
      <c r="J810" s="135">
        <f t="shared" si="223"/>
        <v>0.12</v>
      </c>
      <c r="K810" s="136">
        <v>1579126360</v>
      </c>
      <c r="L810" s="136">
        <f t="shared" si="220"/>
        <v>169192109.99999997</v>
      </c>
      <c r="M810" s="137">
        <v>159874410</v>
      </c>
      <c r="N810" s="138">
        <f t="shared" ref="N810:N816" si="224">+L810-M810</f>
        <v>9317699.9999999702</v>
      </c>
      <c r="O810" s="139">
        <f t="shared" si="222"/>
        <v>3727080</v>
      </c>
      <c r="P810" s="140" t="s">
        <v>659</v>
      </c>
      <c r="Q810" s="134"/>
      <c r="R810" s="42">
        <f t="shared" si="216"/>
        <v>5590619.9999999702</v>
      </c>
      <c r="S810" s="134"/>
      <c r="T810" s="134"/>
      <c r="U810" s="134"/>
      <c r="V810" s="125" t="s">
        <v>261</v>
      </c>
      <c r="W810" s="141">
        <v>45498</v>
      </c>
      <c r="X810" s="140" t="s">
        <v>668</v>
      </c>
    </row>
    <row r="811" spans="1:24" s="123" customFormat="1" ht="17.45" customHeight="1" x14ac:dyDescent="0.25">
      <c r="A811" t="str">
        <f t="shared" si="207"/>
        <v>29109073104549814753571,5466</v>
      </c>
      <c r="B811" s="6">
        <f t="shared" si="205"/>
        <v>45742</v>
      </c>
      <c r="C811" s="3">
        <f t="shared" si="206"/>
        <v>64900000</v>
      </c>
      <c r="D811" s="134">
        <v>2024</v>
      </c>
      <c r="E811" s="126">
        <v>2910907310</v>
      </c>
      <c r="F811" s="127" t="s">
        <v>669</v>
      </c>
      <c r="G811" s="128">
        <v>500000000</v>
      </c>
      <c r="H811" s="128">
        <v>53571429</v>
      </c>
      <c r="I811" s="135"/>
      <c r="J811" s="135">
        <f t="shared" si="223"/>
        <v>0.12000000107520001</v>
      </c>
      <c r="K811" s="136">
        <v>137700000</v>
      </c>
      <c r="L811" s="136">
        <f t="shared" si="220"/>
        <v>14753571.546600001</v>
      </c>
      <c r="M811" s="137">
        <v>0</v>
      </c>
      <c r="N811" s="138">
        <f t="shared" si="224"/>
        <v>14753571.546600001</v>
      </c>
      <c r="O811" s="139">
        <f t="shared" si="222"/>
        <v>5901429</v>
      </c>
      <c r="P811" s="140" t="s">
        <v>659</v>
      </c>
      <c r="Q811" s="134"/>
      <c r="R811" s="42">
        <f t="shared" si="216"/>
        <v>8852142.5466000009</v>
      </c>
      <c r="S811" s="134"/>
      <c r="T811" s="134"/>
      <c r="U811" s="134"/>
      <c r="V811" s="125" t="s">
        <v>261</v>
      </c>
      <c r="W811" s="141">
        <v>45498</v>
      </c>
      <c r="X811" s="140" t="s">
        <v>670</v>
      </c>
    </row>
    <row r="812" spans="1:24" s="123" customFormat="1" ht="17.45" customHeight="1" x14ac:dyDescent="0.25">
      <c r="A812" t="str">
        <f t="shared" si="207"/>
        <v>2910907308454982678571</v>
      </c>
      <c r="B812" s="6">
        <f t="shared" si="205"/>
        <v>45498</v>
      </c>
      <c r="C812" s="3">
        <f t="shared" si="206"/>
        <v>2678571</v>
      </c>
      <c r="D812" s="134">
        <v>2023</v>
      </c>
      <c r="E812" s="126">
        <v>2910907308</v>
      </c>
      <c r="F812" s="127" t="s">
        <v>624</v>
      </c>
      <c r="G812" s="128">
        <v>25000000</v>
      </c>
      <c r="H812" s="128">
        <v>2678571</v>
      </c>
      <c r="I812" s="135"/>
      <c r="J812" s="135">
        <f t="shared" si="223"/>
        <v>0.11999997849600041</v>
      </c>
      <c r="K812" s="136">
        <v>25000000</v>
      </c>
      <c r="L812" s="136">
        <f t="shared" si="220"/>
        <v>2678571</v>
      </c>
      <c r="M812" s="137">
        <v>1339285.5</v>
      </c>
      <c r="N812" s="138">
        <f t="shared" si="224"/>
        <v>1339285.5</v>
      </c>
      <c r="O812" s="139">
        <f>ROUND((N812*40%),0)</f>
        <v>535714</v>
      </c>
      <c r="P812" s="140" t="s">
        <v>659</v>
      </c>
      <c r="Q812" s="134"/>
      <c r="R812" s="42">
        <f t="shared" si="216"/>
        <v>803571.5</v>
      </c>
      <c r="S812" s="134"/>
      <c r="T812" s="134"/>
      <c r="U812" s="134"/>
      <c r="V812" s="125" t="s">
        <v>261</v>
      </c>
      <c r="W812" s="141">
        <v>45498</v>
      </c>
      <c r="X812" s="140" t="s">
        <v>671</v>
      </c>
    </row>
    <row r="813" spans="1:24" s="123" customFormat="1" ht="17.45" customHeight="1" x14ac:dyDescent="0.25">
      <c r="A813" t="str">
        <f t="shared" si="207"/>
        <v>2910907244454985357143</v>
      </c>
      <c r="B813" s="6">
        <f t="shared" si="205"/>
        <v>45498</v>
      </c>
      <c r="C813" s="3">
        <f t="shared" si="206"/>
        <v>5357143</v>
      </c>
      <c r="D813" s="134">
        <v>2023</v>
      </c>
      <c r="E813" s="126">
        <v>2910907244</v>
      </c>
      <c r="F813" s="127" t="s">
        <v>517</v>
      </c>
      <c r="G813" s="128">
        <v>50000000</v>
      </c>
      <c r="H813" s="128">
        <v>5357143</v>
      </c>
      <c r="I813" s="135"/>
      <c r="J813" s="135">
        <f t="shared" si="223"/>
        <v>0.12000000358400001</v>
      </c>
      <c r="K813" s="136">
        <v>50000000</v>
      </c>
      <c r="L813" s="136">
        <f t="shared" si="220"/>
        <v>5357143</v>
      </c>
      <c r="M813" s="137">
        <v>4941964.4174999995</v>
      </c>
      <c r="N813" s="138">
        <f t="shared" si="224"/>
        <v>415178.58250000048</v>
      </c>
      <c r="O813" s="139">
        <f t="shared" ref="O813:O829" si="225">ROUND((N813*40%),0)</f>
        <v>166071</v>
      </c>
      <c r="P813" s="140" t="s">
        <v>659</v>
      </c>
      <c r="Q813" s="134"/>
      <c r="R813" s="42">
        <f t="shared" si="216"/>
        <v>249107.58250000048</v>
      </c>
      <c r="S813" s="134"/>
      <c r="T813" s="134"/>
      <c r="U813" s="134"/>
      <c r="V813" s="125" t="s">
        <v>261</v>
      </c>
      <c r="W813" s="141">
        <v>45498</v>
      </c>
      <c r="X813" s="140" t="s">
        <v>627</v>
      </c>
    </row>
    <row r="814" spans="1:24" s="123" customFormat="1" ht="17.45" customHeight="1" x14ac:dyDescent="0.25">
      <c r="A814" t="str">
        <f t="shared" si="207"/>
        <v>24530183634549825647851,6388773</v>
      </c>
      <c r="B814" s="6">
        <f t="shared" si="205"/>
        <v>45804</v>
      </c>
      <c r="C814" s="3">
        <f t="shared" si="206"/>
        <v>195445963.8411898</v>
      </c>
      <c r="D814" s="134">
        <v>2024</v>
      </c>
      <c r="E814" s="126">
        <v>2453018363</v>
      </c>
      <c r="F814" s="127" t="s">
        <v>672</v>
      </c>
      <c r="G814" s="128">
        <v>1394276563</v>
      </c>
      <c r="H814" s="128">
        <v>149386775</v>
      </c>
      <c r="I814" s="135"/>
      <c r="J814" s="135">
        <f t="shared" si="223"/>
        <v>0.12000000035344495</v>
      </c>
      <c r="K814" s="136">
        <v>239379948</v>
      </c>
      <c r="L814" s="136">
        <f>+K814/(1+J814)*J814</f>
        <v>25647851.638877261</v>
      </c>
      <c r="M814" s="137">
        <v>0</v>
      </c>
      <c r="N814" s="138">
        <f t="shared" si="224"/>
        <v>25647851.638877261</v>
      </c>
      <c r="O814" s="139">
        <f t="shared" si="225"/>
        <v>10259141</v>
      </c>
      <c r="P814" s="140" t="s">
        <v>659</v>
      </c>
      <c r="Q814" s="134"/>
      <c r="R814" s="42">
        <f t="shared" si="216"/>
        <v>15388710.638877261</v>
      </c>
      <c r="S814" s="134"/>
      <c r="T814" s="134"/>
      <c r="U814" s="134"/>
      <c r="V814" s="125" t="s">
        <v>261</v>
      </c>
      <c r="W814" s="141">
        <v>45498</v>
      </c>
      <c r="X814" s="140" t="s">
        <v>425</v>
      </c>
    </row>
    <row r="815" spans="1:24" s="123" customFormat="1" ht="17.45" customHeight="1" x14ac:dyDescent="0.25">
      <c r="A815" t="str">
        <f t="shared" si="207"/>
        <v>2910907309454987246316,19135755</v>
      </c>
      <c r="B815" s="6">
        <f t="shared" si="205"/>
        <v>45741</v>
      </c>
      <c r="C815" s="3">
        <f t="shared" si="206"/>
        <v>20199305.278053362</v>
      </c>
      <c r="D815" s="134">
        <v>2024</v>
      </c>
      <c r="E815" s="126">
        <v>2910907309</v>
      </c>
      <c r="F815" s="127" t="s">
        <v>673</v>
      </c>
      <c r="G815" s="128">
        <v>398419520</v>
      </c>
      <c r="H815" s="128">
        <v>42687806</v>
      </c>
      <c r="I815" s="135"/>
      <c r="J815" s="135">
        <f t="shared" si="223"/>
        <v>0.12000000089955432</v>
      </c>
      <c r="K815" s="136">
        <v>67632284</v>
      </c>
      <c r="L815" s="136">
        <f>+K815/(1+J815)*J815</f>
        <v>7246316.1913575511</v>
      </c>
      <c r="M815" s="137">
        <v>0</v>
      </c>
      <c r="N815" s="138">
        <f t="shared" si="224"/>
        <v>7246316.1913575511</v>
      </c>
      <c r="O815" s="139">
        <f t="shared" si="225"/>
        <v>2898526</v>
      </c>
      <c r="P815" s="140" t="s">
        <v>659</v>
      </c>
      <c r="Q815" s="134"/>
      <c r="R815" s="42">
        <f t="shared" si="216"/>
        <v>4347790.1913575511</v>
      </c>
      <c r="S815" s="134"/>
      <c r="T815" s="134"/>
      <c r="U815" s="134"/>
      <c r="V815" s="125" t="s">
        <v>261</v>
      </c>
      <c r="W815" s="141">
        <v>45498</v>
      </c>
      <c r="X815" s="140" t="s">
        <v>425</v>
      </c>
    </row>
    <row r="816" spans="1:24" s="123" customFormat="1" ht="17.45" customHeight="1" x14ac:dyDescent="0.25">
      <c r="A816" t="str">
        <f t="shared" si="207"/>
        <v>2910907316454989377397</v>
      </c>
      <c r="B816" s="6">
        <f t="shared" si="205"/>
        <v>45674</v>
      </c>
      <c r="C816" s="3">
        <f t="shared" si="206"/>
        <v>31257989.999999996</v>
      </c>
      <c r="D816" s="134">
        <v>2024</v>
      </c>
      <c r="E816" s="126">
        <v>2910907316</v>
      </c>
      <c r="F816" s="127" t="s">
        <v>674</v>
      </c>
      <c r="G816" s="128">
        <v>291741240</v>
      </c>
      <c r="H816" s="128">
        <v>31257990</v>
      </c>
      <c r="I816" s="135"/>
      <c r="J816" s="135">
        <f t="shared" si="223"/>
        <v>0.12</v>
      </c>
      <c r="K816" s="136">
        <v>87522372</v>
      </c>
      <c r="L816" s="136">
        <f>+K816/(1+J816)*J816</f>
        <v>9377397</v>
      </c>
      <c r="M816" s="137">
        <v>0</v>
      </c>
      <c r="N816" s="138">
        <f t="shared" si="224"/>
        <v>9377397</v>
      </c>
      <c r="O816" s="139">
        <f t="shared" si="225"/>
        <v>3750959</v>
      </c>
      <c r="P816" s="140" t="s">
        <v>659</v>
      </c>
      <c r="Q816" s="134"/>
      <c r="R816" s="42">
        <f t="shared" si="216"/>
        <v>5626438</v>
      </c>
      <c r="S816" s="134"/>
      <c r="T816" s="134"/>
      <c r="U816" s="134"/>
      <c r="V816" s="125" t="s">
        <v>261</v>
      </c>
      <c r="W816" s="141">
        <v>45498</v>
      </c>
      <c r="X816" s="140" t="s">
        <v>675</v>
      </c>
    </row>
    <row r="817" spans="1:24" s="123" customFormat="1" ht="17.45" customHeight="1" x14ac:dyDescent="0.25">
      <c r="A817" t="str">
        <f t="shared" si="207"/>
        <v>245301834045524750720353,988351</v>
      </c>
      <c r="B817" s="6">
        <f t="shared" si="205"/>
        <v>45524</v>
      </c>
      <c r="C817" s="3">
        <f t="shared" si="206"/>
        <v>750720353.98835123</v>
      </c>
      <c r="D817" s="134">
        <v>2022</v>
      </c>
      <c r="E817" s="126">
        <v>2453018340</v>
      </c>
      <c r="F817" s="127" t="s">
        <v>320</v>
      </c>
      <c r="G817" s="128">
        <v>7253407050</v>
      </c>
      <c r="H817" s="128">
        <v>774054537</v>
      </c>
      <c r="I817" s="135"/>
      <c r="J817" s="135">
        <f>IFERROR((+H817/(G817-H817)),0)</f>
        <v>0.11946479767028537</v>
      </c>
      <c r="K817" s="136">
        <v>7034750199</v>
      </c>
      <c r="L817" s="136">
        <f>+K817/(1+J817)*J817</f>
        <v>750720353.98835123</v>
      </c>
      <c r="M817" s="137">
        <v>739245714.79821229</v>
      </c>
      <c r="N817" s="138">
        <f>+L817-M817</f>
        <v>11474639.190138936</v>
      </c>
      <c r="O817" s="139">
        <f t="shared" si="225"/>
        <v>4589856</v>
      </c>
      <c r="P817" s="140" t="s">
        <v>659</v>
      </c>
      <c r="Q817" s="134">
        <v>8868</v>
      </c>
      <c r="R817" s="42">
        <f t="shared" si="216"/>
        <v>6884783.190138936</v>
      </c>
      <c r="S817" s="134">
        <v>8869</v>
      </c>
      <c r="T817" s="134">
        <v>2045</v>
      </c>
      <c r="U817" s="134">
        <v>3092</v>
      </c>
      <c r="V817" s="125" t="s">
        <v>261</v>
      </c>
      <c r="W817" s="141">
        <v>45524</v>
      </c>
      <c r="X817" s="140" t="s">
        <v>425</v>
      </c>
    </row>
    <row r="818" spans="1:24" s="123" customFormat="1" ht="17.45" customHeight="1" x14ac:dyDescent="0.25">
      <c r="A818" t="str">
        <f t="shared" si="207"/>
        <v>245301834845525177968495,577972</v>
      </c>
      <c r="B818" s="6">
        <f t="shared" si="205"/>
        <v>45553</v>
      </c>
      <c r="C818" s="3">
        <f t="shared" si="206"/>
        <v>250867949.19596934</v>
      </c>
      <c r="D818" s="134">
        <v>2023</v>
      </c>
      <c r="E818" s="126">
        <v>2453018348</v>
      </c>
      <c r="F818" s="127" t="s">
        <v>426</v>
      </c>
      <c r="G818" s="128">
        <v>3652668243</v>
      </c>
      <c r="H818" s="128">
        <v>391357312</v>
      </c>
      <c r="I818" s="135"/>
      <c r="J818" s="135">
        <f t="shared" ref="J818:J821" si="226">IFERROR((+H818/(G818-H818)),0)</f>
        <v>0.12000000008585504</v>
      </c>
      <c r="K818" s="136">
        <v>1661039291</v>
      </c>
      <c r="L818" s="136">
        <f t="shared" ref="L818" si="227">+K818/(1+J818)*J818</f>
        <v>177968495.57797241</v>
      </c>
      <c r="M818" s="137">
        <v>150607295.45335117</v>
      </c>
      <c r="N818" s="138">
        <f t="shared" ref="N818:N820" si="228">+L818-M818</f>
        <v>27361200.124621242</v>
      </c>
      <c r="O818" s="139">
        <f t="shared" si="225"/>
        <v>10944480</v>
      </c>
      <c r="P818" s="140" t="s">
        <v>659</v>
      </c>
      <c r="Q818" s="134">
        <v>8874</v>
      </c>
      <c r="R818" s="42">
        <f t="shared" si="216"/>
        <v>16416720.124621242</v>
      </c>
      <c r="S818" s="134">
        <v>8875</v>
      </c>
      <c r="T818" s="134">
        <v>2049</v>
      </c>
      <c r="U818" s="134">
        <v>3096</v>
      </c>
      <c r="V818" s="125" t="s">
        <v>261</v>
      </c>
      <c r="W818" s="141">
        <v>45525</v>
      </c>
      <c r="X818" s="140" t="s">
        <v>425</v>
      </c>
    </row>
    <row r="819" spans="1:24" s="123" customFormat="1" ht="17.45" customHeight="1" x14ac:dyDescent="0.25">
      <c r="A819" t="str">
        <f t="shared" si="207"/>
        <v>24530183634552534004486,0179964</v>
      </c>
      <c r="B819" s="6">
        <f t="shared" si="205"/>
        <v>45804</v>
      </c>
      <c r="C819" s="3">
        <f t="shared" si="206"/>
        <v>195445963.8411898</v>
      </c>
      <c r="D819" s="134">
        <v>2024</v>
      </c>
      <c r="E819" s="126">
        <v>2453018363</v>
      </c>
      <c r="F819" s="127" t="s">
        <v>672</v>
      </c>
      <c r="G819" s="128">
        <v>1394276563</v>
      </c>
      <c r="H819" s="128">
        <v>149386775</v>
      </c>
      <c r="I819" s="135"/>
      <c r="J819" s="135">
        <f t="shared" si="226"/>
        <v>0.12000000035344495</v>
      </c>
      <c r="K819" s="136">
        <v>317375202</v>
      </c>
      <c r="L819" s="136">
        <f>+K819/(1+J819)*J819</f>
        <v>34004486.017996386</v>
      </c>
      <c r="M819" s="137">
        <v>25647851.638877261</v>
      </c>
      <c r="N819" s="138">
        <f t="shared" si="228"/>
        <v>8356634.3791191243</v>
      </c>
      <c r="O819" s="139">
        <f t="shared" si="225"/>
        <v>3342654</v>
      </c>
      <c r="P819" s="140" t="s">
        <v>659</v>
      </c>
      <c r="Q819" s="134">
        <v>8880</v>
      </c>
      <c r="R819" s="42">
        <f t="shared" si="216"/>
        <v>5013980.3791191243</v>
      </c>
      <c r="S819" s="134">
        <v>8881</v>
      </c>
      <c r="T819" s="134">
        <v>2052</v>
      </c>
      <c r="U819" s="134">
        <v>3099</v>
      </c>
      <c r="V819" s="125" t="s">
        <v>261</v>
      </c>
      <c r="W819" s="141">
        <v>45525</v>
      </c>
      <c r="X819" s="140" t="s">
        <v>425</v>
      </c>
    </row>
    <row r="820" spans="1:24" s="123" customFormat="1" ht="17.45" customHeight="1" x14ac:dyDescent="0.25">
      <c r="A820" t="str">
        <f t="shared" si="207"/>
        <v>2453018350455251164416785,84404</v>
      </c>
      <c r="B820" s="6">
        <f t="shared" si="205"/>
        <v>45743</v>
      </c>
      <c r="C820" s="3">
        <f t="shared" si="206"/>
        <v>1344604499.9999998</v>
      </c>
      <c r="D820" s="134">
        <v>2023</v>
      </c>
      <c r="E820" s="126">
        <v>2453018350</v>
      </c>
      <c r="F820" s="127" t="s">
        <v>450</v>
      </c>
      <c r="G820" s="128">
        <v>16284654500</v>
      </c>
      <c r="H820" s="128">
        <v>1344604500</v>
      </c>
      <c r="I820" s="135"/>
      <c r="J820" s="135">
        <f t="shared" si="226"/>
        <v>0.09</v>
      </c>
      <c r="K820" s="136">
        <v>14102381073</v>
      </c>
      <c r="L820" s="136">
        <f>+K820/(1+J820)*J820</f>
        <v>1164416785.8440366</v>
      </c>
      <c r="M820" s="137">
        <v>1124420558.4495411</v>
      </c>
      <c r="N820" s="138">
        <f t="shared" si="228"/>
        <v>39996227.394495487</v>
      </c>
      <c r="O820" s="139">
        <f t="shared" si="225"/>
        <v>15998491</v>
      </c>
      <c r="P820" s="140" t="s">
        <v>659</v>
      </c>
      <c r="Q820" s="134">
        <v>8876</v>
      </c>
      <c r="R820" s="42">
        <f t="shared" si="216"/>
        <v>23997736.394495487</v>
      </c>
      <c r="S820" s="134">
        <v>8877</v>
      </c>
      <c r="T820" s="134">
        <v>2050</v>
      </c>
      <c r="U820" s="134">
        <v>3097</v>
      </c>
      <c r="V820" s="125" t="s">
        <v>261</v>
      </c>
      <c r="W820" s="141">
        <v>45525</v>
      </c>
      <c r="X820" s="140" t="s">
        <v>451</v>
      </c>
    </row>
    <row r="821" spans="1:24" s="123" customFormat="1" ht="17.45" customHeight="1" x14ac:dyDescent="0.25">
      <c r="A821" t="str">
        <f t="shared" si="207"/>
        <v>245301834745525157139750,073955</v>
      </c>
      <c r="B821" s="6">
        <f t="shared" si="205"/>
        <v>45730</v>
      </c>
      <c r="C821" s="3">
        <f t="shared" si="206"/>
        <v>227416985.11999634</v>
      </c>
      <c r="D821" s="134">
        <v>2023</v>
      </c>
      <c r="E821" s="126">
        <v>2453018347</v>
      </c>
      <c r="F821" s="127" t="s">
        <v>391</v>
      </c>
      <c r="G821" s="128">
        <v>2033323757</v>
      </c>
      <c r="H821" s="128">
        <v>243997849</v>
      </c>
      <c r="I821" s="135"/>
      <c r="J821" s="135">
        <f t="shared" si="226"/>
        <v>0.13636300011590732</v>
      </c>
      <c r="K821" s="136">
        <v>1309503294</v>
      </c>
      <c r="L821" s="136">
        <f>+K821/(1+J821)*J821</f>
        <v>157139750.0739547</v>
      </c>
      <c r="M821" s="137">
        <v>141771772.45391545</v>
      </c>
      <c r="N821" s="138">
        <f>+L821-M821</f>
        <v>15367977.620039254</v>
      </c>
      <c r="O821" s="139">
        <f t="shared" si="225"/>
        <v>6147191</v>
      </c>
      <c r="P821" s="140" t="s">
        <v>659</v>
      </c>
      <c r="Q821" s="134">
        <v>8872</v>
      </c>
      <c r="R821" s="42">
        <f t="shared" si="216"/>
        <v>9220786.6200392544</v>
      </c>
      <c r="S821" s="134">
        <v>8873</v>
      </c>
      <c r="T821" s="134">
        <v>2048</v>
      </c>
      <c r="U821" s="134">
        <v>3095</v>
      </c>
      <c r="V821" s="125" t="s">
        <v>261</v>
      </c>
      <c r="W821" s="141">
        <v>45525</v>
      </c>
      <c r="X821" s="140" t="s">
        <v>471</v>
      </c>
    </row>
    <row r="822" spans="1:24" s="123" customFormat="1" ht="17.45" customHeight="1" x14ac:dyDescent="0.25">
      <c r="A822" t="str">
        <f t="shared" si="207"/>
        <v>24530183604552510313907,3876011</v>
      </c>
      <c r="B822" s="6">
        <f t="shared" si="205"/>
        <v>45730</v>
      </c>
      <c r="C822" s="3">
        <f t="shared" si="206"/>
        <v>36391063.840622641</v>
      </c>
      <c r="D822" s="134">
        <v>2023</v>
      </c>
      <c r="E822" s="126">
        <v>2453018360</v>
      </c>
      <c r="F822" s="127" t="s">
        <v>620</v>
      </c>
      <c r="G822" s="128">
        <v>623455500</v>
      </c>
      <c r="H822" s="128">
        <v>66798804</v>
      </c>
      <c r="I822" s="135"/>
      <c r="J822" s="135">
        <f>IFERROR((+H822/(G822-H822)),0)</f>
        <v>0.12000000086229089</v>
      </c>
      <c r="K822" s="136">
        <v>96263135</v>
      </c>
      <c r="L822" s="136">
        <f>+K822/(1+J822)*J822</f>
        <v>10313907.387601105</v>
      </c>
      <c r="M822" s="137">
        <v>6754041.7933329511</v>
      </c>
      <c r="N822" s="138">
        <f t="shared" ref="N822" si="229">+L822-M822</f>
        <v>3559865.5942681544</v>
      </c>
      <c r="O822" s="139">
        <f t="shared" si="225"/>
        <v>1423946</v>
      </c>
      <c r="P822" s="140" t="s">
        <v>659</v>
      </c>
      <c r="Q822" s="134">
        <v>8878</v>
      </c>
      <c r="R822" s="42">
        <f t="shared" si="216"/>
        <v>2135919.5942681544</v>
      </c>
      <c r="S822" s="134">
        <v>8879</v>
      </c>
      <c r="T822" s="134">
        <v>2051</v>
      </c>
      <c r="U822" s="134">
        <v>3098</v>
      </c>
      <c r="V822" s="125" t="s">
        <v>261</v>
      </c>
      <c r="W822" s="141">
        <v>45525</v>
      </c>
      <c r="X822" s="140" t="s">
        <v>425</v>
      </c>
    </row>
    <row r="823" spans="1:24" s="123" customFormat="1" ht="17.45" customHeight="1" x14ac:dyDescent="0.25">
      <c r="A823" t="str">
        <f t="shared" si="207"/>
        <v>24530183454552545271421,946192</v>
      </c>
      <c r="B823" s="6">
        <f t="shared" si="205"/>
        <v>45525</v>
      </c>
      <c r="C823" s="3">
        <f t="shared" si="206"/>
        <v>45271421.946191989</v>
      </c>
      <c r="D823" s="134">
        <v>2023</v>
      </c>
      <c r="E823" s="126">
        <v>2453018345</v>
      </c>
      <c r="F823" s="127" t="s">
        <v>522</v>
      </c>
      <c r="G823" s="128">
        <v>483200000</v>
      </c>
      <c r="H823" s="128">
        <v>51771429</v>
      </c>
      <c r="I823" s="135"/>
      <c r="J823" s="135">
        <f>IFERROR((+H823/(G823-H823)),0)</f>
        <v>0.12000000111258279</v>
      </c>
      <c r="K823" s="136">
        <v>422533268</v>
      </c>
      <c r="L823" s="136">
        <f t="shared" ref="L823:L829" si="230">+K823/(1+J823)*J823</f>
        <v>45271421.946191989</v>
      </c>
      <c r="M823" s="137">
        <v>35747104</v>
      </c>
      <c r="N823" s="138">
        <f>+L823-M823</f>
        <v>9524317.9461919889</v>
      </c>
      <c r="O823" s="139">
        <f t="shared" si="225"/>
        <v>3809727</v>
      </c>
      <c r="P823" s="140" t="s">
        <v>659</v>
      </c>
      <c r="Q823" s="134">
        <v>8870</v>
      </c>
      <c r="R823" s="42">
        <f t="shared" si="216"/>
        <v>5714590.9461919889</v>
      </c>
      <c r="S823" s="134">
        <v>8871</v>
      </c>
      <c r="T823" s="134">
        <v>2047</v>
      </c>
      <c r="U823" s="134">
        <v>3094</v>
      </c>
      <c r="V823" s="125" t="s">
        <v>261</v>
      </c>
      <c r="W823" s="141">
        <v>45525</v>
      </c>
      <c r="X823" s="140" t="s">
        <v>425</v>
      </c>
    </row>
    <row r="824" spans="1:24" s="123" customFormat="1" ht="17.45" customHeight="1" x14ac:dyDescent="0.25">
      <c r="A824" t="str">
        <f t="shared" si="207"/>
        <v>291090730545525988193446,374371</v>
      </c>
      <c r="B824" s="6">
        <f t="shared" si="205"/>
        <v>45639</v>
      </c>
      <c r="C824" s="3">
        <f t="shared" si="206"/>
        <v>1657912075.6085422</v>
      </c>
      <c r="D824" s="134">
        <v>2024</v>
      </c>
      <c r="E824" s="126">
        <v>2910907305</v>
      </c>
      <c r="F824" s="127" t="s">
        <v>602</v>
      </c>
      <c r="G824" s="128">
        <v>16023830031</v>
      </c>
      <c r="H824" s="128">
        <v>1716840708</v>
      </c>
      <c r="I824" s="135"/>
      <c r="J824" s="135">
        <f t="shared" ref="J824:J838" si="231">IFERROR((+H824/(G824-H824)),0)</f>
        <v>0.12000013903973471</v>
      </c>
      <c r="K824" s="136">
        <v>9223129291.2999992</v>
      </c>
      <c r="L824" s="136">
        <f t="shared" si="230"/>
        <v>988193446.37437069</v>
      </c>
      <c r="M824" s="137">
        <v>825622786.60952532</v>
      </c>
      <c r="N824" s="138">
        <f t="shared" ref="N824:N826" si="232">+L824-M824</f>
        <v>162570659.76484537</v>
      </c>
      <c r="O824" s="139">
        <f t="shared" si="225"/>
        <v>65028264</v>
      </c>
      <c r="P824" s="140" t="s">
        <v>659</v>
      </c>
      <c r="Q824" s="134">
        <v>8884</v>
      </c>
      <c r="R824" s="42">
        <f t="shared" si="216"/>
        <v>97542395.764845371</v>
      </c>
      <c r="S824" s="134">
        <v>8885</v>
      </c>
      <c r="T824" s="134">
        <v>2054</v>
      </c>
      <c r="U824" s="134">
        <v>3101</v>
      </c>
      <c r="V824" s="125" t="s">
        <v>261</v>
      </c>
      <c r="W824" s="141">
        <v>45525</v>
      </c>
      <c r="X824" s="140" t="s">
        <v>676</v>
      </c>
    </row>
    <row r="825" spans="1:24" s="123" customFormat="1" ht="17.45" customHeight="1" x14ac:dyDescent="0.25">
      <c r="A825" t="str">
        <f t="shared" si="207"/>
        <v>2910907312455255485714,18181818</v>
      </c>
      <c r="B825" s="6">
        <f t="shared" si="205"/>
        <v>45525</v>
      </c>
      <c r="C825" s="3">
        <f t="shared" si="206"/>
        <v>5485714.1818181816</v>
      </c>
      <c r="D825" s="134">
        <v>2024</v>
      </c>
      <c r="E825" s="126">
        <v>2910907312</v>
      </c>
      <c r="F825" s="127" t="s">
        <v>677</v>
      </c>
      <c r="G825" s="128">
        <v>140800000</v>
      </c>
      <c r="H825" s="128">
        <v>15085714</v>
      </c>
      <c r="I825" s="135"/>
      <c r="J825" s="135">
        <f t="shared" si="231"/>
        <v>0.11999999745454545</v>
      </c>
      <c r="K825" s="136">
        <v>51200000</v>
      </c>
      <c r="L825" s="136">
        <f t="shared" si="230"/>
        <v>5485714.1818181816</v>
      </c>
      <c r="M825" s="137">
        <v>0</v>
      </c>
      <c r="N825" s="138">
        <f t="shared" si="232"/>
        <v>5485714.1818181816</v>
      </c>
      <c r="O825" s="139">
        <f t="shared" si="225"/>
        <v>2194286</v>
      </c>
      <c r="P825" s="140" t="s">
        <v>659</v>
      </c>
      <c r="Q825" s="134">
        <v>8886</v>
      </c>
      <c r="R825" s="42">
        <f t="shared" si="216"/>
        <v>3291428.1818181816</v>
      </c>
      <c r="S825" s="134">
        <v>8887</v>
      </c>
      <c r="T825" s="134">
        <v>2055</v>
      </c>
      <c r="U825" s="134">
        <v>3102</v>
      </c>
      <c r="V825" s="125" t="s">
        <v>261</v>
      </c>
      <c r="W825" s="141">
        <v>45525</v>
      </c>
      <c r="X825" s="140" t="s">
        <v>678</v>
      </c>
    </row>
    <row r="826" spans="1:24" s="123" customFormat="1" ht="17.45" customHeight="1" x14ac:dyDescent="0.25">
      <c r="A826" t="str">
        <f t="shared" si="207"/>
        <v>2910907304455252127656,7657</v>
      </c>
      <c r="B826" s="6">
        <f t="shared" si="205"/>
        <v>45614</v>
      </c>
      <c r="C826" s="3">
        <f t="shared" si="206"/>
        <v>4964532.4533000002</v>
      </c>
      <c r="D826" s="134">
        <v>2024</v>
      </c>
      <c r="E826" s="126">
        <v>2910907304</v>
      </c>
      <c r="F826" s="127" t="s">
        <v>679</v>
      </c>
      <c r="G826" s="128">
        <v>66930000</v>
      </c>
      <c r="H826" s="128">
        <v>7171071</v>
      </c>
      <c r="I826" s="135"/>
      <c r="J826" s="135">
        <f t="shared" si="231"/>
        <v>0.11999999196772754</v>
      </c>
      <c r="K826" s="136">
        <v>19858131</v>
      </c>
      <c r="L826" s="136">
        <f t="shared" si="230"/>
        <v>2127656.7657000003</v>
      </c>
      <c r="M826" s="137">
        <v>0</v>
      </c>
      <c r="N826" s="138">
        <f t="shared" si="232"/>
        <v>2127656.7657000003</v>
      </c>
      <c r="O826" s="139">
        <f t="shared" si="225"/>
        <v>851063</v>
      </c>
      <c r="P826" s="140" t="s">
        <v>659</v>
      </c>
      <c r="Q826" s="134">
        <v>8882</v>
      </c>
      <c r="R826" s="42">
        <f t="shared" si="216"/>
        <v>1276593.7657000003</v>
      </c>
      <c r="S826" s="134">
        <v>8883</v>
      </c>
      <c r="T826" s="134">
        <v>2053</v>
      </c>
      <c r="U826" s="134">
        <v>3100</v>
      </c>
      <c r="V826" s="125" t="s">
        <v>261</v>
      </c>
      <c r="W826" s="141">
        <v>45525</v>
      </c>
      <c r="X826" s="140" t="s">
        <v>680</v>
      </c>
    </row>
    <row r="827" spans="1:24" s="123" customFormat="1" ht="17.45" customHeight="1" x14ac:dyDescent="0.25">
      <c r="A827" t="str">
        <f t="shared" si="207"/>
        <v>2910906782455272142857</v>
      </c>
      <c r="B827" s="6">
        <f t="shared" si="205"/>
        <v>45527</v>
      </c>
      <c r="C827" s="3">
        <f t="shared" si="206"/>
        <v>2142857</v>
      </c>
      <c r="D827" s="134">
        <v>2022</v>
      </c>
      <c r="E827" s="126">
        <v>2910906782</v>
      </c>
      <c r="F827" s="127" t="s">
        <v>681</v>
      </c>
      <c r="G827" s="128">
        <v>20000000</v>
      </c>
      <c r="H827" s="128">
        <v>2142857</v>
      </c>
      <c r="I827" s="135"/>
      <c r="J827" s="135">
        <f t="shared" si="231"/>
        <v>0.11999999104000007</v>
      </c>
      <c r="K827" s="136">
        <v>20000000</v>
      </c>
      <c r="L827" s="136">
        <f t="shared" si="230"/>
        <v>2142857</v>
      </c>
      <c r="M827" s="137">
        <v>0</v>
      </c>
      <c r="N827" s="138">
        <f>+L827-M827</f>
        <v>2142857</v>
      </c>
      <c r="O827" s="139">
        <f t="shared" si="225"/>
        <v>857143</v>
      </c>
      <c r="P827" s="140" t="s">
        <v>659</v>
      </c>
      <c r="Q827" s="134"/>
      <c r="R827" s="42">
        <f t="shared" si="216"/>
        <v>1285714</v>
      </c>
      <c r="S827" s="134"/>
      <c r="T827" s="134"/>
      <c r="U827" s="134"/>
      <c r="V827" s="125" t="s">
        <v>261</v>
      </c>
      <c r="W827" s="141">
        <v>45527</v>
      </c>
      <c r="X827" s="140" t="s">
        <v>682</v>
      </c>
    </row>
    <row r="828" spans="1:24" s="123" customFormat="1" ht="17.45" customHeight="1" x14ac:dyDescent="0.25">
      <c r="A828" t="str">
        <f t="shared" si="207"/>
        <v>2910906780455274178571</v>
      </c>
      <c r="B828" s="6">
        <f t="shared" si="205"/>
        <v>45527</v>
      </c>
      <c r="C828" s="3">
        <f t="shared" si="206"/>
        <v>4178571</v>
      </c>
      <c r="D828" s="134">
        <v>2022</v>
      </c>
      <c r="E828" s="126">
        <v>2910906780</v>
      </c>
      <c r="F828" s="127" t="s">
        <v>683</v>
      </c>
      <c r="G828" s="128">
        <v>39000000</v>
      </c>
      <c r="H828" s="128">
        <v>4178571</v>
      </c>
      <c r="I828" s="135"/>
      <c r="J828" s="135">
        <f t="shared" si="231"/>
        <v>0.11999998621538478</v>
      </c>
      <c r="K828" s="136">
        <v>39000000</v>
      </c>
      <c r="L828" s="136">
        <f t="shared" si="230"/>
        <v>4178571</v>
      </c>
      <c r="M828" s="137">
        <v>2975120</v>
      </c>
      <c r="N828" s="138">
        <f t="shared" ref="N828" si="233">+L828-M828</f>
        <v>1203451</v>
      </c>
      <c r="O828" s="139">
        <f t="shared" si="225"/>
        <v>481380</v>
      </c>
      <c r="P828" s="140" t="s">
        <v>659</v>
      </c>
      <c r="Q828" s="134"/>
      <c r="R828" s="42">
        <f t="shared" si="216"/>
        <v>722071</v>
      </c>
      <c r="S828" s="134"/>
      <c r="T828" s="134"/>
      <c r="U828" s="134"/>
      <c r="V828" s="125" t="s">
        <v>261</v>
      </c>
      <c r="W828" s="141">
        <v>45527</v>
      </c>
      <c r="X828" s="140" t="s">
        <v>682</v>
      </c>
    </row>
    <row r="829" spans="1:24" s="123" customFormat="1" ht="17.45" customHeight="1" x14ac:dyDescent="0.25">
      <c r="A829" t="str">
        <f t="shared" si="207"/>
        <v>291090723145530644712437,095549</v>
      </c>
      <c r="B829" s="6">
        <f t="shared" si="205"/>
        <v>45880</v>
      </c>
      <c r="C829" s="3">
        <f t="shared" si="206"/>
        <v>725275008</v>
      </c>
      <c r="D829" s="134">
        <v>2023</v>
      </c>
      <c r="E829" s="126">
        <v>2910907231</v>
      </c>
      <c r="F829" s="127" t="s">
        <v>410</v>
      </c>
      <c r="G829" s="128">
        <v>7055787001</v>
      </c>
      <c r="H829" s="128">
        <v>755977179</v>
      </c>
      <c r="I829" s="135"/>
      <c r="J829" s="135">
        <f t="shared" si="231"/>
        <v>0.12000000005714458</v>
      </c>
      <c r="K829" s="136">
        <v>6017316077</v>
      </c>
      <c r="L829" s="136">
        <f t="shared" si="230"/>
        <v>644712437.09554923</v>
      </c>
      <c r="M829" s="137">
        <v>597653007.36125469</v>
      </c>
      <c r="N829" s="138">
        <f>+L829-M829</f>
        <v>47059429.734294534</v>
      </c>
      <c r="O829" s="139">
        <f t="shared" si="225"/>
        <v>18823772</v>
      </c>
      <c r="P829" s="140" t="s">
        <v>659</v>
      </c>
      <c r="Q829" s="134"/>
      <c r="R829" s="42">
        <f t="shared" si="216"/>
        <v>28235657.734294534</v>
      </c>
      <c r="S829" s="134"/>
      <c r="T829" s="134"/>
      <c r="U829" s="134"/>
      <c r="V829" s="125" t="s">
        <v>261</v>
      </c>
      <c r="W829" s="141">
        <v>45530</v>
      </c>
      <c r="X829" s="140" t="s">
        <v>684</v>
      </c>
    </row>
    <row r="830" spans="1:24" s="123" customFormat="1" ht="17.45" customHeight="1" x14ac:dyDescent="0.25">
      <c r="A830" t="str">
        <f t="shared" si="207"/>
        <v>2910907307455308438839,48808453</v>
      </c>
      <c r="B830" s="6">
        <f t="shared" si="205"/>
        <v>45674</v>
      </c>
      <c r="C830" s="3">
        <f t="shared" si="206"/>
        <v>18471429.000000004</v>
      </c>
      <c r="D830" s="134">
        <v>2024</v>
      </c>
      <c r="E830" s="126">
        <v>2910907307</v>
      </c>
      <c r="F830" s="127" t="s">
        <v>685</v>
      </c>
      <c r="G830" s="128">
        <v>166800000</v>
      </c>
      <c r="H830" s="128">
        <v>17871429</v>
      </c>
      <c r="I830" s="135"/>
      <c r="J830" s="135">
        <f t="shared" si="231"/>
        <v>0.1200000032230216</v>
      </c>
      <c r="K830" s="136">
        <v>78762500</v>
      </c>
      <c r="L830" s="136">
        <f>+K830/(1+J830)*J830</f>
        <v>8438839.4880845342</v>
      </c>
      <c r="M830" s="137">
        <v>0</v>
      </c>
      <c r="N830" s="138">
        <f>+L830-M830</f>
        <v>8438839.4880845342</v>
      </c>
      <c r="O830" s="139">
        <f>ROUND((N830*40%),0)</f>
        <v>3375536</v>
      </c>
      <c r="P830" s="140" t="s">
        <v>659</v>
      </c>
      <c r="Q830" s="134"/>
      <c r="R830" s="42">
        <f t="shared" si="216"/>
        <v>5063303.4880845342</v>
      </c>
      <c r="S830" s="134"/>
      <c r="T830" s="134"/>
      <c r="U830" s="134"/>
      <c r="V830" s="125" t="s">
        <v>261</v>
      </c>
      <c r="W830" s="141">
        <v>45530</v>
      </c>
      <c r="X830" s="140" t="s">
        <v>686</v>
      </c>
    </row>
    <row r="831" spans="1:24" s="123" customFormat="1" ht="17.45" customHeight="1" x14ac:dyDescent="0.25">
      <c r="A831" t="str">
        <f t="shared" si="207"/>
        <v>291090637045530467234191,895327</v>
      </c>
      <c r="B831" s="6">
        <f t="shared" si="205"/>
        <v>45530</v>
      </c>
      <c r="C831" s="3">
        <f t="shared" si="206"/>
        <v>467234191.89532739</v>
      </c>
      <c r="D831" s="134">
        <v>2018</v>
      </c>
      <c r="E831" s="126">
        <v>2910906370</v>
      </c>
      <c r="F831" s="127" t="s">
        <v>74</v>
      </c>
      <c r="G831" s="128">
        <v>5033567040</v>
      </c>
      <c r="H831" s="128">
        <v>539310754</v>
      </c>
      <c r="I831" s="135"/>
      <c r="J831" s="135">
        <f t="shared" si="231"/>
        <v>0.11999999992879801</v>
      </c>
      <c r="K831" s="136">
        <v>4360852460</v>
      </c>
      <c r="L831" s="136">
        <f t="shared" ref="L831" si="234">+K831/(1+J831)*J831</f>
        <v>467234191.89532739</v>
      </c>
      <c r="M831" s="137">
        <v>464053531.36129808</v>
      </c>
      <c r="N831" s="138">
        <f>+L831-M831</f>
        <v>3180660.534029305</v>
      </c>
      <c r="O831" s="139">
        <f t="shared" ref="O831:O839" si="235">ROUND((N831*40%),0)</f>
        <v>1272264</v>
      </c>
      <c r="P831" s="140" t="s">
        <v>659</v>
      </c>
      <c r="Q831" s="134"/>
      <c r="R831" s="42">
        <f t="shared" si="216"/>
        <v>1908396.534029305</v>
      </c>
      <c r="S831" s="134"/>
      <c r="T831" s="134"/>
      <c r="U831" s="134"/>
      <c r="V831" s="125" t="s">
        <v>261</v>
      </c>
      <c r="W831" s="141">
        <v>45530</v>
      </c>
      <c r="X831" s="140" t="s">
        <v>687</v>
      </c>
    </row>
    <row r="832" spans="1:24" s="123" customFormat="1" ht="17.45" customHeight="1" x14ac:dyDescent="0.25">
      <c r="A832" t="str">
        <f t="shared" si="207"/>
        <v>24530183634553046815464,6945438</v>
      </c>
      <c r="B832" s="6">
        <f t="shared" si="205"/>
        <v>45804</v>
      </c>
      <c r="C832" s="3">
        <f t="shared" si="206"/>
        <v>195445963.8411898</v>
      </c>
      <c r="D832" s="134">
        <v>2024</v>
      </c>
      <c r="E832" s="126">
        <v>2453018363</v>
      </c>
      <c r="F832" s="127" t="s">
        <v>672</v>
      </c>
      <c r="G832" s="128">
        <v>1394276563</v>
      </c>
      <c r="H832" s="128">
        <v>149386775</v>
      </c>
      <c r="I832" s="135"/>
      <c r="J832" s="135">
        <f t="shared" si="231"/>
        <v>0.12000000035344495</v>
      </c>
      <c r="K832" s="136">
        <v>436944336</v>
      </c>
      <c r="L832" s="136">
        <f>+K832/(1+J832)*J832</f>
        <v>46815464.694543816</v>
      </c>
      <c r="M832" s="137">
        <v>34004486.017996386</v>
      </c>
      <c r="N832" s="138">
        <f t="shared" ref="N832:N835" si="236">+L832-M832</f>
        <v>12810978.67654743</v>
      </c>
      <c r="O832" s="139">
        <f t="shared" si="235"/>
        <v>5124391</v>
      </c>
      <c r="P832" s="140" t="s">
        <v>659</v>
      </c>
      <c r="Q832" s="134"/>
      <c r="R832" s="42">
        <f t="shared" si="216"/>
        <v>7686587.6765474305</v>
      </c>
      <c r="S832" s="134"/>
      <c r="T832" s="134"/>
      <c r="U832" s="134"/>
      <c r="V832" s="125" t="s">
        <v>261</v>
      </c>
      <c r="W832" s="141">
        <v>45530</v>
      </c>
      <c r="X832" s="140" t="s">
        <v>425</v>
      </c>
    </row>
    <row r="833" spans="1:24" s="123" customFormat="1" ht="17.45" customHeight="1" x14ac:dyDescent="0.25">
      <c r="A833" t="str">
        <f t="shared" si="207"/>
        <v>291090821645530786722</v>
      </c>
      <c r="B833" s="6">
        <f t="shared" si="205"/>
        <v>45530</v>
      </c>
      <c r="C833" s="3">
        <f t="shared" si="206"/>
        <v>786722</v>
      </c>
      <c r="D833" s="134">
        <v>2024</v>
      </c>
      <c r="E833" s="126">
        <v>2910908216</v>
      </c>
      <c r="F833" s="127" t="s">
        <v>688</v>
      </c>
      <c r="G833" s="128">
        <v>7342730</v>
      </c>
      <c r="H833" s="128">
        <v>786722</v>
      </c>
      <c r="I833" s="135"/>
      <c r="J833" s="135">
        <f t="shared" si="231"/>
        <v>0.12000015863311943</v>
      </c>
      <c r="K833" s="136">
        <v>7342730</v>
      </c>
      <c r="L833" s="136">
        <f>+K833/(1+J833)*J833</f>
        <v>786722</v>
      </c>
      <c r="M833" s="137">
        <v>0</v>
      </c>
      <c r="N833" s="138">
        <f t="shared" si="236"/>
        <v>786722</v>
      </c>
      <c r="O833" s="139">
        <f t="shared" si="235"/>
        <v>314689</v>
      </c>
      <c r="P833" s="140" t="s">
        <v>659</v>
      </c>
      <c r="Q833" s="134"/>
      <c r="R833" s="42">
        <f t="shared" si="216"/>
        <v>472033</v>
      </c>
      <c r="S833" s="134"/>
      <c r="T833" s="134"/>
      <c r="U833" s="134"/>
      <c r="V833" s="125" t="s">
        <v>261</v>
      </c>
      <c r="W833" s="141">
        <v>45530</v>
      </c>
      <c r="X833" s="140" t="s">
        <v>428</v>
      </c>
    </row>
    <row r="834" spans="1:24" s="123" customFormat="1" ht="17.45" customHeight="1" x14ac:dyDescent="0.25">
      <c r="A834" t="str">
        <f t="shared" si="207"/>
        <v>29109082044553015262500</v>
      </c>
      <c r="B834" s="6">
        <f t="shared" ref="B834:B897" si="237">_xlfn.MAXIFS(W:W,E:E,E834)</f>
        <v>45530</v>
      </c>
      <c r="C834" s="3">
        <f t="shared" ref="C834:C897" si="238">_xlfn.MAXIFS(L:L,E:E,E834)</f>
        <v>15262499.999999998</v>
      </c>
      <c r="D834" s="134">
        <v>2024</v>
      </c>
      <c r="E834" s="126">
        <v>2910908204</v>
      </c>
      <c r="F834" s="127" t="s">
        <v>689</v>
      </c>
      <c r="G834" s="128">
        <v>142450000</v>
      </c>
      <c r="H834" s="128">
        <v>15262500</v>
      </c>
      <c r="I834" s="135"/>
      <c r="J834" s="135">
        <f t="shared" si="231"/>
        <v>0.12</v>
      </c>
      <c r="K834" s="136">
        <v>142450000</v>
      </c>
      <c r="L834" s="136">
        <f>+K834/(1+J834)*J834</f>
        <v>15262499.999999998</v>
      </c>
      <c r="M834" s="137">
        <v>0</v>
      </c>
      <c r="N834" s="138">
        <f t="shared" si="236"/>
        <v>15262499.999999998</v>
      </c>
      <c r="O834" s="139">
        <f t="shared" si="235"/>
        <v>6105000</v>
      </c>
      <c r="P834" s="140" t="s">
        <v>659</v>
      </c>
      <c r="Q834" s="134"/>
      <c r="R834" s="42">
        <f t="shared" si="216"/>
        <v>9157499.9999999981</v>
      </c>
      <c r="S834" s="134"/>
      <c r="T834" s="134"/>
      <c r="U834" s="134"/>
      <c r="V834" s="125" t="s">
        <v>261</v>
      </c>
      <c r="W834" s="141">
        <v>45530</v>
      </c>
      <c r="X834" s="140" t="s">
        <v>428</v>
      </c>
    </row>
    <row r="835" spans="1:24" s="123" customFormat="1" ht="17.45" customHeight="1" x14ac:dyDescent="0.25">
      <c r="A835" t="str">
        <f t="shared" ref="A835:A898" si="239">_xlfn.CONCAT(E835,W835,L835)</f>
        <v>29109082104553019754057</v>
      </c>
      <c r="B835" s="6">
        <f t="shared" si="237"/>
        <v>45832</v>
      </c>
      <c r="C835" s="3">
        <f t="shared" si="238"/>
        <v>49499655</v>
      </c>
      <c r="D835" s="134">
        <v>2024</v>
      </c>
      <c r="E835" s="126">
        <v>2910908210</v>
      </c>
      <c r="F835" s="127" t="s">
        <v>690</v>
      </c>
      <c r="G835" s="128">
        <v>184371200</v>
      </c>
      <c r="H835" s="128">
        <v>19754057</v>
      </c>
      <c r="I835" s="135"/>
      <c r="J835" s="135">
        <f t="shared" si="231"/>
        <v>0.11999999902804777</v>
      </c>
      <c r="K835" s="136">
        <v>184371200</v>
      </c>
      <c r="L835" s="136">
        <f>+K835/(1+J835)*J835</f>
        <v>19754057</v>
      </c>
      <c r="M835" s="137">
        <v>0</v>
      </c>
      <c r="N835" s="138">
        <f t="shared" si="236"/>
        <v>19754057</v>
      </c>
      <c r="O835" s="139">
        <f t="shared" si="235"/>
        <v>7901623</v>
      </c>
      <c r="P835" s="140" t="s">
        <v>659</v>
      </c>
      <c r="Q835" s="134"/>
      <c r="R835" s="42">
        <f t="shared" si="216"/>
        <v>11852434</v>
      </c>
      <c r="S835" s="134"/>
      <c r="T835" s="134"/>
      <c r="U835" s="134"/>
      <c r="V835" s="125" t="s">
        <v>261</v>
      </c>
      <c r="W835" s="141">
        <v>45530</v>
      </c>
      <c r="X835" s="140" t="s">
        <v>428</v>
      </c>
    </row>
    <row r="836" spans="1:24" s="123" customFormat="1" ht="17.45" customHeight="1" x14ac:dyDescent="0.25">
      <c r="A836" t="str">
        <f t="shared" si="239"/>
        <v>2910908093454674339286</v>
      </c>
      <c r="B836" s="6">
        <f t="shared" si="237"/>
        <v>45467</v>
      </c>
      <c r="C836" s="3">
        <f t="shared" si="238"/>
        <v>4339286</v>
      </c>
      <c r="D836" s="134">
        <v>2023</v>
      </c>
      <c r="E836" s="126">
        <v>2910908093</v>
      </c>
      <c r="F836" s="127" t="s">
        <v>652</v>
      </c>
      <c r="G836" s="128">
        <v>40500000</v>
      </c>
      <c r="H836" s="128">
        <v>4339286</v>
      </c>
      <c r="I836" s="135"/>
      <c r="J836" s="135">
        <f t="shared" si="231"/>
        <v>0.12000000884938279</v>
      </c>
      <c r="K836" s="136">
        <v>40500000</v>
      </c>
      <c r="L836" s="136">
        <f t="shared" ref="L836:L853" si="240">+K836/(1+J836)*J836</f>
        <v>4339286</v>
      </c>
      <c r="M836" s="137">
        <v>3910714</v>
      </c>
      <c r="N836" s="138">
        <f>+L836-M836</f>
        <v>428572</v>
      </c>
      <c r="O836" s="139">
        <f t="shared" si="235"/>
        <v>171429</v>
      </c>
      <c r="P836" s="140" t="s">
        <v>659</v>
      </c>
      <c r="Q836" s="134"/>
      <c r="R836" s="42">
        <f t="shared" si="216"/>
        <v>257143</v>
      </c>
      <c r="S836" s="134"/>
      <c r="T836" s="134"/>
      <c r="U836" s="134"/>
      <c r="V836" s="125" t="s">
        <v>261</v>
      </c>
      <c r="W836" s="141">
        <v>45467</v>
      </c>
      <c r="X836" s="140" t="s">
        <v>691</v>
      </c>
    </row>
    <row r="837" spans="1:24" s="123" customFormat="1" ht="17.45" customHeight="1" x14ac:dyDescent="0.25">
      <c r="A837" t="str">
        <f t="shared" si="239"/>
        <v>2910908203454675437500</v>
      </c>
      <c r="B837" s="6">
        <f t="shared" si="237"/>
        <v>45467</v>
      </c>
      <c r="C837" s="3">
        <f t="shared" si="238"/>
        <v>6951429</v>
      </c>
      <c r="D837" s="134">
        <v>2024</v>
      </c>
      <c r="E837" s="126">
        <v>2910908203</v>
      </c>
      <c r="F837" s="127" t="s">
        <v>692</v>
      </c>
      <c r="G837" s="128">
        <v>50750000</v>
      </c>
      <c r="H837" s="128">
        <v>5437500</v>
      </c>
      <c r="I837" s="135"/>
      <c r="J837" s="135">
        <f t="shared" si="231"/>
        <v>0.12</v>
      </c>
      <c r="K837" s="136">
        <v>50750000</v>
      </c>
      <c r="L837" s="136">
        <f t="shared" si="240"/>
        <v>5437499.9999999991</v>
      </c>
      <c r="M837" s="137">
        <v>0</v>
      </c>
      <c r="N837" s="138">
        <f>+L837-M837</f>
        <v>5437499.9999999991</v>
      </c>
      <c r="O837" s="139">
        <f t="shared" si="235"/>
        <v>2175000</v>
      </c>
      <c r="P837" s="140" t="s">
        <v>659</v>
      </c>
      <c r="Q837" s="134"/>
      <c r="R837" s="42">
        <f t="shared" si="216"/>
        <v>3262499.9999999991</v>
      </c>
      <c r="S837" s="134"/>
      <c r="T837" s="134"/>
      <c r="U837" s="134"/>
      <c r="V837" s="125" t="s">
        <v>261</v>
      </c>
      <c r="W837" s="141">
        <v>45467</v>
      </c>
      <c r="X837" s="140" t="s">
        <v>691</v>
      </c>
    </row>
    <row r="838" spans="1:24" s="123" customFormat="1" ht="17.45" customHeight="1" x14ac:dyDescent="0.25">
      <c r="A838" t="str">
        <f t="shared" si="239"/>
        <v>245301834845531182432195,580824</v>
      </c>
      <c r="B838" s="6">
        <f t="shared" si="237"/>
        <v>45553</v>
      </c>
      <c r="C838" s="3">
        <f t="shared" si="238"/>
        <v>250867949.19596934</v>
      </c>
      <c r="D838" s="134">
        <v>2023</v>
      </c>
      <c r="E838" s="126">
        <v>2453018348</v>
      </c>
      <c r="F838" s="127" t="s">
        <v>426</v>
      </c>
      <c r="G838" s="128">
        <v>3652668243</v>
      </c>
      <c r="H838" s="128">
        <v>391357312</v>
      </c>
      <c r="I838" s="135"/>
      <c r="J838" s="135">
        <f t="shared" si="231"/>
        <v>0.12000000008585504</v>
      </c>
      <c r="K838" s="136">
        <v>1702700491</v>
      </c>
      <c r="L838" s="136">
        <f t="shared" si="240"/>
        <v>182432195.58082387</v>
      </c>
      <c r="M838" s="137">
        <v>177968495.57797241</v>
      </c>
      <c r="N838" s="138">
        <f t="shared" ref="N838:N839" si="241">+L838-M838</f>
        <v>4463700.0028514564</v>
      </c>
      <c r="O838" s="139">
        <f t="shared" si="235"/>
        <v>1785480</v>
      </c>
      <c r="P838" s="140" t="s">
        <v>659</v>
      </c>
      <c r="Q838" s="134"/>
      <c r="R838" s="42">
        <f t="shared" si="216"/>
        <v>2678220.0028514564</v>
      </c>
      <c r="S838" s="134"/>
      <c r="T838" s="134"/>
      <c r="U838" s="134"/>
      <c r="V838" s="125" t="s">
        <v>261</v>
      </c>
      <c r="W838" s="141">
        <v>45531</v>
      </c>
      <c r="X838" s="140" t="s">
        <v>425</v>
      </c>
    </row>
    <row r="839" spans="1:24" s="123" customFormat="1" ht="17.45" customHeight="1" x14ac:dyDescent="0.25">
      <c r="A839" t="str">
        <f t="shared" si="239"/>
        <v>24530183604553119163178,7658053</v>
      </c>
      <c r="B839" s="6">
        <f t="shared" si="237"/>
        <v>45730</v>
      </c>
      <c r="C839" s="3">
        <f t="shared" si="238"/>
        <v>36391063.840622641</v>
      </c>
      <c r="D839" s="134">
        <v>2023</v>
      </c>
      <c r="E839" s="126">
        <v>2453018360</v>
      </c>
      <c r="F839" s="127" t="s">
        <v>620</v>
      </c>
      <c r="G839" s="128">
        <v>623455500</v>
      </c>
      <c r="H839" s="128">
        <v>66798804</v>
      </c>
      <c r="I839" s="135"/>
      <c r="J839" s="135">
        <f>IFERROR((+H839/(G839-H839)),0)</f>
        <v>0.12000000086229089</v>
      </c>
      <c r="K839" s="136">
        <v>178856334</v>
      </c>
      <c r="L839" s="136">
        <f t="shared" si="240"/>
        <v>19163178.765805315</v>
      </c>
      <c r="M839" s="137">
        <v>10313907.387601105</v>
      </c>
      <c r="N839" s="138">
        <f t="shared" si="241"/>
        <v>8849271.3782042097</v>
      </c>
      <c r="O839" s="139">
        <f t="shared" si="235"/>
        <v>3539709</v>
      </c>
      <c r="P839" s="140" t="s">
        <v>659</v>
      </c>
      <c r="Q839" s="134"/>
      <c r="R839" s="42">
        <f t="shared" si="216"/>
        <v>5309562.3782042097</v>
      </c>
      <c r="S839" s="134"/>
      <c r="T839" s="134"/>
      <c r="U839" s="134"/>
      <c r="V839" s="125" t="s">
        <v>261</v>
      </c>
      <c r="W839" s="141">
        <v>45531</v>
      </c>
      <c r="X839" s="140" t="s">
        <v>425</v>
      </c>
    </row>
    <row r="840" spans="1:24" s="123" customFormat="1" ht="17.45" customHeight="1" x14ac:dyDescent="0.25">
      <c r="A840" t="str">
        <f t="shared" si="239"/>
        <v>2453018365455313214285,83176281</v>
      </c>
      <c r="B840" s="6">
        <f t="shared" si="237"/>
        <v>45891</v>
      </c>
      <c r="C840" s="3">
        <f t="shared" si="238"/>
        <v>10608809.852021039</v>
      </c>
      <c r="D840" s="134">
        <v>2024</v>
      </c>
      <c r="E840" s="126">
        <v>2453018365</v>
      </c>
      <c r="F840" s="127" t="s">
        <v>693</v>
      </c>
      <c r="G840" s="128">
        <v>127684466</v>
      </c>
      <c r="H840" s="128">
        <v>13680479</v>
      </c>
      <c r="I840" s="135"/>
      <c r="J840" s="135">
        <f>IFERROR((+H840/(G840-H840)),0)</f>
        <v>0.12000000491210891</v>
      </c>
      <c r="K840" s="136">
        <v>30000000</v>
      </c>
      <c r="L840" s="136">
        <f t="shared" si="240"/>
        <v>3214285.8317628084</v>
      </c>
      <c r="M840" s="137">
        <v>0</v>
      </c>
      <c r="N840" s="138">
        <f>+L840-M840</f>
        <v>3214285.8317628084</v>
      </c>
      <c r="O840" s="139">
        <f>ROUND((N840*40%),0)</f>
        <v>1285714</v>
      </c>
      <c r="P840" s="140" t="s">
        <v>659</v>
      </c>
      <c r="Q840" s="134"/>
      <c r="R840" s="42">
        <f t="shared" si="216"/>
        <v>1928571.8317628084</v>
      </c>
      <c r="S840" s="134"/>
      <c r="T840" s="134"/>
      <c r="U840" s="134"/>
      <c r="V840" s="125" t="s">
        <v>261</v>
      </c>
      <c r="W840" s="141">
        <v>45531</v>
      </c>
      <c r="X840" s="140" t="s">
        <v>425</v>
      </c>
    </row>
    <row r="841" spans="1:24" s="123" customFormat="1" ht="17.45" customHeight="1" x14ac:dyDescent="0.25">
      <c r="A841" t="str">
        <f t="shared" si="239"/>
        <v>245301835245531218662504,662316</v>
      </c>
      <c r="B841" s="6">
        <f t="shared" si="237"/>
        <v>45531</v>
      </c>
      <c r="C841" s="3">
        <f t="shared" si="238"/>
        <v>218662504.66231647</v>
      </c>
      <c r="D841" s="134">
        <v>2023</v>
      </c>
      <c r="E841" s="126">
        <v>2453018352</v>
      </c>
      <c r="F841" s="127" t="s">
        <v>469</v>
      </c>
      <c r="G841" s="128">
        <v>5189063824</v>
      </c>
      <c r="H841" s="128">
        <v>261032799</v>
      </c>
      <c r="I841" s="135"/>
      <c r="J841" s="135">
        <v>0.12000000042904171</v>
      </c>
      <c r="K841" s="136">
        <v>2040850037</v>
      </c>
      <c r="L841" s="136">
        <f t="shared" si="240"/>
        <v>218662504.66231647</v>
      </c>
      <c r="M841" s="137">
        <v>216138592.654259</v>
      </c>
      <c r="N841" s="138">
        <f t="shared" ref="N841:N849" si="242">+L841-M841</f>
        <v>2523912.0080574751</v>
      </c>
      <c r="O841" s="139">
        <f t="shared" ref="O841" si="243">ROUND((N841*40%),0)</f>
        <v>1009565</v>
      </c>
      <c r="P841" s="140" t="s">
        <v>659</v>
      </c>
      <c r="Q841" s="134"/>
      <c r="R841" s="42">
        <f t="shared" si="216"/>
        <v>1514347.0080574751</v>
      </c>
      <c r="S841" s="134"/>
      <c r="T841" s="134"/>
      <c r="U841" s="134"/>
      <c r="V841" s="125" t="s">
        <v>261</v>
      </c>
      <c r="W841" s="141">
        <v>45531</v>
      </c>
      <c r="X841" s="140" t="s">
        <v>470</v>
      </c>
    </row>
    <row r="842" spans="1:24" s="123" customFormat="1" ht="17.45" customHeight="1" x14ac:dyDescent="0.25">
      <c r="A842" t="str">
        <f t="shared" si="239"/>
        <v>2453018362455316042857</v>
      </c>
      <c r="B842" s="6">
        <f t="shared" si="237"/>
        <v>45531</v>
      </c>
      <c r="C842" s="3">
        <f t="shared" si="238"/>
        <v>6042857</v>
      </c>
      <c r="D842" s="134">
        <v>2023</v>
      </c>
      <c r="E842" s="126">
        <v>2453018362</v>
      </c>
      <c r="F842" s="127" t="s">
        <v>621</v>
      </c>
      <c r="G842" s="128">
        <v>56400000</v>
      </c>
      <c r="H842" s="128">
        <v>6042857</v>
      </c>
      <c r="I842" s="135"/>
      <c r="J842" s="135">
        <f>IFERROR((+H842/(G842-H842)),0)</f>
        <v>0.11999999682269505</v>
      </c>
      <c r="K842" s="136">
        <v>56400000</v>
      </c>
      <c r="L842" s="136">
        <f t="shared" si="240"/>
        <v>6042857</v>
      </c>
      <c r="M842" s="137">
        <v>4289093.6843172694</v>
      </c>
      <c r="N842" s="138">
        <f t="shared" si="242"/>
        <v>1753763.3156827306</v>
      </c>
      <c r="O842" s="139">
        <f>ROUND((N842*40%),0)</f>
        <v>701505</v>
      </c>
      <c r="P842" s="140" t="s">
        <v>659</v>
      </c>
      <c r="Q842" s="134"/>
      <c r="R842" s="42">
        <f t="shared" si="216"/>
        <v>1052258.3156827306</v>
      </c>
      <c r="S842" s="134"/>
      <c r="T842" s="134"/>
      <c r="U842" s="134"/>
      <c r="V842" s="125" t="s">
        <v>261</v>
      </c>
      <c r="W842" s="141">
        <v>45531</v>
      </c>
      <c r="X842" s="140" t="s">
        <v>694</v>
      </c>
    </row>
    <row r="843" spans="1:24" s="123" customFormat="1" ht="17.45" customHeight="1" x14ac:dyDescent="0.25">
      <c r="A843" t="str">
        <f t="shared" si="239"/>
        <v>2910907245455312314285,71428571</v>
      </c>
      <c r="B843" s="6">
        <f t="shared" si="237"/>
        <v>45531</v>
      </c>
      <c r="C843" s="3">
        <f t="shared" si="238"/>
        <v>2314285.7142857141</v>
      </c>
      <c r="D843" s="134">
        <v>2023</v>
      </c>
      <c r="E843" s="126">
        <v>2910907245</v>
      </c>
      <c r="F843" s="127" t="s">
        <v>695</v>
      </c>
      <c r="G843" s="128">
        <v>31920000</v>
      </c>
      <c r="H843" s="128">
        <v>3420000</v>
      </c>
      <c r="I843" s="135"/>
      <c r="J843" s="135">
        <f>IFERROR((+H843/(G843-H843)),0)</f>
        <v>0.12</v>
      </c>
      <c r="K843" s="136">
        <v>21600000</v>
      </c>
      <c r="L843" s="136">
        <f t="shared" si="240"/>
        <v>2314285.7142857141</v>
      </c>
      <c r="M843" s="137">
        <v>0</v>
      </c>
      <c r="N843" s="138">
        <f t="shared" si="242"/>
        <v>2314285.7142857141</v>
      </c>
      <c r="O843" s="139">
        <f>ROUND((N843*40%),0)</f>
        <v>925714</v>
      </c>
      <c r="P843" s="140" t="s">
        <v>659</v>
      </c>
      <c r="Q843" s="134"/>
      <c r="R843" s="42">
        <f t="shared" si="216"/>
        <v>1388571.7142857141</v>
      </c>
      <c r="S843" s="134"/>
      <c r="T843" s="134"/>
      <c r="U843" s="134"/>
      <c r="V843" s="125" t="s">
        <v>261</v>
      </c>
      <c r="W843" s="141">
        <v>45531</v>
      </c>
      <c r="X843" s="140" t="s">
        <v>696</v>
      </c>
    </row>
    <row r="844" spans="1:24" s="123" customFormat="1" ht="17.45" customHeight="1" x14ac:dyDescent="0.25">
      <c r="A844" t="str">
        <f t="shared" si="239"/>
        <v>2910907255455313394285,44</v>
      </c>
      <c r="B844" s="6">
        <f t="shared" si="237"/>
        <v>45531</v>
      </c>
      <c r="C844" s="3">
        <f t="shared" si="238"/>
        <v>3394285.4399999995</v>
      </c>
      <c r="D844" s="134">
        <v>2023</v>
      </c>
      <c r="E844" s="126">
        <v>2910907255</v>
      </c>
      <c r="F844" s="127" t="s">
        <v>508</v>
      </c>
      <c r="G844" s="128">
        <v>33000000</v>
      </c>
      <c r="H844" s="128">
        <v>3535714</v>
      </c>
      <c r="I844" s="135"/>
      <c r="J844" s="135">
        <f>IFERROR((+H844/(G844-H844)),0)</f>
        <v>0.11999998913939404</v>
      </c>
      <c r="K844" s="136">
        <v>31680000</v>
      </c>
      <c r="L844" s="136">
        <f t="shared" si="240"/>
        <v>3394285.4399999995</v>
      </c>
      <c r="M844" s="137">
        <v>1697143</v>
      </c>
      <c r="N844" s="138">
        <f t="shared" si="242"/>
        <v>1697142.4399999995</v>
      </c>
      <c r="O844" s="139">
        <f t="shared" ref="O844:O845" si="244">ROUND((N844*40%),0)</f>
        <v>678857</v>
      </c>
      <c r="P844" s="140" t="s">
        <v>659</v>
      </c>
      <c r="Q844" s="134"/>
      <c r="R844" s="42">
        <f t="shared" si="216"/>
        <v>1018285.4399999995</v>
      </c>
      <c r="S844" s="134"/>
      <c r="T844" s="134"/>
      <c r="U844" s="134"/>
      <c r="V844" s="125" t="s">
        <v>261</v>
      </c>
      <c r="W844" s="141">
        <v>45531</v>
      </c>
      <c r="X844" s="140" t="s">
        <v>697</v>
      </c>
    </row>
    <row r="845" spans="1:24" s="123" customFormat="1" ht="17.45" customHeight="1" x14ac:dyDescent="0.25">
      <c r="A845" t="str">
        <f t="shared" si="239"/>
        <v>2910907294455311849281</v>
      </c>
      <c r="B845" s="6">
        <f t="shared" si="237"/>
        <v>45531</v>
      </c>
      <c r="C845" s="3">
        <f t="shared" si="238"/>
        <v>1849281</v>
      </c>
      <c r="D845" s="134">
        <v>2024</v>
      </c>
      <c r="E845" s="126">
        <v>2910907294</v>
      </c>
      <c r="F845" s="127" t="s">
        <v>698</v>
      </c>
      <c r="G845" s="128">
        <v>20000000</v>
      </c>
      <c r="H845" s="128">
        <v>2142857</v>
      </c>
      <c r="I845" s="135"/>
      <c r="J845" s="135">
        <f>IFERROR((+H845/(G845-H845)),0)</f>
        <v>0.11999999104000007</v>
      </c>
      <c r="K845" s="136">
        <v>17260000</v>
      </c>
      <c r="L845" s="136">
        <v>1849281</v>
      </c>
      <c r="M845" s="137">
        <v>0</v>
      </c>
      <c r="N845" s="138">
        <f t="shared" si="242"/>
        <v>1849281</v>
      </c>
      <c r="O845" s="139">
        <f t="shared" si="244"/>
        <v>739712</v>
      </c>
      <c r="P845" s="140" t="s">
        <v>659</v>
      </c>
      <c r="Q845" s="134"/>
      <c r="R845" s="42">
        <f t="shared" si="216"/>
        <v>1109569</v>
      </c>
      <c r="S845" s="134"/>
      <c r="T845" s="134"/>
      <c r="U845" s="134"/>
      <c r="V845" s="125" t="s">
        <v>261</v>
      </c>
      <c r="W845" s="141">
        <v>45531</v>
      </c>
      <c r="X845" s="140" t="s">
        <v>699</v>
      </c>
    </row>
    <row r="846" spans="1:24" s="123" customFormat="1" ht="17.45" customHeight="1" x14ac:dyDescent="0.25">
      <c r="A846" t="str">
        <f t="shared" si="239"/>
        <v>29109080794553147562820</v>
      </c>
      <c r="B846" s="6">
        <f t="shared" si="237"/>
        <v>45531</v>
      </c>
      <c r="C846" s="3">
        <f t="shared" si="238"/>
        <v>47562819.999999993</v>
      </c>
      <c r="D846" s="134">
        <v>2023</v>
      </c>
      <c r="E846" s="126">
        <v>2910908079</v>
      </c>
      <c r="F846" s="127" t="s">
        <v>498</v>
      </c>
      <c r="G846" s="128">
        <v>443919660</v>
      </c>
      <c r="H846" s="128">
        <v>47562820</v>
      </c>
      <c r="I846" s="135"/>
      <c r="J846" s="135">
        <f>IFERROR((+H846/(G846-H846)),0)</f>
        <v>0.11999999798161677</v>
      </c>
      <c r="K846" s="136">
        <v>443919660</v>
      </c>
      <c r="L846" s="136">
        <f t="shared" si="240"/>
        <v>47562819.999999993</v>
      </c>
      <c r="M846" s="137">
        <v>21941214</v>
      </c>
      <c r="N846" s="138">
        <f t="shared" si="242"/>
        <v>25621605.999999993</v>
      </c>
      <c r="O846" s="139">
        <f>ROUND((N846*40%),0)</f>
        <v>10248642</v>
      </c>
      <c r="P846" s="140" t="s">
        <v>659</v>
      </c>
      <c r="Q846" s="134"/>
      <c r="R846" s="42">
        <f t="shared" si="216"/>
        <v>15372963.999999993</v>
      </c>
      <c r="S846" s="134"/>
      <c r="T846" s="134"/>
      <c r="U846" s="134"/>
      <c r="V846" s="125" t="s">
        <v>261</v>
      </c>
      <c r="W846" s="141">
        <v>45531</v>
      </c>
      <c r="X846" s="140" t="s">
        <v>700</v>
      </c>
    </row>
    <row r="847" spans="1:24" s="123" customFormat="1" ht="17.45" customHeight="1" x14ac:dyDescent="0.25">
      <c r="A847" t="str">
        <f t="shared" si="239"/>
        <v>29109080824553211005393</v>
      </c>
      <c r="B847" s="6">
        <f t="shared" si="237"/>
        <v>45532</v>
      </c>
      <c r="C847" s="3">
        <f t="shared" si="238"/>
        <v>11005393</v>
      </c>
      <c r="D847" s="134">
        <v>2023</v>
      </c>
      <c r="E847" s="126">
        <v>2910908082</v>
      </c>
      <c r="F847" s="127" t="s">
        <v>429</v>
      </c>
      <c r="G847" s="128">
        <v>102717000</v>
      </c>
      <c r="H847" s="128">
        <v>11005393</v>
      </c>
      <c r="I847" s="135"/>
      <c r="J847" s="135">
        <f t="shared" ref="J847:J860" si="245">IFERROR((+H847/(G847-H847)),0)</f>
        <v>0.12000000174459924</v>
      </c>
      <c r="K847" s="136">
        <v>102717000</v>
      </c>
      <c r="L847" s="136">
        <f t="shared" si="240"/>
        <v>11005393</v>
      </c>
      <c r="M847" s="137">
        <v>4350000</v>
      </c>
      <c r="N847" s="138">
        <f t="shared" si="242"/>
        <v>6655393</v>
      </c>
      <c r="O847" s="139">
        <f>ROUND((N847*40%),0)</f>
        <v>2662157</v>
      </c>
      <c r="P847" s="140" t="s">
        <v>659</v>
      </c>
      <c r="Q847" s="134"/>
      <c r="R847" s="42">
        <f t="shared" si="216"/>
        <v>3993236</v>
      </c>
      <c r="S847" s="134"/>
      <c r="T847" s="134"/>
      <c r="U847" s="134"/>
      <c r="V847" s="125" t="s">
        <v>261</v>
      </c>
      <c r="W847" s="141">
        <v>45532</v>
      </c>
      <c r="X847" s="140" t="s">
        <v>700</v>
      </c>
    </row>
    <row r="848" spans="1:24" s="123" customFormat="1" ht="17.45" customHeight="1" x14ac:dyDescent="0.25">
      <c r="A848" t="str">
        <f t="shared" si="239"/>
        <v>29109080834553212475179</v>
      </c>
      <c r="B848" s="6">
        <f t="shared" si="237"/>
        <v>45532</v>
      </c>
      <c r="C848" s="3">
        <f t="shared" si="238"/>
        <v>12475179.000000002</v>
      </c>
      <c r="D848" s="134">
        <v>2023</v>
      </c>
      <c r="E848" s="126">
        <v>2910908083</v>
      </c>
      <c r="F848" s="127" t="s">
        <v>499</v>
      </c>
      <c r="G848" s="128">
        <v>116435000</v>
      </c>
      <c r="H848" s="128">
        <v>12475179</v>
      </c>
      <c r="I848" s="135"/>
      <c r="J848" s="135">
        <f t="shared" si="245"/>
        <v>0.12000000461716839</v>
      </c>
      <c r="K848" s="136">
        <v>116435000</v>
      </c>
      <c r="L848" s="136">
        <f t="shared" si="240"/>
        <v>12475179.000000002</v>
      </c>
      <c r="M848" s="137">
        <v>5095714</v>
      </c>
      <c r="N848" s="138">
        <f t="shared" si="242"/>
        <v>7379465.0000000019</v>
      </c>
      <c r="O848" s="139">
        <f t="shared" ref="O848:O849" si="246">ROUND((N848*40%),0)</f>
        <v>2951786</v>
      </c>
      <c r="P848" s="140" t="s">
        <v>659</v>
      </c>
      <c r="Q848" s="134"/>
      <c r="R848" s="42">
        <f t="shared" si="216"/>
        <v>4427679.0000000019</v>
      </c>
      <c r="S848" s="134"/>
      <c r="T848" s="134"/>
      <c r="U848" s="134"/>
      <c r="V848" s="125" t="s">
        <v>261</v>
      </c>
      <c r="W848" s="141">
        <v>45532</v>
      </c>
      <c r="X848" s="140" t="s">
        <v>700</v>
      </c>
    </row>
    <row r="849" spans="1:24" s="123" customFormat="1" ht="17.45" customHeight="1" x14ac:dyDescent="0.25">
      <c r="A849" t="str">
        <f t="shared" si="239"/>
        <v>29109080814553253635157</v>
      </c>
      <c r="B849" s="6">
        <f t="shared" si="237"/>
        <v>45532</v>
      </c>
      <c r="C849" s="3">
        <f t="shared" si="238"/>
        <v>53635157</v>
      </c>
      <c r="D849" s="134">
        <v>2023</v>
      </c>
      <c r="E849" s="126">
        <v>2910908081</v>
      </c>
      <c r="F849" s="127" t="s">
        <v>427</v>
      </c>
      <c r="G849" s="128">
        <v>500594800</v>
      </c>
      <c r="H849" s="128">
        <v>53635157</v>
      </c>
      <c r="I849" s="135"/>
      <c r="J849" s="135">
        <f t="shared" si="245"/>
        <v>0.11999999964202585</v>
      </c>
      <c r="K849" s="136">
        <v>500594800</v>
      </c>
      <c r="L849" s="136">
        <f t="shared" si="240"/>
        <v>53635157</v>
      </c>
      <c r="M849" s="137">
        <v>23590468</v>
      </c>
      <c r="N849" s="138">
        <f t="shared" si="242"/>
        <v>30044689</v>
      </c>
      <c r="O849" s="139">
        <f t="shared" si="246"/>
        <v>12017876</v>
      </c>
      <c r="P849" s="140" t="s">
        <v>659</v>
      </c>
      <c r="Q849" s="134"/>
      <c r="R849" s="42">
        <f t="shared" si="216"/>
        <v>18026813</v>
      </c>
      <c r="S849" s="134"/>
      <c r="T849" s="134"/>
      <c r="U849" s="134"/>
      <c r="V849" s="125" t="s">
        <v>261</v>
      </c>
      <c r="W849" s="141">
        <v>45532</v>
      </c>
      <c r="X849" s="140" t="s">
        <v>701</v>
      </c>
    </row>
    <row r="850" spans="1:24" s="123" customFormat="1" ht="17.45" customHeight="1" x14ac:dyDescent="0.25">
      <c r="A850" t="str">
        <f t="shared" si="239"/>
        <v>2910908074455323239167</v>
      </c>
      <c r="B850" s="6">
        <f t="shared" si="237"/>
        <v>45532</v>
      </c>
      <c r="C850" s="3">
        <f t="shared" si="238"/>
        <v>3239167</v>
      </c>
      <c r="D850" s="134">
        <v>2023</v>
      </c>
      <c r="E850" s="126">
        <v>2910908074</v>
      </c>
      <c r="F850" s="127" t="s">
        <v>495</v>
      </c>
      <c r="G850" s="128">
        <v>30232225</v>
      </c>
      <c r="H850" s="128">
        <v>3239167</v>
      </c>
      <c r="I850" s="135"/>
      <c r="J850" s="135">
        <f t="shared" si="245"/>
        <v>0.12000000148186249</v>
      </c>
      <c r="K850" s="136">
        <v>30232225</v>
      </c>
      <c r="L850" s="136">
        <f t="shared" si="240"/>
        <v>3239167</v>
      </c>
      <c r="M850" s="137">
        <v>1963217</v>
      </c>
      <c r="N850" s="138">
        <f>+L850-M850</f>
        <v>1275950</v>
      </c>
      <c r="O850" s="139">
        <f>ROUND((N850*40%),0)</f>
        <v>510380</v>
      </c>
      <c r="P850" s="140" t="s">
        <v>659</v>
      </c>
      <c r="Q850" s="134"/>
      <c r="R850" s="42">
        <f t="shared" si="216"/>
        <v>765570</v>
      </c>
      <c r="S850" s="134"/>
      <c r="T850" s="134"/>
      <c r="U850" s="134"/>
      <c r="V850" s="125" t="s">
        <v>261</v>
      </c>
      <c r="W850" s="141">
        <v>45532</v>
      </c>
      <c r="X850" s="140" t="s">
        <v>700</v>
      </c>
    </row>
    <row r="851" spans="1:24" s="123" customFormat="1" ht="17.45" customHeight="1" x14ac:dyDescent="0.25">
      <c r="A851" t="str">
        <f t="shared" si="239"/>
        <v>29109080754553224607768</v>
      </c>
      <c r="B851" s="6">
        <f t="shared" si="237"/>
        <v>45685</v>
      </c>
      <c r="C851" s="3">
        <f t="shared" si="238"/>
        <v>33992303</v>
      </c>
      <c r="D851" s="134">
        <v>2023</v>
      </c>
      <c r="E851" s="126">
        <v>2910908075</v>
      </c>
      <c r="F851" s="127" t="s">
        <v>496</v>
      </c>
      <c r="G851" s="128">
        <v>229672500</v>
      </c>
      <c r="H851" s="128">
        <v>24607768</v>
      </c>
      <c r="I851" s="135"/>
      <c r="J851" s="135">
        <f t="shared" si="245"/>
        <v>0.12000000078024144</v>
      </c>
      <c r="K851" s="136">
        <v>229672500</v>
      </c>
      <c r="L851" s="136">
        <f t="shared" si="240"/>
        <v>24607767.999999996</v>
      </c>
      <c r="M851" s="137">
        <v>9140914</v>
      </c>
      <c r="N851" s="138">
        <f t="shared" ref="N851:N852" si="247">+L851-M851</f>
        <v>15466853.999999996</v>
      </c>
      <c r="O851" s="139">
        <f t="shared" ref="O851:O852" si="248">ROUND((N851*40%),0)</f>
        <v>6186742</v>
      </c>
      <c r="P851" s="140" t="s">
        <v>659</v>
      </c>
      <c r="Q851" s="134"/>
      <c r="R851" s="42">
        <f t="shared" si="216"/>
        <v>9280111.9999999963</v>
      </c>
      <c r="S851" s="134"/>
      <c r="T851" s="134"/>
      <c r="U851" s="134"/>
      <c r="V851" s="125" t="s">
        <v>261</v>
      </c>
      <c r="W851" s="141">
        <v>45532</v>
      </c>
      <c r="X851" s="140" t="s">
        <v>702</v>
      </c>
    </row>
    <row r="852" spans="1:24" s="123" customFormat="1" ht="17.45" customHeight="1" x14ac:dyDescent="0.25">
      <c r="A852" t="str">
        <f t="shared" si="239"/>
        <v>2910908212455324303929</v>
      </c>
      <c r="B852" s="6">
        <f t="shared" si="237"/>
        <v>45532</v>
      </c>
      <c r="C852" s="3">
        <f t="shared" si="238"/>
        <v>10993843</v>
      </c>
      <c r="D852" s="134">
        <v>2024</v>
      </c>
      <c r="E852" s="126">
        <v>2910908212</v>
      </c>
      <c r="F852" s="127" t="s">
        <v>703</v>
      </c>
      <c r="G852" s="128">
        <v>40170000</v>
      </c>
      <c r="H852" s="128">
        <v>4303929</v>
      </c>
      <c r="I852" s="135"/>
      <c r="J852" s="135">
        <f t="shared" si="245"/>
        <v>0.1200000133831219</v>
      </c>
      <c r="K852" s="136">
        <v>40170000</v>
      </c>
      <c r="L852" s="136">
        <f t="shared" si="240"/>
        <v>4303929</v>
      </c>
      <c r="M852" s="137">
        <v>0</v>
      </c>
      <c r="N852" s="138">
        <f t="shared" si="247"/>
        <v>4303929</v>
      </c>
      <c r="O852" s="139">
        <f t="shared" si="248"/>
        <v>1721572</v>
      </c>
      <c r="P852" s="140" t="s">
        <v>659</v>
      </c>
      <c r="Q852" s="134"/>
      <c r="R852" s="42">
        <f t="shared" si="216"/>
        <v>2582357</v>
      </c>
      <c r="S852" s="134"/>
      <c r="T852" s="134"/>
      <c r="U852" s="134"/>
      <c r="V852" s="125" t="s">
        <v>261</v>
      </c>
      <c r="W852" s="141">
        <v>45532</v>
      </c>
      <c r="X852" s="140" t="s">
        <v>428</v>
      </c>
    </row>
    <row r="853" spans="1:24" s="123" customFormat="1" ht="17.45" customHeight="1" x14ac:dyDescent="0.25">
      <c r="A853" t="str">
        <f t="shared" si="239"/>
        <v>2910908213455324387500</v>
      </c>
      <c r="B853" s="6">
        <f t="shared" si="237"/>
        <v>45532</v>
      </c>
      <c r="C853" s="3">
        <f t="shared" si="238"/>
        <v>13236895</v>
      </c>
      <c r="D853" s="134">
        <v>2024</v>
      </c>
      <c r="E853" s="126">
        <v>2910908213</v>
      </c>
      <c r="F853" s="127" t="s">
        <v>704</v>
      </c>
      <c r="G853" s="128">
        <v>40950000</v>
      </c>
      <c r="H853" s="128">
        <v>4387500</v>
      </c>
      <c r="I853" s="135"/>
      <c r="J853" s="135">
        <f t="shared" si="245"/>
        <v>0.12</v>
      </c>
      <c r="K853" s="136">
        <v>40950000</v>
      </c>
      <c r="L853" s="136">
        <f t="shared" si="240"/>
        <v>4387500</v>
      </c>
      <c r="M853" s="137">
        <v>0</v>
      </c>
      <c r="N853" s="138">
        <f>+L853-M853</f>
        <v>4387500</v>
      </c>
      <c r="O853" s="139">
        <f>ROUND((N853*40%),0)</f>
        <v>1755000</v>
      </c>
      <c r="P853" s="140" t="s">
        <v>659</v>
      </c>
      <c r="Q853" s="134"/>
      <c r="R853" s="42">
        <f t="shared" si="216"/>
        <v>2632500</v>
      </c>
      <c r="S853" s="134"/>
      <c r="T853" s="134"/>
      <c r="U853" s="134"/>
      <c r="V853" s="125" t="s">
        <v>261</v>
      </c>
      <c r="W853" s="141">
        <v>45532</v>
      </c>
      <c r="X853" s="140" t="s">
        <v>428</v>
      </c>
    </row>
    <row r="854" spans="1:24" s="123" customFormat="1" ht="17.45" customHeight="1" x14ac:dyDescent="0.25">
      <c r="A854" t="str">
        <f t="shared" si="239"/>
        <v>24530183554553472581651,4558468</v>
      </c>
      <c r="B854" s="6">
        <f t="shared" si="237"/>
        <v>45587</v>
      </c>
      <c r="C854" s="3">
        <f t="shared" si="238"/>
        <v>131411371.46442096</v>
      </c>
      <c r="D854" s="134">
        <v>2023</v>
      </c>
      <c r="E854" s="126">
        <v>2453018355</v>
      </c>
      <c r="F854" s="127" t="s">
        <v>598</v>
      </c>
      <c r="G854" s="128">
        <v>1960924800</v>
      </c>
      <c r="H854" s="128">
        <v>210099086</v>
      </c>
      <c r="I854" s="135"/>
      <c r="J854" s="135">
        <f t="shared" si="245"/>
        <v>0.12000000018277091</v>
      </c>
      <c r="K854" s="136">
        <v>677428746</v>
      </c>
      <c r="L854" s="136">
        <f>+K854/(1+J854)*J854</f>
        <v>72581651.455846831</v>
      </c>
      <c r="M854" s="137">
        <v>61329343.476259075</v>
      </c>
      <c r="N854" s="138">
        <f t="shared" ref="N854" si="249">+L854-M854</f>
        <v>11252307.979587756</v>
      </c>
      <c r="O854" s="139">
        <f>ROUND((N854*40%),0)</f>
        <v>4500923</v>
      </c>
      <c r="P854" s="140" t="s">
        <v>659</v>
      </c>
      <c r="Q854" s="134"/>
      <c r="R854" s="42">
        <f t="shared" si="216"/>
        <v>6751384.9795877561</v>
      </c>
      <c r="S854" s="134"/>
      <c r="T854" s="134"/>
      <c r="U854" s="134"/>
      <c r="V854" s="125" t="s">
        <v>261</v>
      </c>
      <c r="W854" s="141">
        <v>45534</v>
      </c>
      <c r="X854" s="140" t="s">
        <v>425</v>
      </c>
    </row>
    <row r="855" spans="1:24" s="123" customFormat="1" ht="17.45" customHeight="1" x14ac:dyDescent="0.25">
      <c r="A855" t="str">
        <f t="shared" si="239"/>
        <v>2910907305455511151967407,37334</v>
      </c>
      <c r="B855" s="6">
        <f t="shared" si="237"/>
        <v>45639</v>
      </c>
      <c r="C855" s="3">
        <f t="shared" si="238"/>
        <v>1657912075.6085422</v>
      </c>
      <c r="D855" s="134">
        <v>2024</v>
      </c>
      <c r="E855" s="126">
        <v>2910907305</v>
      </c>
      <c r="F855" s="127" t="s">
        <v>602</v>
      </c>
      <c r="G855" s="128">
        <v>16023830031</v>
      </c>
      <c r="H855" s="128">
        <v>1716840708</v>
      </c>
      <c r="I855" s="135"/>
      <c r="J855" s="135">
        <f t="shared" si="245"/>
        <v>0.12000013903973471</v>
      </c>
      <c r="K855" s="136">
        <v>10751684679.299999</v>
      </c>
      <c r="L855" s="136">
        <f>+K855/(1+J855)*J855</f>
        <v>1151967407.3733416</v>
      </c>
      <c r="M855" s="137">
        <v>988193446.37437069</v>
      </c>
      <c r="N855" s="138">
        <f>+L855-M855</f>
        <v>163773960.99897087</v>
      </c>
      <c r="O855" s="139">
        <f t="shared" ref="O855:O856" si="250">ROUND((N855*40%),0)</f>
        <v>65509584</v>
      </c>
      <c r="P855" s="140" t="s">
        <v>659</v>
      </c>
      <c r="Q855" s="134"/>
      <c r="R855" s="42">
        <f t="shared" si="216"/>
        <v>98264376.998970866</v>
      </c>
      <c r="S855" s="134"/>
      <c r="T855" s="134"/>
      <c r="U855" s="134"/>
      <c r="V855" s="125" t="s">
        <v>261</v>
      </c>
      <c r="W855" s="141">
        <v>45551</v>
      </c>
      <c r="X855" s="140" t="s">
        <v>705</v>
      </c>
    </row>
    <row r="856" spans="1:24" s="123" customFormat="1" ht="17.45" customHeight="1" x14ac:dyDescent="0.25">
      <c r="A856" t="str">
        <f t="shared" si="239"/>
        <v>24530183634555354770094,0368915</v>
      </c>
      <c r="B856" s="6">
        <f t="shared" si="237"/>
        <v>45804</v>
      </c>
      <c r="C856" s="3">
        <f t="shared" si="238"/>
        <v>195445963.8411898</v>
      </c>
      <c r="D856" s="134">
        <v>2024</v>
      </c>
      <c r="E856" s="126">
        <v>2453018363</v>
      </c>
      <c r="F856" s="127" t="s">
        <v>672</v>
      </c>
      <c r="G856" s="128">
        <v>1394276563</v>
      </c>
      <c r="H856" s="128">
        <v>149386775</v>
      </c>
      <c r="I856" s="135"/>
      <c r="J856" s="135">
        <f t="shared" si="245"/>
        <v>0.12000000035344495</v>
      </c>
      <c r="K856" s="136">
        <v>511187543</v>
      </c>
      <c r="L856" s="136">
        <f>+K856/(1+J856)*J856</f>
        <v>54770094.036891468</v>
      </c>
      <c r="M856" s="137">
        <v>46815464.694543816</v>
      </c>
      <c r="N856" s="138">
        <f t="shared" ref="N856:N858" si="251">+L856-M856</f>
        <v>7954629.3423476517</v>
      </c>
      <c r="O856" s="139">
        <f t="shared" si="250"/>
        <v>3181852</v>
      </c>
      <c r="P856" s="140" t="s">
        <v>659</v>
      </c>
      <c r="Q856" s="134"/>
      <c r="R856" s="42">
        <f t="shared" si="216"/>
        <v>4772777.3423476517</v>
      </c>
      <c r="S856" s="134"/>
      <c r="T856" s="134"/>
      <c r="U856" s="134"/>
      <c r="V856" s="125" t="s">
        <v>261</v>
      </c>
      <c r="W856" s="141">
        <v>45553</v>
      </c>
      <c r="X856" s="140" t="s">
        <v>425</v>
      </c>
    </row>
    <row r="857" spans="1:24" s="123" customFormat="1" ht="17.45" customHeight="1" x14ac:dyDescent="0.25">
      <c r="A857" t="str">
        <f t="shared" si="239"/>
        <v>245301835545553103726898,283916</v>
      </c>
      <c r="B857" s="6">
        <f t="shared" si="237"/>
        <v>45587</v>
      </c>
      <c r="C857" s="3">
        <f t="shared" si="238"/>
        <v>131411371.46442096</v>
      </c>
      <c r="D857" s="134">
        <v>2023</v>
      </c>
      <c r="E857" s="126">
        <v>2453018355</v>
      </c>
      <c r="F857" s="127" t="s">
        <v>598</v>
      </c>
      <c r="G857" s="128">
        <v>1960924800</v>
      </c>
      <c r="H857" s="128">
        <v>210099086</v>
      </c>
      <c r="I857" s="135"/>
      <c r="J857" s="135">
        <f t="shared" si="245"/>
        <v>0.12000000018277091</v>
      </c>
      <c r="K857" s="136">
        <v>968117716</v>
      </c>
      <c r="L857" s="136">
        <f>+K857/(1+J857)*J857</f>
        <v>103726898.28391562</v>
      </c>
      <c r="M857" s="137">
        <v>72581651.455846831</v>
      </c>
      <c r="N857" s="138">
        <f t="shared" si="251"/>
        <v>31145246.828068793</v>
      </c>
      <c r="O857" s="139">
        <f>ROUND((N857*40%),0)</f>
        <v>12458099</v>
      </c>
      <c r="P857" s="140" t="s">
        <v>659</v>
      </c>
      <c r="Q857" s="134"/>
      <c r="R857" s="42">
        <f t="shared" si="216"/>
        <v>18687147.828068793</v>
      </c>
      <c r="S857" s="134"/>
      <c r="T857" s="134"/>
      <c r="U857" s="134"/>
      <c r="V857" s="125" t="s">
        <v>261</v>
      </c>
      <c r="W857" s="141">
        <v>45553</v>
      </c>
      <c r="X857" s="140" t="s">
        <v>425</v>
      </c>
    </row>
    <row r="858" spans="1:24" s="123" customFormat="1" ht="17.45" customHeight="1" x14ac:dyDescent="0.25">
      <c r="A858" t="str">
        <f t="shared" si="239"/>
        <v>2453018350455531175137766,58716</v>
      </c>
      <c r="B858" s="6">
        <f t="shared" si="237"/>
        <v>45743</v>
      </c>
      <c r="C858" s="3">
        <f t="shared" si="238"/>
        <v>1344604499.9999998</v>
      </c>
      <c r="D858" s="134">
        <v>2023</v>
      </c>
      <c r="E858" s="126">
        <v>2453018350</v>
      </c>
      <c r="F858" s="127" t="s">
        <v>450</v>
      </c>
      <c r="G858" s="128">
        <v>16284654500</v>
      </c>
      <c r="H858" s="128">
        <v>1344604500</v>
      </c>
      <c r="I858" s="135"/>
      <c r="J858" s="135">
        <f t="shared" si="245"/>
        <v>0.09</v>
      </c>
      <c r="K858" s="136">
        <v>14232224062</v>
      </c>
      <c r="L858" s="136">
        <f>+K858/(1+J800)*J800</f>
        <v>1175137766.5871558</v>
      </c>
      <c r="M858" s="137">
        <v>1164416785.8440366</v>
      </c>
      <c r="N858" s="138">
        <f t="shared" si="251"/>
        <v>10720980.74311924</v>
      </c>
      <c r="O858" s="139">
        <f t="shared" ref="O858:O863" si="252">ROUND((N858*40%),0)</f>
        <v>4288392</v>
      </c>
      <c r="P858" s="140" t="s">
        <v>659</v>
      </c>
      <c r="Q858" s="134"/>
      <c r="R858" s="42">
        <f t="shared" si="216"/>
        <v>6432588.7431192398</v>
      </c>
      <c r="S858" s="134"/>
      <c r="T858" s="134"/>
      <c r="U858" s="134"/>
      <c r="V858" s="125" t="s">
        <v>261</v>
      </c>
      <c r="W858" s="141">
        <v>45553</v>
      </c>
      <c r="X858" s="140" t="s">
        <v>451</v>
      </c>
    </row>
    <row r="859" spans="1:24" s="123" customFormat="1" ht="17.45" customHeight="1" x14ac:dyDescent="0.25">
      <c r="A859" t="str">
        <f t="shared" si="239"/>
        <v>245301834745553169092629,676174</v>
      </c>
      <c r="B859" s="6">
        <f t="shared" si="237"/>
        <v>45730</v>
      </c>
      <c r="C859" s="3">
        <f t="shared" si="238"/>
        <v>227416985.11999634</v>
      </c>
      <c r="D859" s="134">
        <v>2023</v>
      </c>
      <c r="E859" s="126">
        <v>2453018347</v>
      </c>
      <c r="F859" s="127" t="s">
        <v>391</v>
      </c>
      <c r="G859" s="128">
        <v>2033323757</v>
      </c>
      <c r="H859" s="128">
        <v>243997849</v>
      </c>
      <c r="I859" s="135"/>
      <c r="J859" s="135">
        <f t="shared" si="245"/>
        <v>0.13636300011590732</v>
      </c>
      <c r="K859" s="136">
        <v>1409111033</v>
      </c>
      <c r="L859" s="136">
        <f t="shared" ref="L859:L863" si="253">+K859/(1+J859)*J859</f>
        <v>169092629.67617407</v>
      </c>
      <c r="M859" s="137">
        <v>157139750.0739547</v>
      </c>
      <c r="N859" s="138">
        <f>+L859-M859</f>
        <v>11952879.602219373</v>
      </c>
      <c r="O859" s="139">
        <f t="shared" si="252"/>
        <v>4781152</v>
      </c>
      <c r="P859" s="140" t="s">
        <v>659</v>
      </c>
      <c r="Q859" s="134"/>
      <c r="R859" s="42">
        <f t="shared" si="216"/>
        <v>7171727.602219373</v>
      </c>
      <c r="S859" s="134"/>
      <c r="T859" s="134"/>
      <c r="U859" s="134"/>
      <c r="V859" s="125" t="s">
        <v>261</v>
      </c>
      <c r="W859" s="141">
        <v>45553</v>
      </c>
      <c r="X859" s="140" t="s">
        <v>471</v>
      </c>
    </row>
    <row r="860" spans="1:24" s="123" customFormat="1" ht="17.45" customHeight="1" x14ac:dyDescent="0.25">
      <c r="A860" t="str">
        <f t="shared" si="239"/>
        <v>245301834845553250867949,195969</v>
      </c>
      <c r="B860" s="6">
        <f t="shared" si="237"/>
        <v>45553</v>
      </c>
      <c r="C860" s="3">
        <f t="shared" si="238"/>
        <v>250867949.19596934</v>
      </c>
      <c r="D860" s="134">
        <v>2023</v>
      </c>
      <c r="E860" s="126">
        <v>2453018348</v>
      </c>
      <c r="F860" s="127" t="s">
        <v>426</v>
      </c>
      <c r="G860" s="128">
        <v>3652668243</v>
      </c>
      <c r="H860" s="128">
        <v>391357312</v>
      </c>
      <c r="I860" s="135"/>
      <c r="J860" s="135">
        <f t="shared" si="245"/>
        <v>0.12000000008585504</v>
      </c>
      <c r="K860" s="136">
        <v>2341434191</v>
      </c>
      <c r="L860" s="136">
        <f t="shared" si="253"/>
        <v>250867949.19596934</v>
      </c>
      <c r="M860" s="137">
        <v>182432195.58082387</v>
      </c>
      <c r="N860" s="138">
        <f t="shared" ref="N860:N863" si="254">+L860-M860</f>
        <v>68435753.615145475</v>
      </c>
      <c r="O860" s="139">
        <f t="shared" si="252"/>
        <v>27374301</v>
      </c>
      <c r="P860" s="140" t="s">
        <v>659</v>
      </c>
      <c r="Q860" s="134"/>
      <c r="R860" s="42">
        <f t="shared" si="216"/>
        <v>41061452.615145475</v>
      </c>
      <c r="S860" s="134"/>
      <c r="T860" s="134"/>
      <c r="U860" s="134"/>
      <c r="V860" s="125" t="s">
        <v>261</v>
      </c>
      <c r="W860" s="141">
        <v>45553</v>
      </c>
      <c r="X860" s="140" t="s">
        <v>425</v>
      </c>
    </row>
    <row r="861" spans="1:24" s="123" customFormat="1" ht="17.45" customHeight="1" x14ac:dyDescent="0.25">
      <c r="A861" t="str">
        <f t="shared" si="239"/>
        <v>24530183604555324272029,2271544</v>
      </c>
      <c r="B861" s="6">
        <f t="shared" si="237"/>
        <v>45730</v>
      </c>
      <c r="C861" s="3">
        <f t="shared" si="238"/>
        <v>36391063.840622641</v>
      </c>
      <c r="D861" s="134">
        <v>2023</v>
      </c>
      <c r="E861" s="126">
        <v>2453018360</v>
      </c>
      <c r="F861" s="127" t="s">
        <v>620</v>
      </c>
      <c r="G861" s="128">
        <v>623455500</v>
      </c>
      <c r="H861" s="128">
        <v>66798804</v>
      </c>
      <c r="I861" s="135"/>
      <c r="J861" s="135">
        <f>IFERROR((+H861/(G861-H861)),0)</f>
        <v>0.12000000086229089</v>
      </c>
      <c r="K861" s="136">
        <v>226538938</v>
      </c>
      <c r="L861" s="136">
        <f t="shared" si="253"/>
        <v>24272029.227154389</v>
      </c>
      <c r="M861" s="137">
        <v>19163178.765805315</v>
      </c>
      <c r="N861" s="138">
        <f t="shared" si="254"/>
        <v>5108850.4613490738</v>
      </c>
      <c r="O861" s="139">
        <f t="shared" si="252"/>
        <v>2043540</v>
      </c>
      <c r="P861" s="140" t="s">
        <v>659</v>
      </c>
      <c r="Q861" s="134"/>
      <c r="R861" s="42">
        <f t="shared" si="216"/>
        <v>3065310.4613490738</v>
      </c>
      <c r="S861" s="134"/>
      <c r="T861" s="134"/>
      <c r="U861" s="134"/>
      <c r="V861" s="125" t="s">
        <v>261</v>
      </c>
      <c r="W861" s="141">
        <v>45553</v>
      </c>
      <c r="X861" s="140" t="s">
        <v>425</v>
      </c>
    </row>
    <row r="862" spans="1:24" s="123" customFormat="1" ht="17.45" customHeight="1" x14ac:dyDescent="0.25">
      <c r="A862" t="str">
        <f t="shared" si="239"/>
        <v>24530183424555351137315,4642857</v>
      </c>
      <c r="B862" s="6">
        <f t="shared" si="237"/>
        <v>45621</v>
      </c>
      <c r="C862" s="3">
        <f t="shared" si="238"/>
        <v>55256697.428571425</v>
      </c>
      <c r="D862" s="134">
        <v>2023</v>
      </c>
      <c r="E862" s="126">
        <v>2453018342</v>
      </c>
      <c r="F862" s="127" t="s">
        <v>378</v>
      </c>
      <c r="G862" s="128">
        <v>678090000</v>
      </c>
      <c r="H862" s="128">
        <v>72652500</v>
      </c>
      <c r="I862" s="135"/>
      <c r="J862" s="135">
        <f t="shared" ref="J862:J864" si="255">IFERROR((+H862/(G862-H862)),0)</f>
        <v>0.12</v>
      </c>
      <c r="K862" s="136">
        <v>477281611</v>
      </c>
      <c r="L862" s="136">
        <f t="shared" si="253"/>
        <v>51137315.464285709</v>
      </c>
      <c r="M862" s="137">
        <v>31556280.964285713</v>
      </c>
      <c r="N862" s="138">
        <f t="shared" si="254"/>
        <v>19581034.499999996</v>
      </c>
      <c r="O862" s="139">
        <f t="shared" si="252"/>
        <v>7832414</v>
      </c>
      <c r="P862" s="140" t="s">
        <v>706</v>
      </c>
      <c r="Q862" s="134"/>
      <c r="R862" s="42">
        <f t="shared" ref="R862:R864" si="256">+N862-O862</f>
        <v>11748620.499999996</v>
      </c>
      <c r="S862" s="134"/>
      <c r="T862" s="134"/>
      <c r="U862" s="134"/>
      <c r="V862" s="125" t="s">
        <v>261</v>
      </c>
      <c r="W862" s="141">
        <v>45553</v>
      </c>
      <c r="X862" s="140" t="s">
        <v>425</v>
      </c>
    </row>
    <row r="863" spans="1:24" s="123" customFormat="1" ht="17.45" customHeight="1" x14ac:dyDescent="0.25">
      <c r="A863" t="str">
        <f t="shared" si="239"/>
        <v>291090733445559151949999,95</v>
      </c>
      <c r="B863" s="6">
        <f t="shared" si="237"/>
        <v>45642</v>
      </c>
      <c r="C863" s="3">
        <f t="shared" si="238"/>
        <v>434142856.99999994</v>
      </c>
      <c r="D863" s="134">
        <v>2024</v>
      </c>
      <c r="E863" s="126">
        <v>2910907334</v>
      </c>
      <c r="F863" s="127" t="s">
        <v>707</v>
      </c>
      <c r="G863" s="128">
        <v>4052000000</v>
      </c>
      <c r="H863" s="128">
        <v>434142857</v>
      </c>
      <c r="I863" s="135"/>
      <c r="J863" s="135">
        <f t="shared" si="255"/>
        <v>0.11999999995577493</v>
      </c>
      <c r="K863" s="136">
        <v>1418200000</v>
      </c>
      <c r="L863" s="136">
        <f t="shared" si="253"/>
        <v>151949999.94999999</v>
      </c>
      <c r="M863" s="137">
        <v>0</v>
      </c>
      <c r="N863" s="138">
        <f t="shared" si="254"/>
        <v>151949999.94999999</v>
      </c>
      <c r="O863" s="139">
        <f t="shared" si="252"/>
        <v>60780000</v>
      </c>
      <c r="P863" s="140" t="s">
        <v>708</v>
      </c>
      <c r="Q863" s="134"/>
      <c r="R863" s="42">
        <f t="shared" si="256"/>
        <v>91169999.949999988</v>
      </c>
      <c r="S863" s="134"/>
      <c r="T863" s="134"/>
      <c r="U863" s="134"/>
      <c r="V863" s="125" t="s">
        <v>261</v>
      </c>
      <c r="W863" s="141">
        <v>45559</v>
      </c>
      <c r="X863" s="140" t="s">
        <v>709</v>
      </c>
    </row>
    <row r="864" spans="1:24" s="123" customFormat="1" ht="17.45" customHeight="1" x14ac:dyDescent="0.25">
      <c r="A864" t="str">
        <f t="shared" si="239"/>
        <v>29109073264555981849761,437</v>
      </c>
      <c r="B864" s="6">
        <f t="shared" si="237"/>
        <v>45708</v>
      </c>
      <c r="C864" s="3">
        <f t="shared" si="238"/>
        <v>450607264.45816767</v>
      </c>
      <c r="D864" s="134">
        <v>2024</v>
      </c>
      <c r="E864" s="126">
        <v>2910907326</v>
      </c>
      <c r="F864" s="127" t="s">
        <v>710</v>
      </c>
      <c r="G864" s="128">
        <v>3999639300</v>
      </c>
      <c r="H864" s="128">
        <v>428532782</v>
      </c>
      <c r="I864" s="135"/>
      <c r="J864" s="135">
        <f t="shared" si="255"/>
        <v>0.11999999995519596</v>
      </c>
      <c r="K864" s="136">
        <v>763931107</v>
      </c>
      <c r="L864" s="136">
        <f t="shared" ref="L864:L869" si="257">+K864/(1+J864)*J864</f>
        <v>81849761.436999992</v>
      </c>
      <c r="M864" s="137">
        <v>0</v>
      </c>
      <c r="N864" s="138">
        <f>+L864-M864</f>
        <v>81849761.436999992</v>
      </c>
      <c r="O864" s="139">
        <f>ROUND((N864*40%),0)</f>
        <v>32739905</v>
      </c>
      <c r="P864" s="140" t="s">
        <v>708</v>
      </c>
      <c r="Q864" s="134"/>
      <c r="R864" s="42">
        <f t="shared" si="256"/>
        <v>49109856.436999992</v>
      </c>
      <c r="S864" s="134"/>
      <c r="T864" s="134"/>
      <c r="U864" s="134"/>
      <c r="V864" s="125" t="s">
        <v>261</v>
      </c>
      <c r="W864" s="141">
        <v>45559</v>
      </c>
      <c r="X864" s="140" t="s">
        <v>711</v>
      </c>
    </row>
    <row r="865" spans="1:24" s="123" customFormat="1" ht="17.45" customHeight="1" x14ac:dyDescent="0.25">
      <c r="A865" t="str">
        <f t="shared" si="239"/>
        <v>2910907238455611169552151,29984</v>
      </c>
      <c r="B865" s="6">
        <f t="shared" si="237"/>
        <v>45642</v>
      </c>
      <c r="C865" s="3">
        <f t="shared" si="238"/>
        <v>1951263569.1784461</v>
      </c>
      <c r="D865" s="134">
        <v>2023</v>
      </c>
      <c r="E865" s="126">
        <v>2910907238</v>
      </c>
      <c r="F865" s="127" t="s">
        <v>520</v>
      </c>
      <c r="G865" s="128">
        <v>18227793312</v>
      </c>
      <c r="H865" s="128">
        <v>1952977855</v>
      </c>
      <c r="I865" s="135"/>
      <c r="J865" s="135">
        <f t="shared" ref="J865:J883" si="258">IFERROR((+H865/(G865-H865)),0)</f>
        <v>0.12000000000983115</v>
      </c>
      <c r="K865" s="136">
        <v>10915820078</v>
      </c>
      <c r="L865" s="136">
        <f t="shared" si="257"/>
        <v>1169552151.2998366</v>
      </c>
      <c r="M865" s="137">
        <v>930026884.24660146</v>
      </c>
      <c r="N865" s="138">
        <f t="shared" ref="N865" si="259">+L865-M865</f>
        <v>239525267.05323517</v>
      </c>
      <c r="O865" s="139">
        <f t="shared" ref="O865" si="260">ROUND((N865*40%),0)</f>
        <v>95810107</v>
      </c>
      <c r="P865" s="140" t="s">
        <v>708</v>
      </c>
      <c r="Q865" s="134"/>
      <c r="R865" s="42">
        <f>+N865-O865</f>
        <v>143715160.05323517</v>
      </c>
      <c r="S865" s="134"/>
      <c r="T865" s="134"/>
      <c r="U865" s="134"/>
      <c r="V865" s="125" t="s">
        <v>261</v>
      </c>
      <c r="W865" s="141">
        <v>45561</v>
      </c>
      <c r="X865" s="140" t="s">
        <v>712</v>
      </c>
    </row>
    <row r="866" spans="1:24" s="123" customFormat="1" ht="17.45" customHeight="1" x14ac:dyDescent="0.25">
      <c r="A866" t="str">
        <f t="shared" si="239"/>
        <v>2910907305455861337944332,80959</v>
      </c>
      <c r="B866" s="6">
        <f t="shared" si="237"/>
        <v>45639</v>
      </c>
      <c r="C866" s="3">
        <f t="shared" si="238"/>
        <v>1657912075.6085422</v>
      </c>
      <c r="D866" s="134">
        <v>2024</v>
      </c>
      <c r="E866" s="126">
        <v>2910907305</v>
      </c>
      <c r="F866" s="127" t="s">
        <v>602</v>
      </c>
      <c r="G866" s="128">
        <v>16023830031</v>
      </c>
      <c r="H866" s="128">
        <v>1716840708</v>
      </c>
      <c r="I866" s="135"/>
      <c r="J866" s="135">
        <f t="shared" si="258"/>
        <v>0.12000013903973471</v>
      </c>
      <c r="K866" s="136">
        <v>12487467521</v>
      </c>
      <c r="L866" s="136">
        <f t="shared" si="257"/>
        <v>1337944332.8095949</v>
      </c>
      <c r="M866" s="137">
        <v>1152245888.78406</v>
      </c>
      <c r="N866" s="138">
        <f>+L866-M866</f>
        <v>185698444.02553487</v>
      </c>
      <c r="O866" s="139">
        <f>ROUND((N866*40%),0)</f>
        <v>74279378</v>
      </c>
      <c r="P866" s="140" t="s">
        <v>1511</v>
      </c>
      <c r="Q866" s="134">
        <v>11330</v>
      </c>
      <c r="R866" s="42">
        <f>+N866-O866</f>
        <v>111419066.02553487</v>
      </c>
      <c r="S866" s="134">
        <v>11331</v>
      </c>
      <c r="T866" s="134">
        <v>2501</v>
      </c>
      <c r="U866" s="134">
        <v>3947</v>
      </c>
      <c r="V866" s="125" t="s">
        <v>261</v>
      </c>
      <c r="W866" s="141">
        <v>45586</v>
      </c>
      <c r="X866" s="140" t="s">
        <v>1512</v>
      </c>
    </row>
    <row r="867" spans="1:24" s="123" customFormat="1" ht="17.45" customHeight="1" x14ac:dyDescent="0.25">
      <c r="A867" t="str">
        <f t="shared" si="239"/>
        <v>2910907296455863214286</v>
      </c>
      <c r="B867" s="6">
        <f t="shared" si="237"/>
        <v>45586</v>
      </c>
      <c r="C867" s="3">
        <f t="shared" si="238"/>
        <v>3214285.9999999995</v>
      </c>
      <c r="D867" s="134">
        <v>2023</v>
      </c>
      <c r="E867" s="126">
        <v>2910907296</v>
      </c>
      <c r="F867" s="127" t="s">
        <v>580</v>
      </c>
      <c r="G867" s="128">
        <v>30000000</v>
      </c>
      <c r="H867" s="128">
        <v>3214286</v>
      </c>
      <c r="I867" s="135"/>
      <c r="J867" s="135">
        <f t="shared" si="258"/>
        <v>0.12000001194666679</v>
      </c>
      <c r="K867" s="136">
        <v>30000000</v>
      </c>
      <c r="L867" s="136">
        <f t="shared" si="257"/>
        <v>3214285.9999999995</v>
      </c>
      <c r="M867" s="137">
        <v>3005357</v>
      </c>
      <c r="N867" s="138">
        <f>+L867-M867</f>
        <v>208928.99999999953</v>
      </c>
      <c r="O867" s="139">
        <f>ROUND((N867*40%),0)</f>
        <v>83572</v>
      </c>
      <c r="P867" s="140" t="s">
        <v>1511</v>
      </c>
      <c r="Q867" s="134">
        <v>11328</v>
      </c>
      <c r="R867" s="42">
        <f>+N867-O867</f>
        <v>125356.99999999953</v>
      </c>
      <c r="S867" s="134">
        <v>11329</v>
      </c>
      <c r="T867" s="134">
        <v>2495</v>
      </c>
      <c r="U867" s="134">
        <v>3942</v>
      </c>
      <c r="V867" s="125" t="s">
        <v>261</v>
      </c>
      <c r="W867" s="141">
        <v>45586</v>
      </c>
      <c r="X867" s="140" t="s">
        <v>1513</v>
      </c>
    </row>
    <row r="868" spans="1:24" s="123" customFormat="1" ht="17.45" customHeight="1" x14ac:dyDescent="0.25">
      <c r="A868" t="str">
        <f t="shared" si="239"/>
        <v>2910907253455863214286</v>
      </c>
      <c r="B868" s="6">
        <f t="shared" si="237"/>
        <v>45586</v>
      </c>
      <c r="C868" s="3">
        <f t="shared" si="238"/>
        <v>3214285.9999999995</v>
      </c>
      <c r="D868" s="134">
        <v>2023</v>
      </c>
      <c r="E868" s="126">
        <v>2910907253</v>
      </c>
      <c r="F868" s="127" t="s">
        <v>484</v>
      </c>
      <c r="G868" s="128">
        <v>30000000</v>
      </c>
      <c r="H868" s="128">
        <v>3214286</v>
      </c>
      <c r="I868" s="135"/>
      <c r="J868" s="135">
        <f t="shared" si="258"/>
        <v>0.12000001194666679</v>
      </c>
      <c r="K868" s="136">
        <v>30000000</v>
      </c>
      <c r="L868" s="136">
        <f t="shared" si="257"/>
        <v>3214285.9999999995</v>
      </c>
      <c r="M868" s="137">
        <v>1550893</v>
      </c>
      <c r="N868" s="138">
        <f>+L868-M868</f>
        <v>1663392.9999999995</v>
      </c>
      <c r="O868" s="139">
        <f>ROUND((N868*40%),0)</f>
        <v>665357</v>
      </c>
      <c r="P868" s="140" t="s">
        <v>456</v>
      </c>
      <c r="Q868" s="134">
        <v>11326</v>
      </c>
      <c r="R868" s="42">
        <f t="shared" ref="R868:R874" si="261">+N868-O868</f>
        <v>998035.99999999953</v>
      </c>
      <c r="S868" s="134">
        <v>11327</v>
      </c>
      <c r="T868" s="134">
        <v>2493</v>
      </c>
      <c r="U868" s="134">
        <v>3932</v>
      </c>
      <c r="V868" s="125" t="s">
        <v>261</v>
      </c>
      <c r="W868" s="141">
        <v>45586</v>
      </c>
      <c r="X868" s="140" t="s">
        <v>1513</v>
      </c>
    </row>
    <row r="869" spans="1:24" s="123" customFormat="1" ht="17.45" customHeight="1" x14ac:dyDescent="0.25">
      <c r="A869" t="str">
        <f t="shared" si="239"/>
        <v>29109067644558612214286</v>
      </c>
      <c r="B869" s="6">
        <f t="shared" si="237"/>
        <v>45586</v>
      </c>
      <c r="C869" s="3">
        <f t="shared" si="238"/>
        <v>12214286</v>
      </c>
      <c r="D869" s="134">
        <v>2021</v>
      </c>
      <c r="E869" s="126">
        <v>2910906764</v>
      </c>
      <c r="F869" s="127" t="s">
        <v>218</v>
      </c>
      <c r="G869" s="128">
        <v>114000000</v>
      </c>
      <c r="H869" s="128">
        <v>12214286</v>
      </c>
      <c r="I869" s="135"/>
      <c r="J869" s="135">
        <f t="shared" si="258"/>
        <v>0.12000000314385965</v>
      </c>
      <c r="K869" s="136">
        <v>114000000</v>
      </c>
      <c r="L869" s="136">
        <f t="shared" si="257"/>
        <v>12214286</v>
      </c>
      <c r="M869" s="137">
        <v>9762857</v>
      </c>
      <c r="N869" s="138">
        <f>+L869-M869</f>
        <v>2451429</v>
      </c>
      <c r="O869" s="139">
        <f t="shared" ref="O869" si="262">ROUND((N869*40%),0)</f>
        <v>980572</v>
      </c>
      <c r="P869" s="140" t="s">
        <v>1511</v>
      </c>
      <c r="Q869" s="134">
        <v>11320</v>
      </c>
      <c r="R869" s="42">
        <f t="shared" si="261"/>
        <v>1470857</v>
      </c>
      <c r="S869" s="134">
        <v>11321</v>
      </c>
      <c r="T869" s="134">
        <v>2492</v>
      </c>
      <c r="U869" s="134">
        <v>3931</v>
      </c>
      <c r="V869" s="125" t="s">
        <v>261</v>
      </c>
      <c r="W869" s="141">
        <v>45586</v>
      </c>
      <c r="X869" s="140" t="s">
        <v>1514</v>
      </c>
    </row>
    <row r="870" spans="1:24" s="123" customFormat="1" ht="17.45" customHeight="1" x14ac:dyDescent="0.25">
      <c r="A870" t="str">
        <f t="shared" si="239"/>
        <v>2910907314455866428570</v>
      </c>
      <c r="B870" s="6">
        <f t="shared" si="237"/>
        <v>45586</v>
      </c>
      <c r="C870" s="3">
        <f t="shared" si="238"/>
        <v>6428570</v>
      </c>
      <c r="D870" s="134">
        <v>2024</v>
      </c>
      <c r="E870" s="126">
        <v>2910907314</v>
      </c>
      <c r="F870" s="127" t="s">
        <v>642</v>
      </c>
      <c r="G870" s="128">
        <v>60000000</v>
      </c>
      <c r="H870" s="128">
        <v>6428571</v>
      </c>
      <c r="I870" s="135"/>
      <c r="J870" s="135">
        <f t="shared" si="258"/>
        <v>0.11999999104000007</v>
      </c>
      <c r="K870" s="136">
        <v>60000000</v>
      </c>
      <c r="L870" s="136">
        <v>6428570</v>
      </c>
      <c r="M870" s="137">
        <v>3214285.5</v>
      </c>
      <c r="N870" s="138">
        <f>+L870-M870</f>
        <v>3214284.5</v>
      </c>
      <c r="O870" s="139">
        <f>ROUND((N870*40%),0)</f>
        <v>1285714</v>
      </c>
      <c r="P870" s="140" t="s">
        <v>1511</v>
      </c>
      <c r="Q870" s="134">
        <v>11334</v>
      </c>
      <c r="R870" s="42">
        <f t="shared" si="261"/>
        <v>1928570.5</v>
      </c>
      <c r="S870" s="134">
        <v>11335</v>
      </c>
      <c r="T870" s="134">
        <v>2502</v>
      </c>
      <c r="U870" s="134">
        <v>3933</v>
      </c>
      <c r="V870" s="125" t="s">
        <v>261</v>
      </c>
      <c r="W870" s="141">
        <v>45586</v>
      </c>
      <c r="X870" s="140" t="s">
        <v>1515</v>
      </c>
    </row>
    <row r="871" spans="1:24" s="123" customFormat="1" ht="17.45" customHeight="1" x14ac:dyDescent="0.25">
      <c r="A871" t="str">
        <f t="shared" si="239"/>
        <v>2910906755455866428571</v>
      </c>
      <c r="B871" s="6">
        <f t="shared" si="237"/>
        <v>45586</v>
      </c>
      <c r="C871" s="3">
        <f t="shared" si="238"/>
        <v>6428571</v>
      </c>
      <c r="D871" s="134">
        <v>2021</v>
      </c>
      <c r="E871" s="126">
        <v>2910906755</v>
      </c>
      <c r="F871" s="127" t="s">
        <v>211</v>
      </c>
      <c r="G871" s="128">
        <v>59999936</v>
      </c>
      <c r="H871" s="128">
        <v>6428571</v>
      </c>
      <c r="I871" s="135"/>
      <c r="J871" s="135">
        <f t="shared" si="258"/>
        <v>0.12000013440015948</v>
      </c>
      <c r="K871" s="136">
        <v>59999936</v>
      </c>
      <c r="L871" s="136">
        <f>+K871/(1+J871)*J871</f>
        <v>6428571</v>
      </c>
      <c r="M871" s="137">
        <v>5400535</v>
      </c>
      <c r="N871" s="138">
        <f t="shared" ref="N871:N872" si="263">+L871-M871</f>
        <v>1028036</v>
      </c>
      <c r="O871" s="139">
        <f t="shared" ref="O871:O872" si="264">ROUND((N871*40%),0)</f>
        <v>411214</v>
      </c>
      <c r="P871" s="140" t="s">
        <v>1511</v>
      </c>
      <c r="Q871" s="134">
        <v>11318</v>
      </c>
      <c r="R871" s="42">
        <f t="shared" si="261"/>
        <v>616822</v>
      </c>
      <c r="S871" s="134">
        <v>11319</v>
      </c>
      <c r="T871" s="134">
        <v>2491</v>
      </c>
      <c r="U871" s="134">
        <v>3930</v>
      </c>
      <c r="V871" s="125" t="s">
        <v>261</v>
      </c>
      <c r="W871" s="141">
        <v>45586</v>
      </c>
      <c r="X871" s="140" t="s">
        <v>1516</v>
      </c>
    </row>
    <row r="872" spans="1:24" s="123" customFormat="1" ht="17.45" customHeight="1" x14ac:dyDescent="0.25">
      <c r="A872" t="str">
        <f t="shared" si="239"/>
        <v>29109073304558761189042,7376492</v>
      </c>
      <c r="B872" s="6">
        <f t="shared" si="237"/>
        <v>45861</v>
      </c>
      <c r="C872" s="3">
        <f t="shared" si="238"/>
        <v>225873644</v>
      </c>
      <c r="D872" s="134">
        <v>2024</v>
      </c>
      <c r="E872" s="126">
        <v>2910907330</v>
      </c>
      <c r="F872" s="127" t="s">
        <v>1479</v>
      </c>
      <c r="G872" s="128">
        <v>2018154011</v>
      </c>
      <c r="H872" s="128">
        <v>225873644</v>
      </c>
      <c r="I872" s="135"/>
      <c r="J872" s="135">
        <f t="shared" si="258"/>
        <v>0.12602584291992081</v>
      </c>
      <c r="K872" s="136">
        <v>546716783.08000004</v>
      </c>
      <c r="L872" s="136">
        <f>+K872/(1+J872)*J872</f>
        <v>61189042.737649202</v>
      </c>
      <c r="M872" s="137">
        <v>0</v>
      </c>
      <c r="N872" s="138">
        <f t="shared" si="263"/>
        <v>61189042.737649202</v>
      </c>
      <c r="O872" s="139">
        <f t="shared" si="264"/>
        <v>24475617</v>
      </c>
      <c r="P872" s="140" t="s">
        <v>1511</v>
      </c>
      <c r="Q872" s="134">
        <v>11338</v>
      </c>
      <c r="R872" s="42">
        <f t="shared" si="261"/>
        <v>36713425.737649202</v>
      </c>
      <c r="S872" s="134">
        <v>11339</v>
      </c>
      <c r="T872" s="134">
        <v>2511</v>
      </c>
      <c r="U872" s="134">
        <v>3944</v>
      </c>
      <c r="V872" s="125" t="s">
        <v>261</v>
      </c>
      <c r="W872" s="141">
        <v>45587</v>
      </c>
      <c r="X872" s="140" t="s">
        <v>1517</v>
      </c>
    </row>
    <row r="873" spans="1:24" s="123" customFormat="1" ht="17.45" customHeight="1" x14ac:dyDescent="0.25">
      <c r="A873" t="str">
        <f t="shared" si="239"/>
        <v>29109073104558735700000,2856</v>
      </c>
      <c r="B873" s="6">
        <f t="shared" si="237"/>
        <v>45742</v>
      </c>
      <c r="C873" s="3">
        <f t="shared" si="238"/>
        <v>64900000</v>
      </c>
      <c r="D873" s="134">
        <v>2024</v>
      </c>
      <c r="E873" s="126">
        <v>2910907310</v>
      </c>
      <c r="F873" s="127" t="s">
        <v>669</v>
      </c>
      <c r="G873" s="128">
        <v>500000000</v>
      </c>
      <c r="H873" s="128">
        <v>53571429</v>
      </c>
      <c r="I873" s="135"/>
      <c r="J873" s="135">
        <f t="shared" si="258"/>
        <v>0.12000000107520001</v>
      </c>
      <c r="K873" s="136">
        <v>333200000</v>
      </c>
      <c r="L873" s="136">
        <f t="shared" ref="L873:L881" si="265">+K873/(1+J873)*J873</f>
        <v>35700000.285599999</v>
      </c>
      <c r="M873" s="137">
        <v>14753571.546599999</v>
      </c>
      <c r="N873" s="138">
        <f>+L873-M873</f>
        <v>20946428.739</v>
      </c>
      <c r="O873" s="139">
        <f>ROUND((N873*40%),0)</f>
        <v>8378571</v>
      </c>
      <c r="P873" s="140" t="s">
        <v>1511</v>
      </c>
      <c r="Q873" s="134">
        <v>11332</v>
      </c>
      <c r="R873" s="42">
        <f t="shared" si="261"/>
        <v>12567857.739</v>
      </c>
      <c r="S873" s="134">
        <v>11333</v>
      </c>
      <c r="T873" s="134">
        <v>2509</v>
      </c>
      <c r="U873" s="134">
        <v>3941</v>
      </c>
      <c r="V873" s="125" t="s">
        <v>261</v>
      </c>
      <c r="W873" s="141">
        <v>45587</v>
      </c>
      <c r="X873" s="140" t="s">
        <v>1518</v>
      </c>
    </row>
    <row r="874" spans="1:24" s="123" customFormat="1" ht="17.45" customHeight="1" x14ac:dyDescent="0.25">
      <c r="A874" t="str">
        <f t="shared" si="239"/>
        <v>29109073384558718643445,2857143</v>
      </c>
      <c r="B874" s="6">
        <f t="shared" si="237"/>
        <v>45674</v>
      </c>
      <c r="C874" s="3">
        <f t="shared" si="238"/>
        <v>46608613</v>
      </c>
      <c r="D874" s="134">
        <v>2024</v>
      </c>
      <c r="E874" s="126">
        <v>2910907338</v>
      </c>
      <c r="F874" s="127" t="s">
        <v>1480</v>
      </c>
      <c r="G874" s="128">
        <v>435013718</v>
      </c>
      <c r="H874" s="128">
        <v>46608613</v>
      </c>
      <c r="I874" s="135"/>
      <c r="J874" s="135">
        <f t="shared" si="258"/>
        <v>0.12000000102985259</v>
      </c>
      <c r="K874" s="136">
        <v>174005488</v>
      </c>
      <c r="L874" s="136">
        <f t="shared" si="265"/>
        <v>18643445.285714291</v>
      </c>
      <c r="M874" s="137">
        <v>0</v>
      </c>
      <c r="N874" s="138">
        <f>+L874-M874</f>
        <v>18643445.285714291</v>
      </c>
      <c r="O874" s="139">
        <f>ROUND((N874*40%),0)</f>
        <v>7457378</v>
      </c>
      <c r="P874" s="140" t="s">
        <v>1511</v>
      </c>
      <c r="Q874" s="134">
        <v>11340</v>
      </c>
      <c r="R874" s="42">
        <f t="shared" si="261"/>
        <v>11186067.285714291</v>
      </c>
      <c r="S874" s="134">
        <v>11341</v>
      </c>
      <c r="T874" s="134">
        <v>2512</v>
      </c>
      <c r="U874" s="134">
        <v>3945</v>
      </c>
      <c r="V874" s="125" t="s">
        <v>261</v>
      </c>
      <c r="W874" s="141">
        <v>45587</v>
      </c>
      <c r="X874" s="140" t="s">
        <v>1519</v>
      </c>
    </row>
    <row r="875" spans="1:24" s="123" customFormat="1" ht="17.45" customHeight="1" x14ac:dyDescent="0.25">
      <c r="A875" s="123" t="str">
        <f t="shared" si="239"/>
        <v>291090723145587693849608,652156</v>
      </c>
      <c r="B875" s="185">
        <f t="shared" si="237"/>
        <v>45880</v>
      </c>
      <c r="C875" s="3">
        <f t="shared" si="238"/>
        <v>725275008</v>
      </c>
      <c r="D875" s="134">
        <v>2023</v>
      </c>
      <c r="E875" s="126">
        <v>2910907231</v>
      </c>
      <c r="F875" s="127" t="s">
        <v>410</v>
      </c>
      <c r="G875" s="128">
        <v>7055787001</v>
      </c>
      <c r="H875" s="128">
        <v>755977179</v>
      </c>
      <c r="I875" s="135"/>
      <c r="J875" s="135">
        <f t="shared" si="258"/>
        <v>0.12000000005714458</v>
      </c>
      <c r="K875" s="136">
        <v>6475929678</v>
      </c>
      <c r="L875" s="136">
        <f t="shared" si="265"/>
        <v>693849608.65215576</v>
      </c>
      <c r="M875" s="137">
        <v>644712437.09554923</v>
      </c>
      <c r="N875" s="138">
        <f>+L875-M875</f>
        <v>49137171.556606531</v>
      </c>
      <c r="O875" s="139">
        <f t="shared" ref="O875:O878" si="266">ROUND((N875*40%),0)</f>
        <v>19654869</v>
      </c>
      <c r="P875" s="140" t="s">
        <v>1511</v>
      </c>
      <c r="Q875" s="134">
        <v>11324</v>
      </c>
      <c r="R875" s="42">
        <f>+N875-O875</f>
        <v>29482302.556606531</v>
      </c>
      <c r="S875" s="134">
        <v>11325</v>
      </c>
      <c r="T875" s="134">
        <v>2508</v>
      </c>
      <c r="U875" s="134">
        <v>3939</v>
      </c>
      <c r="V875" s="125" t="s">
        <v>261</v>
      </c>
      <c r="W875" s="141">
        <v>45587</v>
      </c>
      <c r="X875" s="140" t="s">
        <v>1520</v>
      </c>
    </row>
    <row r="876" spans="1:24" s="123" customFormat="1" ht="17.45" customHeight="1" x14ac:dyDescent="0.25">
      <c r="A876" s="123" t="str">
        <f t="shared" si="239"/>
        <v>2910907327455877040816,65204082</v>
      </c>
      <c r="B876" s="185">
        <f t="shared" si="237"/>
        <v>45587</v>
      </c>
      <c r="C876" s="3">
        <f t="shared" si="238"/>
        <v>7040816.6520408196</v>
      </c>
      <c r="D876" s="134">
        <v>2024</v>
      </c>
      <c r="E876" s="126">
        <v>2910907327</v>
      </c>
      <c r="F876" s="127" t="s">
        <v>1481</v>
      </c>
      <c r="G876" s="128">
        <v>100000000</v>
      </c>
      <c r="H876" s="128">
        <v>10714286</v>
      </c>
      <c r="I876" s="135"/>
      <c r="J876" s="135">
        <f t="shared" si="258"/>
        <v>0.12000000358400001</v>
      </c>
      <c r="K876" s="136">
        <v>65714287</v>
      </c>
      <c r="L876" s="136">
        <f t="shared" si="265"/>
        <v>7040816.6520408196</v>
      </c>
      <c r="M876" s="137">
        <v>0</v>
      </c>
      <c r="N876" s="138">
        <f>+L876-M876</f>
        <v>7040816.6520408196</v>
      </c>
      <c r="O876" s="139">
        <f t="shared" si="266"/>
        <v>2816327</v>
      </c>
      <c r="P876" s="140" t="s">
        <v>1511</v>
      </c>
      <c r="Q876" s="134">
        <v>11336</v>
      </c>
      <c r="R876" s="42">
        <f>+N876-O876</f>
        <v>4224489.6520408196</v>
      </c>
      <c r="S876" s="134">
        <v>11337</v>
      </c>
      <c r="T876" s="134">
        <v>2510</v>
      </c>
      <c r="U876" s="134">
        <v>3940</v>
      </c>
      <c r="V876" s="125" t="s">
        <v>261</v>
      </c>
      <c r="W876" s="141">
        <v>45587</v>
      </c>
      <c r="X876" s="140" t="s">
        <v>1521</v>
      </c>
    </row>
    <row r="877" spans="1:24" s="123" customFormat="1" ht="17.45" customHeight="1" x14ac:dyDescent="0.25">
      <c r="A877" s="123" t="str">
        <f t="shared" si="239"/>
        <v>2453018350455871185355449,57798</v>
      </c>
      <c r="B877" s="185">
        <f t="shared" si="237"/>
        <v>45743</v>
      </c>
      <c r="C877" s="3">
        <f t="shared" si="238"/>
        <v>1344604499.9999998</v>
      </c>
      <c r="D877" s="134">
        <v>2023</v>
      </c>
      <c r="E877" s="126">
        <v>2453018350</v>
      </c>
      <c r="F877" s="127" t="s">
        <v>450</v>
      </c>
      <c r="G877" s="128">
        <v>16284654500</v>
      </c>
      <c r="H877" s="128">
        <v>1344604500</v>
      </c>
      <c r="I877" s="135"/>
      <c r="J877" s="135">
        <f t="shared" si="258"/>
        <v>0.09</v>
      </c>
      <c r="K877" s="136">
        <v>14355971556</v>
      </c>
      <c r="L877" s="136">
        <f t="shared" si="265"/>
        <v>1185355449.5779815</v>
      </c>
      <c r="M877" s="137">
        <v>1175137766.5871558</v>
      </c>
      <c r="N877" s="138">
        <f t="shared" ref="N877:N888" si="267">+L877-M877</f>
        <v>10217682.990825653</v>
      </c>
      <c r="O877" s="139">
        <f t="shared" si="266"/>
        <v>4087073</v>
      </c>
      <c r="P877" s="140" t="s">
        <v>1511</v>
      </c>
      <c r="Q877" s="134">
        <v>11308</v>
      </c>
      <c r="R877" s="42">
        <f t="shared" ref="R877:R878" si="268">+N877-O877</f>
        <v>6130609.9908256531</v>
      </c>
      <c r="S877" s="134">
        <v>11309</v>
      </c>
      <c r="T877" s="134">
        <v>2504</v>
      </c>
      <c r="U877" s="134">
        <v>3934</v>
      </c>
      <c r="V877" s="125" t="s">
        <v>261</v>
      </c>
      <c r="W877" s="141">
        <v>45587</v>
      </c>
      <c r="X877" s="140" t="s">
        <v>451</v>
      </c>
    </row>
    <row r="878" spans="1:24" s="123" customFormat="1" ht="17.45" customHeight="1" x14ac:dyDescent="0.25">
      <c r="A878" s="123" t="str">
        <f t="shared" si="239"/>
        <v>24530183634558776857269,7735477</v>
      </c>
      <c r="B878" s="185">
        <f t="shared" si="237"/>
        <v>45804</v>
      </c>
      <c r="C878" s="3">
        <f t="shared" si="238"/>
        <v>195445963.8411898</v>
      </c>
      <c r="D878" s="134">
        <v>2024</v>
      </c>
      <c r="E878" s="126">
        <v>2453018363</v>
      </c>
      <c r="F878" s="127" t="s">
        <v>672</v>
      </c>
      <c r="G878" s="128">
        <v>1394276563</v>
      </c>
      <c r="H878" s="128">
        <v>149386775</v>
      </c>
      <c r="I878" s="135"/>
      <c r="J878" s="135">
        <f t="shared" si="258"/>
        <v>0.12000000035344495</v>
      </c>
      <c r="K878" s="136">
        <v>717334516</v>
      </c>
      <c r="L878" s="136">
        <f t="shared" si="265"/>
        <v>76857269.773547709</v>
      </c>
      <c r="M878" s="137">
        <v>54770094.036891468</v>
      </c>
      <c r="N878" s="138">
        <f t="shared" si="267"/>
        <v>22087175.736656241</v>
      </c>
      <c r="O878" s="139">
        <f t="shared" si="266"/>
        <v>8834870</v>
      </c>
      <c r="P878" s="140" t="s">
        <v>1511</v>
      </c>
      <c r="Q878" s="134">
        <v>11314</v>
      </c>
      <c r="R878" s="42">
        <f t="shared" si="268"/>
        <v>13252305.736656241</v>
      </c>
      <c r="S878" s="134">
        <v>11315</v>
      </c>
      <c r="T878" s="134">
        <v>2507</v>
      </c>
      <c r="U878" s="134">
        <v>3938</v>
      </c>
      <c r="V878" s="125" t="s">
        <v>261</v>
      </c>
      <c r="W878" s="141">
        <v>45587</v>
      </c>
      <c r="X878" s="140" t="s">
        <v>425</v>
      </c>
    </row>
    <row r="879" spans="1:24" s="123" customFormat="1" ht="17.45" customHeight="1" x14ac:dyDescent="0.25">
      <c r="A879" s="123" t="str">
        <f t="shared" si="239"/>
        <v>245301835545587131411371,464421</v>
      </c>
      <c r="B879" s="185">
        <f t="shared" si="237"/>
        <v>45587</v>
      </c>
      <c r="C879" s="3">
        <f t="shared" si="238"/>
        <v>131411371.46442096</v>
      </c>
      <c r="D879" s="134">
        <v>2023</v>
      </c>
      <c r="E879" s="126">
        <v>2453018355</v>
      </c>
      <c r="F879" s="127" t="s">
        <v>598</v>
      </c>
      <c r="G879" s="128">
        <v>1960924800</v>
      </c>
      <c r="H879" s="128">
        <v>210099086</v>
      </c>
      <c r="I879" s="135"/>
      <c r="J879" s="135">
        <f t="shared" si="258"/>
        <v>0.12000000018277091</v>
      </c>
      <c r="K879" s="136">
        <v>1226506132</v>
      </c>
      <c r="L879" s="136">
        <f t="shared" si="265"/>
        <v>131411371.46442096</v>
      </c>
      <c r="M879" s="137">
        <v>103726898.28391562</v>
      </c>
      <c r="N879" s="138">
        <f t="shared" si="267"/>
        <v>27684473.180505335</v>
      </c>
      <c r="O879" s="139">
        <f>ROUND((N879*40%),0)</f>
        <v>11073789</v>
      </c>
      <c r="P879" s="140" t="s">
        <v>1511</v>
      </c>
      <c r="Q879" s="134">
        <v>11310</v>
      </c>
      <c r="R879" s="42">
        <f>+N879-O879</f>
        <v>16610684.180505335</v>
      </c>
      <c r="S879" s="134">
        <v>11311</v>
      </c>
      <c r="T879" s="134">
        <v>2505</v>
      </c>
      <c r="U879" s="134">
        <v>3936</v>
      </c>
      <c r="V879" s="125" t="s">
        <v>261</v>
      </c>
      <c r="W879" s="141">
        <v>45587</v>
      </c>
      <c r="X879" s="140" t="s">
        <v>425</v>
      </c>
    </row>
    <row r="880" spans="1:24" s="123" customFormat="1" ht="17.45" customHeight="1" x14ac:dyDescent="0.25">
      <c r="A880" s="123" t="str">
        <f t="shared" si="239"/>
        <v>245301834745587191381148,560901</v>
      </c>
      <c r="B880" s="185">
        <f t="shared" si="237"/>
        <v>45730</v>
      </c>
      <c r="C880" s="3">
        <f t="shared" si="238"/>
        <v>227416985.11999634</v>
      </c>
      <c r="D880" s="134">
        <v>2023</v>
      </c>
      <c r="E880" s="126">
        <v>2453018347</v>
      </c>
      <c r="F880" s="127" t="s">
        <v>391</v>
      </c>
      <c r="G880" s="128">
        <v>2033323757</v>
      </c>
      <c r="H880" s="128">
        <v>243997849</v>
      </c>
      <c r="I880" s="135"/>
      <c r="J880" s="135">
        <f t="shared" si="258"/>
        <v>0.13636300011590732</v>
      </c>
      <c r="K880" s="136">
        <v>1594849453</v>
      </c>
      <c r="L880" s="136">
        <f t="shared" si="265"/>
        <v>191381148.56090108</v>
      </c>
      <c r="M880" s="137">
        <v>169092629.67617407</v>
      </c>
      <c r="N880" s="138">
        <f t="shared" si="267"/>
        <v>22288518.884727001</v>
      </c>
      <c r="O880" s="139">
        <f t="shared" ref="O880:O881" si="269">ROUND((N880*40%),0)</f>
        <v>8915408</v>
      </c>
      <c r="P880" s="140" t="s">
        <v>1511</v>
      </c>
      <c r="Q880" s="134">
        <v>11306</v>
      </c>
      <c r="R880" s="42">
        <f t="shared" ref="R880:R881" si="270">+N880-O880</f>
        <v>13373110.884727001</v>
      </c>
      <c r="S880" s="134">
        <v>11307</v>
      </c>
      <c r="T880" s="134">
        <v>2503</v>
      </c>
      <c r="U880" s="134">
        <v>3935</v>
      </c>
      <c r="V880" s="125" t="s">
        <v>261</v>
      </c>
      <c r="W880" s="141">
        <v>45587</v>
      </c>
      <c r="X880" s="140" t="s">
        <v>471</v>
      </c>
    </row>
    <row r="881" spans="1:24" s="123" customFormat="1" ht="17.45" customHeight="1" x14ac:dyDescent="0.25">
      <c r="A881" s="123" t="str">
        <f t="shared" si="239"/>
        <v>24530183604558728340834,6461164</v>
      </c>
      <c r="B881" s="185">
        <f t="shared" si="237"/>
        <v>45730</v>
      </c>
      <c r="C881" s="3">
        <f t="shared" si="238"/>
        <v>36391063.840622641</v>
      </c>
      <c r="D881" s="134">
        <v>2023</v>
      </c>
      <c r="E881" s="126">
        <v>2453018360</v>
      </c>
      <c r="F881" s="127" t="s">
        <v>620</v>
      </c>
      <c r="G881" s="128">
        <v>623455500</v>
      </c>
      <c r="H881" s="128">
        <v>66798804</v>
      </c>
      <c r="I881" s="135"/>
      <c r="J881" s="135">
        <f t="shared" si="258"/>
        <v>0.12000000086229089</v>
      </c>
      <c r="K881" s="136">
        <v>264514455</v>
      </c>
      <c r="L881" s="136">
        <f t="shared" si="265"/>
        <v>28340834.646116395</v>
      </c>
      <c r="M881" s="137">
        <v>24272029.2271544</v>
      </c>
      <c r="N881" s="138">
        <f t="shared" si="267"/>
        <v>4068805.4189619943</v>
      </c>
      <c r="O881" s="139">
        <f t="shared" si="269"/>
        <v>1627522</v>
      </c>
      <c r="P881" s="140" t="s">
        <v>1511</v>
      </c>
      <c r="Q881" s="134">
        <v>11312</v>
      </c>
      <c r="R881" s="42">
        <f t="shared" si="270"/>
        <v>2441283.4189619943</v>
      </c>
      <c r="S881" s="134">
        <v>11313</v>
      </c>
      <c r="T881" s="134">
        <v>2506</v>
      </c>
      <c r="U881" s="134">
        <v>3937</v>
      </c>
      <c r="V881" s="125" t="s">
        <v>261</v>
      </c>
      <c r="W881" s="141">
        <v>45587</v>
      </c>
      <c r="X881" s="140" t="s">
        <v>425</v>
      </c>
    </row>
    <row r="882" spans="1:24" s="123" customFormat="1" ht="17.45" customHeight="1" x14ac:dyDescent="0.25">
      <c r="A882" s="123" t="str">
        <f t="shared" si="239"/>
        <v>291090640145588570070347,012363</v>
      </c>
      <c r="B882" s="185">
        <f t="shared" si="237"/>
        <v>45957</v>
      </c>
      <c r="C882" s="3">
        <f t="shared" si="238"/>
        <v>678878080.30633903</v>
      </c>
      <c r="D882" s="134">
        <v>2024</v>
      </c>
      <c r="E882" s="126">
        <v>2910906401</v>
      </c>
      <c r="F882" s="127" t="s">
        <v>607</v>
      </c>
      <c r="G882" s="128">
        <v>6175068453</v>
      </c>
      <c r="H882" s="128">
        <v>741008215</v>
      </c>
      <c r="I882" s="135"/>
      <c r="J882" s="135">
        <f t="shared" si="258"/>
        <v>0.13636363649747232</v>
      </c>
      <c r="K882" s="136">
        <f>1693278073+1486026390+1571281758</f>
        <v>4750586221</v>
      </c>
      <c r="L882" s="136">
        <f>+K882/(1+J882)*J882</f>
        <v>570070347.01236296</v>
      </c>
      <c r="M882" s="137">
        <v>381516535.56</v>
      </c>
      <c r="N882" s="138">
        <f t="shared" si="267"/>
        <v>188553811.45236295</v>
      </c>
      <c r="O882" s="139">
        <f>ROUND((N882*40%),0)</f>
        <v>75421525</v>
      </c>
      <c r="P882" s="140" t="s">
        <v>1511</v>
      </c>
      <c r="Q882" s="134">
        <v>11316</v>
      </c>
      <c r="R882" s="42">
        <f>+N882-O882</f>
        <v>113132286.45236295</v>
      </c>
      <c r="S882" s="134">
        <v>11317</v>
      </c>
      <c r="T882" s="134">
        <v>2516</v>
      </c>
      <c r="U882" s="134">
        <v>3946</v>
      </c>
      <c r="V882" s="125" t="s">
        <v>261</v>
      </c>
      <c r="W882" s="141">
        <v>45588</v>
      </c>
      <c r="X882" s="140" t="s">
        <v>1522</v>
      </c>
    </row>
    <row r="883" spans="1:24" s="123" customFormat="1" ht="17.45" customHeight="1" x14ac:dyDescent="0.25">
      <c r="A883" s="123" t="str">
        <f t="shared" si="239"/>
        <v>2910906778455882142857</v>
      </c>
      <c r="B883" s="185">
        <f t="shared" si="237"/>
        <v>45588</v>
      </c>
      <c r="C883" s="3">
        <f t="shared" si="238"/>
        <v>2142857</v>
      </c>
      <c r="D883" s="134">
        <v>2022</v>
      </c>
      <c r="E883" s="126">
        <v>2910906778</v>
      </c>
      <c r="F883" s="127" t="s">
        <v>245</v>
      </c>
      <c r="G883" s="128">
        <v>20000000</v>
      </c>
      <c r="H883" s="128">
        <v>2142857</v>
      </c>
      <c r="I883" s="135"/>
      <c r="J883" s="135">
        <f t="shared" si="258"/>
        <v>0.11999999104000007</v>
      </c>
      <c r="K883" s="136">
        <v>20000000</v>
      </c>
      <c r="L883" s="136">
        <f>+K883/(1+J883)*J883</f>
        <v>2142857</v>
      </c>
      <c r="M883" s="137">
        <v>1317857</v>
      </c>
      <c r="N883" s="138">
        <f t="shared" si="267"/>
        <v>825000</v>
      </c>
      <c r="O883" s="139">
        <f t="shared" ref="O883" si="271">ROUND((N883*40%),0)</f>
        <v>330000</v>
      </c>
      <c r="P883" s="140" t="s">
        <v>1511</v>
      </c>
      <c r="Q883" s="134">
        <v>11322</v>
      </c>
      <c r="R883" s="42">
        <f t="shared" ref="R883:R887" si="272">+N883-O883</f>
        <v>495000</v>
      </c>
      <c r="S883" s="134">
        <v>11323</v>
      </c>
      <c r="T883" s="134">
        <v>2517</v>
      </c>
      <c r="U883" s="134">
        <v>3948</v>
      </c>
      <c r="V883" s="125" t="s">
        <v>261</v>
      </c>
      <c r="W883" s="141">
        <v>45588</v>
      </c>
      <c r="X883" s="140" t="s">
        <v>1523</v>
      </c>
    </row>
    <row r="884" spans="1:24" s="123" customFormat="1" ht="17.45" customHeight="1" x14ac:dyDescent="0.25">
      <c r="A884" s="123" t="str">
        <f t="shared" si="239"/>
        <v>291090732645614287545496,934534</v>
      </c>
      <c r="B884" s="185">
        <f t="shared" si="237"/>
        <v>45708</v>
      </c>
      <c r="C884" s="3">
        <f t="shared" si="238"/>
        <v>450607264.45816767</v>
      </c>
      <c r="D884" s="134">
        <v>2024</v>
      </c>
      <c r="E884" s="126">
        <v>2910907326</v>
      </c>
      <c r="F884" s="127" t="s">
        <v>710</v>
      </c>
      <c r="G884" s="128">
        <v>4599634750</v>
      </c>
      <c r="H884" s="128">
        <v>492818009</v>
      </c>
      <c r="I884" s="135"/>
      <c r="J884" s="135">
        <f t="shared" ref="J884:J897" si="273">IFERROR((+H884/(G884-H884)),0)</f>
        <v>0.1200000000194798</v>
      </c>
      <c r="K884" s="136">
        <v>2683757971</v>
      </c>
      <c r="L884" s="136">
        <f>+K884/(1+J884)*J884</f>
        <v>287545496.93453372</v>
      </c>
      <c r="M884" s="137">
        <v>81849761.436999992</v>
      </c>
      <c r="N884" s="138">
        <f t="shared" si="267"/>
        <v>205695735.49753374</v>
      </c>
      <c r="O884" s="139">
        <f>ROUND((N884*40%),0)</f>
        <v>82278294</v>
      </c>
      <c r="P884" s="140" t="s">
        <v>1511</v>
      </c>
      <c r="Q884" s="134">
        <v>12644</v>
      </c>
      <c r="R884" s="42">
        <f t="shared" si="272"/>
        <v>123417441.49753374</v>
      </c>
      <c r="S884" s="134">
        <v>12645</v>
      </c>
      <c r="T884" s="134">
        <v>2773</v>
      </c>
      <c r="U884" s="134">
        <v>4361</v>
      </c>
      <c r="V884" s="125" t="s">
        <v>261</v>
      </c>
      <c r="W884" s="141">
        <v>45614</v>
      </c>
      <c r="X884" s="140" t="s">
        <v>1524</v>
      </c>
    </row>
    <row r="885" spans="1:24" s="123" customFormat="1" ht="17.45" customHeight="1" x14ac:dyDescent="0.25">
      <c r="A885" s="123" t="str">
        <f t="shared" si="239"/>
        <v>2910907304456144964532,4533</v>
      </c>
      <c r="B885" s="185">
        <f t="shared" si="237"/>
        <v>45614</v>
      </c>
      <c r="C885" s="3">
        <f t="shared" si="238"/>
        <v>4964532.4533000002</v>
      </c>
      <c r="D885" s="134">
        <v>2024</v>
      </c>
      <c r="E885" s="126">
        <v>2910907304</v>
      </c>
      <c r="F885" s="127" t="s">
        <v>679</v>
      </c>
      <c r="G885" s="128">
        <v>66930000</v>
      </c>
      <c r="H885" s="128">
        <v>7171071</v>
      </c>
      <c r="I885" s="135"/>
      <c r="J885" s="135">
        <f t="shared" si="273"/>
        <v>0.11999999196772754</v>
      </c>
      <c r="K885" s="136">
        <v>46335639</v>
      </c>
      <c r="L885" s="136">
        <f t="shared" ref="L885:L887" si="274">+K885/(1+J885)*J885</f>
        <v>4964532.4533000002</v>
      </c>
      <c r="M885" s="137">
        <v>2127656.7657000003</v>
      </c>
      <c r="N885" s="138">
        <f t="shared" si="267"/>
        <v>2836875.6875999998</v>
      </c>
      <c r="O885" s="139">
        <f t="shared" ref="O885:O888" si="275">ROUND((N885*40%),0)</f>
        <v>1134750</v>
      </c>
      <c r="P885" s="140" t="s">
        <v>1511</v>
      </c>
      <c r="Q885" s="134">
        <v>12638</v>
      </c>
      <c r="R885" s="42">
        <f t="shared" si="272"/>
        <v>1702125.6875999998</v>
      </c>
      <c r="S885" s="134">
        <v>12639</v>
      </c>
      <c r="T885" s="134">
        <v>2769</v>
      </c>
      <c r="U885" s="134">
        <v>4357</v>
      </c>
      <c r="V885" s="125" t="s">
        <v>261</v>
      </c>
      <c r="W885" s="141">
        <v>45614</v>
      </c>
      <c r="X885" s="140" t="s">
        <v>1525</v>
      </c>
    </row>
    <row r="886" spans="1:24" s="123" customFormat="1" ht="17.45" customHeight="1" x14ac:dyDescent="0.25">
      <c r="A886" s="123" t="str">
        <f t="shared" si="239"/>
        <v>29109073174561413124999,86</v>
      </c>
      <c r="B886" s="185">
        <f t="shared" si="237"/>
        <v>45674</v>
      </c>
      <c r="C886" s="3">
        <f t="shared" si="238"/>
        <v>26785714</v>
      </c>
      <c r="D886" s="134">
        <v>2024</v>
      </c>
      <c r="E886" s="126">
        <v>2910907317</v>
      </c>
      <c r="F886" s="127" t="s">
        <v>1482</v>
      </c>
      <c r="G886" s="128">
        <v>250000000</v>
      </c>
      <c r="H886" s="128">
        <v>26785714</v>
      </c>
      <c r="I886" s="135"/>
      <c r="J886" s="135">
        <f t="shared" si="273"/>
        <v>0.11999999856640001</v>
      </c>
      <c r="K886" s="136">
        <v>122500000</v>
      </c>
      <c r="L886" s="136">
        <f t="shared" si="274"/>
        <v>13124999.860000001</v>
      </c>
      <c r="M886" s="137">
        <v>0</v>
      </c>
      <c r="N886" s="138">
        <f t="shared" si="267"/>
        <v>13124999.860000001</v>
      </c>
      <c r="O886" s="139">
        <f t="shared" si="275"/>
        <v>5250000</v>
      </c>
      <c r="P886" s="140" t="s">
        <v>1511</v>
      </c>
      <c r="Q886" s="134">
        <v>12642</v>
      </c>
      <c r="R886" s="42">
        <f t="shared" si="272"/>
        <v>7874999.8600000013</v>
      </c>
      <c r="S886" s="134">
        <v>12643</v>
      </c>
      <c r="T886" s="134">
        <v>2771</v>
      </c>
      <c r="U886" s="134">
        <v>4359</v>
      </c>
      <c r="V886" s="125" t="s">
        <v>261</v>
      </c>
      <c r="W886" s="141">
        <v>45614</v>
      </c>
      <c r="X886" s="140" t="s">
        <v>1526</v>
      </c>
    </row>
    <row r="887" spans="1:24" s="123" customFormat="1" ht="17.45" customHeight="1" x14ac:dyDescent="0.25">
      <c r="A887" s="123" t="str">
        <f t="shared" si="239"/>
        <v>29109073194561415000000</v>
      </c>
      <c r="B887" s="185">
        <f t="shared" si="237"/>
        <v>45708</v>
      </c>
      <c r="C887" s="3">
        <f t="shared" si="238"/>
        <v>75000000</v>
      </c>
      <c r="D887" s="134">
        <v>2024</v>
      </c>
      <c r="E887" s="126">
        <v>2910907319</v>
      </c>
      <c r="F887" s="127" t="s">
        <v>1483</v>
      </c>
      <c r="G887" s="128">
        <v>700000000</v>
      </c>
      <c r="H887" s="128">
        <v>75000000</v>
      </c>
      <c r="I887" s="135"/>
      <c r="J887" s="135">
        <f t="shared" si="273"/>
        <v>0.12</v>
      </c>
      <c r="K887" s="136">
        <v>140000000</v>
      </c>
      <c r="L887" s="136">
        <f t="shared" si="274"/>
        <v>14999999.999999998</v>
      </c>
      <c r="M887" s="137">
        <v>0</v>
      </c>
      <c r="N887" s="138">
        <f t="shared" si="267"/>
        <v>14999999.999999998</v>
      </c>
      <c r="O887" s="139">
        <f t="shared" si="275"/>
        <v>6000000</v>
      </c>
      <c r="P887" s="140" t="s">
        <v>1511</v>
      </c>
      <c r="Q887" s="134">
        <v>12648</v>
      </c>
      <c r="R887" s="42">
        <f t="shared" si="272"/>
        <v>8999999.9999999981</v>
      </c>
      <c r="S887" s="134">
        <v>12649</v>
      </c>
      <c r="T887" s="134">
        <v>2772</v>
      </c>
      <c r="U887" s="134">
        <v>4360</v>
      </c>
      <c r="V887" s="125" t="s">
        <v>261</v>
      </c>
      <c r="W887" s="141">
        <v>45614</v>
      </c>
      <c r="X887" s="140" t="s">
        <v>1527</v>
      </c>
    </row>
    <row r="888" spans="1:24" s="123" customFormat="1" ht="17.45" customHeight="1" x14ac:dyDescent="0.25">
      <c r="A888" s="123" t="str">
        <f t="shared" si="239"/>
        <v>29109073164561418754794</v>
      </c>
      <c r="B888" s="185">
        <f t="shared" si="237"/>
        <v>45674</v>
      </c>
      <c r="C888" s="3">
        <f t="shared" si="238"/>
        <v>31257989.999999996</v>
      </c>
      <c r="D888" s="134">
        <v>2024</v>
      </c>
      <c r="E888" s="126">
        <v>2910907316</v>
      </c>
      <c r="F888" s="127" t="s">
        <v>674</v>
      </c>
      <c r="G888" s="128">
        <v>291741240</v>
      </c>
      <c r="H888" s="128">
        <v>31257990</v>
      </c>
      <c r="I888" s="135"/>
      <c r="J888" s="135">
        <f t="shared" si="273"/>
        <v>0.12</v>
      </c>
      <c r="K888" s="136">
        <v>175044744</v>
      </c>
      <c r="L888" s="136">
        <f>+K888/(1+J888)*J888</f>
        <v>18754794</v>
      </c>
      <c r="M888" s="137">
        <v>9377397</v>
      </c>
      <c r="N888" s="138">
        <f t="shared" si="267"/>
        <v>9377397</v>
      </c>
      <c r="O888" s="139">
        <f t="shared" si="275"/>
        <v>3750959</v>
      </c>
      <c r="P888" s="140" t="s">
        <v>1511</v>
      </c>
      <c r="Q888" s="134">
        <v>12640</v>
      </c>
      <c r="R888" s="42">
        <f>+N888-O888</f>
        <v>5626438</v>
      </c>
      <c r="S888" s="134">
        <v>12461</v>
      </c>
      <c r="T888" s="134">
        <v>2770</v>
      </c>
      <c r="U888" s="134">
        <v>4358</v>
      </c>
      <c r="V888" s="125" t="s">
        <v>261</v>
      </c>
      <c r="W888" s="141">
        <v>45614</v>
      </c>
      <c r="X888" s="140" t="s">
        <v>1528</v>
      </c>
    </row>
    <row r="889" spans="1:24" s="123" customFormat="1" ht="17.45" customHeight="1" x14ac:dyDescent="0.25">
      <c r="A889" s="123" t="str">
        <f t="shared" si="239"/>
        <v>29109062304561426250000</v>
      </c>
      <c r="B889" s="185">
        <f t="shared" si="237"/>
        <v>45614</v>
      </c>
      <c r="C889" s="3">
        <f t="shared" si="238"/>
        <v>26249999.999999996</v>
      </c>
      <c r="D889" s="134">
        <v>2016</v>
      </c>
      <c r="E889" s="126">
        <v>2910906230</v>
      </c>
      <c r="F889" s="127" t="s">
        <v>1484</v>
      </c>
      <c r="G889" s="128">
        <v>245000000</v>
      </c>
      <c r="H889" s="128">
        <v>26250000</v>
      </c>
      <c r="I889" s="135"/>
      <c r="J889" s="135">
        <f t="shared" si="273"/>
        <v>0.12</v>
      </c>
      <c r="K889" s="136">
        <v>245000000</v>
      </c>
      <c r="L889" s="136">
        <f>+K889/(1+J889)*J889</f>
        <v>26249999.999999996</v>
      </c>
      <c r="M889" s="137">
        <v>18000000</v>
      </c>
      <c r="N889" s="138">
        <v>7465000</v>
      </c>
      <c r="O889" s="139">
        <f>ROUND((N889*40%),0)</f>
        <v>2986000</v>
      </c>
      <c r="P889" s="140" t="s">
        <v>1511</v>
      </c>
      <c r="Q889" s="134">
        <v>12634</v>
      </c>
      <c r="R889" s="42">
        <f>+N889-O889</f>
        <v>4479000</v>
      </c>
      <c r="S889" s="134">
        <v>12635</v>
      </c>
      <c r="T889" s="134">
        <v>2767</v>
      </c>
      <c r="U889" s="134">
        <v>4355</v>
      </c>
      <c r="V889" s="125" t="s">
        <v>261</v>
      </c>
      <c r="W889" s="141">
        <v>45614</v>
      </c>
      <c r="X889" s="140" t="s">
        <v>1529</v>
      </c>
    </row>
    <row r="890" spans="1:24" s="123" customFormat="1" ht="17.45" customHeight="1" x14ac:dyDescent="0.25">
      <c r="A890" s="123" t="str">
        <f t="shared" si="239"/>
        <v>29109067694561451641589,0364957</v>
      </c>
      <c r="B890" s="185">
        <f t="shared" si="237"/>
        <v>45614</v>
      </c>
      <c r="C890" s="3">
        <f t="shared" si="238"/>
        <v>51641589.036495693</v>
      </c>
      <c r="D890" s="134">
        <v>2021</v>
      </c>
      <c r="E890" s="126">
        <v>2910906769</v>
      </c>
      <c r="F890" s="127" t="s">
        <v>222</v>
      </c>
      <c r="G890" s="128">
        <v>483310000</v>
      </c>
      <c r="H890" s="128">
        <v>51783214</v>
      </c>
      <c r="I890" s="135"/>
      <c r="J890" s="135">
        <f t="shared" si="273"/>
        <v>0.11999999925844695</v>
      </c>
      <c r="K890" s="136">
        <v>481988167</v>
      </c>
      <c r="L890" s="136">
        <f>+K890/(1+J890)*J890</f>
        <v>51641589.036495693</v>
      </c>
      <c r="M890" s="137">
        <v>45787887</v>
      </c>
      <c r="N890" s="138">
        <v>5845573</v>
      </c>
      <c r="O890" s="139">
        <f t="shared" ref="O890:O895" si="276">ROUND((N890*40%),0)</f>
        <v>2338229</v>
      </c>
      <c r="P890" s="140" t="s">
        <v>1511</v>
      </c>
      <c r="Q890" s="134">
        <v>12636</v>
      </c>
      <c r="R890" s="42">
        <f t="shared" ref="R890:R898" si="277">+N890-O890</f>
        <v>3507344</v>
      </c>
      <c r="S890" s="134">
        <v>12637</v>
      </c>
      <c r="T890" s="134">
        <v>2768</v>
      </c>
      <c r="U890" s="134">
        <v>4356</v>
      </c>
      <c r="V890" s="125" t="s">
        <v>261</v>
      </c>
      <c r="W890" s="141">
        <v>45614</v>
      </c>
      <c r="X890" s="140" t="s">
        <v>1530</v>
      </c>
    </row>
    <row r="891" spans="1:24" s="123" customFormat="1" ht="17.45" customHeight="1" x14ac:dyDescent="0.25">
      <c r="A891" s="123" t="str">
        <f t="shared" si="239"/>
        <v>291090674245621730044178,95283</v>
      </c>
      <c r="B891" s="185">
        <f t="shared" si="237"/>
        <v>45621</v>
      </c>
      <c r="C891" s="3">
        <f t="shared" si="238"/>
        <v>730044178.95283043</v>
      </c>
      <c r="D891" s="134">
        <v>2021</v>
      </c>
      <c r="E891" s="126">
        <v>2910906742</v>
      </c>
      <c r="F891" s="127" t="s">
        <v>166</v>
      </c>
      <c r="G891" s="128">
        <v>9259682085</v>
      </c>
      <c r="H891" s="128">
        <v>992108795</v>
      </c>
      <c r="I891" s="135"/>
      <c r="J891" s="135">
        <f t="shared" si="273"/>
        <v>0.12000000002419089</v>
      </c>
      <c r="K891" s="136">
        <v>6813745669</v>
      </c>
      <c r="L891" s="136">
        <f>+K891/(1+J891)*J891</f>
        <v>730044178.95283043</v>
      </c>
      <c r="M891" s="137">
        <v>531622420</v>
      </c>
      <c r="N891" s="138">
        <f>+L891-M891</f>
        <v>198421758.95283043</v>
      </c>
      <c r="O891" s="139">
        <f t="shared" si="276"/>
        <v>79368704</v>
      </c>
      <c r="P891" s="140" t="s">
        <v>1511</v>
      </c>
      <c r="Q891" s="134">
        <v>13123</v>
      </c>
      <c r="R891" s="42">
        <f t="shared" si="277"/>
        <v>119053054.95283043</v>
      </c>
      <c r="S891" s="134">
        <v>13124</v>
      </c>
      <c r="T891" s="134">
        <v>2854</v>
      </c>
      <c r="U891" s="134">
        <v>4464</v>
      </c>
      <c r="V891" s="125" t="s">
        <v>261</v>
      </c>
      <c r="W891" s="141">
        <v>45621</v>
      </c>
      <c r="X891" s="140" t="s">
        <v>1531</v>
      </c>
    </row>
    <row r="892" spans="1:24" s="123" customFormat="1" ht="17.45" customHeight="1" x14ac:dyDescent="0.25">
      <c r="A892" s="123" t="str">
        <f t="shared" si="239"/>
        <v>245301834745621199356650,493986</v>
      </c>
      <c r="B892" s="185">
        <f t="shared" si="237"/>
        <v>45730</v>
      </c>
      <c r="C892" s="3">
        <f t="shared" si="238"/>
        <v>227416985.11999634</v>
      </c>
      <c r="D892" s="134">
        <v>2023</v>
      </c>
      <c r="E892" s="126">
        <v>2453018347</v>
      </c>
      <c r="F892" s="127" t="s">
        <v>391</v>
      </c>
      <c r="G892" s="128">
        <v>2033323757</v>
      </c>
      <c r="H892" s="128">
        <v>243997849</v>
      </c>
      <c r="I892" s="135"/>
      <c r="J892" s="135">
        <f t="shared" si="273"/>
        <v>0.13636300011590732</v>
      </c>
      <c r="K892" s="136">
        <v>1661312242</v>
      </c>
      <c r="L892" s="136">
        <f t="shared" ref="L892:L893" si="278">+K892/(1+J892)*J892</f>
        <v>199356650.49398595</v>
      </c>
      <c r="M892" s="137">
        <v>191381148.56090108</v>
      </c>
      <c r="N892" s="138">
        <f>+L892-M892</f>
        <v>7975501.9330848753</v>
      </c>
      <c r="O892" s="139">
        <f t="shared" si="276"/>
        <v>3190201</v>
      </c>
      <c r="P892" s="140" t="s">
        <v>1511</v>
      </c>
      <c r="Q892" s="134">
        <v>13115</v>
      </c>
      <c r="R892" s="42">
        <f t="shared" si="277"/>
        <v>4785300.9330848753</v>
      </c>
      <c r="S892" s="134">
        <v>13116</v>
      </c>
      <c r="T892" s="134">
        <v>2856</v>
      </c>
      <c r="U892" s="134">
        <v>4466</v>
      </c>
      <c r="V892" s="125" t="s">
        <v>261</v>
      </c>
      <c r="W892" s="141">
        <v>45621</v>
      </c>
      <c r="X892" s="140" t="s">
        <v>471</v>
      </c>
    </row>
    <row r="893" spans="1:24" s="123" customFormat="1" ht="17.45" customHeight="1" x14ac:dyDescent="0.25">
      <c r="A893" s="123" t="str">
        <f t="shared" si="239"/>
        <v>24530183424562155256697,4285714</v>
      </c>
      <c r="B893" s="185">
        <f t="shared" si="237"/>
        <v>45621</v>
      </c>
      <c r="C893" s="3">
        <f t="shared" si="238"/>
        <v>55256697.428571425</v>
      </c>
      <c r="D893" s="134">
        <v>2023</v>
      </c>
      <c r="E893" s="126">
        <v>2453018342</v>
      </c>
      <c r="F893" s="127" t="s">
        <v>378</v>
      </c>
      <c r="G893" s="128">
        <v>678090000</v>
      </c>
      <c r="H893" s="128">
        <v>72652500</v>
      </c>
      <c r="I893" s="135"/>
      <c r="J893" s="135">
        <f t="shared" si="273"/>
        <v>0.12</v>
      </c>
      <c r="K893" s="136">
        <v>515729176</v>
      </c>
      <c r="L893" s="136">
        <f t="shared" si="278"/>
        <v>55256697.428571425</v>
      </c>
      <c r="M893" s="137">
        <v>51137315.464285709</v>
      </c>
      <c r="N893" s="138">
        <f t="shared" ref="N893" si="279">+L893-M893</f>
        <v>4119381.9642857164</v>
      </c>
      <c r="O893" s="139">
        <f t="shared" si="276"/>
        <v>1647753</v>
      </c>
      <c r="P893" s="140" t="s">
        <v>1511</v>
      </c>
      <c r="Q893" s="134">
        <v>13113</v>
      </c>
      <c r="R893" s="42">
        <f t="shared" si="277"/>
        <v>2471628.9642857164</v>
      </c>
      <c r="S893" s="134">
        <v>13114</v>
      </c>
      <c r="T893" s="134">
        <v>2855</v>
      </c>
      <c r="U893" s="134">
        <v>4465</v>
      </c>
      <c r="V893" s="125" t="s">
        <v>261</v>
      </c>
      <c r="W893" s="141">
        <v>45621</v>
      </c>
      <c r="X893" s="140" t="s">
        <v>425</v>
      </c>
    </row>
    <row r="894" spans="1:24" s="123" customFormat="1" ht="17.45" customHeight="1" x14ac:dyDescent="0.25">
      <c r="A894" s="123" t="str">
        <f t="shared" si="239"/>
        <v>24530183664562112587142,9130946</v>
      </c>
      <c r="B894" s="185">
        <f t="shared" si="237"/>
        <v>45730</v>
      </c>
      <c r="C894" s="3">
        <f t="shared" si="238"/>
        <v>58507146.152930081</v>
      </c>
      <c r="D894" s="134">
        <v>2024</v>
      </c>
      <c r="E894" s="126">
        <v>2453018366</v>
      </c>
      <c r="F894" s="127" t="s">
        <v>1485</v>
      </c>
      <c r="G894" s="128">
        <v>599905000</v>
      </c>
      <c r="H894" s="128">
        <v>64275536</v>
      </c>
      <c r="I894" s="135"/>
      <c r="J894" s="135">
        <f t="shared" si="273"/>
        <v>0.12000000059742792</v>
      </c>
      <c r="K894" s="136">
        <v>117480000</v>
      </c>
      <c r="L894" s="136">
        <f>+K894/(1+J894)*J894</f>
        <v>12587142.913094573</v>
      </c>
      <c r="M894" s="137">
        <v>0</v>
      </c>
      <c r="N894" s="138">
        <f>+L894-M894</f>
        <v>12587142.913094573</v>
      </c>
      <c r="O894" s="139">
        <f t="shared" si="276"/>
        <v>5034857</v>
      </c>
      <c r="P894" s="140" t="s">
        <v>1511</v>
      </c>
      <c r="Q894" s="134">
        <v>13121</v>
      </c>
      <c r="R894" s="42">
        <f t="shared" si="277"/>
        <v>7552285.9130945727</v>
      </c>
      <c r="S894" s="134">
        <v>13122</v>
      </c>
      <c r="T894" s="134">
        <v>2859</v>
      </c>
      <c r="U894" s="134">
        <v>4469</v>
      </c>
      <c r="V894" s="125" t="s">
        <v>261</v>
      </c>
      <c r="W894" s="141">
        <v>45621</v>
      </c>
      <c r="X894" s="140" t="s">
        <v>425</v>
      </c>
    </row>
    <row r="895" spans="1:24" s="123" customFormat="1" ht="17.45" customHeight="1" x14ac:dyDescent="0.25">
      <c r="A895" s="123" t="str">
        <f t="shared" si="239"/>
        <v>2453018350456211187683165,40367</v>
      </c>
      <c r="B895" s="185">
        <f t="shared" si="237"/>
        <v>45743</v>
      </c>
      <c r="C895" s="3">
        <f t="shared" si="238"/>
        <v>1344604499.9999998</v>
      </c>
      <c r="D895" s="134">
        <v>2023</v>
      </c>
      <c r="E895" s="126">
        <v>2453018350</v>
      </c>
      <c r="F895" s="127" t="s">
        <v>450</v>
      </c>
      <c r="G895" s="128">
        <v>16284654500</v>
      </c>
      <c r="H895" s="128">
        <v>1344604500</v>
      </c>
      <c r="I895" s="135"/>
      <c r="J895" s="135">
        <f t="shared" si="273"/>
        <v>0.09</v>
      </c>
      <c r="K895" s="136">
        <v>14384162781</v>
      </c>
      <c r="L895" s="136">
        <f t="shared" ref="L895:L906" si="280">+K895/(1+J895)*J895</f>
        <v>1187683165.4036696</v>
      </c>
      <c r="M895" s="137">
        <v>1185355449.5779815</v>
      </c>
      <c r="N895" s="138">
        <f t="shared" ref="N895:N902" si="281">+L895-M895</f>
        <v>2327715.8256881237</v>
      </c>
      <c r="O895" s="139">
        <f t="shared" si="276"/>
        <v>931086</v>
      </c>
      <c r="P895" s="140" t="s">
        <v>1511</v>
      </c>
      <c r="Q895" s="134">
        <v>13117</v>
      </c>
      <c r="R895" s="42">
        <f t="shared" si="277"/>
        <v>1396629.8256881237</v>
      </c>
      <c r="S895" s="134">
        <v>13118</v>
      </c>
      <c r="T895" s="134">
        <v>2857</v>
      </c>
      <c r="U895" s="134">
        <v>4467</v>
      </c>
      <c r="V895" s="125" t="s">
        <v>261</v>
      </c>
      <c r="W895" s="141">
        <v>45621</v>
      </c>
      <c r="X895" s="140" t="s">
        <v>451</v>
      </c>
    </row>
    <row r="896" spans="1:24" s="123" customFormat="1" ht="17.45" customHeight="1" x14ac:dyDescent="0.25">
      <c r="A896" s="123" t="str">
        <f t="shared" si="239"/>
        <v>245301836345621109624726,858611</v>
      </c>
      <c r="B896" s="185">
        <f t="shared" si="237"/>
        <v>45804</v>
      </c>
      <c r="C896" s="3">
        <f t="shared" si="238"/>
        <v>195445963.8411898</v>
      </c>
      <c r="D896" s="134">
        <v>2024</v>
      </c>
      <c r="E896" s="126">
        <v>2453018363</v>
      </c>
      <c r="F896" s="127" t="s">
        <v>672</v>
      </c>
      <c r="G896" s="128">
        <v>1889071553</v>
      </c>
      <c r="H896" s="128">
        <v>202400524</v>
      </c>
      <c r="I896" s="135"/>
      <c r="J896" s="135">
        <f t="shared" si="273"/>
        <v>0.1200000003082996</v>
      </c>
      <c r="K896" s="136">
        <v>1023164115</v>
      </c>
      <c r="L896" s="136">
        <f t="shared" si="280"/>
        <v>109624726.85861056</v>
      </c>
      <c r="M896" s="137">
        <v>76857269.773547709</v>
      </c>
      <c r="N896" s="138">
        <f t="shared" si="281"/>
        <v>32767457.085062847</v>
      </c>
      <c r="O896" s="139">
        <f>ROUND((N896*40%),0)</f>
        <v>13106983</v>
      </c>
      <c r="P896" s="140" t="s">
        <v>1511</v>
      </c>
      <c r="Q896" s="134">
        <v>13119</v>
      </c>
      <c r="R896" s="42">
        <f t="shared" si="277"/>
        <v>19660474.085062847</v>
      </c>
      <c r="S896" s="134">
        <v>13120</v>
      </c>
      <c r="T896" s="134">
        <v>2858</v>
      </c>
      <c r="U896" s="134">
        <v>4468</v>
      </c>
      <c r="V896" s="125" t="s">
        <v>261</v>
      </c>
      <c r="W896" s="141">
        <v>45621</v>
      </c>
      <c r="X896" s="140" t="s">
        <v>425</v>
      </c>
    </row>
    <row r="897" spans="1:24" s="123" customFormat="1" ht="17.45" customHeight="1" x14ac:dyDescent="0.25">
      <c r="A897" s="123" t="str">
        <f t="shared" si="239"/>
        <v>2453018350456381284206887,40367</v>
      </c>
      <c r="B897" s="185">
        <f t="shared" si="237"/>
        <v>45743</v>
      </c>
      <c r="C897" s="3">
        <f t="shared" si="238"/>
        <v>1344604499.9999998</v>
      </c>
      <c r="D897" s="134">
        <v>2023</v>
      </c>
      <c r="E897" s="126">
        <v>2453018350</v>
      </c>
      <c r="F897" s="127" t="s">
        <v>450</v>
      </c>
      <c r="G897" s="128">
        <v>16284654500</v>
      </c>
      <c r="H897" s="128">
        <v>1344604500</v>
      </c>
      <c r="I897" s="135"/>
      <c r="J897" s="135">
        <f t="shared" si="273"/>
        <v>0.09</v>
      </c>
      <c r="K897" s="136">
        <v>15553172303</v>
      </c>
      <c r="L897" s="136">
        <f t="shared" si="280"/>
        <v>1284206887.4036696</v>
      </c>
      <c r="M897" s="137">
        <v>1187683165.4036696</v>
      </c>
      <c r="N897" s="138">
        <f t="shared" si="281"/>
        <v>96523722</v>
      </c>
      <c r="O897" s="139">
        <f t="shared" ref="O897" si="282">ROUND((N897*40%),0)</f>
        <v>38609489</v>
      </c>
      <c r="P897" s="140" t="s">
        <v>1511</v>
      </c>
      <c r="Q897" s="134">
        <v>13953</v>
      </c>
      <c r="R897" s="42">
        <f t="shared" si="277"/>
        <v>57914233</v>
      </c>
      <c r="S897" s="134">
        <v>13954</v>
      </c>
      <c r="T897" s="134">
        <v>2983</v>
      </c>
      <c r="U897" s="134">
        <v>4710</v>
      </c>
      <c r="V897" s="125" t="s">
        <v>261</v>
      </c>
      <c r="W897" s="141">
        <v>45638</v>
      </c>
      <c r="X897" s="140" t="s">
        <v>451</v>
      </c>
    </row>
    <row r="898" spans="1:24" s="123" customFormat="1" ht="17.45" customHeight="1" x14ac:dyDescent="0.25">
      <c r="A898" s="123" t="str">
        <f t="shared" si="239"/>
        <v>291090731145638523915196,658492</v>
      </c>
      <c r="B898" s="185">
        <f t="shared" ref="B898:B962" si="283">_xlfn.MAXIFS(W:W,E:E,E898)</f>
        <v>45642</v>
      </c>
      <c r="C898" s="3">
        <f t="shared" ref="C898:C962" si="284">_xlfn.MAXIFS(L:L,E:E,E898)</f>
        <v>836938198.10336614</v>
      </c>
      <c r="D898" s="134">
        <v>2024</v>
      </c>
      <c r="E898" s="126">
        <v>2910907311</v>
      </c>
      <c r="F898" s="127" t="s">
        <v>1532</v>
      </c>
      <c r="G898" s="128">
        <v>8023546728</v>
      </c>
      <c r="H898" s="128">
        <v>859665721</v>
      </c>
      <c r="I898" s="135"/>
      <c r="J898" s="135">
        <f>IFERROR((+H898/(G898-H898)),0)</f>
        <v>0.12000000002233427</v>
      </c>
      <c r="K898" s="136">
        <v>4889875168</v>
      </c>
      <c r="L898" s="136">
        <f t="shared" si="280"/>
        <v>523915196.65849161</v>
      </c>
      <c r="M898" s="137">
        <v>0</v>
      </c>
      <c r="N898" s="138">
        <f t="shared" si="281"/>
        <v>523915196.65849161</v>
      </c>
      <c r="O898" s="139">
        <f>ROUND((N898*40%),0)</f>
        <v>209566079</v>
      </c>
      <c r="P898" s="140" t="s">
        <v>1511</v>
      </c>
      <c r="Q898" s="134">
        <v>14253</v>
      </c>
      <c r="R898" s="42">
        <f t="shared" si="277"/>
        <v>314349117.65849161</v>
      </c>
      <c r="S898" s="134">
        <v>14254</v>
      </c>
      <c r="T898" s="134">
        <v>2989</v>
      </c>
      <c r="U898" s="134">
        <v>4746</v>
      </c>
      <c r="V898" s="125" t="s">
        <v>261</v>
      </c>
      <c r="W898" s="141">
        <v>45638</v>
      </c>
      <c r="X898" s="140" t="s">
        <v>1533</v>
      </c>
    </row>
    <row r="899" spans="1:24" s="123" customFormat="1" ht="17.45" customHeight="1" x14ac:dyDescent="0.25">
      <c r="A899" s="123" t="str">
        <f t="shared" ref="A899:A912" si="285">_xlfn.CONCAT(E899,W899,L899)</f>
        <v>2910907238456381694347971,23108</v>
      </c>
      <c r="B899" s="185">
        <f t="shared" si="283"/>
        <v>45642</v>
      </c>
      <c r="C899" s="3">
        <f t="shared" si="284"/>
        <v>1951263569.1784461</v>
      </c>
      <c r="D899" s="134">
        <v>2023</v>
      </c>
      <c r="E899" s="126">
        <v>2910907238</v>
      </c>
      <c r="F899" s="127" t="s">
        <v>520</v>
      </c>
      <c r="G899" s="128">
        <v>18227793312</v>
      </c>
      <c r="H899" s="128">
        <v>1952977855</v>
      </c>
      <c r="I899" s="135"/>
      <c r="J899" s="135">
        <f>IFERROR((+H899/(G899-H899)),0)</f>
        <v>0.12000000000983115</v>
      </c>
      <c r="K899" s="136">
        <f>10915820078+4898094319</f>
        <v>15813914397</v>
      </c>
      <c r="L899" s="136">
        <f t="shared" si="280"/>
        <v>1694347971.2310817</v>
      </c>
      <c r="M899" s="137">
        <v>1169552151.2998366</v>
      </c>
      <c r="N899" s="138">
        <f t="shared" si="281"/>
        <v>524795819.93124509</v>
      </c>
      <c r="O899" s="139">
        <f t="shared" ref="O899:O901" si="286">ROUND((N899*40%),0)</f>
        <v>209918328</v>
      </c>
      <c r="P899" s="140" t="s">
        <v>1511</v>
      </c>
      <c r="Q899" s="134">
        <v>14251</v>
      </c>
      <c r="R899" s="42">
        <f>+N899-O899</f>
        <v>314877491.93124509</v>
      </c>
      <c r="S899" s="134">
        <v>14252</v>
      </c>
      <c r="T899" s="134">
        <v>2988</v>
      </c>
      <c r="U899" s="134">
        <v>4745</v>
      </c>
      <c r="V899" s="125" t="s">
        <v>261</v>
      </c>
      <c r="W899" s="141">
        <v>45638</v>
      </c>
      <c r="X899" s="140" t="s">
        <v>1534</v>
      </c>
    </row>
    <row r="900" spans="1:24" s="123" customFormat="1" ht="17.45" customHeight="1" x14ac:dyDescent="0.25">
      <c r="A900" s="123" t="str">
        <f t="shared" si="285"/>
        <v>29109073414563910714285,6</v>
      </c>
      <c r="B900" s="185">
        <f t="shared" si="283"/>
        <v>45742</v>
      </c>
      <c r="C900" s="3">
        <f t="shared" si="284"/>
        <v>15360621.264724802</v>
      </c>
      <c r="D900" s="134">
        <v>2024</v>
      </c>
      <c r="E900" s="126">
        <v>2910907341</v>
      </c>
      <c r="F900" s="127" t="s">
        <v>1486</v>
      </c>
      <c r="G900" s="128">
        <v>250000000</v>
      </c>
      <c r="H900" s="128">
        <v>26785714</v>
      </c>
      <c r="I900" s="135"/>
      <c r="J900" s="135">
        <f>IFERROR((+H900/(G900-H900)),0)</f>
        <v>0.11999999856640001</v>
      </c>
      <c r="K900" s="136">
        <v>100000000</v>
      </c>
      <c r="L900" s="136">
        <f t="shared" si="280"/>
        <v>10714285.600000001</v>
      </c>
      <c r="M900" s="137">
        <v>0</v>
      </c>
      <c r="N900" s="138">
        <f t="shared" si="281"/>
        <v>10714285.600000001</v>
      </c>
      <c r="O900" s="139">
        <f t="shared" si="286"/>
        <v>4285714</v>
      </c>
      <c r="P900" s="140" t="s">
        <v>1511</v>
      </c>
      <c r="Q900" s="134"/>
      <c r="R900" s="42">
        <f>+N900-O900</f>
        <v>6428571.6000000015</v>
      </c>
      <c r="S900" s="134"/>
      <c r="T900" s="134"/>
      <c r="U900" s="134"/>
      <c r="V900" s="125" t="s">
        <v>261</v>
      </c>
      <c r="W900" s="141">
        <v>45639</v>
      </c>
      <c r="X900" s="140" t="s">
        <v>1535</v>
      </c>
    </row>
    <row r="901" spans="1:24" s="123" customFormat="1" ht="17.45" customHeight="1" x14ac:dyDescent="0.25">
      <c r="A901" s="123" t="str">
        <f t="shared" si="285"/>
        <v>29109073424563910735714,3333333</v>
      </c>
      <c r="B901" s="185">
        <f t="shared" si="283"/>
        <v>45924</v>
      </c>
      <c r="C901" s="3">
        <f t="shared" si="284"/>
        <v>32207143</v>
      </c>
      <c r="D901" s="134">
        <v>2024</v>
      </c>
      <c r="E901" s="126">
        <v>2910907342</v>
      </c>
      <c r="F901" s="127" t="s">
        <v>1487</v>
      </c>
      <c r="G901" s="128">
        <v>300600000</v>
      </c>
      <c r="H901" s="128">
        <v>32207143</v>
      </c>
      <c r="I901" s="135"/>
      <c r="J901" s="135">
        <f>IFERROR((+H901/(G901-H901)),0)</f>
        <v>0.12000000059614105</v>
      </c>
      <c r="K901" s="136">
        <v>100200000</v>
      </c>
      <c r="L901" s="136">
        <f t="shared" si="280"/>
        <v>10735714.333333334</v>
      </c>
      <c r="M901" s="137">
        <v>0</v>
      </c>
      <c r="N901" s="138">
        <f t="shared" si="281"/>
        <v>10735714.333333334</v>
      </c>
      <c r="O901" s="139">
        <f t="shared" si="286"/>
        <v>4294286</v>
      </c>
      <c r="P901" s="140" t="s">
        <v>1511</v>
      </c>
      <c r="Q901" s="134"/>
      <c r="R901" s="42">
        <f>+N901-O901</f>
        <v>6441428.333333334</v>
      </c>
      <c r="S901" s="134"/>
      <c r="T901" s="134"/>
      <c r="U901" s="134"/>
      <c r="V901" s="125" t="s">
        <v>261</v>
      </c>
      <c r="W901" s="141">
        <v>45639</v>
      </c>
      <c r="X901" s="140" t="s">
        <v>1536</v>
      </c>
    </row>
    <row r="902" spans="1:24" s="123" customFormat="1" ht="17.45" customHeight="1" x14ac:dyDescent="0.25">
      <c r="A902" s="123" t="str">
        <f t="shared" si="285"/>
        <v>29109073094563915040564,3863825</v>
      </c>
      <c r="B902" s="185">
        <f t="shared" si="283"/>
        <v>45741</v>
      </c>
      <c r="C902" s="3">
        <f t="shared" si="284"/>
        <v>20199305.278053362</v>
      </c>
      <c r="D902" s="134">
        <v>2024</v>
      </c>
      <c r="E902" s="126">
        <v>2910907309</v>
      </c>
      <c r="F902" s="127" t="s">
        <v>673</v>
      </c>
      <c r="G902" s="128">
        <v>398419520</v>
      </c>
      <c r="H902" s="128">
        <v>42687806</v>
      </c>
      <c r="I902" s="135"/>
      <c r="J902" s="135">
        <f t="shared" ref="J902:J905" si="287">IFERROR((+H902/(G902-H902)),0)</f>
        <v>0.12000000089955432</v>
      </c>
      <c r="K902" s="136">
        <v>140378600</v>
      </c>
      <c r="L902" s="136">
        <f t="shared" si="280"/>
        <v>15040564.386382474</v>
      </c>
      <c r="M902" s="137">
        <v>7246316.1913575511</v>
      </c>
      <c r="N902" s="138">
        <f t="shared" si="281"/>
        <v>7794248.1950249225</v>
      </c>
      <c r="O902" s="139">
        <f>ROUND((N902*40%),0)</f>
        <v>3117699</v>
      </c>
      <c r="P902" s="140" t="s">
        <v>1511</v>
      </c>
      <c r="Q902" s="134"/>
      <c r="R902" s="42">
        <f t="shared" ref="R902:R909" si="288">+N902-O902</f>
        <v>4676549.1950249225</v>
      </c>
      <c r="S902" s="134"/>
      <c r="T902" s="134"/>
      <c r="U902" s="134"/>
      <c r="V902" s="125" t="s">
        <v>261</v>
      </c>
      <c r="W902" s="141">
        <v>45639</v>
      </c>
      <c r="X902" s="140" t="s">
        <v>425</v>
      </c>
    </row>
    <row r="903" spans="1:24" s="123" customFormat="1" ht="17.45" customHeight="1" x14ac:dyDescent="0.25">
      <c r="A903" s="123" t="str">
        <f t="shared" si="285"/>
        <v>29109073184563912214285,8</v>
      </c>
      <c r="B903" s="185">
        <f t="shared" si="283"/>
        <v>45804</v>
      </c>
      <c r="C903" s="3">
        <f t="shared" si="284"/>
        <v>20357143</v>
      </c>
      <c r="D903" s="134">
        <v>2024</v>
      </c>
      <c r="E903" s="126">
        <v>2910907318</v>
      </c>
      <c r="F903" s="127" t="s">
        <v>1488</v>
      </c>
      <c r="G903" s="128">
        <v>190000000</v>
      </c>
      <c r="H903" s="128">
        <v>20357143</v>
      </c>
      <c r="I903" s="135"/>
      <c r="J903" s="135">
        <f t="shared" si="287"/>
        <v>0.12000000094315789</v>
      </c>
      <c r="K903" s="136">
        <v>114000000</v>
      </c>
      <c r="L903" s="136">
        <f t="shared" si="280"/>
        <v>12214285.800000001</v>
      </c>
      <c r="M903" s="137">
        <v>0</v>
      </c>
      <c r="N903" s="138">
        <f>+L903-M903</f>
        <v>12214285.800000001</v>
      </c>
      <c r="O903" s="139">
        <f>ROUND((N903*40%),0)</f>
        <v>4885714</v>
      </c>
      <c r="P903" s="140" t="s">
        <v>1511</v>
      </c>
      <c r="Q903" s="134"/>
      <c r="R903" s="42">
        <f t="shared" si="288"/>
        <v>7328571.8000000007</v>
      </c>
      <c r="S903" s="134"/>
      <c r="T903" s="134"/>
      <c r="U903" s="134"/>
      <c r="V903" s="125" t="s">
        <v>261</v>
      </c>
      <c r="W903" s="141">
        <v>45639</v>
      </c>
      <c r="X903" s="140" t="s">
        <v>1537</v>
      </c>
    </row>
    <row r="904" spans="1:24" s="123" customFormat="1" ht="17.45" customHeight="1" x14ac:dyDescent="0.25">
      <c r="A904" s="123" t="str">
        <f t="shared" si="285"/>
        <v>245301836345639124513004,53562</v>
      </c>
      <c r="B904" s="185">
        <f t="shared" si="283"/>
        <v>45804</v>
      </c>
      <c r="C904" s="3">
        <f t="shared" si="284"/>
        <v>195445963.8411898</v>
      </c>
      <c r="D904" s="134">
        <v>2024</v>
      </c>
      <c r="E904" s="126">
        <v>2453018363</v>
      </c>
      <c r="F904" s="127" t="s">
        <v>672</v>
      </c>
      <c r="G904" s="128">
        <v>1889071553</v>
      </c>
      <c r="H904" s="128">
        <v>202400524</v>
      </c>
      <c r="I904" s="135"/>
      <c r="J904" s="135">
        <f t="shared" si="287"/>
        <v>0.1200000003082996</v>
      </c>
      <c r="K904" s="136">
        <v>1162121373</v>
      </c>
      <c r="L904" s="136">
        <f t="shared" si="280"/>
        <v>124513004.53561985</v>
      </c>
      <c r="M904" s="137">
        <v>109624726.85861056</v>
      </c>
      <c r="N904" s="138">
        <f t="shared" ref="N904" si="289">+L904-M904</f>
        <v>14888277.677009299</v>
      </c>
      <c r="O904" s="139">
        <f>ROUND((N904*40%),0)</f>
        <v>5955311</v>
      </c>
      <c r="P904" s="140" t="s">
        <v>1511</v>
      </c>
      <c r="Q904" s="134"/>
      <c r="R904" s="42">
        <f t="shared" si="288"/>
        <v>8932966.6770092994</v>
      </c>
      <c r="S904" s="134"/>
      <c r="T904" s="134"/>
      <c r="U904" s="134"/>
      <c r="V904" s="125" t="s">
        <v>261</v>
      </c>
      <c r="W904" s="141">
        <v>45639</v>
      </c>
      <c r="X904" s="140" t="s">
        <v>425</v>
      </c>
    </row>
    <row r="905" spans="1:24" s="123" customFormat="1" ht="17.45" customHeight="1" x14ac:dyDescent="0.25">
      <c r="A905" s="123" t="str">
        <f t="shared" si="285"/>
        <v>24530183664563927592194,0155085</v>
      </c>
      <c r="B905" s="185">
        <f t="shared" si="283"/>
        <v>45730</v>
      </c>
      <c r="C905" s="3">
        <f t="shared" si="284"/>
        <v>58507146.152930081</v>
      </c>
      <c r="D905" s="134">
        <v>2024</v>
      </c>
      <c r="E905" s="126">
        <v>2453018366</v>
      </c>
      <c r="F905" s="127" t="s">
        <v>1485</v>
      </c>
      <c r="G905" s="128">
        <v>599905000</v>
      </c>
      <c r="H905" s="128">
        <v>64275536</v>
      </c>
      <c r="I905" s="135"/>
      <c r="J905" s="135">
        <f t="shared" si="287"/>
        <v>0.12000000059742792</v>
      </c>
      <c r="K905" s="136">
        <v>257527143</v>
      </c>
      <c r="L905" s="136">
        <f t="shared" si="280"/>
        <v>27592194.015508533</v>
      </c>
      <c r="M905" s="137">
        <v>12587142.913094601</v>
      </c>
      <c r="N905" s="138">
        <f>+L905-M905</f>
        <v>15005051.102413932</v>
      </c>
      <c r="O905" s="139">
        <f t="shared" ref="O905" si="290">ROUND((N905*40%),0)</f>
        <v>6002020</v>
      </c>
      <c r="P905" s="140" t="s">
        <v>1511</v>
      </c>
      <c r="Q905" s="134"/>
      <c r="R905" s="42">
        <f t="shared" si="288"/>
        <v>9003031.1024139319</v>
      </c>
      <c r="S905" s="134"/>
      <c r="T905" s="134"/>
      <c r="U905" s="134"/>
      <c r="V905" s="125" t="s">
        <v>261</v>
      </c>
      <c r="W905" s="141">
        <v>45639</v>
      </c>
      <c r="X905" s="140" t="s">
        <v>425</v>
      </c>
    </row>
    <row r="906" spans="1:24" s="123" customFormat="1" ht="17.45" customHeight="1" x14ac:dyDescent="0.25">
      <c r="A906" s="123" t="str">
        <f t="shared" si="285"/>
        <v>2453018365456396270630,01489596</v>
      </c>
      <c r="B906" s="185">
        <f t="shared" si="283"/>
        <v>45891</v>
      </c>
      <c r="C906" s="3">
        <f t="shared" si="284"/>
        <v>10608809.852021039</v>
      </c>
      <c r="D906" s="134">
        <v>2024</v>
      </c>
      <c r="E906" s="126">
        <v>2453018365</v>
      </c>
      <c r="F906" s="127" t="s">
        <v>693</v>
      </c>
      <c r="G906" s="128">
        <v>127684466</v>
      </c>
      <c r="H906" s="128">
        <v>13680479</v>
      </c>
      <c r="I906" s="135"/>
      <c r="J906" s="135">
        <f>IFERROR((+H906/(G906-H906)),0)</f>
        <v>0.12000000491210891</v>
      </c>
      <c r="K906" s="136">
        <v>58525878</v>
      </c>
      <c r="L906" s="136">
        <f t="shared" si="280"/>
        <v>6270630.0148959551</v>
      </c>
      <c r="M906" s="137">
        <f>L840</f>
        <v>3214285.8317628084</v>
      </c>
      <c r="N906" s="138">
        <f>+L906-M906</f>
        <v>3056344.1831331467</v>
      </c>
      <c r="O906" s="139">
        <f>ROUND((N906*40%),0)</f>
        <v>1222538</v>
      </c>
      <c r="P906" s="140" t="s">
        <v>1511</v>
      </c>
      <c r="Q906" s="134"/>
      <c r="R906" s="42">
        <f t="shared" si="288"/>
        <v>1833806.1831331467</v>
      </c>
      <c r="S906" s="134"/>
      <c r="T906" s="134"/>
      <c r="U906" s="134"/>
      <c r="V906" s="125" t="s">
        <v>261</v>
      </c>
      <c r="W906" s="141">
        <v>45639</v>
      </c>
      <c r="X906" s="140" t="s">
        <v>425</v>
      </c>
    </row>
    <row r="907" spans="1:24" s="123" customFormat="1" ht="17.45" customHeight="1" x14ac:dyDescent="0.25">
      <c r="A907" s="123" t="str">
        <f t="shared" si="285"/>
        <v>291090727745639265429</v>
      </c>
      <c r="B907" s="185">
        <f t="shared" si="283"/>
        <v>45639</v>
      </c>
      <c r="C907" s="3">
        <f t="shared" si="284"/>
        <v>265429</v>
      </c>
      <c r="D907" s="134">
        <v>2023</v>
      </c>
      <c r="E907" s="126">
        <v>2910907277</v>
      </c>
      <c r="F907" s="127" t="s">
        <v>1538</v>
      </c>
      <c r="G907" s="128">
        <v>3000000</v>
      </c>
      <c r="H907" s="128">
        <v>321429</v>
      </c>
      <c r="I907" s="135"/>
      <c r="J907" s="135">
        <f>IFERROR((+H907/(G907-H907)),0)</f>
        <v>0.12000017920002867</v>
      </c>
      <c r="K907" s="136">
        <v>2692000</v>
      </c>
      <c r="L907" s="136">
        <v>265429</v>
      </c>
      <c r="M907" s="137">
        <v>0</v>
      </c>
      <c r="N907" s="138">
        <f>+L907-M907</f>
        <v>265429</v>
      </c>
      <c r="O907" s="139">
        <f>ROUND((N907*40%),0)</f>
        <v>106172</v>
      </c>
      <c r="P907" s="140" t="s">
        <v>1511</v>
      </c>
      <c r="Q907" s="134"/>
      <c r="R907" s="42">
        <f t="shared" si="288"/>
        <v>159257</v>
      </c>
      <c r="S907" s="134"/>
      <c r="T907" s="134"/>
      <c r="U907" s="134"/>
      <c r="V907" s="125" t="s">
        <v>261</v>
      </c>
      <c r="W907" s="141">
        <v>45639</v>
      </c>
      <c r="X907" s="140" t="s">
        <v>1539</v>
      </c>
    </row>
    <row r="908" spans="1:24" s="123" customFormat="1" ht="17.45" customHeight="1" x14ac:dyDescent="0.25">
      <c r="A908" s="123" t="str">
        <f t="shared" si="285"/>
        <v>291090733445642434142857</v>
      </c>
      <c r="B908" s="185">
        <f t="shared" si="283"/>
        <v>45642</v>
      </c>
      <c r="C908" s="3">
        <f t="shared" si="284"/>
        <v>434142856.99999994</v>
      </c>
      <c r="D908" s="134">
        <v>2024</v>
      </c>
      <c r="E908" s="126">
        <v>2910907334</v>
      </c>
      <c r="F908" s="127" t="s">
        <v>707</v>
      </c>
      <c r="G908" s="128">
        <v>4052000000</v>
      </c>
      <c r="H908" s="128">
        <v>434142857</v>
      </c>
      <c r="I908" s="135"/>
      <c r="J908" s="135">
        <f t="shared" ref="J908" si="291">IFERROR((+H908/(G908-H908)),0)</f>
        <v>0.11999999995577493</v>
      </c>
      <c r="K908" s="136">
        <v>4052000000</v>
      </c>
      <c r="L908" s="136">
        <f t="shared" ref="L908:L911" si="292">+K908/(1+J908)*J908</f>
        <v>434142856.99999994</v>
      </c>
      <c r="M908" s="137">
        <v>151949999.94999999</v>
      </c>
      <c r="N908" s="138">
        <f>+L908-M908</f>
        <v>282192857.04999995</v>
      </c>
      <c r="O908" s="139">
        <f t="shared" ref="O908" si="293">ROUND((N908*40%),0)</f>
        <v>112877143</v>
      </c>
      <c r="P908" s="140" t="s">
        <v>1511</v>
      </c>
      <c r="Q908" s="134"/>
      <c r="R908" s="42">
        <f t="shared" si="288"/>
        <v>169315714.04999995</v>
      </c>
      <c r="S908" s="134"/>
      <c r="T908" s="134"/>
      <c r="U908" s="134"/>
      <c r="V908" s="125" t="s">
        <v>261</v>
      </c>
      <c r="W908" s="141">
        <v>45642</v>
      </c>
      <c r="X908" s="140" t="s">
        <v>1540</v>
      </c>
    </row>
    <row r="909" spans="1:24" s="123" customFormat="1" ht="17.45" customHeight="1" x14ac:dyDescent="0.25">
      <c r="A909" s="123" t="str">
        <f t="shared" si="285"/>
        <v>291090731145642836938198,103366</v>
      </c>
      <c r="B909" s="185">
        <f t="shared" si="283"/>
        <v>45642</v>
      </c>
      <c r="C909" s="3">
        <f t="shared" si="284"/>
        <v>836938198.10336614</v>
      </c>
      <c r="D909" s="134">
        <v>2024</v>
      </c>
      <c r="E909" s="126">
        <v>2910907311</v>
      </c>
      <c r="F909" s="127" t="s">
        <v>1532</v>
      </c>
      <c r="G909" s="128">
        <v>8023546728</v>
      </c>
      <c r="H909" s="128">
        <v>859665721</v>
      </c>
      <c r="I909" s="135"/>
      <c r="J909" s="135">
        <f>IFERROR((+H909/(G909-H909)),0)</f>
        <v>0.12000000002233427</v>
      </c>
      <c r="K909" s="136">
        <v>7811423181</v>
      </c>
      <c r="L909" s="136">
        <f t="shared" si="292"/>
        <v>836938198.10336614</v>
      </c>
      <c r="M909" s="137">
        <v>523915196.65849161</v>
      </c>
      <c r="N909" s="138">
        <f t="shared" ref="N909:N911" si="294">+L909-M909</f>
        <v>313023001.44487453</v>
      </c>
      <c r="O909" s="139">
        <f>ROUND((N909*40%),0)</f>
        <v>125209201</v>
      </c>
      <c r="P909" s="140" t="s">
        <v>1511</v>
      </c>
      <c r="Q909" s="134"/>
      <c r="R909" s="42">
        <f t="shared" si="288"/>
        <v>187813800.44487453</v>
      </c>
      <c r="S909" s="134"/>
      <c r="T909" s="134"/>
      <c r="U909" s="134"/>
      <c r="V909" s="125" t="s">
        <v>261</v>
      </c>
      <c r="W909" s="141">
        <v>45642</v>
      </c>
      <c r="X909" s="140" t="s">
        <v>1541</v>
      </c>
    </row>
    <row r="910" spans="1:24" s="123" customFormat="1" ht="17.45" customHeight="1" x14ac:dyDescent="0.25">
      <c r="A910" s="123" t="str">
        <f t="shared" si="285"/>
        <v>2910907238456421951263569,17845</v>
      </c>
      <c r="B910" s="185">
        <f t="shared" si="283"/>
        <v>45642</v>
      </c>
      <c r="C910" s="3">
        <f t="shared" si="284"/>
        <v>1951263569.1784461</v>
      </c>
      <c r="D910" s="134">
        <v>2023</v>
      </c>
      <c r="E910" s="126">
        <v>2910907238</v>
      </c>
      <c r="F910" s="127" t="s">
        <v>520</v>
      </c>
      <c r="G910" s="128">
        <v>18227793312</v>
      </c>
      <c r="H910" s="128">
        <v>1952977855</v>
      </c>
      <c r="I910" s="135"/>
      <c r="J910" s="135">
        <f>IFERROR((+H910/(G910-H910)),0)</f>
        <v>0.12000000000983115</v>
      </c>
      <c r="K910" s="136">
        <v>18211793311</v>
      </c>
      <c r="L910" s="136">
        <f t="shared" si="292"/>
        <v>1951263569.1784461</v>
      </c>
      <c r="M910" s="137">
        <v>1694347971.2310817</v>
      </c>
      <c r="N910" s="138">
        <f t="shared" si="294"/>
        <v>256915597.94736433</v>
      </c>
      <c r="O910" s="139">
        <f t="shared" ref="O910:O911" si="295">ROUND((N910*40%),0)</f>
        <v>102766239</v>
      </c>
      <c r="P910" s="140" t="s">
        <v>1511</v>
      </c>
      <c r="Q910" s="134"/>
      <c r="R910" s="42">
        <f>+N910-O910</f>
        <v>154149358.94736433</v>
      </c>
      <c r="S910" s="134"/>
      <c r="T910" s="134"/>
      <c r="U910" s="134"/>
      <c r="V910" s="125" t="s">
        <v>261</v>
      </c>
      <c r="W910" s="141">
        <v>45642</v>
      </c>
      <c r="X910" s="140" t="s">
        <v>1542</v>
      </c>
    </row>
    <row r="911" spans="1:24" s="123" customFormat="1" ht="17.45" customHeight="1" x14ac:dyDescent="0.25">
      <c r="A911" s="123" t="str">
        <f t="shared" si="285"/>
        <v>2910908211456422696571</v>
      </c>
      <c r="B911" s="185">
        <f t="shared" si="283"/>
        <v>45642</v>
      </c>
      <c r="C911" s="3">
        <f t="shared" si="284"/>
        <v>2696571</v>
      </c>
      <c r="D911" s="134">
        <v>2024</v>
      </c>
      <c r="E911" s="126">
        <v>2910908211</v>
      </c>
      <c r="F911" s="127" t="s">
        <v>1489</v>
      </c>
      <c r="G911" s="128">
        <v>25168000</v>
      </c>
      <c r="H911" s="128">
        <v>2696571</v>
      </c>
      <c r="I911" s="135"/>
      <c r="J911" s="135">
        <f>IFERROR((+H911/(G911-H911)),0)</f>
        <v>0.11999997863954269</v>
      </c>
      <c r="K911" s="136">
        <v>25168000</v>
      </c>
      <c r="L911" s="136">
        <f t="shared" si="292"/>
        <v>2696571</v>
      </c>
      <c r="M911" s="137">
        <v>0</v>
      </c>
      <c r="N911" s="138">
        <f t="shared" si="294"/>
        <v>2696571</v>
      </c>
      <c r="O911" s="139">
        <f t="shared" si="295"/>
        <v>1078628</v>
      </c>
      <c r="P911" s="140" t="s">
        <v>1511</v>
      </c>
      <c r="Q911" s="134"/>
      <c r="R911" s="42">
        <f>+N911-O911</f>
        <v>1617943</v>
      </c>
      <c r="S911" s="134"/>
      <c r="T911" s="134"/>
      <c r="U911" s="134"/>
      <c r="V911" s="125" t="s">
        <v>261</v>
      </c>
      <c r="W911" s="141">
        <v>45642</v>
      </c>
      <c r="X911" s="140" t="s">
        <v>428</v>
      </c>
    </row>
    <row r="912" spans="1:24" s="123" customFormat="1" x14ac:dyDescent="0.25">
      <c r="A912" s="123" t="str">
        <f t="shared" si="285"/>
        <v>2910907305456391657912075,60854</v>
      </c>
      <c r="B912" s="185">
        <f t="shared" si="283"/>
        <v>45639</v>
      </c>
      <c r="C912" s="3">
        <f t="shared" si="284"/>
        <v>1657912075.6085422</v>
      </c>
      <c r="D912" s="134">
        <v>2024</v>
      </c>
      <c r="E912" s="125">
        <v>2910907305</v>
      </c>
      <c r="F912" s="127" t="s">
        <v>602</v>
      </c>
      <c r="G912" s="128">
        <v>16023830031</v>
      </c>
      <c r="H912" s="128">
        <v>1716840708</v>
      </c>
      <c r="I912" s="186"/>
      <c r="J912" s="186">
        <f t="shared" ref="J912" si="296">IFERROR((+H912/(G912-H912)),0)</f>
        <v>0.12000013903973471</v>
      </c>
      <c r="K912" s="136">
        <v>15473830031</v>
      </c>
      <c r="L912" s="187">
        <f>+K912/(1+J912)*J912</f>
        <v>1657912075.6085422</v>
      </c>
      <c r="M912" s="187">
        <v>1337944332.8095949</v>
      </c>
      <c r="N912" s="138">
        <f>+L912-M912</f>
        <v>319967742.79894733</v>
      </c>
      <c r="O912" s="139">
        <f>ROUND((N912*40%),0)</f>
        <v>127987097</v>
      </c>
      <c r="P912" s="140" t="s">
        <v>1511</v>
      </c>
      <c r="Q912" s="134"/>
      <c r="R912" s="188">
        <f t="shared" ref="R912" si="297">+N912-O912</f>
        <v>191980645.79894733</v>
      </c>
      <c r="S912" s="134"/>
      <c r="T912" s="134"/>
      <c r="U912" s="134"/>
      <c r="V912" s="125" t="s">
        <v>261</v>
      </c>
      <c r="W912" s="141">
        <v>45639</v>
      </c>
      <c r="X912" s="140" t="s">
        <v>1628</v>
      </c>
    </row>
    <row r="913" spans="1:24" s="123" customFormat="1" x14ac:dyDescent="0.25">
      <c r="A913" s="123" t="str">
        <f t="shared" ref="A913:A961" si="298">_xlfn.CONCAT(E913,W913,L913)</f>
        <v>291090640145674678878080,306339</v>
      </c>
      <c r="B913" s="185">
        <f t="shared" si="283"/>
        <v>45957</v>
      </c>
      <c r="C913" s="3">
        <f t="shared" si="284"/>
        <v>678878080.30633903</v>
      </c>
      <c r="D913" s="134">
        <v>2024</v>
      </c>
      <c r="E913" s="125">
        <v>2910906401</v>
      </c>
      <c r="F913" s="127" t="s">
        <v>607</v>
      </c>
      <c r="G913" s="128">
        <v>6175068453</v>
      </c>
      <c r="H913" s="128">
        <v>741008215</v>
      </c>
      <c r="I913" s="186"/>
      <c r="J913" s="186">
        <f t="shared" ref="J913:J977" si="299">IFERROR((+H913/(G913-H913)),0)</f>
        <v>0.13636363649747232</v>
      </c>
      <c r="K913" s="136">
        <f>1693278073+1486026390+1571281758+906731110</f>
        <v>5657317331</v>
      </c>
      <c r="L913" s="187">
        <f>+K913/(1+J913)*J913</f>
        <v>678878080.30633903</v>
      </c>
      <c r="M913" s="187">
        <v>570070347.01236296</v>
      </c>
      <c r="N913" s="138">
        <f>+L913-M913+4310064</f>
        <v>113117797.29397607</v>
      </c>
      <c r="O913" s="139">
        <f>ROUND((N913*40%),0)</f>
        <v>45247119</v>
      </c>
      <c r="P913" s="140" t="s">
        <v>1543</v>
      </c>
      <c r="Q913" s="134">
        <v>295</v>
      </c>
      <c r="R913" s="188">
        <f t="shared" ref="R913:R922" si="300">+N913-O913</f>
        <v>67870678.293976068</v>
      </c>
      <c r="S913" s="134">
        <v>296</v>
      </c>
      <c r="T913" s="134">
        <v>145</v>
      </c>
      <c r="U913" s="134">
        <v>95</v>
      </c>
      <c r="V913" s="125" t="s">
        <v>261</v>
      </c>
      <c r="W913" s="141">
        <v>45674</v>
      </c>
      <c r="X913" s="140" t="s">
        <v>1544</v>
      </c>
    </row>
    <row r="914" spans="1:24" s="123" customFormat="1" x14ac:dyDescent="0.25">
      <c r="A914" s="123" t="str">
        <f t="shared" si="298"/>
        <v>29109073074567418471429</v>
      </c>
      <c r="B914" s="185">
        <f t="shared" si="283"/>
        <v>45674</v>
      </c>
      <c r="C914" s="3">
        <f t="shared" si="284"/>
        <v>18471429.000000004</v>
      </c>
      <c r="D914" s="134">
        <v>2024</v>
      </c>
      <c r="E914" s="125">
        <v>2910907307</v>
      </c>
      <c r="F914" s="127" t="s">
        <v>685</v>
      </c>
      <c r="G914" s="128">
        <v>172400000</v>
      </c>
      <c r="H914" s="128">
        <v>18471429</v>
      </c>
      <c r="I914" s="186"/>
      <c r="J914" s="186">
        <f t="shared" si="299"/>
        <v>0.12000000311832948</v>
      </c>
      <c r="K914" s="136">
        <v>172400000.00000003</v>
      </c>
      <c r="L914" s="187">
        <f>+K914/(1+J914)*J914</f>
        <v>18471429.000000004</v>
      </c>
      <c r="M914" s="187">
        <v>8438839.4880845342</v>
      </c>
      <c r="N914" s="138">
        <f t="shared" ref="N914:N923" si="301">+L914-M914</f>
        <v>10032589.51191547</v>
      </c>
      <c r="O914" s="139">
        <f>ROUND((N914*40%),0)</f>
        <v>4013036</v>
      </c>
      <c r="P914" s="140" t="s">
        <v>1543</v>
      </c>
      <c r="Q914" s="134">
        <v>297</v>
      </c>
      <c r="R914" s="188">
        <f t="shared" si="300"/>
        <v>6019553.5119154695</v>
      </c>
      <c r="S914" s="134">
        <v>298</v>
      </c>
      <c r="T914" s="134">
        <v>146</v>
      </c>
      <c r="U914" s="134">
        <v>96</v>
      </c>
      <c r="V914" s="125" t="s">
        <v>261</v>
      </c>
      <c r="W914" s="141">
        <v>45674</v>
      </c>
      <c r="X914" s="140" t="s">
        <v>1545</v>
      </c>
    </row>
    <row r="915" spans="1:24" s="123" customFormat="1" x14ac:dyDescent="0.25">
      <c r="A915" s="123" t="str">
        <f t="shared" si="298"/>
        <v>29109073284567462142857</v>
      </c>
      <c r="B915" s="185">
        <f t="shared" si="283"/>
        <v>45674</v>
      </c>
      <c r="C915" s="3">
        <f t="shared" si="284"/>
        <v>62142857</v>
      </c>
      <c r="D915" s="134">
        <v>2024</v>
      </c>
      <c r="E915" s="125">
        <v>2910907328</v>
      </c>
      <c r="F915" s="127" t="s">
        <v>1546</v>
      </c>
      <c r="G915" s="128">
        <v>580000000</v>
      </c>
      <c r="H915" s="128">
        <v>62142857</v>
      </c>
      <c r="I915" s="186"/>
      <c r="J915" s="186">
        <f t="shared" si="299"/>
        <v>0.11999999969103449</v>
      </c>
      <c r="K915" s="136">
        <v>580000000</v>
      </c>
      <c r="L915" s="187">
        <f>+K915/(1+J915)*J915</f>
        <v>62142857</v>
      </c>
      <c r="M915" s="187">
        <v>0</v>
      </c>
      <c r="N915" s="138">
        <f t="shared" si="301"/>
        <v>62142857</v>
      </c>
      <c r="O915" s="139">
        <f>ROUND((N915*40%),0)</f>
        <v>24857143</v>
      </c>
      <c r="P915" s="140" t="s">
        <v>1543</v>
      </c>
      <c r="Q915" s="134">
        <v>307</v>
      </c>
      <c r="R915" s="188">
        <f t="shared" si="300"/>
        <v>37285714</v>
      </c>
      <c r="S915" s="134">
        <v>308</v>
      </c>
      <c r="T915" s="134">
        <v>147</v>
      </c>
      <c r="U915" s="134">
        <v>97</v>
      </c>
      <c r="V915" s="125" t="s">
        <v>261</v>
      </c>
      <c r="W915" s="141">
        <v>45674</v>
      </c>
      <c r="X915" s="140" t="s">
        <v>1547</v>
      </c>
    </row>
    <row r="916" spans="1:24" s="123" customFormat="1" x14ac:dyDescent="0.25">
      <c r="A916" s="123" t="str">
        <f t="shared" si="298"/>
        <v>29109073174567426785714</v>
      </c>
      <c r="B916" s="185">
        <f t="shared" si="283"/>
        <v>45674</v>
      </c>
      <c r="C916" s="3">
        <f t="shared" si="284"/>
        <v>26785714</v>
      </c>
      <c r="D916" s="134">
        <v>2024</v>
      </c>
      <c r="E916" s="125">
        <v>2910907317</v>
      </c>
      <c r="F916" s="127" t="s">
        <v>1482</v>
      </c>
      <c r="G916" s="128">
        <v>250000000</v>
      </c>
      <c r="H916" s="128">
        <v>26785714</v>
      </c>
      <c r="I916" s="186"/>
      <c r="J916" s="186">
        <f t="shared" si="299"/>
        <v>0.11999999856640001</v>
      </c>
      <c r="K916" s="136">
        <v>250000000</v>
      </c>
      <c r="L916" s="187">
        <f t="shared" ref="L916:L921" si="302">+K916/(1+J916)*J916</f>
        <v>26785714</v>
      </c>
      <c r="M916" s="187">
        <v>13124999.860000001</v>
      </c>
      <c r="N916" s="138">
        <f t="shared" si="301"/>
        <v>13660714.139999999</v>
      </c>
      <c r="O916" s="139">
        <f t="shared" ref="O916:O925" si="303">ROUND((N916*40%),0)</f>
        <v>5464286</v>
      </c>
      <c r="P916" s="140" t="s">
        <v>1543</v>
      </c>
      <c r="Q916" s="134">
        <v>301</v>
      </c>
      <c r="R916" s="188">
        <f t="shared" si="300"/>
        <v>8196428.1399999987</v>
      </c>
      <c r="S916" s="134">
        <v>302</v>
      </c>
      <c r="T916" s="134">
        <v>148</v>
      </c>
      <c r="U916" s="134">
        <v>98</v>
      </c>
      <c r="V916" s="125" t="s">
        <v>261</v>
      </c>
      <c r="W916" s="141">
        <v>45674</v>
      </c>
      <c r="X916" s="140" t="s">
        <v>1526</v>
      </c>
    </row>
    <row r="917" spans="1:24" s="123" customFormat="1" x14ac:dyDescent="0.25">
      <c r="A917" s="123" t="str">
        <f t="shared" si="298"/>
        <v>29109073324567491730079,4785714</v>
      </c>
      <c r="B917" s="185">
        <f t="shared" si="283"/>
        <v>45861</v>
      </c>
      <c r="C917" s="3">
        <f t="shared" si="284"/>
        <v>183460158.97857144</v>
      </c>
      <c r="D917" s="134">
        <v>2024</v>
      </c>
      <c r="E917" s="125">
        <v>2910907332</v>
      </c>
      <c r="F917" s="127" t="s">
        <v>1548</v>
      </c>
      <c r="G917" s="128">
        <v>1712294814</v>
      </c>
      <c r="H917" s="128">
        <v>183460159</v>
      </c>
      <c r="I917" s="186"/>
      <c r="J917" s="186">
        <f t="shared" si="299"/>
        <v>0.12000000026163719</v>
      </c>
      <c r="K917" s="136">
        <v>856147406.79999995</v>
      </c>
      <c r="L917" s="187">
        <f t="shared" si="302"/>
        <v>91730079.478571415</v>
      </c>
      <c r="M917" s="187">
        <v>0</v>
      </c>
      <c r="N917" s="138">
        <f t="shared" si="301"/>
        <v>91730079.478571415</v>
      </c>
      <c r="O917" s="139">
        <f t="shared" si="303"/>
        <v>36692032</v>
      </c>
      <c r="P917" s="140" t="s">
        <v>1543</v>
      </c>
      <c r="Q917" s="134">
        <v>309</v>
      </c>
      <c r="R917" s="188">
        <f t="shared" si="300"/>
        <v>55038047.478571415</v>
      </c>
      <c r="S917" s="134">
        <v>310</v>
      </c>
      <c r="T917" s="134">
        <v>149</v>
      </c>
      <c r="U917" s="134">
        <v>99</v>
      </c>
      <c r="V917" s="125" t="s">
        <v>261</v>
      </c>
      <c r="W917" s="141">
        <v>45674</v>
      </c>
      <c r="X917" s="140" t="s">
        <v>1549</v>
      </c>
    </row>
    <row r="918" spans="1:24" s="123" customFormat="1" x14ac:dyDescent="0.25">
      <c r="A918" s="123" t="str">
        <f t="shared" si="298"/>
        <v>291090734845674578571429</v>
      </c>
      <c r="B918" s="185">
        <f t="shared" si="283"/>
        <v>45674</v>
      </c>
      <c r="C918" s="3">
        <f t="shared" si="284"/>
        <v>578571429</v>
      </c>
      <c r="D918" s="134">
        <v>2024</v>
      </c>
      <c r="E918" s="125">
        <v>2910907348</v>
      </c>
      <c r="F918" s="127" t="s">
        <v>1550</v>
      </c>
      <c r="G918" s="128">
        <v>5400000000</v>
      </c>
      <c r="H918" s="128">
        <v>578571429</v>
      </c>
      <c r="I918" s="186"/>
      <c r="J918" s="186">
        <f t="shared" si="299"/>
        <v>0.12000000009955555</v>
      </c>
      <c r="K918" s="136">
        <v>5400000000</v>
      </c>
      <c r="L918" s="187">
        <f t="shared" si="302"/>
        <v>578571429</v>
      </c>
      <c r="M918" s="187">
        <v>0</v>
      </c>
      <c r="N918" s="138">
        <f t="shared" si="301"/>
        <v>578571429</v>
      </c>
      <c r="O918" s="139">
        <f t="shared" si="303"/>
        <v>231428572</v>
      </c>
      <c r="P918" s="140" t="s">
        <v>1543</v>
      </c>
      <c r="Q918" s="134">
        <v>315</v>
      </c>
      <c r="R918" s="188">
        <f t="shared" si="300"/>
        <v>347142857</v>
      </c>
      <c r="S918" s="134">
        <v>316</v>
      </c>
      <c r="T918" s="134">
        <v>150</v>
      </c>
      <c r="U918" s="134">
        <v>100</v>
      </c>
      <c r="V918" s="125" t="s">
        <v>261</v>
      </c>
      <c r="W918" s="141">
        <v>45674</v>
      </c>
      <c r="X918" s="140" t="s">
        <v>1551</v>
      </c>
    </row>
    <row r="919" spans="1:24" s="123" customFormat="1" x14ac:dyDescent="0.25">
      <c r="A919" s="123" t="str">
        <f t="shared" si="298"/>
        <v>29109073384567446608613</v>
      </c>
      <c r="B919" s="185">
        <f t="shared" si="283"/>
        <v>45674</v>
      </c>
      <c r="C919" s="3">
        <f t="shared" si="284"/>
        <v>46608613</v>
      </c>
      <c r="D919" s="134">
        <v>2024</v>
      </c>
      <c r="E919" s="125">
        <v>2910907338</v>
      </c>
      <c r="F919" s="127" t="s">
        <v>1480</v>
      </c>
      <c r="G919" s="128">
        <v>435013718</v>
      </c>
      <c r="H919" s="128">
        <v>46608613</v>
      </c>
      <c r="I919" s="186"/>
      <c r="J919" s="186">
        <f t="shared" si="299"/>
        <v>0.12000000102985259</v>
      </c>
      <c r="K919" s="136">
        <v>435013718</v>
      </c>
      <c r="L919" s="187">
        <f t="shared" si="302"/>
        <v>46608613</v>
      </c>
      <c r="M919" s="187">
        <v>18643445.285714291</v>
      </c>
      <c r="N919" s="138">
        <f t="shared" si="301"/>
        <v>27965167.714285709</v>
      </c>
      <c r="O919" s="139">
        <f t="shared" si="303"/>
        <v>11186067</v>
      </c>
      <c r="P919" s="140" t="s">
        <v>1543</v>
      </c>
      <c r="Q919" s="134">
        <v>311</v>
      </c>
      <c r="R919" s="188">
        <f t="shared" si="300"/>
        <v>16779100.714285709</v>
      </c>
      <c r="S919" s="134">
        <v>312</v>
      </c>
      <c r="T919" s="134">
        <v>151</v>
      </c>
      <c r="U919" s="134">
        <v>101</v>
      </c>
      <c r="V919" s="125" t="s">
        <v>261</v>
      </c>
      <c r="W919" s="141">
        <v>45674</v>
      </c>
      <c r="X919" s="140" t="s">
        <v>1552</v>
      </c>
    </row>
    <row r="920" spans="1:24" s="123" customFormat="1" x14ac:dyDescent="0.25">
      <c r="A920" s="123" t="str">
        <f t="shared" si="298"/>
        <v>2910907349456744607143</v>
      </c>
      <c r="B920" s="185">
        <f t="shared" si="283"/>
        <v>45674</v>
      </c>
      <c r="C920" s="3">
        <f t="shared" si="284"/>
        <v>4607143</v>
      </c>
      <c r="D920" s="134">
        <v>2024</v>
      </c>
      <c r="E920" s="125">
        <v>2910907349</v>
      </c>
      <c r="F920" s="127" t="s">
        <v>1553</v>
      </c>
      <c r="G920" s="128">
        <v>43000000</v>
      </c>
      <c r="H920" s="128">
        <v>4607143</v>
      </c>
      <c r="I920" s="186"/>
      <c r="J920" s="186">
        <f t="shared" si="299"/>
        <v>0.12000000416744187</v>
      </c>
      <c r="K920" s="136">
        <v>43000000</v>
      </c>
      <c r="L920" s="187">
        <f t="shared" si="302"/>
        <v>4607143</v>
      </c>
      <c r="M920" s="187">
        <v>0</v>
      </c>
      <c r="N920" s="138">
        <f t="shared" si="301"/>
        <v>4607143</v>
      </c>
      <c r="O920" s="139">
        <f t="shared" si="303"/>
        <v>1842857</v>
      </c>
      <c r="P920" s="140" t="s">
        <v>1543</v>
      </c>
      <c r="Q920" s="134">
        <v>317</v>
      </c>
      <c r="R920" s="188">
        <f t="shared" si="300"/>
        <v>2764286</v>
      </c>
      <c r="S920" s="134">
        <v>318</v>
      </c>
      <c r="T920" s="134">
        <v>152</v>
      </c>
      <c r="U920" s="134">
        <v>102</v>
      </c>
      <c r="V920" s="125" t="s">
        <v>261</v>
      </c>
      <c r="W920" s="141">
        <v>45674</v>
      </c>
      <c r="X920" s="140" t="s">
        <v>1554</v>
      </c>
    </row>
    <row r="921" spans="1:24" s="123" customFormat="1" x14ac:dyDescent="0.25">
      <c r="A921" s="123" t="str">
        <f t="shared" si="298"/>
        <v>2910907346456742142857</v>
      </c>
      <c r="B921" s="185">
        <f t="shared" si="283"/>
        <v>45674</v>
      </c>
      <c r="C921" s="3">
        <f t="shared" si="284"/>
        <v>2142857</v>
      </c>
      <c r="D921" s="134">
        <v>2024</v>
      </c>
      <c r="E921" s="125">
        <v>2910907346</v>
      </c>
      <c r="F921" s="127" t="s">
        <v>1555</v>
      </c>
      <c r="G921" s="128">
        <v>20000000</v>
      </c>
      <c r="H921" s="128">
        <v>2142857</v>
      </c>
      <c r="I921" s="186"/>
      <c r="J921" s="186">
        <f t="shared" si="299"/>
        <v>0.11999999104000007</v>
      </c>
      <c r="K921" s="136">
        <v>20000000</v>
      </c>
      <c r="L921" s="187">
        <f t="shared" si="302"/>
        <v>2142857</v>
      </c>
      <c r="M921" s="187">
        <v>0</v>
      </c>
      <c r="N921" s="138">
        <f t="shared" si="301"/>
        <v>2142857</v>
      </c>
      <c r="O921" s="139">
        <f t="shared" si="303"/>
        <v>857143</v>
      </c>
      <c r="P921" s="140" t="s">
        <v>1543</v>
      </c>
      <c r="Q921" s="134">
        <v>313</v>
      </c>
      <c r="R921" s="188">
        <f t="shared" si="300"/>
        <v>1285714</v>
      </c>
      <c r="S921" s="134">
        <v>314</v>
      </c>
      <c r="T921" s="134">
        <v>153</v>
      </c>
      <c r="U921" s="134">
        <v>103</v>
      </c>
      <c r="V921" s="125" t="s">
        <v>261</v>
      </c>
      <c r="W921" s="141">
        <v>45674</v>
      </c>
      <c r="X921" s="140" t="s">
        <v>1556</v>
      </c>
    </row>
    <row r="922" spans="1:24" s="123" customFormat="1" x14ac:dyDescent="0.25">
      <c r="A922" s="123" t="str">
        <f t="shared" si="298"/>
        <v>29109073194567437500000</v>
      </c>
      <c r="B922" s="185">
        <f t="shared" si="283"/>
        <v>45708</v>
      </c>
      <c r="C922" s="3">
        <f t="shared" si="284"/>
        <v>75000000</v>
      </c>
      <c r="D922" s="134">
        <v>2024</v>
      </c>
      <c r="E922" s="125">
        <v>2910907319</v>
      </c>
      <c r="F922" s="127" t="s">
        <v>1483</v>
      </c>
      <c r="G922" s="128">
        <v>700000000</v>
      </c>
      <c r="H922" s="128">
        <v>75000000</v>
      </c>
      <c r="I922" s="186"/>
      <c r="J922" s="186">
        <f t="shared" si="299"/>
        <v>0.12</v>
      </c>
      <c r="K922" s="136">
        <v>350000000</v>
      </c>
      <c r="L922" s="187">
        <f>+K922/(1+J922)*J922</f>
        <v>37500000</v>
      </c>
      <c r="M922" s="187">
        <v>14999999.999999998</v>
      </c>
      <c r="N922" s="138">
        <f t="shared" si="301"/>
        <v>22500000</v>
      </c>
      <c r="O922" s="139">
        <f t="shared" si="303"/>
        <v>9000000</v>
      </c>
      <c r="P922" s="140" t="s">
        <v>1543</v>
      </c>
      <c r="Q922" s="134">
        <v>303</v>
      </c>
      <c r="R922" s="188">
        <f t="shared" si="300"/>
        <v>13500000</v>
      </c>
      <c r="S922" s="134">
        <v>304</v>
      </c>
      <c r="T922" s="134">
        <v>154</v>
      </c>
      <c r="U922" s="134">
        <v>104</v>
      </c>
      <c r="V922" s="125" t="s">
        <v>261</v>
      </c>
      <c r="W922" s="141">
        <v>45674</v>
      </c>
      <c r="X922" s="140" t="s">
        <v>1557</v>
      </c>
    </row>
    <row r="923" spans="1:24" s="123" customFormat="1" x14ac:dyDescent="0.25">
      <c r="A923" s="123" t="str">
        <f t="shared" si="298"/>
        <v>291090732045674185496428,571429</v>
      </c>
      <c r="B923" s="185">
        <f t="shared" si="283"/>
        <v>45804</v>
      </c>
      <c r="C923" s="3">
        <f t="shared" si="284"/>
        <v>209678571</v>
      </c>
      <c r="D923" s="134">
        <v>2024</v>
      </c>
      <c r="E923" s="125">
        <v>2910907320</v>
      </c>
      <c r="F923" s="127" t="s">
        <v>1558</v>
      </c>
      <c r="G923" s="128">
        <v>1897000000</v>
      </c>
      <c r="H923" s="128">
        <v>203250000</v>
      </c>
      <c r="I923" s="186"/>
      <c r="J923" s="186">
        <f t="shared" si="299"/>
        <v>0.12</v>
      </c>
      <c r="K923" s="136">
        <v>1731300000</v>
      </c>
      <c r="L923" s="187">
        <f>+K923/(1+J923)*J923</f>
        <v>185496428.57142854</v>
      </c>
      <c r="M923" s="187">
        <v>0</v>
      </c>
      <c r="N923" s="138">
        <f t="shared" si="301"/>
        <v>185496428.57142854</v>
      </c>
      <c r="O923" s="139">
        <f t="shared" si="303"/>
        <v>74198571</v>
      </c>
      <c r="P923" s="140" t="s">
        <v>1543</v>
      </c>
      <c r="Q923" s="134">
        <v>305</v>
      </c>
      <c r="R923" s="188">
        <f>+N923-O923</f>
        <v>111297857.57142854</v>
      </c>
      <c r="S923" s="134">
        <v>306</v>
      </c>
      <c r="T923" s="134">
        <v>156</v>
      </c>
      <c r="U923" s="134">
        <v>106</v>
      </c>
      <c r="V923" s="125" t="s">
        <v>261</v>
      </c>
      <c r="W923" s="141">
        <v>45674</v>
      </c>
      <c r="X923" s="140" t="s">
        <v>1559</v>
      </c>
    </row>
    <row r="924" spans="1:24" s="123" customFormat="1" x14ac:dyDescent="0.25">
      <c r="A924" s="123" t="str">
        <f t="shared" si="298"/>
        <v>29109080754568533992303</v>
      </c>
      <c r="B924" s="185">
        <f t="shared" si="283"/>
        <v>45685</v>
      </c>
      <c r="C924" s="3">
        <f t="shared" si="284"/>
        <v>33992303</v>
      </c>
      <c r="D924" s="134">
        <v>2023</v>
      </c>
      <c r="E924" s="125">
        <v>2910908075</v>
      </c>
      <c r="F924" s="127" t="s">
        <v>496</v>
      </c>
      <c r="G924" s="128">
        <v>317261491</v>
      </c>
      <c r="H924" s="128">
        <v>33992303</v>
      </c>
      <c r="I924" s="186"/>
      <c r="J924" s="186">
        <f t="shared" si="299"/>
        <v>0.12000000155329284</v>
      </c>
      <c r="K924" s="136">
        <v>317261491</v>
      </c>
      <c r="L924" s="187">
        <f t="shared" ref="L924" si="304">+K924/(1+J924)*J924</f>
        <v>33992303</v>
      </c>
      <c r="M924" s="187">
        <v>24607767.999999996</v>
      </c>
      <c r="N924" s="138">
        <v>9384534</v>
      </c>
      <c r="O924" s="139">
        <f t="shared" si="303"/>
        <v>3753814</v>
      </c>
      <c r="P924" s="140" t="s">
        <v>548</v>
      </c>
      <c r="Q924" s="134">
        <v>319</v>
      </c>
      <c r="R924" s="188">
        <f t="shared" ref="R924:R948" si="305">+N924-O924</f>
        <v>5630720</v>
      </c>
      <c r="S924" s="134">
        <v>320</v>
      </c>
      <c r="T924" s="134">
        <v>157</v>
      </c>
      <c r="U924" s="134">
        <v>107</v>
      </c>
      <c r="V924" s="125" t="s">
        <v>261</v>
      </c>
      <c r="W924" s="141">
        <v>45685</v>
      </c>
      <c r="X924" s="140" t="s">
        <v>1560</v>
      </c>
    </row>
    <row r="925" spans="1:24" s="123" customFormat="1" x14ac:dyDescent="0.25">
      <c r="A925" s="123" t="str">
        <f t="shared" si="298"/>
        <v>29109073354570815095571,457</v>
      </c>
      <c r="B925" s="185">
        <f t="shared" si="283"/>
        <v>45891</v>
      </c>
      <c r="C925" s="3">
        <f t="shared" si="284"/>
        <v>75477857.284999996</v>
      </c>
      <c r="D925" s="134">
        <v>2024</v>
      </c>
      <c r="E925" s="125">
        <v>2910907335</v>
      </c>
      <c r="F925" s="127" t="s">
        <v>1561</v>
      </c>
      <c r="G925" s="128">
        <v>708000000</v>
      </c>
      <c r="H925" s="128">
        <v>75857143</v>
      </c>
      <c r="I925" s="186"/>
      <c r="J925" s="186">
        <f t="shared" si="299"/>
        <v>0.12000000025310735</v>
      </c>
      <c r="K925" s="136">
        <v>140892000</v>
      </c>
      <c r="L925" s="187">
        <f>+K925/(1+J925)*J925</f>
        <v>15095571.457</v>
      </c>
      <c r="M925" s="187">
        <v>0</v>
      </c>
      <c r="N925" s="138">
        <f t="shared" ref="N925" si="306">+L925-M925</f>
        <v>15095571.457</v>
      </c>
      <c r="O925" s="139">
        <f t="shared" si="303"/>
        <v>6038229</v>
      </c>
      <c r="P925" s="140" t="s">
        <v>548</v>
      </c>
      <c r="Q925" s="134">
        <v>1454</v>
      </c>
      <c r="R925" s="188">
        <f t="shared" si="305"/>
        <v>9057342.4570000004</v>
      </c>
      <c r="S925" s="134">
        <v>1455</v>
      </c>
      <c r="T925" s="134">
        <v>410</v>
      </c>
      <c r="U925" s="134">
        <v>719</v>
      </c>
      <c r="V925" s="125" t="s">
        <v>261</v>
      </c>
      <c r="W925" s="141">
        <v>45708</v>
      </c>
      <c r="X925" s="140" t="s">
        <v>1562</v>
      </c>
    </row>
    <row r="926" spans="1:24" s="123" customFormat="1" x14ac:dyDescent="0.25">
      <c r="A926" s="123" t="str">
        <f t="shared" si="298"/>
        <v>291090732645708450607264,458168</v>
      </c>
      <c r="B926" s="185">
        <f t="shared" si="283"/>
        <v>45708</v>
      </c>
      <c r="C926" s="3">
        <f t="shared" si="284"/>
        <v>450607264.45816767</v>
      </c>
      <c r="D926" s="134">
        <v>2024</v>
      </c>
      <c r="E926" s="125">
        <v>2910907326</v>
      </c>
      <c r="F926" s="127" t="s">
        <v>710</v>
      </c>
      <c r="G926" s="128">
        <v>4599634750</v>
      </c>
      <c r="H926" s="128">
        <v>492818009</v>
      </c>
      <c r="I926" s="186"/>
      <c r="J926" s="186">
        <f t="shared" si="299"/>
        <v>0.1200000000194798</v>
      </c>
      <c r="K926" s="136">
        <v>4205667801</v>
      </c>
      <c r="L926" s="187">
        <f>+K926/(1+J926)*J926</f>
        <v>450607264.45816767</v>
      </c>
      <c r="M926" s="187">
        <v>287545496.93453401</v>
      </c>
      <c r="N926" s="138">
        <f>+L926-M926</f>
        <v>163061767.52363366</v>
      </c>
      <c r="O926" s="139">
        <f>ROUND((N926*40%),0)</f>
        <v>65224707</v>
      </c>
      <c r="P926" s="140" t="s">
        <v>548</v>
      </c>
      <c r="Q926" s="134">
        <v>1450</v>
      </c>
      <c r="R926" s="188">
        <f t="shared" si="305"/>
        <v>97837060.523633659</v>
      </c>
      <c r="S926" s="134">
        <v>1451</v>
      </c>
      <c r="T926" s="134">
        <v>411</v>
      </c>
      <c r="U926" s="134">
        <v>720</v>
      </c>
      <c r="V926" s="125" t="s">
        <v>261</v>
      </c>
      <c r="W926" s="141">
        <v>45708</v>
      </c>
      <c r="X926" s="140" t="s">
        <v>1563</v>
      </c>
    </row>
    <row r="927" spans="1:24" s="123" customFormat="1" x14ac:dyDescent="0.25">
      <c r="A927" s="123" t="str">
        <f t="shared" si="298"/>
        <v>29109073194570875000000</v>
      </c>
      <c r="B927" s="185">
        <f t="shared" si="283"/>
        <v>45708</v>
      </c>
      <c r="C927" s="3">
        <f t="shared" si="284"/>
        <v>75000000</v>
      </c>
      <c r="D927" s="134">
        <v>2024</v>
      </c>
      <c r="E927" s="125">
        <v>2910907319</v>
      </c>
      <c r="F927" s="127" t="s">
        <v>1483</v>
      </c>
      <c r="G927" s="128">
        <v>700000000</v>
      </c>
      <c r="H927" s="128">
        <v>75000000</v>
      </c>
      <c r="I927" s="186"/>
      <c r="J927" s="186">
        <f t="shared" si="299"/>
        <v>0.12</v>
      </c>
      <c r="K927" s="136">
        <v>700000000</v>
      </c>
      <c r="L927" s="187">
        <f>+K927/(1+J927)*J927</f>
        <v>75000000</v>
      </c>
      <c r="M927" s="187">
        <v>37500000</v>
      </c>
      <c r="N927" s="138">
        <f>+L927-M927</f>
        <v>37500000</v>
      </c>
      <c r="O927" s="139">
        <f t="shared" ref="O927:O937" si="307">ROUND((N927*40%),0)</f>
        <v>15000000</v>
      </c>
      <c r="P927" s="140" t="s">
        <v>1543</v>
      </c>
      <c r="Q927" s="134">
        <v>1448</v>
      </c>
      <c r="R927" s="188">
        <f t="shared" si="305"/>
        <v>22500000</v>
      </c>
      <c r="S927" s="134">
        <v>1449</v>
      </c>
      <c r="T927" s="134">
        <v>412</v>
      </c>
      <c r="U927" s="134">
        <v>721</v>
      </c>
      <c r="V927" s="125" t="s">
        <v>261</v>
      </c>
      <c r="W927" s="141">
        <v>45708</v>
      </c>
      <c r="X927" s="140" t="s">
        <v>1564</v>
      </c>
    </row>
    <row r="928" spans="1:24" s="123" customFormat="1" x14ac:dyDescent="0.25">
      <c r="A928" s="123" t="str">
        <f t="shared" si="298"/>
        <v>29109073364570818862242,920017</v>
      </c>
      <c r="B928" s="185">
        <f t="shared" si="283"/>
        <v>45924</v>
      </c>
      <c r="C928" s="3">
        <f t="shared" si="284"/>
        <v>39926528.704516999</v>
      </c>
      <c r="D928" s="134">
        <v>2024</v>
      </c>
      <c r="E928" s="125">
        <v>2910907336</v>
      </c>
      <c r="F928" s="127" t="s">
        <v>1565</v>
      </c>
      <c r="G928" s="128">
        <v>400000000</v>
      </c>
      <c r="H928" s="128">
        <v>42857143</v>
      </c>
      <c r="I928" s="186"/>
      <c r="J928" s="186">
        <f t="shared" si="299"/>
        <v>0.12000000044799999</v>
      </c>
      <c r="K928" s="136">
        <v>176047600</v>
      </c>
      <c r="L928" s="187">
        <f>+K928/(1+J928)*J928</f>
        <v>18862242.920017</v>
      </c>
      <c r="M928" s="187">
        <v>0</v>
      </c>
      <c r="N928" s="138">
        <f>+L928-M928</f>
        <v>18862242.920017</v>
      </c>
      <c r="O928" s="139">
        <f t="shared" si="307"/>
        <v>7544897</v>
      </c>
      <c r="P928" s="140" t="s">
        <v>1543</v>
      </c>
      <c r="Q928" s="134">
        <v>1456</v>
      </c>
      <c r="R928" s="188">
        <f t="shared" si="305"/>
        <v>11317345.920017</v>
      </c>
      <c r="S928" s="134">
        <v>1457</v>
      </c>
      <c r="T928" s="134">
        <v>413</v>
      </c>
      <c r="U928" s="134">
        <v>722</v>
      </c>
      <c r="V928" s="125" t="s">
        <v>261</v>
      </c>
      <c r="W928" s="141">
        <v>45708</v>
      </c>
      <c r="X928" s="140" t="s">
        <v>1566</v>
      </c>
    </row>
    <row r="929" spans="1:24" s="123" customFormat="1" x14ac:dyDescent="0.25">
      <c r="A929" s="123" t="str">
        <f t="shared" si="298"/>
        <v>2453018350457081297311655,62385</v>
      </c>
      <c r="B929" s="185">
        <f t="shared" si="283"/>
        <v>45743</v>
      </c>
      <c r="C929" s="3">
        <f t="shared" si="284"/>
        <v>1344604499.9999998</v>
      </c>
      <c r="D929" s="134">
        <v>2023</v>
      </c>
      <c r="E929" s="125">
        <v>2453018350</v>
      </c>
      <c r="F929" s="127" t="s">
        <v>450</v>
      </c>
      <c r="G929" s="128">
        <v>16284654500</v>
      </c>
      <c r="H929" s="128">
        <v>1344604500</v>
      </c>
      <c r="I929" s="186"/>
      <c r="J929" s="186">
        <f t="shared" si="299"/>
        <v>0.09</v>
      </c>
      <c r="K929" s="136">
        <v>15711885607</v>
      </c>
      <c r="L929" s="187">
        <f t="shared" ref="L929:L930" si="308">+K929/(1+J929)*J929</f>
        <v>1297311655.6238532</v>
      </c>
      <c r="M929" s="187">
        <v>1284206887.4036696</v>
      </c>
      <c r="N929" s="138">
        <f t="shared" ref="N929:N930" si="309">+L929-M929</f>
        <v>13104768.220183611</v>
      </c>
      <c r="O929" s="139">
        <f t="shared" si="307"/>
        <v>5241907</v>
      </c>
      <c r="P929" s="140" t="s">
        <v>1543</v>
      </c>
      <c r="Q929" s="134">
        <v>1446</v>
      </c>
      <c r="R929" s="188">
        <f t="shared" si="305"/>
        <v>7862861.2201836109</v>
      </c>
      <c r="S929" s="134">
        <v>1447</v>
      </c>
      <c r="T929" s="134">
        <v>414</v>
      </c>
      <c r="U929" s="134">
        <v>723</v>
      </c>
      <c r="V929" s="125" t="s">
        <v>261</v>
      </c>
      <c r="W929" s="141">
        <v>45708</v>
      </c>
      <c r="X929" s="140" t="s">
        <v>451</v>
      </c>
    </row>
    <row r="930" spans="1:24" s="123" customFormat="1" x14ac:dyDescent="0.25">
      <c r="A930" s="123" t="str">
        <f t="shared" si="298"/>
        <v>2910907329457088035714</v>
      </c>
      <c r="B930" s="185">
        <f t="shared" si="283"/>
        <v>45708</v>
      </c>
      <c r="C930" s="3">
        <f t="shared" si="284"/>
        <v>8035714</v>
      </c>
      <c r="D930" s="134">
        <v>2024</v>
      </c>
      <c r="E930" s="125">
        <v>2910907329</v>
      </c>
      <c r="F930" s="127" t="s">
        <v>1567</v>
      </c>
      <c r="G930" s="128">
        <v>75000000</v>
      </c>
      <c r="H930" s="128">
        <v>8035714</v>
      </c>
      <c r="I930" s="186"/>
      <c r="J930" s="186">
        <f t="shared" si="299"/>
        <v>0.11999999522133335</v>
      </c>
      <c r="K930" s="136">
        <v>75000000</v>
      </c>
      <c r="L930" s="187">
        <f t="shared" si="308"/>
        <v>8035714</v>
      </c>
      <c r="M930" s="187">
        <v>0</v>
      </c>
      <c r="N930" s="138">
        <f t="shared" si="309"/>
        <v>8035714</v>
      </c>
      <c r="O930" s="139">
        <f t="shared" si="307"/>
        <v>3214286</v>
      </c>
      <c r="P930" s="140" t="s">
        <v>1543</v>
      </c>
      <c r="Q930" s="134">
        <v>1452</v>
      </c>
      <c r="R930" s="188">
        <f t="shared" si="305"/>
        <v>4821428</v>
      </c>
      <c r="S930" s="134">
        <v>1453</v>
      </c>
      <c r="T930" s="134">
        <v>415</v>
      </c>
      <c r="U930" s="134">
        <v>724</v>
      </c>
      <c r="V930" s="125" t="s">
        <v>261</v>
      </c>
      <c r="W930" s="141">
        <v>45708</v>
      </c>
      <c r="X930" s="140" t="s">
        <v>1568</v>
      </c>
    </row>
    <row r="931" spans="1:24" s="123" customFormat="1" x14ac:dyDescent="0.25">
      <c r="A931" s="123" t="str">
        <f t="shared" si="298"/>
        <v>24530183664573058507146,1529301</v>
      </c>
      <c r="B931" s="185">
        <f t="shared" si="283"/>
        <v>45730</v>
      </c>
      <c r="C931" s="3">
        <f t="shared" si="284"/>
        <v>58507146.152930081</v>
      </c>
      <c r="D931" s="134">
        <v>2024</v>
      </c>
      <c r="E931" s="125">
        <v>2453018366</v>
      </c>
      <c r="F931" s="127" t="s">
        <v>1485</v>
      </c>
      <c r="G931" s="128">
        <v>599905000</v>
      </c>
      <c r="H931" s="128">
        <v>64275536</v>
      </c>
      <c r="I931" s="186"/>
      <c r="J931" s="186">
        <f t="shared" si="299"/>
        <v>0.12000000059742792</v>
      </c>
      <c r="K931" s="136">
        <v>546066695</v>
      </c>
      <c r="L931" s="187">
        <f>+K931/(1+J931)*J931</f>
        <v>58507146.152930081</v>
      </c>
      <c r="M931" s="187">
        <v>27592194.015508533</v>
      </c>
      <c r="N931" s="138">
        <f>+L931-M931</f>
        <v>30914952.137421548</v>
      </c>
      <c r="O931" s="139">
        <f t="shared" si="307"/>
        <v>12365981</v>
      </c>
      <c r="P931" s="140" t="s">
        <v>1543</v>
      </c>
      <c r="Q931" s="134">
        <v>2003</v>
      </c>
      <c r="R931" s="188">
        <f t="shared" si="305"/>
        <v>18548971.137421548</v>
      </c>
      <c r="S931" s="134">
        <v>2004</v>
      </c>
      <c r="T931" s="134">
        <v>765</v>
      </c>
      <c r="U931" s="134">
        <v>929</v>
      </c>
      <c r="V931" s="125" t="s">
        <v>261</v>
      </c>
      <c r="W931" s="141">
        <v>45730</v>
      </c>
      <c r="X931" s="140" t="s">
        <v>425</v>
      </c>
    </row>
    <row r="932" spans="1:24" s="123" customFormat="1" x14ac:dyDescent="0.25">
      <c r="A932" s="123" t="str">
        <f t="shared" si="298"/>
        <v>245301834745730227416985,119996</v>
      </c>
      <c r="B932" s="185">
        <f t="shared" si="283"/>
        <v>45730</v>
      </c>
      <c r="C932" s="3">
        <f t="shared" si="284"/>
        <v>227416985.11999634</v>
      </c>
      <c r="D932" s="134">
        <v>2023</v>
      </c>
      <c r="E932" s="125">
        <v>2453018347</v>
      </c>
      <c r="F932" s="127" t="s">
        <v>391</v>
      </c>
      <c r="G932" s="128">
        <v>2033323757</v>
      </c>
      <c r="H932" s="128">
        <v>243997849</v>
      </c>
      <c r="I932" s="186"/>
      <c r="J932" s="186">
        <f t="shared" si="299"/>
        <v>0.13636300011590732</v>
      </c>
      <c r="K932" s="136">
        <v>1895149324</v>
      </c>
      <c r="L932" s="187">
        <f t="shared" ref="L932:L934" si="310">+K932/(1+J932)*J932</f>
        <v>227416985.11999634</v>
      </c>
      <c r="M932" s="187">
        <v>199356650.49398601</v>
      </c>
      <c r="N932" s="138">
        <f>+L932-M932</f>
        <v>28060334.626010329</v>
      </c>
      <c r="O932" s="139">
        <f t="shared" si="307"/>
        <v>11224134</v>
      </c>
      <c r="P932" s="140" t="s">
        <v>1543</v>
      </c>
      <c r="Q932" s="134">
        <v>1999</v>
      </c>
      <c r="R932" s="188">
        <f t="shared" si="305"/>
        <v>16836200.626010329</v>
      </c>
      <c r="S932" s="134">
        <v>2000</v>
      </c>
      <c r="T932" s="134">
        <v>766</v>
      </c>
      <c r="U932" s="134">
        <v>930</v>
      </c>
      <c r="V932" s="125" t="s">
        <v>261</v>
      </c>
      <c r="W932" s="141">
        <v>45730</v>
      </c>
      <c r="X932" s="140" t="s">
        <v>471</v>
      </c>
    </row>
    <row r="933" spans="1:24" s="123" customFormat="1" x14ac:dyDescent="0.25">
      <c r="A933" s="123" t="str">
        <f t="shared" si="298"/>
        <v>24530183604573036391063,8406226</v>
      </c>
      <c r="B933" s="185">
        <f t="shared" si="283"/>
        <v>45730</v>
      </c>
      <c r="C933" s="3">
        <f t="shared" si="284"/>
        <v>36391063.840622641</v>
      </c>
      <c r="D933" s="134">
        <v>2023</v>
      </c>
      <c r="E933" s="125">
        <v>2453018360</v>
      </c>
      <c r="F933" s="127" t="s">
        <v>620</v>
      </c>
      <c r="G933" s="128">
        <v>623455500</v>
      </c>
      <c r="H933" s="128">
        <v>66798804</v>
      </c>
      <c r="I933" s="186"/>
      <c r="J933" s="186">
        <f t="shared" si="299"/>
        <v>0.12000000086229089</v>
      </c>
      <c r="K933" s="136">
        <v>339649927</v>
      </c>
      <c r="L933" s="187">
        <f t="shared" si="310"/>
        <v>36391063.840622641</v>
      </c>
      <c r="M933" s="187">
        <v>28340834.646116395</v>
      </c>
      <c r="N933" s="138">
        <f t="shared" ref="N933:N945" si="311">+L933-M933</f>
        <v>8050229.1945062466</v>
      </c>
      <c r="O933" s="139">
        <f t="shared" si="307"/>
        <v>3220092</v>
      </c>
      <c r="P933" s="140" t="s">
        <v>1543</v>
      </c>
      <c r="Q933" s="134">
        <v>2001</v>
      </c>
      <c r="R933" s="188">
        <f t="shared" si="305"/>
        <v>4830137.1945062466</v>
      </c>
      <c r="S933" s="134">
        <v>2002</v>
      </c>
      <c r="T933" s="134">
        <v>767</v>
      </c>
      <c r="U933" s="134">
        <v>931</v>
      </c>
      <c r="V933" s="125" t="s">
        <v>261</v>
      </c>
      <c r="W933" s="141">
        <v>45730</v>
      </c>
      <c r="X933" s="140" t="s">
        <v>425</v>
      </c>
    </row>
    <row r="934" spans="1:24" s="123" customFormat="1" x14ac:dyDescent="0.25">
      <c r="A934" s="123" t="str">
        <f t="shared" si="298"/>
        <v>291090733245730165114143,014286</v>
      </c>
      <c r="B934" s="185">
        <f t="shared" si="283"/>
        <v>45861</v>
      </c>
      <c r="C934" s="3">
        <f t="shared" si="284"/>
        <v>183460158.97857144</v>
      </c>
      <c r="D934" s="134">
        <v>2024</v>
      </c>
      <c r="E934" s="125">
        <v>2910907332</v>
      </c>
      <c r="F934" s="127" t="s">
        <v>1548</v>
      </c>
      <c r="G934" s="128">
        <v>1712294814</v>
      </c>
      <c r="H934" s="128">
        <v>183460159</v>
      </c>
      <c r="I934" s="186"/>
      <c r="J934" s="186">
        <f t="shared" si="299"/>
        <v>0.12000000026163719</v>
      </c>
      <c r="K934" s="136">
        <v>1541065331.8</v>
      </c>
      <c r="L934" s="187">
        <f t="shared" si="310"/>
        <v>165114143.01428571</v>
      </c>
      <c r="M934" s="187">
        <v>91730079.478571415</v>
      </c>
      <c r="N934" s="138">
        <f t="shared" si="311"/>
        <v>73384063.535714298</v>
      </c>
      <c r="O934" s="139">
        <f t="shared" si="307"/>
        <v>29353625</v>
      </c>
      <c r="P934" s="140" t="s">
        <v>1543</v>
      </c>
      <c r="Q934" s="134">
        <v>2007</v>
      </c>
      <c r="R934" s="188">
        <f t="shared" si="305"/>
        <v>44030438.535714298</v>
      </c>
      <c r="S934" s="134">
        <v>2008</v>
      </c>
      <c r="T934" s="134">
        <v>768</v>
      </c>
      <c r="U934" s="134">
        <v>932</v>
      </c>
      <c r="V934" s="125" t="s">
        <v>261</v>
      </c>
      <c r="W934" s="141">
        <v>45730</v>
      </c>
      <c r="X934" s="140" t="s">
        <v>1569</v>
      </c>
    </row>
    <row r="935" spans="1:24" s="123" customFormat="1" x14ac:dyDescent="0.25">
      <c r="A935" s="123" t="str">
        <f t="shared" si="298"/>
        <v>291090733045730213558390,975609</v>
      </c>
      <c r="B935" s="185">
        <f t="shared" si="283"/>
        <v>45861</v>
      </c>
      <c r="C935" s="3">
        <f t="shared" si="284"/>
        <v>225873644</v>
      </c>
      <c r="D935" s="134">
        <v>2024</v>
      </c>
      <c r="E935" s="125">
        <v>2910907330</v>
      </c>
      <c r="F935" s="127" t="s">
        <v>1479</v>
      </c>
      <c r="G935" s="128">
        <v>2018154011</v>
      </c>
      <c r="H935" s="128">
        <v>225873644</v>
      </c>
      <c r="I935" s="186"/>
      <c r="J935" s="186">
        <f t="shared" si="299"/>
        <v>0.12602584291992081</v>
      </c>
      <c r="K935" s="136">
        <v>1908118697.2400002</v>
      </c>
      <c r="L935" s="187">
        <f>+K935/(1+J935)*J935</f>
        <v>213558390.97560906</v>
      </c>
      <c r="M935" s="187">
        <v>61189042.737649202</v>
      </c>
      <c r="N935" s="138">
        <f t="shared" si="311"/>
        <v>152369348.23795986</v>
      </c>
      <c r="O935" s="139">
        <f t="shared" si="307"/>
        <v>60947739</v>
      </c>
      <c r="P935" s="140" t="s">
        <v>1543</v>
      </c>
      <c r="Q935" s="134">
        <v>2005</v>
      </c>
      <c r="R935" s="188">
        <f t="shared" si="305"/>
        <v>91421609.237959862</v>
      </c>
      <c r="S935" s="134">
        <v>2006</v>
      </c>
      <c r="T935" s="134">
        <v>769</v>
      </c>
      <c r="U935" s="134">
        <v>933</v>
      </c>
      <c r="V935" s="125" t="s">
        <v>261</v>
      </c>
      <c r="W935" s="141">
        <v>45730</v>
      </c>
      <c r="X935" s="140" t="s">
        <v>1570</v>
      </c>
    </row>
    <row r="936" spans="1:24" s="123" customFormat="1" x14ac:dyDescent="0.25">
      <c r="A936" s="123" t="str">
        <f t="shared" si="298"/>
        <v>29109073434573017410714,5</v>
      </c>
      <c r="B936" s="185">
        <f t="shared" si="283"/>
        <v>45828</v>
      </c>
      <c r="C936" s="3">
        <f t="shared" si="284"/>
        <v>34821429</v>
      </c>
      <c r="D936" s="134">
        <v>2024</v>
      </c>
      <c r="E936" s="125">
        <v>2910907343</v>
      </c>
      <c r="F936" s="127" t="s">
        <v>1571</v>
      </c>
      <c r="G936" s="128">
        <v>325000000</v>
      </c>
      <c r="H936" s="128">
        <v>34821429</v>
      </c>
      <c r="I936" s="186"/>
      <c r="J936" s="186">
        <f t="shared" si="299"/>
        <v>0.12000000165415385</v>
      </c>
      <c r="K936" s="136">
        <v>162500000</v>
      </c>
      <c r="L936" s="187">
        <f>+K936/(1+J936)*J936</f>
        <v>17410714.5</v>
      </c>
      <c r="M936" s="187">
        <v>0</v>
      </c>
      <c r="N936" s="138">
        <f t="shared" si="311"/>
        <v>17410714.5</v>
      </c>
      <c r="O936" s="139">
        <f t="shared" si="307"/>
        <v>6964286</v>
      </c>
      <c r="P936" s="140" t="s">
        <v>1543</v>
      </c>
      <c r="Q936" s="134">
        <v>2009</v>
      </c>
      <c r="R936" s="188">
        <f t="shared" si="305"/>
        <v>10446428.5</v>
      </c>
      <c r="S936" s="134">
        <v>2010</v>
      </c>
      <c r="T936" s="134">
        <v>771</v>
      </c>
      <c r="U936" s="134">
        <v>935</v>
      </c>
      <c r="V936" s="125" t="s">
        <v>261</v>
      </c>
      <c r="W936" s="141">
        <v>45730</v>
      </c>
      <c r="X936" s="140" t="s">
        <v>1572</v>
      </c>
    </row>
    <row r="937" spans="1:24" s="123" customFormat="1" x14ac:dyDescent="0.25">
      <c r="A937" s="123" t="str">
        <f t="shared" si="298"/>
        <v>29109073614574116680053,6503379</v>
      </c>
      <c r="B937" s="185">
        <f t="shared" si="283"/>
        <v>45924</v>
      </c>
      <c r="C937" s="3">
        <f t="shared" si="284"/>
        <v>65955053.883445963</v>
      </c>
      <c r="D937" s="134">
        <v>2024</v>
      </c>
      <c r="E937" s="125">
        <v>2910907361</v>
      </c>
      <c r="F937" s="127" t="s">
        <v>1573</v>
      </c>
      <c r="G937" s="128">
        <v>845530500</v>
      </c>
      <c r="H937" s="128">
        <v>90592554</v>
      </c>
      <c r="I937" s="186"/>
      <c r="J937" s="186">
        <f t="shared" si="299"/>
        <v>0.12000000063581384</v>
      </c>
      <c r="K937" s="136">
        <v>155680500</v>
      </c>
      <c r="L937" s="187">
        <f>+K937/(1+J937)*J937</f>
        <v>16680053.650337866</v>
      </c>
      <c r="M937" s="187">
        <v>0</v>
      </c>
      <c r="N937" s="138">
        <f t="shared" si="311"/>
        <v>16680053.650337866</v>
      </c>
      <c r="O937" s="139">
        <f t="shared" si="307"/>
        <v>6672021</v>
      </c>
      <c r="P937" s="140" t="s">
        <v>1543</v>
      </c>
      <c r="Q937" s="134">
        <v>2076</v>
      </c>
      <c r="R937" s="188">
        <f t="shared" si="305"/>
        <v>10008032.650337866</v>
      </c>
      <c r="S937" s="134">
        <v>2077</v>
      </c>
      <c r="T937" s="134">
        <v>874</v>
      </c>
      <c r="U937" s="134">
        <v>1095</v>
      </c>
      <c r="V937" s="125" t="s">
        <v>261</v>
      </c>
      <c r="W937" s="141">
        <v>45741</v>
      </c>
      <c r="X937" s="140" t="s">
        <v>1574</v>
      </c>
    </row>
    <row r="938" spans="1:24" s="123" customFormat="1" x14ac:dyDescent="0.25">
      <c r="A938" s="123" t="str">
        <f t="shared" si="298"/>
        <v>29109073094574120199305,2780534</v>
      </c>
      <c r="B938" s="185">
        <f t="shared" si="283"/>
        <v>45741</v>
      </c>
      <c r="C938" s="3">
        <f t="shared" si="284"/>
        <v>20199305.278053362</v>
      </c>
      <c r="D938" s="134">
        <v>2024</v>
      </c>
      <c r="E938" s="125">
        <v>2910907309</v>
      </c>
      <c r="F938" s="127" t="s">
        <v>673</v>
      </c>
      <c r="G938" s="128">
        <v>398419520</v>
      </c>
      <c r="H938" s="128">
        <v>42687806</v>
      </c>
      <c r="I938" s="186"/>
      <c r="J938" s="186">
        <f t="shared" si="299"/>
        <v>0.12000000089955432</v>
      </c>
      <c r="K938" s="136">
        <v>188526848</v>
      </c>
      <c r="L938" s="187">
        <f t="shared" ref="L938" si="312">+K938/(1+J938)*J938</f>
        <v>20199305.278053362</v>
      </c>
      <c r="M938" s="187">
        <v>15040564.386382474</v>
      </c>
      <c r="N938" s="138">
        <f>+L938-M938</f>
        <v>5158740.8916708883</v>
      </c>
      <c r="O938" s="139">
        <f>ROUND((N938*40%),0)</f>
        <v>2063496</v>
      </c>
      <c r="P938" s="140" t="s">
        <v>1543</v>
      </c>
      <c r="Q938" s="134">
        <v>2054</v>
      </c>
      <c r="R938" s="188">
        <f t="shared" si="305"/>
        <v>3095244.8916708883</v>
      </c>
      <c r="S938" s="134">
        <v>2055</v>
      </c>
      <c r="T938" s="134">
        <v>871</v>
      </c>
      <c r="U938" s="134">
        <v>1096</v>
      </c>
      <c r="V938" s="125" t="s">
        <v>261</v>
      </c>
      <c r="W938" s="141">
        <v>45741</v>
      </c>
      <c r="X938" s="140" t="s">
        <v>425</v>
      </c>
    </row>
    <row r="939" spans="1:24" s="123" customFormat="1" x14ac:dyDescent="0.25">
      <c r="A939" s="123" t="str">
        <f t="shared" si="298"/>
        <v>29109073034574175459224,8659581</v>
      </c>
      <c r="B939" s="185">
        <f t="shared" si="283"/>
        <v>45741</v>
      </c>
      <c r="C939" s="3">
        <f t="shared" si="284"/>
        <v>75459224.865958109</v>
      </c>
      <c r="D939" s="134">
        <v>2024</v>
      </c>
      <c r="E939" s="125">
        <v>2910907303</v>
      </c>
      <c r="F939" s="127" t="s">
        <v>645</v>
      </c>
      <c r="G939" s="128">
        <v>1870184774</v>
      </c>
      <c r="H939" s="128">
        <v>200376940</v>
      </c>
      <c r="I939" s="186"/>
      <c r="J939" s="186">
        <f t="shared" si="299"/>
        <v>0.11999999995209029</v>
      </c>
      <c r="K939" s="136">
        <f>'[2]Factur@ Electronic@'!$L$1341+'[2]Factur@ Electronic@'!$L$1492+'[2]Factur@ Electronic@'!$L$1603</f>
        <v>704286099</v>
      </c>
      <c r="L939" s="187">
        <f>+K939/(1+J939)*J939</f>
        <v>75459224.865958109</v>
      </c>
      <c r="M939" s="187">
        <v>29906258.239339299</v>
      </c>
      <c r="N939" s="138">
        <f t="shared" si="311"/>
        <v>45552966.62661881</v>
      </c>
      <c r="O939" s="139">
        <f t="shared" ref="O939" si="313">ROUND((N939*40%),0)</f>
        <v>18221187</v>
      </c>
      <c r="P939" s="140" t="s">
        <v>1543</v>
      </c>
      <c r="Q939" s="134">
        <v>2052</v>
      </c>
      <c r="R939" s="188">
        <f t="shared" si="305"/>
        <v>27331779.62661881</v>
      </c>
      <c r="S939" s="134">
        <v>2053</v>
      </c>
      <c r="T939" s="134">
        <v>876</v>
      </c>
      <c r="U939" s="134">
        <v>1097</v>
      </c>
      <c r="V939" s="125" t="s">
        <v>261</v>
      </c>
      <c r="W939" s="141">
        <v>45741</v>
      </c>
      <c r="X939" s="140" t="s">
        <v>1575</v>
      </c>
    </row>
    <row r="940" spans="1:24" s="123" customFormat="1" x14ac:dyDescent="0.25">
      <c r="A940" s="123" t="str">
        <f t="shared" si="298"/>
        <v>245301836345377168810134,422947</v>
      </c>
      <c r="B940" s="185">
        <f t="shared" si="283"/>
        <v>45804</v>
      </c>
      <c r="C940" s="3">
        <f t="shared" si="284"/>
        <v>195445963.8411898</v>
      </c>
      <c r="D940" s="134">
        <v>2024</v>
      </c>
      <c r="E940" s="125">
        <v>2453018363</v>
      </c>
      <c r="F940" s="127" t="s">
        <v>672</v>
      </c>
      <c r="G940" s="128">
        <v>1889071553</v>
      </c>
      <c r="H940" s="128">
        <v>202400524</v>
      </c>
      <c r="I940" s="186"/>
      <c r="J940" s="186">
        <f t="shared" si="299"/>
        <v>0.1200000003082996</v>
      </c>
      <c r="K940" s="136">
        <v>1575561251</v>
      </c>
      <c r="L940" s="187">
        <f t="shared" ref="L940:L943" si="314">+K940/(1+J940)*J940</f>
        <v>168810134.42294711</v>
      </c>
      <c r="M940" s="187">
        <v>124513004.53561985</v>
      </c>
      <c r="N940" s="138">
        <f t="shared" si="311"/>
        <v>44297129.887327254</v>
      </c>
      <c r="O940" s="139">
        <f>ROUND((N940*40%),0)</f>
        <v>17718852</v>
      </c>
      <c r="P940" s="140" t="s">
        <v>1543</v>
      </c>
      <c r="Q940" s="134">
        <v>2048</v>
      </c>
      <c r="R940" s="188">
        <f t="shared" si="305"/>
        <v>26578277.887327254</v>
      </c>
      <c r="S940" s="134">
        <v>2049</v>
      </c>
      <c r="T940" s="134">
        <v>877</v>
      </c>
      <c r="U940" s="134">
        <v>1098</v>
      </c>
      <c r="V940" s="125" t="s">
        <v>261</v>
      </c>
      <c r="W940" s="141">
        <v>45377</v>
      </c>
      <c r="X940" s="140" t="s">
        <v>425</v>
      </c>
    </row>
    <row r="941" spans="1:24" s="123" customFormat="1" x14ac:dyDescent="0.25">
      <c r="A941" s="123" t="str">
        <f t="shared" si="298"/>
        <v>2910908205453771157143</v>
      </c>
      <c r="B941" s="185">
        <f t="shared" si="283"/>
        <v>45377</v>
      </c>
      <c r="C941" s="3">
        <f t="shared" si="284"/>
        <v>1157143</v>
      </c>
      <c r="D941" s="134">
        <v>2024</v>
      </c>
      <c r="E941" s="125">
        <v>2910908205</v>
      </c>
      <c r="F941" s="127" t="s">
        <v>1576</v>
      </c>
      <c r="G941" s="128">
        <v>10800000</v>
      </c>
      <c r="H941" s="128">
        <v>1157143</v>
      </c>
      <c r="I941" s="186"/>
      <c r="J941" s="186">
        <f t="shared" si="299"/>
        <v>0.12000001659259284</v>
      </c>
      <c r="K941" s="136">
        <v>10800000</v>
      </c>
      <c r="L941" s="187">
        <f t="shared" si="314"/>
        <v>1157143</v>
      </c>
      <c r="M941" s="187">
        <v>0</v>
      </c>
      <c r="N941" s="138">
        <f t="shared" si="311"/>
        <v>1157143</v>
      </c>
      <c r="O941" s="139">
        <f>ROUND((N941*40%),0)</f>
        <v>462857</v>
      </c>
      <c r="P941" s="140" t="s">
        <v>1543</v>
      </c>
      <c r="Q941" s="134">
        <v>2080</v>
      </c>
      <c r="R941" s="188">
        <f t="shared" si="305"/>
        <v>694286</v>
      </c>
      <c r="S941" s="134">
        <v>2081</v>
      </c>
      <c r="T941" s="134">
        <v>878</v>
      </c>
      <c r="U941" s="134">
        <v>1099</v>
      </c>
      <c r="V941" s="125" t="s">
        <v>261</v>
      </c>
      <c r="W941" s="141">
        <v>45377</v>
      </c>
      <c r="X941" s="140" t="s">
        <v>365</v>
      </c>
    </row>
    <row r="942" spans="1:24" s="123" customFormat="1" x14ac:dyDescent="0.25">
      <c r="A942" s="123" t="str">
        <f t="shared" si="298"/>
        <v>2910908224453775203909</v>
      </c>
      <c r="B942" s="185">
        <f t="shared" si="283"/>
        <v>45377</v>
      </c>
      <c r="C942" s="3">
        <f t="shared" si="284"/>
        <v>5203909</v>
      </c>
      <c r="D942" s="134">
        <v>2024</v>
      </c>
      <c r="E942" s="125">
        <v>2910908224</v>
      </c>
      <c r="F942" s="127" t="s">
        <v>1577</v>
      </c>
      <c r="G942" s="128">
        <v>48569820</v>
      </c>
      <c r="H942" s="128">
        <v>5203909</v>
      </c>
      <c r="I942" s="186"/>
      <c r="J942" s="186">
        <f t="shared" si="299"/>
        <v>0.11999999262093214</v>
      </c>
      <c r="K942" s="136">
        <v>48569820</v>
      </c>
      <c r="L942" s="187">
        <f t="shared" si="314"/>
        <v>5203909</v>
      </c>
      <c r="M942" s="187">
        <v>0</v>
      </c>
      <c r="N942" s="138">
        <f t="shared" si="311"/>
        <v>5203909</v>
      </c>
      <c r="O942" s="139">
        <f>ROUND((N942*40%),0)</f>
        <v>2081564</v>
      </c>
      <c r="P942" s="140" t="s">
        <v>1543</v>
      </c>
      <c r="Q942" s="134">
        <v>2092</v>
      </c>
      <c r="R942" s="188">
        <f t="shared" si="305"/>
        <v>3122345</v>
      </c>
      <c r="S942" s="134">
        <v>2093</v>
      </c>
      <c r="T942" s="134">
        <v>879</v>
      </c>
      <c r="U942" s="134">
        <v>1100</v>
      </c>
      <c r="V942" s="125" t="s">
        <v>261</v>
      </c>
      <c r="W942" s="141">
        <v>45377</v>
      </c>
      <c r="X942" s="140" t="s">
        <v>365</v>
      </c>
    </row>
    <row r="943" spans="1:24" s="123" customFormat="1" x14ac:dyDescent="0.25">
      <c r="A943" s="123" t="str">
        <f t="shared" si="298"/>
        <v>2910908203453776951429</v>
      </c>
      <c r="B943" s="185">
        <f t="shared" si="283"/>
        <v>45467</v>
      </c>
      <c r="C943" s="3">
        <f t="shared" si="284"/>
        <v>6951429</v>
      </c>
      <c r="D943" s="134">
        <v>2024</v>
      </c>
      <c r="E943" s="125">
        <v>2910908203</v>
      </c>
      <c r="F943" s="127" t="s">
        <v>692</v>
      </c>
      <c r="G943" s="128">
        <v>64880000</v>
      </c>
      <c r="H943" s="128">
        <v>6951429</v>
      </c>
      <c r="I943" s="186"/>
      <c r="J943" s="186">
        <f t="shared" si="299"/>
        <v>0.12000000828606665</v>
      </c>
      <c r="K943" s="136">
        <v>64880000</v>
      </c>
      <c r="L943" s="187">
        <f t="shared" si="314"/>
        <v>6951429</v>
      </c>
      <c r="M943" s="187">
        <v>5437499.9999999991</v>
      </c>
      <c r="N943" s="138">
        <f t="shared" si="311"/>
        <v>1513929.0000000009</v>
      </c>
      <c r="O943" s="139">
        <f t="shared" ref="O943:O945" si="315">ROUND((N943*40%),0)</f>
        <v>605572</v>
      </c>
      <c r="P943" s="140" t="s">
        <v>1543</v>
      </c>
      <c r="Q943" s="134">
        <v>2078</v>
      </c>
      <c r="R943" s="188">
        <f t="shared" si="305"/>
        <v>908357.00000000093</v>
      </c>
      <c r="S943" s="134">
        <v>2079</v>
      </c>
      <c r="T943" s="134">
        <v>880</v>
      </c>
      <c r="U943" s="134">
        <v>1101</v>
      </c>
      <c r="V943" s="125" t="s">
        <v>261</v>
      </c>
      <c r="W943" s="141">
        <v>45377</v>
      </c>
      <c r="X943" s="140" t="s">
        <v>1578</v>
      </c>
    </row>
    <row r="944" spans="1:24" s="123" customFormat="1" x14ac:dyDescent="0.25">
      <c r="A944" s="123" t="str">
        <f t="shared" si="298"/>
        <v>29109082104537744586172</v>
      </c>
      <c r="B944" s="185">
        <f t="shared" si="283"/>
        <v>45832</v>
      </c>
      <c r="C944" s="3">
        <f t="shared" si="284"/>
        <v>49499655</v>
      </c>
      <c r="D944" s="134">
        <v>2024</v>
      </c>
      <c r="E944" s="125">
        <v>2910908210</v>
      </c>
      <c r="F944" s="127" t="s">
        <v>690</v>
      </c>
      <c r="G944" s="128">
        <v>416137603</v>
      </c>
      <c r="H944" s="128">
        <v>44586172</v>
      </c>
      <c r="I944" s="186"/>
      <c r="J944" s="186">
        <f t="shared" si="299"/>
        <v>0.12000000075359689</v>
      </c>
      <c r="K944" s="136">
        <v>416137603</v>
      </c>
      <c r="L944" s="187">
        <f>+K944/(1+J944)*J944</f>
        <v>44586172</v>
      </c>
      <c r="M944" s="187">
        <v>19754057</v>
      </c>
      <c r="N944" s="138">
        <f t="shared" si="311"/>
        <v>24832115</v>
      </c>
      <c r="O944" s="139">
        <f t="shared" si="315"/>
        <v>9932846</v>
      </c>
      <c r="P944" s="140" t="s">
        <v>1543</v>
      </c>
      <c r="Q944" s="134">
        <v>2082</v>
      </c>
      <c r="R944" s="188">
        <f t="shared" si="305"/>
        <v>14899269</v>
      </c>
      <c r="S944" s="134">
        <v>2083</v>
      </c>
      <c r="T944" s="134">
        <v>881</v>
      </c>
      <c r="U944" s="134">
        <v>1102</v>
      </c>
      <c r="V944" s="125" t="s">
        <v>261</v>
      </c>
      <c r="W944" s="141">
        <v>45377</v>
      </c>
      <c r="X944" s="140" t="s">
        <v>1578</v>
      </c>
    </row>
    <row r="945" spans="1:24" s="123" customFormat="1" x14ac:dyDescent="0.25">
      <c r="A945" s="123" t="str">
        <f t="shared" si="298"/>
        <v>29109082124537710993843</v>
      </c>
      <c r="B945" s="185">
        <f t="shared" si="283"/>
        <v>45532</v>
      </c>
      <c r="C945" s="3">
        <f t="shared" si="284"/>
        <v>10993843</v>
      </c>
      <c r="D945" s="134">
        <v>2024</v>
      </c>
      <c r="E945" s="125">
        <v>2910908212</v>
      </c>
      <c r="F945" s="127" t="s">
        <v>703</v>
      </c>
      <c r="G945" s="128">
        <v>102609220</v>
      </c>
      <c r="H945" s="128">
        <v>10993843</v>
      </c>
      <c r="I945" s="186"/>
      <c r="J945" s="186">
        <f t="shared" si="299"/>
        <v>0.11999997554995599</v>
      </c>
      <c r="K945" s="136">
        <v>102609220</v>
      </c>
      <c r="L945" s="187">
        <f t="shared" ref="L945:L948" si="316">+K945/(1+J945)*J945</f>
        <v>10993843</v>
      </c>
      <c r="M945" s="187">
        <v>4303929</v>
      </c>
      <c r="N945" s="138">
        <f t="shared" si="311"/>
        <v>6689914</v>
      </c>
      <c r="O945" s="139">
        <f t="shared" si="315"/>
        <v>2675966</v>
      </c>
      <c r="P945" s="140" t="s">
        <v>1543</v>
      </c>
      <c r="Q945" s="134">
        <v>2084</v>
      </c>
      <c r="R945" s="188">
        <f t="shared" si="305"/>
        <v>4013948</v>
      </c>
      <c r="S945" s="134">
        <v>2085</v>
      </c>
      <c r="T945" s="134">
        <v>882</v>
      </c>
      <c r="U945" s="134">
        <v>1103</v>
      </c>
      <c r="V945" s="125" t="s">
        <v>261</v>
      </c>
      <c r="W945" s="141">
        <v>45377</v>
      </c>
      <c r="X945" s="140" t="s">
        <v>1578</v>
      </c>
    </row>
    <row r="946" spans="1:24" s="123" customFormat="1" x14ac:dyDescent="0.25">
      <c r="A946" s="123" t="str">
        <f t="shared" si="298"/>
        <v>29109082134537713236895</v>
      </c>
      <c r="B946" s="185">
        <f t="shared" si="283"/>
        <v>45532</v>
      </c>
      <c r="C946" s="3">
        <f t="shared" si="284"/>
        <v>13236895</v>
      </c>
      <c r="D946" s="134">
        <v>2024</v>
      </c>
      <c r="E946" s="125">
        <v>2910908213</v>
      </c>
      <c r="F946" s="127" t="s">
        <v>704</v>
      </c>
      <c r="G946" s="128">
        <v>123544350</v>
      </c>
      <c r="H946" s="128">
        <v>13236895</v>
      </c>
      <c r="I946" s="186"/>
      <c r="J946" s="186">
        <f t="shared" si="299"/>
        <v>0.12000000362622816</v>
      </c>
      <c r="K946" s="136">
        <v>123544350</v>
      </c>
      <c r="L946" s="187">
        <f t="shared" si="316"/>
        <v>13236895</v>
      </c>
      <c r="M946" s="187">
        <v>4387500</v>
      </c>
      <c r="N946" s="138">
        <f>+L946-M946</f>
        <v>8849395</v>
      </c>
      <c r="O946" s="139">
        <f>ROUND((N946*40%),0)</f>
        <v>3539758</v>
      </c>
      <c r="P946" s="140" t="s">
        <v>1543</v>
      </c>
      <c r="Q946" s="134">
        <v>2086</v>
      </c>
      <c r="R946" s="188">
        <f t="shared" si="305"/>
        <v>5309637</v>
      </c>
      <c r="S946" s="134">
        <v>2087</v>
      </c>
      <c r="T946" s="134">
        <v>883</v>
      </c>
      <c r="U946" s="134">
        <v>1101</v>
      </c>
      <c r="V946" s="125" t="s">
        <v>261</v>
      </c>
      <c r="W946" s="141">
        <v>45377</v>
      </c>
      <c r="X946" s="140" t="s">
        <v>1578</v>
      </c>
    </row>
    <row r="947" spans="1:24" s="123" customFormat="1" x14ac:dyDescent="0.25">
      <c r="A947" s="123" t="str">
        <f t="shared" si="298"/>
        <v>29109082144537751009215</v>
      </c>
      <c r="B947" s="185">
        <f t="shared" si="283"/>
        <v>45377</v>
      </c>
      <c r="C947" s="3">
        <f t="shared" si="284"/>
        <v>51009215</v>
      </c>
      <c r="D947" s="134">
        <v>2024</v>
      </c>
      <c r="E947" s="125">
        <v>2910908214</v>
      </c>
      <c r="F947" s="127" t="s">
        <v>1579</v>
      </c>
      <c r="G947" s="128">
        <v>476086000</v>
      </c>
      <c r="H947" s="128">
        <v>51009215</v>
      </c>
      <c r="I947" s="186"/>
      <c r="J947" s="186">
        <f t="shared" si="299"/>
        <v>0.12000000188201292</v>
      </c>
      <c r="K947" s="136">
        <v>476086000</v>
      </c>
      <c r="L947" s="187">
        <f t="shared" si="316"/>
        <v>51009215</v>
      </c>
      <c r="M947" s="187">
        <v>0</v>
      </c>
      <c r="N947" s="138">
        <v>51009214</v>
      </c>
      <c r="O947" s="139">
        <f>ROUND((N947*40%),0)</f>
        <v>20403686</v>
      </c>
      <c r="P947" s="140" t="s">
        <v>1543</v>
      </c>
      <c r="Q947" s="134">
        <v>2088</v>
      </c>
      <c r="R947" s="188">
        <f t="shared" si="305"/>
        <v>30605528</v>
      </c>
      <c r="S947" s="134">
        <v>2089</v>
      </c>
      <c r="T947" s="134">
        <v>884</v>
      </c>
      <c r="U947" s="134">
        <v>1105</v>
      </c>
      <c r="V947" s="125" t="s">
        <v>261</v>
      </c>
      <c r="W947" s="141">
        <v>45377</v>
      </c>
      <c r="X947" s="140" t="s">
        <v>365</v>
      </c>
    </row>
    <row r="948" spans="1:24" s="123" customFormat="1" x14ac:dyDescent="0.25">
      <c r="A948" s="123" t="str">
        <f t="shared" si="298"/>
        <v>2910908217453771663393</v>
      </c>
      <c r="B948" s="185">
        <f t="shared" si="283"/>
        <v>45377</v>
      </c>
      <c r="C948" s="3">
        <f t="shared" si="284"/>
        <v>1663393.0000000002</v>
      </c>
      <c r="D948" s="134">
        <v>2024</v>
      </c>
      <c r="E948" s="125">
        <v>2910908217</v>
      </c>
      <c r="F948" s="127" t="s">
        <v>1580</v>
      </c>
      <c r="G948" s="128">
        <v>15525000</v>
      </c>
      <c r="H948" s="128">
        <v>1663393</v>
      </c>
      <c r="I948" s="186"/>
      <c r="J948" s="186">
        <f t="shared" si="299"/>
        <v>0.12000001154267323</v>
      </c>
      <c r="K948" s="136">
        <v>15525000</v>
      </c>
      <c r="L948" s="187">
        <f t="shared" si="316"/>
        <v>1663393.0000000002</v>
      </c>
      <c r="M948" s="187">
        <v>0</v>
      </c>
      <c r="N948" s="138">
        <f>+L948-M948</f>
        <v>1663393.0000000002</v>
      </c>
      <c r="O948" s="139">
        <f>ROUND((N948*40%),0)</f>
        <v>665357</v>
      </c>
      <c r="P948" s="140" t="s">
        <v>1543</v>
      </c>
      <c r="Q948" s="134">
        <v>2090</v>
      </c>
      <c r="R948" s="188">
        <f t="shared" si="305"/>
        <v>998036.00000000023</v>
      </c>
      <c r="S948" s="134">
        <v>2091</v>
      </c>
      <c r="T948" s="134">
        <v>885</v>
      </c>
      <c r="U948" s="134">
        <v>1106</v>
      </c>
      <c r="V948" s="125" t="s">
        <v>261</v>
      </c>
      <c r="W948" s="141">
        <v>45377</v>
      </c>
      <c r="X948" s="140" t="s">
        <v>365</v>
      </c>
    </row>
    <row r="949" spans="1:24" s="123" customFormat="1" x14ac:dyDescent="0.25">
      <c r="A949" s="123" t="str">
        <f t="shared" si="298"/>
        <v>29109073414574215360621,2647248</v>
      </c>
      <c r="B949" s="185">
        <f t="shared" si="283"/>
        <v>45742</v>
      </c>
      <c r="C949" s="3">
        <f t="shared" si="284"/>
        <v>15360621.264724802</v>
      </c>
      <c r="D949" s="134">
        <v>2024</v>
      </c>
      <c r="E949" s="125">
        <v>2910907341</v>
      </c>
      <c r="F949" s="127" t="s">
        <v>1486</v>
      </c>
      <c r="G949" s="128">
        <v>250000000</v>
      </c>
      <c r="H949" s="128">
        <v>26785714</v>
      </c>
      <c r="I949" s="186"/>
      <c r="J949" s="186">
        <f t="shared" si="299"/>
        <v>0.11999999856640001</v>
      </c>
      <c r="K949" s="136">
        <v>143365800</v>
      </c>
      <c r="L949" s="187">
        <f>+K949/(1+J949)*J949</f>
        <v>15360621.264724802</v>
      </c>
      <c r="M949" s="187">
        <v>10714285.6</v>
      </c>
      <c r="N949" s="138">
        <f t="shared" ref="N949:N954" si="317">+L949-M949</f>
        <v>4646335.6647248026</v>
      </c>
      <c r="O949" s="139">
        <f t="shared" ref="O949:O956" si="318">ROUND((N949*40%),0)</f>
        <v>1858534</v>
      </c>
      <c r="P949" s="140" t="s">
        <v>1543</v>
      </c>
      <c r="Q949" s="134">
        <v>2060</v>
      </c>
      <c r="R949" s="188">
        <f>+N949-O949</f>
        <v>2787801.6647248026</v>
      </c>
      <c r="S949" s="134">
        <v>2061</v>
      </c>
      <c r="T949" s="134">
        <v>886</v>
      </c>
      <c r="U949" s="134">
        <v>1107</v>
      </c>
      <c r="V949" s="125" t="s">
        <v>261</v>
      </c>
      <c r="W949" s="141">
        <v>45742</v>
      </c>
      <c r="X949" s="140" t="s">
        <v>1581</v>
      </c>
    </row>
    <row r="950" spans="1:24" s="123" customFormat="1" x14ac:dyDescent="0.25">
      <c r="A950" s="123" t="str">
        <f t="shared" si="298"/>
        <v>2910907360457426943071,67006957</v>
      </c>
      <c r="B950" s="185">
        <f t="shared" si="283"/>
        <v>45742</v>
      </c>
      <c r="C950" s="3">
        <f t="shared" si="284"/>
        <v>6943071.6700695651</v>
      </c>
      <c r="D950" s="134">
        <v>2024</v>
      </c>
      <c r="E950" s="125">
        <v>2910907360</v>
      </c>
      <c r="F950" s="127" t="s">
        <v>1582</v>
      </c>
      <c r="G950" s="128">
        <v>115000000</v>
      </c>
      <c r="H950" s="128">
        <v>12321429</v>
      </c>
      <c r="I950" s="186"/>
      <c r="J950" s="186">
        <f t="shared" si="299"/>
        <v>0.12000000467478263</v>
      </c>
      <c r="K950" s="136">
        <v>64802000</v>
      </c>
      <c r="L950" s="187">
        <f>+K950/(1+J950)*J950</f>
        <v>6943071.6700695651</v>
      </c>
      <c r="M950" s="187">
        <v>0</v>
      </c>
      <c r="N950" s="138">
        <f t="shared" si="317"/>
        <v>6943071.6700695651</v>
      </c>
      <c r="O950" s="139">
        <f t="shared" si="318"/>
        <v>2777229</v>
      </c>
      <c r="P950" s="140" t="s">
        <v>1543</v>
      </c>
      <c r="Q950" s="134">
        <v>2074</v>
      </c>
      <c r="R950" s="188">
        <f>+N950-O950</f>
        <v>4165842.6700695651</v>
      </c>
      <c r="S950" s="134">
        <v>2075</v>
      </c>
      <c r="T950" s="134">
        <v>887</v>
      </c>
      <c r="U950" s="134">
        <v>1108</v>
      </c>
      <c r="V950" s="125" t="s">
        <v>261</v>
      </c>
      <c r="W950" s="141">
        <v>45742</v>
      </c>
      <c r="X950" s="140" t="s">
        <v>1583</v>
      </c>
    </row>
    <row r="951" spans="1:24" s="123" customFormat="1" x14ac:dyDescent="0.25">
      <c r="A951" s="123" t="str">
        <f t="shared" si="298"/>
        <v>2910907352457422957143,12</v>
      </c>
      <c r="B951" s="185">
        <f t="shared" si="283"/>
        <v>45742</v>
      </c>
      <c r="C951" s="3">
        <f t="shared" si="284"/>
        <v>2957143.1199999996</v>
      </c>
      <c r="D951" s="134">
        <v>2024</v>
      </c>
      <c r="E951" s="125">
        <v>2910907352</v>
      </c>
      <c r="F951" s="127" t="s">
        <v>1584</v>
      </c>
      <c r="G951" s="128">
        <v>30000000</v>
      </c>
      <c r="H951" s="128">
        <v>3214286</v>
      </c>
      <c r="I951" s="186"/>
      <c r="J951" s="186">
        <f t="shared" si="299"/>
        <v>0.12000001194666679</v>
      </c>
      <c r="K951" s="136">
        <v>27600000</v>
      </c>
      <c r="L951" s="187">
        <f>+K951/(1+J951)*J951</f>
        <v>2957143.1199999996</v>
      </c>
      <c r="M951" s="187">
        <v>0</v>
      </c>
      <c r="N951" s="138">
        <f t="shared" si="317"/>
        <v>2957143.1199999996</v>
      </c>
      <c r="O951" s="139">
        <f t="shared" si="318"/>
        <v>1182857</v>
      </c>
      <c r="P951" s="140" t="s">
        <v>1543</v>
      </c>
      <c r="Q951" s="134">
        <v>2068</v>
      </c>
      <c r="R951" s="188">
        <f>+N951-O951</f>
        <v>1774286.1199999996</v>
      </c>
      <c r="S951" s="134">
        <v>2069</v>
      </c>
      <c r="T951" s="134">
        <v>888</v>
      </c>
      <c r="U951" s="134">
        <v>1109</v>
      </c>
      <c r="V951" s="125" t="s">
        <v>261</v>
      </c>
      <c r="W951" s="141">
        <v>45742</v>
      </c>
      <c r="X951" s="140" t="s">
        <v>1585</v>
      </c>
    </row>
    <row r="952" spans="1:24" s="123" customFormat="1" x14ac:dyDescent="0.25">
      <c r="A952" s="123" t="str">
        <f t="shared" si="298"/>
        <v>2910907353457423321429</v>
      </c>
      <c r="B952" s="185">
        <f t="shared" si="283"/>
        <v>45742</v>
      </c>
      <c r="C952" s="3">
        <f t="shared" si="284"/>
        <v>3321429</v>
      </c>
      <c r="D952" s="134">
        <v>2024</v>
      </c>
      <c r="E952" s="125">
        <v>2910907353</v>
      </c>
      <c r="F952" s="127" t="s">
        <v>1586</v>
      </c>
      <c r="G952" s="128">
        <v>31000000</v>
      </c>
      <c r="H952" s="128">
        <v>3321429</v>
      </c>
      <c r="I952" s="186"/>
      <c r="J952" s="186">
        <f t="shared" si="299"/>
        <v>0.12000001734193576</v>
      </c>
      <c r="K952" s="136">
        <v>31000000</v>
      </c>
      <c r="L952" s="187">
        <f>+K952/(1+J952)*J952</f>
        <v>3321429</v>
      </c>
      <c r="M952" s="187">
        <v>0</v>
      </c>
      <c r="N952" s="138">
        <f t="shared" si="317"/>
        <v>3321429</v>
      </c>
      <c r="O952" s="139">
        <f t="shared" si="318"/>
        <v>1328572</v>
      </c>
      <c r="P952" s="140" t="s">
        <v>1543</v>
      </c>
      <c r="Q952" s="134">
        <v>2070</v>
      </c>
      <c r="R952" s="188">
        <f>+N952-O952</f>
        <v>1992857</v>
      </c>
      <c r="S952" s="134">
        <v>2071</v>
      </c>
      <c r="T952" s="134">
        <v>889</v>
      </c>
      <c r="U952" s="134">
        <v>1110</v>
      </c>
      <c r="V952" s="125" t="s">
        <v>261</v>
      </c>
      <c r="W952" s="141">
        <v>45742</v>
      </c>
      <c r="X952" s="140" t="s">
        <v>1585</v>
      </c>
    </row>
    <row r="953" spans="1:24" s="123" customFormat="1" x14ac:dyDescent="0.25">
      <c r="A953" s="123" t="str">
        <f t="shared" si="298"/>
        <v>29109072214574225740314,1087143</v>
      </c>
      <c r="B953" s="185">
        <f t="shared" si="283"/>
        <v>45742</v>
      </c>
      <c r="C953" s="3">
        <f t="shared" si="284"/>
        <v>25740314.108714286</v>
      </c>
      <c r="D953" s="134">
        <v>2023</v>
      </c>
      <c r="E953" s="125">
        <v>2910907221</v>
      </c>
      <c r="F953" s="127" t="s">
        <v>330</v>
      </c>
      <c r="G953" s="128">
        <v>242915000</v>
      </c>
      <c r="H953" s="128">
        <v>26026607</v>
      </c>
      <c r="I953" s="186"/>
      <c r="J953" s="186">
        <f t="shared" si="299"/>
        <v>0.11999999926229339</v>
      </c>
      <c r="K953" s="136">
        <v>240242933</v>
      </c>
      <c r="L953" s="187">
        <f>+K953/(1+J953)*J953</f>
        <v>25740314.108714286</v>
      </c>
      <c r="M953" s="187">
        <v>23166283</v>
      </c>
      <c r="N953" s="138">
        <f t="shared" si="317"/>
        <v>2574031.1087142862</v>
      </c>
      <c r="O953" s="139">
        <f t="shared" si="318"/>
        <v>1029612</v>
      </c>
      <c r="P953" s="140" t="s">
        <v>1543</v>
      </c>
      <c r="Q953" s="134">
        <v>2050</v>
      </c>
      <c r="R953" s="188">
        <f t="shared" ref="R953" si="319">+N953-O953</f>
        <v>1544419.1087142862</v>
      </c>
      <c r="S953" s="134">
        <v>2051</v>
      </c>
      <c r="T953" s="134">
        <v>890</v>
      </c>
      <c r="U953" s="134">
        <v>1111</v>
      </c>
      <c r="V953" s="125" t="s">
        <v>261</v>
      </c>
      <c r="W953" s="141">
        <v>45742</v>
      </c>
      <c r="X953" s="140" t="s">
        <v>1587</v>
      </c>
    </row>
    <row r="954" spans="1:24" s="123" customFormat="1" x14ac:dyDescent="0.25">
      <c r="A954" s="123" t="str">
        <f t="shared" si="298"/>
        <v>29109073424574213950000,0618762</v>
      </c>
      <c r="B954" s="185">
        <f t="shared" si="283"/>
        <v>45924</v>
      </c>
      <c r="C954" s="3">
        <f t="shared" si="284"/>
        <v>32207143</v>
      </c>
      <c r="D954" s="134">
        <v>2024</v>
      </c>
      <c r="E954" s="125">
        <v>2910907342</v>
      </c>
      <c r="F954" s="127" t="s">
        <v>1487</v>
      </c>
      <c r="G954" s="128">
        <v>300600000</v>
      </c>
      <c r="H954" s="128">
        <v>32207143</v>
      </c>
      <c r="I954" s="186"/>
      <c r="J954" s="186">
        <f t="shared" si="299"/>
        <v>0.12000000059614105</v>
      </c>
      <c r="K954" s="136">
        <v>130200000</v>
      </c>
      <c r="L954" s="187">
        <f t="shared" ref="L954:L956" si="320">+K954/(1+J954)*J954</f>
        <v>13950000.061876249</v>
      </c>
      <c r="M954" s="187">
        <v>10735714.333333334</v>
      </c>
      <c r="N954" s="138">
        <f t="shared" si="317"/>
        <v>3214285.7285429146</v>
      </c>
      <c r="O954" s="139">
        <f t="shared" si="318"/>
        <v>1285714</v>
      </c>
      <c r="P954" s="140" t="s">
        <v>1543</v>
      </c>
      <c r="Q954" s="134">
        <v>2062</v>
      </c>
      <c r="R954" s="188">
        <f>+N954-O954</f>
        <v>1928571.7285429146</v>
      </c>
      <c r="S954" s="134">
        <v>2063</v>
      </c>
      <c r="T954" s="134">
        <v>891</v>
      </c>
      <c r="U954" s="134">
        <v>1112</v>
      </c>
      <c r="V954" s="125" t="s">
        <v>261</v>
      </c>
      <c r="W954" s="141">
        <v>45742</v>
      </c>
      <c r="X954" s="140" t="s">
        <v>1588</v>
      </c>
    </row>
    <row r="955" spans="1:24" s="123" customFormat="1" x14ac:dyDescent="0.25">
      <c r="A955" s="123" t="str">
        <f t="shared" si="298"/>
        <v>2910907344457425571429</v>
      </c>
      <c r="B955" s="185">
        <f t="shared" si="283"/>
        <v>45742</v>
      </c>
      <c r="C955" s="3">
        <f t="shared" si="284"/>
        <v>5571428.9999999991</v>
      </c>
      <c r="D955" s="134">
        <v>2024</v>
      </c>
      <c r="E955" s="125">
        <v>2910907344</v>
      </c>
      <c r="F955" s="127" t="s">
        <v>1589</v>
      </c>
      <c r="G955" s="128">
        <v>52000000</v>
      </c>
      <c r="H955" s="128">
        <v>5571429</v>
      </c>
      <c r="I955" s="186"/>
      <c r="J955" s="186">
        <f t="shared" si="299"/>
        <v>0.12000001033846164</v>
      </c>
      <c r="K955" s="136">
        <v>52000000</v>
      </c>
      <c r="L955" s="187">
        <f t="shared" si="320"/>
        <v>5571428.9999999991</v>
      </c>
      <c r="M955" s="187">
        <v>0</v>
      </c>
      <c r="N955" s="138">
        <f>+L955-M955</f>
        <v>5571428.9999999991</v>
      </c>
      <c r="O955" s="139">
        <f t="shared" si="318"/>
        <v>2228572</v>
      </c>
      <c r="P955" s="140" t="s">
        <v>1543</v>
      </c>
      <c r="Q955" s="134">
        <v>2064</v>
      </c>
      <c r="R955" s="188">
        <f>+N955-O955</f>
        <v>3342856.9999999991</v>
      </c>
      <c r="S955" s="134">
        <v>2065</v>
      </c>
      <c r="T955" s="134">
        <v>892</v>
      </c>
      <c r="U955" s="134">
        <v>1113</v>
      </c>
      <c r="V955" s="125" t="s">
        <v>261</v>
      </c>
      <c r="W955" s="141">
        <v>45742</v>
      </c>
      <c r="X955" s="140" t="s">
        <v>1590</v>
      </c>
    </row>
    <row r="956" spans="1:24" s="123" customFormat="1" x14ac:dyDescent="0.25">
      <c r="A956" s="123" t="str">
        <f t="shared" si="298"/>
        <v>2910907350457424607143</v>
      </c>
      <c r="B956" s="185">
        <f t="shared" si="283"/>
        <v>45742</v>
      </c>
      <c r="C956" s="3">
        <f t="shared" si="284"/>
        <v>4607143</v>
      </c>
      <c r="D956" s="134">
        <v>2024</v>
      </c>
      <c r="E956" s="125">
        <v>2910907350</v>
      </c>
      <c r="F956" s="127" t="s">
        <v>1591</v>
      </c>
      <c r="G956" s="128">
        <v>43000000</v>
      </c>
      <c r="H956" s="128">
        <v>4607143</v>
      </c>
      <c r="I956" s="186"/>
      <c r="J956" s="186">
        <f t="shared" si="299"/>
        <v>0.12000000416744187</v>
      </c>
      <c r="K956" s="136">
        <v>43000000</v>
      </c>
      <c r="L956" s="187">
        <f t="shared" si="320"/>
        <v>4607143</v>
      </c>
      <c r="M956" s="187">
        <v>0</v>
      </c>
      <c r="N956" s="138">
        <f>+L956-M956</f>
        <v>4607143</v>
      </c>
      <c r="O956" s="139">
        <f t="shared" si="318"/>
        <v>1842857</v>
      </c>
      <c r="P956" s="140" t="s">
        <v>1543</v>
      </c>
      <c r="Q956" s="134">
        <v>2066</v>
      </c>
      <c r="R956" s="188">
        <f>+N956-O956</f>
        <v>2764286</v>
      </c>
      <c r="S956" s="134">
        <v>2067</v>
      </c>
      <c r="T956" s="134">
        <v>893</v>
      </c>
      <c r="U956" s="134">
        <v>1114</v>
      </c>
      <c r="V956" s="125" t="s">
        <v>261</v>
      </c>
      <c r="W956" s="141">
        <v>45742</v>
      </c>
      <c r="X956" s="140" t="s">
        <v>1592</v>
      </c>
    </row>
    <row r="957" spans="1:24" s="123" customFormat="1" x14ac:dyDescent="0.25">
      <c r="A957" s="123" t="str">
        <f t="shared" si="298"/>
        <v>29109073104574264900000</v>
      </c>
      <c r="B957" s="185">
        <f t="shared" si="283"/>
        <v>45742</v>
      </c>
      <c r="C957" s="3">
        <f t="shared" si="284"/>
        <v>64900000</v>
      </c>
      <c r="D957" s="134">
        <v>2024</v>
      </c>
      <c r="E957" s="125">
        <v>2910907310</v>
      </c>
      <c r="F957" s="127" t="s">
        <v>669</v>
      </c>
      <c r="G957" s="128">
        <v>606400000</v>
      </c>
      <c r="H957" s="128">
        <v>64900000</v>
      </c>
      <c r="I957" s="186"/>
      <c r="J957" s="186">
        <f t="shared" si="299"/>
        <v>0.1198522622345337</v>
      </c>
      <c r="K957" s="136">
        <v>606400000</v>
      </c>
      <c r="L957" s="187">
        <f>+K957/(1+J957)*J957</f>
        <v>64900000</v>
      </c>
      <c r="M957" s="187">
        <v>35700000.285599999</v>
      </c>
      <c r="N957" s="138">
        <v>29199999</v>
      </c>
      <c r="O957" s="139">
        <f>ROUND((N957*40%),0)</f>
        <v>11680000</v>
      </c>
      <c r="P957" s="140" t="s">
        <v>1543</v>
      </c>
      <c r="Q957" s="134">
        <v>2056</v>
      </c>
      <c r="R957" s="188">
        <f t="shared" ref="R957:R960" si="321">+N957-O957</f>
        <v>17519999</v>
      </c>
      <c r="S957" s="134">
        <v>2057</v>
      </c>
      <c r="T957" s="134">
        <v>894</v>
      </c>
      <c r="U957" s="134">
        <v>1115</v>
      </c>
      <c r="V957" s="125" t="s">
        <v>261</v>
      </c>
      <c r="W957" s="141">
        <v>45742</v>
      </c>
      <c r="X957" s="140" t="s">
        <v>1593</v>
      </c>
    </row>
    <row r="958" spans="1:24" s="123" customFormat="1" x14ac:dyDescent="0.25">
      <c r="A958" s="123" t="str">
        <f t="shared" si="298"/>
        <v>29109073394574210748357,1428571</v>
      </c>
      <c r="B958" s="185">
        <f t="shared" si="283"/>
        <v>45742</v>
      </c>
      <c r="C958" s="3">
        <f t="shared" si="284"/>
        <v>10748357.142857142</v>
      </c>
      <c r="D958" s="134">
        <v>2024</v>
      </c>
      <c r="E958" s="125">
        <v>2910907339</v>
      </c>
      <c r="F958" s="127" t="s">
        <v>1594</v>
      </c>
      <c r="G958" s="128">
        <v>111464444</v>
      </c>
      <c r="H958" s="128">
        <v>11942619</v>
      </c>
      <c r="I958" s="186"/>
      <c r="J958" s="186">
        <f t="shared" si="299"/>
        <v>0.12</v>
      </c>
      <c r="K958" s="136">
        <v>100318000</v>
      </c>
      <c r="L958" s="187">
        <f>+K958/(1+J958)*J958</f>
        <v>10748357.142857142</v>
      </c>
      <c r="M958" s="187">
        <v>0</v>
      </c>
      <c r="N958" s="138">
        <f>+L958-M958</f>
        <v>10748357.142857142</v>
      </c>
      <c r="O958" s="139">
        <f>ROUND((N958*40%),0)</f>
        <v>4299343</v>
      </c>
      <c r="P958" s="140" t="s">
        <v>1543</v>
      </c>
      <c r="Q958" s="134">
        <v>2058</v>
      </c>
      <c r="R958" s="188">
        <f t="shared" si="321"/>
        <v>6449014.1428571418</v>
      </c>
      <c r="S958" s="134">
        <v>2059</v>
      </c>
      <c r="T958" s="134">
        <v>895</v>
      </c>
      <c r="U958" s="134">
        <v>1116</v>
      </c>
      <c r="V958" s="125" t="s">
        <v>261</v>
      </c>
      <c r="W958" s="141">
        <v>45742</v>
      </c>
      <c r="X958" s="140" t="s">
        <v>1595</v>
      </c>
    </row>
    <row r="959" spans="1:24" s="123" customFormat="1" x14ac:dyDescent="0.25">
      <c r="A959" s="123" t="str">
        <f t="shared" si="298"/>
        <v>2910907354457422678571</v>
      </c>
      <c r="B959" s="185">
        <f t="shared" si="283"/>
        <v>45742</v>
      </c>
      <c r="C959" s="3">
        <f t="shared" si="284"/>
        <v>2678571</v>
      </c>
      <c r="D959" s="134">
        <v>2024</v>
      </c>
      <c r="E959" s="125">
        <v>2910907354</v>
      </c>
      <c r="F959" s="127" t="s">
        <v>1596</v>
      </c>
      <c r="G959" s="128">
        <v>25000000</v>
      </c>
      <c r="H959" s="128">
        <v>2678571</v>
      </c>
      <c r="I959" s="186"/>
      <c r="J959" s="186">
        <f t="shared" si="299"/>
        <v>0.11999997849600041</v>
      </c>
      <c r="K959" s="136">
        <v>25000000</v>
      </c>
      <c r="L959" s="187">
        <f>+K959/(1+J959)*J959</f>
        <v>2678571</v>
      </c>
      <c r="M959" s="187">
        <v>0</v>
      </c>
      <c r="N959" s="138">
        <f>+L959-M959</f>
        <v>2678571</v>
      </c>
      <c r="O959" s="139">
        <f>ROUND((N959*40%),0)</f>
        <v>1071428</v>
      </c>
      <c r="P959" s="140" t="s">
        <v>1543</v>
      </c>
      <c r="Q959" s="134">
        <v>2072</v>
      </c>
      <c r="R959" s="188">
        <f t="shared" si="321"/>
        <v>1607143</v>
      </c>
      <c r="S959" s="134">
        <v>2073</v>
      </c>
      <c r="T959" s="134">
        <v>896</v>
      </c>
      <c r="U959" s="134">
        <v>1117</v>
      </c>
      <c r="V959" s="125" t="s">
        <v>261</v>
      </c>
      <c r="W959" s="141">
        <v>45742</v>
      </c>
      <c r="X959" s="140" t="s">
        <v>1597</v>
      </c>
    </row>
    <row r="960" spans="1:24" s="123" customFormat="1" x14ac:dyDescent="0.25">
      <c r="A960" s="123" t="str">
        <f t="shared" si="298"/>
        <v>2453018350457431344604500</v>
      </c>
      <c r="B960" s="185">
        <f t="shared" si="283"/>
        <v>45743</v>
      </c>
      <c r="C960" s="3">
        <f t="shared" si="284"/>
        <v>1344604499.9999998</v>
      </c>
      <c r="D960" s="134">
        <v>2023</v>
      </c>
      <c r="E960" s="125">
        <v>2453018350</v>
      </c>
      <c r="F960" s="127" t="s">
        <v>450</v>
      </c>
      <c r="G960" s="128">
        <v>16284654500</v>
      </c>
      <c r="H960" s="128">
        <v>1344604500</v>
      </c>
      <c r="I960" s="186"/>
      <c r="J960" s="186">
        <f t="shared" si="299"/>
        <v>0.09</v>
      </c>
      <c r="K960" s="136">
        <v>16284654500</v>
      </c>
      <c r="L960" s="187">
        <f t="shared" ref="L960" si="322">+K960/(1+J960)*J960</f>
        <v>1344604499.9999998</v>
      </c>
      <c r="M960" s="187">
        <v>1297311655.6238501</v>
      </c>
      <c r="N960" s="138">
        <f t="shared" ref="N960:N961" si="323">+L960-M960</f>
        <v>47292844.376149654</v>
      </c>
      <c r="O960" s="139">
        <f>ROUND((N960*40%),0)</f>
        <v>18917138</v>
      </c>
      <c r="P960" s="140" t="s">
        <v>1543</v>
      </c>
      <c r="Q960" s="134">
        <v>2094</v>
      </c>
      <c r="R960" s="188">
        <f t="shared" si="321"/>
        <v>28375706.376149654</v>
      </c>
      <c r="S960" s="134">
        <v>2095</v>
      </c>
      <c r="T960" s="134">
        <v>904</v>
      </c>
      <c r="U960" s="134">
        <v>1141</v>
      </c>
      <c r="V960" s="125" t="s">
        <v>261</v>
      </c>
      <c r="W960" s="141">
        <v>45743</v>
      </c>
      <c r="X960" s="140" t="s">
        <v>451</v>
      </c>
    </row>
    <row r="961" spans="1:24" s="123" customFormat="1" x14ac:dyDescent="0.25">
      <c r="A961" s="123" t="str">
        <f t="shared" si="298"/>
        <v>29109073164567431257990</v>
      </c>
      <c r="B961" s="185">
        <f t="shared" si="283"/>
        <v>45674</v>
      </c>
      <c r="C961" s="3">
        <f t="shared" si="284"/>
        <v>31257989.999999996</v>
      </c>
      <c r="D961" s="134">
        <v>2024</v>
      </c>
      <c r="E961" s="125">
        <v>2910907316</v>
      </c>
      <c r="F961" s="127" t="s">
        <v>674</v>
      </c>
      <c r="G961" s="128">
        <v>291741240</v>
      </c>
      <c r="H961" s="128">
        <v>31257990</v>
      </c>
      <c r="I961" s="186"/>
      <c r="J961" s="186">
        <f t="shared" si="299"/>
        <v>0.12</v>
      </c>
      <c r="K961" s="136">
        <v>291741240</v>
      </c>
      <c r="L961" s="187">
        <f>+K961/(1+J961)*J961</f>
        <v>31257989.999999996</v>
      </c>
      <c r="M961" s="187">
        <v>18754794</v>
      </c>
      <c r="N961" s="138">
        <f t="shared" si="323"/>
        <v>12503195.999999996</v>
      </c>
      <c r="O961" s="139">
        <f t="shared" ref="O961:O963" si="324">ROUND((N961*40%),0)</f>
        <v>5001278</v>
      </c>
      <c r="P961" s="140" t="s">
        <v>1543</v>
      </c>
      <c r="Q961" s="134">
        <v>2042</v>
      </c>
      <c r="R961" s="188">
        <f>+N961-O961</f>
        <v>7501917.9999999963</v>
      </c>
      <c r="S961" s="134">
        <v>2043</v>
      </c>
      <c r="T961" s="134">
        <v>155</v>
      </c>
      <c r="U961" s="134">
        <v>105</v>
      </c>
      <c r="V961" s="125" t="s">
        <v>261</v>
      </c>
      <c r="W961" s="141">
        <v>45674</v>
      </c>
      <c r="X961" s="140" t="s">
        <v>1598</v>
      </c>
    </row>
    <row r="962" spans="1:24" s="123" customFormat="1" x14ac:dyDescent="0.25">
      <c r="A962" s="123" t="str">
        <f t="shared" ref="A962:A967" si="325">_xlfn.CONCAT(E962,W962,L962)</f>
        <v>2910907355457308035714,3</v>
      </c>
      <c r="B962" s="185">
        <f t="shared" si="283"/>
        <v>45861</v>
      </c>
      <c r="C962" s="3">
        <f t="shared" si="284"/>
        <v>160714286</v>
      </c>
      <c r="D962" s="189">
        <v>2024</v>
      </c>
      <c r="E962" s="190">
        <v>2910907355</v>
      </c>
      <c r="F962" s="191" t="s">
        <v>1637</v>
      </c>
      <c r="G962" s="192">
        <v>1500000000</v>
      </c>
      <c r="H962" s="192">
        <v>160714286</v>
      </c>
      <c r="I962" s="193"/>
      <c r="J962" s="193">
        <f>IFERROR((+H962/(G962-H962)),0)</f>
        <v>0.12000000023893333</v>
      </c>
      <c r="K962" s="194">
        <v>75000000</v>
      </c>
      <c r="L962" s="195">
        <f t="shared" ref="L962" si="326">+K962/(1+J962)*J962</f>
        <v>8035714.2999999989</v>
      </c>
      <c r="M962" s="195">
        <v>0</v>
      </c>
      <c r="N962" s="196">
        <f>+L962-M962</f>
        <v>8035714.2999999989</v>
      </c>
      <c r="O962" s="197">
        <f>ROUND((N962*40%),0)</f>
        <v>3214286</v>
      </c>
      <c r="P962" s="198" t="s">
        <v>1631</v>
      </c>
      <c r="Q962" s="189">
        <v>2011</v>
      </c>
      <c r="R962" s="199">
        <f>+N962-O962</f>
        <v>4821428.2999999989</v>
      </c>
      <c r="S962" s="189">
        <v>2012</v>
      </c>
      <c r="T962" s="189">
        <v>770</v>
      </c>
      <c r="U962" s="189">
        <v>934</v>
      </c>
      <c r="V962" s="190" t="s">
        <v>261</v>
      </c>
      <c r="W962" s="200">
        <v>45730</v>
      </c>
      <c r="X962" s="198" t="s">
        <v>1715</v>
      </c>
    </row>
    <row r="963" spans="1:24" x14ac:dyDescent="0.25">
      <c r="A963" s="123" t="str">
        <f t="shared" si="325"/>
        <v>291090737645770468385676,313653</v>
      </c>
      <c r="B963" s="185">
        <f t="shared" ref="B963:B1008" si="327">_xlfn.MAXIFS(W:W,E:E,E963)</f>
        <v>46007</v>
      </c>
      <c r="C963" s="3">
        <f t="shared" ref="C963:C1008" si="328">_xlfn.MAXIFS(L:L,E:E,E963)</f>
        <v>1985646783.1418917</v>
      </c>
      <c r="D963" s="143">
        <v>2025</v>
      </c>
      <c r="E963" s="144">
        <v>2910907376</v>
      </c>
      <c r="F963" s="145" t="s">
        <v>1630</v>
      </c>
      <c r="G963" s="146">
        <v>19056054897</v>
      </c>
      <c r="H963" s="146">
        <v>2041720168</v>
      </c>
      <c r="I963" s="147"/>
      <c r="J963" s="147">
        <f t="shared" si="299"/>
        <v>0.12000000003056246</v>
      </c>
      <c r="K963" s="148">
        <v>4371599644.6000004</v>
      </c>
      <c r="L963" s="149">
        <f>+K963/(1+J963)*J963</f>
        <v>468385676.31365341</v>
      </c>
      <c r="M963" s="149">
        <v>0</v>
      </c>
      <c r="N963" s="150">
        <f>+L963-M963</f>
        <v>468385676.31365341</v>
      </c>
      <c r="O963" s="151">
        <f t="shared" si="324"/>
        <v>187354271</v>
      </c>
      <c r="P963" s="152" t="s">
        <v>1631</v>
      </c>
      <c r="Q963" s="143">
        <v>3147</v>
      </c>
      <c r="R963" s="153">
        <f t="shared" ref="R963" si="329">+N963-O963</f>
        <v>281031405.31365341</v>
      </c>
      <c r="S963" s="143">
        <v>3148</v>
      </c>
      <c r="T963" s="143">
        <v>1115</v>
      </c>
      <c r="U963" s="143">
        <v>1482</v>
      </c>
      <c r="V963" s="144" t="s">
        <v>261</v>
      </c>
      <c r="W963" s="154">
        <v>45770</v>
      </c>
      <c r="X963" s="152" t="s">
        <v>1632</v>
      </c>
    </row>
    <row r="964" spans="1:24" x14ac:dyDescent="0.25">
      <c r="A964" s="123" t="str">
        <f t="shared" si="325"/>
        <v>2453018369457706428571</v>
      </c>
      <c r="B964" s="185">
        <f t="shared" si="327"/>
        <v>45770</v>
      </c>
      <c r="C964" s="3">
        <f t="shared" si="328"/>
        <v>6428571</v>
      </c>
      <c r="D964" s="143">
        <v>2024</v>
      </c>
      <c r="E964" s="144">
        <v>2453018369</v>
      </c>
      <c r="F964" s="145" t="s">
        <v>1633</v>
      </c>
      <c r="G964" s="146">
        <v>60000000</v>
      </c>
      <c r="H964" s="146">
        <v>6428571</v>
      </c>
      <c r="I964" s="147"/>
      <c r="J964" s="147">
        <f>IFERROR((+H964/(G964-H964)),0)</f>
        <v>0.11999999104000007</v>
      </c>
      <c r="K964" s="148">
        <v>60000000</v>
      </c>
      <c r="L964" s="149">
        <f t="shared" ref="L964:L968" si="330">+K964/(1+J964)*J964</f>
        <v>6428571</v>
      </c>
      <c r="M964" s="149">
        <v>0</v>
      </c>
      <c r="N964" s="150">
        <f t="shared" ref="N964:N965" si="331">+L964-M964</f>
        <v>6428571</v>
      </c>
      <c r="O964" s="151">
        <f>ROUND((N964*40%),0)</f>
        <v>2571428</v>
      </c>
      <c r="P964" s="152" t="s">
        <v>1631</v>
      </c>
      <c r="Q964" s="143">
        <v>3127</v>
      </c>
      <c r="R964" s="153">
        <f>+N964-O964</f>
        <v>3857143</v>
      </c>
      <c r="S964" s="143">
        <v>3128</v>
      </c>
      <c r="T964" s="143">
        <v>1116</v>
      </c>
      <c r="U964" s="143">
        <v>1483</v>
      </c>
      <c r="V964" s="144" t="s">
        <v>261</v>
      </c>
      <c r="W964" s="154">
        <v>45770</v>
      </c>
      <c r="X964" s="152" t="s">
        <v>694</v>
      </c>
    </row>
    <row r="965" spans="1:24" x14ac:dyDescent="0.25">
      <c r="A965" s="123" t="str">
        <f t="shared" si="325"/>
        <v>2910906759457707500000</v>
      </c>
      <c r="B965" s="185">
        <f t="shared" si="327"/>
        <v>45770</v>
      </c>
      <c r="C965" s="3">
        <f t="shared" si="328"/>
        <v>7499999.9999999991</v>
      </c>
      <c r="D965" s="143">
        <v>2021</v>
      </c>
      <c r="E965" s="144">
        <v>2910906759</v>
      </c>
      <c r="F965" s="145" t="s">
        <v>213</v>
      </c>
      <c r="G965" s="146">
        <v>70000000</v>
      </c>
      <c r="H965" s="146">
        <v>7500000</v>
      </c>
      <c r="I965" s="147"/>
      <c r="J965" s="147">
        <f t="shared" si="299"/>
        <v>0.12</v>
      </c>
      <c r="K965" s="148">
        <v>70000000</v>
      </c>
      <c r="L965" s="149">
        <f t="shared" si="330"/>
        <v>7499999.9999999991</v>
      </c>
      <c r="M965" s="149">
        <v>1760000</v>
      </c>
      <c r="N965" s="150">
        <f t="shared" si="331"/>
        <v>5739999.9999999991</v>
      </c>
      <c r="O965" s="151">
        <f t="shared" ref="O965" si="332">ROUND((N965*40%),0)</f>
        <v>2296000</v>
      </c>
      <c r="P965" s="152" t="s">
        <v>1631</v>
      </c>
      <c r="Q965" s="143">
        <v>3137</v>
      </c>
      <c r="R965" s="153">
        <f t="shared" ref="R965:R980" si="333">+N965-O965</f>
        <v>3443999.9999999991</v>
      </c>
      <c r="S965" s="143">
        <v>3138</v>
      </c>
      <c r="T965" s="143">
        <v>1117</v>
      </c>
      <c r="U965" s="143">
        <v>1484</v>
      </c>
      <c r="V965" s="144" t="s">
        <v>261</v>
      </c>
      <c r="W965" s="154">
        <v>45770</v>
      </c>
      <c r="X965" s="152" t="s">
        <v>1634</v>
      </c>
    </row>
    <row r="966" spans="1:24" x14ac:dyDescent="0.25">
      <c r="A966" s="123" t="str">
        <f t="shared" si="325"/>
        <v>291090640145771177547804,56</v>
      </c>
      <c r="B966" s="185">
        <f t="shared" si="327"/>
        <v>45957</v>
      </c>
      <c r="C966" s="3">
        <f t="shared" si="328"/>
        <v>678878080.30633903</v>
      </c>
      <c r="D966" s="143">
        <v>2025</v>
      </c>
      <c r="E966" s="144">
        <v>2910906401</v>
      </c>
      <c r="F966" s="145" t="s">
        <v>1635</v>
      </c>
      <c r="G966" s="146">
        <v>6062000000</v>
      </c>
      <c r="H966" s="146">
        <v>727440000</v>
      </c>
      <c r="I966" s="147"/>
      <c r="J966" s="147">
        <f t="shared" si="299"/>
        <v>0.13636363636363635</v>
      </c>
      <c r="K966" s="148">
        <v>1479565038</v>
      </c>
      <c r="L966" s="149">
        <f t="shared" si="330"/>
        <v>177547804.56</v>
      </c>
      <c r="M966" s="149">
        <v>0</v>
      </c>
      <c r="N966" s="150">
        <f>+L966-M966</f>
        <v>177547804.56</v>
      </c>
      <c r="O966" s="151">
        <f>ROUND((N966*40%),0)</f>
        <v>71019122</v>
      </c>
      <c r="P966" s="152" t="s">
        <v>1631</v>
      </c>
      <c r="Q966" s="143">
        <v>3135</v>
      </c>
      <c r="R966" s="153">
        <f t="shared" si="333"/>
        <v>106528682.56</v>
      </c>
      <c r="S966" s="143">
        <v>3635</v>
      </c>
      <c r="T966" s="143">
        <v>1118</v>
      </c>
      <c r="U966" s="143">
        <v>1485</v>
      </c>
      <c r="V966" s="144" t="s">
        <v>261</v>
      </c>
      <c r="W966" s="154">
        <v>45771</v>
      </c>
      <c r="X966" s="152" t="s">
        <v>1636</v>
      </c>
    </row>
    <row r="967" spans="1:24" x14ac:dyDescent="0.25">
      <c r="A967" s="123" t="str">
        <f t="shared" si="325"/>
        <v>29109073554504064285714,4</v>
      </c>
      <c r="B967" s="185">
        <f t="shared" si="327"/>
        <v>45861</v>
      </c>
      <c r="C967" s="3">
        <f t="shared" si="328"/>
        <v>160714286</v>
      </c>
      <c r="D967" s="143">
        <v>2024</v>
      </c>
      <c r="E967" s="144">
        <v>2910907355</v>
      </c>
      <c r="F967" s="145" t="s">
        <v>1637</v>
      </c>
      <c r="G967" s="146">
        <v>1500000000</v>
      </c>
      <c r="H967" s="146">
        <v>160714286</v>
      </c>
      <c r="I967" s="147"/>
      <c r="J967" s="147">
        <f t="shared" si="299"/>
        <v>0.12000000023893333</v>
      </c>
      <c r="K967" s="148">
        <f>75000000+525000000</f>
        <v>600000000</v>
      </c>
      <c r="L967" s="149">
        <f>+K967/(1+J967)*J967</f>
        <v>64285714.399999991</v>
      </c>
      <c r="M967" s="149">
        <v>8035714.2999999989</v>
      </c>
      <c r="N967" s="150">
        <f>+L967-M967</f>
        <v>56250000.099999994</v>
      </c>
      <c r="O967" s="151">
        <f>ROUND((N967*40%),0)</f>
        <v>22500000</v>
      </c>
      <c r="P967" s="152" t="s">
        <v>1631</v>
      </c>
      <c r="Q967" s="143">
        <v>3143</v>
      </c>
      <c r="R967" s="153">
        <f>+N967-O967</f>
        <v>33750000.099999994</v>
      </c>
      <c r="S967" s="143">
        <v>3144</v>
      </c>
      <c r="T967" s="143">
        <v>1119</v>
      </c>
      <c r="U967" s="143">
        <v>1486</v>
      </c>
      <c r="V967" s="144" t="s">
        <v>261</v>
      </c>
      <c r="W967" s="154">
        <v>45040</v>
      </c>
      <c r="X967" s="152" t="s">
        <v>1638</v>
      </c>
    </row>
    <row r="968" spans="1:24" x14ac:dyDescent="0.25">
      <c r="A968" s="123" t="str">
        <f t="shared" ref="A968:A1008" si="334">_xlfn.CONCAT(E968,W968,L968)</f>
        <v>29109072364577184139286</v>
      </c>
      <c r="B968" s="185">
        <f t="shared" si="327"/>
        <v>45771</v>
      </c>
      <c r="C968" s="3">
        <f t="shared" si="328"/>
        <v>84139286</v>
      </c>
      <c r="D968" s="143">
        <v>2023</v>
      </c>
      <c r="E968" s="144">
        <v>2910907236</v>
      </c>
      <c r="F968" s="145" t="s">
        <v>431</v>
      </c>
      <c r="G968" s="146">
        <v>785300000</v>
      </c>
      <c r="H968" s="146">
        <v>84139286</v>
      </c>
      <c r="I968" s="147"/>
      <c r="J968" s="147">
        <f t="shared" si="299"/>
        <v>0.12000000045638609</v>
      </c>
      <c r="K968" s="148">
        <v>785300000</v>
      </c>
      <c r="L968" s="149">
        <f t="shared" si="330"/>
        <v>84139286</v>
      </c>
      <c r="M968" s="149">
        <v>33655714</v>
      </c>
      <c r="N968" s="150">
        <f>+L968-M968</f>
        <v>50483572</v>
      </c>
      <c r="O968" s="151">
        <f t="shared" ref="O968:O985" si="335">ROUND((N968*40%),0)</f>
        <v>20193429</v>
      </c>
      <c r="P968" s="152" t="s">
        <v>1631</v>
      </c>
      <c r="Q968" s="143">
        <v>3139</v>
      </c>
      <c r="R968" s="153">
        <f t="shared" si="333"/>
        <v>30290143</v>
      </c>
      <c r="S968" s="143">
        <v>3140</v>
      </c>
      <c r="T968" s="143">
        <v>1120</v>
      </c>
      <c r="U968" s="143">
        <v>1487</v>
      </c>
      <c r="V968" s="144" t="s">
        <v>261</v>
      </c>
      <c r="W968" s="154">
        <v>45771</v>
      </c>
      <c r="X968" s="152" t="s">
        <v>1639</v>
      </c>
    </row>
    <row r="969" spans="1:24" x14ac:dyDescent="0.25">
      <c r="A969" s="123" t="str">
        <f t="shared" si="334"/>
        <v>29109073334577114440213,9430116</v>
      </c>
      <c r="B969" s="185">
        <f t="shared" si="327"/>
        <v>45986</v>
      </c>
      <c r="C969" s="3">
        <f t="shared" si="328"/>
        <v>344824913.20803922</v>
      </c>
      <c r="D969" s="143">
        <v>2025</v>
      </c>
      <c r="E969" s="144">
        <v>2910907333</v>
      </c>
      <c r="F969" s="145" t="s">
        <v>1640</v>
      </c>
      <c r="G969" s="146">
        <v>4000000000</v>
      </c>
      <c r="H969" s="146">
        <v>428571429</v>
      </c>
      <c r="I969" s="147"/>
      <c r="J969" s="147">
        <f t="shared" si="299"/>
        <v>0.1200000001344</v>
      </c>
      <c r="K969" s="148">
        <v>134775330</v>
      </c>
      <c r="L969" s="149">
        <f>+K969/(1+J969)*J969</f>
        <v>14440213.943011643</v>
      </c>
      <c r="M969" s="149">
        <v>0</v>
      </c>
      <c r="N969" s="150">
        <f t="shared" ref="N969" si="336">+L969-M969</f>
        <v>14440213.943011643</v>
      </c>
      <c r="O969" s="151">
        <f t="shared" si="335"/>
        <v>5776086</v>
      </c>
      <c r="P969" s="152" t="s">
        <v>1631</v>
      </c>
      <c r="Q969" s="143">
        <v>3141</v>
      </c>
      <c r="R969" s="153">
        <f t="shared" si="333"/>
        <v>8664127.9430116434</v>
      </c>
      <c r="S969" s="143">
        <v>3142</v>
      </c>
      <c r="T969" s="143">
        <v>1121</v>
      </c>
      <c r="U969" s="143">
        <v>1488</v>
      </c>
      <c r="V969" s="144" t="s">
        <v>261</v>
      </c>
      <c r="W969" s="154">
        <v>45771</v>
      </c>
      <c r="X969" s="152" t="s">
        <v>1641</v>
      </c>
    </row>
    <row r="970" spans="1:24" x14ac:dyDescent="0.25">
      <c r="A970" s="123" t="str">
        <f t="shared" si="334"/>
        <v>24530183544577110263990,5910874</v>
      </c>
      <c r="B970" s="185">
        <f t="shared" si="327"/>
        <v>45924</v>
      </c>
      <c r="C970" s="3">
        <f t="shared" si="328"/>
        <v>23665036.380637806</v>
      </c>
      <c r="D970" s="143">
        <v>2023</v>
      </c>
      <c r="E970" s="144">
        <v>2453018354</v>
      </c>
      <c r="F970" s="145" t="s">
        <v>651</v>
      </c>
      <c r="G970" s="146">
        <v>330437363</v>
      </c>
      <c r="H970" s="146">
        <v>35404003</v>
      </c>
      <c r="I970" s="147"/>
      <c r="J970" s="147">
        <f t="shared" si="299"/>
        <v>0.11999999932211056</v>
      </c>
      <c r="K970" s="148">
        <v>95797246</v>
      </c>
      <c r="L970" s="149">
        <f>+K970/(1+J970)*J970</f>
        <v>10263990.59108742</v>
      </c>
      <c r="M970" s="149">
        <v>5489232.9365990097</v>
      </c>
      <c r="N970" s="150">
        <f>+L970-M970</f>
        <v>4774757.6544884099</v>
      </c>
      <c r="O970" s="151">
        <f t="shared" si="335"/>
        <v>1909903</v>
      </c>
      <c r="P970" s="152" t="s">
        <v>1631</v>
      </c>
      <c r="Q970" s="143">
        <v>3123</v>
      </c>
      <c r="R970" s="153">
        <f t="shared" si="333"/>
        <v>2864854.6544884099</v>
      </c>
      <c r="S970" s="143">
        <v>3124</v>
      </c>
      <c r="T970" s="143">
        <v>1122</v>
      </c>
      <c r="U970" s="143">
        <v>1489</v>
      </c>
      <c r="V970" s="144" t="s">
        <v>261</v>
      </c>
      <c r="W970" s="154">
        <v>45771</v>
      </c>
      <c r="X970" s="152" t="s">
        <v>425</v>
      </c>
    </row>
    <row r="971" spans="1:24" x14ac:dyDescent="0.25">
      <c r="A971" s="123" t="str">
        <f t="shared" si="334"/>
        <v>29109073714577178370264,1571429</v>
      </c>
      <c r="B971" s="185">
        <f t="shared" si="327"/>
        <v>45924</v>
      </c>
      <c r="C971" s="3">
        <f t="shared" si="328"/>
        <v>105293024.54263858</v>
      </c>
      <c r="D971" s="143">
        <v>2024</v>
      </c>
      <c r="E971" s="144">
        <v>2910907371</v>
      </c>
      <c r="F971" s="145" t="s">
        <v>1642</v>
      </c>
      <c r="G971" s="146">
        <v>2438185998</v>
      </c>
      <c r="H971" s="146">
        <v>261234214</v>
      </c>
      <c r="I971" s="147"/>
      <c r="J971" s="147">
        <f t="shared" si="299"/>
        <v>0.11999999996325136</v>
      </c>
      <c r="K971" s="148">
        <v>731455799</v>
      </c>
      <c r="L971" s="149">
        <f>+K971/(1+J971)*J971</f>
        <v>78370264.157142863</v>
      </c>
      <c r="M971" s="149">
        <v>0</v>
      </c>
      <c r="N971" s="150">
        <f>+L971-M971</f>
        <v>78370264.157142863</v>
      </c>
      <c r="O971" s="151">
        <f t="shared" si="335"/>
        <v>31348106</v>
      </c>
      <c r="P971" s="152" t="s">
        <v>1631</v>
      </c>
      <c r="Q971" s="143">
        <v>3145</v>
      </c>
      <c r="R971" s="153">
        <f t="shared" si="333"/>
        <v>47022158.157142863</v>
      </c>
      <c r="S971" s="143">
        <v>3146</v>
      </c>
      <c r="T971" s="143">
        <v>1123</v>
      </c>
      <c r="U971" s="143">
        <v>1490</v>
      </c>
      <c r="V971" s="144" t="s">
        <v>261</v>
      </c>
      <c r="W971" s="154">
        <v>45771</v>
      </c>
      <c r="X971" s="152" t="s">
        <v>1643</v>
      </c>
    </row>
    <row r="972" spans="1:24" x14ac:dyDescent="0.25">
      <c r="A972" s="123" t="str">
        <f t="shared" si="334"/>
        <v>245301836345771189141001,398155</v>
      </c>
      <c r="B972" s="185">
        <f t="shared" si="327"/>
        <v>45804</v>
      </c>
      <c r="C972" s="3">
        <f t="shared" si="328"/>
        <v>195445963.8411898</v>
      </c>
      <c r="D972" s="143">
        <v>2024</v>
      </c>
      <c r="E972" s="144">
        <v>2453018363</v>
      </c>
      <c r="F972" s="145" t="s">
        <v>672</v>
      </c>
      <c r="G972" s="146">
        <v>1889071553</v>
      </c>
      <c r="H972" s="146">
        <v>202400524</v>
      </c>
      <c r="I972" s="147"/>
      <c r="J972" s="147">
        <f t="shared" si="299"/>
        <v>0.1200000003082996</v>
      </c>
      <c r="K972" s="148">
        <v>1765316009</v>
      </c>
      <c r="L972" s="149">
        <f t="shared" ref="L972:L986" si="337">+K972/(1+J972)*J972</f>
        <v>189141001.39815545</v>
      </c>
      <c r="M972" s="149">
        <v>168810134.42294711</v>
      </c>
      <c r="N972" s="150">
        <f t="shared" ref="N972:N975" si="338">+L972-M972</f>
        <v>20330866.975208342</v>
      </c>
      <c r="O972" s="151">
        <f t="shared" si="335"/>
        <v>8132347</v>
      </c>
      <c r="P972" s="152" t="s">
        <v>1631</v>
      </c>
      <c r="Q972" s="143">
        <v>3125</v>
      </c>
      <c r="R972" s="153">
        <f t="shared" si="333"/>
        <v>12198519.975208342</v>
      </c>
      <c r="S972" s="143">
        <v>3126</v>
      </c>
      <c r="T972" s="143">
        <v>1124</v>
      </c>
      <c r="U972" s="143">
        <v>1491</v>
      </c>
      <c r="V972" s="144" t="s">
        <v>261</v>
      </c>
      <c r="W972" s="154">
        <v>45771</v>
      </c>
      <c r="X972" s="152" t="s">
        <v>425</v>
      </c>
    </row>
    <row r="973" spans="1:24" x14ac:dyDescent="0.25">
      <c r="A973" s="123" t="str">
        <f t="shared" si="334"/>
        <v>2453018371457715956157,36883855</v>
      </c>
      <c r="B973" s="185">
        <f t="shared" si="327"/>
        <v>45957</v>
      </c>
      <c r="C973" s="3">
        <f t="shared" si="328"/>
        <v>213469956.63346189</v>
      </c>
      <c r="D973" s="143">
        <v>2024</v>
      </c>
      <c r="E973" s="144">
        <v>2453018371</v>
      </c>
      <c r="F973" s="145" t="s">
        <v>1644</v>
      </c>
      <c r="G973" s="146">
        <v>2206796261</v>
      </c>
      <c r="H973" s="146">
        <v>236442457</v>
      </c>
      <c r="I973" s="147"/>
      <c r="J973" s="147">
        <f t="shared" si="299"/>
        <v>0.120000000263912</v>
      </c>
      <c r="K973" s="148">
        <v>55590802</v>
      </c>
      <c r="L973" s="149">
        <f t="shared" si="337"/>
        <v>5956157.3688385515</v>
      </c>
      <c r="M973" s="149">
        <v>0</v>
      </c>
      <c r="N973" s="150">
        <f t="shared" si="338"/>
        <v>5956157.3688385515</v>
      </c>
      <c r="O973" s="151">
        <f t="shared" si="335"/>
        <v>2382463</v>
      </c>
      <c r="P973" s="152" t="s">
        <v>1631</v>
      </c>
      <c r="Q973" s="143">
        <v>3129</v>
      </c>
      <c r="R973" s="153">
        <f t="shared" si="333"/>
        <v>3573694.3688385515</v>
      </c>
      <c r="S973" s="143">
        <v>3130</v>
      </c>
      <c r="T973" s="143">
        <v>1125</v>
      </c>
      <c r="U973" s="143">
        <v>1492</v>
      </c>
      <c r="V973" s="144" t="s">
        <v>261</v>
      </c>
      <c r="W973" s="154">
        <v>45771</v>
      </c>
      <c r="X973" s="152" t="s">
        <v>425</v>
      </c>
    </row>
    <row r="974" spans="1:24" x14ac:dyDescent="0.25">
      <c r="A974" s="123" t="str">
        <f t="shared" si="334"/>
        <v>2453018372457717277089,29598432</v>
      </c>
      <c r="B974" s="185">
        <f t="shared" si="327"/>
        <v>45924</v>
      </c>
      <c r="C974" s="3">
        <f t="shared" si="328"/>
        <v>81403982.043455452</v>
      </c>
      <c r="D974" s="143">
        <v>2025</v>
      </c>
      <c r="E974" s="144">
        <v>2453018372</v>
      </c>
      <c r="F974" s="145" t="s">
        <v>1645</v>
      </c>
      <c r="G974" s="146">
        <v>1417150530</v>
      </c>
      <c r="H974" s="146">
        <v>151837557</v>
      </c>
      <c r="I974" s="147"/>
      <c r="J974" s="147">
        <f t="shared" si="299"/>
        <v>0.1200000001896764</v>
      </c>
      <c r="K974" s="148">
        <v>67919500</v>
      </c>
      <c r="L974" s="149">
        <f t="shared" si="337"/>
        <v>7277089.2959843166</v>
      </c>
      <c r="M974" s="149">
        <v>0</v>
      </c>
      <c r="N974" s="150">
        <f t="shared" si="338"/>
        <v>7277089.2959843166</v>
      </c>
      <c r="O974" s="151">
        <f t="shared" si="335"/>
        <v>2910836</v>
      </c>
      <c r="P974" s="152" t="s">
        <v>1631</v>
      </c>
      <c r="Q974" s="143">
        <v>3131</v>
      </c>
      <c r="R974" s="153">
        <f t="shared" si="333"/>
        <v>4366253.2959843166</v>
      </c>
      <c r="S974" s="143">
        <v>3132</v>
      </c>
      <c r="T974" s="143">
        <v>1126</v>
      </c>
      <c r="U974" s="143">
        <v>1493</v>
      </c>
      <c r="V974" s="144" t="s">
        <v>261</v>
      </c>
      <c r="W974" s="154">
        <v>45771</v>
      </c>
      <c r="X974" s="152" t="s">
        <v>425</v>
      </c>
    </row>
    <row r="975" spans="1:24" x14ac:dyDescent="0.25">
      <c r="A975" s="123" t="str">
        <f t="shared" si="334"/>
        <v>24530183744577120057142,8571429</v>
      </c>
      <c r="B975" s="185">
        <f t="shared" si="327"/>
        <v>45771</v>
      </c>
      <c r="C975" s="3">
        <f t="shared" si="328"/>
        <v>20057142.857142854</v>
      </c>
      <c r="D975" s="143">
        <v>2024</v>
      </c>
      <c r="E975" s="144">
        <v>2453018374</v>
      </c>
      <c r="F975" s="145" t="s">
        <v>1646</v>
      </c>
      <c r="G975" s="146">
        <v>259168000</v>
      </c>
      <c r="H975" s="146">
        <v>27768000</v>
      </c>
      <c r="I975" s="147"/>
      <c r="J975" s="147">
        <f t="shared" si="299"/>
        <v>0.12</v>
      </c>
      <c r="K975" s="148">
        <v>187200000</v>
      </c>
      <c r="L975" s="149">
        <f t="shared" si="337"/>
        <v>20057142.857142854</v>
      </c>
      <c r="M975" s="149">
        <v>0</v>
      </c>
      <c r="N975" s="150">
        <f t="shared" si="338"/>
        <v>20057142.857142854</v>
      </c>
      <c r="O975" s="151">
        <f t="shared" si="335"/>
        <v>8022857</v>
      </c>
      <c r="P975" s="152" t="s">
        <v>1631</v>
      </c>
      <c r="Q975" s="143">
        <v>3133</v>
      </c>
      <c r="R975" s="153">
        <f t="shared" si="333"/>
        <v>12034285.857142854</v>
      </c>
      <c r="S975" s="143">
        <v>3134</v>
      </c>
      <c r="T975" s="143">
        <v>1127</v>
      </c>
      <c r="U975" s="143">
        <v>1494</v>
      </c>
      <c r="V975" s="144" t="s">
        <v>261</v>
      </c>
      <c r="W975" s="154">
        <v>45771</v>
      </c>
      <c r="X975" s="152" t="s">
        <v>425</v>
      </c>
    </row>
    <row r="976" spans="1:24" x14ac:dyDescent="0.25">
      <c r="A976" s="123" t="str">
        <f t="shared" si="334"/>
        <v>291090737645804661905874,650517</v>
      </c>
      <c r="B976" s="185">
        <f t="shared" si="327"/>
        <v>46007</v>
      </c>
      <c r="C976" s="3">
        <f t="shared" si="328"/>
        <v>1985646783.1418917</v>
      </c>
      <c r="D976" s="143">
        <v>2025</v>
      </c>
      <c r="E976" s="144">
        <v>2910907376</v>
      </c>
      <c r="F976" s="145" t="s">
        <v>1630</v>
      </c>
      <c r="G976" s="146">
        <v>19056054897</v>
      </c>
      <c r="H976" s="146">
        <v>2041720168</v>
      </c>
      <c r="I976" s="147"/>
      <c r="J976" s="147">
        <f t="shared" si="299"/>
        <v>0.12000000003056246</v>
      </c>
      <c r="K976" s="148">
        <v>6177788162</v>
      </c>
      <c r="L976" s="149">
        <f t="shared" si="337"/>
        <v>661905874.65051687</v>
      </c>
      <c r="M976" s="149">
        <v>468385676.31365341</v>
      </c>
      <c r="N976" s="150">
        <f>+L976-M976</f>
        <v>193520198.33686346</v>
      </c>
      <c r="O976" s="151">
        <f t="shared" si="335"/>
        <v>77408079</v>
      </c>
      <c r="P976" s="152" t="s">
        <v>1631</v>
      </c>
      <c r="Q976" s="143">
        <v>4787</v>
      </c>
      <c r="R976" s="153">
        <f t="shared" si="333"/>
        <v>116112119.33686346</v>
      </c>
      <c r="S976" s="143">
        <v>4788</v>
      </c>
      <c r="T976" s="143">
        <v>1434</v>
      </c>
      <c r="U976" s="143">
        <v>2055</v>
      </c>
      <c r="V976" s="144" t="s">
        <v>261</v>
      </c>
      <c r="W976" s="154">
        <v>45804</v>
      </c>
      <c r="X976" s="152" t="s">
        <v>1647</v>
      </c>
    </row>
    <row r="977" spans="1:24" x14ac:dyDescent="0.25">
      <c r="A977" s="123" t="str">
        <f t="shared" si="334"/>
        <v>29109073774580490870432,9107143</v>
      </c>
      <c r="B977" s="185">
        <f t="shared" si="327"/>
        <v>45804</v>
      </c>
      <c r="C977" s="3">
        <f t="shared" si="328"/>
        <v>90870432.910714298</v>
      </c>
      <c r="D977" s="143">
        <v>2024</v>
      </c>
      <c r="E977" s="144">
        <v>2910907377</v>
      </c>
      <c r="F977" s="145" t="s">
        <v>1648</v>
      </c>
      <c r="G977" s="146">
        <v>2827080133</v>
      </c>
      <c r="H977" s="146">
        <v>302901443</v>
      </c>
      <c r="I977" s="147"/>
      <c r="J977" s="147">
        <f t="shared" si="299"/>
        <v>0.1200000000792337</v>
      </c>
      <c r="K977" s="148">
        <v>848124040</v>
      </c>
      <c r="L977" s="149">
        <f t="shared" si="337"/>
        <v>90870432.910714298</v>
      </c>
      <c r="M977" s="149">
        <v>0</v>
      </c>
      <c r="N977" s="150">
        <f>+L977-M977</f>
        <v>90870432.910714298</v>
      </c>
      <c r="O977" s="151">
        <f t="shared" si="335"/>
        <v>36348173</v>
      </c>
      <c r="P977" s="152" t="s">
        <v>1631</v>
      </c>
      <c r="Q977" s="143">
        <v>4789</v>
      </c>
      <c r="R977" s="153">
        <f t="shared" si="333"/>
        <v>54522259.910714298</v>
      </c>
      <c r="S977" s="143">
        <v>4790</v>
      </c>
      <c r="T977" s="143">
        <v>1435</v>
      </c>
      <c r="U977" s="143">
        <v>2056</v>
      </c>
      <c r="V977" s="144" t="s">
        <v>261</v>
      </c>
      <c r="W977" s="154">
        <v>45804</v>
      </c>
      <c r="X977" s="152" t="s">
        <v>1649</v>
      </c>
    </row>
    <row r="978" spans="1:24" x14ac:dyDescent="0.25">
      <c r="A978" s="123" t="str">
        <f t="shared" si="334"/>
        <v>29109073734580440425525</v>
      </c>
      <c r="B978" s="185">
        <f t="shared" si="327"/>
        <v>45804</v>
      </c>
      <c r="C978" s="3">
        <f t="shared" si="328"/>
        <v>40425524.999999993</v>
      </c>
      <c r="D978" s="143">
        <v>2024</v>
      </c>
      <c r="E978" s="144">
        <v>2910907373</v>
      </c>
      <c r="F978" s="145" t="s">
        <v>1650</v>
      </c>
      <c r="G978" s="146">
        <v>1257683000</v>
      </c>
      <c r="H978" s="146">
        <v>134751750</v>
      </c>
      <c r="I978" s="147"/>
      <c r="J978" s="147">
        <f t="shared" ref="J978:J1002" si="339">IFERROR((+H978/(G978-H978)),0)</f>
        <v>0.12</v>
      </c>
      <c r="K978" s="148">
        <v>377304900</v>
      </c>
      <c r="L978" s="149">
        <f t="shared" si="337"/>
        <v>40425524.999999993</v>
      </c>
      <c r="M978" s="149">
        <v>0</v>
      </c>
      <c r="N978" s="150">
        <f>+L978-M978</f>
        <v>40425524.999999993</v>
      </c>
      <c r="O978" s="151">
        <f t="shared" si="335"/>
        <v>16170210</v>
      </c>
      <c r="P978" s="152" t="s">
        <v>1631</v>
      </c>
      <c r="Q978" s="143">
        <v>4785</v>
      </c>
      <c r="R978" s="153">
        <f t="shared" si="333"/>
        <v>24255314.999999993</v>
      </c>
      <c r="S978" s="143">
        <v>4786</v>
      </c>
      <c r="T978" s="143">
        <v>1436</v>
      </c>
      <c r="U978" s="143">
        <v>2057</v>
      </c>
      <c r="V978" s="144" t="s">
        <v>261</v>
      </c>
      <c r="W978" s="154">
        <v>45804</v>
      </c>
      <c r="X978" s="152" t="s">
        <v>1651</v>
      </c>
    </row>
    <row r="979" spans="1:24" x14ac:dyDescent="0.25">
      <c r="A979" s="123" t="str">
        <f t="shared" si="334"/>
        <v>29109073694580474764285,5</v>
      </c>
      <c r="B979" s="185">
        <f t="shared" si="327"/>
        <v>45804</v>
      </c>
      <c r="C979" s="3">
        <f t="shared" si="328"/>
        <v>74764285.5</v>
      </c>
      <c r="D979" s="143">
        <v>2024</v>
      </c>
      <c r="E979" s="144">
        <v>2910907369</v>
      </c>
      <c r="F979" s="145" t="s">
        <v>1652</v>
      </c>
      <c r="G979" s="146">
        <v>2326000000</v>
      </c>
      <c r="H979" s="146">
        <v>249214285</v>
      </c>
      <c r="I979" s="147"/>
      <c r="J979" s="147">
        <f t="shared" si="339"/>
        <v>0.11999999961478934</v>
      </c>
      <c r="K979" s="148">
        <v>697800000</v>
      </c>
      <c r="L979" s="149">
        <f t="shared" si="337"/>
        <v>74764285.5</v>
      </c>
      <c r="M979" s="149">
        <v>0</v>
      </c>
      <c r="N979" s="150">
        <f>+L979-M979</f>
        <v>74764285.5</v>
      </c>
      <c r="O979" s="151">
        <f t="shared" si="335"/>
        <v>29905714</v>
      </c>
      <c r="P979" s="152" t="s">
        <v>1631</v>
      </c>
      <c r="Q979" s="143">
        <v>4779</v>
      </c>
      <c r="R979" s="153">
        <f t="shared" si="333"/>
        <v>44858571.5</v>
      </c>
      <c r="S979" s="143">
        <v>4780</v>
      </c>
      <c r="T979" s="143">
        <v>1437</v>
      </c>
      <c r="U979" s="143">
        <v>2058</v>
      </c>
      <c r="V979" s="144" t="s">
        <v>261</v>
      </c>
      <c r="W979" s="154">
        <v>45804</v>
      </c>
      <c r="X979" s="152" t="s">
        <v>1653</v>
      </c>
    </row>
    <row r="980" spans="1:24" x14ac:dyDescent="0.25">
      <c r="A980" s="123" t="str">
        <f t="shared" si="334"/>
        <v>29109073704580477142857,1</v>
      </c>
      <c r="B980" s="185">
        <f t="shared" si="327"/>
        <v>45957</v>
      </c>
      <c r="C980" s="3">
        <f t="shared" si="328"/>
        <v>102857142.8</v>
      </c>
      <c r="D980" s="143">
        <v>2024</v>
      </c>
      <c r="E980" s="144">
        <v>2910907370</v>
      </c>
      <c r="F980" s="145" t="s">
        <v>1654</v>
      </c>
      <c r="G980" s="146">
        <v>2400000000</v>
      </c>
      <c r="H980" s="146">
        <v>257142857</v>
      </c>
      <c r="I980" s="147"/>
      <c r="J980" s="147">
        <f t="shared" si="339"/>
        <v>0.11999999992533333</v>
      </c>
      <c r="K980" s="148">
        <v>720000000</v>
      </c>
      <c r="L980" s="149">
        <f t="shared" si="337"/>
        <v>77142857.099999994</v>
      </c>
      <c r="M980" s="149">
        <v>0</v>
      </c>
      <c r="N980" s="150">
        <f>+L980-M980</f>
        <v>77142857.099999994</v>
      </c>
      <c r="O980" s="151">
        <f t="shared" si="335"/>
        <v>30857143</v>
      </c>
      <c r="P980" s="152" t="s">
        <v>1631</v>
      </c>
      <c r="Q980" s="143">
        <v>4781</v>
      </c>
      <c r="R980" s="153">
        <f t="shared" si="333"/>
        <v>46285714.099999994</v>
      </c>
      <c r="S980" s="143">
        <v>4782</v>
      </c>
      <c r="T980" s="143">
        <v>1438</v>
      </c>
      <c r="U980" s="143">
        <v>2059</v>
      </c>
      <c r="V980" s="144" t="s">
        <v>261</v>
      </c>
      <c r="W980" s="154">
        <v>45804</v>
      </c>
      <c r="X980" s="152" t="s">
        <v>1655</v>
      </c>
    </row>
    <row r="981" spans="1:24" x14ac:dyDescent="0.25">
      <c r="A981" s="123" t="str">
        <f t="shared" si="334"/>
        <v>291090732045804209678571</v>
      </c>
      <c r="B981" s="185">
        <f t="shared" si="327"/>
        <v>45804</v>
      </c>
      <c r="C981" s="3">
        <f t="shared" si="328"/>
        <v>209678571</v>
      </c>
      <c r="D981" s="143">
        <v>2024</v>
      </c>
      <c r="E981" s="144">
        <v>2910907320</v>
      </c>
      <c r="F981" s="145" t="s">
        <v>1558</v>
      </c>
      <c r="G981" s="146">
        <v>1957000000</v>
      </c>
      <c r="H981" s="146">
        <v>209678571</v>
      </c>
      <c r="I981" s="147"/>
      <c r="J981" s="147">
        <f t="shared" si="339"/>
        <v>0.11999999972529382</v>
      </c>
      <c r="K981" s="148">
        <v>1957000000</v>
      </c>
      <c r="L981" s="149">
        <f t="shared" si="337"/>
        <v>209678571</v>
      </c>
      <c r="M981" s="149">
        <v>185496428.57142854</v>
      </c>
      <c r="N981" s="150">
        <f t="shared" ref="N981:N982" si="340">+L981-M981</f>
        <v>24182142.428571463</v>
      </c>
      <c r="O981" s="151">
        <f t="shared" si="335"/>
        <v>9672857</v>
      </c>
      <c r="P981" s="152" t="s">
        <v>1631</v>
      </c>
      <c r="Q981" s="143">
        <v>4769</v>
      </c>
      <c r="R981" s="153">
        <f>+N981-O981</f>
        <v>14509285.428571463</v>
      </c>
      <c r="S981" s="143">
        <v>4770</v>
      </c>
      <c r="T981" s="143">
        <v>1439</v>
      </c>
      <c r="U981" s="143">
        <v>2060</v>
      </c>
      <c r="V981" s="144" t="s">
        <v>261</v>
      </c>
      <c r="W981" s="154">
        <v>45804</v>
      </c>
      <c r="X981" s="152" t="s">
        <v>1656</v>
      </c>
    </row>
    <row r="982" spans="1:24" x14ac:dyDescent="0.25">
      <c r="A982" s="123" t="str">
        <f t="shared" si="334"/>
        <v>29209073724580436964285,8</v>
      </c>
      <c r="B982" s="185">
        <f t="shared" si="327"/>
        <v>45957</v>
      </c>
      <c r="C982" s="3">
        <f t="shared" si="328"/>
        <v>61607143</v>
      </c>
      <c r="D982" s="143">
        <v>2024</v>
      </c>
      <c r="E982" s="144">
        <v>2920907372</v>
      </c>
      <c r="F982" s="145" t="s">
        <v>1657</v>
      </c>
      <c r="G982" s="146">
        <v>1150000000</v>
      </c>
      <c r="H982" s="146">
        <v>123214286</v>
      </c>
      <c r="I982" s="147"/>
      <c r="J982" s="147">
        <f t="shared" si="339"/>
        <v>0.12000000031165217</v>
      </c>
      <c r="K982" s="148">
        <v>345000000</v>
      </c>
      <c r="L982" s="149">
        <f t="shared" si="337"/>
        <v>36964285.799999997</v>
      </c>
      <c r="M982" s="149">
        <v>0</v>
      </c>
      <c r="N982" s="150">
        <f t="shared" si="340"/>
        <v>36964285.799999997</v>
      </c>
      <c r="O982" s="151">
        <f t="shared" si="335"/>
        <v>14785714</v>
      </c>
      <c r="P982" s="152" t="s">
        <v>1631</v>
      </c>
      <c r="Q982" s="143">
        <v>4783</v>
      </c>
      <c r="R982" s="153">
        <f>+N982-O982</f>
        <v>22178571.799999997</v>
      </c>
      <c r="S982" s="143">
        <v>4784</v>
      </c>
      <c r="T982" s="143">
        <v>1440</v>
      </c>
      <c r="U982" s="143">
        <v>2061</v>
      </c>
      <c r="V982" s="144" t="s">
        <v>261</v>
      </c>
      <c r="W982" s="154">
        <v>45804</v>
      </c>
      <c r="X982" s="152" t="s">
        <v>1658</v>
      </c>
    </row>
    <row r="983" spans="1:24" x14ac:dyDescent="0.25">
      <c r="A983" s="123" t="str">
        <f t="shared" si="334"/>
        <v>291090723145804717838849,69807</v>
      </c>
      <c r="B983" s="185">
        <f t="shared" si="327"/>
        <v>45880</v>
      </c>
      <c r="C983" s="3">
        <f t="shared" si="328"/>
        <v>725275008</v>
      </c>
      <c r="D983" s="143">
        <v>2023</v>
      </c>
      <c r="E983" s="144">
        <v>2910907231</v>
      </c>
      <c r="F983" s="145" t="s">
        <v>410</v>
      </c>
      <c r="G983" s="146">
        <v>7055787001</v>
      </c>
      <c r="H983" s="146">
        <v>755977179</v>
      </c>
      <c r="I983" s="147"/>
      <c r="J983" s="147">
        <f t="shared" si="339"/>
        <v>0.12000000005714458</v>
      </c>
      <c r="K983" s="148">
        <v>6699829261</v>
      </c>
      <c r="L983" s="149">
        <f t="shared" si="337"/>
        <v>717838849.69806981</v>
      </c>
      <c r="M983" s="149">
        <v>693849608.65215576</v>
      </c>
      <c r="N983" s="150">
        <f>+L983-M983</f>
        <v>23989241.045914054</v>
      </c>
      <c r="O983" s="151">
        <f t="shared" si="335"/>
        <v>9595696</v>
      </c>
      <c r="P983" s="152" t="s">
        <v>1631</v>
      </c>
      <c r="Q983" s="143">
        <v>4765</v>
      </c>
      <c r="R983" s="153">
        <f>+N983-O983</f>
        <v>14393545.045914054</v>
      </c>
      <c r="S983" s="143">
        <v>4766</v>
      </c>
      <c r="T983" s="143">
        <v>1441</v>
      </c>
      <c r="U983" s="143">
        <v>2062</v>
      </c>
      <c r="V983" s="144" t="s">
        <v>261</v>
      </c>
      <c r="W983" s="154">
        <v>45804</v>
      </c>
      <c r="X983" s="152" t="s">
        <v>1659</v>
      </c>
    </row>
    <row r="984" spans="1:24" x14ac:dyDescent="0.25">
      <c r="A984" s="123" t="str">
        <f t="shared" si="334"/>
        <v>29109073424580425885714,4005323</v>
      </c>
      <c r="B984" s="185">
        <f t="shared" si="327"/>
        <v>45924</v>
      </c>
      <c r="C984" s="3">
        <f t="shared" si="328"/>
        <v>32207143</v>
      </c>
      <c r="D984" s="143">
        <v>2024</v>
      </c>
      <c r="E984" s="144">
        <v>2910907342</v>
      </c>
      <c r="F984" s="145" t="s">
        <v>1487</v>
      </c>
      <c r="G984" s="146">
        <v>300600000</v>
      </c>
      <c r="H984" s="146">
        <v>32207143</v>
      </c>
      <c r="I984" s="147"/>
      <c r="J984" s="147">
        <f t="shared" si="339"/>
        <v>0.12000000059614105</v>
      </c>
      <c r="K984" s="148">
        <v>241600000</v>
      </c>
      <c r="L984" s="149">
        <f t="shared" si="337"/>
        <v>25885714.400532268</v>
      </c>
      <c r="M984" s="149">
        <v>13950000.061876249</v>
      </c>
      <c r="N984" s="150">
        <f t="shared" ref="N984:N985" si="341">+L984-M984</f>
        <v>11935714.338656019</v>
      </c>
      <c r="O984" s="151">
        <f t="shared" si="335"/>
        <v>4774286</v>
      </c>
      <c r="P984" s="152" t="s">
        <v>1631</v>
      </c>
      <c r="Q984" s="143">
        <v>4771</v>
      </c>
      <c r="R984" s="153">
        <f>+N984-O984</f>
        <v>7161428.3386560194</v>
      </c>
      <c r="S984" s="143">
        <v>4772</v>
      </c>
      <c r="T984" s="143">
        <v>1442</v>
      </c>
      <c r="U984" s="143">
        <v>2063</v>
      </c>
      <c r="V984" s="144" t="s">
        <v>261</v>
      </c>
      <c r="W984" s="154">
        <v>45804</v>
      </c>
      <c r="X984" s="152" t="s">
        <v>1588</v>
      </c>
    </row>
    <row r="985" spans="1:24" x14ac:dyDescent="0.25">
      <c r="A985" s="123" t="str">
        <f t="shared" si="334"/>
        <v>2910907357458049107143</v>
      </c>
      <c r="B985" s="185">
        <f t="shared" si="327"/>
        <v>45804</v>
      </c>
      <c r="C985" s="3">
        <f t="shared" si="328"/>
        <v>9107143</v>
      </c>
      <c r="D985" s="143">
        <v>2024</v>
      </c>
      <c r="E985" s="144">
        <v>2910907357</v>
      </c>
      <c r="F985" s="145" t="s">
        <v>1660</v>
      </c>
      <c r="G985" s="146">
        <v>85000000</v>
      </c>
      <c r="H985" s="146">
        <v>9107143</v>
      </c>
      <c r="I985" s="147"/>
      <c r="J985" s="147">
        <f t="shared" si="339"/>
        <v>0.1200000021082353</v>
      </c>
      <c r="K985" s="148">
        <v>85000000</v>
      </c>
      <c r="L985" s="149">
        <f t="shared" si="337"/>
        <v>9107143</v>
      </c>
      <c r="M985" s="149">
        <v>0</v>
      </c>
      <c r="N985" s="150">
        <f t="shared" si="341"/>
        <v>9107143</v>
      </c>
      <c r="O985" s="151">
        <f t="shared" si="335"/>
        <v>3642857</v>
      </c>
      <c r="P985" s="152" t="s">
        <v>1631</v>
      </c>
      <c r="Q985" s="143">
        <v>4773</v>
      </c>
      <c r="R985" s="153">
        <f>+N985-O985</f>
        <v>5464286</v>
      </c>
      <c r="S985" s="143">
        <v>4774</v>
      </c>
      <c r="T985" s="143">
        <v>1443</v>
      </c>
      <c r="U985" s="143">
        <v>2064</v>
      </c>
      <c r="V985" s="144" t="s">
        <v>261</v>
      </c>
      <c r="W985" s="154">
        <v>45804</v>
      </c>
      <c r="X985" s="152" t="s">
        <v>1661</v>
      </c>
    </row>
    <row r="986" spans="1:24" x14ac:dyDescent="0.25">
      <c r="A986" s="123" t="str">
        <f t="shared" si="334"/>
        <v>29109073184580420357143</v>
      </c>
      <c r="B986" s="185">
        <f t="shared" si="327"/>
        <v>45804</v>
      </c>
      <c r="C986" s="3">
        <f t="shared" si="328"/>
        <v>20357143</v>
      </c>
      <c r="D986" s="143">
        <v>2024</v>
      </c>
      <c r="E986" s="144">
        <v>2910907318</v>
      </c>
      <c r="F986" s="145" t="s">
        <v>1488</v>
      </c>
      <c r="G986" s="146">
        <v>190000000</v>
      </c>
      <c r="H986" s="146">
        <v>20357143</v>
      </c>
      <c r="I986" s="147"/>
      <c r="J986" s="147">
        <f t="shared" si="339"/>
        <v>0.12000000094315789</v>
      </c>
      <c r="K986" s="148">
        <v>190000000</v>
      </c>
      <c r="L986" s="149">
        <f t="shared" si="337"/>
        <v>20357143</v>
      </c>
      <c r="M986" s="149">
        <v>12214285.800000001</v>
      </c>
      <c r="N986" s="150">
        <f>+L986-M986</f>
        <v>8142857.1999999993</v>
      </c>
      <c r="O986" s="151">
        <f>ROUND((N986*40%),0)</f>
        <v>3257143</v>
      </c>
      <c r="P986" s="152" t="s">
        <v>1631</v>
      </c>
      <c r="Q986" s="143">
        <v>4767</v>
      </c>
      <c r="R986" s="153">
        <f t="shared" ref="R986:R987" si="342">+N986-O986</f>
        <v>4885714.1999999993</v>
      </c>
      <c r="S986" s="143">
        <v>4768</v>
      </c>
      <c r="T986" s="143">
        <v>1444</v>
      </c>
      <c r="U986" s="143">
        <v>2065</v>
      </c>
      <c r="V986" s="144" t="s">
        <v>261</v>
      </c>
      <c r="W986" s="154">
        <v>45804</v>
      </c>
      <c r="X986" s="152" t="s">
        <v>1662</v>
      </c>
    </row>
    <row r="987" spans="1:24" x14ac:dyDescent="0.25">
      <c r="A987" s="123" t="str">
        <f t="shared" si="334"/>
        <v>29109073614580433105053,7280406</v>
      </c>
      <c r="B987" s="185">
        <f t="shared" si="327"/>
        <v>45924</v>
      </c>
      <c r="C987" s="3">
        <f t="shared" si="328"/>
        <v>65955053.883445963</v>
      </c>
      <c r="D987" s="143">
        <v>2024</v>
      </c>
      <c r="E987" s="144">
        <v>2910907361</v>
      </c>
      <c r="F987" s="145" t="s">
        <v>1573</v>
      </c>
      <c r="G987" s="146">
        <v>845530500</v>
      </c>
      <c r="H987" s="146">
        <v>90592554</v>
      </c>
      <c r="I987" s="147"/>
      <c r="J987" s="147">
        <f t="shared" si="339"/>
        <v>0.12000000063581384</v>
      </c>
      <c r="K987" s="148">
        <v>308980500</v>
      </c>
      <c r="L987" s="149">
        <f>+K987/(1+J987)*J987</f>
        <v>33105053.728040565</v>
      </c>
      <c r="M987" s="149">
        <v>16680053.650337866</v>
      </c>
      <c r="N987" s="150">
        <f t="shared" ref="N987:N989" si="343">+L987-M987</f>
        <v>16425000.077702699</v>
      </c>
      <c r="O987" s="151">
        <f t="shared" ref="O987:O988" si="344">ROUND((N987*40%),0)</f>
        <v>6570000</v>
      </c>
      <c r="P987" s="152" t="s">
        <v>1631</v>
      </c>
      <c r="Q987" s="143">
        <v>4775</v>
      </c>
      <c r="R987" s="153">
        <f t="shared" si="342"/>
        <v>9855000.0777026992</v>
      </c>
      <c r="S987" s="143">
        <v>4776</v>
      </c>
      <c r="T987" s="143">
        <v>1445</v>
      </c>
      <c r="U987" s="143">
        <v>2066</v>
      </c>
      <c r="V987" s="144" t="s">
        <v>261</v>
      </c>
      <c r="W987" s="154">
        <v>45804</v>
      </c>
      <c r="X987" s="152" t="s">
        <v>1663</v>
      </c>
    </row>
    <row r="988" spans="1:24" x14ac:dyDescent="0.25">
      <c r="A988" s="123" t="str">
        <f t="shared" si="334"/>
        <v>2910907366458048128794,53625</v>
      </c>
      <c r="B988" s="185">
        <f t="shared" si="327"/>
        <v>45891</v>
      </c>
      <c r="C988" s="3">
        <f t="shared" si="328"/>
        <v>32515178.145</v>
      </c>
      <c r="D988" s="143">
        <v>2024</v>
      </c>
      <c r="E988" s="144">
        <v>2910907366</v>
      </c>
      <c r="F988" s="145" t="s">
        <v>1664</v>
      </c>
      <c r="G988" s="146">
        <v>305000000</v>
      </c>
      <c r="H988" s="146">
        <v>32678571</v>
      </c>
      <c r="I988" s="147"/>
      <c r="J988" s="147">
        <f t="shared" si="339"/>
        <v>0.11999999823737705</v>
      </c>
      <c r="K988" s="148">
        <v>75868750</v>
      </c>
      <c r="L988" s="149">
        <f>+K988/(1+J988)*J988</f>
        <v>8128794.5362499999</v>
      </c>
      <c r="M988" s="149">
        <v>0</v>
      </c>
      <c r="N988" s="150">
        <f t="shared" si="343"/>
        <v>8128794.5362499999</v>
      </c>
      <c r="O988" s="151">
        <f t="shared" si="344"/>
        <v>3251518</v>
      </c>
      <c r="P988" s="152" t="s">
        <v>1631</v>
      </c>
      <c r="Q988" s="143">
        <v>4777</v>
      </c>
      <c r="R988" s="153">
        <f>+N988-O988</f>
        <v>4877276.5362499999</v>
      </c>
      <c r="S988" s="143">
        <v>4778</v>
      </c>
      <c r="T988" s="143">
        <v>1446</v>
      </c>
      <c r="U988" s="143">
        <v>2067</v>
      </c>
      <c r="V988" s="144" t="s">
        <v>261</v>
      </c>
      <c r="W988" s="154">
        <v>45804</v>
      </c>
      <c r="X988" s="152" t="s">
        <v>1665</v>
      </c>
    </row>
    <row r="989" spans="1:24" x14ac:dyDescent="0.25">
      <c r="A989" s="123" t="str">
        <f t="shared" si="334"/>
        <v>24530183714580459999815,2963889</v>
      </c>
      <c r="B989" s="185">
        <f t="shared" si="327"/>
        <v>45957</v>
      </c>
      <c r="C989" s="3">
        <f t="shared" si="328"/>
        <v>213469956.63346189</v>
      </c>
      <c r="D989" s="143">
        <v>2024</v>
      </c>
      <c r="E989" s="144">
        <v>2453018371</v>
      </c>
      <c r="F989" s="145" t="s">
        <v>1644</v>
      </c>
      <c r="G989" s="146">
        <v>2206796261</v>
      </c>
      <c r="H989" s="146">
        <v>236442457</v>
      </c>
      <c r="I989" s="147"/>
      <c r="J989" s="147">
        <f t="shared" si="339"/>
        <v>0.120000000263912</v>
      </c>
      <c r="K989" s="148">
        <v>559998275</v>
      </c>
      <c r="L989" s="149">
        <f t="shared" ref="L989:L992" si="345">+K989/(1+J989)*J989</f>
        <v>59999815.296388917</v>
      </c>
      <c r="M989" s="149">
        <v>5956157.3688385515</v>
      </c>
      <c r="N989" s="150">
        <f t="shared" si="343"/>
        <v>54043657.927550368</v>
      </c>
      <c r="O989" s="151">
        <f>ROUND((N989*40%),0)</f>
        <v>21617463</v>
      </c>
      <c r="P989" s="152" t="s">
        <v>1631</v>
      </c>
      <c r="Q989" s="143">
        <v>4761</v>
      </c>
      <c r="R989" s="153">
        <f t="shared" ref="R989:R997" si="346">+N989-O989</f>
        <v>32426194.927550368</v>
      </c>
      <c r="S989" s="143">
        <v>4762</v>
      </c>
      <c r="T989" s="143">
        <v>1447</v>
      </c>
      <c r="U989" s="143">
        <v>2068</v>
      </c>
      <c r="V989" s="144" t="s">
        <v>261</v>
      </c>
      <c r="W989" s="154">
        <v>45804</v>
      </c>
      <c r="X989" s="152" t="s">
        <v>425</v>
      </c>
    </row>
    <row r="990" spans="1:24" x14ac:dyDescent="0.25">
      <c r="A990" s="123" t="str">
        <f t="shared" si="334"/>
        <v>24530183724580419122170,2769868</v>
      </c>
      <c r="B990" s="185">
        <f t="shared" si="327"/>
        <v>45924</v>
      </c>
      <c r="C990" s="3">
        <f t="shared" si="328"/>
        <v>81403982.043455452</v>
      </c>
      <c r="D990" s="143">
        <v>2025</v>
      </c>
      <c r="E990" s="144">
        <v>2453018372</v>
      </c>
      <c r="F990" s="145" t="s">
        <v>1645</v>
      </c>
      <c r="G990" s="146">
        <v>1417150530</v>
      </c>
      <c r="H990" s="146">
        <v>151837557</v>
      </c>
      <c r="I990" s="147"/>
      <c r="J990" s="147">
        <f t="shared" si="339"/>
        <v>0.1200000001896764</v>
      </c>
      <c r="K990" s="148">
        <v>178473589</v>
      </c>
      <c r="L990" s="149">
        <f t="shared" si="345"/>
        <v>19122170.276986789</v>
      </c>
      <c r="M990" s="149">
        <v>7277089.2959843166</v>
      </c>
      <c r="N990" s="150">
        <f>+L990-M990</f>
        <v>11845080.981002472</v>
      </c>
      <c r="O990" s="151">
        <f>ROUND((N990*40%),0)</f>
        <v>4738032</v>
      </c>
      <c r="P990" s="152" t="s">
        <v>1631</v>
      </c>
      <c r="Q990" s="143">
        <v>4763</v>
      </c>
      <c r="R990" s="153">
        <f t="shared" si="346"/>
        <v>7107048.9810024723</v>
      </c>
      <c r="S990" s="143">
        <v>4764</v>
      </c>
      <c r="T990" s="143">
        <v>1448</v>
      </c>
      <c r="U990" s="143">
        <v>2069</v>
      </c>
      <c r="V990" s="144" t="s">
        <v>261</v>
      </c>
      <c r="W990" s="154">
        <v>45804</v>
      </c>
      <c r="X990" s="152" t="s">
        <v>425</v>
      </c>
    </row>
    <row r="991" spans="1:24" x14ac:dyDescent="0.25">
      <c r="A991" s="123" t="str">
        <f t="shared" si="334"/>
        <v>245301836345804195445963,84119</v>
      </c>
      <c r="B991" s="185">
        <f t="shared" si="327"/>
        <v>45804</v>
      </c>
      <c r="C991" s="3">
        <f t="shared" si="328"/>
        <v>195445963.8411898</v>
      </c>
      <c r="D991" s="143">
        <v>2024</v>
      </c>
      <c r="E991" s="144">
        <v>2453018363</v>
      </c>
      <c r="F991" s="145" t="s">
        <v>672</v>
      </c>
      <c r="G991" s="146">
        <v>1889071553</v>
      </c>
      <c r="H991" s="146">
        <v>202400524</v>
      </c>
      <c r="I991" s="147"/>
      <c r="J991" s="147">
        <f t="shared" si="339"/>
        <v>0.1200000003082996</v>
      </c>
      <c r="K991" s="148">
        <v>1824162325</v>
      </c>
      <c r="L991" s="149">
        <f t="shared" si="345"/>
        <v>195445963.8411898</v>
      </c>
      <c r="M991" s="149">
        <v>189141001.398155</v>
      </c>
      <c r="N991" s="150">
        <f t="shared" ref="N991:N1001" si="347">+L991-M991</f>
        <v>6304962.4430347979</v>
      </c>
      <c r="O991" s="151">
        <f>ROUND((N991*40%),0)</f>
        <v>2521985</v>
      </c>
      <c r="P991" s="152" t="s">
        <v>1631</v>
      </c>
      <c r="Q991" s="143">
        <v>4759</v>
      </c>
      <c r="R991" s="153">
        <f t="shared" si="346"/>
        <v>3782977.4430347979</v>
      </c>
      <c r="S991" s="143">
        <v>4760</v>
      </c>
      <c r="T991" s="143">
        <v>1449</v>
      </c>
      <c r="U991" s="143">
        <v>2070</v>
      </c>
      <c r="V991" s="144" t="s">
        <v>261</v>
      </c>
      <c r="W991" s="154">
        <v>45804</v>
      </c>
      <c r="X991" s="152" t="s">
        <v>425</v>
      </c>
    </row>
    <row r="992" spans="1:24" x14ac:dyDescent="0.25">
      <c r="A992" s="123" t="str">
        <f t="shared" si="334"/>
        <v>29109082274580416311761</v>
      </c>
      <c r="B992" s="185">
        <f t="shared" si="327"/>
        <v>45891</v>
      </c>
      <c r="C992" s="3">
        <f t="shared" si="328"/>
        <v>28597725.000000004</v>
      </c>
      <c r="D992" s="143">
        <v>2025</v>
      </c>
      <c r="E992" s="144">
        <v>2910908227</v>
      </c>
      <c r="F992" s="145" t="s">
        <v>1666</v>
      </c>
      <c r="G992" s="146">
        <v>152243101</v>
      </c>
      <c r="H992" s="146">
        <v>16311761</v>
      </c>
      <c r="I992" s="147"/>
      <c r="J992" s="147">
        <f t="shared" si="339"/>
        <v>0.12000000147133104</v>
      </c>
      <c r="K992" s="148">
        <v>152243101</v>
      </c>
      <c r="L992" s="149">
        <f t="shared" si="345"/>
        <v>16311761</v>
      </c>
      <c r="M992" s="149">
        <v>0</v>
      </c>
      <c r="N992" s="150">
        <f t="shared" si="347"/>
        <v>16311761</v>
      </c>
      <c r="O992" s="151">
        <f>ROUND((N992*40%),0)</f>
        <v>6524704</v>
      </c>
      <c r="P992" s="152" t="s">
        <v>1631</v>
      </c>
      <c r="Q992" s="143">
        <v>4791</v>
      </c>
      <c r="R992" s="153">
        <f t="shared" si="346"/>
        <v>9787057</v>
      </c>
      <c r="S992" s="143">
        <v>4792</v>
      </c>
      <c r="T992" s="143">
        <v>1450</v>
      </c>
      <c r="U992" s="143">
        <v>2071</v>
      </c>
      <c r="V992" s="144" t="s">
        <v>261</v>
      </c>
      <c r="W992" s="154">
        <v>45804</v>
      </c>
      <c r="X992" s="152" t="s">
        <v>700</v>
      </c>
    </row>
    <row r="993" spans="1:24" x14ac:dyDescent="0.25">
      <c r="A993" s="123" t="str">
        <f t="shared" si="334"/>
        <v>29109073804580630805866,5357143</v>
      </c>
      <c r="B993" s="185">
        <f t="shared" si="327"/>
        <v>45986</v>
      </c>
      <c r="C993" s="3">
        <f t="shared" si="328"/>
        <v>119383415.24999999</v>
      </c>
      <c r="D993" s="143">
        <v>2025</v>
      </c>
      <c r="E993" s="144">
        <v>2910907380</v>
      </c>
      <c r="F993" s="145" t="s">
        <v>1667</v>
      </c>
      <c r="G993" s="146">
        <v>1991969000</v>
      </c>
      <c r="H993" s="146">
        <v>213425250</v>
      </c>
      <c r="I993" s="147"/>
      <c r="J993" s="147">
        <f t="shared" si="339"/>
        <v>0.12</v>
      </c>
      <c r="K993" s="148">
        <v>287521421</v>
      </c>
      <c r="L993" s="149">
        <f>+K993/(1+J993)*J993</f>
        <v>30805866.535714284</v>
      </c>
      <c r="M993" s="149"/>
      <c r="N993" s="150">
        <f t="shared" si="347"/>
        <v>30805866.535714284</v>
      </c>
      <c r="O993" s="151">
        <f>ROUND((N993*40%),0)</f>
        <v>12322347</v>
      </c>
      <c r="P993" s="152" t="s">
        <v>1631</v>
      </c>
      <c r="Q993" s="143">
        <v>4983</v>
      </c>
      <c r="R993" s="153">
        <f t="shared" si="346"/>
        <v>18483519.535714284</v>
      </c>
      <c r="S993" s="143">
        <v>4984</v>
      </c>
      <c r="T993" s="143">
        <v>1463</v>
      </c>
      <c r="U993" s="143">
        <v>2090</v>
      </c>
      <c r="V993" s="144" t="s">
        <v>261</v>
      </c>
      <c r="W993" s="154">
        <v>45806</v>
      </c>
      <c r="X993" s="152" t="s">
        <v>1668</v>
      </c>
    </row>
    <row r="994" spans="1:24" x14ac:dyDescent="0.25">
      <c r="A994" s="123" t="str">
        <f t="shared" si="334"/>
        <v>291090737645828861960180,678152</v>
      </c>
      <c r="B994" s="185">
        <f t="shared" si="327"/>
        <v>46007</v>
      </c>
      <c r="C994" s="3">
        <f t="shared" si="328"/>
        <v>1985646783.1418917</v>
      </c>
      <c r="D994" s="143">
        <v>2025</v>
      </c>
      <c r="E994" s="144">
        <v>2910907376</v>
      </c>
      <c r="F994" s="145" t="s">
        <v>1630</v>
      </c>
      <c r="G994" s="146">
        <v>19056054897</v>
      </c>
      <c r="H994" s="146">
        <v>2041720168</v>
      </c>
      <c r="I994" s="147"/>
      <c r="J994" s="147">
        <f t="shared" si="339"/>
        <v>0.12000000003056246</v>
      </c>
      <c r="K994" s="148">
        <v>8044961684.5</v>
      </c>
      <c r="L994" s="149">
        <f t="shared" ref="L994" si="348">+K994/(1+J994)*J994</f>
        <v>861960180.67815197</v>
      </c>
      <c r="M994" s="149">
        <v>661905874.65051687</v>
      </c>
      <c r="N994" s="150">
        <f t="shared" si="347"/>
        <v>200054306.0276351</v>
      </c>
      <c r="O994" s="151">
        <f t="shared" ref="O994:O997" si="349">ROUND((N994*40%),0)</f>
        <v>80021722</v>
      </c>
      <c r="P994" s="152" t="s">
        <v>1631</v>
      </c>
      <c r="Q994" s="143">
        <v>5530</v>
      </c>
      <c r="R994" s="153">
        <f t="shared" si="346"/>
        <v>120032584.0276351</v>
      </c>
      <c r="S994" s="143">
        <v>5531</v>
      </c>
      <c r="T994" s="143">
        <v>1613</v>
      </c>
      <c r="U994" s="143">
        <v>2359</v>
      </c>
      <c r="V994" s="144" t="s">
        <v>261</v>
      </c>
      <c r="W994" s="154">
        <v>45828</v>
      </c>
      <c r="X994" s="152" t="s">
        <v>1669</v>
      </c>
    </row>
    <row r="995" spans="1:24" x14ac:dyDescent="0.25">
      <c r="A995" s="123" t="str">
        <f t="shared" si="334"/>
        <v>29109073814582812964285,7639537</v>
      </c>
      <c r="B995" s="185">
        <f t="shared" si="327"/>
        <v>45957</v>
      </c>
      <c r="C995" s="3">
        <f t="shared" si="328"/>
        <v>68935714.285714269</v>
      </c>
      <c r="D995" s="143">
        <v>2025</v>
      </c>
      <c r="E995" s="144">
        <v>2910907381</v>
      </c>
      <c r="F995" s="145" t="s">
        <v>1670</v>
      </c>
      <c r="G995" s="146">
        <v>696050000</v>
      </c>
      <c r="H995" s="146">
        <v>74576786</v>
      </c>
      <c r="I995" s="147"/>
      <c r="J995" s="147">
        <f t="shared" si="339"/>
        <v>0.12000000051490554</v>
      </c>
      <c r="K995" s="148">
        <v>121000000</v>
      </c>
      <c r="L995" s="149">
        <f>+K995/(1+J995)*J995</f>
        <v>12964285.763953738</v>
      </c>
      <c r="M995" s="149">
        <v>0</v>
      </c>
      <c r="N995" s="150">
        <f t="shared" si="347"/>
        <v>12964285.763953738</v>
      </c>
      <c r="O995" s="151">
        <f t="shared" si="349"/>
        <v>5185714</v>
      </c>
      <c r="P995" s="152" t="s">
        <v>1631</v>
      </c>
      <c r="Q995" s="143">
        <v>5534</v>
      </c>
      <c r="R995" s="153">
        <f t="shared" si="346"/>
        <v>7778571.7639537379</v>
      </c>
      <c r="S995" s="143">
        <v>5535</v>
      </c>
      <c r="T995" s="143">
        <v>1614</v>
      </c>
      <c r="U995" s="143">
        <v>2360</v>
      </c>
      <c r="V995" s="144" t="s">
        <v>261</v>
      </c>
      <c r="W995" s="154">
        <v>45828</v>
      </c>
      <c r="X995" s="152" t="s">
        <v>1671</v>
      </c>
    </row>
    <row r="996" spans="1:24" x14ac:dyDescent="0.25">
      <c r="A996" s="123" t="str">
        <f t="shared" si="334"/>
        <v>291090737845828119277512,721429</v>
      </c>
      <c r="B996" s="185">
        <f t="shared" si="327"/>
        <v>46007</v>
      </c>
      <c r="C996" s="3">
        <f t="shared" si="328"/>
        <v>198795855.14285716</v>
      </c>
      <c r="D996" s="143">
        <v>2025</v>
      </c>
      <c r="E996" s="144">
        <v>2910907378</v>
      </c>
      <c r="F996" s="145" t="s">
        <v>1672</v>
      </c>
      <c r="G996" s="146">
        <v>3710855946</v>
      </c>
      <c r="H996" s="146">
        <v>397591709</v>
      </c>
      <c r="I996" s="147"/>
      <c r="J996" s="147">
        <f t="shared" si="339"/>
        <v>0.12000000016901761</v>
      </c>
      <c r="K996" s="148">
        <v>1113256784</v>
      </c>
      <c r="L996" s="149">
        <f>+K996/(1+J996)*J996</f>
        <v>119277512.72142859</v>
      </c>
      <c r="M996" s="149">
        <v>0</v>
      </c>
      <c r="N996" s="150">
        <f t="shared" si="347"/>
        <v>119277512.72142859</v>
      </c>
      <c r="O996" s="151">
        <f t="shared" si="349"/>
        <v>47711005</v>
      </c>
      <c r="P996" s="152" t="s">
        <v>1631</v>
      </c>
      <c r="Q996" s="143">
        <v>5532</v>
      </c>
      <c r="R996" s="153">
        <f t="shared" si="346"/>
        <v>71566507.721428588</v>
      </c>
      <c r="S996" s="143">
        <v>5533</v>
      </c>
      <c r="T996" s="143">
        <v>1615</v>
      </c>
      <c r="U996" s="143">
        <v>2361</v>
      </c>
      <c r="V996" s="144" t="s">
        <v>261</v>
      </c>
      <c r="W996" s="154">
        <v>45828</v>
      </c>
      <c r="X996" s="152" t="s">
        <v>1673</v>
      </c>
    </row>
    <row r="997" spans="1:24" x14ac:dyDescent="0.25">
      <c r="A997" s="123" t="str">
        <f t="shared" si="334"/>
        <v>29109073744582855017972</v>
      </c>
      <c r="B997" s="185">
        <f t="shared" si="327"/>
        <v>45957</v>
      </c>
      <c r="C997" s="3">
        <f t="shared" si="328"/>
        <v>128375267.99999999</v>
      </c>
      <c r="D997" s="143">
        <v>2025</v>
      </c>
      <c r="E997" s="144">
        <v>2910907374</v>
      </c>
      <c r="F997" s="145" t="s">
        <v>1674</v>
      </c>
      <c r="G997" s="146">
        <v>1711670240</v>
      </c>
      <c r="H997" s="146">
        <v>183393240</v>
      </c>
      <c r="I997" s="147"/>
      <c r="J997" s="147">
        <f t="shared" si="339"/>
        <v>0.12</v>
      </c>
      <c r="K997" s="148">
        <v>513501072</v>
      </c>
      <c r="L997" s="149">
        <f>+K997/(1+J997)*J997</f>
        <v>55017971.999999993</v>
      </c>
      <c r="M997" s="149">
        <v>0</v>
      </c>
      <c r="N997" s="150">
        <f t="shared" si="347"/>
        <v>55017971.999999993</v>
      </c>
      <c r="O997" s="151">
        <f t="shared" si="349"/>
        <v>22007189</v>
      </c>
      <c r="P997" s="152" t="s">
        <v>1631</v>
      </c>
      <c r="Q997" s="143">
        <v>5528</v>
      </c>
      <c r="R997" s="153">
        <f t="shared" si="346"/>
        <v>33010782.999999993</v>
      </c>
      <c r="S997" s="143">
        <v>5529</v>
      </c>
      <c r="T997" s="143">
        <v>1616</v>
      </c>
      <c r="U997" s="143">
        <v>2362</v>
      </c>
      <c r="V997" s="144" t="s">
        <v>261</v>
      </c>
      <c r="W997" s="154">
        <v>45828</v>
      </c>
      <c r="X997" s="152" t="s">
        <v>1675</v>
      </c>
    </row>
    <row r="998" spans="1:24" x14ac:dyDescent="0.25">
      <c r="A998" s="123" t="str">
        <f t="shared" si="334"/>
        <v>291090675645828200890598,736197</v>
      </c>
      <c r="B998" s="185">
        <f t="shared" si="327"/>
        <v>45828</v>
      </c>
      <c r="C998" s="3">
        <f t="shared" si="328"/>
        <v>200890598.73619679</v>
      </c>
      <c r="D998" s="143">
        <v>2021</v>
      </c>
      <c r="E998" s="144">
        <v>2910906756</v>
      </c>
      <c r="F998" s="145" t="s">
        <v>212</v>
      </c>
      <c r="G998" s="146">
        <v>2844873087</v>
      </c>
      <c r="H998" s="146">
        <v>304807831</v>
      </c>
      <c r="I998" s="147"/>
      <c r="J998" s="147">
        <f t="shared" si="339"/>
        <v>0.12000000011023339</v>
      </c>
      <c r="K998" s="148">
        <v>1874978920</v>
      </c>
      <c r="L998" s="149">
        <f>+K998/(1+J998)*J998</f>
        <v>200890598.73619679</v>
      </c>
      <c r="M998" s="149">
        <v>138003826</v>
      </c>
      <c r="N998" s="150">
        <f t="shared" si="347"/>
        <v>62886772.736196786</v>
      </c>
      <c r="O998" s="151">
        <f>ROUND((N998*40%),0)</f>
        <v>25154709</v>
      </c>
      <c r="P998" s="152" t="s">
        <v>1631</v>
      </c>
      <c r="Q998" s="143">
        <v>5516</v>
      </c>
      <c r="R998" s="153">
        <f>+N998-O998</f>
        <v>37732063.736196786</v>
      </c>
      <c r="S998" s="143">
        <v>5517</v>
      </c>
      <c r="T998" s="143">
        <v>1617</v>
      </c>
      <c r="U998" s="143">
        <v>2363</v>
      </c>
      <c r="V998" s="144" t="s">
        <v>261</v>
      </c>
      <c r="W998" s="154">
        <v>45828</v>
      </c>
      <c r="X998" s="152" t="s">
        <v>1676</v>
      </c>
    </row>
    <row r="999" spans="1:24" x14ac:dyDescent="0.25">
      <c r="A999" s="123" t="str">
        <f t="shared" si="334"/>
        <v>291090735545828120535714,5</v>
      </c>
      <c r="B999" s="185">
        <f t="shared" si="327"/>
        <v>45861</v>
      </c>
      <c r="C999" s="3">
        <f t="shared" si="328"/>
        <v>160714286</v>
      </c>
      <c r="D999" s="143">
        <v>2024</v>
      </c>
      <c r="E999" s="144">
        <v>2910907355</v>
      </c>
      <c r="F999" s="145" t="s">
        <v>1637</v>
      </c>
      <c r="G999" s="146">
        <v>1500000000</v>
      </c>
      <c r="H999" s="146">
        <v>160714286</v>
      </c>
      <c r="I999" s="147"/>
      <c r="J999" s="147">
        <f t="shared" si="339"/>
        <v>0.12000000023893333</v>
      </c>
      <c r="K999" s="148">
        <v>1125000000</v>
      </c>
      <c r="L999" s="149">
        <f t="shared" ref="L999" si="350">+K999/(1+J999)*J999</f>
        <v>120535714.49999999</v>
      </c>
      <c r="M999" s="149">
        <v>64285714.399999991</v>
      </c>
      <c r="N999" s="150">
        <f t="shared" si="347"/>
        <v>56250000.099999994</v>
      </c>
      <c r="O999" s="151">
        <f>ROUND((N999*40%),0)</f>
        <v>22500000</v>
      </c>
      <c r="P999" s="152" t="s">
        <v>1631</v>
      </c>
      <c r="Q999" s="143">
        <v>5522</v>
      </c>
      <c r="R999" s="153">
        <f>+N999-O999</f>
        <v>33750000.099999994</v>
      </c>
      <c r="S999" s="143">
        <v>5523</v>
      </c>
      <c r="T999" s="143">
        <v>1618</v>
      </c>
      <c r="U999" s="143">
        <v>2364</v>
      </c>
      <c r="V999" s="144" t="s">
        <v>261</v>
      </c>
      <c r="W999" s="154">
        <v>45828</v>
      </c>
      <c r="X999" s="152" t="s">
        <v>1677</v>
      </c>
    </row>
    <row r="1000" spans="1:24" x14ac:dyDescent="0.25">
      <c r="A1000" s="123" t="str">
        <f t="shared" si="334"/>
        <v>29109073434582834821429</v>
      </c>
      <c r="B1000" s="185">
        <f t="shared" si="327"/>
        <v>45828</v>
      </c>
      <c r="C1000" s="3">
        <f t="shared" si="328"/>
        <v>34821429</v>
      </c>
      <c r="D1000" s="143">
        <v>2024</v>
      </c>
      <c r="E1000" s="144">
        <v>2910907343</v>
      </c>
      <c r="F1000" s="145" t="s">
        <v>1571</v>
      </c>
      <c r="G1000" s="146">
        <v>325000000</v>
      </c>
      <c r="H1000" s="146">
        <v>34821429</v>
      </c>
      <c r="I1000" s="147"/>
      <c r="J1000" s="147">
        <f t="shared" si="339"/>
        <v>0.12000000165415385</v>
      </c>
      <c r="K1000" s="148">
        <v>325000000</v>
      </c>
      <c r="L1000" s="149">
        <f>+K1000/(1+J1000)*J1000</f>
        <v>34821429</v>
      </c>
      <c r="M1000" s="149">
        <v>17410714.5</v>
      </c>
      <c r="N1000" s="150">
        <f t="shared" si="347"/>
        <v>17410714.5</v>
      </c>
      <c r="O1000" s="151">
        <f t="shared" ref="O1000:O1001" si="351">ROUND((N1000*40%),0)</f>
        <v>6964286</v>
      </c>
      <c r="P1000" s="152" t="s">
        <v>1631</v>
      </c>
      <c r="Q1000" s="143">
        <v>5520</v>
      </c>
      <c r="R1000" s="153">
        <f t="shared" ref="R1000:R1014" si="352">+N1000-O1000</f>
        <v>10446428.5</v>
      </c>
      <c r="S1000" s="143">
        <v>5521</v>
      </c>
      <c r="T1000" s="143">
        <v>1619</v>
      </c>
      <c r="U1000" s="143">
        <v>2365</v>
      </c>
      <c r="V1000" s="144" t="s">
        <v>261</v>
      </c>
      <c r="W1000" s="154">
        <v>45828</v>
      </c>
      <c r="X1000" s="152" t="s">
        <v>1678</v>
      </c>
    </row>
    <row r="1001" spans="1:24" x14ac:dyDescent="0.25">
      <c r="A1001" s="123" t="str">
        <f t="shared" si="334"/>
        <v>29109073614582833105053,7280406</v>
      </c>
      <c r="B1001" s="185">
        <f t="shared" si="327"/>
        <v>45924</v>
      </c>
      <c r="C1001" s="3">
        <f t="shared" si="328"/>
        <v>65955053.883445963</v>
      </c>
      <c r="D1001" s="143">
        <v>2024</v>
      </c>
      <c r="E1001" s="144">
        <v>2910907361</v>
      </c>
      <c r="F1001" s="145" t="s">
        <v>1573</v>
      </c>
      <c r="G1001" s="146">
        <v>845530500</v>
      </c>
      <c r="H1001" s="146">
        <v>90592554</v>
      </c>
      <c r="I1001" s="147"/>
      <c r="J1001" s="147">
        <f t="shared" si="339"/>
        <v>0.12000000063581384</v>
      </c>
      <c r="K1001" s="148">
        <v>308980500</v>
      </c>
      <c r="L1001" s="149">
        <f>+K1001/(1+J1001)*J1001</f>
        <v>33105053.728040565</v>
      </c>
      <c r="M1001" s="149">
        <v>16680053.650337866</v>
      </c>
      <c r="N1001" s="150">
        <f t="shared" si="347"/>
        <v>16425000.077702699</v>
      </c>
      <c r="O1001" s="151">
        <f t="shared" si="351"/>
        <v>6570000</v>
      </c>
      <c r="P1001" s="152" t="s">
        <v>1631</v>
      </c>
      <c r="Q1001" s="143">
        <v>5524</v>
      </c>
      <c r="R1001" s="153">
        <f t="shared" si="352"/>
        <v>9855000.0777026992</v>
      </c>
      <c r="S1001" s="143">
        <v>5525</v>
      </c>
      <c r="T1001" s="143">
        <v>1620</v>
      </c>
      <c r="U1001" s="143">
        <v>2366</v>
      </c>
      <c r="V1001" s="144" t="s">
        <v>261</v>
      </c>
      <c r="W1001" s="154">
        <v>45828</v>
      </c>
      <c r="X1001" s="152" t="s">
        <v>1663</v>
      </c>
    </row>
    <row r="1002" spans="1:24" x14ac:dyDescent="0.25">
      <c r="A1002" s="123" t="str">
        <f t="shared" si="334"/>
        <v>24530183724583228430059,3258371</v>
      </c>
      <c r="B1002" s="185">
        <f t="shared" si="327"/>
        <v>45924</v>
      </c>
      <c r="C1002" s="3">
        <f t="shared" si="328"/>
        <v>81403982.043455452</v>
      </c>
      <c r="D1002" s="143">
        <v>2025</v>
      </c>
      <c r="E1002" s="144">
        <v>2453018372</v>
      </c>
      <c r="F1002" s="145" t="s">
        <v>1645</v>
      </c>
      <c r="G1002" s="146">
        <v>1417150530</v>
      </c>
      <c r="H1002" s="146">
        <v>151837557</v>
      </c>
      <c r="I1002" s="147"/>
      <c r="J1002" s="147">
        <f t="shared" si="339"/>
        <v>0.1200000001896764</v>
      </c>
      <c r="K1002" s="148">
        <v>265347220</v>
      </c>
      <c r="L1002" s="149">
        <f t="shared" ref="L1002:L1008" si="353">+K1002/(1+J1002)*J1002</f>
        <v>28430059.325837135</v>
      </c>
      <c r="M1002" s="149">
        <v>19122170.276986789</v>
      </c>
      <c r="N1002" s="150">
        <f>+L1002-M1002</f>
        <v>9307889.0488503464</v>
      </c>
      <c r="O1002" s="151">
        <f>ROUND((N1002*40%),0)</f>
        <v>3723156</v>
      </c>
      <c r="P1002" s="152" t="s">
        <v>1631</v>
      </c>
      <c r="Q1002" s="143">
        <v>5514</v>
      </c>
      <c r="R1002" s="153">
        <f t="shared" si="352"/>
        <v>5584733.0488503464</v>
      </c>
      <c r="S1002" s="143">
        <v>5515</v>
      </c>
      <c r="T1002" s="143">
        <v>1621</v>
      </c>
      <c r="U1002" s="143">
        <v>2367</v>
      </c>
      <c r="V1002" s="144" t="s">
        <v>261</v>
      </c>
      <c r="W1002" s="154">
        <v>45832</v>
      </c>
      <c r="X1002" s="152" t="s">
        <v>425</v>
      </c>
    </row>
    <row r="1003" spans="1:24" x14ac:dyDescent="0.25">
      <c r="A1003" s="123" t="str">
        <f t="shared" si="334"/>
        <v>24530183704583210415692,0714286</v>
      </c>
      <c r="B1003" s="185">
        <f t="shared" si="327"/>
        <v>45832</v>
      </c>
      <c r="C1003" s="3">
        <f t="shared" si="328"/>
        <v>10415692.071428569</v>
      </c>
      <c r="D1003" s="143">
        <v>2024</v>
      </c>
      <c r="E1003" s="144">
        <v>2453018370</v>
      </c>
      <c r="F1003" s="145" t="s">
        <v>1679</v>
      </c>
      <c r="G1003" s="146">
        <v>455000000</v>
      </c>
      <c r="H1003" s="146">
        <v>48750000</v>
      </c>
      <c r="I1003" s="147"/>
      <c r="J1003" s="147">
        <f>IFERROR((+H1003/(G1003-H1003)),0)</f>
        <v>0.12</v>
      </c>
      <c r="K1003" s="148">
        <v>97213126</v>
      </c>
      <c r="L1003" s="149">
        <f t="shared" si="353"/>
        <v>10415692.071428569</v>
      </c>
      <c r="M1003" s="149">
        <v>0</v>
      </c>
      <c r="N1003" s="150">
        <f>+L1003-M1003</f>
        <v>10415692.071428569</v>
      </c>
      <c r="O1003" s="151">
        <f>ROUND((N1003*40%),0)</f>
        <v>4166277</v>
      </c>
      <c r="P1003" s="152" t="s">
        <v>1631</v>
      </c>
      <c r="Q1003" s="143">
        <v>5512</v>
      </c>
      <c r="R1003" s="153">
        <f t="shared" si="352"/>
        <v>6249415.071428569</v>
      </c>
      <c r="S1003" s="143">
        <v>5513</v>
      </c>
      <c r="T1003" s="143">
        <v>1622</v>
      </c>
      <c r="U1003" s="143">
        <v>2368</v>
      </c>
      <c r="V1003" s="144" t="s">
        <v>261</v>
      </c>
      <c r="W1003" s="154">
        <v>45832</v>
      </c>
      <c r="X1003" s="152" t="s">
        <v>425</v>
      </c>
    </row>
    <row r="1004" spans="1:24" x14ac:dyDescent="0.25">
      <c r="A1004" s="123" t="str">
        <f t="shared" si="334"/>
        <v>245301833045832247478832,068195</v>
      </c>
      <c r="B1004" s="185">
        <f t="shared" si="327"/>
        <v>45912</v>
      </c>
      <c r="C1004" s="3">
        <f t="shared" si="328"/>
        <v>259214159</v>
      </c>
      <c r="D1004" s="143">
        <v>2021</v>
      </c>
      <c r="E1004" s="144">
        <v>2453018330</v>
      </c>
      <c r="F1004" s="145" t="s">
        <v>198</v>
      </c>
      <c r="G1004" s="146">
        <v>2419332150</v>
      </c>
      <c r="H1004" s="146">
        <v>259214159</v>
      </c>
      <c r="I1004" s="147"/>
      <c r="J1004" s="147">
        <f>IFERROR((+H1004/(G1004-H1004)),0)</f>
        <v>0.12000000003703501</v>
      </c>
      <c r="K1004" s="148">
        <v>2309802432</v>
      </c>
      <c r="L1004" s="149">
        <f t="shared" si="353"/>
        <v>247478832.06819481</v>
      </c>
      <c r="M1004" s="149">
        <v>234726270</v>
      </c>
      <c r="N1004" s="150">
        <f>+L1004-M1004</f>
        <v>12752562.068194807</v>
      </c>
      <c r="O1004" s="151">
        <f>ROUND((N1004*40%),0)</f>
        <v>5101025</v>
      </c>
      <c r="P1004" s="152" t="s">
        <v>1631</v>
      </c>
      <c r="Q1004" s="143">
        <v>5510</v>
      </c>
      <c r="R1004" s="153">
        <f t="shared" si="352"/>
        <v>7651537.0681948066</v>
      </c>
      <c r="S1004" s="143">
        <v>5511</v>
      </c>
      <c r="T1004" s="143">
        <v>1623</v>
      </c>
      <c r="U1004" s="143">
        <v>2369</v>
      </c>
      <c r="V1004" s="144" t="s">
        <v>261</v>
      </c>
      <c r="W1004" s="154">
        <v>45832</v>
      </c>
      <c r="X1004" s="152" t="s">
        <v>425</v>
      </c>
    </row>
    <row r="1005" spans="1:24" x14ac:dyDescent="0.25">
      <c r="A1005" s="123" t="str">
        <f t="shared" si="334"/>
        <v>2910907384458328370600</v>
      </c>
      <c r="B1005" s="185">
        <f t="shared" si="327"/>
        <v>46007</v>
      </c>
      <c r="C1005" s="3">
        <f t="shared" si="328"/>
        <v>117188399.99999999</v>
      </c>
      <c r="D1005" s="143">
        <v>2025</v>
      </c>
      <c r="E1005" s="144">
        <v>2910907384</v>
      </c>
      <c r="F1005" s="145" t="s">
        <v>1680</v>
      </c>
      <c r="G1005" s="146">
        <v>1562512000</v>
      </c>
      <c r="H1005" s="146">
        <v>167412000</v>
      </c>
      <c r="I1005" s="147"/>
      <c r="J1005" s="147">
        <f>IFERROR((+H1005/(G1005-H1005)),0)</f>
        <v>0.12</v>
      </c>
      <c r="K1005" s="148">
        <v>78125600</v>
      </c>
      <c r="L1005" s="149">
        <f t="shared" si="353"/>
        <v>8370600</v>
      </c>
      <c r="M1005" s="149">
        <v>0</v>
      </c>
      <c r="N1005" s="150">
        <f>+L1005-M1005</f>
        <v>8370600</v>
      </c>
      <c r="O1005" s="151">
        <f>ROUND((N1005*40%),0)</f>
        <v>3348240</v>
      </c>
      <c r="P1005" s="152" t="s">
        <v>1631</v>
      </c>
      <c r="Q1005" s="143">
        <v>5536</v>
      </c>
      <c r="R1005" s="153">
        <f t="shared" si="352"/>
        <v>5022360</v>
      </c>
      <c r="S1005" s="143">
        <v>5537</v>
      </c>
      <c r="T1005" s="143">
        <v>1624</v>
      </c>
      <c r="U1005" s="143">
        <v>2370</v>
      </c>
      <c r="V1005" s="144" t="s">
        <v>261</v>
      </c>
      <c r="W1005" s="154">
        <v>45832</v>
      </c>
      <c r="X1005" s="152" t="s">
        <v>1681</v>
      </c>
    </row>
    <row r="1006" spans="1:24" x14ac:dyDescent="0.25">
      <c r="A1006" s="123" t="str">
        <f t="shared" si="334"/>
        <v>29109082104583249499655</v>
      </c>
      <c r="B1006" s="185">
        <f t="shared" si="327"/>
        <v>45832</v>
      </c>
      <c r="C1006" s="3">
        <f t="shared" si="328"/>
        <v>49499655</v>
      </c>
      <c r="D1006" s="143">
        <v>2024</v>
      </c>
      <c r="E1006" s="144">
        <v>2910908210</v>
      </c>
      <c r="F1006" s="145" t="s">
        <v>690</v>
      </c>
      <c r="G1006" s="146">
        <v>461996781</v>
      </c>
      <c r="H1006" s="146">
        <v>49499655</v>
      </c>
      <c r="I1006" s="147"/>
      <c r="J1006" s="147">
        <f t="shared" ref="J1006:J1009" si="354">IFERROR((+H1006/(G1006-H1006)),0)</f>
        <v>0.11999999970908888</v>
      </c>
      <c r="K1006" s="148">
        <v>461996781</v>
      </c>
      <c r="L1006" s="149">
        <f t="shared" si="353"/>
        <v>49499655</v>
      </c>
      <c r="M1006" s="149">
        <v>44586172</v>
      </c>
      <c r="N1006" s="150">
        <f t="shared" ref="N1006" si="355">+L1006-M1006</f>
        <v>4913483</v>
      </c>
      <c r="O1006" s="151">
        <f t="shared" ref="O1006" si="356">ROUND((N1006*40%),0)</f>
        <v>1965393</v>
      </c>
      <c r="P1006" s="152" t="s">
        <v>1631</v>
      </c>
      <c r="Q1006" s="143">
        <v>5538</v>
      </c>
      <c r="R1006" s="153">
        <f t="shared" si="352"/>
        <v>2948090</v>
      </c>
      <c r="S1006" s="143">
        <v>5539</v>
      </c>
      <c r="T1006" s="143">
        <v>1625</v>
      </c>
      <c r="U1006" s="143">
        <v>2371</v>
      </c>
      <c r="V1006" s="144" t="s">
        <v>261</v>
      </c>
      <c r="W1006" s="154">
        <v>45832</v>
      </c>
      <c r="X1006" s="152" t="s">
        <v>1682</v>
      </c>
    </row>
    <row r="1007" spans="1:24" x14ac:dyDescent="0.25">
      <c r="A1007" s="123" t="str">
        <f t="shared" si="334"/>
        <v>2910907363458338143240,8</v>
      </c>
      <c r="B1007" s="185">
        <f t="shared" si="327"/>
        <v>45861</v>
      </c>
      <c r="C1007" s="3">
        <f t="shared" si="328"/>
        <v>13273482.488999998</v>
      </c>
      <c r="D1007" s="143">
        <v>2024</v>
      </c>
      <c r="E1007" s="144">
        <v>2910907363</v>
      </c>
      <c r="F1007" s="145" t="s">
        <v>1683</v>
      </c>
      <c r="G1007" s="146">
        <v>126672630</v>
      </c>
      <c r="H1007" s="146">
        <v>13572068</v>
      </c>
      <c r="I1007" s="147"/>
      <c r="J1007" s="147">
        <f t="shared" si="354"/>
        <v>0.12000000495134587</v>
      </c>
      <c r="K1007" s="148">
        <v>76003578</v>
      </c>
      <c r="L1007" s="149">
        <f t="shared" si="353"/>
        <v>8143240.8000000007</v>
      </c>
      <c r="M1007" s="149">
        <v>0</v>
      </c>
      <c r="N1007" s="150">
        <f>+L1007-M1007</f>
        <v>8143240.8000000007</v>
      </c>
      <c r="O1007" s="151">
        <f>ROUND((N1007*40%),0)</f>
        <v>3257296</v>
      </c>
      <c r="P1007" s="152" t="s">
        <v>1631</v>
      </c>
      <c r="Q1007" s="143">
        <v>5526</v>
      </c>
      <c r="R1007" s="153">
        <f t="shared" si="352"/>
        <v>4885944.8000000007</v>
      </c>
      <c r="S1007" s="143">
        <v>5527</v>
      </c>
      <c r="T1007" s="143">
        <v>1626</v>
      </c>
      <c r="U1007" s="143">
        <v>2372</v>
      </c>
      <c r="V1007" s="144" t="s">
        <v>261</v>
      </c>
      <c r="W1007" s="154">
        <v>45833</v>
      </c>
      <c r="X1007" s="152" t="s">
        <v>1684</v>
      </c>
    </row>
    <row r="1008" spans="1:24" x14ac:dyDescent="0.25">
      <c r="A1008" s="123" t="str">
        <f t="shared" si="334"/>
        <v>29109072414583342766223</v>
      </c>
      <c r="B1008" s="185">
        <f t="shared" si="327"/>
        <v>45833</v>
      </c>
      <c r="C1008" s="3">
        <f t="shared" si="328"/>
        <v>42766223</v>
      </c>
      <c r="D1008" s="143">
        <v>2023</v>
      </c>
      <c r="E1008" s="144">
        <v>2910907241</v>
      </c>
      <c r="F1008" s="145" t="s">
        <v>535</v>
      </c>
      <c r="G1008" s="146">
        <v>399151141</v>
      </c>
      <c r="H1008" s="146">
        <v>42766223</v>
      </c>
      <c r="I1008" s="147"/>
      <c r="J1008" s="147">
        <f t="shared" si="354"/>
        <v>0.12000009214755827</v>
      </c>
      <c r="K1008" s="148">
        <v>399151141</v>
      </c>
      <c r="L1008" s="149">
        <f t="shared" si="353"/>
        <v>42766223</v>
      </c>
      <c r="M1008" s="149">
        <v>42295823</v>
      </c>
      <c r="N1008" s="150">
        <f t="shared" ref="N1008" si="357">+L1008-M1008</f>
        <v>470400</v>
      </c>
      <c r="O1008" s="151">
        <f t="shared" ref="O1008:O1009" si="358">ROUND((N1008*40%),0)</f>
        <v>188160</v>
      </c>
      <c r="P1008" s="152" t="s">
        <v>548</v>
      </c>
      <c r="Q1008" s="143">
        <v>5518</v>
      </c>
      <c r="R1008" s="153">
        <f t="shared" si="352"/>
        <v>282240</v>
      </c>
      <c r="S1008" s="143">
        <v>5519</v>
      </c>
      <c r="T1008" s="143">
        <v>1627</v>
      </c>
      <c r="U1008" s="143">
        <v>2373</v>
      </c>
      <c r="V1008" s="144" t="s">
        <v>261</v>
      </c>
      <c r="W1008" s="154">
        <v>45833</v>
      </c>
      <c r="X1008" s="152" t="s">
        <v>1685</v>
      </c>
    </row>
    <row r="1009" spans="1:24" x14ac:dyDescent="0.25">
      <c r="A1009" s="123" t="str">
        <f t="shared" ref="A1009:A1066" si="359">_xlfn.CONCAT(E1009,W1009,L1009)</f>
        <v>291090733345855130104341,058676</v>
      </c>
      <c r="B1009" s="185">
        <f t="shared" ref="B1009:B1066" si="360">_xlfn.MAXIFS(W:W,E:E,E1009)</f>
        <v>45986</v>
      </c>
      <c r="C1009" s="3">
        <f>_xlfn.MAXIFS(L:L,E:E,E1009)</f>
        <v>344824913.20803922</v>
      </c>
      <c r="D1009" s="204">
        <v>2025</v>
      </c>
      <c r="E1009" s="205">
        <v>2910907333</v>
      </c>
      <c r="F1009" s="206" t="s">
        <v>1640</v>
      </c>
      <c r="G1009" s="207">
        <v>4000000000</v>
      </c>
      <c r="H1009" s="207">
        <v>428571429</v>
      </c>
      <c r="I1009" s="208"/>
      <c r="J1009" s="208">
        <f t="shared" si="354"/>
        <v>0.1200000001344</v>
      </c>
      <c r="K1009" s="209">
        <v>1214307182</v>
      </c>
      <c r="L1009" s="210">
        <f>+K1009/(1+J1009)*J1009</f>
        <v>130104341.05867577</v>
      </c>
      <c r="M1009" s="210">
        <v>14440213.943011601</v>
      </c>
      <c r="N1009" s="211">
        <f>+L1009-M1009</f>
        <v>115664127.11566417</v>
      </c>
      <c r="O1009" s="212">
        <f t="shared" si="358"/>
        <v>46265651</v>
      </c>
      <c r="P1009" s="213" t="s">
        <v>706</v>
      </c>
      <c r="Q1009" s="204">
        <v>6823</v>
      </c>
      <c r="R1009" s="214">
        <f t="shared" si="352"/>
        <v>69398476.115664169</v>
      </c>
      <c r="S1009" s="204">
        <v>6824</v>
      </c>
      <c r="T1009" s="204">
        <v>1781</v>
      </c>
      <c r="U1009" s="204">
        <v>2592</v>
      </c>
      <c r="V1009" s="205" t="s">
        <v>261</v>
      </c>
      <c r="W1009" s="215">
        <v>45855</v>
      </c>
      <c r="X1009" s="213" t="s">
        <v>1722</v>
      </c>
    </row>
    <row r="1010" spans="1:24" x14ac:dyDescent="0.25">
      <c r="A1010" s="123" t="str">
        <f t="shared" si="359"/>
        <v>29109073844586150223600</v>
      </c>
      <c r="B1010" s="185">
        <f t="shared" si="360"/>
        <v>46007</v>
      </c>
      <c r="C1010" s="3">
        <f t="shared" ref="C1010:C1066" si="361">_xlfn.MAXIFS(L:L,E:E,E1010)</f>
        <v>117188399.99999999</v>
      </c>
      <c r="D1010" s="204">
        <v>2025</v>
      </c>
      <c r="E1010" s="205">
        <v>2910907384</v>
      </c>
      <c r="F1010" s="206" t="s">
        <v>1680</v>
      </c>
      <c r="G1010" s="207">
        <v>1562512000</v>
      </c>
      <c r="H1010" s="207">
        <v>167412000</v>
      </c>
      <c r="I1010" s="208"/>
      <c r="J1010" s="208">
        <f>IFERROR((+H1010/(G1010-H1010)),0)</f>
        <v>0.12</v>
      </c>
      <c r="K1010" s="209">
        <v>468753600</v>
      </c>
      <c r="L1010" s="210">
        <f t="shared" ref="L1010:L1067" si="362">+K1010/(1+J1010)*J1010</f>
        <v>50223599.999999993</v>
      </c>
      <c r="M1010" s="210">
        <v>8370600</v>
      </c>
      <c r="N1010" s="211">
        <f>+L1010-M1010</f>
        <v>41852999.999999993</v>
      </c>
      <c r="O1010" s="212">
        <f>ROUND((N1010*40%),0)</f>
        <v>16741200</v>
      </c>
      <c r="P1010" s="213" t="s">
        <v>706</v>
      </c>
      <c r="Q1010" s="204">
        <v>7054</v>
      </c>
      <c r="R1010" s="214">
        <f t="shared" si="352"/>
        <v>25111799.999999993</v>
      </c>
      <c r="S1010" s="204">
        <v>7055</v>
      </c>
      <c r="T1010" s="204">
        <v>1829</v>
      </c>
      <c r="U1010" s="204">
        <v>2698</v>
      </c>
      <c r="V1010" s="205" t="s">
        <v>261</v>
      </c>
      <c r="W1010" s="215">
        <v>45861</v>
      </c>
      <c r="X1010" s="213" t="s">
        <v>1723</v>
      </c>
    </row>
    <row r="1011" spans="1:24" x14ac:dyDescent="0.25">
      <c r="A1011" s="123" t="str">
        <f t="shared" si="359"/>
        <v>2910907376458611052340321,53502</v>
      </c>
      <c r="B1011" s="185">
        <f t="shared" si="360"/>
        <v>46007</v>
      </c>
      <c r="C1011" s="3">
        <f t="shared" si="361"/>
        <v>1985646783.1418917</v>
      </c>
      <c r="D1011" s="204">
        <v>2025</v>
      </c>
      <c r="E1011" s="205">
        <v>2910907376</v>
      </c>
      <c r="F1011" s="206" t="s">
        <v>1630</v>
      </c>
      <c r="G1011" s="207">
        <v>19056054897</v>
      </c>
      <c r="H1011" s="207">
        <v>2041720168</v>
      </c>
      <c r="I1011" s="208"/>
      <c r="J1011" s="208">
        <f t="shared" ref="J1011:J1026" si="363">IFERROR((+H1011/(G1011-H1011)),0)</f>
        <v>0.12000000003056246</v>
      </c>
      <c r="K1011" s="209">
        <v>9821842998.7600002</v>
      </c>
      <c r="L1011" s="210">
        <f t="shared" si="362"/>
        <v>1052340321.5350156</v>
      </c>
      <c r="M1011" s="210">
        <v>861960180.67815197</v>
      </c>
      <c r="N1011" s="211">
        <f t="shared" ref="N1011:N1013" si="364">+L1011-M1011</f>
        <v>190380140.85686362</v>
      </c>
      <c r="O1011" s="212">
        <f t="shared" ref="O1011:O1013" si="365">ROUND((N1011*40%),0)</f>
        <v>76152056</v>
      </c>
      <c r="P1011" s="213" t="s">
        <v>706</v>
      </c>
      <c r="Q1011" s="204">
        <v>7046</v>
      </c>
      <c r="R1011" s="214">
        <f t="shared" si="352"/>
        <v>114228084.85686362</v>
      </c>
      <c r="S1011" s="204">
        <v>7047</v>
      </c>
      <c r="T1011" s="204">
        <v>1830</v>
      </c>
      <c r="U1011" s="204">
        <v>2699</v>
      </c>
      <c r="V1011" s="205" t="s">
        <v>261</v>
      </c>
      <c r="W1011" s="215">
        <v>45861</v>
      </c>
      <c r="X1011" s="213" t="s">
        <v>1724</v>
      </c>
    </row>
    <row r="1012" spans="1:24" x14ac:dyDescent="0.25">
      <c r="A1012" s="123" t="str">
        <f t="shared" si="359"/>
        <v>291090734045861185637301,0075</v>
      </c>
      <c r="B1012" s="185">
        <f t="shared" si="360"/>
        <v>45861</v>
      </c>
      <c r="C1012" s="3">
        <f t="shared" si="361"/>
        <v>185637301.00749999</v>
      </c>
      <c r="D1012" s="204">
        <v>2024</v>
      </c>
      <c r="E1012" s="205">
        <v>2910907340</v>
      </c>
      <c r="F1012" s="206" t="s">
        <v>1725</v>
      </c>
      <c r="G1012" s="207">
        <v>1732614817</v>
      </c>
      <c r="H1012" s="207">
        <v>185637301</v>
      </c>
      <c r="I1012" s="208"/>
      <c r="J1012" s="208">
        <f t="shared" si="363"/>
        <v>0.11999999940529193</v>
      </c>
      <c r="K1012" s="209">
        <v>1732614817.0699999</v>
      </c>
      <c r="L1012" s="210">
        <f t="shared" si="362"/>
        <v>185637301.00749999</v>
      </c>
      <c r="M1012" s="210">
        <v>0</v>
      </c>
      <c r="N1012" s="211">
        <f t="shared" si="364"/>
        <v>185637301.00749999</v>
      </c>
      <c r="O1012" s="212">
        <f t="shared" si="365"/>
        <v>74254920</v>
      </c>
      <c r="P1012" s="213" t="s">
        <v>706</v>
      </c>
      <c r="Q1012" s="204">
        <v>7038</v>
      </c>
      <c r="R1012" s="214">
        <f t="shared" si="352"/>
        <v>111382381.00749999</v>
      </c>
      <c r="S1012" s="204">
        <v>7039</v>
      </c>
      <c r="T1012" s="204">
        <v>1831</v>
      </c>
      <c r="U1012" s="204">
        <v>2700</v>
      </c>
      <c r="V1012" s="205" t="s">
        <v>261</v>
      </c>
      <c r="W1012" s="215">
        <v>45861</v>
      </c>
      <c r="X1012" s="213" t="s">
        <v>1726</v>
      </c>
    </row>
    <row r="1013" spans="1:24" x14ac:dyDescent="0.25">
      <c r="A1013" s="123" t="str">
        <f t="shared" si="359"/>
        <v>291090738345861199816193,764286</v>
      </c>
      <c r="B1013" s="185">
        <f t="shared" si="360"/>
        <v>45986</v>
      </c>
      <c r="C1013" s="3">
        <f t="shared" si="361"/>
        <v>479558865.43184918</v>
      </c>
      <c r="D1013" s="204">
        <v>2025</v>
      </c>
      <c r="E1013" s="205">
        <v>2910907383</v>
      </c>
      <c r="F1013" s="206" t="s">
        <v>1727</v>
      </c>
      <c r="G1013" s="207">
        <v>6216503808</v>
      </c>
      <c r="H1013" s="207">
        <v>666053979</v>
      </c>
      <c r="I1013" s="208"/>
      <c r="J1013" s="208">
        <f t="shared" si="363"/>
        <v>0.11999999991352052</v>
      </c>
      <c r="K1013" s="209">
        <v>1864951143</v>
      </c>
      <c r="L1013" s="210">
        <f t="shared" si="362"/>
        <v>199816193.76428568</v>
      </c>
      <c r="M1013" s="210">
        <v>0</v>
      </c>
      <c r="N1013" s="211">
        <f t="shared" si="364"/>
        <v>199816193.76428568</v>
      </c>
      <c r="O1013" s="212">
        <f t="shared" si="365"/>
        <v>79926478</v>
      </c>
      <c r="P1013" s="213" t="s">
        <v>706</v>
      </c>
      <c r="Q1013" s="204">
        <v>7052</v>
      </c>
      <c r="R1013" s="214">
        <f t="shared" si="352"/>
        <v>119889715.76428568</v>
      </c>
      <c r="S1013" s="204">
        <v>7053</v>
      </c>
      <c r="T1013" s="204">
        <v>1832</v>
      </c>
      <c r="U1013" s="204">
        <v>2701</v>
      </c>
      <c r="V1013" s="205" t="s">
        <v>261</v>
      </c>
      <c r="W1013" s="215">
        <v>45861</v>
      </c>
      <c r="X1013" s="213" t="s">
        <v>1728</v>
      </c>
    </row>
    <row r="1014" spans="1:24" x14ac:dyDescent="0.25">
      <c r="A1014" s="123" t="str">
        <f t="shared" si="359"/>
        <v>29109073634586113273482,489</v>
      </c>
      <c r="B1014" s="185">
        <f t="shared" si="360"/>
        <v>45861</v>
      </c>
      <c r="C1014" s="3">
        <f t="shared" si="361"/>
        <v>13273482.488999998</v>
      </c>
      <c r="D1014" s="204">
        <v>2024</v>
      </c>
      <c r="E1014" s="205">
        <v>2910907363</v>
      </c>
      <c r="F1014" s="206" t="s">
        <v>1683</v>
      </c>
      <c r="G1014" s="207">
        <v>126672630</v>
      </c>
      <c r="H1014" s="207">
        <v>13572068</v>
      </c>
      <c r="I1014" s="208"/>
      <c r="J1014" s="208">
        <f t="shared" si="363"/>
        <v>0.12000000495134587</v>
      </c>
      <c r="K1014" s="209">
        <v>123885832</v>
      </c>
      <c r="L1014" s="210">
        <f t="shared" si="362"/>
        <v>13273482.488999998</v>
      </c>
      <c r="M1014" s="210">
        <v>8143240.8000000007</v>
      </c>
      <c r="N1014" s="211">
        <f>+L1014-M1014</f>
        <v>5130241.6889999975</v>
      </c>
      <c r="O1014" s="212">
        <f>ROUND((N1014*40%),0)</f>
        <v>2052097</v>
      </c>
      <c r="P1014" s="213" t="s">
        <v>706</v>
      </c>
      <c r="Q1014" s="204">
        <v>7042</v>
      </c>
      <c r="R1014" s="214">
        <f t="shared" si="352"/>
        <v>3078144.6889999975</v>
      </c>
      <c r="S1014" s="204">
        <v>7043</v>
      </c>
      <c r="T1014" s="204">
        <v>1833</v>
      </c>
      <c r="U1014" s="204">
        <v>2702</v>
      </c>
      <c r="V1014" s="205" t="s">
        <v>261</v>
      </c>
      <c r="W1014" s="215">
        <v>45861</v>
      </c>
      <c r="X1014" s="213" t="s">
        <v>1729</v>
      </c>
    </row>
    <row r="1015" spans="1:24" x14ac:dyDescent="0.25">
      <c r="A1015" s="123" t="str">
        <f t="shared" si="359"/>
        <v>29109073664586119509106,887</v>
      </c>
      <c r="B1015" s="185">
        <f t="shared" si="360"/>
        <v>45891</v>
      </c>
      <c r="C1015" s="3">
        <f t="shared" si="361"/>
        <v>32515178.145</v>
      </c>
      <c r="D1015" s="204">
        <v>2024</v>
      </c>
      <c r="E1015" s="205">
        <v>2910907366</v>
      </c>
      <c r="F1015" s="206" t="s">
        <v>1664</v>
      </c>
      <c r="G1015" s="207">
        <v>305000000</v>
      </c>
      <c r="H1015" s="207">
        <v>32678571</v>
      </c>
      <c r="I1015" s="208"/>
      <c r="J1015" s="208">
        <f t="shared" si="363"/>
        <v>0.11999999823737705</v>
      </c>
      <c r="K1015" s="209">
        <v>182085000</v>
      </c>
      <c r="L1015" s="210">
        <f t="shared" si="362"/>
        <v>19509106.886999998</v>
      </c>
      <c r="M1015" s="210">
        <v>8128794.5362499999</v>
      </c>
      <c r="N1015" s="211">
        <f t="shared" ref="N1015" si="366">+L1015-M1015</f>
        <v>11380312.350749999</v>
      </c>
      <c r="O1015" s="212">
        <f t="shared" ref="O1015:O1017" si="367">ROUND((N1015*40%),0)</f>
        <v>4552125</v>
      </c>
      <c r="P1015" s="213" t="s">
        <v>706</v>
      </c>
      <c r="Q1015" s="204">
        <v>7044</v>
      </c>
      <c r="R1015" s="214">
        <f>+N1015-O1015</f>
        <v>6828187.3507499993</v>
      </c>
      <c r="S1015" s="204">
        <v>7045</v>
      </c>
      <c r="T1015" s="204">
        <v>1834</v>
      </c>
      <c r="U1015" s="204">
        <v>2703</v>
      </c>
      <c r="V1015" s="205" t="s">
        <v>261</v>
      </c>
      <c r="W1015" s="215">
        <v>45861</v>
      </c>
      <c r="X1015" s="213" t="s">
        <v>1730</v>
      </c>
    </row>
    <row r="1016" spans="1:24" x14ac:dyDescent="0.25">
      <c r="A1016" s="123" t="str">
        <f t="shared" si="359"/>
        <v>29109073814586120919642,937289</v>
      </c>
      <c r="B1016" s="185">
        <f t="shared" si="360"/>
        <v>45957</v>
      </c>
      <c r="C1016" s="3">
        <f t="shared" si="361"/>
        <v>68935714.285714269</v>
      </c>
      <c r="D1016" s="204">
        <v>2025</v>
      </c>
      <c r="E1016" s="205">
        <v>2910907381</v>
      </c>
      <c r="F1016" s="206" t="s">
        <v>1670</v>
      </c>
      <c r="G1016" s="207">
        <v>696050000</v>
      </c>
      <c r="H1016" s="207">
        <v>74576786</v>
      </c>
      <c r="I1016" s="208"/>
      <c r="J1016" s="208">
        <f t="shared" si="363"/>
        <v>0.12000000051490554</v>
      </c>
      <c r="K1016" s="209">
        <v>195250000</v>
      </c>
      <c r="L1016" s="210">
        <f t="shared" si="362"/>
        <v>20919642.937288988</v>
      </c>
      <c r="M1016" s="210">
        <v>12964285.763953701</v>
      </c>
      <c r="N1016" s="211">
        <f>+L1016-M1016</f>
        <v>7955357.1733352877</v>
      </c>
      <c r="O1016" s="212">
        <f t="shared" si="367"/>
        <v>3182143</v>
      </c>
      <c r="P1016" s="213" t="s">
        <v>706</v>
      </c>
      <c r="Q1016" s="204">
        <v>7050</v>
      </c>
      <c r="R1016" s="214">
        <f t="shared" ref="R1016:R1017" si="368">+N1016-O1016</f>
        <v>4773214.1733352877</v>
      </c>
      <c r="S1016" s="204">
        <v>7051</v>
      </c>
      <c r="T1016" s="204">
        <v>1835</v>
      </c>
      <c r="U1016" s="204">
        <v>2704</v>
      </c>
      <c r="V1016" s="205" t="s">
        <v>261</v>
      </c>
      <c r="W1016" s="215">
        <v>45861</v>
      </c>
      <c r="X1016" s="213" t="s">
        <v>1731</v>
      </c>
    </row>
    <row r="1017" spans="1:24" x14ac:dyDescent="0.25">
      <c r="A1017" s="123" t="str">
        <f t="shared" si="359"/>
        <v>291090733245861183460158,978571</v>
      </c>
      <c r="B1017" s="185">
        <f t="shared" si="360"/>
        <v>45861</v>
      </c>
      <c r="C1017" s="3">
        <f t="shared" si="361"/>
        <v>183460158.97857144</v>
      </c>
      <c r="D1017" s="204">
        <v>2024</v>
      </c>
      <c r="E1017" s="205">
        <v>2910907332</v>
      </c>
      <c r="F1017" s="206" t="s">
        <v>1548</v>
      </c>
      <c r="G1017" s="207">
        <v>1712294814</v>
      </c>
      <c r="H1017" s="207">
        <v>183460159</v>
      </c>
      <c r="I1017" s="208"/>
      <c r="J1017" s="208">
        <f t="shared" si="363"/>
        <v>0.12000000026163719</v>
      </c>
      <c r="K1017" s="209">
        <v>1712294813.8</v>
      </c>
      <c r="L1017" s="210">
        <f t="shared" si="362"/>
        <v>183460158.97857144</v>
      </c>
      <c r="M1017" s="210">
        <v>165114143.01428601</v>
      </c>
      <c r="N1017" s="211">
        <f t="shared" ref="N1017:N1021" si="369">+L1017-M1017</f>
        <v>18346015.964285433</v>
      </c>
      <c r="O1017" s="212">
        <f t="shared" si="367"/>
        <v>7338406</v>
      </c>
      <c r="P1017" s="213" t="s">
        <v>706</v>
      </c>
      <c r="Q1017" s="204">
        <v>7036</v>
      </c>
      <c r="R1017" s="214">
        <f t="shared" si="368"/>
        <v>11007609.964285433</v>
      </c>
      <c r="S1017" s="204">
        <v>7037</v>
      </c>
      <c r="T1017" s="204">
        <v>1836</v>
      </c>
      <c r="U1017" s="204">
        <v>2705</v>
      </c>
      <c r="V1017" s="205" t="s">
        <v>261</v>
      </c>
      <c r="W1017" s="215">
        <v>45861</v>
      </c>
      <c r="X1017" s="213" t="s">
        <v>1732</v>
      </c>
    </row>
    <row r="1018" spans="1:24" x14ac:dyDescent="0.25">
      <c r="A1018" s="123" t="str">
        <f t="shared" si="359"/>
        <v>291090735545861160714286</v>
      </c>
      <c r="B1018" s="185">
        <f t="shared" si="360"/>
        <v>45861</v>
      </c>
      <c r="C1018" s="3">
        <f t="shared" si="361"/>
        <v>160714286</v>
      </c>
      <c r="D1018" s="204">
        <v>2024</v>
      </c>
      <c r="E1018" s="205">
        <v>2910907355</v>
      </c>
      <c r="F1018" s="206" t="s">
        <v>1637</v>
      </c>
      <c r="G1018" s="207">
        <v>1500000000</v>
      </c>
      <c r="H1018" s="207">
        <v>160714286</v>
      </c>
      <c r="I1018" s="208"/>
      <c r="J1018" s="208">
        <f t="shared" si="363"/>
        <v>0.12000000023893333</v>
      </c>
      <c r="K1018" s="209">
        <v>1500000000</v>
      </c>
      <c r="L1018" s="210">
        <f t="shared" si="362"/>
        <v>160714286</v>
      </c>
      <c r="M1018" s="210">
        <v>120535714.49999999</v>
      </c>
      <c r="N1018" s="211">
        <f t="shared" si="369"/>
        <v>40178571.500000015</v>
      </c>
      <c r="O1018" s="212">
        <f>ROUND((N1018*40%),0)</f>
        <v>16071429</v>
      </c>
      <c r="P1018" s="213" t="s">
        <v>706</v>
      </c>
      <c r="Q1018" s="204">
        <v>7040</v>
      </c>
      <c r="R1018" s="214">
        <f>+N1018-O1018</f>
        <v>24107142.500000015</v>
      </c>
      <c r="S1018" s="204">
        <v>7041</v>
      </c>
      <c r="T1018" s="204">
        <v>1837</v>
      </c>
      <c r="U1018" s="204">
        <v>2706</v>
      </c>
      <c r="V1018" s="205" t="s">
        <v>261</v>
      </c>
      <c r="W1018" s="215">
        <v>45861</v>
      </c>
      <c r="X1018" s="213" t="s">
        <v>1733</v>
      </c>
    </row>
    <row r="1019" spans="1:24" x14ac:dyDescent="0.25">
      <c r="A1019" s="123" t="str">
        <f t="shared" si="359"/>
        <v>291090733045861225873644</v>
      </c>
      <c r="B1019" s="185">
        <f t="shared" si="360"/>
        <v>45861</v>
      </c>
      <c r="C1019" s="3">
        <f t="shared" si="361"/>
        <v>225873644</v>
      </c>
      <c r="D1019" s="204">
        <v>2024</v>
      </c>
      <c r="E1019" s="205">
        <v>2910907330</v>
      </c>
      <c r="F1019" s="206" t="s">
        <v>1479</v>
      </c>
      <c r="G1019" s="207">
        <v>2018154011</v>
      </c>
      <c r="H1019" s="207">
        <v>225873644</v>
      </c>
      <c r="I1019" s="208"/>
      <c r="J1019" s="208">
        <f t="shared" si="363"/>
        <v>0.12602584291992081</v>
      </c>
      <c r="K1019" s="209">
        <v>2018154011</v>
      </c>
      <c r="L1019" s="210">
        <f t="shared" si="362"/>
        <v>225873644</v>
      </c>
      <c r="M1019" s="210">
        <v>213558390.97560906</v>
      </c>
      <c r="N1019" s="211">
        <f t="shared" si="369"/>
        <v>12315253.024390936</v>
      </c>
      <c r="O1019" s="212">
        <f t="shared" ref="O1019:O1029" si="370">ROUND((N1019*40%),0)</f>
        <v>4926101</v>
      </c>
      <c r="P1019" s="213" t="s">
        <v>706</v>
      </c>
      <c r="Q1019" s="204">
        <v>7034</v>
      </c>
      <c r="R1019" s="214">
        <f t="shared" ref="R1019:R1026" si="371">+N1019-O1019</f>
        <v>7389152.0243909359</v>
      </c>
      <c r="S1019" s="204">
        <v>7035</v>
      </c>
      <c r="T1019" s="204">
        <v>1844</v>
      </c>
      <c r="U1019" s="204">
        <v>2713</v>
      </c>
      <c r="V1019" s="205" t="s">
        <v>261</v>
      </c>
      <c r="W1019" s="215">
        <v>45861</v>
      </c>
      <c r="X1019" s="213" t="s">
        <v>1734</v>
      </c>
    </row>
    <row r="1020" spans="1:24" x14ac:dyDescent="0.25">
      <c r="A1020" s="123" t="str">
        <f t="shared" si="359"/>
        <v>29109073804586151343110,8571429</v>
      </c>
      <c r="B1020" s="185">
        <f t="shared" si="360"/>
        <v>45986</v>
      </c>
      <c r="C1020" s="3">
        <f t="shared" si="361"/>
        <v>119383415.24999999</v>
      </c>
      <c r="D1020" s="204">
        <v>2025</v>
      </c>
      <c r="E1020" s="205">
        <v>2910907380</v>
      </c>
      <c r="F1020" s="206" t="s">
        <v>1667</v>
      </c>
      <c r="G1020" s="207">
        <v>1991969000</v>
      </c>
      <c r="H1020" s="207">
        <v>213425250</v>
      </c>
      <c r="I1020" s="208"/>
      <c r="J1020" s="208">
        <f t="shared" si="363"/>
        <v>0.12</v>
      </c>
      <c r="K1020" s="209">
        <v>479202368</v>
      </c>
      <c r="L1020" s="210">
        <f t="shared" si="362"/>
        <v>51343110.857142851</v>
      </c>
      <c r="M1020" s="210">
        <v>30805866.535714284</v>
      </c>
      <c r="N1020" s="211">
        <f t="shared" si="369"/>
        <v>20537244.321428567</v>
      </c>
      <c r="O1020" s="212">
        <f t="shared" si="370"/>
        <v>8214898</v>
      </c>
      <c r="P1020" s="213" t="s">
        <v>706</v>
      </c>
      <c r="Q1020" s="204">
        <v>7048</v>
      </c>
      <c r="R1020" s="214">
        <f t="shared" si="371"/>
        <v>12322346.321428567</v>
      </c>
      <c r="S1020" s="204">
        <v>7049</v>
      </c>
      <c r="T1020" s="204">
        <v>1838</v>
      </c>
      <c r="U1020" s="204">
        <v>2707</v>
      </c>
      <c r="V1020" s="205" t="s">
        <v>261</v>
      </c>
      <c r="W1020" s="215">
        <v>45861</v>
      </c>
      <c r="X1020" s="213" t="s">
        <v>1735</v>
      </c>
    </row>
    <row r="1021" spans="1:24" x14ac:dyDescent="0.25">
      <c r="A1021" s="123" t="str">
        <f t="shared" si="359"/>
        <v>2910907387458614445999,922</v>
      </c>
      <c r="B1021" s="185">
        <f t="shared" si="360"/>
        <v>45924</v>
      </c>
      <c r="C1021" s="3">
        <f t="shared" si="361"/>
        <v>7735714.1499999994</v>
      </c>
      <c r="D1021" s="204">
        <v>2024</v>
      </c>
      <c r="E1021" s="205">
        <v>2910907387</v>
      </c>
      <c r="F1021" s="206" t="s">
        <v>1736</v>
      </c>
      <c r="G1021" s="207">
        <v>76000000</v>
      </c>
      <c r="H1021" s="207">
        <v>8142857</v>
      </c>
      <c r="I1021" s="208"/>
      <c r="J1021" s="208">
        <f t="shared" si="363"/>
        <v>0.11999999764210527</v>
      </c>
      <c r="K1021" s="209">
        <v>41496000</v>
      </c>
      <c r="L1021" s="210">
        <f t="shared" si="362"/>
        <v>4445999.9219999993</v>
      </c>
      <c r="M1021" s="210">
        <v>0</v>
      </c>
      <c r="N1021" s="211">
        <f t="shared" si="369"/>
        <v>4445999.9219999993</v>
      </c>
      <c r="O1021" s="212">
        <f t="shared" si="370"/>
        <v>1778400</v>
      </c>
      <c r="P1021" s="213" t="s">
        <v>706</v>
      </c>
      <c r="Q1021" s="204">
        <v>7056</v>
      </c>
      <c r="R1021" s="214">
        <f t="shared" si="371"/>
        <v>2667599.9219999993</v>
      </c>
      <c r="S1021" s="204">
        <v>7057</v>
      </c>
      <c r="T1021" s="204">
        <v>1839</v>
      </c>
      <c r="U1021" s="204">
        <v>2708</v>
      </c>
      <c r="V1021" s="205" t="s">
        <v>261</v>
      </c>
      <c r="W1021" s="215">
        <v>45861</v>
      </c>
      <c r="X1021" s="213" t="s">
        <v>1737</v>
      </c>
    </row>
    <row r="1022" spans="1:24" x14ac:dyDescent="0.25">
      <c r="A1022" s="123" t="str">
        <f t="shared" si="359"/>
        <v>24530183724586154784842,1844598</v>
      </c>
      <c r="B1022" s="185">
        <f t="shared" si="360"/>
        <v>45924</v>
      </c>
      <c r="C1022" s="3">
        <f t="shared" si="361"/>
        <v>81403982.043455452</v>
      </c>
      <c r="D1022" s="204">
        <v>2025</v>
      </c>
      <c r="E1022" s="205">
        <v>2453018372</v>
      </c>
      <c r="F1022" s="206" t="s">
        <v>1645</v>
      </c>
      <c r="G1022" s="207">
        <v>1417150530</v>
      </c>
      <c r="H1022" s="207">
        <v>151837557</v>
      </c>
      <c r="I1022" s="208"/>
      <c r="J1022" s="208">
        <f t="shared" si="363"/>
        <v>0.1200000001896764</v>
      </c>
      <c r="K1022" s="209">
        <v>511325193</v>
      </c>
      <c r="L1022" s="210">
        <f t="shared" si="362"/>
        <v>54784842.184459761</v>
      </c>
      <c r="M1022" s="210">
        <v>28430059.325837135</v>
      </c>
      <c r="N1022" s="211">
        <f>+L1022-M1022</f>
        <v>26354782.858622625</v>
      </c>
      <c r="O1022" s="212">
        <f t="shared" si="370"/>
        <v>10541913</v>
      </c>
      <c r="P1022" s="213" t="s">
        <v>706</v>
      </c>
      <c r="Q1022" s="204">
        <v>7028</v>
      </c>
      <c r="R1022" s="214">
        <f t="shared" si="371"/>
        <v>15812869.858622625</v>
      </c>
      <c r="S1022" s="204">
        <v>7029</v>
      </c>
      <c r="T1022" s="204">
        <v>1840</v>
      </c>
      <c r="U1022" s="204">
        <v>2709</v>
      </c>
      <c r="V1022" s="205" t="s">
        <v>261</v>
      </c>
      <c r="W1022" s="215">
        <v>45861</v>
      </c>
      <c r="X1022" s="213" t="s">
        <v>425</v>
      </c>
    </row>
    <row r="1023" spans="1:24" x14ac:dyDescent="0.25">
      <c r="A1023" s="123" t="str">
        <f t="shared" si="359"/>
        <v>24530183774586116847318,8401788</v>
      </c>
      <c r="B1023" s="185">
        <f t="shared" si="360"/>
        <v>45957</v>
      </c>
      <c r="C1023" s="3">
        <f t="shared" si="361"/>
        <v>78767770.86178574</v>
      </c>
      <c r="D1023" s="204">
        <v>2025</v>
      </c>
      <c r="E1023" s="205">
        <v>2453018377</v>
      </c>
      <c r="F1023" s="206" t="s">
        <v>1738</v>
      </c>
      <c r="G1023" s="207">
        <v>1443523270</v>
      </c>
      <c r="H1023" s="207">
        <v>154663208</v>
      </c>
      <c r="I1023" s="208"/>
      <c r="J1023" s="208">
        <f t="shared" si="363"/>
        <v>0.12000000043449248</v>
      </c>
      <c r="K1023" s="209">
        <v>157241642</v>
      </c>
      <c r="L1023" s="210">
        <f t="shared" si="362"/>
        <v>16847318.840178821</v>
      </c>
      <c r="M1023" s="210">
        <v>0</v>
      </c>
      <c r="N1023" s="211">
        <f>+L1023-M1023</f>
        <v>16847318.840178821</v>
      </c>
      <c r="O1023" s="212">
        <f t="shared" si="370"/>
        <v>6738928</v>
      </c>
      <c r="P1023" s="213" t="s">
        <v>706</v>
      </c>
      <c r="Q1023" s="204">
        <v>7032</v>
      </c>
      <c r="R1023" s="214">
        <f t="shared" si="371"/>
        <v>10108390.840178821</v>
      </c>
      <c r="S1023" s="204">
        <v>7033</v>
      </c>
      <c r="T1023" s="204">
        <v>1841</v>
      </c>
      <c r="U1023" s="204">
        <v>2710</v>
      </c>
      <c r="V1023" s="205" t="s">
        <v>261</v>
      </c>
      <c r="W1023" s="215">
        <v>45861</v>
      </c>
      <c r="X1023" s="213" t="s">
        <v>425</v>
      </c>
    </row>
    <row r="1024" spans="1:24" x14ac:dyDescent="0.25">
      <c r="A1024" s="123" t="str">
        <f t="shared" si="359"/>
        <v>24530183764586113037960,7014405</v>
      </c>
      <c r="B1024" s="185">
        <f t="shared" si="360"/>
        <v>45986</v>
      </c>
      <c r="C1024" s="3">
        <f t="shared" si="361"/>
        <v>61558670.375863835</v>
      </c>
      <c r="D1024" s="204">
        <v>2025</v>
      </c>
      <c r="E1024" s="205">
        <v>2453018376</v>
      </c>
      <c r="F1024" s="206" t="s">
        <v>1739</v>
      </c>
      <c r="G1024" s="207">
        <v>618838000</v>
      </c>
      <c r="H1024" s="207">
        <v>66304071</v>
      </c>
      <c r="I1024" s="208"/>
      <c r="J1024" s="208">
        <f t="shared" si="363"/>
        <v>0.11999999913127507</v>
      </c>
      <c r="K1024" s="209">
        <v>121687634</v>
      </c>
      <c r="L1024" s="210">
        <f t="shared" si="362"/>
        <v>13037960.701440467</v>
      </c>
      <c r="M1024" s="210">
        <v>0</v>
      </c>
      <c r="N1024" s="211">
        <f>+L1024-M1024</f>
        <v>13037960.701440467</v>
      </c>
      <c r="O1024" s="212">
        <f t="shared" si="370"/>
        <v>5215184</v>
      </c>
      <c r="P1024" s="213" t="s">
        <v>706</v>
      </c>
      <c r="Q1024" s="204">
        <v>7030</v>
      </c>
      <c r="R1024" s="214">
        <f t="shared" si="371"/>
        <v>7822776.7014404666</v>
      </c>
      <c r="S1024" s="204">
        <v>7031</v>
      </c>
      <c r="T1024" s="204">
        <v>1842</v>
      </c>
      <c r="U1024" s="204">
        <v>2711</v>
      </c>
      <c r="V1024" s="205" t="s">
        <v>261</v>
      </c>
      <c r="W1024" s="215">
        <v>45861</v>
      </c>
      <c r="X1024" s="213" t="s">
        <v>425</v>
      </c>
    </row>
    <row r="1025" spans="1:24" x14ac:dyDescent="0.25">
      <c r="A1025" s="123" t="str">
        <f t="shared" si="359"/>
        <v>245301837145861111506870,683244</v>
      </c>
      <c r="B1025" s="185">
        <f t="shared" si="360"/>
        <v>45957</v>
      </c>
      <c r="C1025" s="3">
        <f t="shared" si="361"/>
        <v>213469956.63346189</v>
      </c>
      <c r="D1025" s="204">
        <v>2024</v>
      </c>
      <c r="E1025" s="205">
        <v>2453018371</v>
      </c>
      <c r="F1025" s="206" t="s">
        <v>1644</v>
      </c>
      <c r="G1025" s="207">
        <v>2206796261</v>
      </c>
      <c r="H1025" s="207">
        <v>236442457</v>
      </c>
      <c r="I1025" s="208"/>
      <c r="J1025" s="208">
        <f t="shared" si="363"/>
        <v>0.120000000263912</v>
      </c>
      <c r="K1025" s="209">
        <v>1040730791</v>
      </c>
      <c r="L1025" s="210">
        <f t="shared" si="362"/>
        <v>111506870.68324405</v>
      </c>
      <c r="M1025" s="210">
        <v>59999815.296388917</v>
      </c>
      <c r="N1025" s="211">
        <f t="shared" ref="N1025" si="372">+L1025-M1025</f>
        <v>51507055.386855133</v>
      </c>
      <c r="O1025" s="212">
        <f t="shared" si="370"/>
        <v>20602822</v>
      </c>
      <c r="P1025" s="213" t="s">
        <v>706</v>
      </c>
      <c r="Q1025" s="204">
        <v>7026</v>
      </c>
      <c r="R1025" s="214">
        <f t="shared" si="371"/>
        <v>30904233.386855133</v>
      </c>
      <c r="S1025" s="204">
        <v>7027</v>
      </c>
      <c r="T1025" s="204">
        <v>1843</v>
      </c>
      <c r="U1025" s="204">
        <v>2712</v>
      </c>
      <c r="V1025" s="205" t="s">
        <v>261</v>
      </c>
      <c r="W1025" s="215">
        <v>45861</v>
      </c>
      <c r="X1025" s="213" t="s">
        <v>425</v>
      </c>
    </row>
    <row r="1026" spans="1:24" x14ac:dyDescent="0.25">
      <c r="A1026" s="123" t="str">
        <f t="shared" si="359"/>
        <v>291090640145863347980613,76</v>
      </c>
      <c r="B1026" s="185">
        <f t="shared" si="360"/>
        <v>45957</v>
      </c>
      <c r="C1026" s="3">
        <f t="shared" si="361"/>
        <v>678878080.30633903</v>
      </c>
      <c r="D1026" s="204">
        <v>2025</v>
      </c>
      <c r="E1026" s="205">
        <v>2910906401</v>
      </c>
      <c r="F1026" s="206" t="s">
        <v>1635</v>
      </c>
      <c r="G1026" s="207">
        <v>6062000000</v>
      </c>
      <c r="H1026" s="207">
        <v>727440000</v>
      </c>
      <c r="I1026" s="208"/>
      <c r="J1026" s="208">
        <f t="shared" si="363"/>
        <v>0.13636363636363635</v>
      </c>
      <c r="K1026" s="209">
        <v>2899838448</v>
      </c>
      <c r="L1026" s="210">
        <f t="shared" si="362"/>
        <v>347980613.75999999</v>
      </c>
      <c r="M1026" s="210">
        <v>177547804.56</v>
      </c>
      <c r="N1026" s="211">
        <f>+L1026-M1026</f>
        <v>170432809.19999999</v>
      </c>
      <c r="O1026" s="212">
        <f t="shared" si="370"/>
        <v>68173124</v>
      </c>
      <c r="P1026" s="213" t="s">
        <v>706</v>
      </c>
      <c r="Q1026" s="204">
        <v>7058</v>
      </c>
      <c r="R1026" s="214">
        <f t="shared" si="371"/>
        <v>102259685.19999999</v>
      </c>
      <c r="S1026" s="204">
        <v>7059</v>
      </c>
      <c r="T1026" s="204">
        <v>1873</v>
      </c>
      <c r="U1026" s="204">
        <v>2728</v>
      </c>
      <c r="V1026" s="205" t="s">
        <v>261</v>
      </c>
      <c r="W1026" s="215">
        <v>45863</v>
      </c>
      <c r="X1026" s="213" t="s">
        <v>1740</v>
      </c>
    </row>
    <row r="1027" spans="1:24" x14ac:dyDescent="0.25">
      <c r="A1027" s="123" t="str">
        <f t="shared" si="359"/>
        <v>291090723145880725275008</v>
      </c>
      <c r="B1027" s="185">
        <f t="shared" si="360"/>
        <v>45880</v>
      </c>
      <c r="C1027" s="3">
        <f t="shared" si="361"/>
        <v>725275008</v>
      </c>
      <c r="D1027" s="204">
        <v>2023</v>
      </c>
      <c r="E1027" s="205">
        <v>2910907231</v>
      </c>
      <c r="F1027" s="206" t="s">
        <v>410</v>
      </c>
      <c r="G1027" s="207">
        <v>7055787001</v>
      </c>
      <c r="H1027" s="207">
        <v>755977179</v>
      </c>
      <c r="I1027" s="208"/>
      <c r="J1027" s="208">
        <f>IFERROR((+H1027/(G1027-H1027)),0)</f>
        <v>0.12000000005714458</v>
      </c>
      <c r="K1027" s="209">
        <v>6774347079</v>
      </c>
      <c r="L1027" s="210">
        <v>725275008</v>
      </c>
      <c r="M1027" s="210">
        <v>717838849.69806981</v>
      </c>
      <c r="N1027" s="211">
        <f>+L1027-M1027</f>
        <v>7436158.3019301891</v>
      </c>
      <c r="O1027" s="212">
        <f t="shared" si="370"/>
        <v>2974463</v>
      </c>
      <c r="P1027" s="213" t="s">
        <v>706</v>
      </c>
      <c r="Q1027" s="204">
        <v>8044</v>
      </c>
      <c r="R1027" s="214">
        <f>+N1027-O1027</f>
        <v>4461695.3019301891</v>
      </c>
      <c r="S1027" s="204">
        <v>8045</v>
      </c>
      <c r="T1027" s="204">
        <v>1943</v>
      </c>
      <c r="U1027" s="204">
        <v>2957</v>
      </c>
      <c r="V1027" s="205" t="s">
        <v>261</v>
      </c>
      <c r="W1027" s="215">
        <v>45880</v>
      </c>
      <c r="X1027" s="213" t="s">
        <v>1741</v>
      </c>
    </row>
    <row r="1028" spans="1:24" x14ac:dyDescent="0.25">
      <c r="A1028" s="123" t="str">
        <f t="shared" si="359"/>
        <v>291090724645891292131177,056162</v>
      </c>
      <c r="B1028" s="185">
        <f t="shared" si="360"/>
        <v>45891</v>
      </c>
      <c r="C1028" s="3">
        <f t="shared" si="361"/>
        <v>292131177.05616194</v>
      </c>
      <c r="D1028" s="204">
        <v>2023</v>
      </c>
      <c r="E1028" s="205">
        <v>2910907246</v>
      </c>
      <c r="F1028" s="206" t="s">
        <v>541</v>
      </c>
      <c r="G1028" s="207">
        <v>2750500000</v>
      </c>
      <c r="H1028" s="207">
        <v>294696428.51999998</v>
      </c>
      <c r="I1028" s="208"/>
      <c r="J1028" s="208">
        <f t="shared" ref="J1028:J1037" si="373">IFERROR((+H1028/(G1028-H1028)),0)</f>
        <v>0.11999999997654534</v>
      </c>
      <c r="K1028" s="209">
        <v>2726557653</v>
      </c>
      <c r="L1028" s="210">
        <f t="shared" si="362"/>
        <v>292131177.05616194</v>
      </c>
      <c r="M1028" s="210">
        <v>235757142.81599998</v>
      </c>
      <c r="N1028" s="211">
        <f>+L1028-M1028</f>
        <v>56374034.240161955</v>
      </c>
      <c r="O1028" s="212">
        <f t="shared" si="370"/>
        <v>22549614</v>
      </c>
      <c r="P1028" s="213" t="s">
        <v>706</v>
      </c>
      <c r="Q1028" s="204">
        <v>8372</v>
      </c>
      <c r="R1028" s="214">
        <f t="shared" ref="R1028:R1035" si="374">+N1028-O1028</f>
        <v>33824420.240161955</v>
      </c>
      <c r="S1028" s="204">
        <v>8373</v>
      </c>
      <c r="T1028" s="204">
        <v>2051</v>
      </c>
      <c r="U1028" s="204">
        <v>3082</v>
      </c>
      <c r="V1028" s="205" t="s">
        <v>261</v>
      </c>
      <c r="W1028" s="215">
        <v>45891</v>
      </c>
      <c r="X1028" s="213" t="s">
        <v>1742</v>
      </c>
    </row>
    <row r="1029" spans="1:24" x14ac:dyDescent="0.25">
      <c r="A1029" s="123" t="str">
        <f t="shared" si="359"/>
        <v>29109073354589175477857,285</v>
      </c>
      <c r="B1029" s="185">
        <f t="shared" si="360"/>
        <v>45891</v>
      </c>
      <c r="C1029" s="3">
        <f t="shared" si="361"/>
        <v>75477857.284999996</v>
      </c>
      <c r="D1029" s="204">
        <v>2024</v>
      </c>
      <c r="E1029" s="205">
        <v>2910907335</v>
      </c>
      <c r="F1029" s="206" t="s">
        <v>1561</v>
      </c>
      <c r="G1029" s="207">
        <v>708000000</v>
      </c>
      <c r="H1029" s="207">
        <v>75857143</v>
      </c>
      <c r="I1029" s="208"/>
      <c r="J1029" s="208">
        <f t="shared" si="373"/>
        <v>0.12000000025310735</v>
      </c>
      <c r="K1029" s="209">
        <v>704460000</v>
      </c>
      <c r="L1029" s="210">
        <f t="shared" si="362"/>
        <v>75477857.284999996</v>
      </c>
      <c r="M1029" s="210">
        <v>15095571.457</v>
      </c>
      <c r="N1029" s="211">
        <f t="shared" ref="N1029" si="375">+L1029-M1029</f>
        <v>60382285.827999994</v>
      </c>
      <c r="O1029" s="212">
        <f t="shared" si="370"/>
        <v>24152914</v>
      </c>
      <c r="P1029" s="213" t="s">
        <v>706</v>
      </c>
      <c r="Q1029" s="204">
        <v>8378</v>
      </c>
      <c r="R1029" s="214">
        <f t="shared" si="374"/>
        <v>36229371.827999994</v>
      </c>
      <c r="S1029" s="204">
        <v>8379</v>
      </c>
      <c r="T1029" s="204">
        <v>2052</v>
      </c>
      <c r="U1029" s="204">
        <v>3083</v>
      </c>
      <c r="V1029" s="205" t="s">
        <v>261</v>
      </c>
      <c r="W1029" s="215">
        <v>45891</v>
      </c>
      <c r="X1029" s="213" t="s">
        <v>1743</v>
      </c>
    </row>
    <row r="1030" spans="1:24" x14ac:dyDescent="0.25">
      <c r="A1030" s="123" t="str">
        <f t="shared" si="359"/>
        <v>29109073754589157301339,32125</v>
      </c>
      <c r="B1030" s="185">
        <f t="shared" si="360"/>
        <v>45986</v>
      </c>
      <c r="C1030" s="3">
        <f t="shared" si="361"/>
        <v>190344107.26089999</v>
      </c>
      <c r="D1030" s="204">
        <v>2024</v>
      </c>
      <c r="E1030" s="205">
        <v>2910907375</v>
      </c>
      <c r="F1030" s="206" t="s">
        <v>1744</v>
      </c>
      <c r="G1030" s="207">
        <v>2150000000</v>
      </c>
      <c r="H1030" s="207">
        <v>230357143</v>
      </c>
      <c r="I1030" s="208"/>
      <c r="J1030" s="208">
        <f t="shared" si="373"/>
        <v>0.12000000008334884</v>
      </c>
      <c r="K1030" s="209">
        <v>534812500</v>
      </c>
      <c r="L1030" s="210">
        <f t="shared" si="362"/>
        <v>57301339.321250007</v>
      </c>
      <c r="M1030" s="210">
        <v>0</v>
      </c>
      <c r="N1030" s="211">
        <f>+L1030-M1030</f>
        <v>57301339.321250007</v>
      </c>
      <c r="O1030" s="212">
        <f>ROUND((N1030*40%),0)</f>
        <v>22920536</v>
      </c>
      <c r="P1030" s="213" t="s">
        <v>706</v>
      </c>
      <c r="Q1030" s="204">
        <v>8384</v>
      </c>
      <c r="R1030" s="214">
        <f t="shared" si="374"/>
        <v>34380803.321250007</v>
      </c>
      <c r="S1030" s="204">
        <v>8385</v>
      </c>
      <c r="T1030" s="204">
        <v>2053</v>
      </c>
      <c r="U1030" s="204">
        <v>3084</v>
      </c>
      <c r="V1030" s="205" t="s">
        <v>261</v>
      </c>
      <c r="W1030" s="215">
        <v>45891</v>
      </c>
      <c r="X1030" s="213" t="s">
        <v>1745</v>
      </c>
    </row>
    <row r="1031" spans="1:24" x14ac:dyDescent="0.25">
      <c r="A1031" s="123" t="str">
        <f t="shared" si="359"/>
        <v>2910907376458911251446642,47351</v>
      </c>
      <c r="B1031" s="185">
        <f t="shared" si="360"/>
        <v>46007</v>
      </c>
      <c r="C1031" s="3">
        <f t="shared" si="361"/>
        <v>1985646783.1418917</v>
      </c>
      <c r="D1031" s="204">
        <v>2025</v>
      </c>
      <c r="E1031" s="205">
        <v>2910907376</v>
      </c>
      <c r="F1031" s="206" t="s">
        <v>1630</v>
      </c>
      <c r="G1031" s="207">
        <v>19056054897</v>
      </c>
      <c r="H1031" s="207">
        <v>2041720168</v>
      </c>
      <c r="I1031" s="208"/>
      <c r="J1031" s="208">
        <f t="shared" si="373"/>
        <v>0.12000000003056246</v>
      </c>
      <c r="K1031" s="209">
        <v>11680168660.43</v>
      </c>
      <c r="L1031" s="210">
        <f t="shared" si="362"/>
        <v>1251446642.4735067</v>
      </c>
      <c r="M1031" s="210">
        <v>1052340321.5350156</v>
      </c>
      <c r="N1031" s="211">
        <f t="shared" ref="N1031" si="376">+L1031-M1031</f>
        <v>199106320.93849111</v>
      </c>
      <c r="O1031" s="212">
        <f t="shared" ref="O1031:O1036" si="377">ROUND((N1031*40%),0)</f>
        <v>79642528</v>
      </c>
      <c r="P1031" s="213" t="s">
        <v>706</v>
      </c>
      <c r="Q1031" s="204">
        <v>8386</v>
      </c>
      <c r="R1031" s="214">
        <f t="shared" si="374"/>
        <v>119463792.93849111</v>
      </c>
      <c r="S1031" s="204">
        <v>8387</v>
      </c>
      <c r="T1031" s="204">
        <v>2054</v>
      </c>
      <c r="U1031" s="204">
        <v>3085</v>
      </c>
      <c r="V1031" s="205" t="s">
        <v>261</v>
      </c>
      <c r="W1031" s="215">
        <v>45891</v>
      </c>
      <c r="X1031" s="213" t="s">
        <v>1746</v>
      </c>
    </row>
    <row r="1032" spans="1:24" x14ac:dyDescent="0.25">
      <c r="A1032" s="123" t="str">
        <f t="shared" si="359"/>
        <v>291090733345891280493179,67335</v>
      </c>
      <c r="B1032" s="185">
        <f t="shared" si="360"/>
        <v>45986</v>
      </c>
      <c r="C1032" s="3">
        <f t="shared" si="361"/>
        <v>344824913.20803922</v>
      </c>
      <c r="D1032" s="204">
        <v>2025</v>
      </c>
      <c r="E1032" s="205">
        <v>2910907333</v>
      </c>
      <c r="F1032" s="206" t="s">
        <v>1640</v>
      </c>
      <c r="G1032" s="207">
        <v>4000000000</v>
      </c>
      <c r="H1032" s="207">
        <v>428571429</v>
      </c>
      <c r="I1032" s="208"/>
      <c r="J1032" s="208">
        <f t="shared" si="373"/>
        <v>0.1200000001344</v>
      </c>
      <c r="K1032" s="209">
        <v>2617936341</v>
      </c>
      <c r="L1032" s="210">
        <f t="shared" si="362"/>
        <v>280493179.67335033</v>
      </c>
      <c r="M1032" s="210">
        <v>130104341.05867577</v>
      </c>
      <c r="N1032" s="211">
        <f>+L1032-M1032</f>
        <v>150388838.61467457</v>
      </c>
      <c r="O1032" s="212">
        <f t="shared" si="377"/>
        <v>60155535</v>
      </c>
      <c r="P1032" s="213" t="s">
        <v>706</v>
      </c>
      <c r="Q1032" s="204">
        <v>8376</v>
      </c>
      <c r="R1032" s="214">
        <f t="shared" si="374"/>
        <v>90233303.614674568</v>
      </c>
      <c r="S1032" s="204">
        <v>8377</v>
      </c>
      <c r="T1032" s="204">
        <v>2055</v>
      </c>
      <c r="U1032" s="204">
        <v>3086</v>
      </c>
      <c r="V1032" s="205" t="s">
        <v>261</v>
      </c>
      <c r="W1032" s="215">
        <v>45891</v>
      </c>
      <c r="X1032" s="213" t="s">
        <v>1747</v>
      </c>
    </row>
    <row r="1033" spans="1:24" x14ac:dyDescent="0.25">
      <c r="A1033" s="123" t="str">
        <f t="shared" si="359"/>
        <v>291090678945891194667600,364379</v>
      </c>
      <c r="B1033" s="185">
        <f t="shared" si="360"/>
        <v>45891</v>
      </c>
      <c r="C1033" s="3">
        <f t="shared" si="361"/>
        <v>194667600.36437911</v>
      </c>
      <c r="D1033" s="204">
        <v>2022</v>
      </c>
      <c r="E1033" s="205">
        <v>2910906789</v>
      </c>
      <c r="F1033" s="206" t="s">
        <v>289</v>
      </c>
      <c r="G1033" s="207">
        <v>9124262365</v>
      </c>
      <c r="H1033" s="207">
        <v>977599539</v>
      </c>
      <c r="I1033" s="208"/>
      <c r="J1033" s="208">
        <f t="shared" si="373"/>
        <v>0.11999999998527004</v>
      </c>
      <c r="K1033" s="209">
        <v>1816897603.5999999</v>
      </c>
      <c r="L1033" s="210">
        <f t="shared" si="362"/>
        <v>194667600.36437911</v>
      </c>
      <c r="M1033" s="210">
        <v>135760738</v>
      </c>
      <c r="N1033" s="211">
        <f t="shared" ref="N1033" si="378">+L1033-M1033</f>
        <v>58906862.364379108</v>
      </c>
      <c r="O1033" s="212">
        <f t="shared" si="377"/>
        <v>23562745</v>
      </c>
      <c r="P1033" s="213" t="s">
        <v>706</v>
      </c>
      <c r="Q1033" s="204">
        <v>8370</v>
      </c>
      <c r="R1033" s="214">
        <f t="shared" si="374"/>
        <v>35344117.364379108</v>
      </c>
      <c r="S1033" s="204">
        <v>8371</v>
      </c>
      <c r="T1033" s="204">
        <v>2056</v>
      </c>
      <c r="U1033" s="204">
        <v>3087</v>
      </c>
      <c r="V1033" s="205" t="s">
        <v>261</v>
      </c>
      <c r="W1033" s="215">
        <v>45891</v>
      </c>
      <c r="X1033" s="213" t="s">
        <v>1748</v>
      </c>
    </row>
    <row r="1034" spans="1:24" x14ac:dyDescent="0.25">
      <c r="A1034" s="123" t="str">
        <f t="shared" si="359"/>
        <v>29109073814589148257143,0420228</v>
      </c>
      <c r="B1034" s="185">
        <f t="shared" si="360"/>
        <v>45957</v>
      </c>
      <c r="C1034" s="3">
        <f t="shared" si="361"/>
        <v>68935714.285714269</v>
      </c>
      <c r="D1034" s="204">
        <v>2025</v>
      </c>
      <c r="E1034" s="205">
        <v>2910907381</v>
      </c>
      <c r="F1034" s="206" t="s">
        <v>1670</v>
      </c>
      <c r="G1034" s="207">
        <v>696050000</v>
      </c>
      <c r="H1034" s="207">
        <v>74576786</v>
      </c>
      <c r="I1034" s="208"/>
      <c r="J1034" s="208">
        <f t="shared" si="373"/>
        <v>0.12000000051490554</v>
      </c>
      <c r="K1034" s="209">
        <v>450400000</v>
      </c>
      <c r="L1034" s="210">
        <f t="shared" si="362"/>
        <v>48257143.042022847</v>
      </c>
      <c r="M1034" s="210">
        <v>20919642.937288988</v>
      </c>
      <c r="N1034" s="211">
        <f>+L1034-M1034</f>
        <v>27337500.104733858</v>
      </c>
      <c r="O1034" s="212">
        <f t="shared" si="377"/>
        <v>10935000</v>
      </c>
      <c r="P1034" s="213" t="s">
        <v>706</v>
      </c>
      <c r="Q1034" s="204">
        <v>8388</v>
      </c>
      <c r="R1034" s="214">
        <f t="shared" si="374"/>
        <v>16402500.104733858</v>
      </c>
      <c r="S1034" s="204">
        <v>8389</v>
      </c>
      <c r="T1034" s="204">
        <v>2057</v>
      </c>
      <c r="U1034" s="204">
        <v>3088</v>
      </c>
      <c r="V1034" s="205" t="s">
        <v>261</v>
      </c>
      <c r="W1034" s="215">
        <v>45891</v>
      </c>
      <c r="X1034" s="213" t="s">
        <v>1749</v>
      </c>
    </row>
    <row r="1035" spans="1:24" x14ac:dyDescent="0.25">
      <c r="A1035" s="123" t="str">
        <f t="shared" si="359"/>
        <v>2910907386458919375000</v>
      </c>
      <c r="B1035" s="185">
        <f t="shared" si="360"/>
        <v>45891</v>
      </c>
      <c r="C1035" s="3">
        <f t="shared" si="361"/>
        <v>9375000</v>
      </c>
      <c r="D1035" s="204">
        <v>2025</v>
      </c>
      <c r="E1035" s="205">
        <v>2910907386</v>
      </c>
      <c r="F1035" s="206" t="s">
        <v>1750</v>
      </c>
      <c r="G1035" s="207">
        <v>175000000</v>
      </c>
      <c r="H1035" s="207">
        <v>18750000</v>
      </c>
      <c r="I1035" s="208"/>
      <c r="J1035" s="208">
        <f t="shared" si="373"/>
        <v>0.12</v>
      </c>
      <c r="K1035" s="209">
        <v>87500000</v>
      </c>
      <c r="L1035" s="210">
        <f t="shared" si="362"/>
        <v>9375000</v>
      </c>
      <c r="M1035" s="210">
        <v>0</v>
      </c>
      <c r="N1035" s="211">
        <f>+L1035-M1035</f>
        <v>9375000</v>
      </c>
      <c r="O1035" s="212">
        <f t="shared" si="377"/>
        <v>3750000</v>
      </c>
      <c r="P1035" s="213" t="s">
        <v>706</v>
      </c>
      <c r="Q1035" s="204">
        <v>8390</v>
      </c>
      <c r="R1035" s="214">
        <f t="shared" si="374"/>
        <v>5625000</v>
      </c>
      <c r="S1035" s="204">
        <v>8391</v>
      </c>
      <c r="T1035" s="204">
        <v>2058</v>
      </c>
      <c r="U1035" s="204">
        <v>3089</v>
      </c>
      <c r="V1035" s="205" t="s">
        <v>261</v>
      </c>
      <c r="W1035" s="215">
        <v>45891</v>
      </c>
      <c r="X1035" s="213" t="s">
        <v>1749</v>
      </c>
    </row>
    <row r="1036" spans="1:24" x14ac:dyDescent="0.25">
      <c r="A1036" s="123" t="str">
        <f t="shared" si="359"/>
        <v>29109073664589132515178,145</v>
      </c>
      <c r="B1036" s="185">
        <f t="shared" si="360"/>
        <v>45891</v>
      </c>
      <c r="C1036" s="3">
        <f t="shared" si="361"/>
        <v>32515178.145</v>
      </c>
      <c r="D1036" s="204">
        <v>2024</v>
      </c>
      <c r="E1036" s="205">
        <v>2910907366</v>
      </c>
      <c r="F1036" s="206" t="s">
        <v>1664</v>
      </c>
      <c r="G1036" s="207">
        <v>305000000</v>
      </c>
      <c r="H1036" s="207">
        <v>32678571</v>
      </c>
      <c r="I1036" s="208"/>
      <c r="J1036" s="208">
        <f t="shared" si="373"/>
        <v>0.11999999823737705</v>
      </c>
      <c r="K1036" s="209">
        <v>303475000</v>
      </c>
      <c r="L1036" s="210">
        <f t="shared" si="362"/>
        <v>32515178.145</v>
      </c>
      <c r="M1036" s="210">
        <v>19509106.886999998</v>
      </c>
      <c r="N1036" s="211">
        <f t="shared" ref="N1036:N1037" si="379">+L1036-M1036</f>
        <v>13006071.258000001</v>
      </c>
      <c r="O1036" s="212">
        <f t="shared" si="377"/>
        <v>5202429</v>
      </c>
      <c r="P1036" s="213" t="s">
        <v>706</v>
      </c>
      <c r="Q1036" s="204">
        <v>8382</v>
      </c>
      <c r="R1036" s="214">
        <f>+N1036-O1036</f>
        <v>7803642.2580000013</v>
      </c>
      <c r="S1036" s="204">
        <v>8383</v>
      </c>
      <c r="T1036" s="204">
        <v>2059</v>
      </c>
      <c r="U1036" s="204">
        <v>3090</v>
      </c>
      <c r="V1036" s="205" t="s">
        <v>261</v>
      </c>
      <c r="W1036" s="215">
        <v>45891</v>
      </c>
      <c r="X1036" s="213" t="s">
        <v>1751</v>
      </c>
    </row>
    <row r="1037" spans="1:24" x14ac:dyDescent="0.25">
      <c r="A1037" s="123" t="str">
        <f t="shared" si="359"/>
        <v>29109073614589157742553,8445946</v>
      </c>
      <c r="B1037" s="185">
        <f t="shared" si="360"/>
        <v>45924</v>
      </c>
      <c r="C1037" s="3">
        <f t="shared" si="361"/>
        <v>65955053.883445963</v>
      </c>
      <c r="D1037" s="204">
        <v>2024</v>
      </c>
      <c r="E1037" s="205">
        <v>2910907361</v>
      </c>
      <c r="F1037" s="206" t="s">
        <v>1573</v>
      </c>
      <c r="G1037" s="207">
        <v>845530500</v>
      </c>
      <c r="H1037" s="207">
        <v>90592554</v>
      </c>
      <c r="I1037" s="208"/>
      <c r="J1037" s="208">
        <f t="shared" si="373"/>
        <v>0.12000000063581384</v>
      </c>
      <c r="K1037" s="209">
        <v>538930500</v>
      </c>
      <c r="L1037" s="210">
        <f t="shared" si="362"/>
        <v>57742553.844594613</v>
      </c>
      <c r="M1037" s="210">
        <v>49530053.805743262</v>
      </c>
      <c r="N1037" s="211">
        <f t="shared" si="379"/>
        <v>8212500.0388513505</v>
      </c>
      <c r="O1037" s="212">
        <f>ROUND((N1037*40%),0)</f>
        <v>3285000</v>
      </c>
      <c r="P1037" s="213" t="s">
        <v>706</v>
      </c>
      <c r="Q1037" s="204">
        <v>8380</v>
      </c>
      <c r="R1037" s="214">
        <f t="shared" ref="R1037:R1056" si="380">+N1037-O1037</f>
        <v>4927500.0388513505</v>
      </c>
      <c r="S1037" s="204">
        <v>8381</v>
      </c>
      <c r="T1037" s="204">
        <v>2060</v>
      </c>
      <c r="U1037" s="204">
        <v>3091</v>
      </c>
      <c r="V1037" s="205" t="s">
        <v>261</v>
      </c>
      <c r="W1037" s="215">
        <v>45891</v>
      </c>
      <c r="X1037" s="213" t="s">
        <v>1752</v>
      </c>
    </row>
    <row r="1038" spans="1:24" x14ac:dyDescent="0.25">
      <c r="A1038" s="123" t="str">
        <f t="shared" si="359"/>
        <v>24530183654589110608809,852021</v>
      </c>
      <c r="B1038" s="185">
        <f t="shared" si="360"/>
        <v>45891</v>
      </c>
      <c r="C1038" s="3">
        <f t="shared" si="361"/>
        <v>10608809.852021039</v>
      </c>
      <c r="D1038" s="204">
        <v>2024</v>
      </c>
      <c r="E1038" s="205">
        <v>2453018365</v>
      </c>
      <c r="F1038" s="206" t="s">
        <v>693</v>
      </c>
      <c r="G1038" s="207">
        <v>127684466</v>
      </c>
      <c r="H1038" s="207">
        <v>13680479</v>
      </c>
      <c r="I1038" s="208"/>
      <c r="J1038" s="208">
        <f>IFERROR((+H1038/(G1038-H1038)),0)</f>
        <v>0.12000000491210891</v>
      </c>
      <c r="K1038" s="209">
        <v>99015555</v>
      </c>
      <c r="L1038" s="210">
        <f t="shared" si="362"/>
        <v>10608809.852021039</v>
      </c>
      <c r="M1038" s="210">
        <v>6270630.0148959551</v>
      </c>
      <c r="N1038" s="211">
        <f>+L1038-M1038</f>
        <v>4338179.8371250834</v>
      </c>
      <c r="O1038" s="212">
        <f>ROUND((N1038*40%),0)</f>
        <v>1735272</v>
      </c>
      <c r="P1038" s="213" t="s">
        <v>706</v>
      </c>
      <c r="Q1038" s="204">
        <v>8362</v>
      </c>
      <c r="R1038" s="214">
        <f t="shared" si="380"/>
        <v>2602907.8371250834</v>
      </c>
      <c r="S1038" s="204">
        <v>8363</v>
      </c>
      <c r="T1038" s="204">
        <v>2061</v>
      </c>
      <c r="U1038" s="204">
        <v>3092</v>
      </c>
      <c r="V1038" s="205" t="s">
        <v>261</v>
      </c>
      <c r="W1038" s="215">
        <v>45891</v>
      </c>
      <c r="X1038" s="213" t="s">
        <v>425</v>
      </c>
    </row>
    <row r="1039" spans="1:24" x14ac:dyDescent="0.25">
      <c r="A1039" s="123" t="str">
        <f t="shared" si="359"/>
        <v>245301837145891180413391,568551</v>
      </c>
      <c r="B1039" s="185">
        <f t="shared" si="360"/>
        <v>45957</v>
      </c>
      <c r="C1039" s="3">
        <f t="shared" si="361"/>
        <v>213469956.63346189</v>
      </c>
      <c r="D1039" s="204">
        <v>2024</v>
      </c>
      <c r="E1039" s="205">
        <v>2453018371</v>
      </c>
      <c r="F1039" s="206" t="s">
        <v>1644</v>
      </c>
      <c r="G1039" s="207">
        <v>2206796261</v>
      </c>
      <c r="H1039" s="207">
        <v>236442457</v>
      </c>
      <c r="I1039" s="208"/>
      <c r="J1039" s="208">
        <f t="shared" ref="J1039:J1043" si="381">IFERROR((+H1039/(G1039-H1039)),0)</f>
        <v>0.120000000263912</v>
      </c>
      <c r="K1039" s="209">
        <v>1683858318</v>
      </c>
      <c r="L1039" s="210">
        <f t="shared" si="362"/>
        <v>180413391.56855103</v>
      </c>
      <c r="M1039" s="210">
        <v>111506870.68324405</v>
      </c>
      <c r="N1039" s="211">
        <f>+L1039-M1039</f>
        <v>68906520.885306984</v>
      </c>
      <c r="O1039" s="212">
        <f t="shared" ref="O1039:O1041" si="382">ROUND((N1039*40%),0)</f>
        <v>27562608</v>
      </c>
      <c r="P1039" s="213" t="s">
        <v>706</v>
      </c>
      <c r="Q1039" s="204">
        <v>8364</v>
      </c>
      <c r="R1039" s="214">
        <f t="shared" si="380"/>
        <v>41343912.885306984</v>
      </c>
      <c r="S1039" s="204">
        <v>8365</v>
      </c>
      <c r="T1039" s="204">
        <v>2062</v>
      </c>
      <c r="U1039" s="204">
        <v>3093</v>
      </c>
      <c r="V1039" s="205" t="s">
        <v>261</v>
      </c>
      <c r="W1039" s="215">
        <v>45891</v>
      </c>
      <c r="X1039" s="213" t="s">
        <v>425</v>
      </c>
    </row>
    <row r="1040" spans="1:24" x14ac:dyDescent="0.25">
      <c r="A1040" s="123" t="str">
        <f t="shared" si="359"/>
        <v>24530183764589127870582,1412807</v>
      </c>
      <c r="B1040" s="185">
        <f t="shared" si="360"/>
        <v>45986</v>
      </c>
      <c r="C1040" s="3">
        <f t="shared" si="361"/>
        <v>61558670.375863835</v>
      </c>
      <c r="D1040" s="204">
        <v>2025</v>
      </c>
      <c r="E1040" s="205">
        <v>2453018376</v>
      </c>
      <c r="F1040" s="206" t="s">
        <v>1739</v>
      </c>
      <c r="G1040" s="207">
        <v>618838000</v>
      </c>
      <c r="H1040" s="207">
        <v>66304071</v>
      </c>
      <c r="I1040" s="208"/>
      <c r="J1040" s="208">
        <f t="shared" si="381"/>
        <v>0.11999999913127507</v>
      </c>
      <c r="K1040" s="209">
        <v>260125435</v>
      </c>
      <c r="L1040" s="210">
        <f t="shared" si="362"/>
        <v>27870582.141280733</v>
      </c>
      <c r="M1040" s="210">
        <v>13037960.7014405</v>
      </c>
      <c r="N1040" s="211">
        <f>+L1040-M1040</f>
        <v>14832621.439840233</v>
      </c>
      <c r="O1040" s="212">
        <f t="shared" si="382"/>
        <v>5933049</v>
      </c>
      <c r="P1040" s="213" t="s">
        <v>706</v>
      </c>
      <c r="Q1040" s="204">
        <v>8366</v>
      </c>
      <c r="R1040" s="214">
        <f t="shared" si="380"/>
        <v>8899572.439840233</v>
      </c>
      <c r="S1040" s="204">
        <v>8367</v>
      </c>
      <c r="T1040" s="204">
        <v>2063</v>
      </c>
      <c r="U1040" s="204">
        <v>3094</v>
      </c>
      <c r="V1040" s="205" t="s">
        <v>261</v>
      </c>
      <c r="W1040" s="215">
        <v>45891</v>
      </c>
      <c r="X1040" s="213" t="s">
        <v>425</v>
      </c>
    </row>
    <row r="1041" spans="1:24" x14ac:dyDescent="0.25">
      <c r="A1041" s="123" t="str">
        <f t="shared" si="359"/>
        <v>24530183774589135998076,6878043</v>
      </c>
      <c r="B1041" s="185">
        <f t="shared" si="360"/>
        <v>45957</v>
      </c>
      <c r="C1041" s="3">
        <f t="shared" si="361"/>
        <v>78767770.86178574</v>
      </c>
      <c r="D1041" s="204">
        <v>2025</v>
      </c>
      <c r="E1041" s="205">
        <v>2453018377</v>
      </c>
      <c r="F1041" s="206" t="s">
        <v>1738</v>
      </c>
      <c r="G1041" s="207">
        <v>1443523270</v>
      </c>
      <c r="H1041" s="207">
        <v>154663208</v>
      </c>
      <c r="I1041" s="208"/>
      <c r="J1041" s="208">
        <f t="shared" si="381"/>
        <v>0.12000000043449248</v>
      </c>
      <c r="K1041" s="209">
        <v>335982048</v>
      </c>
      <c r="L1041" s="210">
        <f t="shared" si="362"/>
        <v>35998076.687804267</v>
      </c>
      <c r="M1041" s="210">
        <v>16847318.840178821</v>
      </c>
      <c r="N1041" s="211">
        <f>+L1041-M1041</f>
        <v>19150757.847625446</v>
      </c>
      <c r="O1041" s="212">
        <f t="shared" si="382"/>
        <v>7660303</v>
      </c>
      <c r="P1041" s="213" t="s">
        <v>706</v>
      </c>
      <c r="Q1041" s="204">
        <v>8368</v>
      </c>
      <c r="R1041" s="214">
        <f t="shared" si="380"/>
        <v>11490454.847625446</v>
      </c>
      <c r="S1041" s="204">
        <v>8369</v>
      </c>
      <c r="T1041" s="204">
        <v>2064</v>
      </c>
      <c r="U1041" s="204">
        <v>3095</v>
      </c>
      <c r="V1041" s="205" t="s">
        <v>261</v>
      </c>
      <c r="W1041" s="215">
        <v>45891</v>
      </c>
      <c r="X1041" s="213" t="s">
        <v>425</v>
      </c>
    </row>
    <row r="1042" spans="1:24" x14ac:dyDescent="0.25">
      <c r="A1042" s="123" t="str">
        <f t="shared" si="359"/>
        <v>29109082274589128597725</v>
      </c>
      <c r="B1042" s="185">
        <f t="shared" si="360"/>
        <v>45891</v>
      </c>
      <c r="C1042" s="3">
        <f t="shared" si="361"/>
        <v>28597725.000000004</v>
      </c>
      <c r="D1042" s="204">
        <v>2025</v>
      </c>
      <c r="E1042" s="205">
        <v>2910908227</v>
      </c>
      <c r="F1042" s="206" t="s">
        <v>1666</v>
      </c>
      <c r="G1042" s="207">
        <v>266912101</v>
      </c>
      <c r="H1042" s="207">
        <v>28597725</v>
      </c>
      <c r="I1042" s="208"/>
      <c r="J1042" s="208">
        <f t="shared" si="381"/>
        <v>0.11999999949646345</v>
      </c>
      <c r="K1042" s="209">
        <v>266912101</v>
      </c>
      <c r="L1042" s="210">
        <f t="shared" si="362"/>
        <v>28597725.000000004</v>
      </c>
      <c r="M1042" s="210">
        <v>16311761</v>
      </c>
      <c r="N1042" s="211">
        <f t="shared" ref="N1042:N1043" si="383">+L1042-M1042</f>
        <v>12285964.000000004</v>
      </c>
      <c r="O1042" s="212">
        <f>ROUND((N1042*40%),0)</f>
        <v>4914386</v>
      </c>
      <c r="P1042" s="213" t="s">
        <v>706</v>
      </c>
      <c r="Q1042" s="204">
        <v>8392</v>
      </c>
      <c r="R1042" s="214">
        <f t="shared" si="380"/>
        <v>7371578.0000000037</v>
      </c>
      <c r="S1042" s="204">
        <v>8393</v>
      </c>
      <c r="T1042" s="204">
        <v>2065</v>
      </c>
      <c r="U1042" s="204">
        <v>3096</v>
      </c>
      <c r="V1042" s="205" t="s">
        <v>261</v>
      </c>
      <c r="W1042" s="215">
        <v>45891</v>
      </c>
      <c r="X1042" s="213" t="s">
        <v>1753</v>
      </c>
    </row>
    <row r="1043" spans="1:24" x14ac:dyDescent="0.25">
      <c r="A1043" s="123" t="str">
        <f t="shared" si="359"/>
        <v>29109073154589112642857</v>
      </c>
      <c r="B1043" s="185">
        <f t="shared" si="360"/>
        <v>45891</v>
      </c>
      <c r="C1043" s="3">
        <f t="shared" si="361"/>
        <v>12642857</v>
      </c>
      <c r="D1043" s="204">
        <v>2024</v>
      </c>
      <c r="E1043" s="205">
        <v>2910907315</v>
      </c>
      <c r="F1043" s="206" t="s">
        <v>1754</v>
      </c>
      <c r="G1043" s="207">
        <v>118000000</v>
      </c>
      <c r="H1043" s="207">
        <v>12642857</v>
      </c>
      <c r="I1043" s="208"/>
      <c r="J1043" s="208">
        <f t="shared" si="381"/>
        <v>0.11999999848135594</v>
      </c>
      <c r="K1043" s="209">
        <v>118000000</v>
      </c>
      <c r="L1043" s="210">
        <f t="shared" si="362"/>
        <v>12642857</v>
      </c>
      <c r="M1043" s="210">
        <v>0</v>
      </c>
      <c r="N1043" s="211">
        <f t="shared" si="383"/>
        <v>12642857</v>
      </c>
      <c r="O1043" s="212">
        <f>ROUND((N1043*40%),0)</f>
        <v>5057143</v>
      </c>
      <c r="P1043" s="213" t="s">
        <v>706</v>
      </c>
      <c r="Q1043" s="204">
        <v>8374</v>
      </c>
      <c r="R1043" s="214">
        <f t="shared" si="380"/>
        <v>7585714</v>
      </c>
      <c r="S1043" s="204">
        <v>8375</v>
      </c>
      <c r="T1043" s="204">
        <v>2066</v>
      </c>
      <c r="U1043" s="204">
        <v>3097</v>
      </c>
      <c r="V1043" s="205" t="s">
        <v>261</v>
      </c>
      <c r="W1043" s="215">
        <v>45891</v>
      </c>
      <c r="X1043" s="213" t="s">
        <v>1755</v>
      </c>
    </row>
    <row r="1044" spans="1:24" x14ac:dyDescent="0.25">
      <c r="A1044" s="123" t="str">
        <f t="shared" si="359"/>
        <v>245301833045912259214159</v>
      </c>
      <c r="B1044" s="185">
        <f t="shared" si="360"/>
        <v>45912</v>
      </c>
      <c r="C1044" s="3">
        <f t="shared" si="361"/>
        <v>259214159</v>
      </c>
      <c r="D1044" s="204">
        <v>2021</v>
      </c>
      <c r="E1044" s="205">
        <v>2453018330</v>
      </c>
      <c r="F1044" s="206" t="s">
        <v>198</v>
      </c>
      <c r="G1044" s="207">
        <v>2419332150</v>
      </c>
      <c r="H1044" s="207">
        <v>259214159</v>
      </c>
      <c r="I1044" s="208"/>
      <c r="J1044" s="216">
        <f>IFERROR((+H1044/(G1044-H1044)),0)</f>
        <v>0.12000000003703501</v>
      </c>
      <c r="K1044" s="207">
        <v>2419332150</v>
      </c>
      <c r="L1044" s="210">
        <f t="shared" si="362"/>
        <v>259214159</v>
      </c>
      <c r="M1044" s="210">
        <v>247409003</v>
      </c>
      <c r="N1044" s="211">
        <f>+L1044-M1044</f>
        <v>11805156</v>
      </c>
      <c r="O1044" s="212">
        <f>ROUND((N1044*40%),0)</f>
        <v>4722062</v>
      </c>
      <c r="P1044" s="213" t="s">
        <v>706</v>
      </c>
      <c r="Q1044" s="204">
        <v>9502</v>
      </c>
      <c r="R1044" s="214">
        <f t="shared" si="380"/>
        <v>7083094</v>
      </c>
      <c r="S1044" s="204">
        <v>9503</v>
      </c>
      <c r="T1044" s="204">
        <v>2283</v>
      </c>
      <c r="U1044" s="204">
        <v>3311</v>
      </c>
      <c r="V1044" s="205" t="s">
        <v>261</v>
      </c>
      <c r="W1044" s="215">
        <v>45912</v>
      </c>
      <c r="X1044" s="213" t="s">
        <v>1756</v>
      </c>
    </row>
    <row r="1045" spans="1:24" x14ac:dyDescent="0.25">
      <c r="A1045" s="123" t="str">
        <f t="shared" si="359"/>
        <v>2910907376459241451458054,70363</v>
      </c>
      <c r="B1045" s="185">
        <f t="shared" si="360"/>
        <v>46007</v>
      </c>
      <c r="C1045" s="3">
        <f t="shared" si="361"/>
        <v>1985646783.1418917</v>
      </c>
      <c r="D1045" s="204">
        <v>2025</v>
      </c>
      <c r="E1045" s="205">
        <v>2910907376</v>
      </c>
      <c r="F1045" s="206" t="s">
        <v>1630</v>
      </c>
      <c r="G1045" s="207">
        <v>19056054897</v>
      </c>
      <c r="H1045" s="207">
        <v>2041720168</v>
      </c>
      <c r="I1045" s="208"/>
      <c r="J1045" s="216">
        <f t="shared" ref="J1045:J1054" si="384">IFERROR((+H1045/(G1045-H1045)),0)</f>
        <v>0.12000000003056246</v>
      </c>
      <c r="K1045" s="207">
        <v>13546941840.82</v>
      </c>
      <c r="L1045" s="210">
        <f t="shared" si="362"/>
        <v>1451458054.7036319</v>
      </c>
      <c r="M1045" s="210">
        <v>1251446642.4735067</v>
      </c>
      <c r="N1045" s="211">
        <f t="shared" ref="N1045" si="385">+L1045-M1045</f>
        <v>200011412.23012519</v>
      </c>
      <c r="O1045" s="212">
        <f t="shared" ref="O1045:O1054" si="386">ROUND((N1045*40%),0)</f>
        <v>80004565</v>
      </c>
      <c r="P1045" s="213" t="s">
        <v>706</v>
      </c>
      <c r="Q1045" s="204">
        <v>10120</v>
      </c>
      <c r="R1045" s="214">
        <f t="shared" si="380"/>
        <v>120006847.23012519</v>
      </c>
      <c r="S1045" s="204">
        <v>10121</v>
      </c>
      <c r="T1045" s="204">
        <v>2348</v>
      </c>
      <c r="U1045" s="204">
        <v>3524</v>
      </c>
      <c r="V1045" s="205" t="s">
        <v>261</v>
      </c>
      <c r="W1045" s="215">
        <v>45924</v>
      </c>
      <c r="X1045" s="213" t="s">
        <v>1757</v>
      </c>
    </row>
    <row r="1046" spans="1:24" x14ac:dyDescent="0.25">
      <c r="A1046" s="123" t="str">
        <f t="shared" si="359"/>
        <v>29109073884592434072000</v>
      </c>
      <c r="B1046" s="185">
        <f t="shared" si="360"/>
        <v>45924</v>
      </c>
      <c r="C1046" s="3">
        <f t="shared" si="361"/>
        <v>34072000</v>
      </c>
      <c r="D1046" s="204">
        <v>2025</v>
      </c>
      <c r="E1046" s="205">
        <v>2910907388</v>
      </c>
      <c r="F1046" s="206" t="s">
        <v>1758</v>
      </c>
      <c r="G1046" s="207">
        <v>318000000</v>
      </c>
      <c r="H1046" s="207">
        <v>34072000</v>
      </c>
      <c r="I1046" s="208"/>
      <c r="J1046" s="216">
        <f t="shared" si="384"/>
        <v>0.12000225409258686</v>
      </c>
      <c r="K1046" s="207">
        <v>318000000</v>
      </c>
      <c r="L1046" s="210">
        <f t="shared" si="362"/>
        <v>34072000</v>
      </c>
      <c r="M1046" s="210">
        <v>0</v>
      </c>
      <c r="N1046" s="211">
        <f>+L1046-M1046</f>
        <v>34072000</v>
      </c>
      <c r="O1046" s="212">
        <f t="shared" si="386"/>
        <v>13628800</v>
      </c>
      <c r="P1046" s="213" t="s">
        <v>706</v>
      </c>
      <c r="Q1046" s="204">
        <v>10130</v>
      </c>
      <c r="R1046" s="214">
        <f t="shared" si="380"/>
        <v>20443200</v>
      </c>
      <c r="S1046" s="204">
        <v>10131</v>
      </c>
      <c r="T1046" s="204">
        <v>2349</v>
      </c>
      <c r="U1046" s="204">
        <v>3525</v>
      </c>
      <c r="V1046" s="205" t="s">
        <v>261</v>
      </c>
      <c r="W1046" s="215">
        <v>45924</v>
      </c>
      <c r="X1046" s="213" t="s">
        <v>1759</v>
      </c>
    </row>
    <row r="1047" spans="1:24" x14ac:dyDescent="0.25">
      <c r="A1047" s="123" t="str">
        <f t="shared" si="359"/>
        <v>29109073894592414806071,54</v>
      </c>
      <c r="B1047" s="185">
        <f t="shared" si="360"/>
        <v>45957</v>
      </c>
      <c r="C1047" s="3">
        <f t="shared" si="361"/>
        <v>33028928.82</v>
      </c>
      <c r="D1047" s="204">
        <v>2025</v>
      </c>
      <c r="E1047" s="205">
        <v>2910907389</v>
      </c>
      <c r="F1047" s="206" t="s">
        <v>1760</v>
      </c>
      <c r="G1047" s="207">
        <v>531500000</v>
      </c>
      <c r="H1047" s="207">
        <v>56946429</v>
      </c>
      <c r="I1047" s="208"/>
      <c r="J1047" s="216">
        <f t="shared" si="384"/>
        <v>0.12000000101147695</v>
      </c>
      <c r="K1047" s="207">
        <v>138190000</v>
      </c>
      <c r="L1047" s="210">
        <f t="shared" si="362"/>
        <v>14806071.539999999</v>
      </c>
      <c r="M1047" s="210">
        <v>0</v>
      </c>
      <c r="N1047" s="211">
        <f>+L1047-M1047</f>
        <v>14806071.539999999</v>
      </c>
      <c r="O1047" s="212">
        <f t="shared" si="386"/>
        <v>5922429</v>
      </c>
      <c r="P1047" s="213" t="s">
        <v>706</v>
      </c>
      <c r="Q1047" s="204">
        <v>10132</v>
      </c>
      <c r="R1047" s="214">
        <f t="shared" si="380"/>
        <v>8883642.5399999991</v>
      </c>
      <c r="S1047" s="204">
        <v>10133</v>
      </c>
      <c r="T1047" s="204">
        <v>2350</v>
      </c>
      <c r="U1047" s="204">
        <v>3526</v>
      </c>
      <c r="V1047" s="205" t="s">
        <v>261</v>
      </c>
      <c r="W1047" s="215">
        <v>45924</v>
      </c>
      <c r="X1047" s="213" t="s">
        <v>1759</v>
      </c>
    </row>
    <row r="1048" spans="1:24" x14ac:dyDescent="0.25">
      <c r="A1048" s="123" t="str">
        <f t="shared" si="359"/>
        <v>2910907399459246602142,9</v>
      </c>
      <c r="B1048" s="185">
        <f t="shared" si="360"/>
        <v>45924</v>
      </c>
      <c r="C1048" s="3">
        <f t="shared" si="361"/>
        <v>6602142.9000000004</v>
      </c>
      <c r="D1048" s="204">
        <v>2025</v>
      </c>
      <c r="E1048" s="205">
        <v>2910907399</v>
      </c>
      <c r="F1048" s="206" t="s">
        <v>1761</v>
      </c>
      <c r="G1048" s="207">
        <v>205400000</v>
      </c>
      <c r="H1048" s="207">
        <v>22007143</v>
      </c>
      <c r="I1048" s="208"/>
      <c r="J1048" s="216">
        <f t="shared" si="384"/>
        <v>0.12000000087244402</v>
      </c>
      <c r="K1048" s="207">
        <v>61620000</v>
      </c>
      <c r="L1048" s="210">
        <f t="shared" si="362"/>
        <v>6602142.9000000004</v>
      </c>
      <c r="M1048" s="210">
        <v>0</v>
      </c>
      <c r="N1048" s="211">
        <f>+L1048-M1048</f>
        <v>6602142.9000000004</v>
      </c>
      <c r="O1048" s="212">
        <f t="shared" si="386"/>
        <v>2640857</v>
      </c>
      <c r="P1048" s="213" t="s">
        <v>706</v>
      </c>
      <c r="Q1048" s="204">
        <v>10136</v>
      </c>
      <c r="R1048" s="214">
        <f t="shared" si="380"/>
        <v>3961285.9000000004</v>
      </c>
      <c r="S1048" s="204">
        <v>10137</v>
      </c>
      <c r="T1048" s="204">
        <v>2351</v>
      </c>
      <c r="U1048" s="204">
        <v>3527</v>
      </c>
      <c r="V1048" s="205" t="s">
        <v>261</v>
      </c>
      <c r="W1048" s="215">
        <v>45924</v>
      </c>
      <c r="X1048" s="213" t="s">
        <v>1762</v>
      </c>
    </row>
    <row r="1049" spans="1:24" x14ac:dyDescent="0.25">
      <c r="A1049" s="123" t="str">
        <f t="shared" si="359"/>
        <v>2910907387459247735714,15</v>
      </c>
      <c r="B1049" s="185">
        <f t="shared" si="360"/>
        <v>45924</v>
      </c>
      <c r="C1049" s="3">
        <f t="shared" si="361"/>
        <v>7735714.1499999994</v>
      </c>
      <c r="D1049" s="204">
        <v>2024</v>
      </c>
      <c r="E1049" s="205">
        <v>2910907387</v>
      </c>
      <c r="F1049" s="206" t="s">
        <v>1736</v>
      </c>
      <c r="G1049" s="207">
        <v>76000000</v>
      </c>
      <c r="H1049" s="207">
        <v>8142857</v>
      </c>
      <c r="I1049" s="208"/>
      <c r="J1049" s="216">
        <f t="shared" si="384"/>
        <v>0.11999999764210527</v>
      </c>
      <c r="K1049" s="207">
        <v>72200000</v>
      </c>
      <c r="L1049" s="210">
        <f t="shared" si="362"/>
        <v>7735714.1499999994</v>
      </c>
      <c r="M1049" s="210">
        <v>4445999.9219999993</v>
      </c>
      <c r="N1049" s="211">
        <f t="shared" ref="N1049:N1052" si="387">+L1049-M1049</f>
        <v>3289714.2280000001</v>
      </c>
      <c r="O1049" s="212">
        <f t="shared" si="386"/>
        <v>1315886</v>
      </c>
      <c r="P1049" s="213" t="s">
        <v>706</v>
      </c>
      <c r="Q1049" s="204">
        <v>10128</v>
      </c>
      <c r="R1049" s="214">
        <f t="shared" si="380"/>
        <v>1973828.2280000001</v>
      </c>
      <c r="S1049" s="204">
        <v>10129</v>
      </c>
      <c r="T1049" s="204">
        <v>2352</v>
      </c>
      <c r="U1049" s="204">
        <v>3528</v>
      </c>
      <c r="V1049" s="205" t="s">
        <v>261</v>
      </c>
      <c r="W1049" s="215">
        <v>45924</v>
      </c>
      <c r="X1049" s="213" t="s">
        <v>1763</v>
      </c>
    </row>
    <row r="1050" spans="1:24" x14ac:dyDescent="0.25">
      <c r="A1050" s="123" t="str">
        <f t="shared" si="359"/>
        <v>29109073934592441625458,5</v>
      </c>
      <c r="B1050" s="185">
        <f t="shared" si="360"/>
        <v>45924</v>
      </c>
      <c r="C1050" s="3">
        <f t="shared" si="361"/>
        <v>41625458.5</v>
      </c>
      <c r="D1050" s="204">
        <v>2025</v>
      </c>
      <c r="E1050" s="205">
        <v>2910907393</v>
      </c>
      <c r="F1050" s="206" t="s">
        <v>1764</v>
      </c>
      <c r="G1050" s="207">
        <v>1554017120</v>
      </c>
      <c r="H1050" s="207">
        <v>166501834</v>
      </c>
      <c r="I1050" s="208"/>
      <c r="J1050" s="216">
        <f t="shared" si="384"/>
        <v>0.11999999976937191</v>
      </c>
      <c r="K1050" s="207">
        <v>388504280</v>
      </c>
      <c r="L1050" s="210">
        <f t="shared" si="362"/>
        <v>41625458.5</v>
      </c>
      <c r="M1050" s="210">
        <v>0</v>
      </c>
      <c r="N1050" s="211">
        <f t="shared" si="387"/>
        <v>41625458.5</v>
      </c>
      <c r="O1050" s="212">
        <f t="shared" si="386"/>
        <v>16650183</v>
      </c>
      <c r="P1050" s="213" t="s">
        <v>706</v>
      </c>
      <c r="Q1050" s="204">
        <v>10134</v>
      </c>
      <c r="R1050" s="214">
        <f t="shared" si="380"/>
        <v>24975275.5</v>
      </c>
      <c r="S1050" s="204">
        <v>10135</v>
      </c>
      <c r="T1050" s="204">
        <v>2353</v>
      </c>
      <c r="U1050" s="204">
        <v>3529</v>
      </c>
      <c r="V1050" s="205" t="s">
        <v>261</v>
      </c>
      <c r="W1050" s="215">
        <v>45924</v>
      </c>
      <c r="X1050" s="213" t="s">
        <v>1765</v>
      </c>
    </row>
    <row r="1051" spans="1:24" x14ac:dyDescent="0.25">
      <c r="A1051" s="123" t="str">
        <f t="shared" si="359"/>
        <v>29109073744592491696620</v>
      </c>
      <c r="B1051" s="185">
        <f t="shared" si="360"/>
        <v>45957</v>
      </c>
      <c r="C1051" s="3">
        <f t="shared" si="361"/>
        <v>128375267.99999999</v>
      </c>
      <c r="D1051" s="204">
        <v>2025</v>
      </c>
      <c r="E1051" s="205">
        <v>2910907374</v>
      </c>
      <c r="F1051" s="206" t="s">
        <v>1674</v>
      </c>
      <c r="G1051" s="207">
        <v>1711670240</v>
      </c>
      <c r="H1051" s="207">
        <v>183393240</v>
      </c>
      <c r="I1051" s="208"/>
      <c r="J1051" s="216">
        <f t="shared" si="384"/>
        <v>0.12</v>
      </c>
      <c r="K1051" s="207">
        <v>855835120</v>
      </c>
      <c r="L1051" s="210">
        <f t="shared" si="362"/>
        <v>91696619.999999985</v>
      </c>
      <c r="M1051" s="210">
        <v>55017972</v>
      </c>
      <c r="N1051" s="211">
        <f t="shared" si="387"/>
        <v>36678647.999999985</v>
      </c>
      <c r="O1051" s="212">
        <f t="shared" si="386"/>
        <v>14671459</v>
      </c>
      <c r="P1051" s="213" t="s">
        <v>706</v>
      </c>
      <c r="Q1051" s="204">
        <v>10118</v>
      </c>
      <c r="R1051" s="214">
        <f t="shared" si="380"/>
        <v>22007188.999999985</v>
      </c>
      <c r="S1051" s="204">
        <v>10119</v>
      </c>
      <c r="T1051" s="204">
        <v>2354</v>
      </c>
      <c r="U1051" s="204">
        <v>3530</v>
      </c>
      <c r="V1051" s="205" t="s">
        <v>261</v>
      </c>
      <c r="W1051" s="215">
        <v>45924</v>
      </c>
      <c r="X1051" s="213" t="s">
        <v>1766</v>
      </c>
    </row>
    <row r="1052" spans="1:24" x14ac:dyDescent="0.25">
      <c r="A1052" s="123" t="str">
        <f t="shared" si="359"/>
        <v>291090738345924293063750,811429</v>
      </c>
      <c r="B1052" s="185">
        <f t="shared" si="360"/>
        <v>45986</v>
      </c>
      <c r="C1052" s="3">
        <f t="shared" si="361"/>
        <v>479558865.43184918</v>
      </c>
      <c r="D1052" s="204">
        <v>2025</v>
      </c>
      <c r="E1052" s="205">
        <v>2910907383</v>
      </c>
      <c r="F1052" s="206" t="s">
        <v>1727</v>
      </c>
      <c r="G1052" s="207">
        <v>6216503808</v>
      </c>
      <c r="H1052" s="207">
        <v>666053979</v>
      </c>
      <c r="I1052" s="208"/>
      <c r="J1052" s="216">
        <f t="shared" si="384"/>
        <v>0.11999999991352052</v>
      </c>
      <c r="K1052" s="207">
        <v>2735261676</v>
      </c>
      <c r="L1052" s="210">
        <f t="shared" si="362"/>
        <v>293063750.81142855</v>
      </c>
      <c r="M1052" s="210">
        <v>199816193.76428568</v>
      </c>
      <c r="N1052" s="211">
        <f t="shared" si="387"/>
        <v>93247557.047142863</v>
      </c>
      <c r="O1052" s="212">
        <f t="shared" si="386"/>
        <v>37299023</v>
      </c>
      <c r="P1052" s="213" t="s">
        <v>706</v>
      </c>
      <c r="Q1052" s="204">
        <v>10124</v>
      </c>
      <c r="R1052" s="214">
        <f t="shared" si="380"/>
        <v>55948534.047142863</v>
      </c>
      <c r="S1052" s="204">
        <v>10125</v>
      </c>
      <c r="T1052" s="204">
        <v>2355</v>
      </c>
      <c r="U1052" s="204">
        <v>3531</v>
      </c>
      <c r="V1052" s="205" t="s">
        <v>261</v>
      </c>
      <c r="W1052" s="215">
        <v>45924</v>
      </c>
      <c r="X1052" s="213" t="s">
        <v>1767</v>
      </c>
    </row>
    <row r="1053" spans="1:24" x14ac:dyDescent="0.25">
      <c r="A1053" s="123" t="str">
        <f t="shared" si="359"/>
        <v>291090737145924105293024,542639</v>
      </c>
      <c r="B1053" s="185">
        <f t="shared" si="360"/>
        <v>45924</v>
      </c>
      <c r="C1053" s="3">
        <f t="shared" si="361"/>
        <v>105293024.54263858</v>
      </c>
      <c r="D1053" s="204">
        <v>2024</v>
      </c>
      <c r="E1053" s="205">
        <v>2910907371</v>
      </c>
      <c r="F1053" s="206" t="s">
        <v>1642</v>
      </c>
      <c r="G1053" s="207">
        <v>2438185998</v>
      </c>
      <c r="H1053" s="207">
        <v>261234214</v>
      </c>
      <c r="I1053" s="208"/>
      <c r="J1053" s="216">
        <f t="shared" si="384"/>
        <v>0.11999999996325136</v>
      </c>
      <c r="K1053" s="207">
        <v>982734896</v>
      </c>
      <c r="L1053" s="210">
        <f t="shared" si="362"/>
        <v>105293024.54263858</v>
      </c>
      <c r="M1053" s="210">
        <v>78370263.783285886</v>
      </c>
      <c r="N1053" s="211">
        <f>+L1053-M1053</f>
        <v>26922760.759352699</v>
      </c>
      <c r="O1053" s="212">
        <f t="shared" si="386"/>
        <v>10769104</v>
      </c>
      <c r="P1053" s="213" t="s">
        <v>706</v>
      </c>
      <c r="Q1053" s="204">
        <v>10116</v>
      </c>
      <c r="R1053" s="214">
        <f t="shared" si="380"/>
        <v>16153656.759352699</v>
      </c>
      <c r="S1053" s="204">
        <v>10117</v>
      </c>
      <c r="T1053" s="204">
        <v>2356</v>
      </c>
      <c r="U1053" s="204">
        <v>3532</v>
      </c>
      <c r="V1053" s="205" t="s">
        <v>261</v>
      </c>
      <c r="W1053" s="215">
        <v>45924</v>
      </c>
      <c r="X1053" s="213" t="s">
        <v>1768</v>
      </c>
    </row>
    <row r="1054" spans="1:24" x14ac:dyDescent="0.25">
      <c r="A1054" s="123" t="str">
        <f t="shared" si="359"/>
        <v>29109073824592431111714,348</v>
      </c>
      <c r="B1054" s="185">
        <f t="shared" si="360"/>
        <v>45986</v>
      </c>
      <c r="C1054" s="3">
        <f t="shared" si="361"/>
        <v>71357142.81436719</v>
      </c>
      <c r="D1054" s="204">
        <v>2025</v>
      </c>
      <c r="E1054" s="205">
        <v>2910907382</v>
      </c>
      <c r="F1054" s="206" t="s">
        <v>1769</v>
      </c>
      <c r="G1054" s="207">
        <v>1332000000</v>
      </c>
      <c r="H1054" s="207">
        <v>142714286</v>
      </c>
      <c r="I1054" s="208"/>
      <c r="J1054" s="216">
        <f t="shared" si="384"/>
        <v>0.12000000026906907</v>
      </c>
      <c r="K1054" s="207">
        <v>290376000</v>
      </c>
      <c r="L1054" s="210">
        <f t="shared" si="362"/>
        <v>31111714.347999997</v>
      </c>
      <c r="M1054" s="210">
        <v>0</v>
      </c>
      <c r="N1054" s="211">
        <f>+L1054-M1054</f>
        <v>31111714.347999997</v>
      </c>
      <c r="O1054" s="212">
        <f t="shared" si="386"/>
        <v>12444686</v>
      </c>
      <c r="P1054" s="213" t="s">
        <v>706</v>
      </c>
      <c r="Q1054" s="204">
        <v>10122</v>
      </c>
      <c r="R1054" s="214">
        <f t="shared" si="380"/>
        <v>18667028.347999997</v>
      </c>
      <c r="S1054" s="204">
        <v>10123</v>
      </c>
      <c r="T1054" s="204">
        <v>2357</v>
      </c>
      <c r="U1054" s="204">
        <v>3533</v>
      </c>
      <c r="V1054" s="205" t="s">
        <v>261</v>
      </c>
      <c r="W1054" s="215">
        <v>45924</v>
      </c>
      <c r="X1054" s="213" t="s">
        <v>1770</v>
      </c>
    </row>
    <row r="1055" spans="1:24" x14ac:dyDescent="0.25">
      <c r="A1055" s="123" t="str">
        <f t="shared" si="359"/>
        <v>29109073844592466964800</v>
      </c>
      <c r="B1055" s="185">
        <f t="shared" si="360"/>
        <v>46007</v>
      </c>
      <c r="C1055" s="3">
        <f t="shared" si="361"/>
        <v>117188399.99999999</v>
      </c>
      <c r="D1055" s="204">
        <v>2025</v>
      </c>
      <c r="E1055" s="205">
        <v>2910907384</v>
      </c>
      <c r="F1055" s="206" t="s">
        <v>1680</v>
      </c>
      <c r="G1055" s="207">
        <v>1562512000</v>
      </c>
      <c r="H1055" s="207">
        <v>167412000</v>
      </c>
      <c r="I1055" s="208"/>
      <c r="J1055" s="216">
        <f>IFERROR((+H1055/(G1055-H1055)),0)</f>
        <v>0.12</v>
      </c>
      <c r="K1055" s="207">
        <v>625004800</v>
      </c>
      <c r="L1055" s="210">
        <f t="shared" si="362"/>
        <v>66964800</v>
      </c>
      <c r="M1055" s="210">
        <v>50223599.999999993</v>
      </c>
      <c r="N1055" s="211">
        <f>+L1055-M1055</f>
        <v>16741200.000000007</v>
      </c>
      <c r="O1055" s="212">
        <f>ROUND((N1055*40%),0)</f>
        <v>6696480</v>
      </c>
      <c r="P1055" s="213" t="s">
        <v>706</v>
      </c>
      <c r="Q1055" s="204">
        <v>10126</v>
      </c>
      <c r="R1055" s="214">
        <f t="shared" si="380"/>
        <v>10044720.000000007</v>
      </c>
      <c r="S1055" s="204">
        <v>10127</v>
      </c>
      <c r="T1055" s="204">
        <v>2358</v>
      </c>
      <c r="U1055" s="204">
        <v>3534</v>
      </c>
      <c r="V1055" s="205" t="s">
        <v>261</v>
      </c>
      <c r="W1055" s="215">
        <v>45924</v>
      </c>
      <c r="X1055" s="213" t="s">
        <v>1771</v>
      </c>
    </row>
    <row r="1056" spans="1:24" x14ac:dyDescent="0.25">
      <c r="A1056" s="123" t="str">
        <f t="shared" si="359"/>
        <v>29109073614592465955053,883446</v>
      </c>
      <c r="B1056" s="185">
        <f t="shared" si="360"/>
        <v>45924</v>
      </c>
      <c r="C1056" s="3">
        <f t="shared" si="361"/>
        <v>65955053.883445963</v>
      </c>
      <c r="D1056" s="204">
        <v>2024</v>
      </c>
      <c r="E1056" s="205">
        <v>2910907361</v>
      </c>
      <c r="F1056" s="206" t="s">
        <v>1573</v>
      </c>
      <c r="G1056" s="207">
        <v>845530500</v>
      </c>
      <c r="H1056" s="207">
        <v>90592554</v>
      </c>
      <c r="I1056" s="208"/>
      <c r="J1056" s="216">
        <f t="shared" ref="J1056:J1097" si="388">IFERROR((+H1056/(G1056-H1056)),0)</f>
        <v>0.12000000063581384</v>
      </c>
      <c r="K1056" s="207">
        <v>615580500</v>
      </c>
      <c r="L1056" s="210">
        <f t="shared" si="362"/>
        <v>65955053.883445963</v>
      </c>
      <c r="M1056" s="210">
        <v>57742553.844594598</v>
      </c>
      <c r="N1056" s="211">
        <f>+L1056-M1056</f>
        <v>8212500.0388513654</v>
      </c>
      <c r="O1056" s="212">
        <f>ROUND((N1056*40%),0)</f>
        <v>3285000</v>
      </c>
      <c r="P1056" s="213" t="s">
        <v>706</v>
      </c>
      <c r="Q1056" s="204">
        <v>10114</v>
      </c>
      <c r="R1056" s="214">
        <f t="shared" si="380"/>
        <v>4927500.0388513654</v>
      </c>
      <c r="S1056" s="204">
        <v>10115</v>
      </c>
      <c r="T1056" s="204">
        <v>2359</v>
      </c>
      <c r="U1056" s="204">
        <v>3535</v>
      </c>
      <c r="V1056" s="205" t="s">
        <v>261</v>
      </c>
      <c r="W1056" s="215">
        <v>45924</v>
      </c>
      <c r="X1056" s="213" t="s">
        <v>1752</v>
      </c>
    </row>
    <row r="1057" spans="1:24" x14ac:dyDescent="0.25">
      <c r="A1057" s="123" t="str">
        <f t="shared" si="359"/>
        <v>29109073424592432207143</v>
      </c>
      <c r="B1057" s="185">
        <f t="shared" si="360"/>
        <v>45924</v>
      </c>
      <c r="C1057" s="3">
        <f t="shared" si="361"/>
        <v>32207143</v>
      </c>
      <c r="D1057" s="204">
        <v>2024</v>
      </c>
      <c r="E1057" s="205">
        <v>2910907342</v>
      </c>
      <c r="F1057" s="206" t="s">
        <v>1487</v>
      </c>
      <c r="G1057" s="207">
        <v>300600000</v>
      </c>
      <c r="H1057" s="207">
        <v>32207143</v>
      </c>
      <c r="I1057" s="208"/>
      <c r="J1057" s="216">
        <f t="shared" si="388"/>
        <v>0.12000000059614105</v>
      </c>
      <c r="K1057" s="207">
        <v>300600000</v>
      </c>
      <c r="L1057" s="210">
        <f t="shared" si="362"/>
        <v>32207143</v>
      </c>
      <c r="M1057" s="210">
        <v>25885714.400532268</v>
      </c>
      <c r="N1057" s="211">
        <f t="shared" ref="N1057:N1067" si="389">+L1057-M1057</f>
        <v>6321428.599467732</v>
      </c>
      <c r="O1057" s="212">
        <f t="shared" ref="O1057:O1069" si="390">ROUND((N1057*40%),0)</f>
        <v>2528571</v>
      </c>
      <c r="P1057" s="213" t="s">
        <v>706</v>
      </c>
      <c r="Q1057" s="204">
        <v>10112</v>
      </c>
      <c r="R1057" s="214">
        <f>+N1057-O1057</f>
        <v>3792857.599467732</v>
      </c>
      <c r="S1057" s="204">
        <v>10113</v>
      </c>
      <c r="T1057" s="204">
        <v>2360</v>
      </c>
      <c r="U1057" s="204">
        <v>3536</v>
      </c>
      <c r="V1057" s="205" t="s">
        <v>261</v>
      </c>
      <c r="W1057" s="215">
        <v>45924</v>
      </c>
      <c r="X1057" s="213" t="s">
        <v>1772</v>
      </c>
    </row>
    <row r="1058" spans="1:24" x14ac:dyDescent="0.25">
      <c r="A1058" s="123" t="str">
        <f t="shared" si="359"/>
        <v>29109073364592439926528,704517</v>
      </c>
      <c r="B1058" s="185">
        <f t="shared" si="360"/>
        <v>45924</v>
      </c>
      <c r="C1058" s="3">
        <f t="shared" si="361"/>
        <v>39926528.704516999</v>
      </c>
      <c r="D1058" s="204">
        <v>2024</v>
      </c>
      <c r="E1058" s="205">
        <v>2910907336</v>
      </c>
      <c r="F1058" s="206" t="s">
        <v>1565</v>
      </c>
      <c r="G1058" s="207">
        <v>400000000</v>
      </c>
      <c r="H1058" s="207">
        <v>42857143</v>
      </c>
      <c r="I1058" s="208"/>
      <c r="J1058" s="216">
        <f t="shared" si="388"/>
        <v>0.12000000044799999</v>
      </c>
      <c r="K1058" s="207">
        <v>372647600</v>
      </c>
      <c r="L1058" s="210">
        <f t="shared" si="362"/>
        <v>39926528.704516999</v>
      </c>
      <c r="M1058" s="210">
        <v>18862242.920017</v>
      </c>
      <c r="N1058" s="211">
        <f t="shared" si="389"/>
        <v>21064285.784499999</v>
      </c>
      <c r="O1058" s="212">
        <f t="shared" si="390"/>
        <v>8425714</v>
      </c>
      <c r="P1058" s="213" t="s">
        <v>706</v>
      </c>
      <c r="Q1058" s="204">
        <v>10110</v>
      </c>
      <c r="R1058" s="214">
        <f t="shared" ref="R1058:R1066" si="391">+N1058-O1058</f>
        <v>12638571.784499999</v>
      </c>
      <c r="S1058" s="204">
        <v>10111</v>
      </c>
      <c r="T1058" s="204">
        <v>2368</v>
      </c>
      <c r="U1058" s="204">
        <v>3544</v>
      </c>
      <c r="V1058" s="205" t="s">
        <v>261</v>
      </c>
      <c r="W1058" s="215">
        <v>45924</v>
      </c>
      <c r="X1058" s="213" t="s">
        <v>1773</v>
      </c>
    </row>
    <row r="1059" spans="1:24" x14ac:dyDescent="0.25">
      <c r="A1059" s="123" t="str">
        <f t="shared" si="359"/>
        <v>24530183764592441903860,2255243</v>
      </c>
      <c r="B1059" s="185">
        <f t="shared" si="360"/>
        <v>45986</v>
      </c>
      <c r="C1059" s="3">
        <f t="shared" si="361"/>
        <v>61558670.375863835</v>
      </c>
      <c r="D1059" s="204">
        <v>2025</v>
      </c>
      <c r="E1059" s="205">
        <v>2453018376</v>
      </c>
      <c r="F1059" s="206" t="s">
        <v>1739</v>
      </c>
      <c r="G1059" s="207">
        <v>928257000</v>
      </c>
      <c r="H1059" s="207">
        <v>99456107</v>
      </c>
      <c r="I1059" s="208"/>
      <c r="J1059" s="216">
        <f t="shared" si="388"/>
        <v>0.11999999980695002</v>
      </c>
      <c r="K1059" s="207">
        <v>391102696</v>
      </c>
      <c r="L1059" s="210">
        <f t="shared" si="362"/>
        <v>41903860.225524254</v>
      </c>
      <c r="M1059" s="210">
        <v>27870582.141280733</v>
      </c>
      <c r="N1059" s="211">
        <f t="shared" si="389"/>
        <v>14033278.084243521</v>
      </c>
      <c r="O1059" s="212">
        <f t="shared" si="390"/>
        <v>5613311</v>
      </c>
      <c r="P1059" s="213" t="s">
        <v>706</v>
      </c>
      <c r="Q1059" s="204">
        <v>10106</v>
      </c>
      <c r="R1059" s="214">
        <f t="shared" si="391"/>
        <v>8419967.0842435211</v>
      </c>
      <c r="S1059" s="204">
        <v>10107</v>
      </c>
      <c r="T1059" s="204">
        <v>2361</v>
      </c>
      <c r="U1059" s="204">
        <v>3537</v>
      </c>
      <c r="V1059" s="205" t="s">
        <v>261</v>
      </c>
      <c r="W1059" s="215">
        <v>45924</v>
      </c>
      <c r="X1059" s="213" t="s">
        <v>425</v>
      </c>
    </row>
    <row r="1060" spans="1:24" x14ac:dyDescent="0.25">
      <c r="A1060" s="123" t="str">
        <f t="shared" si="359"/>
        <v>24530183544592423665036,3806378</v>
      </c>
      <c r="B1060" s="185">
        <f t="shared" si="360"/>
        <v>45924</v>
      </c>
      <c r="C1060" s="3">
        <f t="shared" si="361"/>
        <v>23665036.380637806</v>
      </c>
      <c r="D1060" s="204">
        <v>2023</v>
      </c>
      <c r="E1060" s="205">
        <v>2453018354</v>
      </c>
      <c r="F1060" s="206" t="s">
        <v>651</v>
      </c>
      <c r="G1060" s="207">
        <v>330437363</v>
      </c>
      <c r="H1060" s="207">
        <v>35404003</v>
      </c>
      <c r="I1060" s="208"/>
      <c r="J1060" s="216">
        <f t="shared" si="388"/>
        <v>0.11999999932211056</v>
      </c>
      <c r="K1060" s="207">
        <v>220873674</v>
      </c>
      <c r="L1060" s="210">
        <f t="shared" si="362"/>
        <v>23665036.380637806</v>
      </c>
      <c r="M1060" s="210">
        <v>10263990.59108742</v>
      </c>
      <c r="N1060" s="211">
        <f t="shared" si="389"/>
        <v>13401045.789550386</v>
      </c>
      <c r="O1060" s="212">
        <f t="shared" si="390"/>
        <v>5360418</v>
      </c>
      <c r="P1060" s="213" t="s">
        <v>706</v>
      </c>
      <c r="Q1060" s="204">
        <v>10100</v>
      </c>
      <c r="R1060" s="214">
        <f t="shared" si="391"/>
        <v>8040627.7895503864</v>
      </c>
      <c r="S1060" s="204">
        <v>10101</v>
      </c>
      <c r="T1060" s="204">
        <v>2362</v>
      </c>
      <c r="U1060" s="204">
        <v>3538</v>
      </c>
      <c r="V1060" s="205" t="s">
        <v>261</v>
      </c>
      <c r="W1060" s="215">
        <v>45924</v>
      </c>
      <c r="X1060" s="213" t="s">
        <v>425</v>
      </c>
    </row>
    <row r="1061" spans="1:24" x14ac:dyDescent="0.25">
      <c r="A1061" s="123" t="str">
        <f t="shared" si="359"/>
        <v>24530183754592419710964,2893071</v>
      </c>
      <c r="B1061" s="185">
        <f t="shared" si="360"/>
        <v>45986</v>
      </c>
      <c r="C1061" s="3">
        <f t="shared" si="361"/>
        <v>122442591.02231821</v>
      </c>
      <c r="D1061" s="204">
        <v>2024</v>
      </c>
      <c r="E1061" s="205">
        <v>2453018375</v>
      </c>
      <c r="F1061" s="206" t="s">
        <v>1774</v>
      </c>
      <c r="G1061" s="207">
        <v>7314957000</v>
      </c>
      <c r="H1061" s="207">
        <v>783745393</v>
      </c>
      <c r="I1061" s="208"/>
      <c r="J1061" s="216">
        <f t="shared" si="388"/>
        <v>0.12000000002449775</v>
      </c>
      <c r="K1061" s="207">
        <v>183969000</v>
      </c>
      <c r="L1061" s="210">
        <f t="shared" si="362"/>
        <v>19710964.289307099</v>
      </c>
      <c r="M1061" s="210">
        <v>0</v>
      </c>
      <c r="N1061" s="211">
        <f t="shared" si="389"/>
        <v>19710964.289307099</v>
      </c>
      <c r="O1061" s="212">
        <f t="shared" si="390"/>
        <v>7884386</v>
      </c>
      <c r="P1061" s="213" t="s">
        <v>706</v>
      </c>
      <c r="Q1061" s="204">
        <v>10104</v>
      </c>
      <c r="R1061" s="214">
        <f t="shared" si="391"/>
        <v>11826578.289307099</v>
      </c>
      <c r="S1061" s="204">
        <v>10105</v>
      </c>
      <c r="T1061" s="204">
        <v>2363</v>
      </c>
      <c r="U1061" s="204">
        <v>3539</v>
      </c>
      <c r="V1061" s="205" t="s">
        <v>261</v>
      </c>
      <c r="W1061" s="215">
        <v>45924</v>
      </c>
      <c r="X1061" s="213" t="s">
        <v>425</v>
      </c>
    </row>
    <row r="1062" spans="1:24" x14ac:dyDescent="0.25">
      <c r="A1062" s="123" t="str">
        <f t="shared" si="359"/>
        <v>29109082404592421229939</v>
      </c>
      <c r="B1062" s="185">
        <f t="shared" si="360"/>
        <v>45924</v>
      </c>
      <c r="C1062" s="3">
        <f t="shared" si="361"/>
        <v>21229939</v>
      </c>
      <c r="D1062" s="204">
        <v>2025</v>
      </c>
      <c r="E1062" s="205">
        <v>2910908240</v>
      </c>
      <c r="F1062" s="206" t="s">
        <v>1775</v>
      </c>
      <c r="G1062" s="207">
        <v>198146100</v>
      </c>
      <c r="H1062" s="207">
        <v>21229939</v>
      </c>
      <c r="I1062" s="208"/>
      <c r="J1062" s="216">
        <f t="shared" si="388"/>
        <v>0.11999999819123364</v>
      </c>
      <c r="K1062" s="207">
        <v>198146100</v>
      </c>
      <c r="L1062" s="210">
        <f t="shared" si="362"/>
        <v>21229939</v>
      </c>
      <c r="M1062" s="210">
        <v>0</v>
      </c>
      <c r="N1062" s="211">
        <f t="shared" si="389"/>
        <v>21229939</v>
      </c>
      <c r="O1062" s="212">
        <f t="shared" si="390"/>
        <v>8491976</v>
      </c>
      <c r="P1062" s="213" t="s">
        <v>706</v>
      </c>
      <c r="Q1062" s="204">
        <v>10138</v>
      </c>
      <c r="R1062" s="214">
        <f t="shared" si="391"/>
        <v>12737963</v>
      </c>
      <c r="S1062" s="204">
        <v>10138</v>
      </c>
      <c r="T1062" s="204">
        <v>2364</v>
      </c>
      <c r="U1062" s="204">
        <v>3540</v>
      </c>
      <c r="V1062" s="205" t="s">
        <v>261</v>
      </c>
      <c r="W1062" s="215">
        <v>45924</v>
      </c>
      <c r="X1062" s="213" t="s">
        <v>413</v>
      </c>
    </row>
    <row r="1063" spans="1:24" x14ac:dyDescent="0.25">
      <c r="A1063" s="123" t="str">
        <f t="shared" si="359"/>
        <v>29109082424592421291563</v>
      </c>
      <c r="B1063" s="185">
        <f t="shared" si="360"/>
        <v>45924</v>
      </c>
      <c r="C1063" s="3">
        <f t="shared" si="361"/>
        <v>21291563</v>
      </c>
      <c r="D1063" s="204">
        <v>2025</v>
      </c>
      <c r="E1063" s="205">
        <v>2910908242</v>
      </c>
      <c r="F1063" s="206" t="s">
        <v>1776</v>
      </c>
      <c r="G1063" s="207">
        <v>198721250</v>
      </c>
      <c r="H1063" s="207">
        <v>21291563</v>
      </c>
      <c r="I1063" s="208"/>
      <c r="J1063" s="216">
        <f t="shared" si="388"/>
        <v>0.12000000315617983</v>
      </c>
      <c r="K1063" s="207">
        <v>198721250</v>
      </c>
      <c r="L1063" s="210">
        <f t="shared" si="362"/>
        <v>21291563</v>
      </c>
      <c r="M1063" s="210">
        <v>0</v>
      </c>
      <c r="N1063" s="211">
        <f t="shared" si="389"/>
        <v>21291563</v>
      </c>
      <c r="O1063" s="212">
        <f t="shared" si="390"/>
        <v>8516625</v>
      </c>
      <c r="P1063" s="213" t="s">
        <v>706</v>
      </c>
      <c r="Q1063" s="204">
        <v>10140</v>
      </c>
      <c r="R1063" s="214">
        <f t="shared" si="391"/>
        <v>12774938</v>
      </c>
      <c r="S1063" s="204">
        <v>10141</v>
      </c>
      <c r="T1063" s="204">
        <v>2365</v>
      </c>
      <c r="U1063" s="204">
        <v>3541</v>
      </c>
      <c r="V1063" s="205" t="s">
        <v>261</v>
      </c>
      <c r="W1063" s="215">
        <v>45924</v>
      </c>
      <c r="X1063" s="213" t="s">
        <v>413</v>
      </c>
    </row>
    <row r="1064" spans="1:24" x14ac:dyDescent="0.25">
      <c r="A1064" s="123" t="str">
        <f t="shared" si="359"/>
        <v>2910908243459246441964</v>
      </c>
      <c r="B1064" s="185">
        <f t="shared" si="360"/>
        <v>45924</v>
      </c>
      <c r="C1064" s="3">
        <f t="shared" si="361"/>
        <v>6441964</v>
      </c>
      <c r="D1064" s="204">
        <v>2025</v>
      </c>
      <c r="E1064" s="205">
        <v>2910908243</v>
      </c>
      <c r="F1064" s="206" t="s">
        <v>1777</v>
      </c>
      <c r="G1064" s="207">
        <v>60125000</v>
      </c>
      <c r="H1064" s="207">
        <v>6441964</v>
      </c>
      <c r="I1064" s="208"/>
      <c r="J1064" s="216">
        <f t="shared" si="388"/>
        <v>0.11999999403908528</v>
      </c>
      <c r="K1064" s="207">
        <v>60125000</v>
      </c>
      <c r="L1064" s="210">
        <f t="shared" si="362"/>
        <v>6441964</v>
      </c>
      <c r="M1064" s="210">
        <v>0</v>
      </c>
      <c r="N1064" s="211">
        <f t="shared" si="389"/>
        <v>6441964</v>
      </c>
      <c r="O1064" s="212">
        <f t="shared" si="390"/>
        <v>2576786</v>
      </c>
      <c r="P1064" s="213" t="s">
        <v>706</v>
      </c>
      <c r="Q1064" s="204">
        <v>10142</v>
      </c>
      <c r="R1064" s="214">
        <f t="shared" si="391"/>
        <v>3865178</v>
      </c>
      <c r="S1064" s="204">
        <v>10143</v>
      </c>
      <c r="T1064" s="204">
        <v>2366</v>
      </c>
      <c r="U1064" s="204">
        <v>3542</v>
      </c>
      <c r="V1064" s="205" t="s">
        <v>261</v>
      </c>
      <c r="W1064" s="215">
        <v>45924</v>
      </c>
      <c r="X1064" s="213" t="s">
        <v>413</v>
      </c>
    </row>
    <row r="1065" spans="1:24" x14ac:dyDescent="0.25">
      <c r="A1065" s="123" t="str">
        <f t="shared" si="359"/>
        <v>24530183774592452969968,921243</v>
      </c>
      <c r="B1065" s="185">
        <f t="shared" si="360"/>
        <v>45957</v>
      </c>
      <c r="C1065" s="3">
        <f t="shared" si="361"/>
        <v>78767770.86178574</v>
      </c>
      <c r="D1065" s="204">
        <v>2025</v>
      </c>
      <c r="E1065" s="205">
        <v>2453018377</v>
      </c>
      <c r="F1065" s="206" t="s">
        <v>1738</v>
      </c>
      <c r="G1065" s="207">
        <v>1443523270</v>
      </c>
      <c r="H1065" s="207">
        <v>154663208</v>
      </c>
      <c r="I1065" s="208"/>
      <c r="J1065" s="216">
        <f t="shared" si="388"/>
        <v>0.12000000043449248</v>
      </c>
      <c r="K1065" s="207">
        <v>494386375</v>
      </c>
      <c r="L1065" s="210">
        <f t="shared" si="362"/>
        <v>52969968.921242952</v>
      </c>
      <c r="M1065" s="210">
        <v>35998076.687804267</v>
      </c>
      <c r="N1065" s="211">
        <f t="shared" si="389"/>
        <v>16971892.233438686</v>
      </c>
      <c r="O1065" s="212">
        <f t="shared" si="390"/>
        <v>6788757</v>
      </c>
      <c r="P1065" s="213" t="s">
        <v>706</v>
      </c>
      <c r="Q1065" s="204">
        <v>10108</v>
      </c>
      <c r="R1065" s="214">
        <f t="shared" si="391"/>
        <v>10183135.233438686</v>
      </c>
      <c r="S1065" s="204">
        <v>10109</v>
      </c>
      <c r="T1065" s="204">
        <v>2369</v>
      </c>
      <c r="U1065" s="204">
        <v>3545</v>
      </c>
      <c r="V1065" s="205" t="s">
        <v>261</v>
      </c>
      <c r="W1065" s="215">
        <v>45924</v>
      </c>
      <c r="X1065" s="213" t="s">
        <v>425</v>
      </c>
    </row>
    <row r="1066" spans="1:24" x14ac:dyDescent="0.25">
      <c r="A1066" s="123" t="str">
        <f t="shared" si="359"/>
        <v>24530183724592481403982,0434555</v>
      </c>
      <c r="B1066" s="185">
        <f t="shared" si="360"/>
        <v>45924</v>
      </c>
      <c r="C1066" s="3">
        <f t="shared" si="361"/>
        <v>81403982.043455452</v>
      </c>
      <c r="D1066" s="204">
        <v>2025</v>
      </c>
      <c r="E1066" s="205">
        <v>2453018372</v>
      </c>
      <c r="F1066" s="206" t="s">
        <v>1645</v>
      </c>
      <c r="G1066" s="207">
        <v>1417150530</v>
      </c>
      <c r="H1066" s="207">
        <v>151837557</v>
      </c>
      <c r="I1066" s="208"/>
      <c r="J1066" s="216">
        <f t="shared" si="388"/>
        <v>0.1200000001896764</v>
      </c>
      <c r="K1066" s="207">
        <v>759770498</v>
      </c>
      <c r="L1066" s="210">
        <f t="shared" si="362"/>
        <v>81403982.043455452</v>
      </c>
      <c r="M1066" s="210">
        <v>54784842.184459798</v>
      </c>
      <c r="N1066" s="211">
        <f t="shared" si="389"/>
        <v>26619139.858995654</v>
      </c>
      <c r="O1066" s="212">
        <f t="shared" si="390"/>
        <v>10647656</v>
      </c>
      <c r="P1066" s="213" t="s">
        <v>706</v>
      </c>
      <c r="Q1066" s="204">
        <v>10102</v>
      </c>
      <c r="R1066" s="214">
        <f t="shared" si="391"/>
        <v>15971483.858995654</v>
      </c>
      <c r="S1066" s="204">
        <v>10103</v>
      </c>
      <c r="T1066" s="204">
        <v>2367</v>
      </c>
      <c r="U1066" s="204">
        <v>3543</v>
      </c>
      <c r="V1066" s="205" t="s">
        <v>261</v>
      </c>
      <c r="W1066" s="215">
        <v>45924</v>
      </c>
      <c r="X1066" s="213" t="s">
        <v>425</v>
      </c>
    </row>
    <row r="1067" spans="1:24" s="217" customFormat="1" ht="12.6" customHeight="1" x14ac:dyDescent="0.25">
      <c r="A1067" s="123" t="str">
        <f t="shared" ref="A1067:A1102" si="392">_xlfn.CONCAT(E1067,W1067,L1067)</f>
        <v>2910907376459571648485490,89415</v>
      </c>
      <c r="B1067" s="185">
        <f t="shared" ref="B1067:B1102" si="393">_xlfn.MAXIFS(W:W,E:E,E1067)</f>
        <v>46007</v>
      </c>
      <c r="C1067" s="3">
        <f t="shared" ref="C1067:C1102" si="394">_xlfn.MAXIFS(L:L,E:E,E1067)</f>
        <v>1985646783.1418917</v>
      </c>
      <c r="D1067" s="222">
        <v>2025</v>
      </c>
      <c r="E1067" s="223">
        <v>2910907376</v>
      </c>
      <c r="F1067" s="224" t="s">
        <v>1630</v>
      </c>
      <c r="G1067" s="225">
        <v>19056054897</v>
      </c>
      <c r="H1067" s="225">
        <v>2041720168</v>
      </c>
      <c r="I1067" s="226"/>
      <c r="J1067" s="227">
        <f t="shared" si="388"/>
        <v>0.12000000003056246</v>
      </c>
      <c r="K1067" s="225">
        <v>15385864578.18</v>
      </c>
      <c r="L1067" s="228">
        <f t="shared" si="362"/>
        <v>1648485490.89415</v>
      </c>
      <c r="M1067" s="228">
        <v>1451458054.7036319</v>
      </c>
      <c r="N1067" s="229">
        <f t="shared" si="389"/>
        <v>197027436.19051814</v>
      </c>
      <c r="O1067" s="230">
        <f t="shared" si="390"/>
        <v>78810974</v>
      </c>
      <c r="P1067" s="231" t="s">
        <v>1829</v>
      </c>
      <c r="Q1067" s="222">
        <v>11904</v>
      </c>
      <c r="R1067" s="232">
        <f>+N1067-O1067</f>
        <v>118216462.19051814</v>
      </c>
      <c r="S1067" s="222">
        <v>11905</v>
      </c>
      <c r="T1067" s="222">
        <v>2628</v>
      </c>
      <c r="U1067" s="222">
        <v>3920</v>
      </c>
      <c r="V1067" s="223" t="s">
        <v>261</v>
      </c>
      <c r="W1067" s="233">
        <v>45957</v>
      </c>
      <c r="X1067" s="231" t="s">
        <v>1830</v>
      </c>
    </row>
    <row r="1068" spans="1:24" x14ac:dyDescent="0.25">
      <c r="A1068" s="123" t="str">
        <f t="shared" si="392"/>
        <v>291090640145957503702201,659324</v>
      </c>
      <c r="B1068" s="185">
        <f t="shared" si="393"/>
        <v>45957</v>
      </c>
      <c r="C1068" s="3">
        <f t="shared" si="394"/>
        <v>678878080.30633903</v>
      </c>
      <c r="D1068" s="222">
        <v>2025</v>
      </c>
      <c r="E1068" s="223">
        <v>2910906401</v>
      </c>
      <c r="F1068" s="224" t="s">
        <v>1635</v>
      </c>
      <c r="G1068" s="225">
        <v>6086762486</v>
      </c>
      <c r="H1068" s="225">
        <v>730411498</v>
      </c>
      <c r="I1068" s="226"/>
      <c r="J1068" s="226">
        <f t="shared" si="388"/>
        <v>0.13636363629574755</v>
      </c>
      <c r="K1068" s="225">
        <v>4197518349</v>
      </c>
      <c r="L1068" s="228">
        <f>+K1068/(1+J1068)*J1068</f>
        <v>503702201.65932351</v>
      </c>
      <c r="M1068" s="228">
        <v>347980613.75999999</v>
      </c>
      <c r="N1068" s="229">
        <f>+L1068-M1068</f>
        <v>155721587.89932352</v>
      </c>
      <c r="O1068" s="230">
        <f t="shared" si="390"/>
        <v>62288635</v>
      </c>
      <c r="P1068" s="231" t="s">
        <v>1829</v>
      </c>
      <c r="Q1068" s="222">
        <v>11894</v>
      </c>
      <c r="R1068" s="232">
        <f t="shared" ref="R1068:R1073" si="395">+N1068-O1068</f>
        <v>93432952.899323523</v>
      </c>
      <c r="S1068" s="222">
        <v>11895</v>
      </c>
      <c r="T1068" s="222">
        <v>2630</v>
      </c>
      <c r="U1068" s="222">
        <v>3921</v>
      </c>
      <c r="V1068" s="223" t="s">
        <v>261</v>
      </c>
      <c r="W1068" s="233">
        <v>45957</v>
      </c>
      <c r="X1068" s="231" t="s">
        <v>1831</v>
      </c>
    </row>
    <row r="1069" spans="1:24" x14ac:dyDescent="0.25">
      <c r="A1069" s="123" t="str">
        <f t="shared" si="392"/>
        <v>29109073804595798846170,9285714</v>
      </c>
      <c r="B1069" s="185">
        <f t="shared" si="393"/>
        <v>45986</v>
      </c>
      <c r="C1069" s="3">
        <f t="shared" si="394"/>
        <v>119383415.24999999</v>
      </c>
      <c r="D1069" s="222">
        <v>2025</v>
      </c>
      <c r="E1069" s="223">
        <v>2910907380</v>
      </c>
      <c r="F1069" s="224" t="s">
        <v>1667</v>
      </c>
      <c r="G1069" s="225">
        <v>1991969000</v>
      </c>
      <c r="H1069" s="225">
        <v>213425250</v>
      </c>
      <c r="I1069" s="226"/>
      <c r="J1069" s="226">
        <f t="shared" si="388"/>
        <v>0.12</v>
      </c>
      <c r="K1069" s="225">
        <v>922564262</v>
      </c>
      <c r="L1069" s="228">
        <f>+K1069/(1+J1069)*J1069</f>
        <v>98846170.928571418</v>
      </c>
      <c r="M1069" s="228">
        <v>51343110.857142851</v>
      </c>
      <c r="N1069" s="229">
        <f t="shared" ref="N1069" si="396">+L1069-M1069</f>
        <v>47503060.071428567</v>
      </c>
      <c r="O1069" s="230">
        <f t="shared" si="390"/>
        <v>19001224</v>
      </c>
      <c r="P1069" s="231" t="s">
        <v>1829</v>
      </c>
      <c r="Q1069" s="222">
        <v>11908</v>
      </c>
      <c r="R1069" s="232">
        <f t="shared" si="395"/>
        <v>28501836.071428567</v>
      </c>
      <c r="S1069" s="222">
        <v>11909</v>
      </c>
      <c r="T1069" s="222">
        <v>2631</v>
      </c>
      <c r="U1069" s="222">
        <v>3922</v>
      </c>
      <c r="V1069" s="223" t="s">
        <v>261</v>
      </c>
      <c r="W1069" s="233">
        <v>45957</v>
      </c>
      <c r="X1069" s="231" t="s">
        <v>1832</v>
      </c>
    </row>
    <row r="1070" spans="1:24" x14ac:dyDescent="0.25">
      <c r="A1070" s="123" t="str">
        <f t="shared" si="392"/>
        <v>29109073754595795206607,2019</v>
      </c>
      <c r="B1070" s="185">
        <f t="shared" si="393"/>
        <v>45986</v>
      </c>
      <c r="C1070" s="3">
        <f t="shared" si="394"/>
        <v>190344107.26089999</v>
      </c>
      <c r="D1070" s="222">
        <v>2024</v>
      </c>
      <c r="E1070" s="223">
        <v>2910907375</v>
      </c>
      <c r="F1070" s="224" t="s">
        <v>1744</v>
      </c>
      <c r="G1070" s="225">
        <v>2150000000</v>
      </c>
      <c r="H1070" s="225">
        <v>230357143</v>
      </c>
      <c r="I1070" s="226"/>
      <c r="J1070" s="226">
        <f t="shared" si="388"/>
        <v>0.12000000008334884</v>
      </c>
      <c r="K1070" s="225">
        <v>888595000</v>
      </c>
      <c r="L1070" s="228">
        <f>+K1070/(1+J1070)*J1070</f>
        <v>95206607.201900005</v>
      </c>
      <c r="M1070" s="228">
        <v>57301339.321250007</v>
      </c>
      <c r="N1070" s="229">
        <f>+L1070-M1070</f>
        <v>37905267.880649999</v>
      </c>
      <c r="O1070" s="230">
        <f>ROUND((N1070*40%),0)</f>
        <v>15162107</v>
      </c>
      <c r="P1070" s="231" t="s">
        <v>1829</v>
      </c>
      <c r="Q1070" s="222">
        <v>11902</v>
      </c>
      <c r="R1070" s="232">
        <f t="shared" si="395"/>
        <v>22743160.880649999</v>
      </c>
      <c r="S1070" s="222">
        <v>11903</v>
      </c>
      <c r="T1070" s="222">
        <v>2632</v>
      </c>
      <c r="U1070" s="222">
        <v>3923</v>
      </c>
      <c r="V1070" s="223" t="s">
        <v>261</v>
      </c>
      <c r="W1070" s="233">
        <v>45957</v>
      </c>
      <c r="X1070" s="231" t="s">
        <v>1833</v>
      </c>
    </row>
    <row r="1071" spans="1:24" x14ac:dyDescent="0.25">
      <c r="A1071" s="123" t="str">
        <f t="shared" si="392"/>
        <v>291090737445957128375268</v>
      </c>
      <c r="B1071" s="185">
        <f t="shared" si="393"/>
        <v>45957</v>
      </c>
      <c r="C1071" s="3">
        <f t="shared" si="394"/>
        <v>128375267.99999999</v>
      </c>
      <c r="D1071" s="222">
        <v>2025</v>
      </c>
      <c r="E1071" s="223">
        <v>2910907374</v>
      </c>
      <c r="F1071" s="224" t="s">
        <v>1674</v>
      </c>
      <c r="G1071" s="225">
        <v>1711670240</v>
      </c>
      <c r="H1071" s="225">
        <v>183393240</v>
      </c>
      <c r="I1071" s="226"/>
      <c r="J1071" s="226">
        <f t="shared" si="388"/>
        <v>0.12</v>
      </c>
      <c r="K1071" s="225">
        <v>1198169168</v>
      </c>
      <c r="L1071" s="228">
        <f t="shared" ref="L1071:L1075" si="397">+K1071/(1+J1071)*J1071</f>
        <v>128375267.99999999</v>
      </c>
      <c r="M1071" s="228">
        <v>91696619.999999985</v>
      </c>
      <c r="N1071" s="229">
        <f>+L1071-M1071</f>
        <v>36678648</v>
      </c>
      <c r="O1071" s="230">
        <f t="shared" ref="O1071:O1083" si="398">ROUND((N1071*40%),0)</f>
        <v>14671459</v>
      </c>
      <c r="P1071" s="231" t="s">
        <v>1829</v>
      </c>
      <c r="Q1071" s="222">
        <v>11900</v>
      </c>
      <c r="R1071" s="232">
        <f t="shared" si="395"/>
        <v>22007189</v>
      </c>
      <c r="S1071" s="222">
        <v>11901</v>
      </c>
      <c r="T1071" s="222">
        <v>2633</v>
      </c>
      <c r="U1071" s="222">
        <v>3924</v>
      </c>
      <c r="V1071" s="223" t="s">
        <v>261</v>
      </c>
      <c r="W1071" s="233">
        <v>45957</v>
      </c>
      <c r="X1071" s="231" t="s">
        <v>1834</v>
      </c>
    </row>
    <row r="1072" spans="1:24" x14ac:dyDescent="0.25">
      <c r="A1072" s="123" t="str">
        <f t="shared" si="392"/>
        <v>291090738345957386311308,290021</v>
      </c>
      <c r="B1072" s="185">
        <f t="shared" si="393"/>
        <v>45986</v>
      </c>
      <c r="C1072" s="3">
        <f t="shared" si="394"/>
        <v>479558865.43184918</v>
      </c>
      <c r="D1072" s="222">
        <v>2025</v>
      </c>
      <c r="E1072" s="223">
        <v>2910907383</v>
      </c>
      <c r="F1072" s="224" t="s">
        <v>1727</v>
      </c>
      <c r="G1072" s="225">
        <v>7178286833</v>
      </c>
      <c r="H1072" s="225">
        <v>769102161</v>
      </c>
      <c r="I1072" s="226"/>
      <c r="J1072" s="226">
        <f t="shared" si="388"/>
        <v>0.12000000005616938</v>
      </c>
      <c r="K1072" s="225">
        <v>3605572209.1999998</v>
      </c>
      <c r="L1072" s="228">
        <f t="shared" si="397"/>
        <v>386311308.2900213</v>
      </c>
      <c r="M1072" s="228">
        <v>293063750.81142855</v>
      </c>
      <c r="N1072" s="229">
        <f t="shared" ref="N1072" si="399">+L1072-M1072</f>
        <v>93247557.478592753</v>
      </c>
      <c r="O1072" s="230">
        <f t="shared" si="398"/>
        <v>37299023</v>
      </c>
      <c r="P1072" s="231" t="s">
        <v>1829</v>
      </c>
      <c r="Q1072" s="222">
        <v>11912</v>
      </c>
      <c r="R1072" s="232">
        <f t="shared" si="395"/>
        <v>55948534.478592753</v>
      </c>
      <c r="S1072" s="222">
        <v>11913</v>
      </c>
      <c r="T1072" s="222">
        <v>2634</v>
      </c>
      <c r="U1072" s="222">
        <v>3925</v>
      </c>
      <c r="V1072" s="223" t="s">
        <v>261</v>
      </c>
      <c r="W1072" s="233">
        <v>45957</v>
      </c>
      <c r="X1072" s="231" t="s">
        <v>1835</v>
      </c>
    </row>
    <row r="1073" spans="1:24" x14ac:dyDescent="0.25">
      <c r="A1073" s="123" t="str">
        <f t="shared" si="392"/>
        <v>29109073894595733028928,82</v>
      </c>
      <c r="B1073" s="185">
        <f t="shared" si="393"/>
        <v>45957</v>
      </c>
      <c r="C1073" s="3">
        <f t="shared" si="394"/>
        <v>33028928.82</v>
      </c>
      <c r="D1073" s="222">
        <v>2025</v>
      </c>
      <c r="E1073" s="223">
        <v>2910907389</v>
      </c>
      <c r="F1073" s="224" t="s">
        <v>1760</v>
      </c>
      <c r="G1073" s="225">
        <v>531500000</v>
      </c>
      <c r="H1073" s="225">
        <v>56946429</v>
      </c>
      <c r="I1073" s="226"/>
      <c r="J1073" s="226">
        <f t="shared" si="388"/>
        <v>0.12000000101147695</v>
      </c>
      <c r="K1073" s="225">
        <v>308270000</v>
      </c>
      <c r="L1073" s="228">
        <f t="shared" si="397"/>
        <v>33028928.82</v>
      </c>
      <c r="M1073" s="228">
        <v>14806071.539999999</v>
      </c>
      <c r="N1073" s="229">
        <f>+L1073-M1073</f>
        <v>18222857.280000001</v>
      </c>
      <c r="O1073" s="230">
        <f t="shared" si="398"/>
        <v>7289143</v>
      </c>
      <c r="P1073" s="231" t="s">
        <v>1829</v>
      </c>
      <c r="Q1073" s="222">
        <v>11914</v>
      </c>
      <c r="R1073" s="232">
        <f t="shared" si="395"/>
        <v>10933714.280000001</v>
      </c>
      <c r="S1073" s="222">
        <v>11915</v>
      </c>
      <c r="T1073" s="222">
        <v>2635</v>
      </c>
      <c r="U1073" s="222">
        <v>3926</v>
      </c>
      <c r="V1073" s="223" t="s">
        <v>261</v>
      </c>
      <c r="W1073" s="233">
        <v>45957</v>
      </c>
      <c r="X1073" s="231" t="s">
        <v>1836</v>
      </c>
    </row>
    <row r="1074" spans="1:24" x14ac:dyDescent="0.25">
      <c r="A1074" s="123" t="str">
        <f t="shared" si="392"/>
        <v>29209073724595761607143</v>
      </c>
      <c r="B1074" s="185">
        <f t="shared" si="393"/>
        <v>45957</v>
      </c>
      <c r="C1074" s="3">
        <f t="shared" si="394"/>
        <v>61607143</v>
      </c>
      <c r="D1074" s="222">
        <v>2024</v>
      </c>
      <c r="E1074" s="223">
        <v>2920907372</v>
      </c>
      <c r="F1074" s="224" t="s">
        <v>1657</v>
      </c>
      <c r="G1074" s="225">
        <v>1150000000</v>
      </c>
      <c r="H1074" s="225">
        <v>123214286</v>
      </c>
      <c r="I1074" s="226"/>
      <c r="J1074" s="226">
        <f t="shared" si="388"/>
        <v>0.12000000031165217</v>
      </c>
      <c r="K1074" s="225">
        <v>575000000</v>
      </c>
      <c r="L1074" s="228">
        <f t="shared" si="397"/>
        <v>61607143</v>
      </c>
      <c r="M1074" s="228">
        <v>36964285.799999997</v>
      </c>
      <c r="N1074" s="229">
        <f t="shared" ref="N1074" si="400">+L1074-M1074</f>
        <v>24642857.200000003</v>
      </c>
      <c r="O1074" s="230">
        <f t="shared" si="398"/>
        <v>9857143</v>
      </c>
      <c r="P1074" s="231" t="s">
        <v>1829</v>
      </c>
      <c r="Q1074" s="222">
        <v>11898</v>
      </c>
      <c r="R1074" s="232">
        <f>+N1074-O1074</f>
        <v>14785714.200000003</v>
      </c>
      <c r="S1074" s="222">
        <v>11899</v>
      </c>
      <c r="T1074" s="222">
        <v>2636</v>
      </c>
      <c r="U1074" s="222">
        <v>3927</v>
      </c>
      <c r="V1074" s="223" t="s">
        <v>261</v>
      </c>
      <c r="W1074" s="233">
        <v>45957</v>
      </c>
      <c r="X1074" s="231" t="s">
        <v>1837</v>
      </c>
    </row>
    <row r="1075" spans="1:24" x14ac:dyDescent="0.25">
      <c r="A1075" s="123" t="str">
        <f t="shared" si="392"/>
        <v>291090737045957102857142,8</v>
      </c>
      <c r="B1075" s="185">
        <f t="shared" si="393"/>
        <v>45957</v>
      </c>
      <c r="C1075" s="3">
        <f t="shared" si="394"/>
        <v>102857142.8</v>
      </c>
      <c r="D1075" s="222">
        <v>2024</v>
      </c>
      <c r="E1075" s="223">
        <v>2910907370</v>
      </c>
      <c r="F1075" s="224" t="s">
        <v>1654</v>
      </c>
      <c r="G1075" s="225">
        <v>2400000000</v>
      </c>
      <c r="H1075" s="225">
        <v>257142857</v>
      </c>
      <c r="I1075" s="226"/>
      <c r="J1075" s="226">
        <f t="shared" si="388"/>
        <v>0.11999999992533333</v>
      </c>
      <c r="K1075" s="225">
        <f>720000000+240000000</f>
        <v>960000000</v>
      </c>
      <c r="L1075" s="228">
        <f t="shared" si="397"/>
        <v>102857142.8</v>
      </c>
      <c r="M1075" s="228">
        <v>77142857.099999994</v>
      </c>
      <c r="N1075" s="229">
        <f>+L1075-M1075</f>
        <v>25714285.700000003</v>
      </c>
      <c r="O1075" s="230">
        <f t="shared" si="398"/>
        <v>10285714</v>
      </c>
      <c r="P1075" s="231" t="s">
        <v>1829</v>
      </c>
      <c r="Q1075" s="222">
        <v>11896</v>
      </c>
      <c r="R1075" s="232">
        <f t="shared" ref="R1075:R1095" si="401">+N1075-O1075</f>
        <v>15428571.700000003</v>
      </c>
      <c r="S1075" s="222">
        <v>11897</v>
      </c>
      <c r="T1075" s="222">
        <v>2637</v>
      </c>
      <c r="U1075" s="222">
        <v>3928</v>
      </c>
      <c r="V1075" s="223" t="s">
        <v>261</v>
      </c>
      <c r="W1075" s="233">
        <v>45957</v>
      </c>
      <c r="X1075" s="231" t="s">
        <v>1655</v>
      </c>
    </row>
    <row r="1076" spans="1:24" x14ac:dyDescent="0.25">
      <c r="A1076" s="123" t="str">
        <f t="shared" si="392"/>
        <v>291090737845957159036683,664286</v>
      </c>
      <c r="B1076" s="185">
        <f t="shared" si="393"/>
        <v>46007</v>
      </c>
      <c r="C1076" s="3">
        <f t="shared" si="394"/>
        <v>198795855.14285716</v>
      </c>
      <c r="D1076" s="222">
        <v>2025</v>
      </c>
      <c r="E1076" s="223">
        <v>2910907378</v>
      </c>
      <c r="F1076" s="224" t="s">
        <v>1672</v>
      </c>
      <c r="G1076" s="225">
        <v>3710855946</v>
      </c>
      <c r="H1076" s="225">
        <v>397591709</v>
      </c>
      <c r="I1076" s="226"/>
      <c r="J1076" s="226">
        <f t="shared" si="388"/>
        <v>0.12000000016901761</v>
      </c>
      <c r="K1076" s="225">
        <v>1484342379</v>
      </c>
      <c r="L1076" s="228">
        <f>+K1076/(1+J1076)*J1076</f>
        <v>159036683.66428572</v>
      </c>
      <c r="M1076" s="228">
        <v>119277512.72142901</v>
      </c>
      <c r="N1076" s="229">
        <f t="shared" ref="N1076" si="402">+L1076-M1076</f>
        <v>39759170.942856714</v>
      </c>
      <c r="O1076" s="230">
        <f t="shared" si="398"/>
        <v>15903668</v>
      </c>
      <c r="P1076" s="231" t="s">
        <v>1829</v>
      </c>
      <c r="Q1076" s="222">
        <v>11906</v>
      </c>
      <c r="R1076" s="232">
        <f t="shared" si="401"/>
        <v>23855502.942856714</v>
      </c>
      <c r="S1076" s="222">
        <v>11907</v>
      </c>
      <c r="T1076" s="222">
        <v>2638</v>
      </c>
      <c r="U1076" s="222">
        <v>3929</v>
      </c>
      <c r="V1076" s="223" t="s">
        <v>261</v>
      </c>
      <c r="W1076" s="233">
        <v>45957</v>
      </c>
      <c r="X1076" s="231" t="s">
        <v>1673</v>
      </c>
    </row>
    <row r="1077" spans="1:24" x14ac:dyDescent="0.25">
      <c r="A1077" s="123" t="str">
        <f t="shared" si="392"/>
        <v>29109073814595768935714,2857143</v>
      </c>
      <c r="B1077" s="185">
        <f t="shared" si="393"/>
        <v>45957</v>
      </c>
      <c r="C1077" s="3">
        <f t="shared" si="394"/>
        <v>68935714.285714269</v>
      </c>
      <c r="D1077" s="222">
        <v>2025</v>
      </c>
      <c r="E1077" s="223">
        <v>2910907381</v>
      </c>
      <c r="F1077" s="224" t="s">
        <v>1670</v>
      </c>
      <c r="G1077" s="225">
        <v>1043420000</v>
      </c>
      <c r="H1077" s="225">
        <v>111795000</v>
      </c>
      <c r="I1077" s="226"/>
      <c r="J1077" s="226">
        <f t="shared" si="388"/>
        <v>0.12</v>
      </c>
      <c r="K1077" s="225">
        <v>643400000</v>
      </c>
      <c r="L1077" s="228">
        <f t="shared" ref="L1077:L1082" si="403">+K1077/(1+J1077)*J1077</f>
        <v>68935714.285714269</v>
      </c>
      <c r="M1077" s="228">
        <v>48257143.042022847</v>
      </c>
      <c r="N1077" s="229">
        <f>+L1077-M1077</f>
        <v>20678571.243691422</v>
      </c>
      <c r="O1077" s="230">
        <f t="shared" si="398"/>
        <v>8271428</v>
      </c>
      <c r="P1077" s="231" t="s">
        <v>1829</v>
      </c>
      <c r="Q1077" s="222">
        <v>11910</v>
      </c>
      <c r="R1077" s="232">
        <f t="shared" si="401"/>
        <v>12407143.243691422</v>
      </c>
      <c r="S1077" s="222">
        <v>11911</v>
      </c>
      <c r="T1077" s="222">
        <v>2639</v>
      </c>
      <c r="U1077" s="222">
        <v>3930</v>
      </c>
      <c r="V1077" s="223" t="s">
        <v>261</v>
      </c>
      <c r="W1077" s="233">
        <v>45957</v>
      </c>
      <c r="X1077" s="231" t="s">
        <v>1838</v>
      </c>
    </row>
    <row r="1078" spans="1:24" x14ac:dyDescent="0.25">
      <c r="A1078" s="123" t="str">
        <f t="shared" si="392"/>
        <v>24530183774595778767770,8617857</v>
      </c>
      <c r="B1078" s="185">
        <f t="shared" si="393"/>
        <v>45957</v>
      </c>
      <c r="C1078" s="3">
        <f t="shared" si="394"/>
        <v>78767770.86178574</v>
      </c>
      <c r="D1078" s="222">
        <v>2025</v>
      </c>
      <c r="E1078" s="223">
        <v>2453018377</v>
      </c>
      <c r="F1078" s="224" t="s">
        <v>1738</v>
      </c>
      <c r="G1078" s="225">
        <v>1443523270</v>
      </c>
      <c r="H1078" s="225">
        <v>154663208</v>
      </c>
      <c r="I1078" s="226"/>
      <c r="J1078" s="226">
        <f t="shared" si="388"/>
        <v>0.12000000043449248</v>
      </c>
      <c r="K1078" s="225">
        <v>735165859</v>
      </c>
      <c r="L1078" s="228">
        <f t="shared" si="403"/>
        <v>78767770.86178574</v>
      </c>
      <c r="M1078" s="228">
        <v>52969968.921242997</v>
      </c>
      <c r="N1078" s="229">
        <f t="shared" ref="N1078:N1086" si="404">+L1078-M1078</f>
        <v>25797801.940542743</v>
      </c>
      <c r="O1078" s="230">
        <f t="shared" si="398"/>
        <v>10319121</v>
      </c>
      <c r="P1078" s="231" t="s">
        <v>1829</v>
      </c>
      <c r="Q1078" s="222">
        <v>11886</v>
      </c>
      <c r="R1078" s="232">
        <f t="shared" si="401"/>
        <v>15478680.940542743</v>
      </c>
      <c r="S1078" s="222">
        <v>11887</v>
      </c>
      <c r="T1078" s="222">
        <v>2640</v>
      </c>
      <c r="U1078" s="222">
        <v>3931</v>
      </c>
      <c r="V1078" s="223" t="s">
        <v>261</v>
      </c>
      <c r="W1078" s="233">
        <v>45957</v>
      </c>
      <c r="X1078" s="231" t="s">
        <v>425</v>
      </c>
    </row>
    <row r="1079" spans="1:24" x14ac:dyDescent="0.25">
      <c r="A1079" s="123" t="str">
        <f t="shared" si="392"/>
        <v>245301837145957213469956,633462</v>
      </c>
      <c r="B1079" s="185">
        <f t="shared" si="393"/>
        <v>45957</v>
      </c>
      <c r="C1079" s="3">
        <f t="shared" si="394"/>
        <v>213469956.63346189</v>
      </c>
      <c r="D1079" s="222">
        <v>2024</v>
      </c>
      <c r="E1079" s="223">
        <v>2453018371</v>
      </c>
      <c r="F1079" s="224" t="s">
        <v>1644</v>
      </c>
      <c r="G1079" s="225">
        <v>2206796261</v>
      </c>
      <c r="H1079" s="225">
        <v>236442457</v>
      </c>
      <c r="I1079" s="226"/>
      <c r="J1079" s="226">
        <f t="shared" si="388"/>
        <v>0.120000000263912</v>
      </c>
      <c r="K1079" s="225">
        <v>1992386258</v>
      </c>
      <c r="L1079" s="228">
        <f t="shared" si="403"/>
        <v>213469956.63346189</v>
      </c>
      <c r="M1079" s="228">
        <v>180413391.56855103</v>
      </c>
      <c r="N1079" s="229">
        <f t="shared" si="404"/>
        <v>33056565.064910859</v>
      </c>
      <c r="O1079" s="230">
        <f t="shared" si="398"/>
        <v>13222626</v>
      </c>
      <c r="P1079" s="231" t="s">
        <v>1829</v>
      </c>
      <c r="Q1079" s="222">
        <v>11884</v>
      </c>
      <c r="R1079" s="232">
        <f t="shared" si="401"/>
        <v>19833939.064910859</v>
      </c>
      <c r="S1079" s="222">
        <v>11885</v>
      </c>
      <c r="T1079" s="222">
        <v>2641</v>
      </c>
      <c r="U1079" s="222">
        <v>3932</v>
      </c>
      <c r="V1079" s="223" t="s">
        <v>261</v>
      </c>
      <c r="W1079" s="233">
        <v>45957</v>
      </c>
      <c r="X1079" s="231" t="s">
        <v>425</v>
      </c>
    </row>
    <row r="1080" spans="1:24" x14ac:dyDescent="0.25">
      <c r="A1080" s="123" t="str">
        <f t="shared" si="392"/>
        <v>24530183814595711337857,2528</v>
      </c>
      <c r="B1080" s="185">
        <f t="shared" si="393"/>
        <v>45957</v>
      </c>
      <c r="C1080" s="3">
        <f t="shared" si="394"/>
        <v>11337857.252800001</v>
      </c>
      <c r="D1080" s="222">
        <v>2025</v>
      </c>
      <c r="E1080" s="223">
        <v>2453018381</v>
      </c>
      <c r="F1080" s="224" t="s">
        <v>1813</v>
      </c>
      <c r="G1080" s="225">
        <v>275000000</v>
      </c>
      <c r="H1080" s="225">
        <v>29464286</v>
      </c>
      <c r="I1080" s="226"/>
      <c r="J1080" s="226">
        <f t="shared" si="388"/>
        <v>0.12000000130327274</v>
      </c>
      <c r="K1080" s="225">
        <v>105820000</v>
      </c>
      <c r="L1080" s="228">
        <f t="shared" si="403"/>
        <v>11337857.252800001</v>
      </c>
      <c r="M1080" s="228">
        <v>0</v>
      </c>
      <c r="N1080" s="229">
        <f t="shared" si="404"/>
        <v>11337857.252800001</v>
      </c>
      <c r="O1080" s="230">
        <f t="shared" si="398"/>
        <v>4535143</v>
      </c>
      <c r="P1080" s="231" t="s">
        <v>1829</v>
      </c>
      <c r="Q1080" s="222">
        <v>11890</v>
      </c>
      <c r="R1080" s="232">
        <f t="shared" si="401"/>
        <v>6802714.2528000008</v>
      </c>
      <c r="S1080" s="222">
        <v>11891</v>
      </c>
      <c r="T1080" s="222">
        <v>2642</v>
      </c>
      <c r="U1080" s="222">
        <v>3933</v>
      </c>
      <c r="V1080" s="223" t="s">
        <v>261</v>
      </c>
      <c r="W1080" s="233">
        <v>45957</v>
      </c>
      <c r="X1080" s="231" t="s">
        <v>425</v>
      </c>
    </row>
    <row r="1081" spans="1:24" x14ac:dyDescent="0.25">
      <c r="A1081" s="123" t="str">
        <f t="shared" si="392"/>
        <v>2453018380459575267759,72162754</v>
      </c>
      <c r="B1081" s="185">
        <f t="shared" si="393"/>
        <v>45957</v>
      </c>
      <c r="C1081" s="3">
        <f t="shared" si="394"/>
        <v>5267759.7216275427</v>
      </c>
      <c r="D1081" s="222">
        <v>2025</v>
      </c>
      <c r="E1081" s="223">
        <v>2453018380</v>
      </c>
      <c r="F1081" s="224" t="s">
        <v>1814</v>
      </c>
      <c r="G1081" s="225">
        <v>374100000</v>
      </c>
      <c r="H1081" s="225">
        <v>40082144</v>
      </c>
      <c r="I1081" s="226"/>
      <c r="J1081" s="226">
        <f t="shared" si="388"/>
        <v>0.12000000383213046</v>
      </c>
      <c r="K1081" s="225">
        <v>49165756</v>
      </c>
      <c r="L1081" s="228">
        <f t="shared" si="403"/>
        <v>5267759.7216275427</v>
      </c>
      <c r="M1081" s="228">
        <v>0</v>
      </c>
      <c r="N1081" s="229">
        <f t="shared" si="404"/>
        <v>5267759.7216275427</v>
      </c>
      <c r="O1081" s="230">
        <f t="shared" si="398"/>
        <v>2107104</v>
      </c>
      <c r="P1081" s="231" t="s">
        <v>1829</v>
      </c>
      <c r="Q1081" s="222">
        <v>11888</v>
      </c>
      <c r="R1081" s="232">
        <f t="shared" si="401"/>
        <v>3160655.7216275427</v>
      </c>
      <c r="S1081" s="222">
        <v>11889</v>
      </c>
      <c r="T1081" s="222">
        <v>2643</v>
      </c>
      <c r="U1081" s="222">
        <v>3934</v>
      </c>
      <c r="V1081" s="223" t="s">
        <v>261</v>
      </c>
      <c r="W1081" s="233">
        <v>45957</v>
      </c>
      <c r="X1081" s="231" t="s">
        <v>425</v>
      </c>
    </row>
    <row r="1082" spans="1:24" x14ac:dyDescent="0.25">
      <c r="A1082" s="123" t="str">
        <f t="shared" si="392"/>
        <v>24530183824595719827321,4285714</v>
      </c>
      <c r="B1082" s="185">
        <f t="shared" si="393"/>
        <v>45957</v>
      </c>
      <c r="C1082" s="3">
        <f t="shared" si="394"/>
        <v>19827321.428571429</v>
      </c>
      <c r="D1082" s="222">
        <v>2025</v>
      </c>
      <c r="E1082" s="223">
        <v>2453018382</v>
      </c>
      <c r="F1082" s="224" t="s">
        <v>1815</v>
      </c>
      <c r="G1082" s="225">
        <v>207261600</v>
      </c>
      <c r="H1082" s="225">
        <v>22206600</v>
      </c>
      <c r="I1082" s="226"/>
      <c r="J1082" s="226">
        <f t="shared" si="388"/>
        <v>0.12</v>
      </c>
      <c r="K1082" s="225">
        <v>185055000</v>
      </c>
      <c r="L1082" s="228">
        <f t="shared" si="403"/>
        <v>19827321.428571429</v>
      </c>
      <c r="M1082" s="228">
        <v>0</v>
      </c>
      <c r="N1082" s="229">
        <f t="shared" si="404"/>
        <v>19827321.428571429</v>
      </c>
      <c r="O1082" s="230">
        <f t="shared" si="398"/>
        <v>7930929</v>
      </c>
      <c r="P1082" s="231" t="s">
        <v>1829</v>
      </c>
      <c r="Q1082" s="222">
        <v>11892</v>
      </c>
      <c r="R1082" s="232">
        <f t="shared" si="401"/>
        <v>11896392.428571429</v>
      </c>
      <c r="S1082" s="222">
        <v>11893</v>
      </c>
      <c r="T1082" s="222">
        <v>2644</v>
      </c>
      <c r="U1082" s="222">
        <v>3935</v>
      </c>
      <c r="V1082" s="223" t="s">
        <v>261</v>
      </c>
      <c r="W1082" s="233">
        <v>45957</v>
      </c>
      <c r="X1082" s="231" t="s">
        <v>425</v>
      </c>
    </row>
    <row r="1083" spans="1:24" x14ac:dyDescent="0.25">
      <c r="A1083" s="123" t="str">
        <f t="shared" si="392"/>
        <v>245301838345982170563268,478142</v>
      </c>
      <c r="B1083" s="185">
        <f t="shared" si="393"/>
        <v>46007</v>
      </c>
      <c r="C1083" s="3">
        <f t="shared" si="394"/>
        <v>291968134.20912796</v>
      </c>
      <c r="D1083" s="222">
        <v>2025</v>
      </c>
      <c r="E1083" s="223">
        <v>2453018383</v>
      </c>
      <c r="F1083" s="224" t="s">
        <v>1816</v>
      </c>
      <c r="G1083" s="225">
        <v>10000000000</v>
      </c>
      <c r="H1083" s="225">
        <v>825688073</v>
      </c>
      <c r="I1083" s="226"/>
      <c r="J1083" s="226">
        <f t="shared" si="388"/>
        <v>8.9999999953130003E-2</v>
      </c>
      <c r="K1083" s="225">
        <v>2065710697</v>
      </c>
      <c r="L1083" s="228">
        <f>+K1083/(1+J1083)*J1083</f>
        <v>170563268.4781417</v>
      </c>
      <c r="M1083" s="228">
        <v>0</v>
      </c>
      <c r="N1083" s="229">
        <f>+L1083-M1083</f>
        <v>170563268.4781417</v>
      </c>
      <c r="O1083" s="230">
        <f t="shared" si="398"/>
        <v>68225307</v>
      </c>
      <c r="P1083" s="231" t="s">
        <v>1829</v>
      </c>
      <c r="Q1083" s="222">
        <v>13231</v>
      </c>
      <c r="R1083" s="232">
        <f t="shared" si="401"/>
        <v>102337961.4781417</v>
      </c>
      <c r="S1083" s="222">
        <v>13232</v>
      </c>
      <c r="T1083" s="222">
        <v>2982</v>
      </c>
      <c r="U1083" s="222">
        <v>4415</v>
      </c>
      <c r="V1083" s="223" t="s">
        <v>261</v>
      </c>
      <c r="W1083" s="233">
        <v>45982</v>
      </c>
      <c r="X1083" s="231" t="s">
        <v>1839</v>
      </c>
    </row>
    <row r="1084" spans="1:24" x14ac:dyDescent="0.25">
      <c r="A1084" s="123" t="str">
        <f t="shared" si="392"/>
        <v>291090737545986190344107,2609</v>
      </c>
      <c r="B1084" s="185">
        <f t="shared" si="393"/>
        <v>45986</v>
      </c>
      <c r="C1084" s="3">
        <f t="shared" si="394"/>
        <v>190344107.26089999</v>
      </c>
      <c r="D1084" s="222">
        <v>2024</v>
      </c>
      <c r="E1084" s="223">
        <v>2910907375</v>
      </c>
      <c r="F1084" s="224" t="s">
        <v>1744</v>
      </c>
      <c r="G1084" s="225">
        <v>2150000000</v>
      </c>
      <c r="H1084" s="225">
        <v>230357143</v>
      </c>
      <c r="I1084" s="226"/>
      <c r="J1084" s="226">
        <f t="shared" si="388"/>
        <v>0.12000000008334884</v>
      </c>
      <c r="K1084" s="225">
        <v>1776545000</v>
      </c>
      <c r="L1084" s="228">
        <f>+K1084/(1+J1084)*J1084</f>
        <v>190344107.26089999</v>
      </c>
      <c r="M1084" s="228">
        <v>95206607.201900005</v>
      </c>
      <c r="N1084" s="229">
        <f t="shared" si="404"/>
        <v>95137500.058999985</v>
      </c>
      <c r="O1084" s="230">
        <f>ROUND((N1084*40%),0)</f>
        <v>38055000</v>
      </c>
      <c r="P1084" s="231" t="s">
        <v>1829</v>
      </c>
      <c r="Q1084" s="222">
        <v>13243</v>
      </c>
      <c r="R1084" s="232">
        <f t="shared" si="401"/>
        <v>57082500.058999985</v>
      </c>
      <c r="S1084" s="222">
        <v>13244</v>
      </c>
      <c r="T1084" s="222">
        <v>2990</v>
      </c>
      <c r="U1084" s="222">
        <v>4426</v>
      </c>
      <c r="V1084" s="223" t="s">
        <v>261</v>
      </c>
      <c r="W1084" s="233">
        <v>45986</v>
      </c>
      <c r="X1084" s="231" t="s">
        <v>1840</v>
      </c>
    </row>
    <row r="1085" spans="1:24" x14ac:dyDescent="0.25">
      <c r="A1085" s="123" t="str">
        <f t="shared" si="392"/>
        <v>291090733345986344824913,208039</v>
      </c>
      <c r="B1085" s="185">
        <f t="shared" si="393"/>
        <v>45986</v>
      </c>
      <c r="C1085" s="3">
        <f t="shared" si="394"/>
        <v>344824913.20803922</v>
      </c>
      <c r="D1085" s="222">
        <v>2025</v>
      </c>
      <c r="E1085" s="223">
        <v>2910907333</v>
      </c>
      <c r="F1085" s="224" t="s">
        <v>1640</v>
      </c>
      <c r="G1085" s="225">
        <v>4000000000</v>
      </c>
      <c r="H1085" s="225">
        <v>428571429</v>
      </c>
      <c r="I1085" s="226"/>
      <c r="J1085" s="226">
        <f t="shared" si="388"/>
        <v>0.1200000001344</v>
      </c>
      <c r="K1085" s="225">
        <v>3218365853.3899999</v>
      </c>
      <c r="L1085" s="228">
        <f>+K1085/(1+J1085)*J1085</f>
        <v>344824913.20803922</v>
      </c>
      <c r="M1085" s="228">
        <v>280493179.67335033</v>
      </c>
      <c r="N1085" s="229">
        <f t="shared" si="404"/>
        <v>64331733.53468889</v>
      </c>
      <c r="O1085" s="230">
        <f t="shared" ref="O1085:O1095" si="405">ROUND((N1085*40%),0)</f>
        <v>25732693</v>
      </c>
      <c r="P1085" s="231" t="s">
        <v>1829</v>
      </c>
      <c r="Q1085" s="222">
        <v>13241</v>
      </c>
      <c r="R1085" s="232">
        <f t="shared" si="401"/>
        <v>38599040.53468889</v>
      </c>
      <c r="S1085" s="222">
        <v>13242</v>
      </c>
      <c r="T1085" s="222">
        <v>2991</v>
      </c>
      <c r="U1085" s="222">
        <v>4427</v>
      </c>
      <c r="V1085" s="223" t="s">
        <v>261</v>
      </c>
      <c r="W1085" s="233">
        <v>45986</v>
      </c>
      <c r="X1085" s="231" t="s">
        <v>1841</v>
      </c>
    </row>
    <row r="1086" spans="1:24" x14ac:dyDescent="0.25">
      <c r="A1086" s="123" t="str">
        <f t="shared" si="392"/>
        <v>291090738345986479558865,431849</v>
      </c>
      <c r="B1086" s="185">
        <f t="shared" si="393"/>
        <v>45986</v>
      </c>
      <c r="C1086" s="3">
        <f t="shared" si="394"/>
        <v>479558865.43184918</v>
      </c>
      <c r="D1086" s="222">
        <v>2025</v>
      </c>
      <c r="E1086" s="223">
        <v>2910907383</v>
      </c>
      <c r="F1086" s="224" t="s">
        <v>1727</v>
      </c>
      <c r="G1086" s="225">
        <v>7178286833</v>
      </c>
      <c r="H1086" s="225">
        <v>769102161</v>
      </c>
      <c r="I1086" s="226"/>
      <c r="J1086" s="226">
        <f t="shared" si="388"/>
        <v>0.12000000005616938</v>
      </c>
      <c r="K1086" s="225">
        <v>4475882742.1599998</v>
      </c>
      <c r="L1086" s="228">
        <f>+K1086/(1+J1086)*J1086</f>
        <v>479558865.43184918</v>
      </c>
      <c r="M1086" s="228">
        <v>386311308.2900213</v>
      </c>
      <c r="N1086" s="229">
        <f t="shared" si="404"/>
        <v>93247557.141827881</v>
      </c>
      <c r="O1086" s="230">
        <f t="shared" si="405"/>
        <v>37299023</v>
      </c>
      <c r="P1086" s="231" t="s">
        <v>1829</v>
      </c>
      <c r="Q1086" s="222">
        <v>13249</v>
      </c>
      <c r="R1086" s="232">
        <f t="shared" si="401"/>
        <v>55948534.141827881</v>
      </c>
      <c r="S1086" s="222">
        <v>13250</v>
      </c>
      <c r="T1086" s="222">
        <v>2992</v>
      </c>
      <c r="U1086" s="222">
        <v>4428</v>
      </c>
      <c r="V1086" s="223" t="s">
        <v>261</v>
      </c>
      <c r="W1086" s="233">
        <v>45986</v>
      </c>
      <c r="X1086" s="231" t="s">
        <v>1842</v>
      </c>
    </row>
    <row r="1087" spans="1:24" x14ac:dyDescent="0.25">
      <c r="A1087" s="123" t="str">
        <f t="shared" si="392"/>
        <v>29109073824598671357142,8143672</v>
      </c>
      <c r="B1087" s="185">
        <f t="shared" si="393"/>
        <v>45986</v>
      </c>
      <c r="C1087" s="3">
        <f t="shared" si="394"/>
        <v>71357142.81436719</v>
      </c>
      <c r="D1087" s="222">
        <v>2025</v>
      </c>
      <c r="E1087" s="223">
        <v>2910907382</v>
      </c>
      <c r="F1087" s="224" t="s">
        <v>1769</v>
      </c>
      <c r="G1087" s="225">
        <v>1668171429</v>
      </c>
      <c r="H1087" s="225">
        <v>178732653</v>
      </c>
      <c r="I1087" s="226"/>
      <c r="J1087" s="226">
        <f t="shared" si="388"/>
        <v>0.11999999991943273</v>
      </c>
      <c r="K1087" s="225">
        <v>666000000</v>
      </c>
      <c r="L1087" s="228">
        <f>+K1087/(1+J1087)*J1087</f>
        <v>71357142.81436719</v>
      </c>
      <c r="M1087" s="228">
        <v>31111714.12879239</v>
      </c>
      <c r="N1087" s="229">
        <f>+L1087-M1087</f>
        <v>40245428.6855748</v>
      </c>
      <c r="O1087" s="230">
        <f t="shared" si="405"/>
        <v>16098171</v>
      </c>
      <c r="P1087" s="231" t="s">
        <v>1829</v>
      </c>
      <c r="Q1087" s="222">
        <v>13247</v>
      </c>
      <c r="R1087" s="232">
        <f t="shared" si="401"/>
        <v>24147257.6855748</v>
      </c>
      <c r="S1087" s="222">
        <v>13248</v>
      </c>
      <c r="T1087" s="222">
        <v>2993</v>
      </c>
      <c r="U1087" s="222">
        <v>4429</v>
      </c>
      <c r="V1087" s="223" t="s">
        <v>261</v>
      </c>
      <c r="W1087" s="233">
        <v>45986</v>
      </c>
      <c r="X1087" s="231" t="s">
        <v>1843</v>
      </c>
    </row>
    <row r="1088" spans="1:24" x14ac:dyDescent="0.25">
      <c r="A1088" s="123" t="str">
        <f t="shared" si="392"/>
        <v>29109074034598631505773,5571429</v>
      </c>
      <c r="B1088" s="185">
        <f t="shared" si="393"/>
        <v>45986</v>
      </c>
      <c r="C1088" s="3">
        <f t="shared" si="394"/>
        <v>31505773.557142857</v>
      </c>
      <c r="D1088" s="222">
        <v>2025</v>
      </c>
      <c r="E1088" s="223">
        <v>2910907403</v>
      </c>
      <c r="F1088" s="224" t="s">
        <v>1817</v>
      </c>
      <c r="G1088" s="225">
        <v>735134716</v>
      </c>
      <c r="H1088" s="225">
        <v>78764434</v>
      </c>
      <c r="I1088" s="226"/>
      <c r="J1088" s="226">
        <f t="shared" si="388"/>
        <v>0.12000000024376485</v>
      </c>
      <c r="K1088" s="225">
        <v>294053886</v>
      </c>
      <c r="L1088" s="228">
        <f t="shared" ref="L1088:L1095" si="406">+K1088/(1+J1088)*J1088</f>
        <v>31505773.557142857</v>
      </c>
      <c r="M1088" s="228">
        <v>0</v>
      </c>
      <c r="N1088" s="229">
        <f>+L1088-M1088</f>
        <v>31505773.557142857</v>
      </c>
      <c r="O1088" s="230">
        <f t="shared" si="405"/>
        <v>12602309</v>
      </c>
      <c r="P1088" s="231" t="s">
        <v>1829</v>
      </c>
      <c r="Q1088" s="222">
        <v>13253</v>
      </c>
      <c r="R1088" s="232">
        <f t="shared" si="401"/>
        <v>18903464.557142857</v>
      </c>
      <c r="S1088" s="222">
        <v>13254</v>
      </c>
      <c r="T1088" s="222">
        <v>2994</v>
      </c>
      <c r="U1088" s="222">
        <v>4430</v>
      </c>
      <c r="V1088" s="223" t="s">
        <v>261</v>
      </c>
      <c r="W1088" s="233">
        <v>45986</v>
      </c>
      <c r="X1088" s="231" t="s">
        <v>1844</v>
      </c>
    </row>
    <row r="1089" spans="1:24" x14ac:dyDescent="0.25">
      <c r="A1089" s="123" t="str">
        <f t="shared" si="392"/>
        <v>29109073964598657837214,176846</v>
      </c>
      <c r="B1089" s="185">
        <f t="shared" si="393"/>
        <v>45986</v>
      </c>
      <c r="C1089" s="3">
        <f t="shared" si="394"/>
        <v>57837214.17684602</v>
      </c>
      <c r="D1089" s="222">
        <v>2025</v>
      </c>
      <c r="E1089" s="223">
        <v>2910907396</v>
      </c>
      <c r="F1089" s="224" t="s">
        <v>1818</v>
      </c>
      <c r="G1089" s="225">
        <v>1416690000</v>
      </c>
      <c r="H1089" s="225">
        <v>151788214</v>
      </c>
      <c r="I1089" s="226"/>
      <c r="J1089" s="226">
        <f t="shared" si="388"/>
        <v>0.11999999974701593</v>
      </c>
      <c r="K1089" s="225">
        <v>539814000</v>
      </c>
      <c r="L1089" s="228">
        <f t="shared" si="406"/>
        <v>57837214.17684602</v>
      </c>
      <c r="M1089" s="228">
        <v>0</v>
      </c>
      <c r="N1089" s="229">
        <f>+L1089-M1089</f>
        <v>57837214.17684602</v>
      </c>
      <c r="O1089" s="230">
        <f t="shared" si="405"/>
        <v>23134886</v>
      </c>
      <c r="P1089" s="231" t="s">
        <v>1829</v>
      </c>
      <c r="Q1089" s="222">
        <v>13251</v>
      </c>
      <c r="R1089" s="232">
        <f t="shared" si="401"/>
        <v>34702328.17684602</v>
      </c>
      <c r="S1089" s="222">
        <v>13252</v>
      </c>
      <c r="T1089" s="222">
        <v>2995</v>
      </c>
      <c r="U1089" s="222">
        <v>4431</v>
      </c>
      <c r="V1089" s="223" t="s">
        <v>261</v>
      </c>
      <c r="W1089" s="233">
        <v>45986</v>
      </c>
      <c r="X1089" s="231" t="s">
        <v>1845</v>
      </c>
    </row>
    <row r="1090" spans="1:24" x14ac:dyDescent="0.25">
      <c r="A1090" s="123" t="str">
        <f t="shared" si="392"/>
        <v>29109074114598639674999,7</v>
      </c>
      <c r="B1090" s="185">
        <f t="shared" si="393"/>
        <v>45986</v>
      </c>
      <c r="C1090" s="3">
        <f t="shared" si="394"/>
        <v>39674999.700000003</v>
      </c>
      <c r="D1090" s="222">
        <v>2025</v>
      </c>
      <c r="E1090" s="223">
        <v>2910907411</v>
      </c>
      <c r="F1090" s="224" t="s">
        <v>1819</v>
      </c>
      <c r="G1090" s="225">
        <v>529000000</v>
      </c>
      <c r="H1090" s="225">
        <v>56678571</v>
      </c>
      <c r="I1090" s="226"/>
      <c r="J1090" s="226">
        <f t="shared" si="388"/>
        <v>0.11999999898374292</v>
      </c>
      <c r="K1090" s="225">
        <v>370300000</v>
      </c>
      <c r="L1090" s="228">
        <f t="shared" si="406"/>
        <v>39674999.700000003</v>
      </c>
      <c r="M1090" s="228">
        <v>0</v>
      </c>
      <c r="N1090" s="229">
        <f>+L1090-M1090</f>
        <v>39674999.700000003</v>
      </c>
      <c r="O1090" s="230">
        <f t="shared" si="405"/>
        <v>15870000</v>
      </c>
      <c r="P1090" s="231" t="s">
        <v>1829</v>
      </c>
      <c r="Q1090" s="222">
        <v>13255</v>
      </c>
      <c r="R1090" s="232">
        <f t="shared" si="401"/>
        <v>23804999.700000003</v>
      </c>
      <c r="S1090" s="222">
        <v>13256</v>
      </c>
      <c r="T1090" s="222">
        <v>2996</v>
      </c>
      <c r="U1090" s="222">
        <v>4432</v>
      </c>
      <c r="V1090" s="223" t="s">
        <v>261</v>
      </c>
      <c r="W1090" s="233">
        <v>45986</v>
      </c>
      <c r="X1090" s="231" t="s">
        <v>1846</v>
      </c>
    </row>
    <row r="1091" spans="1:24" x14ac:dyDescent="0.25">
      <c r="A1091" s="123" t="str">
        <f t="shared" si="392"/>
        <v>291090738045986119383415,25</v>
      </c>
      <c r="B1091" s="185">
        <f t="shared" si="393"/>
        <v>45986</v>
      </c>
      <c r="C1091" s="3">
        <f t="shared" si="394"/>
        <v>119383415.24999999</v>
      </c>
      <c r="D1091" s="222">
        <v>2025</v>
      </c>
      <c r="E1091" s="223">
        <v>2910907380</v>
      </c>
      <c r="F1091" s="224" t="s">
        <v>1667</v>
      </c>
      <c r="G1091" s="225">
        <v>1991969000</v>
      </c>
      <c r="H1091" s="225">
        <v>213425250</v>
      </c>
      <c r="I1091" s="226"/>
      <c r="J1091" s="226">
        <f t="shared" si="388"/>
        <v>0.12</v>
      </c>
      <c r="K1091" s="225">
        <v>1114245209</v>
      </c>
      <c r="L1091" s="228">
        <f t="shared" si="406"/>
        <v>119383415.24999999</v>
      </c>
      <c r="M1091" s="228">
        <v>98846170.928571418</v>
      </c>
      <c r="N1091" s="229">
        <f t="shared" ref="N1091:N1092" si="407">+L1091-M1091</f>
        <v>20537244.321428567</v>
      </c>
      <c r="O1091" s="230">
        <f t="shared" si="405"/>
        <v>8214898</v>
      </c>
      <c r="P1091" s="231" t="s">
        <v>1829</v>
      </c>
      <c r="Q1091" s="222">
        <v>13245</v>
      </c>
      <c r="R1091" s="232">
        <f t="shared" si="401"/>
        <v>12322346.321428567</v>
      </c>
      <c r="S1091" s="222">
        <v>13246</v>
      </c>
      <c r="T1091" s="222">
        <v>2997</v>
      </c>
      <c r="U1091" s="222">
        <v>4433</v>
      </c>
      <c r="V1091" s="223" t="s">
        <v>261</v>
      </c>
      <c r="W1091" s="233">
        <v>45986</v>
      </c>
      <c r="X1091" s="231" t="s">
        <v>1847</v>
      </c>
    </row>
    <row r="1092" spans="1:24" x14ac:dyDescent="0.25">
      <c r="A1092" s="123" t="str">
        <f t="shared" si="392"/>
        <v>24530183844598621950779,6459964</v>
      </c>
      <c r="B1092" s="185">
        <f t="shared" si="393"/>
        <v>45986</v>
      </c>
      <c r="C1092" s="3">
        <f t="shared" si="394"/>
        <v>21950779.645996377</v>
      </c>
      <c r="D1092" s="222">
        <v>2025</v>
      </c>
      <c r="E1092" s="223">
        <v>2453018384</v>
      </c>
      <c r="F1092" s="224" t="s">
        <v>1820</v>
      </c>
      <c r="G1092" s="225">
        <v>1506566504</v>
      </c>
      <c r="H1092" s="225">
        <v>161417840</v>
      </c>
      <c r="I1092" s="226"/>
      <c r="J1092" s="226">
        <f t="shared" si="388"/>
        <v>0.12000000023789192</v>
      </c>
      <c r="K1092" s="225">
        <v>204873943</v>
      </c>
      <c r="L1092" s="228">
        <f t="shared" si="406"/>
        <v>21950779.645996377</v>
      </c>
      <c r="M1092" s="228">
        <v>0</v>
      </c>
      <c r="N1092" s="229">
        <f t="shared" si="407"/>
        <v>21950779.645996377</v>
      </c>
      <c r="O1092" s="230">
        <f t="shared" si="405"/>
        <v>8780312</v>
      </c>
      <c r="P1092" s="231" t="s">
        <v>1829</v>
      </c>
      <c r="Q1092" s="222">
        <v>13239</v>
      </c>
      <c r="R1092" s="232">
        <f t="shared" si="401"/>
        <v>13170467.645996377</v>
      </c>
      <c r="S1092" s="222">
        <v>13240</v>
      </c>
      <c r="T1092" s="222">
        <v>2998</v>
      </c>
      <c r="U1092" s="222">
        <v>4434</v>
      </c>
      <c r="V1092" s="223" t="s">
        <v>261</v>
      </c>
      <c r="W1092" s="233">
        <v>45986</v>
      </c>
      <c r="X1092" s="231" t="s">
        <v>425</v>
      </c>
    </row>
    <row r="1093" spans="1:24" x14ac:dyDescent="0.25">
      <c r="A1093" s="123" t="str">
        <f t="shared" si="392"/>
        <v>24530183764598661558670,3758638</v>
      </c>
      <c r="B1093" s="185">
        <f t="shared" si="393"/>
        <v>45986</v>
      </c>
      <c r="C1093" s="3">
        <f t="shared" si="394"/>
        <v>61558670.375863835</v>
      </c>
      <c r="D1093" s="222">
        <v>2025</v>
      </c>
      <c r="E1093" s="223">
        <v>2453018376</v>
      </c>
      <c r="F1093" s="224" t="s">
        <v>1739</v>
      </c>
      <c r="G1093" s="225">
        <v>928257000</v>
      </c>
      <c r="H1093" s="225">
        <v>99456107</v>
      </c>
      <c r="I1093" s="226"/>
      <c r="J1093" s="226">
        <f t="shared" si="388"/>
        <v>0.11999999980695002</v>
      </c>
      <c r="K1093" s="225">
        <v>574547591</v>
      </c>
      <c r="L1093" s="228">
        <f t="shared" si="406"/>
        <v>61558670.375863835</v>
      </c>
      <c r="M1093" s="228">
        <v>41903860.225524254</v>
      </c>
      <c r="N1093" s="229">
        <f>+L1093-M1093</f>
        <v>19654810.150339581</v>
      </c>
      <c r="O1093" s="230">
        <f t="shared" si="405"/>
        <v>7861924</v>
      </c>
      <c r="P1093" s="231" t="s">
        <v>1829</v>
      </c>
      <c r="Q1093" s="222">
        <v>13235</v>
      </c>
      <c r="R1093" s="232">
        <f t="shared" si="401"/>
        <v>11792886.150339581</v>
      </c>
      <c r="S1093" s="222">
        <v>13236</v>
      </c>
      <c r="T1093" s="222">
        <v>2999</v>
      </c>
      <c r="U1093" s="222">
        <v>4435</v>
      </c>
      <c r="V1093" s="223" t="s">
        <v>261</v>
      </c>
      <c r="W1093" s="233">
        <v>45986</v>
      </c>
      <c r="X1093" s="231" t="s">
        <v>425</v>
      </c>
    </row>
    <row r="1094" spans="1:24" x14ac:dyDescent="0.25">
      <c r="A1094" s="123" t="str">
        <f t="shared" si="392"/>
        <v>245301837545986122442591,022318</v>
      </c>
      <c r="B1094" s="185">
        <f t="shared" si="393"/>
        <v>45986</v>
      </c>
      <c r="C1094" s="3">
        <f t="shared" si="394"/>
        <v>122442591.02231821</v>
      </c>
      <c r="D1094" s="222">
        <v>2024</v>
      </c>
      <c r="E1094" s="223">
        <v>2453018375</v>
      </c>
      <c r="F1094" s="224" t="s">
        <v>1774</v>
      </c>
      <c r="G1094" s="225">
        <v>7314957000</v>
      </c>
      <c r="H1094" s="225">
        <v>783745393</v>
      </c>
      <c r="I1094" s="226"/>
      <c r="J1094" s="226">
        <f t="shared" si="388"/>
        <v>0.12000000002449775</v>
      </c>
      <c r="K1094" s="225">
        <v>1142797516</v>
      </c>
      <c r="L1094" s="228">
        <f t="shared" si="406"/>
        <v>122442591.02231821</v>
      </c>
      <c r="M1094" s="228">
        <v>19710964.186295725</v>
      </c>
      <c r="N1094" s="229">
        <f t="shared" ref="N1094" si="408">+L1094-M1094</f>
        <v>102731626.8360225</v>
      </c>
      <c r="O1094" s="230">
        <f t="shared" si="405"/>
        <v>41092651</v>
      </c>
      <c r="P1094" s="231" t="s">
        <v>1829</v>
      </c>
      <c r="Q1094" s="222">
        <v>13233</v>
      </c>
      <c r="R1094" s="232">
        <f t="shared" si="401"/>
        <v>61638975.836022496</v>
      </c>
      <c r="S1094" s="222">
        <v>13234</v>
      </c>
      <c r="T1094" s="222">
        <v>3000</v>
      </c>
      <c r="U1094" s="222">
        <v>4436</v>
      </c>
      <c r="V1094" s="223" t="s">
        <v>261</v>
      </c>
      <c r="W1094" s="233">
        <v>45986</v>
      </c>
      <c r="X1094" s="231" t="s">
        <v>425</v>
      </c>
    </row>
    <row r="1095" spans="1:24" x14ac:dyDescent="0.25">
      <c r="A1095" s="123" t="str">
        <f t="shared" si="392"/>
        <v>245301838345986244875195,048142</v>
      </c>
      <c r="B1095" s="185">
        <f t="shared" si="393"/>
        <v>46007</v>
      </c>
      <c r="C1095" s="3">
        <f t="shared" si="394"/>
        <v>291968134.20912796</v>
      </c>
      <c r="D1095" s="222">
        <v>2025</v>
      </c>
      <c r="E1095" s="223">
        <v>2453018383</v>
      </c>
      <c r="F1095" s="224" t="s">
        <v>1816</v>
      </c>
      <c r="G1095" s="225">
        <v>10000000000</v>
      </c>
      <c r="H1095" s="225">
        <v>825688073</v>
      </c>
      <c r="I1095" s="226"/>
      <c r="J1095" s="226">
        <f t="shared" si="388"/>
        <v>8.9999999953130003E-2</v>
      </c>
      <c r="K1095" s="225">
        <v>2965710697</v>
      </c>
      <c r="L1095" s="228">
        <f t="shared" si="406"/>
        <v>244875195.04814166</v>
      </c>
      <c r="M1095" s="228">
        <v>170563268.4781417</v>
      </c>
      <c r="N1095" s="229">
        <f>+L1095-M1095</f>
        <v>74311926.569999963</v>
      </c>
      <c r="O1095" s="230">
        <f t="shared" si="405"/>
        <v>29724771</v>
      </c>
      <c r="P1095" s="231" t="s">
        <v>1829</v>
      </c>
      <c r="Q1095" s="222">
        <v>13237</v>
      </c>
      <c r="R1095" s="232">
        <f t="shared" si="401"/>
        <v>44587155.569999963</v>
      </c>
      <c r="S1095" s="222">
        <v>13238</v>
      </c>
      <c r="T1095" s="222">
        <v>3001</v>
      </c>
      <c r="U1095" s="222">
        <v>4437</v>
      </c>
      <c r="V1095" s="223" t="s">
        <v>261</v>
      </c>
      <c r="W1095" s="233">
        <v>45986</v>
      </c>
      <c r="X1095" s="231" t="s">
        <v>1839</v>
      </c>
    </row>
    <row r="1096" spans="1:24" x14ac:dyDescent="0.25">
      <c r="A1096" s="123" t="str">
        <f t="shared" si="392"/>
        <v>2910907376460071985646783,14189</v>
      </c>
      <c r="B1096" s="185">
        <f t="shared" si="393"/>
        <v>46007</v>
      </c>
      <c r="C1096" s="3">
        <f t="shared" si="394"/>
        <v>1985646783.1418917</v>
      </c>
      <c r="D1096" s="222">
        <v>2025</v>
      </c>
      <c r="E1096" s="223">
        <v>2910907376</v>
      </c>
      <c r="F1096" s="224" t="s">
        <v>1630</v>
      </c>
      <c r="G1096" s="225">
        <v>19056054897</v>
      </c>
      <c r="H1096" s="225">
        <v>2041720168</v>
      </c>
      <c r="I1096" s="226"/>
      <c r="J1096" s="227">
        <f t="shared" si="388"/>
        <v>0.12000000003056246</v>
      </c>
      <c r="K1096" s="225">
        <v>18532703305.110001</v>
      </c>
      <c r="L1096" s="228">
        <f>+K1096/(1+J1096)*J1096</f>
        <v>1985646783.1418917</v>
      </c>
      <c r="M1096" s="228">
        <v>1648485490.89415</v>
      </c>
      <c r="N1096" s="229">
        <f>+L1096-M1096</f>
        <v>337161292.2477417</v>
      </c>
      <c r="O1096" s="230">
        <f>ROUND((N1096*40%),0)</f>
        <v>134864517</v>
      </c>
      <c r="P1096" s="231" t="s">
        <v>1829</v>
      </c>
      <c r="Q1096" s="222"/>
      <c r="R1096" s="232">
        <f>+N1096-O1096</f>
        <v>202296775.2477417</v>
      </c>
      <c r="S1096" s="222"/>
      <c r="T1096" s="222"/>
      <c r="U1096" s="222"/>
      <c r="V1096" s="223" t="s">
        <v>261</v>
      </c>
      <c r="W1096" s="233">
        <v>46007</v>
      </c>
      <c r="X1096" s="231" t="s">
        <v>1830</v>
      </c>
    </row>
    <row r="1097" spans="1:24" x14ac:dyDescent="0.25">
      <c r="A1097" s="123" t="str">
        <f t="shared" si="392"/>
        <v>29109073854600791742198,6255357</v>
      </c>
      <c r="B1097" s="185">
        <f t="shared" si="393"/>
        <v>46007</v>
      </c>
      <c r="C1097" s="3">
        <f t="shared" si="394"/>
        <v>91742198.625535712</v>
      </c>
      <c r="D1097" s="222">
        <v>2024</v>
      </c>
      <c r="E1097" s="223">
        <v>2910907385</v>
      </c>
      <c r="F1097" s="224" t="s">
        <v>1821</v>
      </c>
      <c r="G1097" s="225">
        <v>6850084165</v>
      </c>
      <c r="H1097" s="225">
        <v>733937589</v>
      </c>
      <c r="I1097" s="226"/>
      <c r="J1097" s="227">
        <f t="shared" si="388"/>
        <v>0.1199999999803798</v>
      </c>
      <c r="K1097" s="225">
        <v>856260520.63</v>
      </c>
      <c r="L1097" s="228">
        <f t="shared" ref="L1097" si="409">+K1097/(1+J1097)*J1097</f>
        <v>91742198.625535712</v>
      </c>
      <c r="M1097" s="228">
        <v>0</v>
      </c>
      <c r="N1097" s="229">
        <f>+L1097-M1097</f>
        <v>91742198.625535712</v>
      </c>
      <c r="O1097" s="230">
        <f t="shared" ref="O1097" si="410">ROUND((N1097*40%),0)</f>
        <v>36696879</v>
      </c>
      <c r="P1097" s="231" t="s">
        <v>1829</v>
      </c>
      <c r="Q1097" s="222"/>
      <c r="R1097" s="232">
        <f t="shared" ref="R1097:R1102" si="411">+N1097-O1097</f>
        <v>55045319.625535712</v>
      </c>
      <c r="S1097" s="222"/>
      <c r="T1097" s="222"/>
      <c r="U1097" s="222"/>
      <c r="V1097" s="223" t="s">
        <v>261</v>
      </c>
      <c r="W1097" s="233">
        <v>46007</v>
      </c>
      <c r="X1097" s="231" t="s">
        <v>1848</v>
      </c>
    </row>
    <row r="1098" spans="1:24" x14ac:dyDescent="0.25">
      <c r="A1098" s="123" t="str">
        <f t="shared" si="392"/>
        <v>291090738446007117188400</v>
      </c>
      <c r="B1098" s="185">
        <f t="shared" si="393"/>
        <v>46007</v>
      </c>
      <c r="C1098" s="3">
        <f t="shared" si="394"/>
        <v>117188399.99999999</v>
      </c>
      <c r="D1098" s="222">
        <v>2025</v>
      </c>
      <c r="E1098" s="223">
        <v>2910907384</v>
      </c>
      <c r="F1098" s="224" t="s">
        <v>1680</v>
      </c>
      <c r="G1098" s="225">
        <v>1562512000</v>
      </c>
      <c r="H1098" s="225">
        <v>167412000</v>
      </c>
      <c r="I1098" s="226"/>
      <c r="J1098" s="227">
        <f>IFERROR((+H1098/(G1098-H1098)),0)</f>
        <v>0.12</v>
      </c>
      <c r="K1098" s="225">
        <v>1093758400</v>
      </c>
      <c r="L1098" s="228">
        <f>+K1098/(1+J1098)*J1098</f>
        <v>117188399.99999999</v>
      </c>
      <c r="M1098" s="228">
        <v>66964800</v>
      </c>
      <c r="N1098" s="229">
        <f>+L1098-M1098</f>
        <v>50223599.999999985</v>
      </c>
      <c r="O1098" s="230">
        <f>ROUND((N1098*40%),0)</f>
        <v>20089440</v>
      </c>
      <c r="P1098" s="231" t="s">
        <v>1829</v>
      </c>
      <c r="Q1098" s="222"/>
      <c r="R1098" s="232">
        <f t="shared" si="411"/>
        <v>30134159.999999985</v>
      </c>
      <c r="S1098" s="222"/>
      <c r="T1098" s="222"/>
      <c r="U1098" s="222"/>
      <c r="V1098" s="223" t="s">
        <v>261</v>
      </c>
      <c r="W1098" s="233">
        <v>46007</v>
      </c>
      <c r="X1098" s="231" t="s">
        <v>1849</v>
      </c>
    </row>
    <row r="1099" spans="1:24" x14ac:dyDescent="0.25">
      <c r="A1099" s="123" t="str">
        <f t="shared" si="392"/>
        <v>291090737846007198795855,142857</v>
      </c>
      <c r="B1099" s="185">
        <f t="shared" si="393"/>
        <v>46007</v>
      </c>
      <c r="C1099" s="3">
        <f t="shared" si="394"/>
        <v>198795855.14285716</v>
      </c>
      <c r="D1099" s="222">
        <v>2025</v>
      </c>
      <c r="E1099" s="223">
        <v>2910907378</v>
      </c>
      <c r="F1099" s="224" t="s">
        <v>1672</v>
      </c>
      <c r="G1099" s="225">
        <v>3710855946</v>
      </c>
      <c r="H1099" s="225">
        <v>397591709</v>
      </c>
      <c r="I1099" s="226"/>
      <c r="J1099" s="227">
        <f t="shared" ref="J1099:J1102" si="412">IFERROR((+H1099/(G1099-H1099)),0)</f>
        <v>0.12000000016901761</v>
      </c>
      <c r="K1099" s="225">
        <f>1484342379+371085600</f>
        <v>1855427979</v>
      </c>
      <c r="L1099" s="228">
        <f>+K1099/(1+J1099)*J1099</f>
        <v>198795855.14285716</v>
      </c>
      <c r="M1099" s="228">
        <v>159036683.66428572</v>
      </c>
      <c r="N1099" s="229">
        <f t="shared" ref="N1099" si="413">+L1099-M1099</f>
        <v>39759171.478571445</v>
      </c>
      <c r="O1099" s="230">
        <f t="shared" ref="O1099:O1103" si="414">ROUND((N1099*40%),0)</f>
        <v>15903669</v>
      </c>
      <c r="P1099" s="231" t="s">
        <v>1829</v>
      </c>
      <c r="Q1099" s="222"/>
      <c r="R1099" s="232">
        <f t="shared" si="411"/>
        <v>23855502.478571445</v>
      </c>
      <c r="S1099" s="222"/>
      <c r="T1099" s="222"/>
      <c r="U1099" s="222"/>
      <c r="V1099" s="223" t="s">
        <v>261</v>
      </c>
      <c r="W1099" s="233">
        <v>46007</v>
      </c>
      <c r="X1099" s="231" t="s">
        <v>1850</v>
      </c>
    </row>
    <row r="1100" spans="1:24" x14ac:dyDescent="0.25">
      <c r="A1100" s="123" t="str">
        <f t="shared" si="392"/>
        <v>245301838346007291968134,209128</v>
      </c>
      <c r="B1100" s="185">
        <f t="shared" si="393"/>
        <v>46007</v>
      </c>
      <c r="C1100" s="3">
        <f t="shared" si="394"/>
        <v>291968134.20912796</v>
      </c>
      <c r="D1100" s="222">
        <v>2025</v>
      </c>
      <c r="E1100" s="223">
        <v>2453018383</v>
      </c>
      <c r="F1100" s="224" t="s">
        <v>1816</v>
      </c>
      <c r="G1100" s="225">
        <v>10000000000</v>
      </c>
      <c r="H1100" s="225">
        <v>825688073</v>
      </c>
      <c r="I1100" s="226"/>
      <c r="J1100" s="227">
        <f t="shared" si="412"/>
        <v>8.9999999953130003E-2</v>
      </c>
      <c r="K1100" s="225">
        <v>3536058516</v>
      </c>
      <c r="L1100" s="228">
        <f>+K1100/(1+J1100)*J1100</f>
        <v>291968134.20912796</v>
      </c>
      <c r="M1100" s="228">
        <v>244875195.04814166</v>
      </c>
      <c r="N1100" s="229">
        <f>+L1100-M1100</f>
        <v>47092939.160986304</v>
      </c>
      <c r="O1100" s="230">
        <f t="shared" si="414"/>
        <v>18837176</v>
      </c>
      <c r="P1100" s="231" t="s">
        <v>1829</v>
      </c>
      <c r="Q1100" s="222"/>
      <c r="R1100" s="232">
        <f t="shared" si="411"/>
        <v>28255763.160986304</v>
      </c>
      <c r="S1100" s="222"/>
      <c r="T1100" s="222"/>
      <c r="U1100" s="222"/>
      <c r="V1100" s="223" t="s">
        <v>261</v>
      </c>
      <c r="W1100" s="233">
        <v>46007</v>
      </c>
      <c r="X1100" s="231" t="s">
        <v>1839</v>
      </c>
    </row>
    <row r="1101" spans="1:24" x14ac:dyDescent="0.25">
      <c r="A1101" s="123" t="str">
        <f t="shared" si="392"/>
        <v>24530183864600762581521,9205431</v>
      </c>
      <c r="B1101" s="185">
        <f t="shared" si="393"/>
        <v>46007</v>
      </c>
      <c r="C1101" s="3">
        <f t="shared" si="394"/>
        <v>62581521.920543127</v>
      </c>
      <c r="D1101" s="222">
        <v>2025</v>
      </c>
      <c r="E1101" s="223">
        <v>2453018386</v>
      </c>
      <c r="F1101" s="224" t="s">
        <v>1822</v>
      </c>
      <c r="G1101" s="225">
        <v>3815140012</v>
      </c>
      <c r="H1101" s="225">
        <v>408765001</v>
      </c>
      <c r="I1101" s="226"/>
      <c r="J1101" s="227">
        <f t="shared" si="412"/>
        <v>0.11999999990605849</v>
      </c>
      <c r="K1101" s="225">
        <v>584094205</v>
      </c>
      <c r="L1101" s="228">
        <f>+K1101/(1+J1101)*J1101</f>
        <v>62581521.920543127</v>
      </c>
      <c r="M1101" s="228">
        <v>0</v>
      </c>
      <c r="N1101" s="229">
        <f>+L1101-M1101</f>
        <v>62581521.920543127</v>
      </c>
      <c r="O1101" s="230">
        <f t="shared" si="414"/>
        <v>25032609</v>
      </c>
      <c r="P1101" s="231" t="s">
        <v>1829</v>
      </c>
      <c r="Q1101" s="222"/>
      <c r="R1101" s="232">
        <f t="shared" si="411"/>
        <v>37548912.920543127</v>
      </c>
      <c r="S1101" s="222"/>
      <c r="T1101" s="222"/>
      <c r="U1101" s="222"/>
      <c r="V1101" s="223" t="s">
        <v>261</v>
      </c>
      <c r="W1101" s="233">
        <v>46007</v>
      </c>
      <c r="X1101" s="231" t="s">
        <v>1851</v>
      </c>
    </row>
    <row r="1102" spans="1:24" x14ac:dyDescent="0.25">
      <c r="A1102" s="123" t="str">
        <f t="shared" si="392"/>
        <v>29109073974600734205797,454645</v>
      </c>
      <c r="B1102" s="185">
        <f t="shared" si="393"/>
        <v>46007</v>
      </c>
      <c r="C1102" s="3">
        <f t="shared" si="394"/>
        <v>34205797.454645045</v>
      </c>
      <c r="D1102" s="222">
        <v>2025</v>
      </c>
      <c r="E1102" s="223">
        <v>2910907397</v>
      </c>
      <c r="F1102" s="224" t="s">
        <v>1823</v>
      </c>
      <c r="G1102" s="225">
        <v>495604000</v>
      </c>
      <c r="H1102" s="225">
        <v>53100429</v>
      </c>
      <c r="I1102" s="226"/>
      <c r="J1102" s="227">
        <f t="shared" si="412"/>
        <v>0.120000001084737</v>
      </c>
      <c r="K1102" s="225">
        <v>319254107</v>
      </c>
      <c r="L1102" s="228">
        <f>+K1102/(1+J1102)*J1102</f>
        <v>34205797.454645045</v>
      </c>
      <c r="M1102" s="228">
        <v>0</v>
      </c>
      <c r="N1102" s="229">
        <f>+L1102-M1102</f>
        <v>34205797.454645045</v>
      </c>
      <c r="O1102" s="230">
        <f t="shared" si="414"/>
        <v>13682319</v>
      </c>
      <c r="P1102" s="231" t="s">
        <v>1829</v>
      </c>
      <c r="Q1102" s="222"/>
      <c r="R1102" s="232">
        <f t="shared" si="411"/>
        <v>20523478.454645045</v>
      </c>
      <c r="S1102" s="222"/>
      <c r="T1102" s="222"/>
      <c r="U1102" s="222"/>
      <c r="V1102" s="223" t="s">
        <v>261</v>
      </c>
      <c r="W1102" s="233">
        <v>46007</v>
      </c>
      <c r="X1102" s="231" t="s">
        <v>1848</v>
      </c>
    </row>
    <row r="1103" spans="1:24" x14ac:dyDescent="0.25">
      <c r="N1103" s="234">
        <f>SUM(N1067:N1102)</f>
        <v>2286884989.0405464</v>
      </c>
      <c r="O1103" s="235">
        <f t="shared" si="414"/>
        <v>914753996</v>
      </c>
      <c r="R1103" s="235">
        <f>+N1103-O1103</f>
        <v>1372130993.0405464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4D509-F72B-4D00-8D20-0337BD2AF0CF}">
  <sheetPr>
    <tabColor theme="9" tint="0.59999389629810485"/>
    <pageSetUpPr fitToPage="1"/>
  </sheetPr>
  <dimension ref="A1:AO765"/>
  <sheetViews>
    <sheetView tabSelected="1" zoomScale="90" zoomScaleNormal="90" workbookViewId="0">
      <pane xSplit="2" ySplit="6" topLeftCell="C7" activePane="bottomRight" state="frozen"/>
      <selection pane="topRight" activeCell="C1" sqref="C1"/>
      <selection pane="bottomLeft" activeCell="A3" sqref="A3"/>
      <selection pane="bottomRight" activeCell="D7" sqref="D7"/>
    </sheetView>
  </sheetViews>
  <sheetFormatPr baseColWidth="10" defaultColWidth="11.42578125" defaultRowHeight="15" zeroHeight="1" x14ac:dyDescent="0.25"/>
  <cols>
    <col min="1" max="1" width="5.5703125" style="63" bestFit="1" customWidth="1"/>
    <col min="2" max="2" width="15.28515625" style="65" customWidth="1"/>
    <col min="3" max="3" width="60" style="63" customWidth="1"/>
    <col min="4" max="4" width="35.85546875" style="63" customWidth="1"/>
    <col min="5" max="5" width="29" style="63" bestFit="1" customWidth="1"/>
    <col min="6" max="7" width="14.7109375" style="63" customWidth="1"/>
    <col min="8" max="8" width="13.28515625" style="64" customWidth="1"/>
    <col min="9" max="9" width="19.28515625" style="65" customWidth="1"/>
    <col min="10" max="10" width="24.5703125" style="65" customWidth="1"/>
    <col min="11" max="11" width="20.28515625" style="65" customWidth="1"/>
    <col min="12" max="12" width="20.7109375" style="65" customWidth="1"/>
    <col min="13" max="13" width="19" style="66" customWidth="1"/>
    <col min="14" max="14" width="14.28515625" style="65" customWidth="1"/>
    <col min="15" max="15" width="19.28515625" style="63" customWidth="1"/>
    <col min="16" max="16" width="18.28515625" style="63" customWidth="1"/>
    <col min="17" max="17" width="19.28515625" style="63" customWidth="1"/>
    <col min="18" max="18" width="20" style="64" customWidth="1"/>
    <col min="19" max="19" width="17" style="63" customWidth="1"/>
    <col min="20" max="20" width="24" style="64" customWidth="1"/>
    <col min="21" max="21" width="21.85546875" style="110" customWidth="1"/>
    <col min="22" max="22" width="21.28515625" style="110" customWidth="1"/>
    <col min="23" max="23" width="22.5703125" style="64" customWidth="1"/>
    <col min="24" max="24" width="18.7109375" style="64" customWidth="1"/>
    <col min="25" max="25" width="20.42578125" style="64" customWidth="1"/>
    <col min="26" max="26" width="20.7109375" style="63" customWidth="1"/>
    <col min="27" max="27" width="21.5703125" style="64" customWidth="1"/>
    <col min="28" max="28" width="23" style="64" customWidth="1"/>
    <col min="29" max="29" width="24.5703125" style="64" customWidth="1"/>
    <col min="30" max="30" width="20.7109375" style="63" hidden="1" customWidth="1"/>
    <col min="31" max="31" width="21.5703125" style="64" hidden="1" customWidth="1"/>
    <col min="32" max="32" width="17.7109375" style="64" hidden="1" customWidth="1"/>
    <col min="33" max="33" width="23.7109375" style="64" hidden="1" customWidth="1"/>
    <col min="34" max="34" width="21.28515625" style="110" hidden="1" customWidth="1"/>
    <col min="35" max="35" width="22.5703125" style="64" hidden="1" customWidth="1"/>
    <col min="36" max="36" width="16.28515625" style="64" hidden="1" customWidth="1"/>
    <col min="37" max="37" width="20.7109375" style="64" hidden="1" customWidth="1"/>
    <col min="38" max="38" width="21.140625" style="63" customWidth="1"/>
    <col min="39" max="39" width="20.28515625" style="63" customWidth="1"/>
    <col min="40" max="40" width="65.42578125" style="63" customWidth="1"/>
    <col min="41" max="41" width="59.28515625" style="5" bestFit="1" customWidth="1"/>
    <col min="42" max="16384" width="11.42578125" style="5"/>
  </cols>
  <sheetData>
    <row r="1" spans="1:41" ht="24.6" customHeight="1" x14ac:dyDescent="0.25">
      <c r="A1" s="5"/>
      <c r="B1" s="251"/>
      <c r="C1" s="251"/>
      <c r="D1" s="251"/>
      <c r="E1" s="252" t="s">
        <v>1716</v>
      </c>
      <c r="F1" s="252"/>
      <c r="G1" s="252"/>
      <c r="H1" s="252"/>
      <c r="I1" s="252"/>
      <c r="J1" s="253" t="s">
        <v>1717</v>
      </c>
      <c r="K1" s="253"/>
      <c r="L1" s="253"/>
      <c r="M1" s="254"/>
      <c r="N1" s="254"/>
      <c r="O1" s="254"/>
      <c r="P1" s="254"/>
      <c r="R1" s="63"/>
      <c r="S1" s="65"/>
      <c r="T1" s="65"/>
      <c r="U1" s="65"/>
      <c r="V1" s="65"/>
      <c r="W1" s="65"/>
      <c r="X1" s="65"/>
      <c r="Y1" s="65"/>
      <c r="Z1" s="65"/>
      <c r="AA1" s="65"/>
      <c r="AB1" s="65"/>
      <c r="AC1" s="65"/>
      <c r="AD1" s="65"/>
      <c r="AE1" s="65"/>
      <c r="AF1" s="65"/>
      <c r="AG1" s="65"/>
      <c r="AH1" s="65"/>
      <c r="AI1" s="65"/>
      <c r="AJ1" s="65"/>
      <c r="AK1" s="65"/>
      <c r="AL1" s="65"/>
      <c r="AM1" s="65"/>
      <c r="AN1" s="65"/>
    </row>
    <row r="2" spans="1:41" ht="23.1" customHeight="1" x14ac:dyDescent="0.25">
      <c r="A2" s="5"/>
      <c r="B2" s="251"/>
      <c r="C2" s="251"/>
      <c r="D2" s="251"/>
      <c r="E2" s="255" t="s">
        <v>1718</v>
      </c>
      <c r="F2" s="255"/>
      <c r="G2" s="255"/>
      <c r="H2" s="255"/>
      <c r="I2" s="255"/>
      <c r="J2" s="253" t="s">
        <v>1719</v>
      </c>
      <c r="K2" s="253"/>
      <c r="L2" s="253"/>
      <c r="M2" s="254"/>
      <c r="N2" s="254"/>
      <c r="O2" s="254"/>
      <c r="P2" s="254"/>
      <c r="R2" s="63"/>
      <c r="S2" s="65"/>
      <c r="T2" s="65"/>
      <c r="U2" s="65"/>
      <c r="V2" s="65"/>
      <c r="W2" s="65"/>
      <c r="X2" s="65"/>
      <c r="Y2" s="65"/>
      <c r="Z2" s="65"/>
      <c r="AA2" s="65"/>
      <c r="AB2" s="65"/>
      <c r="AC2" s="65"/>
      <c r="AD2" s="65"/>
      <c r="AE2" s="65"/>
      <c r="AF2" s="65"/>
      <c r="AG2" s="65"/>
      <c r="AH2" s="65"/>
      <c r="AI2" s="65"/>
      <c r="AJ2" s="65"/>
      <c r="AK2" s="65"/>
      <c r="AL2" s="65"/>
      <c r="AM2" s="65"/>
      <c r="AN2" s="65"/>
    </row>
    <row r="3" spans="1:41" ht="27.95" customHeight="1" x14ac:dyDescent="0.25">
      <c r="A3" s="5"/>
      <c r="B3" s="251"/>
      <c r="C3" s="251"/>
      <c r="D3" s="251"/>
      <c r="E3" s="255" t="s">
        <v>1720</v>
      </c>
      <c r="F3" s="255"/>
      <c r="G3" s="255"/>
      <c r="H3" s="255"/>
      <c r="I3" s="255"/>
      <c r="J3" s="253" t="s">
        <v>1721</v>
      </c>
      <c r="K3" s="253"/>
      <c r="L3" s="253"/>
      <c r="M3" s="254"/>
      <c r="N3" s="254"/>
      <c r="O3" s="254"/>
      <c r="P3" s="254"/>
      <c r="R3" s="63"/>
      <c r="S3" s="65"/>
      <c r="T3" s="65"/>
      <c r="U3" s="65"/>
      <c r="V3" s="65"/>
      <c r="W3" s="65"/>
      <c r="X3" s="65"/>
      <c r="Y3" s="65"/>
      <c r="Z3" s="65"/>
      <c r="AA3" s="65"/>
      <c r="AB3" s="65"/>
      <c r="AC3" s="65"/>
      <c r="AD3" s="65"/>
      <c r="AE3" s="65"/>
      <c r="AF3" s="65"/>
      <c r="AG3" s="65"/>
      <c r="AH3" s="65"/>
      <c r="AI3" s="65"/>
      <c r="AJ3" s="65"/>
      <c r="AK3" s="65"/>
      <c r="AL3" s="65"/>
      <c r="AM3" s="65"/>
      <c r="AN3" s="65"/>
    </row>
    <row r="4" spans="1:41" ht="15.75" thickBot="1" x14ac:dyDescent="0.3">
      <c r="R4" s="120"/>
      <c r="S4" s="120"/>
      <c r="T4" s="120"/>
      <c r="U4" s="68"/>
      <c r="V4" s="68"/>
      <c r="W4" s="120"/>
      <c r="X4" s="120"/>
      <c r="Y4" s="120"/>
      <c r="Z4" s="120"/>
      <c r="AA4" s="120"/>
      <c r="AB4" s="120"/>
      <c r="AC4" s="120"/>
    </row>
    <row r="5" spans="1:41" ht="44.1" customHeight="1" thickBot="1" x14ac:dyDescent="0.3">
      <c r="A5" s="220"/>
      <c r="B5" s="256" t="s">
        <v>2055</v>
      </c>
      <c r="C5" s="257"/>
      <c r="D5" s="257"/>
      <c r="E5" s="201"/>
      <c r="F5" s="201"/>
      <c r="G5" s="201"/>
      <c r="H5" s="201"/>
      <c r="I5" s="219"/>
      <c r="J5" s="219"/>
      <c r="K5" s="219"/>
      <c r="L5" s="219"/>
      <c r="M5" s="221"/>
      <c r="N5" s="219"/>
      <c r="O5" s="201"/>
      <c r="P5" s="201"/>
      <c r="Q5" s="201"/>
      <c r="R5" s="201"/>
      <c r="S5" s="201"/>
      <c r="T5" s="201"/>
      <c r="U5" s="201"/>
      <c r="V5" s="259" t="s">
        <v>713</v>
      </c>
      <c r="W5" s="260"/>
      <c r="X5" s="260"/>
      <c r="Y5" s="261"/>
      <c r="Z5" s="256" t="s">
        <v>714</v>
      </c>
      <c r="AA5" s="257"/>
      <c r="AB5" s="257"/>
      <c r="AC5" s="258"/>
      <c r="AD5" s="256" t="s">
        <v>715</v>
      </c>
      <c r="AE5" s="257"/>
      <c r="AF5" s="257"/>
      <c r="AG5" s="258"/>
      <c r="AH5" s="256" t="s">
        <v>716</v>
      </c>
      <c r="AI5" s="257"/>
      <c r="AJ5" s="257"/>
      <c r="AK5" s="258"/>
      <c r="AL5" s="201"/>
      <c r="AM5" s="201"/>
      <c r="AN5" s="201"/>
    </row>
    <row r="6" spans="1:41" s="8" customFormat="1" ht="76.5" customHeight="1" thickBot="1" x14ac:dyDescent="0.3">
      <c r="A6" s="96" t="s">
        <v>717</v>
      </c>
      <c r="B6" s="97" t="s">
        <v>3</v>
      </c>
      <c r="C6" s="97" t="s">
        <v>718</v>
      </c>
      <c r="D6" s="97" t="s">
        <v>719</v>
      </c>
      <c r="E6" s="97" t="s">
        <v>720</v>
      </c>
      <c r="F6" s="97" t="s">
        <v>721</v>
      </c>
      <c r="G6" s="97" t="s">
        <v>722</v>
      </c>
      <c r="H6" s="98" t="s">
        <v>723</v>
      </c>
      <c r="I6" s="98" t="s">
        <v>724</v>
      </c>
      <c r="J6" s="97" t="s">
        <v>725</v>
      </c>
      <c r="K6" s="97" t="s">
        <v>726</v>
      </c>
      <c r="L6" s="97" t="s">
        <v>727</v>
      </c>
      <c r="M6" s="99" t="s">
        <v>728</v>
      </c>
      <c r="N6" s="100" t="s">
        <v>729</v>
      </c>
      <c r="O6" s="100" t="s">
        <v>730</v>
      </c>
      <c r="P6" s="101" t="s">
        <v>731</v>
      </c>
      <c r="Q6" s="102" t="s">
        <v>732</v>
      </c>
      <c r="R6" s="103" t="s">
        <v>733</v>
      </c>
      <c r="S6" s="104" t="s">
        <v>734</v>
      </c>
      <c r="T6" s="105" t="s">
        <v>735</v>
      </c>
      <c r="U6" s="116" t="s">
        <v>736</v>
      </c>
      <c r="V6" s="116" t="s">
        <v>737</v>
      </c>
      <c r="W6" s="105" t="s">
        <v>738</v>
      </c>
      <c r="X6" s="106" t="s">
        <v>739</v>
      </c>
      <c r="Y6" s="107" t="s">
        <v>740</v>
      </c>
      <c r="Z6" s="101" t="s">
        <v>741</v>
      </c>
      <c r="AA6" s="105" t="s">
        <v>738</v>
      </c>
      <c r="AB6" s="106" t="s">
        <v>739</v>
      </c>
      <c r="AC6" s="107" t="s">
        <v>740</v>
      </c>
      <c r="AD6" s="101" t="s">
        <v>742</v>
      </c>
      <c r="AE6" s="105" t="s">
        <v>738</v>
      </c>
      <c r="AF6" s="106" t="s">
        <v>739</v>
      </c>
      <c r="AG6" s="107" t="s">
        <v>740</v>
      </c>
      <c r="AH6" s="116" t="s">
        <v>743</v>
      </c>
      <c r="AI6" s="105" t="s">
        <v>738</v>
      </c>
      <c r="AJ6" s="106" t="s">
        <v>739</v>
      </c>
      <c r="AK6" s="107" t="s">
        <v>740</v>
      </c>
      <c r="AL6" s="101" t="s">
        <v>744</v>
      </c>
      <c r="AM6" s="101" t="s">
        <v>745</v>
      </c>
      <c r="AN6" s="108" t="s">
        <v>746</v>
      </c>
      <c r="AO6" s="108" t="s">
        <v>2054</v>
      </c>
    </row>
    <row r="7" spans="1:41" s="9" customFormat="1" ht="25.15" customHeight="1" x14ac:dyDescent="0.25">
      <c r="A7" s="83">
        <v>1</v>
      </c>
      <c r="B7" s="84">
        <v>2021</v>
      </c>
      <c r="C7" s="85" t="s">
        <v>747</v>
      </c>
      <c r="D7" s="86" t="s">
        <v>748</v>
      </c>
      <c r="E7" s="86" t="s">
        <v>749</v>
      </c>
      <c r="F7" s="87">
        <v>44167</v>
      </c>
      <c r="G7" s="87">
        <v>44287</v>
      </c>
      <c r="H7" s="88">
        <f>+(G7-F7)/90</f>
        <v>1.3333333333333333</v>
      </c>
      <c r="I7" s="89" t="s">
        <v>750</v>
      </c>
      <c r="J7" s="90" t="s">
        <v>751</v>
      </c>
      <c r="K7" s="90" t="s">
        <v>752</v>
      </c>
      <c r="L7" s="90" t="s">
        <v>753</v>
      </c>
      <c r="M7" s="91" t="s">
        <v>754</v>
      </c>
      <c r="N7" s="92" t="s">
        <v>755</v>
      </c>
      <c r="O7" s="85">
        <v>2910908016</v>
      </c>
      <c r="P7" s="93">
        <f>+_xlfn.XLOOKUP(O7,'[3]Benef Primera fecha '!$C:$C,'[3]Benef Primera fecha '!$E:$E,0)</f>
        <v>25096800</v>
      </c>
      <c r="Q7" s="93">
        <v>0</v>
      </c>
      <c r="R7" s="94">
        <f>+(P7+Q7)</f>
        <v>25096800</v>
      </c>
      <c r="S7" s="95">
        <v>2.8018088871411717E-2</v>
      </c>
      <c r="T7" s="94">
        <f>(R7/(1+S7))*S7</f>
        <v>684000</v>
      </c>
      <c r="U7" s="117">
        <v>25096800</v>
      </c>
      <c r="V7" s="117">
        <v>0</v>
      </c>
      <c r="W7" s="94">
        <f>+V7/(1+$S7)*$S7</f>
        <v>0</v>
      </c>
      <c r="X7" s="94">
        <f>+W7*40%</f>
        <v>0</v>
      </c>
      <c r="Y7" s="94">
        <f>+W7*60%</f>
        <v>0</v>
      </c>
      <c r="Z7" s="93">
        <f>_xlfn.XLOOKUP(O7,'[4]2DO TRIMESTRE'!$C:$C,'[4]2DO TRIMESTRE'!$I:$I,0,0)</f>
        <v>0</v>
      </c>
      <c r="AA7" s="94">
        <f>+Z7/(1+$S7)*$S7</f>
        <v>0</v>
      </c>
      <c r="AB7" s="94">
        <f>+AA7*40%</f>
        <v>0</v>
      </c>
      <c r="AC7" s="94">
        <f>+AA7*60%</f>
        <v>0</v>
      </c>
      <c r="AD7" s="93">
        <v>0</v>
      </c>
      <c r="AE7" s="94">
        <f t="shared" ref="AE7" si="0">+AD7/(1+$S7)*$S7</f>
        <v>0</v>
      </c>
      <c r="AF7" s="94">
        <f t="shared" ref="AF7" si="1">+AE7*40%</f>
        <v>0</v>
      </c>
      <c r="AG7" s="94">
        <f t="shared" ref="AG7" si="2">+AE7*60%</f>
        <v>0</v>
      </c>
      <c r="AH7" s="117">
        <v>0</v>
      </c>
      <c r="AI7" s="94">
        <f>+AH7/(1+$S7)*$S7</f>
        <v>0</v>
      </c>
      <c r="AJ7" s="94">
        <f>+AI7*40%</f>
        <v>0</v>
      </c>
      <c r="AK7" s="94">
        <f>+AI7*60%</f>
        <v>0</v>
      </c>
      <c r="AL7" s="93">
        <v>684000</v>
      </c>
      <c r="AM7" s="93">
        <f>W7+AA7+AE7+AI7</f>
        <v>0</v>
      </c>
      <c r="AN7" s="155"/>
      <c r="AO7" s="155"/>
    </row>
    <row r="8" spans="1:41" s="9" customFormat="1" ht="25.15" customHeight="1" x14ac:dyDescent="0.25">
      <c r="A8" s="83">
        <v>2</v>
      </c>
      <c r="B8" s="84">
        <v>2021</v>
      </c>
      <c r="C8" s="85" t="s">
        <v>756</v>
      </c>
      <c r="D8" s="86" t="s">
        <v>757</v>
      </c>
      <c r="E8" s="86" t="s">
        <v>758</v>
      </c>
      <c r="F8" s="87">
        <v>44215</v>
      </c>
      <c r="G8" s="87">
        <v>44531</v>
      </c>
      <c r="H8" s="88">
        <f t="shared" ref="H8:H71" si="3">+(G8-F8)/90</f>
        <v>3.5111111111111111</v>
      </c>
      <c r="I8" s="89" t="s">
        <v>759</v>
      </c>
      <c r="J8" s="90" t="s">
        <v>751</v>
      </c>
      <c r="K8" s="90" t="s">
        <v>752</v>
      </c>
      <c r="L8" s="90" t="s">
        <v>753</v>
      </c>
      <c r="M8" s="91" t="s">
        <v>760</v>
      </c>
      <c r="N8" s="92" t="s">
        <v>761</v>
      </c>
      <c r="O8" s="85">
        <v>2910906771</v>
      </c>
      <c r="P8" s="93">
        <f>+_xlfn.XLOOKUP(O8,'[3]Benef Primera fecha '!$C:$C,'[3]Benef Primera fecha '!$E:$E,0)</f>
        <v>22500000</v>
      </c>
      <c r="Q8" s="93">
        <v>0</v>
      </c>
      <c r="R8" s="94">
        <f t="shared" ref="R8:R71" si="4">+(P8+Q8)</f>
        <v>22500000</v>
      </c>
      <c r="S8" s="95">
        <v>0.12</v>
      </c>
      <c r="T8" s="94">
        <f t="shared" ref="T8:T70" si="5">(R8/(1+S8))*S8</f>
        <v>2410714.2857142854</v>
      </c>
      <c r="U8" s="117">
        <v>22500000</v>
      </c>
      <c r="V8" s="117">
        <v>0</v>
      </c>
      <c r="W8" s="94">
        <f t="shared" ref="W8:W71" si="6">+V8/(1+$S8)*$S8</f>
        <v>0</v>
      </c>
      <c r="X8" s="94">
        <f t="shared" ref="X8:X71" si="7">+W8*40%</f>
        <v>0</v>
      </c>
      <c r="Y8" s="94">
        <f t="shared" ref="Y8:Y71" si="8">+W8*60%</f>
        <v>0</v>
      </c>
      <c r="Z8" s="93">
        <f>_xlfn.XLOOKUP(O8,'[4]2DO TRIMESTRE'!$C:$C,'[4]2DO TRIMESTRE'!$I:$I,0,0)</f>
        <v>0</v>
      </c>
      <c r="AA8" s="94">
        <f t="shared" ref="AA8:AA71" si="9">+Z8/(1+$S8)*$S8</f>
        <v>0</v>
      </c>
      <c r="AB8" s="94">
        <f t="shared" ref="AB8:AB71" si="10">+AA8*40%</f>
        <v>0</v>
      </c>
      <c r="AC8" s="94">
        <f t="shared" ref="AC8:AC71" si="11">+AA8*60%</f>
        <v>0</v>
      </c>
      <c r="AD8" s="93">
        <v>0</v>
      </c>
      <c r="AE8" s="94">
        <f t="shared" ref="AE8:AE71" si="12">+AD8/(1+$S8)*$S8</f>
        <v>0</v>
      </c>
      <c r="AF8" s="94">
        <f t="shared" ref="AF8:AF71" si="13">+AE8*40%</f>
        <v>0</v>
      </c>
      <c r="AG8" s="94">
        <f t="shared" ref="AG8:AG71" si="14">+AE8*60%</f>
        <v>0</v>
      </c>
      <c r="AH8" s="117">
        <v>0</v>
      </c>
      <c r="AI8" s="94">
        <f t="shared" ref="AI8:AI65" si="15">+AH8/(1+$S8)*$S8</f>
        <v>0</v>
      </c>
      <c r="AJ8" s="94">
        <f t="shared" ref="AJ8:AJ65" si="16">+AI8*40%</f>
        <v>0</v>
      </c>
      <c r="AK8" s="94">
        <f t="shared" ref="AK8:AK65" si="17">+AI8*60%</f>
        <v>0</v>
      </c>
      <c r="AL8" s="93">
        <v>2410710</v>
      </c>
      <c r="AM8" s="93">
        <f t="shared" ref="AM8:AM71" si="18">W8+AA8+AE8+AI8</f>
        <v>0</v>
      </c>
      <c r="AN8" s="155"/>
      <c r="AO8" s="155"/>
    </row>
    <row r="9" spans="1:41" s="9" customFormat="1" ht="25.15" customHeight="1" x14ac:dyDescent="0.25">
      <c r="A9" s="83">
        <v>3</v>
      </c>
      <c r="B9" s="84">
        <v>2021</v>
      </c>
      <c r="C9" s="85" t="s">
        <v>756</v>
      </c>
      <c r="D9" s="86" t="s">
        <v>762</v>
      </c>
      <c r="E9" s="86" t="s">
        <v>758</v>
      </c>
      <c r="F9" s="87">
        <v>44215</v>
      </c>
      <c r="G9" s="87">
        <v>44394</v>
      </c>
      <c r="H9" s="88">
        <f t="shared" si="3"/>
        <v>1.9888888888888889</v>
      </c>
      <c r="I9" s="89" t="s">
        <v>763</v>
      </c>
      <c r="J9" s="90" t="s">
        <v>751</v>
      </c>
      <c r="K9" s="90" t="s">
        <v>752</v>
      </c>
      <c r="L9" s="90" t="s">
        <v>753</v>
      </c>
      <c r="M9" s="91" t="s">
        <v>760</v>
      </c>
      <c r="N9" s="92" t="s">
        <v>764</v>
      </c>
      <c r="O9" s="85">
        <v>2910906736</v>
      </c>
      <c r="P9" s="93">
        <f>+_xlfn.XLOOKUP(O9,'[3]Benef Primera fecha '!$C:$C,'[3]Benef Primera fecha '!$E:$E,0)</f>
        <v>15250000</v>
      </c>
      <c r="Q9" s="93">
        <v>0</v>
      </c>
      <c r="R9" s="94">
        <f t="shared" si="4"/>
        <v>15250000</v>
      </c>
      <c r="S9" s="95">
        <v>0.12</v>
      </c>
      <c r="T9" s="94">
        <f t="shared" si="5"/>
        <v>1633928.5714285711</v>
      </c>
      <c r="U9" s="117">
        <v>15250000</v>
      </c>
      <c r="V9" s="117">
        <v>0</v>
      </c>
      <c r="W9" s="94">
        <f t="shared" si="6"/>
        <v>0</v>
      </c>
      <c r="X9" s="94">
        <f t="shared" si="7"/>
        <v>0</v>
      </c>
      <c r="Y9" s="94">
        <f t="shared" si="8"/>
        <v>0</v>
      </c>
      <c r="Z9" s="93">
        <f>_xlfn.XLOOKUP(O9,'[4]2DO TRIMESTRE'!$C:$C,'[4]2DO TRIMESTRE'!$I:$I,0,0)</f>
        <v>0</v>
      </c>
      <c r="AA9" s="94">
        <f t="shared" si="9"/>
        <v>0</v>
      </c>
      <c r="AB9" s="94">
        <f t="shared" si="10"/>
        <v>0</v>
      </c>
      <c r="AC9" s="94">
        <f t="shared" si="11"/>
        <v>0</v>
      </c>
      <c r="AD9" s="93">
        <v>0</v>
      </c>
      <c r="AE9" s="94">
        <f t="shared" si="12"/>
        <v>0</v>
      </c>
      <c r="AF9" s="94">
        <f t="shared" si="13"/>
        <v>0</v>
      </c>
      <c r="AG9" s="94">
        <f t="shared" si="14"/>
        <v>0</v>
      </c>
      <c r="AH9" s="117">
        <v>0</v>
      </c>
      <c r="AI9" s="94">
        <f t="shared" si="15"/>
        <v>0</v>
      </c>
      <c r="AJ9" s="94">
        <f t="shared" si="16"/>
        <v>0</v>
      </c>
      <c r="AK9" s="94">
        <f t="shared" si="17"/>
        <v>0</v>
      </c>
      <c r="AL9" s="93">
        <v>1633929</v>
      </c>
      <c r="AM9" s="93">
        <f t="shared" si="18"/>
        <v>0</v>
      </c>
      <c r="AN9" s="155"/>
      <c r="AO9" s="155"/>
    </row>
    <row r="10" spans="1:41" s="9" customFormat="1" ht="25.15" customHeight="1" x14ac:dyDescent="0.25">
      <c r="A10" s="83">
        <v>4</v>
      </c>
      <c r="B10" s="84">
        <v>2021</v>
      </c>
      <c r="C10" s="85" t="s">
        <v>765</v>
      </c>
      <c r="D10" s="86" t="s">
        <v>766</v>
      </c>
      <c r="E10" s="86" t="s">
        <v>758</v>
      </c>
      <c r="F10" s="87">
        <v>44238</v>
      </c>
      <c r="G10" s="87">
        <v>44424</v>
      </c>
      <c r="H10" s="88">
        <f t="shared" si="3"/>
        <v>2.0666666666666669</v>
      </c>
      <c r="I10" s="89" t="s">
        <v>767</v>
      </c>
      <c r="J10" s="90" t="s">
        <v>751</v>
      </c>
      <c r="K10" s="90" t="s">
        <v>752</v>
      </c>
      <c r="L10" s="90" t="s">
        <v>753</v>
      </c>
      <c r="M10" s="91" t="s">
        <v>768</v>
      </c>
      <c r="N10" s="92" t="s">
        <v>769</v>
      </c>
      <c r="O10" s="85">
        <v>2910906732</v>
      </c>
      <c r="P10" s="93">
        <f>+_xlfn.XLOOKUP(O10,'[3]Benef Primera fecha '!$C:$C,'[3]Benef Primera fecha '!$E:$E,0)</f>
        <v>1475936000</v>
      </c>
      <c r="Q10" s="93">
        <v>0</v>
      </c>
      <c r="R10" s="94">
        <f t="shared" si="4"/>
        <v>1475936000</v>
      </c>
      <c r="S10" s="95">
        <v>0.12</v>
      </c>
      <c r="T10" s="94">
        <f t="shared" si="5"/>
        <v>158135999.99999997</v>
      </c>
      <c r="U10" s="117">
        <v>1475936000</v>
      </c>
      <c r="V10" s="117">
        <v>0</v>
      </c>
      <c r="W10" s="94">
        <f t="shared" si="6"/>
        <v>0</v>
      </c>
      <c r="X10" s="94">
        <f t="shared" si="7"/>
        <v>0</v>
      </c>
      <c r="Y10" s="94">
        <f t="shared" si="8"/>
        <v>0</v>
      </c>
      <c r="Z10" s="93">
        <f>_xlfn.XLOOKUP(O10,'[4]2DO TRIMESTRE'!$C:$C,'[4]2DO TRIMESTRE'!$I:$I,0,0)</f>
        <v>0</v>
      </c>
      <c r="AA10" s="94">
        <f t="shared" si="9"/>
        <v>0</v>
      </c>
      <c r="AB10" s="94">
        <f t="shared" si="10"/>
        <v>0</v>
      </c>
      <c r="AC10" s="94">
        <f t="shared" si="11"/>
        <v>0</v>
      </c>
      <c r="AD10" s="93">
        <v>0</v>
      </c>
      <c r="AE10" s="94">
        <f t="shared" si="12"/>
        <v>0</v>
      </c>
      <c r="AF10" s="94">
        <f t="shared" si="13"/>
        <v>0</v>
      </c>
      <c r="AG10" s="94">
        <f t="shared" si="14"/>
        <v>0</v>
      </c>
      <c r="AH10" s="117">
        <v>0</v>
      </c>
      <c r="AI10" s="94">
        <f t="shared" si="15"/>
        <v>0</v>
      </c>
      <c r="AJ10" s="94">
        <f t="shared" si="16"/>
        <v>0</v>
      </c>
      <c r="AK10" s="94">
        <f t="shared" si="17"/>
        <v>0</v>
      </c>
      <c r="AL10" s="93">
        <v>158136000</v>
      </c>
      <c r="AM10" s="93">
        <f t="shared" si="18"/>
        <v>0</v>
      </c>
      <c r="AN10" s="155"/>
      <c r="AO10" s="155"/>
    </row>
    <row r="11" spans="1:41" s="9" customFormat="1" ht="25.15" customHeight="1" x14ac:dyDescent="0.25">
      <c r="A11" s="83">
        <v>5</v>
      </c>
      <c r="B11" s="84">
        <v>2021</v>
      </c>
      <c r="C11" s="85" t="s">
        <v>747</v>
      </c>
      <c r="D11" s="86" t="s">
        <v>770</v>
      </c>
      <c r="E11" s="86" t="s">
        <v>749</v>
      </c>
      <c r="F11" s="87">
        <v>44238</v>
      </c>
      <c r="G11" s="87">
        <v>44293</v>
      </c>
      <c r="H11" s="88">
        <f t="shared" si="3"/>
        <v>0.61111111111111116</v>
      </c>
      <c r="I11" s="89" t="s">
        <v>750</v>
      </c>
      <c r="J11" s="90" t="s">
        <v>751</v>
      </c>
      <c r="K11" s="90" t="s">
        <v>752</v>
      </c>
      <c r="L11" s="90" t="s">
        <v>753</v>
      </c>
      <c r="M11" s="91" t="s">
        <v>754</v>
      </c>
      <c r="N11" s="92" t="s">
        <v>771</v>
      </c>
      <c r="O11" s="85">
        <v>2910908024</v>
      </c>
      <c r="P11" s="93">
        <f>+_xlfn.XLOOKUP(O11,'[3]Benef Primera fecha '!$C:$C,'[3]Benef Primera fecha '!$E:$E,0)</f>
        <v>28967499</v>
      </c>
      <c r="Q11" s="93">
        <v>0</v>
      </c>
      <c r="R11" s="94">
        <f t="shared" si="4"/>
        <v>28967499</v>
      </c>
      <c r="S11" s="95">
        <v>0.13650000000000001</v>
      </c>
      <c r="T11" s="94">
        <f t="shared" si="5"/>
        <v>3479158.4808622967</v>
      </c>
      <c r="U11" s="117">
        <v>28967499</v>
      </c>
      <c r="V11" s="117">
        <v>0</v>
      </c>
      <c r="W11" s="94">
        <f t="shared" si="6"/>
        <v>0</v>
      </c>
      <c r="X11" s="94">
        <f t="shared" si="7"/>
        <v>0</v>
      </c>
      <c r="Y11" s="94">
        <f t="shared" si="8"/>
        <v>0</v>
      </c>
      <c r="Z11" s="93">
        <f>_xlfn.XLOOKUP(O11,'[4]2DO TRIMESTRE'!$C:$C,'[4]2DO TRIMESTRE'!$I:$I,0,0)</f>
        <v>0</v>
      </c>
      <c r="AA11" s="94">
        <f t="shared" si="9"/>
        <v>0</v>
      </c>
      <c r="AB11" s="94">
        <f t="shared" si="10"/>
        <v>0</v>
      </c>
      <c r="AC11" s="94">
        <f t="shared" si="11"/>
        <v>0</v>
      </c>
      <c r="AD11" s="93">
        <v>0</v>
      </c>
      <c r="AE11" s="94">
        <f t="shared" si="12"/>
        <v>0</v>
      </c>
      <c r="AF11" s="94">
        <f t="shared" si="13"/>
        <v>0</v>
      </c>
      <c r="AG11" s="94">
        <f t="shared" si="14"/>
        <v>0</v>
      </c>
      <c r="AH11" s="117">
        <v>0</v>
      </c>
      <c r="AI11" s="94">
        <f t="shared" si="15"/>
        <v>0</v>
      </c>
      <c r="AJ11" s="94">
        <f t="shared" si="16"/>
        <v>0</v>
      </c>
      <c r="AK11" s="94">
        <f t="shared" si="17"/>
        <v>0</v>
      </c>
      <c r="AL11" s="93">
        <v>3479129</v>
      </c>
      <c r="AM11" s="93">
        <f t="shared" si="18"/>
        <v>0</v>
      </c>
      <c r="AN11" s="155"/>
      <c r="AO11" s="155"/>
    </row>
    <row r="12" spans="1:41" s="9" customFormat="1" ht="25.15" customHeight="1" x14ac:dyDescent="0.25">
      <c r="A12" s="83">
        <v>6</v>
      </c>
      <c r="B12" s="84">
        <v>2021</v>
      </c>
      <c r="C12" s="85" t="s">
        <v>772</v>
      </c>
      <c r="D12" s="86" t="s">
        <v>773</v>
      </c>
      <c r="E12" s="86" t="s">
        <v>758</v>
      </c>
      <c r="F12" s="87">
        <v>44249</v>
      </c>
      <c r="G12" s="87">
        <v>44700</v>
      </c>
      <c r="H12" s="88">
        <f t="shared" si="3"/>
        <v>5.0111111111111111</v>
      </c>
      <c r="I12" s="89" t="s">
        <v>759</v>
      </c>
      <c r="J12" s="90" t="s">
        <v>751</v>
      </c>
      <c r="K12" s="90" t="s">
        <v>752</v>
      </c>
      <c r="L12" s="90" t="s">
        <v>753</v>
      </c>
      <c r="M12" s="91" t="s">
        <v>768</v>
      </c>
      <c r="N12" s="92" t="s">
        <v>774</v>
      </c>
      <c r="O12" s="85">
        <v>2910906731</v>
      </c>
      <c r="P12" s="93">
        <f>+_xlfn.XLOOKUP(O12,'[3]Benef Primera fecha '!$C:$C,'[3]Benef Primera fecha '!$E:$E,0)</f>
        <v>739371600</v>
      </c>
      <c r="Q12" s="93">
        <v>367057023</v>
      </c>
      <c r="R12" s="94">
        <f t="shared" si="4"/>
        <v>1106428623</v>
      </c>
      <c r="S12" s="95">
        <v>0.12000000125520975</v>
      </c>
      <c r="T12" s="94">
        <f t="shared" si="5"/>
        <v>118545925</v>
      </c>
      <c r="U12" s="117">
        <v>1106428623</v>
      </c>
      <c r="V12" s="117">
        <v>0</v>
      </c>
      <c r="W12" s="94">
        <f t="shared" si="6"/>
        <v>0</v>
      </c>
      <c r="X12" s="94">
        <f t="shared" si="7"/>
        <v>0</v>
      </c>
      <c r="Y12" s="94">
        <f t="shared" si="8"/>
        <v>0</v>
      </c>
      <c r="Z12" s="93">
        <f>_xlfn.XLOOKUP(O12,'[4]2DO TRIMESTRE'!$C:$C,'[4]2DO TRIMESTRE'!$I:$I,0,0)</f>
        <v>0</v>
      </c>
      <c r="AA12" s="94">
        <f t="shared" si="9"/>
        <v>0</v>
      </c>
      <c r="AB12" s="94">
        <f t="shared" si="10"/>
        <v>0</v>
      </c>
      <c r="AC12" s="94">
        <f t="shared" si="11"/>
        <v>0</v>
      </c>
      <c r="AD12" s="93">
        <v>0</v>
      </c>
      <c r="AE12" s="94">
        <f t="shared" si="12"/>
        <v>0</v>
      </c>
      <c r="AF12" s="94">
        <f t="shared" si="13"/>
        <v>0</v>
      </c>
      <c r="AG12" s="94">
        <f t="shared" si="14"/>
        <v>0</v>
      </c>
      <c r="AH12" s="117">
        <v>0</v>
      </c>
      <c r="AI12" s="94">
        <f t="shared" si="15"/>
        <v>0</v>
      </c>
      <c r="AJ12" s="94">
        <f t="shared" si="16"/>
        <v>0</v>
      </c>
      <c r="AK12" s="94">
        <f t="shared" si="17"/>
        <v>0</v>
      </c>
      <c r="AL12" s="93">
        <v>118545925</v>
      </c>
      <c r="AM12" s="93">
        <f t="shared" si="18"/>
        <v>0</v>
      </c>
      <c r="AN12" s="155"/>
      <c r="AO12" s="155"/>
    </row>
    <row r="13" spans="1:41" s="9" customFormat="1" ht="25.15" customHeight="1" x14ac:dyDescent="0.25">
      <c r="A13" s="83">
        <v>7</v>
      </c>
      <c r="B13" s="84">
        <v>2021</v>
      </c>
      <c r="C13" s="85" t="s">
        <v>775</v>
      </c>
      <c r="D13" s="86" t="s">
        <v>776</v>
      </c>
      <c r="E13" s="86" t="s">
        <v>777</v>
      </c>
      <c r="F13" s="87">
        <v>44257</v>
      </c>
      <c r="G13" s="87">
        <v>44867</v>
      </c>
      <c r="H13" s="88">
        <f t="shared" si="3"/>
        <v>6.7777777777777777</v>
      </c>
      <c r="I13" s="89" t="s">
        <v>763</v>
      </c>
      <c r="J13" s="90" t="s">
        <v>751</v>
      </c>
      <c r="K13" s="90" t="s">
        <v>752</v>
      </c>
      <c r="L13" s="90" t="s">
        <v>753</v>
      </c>
      <c r="M13" s="91" t="s">
        <v>768</v>
      </c>
      <c r="N13" s="92" t="s">
        <v>778</v>
      </c>
      <c r="O13" s="85">
        <v>2453018310</v>
      </c>
      <c r="P13" s="93">
        <f>+_xlfn.XLOOKUP(O13,'[3]Benef Primera fecha '!$C:$C,'[3]Benef Primera fecha '!$E:$E,0)</f>
        <v>306603272</v>
      </c>
      <c r="Q13" s="93">
        <v>0</v>
      </c>
      <c r="R13" s="94">
        <f t="shared" si="4"/>
        <v>306603272</v>
      </c>
      <c r="S13" s="95">
        <v>0.12</v>
      </c>
      <c r="T13" s="94">
        <f t="shared" si="5"/>
        <v>32850350.571428567</v>
      </c>
      <c r="U13" s="117">
        <v>283797434</v>
      </c>
      <c r="V13" s="117">
        <v>0</v>
      </c>
      <c r="W13" s="94">
        <f t="shared" si="6"/>
        <v>0</v>
      </c>
      <c r="X13" s="94">
        <f t="shared" si="7"/>
        <v>0</v>
      </c>
      <c r="Y13" s="94">
        <f t="shared" si="8"/>
        <v>0</v>
      </c>
      <c r="Z13" s="93">
        <f>_xlfn.XLOOKUP(O13,'[4]2DO TRIMESTRE'!$C:$C,'[4]2DO TRIMESTRE'!$I:$I,0,0)</f>
        <v>0</v>
      </c>
      <c r="AA13" s="94">
        <f t="shared" si="9"/>
        <v>0</v>
      </c>
      <c r="AB13" s="94">
        <f t="shared" si="10"/>
        <v>0</v>
      </c>
      <c r="AC13" s="94">
        <f t="shared" si="11"/>
        <v>0</v>
      </c>
      <c r="AD13" s="93">
        <v>0</v>
      </c>
      <c r="AE13" s="94">
        <f t="shared" si="12"/>
        <v>0</v>
      </c>
      <c r="AF13" s="94">
        <f t="shared" si="13"/>
        <v>0</v>
      </c>
      <c r="AG13" s="94">
        <f t="shared" si="14"/>
        <v>0</v>
      </c>
      <c r="AH13" s="117">
        <v>0</v>
      </c>
      <c r="AI13" s="94">
        <f t="shared" si="15"/>
        <v>0</v>
      </c>
      <c r="AJ13" s="94">
        <f t="shared" si="16"/>
        <v>0</v>
      </c>
      <c r="AK13" s="94">
        <f t="shared" si="17"/>
        <v>0</v>
      </c>
      <c r="AL13" s="93">
        <v>30406868</v>
      </c>
      <c r="AM13" s="93">
        <f t="shared" si="18"/>
        <v>0</v>
      </c>
      <c r="AN13" s="155"/>
      <c r="AO13" s="155"/>
    </row>
    <row r="14" spans="1:41" s="9" customFormat="1" ht="25.15" customHeight="1" x14ac:dyDescent="0.25">
      <c r="A14" s="83">
        <v>8</v>
      </c>
      <c r="B14" s="84">
        <v>2021</v>
      </c>
      <c r="C14" s="85" t="s">
        <v>779</v>
      </c>
      <c r="D14" s="86" t="s">
        <v>780</v>
      </c>
      <c r="E14" s="86" t="s">
        <v>758</v>
      </c>
      <c r="F14" s="87">
        <v>44258</v>
      </c>
      <c r="G14" s="87">
        <v>44412</v>
      </c>
      <c r="H14" s="88">
        <f t="shared" si="3"/>
        <v>1.711111111111111</v>
      </c>
      <c r="I14" s="89" t="s">
        <v>750</v>
      </c>
      <c r="J14" s="90" t="s">
        <v>751</v>
      </c>
      <c r="K14" s="90" t="s">
        <v>752</v>
      </c>
      <c r="L14" s="90" t="s">
        <v>753</v>
      </c>
      <c r="M14" s="91" t="s">
        <v>768</v>
      </c>
      <c r="N14" s="92" t="s">
        <v>781</v>
      </c>
      <c r="O14" s="85">
        <v>2910906733</v>
      </c>
      <c r="P14" s="93">
        <f>+_xlfn.XLOOKUP(O14,'[3]Benef Primera fecha '!$C:$C,'[3]Benef Primera fecha '!$E:$E,0)</f>
        <v>35000000</v>
      </c>
      <c r="Q14" s="93">
        <v>0</v>
      </c>
      <c r="R14" s="94">
        <f t="shared" si="4"/>
        <v>35000000</v>
      </c>
      <c r="S14" s="95">
        <v>0.12</v>
      </c>
      <c r="T14" s="94">
        <f t="shared" si="5"/>
        <v>3749999.9999999995</v>
      </c>
      <c r="U14" s="117">
        <v>35000000</v>
      </c>
      <c r="V14" s="117">
        <v>0</v>
      </c>
      <c r="W14" s="94">
        <f t="shared" si="6"/>
        <v>0</v>
      </c>
      <c r="X14" s="94">
        <f t="shared" si="7"/>
        <v>0</v>
      </c>
      <c r="Y14" s="94">
        <f t="shared" si="8"/>
        <v>0</v>
      </c>
      <c r="Z14" s="93">
        <f>_xlfn.XLOOKUP(O14,'[4]2DO TRIMESTRE'!$C:$C,'[4]2DO TRIMESTRE'!$I:$I,0,0)</f>
        <v>0</v>
      </c>
      <c r="AA14" s="94">
        <f t="shared" si="9"/>
        <v>0</v>
      </c>
      <c r="AB14" s="94">
        <f t="shared" si="10"/>
        <v>0</v>
      </c>
      <c r="AC14" s="94">
        <f t="shared" si="11"/>
        <v>0</v>
      </c>
      <c r="AD14" s="93">
        <v>0</v>
      </c>
      <c r="AE14" s="94">
        <f t="shared" si="12"/>
        <v>0</v>
      </c>
      <c r="AF14" s="94">
        <f t="shared" si="13"/>
        <v>0</v>
      </c>
      <c r="AG14" s="94">
        <f t="shared" si="14"/>
        <v>0</v>
      </c>
      <c r="AH14" s="117">
        <v>0</v>
      </c>
      <c r="AI14" s="94">
        <f t="shared" si="15"/>
        <v>0</v>
      </c>
      <c r="AJ14" s="94">
        <f t="shared" si="16"/>
        <v>0</v>
      </c>
      <c r="AK14" s="94">
        <f t="shared" si="17"/>
        <v>0</v>
      </c>
      <c r="AL14" s="93">
        <v>3750000</v>
      </c>
      <c r="AM14" s="93">
        <f t="shared" si="18"/>
        <v>0</v>
      </c>
      <c r="AN14" s="155"/>
      <c r="AO14" s="155"/>
    </row>
    <row r="15" spans="1:41" s="9" customFormat="1" ht="25.15" customHeight="1" x14ac:dyDescent="0.25">
      <c r="A15" s="83">
        <v>9</v>
      </c>
      <c r="B15" s="84">
        <v>2021</v>
      </c>
      <c r="C15" s="85" t="s">
        <v>782</v>
      </c>
      <c r="D15" s="86" t="s">
        <v>783</v>
      </c>
      <c r="E15" s="86" t="s">
        <v>777</v>
      </c>
      <c r="F15" s="87">
        <v>44281</v>
      </c>
      <c r="G15" s="87">
        <v>44538</v>
      </c>
      <c r="H15" s="88">
        <f t="shared" si="3"/>
        <v>2.8555555555555556</v>
      </c>
      <c r="I15" s="89" t="s">
        <v>767</v>
      </c>
      <c r="J15" s="90" t="s">
        <v>751</v>
      </c>
      <c r="K15" s="90" t="s">
        <v>752</v>
      </c>
      <c r="L15" s="90" t="s">
        <v>753</v>
      </c>
      <c r="M15" s="91" t="s">
        <v>784</v>
      </c>
      <c r="N15" s="92" t="s">
        <v>785</v>
      </c>
      <c r="O15" s="85">
        <v>2453018311</v>
      </c>
      <c r="P15" s="93">
        <f>+_xlfn.XLOOKUP(O15,'[3]Benef Primera fecha '!$C:$C,'[3]Benef Primera fecha '!$E:$E,0)</f>
        <v>839500000</v>
      </c>
      <c r="Q15" s="93">
        <v>0</v>
      </c>
      <c r="R15" s="94">
        <f t="shared" si="4"/>
        <v>839500000</v>
      </c>
      <c r="S15" s="95">
        <v>0.12</v>
      </c>
      <c r="T15" s="94">
        <f t="shared" si="5"/>
        <v>89946428.571428552</v>
      </c>
      <c r="U15" s="117">
        <v>693521814</v>
      </c>
      <c r="V15" s="117">
        <v>0</v>
      </c>
      <c r="W15" s="94">
        <f t="shared" si="6"/>
        <v>0</v>
      </c>
      <c r="X15" s="94">
        <f t="shared" si="7"/>
        <v>0</v>
      </c>
      <c r="Y15" s="94">
        <f t="shared" si="8"/>
        <v>0</v>
      </c>
      <c r="Z15" s="93">
        <f>_xlfn.XLOOKUP(O15,'[4]2DO TRIMESTRE'!$C:$C,'[4]2DO TRIMESTRE'!$I:$I,0,0)</f>
        <v>0</v>
      </c>
      <c r="AA15" s="94">
        <f t="shared" si="9"/>
        <v>0</v>
      </c>
      <c r="AB15" s="94">
        <f t="shared" si="10"/>
        <v>0</v>
      </c>
      <c r="AC15" s="94">
        <f t="shared" si="11"/>
        <v>0</v>
      </c>
      <c r="AD15" s="93">
        <v>0</v>
      </c>
      <c r="AE15" s="94">
        <f t="shared" si="12"/>
        <v>0</v>
      </c>
      <c r="AF15" s="94">
        <f t="shared" si="13"/>
        <v>0</v>
      </c>
      <c r="AG15" s="94">
        <f t="shared" si="14"/>
        <v>0</v>
      </c>
      <c r="AH15" s="117">
        <v>0</v>
      </c>
      <c r="AI15" s="94">
        <f t="shared" si="15"/>
        <v>0</v>
      </c>
      <c r="AJ15" s="94">
        <f t="shared" si="16"/>
        <v>0</v>
      </c>
      <c r="AK15" s="94">
        <f t="shared" si="17"/>
        <v>0</v>
      </c>
      <c r="AL15" s="93">
        <v>74305909</v>
      </c>
      <c r="AM15" s="93">
        <f t="shared" si="18"/>
        <v>0</v>
      </c>
      <c r="AN15" s="155"/>
      <c r="AO15" s="155"/>
    </row>
    <row r="16" spans="1:41" s="9" customFormat="1" ht="25.15" customHeight="1" x14ac:dyDescent="0.25">
      <c r="A16" s="83">
        <v>10</v>
      </c>
      <c r="B16" s="84">
        <v>2021</v>
      </c>
      <c r="C16" s="85" t="s">
        <v>786</v>
      </c>
      <c r="D16" s="86" t="s">
        <v>787</v>
      </c>
      <c r="E16" s="86" t="s">
        <v>758</v>
      </c>
      <c r="F16" s="87">
        <v>44306</v>
      </c>
      <c r="G16" s="87">
        <v>44505</v>
      </c>
      <c r="H16" s="88">
        <f t="shared" si="3"/>
        <v>2.2111111111111112</v>
      </c>
      <c r="I16" s="89" t="s">
        <v>750</v>
      </c>
      <c r="J16" s="90" t="s">
        <v>751</v>
      </c>
      <c r="K16" s="90" t="s">
        <v>752</v>
      </c>
      <c r="L16" s="90" t="s">
        <v>753</v>
      </c>
      <c r="M16" s="91" t="s">
        <v>754</v>
      </c>
      <c r="N16" s="92" t="s">
        <v>788</v>
      </c>
      <c r="O16" s="85">
        <v>2910906734</v>
      </c>
      <c r="P16" s="93">
        <f>+_xlfn.XLOOKUP(O16,'[3]Benef Primera fecha '!$C:$C,'[3]Benef Primera fecha '!$E:$E,0)</f>
        <v>39028000</v>
      </c>
      <c r="Q16" s="93">
        <v>0</v>
      </c>
      <c r="R16" s="94">
        <f t="shared" si="4"/>
        <v>39028000</v>
      </c>
      <c r="S16" s="95">
        <v>0.12</v>
      </c>
      <c r="T16" s="94">
        <f t="shared" si="5"/>
        <v>4181571.4285714277</v>
      </c>
      <c r="U16" s="117">
        <v>20814936</v>
      </c>
      <c r="V16" s="117">
        <v>0</v>
      </c>
      <c r="W16" s="94">
        <f t="shared" si="6"/>
        <v>0</v>
      </c>
      <c r="X16" s="94">
        <f t="shared" si="7"/>
        <v>0</v>
      </c>
      <c r="Y16" s="94">
        <f t="shared" si="8"/>
        <v>0</v>
      </c>
      <c r="Z16" s="93">
        <f>_xlfn.XLOOKUP(O16,'[4]2DO TRIMESTRE'!$C:$C,'[4]2DO TRIMESTRE'!$I:$I,0,0)</f>
        <v>0</v>
      </c>
      <c r="AA16" s="94">
        <f t="shared" si="9"/>
        <v>0</v>
      </c>
      <c r="AB16" s="94">
        <f t="shared" si="10"/>
        <v>0</v>
      </c>
      <c r="AC16" s="94">
        <f t="shared" si="11"/>
        <v>0</v>
      </c>
      <c r="AD16" s="93">
        <v>0</v>
      </c>
      <c r="AE16" s="94">
        <f t="shared" si="12"/>
        <v>0</v>
      </c>
      <c r="AF16" s="94">
        <f t="shared" si="13"/>
        <v>0</v>
      </c>
      <c r="AG16" s="94">
        <f t="shared" si="14"/>
        <v>0</v>
      </c>
      <c r="AH16" s="117">
        <v>0</v>
      </c>
      <c r="AI16" s="94">
        <f t="shared" si="15"/>
        <v>0</v>
      </c>
      <c r="AJ16" s="94">
        <f t="shared" si="16"/>
        <v>0</v>
      </c>
      <c r="AK16" s="94">
        <f t="shared" si="17"/>
        <v>0</v>
      </c>
      <c r="AL16" s="93">
        <v>2230171</v>
      </c>
      <c r="AM16" s="93">
        <f t="shared" si="18"/>
        <v>0</v>
      </c>
      <c r="AN16" s="155"/>
      <c r="AO16" s="155"/>
    </row>
    <row r="17" spans="1:41" s="9" customFormat="1" ht="25.15" customHeight="1" x14ac:dyDescent="0.25">
      <c r="A17" s="83">
        <v>11</v>
      </c>
      <c r="B17" s="84">
        <v>2021</v>
      </c>
      <c r="C17" s="85" t="s">
        <v>789</v>
      </c>
      <c r="D17" s="86" t="s">
        <v>790</v>
      </c>
      <c r="E17" s="86" t="s">
        <v>758</v>
      </c>
      <c r="F17" s="87">
        <v>44315</v>
      </c>
      <c r="G17" s="87"/>
      <c r="H17" s="88">
        <f t="shared" si="3"/>
        <v>-492.38888888888891</v>
      </c>
      <c r="I17" s="89" t="s">
        <v>750</v>
      </c>
      <c r="J17" s="90" t="s">
        <v>751</v>
      </c>
      <c r="K17" s="90" t="s">
        <v>752</v>
      </c>
      <c r="L17" s="90" t="s">
        <v>753</v>
      </c>
      <c r="M17" s="91" t="s">
        <v>768</v>
      </c>
      <c r="N17" s="92" t="s">
        <v>791</v>
      </c>
      <c r="O17" s="85">
        <v>2910906735</v>
      </c>
      <c r="P17" s="93">
        <f>+_xlfn.XLOOKUP(O17,'[3]Benef Primera fecha '!$C:$C,'[3]Benef Primera fecha '!$E:$E,0)</f>
        <v>925000000</v>
      </c>
      <c r="Q17" s="93">
        <v>0</v>
      </c>
      <c r="R17" s="94">
        <f t="shared" si="4"/>
        <v>925000000</v>
      </c>
      <c r="S17" s="95">
        <v>0.12</v>
      </c>
      <c r="T17" s="94">
        <f t="shared" si="5"/>
        <v>99107142.857142851</v>
      </c>
      <c r="U17" s="117">
        <v>1121496023</v>
      </c>
      <c r="V17" s="117">
        <v>0</v>
      </c>
      <c r="W17" s="94">
        <f t="shared" si="6"/>
        <v>0</v>
      </c>
      <c r="X17" s="94">
        <f t="shared" si="7"/>
        <v>0</v>
      </c>
      <c r="Y17" s="94">
        <f t="shared" si="8"/>
        <v>0</v>
      </c>
      <c r="Z17" s="93">
        <f>_xlfn.XLOOKUP(O17,'[4]2DO TRIMESTRE'!$C:$C,'[4]2DO TRIMESTRE'!$I:$I,0,0)</f>
        <v>0</v>
      </c>
      <c r="AA17" s="94">
        <f t="shared" si="9"/>
        <v>0</v>
      </c>
      <c r="AB17" s="94">
        <f t="shared" si="10"/>
        <v>0</v>
      </c>
      <c r="AC17" s="94">
        <f t="shared" si="11"/>
        <v>0</v>
      </c>
      <c r="AD17" s="93">
        <v>0</v>
      </c>
      <c r="AE17" s="94">
        <f t="shared" si="12"/>
        <v>0</v>
      </c>
      <c r="AF17" s="94">
        <f t="shared" si="13"/>
        <v>0</v>
      </c>
      <c r="AG17" s="94">
        <f t="shared" si="14"/>
        <v>0</v>
      </c>
      <c r="AH17" s="117">
        <v>0</v>
      </c>
      <c r="AI17" s="94">
        <f t="shared" si="15"/>
        <v>0</v>
      </c>
      <c r="AJ17" s="94">
        <f t="shared" si="16"/>
        <v>0</v>
      </c>
      <c r="AK17" s="94">
        <f t="shared" si="17"/>
        <v>0</v>
      </c>
      <c r="AL17" s="93">
        <v>99107143</v>
      </c>
      <c r="AM17" s="93">
        <f t="shared" si="18"/>
        <v>0</v>
      </c>
      <c r="AN17" s="155"/>
      <c r="AO17" s="155"/>
    </row>
    <row r="18" spans="1:41" s="9" customFormat="1" ht="25.15" customHeight="1" x14ac:dyDescent="0.25">
      <c r="A18" s="83">
        <v>12</v>
      </c>
      <c r="B18" s="84">
        <v>2021</v>
      </c>
      <c r="C18" s="85" t="s">
        <v>792</v>
      </c>
      <c r="D18" s="86" t="s">
        <v>793</v>
      </c>
      <c r="E18" s="86" t="s">
        <v>777</v>
      </c>
      <c r="F18" s="87">
        <v>44320</v>
      </c>
      <c r="G18" s="87">
        <v>45236</v>
      </c>
      <c r="H18" s="88">
        <f t="shared" si="3"/>
        <v>10.177777777777777</v>
      </c>
      <c r="I18" s="89" t="s">
        <v>759</v>
      </c>
      <c r="J18" s="90" t="s">
        <v>751</v>
      </c>
      <c r="K18" s="90" t="s">
        <v>752</v>
      </c>
      <c r="L18" s="90" t="s">
        <v>753</v>
      </c>
      <c r="M18" s="91" t="s">
        <v>768</v>
      </c>
      <c r="N18" s="92" t="s">
        <v>794</v>
      </c>
      <c r="O18" s="85">
        <v>2453018312</v>
      </c>
      <c r="P18" s="93">
        <f>_xlfn.XLOOKUP(O18,[5]Base!$C:$C,[5]Base!$E:$E,0,0)</f>
        <v>0</v>
      </c>
      <c r="Q18" s="93">
        <v>0</v>
      </c>
      <c r="R18" s="94">
        <f t="shared" si="4"/>
        <v>0</v>
      </c>
      <c r="S18" s="95">
        <v>0</v>
      </c>
      <c r="T18" s="94">
        <f t="shared" si="5"/>
        <v>0</v>
      </c>
      <c r="U18" s="117">
        <v>0</v>
      </c>
      <c r="V18" s="117">
        <v>0</v>
      </c>
      <c r="W18" s="94">
        <f t="shared" si="6"/>
        <v>0</v>
      </c>
      <c r="X18" s="94">
        <f t="shared" si="7"/>
        <v>0</v>
      </c>
      <c r="Y18" s="94">
        <f t="shared" si="8"/>
        <v>0</v>
      </c>
      <c r="Z18" s="93">
        <f>_xlfn.XLOOKUP(O18,'[4]2DO TRIMESTRE'!$C:$C,'[4]2DO TRIMESTRE'!$I:$I,0,0)</f>
        <v>0</v>
      </c>
      <c r="AA18" s="94">
        <f t="shared" si="9"/>
        <v>0</v>
      </c>
      <c r="AB18" s="94">
        <f t="shared" si="10"/>
        <v>0</v>
      </c>
      <c r="AC18" s="94">
        <f t="shared" si="11"/>
        <v>0</v>
      </c>
      <c r="AD18" s="93">
        <v>0</v>
      </c>
      <c r="AE18" s="94">
        <f t="shared" si="12"/>
        <v>0</v>
      </c>
      <c r="AF18" s="94">
        <f t="shared" si="13"/>
        <v>0</v>
      </c>
      <c r="AG18" s="94">
        <f t="shared" si="14"/>
        <v>0</v>
      </c>
      <c r="AH18" s="117">
        <v>0</v>
      </c>
      <c r="AI18" s="94">
        <f t="shared" si="15"/>
        <v>0</v>
      </c>
      <c r="AJ18" s="94">
        <f t="shared" si="16"/>
        <v>0</v>
      </c>
      <c r="AK18" s="94">
        <f t="shared" si="17"/>
        <v>0</v>
      </c>
      <c r="AL18" s="93">
        <v>0</v>
      </c>
      <c r="AM18" s="93">
        <f t="shared" si="18"/>
        <v>0</v>
      </c>
      <c r="AN18" s="155" t="s">
        <v>800</v>
      </c>
      <c r="AO18" s="155" t="s">
        <v>800</v>
      </c>
    </row>
    <row r="19" spans="1:41" s="9" customFormat="1" ht="25.15" customHeight="1" x14ac:dyDescent="0.25">
      <c r="A19" s="83">
        <v>13</v>
      </c>
      <c r="B19" s="84">
        <v>2021</v>
      </c>
      <c r="C19" s="85" t="s">
        <v>747</v>
      </c>
      <c r="D19" s="86" t="s">
        <v>795</v>
      </c>
      <c r="E19" s="86" t="s">
        <v>749</v>
      </c>
      <c r="F19" s="87">
        <v>44323</v>
      </c>
      <c r="G19" s="87">
        <v>44419</v>
      </c>
      <c r="H19" s="88">
        <f t="shared" si="3"/>
        <v>1.0666666666666667</v>
      </c>
      <c r="I19" s="89" t="s">
        <v>750</v>
      </c>
      <c r="J19" s="90" t="s">
        <v>751</v>
      </c>
      <c r="K19" s="90" t="s">
        <v>752</v>
      </c>
      <c r="L19" s="90" t="s">
        <v>753</v>
      </c>
      <c r="M19" s="91" t="s">
        <v>754</v>
      </c>
      <c r="N19" s="92" t="s">
        <v>796</v>
      </c>
      <c r="O19" s="85">
        <v>2910908033</v>
      </c>
      <c r="P19" s="93">
        <f>+_xlfn.XLOOKUP(O19,'[3]Benef Primera fecha '!$C:$C,'[3]Benef Primera fecha '!$E:$E,0)</f>
        <v>65415600</v>
      </c>
      <c r="Q19" s="93">
        <v>0</v>
      </c>
      <c r="R19" s="94">
        <f t="shared" si="4"/>
        <v>65415600</v>
      </c>
      <c r="S19" s="95">
        <v>0.12</v>
      </c>
      <c r="T19" s="94">
        <v>7849872</v>
      </c>
      <c r="U19" s="117">
        <v>65415600</v>
      </c>
      <c r="V19" s="117">
        <v>0</v>
      </c>
      <c r="W19" s="94">
        <f t="shared" si="6"/>
        <v>0</v>
      </c>
      <c r="X19" s="94">
        <f t="shared" si="7"/>
        <v>0</v>
      </c>
      <c r="Y19" s="94">
        <f t="shared" si="8"/>
        <v>0</v>
      </c>
      <c r="Z19" s="93">
        <f>_xlfn.XLOOKUP(O19,'[4]2DO TRIMESTRE'!$C:$C,'[4]2DO TRIMESTRE'!$I:$I,0,0)</f>
        <v>0</v>
      </c>
      <c r="AA19" s="94">
        <f t="shared" si="9"/>
        <v>0</v>
      </c>
      <c r="AB19" s="94">
        <f t="shared" si="10"/>
        <v>0</v>
      </c>
      <c r="AC19" s="94">
        <f t="shared" si="11"/>
        <v>0</v>
      </c>
      <c r="AD19" s="93">
        <v>0</v>
      </c>
      <c r="AE19" s="94">
        <f t="shared" si="12"/>
        <v>0</v>
      </c>
      <c r="AF19" s="94">
        <f t="shared" si="13"/>
        <v>0</v>
      </c>
      <c r="AG19" s="94">
        <f t="shared" si="14"/>
        <v>0</v>
      </c>
      <c r="AH19" s="117">
        <v>0</v>
      </c>
      <c r="AI19" s="94">
        <f t="shared" si="15"/>
        <v>0</v>
      </c>
      <c r="AJ19" s="94">
        <f t="shared" si="16"/>
        <v>0</v>
      </c>
      <c r="AK19" s="94">
        <f t="shared" si="17"/>
        <v>0</v>
      </c>
      <c r="AL19" s="93">
        <v>7849872</v>
      </c>
      <c r="AM19" s="93">
        <f t="shared" si="18"/>
        <v>0</v>
      </c>
      <c r="AN19" s="155"/>
      <c r="AO19" s="155"/>
    </row>
    <row r="20" spans="1:41" s="9" customFormat="1" ht="25.15" customHeight="1" x14ac:dyDescent="0.25">
      <c r="A20" s="83">
        <v>14</v>
      </c>
      <c r="B20" s="84">
        <v>2021</v>
      </c>
      <c r="C20" s="85" t="s">
        <v>797</v>
      </c>
      <c r="D20" s="86" t="s">
        <v>798</v>
      </c>
      <c r="E20" s="86" t="s">
        <v>758</v>
      </c>
      <c r="F20" s="87">
        <v>44326</v>
      </c>
      <c r="G20" s="87">
        <v>44529</v>
      </c>
      <c r="H20" s="88">
        <f t="shared" si="3"/>
        <v>2.2555555555555555</v>
      </c>
      <c r="I20" s="89" t="s">
        <v>759</v>
      </c>
      <c r="J20" s="90" t="s">
        <v>751</v>
      </c>
      <c r="K20" s="90" t="s">
        <v>752</v>
      </c>
      <c r="L20" s="90" t="s">
        <v>753</v>
      </c>
      <c r="M20" s="91" t="s">
        <v>768</v>
      </c>
      <c r="N20" s="92" t="s">
        <v>799</v>
      </c>
      <c r="O20" s="85">
        <v>2910906745</v>
      </c>
      <c r="P20" s="93">
        <v>180187477</v>
      </c>
      <c r="Q20" s="93">
        <v>0</v>
      </c>
      <c r="R20" s="94">
        <f t="shared" si="4"/>
        <v>180187477</v>
      </c>
      <c r="S20" s="95">
        <v>0</v>
      </c>
      <c r="T20" s="94">
        <f t="shared" si="5"/>
        <v>0</v>
      </c>
      <c r="U20" s="117">
        <v>0</v>
      </c>
      <c r="V20" s="117">
        <v>0</v>
      </c>
      <c r="W20" s="94">
        <f t="shared" si="6"/>
        <v>0</v>
      </c>
      <c r="X20" s="94">
        <f t="shared" si="7"/>
        <v>0</v>
      </c>
      <c r="Y20" s="94">
        <f t="shared" si="8"/>
        <v>0</v>
      </c>
      <c r="Z20" s="93">
        <f>_xlfn.XLOOKUP(O20,'[4]2DO TRIMESTRE'!$C:$C,'[4]2DO TRIMESTRE'!$I:$I,0,0)</f>
        <v>0</v>
      </c>
      <c r="AA20" s="94">
        <f t="shared" si="9"/>
        <v>0</v>
      </c>
      <c r="AB20" s="94">
        <f t="shared" si="10"/>
        <v>0</v>
      </c>
      <c r="AC20" s="94">
        <f t="shared" si="11"/>
        <v>0</v>
      </c>
      <c r="AD20" s="93">
        <v>0</v>
      </c>
      <c r="AE20" s="94">
        <f t="shared" si="12"/>
        <v>0</v>
      </c>
      <c r="AF20" s="94">
        <f t="shared" si="13"/>
        <v>0</v>
      </c>
      <c r="AG20" s="94">
        <f t="shared" si="14"/>
        <v>0</v>
      </c>
      <c r="AH20" s="117">
        <v>0</v>
      </c>
      <c r="AI20" s="94">
        <f t="shared" si="15"/>
        <v>0</v>
      </c>
      <c r="AJ20" s="94">
        <f t="shared" si="16"/>
        <v>0</v>
      </c>
      <c r="AK20" s="94">
        <f t="shared" si="17"/>
        <v>0</v>
      </c>
      <c r="AL20" s="93">
        <v>0</v>
      </c>
      <c r="AM20" s="93">
        <f t="shared" si="18"/>
        <v>0</v>
      </c>
      <c r="AN20" s="155" t="s">
        <v>800</v>
      </c>
      <c r="AO20" s="155" t="s">
        <v>800</v>
      </c>
    </row>
    <row r="21" spans="1:41" s="9" customFormat="1" ht="25.15" customHeight="1" x14ac:dyDescent="0.25">
      <c r="A21" s="83">
        <v>15</v>
      </c>
      <c r="B21" s="84">
        <v>2021</v>
      </c>
      <c r="C21" s="85" t="s">
        <v>801</v>
      </c>
      <c r="D21" s="86" t="s">
        <v>802</v>
      </c>
      <c r="E21" s="86" t="s">
        <v>758</v>
      </c>
      <c r="F21" s="87">
        <v>44326</v>
      </c>
      <c r="G21" s="87">
        <v>44530</v>
      </c>
      <c r="H21" s="88">
        <f t="shared" si="3"/>
        <v>2.2666666666666666</v>
      </c>
      <c r="I21" s="89" t="s">
        <v>767</v>
      </c>
      <c r="J21" s="90" t="s">
        <v>751</v>
      </c>
      <c r="K21" s="90" t="s">
        <v>752</v>
      </c>
      <c r="L21" s="90" t="s">
        <v>753</v>
      </c>
      <c r="M21" s="91" t="s">
        <v>768</v>
      </c>
      <c r="N21" s="92" t="s">
        <v>803</v>
      </c>
      <c r="O21" s="85">
        <v>2910906737</v>
      </c>
      <c r="P21" s="93">
        <f>+_xlfn.XLOOKUP(O21,'[3]Benef Primera fecha '!$C:$C,'[3]Benef Primera fecha '!$E:$E,0)</f>
        <v>50000000</v>
      </c>
      <c r="Q21" s="93">
        <v>0</v>
      </c>
      <c r="R21" s="94">
        <f>+(P21+Q21)</f>
        <v>50000000</v>
      </c>
      <c r="S21" s="95">
        <v>0.12</v>
      </c>
      <c r="T21" s="94">
        <f t="shared" si="5"/>
        <v>5357142.8571428573</v>
      </c>
      <c r="U21" s="117">
        <v>50000000</v>
      </c>
      <c r="V21" s="117">
        <v>0</v>
      </c>
      <c r="W21" s="94">
        <f t="shared" si="6"/>
        <v>0</v>
      </c>
      <c r="X21" s="94">
        <f t="shared" si="7"/>
        <v>0</v>
      </c>
      <c r="Y21" s="94">
        <f t="shared" si="8"/>
        <v>0</v>
      </c>
      <c r="Z21" s="93">
        <f>_xlfn.XLOOKUP(O21,'[4]2DO TRIMESTRE'!$C:$C,'[4]2DO TRIMESTRE'!$I:$I,0,0)</f>
        <v>0</v>
      </c>
      <c r="AA21" s="94">
        <f t="shared" si="9"/>
        <v>0</v>
      </c>
      <c r="AB21" s="94">
        <f t="shared" si="10"/>
        <v>0</v>
      </c>
      <c r="AC21" s="94">
        <f t="shared" si="11"/>
        <v>0</v>
      </c>
      <c r="AD21" s="93">
        <v>0</v>
      </c>
      <c r="AE21" s="94">
        <f t="shared" si="12"/>
        <v>0</v>
      </c>
      <c r="AF21" s="94">
        <f t="shared" si="13"/>
        <v>0</v>
      </c>
      <c r="AG21" s="94">
        <f t="shared" si="14"/>
        <v>0</v>
      </c>
      <c r="AH21" s="117">
        <v>0</v>
      </c>
      <c r="AI21" s="94">
        <f t="shared" si="15"/>
        <v>0</v>
      </c>
      <c r="AJ21" s="94">
        <f t="shared" si="16"/>
        <v>0</v>
      </c>
      <c r="AK21" s="94">
        <f t="shared" si="17"/>
        <v>0</v>
      </c>
      <c r="AL21" s="93">
        <v>5357143</v>
      </c>
      <c r="AM21" s="93">
        <f t="shared" si="18"/>
        <v>0</v>
      </c>
      <c r="AN21" s="155"/>
      <c r="AO21" s="155"/>
    </row>
    <row r="22" spans="1:41" s="9" customFormat="1" ht="25.15" customHeight="1" x14ac:dyDescent="0.25">
      <c r="A22" s="83">
        <v>16</v>
      </c>
      <c r="B22" s="84">
        <v>2021</v>
      </c>
      <c r="C22" s="85" t="s">
        <v>804</v>
      </c>
      <c r="D22" s="86" t="s">
        <v>805</v>
      </c>
      <c r="E22" s="86" t="s">
        <v>758</v>
      </c>
      <c r="F22" s="87">
        <v>44327</v>
      </c>
      <c r="G22" s="87">
        <v>44510</v>
      </c>
      <c r="H22" s="88">
        <f t="shared" si="3"/>
        <v>2.0333333333333332</v>
      </c>
      <c r="I22" s="89" t="s">
        <v>750</v>
      </c>
      <c r="J22" s="90" t="s">
        <v>751</v>
      </c>
      <c r="K22" s="90" t="s">
        <v>752</v>
      </c>
      <c r="L22" s="90" t="s">
        <v>753</v>
      </c>
      <c r="M22" s="91" t="s">
        <v>768</v>
      </c>
      <c r="N22" s="92" t="s">
        <v>806</v>
      </c>
      <c r="O22" s="85">
        <v>2910906740</v>
      </c>
      <c r="P22" s="93">
        <f>+_xlfn.XLOOKUP(O22,'[3]Benef Primera fecha '!$C:$C,'[3]Benef Primera fecha '!$E:$E,0)</f>
        <v>53704000</v>
      </c>
      <c r="Q22" s="93">
        <v>0</v>
      </c>
      <c r="R22" s="94">
        <f t="shared" si="4"/>
        <v>53704000</v>
      </c>
      <c r="S22" s="95">
        <v>0.12</v>
      </c>
      <c r="T22" s="94">
        <v>6445000</v>
      </c>
      <c r="U22" s="117">
        <v>53704000</v>
      </c>
      <c r="V22" s="117">
        <v>0</v>
      </c>
      <c r="W22" s="94">
        <f t="shared" si="6"/>
        <v>0</v>
      </c>
      <c r="X22" s="94">
        <f t="shared" si="7"/>
        <v>0</v>
      </c>
      <c r="Y22" s="94">
        <f t="shared" si="8"/>
        <v>0</v>
      </c>
      <c r="Z22" s="93">
        <v>50638245</v>
      </c>
      <c r="AA22" s="94">
        <f t="shared" si="9"/>
        <v>5425526.2499999991</v>
      </c>
      <c r="AB22" s="94">
        <f t="shared" si="10"/>
        <v>2170210.4999999995</v>
      </c>
      <c r="AC22" s="94">
        <f t="shared" si="11"/>
        <v>3255315.7499999995</v>
      </c>
      <c r="AD22" s="93">
        <v>0</v>
      </c>
      <c r="AE22" s="94">
        <f t="shared" si="12"/>
        <v>0</v>
      </c>
      <c r="AF22" s="94">
        <f t="shared" si="13"/>
        <v>0</v>
      </c>
      <c r="AG22" s="94">
        <f t="shared" si="14"/>
        <v>0</v>
      </c>
      <c r="AH22" s="117">
        <v>0</v>
      </c>
      <c r="AI22" s="94">
        <f t="shared" si="15"/>
        <v>0</v>
      </c>
      <c r="AJ22" s="94">
        <f t="shared" si="16"/>
        <v>0</v>
      </c>
      <c r="AK22" s="94">
        <f t="shared" si="17"/>
        <v>0</v>
      </c>
      <c r="AL22" s="93">
        <v>6445000</v>
      </c>
      <c r="AM22" s="93">
        <f t="shared" si="18"/>
        <v>5425526.2499999991</v>
      </c>
      <c r="AN22" s="155"/>
      <c r="AO22" s="155"/>
    </row>
    <row r="23" spans="1:41" s="9" customFormat="1" ht="25.15" customHeight="1" x14ac:dyDescent="0.25">
      <c r="A23" s="83">
        <v>17</v>
      </c>
      <c r="B23" s="84">
        <v>2021</v>
      </c>
      <c r="C23" s="85" t="s">
        <v>747</v>
      </c>
      <c r="D23" s="86" t="s">
        <v>807</v>
      </c>
      <c r="E23" s="86" t="s">
        <v>749</v>
      </c>
      <c r="F23" s="87">
        <v>44327</v>
      </c>
      <c r="G23" s="87">
        <v>44428</v>
      </c>
      <c r="H23" s="88">
        <f t="shared" si="3"/>
        <v>1.1222222222222222</v>
      </c>
      <c r="I23" s="89" t="s">
        <v>750</v>
      </c>
      <c r="J23" s="90" t="s">
        <v>751</v>
      </c>
      <c r="K23" s="90" t="s">
        <v>752</v>
      </c>
      <c r="L23" s="90" t="s">
        <v>753</v>
      </c>
      <c r="M23" s="91" t="s">
        <v>754</v>
      </c>
      <c r="N23" s="92" t="s">
        <v>808</v>
      </c>
      <c r="O23" s="85">
        <v>2910908029</v>
      </c>
      <c r="P23" s="93">
        <f>+_xlfn.XLOOKUP(O23,'[3]Benef Primera fecha '!$C:$C,'[3]Benef Primera fecha '!$E:$E,0)</f>
        <v>17160000</v>
      </c>
      <c r="Q23" s="93">
        <v>0</v>
      </c>
      <c r="R23" s="94">
        <f t="shared" si="4"/>
        <v>17160000</v>
      </c>
      <c r="S23" s="95">
        <v>0.12</v>
      </c>
      <c r="T23" s="94">
        <f t="shared" si="5"/>
        <v>1838571.4285714284</v>
      </c>
      <c r="U23" s="117">
        <v>17160000</v>
      </c>
      <c r="V23" s="117">
        <v>0</v>
      </c>
      <c r="W23" s="94">
        <f t="shared" si="6"/>
        <v>0</v>
      </c>
      <c r="X23" s="94">
        <f t="shared" si="7"/>
        <v>0</v>
      </c>
      <c r="Y23" s="94">
        <f t="shared" si="8"/>
        <v>0</v>
      </c>
      <c r="Z23" s="93">
        <f>_xlfn.XLOOKUP(O23,'[4]2DO TRIMESTRE'!$C:$C,'[4]2DO TRIMESTRE'!$I:$I,0,0)</f>
        <v>0</v>
      </c>
      <c r="AA23" s="94">
        <f t="shared" si="9"/>
        <v>0</v>
      </c>
      <c r="AB23" s="94">
        <f t="shared" si="10"/>
        <v>0</v>
      </c>
      <c r="AC23" s="94">
        <f t="shared" si="11"/>
        <v>0</v>
      </c>
      <c r="AD23" s="93">
        <v>0</v>
      </c>
      <c r="AE23" s="94">
        <f t="shared" si="12"/>
        <v>0</v>
      </c>
      <c r="AF23" s="94">
        <f t="shared" si="13"/>
        <v>0</v>
      </c>
      <c r="AG23" s="94">
        <f t="shared" si="14"/>
        <v>0</v>
      </c>
      <c r="AH23" s="117">
        <v>0</v>
      </c>
      <c r="AI23" s="94">
        <f t="shared" si="15"/>
        <v>0</v>
      </c>
      <c r="AJ23" s="94">
        <f t="shared" si="16"/>
        <v>0</v>
      </c>
      <c r="AK23" s="94">
        <f t="shared" si="17"/>
        <v>0</v>
      </c>
      <c r="AL23" s="93">
        <v>1838571</v>
      </c>
      <c r="AM23" s="93">
        <f t="shared" si="18"/>
        <v>0</v>
      </c>
      <c r="AN23" s="155"/>
      <c r="AO23" s="155"/>
    </row>
    <row r="24" spans="1:41" s="9" customFormat="1" ht="25.15" customHeight="1" x14ac:dyDescent="0.25">
      <c r="A24" s="83">
        <v>18</v>
      </c>
      <c r="B24" s="84">
        <v>2021</v>
      </c>
      <c r="C24" s="85" t="s">
        <v>747</v>
      </c>
      <c r="D24" s="86" t="s">
        <v>809</v>
      </c>
      <c r="E24" s="86" t="s">
        <v>749</v>
      </c>
      <c r="F24" s="87">
        <v>44328</v>
      </c>
      <c r="G24" s="87">
        <v>44695</v>
      </c>
      <c r="H24" s="88">
        <f t="shared" si="3"/>
        <v>4.0777777777777775</v>
      </c>
      <c r="I24" s="89" t="s">
        <v>763</v>
      </c>
      <c r="J24" s="90" t="s">
        <v>751</v>
      </c>
      <c r="K24" s="90" t="s">
        <v>752</v>
      </c>
      <c r="L24" s="90" t="s">
        <v>753</v>
      </c>
      <c r="M24" s="91" t="s">
        <v>754</v>
      </c>
      <c r="N24" s="92" t="s">
        <v>810</v>
      </c>
      <c r="O24" s="85">
        <v>2910908037</v>
      </c>
      <c r="P24" s="93">
        <v>36473350</v>
      </c>
      <c r="Q24" s="93">
        <v>0</v>
      </c>
      <c r="R24" s="94">
        <f t="shared" si="4"/>
        <v>36473350</v>
      </c>
      <c r="S24" s="95">
        <v>0</v>
      </c>
      <c r="T24" s="94">
        <f t="shared" si="5"/>
        <v>0</v>
      </c>
      <c r="U24" s="117">
        <v>0</v>
      </c>
      <c r="V24" s="117">
        <v>0</v>
      </c>
      <c r="W24" s="94">
        <f t="shared" si="6"/>
        <v>0</v>
      </c>
      <c r="X24" s="94">
        <f t="shared" si="7"/>
        <v>0</v>
      </c>
      <c r="Y24" s="94">
        <f t="shared" si="8"/>
        <v>0</v>
      </c>
      <c r="Z24" s="93">
        <f>_xlfn.XLOOKUP(O24,'[4]2DO TRIMESTRE'!$C:$C,'[4]2DO TRIMESTRE'!$I:$I,0,0)</f>
        <v>0</v>
      </c>
      <c r="AA24" s="94">
        <f t="shared" si="9"/>
        <v>0</v>
      </c>
      <c r="AB24" s="94">
        <f t="shared" si="10"/>
        <v>0</v>
      </c>
      <c r="AC24" s="94">
        <f t="shared" si="11"/>
        <v>0</v>
      </c>
      <c r="AD24" s="93">
        <v>0</v>
      </c>
      <c r="AE24" s="94">
        <f t="shared" si="12"/>
        <v>0</v>
      </c>
      <c r="AF24" s="94">
        <f t="shared" si="13"/>
        <v>0</v>
      </c>
      <c r="AG24" s="94">
        <f t="shared" si="14"/>
        <v>0</v>
      </c>
      <c r="AH24" s="117">
        <v>0</v>
      </c>
      <c r="AI24" s="94">
        <f t="shared" si="15"/>
        <v>0</v>
      </c>
      <c r="AJ24" s="94">
        <f t="shared" si="16"/>
        <v>0</v>
      </c>
      <c r="AK24" s="94">
        <f t="shared" si="17"/>
        <v>0</v>
      </c>
      <c r="AL24" s="93">
        <v>0</v>
      </c>
      <c r="AM24" s="93">
        <f t="shared" si="18"/>
        <v>0</v>
      </c>
      <c r="AN24" s="155"/>
      <c r="AO24" s="155"/>
    </row>
    <row r="25" spans="1:41" s="9" customFormat="1" ht="25.15" customHeight="1" x14ac:dyDescent="0.25">
      <c r="A25" s="83">
        <v>19</v>
      </c>
      <c r="B25" s="84">
        <v>2021</v>
      </c>
      <c r="C25" s="85" t="s">
        <v>811</v>
      </c>
      <c r="D25" s="86" t="s">
        <v>812</v>
      </c>
      <c r="E25" s="86" t="s">
        <v>758</v>
      </c>
      <c r="F25" s="87">
        <v>44329</v>
      </c>
      <c r="G25" s="87">
        <v>44560</v>
      </c>
      <c r="H25" s="88">
        <f t="shared" si="3"/>
        <v>2.5666666666666669</v>
      </c>
      <c r="I25" s="89" t="s">
        <v>750</v>
      </c>
      <c r="J25" s="90" t="s">
        <v>751</v>
      </c>
      <c r="K25" s="90" t="s">
        <v>752</v>
      </c>
      <c r="L25" s="90" t="s">
        <v>753</v>
      </c>
      <c r="M25" s="91" t="s">
        <v>768</v>
      </c>
      <c r="N25" s="92" t="s">
        <v>813</v>
      </c>
      <c r="O25" s="85">
        <v>2910906739</v>
      </c>
      <c r="P25" s="93">
        <f>+_xlfn.XLOOKUP(O25,'[3]Benef Primera fecha '!$C:$C,'[3]Benef Primera fecha '!$E:$E,0)</f>
        <v>225600000</v>
      </c>
      <c r="Q25" s="93">
        <v>0</v>
      </c>
      <c r="R25" s="94">
        <f t="shared" si="4"/>
        <v>225600000</v>
      </c>
      <c r="S25" s="95">
        <v>0.12</v>
      </c>
      <c r="T25" s="94">
        <f t="shared" si="5"/>
        <v>24171428.571428567</v>
      </c>
      <c r="U25" s="117">
        <v>225600000</v>
      </c>
      <c r="V25" s="117">
        <v>0</v>
      </c>
      <c r="W25" s="94">
        <f t="shared" si="6"/>
        <v>0</v>
      </c>
      <c r="X25" s="94">
        <f t="shared" si="7"/>
        <v>0</v>
      </c>
      <c r="Y25" s="94">
        <f t="shared" si="8"/>
        <v>0</v>
      </c>
      <c r="Z25" s="93">
        <f>_xlfn.XLOOKUP(O25,'[4]2DO TRIMESTRE'!$C:$C,'[4]2DO TRIMESTRE'!$I:$I,0,0)</f>
        <v>0</v>
      </c>
      <c r="AA25" s="94">
        <f t="shared" si="9"/>
        <v>0</v>
      </c>
      <c r="AB25" s="94">
        <f t="shared" si="10"/>
        <v>0</v>
      </c>
      <c r="AC25" s="94">
        <f t="shared" si="11"/>
        <v>0</v>
      </c>
      <c r="AD25" s="93">
        <v>0</v>
      </c>
      <c r="AE25" s="94">
        <f t="shared" si="12"/>
        <v>0</v>
      </c>
      <c r="AF25" s="94">
        <f t="shared" si="13"/>
        <v>0</v>
      </c>
      <c r="AG25" s="94">
        <f t="shared" si="14"/>
        <v>0</v>
      </c>
      <c r="AH25" s="117">
        <v>0</v>
      </c>
      <c r="AI25" s="94">
        <f t="shared" si="15"/>
        <v>0</v>
      </c>
      <c r="AJ25" s="94">
        <f t="shared" si="16"/>
        <v>0</v>
      </c>
      <c r="AK25" s="94">
        <f t="shared" si="17"/>
        <v>0</v>
      </c>
      <c r="AL25" s="93">
        <v>24171429</v>
      </c>
      <c r="AM25" s="93">
        <f t="shared" si="18"/>
        <v>0</v>
      </c>
      <c r="AN25" s="155"/>
      <c r="AO25" s="155"/>
    </row>
    <row r="26" spans="1:41" s="9" customFormat="1" ht="25.15" customHeight="1" x14ac:dyDescent="0.25">
      <c r="A26" s="83">
        <v>20</v>
      </c>
      <c r="B26" s="84">
        <v>2021</v>
      </c>
      <c r="C26" s="85" t="s">
        <v>814</v>
      </c>
      <c r="D26" s="86" t="s">
        <v>815</v>
      </c>
      <c r="E26" s="86" t="s">
        <v>758</v>
      </c>
      <c r="F26" s="87">
        <v>44330</v>
      </c>
      <c r="G26" s="87">
        <v>45059</v>
      </c>
      <c r="H26" s="88">
        <f t="shared" si="3"/>
        <v>8.1</v>
      </c>
      <c r="I26" s="89" t="s">
        <v>759</v>
      </c>
      <c r="J26" s="90" t="s">
        <v>751</v>
      </c>
      <c r="K26" s="90" t="s">
        <v>752</v>
      </c>
      <c r="L26" s="90" t="s">
        <v>753</v>
      </c>
      <c r="M26" s="91" t="s">
        <v>768</v>
      </c>
      <c r="N26" s="92" t="s">
        <v>816</v>
      </c>
      <c r="O26" s="85">
        <v>2910906738</v>
      </c>
      <c r="P26" s="93">
        <v>298773815</v>
      </c>
      <c r="Q26" s="93">
        <v>0</v>
      </c>
      <c r="R26" s="94">
        <f t="shared" si="4"/>
        <v>298773815</v>
      </c>
      <c r="S26" s="95">
        <v>0</v>
      </c>
      <c r="T26" s="94">
        <f t="shared" si="5"/>
        <v>0</v>
      </c>
      <c r="U26" s="117">
        <v>0</v>
      </c>
      <c r="V26" s="117">
        <v>0</v>
      </c>
      <c r="W26" s="94">
        <f t="shared" si="6"/>
        <v>0</v>
      </c>
      <c r="X26" s="94">
        <f t="shared" si="7"/>
        <v>0</v>
      </c>
      <c r="Y26" s="94">
        <f t="shared" si="8"/>
        <v>0</v>
      </c>
      <c r="Z26" s="93">
        <f>_xlfn.XLOOKUP(O26,'[4]2DO TRIMESTRE'!$C:$C,'[4]2DO TRIMESTRE'!$I:$I,0,0)</f>
        <v>0</v>
      </c>
      <c r="AA26" s="94">
        <f t="shared" si="9"/>
        <v>0</v>
      </c>
      <c r="AB26" s="94">
        <f t="shared" si="10"/>
        <v>0</v>
      </c>
      <c r="AC26" s="94">
        <f t="shared" si="11"/>
        <v>0</v>
      </c>
      <c r="AD26" s="93">
        <v>0</v>
      </c>
      <c r="AE26" s="94">
        <f t="shared" si="12"/>
        <v>0</v>
      </c>
      <c r="AF26" s="94">
        <f t="shared" si="13"/>
        <v>0</v>
      </c>
      <c r="AG26" s="94">
        <f t="shared" si="14"/>
        <v>0</v>
      </c>
      <c r="AH26" s="117">
        <v>0</v>
      </c>
      <c r="AI26" s="94">
        <f t="shared" si="15"/>
        <v>0</v>
      </c>
      <c r="AJ26" s="94">
        <f t="shared" si="16"/>
        <v>0</v>
      </c>
      <c r="AK26" s="94">
        <f t="shared" si="17"/>
        <v>0</v>
      </c>
      <c r="AL26" s="93">
        <v>0</v>
      </c>
      <c r="AM26" s="93">
        <f t="shared" si="18"/>
        <v>0</v>
      </c>
      <c r="AN26" s="155" t="s">
        <v>800</v>
      </c>
      <c r="AO26" s="155" t="s">
        <v>800</v>
      </c>
    </row>
    <row r="27" spans="1:41" s="9" customFormat="1" ht="25.15" customHeight="1" x14ac:dyDescent="0.25">
      <c r="A27" s="83">
        <v>21</v>
      </c>
      <c r="B27" s="84">
        <v>2021</v>
      </c>
      <c r="C27" s="85" t="s">
        <v>814</v>
      </c>
      <c r="D27" s="86" t="s">
        <v>817</v>
      </c>
      <c r="E27" s="86" t="s">
        <v>758</v>
      </c>
      <c r="F27" s="87">
        <v>44330</v>
      </c>
      <c r="G27" s="87">
        <v>44817</v>
      </c>
      <c r="H27" s="88">
        <f t="shared" si="3"/>
        <v>5.4111111111111114</v>
      </c>
      <c r="I27" s="89" t="s">
        <v>759</v>
      </c>
      <c r="J27" s="90" t="s">
        <v>751</v>
      </c>
      <c r="K27" s="90" t="s">
        <v>752</v>
      </c>
      <c r="L27" s="90" t="s">
        <v>753</v>
      </c>
      <c r="M27" s="91" t="s">
        <v>768</v>
      </c>
      <c r="N27" s="92" t="s">
        <v>818</v>
      </c>
      <c r="O27" s="85">
        <v>2910906741</v>
      </c>
      <c r="P27" s="93">
        <v>75266267</v>
      </c>
      <c r="Q27" s="93">
        <v>0</v>
      </c>
      <c r="R27" s="94">
        <f t="shared" si="4"/>
        <v>75266267</v>
      </c>
      <c r="S27" s="95">
        <v>0</v>
      </c>
      <c r="T27" s="94">
        <f t="shared" si="5"/>
        <v>0</v>
      </c>
      <c r="U27" s="117">
        <v>0</v>
      </c>
      <c r="V27" s="117">
        <v>0</v>
      </c>
      <c r="W27" s="94">
        <f t="shared" si="6"/>
        <v>0</v>
      </c>
      <c r="X27" s="94">
        <f t="shared" si="7"/>
        <v>0</v>
      </c>
      <c r="Y27" s="94">
        <f t="shared" si="8"/>
        <v>0</v>
      </c>
      <c r="Z27" s="93">
        <f>_xlfn.XLOOKUP(O27,'[4]2DO TRIMESTRE'!$C:$C,'[4]2DO TRIMESTRE'!$I:$I,0,0)</f>
        <v>0</v>
      </c>
      <c r="AA27" s="94">
        <f t="shared" si="9"/>
        <v>0</v>
      </c>
      <c r="AB27" s="94">
        <f t="shared" si="10"/>
        <v>0</v>
      </c>
      <c r="AC27" s="94">
        <f t="shared" si="11"/>
        <v>0</v>
      </c>
      <c r="AD27" s="93">
        <v>0</v>
      </c>
      <c r="AE27" s="94">
        <f t="shared" si="12"/>
        <v>0</v>
      </c>
      <c r="AF27" s="94">
        <f t="shared" si="13"/>
        <v>0</v>
      </c>
      <c r="AG27" s="94">
        <f t="shared" si="14"/>
        <v>0</v>
      </c>
      <c r="AH27" s="117">
        <v>0</v>
      </c>
      <c r="AI27" s="94">
        <f t="shared" si="15"/>
        <v>0</v>
      </c>
      <c r="AJ27" s="94">
        <f t="shared" si="16"/>
        <v>0</v>
      </c>
      <c r="AK27" s="94">
        <f t="shared" si="17"/>
        <v>0</v>
      </c>
      <c r="AL27" s="93">
        <v>0</v>
      </c>
      <c r="AM27" s="93">
        <f t="shared" si="18"/>
        <v>0</v>
      </c>
      <c r="AN27" s="155" t="s">
        <v>800</v>
      </c>
      <c r="AO27" s="155" t="s">
        <v>800</v>
      </c>
    </row>
    <row r="28" spans="1:41" s="9" customFormat="1" ht="25.15" customHeight="1" x14ac:dyDescent="0.25">
      <c r="A28" s="83">
        <v>22</v>
      </c>
      <c r="B28" s="84">
        <v>2021</v>
      </c>
      <c r="C28" s="85" t="s">
        <v>747</v>
      </c>
      <c r="D28" s="86" t="s">
        <v>819</v>
      </c>
      <c r="E28" s="86" t="s">
        <v>749</v>
      </c>
      <c r="F28" s="87">
        <v>44336</v>
      </c>
      <c r="G28" s="87">
        <v>44427</v>
      </c>
      <c r="H28" s="88">
        <f t="shared" si="3"/>
        <v>1.0111111111111111</v>
      </c>
      <c r="I28" s="89" t="s">
        <v>750</v>
      </c>
      <c r="J28" s="90" t="s">
        <v>751</v>
      </c>
      <c r="K28" s="90" t="s">
        <v>752</v>
      </c>
      <c r="L28" s="90" t="s">
        <v>753</v>
      </c>
      <c r="M28" s="91" t="s">
        <v>754</v>
      </c>
      <c r="N28" s="92" t="s">
        <v>820</v>
      </c>
      <c r="O28" s="85">
        <v>2910908032</v>
      </c>
      <c r="P28" s="93">
        <f>+_xlfn.XLOOKUP(O28,'[3]Benef Primera fecha '!$C:$C,'[3]Benef Primera fecha '!$E:$E,0)</f>
        <v>32706980</v>
      </c>
      <c r="Q28" s="93">
        <v>0</v>
      </c>
      <c r="R28" s="94">
        <f t="shared" si="4"/>
        <v>32706980</v>
      </c>
      <c r="S28" s="95">
        <v>0.12</v>
      </c>
      <c r="T28" s="94">
        <v>3924832</v>
      </c>
      <c r="U28" s="117">
        <v>32706980</v>
      </c>
      <c r="V28" s="117">
        <v>0</v>
      </c>
      <c r="W28" s="94">
        <f t="shared" si="6"/>
        <v>0</v>
      </c>
      <c r="X28" s="94">
        <f t="shared" si="7"/>
        <v>0</v>
      </c>
      <c r="Y28" s="94">
        <f t="shared" si="8"/>
        <v>0</v>
      </c>
      <c r="Z28" s="93">
        <f>_xlfn.XLOOKUP(O28,'[4]2DO TRIMESTRE'!$C:$C,'[4]2DO TRIMESTRE'!$I:$I,0,0)</f>
        <v>0</v>
      </c>
      <c r="AA28" s="94">
        <f t="shared" si="9"/>
        <v>0</v>
      </c>
      <c r="AB28" s="94">
        <f t="shared" si="10"/>
        <v>0</v>
      </c>
      <c r="AC28" s="94">
        <f t="shared" si="11"/>
        <v>0</v>
      </c>
      <c r="AD28" s="93">
        <v>0</v>
      </c>
      <c r="AE28" s="94">
        <f t="shared" si="12"/>
        <v>0</v>
      </c>
      <c r="AF28" s="94">
        <f t="shared" si="13"/>
        <v>0</v>
      </c>
      <c r="AG28" s="94">
        <f t="shared" si="14"/>
        <v>0</v>
      </c>
      <c r="AH28" s="117">
        <v>0</v>
      </c>
      <c r="AI28" s="94">
        <f t="shared" si="15"/>
        <v>0</v>
      </c>
      <c r="AJ28" s="94">
        <f t="shared" si="16"/>
        <v>0</v>
      </c>
      <c r="AK28" s="94">
        <f t="shared" si="17"/>
        <v>0</v>
      </c>
      <c r="AL28" s="93">
        <v>3924832</v>
      </c>
      <c r="AM28" s="93">
        <f t="shared" si="18"/>
        <v>0</v>
      </c>
      <c r="AN28" s="155"/>
      <c r="AO28" s="155"/>
    </row>
    <row r="29" spans="1:41" s="9" customFormat="1" ht="25.15" customHeight="1" x14ac:dyDescent="0.25">
      <c r="A29" s="83">
        <v>23</v>
      </c>
      <c r="B29" s="84">
        <v>2021</v>
      </c>
      <c r="C29" s="85" t="s">
        <v>821</v>
      </c>
      <c r="D29" s="86" t="s">
        <v>822</v>
      </c>
      <c r="E29" s="86" t="s">
        <v>777</v>
      </c>
      <c r="F29" s="87">
        <v>44351</v>
      </c>
      <c r="G29" s="87">
        <v>44530</v>
      </c>
      <c r="H29" s="88">
        <f t="shared" si="3"/>
        <v>1.9888888888888889</v>
      </c>
      <c r="I29" s="89" t="s">
        <v>759</v>
      </c>
      <c r="J29" s="90" t="s">
        <v>751</v>
      </c>
      <c r="K29" s="90" t="s">
        <v>752</v>
      </c>
      <c r="L29" s="90" t="s">
        <v>753</v>
      </c>
      <c r="M29" s="91" t="s">
        <v>768</v>
      </c>
      <c r="N29" s="92" t="s">
        <v>823</v>
      </c>
      <c r="O29" s="85">
        <v>2453018314</v>
      </c>
      <c r="P29" s="93">
        <v>24028920</v>
      </c>
      <c r="Q29" s="93">
        <v>0</v>
      </c>
      <c r="R29" s="94">
        <f t="shared" si="4"/>
        <v>24028920</v>
      </c>
      <c r="S29" s="95">
        <v>0</v>
      </c>
      <c r="T29" s="94">
        <f t="shared" si="5"/>
        <v>0</v>
      </c>
      <c r="U29" s="117">
        <v>0</v>
      </c>
      <c r="V29" s="117">
        <v>0</v>
      </c>
      <c r="W29" s="94">
        <f t="shared" si="6"/>
        <v>0</v>
      </c>
      <c r="X29" s="94">
        <f t="shared" si="7"/>
        <v>0</v>
      </c>
      <c r="Y29" s="94">
        <f t="shared" si="8"/>
        <v>0</v>
      </c>
      <c r="Z29" s="93">
        <f>_xlfn.XLOOKUP(O29,'[4]2DO TRIMESTRE'!$C:$C,'[4]2DO TRIMESTRE'!$I:$I,0,0)</f>
        <v>0</v>
      </c>
      <c r="AA29" s="94">
        <f t="shared" si="9"/>
        <v>0</v>
      </c>
      <c r="AB29" s="94">
        <f t="shared" si="10"/>
        <v>0</v>
      </c>
      <c r="AC29" s="94">
        <f t="shared" si="11"/>
        <v>0</v>
      </c>
      <c r="AD29" s="93">
        <v>0</v>
      </c>
      <c r="AE29" s="94">
        <f t="shared" si="12"/>
        <v>0</v>
      </c>
      <c r="AF29" s="94">
        <f t="shared" si="13"/>
        <v>0</v>
      </c>
      <c r="AG29" s="94">
        <f t="shared" si="14"/>
        <v>0</v>
      </c>
      <c r="AH29" s="117">
        <v>0</v>
      </c>
      <c r="AI29" s="94">
        <f t="shared" si="15"/>
        <v>0</v>
      </c>
      <c r="AJ29" s="94">
        <f t="shared" si="16"/>
        <v>0</v>
      </c>
      <c r="AK29" s="94">
        <f t="shared" si="17"/>
        <v>0</v>
      </c>
      <c r="AL29" s="93">
        <v>0</v>
      </c>
      <c r="AM29" s="93">
        <f t="shared" si="18"/>
        <v>0</v>
      </c>
      <c r="AN29" s="155" t="s">
        <v>800</v>
      </c>
      <c r="AO29" s="155" t="s">
        <v>800</v>
      </c>
    </row>
    <row r="30" spans="1:41" s="9" customFormat="1" ht="25.15" customHeight="1" x14ac:dyDescent="0.25">
      <c r="A30" s="83">
        <v>24</v>
      </c>
      <c r="B30" s="84">
        <v>2021</v>
      </c>
      <c r="C30" s="85" t="s">
        <v>824</v>
      </c>
      <c r="D30" s="86" t="s">
        <v>825</v>
      </c>
      <c r="E30" s="86" t="s">
        <v>758</v>
      </c>
      <c r="F30" s="87">
        <v>44351</v>
      </c>
      <c r="G30" s="87">
        <v>45317</v>
      </c>
      <c r="H30" s="88">
        <f t="shared" si="3"/>
        <v>10.733333333333333</v>
      </c>
      <c r="I30" s="89" t="s">
        <v>759</v>
      </c>
      <c r="J30" s="90" t="s">
        <v>751</v>
      </c>
      <c r="K30" s="90" t="s">
        <v>752</v>
      </c>
      <c r="L30" s="90" t="s">
        <v>753</v>
      </c>
      <c r="M30" s="91" t="s">
        <v>826</v>
      </c>
      <c r="N30" s="92" t="s">
        <v>827</v>
      </c>
      <c r="O30" s="85">
        <v>2910906743</v>
      </c>
      <c r="P30" s="93">
        <f>+_xlfn.XLOOKUP(O30,'[3]Benef Primera fecha '!$C:$C,'[3]Benef Primera fecha '!$E:$E,0)</f>
        <v>577046931</v>
      </c>
      <c r="Q30" s="93">
        <v>0</v>
      </c>
      <c r="R30" s="94">
        <f t="shared" si="4"/>
        <v>577046931</v>
      </c>
      <c r="S30" s="95">
        <v>0.12</v>
      </c>
      <c r="T30" s="94">
        <f t="shared" si="5"/>
        <v>61826456.892857134</v>
      </c>
      <c r="U30" s="117">
        <v>524769705.19999999</v>
      </c>
      <c r="V30" s="117">
        <v>0</v>
      </c>
      <c r="W30" s="94">
        <f t="shared" si="6"/>
        <v>0</v>
      </c>
      <c r="X30" s="94">
        <f t="shared" si="7"/>
        <v>0</v>
      </c>
      <c r="Y30" s="94">
        <f t="shared" si="8"/>
        <v>0</v>
      </c>
      <c r="Z30" s="93">
        <f>_xlfn.XLOOKUP(O30,'[4]2DO TRIMESTRE'!$C:$C,'[4]2DO TRIMESTRE'!$I:$I,0,0)</f>
        <v>0</v>
      </c>
      <c r="AA30" s="94">
        <f t="shared" si="9"/>
        <v>0</v>
      </c>
      <c r="AB30" s="94">
        <f t="shared" si="10"/>
        <v>0</v>
      </c>
      <c r="AC30" s="94">
        <f t="shared" si="11"/>
        <v>0</v>
      </c>
      <c r="AD30" s="93">
        <v>0</v>
      </c>
      <c r="AE30" s="94">
        <f t="shared" si="12"/>
        <v>0</v>
      </c>
      <c r="AF30" s="94">
        <f t="shared" si="13"/>
        <v>0</v>
      </c>
      <c r="AG30" s="94">
        <f t="shared" si="14"/>
        <v>0</v>
      </c>
      <c r="AH30" s="117">
        <v>0</v>
      </c>
      <c r="AI30" s="94">
        <f t="shared" si="15"/>
        <v>0</v>
      </c>
      <c r="AJ30" s="94">
        <f t="shared" si="16"/>
        <v>0</v>
      </c>
      <c r="AK30" s="94">
        <f t="shared" si="17"/>
        <v>0</v>
      </c>
      <c r="AL30" s="93">
        <v>5288324</v>
      </c>
      <c r="AM30" s="93">
        <f t="shared" si="18"/>
        <v>0</v>
      </c>
      <c r="AN30" s="155"/>
      <c r="AO30" s="155"/>
    </row>
    <row r="31" spans="1:41" s="9" customFormat="1" ht="25.15" customHeight="1" x14ac:dyDescent="0.25">
      <c r="A31" s="83">
        <v>25</v>
      </c>
      <c r="B31" s="84">
        <v>2021</v>
      </c>
      <c r="C31" s="85" t="s">
        <v>828</v>
      </c>
      <c r="D31" s="86" t="s">
        <v>829</v>
      </c>
      <c r="E31" s="86" t="s">
        <v>777</v>
      </c>
      <c r="F31" s="87">
        <v>44355</v>
      </c>
      <c r="G31" s="87">
        <v>44561</v>
      </c>
      <c r="H31" s="88">
        <f t="shared" si="3"/>
        <v>2.2888888888888888</v>
      </c>
      <c r="I31" s="89" t="s">
        <v>750</v>
      </c>
      <c r="J31" s="90" t="s">
        <v>751</v>
      </c>
      <c r="K31" s="90" t="s">
        <v>752</v>
      </c>
      <c r="L31" s="90" t="s">
        <v>753</v>
      </c>
      <c r="M31" s="91" t="s">
        <v>830</v>
      </c>
      <c r="N31" s="92" t="s">
        <v>831</v>
      </c>
      <c r="O31" s="85">
        <v>2453018313</v>
      </c>
      <c r="P31" s="93">
        <f>+_xlfn.XLOOKUP(O31,'[3]Benef Primera fecha '!$C:$C,'[3]Benef Primera fecha '!$E:$E,0)</f>
        <v>419170248</v>
      </c>
      <c r="Q31" s="93">
        <v>209552512</v>
      </c>
      <c r="R31" s="94">
        <f t="shared" si="4"/>
        <v>628722760</v>
      </c>
      <c r="S31" s="95">
        <v>0.12</v>
      </c>
      <c r="T31" s="94">
        <f t="shared" si="5"/>
        <v>67363152.857142851</v>
      </c>
      <c r="U31" s="117">
        <v>543477013</v>
      </c>
      <c r="V31" s="117">
        <v>0</v>
      </c>
      <c r="W31" s="94">
        <f t="shared" si="6"/>
        <v>0</v>
      </c>
      <c r="X31" s="94">
        <f t="shared" si="7"/>
        <v>0</v>
      </c>
      <c r="Y31" s="94">
        <f t="shared" si="8"/>
        <v>0</v>
      </c>
      <c r="Z31" s="93">
        <f>_xlfn.XLOOKUP(O31,'[4]2DO TRIMESTRE'!$C:$C,'[4]2DO TRIMESTRE'!$I:$I,0,0)</f>
        <v>0</v>
      </c>
      <c r="AA31" s="94">
        <f t="shared" si="9"/>
        <v>0</v>
      </c>
      <c r="AB31" s="94">
        <f t="shared" si="10"/>
        <v>0</v>
      </c>
      <c r="AC31" s="94">
        <f t="shared" si="11"/>
        <v>0</v>
      </c>
      <c r="AD31" s="93">
        <v>0</v>
      </c>
      <c r="AE31" s="94">
        <f t="shared" si="12"/>
        <v>0</v>
      </c>
      <c r="AF31" s="94">
        <f t="shared" si="13"/>
        <v>0</v>
      </c>
      <c r="AG31" s="94">
        <f t="shared" si="14"/>
        <v>0</v>
      </c>
      <c r="AH31" s="117">
        <v>0</v>
      </c>
      <c r="AI31" s="94">
        <f t="shared" si="15"/>
        <v>0</v>
      </c>
      <c r="AJ31" s="94">
        <f t="shared" si="16"/>
        <v>0</v>
      </c>
      <c r="AK31" s="94">
        <f t="shared" si="17"/>
        <v>0</v>
      </c>
      <c r="AL31" s="93">
        <v>58229680</v>
      </c>
      <c r="AM31" s="93">
        <f t="shared" si="18"/>
        <v>0</v>
      </c>
      <c r="AN31" s="155"/>
      <c r="AO31" s="155"/>
    </row>
    <row r="32" spans="1:41" s="9" customFormat="1" ht="25.15" customHeight="1" x14ac:dyDescent="0.25">
      <c r="A32" s="83">
        <v>26</v>
      </c>
      <c r="B32" s="84">
        <v>2021</v>
      </c>
      <c r="C32" s="85" t="s">
        <v>832</v>
      </c>
      <c r="D32" s="86" t="s">
        <v>833</v>
      </c>
      <c r="E32" s="86" t="s">
        <v>758</v>
      </c>
      <c r="F32" s="87">
        <v>44356</v>
      </c>
      <c r="G32" s="87">
        <v>45464</v>
      </c>
      <c r="H32" s="88">
        <f t="shared" si="3"/>
        <v>12.311111111111112</v>
      </c>
      <c r="I32" s="89" t="s">
        <v>759</v>
      </c>
      <c r="J32" s="90" t="s">
        <v>751</v>
      </c>
      <c r="K32" s="90" t="s">
        <v>752</v>
      </c>
      <c r="L32" s="90" t="s">
        <v>834</v>
      </c>
      <c r="M32" s="91" t="s">
        <v>835</v>
      </c>
      <c r="N32" s="92" t="s">
        <v>836</v>
      </c>
      <c r="O32" s="85">
        <v>2910906742</v>
      </c>
      <c r="P32" s="93">
        <f>+_xlfn.XLOOKUP(O32,'[3]Benef Primera fecha '!$C:$C,'[3]Benef Primera fecha '!$E:$E,0)</f>
        <v>7279682085</v>
      </c>
      <c r="Q32" s="93">
        <v>1980000000</v>
      </c>
      <c r="R32" s="94">
        <f t="shared" si="4"/>
        <v>9259682085</v>
      </c>
      <c r="S32" s="95">
        <v>0.12</v>
      </c>
      <c r="T32" s="94">
        <f t="shared" si="5"/>
        <v>992108794.82142842</v>
      </c>
      <c r="U32" s="117">
        <v>6813745669</v>
      </c>
      <c r="V32" s="117">
        <v>0</v>
      </c>
      <c r="W32" s="94">
        <f t="shared" si="6"/>
        <v>0</v>
      </c>
      <c r="X32" s="94">
        <f t="shared" si="7"/>
        <v>0</v>
      </c>
      <c r="Y32" s="94">
        <f t="shared" si="8"/>
        <v>0</v>
      </c>
      <c r="Z32" s="93">
        <f>_xlfn.XLOOKUP(O32,'[4]2DO TRIMESTRE'!$C:$C,'[4]2DO TRIMESTRE'!$I:$I,0,0)</f>
        <v>0</v>
      </c>
      <c r="AA32" s="94">
        <f t="shared" si="9"/>
        <v>0</v>
      </c>
      <c r="AB32" s="94">
        <f t="shared" si="10"/>
        <v>0</v>
      </c>
      <c r="AC32" s="94">
        <f t="shared" si="11"/>
        <v>0</v>
      </c>
      <c r="AD32" s="93">
        <v>0</v>
      </c>
      <c r="AE32" s="94">
        <f t="shared" si="12"/>
        <v>0</v>
      </c>
      <c r="AF32" s="94">
        <f t="shared" si="13"/>
        <v>0</v>
      </c>
      <c r="AG32" s="94">
        <f t="shared" si="14"/>
        <v>0</v>
      </c>
      <c r="AH32" s="117">
        <v>0</v>
      </c>
      <c r="AI32" s="94">
        <f t="shared" si="15"/>
        <v>0</v>
      </c>
      <c r="AJ32" s="94">
        <f t="shared" si="16"/>
        <v>0</v>
      </c>
      <c r="AK32" s="94">
        <f t="shared" si="17"/>
        <v>0</v>
      </c>
      <c r="AL32" s="93">
        <v>730044178.95282996</v>
      </c>
      <c r="AM32" s="93">
        <f t="shared" si="18"/>
        <v>0</v>
      </c>
      <c r="AN32" s="155"/>
      <c r="AO32" s="155"/>
    </row>
    <row r="33" spans="1:41" s="9" customFormat="1" ht="25.15" customHeight="1" x14ac:dyDescent="0.25">
      <c r="A33" s="83">
        <v>27</v>
      </c>
      <c r="B33" s="84">
        <v>2021</v>
      </c>
      <c r="C33" s="85" t="s">
        <v>814</v>
      </c>
      <c r="D33" s="86" t="s">
        <v>837</v>
      </c>
      <c r="E33" s="86" t="s">
        <v>758</v>
      </c>
      <c r="F33" s="87">
        <v>44362</v>
      </c>
      <c r="G33" s="87">
        <v>44848</v>
      </c>
      <c r="H33" s="88">
        <f t="shared" si="3"/>
        <v>5.4</v>
      </c>
      <c r="I33" s="89" t="s">
        <v>759</v>
      </c>
      <c r="J33" s="90" t="s">
        <v>751</v>
      </c>
      <c r="K33" s="90" t="s">
        <v>752</v>
      </c>
      <c r="L33" s="90" t="s">
        <v>753</v>
      </c>
      <c r="M33" s="91" t="s">
        <v>768</v>
      </c>
      <c r="N33" s="92" t="s">
        <v>838</v>
      </c>
      <c r="O33" s="85">
        <v>2910906744</v>
      </c>
      <c r="P33" s="93">
        <v>63454623</v>
      </c>
      <c r="Q33" s="93">
        <v>0</v>
      </c>
      <c r="R33" s="94">
        <f t="shared" si="4"/>
        <v>63454623</v>
      </c>
      <c r="S33" s="95">
        <v>0</v>
      </c>
      <c r="T33" s="94">
        <f t="shared" si="5"/>
        <v>0</v>
      </c>
      <c r="U33" s="117">
        <v>0</v>
      </c>
      <c r="V33" s="117">
        <v>0</v>
      </c>
      <c r="W33" s="94">
        <f t="shared" si="6"/>
        <v>0</v>
      </c>
      <c r="X33" s="94">
        <f t="shared" si="7"/>
        <v>0</v>
      </c>
      <c r="Y33" s="94">
        <f t="shared" si="8"/>
        <v>0</v>
      </c>
      <c r="Z33" s="93">
        <f>_xlfn.XLOOKUP(O33,'[4]2DO TRIMESTRE'!$C:$C,'[4]2DO TRIMESTRE'!$I:$I,0,0)</f>
        <v>0</v>
      </c>
      <c r="AA33" s="94">
        <f t="shared" si="9"/>
        <v>0</v>
      </c>
      <c r="AB33" s="94">
        <f t="shared" si="10"/>
        <v>0</v>
      </c>
      <c r="AC33" s="94">
        <f t="shared" si="11"/>
        <v>0</v>
      </c>
      <c r="AD33" s="93">
        <v>0</v>
      </c>
      <c r="AE33" s="94">
        <f t="shared" si="12"/>
        <v>0</v>
      </c>
      <c r="AF33" s="94">
        <f t="shared" si="13"/>
        <v>0</v>
      </c>
      <c r="AG33" s="94">
        <f t="shared" si="14"/>
        <v>0</v>
      </c>
      <c r="AH33" s="117">
        <v>0</v>
      </c>
      <c r="AI33" s="94">
        <f t="shared" si="15"/>
        <v>0</v>
      </c>
      <c r="AJ33" s="94">
        <f t="shared" si="16"/>
        <v>0</v>
      </c>
      <c r="AK33" s="94">
        <f t="shared" si="17"/>
        <v>0</v>
      </c>
      <c r="AL33" s="93">
        <v>0</v>
      </c>
      <c r="AM33" s="93">
        <f t="shared" si="18"/>
        <v>0</v>
      </c>
      <c r="AN33" s="155" t="s">
        <v>800</v>
      </c>
      <c r="AO33" s="155" t="s">
        <v>800</v>
      </c>
    </row>
    <row r="34" spans="1:41" s="9" customFormat="1" ht="25.15" customHeight="1" x14ac:dyDescent="0.25">
      <c r="A34" s="83">
        <v>28</v>
      </c>
      <c r="B34" s="84">
        <v>2021</v>
      </c>
      <c r="C34" s="85" t="s">
        <v>839</v>
      </c>
      <c r="D34" s="86" t="s">
        <v>840</v>
      </c>
      <c r="E34" s="86" t="s">
        <v>758</v>
      </c>
      <c r="F34" s="87">
        <v>44379</v>
      </c>
      <c r="G34" s="87">
        <v>44592</v>
      </c>
      <c r="H34" s="88">
        <f t="shared" si="3"/>
        <v>2.3666666666666667</v>
      </c>
      <c r="I34" s="89" t="s">
        <v>750</v>
      </c>
      <c r="J34" s="90" t="s">
        <v>751</v>
      </c>
      <c r="K34" s="90" t="s">
        <v>752</v>
      </c>
      <c r="L34" s="90" t="s">
        <v>753</v>
      </c>
      <c r="M34" s="91" t="s">
        <v>841</v>
      </c>
      <c r="N34" s="92" t="s">
        <v>842</v>
      </c>
      <c r="O34" s="85">
        <v>2453018315</v>
      </c>
      <c r="P34" s="93">
        <f>+_xlfn.XLOOKUP(O34,'[3]Benef Primera fecha '!$C:$C,'[3]Benef Primera fecha '!$E:$E,0)</f>
        <v>1518787008</v>
      </c>
      <c r="Q34" s="93">
        <v>0</v>
      </c>
      <c r="R34" s="94">
        <f t="shared" si="4"/>
        <v>1518787008</v>
      </c>
      <c r="S34" s="95">
        <v>0.12000000000983115</v>
      </c>
      <c r="T34" s="94">
        <f t="shared" si="5"/>
        <v>162727179.44047466</v>
      </c>
      <c r="U34" s="117">
        <v>1248942571</v>
      </c>
      <c r="V34" s="117">
        <v>0</v>
      </c>
      <c r="W34" s="94">
        <f t="shared" si="6"/>
        <v>0</v>
      </c>
      <c r="X34" s="94">
        <f t="shared" si="7"/>
        <v>0</v>
      </c>
      <c r="Y34" s="94">
        <f t="shared" si="8"/>
        <v>0</v>
      </c>
      <c r="Z34" s="93">
        <f>_xlfn.XLOOKUP(O34,'[4]2DO TRIMESTRE'!$C:$C,'[4]2DO TRIMESTRE'!$I:$I,0,0)</f>
        <v>0</v>
      </c>
      <c r="AA34" s="94">
        <f t="shared" si="9"/>
        <v>0</v>
      </c>
      <c r="AB34" s="94">
        <f t="shared" si="10"/>
        <v>0</v>
      </c>
      <c r="AC34" s="94">
        <f t="shared" si="11"/>
        <v>0</v>
      </c>
      <c r="AD34" s="93">
        <v>0</v>
      </c>
      <c r="AE34" s="94">
        <f t="shared" si="12"/>
        <v>0</v>
      </c>
      <c r="AF34" s="94">
        <f t="shared" si="13"/>
        <v>0</v>
      </c>
      <c r="AG34" s="94">
        <f t="shared" si="14"/>
        <v>0</v>
      </c>
      <c r="AH34" s="117">
        <v>0</v>
      </c>
      <c r="AI34" s="94">
        <f t="shared" si="15"/>
        <v>0</v>
      </c>
      <c r="AJ34" s="94">
        <f t="shared" si="16"/>
        <v>0</v>
      </c>
      <c r="AK34" s="94">
        <f t="shared" si="17"/>
        <v>0</v>
      </c>
      <c r="AL34" s="93">
        <v>149761919</v>
      </c>
      <c r="AM34" s="93">
        <f t="shared" si="18"/>
        <v>0</v>
      </c>
      <c r="AN34" s="155"/>
      <c r="AO34" s="155"/>
    </row>
    <row r="35" spans="1:41" s="9" customFormat="1" ht="25.15" customHeight="1" x14ac:dyDescent="0.25">
      <c r="A35" s="83">
        <v>29</v>
      </c>
      <c r="B35" s="84">
        <v>2021</v>
      </c>
      <c r="C35" s="85" t="s">
        <v>843</v>
      </c>
      <c r="D35" s="86" t="s">
        <v>844</v>
      </c>
      <c r="E35" s="86" t="s">
        <v>758</v>
      </c>
      <c r="F35" s="87">
        <v>44379</v>
      </c>
      <c r="G35" s="87">
        <v>44537</v>
      </c>
      <c r="H35" s="88">
        <f t="shared" si="3"/>
        <v>1.7555555555555555</v>
      </c>
      <c r="I35" s="89" t="s">
        <v>750</v>
      </c>
      <c r="J35" s="90" t="s">
        <v>751</v>
      </c>
      <c r="K35" s="90" t="s">
        <v>752</v>
      </c>
      <c r="L35" s="90" t="s">
        <v>753</v>
      </c>
      <c r="M35" s="91" t="s">
        <v>768</v>
      </c>
      <c r="N35" s="92" t="s">
        <v>845</v>
      </c>
      <c r="O35" s="85">
        <v>2910906746</v>
      </c>
      <c r="P35" s="93">
        <f>+_xlfn.XLOOKUP(O35,'[3]Benef Primera fecha '!$C:$C,'[3]Benef Primera fecha '!$E:$E,0)</f>
        <v>450000000</v>
      </c>
      <c r="Q35" s="93">
        <v>0</v>
      </c>
      <c r="R35" s="94">
        <f t="shared" si="4"/>
        <v>450000000</v>
      </c>
      <c r="S35" s="95">
        <v>0.12</v>
      </c>
      <c r="T35" s="94">
        <f t="shared" si="5"/>
        <v>48214285.714285709</v>
      </c>
      <c r="U35" s="117">
        <v>450000000</v>
      </c>
      <c r="V35" s="117">
        <v>0</v>
      </c>
      <c r="W35" s="94">
        <f t="shared" si="6"/>
        <v>0</v>
      </c>
      <c r="X35" s="94">
        <f t="shared" si="7"/>
        <v>0</v>
      </c>
      <c r="Y35" s="94">
        <f t="shared" si="8"/>
        <v>0</v>
      </c>
      <c r="Z35" s="93">
        <f>_xlfn.XLOOKUP(O35,'[4]2DO TRIMESTRE'!$C:$C,'[4]2DO TRIMESTRE'!$I:$I,0,0)</f>
        <v>0</v>
      </c>
      <c r="AA35" s="94">
        <f t="shared" si="9"/>
        <v>0</v>
      </c>
      <c r="AB35" s="94">
        <f t="shared" si="10"/>
        <v>0</v>
      </c>
      <c r="AC35" s="94">
        <f t="shared" si="11"/>
        <v>0</v>
      </c>
      <c r="AD35" s="93">
        <v>0</v>
      </c>
      <c r="AE35" s="94">
        <f t="shared" si="12"/>
        <v>0</v>
      </c>
      <c r="AF35" s="94">
        <f t="shared" si="13"/>
        <v>0</v>
      </c>
      <c r="AG35" s="94">
        <f t="shared" si="14"/>
        <v>0</v>
      </c>
      <c r="AH35" s="117">
        <v>0</v>
      </c>
      <c r="AI35" s="94">
        <f t="shared" si="15"/>
        <v>0</v>
      </c>
      <c r="AJ35" s="94">
        <f t="shared" si="16"/>
        <v>0</v>
      </c>
      <c r="AK35" s="94">
        <f t="shared" si="17"/>
        <v>0</v>
      </c>
      <c r="AL35" s="93">
        <v>48214286</v>
      </c>
      <c r="AM35" s="93">
        <f t="shared" si="18"/>
        <v>0</v>
      </c>
      <c r="AN35" s="155"/>
      <c r="AO35" s="155"/>
    </row>
    <row r="36" spans="1:41" s="9" customFormat="1" ht="25.15" customHeight="1" x14ac:dyDescent="0.25">
      <c r="A36" s="83">
        <v>30</v>
      </c>
      <c r="B36" s="84">
        <v>2021</v>
      </c>
      <c r="C36" s="85" t="s">
        <v>846</v>
      </c>
      <c r="D36" s="86" t="s">
        <v>847</v>
      </c>
      <c r="E36" s="86" t="s">
        <v>758</v>
      </c>
      <c r="F36" s="87">
        <v>44384</v>
      </c>
      <c r="G36" s="87">
        <v>44794</v>
      </c>
      <c r="H36" s="88">
        <f t="shared" si="3"/>
        <v>4.5555555555555554</v>
      </c>
      <c r="I36" s="89" t="s">
        <v>750</v>
      </c>
      <c r="J36" s="90" t="s">
        <v>751</v>
      </c>
      <c r="K36" s="90" t="s">
        <v>752</v>
      </c>
      <c r="L36" s="90" t="s">
        <v>753</v>
      </c>
      <c r="M36" s="91" t="s">
        <v>768</v>
      </c>
      <c r="N36" s="92" t="s">
        <v>848</v>
      </c>
      <c r="O36" s="85">
        <v>2910906749</v>
      </c>
      <c r="P36" s="93">
        <f>+_xlfn.XLOOKUP(O36,'[3]Benef Primera fecha '!$C:$C,'[3]Benef Primera fecha '!$E:$E,0)</f>
        <v>87371000</v>
      </c>
      <c r="Q36" s="93">
        <v>43680000</v>
      </c>
      <c r="R36" s="94">
        <f t="shared" si="4"/>
        <v>131051000</v>
      </c>
      <c r="S36" s="95">
        <v>0.12</v>
      </c>
      <c r="T36" s="94">
        <f>(R36/(1+S36))*S36</f>
        <v>14041178.571428569</v>
      </c>
      <c r="U36" s="117">
        <v>131051000</v>
      </c>
      <c r="V36" s="117">
        <v>0</v>
      </c>
      <c r="W36" s="94">
        <f t="shared" si="6"/>
        <v>0</v>
      </c>
      <c r="X36" s="94">
        <f t="shared" si="7"/>
        <v>0</v>
      </c>
      <c r="Y36" s="94">
        <f t="shared" si="8"/>
        <v>0</v>
      </c>
      <c r="Z36" s="93">
        <f>_xlfn.XLOOKUP(O36,'[4]2DO TRIMESTRE'!$C:$C,'[4]2DO TRIMESTRE'!$I:$I,0,0)</f>
        <v>0</v>
      </c>
      <c r="AA36" s="94">
        <f t="shared" si="9"/>
        <v>0</v>
      </c>
      <c r="AB36" s="94">
        <f t="shared" si="10"/>
        <v>0</v>
      </c>
      <c r="AC36" s="94">
        <f t="shared" si="11"/>
        <v>0</v>
      </c>
      <c r="AD36" s="93">
        <v>0</v>
      </c>
      <c r="AE36" s="94">
        <f t="shared" si="12"/>
        <v>0</v>
      </c>
      <c r="AF36" s="94">
        <f t="shared" si="13"/>
        <v>0</v>
      </c>
      <c r="AG36" s="94">
        <f t="shared" si="14"/>
        <v>0</v>
      </c>
      <c r="AH36" s="117">
        <v>0</v>
      </c>
      <c r="AI36" s="94">
        <f t="shared" si="15"/>
        <v>0</v>
      </c>
      <c r="AJ36" s="94">
        <f t="shared" si="16"/>
        <v>0</v>
      </c>
      <c r="AK36" s="94">
        <f t="shared" si="17"/>
        <v>0</v>
      </c>
      <c r="AL36" s="93">
        <v>14041179</v>
      </c>
      <c r="AM36" s="93">
        <f t="shared" si="18"/>
        <v>0</v>
      </c>
      <c r="AN36" s="155"/>
      <c r="AO36" s="155"/>
    </row>
    <row r="37" spans="1:41" s="9" customFormat="1" ht="25.15" customHeight="1" x14ac:dyDescent="0.25">
      <c r="A37" s="83">
        <v>31</v>
      </c>
      <c r="B37" s="84">
        <v>2021</v>
      </c>
      <c r="C37" s="85" t="s">
        <v>747</v>
      </c>
      <c r="D37" s="86" t="s">
        <v>849</v>
      </c>
      <c r="E37" s="86" t="s">
        <v>749</v>
      </c>
      <c r="F37" s="87">
        <v>44400</v>
      </c>
      <c r="G37" s="87">
        <v>44522</v>
      </c>
      <c r="H37" s="88">
        <f t="shared" si="3"/>
        <v>1.3555555555555556</v>
      </c>
      <c r="I37" s="89" t="s">
        <v>750</v>
      </c>
      <c r="J37" s="90" t="s">
        <v>751</v>
      </c>
      <c r="K37" s="90" t="s">
        <v>752</v>
      </c>
      <c r="L37" s="90" t="s">
        <v>753</v>
      </c>
      <c r="M37" s="91" t="s">
        <v>754</v>
      </c>
      <c r="N37" s="92" t="s">
        <v>850</v>
      </c>
      <c r="O37" s="85">
        <v>2910908040</v>
      </c>
      <c r="P37" s="93">
        <f>+_xlfn.XLOOKUP(O37,'[3]Benef Primera fecha '!$C:$C,'[3]Benef Primera fecha '!$E:$E,0)</f>
        <v>92700000</v>
      </c>
      <c r="Q37" s="93">
        <v>0</v>
      </c>
      <c r="R37" s="94">
        <f t="shared" si="4"/>
        <v>92700000</v>
      </c>
      <c r="S37" s="95">
        <v>0.12</v>
      </c>
      <c r="T37" s="94">
        <f t="shared" si="5"/>
        <v>9932142.8571428563</v>
      </c>
      <c r="U37" s="117">
        <v>92700000</v>
      </c>
      <c r="V37" s="117">
        <v>0</v>
      </c>
      <c r="W37" s="94">
        <f t="shared" si="6"/>
        <v>0</v>
      </c>
      <c r="X37" s="94">
        <f t="shared" si="7"/>
        <v>0</v>
      </c>
      <c r="Y37" s="94">
        <f t="shared" si="8"/>
        <v>0</v>
      </c>
      <c r="Z37" s="93">
        <f>_xlfn.XLOOKUP(O37,'[4]2DO TRIMESTRE'!$C:$C,'[4]2DO TRIMESTRE'!$I:$I,0,0)</f>
        <v>0</v>
      </c>
      <c r="AA37" s="94">
        <f t="shared" si="9"/>
        <v>0</v>
      </c>
      <c r="AB37" s="94">
        <f t="shared" si="10"/>
        <v>0</v>
      </c>
      <c r="AC37" s="94">
        <f t="shared" si="11"/>
        <v>0</v>
      </c>
      <c r="AD37" s="93">
        <v>0</v>
      </c>
      <c r="AE37" s="94">
        <f t="shared" si="12"/>
        <v>0</v>
      </c>
      <c r="AF37" s="94">
        <f t="shared" si="13"/>
        <v>0</v>
      </c>
      <c r="AG37" s="94">
        <f t="shared" si="14"/>
        <v>0</v>
      </c>
      <c r="AH37" s="117">
        <v>0</v>
      </c>
      <c r="AI37" s="94">
        <f t="shared" si="15"/>
        <v>0</v>
      </c>
      <c r="AJ37" s="94">
        <f t="shared" si="16"/>
        <v>0</v>
      </c>
      <c r="AK37" s="94">
        <f t="shared" si="17"/>
        <v>0</v>
      </c>
      <c r="AL37" s="93">
        <v>9932143</v>
      </c>
      <c r="AM37" s="93">
        <f t="shared" si="18"/>
        <v>0</v>
      </c>
      <c r="AN37" s="155"/>
      <c r="AO37" s="155"/>
    </row>
    <row r="38" spans="1:41" s="9" customFormat="1" ht="25.15" customHeight="1" x14ac:dyDescent="0.25">
      <c r="A38" s="83">
        <v>32</v>
      </c>
      <c r="B38" s="84">
        <v>2021</v>
      </c>
      <c r="C38" s="85" t="s">
        <v>851</v>
      </c>
      <c r="D38" s="86" t="s">
        <v>852</v>
      </c>
      <c r="E38" s="86" t="s">
        <v>758</v>
      </c>
      <c r="F38" s="87">
        <v>44403</v>
      </c>
      <c r="G38" s="87">
        <v>44681</v>
      </c>
      <c r="H38" s="88">
        <f t="shared" si="3"/>
        <v>3.088888888888889</v>
      </c>
      <c r="I38" s="89" t="s">
        <v>750</v>
      </c>
      <c r="J38" s="90" t="s">
        <v>751</v>
      </c>
      <c r="K38" s="90" t="s">
        <v>752</v>
      </c>
      <c r="L38" s="90" t="s">
        <v>753</v>
      </c>
      <c r="M38" s="91" t="s">
        <v>768</v>
      </c>
      <c r="N38" s="92" t="s">
        <v>853</v>
      </c>
      <c r="O38" s="85">
        <v>2910906752</v>
      </c>
      <c r="P38" s="93">
        <f>+_xlfn.XLOOKUP(O38,'[3]Benef Primera fecha '!$C:$C,'[3]Benef Primera fecha '!$E:$E,0)</f>
        <v>858400000</v>
      </c>
      <c r="Q38" s="93">
        <v>0</v>
      </c>
      <c r="R38" s="94">
        <f t="shared" si="4"/>
        <v>858400000</v>
      </c>
      <c r="S38" s="95">
        <v>0.12</v>
      </c>
      <c r="T38" s="94">
        <f t="shared" si="5"/>
        <v>91971428.571428552</v>
      </c>
      <c r="U38" s="117">
        <v>858400000</v>
      </c>
      <c r="V38" s="117">
        <v>0</v>
      </c>
      <c r="W38" s="94">
        <f t="shared" si="6"/>
        <v>0</v>
      </c>
      <c r="X38" s="94">
        <f t="shared" si="7"/>
        <v>0</v>
      </c>
      <c r="Y38" s="94">
        <f t="shared" si="8"/>
        <v>0</v>
      </c>
      <c r="Z38" s="93">
        <f>_xlfn.XLOOKUP(O38,'[4]2DO TRIMESTRE'!$C:$C,'[4]2DO TRIMESTRE'!$I:$I,0,0)</f>
        <v>0</v>
      </c>
      <c r="AA38" s="94">
        <f t="shared" si="9"/>
        <v>0</v>
      </c>
      <c r="AB38" s="94">
        <f t="shared" si="10"/>
        <v>0</v>
      </c>
      <c r="AC38" s="94">
        <f t="shared" si="11"/>
        <v>0</v>
      </c>
      <c r="AD38" s="93">
        <v>0</v>
      </c>
      <c r="AE38" s="94">
        <f t="shared" si="12"/>
        <v>0</v>
      </c>
      <c r="AF38" s="94">
        <f t="shared" si="13"/>
        <v>0</v>
      </c>
      <c r="AG38" s="94">
        <f t="shared" si="14"/>
        <v>0</v>
      </c>
      <c r="AH38" s="117">
        <v>0</v>
      </c>
      <c r="AI38" s="94">
        <f t="shared" si="15"/>
        <v>0</v>
      </c>
      <c r="AJ38" s="94">
        <f t="shared" si="16"/>
        <v>0</v>
      </c>
      <c r="AK38" s="94">
        <f t="shared" si="17"/>
        <v>0</v>
      </c>
      <c r="AL38" s="93">
        <v>91971429</v>
      </c>
      <c r="AM38" s="93">
        <f t="shared" si="18"/>
        <v>0</v>
      </c>
      <c r="AN38" s="155"/>
      <c r="AO38" s="155"/>
    </row>
    <row r="39" spans="1:41" s="9" customFormat="1" ht="25.15" customHeight="1" x14ac:dyDescent="0.25">
      <c r="A39" s="83">
        <v>33</v>
      </c>
      <c r="B39" s="84">
        <v>2021</v>
      </c>
      <c r="C39" s="85" t="s">
        <v>854</v>
      </c>
      <c r="D39" s="86" t="s">
        <v>855</v>
      </c>
      <c r="E39" s="86" t="s">
        <v>758</v>
      </c>
      <c r="F39" s="87">
        <v>44403</v>
      </c>
      <c r="G39" s="87">
        <v>44540</v>
      </c>
      <c r="H39" s="88">
        <f t="shared" si="3"/>
        <v>1.5222222222222221</v>
      </c>
      <c r="I39" s="89" t="s">
        <v>767</v>
      </c>
      <c r="J39" s="90" t="s">
        <v>751</v>
      </c>
      <c r="K39" s="90" t="s">
        <v>752</v>
      </c>
      <c r="L39" s="90" t="s">
        <v>753</v>
      </c>
      <c r="M39" s="91" t="s">
        <v>754</v>
      </c>
      <c r="N39" s="92" t="s">
        <v>856</v>
      </c>
      <c r="O39" s="85">
        <v>2910906748</v>
      </c>
      <c r="P39" s="93">
        <f>+_xlfn.XLOOKUP(O39,'[3]Benef Primera fecha '!$C:$C,'[3]Benef Primera fecha '!$E:$E,0)</f>
        <v>116000000</v>
      </c>
      <c r="Q39" s="93">
        <v>0</v>
      </c>
      <c r="R39" s="94">
        <f t="shared" si="4"/>
        <v>116000000</v>
      </c>
      <c r="S39" s="95">
        <v>0.12</v>
      </c>
      <c r="T39" s="94">
        <f t="shared" si="5"/>
        <v>12428571.428571427</v>
      </c>
      <c r="U39" s="117">
        <v>115759880</v>
      </c>
      <c r="V39" s="117">
        <v>0</v>
      </c>
      <c r="W39" s="94">
        <f t="shared" si="6"/>
        <v>0</v>
      </c>
      <c r="X39" s="94">
        <f t="shared" si="7"/>
        <v>0</v>
      </c>
      <c r="Y39" s="94">
        <f t="shared" si="8"/>
        <v>0</v>
      </c>
      <c r="Z39" s="93">
        <f>_xlfn.XLOOKUP(O39,'[4]2DO TRIMESTRE'!$C:$C,'[4]2DO TRIMESTRE'!$I:$I,0,0)</f>
        <v>0</v>
      </c>
      <c r="AA39" s="94">
        <f t="shared" si="9"/>
        <v>0</v>
      </c>
      <c r="AB39" s="94">
        <f t="shared" si="10"/>
        <v>0</v>
      </c>
      <c r="AC39" s="94">
        <f t="shared" si="11"/>
        <v>0</v>
      </c>
      <c r="AD39" s="93">
        <v>0</v>
      </c>
      <c r="AE39" s="94">
        <f t="shared" si="12"/>
        <v>0</v>
      </c>
      <c r="AF39" s="94">
        <f t="shared" si="13"/>
        <v>0</v>
      </c>
      <c r="AG39" s="94">
        <f t="shared" si="14"/>
        <v>0</v>
      </c>
      <c r="AH39" s="117">
        <v>0</v>
      </c>
      <c r="AI39" s="94">
        <f t="shared" si="15"/>
        <v>0</v>
      </c>
      <c r="AJ39" s="94">
        <f t="shared" si="16"/>
        <v>0</v>
      </c>
      <c r="AK39" s="94">
        <f t="shared" si="17"/>
        <v>0</v>
      </c>
      <c r="AL39" s="93">
        <v>12402844</v>
      </c>
      <c r="AM39" s="93">
        <f t="shared" si="18"/>
        <v>0</v>
      </c>
      <c r="AN39" s="155"/>
      <c r="AO39" s="155"/>
    </row>
    <row r="40" spans="1:41" s="9" customFormat="1" ht="25.15" customHeight="1" x14ac:dyDescent="0.25">
      <c r="A40" s="83">
        <v>34</v>
      </c>
      <c r="B40" s="84">
        <v>2021</v>
      </c>
      <c r="C40" s="85" t="s">
        <v>857</v>
      </c>
      <c r="D40" s="86" t="s">
        <v>858</v>
      </c>
      <c r="E40" s="86" t="s">
        <v>758</v>
      </c>
      <c r="F40" s="87">
        <v>44407</v>
      </c>
      <c r="G40" s="87">
        <v>44593</v>
      </c>
      <c r="H40" s="88">
        <f t="shared" si="3"/>
        <v>2.0666666666666669</v>
      </c>
      <c r="I40" s="89" t="s">
        <v>750</v>
      </c>
      <c r="J40" s="90" t="s">
        <v>751</v>
      </c>
      <c r="K40" s="90" t="s">
        <v>752</v>
      </c>
      <c r="L40" s="90" t="s">
        <v>753</v>
      </c>
      <c r="M40" s="91" t="s">
        <v>768</v>
      </c>
      <c r="N40" s="92" t="s">
        <v>859</v>
      </c>
      <c r="O40" s="85">
        <v>2910906753</v>
      </c>
      <c r="P40" s="93">
        <f>+_xlfn.XLOOKUP(O40,'[3]Benef Primera fecha '!$C:$C,'[3]Benef Primera fecha '!$E:$E,0)</f>
        <v>737502714</v>
      </c>
      <c r="Q40" s="93">
        <v>0</v>
      </c>
      <c r="R40" s="94">
        <f t="shared" si="4"/>
        <v>737502714</v>
      </c>
      <c r="S40" s="95">
        <v>0.12</v>
      </c>
      <c r="T40" s="94">
        <f t="shared" si="5"/>
        <v>79018147.928571418</v>
      </c>
      <c r="U40" s="117">
        <v>737502714</v>
      </c>
      <c r="V40" s="117">
        <v>0</v>
      </c>
      <c r="W40" s="94">
        <f t="shared" si="6"/>
        <v>0</v>
      </c>
      <c r="X40" s="94">
        <f t="shared" si="7"/>
        <v>0</v>
      </c>
      <c r="Y40" s="94">
        <f t="shared" si="8"/>
        <v>0</v>
      </c>
      <c r="Z40" s="93">
        <f>_xlfn.XLOOKUP(O40,'[4]2DO TRIMESTRE'!$C:$C,'[4]2DO TRIMESTRE'!$I:$I,0,0)</f>
        <v>0</v>
      </c>
      <c r="AA40" s="94">
        <f t="shared" si="9"/>
        <v>0</v>
      </c>
      <c r="AB40" s="94">
        <f t="shared" si="10"/>
        <v>0</v>
      </c>
      <c r="AC40" s="94">
        <f t="shared" si="11"/>
        <v>0</v>
      </c>
      <c r="AD40" s="93">
        <v>0</v>
      </c>
      <c r="AE40" s="94">
        <f t="shared" si="12"/>
        <v>0</v>
      </c>
      <c r="AF40" s="94">
        <f t="shared" si="13"/>
        <v>0</v>
      </c>
      <c r="AG40" s="94">
        <f t="shared" si="14"/>
        <v>0</v>
      </c>
      <c r="AH40" s="117">
        <v>0</v>
      </c>
      <c r="AI40" s="94">
        <f t="shared" si="15"/>
        <v>0</v>
      </c>
      <c r="AJ40" s="94">
        <f t="shared" si="16"/>
        <v>0</v>
      </c>
      <c r="AK40" s="94">
        <f t="shared" si="17"/>
        <v>0</v>
      </c>
      <c r="AL40" s="93">
        <v>79018148</v>
      </c>
      <c r="AM40" s="93">
        <f t="shared" si="18"/>
        <v>0</v>
      </c>
      <c r="AN40" s="155"/>
      <c r="AO40" s="155"/>
    </row>
    <row r="41" spans="1:41" s="9" customFormat="1" ht="25.15" customHeight="1" x14ac:dyDescent="0.25">
      <c r="A41" s="83">
        <v>35</v>
      </c>
      <c r="B41" s="84">
        <v>2021</v>
      </c>
      <c r="C41" s="85" t="s">
        <v>860</v>
      </c>
      <c r="D41" s="86" t="s">
        <v>861</v>
      </c>
      <c r="E41" s="86" t="s">
        <v>758</v>
      </c>
      <c r="F41" s="87">
        <v>44420</v>
      </c>
      <c r="G41" s="87">
        <v>44511</v>
      </c>
      <c r="H41" s="88">
        <f t="shared" si="3"/>
        <v>1.0111111111111111</v>
      </c>
      <c r="I41" s="89" t="s">
        <v>750</v>
      </c>
      <c r="J41" s="90" t="s">
        <v>751</v>
      </c>
      <c r="K41" s="90" t="s">
        <v>752</v>
      </c>
      <c r="L41" s="90" t="s">
        <v>753</v>
      </c>
      <c r="M41" s="91" t="s">
        <v>768</v>
      </c>
      <c r="N41" s="92" t="s">
        <v>862</v>
      </c>
      <c r="O41" s="85">
        <v>2910906751</v>
      </c>
      <c r="P41" s="93">
        <f>+_xlfn.XLOOKUP(O41,'[3]Benef Primera fecha '!$C:$C,'[3]Benef Primera fecha '!$E:$E,0)</f>
        <v>78690000</v>
      </c>
      <c r="Q41" s="93">
        <v>0</v>
      </c>
      <c r="R41" s="94">
        <f t="shared" si="4"/>
        <v>78690000</v>
      </c>
      <c r="S41" s="95">
        <v>0.12</v>
      </c>
      <c r="T41" s="94">
        <f t="shared" si="5"/>
        <v>8431071.4285714272</v>
      </c>
      <c r="U41" s="117">
        <v>78690000</v>
      </c>
      <c r="V41" s="117">
        <v>0</v>
      </c>
      <c r="W41" s="94">
        <f t="shared" si="6"/>
        <v>0</v>
      </c>
      <c r="X41" s="94">
        <f t="shared" si="7"/>
        <v>0</v>
      </c>
      <c r="Y41" s="94">
        <f t="shared" si="8"/>
        <v>0</v>
      </c>
      <c r="Z41" s="93">
        <f>_xlfn.XLOOKUP(O41,'[4]2DO TRIMESTRE'!$C:$C,'[4]2DO TRIMESTRE'!$I:$I,0,0)</f>
        <v>0</v>
      </c>
      <c r="AA41" s="94">
        <f t="shared" si="9"/>
        <v>0</v>
      </c>
      <c r="AB41" s="94">
        <f t="shared" si="10"/>
        <v>0</v>
      </c>
      <c r="AC41" s="94">
        <f t="shared" si="11"/>
        <v>0</v>
      </c>
      <c r="AD41" s="93">
        <v>0</v>
      </c>
      <c r="AE41" s="94">
        <f t="shared" si="12"/>
        <v>0</v>
      </c>
      <c r="AF41" s="94">
        <f t="shared" si="13"/>
        <v>0</v>
      </c>
      <c r="AG41" s="94">
        <f t="shared" si="14"/>
        <v>0</v>
      </c>
      <c r="AH41" s="117">
        <v>0</v>
      </c>
      <c r="AI41" s="94">
        <f t="shared" si="15"/>
        <v>0</v>
      </c>
      <c r="AJ41" s="94">
        <f t="shared" si="16"/>
        <v>0</v>
      </c>
      <c r="AK41" s="94">
        <f t="shared" si="17"/>
        <v>0</v>
      </c>
      <c r="AL41" s="93">
        <v>8431071</v>
      </c>
      <c r="AM41" s="93">
        <f t="shared" si="18"/>
        <v>0</v>
      </c>
      <c r="AN41" s="155"/>
      <c r="AO41" s="155"/>
    </row>
    <row r="42" spans="1:41" s="9" customFormat="1" ht="25.15" customHeight="1" x14ac:dyDescent="0.25">
      <c r="A42" s="83">
        <v>36</v>
      </c>
      <c r="B42" s="84">
        <v>2021</v>
      </c>
      <c r="C42" s="85" t="s">
        <v>863</v>
      </c>
      <c r="D42" s="86" t="s">
        <v>864</v>
      </c>
      <c r="E42" s="86" t="s">
        <v>758</v>
      </c>
      <c r="F42" s="87">
        <v>44421</v>
      </c>
      <c r="G42" s="87">
        <v>44773</v>
      </c>
      <c r="H42" s="88">
        <f t="shared" si="3"/>
        <v>3.911111111111111</v>
      </c>
      <c r="I42" s="89" t="s">
        <v>763</v>
      </c>
      <c r="J42" s="90" t="s">
        <v>751</v>
      </c>
      <c r="K42" s="90" t="s">
        <v>752</v>
      </c>
      <c r="L42" s="90" t="s">
        <v>753</v>
      </c>
      <c r="M42" s="91" t="s">
        <v>768</v>
      </c>
      <c r="N42" s="92" t="s">
        <v>865</v>
      </c>
      <c r="O42" s="85">
        <v>2910906750</v>
      </c>
      <c r="P42" s="93">
        <f>+_xlfn.XLOOKUP(O42,'[3]Benef Primera fecha '!$C:$C,'[3]Benef Primera fecha '!$E:$E,0)</f>
        <v>2243183001</v>
      </c>
      <c r="Q42" s="93">
        <v>0</v>
      </c>
      <c r="R42" s="94">
        <f t="shared" si="4"/>
        <v>2243183001</v>
      </c>
      <c r="S42" s="95">
        <v>0.12</v>
      </c>
      <c r="T42" s="94">
        <f t="shared" si="5"/>
        <v>240341035.82142854</v>
      </c>
      <c r="U42" s="117">
        <v>2031147202</v>
      </c>
      <c r="V42" s="117">
        <v>0</v>
      </c>
      <c r="W42" s="94">
        <f t="shared" si="6"/>
        <v>0</v>
      </c>
      <c r="X42" s="94">
        <f t="shared" si="7"/>
        <v>0</v>
      </c>
      <c r="Y42" s="94">
        <f t="shared" si="8"/>
        <v>0</v>
      </c>
      <c r="Z42" s="93">
        <f>_xlfn.XLOOKUP(O42,'[4]2DO TRIMESTRE'!$C:$C,'[4]2DO TRIMESTRE'!$I:$I,0,0)</f>
        <v>0</v>
      </c>
      <c r="AA42" s="94">
        <f t="shared" si="9"/>
        <v>0</v>
      </c>
      <c r="AB42" s="94">
        <f t="shared" si="10"/>
        <v>0</v>
      </c>
      <c r="AC42" s="94">
        <f t="shared" si="11"/>
        <v>0</v>
      </c>
      <c r="AD42" s="93">
        <v>0</v>
      </c>
      <c r="AE42" s="94">
        <f t="shared" si="12"/>
        <v>0</v>
      </c>
      <c r="AF42" s="94">
        <f t="shared" si="13"/>
        <v>0</v>
      </c>
      <c r="AG42" s="94">
        <f t="shared" si="14"/>
        <v>0</v>
      </c>
      <c r="AH42" s="117">
        <v>0</v>
      </c>
      <c r="AI42" s="94">
        <f t="shared" si="15"/>
        <v>0</v>
      </c>
      <c r="AJ42" s="94">
        <f t="shared" si="16"/>
        <v>0</v>
      </c>
      <c r="AK42" s="94">
        <f t="shared" si="17"/>
        <v>0</v>
      </c>
      <c r="AL42" s="93">
        <v>217757261</v>
      </c>
      <c r="AM42" s="93">
        <f t="shared" si="18"/>
        <v>0</v>
      </c>
      <c r="AN42" s="155"/>
      <c r="AO42" s="155"/>
    </row>
    <row r="43" spans="1:41" s="9" customFormat="1" ht="25.15" customHeight="1" x14ac:dyDescent="0.25">
      <c r="A43" s="83">
        <v>37</v>
      </c>
      <c r="B43" s="84">
        <v>2021</v>
      </c>
      <c r="C43" s="85" t="s">
        <v>839</v>
      </c>
      <c r="D43" s="86" t="s">
        <v>866</v>
      </c>
      <c r="E43" s="86" t="s">
        <v>777</v>
      </c>
      <c r="F43" s="87">
        <v>44425</v>
      </c>
      <c r="G43" s="87">
        <v>44615</v>
      </c>
      <c r="H43" s="88">
        <f t="shared" si="3"/>
        <v>2.1111111111111112</v>
      </c>
      <c r="I43" s="89" t="s">
        <v>750</v>
      </c>
      <c r="J43" s="90" t="s">
        <v>751</v>
      </c>
      <c r="K43" s="90" t="s">
        <v>752</v>
      </c>
      <c r="L43" s="90" t="s">
        <v>753</v>
      </c>
      <c r="M43" s="91" t="s">
        <v>768</v>
      </c>
      <c r="N43" s="92" t="s">
        <v>867</v>
      </c>
      <c r="O43" s="85">
        <v>2453018316</v>
      </c>
      <c r="P43" s="93">
        <f>+_xlfn.XLOOKUP(O43,'[3]Benef Primera fecha '!$C:$C,'[3]Benef Primera fecha '!$E:$E,0)</f>
        <v>950649339</v>
      </c>
      <c r="Q43" s="93">
        <v>0</v>
      </c>
      <c r="R43" s="94">
        <f t="shared" si="4"/>
        <v>950649339</v>
      </c>
      <c r="S43" s="95">
        <v>0.12</v>
      </c>
      <c r="T43" s="94">
        <v>101855299</v>
      </c>
      <c r="U43" s="117">
        <v>950649339</v>
      </c>
      <c r="V43" s="117">
        <v>0</v>
      </c>
      <c r="W43" s="94">
        <f t="shared" si="6"/>
        <v>0</v>
      </c>
      <c r="X43" s="94">
        <f t="shared" si="7"/>
        <v>0</v>
      </c>
      <c r="Y43" s="94">
        <f t="shared" si="8"/>
        <v>0</v>
      </c>
      <c r="Z43" s="93">
        <f>_xlfn.XLOOKUP(O43,'[4]2DO TRIMESTRE'!$C:$C,'[4]2DO TRIMESTRE'!$I:$I,0,0)</f>
        <v>0</v>
      </c>
      <c r="AA43" s="94">
        <f t="shared" si="9"/>
        <v>0</v>
      </c>
      <c r="AB43" s="94">
        <f t="shared" si="10"/>
        <v>0</v>
      </c>
      <c r="AC43" s="94">
        <f t="shared" si="11"/>
        <v>0</v>
      </c>
      <c r="AD43" s="93">
        <v>0</v>
      </c>
      <c r="AE43" s="94">
        <f t="shared" si="12"/>
        <v>0</v>
      </c>
      <c r="AF43" s="94">
        <f t="shared" si="13"/>
        <v>0</v>
      </c>
      <c r="AG43" s="94">
        <f t="shared" si="14"/>
        <v>0</v>
      </c>
      <c r="AH43" s="117">
        <v>0</v>
      </c>
      <c r="AI43" s="94">
        <f t="shared" si="15"/>
        <v>0</v>
      </c>
      <c r="AJ43" s="94">
        <f t="shared" si="16"/>
        <v>0</v>
      </c>
      <c r="AK43" s="94">
        <f t="shared" si="17"/>
        <v>0</v>
      </c>
      <c r="AL43" s="93">
        <v>101855299</v>
      </c>
      <c r="AM43" s="93">
        <f t="shared" si="18"/>
        <v>0</v>
      </c>
      <c r="AN43" s="155"/>
      <c r="AO43" s="155"/>
    </row>
    <row r="44" spans="1:41" s="9" customFormat="1" ht="25.15" customHeight="1" x14ac:dyDescent="0.25">
      <c r="A44" s="83">
        <v>38</v>
      </c>
      <c r="B44" s="84">
        <v>2021</v>
      </c>
      <c r="C44" s="85" t="s">
        <v>747</v>
      </c>
      <c r="D44" s="86" t="s">
        <v>868</v>
      </c>
      <c r="E44" s="86" t="s">
        <v>749</v>
      </c>
      <c r="F44" s="87">
        <v>44425</v>
      </c>
      <c r="G44" s="87">
        <v>44516</v>
      </c>
      <c r="H44" s="88">
        <f t="shared" si="3"/>
        <v>1.0111111111111111</v>
      </c>
      <c r="I44" s="89" t="s">
        <v>750</v>
      </c>
      <c r="J44" s="90" t="s">
        <v>751</v>
      </c>
      <c r="K44" s="90" t="s">
        <v>752</v>
      </c>
      <c r="L44" s="90" t="s">
        <v>753</v>
      </c>
      <c r="M44" s="91" t="s">
        <v>754</v>
      </c>
      <c r="N44" s="92" t="s">
        <v>869</v>
      </c>
      <c r="O44" s="85">
        <v>2910908044</v>
      </c>
      <c r="P44" s="93">
        <f>+_xlfn.XLOOKUP(O44,'[3]Benef Primera fecha '!$C:$C,'[3]Benef Primera fecha '!$E:$E,0)</f>
        <v>29981358</v>
      </c>
      <c r="Q44" s="93">
        <v>0</v>
      </c>
      <c r="R44" s="94">
        <f t="shared" si="4"/>
        <v>29981358</v>
      </c>
      <c r="S44" s="95">
        <v>0.12</v>
      </c>
      <c r="T44" s="94">
        <v>3597933</v>
      </c>
      <c r="U44" s="117">
        <v>29981358</v>
      </c>
      <c r="V44" s="117">
        <v>0</v>
      </c>
      <c r="W44" s="94">
        <f t="shared" si="6"/>
        <v>0</v>
      </c>
      <c r="X44" s="94">
        <f t="shared" si="7"/>
        <v>0</v>
      </c>
      <c r="Y44" s="94">
        <f t="shared" si="8"/>
        <v>0</v>
      </c>
      <c r="Z44" s="93">
        <f>_xlfn.XLOOKUP(O44,'[4]2DO TRIMESTRE'!$C:$C,'[4]2DO TRIMESTRE'!$I:$I,0,0)</f>
        <v>0</v>
      </c>
      <c r="AA44" s="94">
        <f t="shared" si="9"/>
        <v>0</v>
      </c>
      <c r="AB44" s="94">
        <f t="shared" si="10"/>
        <v>0</v>
      </c>
      <c r="AC44" s="94">
        <f t="shared" si="11"/>
        <v>0</v>
      </c>
      <c r="AD44" s="93">
        <v>0</v>
      </c>
      <c r="AE44" s="94">
        <f t="shared" si="12"/>
        <v>0</v>
      </c>
      <c r="AF44" s="94">
        <f t="shared" si="13"/>
        <v>0</v>
      </c>
      <c r="AG44" s="94">
        <f t="shared" si="14"/>
        <v>0</v>
      </c>
      <c r="AH44" s="117">
        <v>0</v>
      </c>
      <c r="AI44" s="94">
        <f t="shared" si="15"/>
        <v>0</v>
      </c>
      <c r="AJ44" s="94">
        <f t="shared" si="16"/>
        <v>0</v>
      </c>
      <c r="AK44" s="94">
        <f t="shared" si="17"/>
        <v>0</v>
      </c>
      <c r="AL44" s="93">
        <v>3597933</v>
      </c>
      <c r="AM44" s="93">
        <f t="shared" si="18"/>
        <v>0</v>
      </c>
      <c r="AN44" s="155"/>
      <c r="AO44" s="155"/>
    </row>
    <row r="45" spans="1:41" s="9" customFormat="1" ht="25.15" customHeight="1" x14ac:dyDescent="0.25">
      <c r="A45" s="83">
        <v>39</v>
      </c>
      <c r="B45" s="84">
        <v>2021</v>
      </c>
      <c r="C45" s="85" t="s">
        <v>870</v>
      </c>
      <c r="D45" s="86" t="s">
        <v>871</v>
      </c>
      <c r="E45" s="86" t="s">
        <v>777</v>
      </c>
      <c r="F45" s="87">
        <v>44426</v>
      </c>
      <c r="G45" s="87">
        <v>44635</v>
      </c>
      <c r="H45" s="88">
        <f t="shared" si="3"/>
        <v>2.3222222222222224</v>
      </c>
      <c r="I45" s="89" t="s">
        <v>767</v>
      </c>
      <c r="J45" s="90" t="s">
        <v>751</v>
      </c>
      <c r="K45" s="90" t="s">
        <v>752</v>
      </c>
      <c r="L45" s="90" t="s">
        <v>753</v>
      </c>
      <c r="M45" s="91" t="s">
        <v>768</v>
      </c>
      <c r="N45" s="92" t="s">
        <v>872</v>
      </c>
      <c r="O45" s="85">
        <v>2453018318</v>
      </c>
      <c r="P45" s="93">
        <f>+_xlfn.XLOOKUP(O45,'[3]Benef Primera fecha '!$C:$C,'[3]Benef Primera fecha '!$E:$E,0)</f>
        <v>595495040</v>
      </c>
      <c r="Q45" s="93">
        <v>0</v>
      </c>
      <c r="R45" s="94">
        <f t="shared" si="4"/>
        <v>595495040</v>
      </c>
      <c r="S45" s="95">
        <v>0.12</v>
      </c>
      <c r="T45" s="94">
        <f t="shared" si="5"/>
        <v>63803039.999999993</v>
      </c>
      <c r="U45" s="117">
        <v>485900000</v>
      </c>
      <c r="V45" s="117">
        <v>0</v>
      </c>
      <c r="W45" s="94">
        <f t="shared" si="6"/>
        <v>0</v>
      </c>
      <c r="X45" s="94">
        <f t="shared" si="7"/>
        <v>0</v>
      </c>
      <c r="Y45" s="94">
        <f t="shared" si="8"/>
        <v>0</v>
      </c>
      <c r="Z45" s="93">
        <f>_xlfn.XLOOKUP(O45,'[4]2DO TRIMESTRE'!$C:$C,'[4]2DO TRIMESTRE'!$I:$I,0,0)</f>
        <v>0</v>
      </c>
      <c r="AA45" s="94">
        <f t="shared" si="9"/>
        <v>0</v>
      </c>
      <c r="AB45" s="94">
        <f t="shared" si="10"/>
        <v>0</v>
      </c>
      <c r="AC45" s="94">
        <f t="shared" si="11"/>
        <v>0</v>
      </c>
      <c r="AD45" s="93">
        <v>0</v>
      </c>
      <c r="AE45" s="94">
        <f t="shared" si="12"/>
        <v>0</v>
      </c>
      <c r="AF45" s="94">
        <f t="shared" si="13"/>
        <v>0</v>
      </c>
      <c r="AG45" s="94">
        <f t="shared" si="14"/>
        <v>0</v>
      </c>
      <c r="AH45" s="117">
        <v>0</v>
      </c>
      <c r="AI45" s="94">
        <f t="shared" si="15"/>
        <v>0</v>
      </c>
      <c r="AJ45" s="94">
        <f t="shared" si="16"/>
        <v>0</v>
      </c>
      <c r="AK45" s="94">
        <f t="shared" si="17"/>
        <v>0</v>
      </c>
      <c r="AL45" s="93">
        <v>52060714</v>
      </c>
      <c r="AM45" s="93">
        <f t="shared" si="18"/>
        <v>0</v>
      </c>
      <c r="AN45" s="155"/>
      <c r="AO45" s="155"/>
    </row>
    <row r="46" spans="1:41" s="9" customFormat="1" ht="25.15" customHeight="1" x14ac:dyDescent="0.25">
      <c r="A46" s="83">
        <v>40</v>
      </c>
      <c r="B46" s="84">
        <v>2021</v>
      </c>
      <c r="C46" s="85" t="s">
        <v>873</v>
      </c>
      <c r="D46" s="86" t="s">
        <v>874</v>
      </c>
      <c r="E46" s="86" t="s">
        <v>758</v>
      </c>
      <c r="F46" s="87">
        <v>44427</v>
      </c>
      <c r="G46" s="87">
        <v>44563</v>
      </c>
      <c r="H46" s="88">
        <f t="shared" si="3"/>
        <v>1.5111111111111111</v>
      </c>
      <c r="I46" s="89" t="s">
        <v>759</v>
      </c>
      <c r="J46" s="90" t="s">
        <v>751</v>
      </c>
      <c r="K46" s="90" t="s">
        <v>752</v>
      </c>
      <c r="L46" s="90" t="s">
        <v>753</v>
      </c>
      <c r="M46" s="91" t="s">
        <v>768</v>
      </c>
      <c r="N46" s="92" t="s">
        <v>875</v>
      </c>
      <c r="O46" s="85">
        <v>2910906755</v>
      </c>
      <c r="P46" s="93">
        <f>+_xlfn.XLOOKUP(O46,'[3]Benef Primera fecha '!$C:$C,'[3]Benef Primera fecha '!$E:$E,0)</f>
        <v>59999936</v>
      </c>
      <c r="Q46" s="93">
        <v>64</v>
      </c>
      <c r="R46" s="94">
        <f t="shared" si="4"/>
        <v>60000000</v>
      </c>
      <c r="S46" s="95">
        <v>0.12000013440015948</v>
      </c>
      <c r="T46" s="94">
        <f t="shared" si="5"/>
        <v>6428577.8571497137</v>
      </c>
      <c r="U46" s="117">
        <v>59999936</v>
      </c>
      <c r="V46" s="117">
        <v>0</v>
      </c>
      <c r="W46" s="94">
        <f t="shared" si="6"/>
        <v>0</v>
      </c>
      <c r="X46" s="94">
        <f t="shared" si="7"/>
        <v>0</v>
      </c>
      <c r="Y46" s="94">
        <f t="shared" si="8"/>
        <v>0</v>
      </c>
      <c r="Z46" s="93">
        <f>_xlfn.XLOOKUP(O46,'[4]2DO TRIMESTRE'!$C:$C,'[4]2DO TRIMESTRE'!$I:$I,0,0)</f>
        <v>0</v>
      </c>
      <c r="AA46" s="94">
        <f t="shared" si="9"/>
        <v>0</v>
      </c>
      <c r="AB46" s="94">
        <f t="shared" si="10"/>
        <v>0</v>
      </c>
      <c r="AC46" s="94">
        <f t="shared" si="11"/>
        <v>0</v>
      </c>
      <c r="AD46" s="93">
        <v>0</v>
      </c>
      <c r="AE46" s="94">
        <f t="shared" si="12"/>
        <v>0</v>
      </c>
      <c r="AF46" s="94">
        <f t="shared" si="13"/>
        <v>0</v>
      </c>
      <c r="AG46" s="94">
        <f t="shared" si="14"/>
        <v>0</v>
      </c>
      <c r="AH46" s="117">
        <v>0</v>
      </c>
      <c r="AI46" s="94">
        <f t="shared" ref="AI46" si="19">+AH46/(1+$S46)*$S46</f>
        <v>0</v>
      </c>
      <c r="AJ46" s="94">
        <f t="shared" ref="AJ46" si="20">+AI46*40%</f>
        <v>0</v>
      </c>
      <c r="AK46" s="94">
        <f t="shared" ref="AK46" si="21">+AI46*60%</f>
        <v>0</v>
      </c>
      <c r="AL46" s="93">
        <v>6428571</v>
      </c>
      <c r="AM46" s="93">
        <f t="shared" si="18"/>
        <v>0</v>
      </c>
      <c r="AN46" s="155"/>
      <c r="AO46" s="155"/>
    </row>
    <row r="47" spans="1:41" s="9" customFormat="1" ht="25.15" customHeight="1" x14ac:dyDescent="0.25">
      <c r="A47" s="83">
        <v>41</v>
      </c>
      <c r="B47" s="84">
        <v>2021</v>
      </c>
      <c r="C47" s="85" t="s">
        <v>876</v>
      </c>
      <c r="D47" s="86" t="s">
        <v>877</v>
      </c>
      <c r="E47" s="86" t="s">
        <v>758</v>
      </c>
      <c r="F47" s="87">
        <v>44428</v>
      </c>
      <c r="G47" s="87">
        <v>44561</v>
      </c>
      <c r="H47" s="88">
        <f t="shared" si="3"/>
        <v>1.4777777777777779</v>
      </c>
      <c r="I47" s="89" t="s">
        <v>767</v>
      </c>
      <c r="J47" s="90" t="s">
        <v>751</v>
      </c>
      <c r="K47" s="90" t="s">
        <v>752</v>
      </c>
      <c r="L47" s="90" t="s">
        <v>753</v>
      </c>
      <c r="M47" s="91" t="s">
        <v>768</v>
      </c>
      <c r="N47" s="92" t="s">
        <v>878</v>
      </c>
      <c r="O47" s="85">
        <v>2910906754</v>
      </c>
      <c r="P47" s="93">
        <f>+_xlfn.XLOOKUP(O47,'[3]Benef Primera fecha '!$C:$C,'[3]Benef Primera fecha '!$E:$E,0)</f>
        <v>72667000</v>
      </c>
      <c r="Q47" s="93">
        <v>0</v>
      </c>
      <c r="R47" s="94">
        <f t="shared" si="4"/>
        <v>72667000</v>
      </c>
      <c r="S47" s="95">
        <v>0.12</v>
      </c>
      <c r="T47" s="94">
        <v>7786821</v>
      </c>
      <c r="U47" s="117">
        <v>72667000</v>
      </c>
      <c r="V47" s="117">
        <v>0</v>
      </c>
      <c r="W47" s="94">
        <f t="shared" si="6"/>
        <v>0</v>
      </c>
      <c r="X47" s="94">
        <f t="shared" si="7"/>
        <v>0</v>
      </c>
      <c r="Y47" s="94">
        <f t="shared" si="8"/>
        <v>0</v>
      </c>
      <c r="Z47" s="93">
        <f>_xlfn.XLOOKUP(O47,'[4]2DO TRIMESTRE'!$C:$C,'[4]2DO TRIMESTRE'!$I:$I,0,0)</f>
        <v>0</v>
      </c>
      <c r="AA47" s="94">
        <f t="shared" si="9"/>
        <v>0</v>
      </c>
      <c r="AB47" s="94">
        <f t="shared" si="10"/>
        <v>0</v>
      </c>
      <c r="AC47" s="94">
        <f t="shared" si="11"/>
        <v>0</v>
      </c>
      <c r="AD47" s="93">
        <v>0</v>
      </c>
      <c r="AE47" s="94">
        <f t="shared" si="12"/>
        <v>0</v>
      </c>
      <c r="AF47" s="94">
        <f t="shared" si="13"/>
        <v>0</v>
      </c>
      <c r="AG47" s="94">
        <f t="shared" si="14"/>
        <v>0</v>
      </c>
      <c r="AH47" s="117">
        <v>0</v>
      </c>
      <c r="AI47" s="94">
        <f t="shared" si="15"/>
        <v>0</v>
      </c>
      <c r="AJ47" s="94">
        <f t="shared" si="16"/>
        <v>0</v>
      </c>
      <c r="AK47" s="94">
        <f t="shared" si="17"/>
        <v>0</v>
      </c>
      <c r="AL47" s="93">
        <v>7786821</v>
      </c>
      <c r="AM47" s="93">
        <f t="shared" si="18"/>
        <v>0</v>
      </c>
      <c r="AN47" s="155"/>
      <c r="AO47" s="155"/>
    </row>
    <row r="48" spans="1:41" s="9" customFormat="1" ht="25.15" customHeight="1" x14ac:dyDescent="0.25">
      <c r="A48" s="83">
        <v>42</v>
      </c>
      <c r="B48" s="84">
        <v>2021</v>
      </c>
      <c r="C48" s="85" t="s">
        <v>879</v>
      </c>
      <c r="D48" s="86" t="s">
        <v>880</v>
      </c>
      <c r="E48" s="86" t="s">
        <v>777</v>
      </c>
      <c r="F48" s="87">
        <v>44431</v>
      </c>
      <c r="G48" s="87">
        <v>44553</v>
      </c>
      <c r="H48" s="88">
        <f t="shared" si="3"/>
        <v>1.3555555555555556</v>
      </c>
      <c r="I48" s="89" t="s">
        <v>767</v>
      </c>
      <c r="J48" s="90" t="s">
        <v>751</v>
      </c>
      <c r="K48" s="90" t="s">
        <v>752</v>
      </c>
      <c r="L48" s="90" t="s">
        <v>753</v>
      </c>
      <c r="M48" s="91" t="s">
        <v>768</v>
      </c>
      <c r="N48" s="92" t="s">
        <v>881</v>
      </c>
      <c r="O48" s="85">
        <v>2453018317</v>
      </c>
      <c r="P48" s="93">
        <f>+_xlfn.XLOOKUP(O48,'[3]Benef Primera fecha '!$C:$C,'[3]Benef Primera fecha '!$E:$E,0)</f>
        <v>92000000</v>
      </c>
      <c r="Q48" s="93">
        <v>0</v>
      </c>
      <c r="R48" s="94">
        <f t="shared" si="4"/>
        <v>92000000</v>
      </c>
      <c r="S48" s="95">
        <v>0.12</v>
      </c>
      <c r="T48" s="94">
        <v>9857160</v>
      </c>
      <c r="U48" s="117">
        <v>92000000</v>
      </c>
      <c r="V48" s="117">
        <v>0</v>
      </c>
      <c r="W48" s="94">
        <f t="shared" si="6"/>
        <v>0</v>
      </c>
      <c r="X48" s="94">
        <f t="shared" si="7"/>
        <v>0</v>
      </c>
      <c r="Y48" s="94">
        <f t="shared" si="8"/>
        <v>0</v>
      </c>
      <c r="Z48" s="93">
        <f>_xlfn.XLOOKUP(O48,'[4]2DO TRIMESTRE'!$C:$C,'[4]2DO TRIMESTRE'!$I:$I,0,0)</f>
        <v>0</v>
      </c>
      <c r="AA48" s="94">
        <f t="shared" si="9"/>
        <v>0</v>
      </c>
      <c r="AB48" s="94">
        <f t="shared" si="10"/>
        <v>0</v>
      </c>
      <c r="AC48" s="94">
        <f t="shared" si="11"/>
        <v>0</v>
      </c>
      <c r="AD48" s="93">
        <v>0</v>
      </c>
      <c r="AE48" s="94">
        <f t="shared" si="12"/>
        <v>0</v>
      </c>
      <c r="AF48" s="94">
        <f t="shared" si="13"/>
        <v>0</v>
      </c>
      <c r="AG48" s="94">
        <f t="shared" si="14"/>
        <v>0</v>
      </c>
      <c r="AH48" s="117">
        <v>0</v>
      </c>
      <c r="AI48" s="94">
        <f t="shared" si="15"/>
        <v>0</v>
      </c>
      <c r="AJ48" s="94">
        <f t="shared" si="16"/>
        <v>0</v>
      </c>
      <c r="AK48" s="94">
        <f t="shared" si="17"/>
        <v>0</v>
      </c>
      <c r="AL48" s="93">
        <v>9857160</v>
      </c>
      <c r="AM48" s="93">
        <f t="shared" si="18"/>
        <v>0</v>
      </c>
      <c r="AN48" s="155"/>
      <c r="AO48" s="155"/>
    </row>
    <row r="49" spans="1:41" s="9" customFormat="1" ht="25.15" customHeight="1" x14ac:dyDescent="0.25">
      <c r="A49" s="83">
        <v>43</v>
      </c>
      <c r="B49" s="84">
        <v>2021</v>
      </c>
      <c r="C49" s="85" t="s">
        <v>882</v>
      </c>
      <c r="D49" s="86" t="s">
        <v>883</v>
      </c>
      <c r="E49" s="86" t="s">
        <v>758</v>
      </c>
      <c r="F49" s="87">
        <v>44432</v>
      </c>
      <c r="G49" s="87">
        <v>44647</v>
      </c>
      <c r="H49" s="88">
        <f t="shared" si="3"/>
        <v>2.3888888888888888</v>
      </c>
      <c r="I49" s="89" t="s">
        <v>750</v>
      </c>
      <c r="J49" s="90" t="s">
        <v>751</v>
      </c>
      <c r="K49" s="90" t="s">
        <v>752</v>
      </c>
      <c r="L49" s="90" t="s">
        <v>753</v>
      </c>
      <c r="M49" s="91" t="s">
        <v>768</v>
      </c>
      <c r="N49" s="92" t="s">
        <v>884</v>
      </c>
      <c r="O49" s="85">
        <v>2910906760</v>
      </c>
      <c r="P49" s="93">
        <f>+_xlfn.XLOOKUP(O49,'[3]Benef Primera fecha '!$C:$C,'[3]Benef Primera fecha '!$E:$E,0)</f>
        <v>94999200</v>
      </c>
      <c r="Q49" s="93">
        <v>0</v>
      </c>
      <c r="R49" s="94">
        <f t="shared" si="4"/>
        <v>94999200</v>
      </c>
      <c r="S49" s="95">
        <v>0.12</v>
      </c>
      <c r="T49" s="94">
        <f t="shared" si="5"/>
        <v>10178485.714285715</v>
      </c>
      <c r="U49" s="117">
        <v>94999200</v>
      </c>
      <c r="V49" s="117">
        <v>0</v>
      </c>
      <c r="W49" s="94">
        <f t="shared" si="6"/>
        <v>0</v>
      </c>
      <c r="X49" s="94">
        <f t="shared" si="7"/>
        <v>0</v>
      </c>
      <c r="Y49" s="94">
        <f t="shared" si="8"/>
        <v>0</v>
      </c>
      <c r="Z49" s="93">
        <f>_xlfn.XLOOKUP(O49,'[4]2DO TRIMESTRE'!$C:$C,'[4]2DO TRIMESTRE'!$I:$I,0,0)</f>
        <v>0</v>
      </c>
      <c r="AA49" s="94">
        <f t="shared" si="9"/>
        <v>0</v>
      </c>
      <c r="AB49" s="94">
        <f t="shared" si="10"/>
        <v>0</v>
      </c>
      <c r="AC49" s="94">
        <f t="shared" si="11"/>
        <v>0</v>
      </c>
      <c r="AD49" s="93">
        <v>0</v>
      </c>
      <c r="AE49" s="94">
        <f t="shared" si="12"/>
        <v>0</v>
      </c>
      <c r="AF49" s="94">
        <f t="shared" si="13"/>
        <v>0</v>
      </c>
      <c r="AG49" s="94">
        <f t="shared" si="14"/>
        <v>0</v>
      </c>
      <c r="AH49" s="117">
        <v>0</v>
      </c>
      <c r="AI49" s="94">
        <f t="shared" si="15"/>
        <v>0</v>
      </c>
      <c r="AJ49" s="94">
        <f t="shared" si="16"/>
        <v>0</v>
      </c>
      <c r="AK49" s="94">
        <f t="shared" si="17"/>
        <v>0</v>
      </c>
      <c r="AL49" s="93">
        <v>10178486</v>
      </c>
      <c r="AM49" s="93">
        <f t="shared" si="18"/>
        <v>0</v>
      </c>
      <c r="AN49" s="155"/>
      <c r="AO49" s="155"/>
    </row>
    <row r="50" spans="1:41" s="9" customFormat="1" ht="25.15" customHeight="1" x14ac:dyDescent="0.25">
      <c r="A50" s="83">
        <v>44</v>
      </c>
      <c r="B50" s="84">
        <v>2021</v>
      </c>
      <c r="C50" s="85" t="s">
        <v>885</v>
      </c>
      <c r="D50" s="86" t="s">
        <v>886</v>
      </c>
      <c r="E50" s="86" t="s">
        <v>758</v>
      </c>
      <c r="F50" s="87">
        <v>44433</v>
      </c>
      <c r="G50" s="87">
        <v>44676</v>
      </c>
      <c r="H50" s="88">
        <f t="shared" si="3"/>
        <v>2.7</v>
      </c>
      <c r="I50" s="89" t="s">
        <v>767</v>
      </c>
      <c r="J50" s="90" t="s">
        <v>751</v>
      </c>
      <c r="K50" s="90" t="s">
        <v>752</v>
      </c>
      <c r="L50" s="90" t="s">
        <v>753</v>
      </c>
      <c r="M50" s="91" t="s">
        <v>768</v>
      </c>
      <c r="N50" s="92" t="s">
        <v>887</v>
      </c>
      <c r="O50" s="85">
        <v>2453018319</v>
      </c>
      <c r="P50" s="93">
        <f>+_xlfn.XLOOKUP(O50,'[3]Benef Primera fecha '!$C:$C,'[3]Benef Primera fecha '!$E:$E,0)</f>
        <v>128800000</v>
      </c>
      <c r="Q50" s="93">
        <v>0</v>
      </c>
      <c r="R50" s="94">
        <f t="shared" si="4"/>
        <v>128800000</v>
      </c>
      <c r="S50" s="95">
        <v>0.12</v>
      </c>
      <c r="T50" s="94">
        <v>13815914</v>
      </c>
      <c r="U50" s="117">
        <v>128800000</v>
      </c>
      <c r="V50" s="117">
        <v>0</v>
      </c>
      <c r="W50" s="94">
        <f t="shared" si="6"/>
        <v>0</v>
      </c>
      <c r="X50" s="94">
        <f t="shared" si="7"/>
        <v>0</v>
      </c>
      <c r="Y50" s="94">
        <f t="shared" si="8"/>
        <v>0</v>
      </c>
      <c r="Z50" s="93">
        <f>_xlfn.XLOOKUP(O50,'[4]2DO TRIMESTRE'!$C:$C,'[4]2DO TRIMESTRE'!$I:$I,0,0)</f>
        <v>0</v>
      </c>
      <c r="AA50" s="94">
        <f t="shared" si="9"/>
        <v>0</v>
      </c>
      <c r="AB50" s="94">
        <f t="shared" si="10"/>
        <v>0</v>
      </c>
      <c r="AC50" s="94">
        <f t="shared" si="11"/>
        <v>0</v>
      </c>
      <c r="AD50" s="93">
        <v>0</v>
      </c>
      <c r="AE50" s="94">
        <f t="shared" si="12"/>
        <v>0</v>
      </c>
      <c r="AF50" s="94">
        <f t="shared" si="13"/>
        <v>0</v>
      </c>
      <c r="AG50" s="94">
        <f t="shared" si="14"/>
        <v>0</v>
      </c>
      <c r="AH50" s="117">
        <v>0</v>
      </c>
      <c r="AI50" s="94">
        <f t="shared" si="15"/>
        <v>0</v>
      </c>
      <c r="AJ50" s="94">
        <f t="shared" si="16"/>
        <v>0</v>
      </c>
      <c r="AK50" s="94">
        <f t="shared" si="17"/>
        <v>0</v>
      </c>
      <c r="AL50" s="93">
        <v>13815914</v>
      </c>
      <c r="AM50" s="93">
        <f t="shared" si="18"/>
        <v>0</v>
      </c>
      <c r="AN50" s="155"/>
      <c r="AO50" s="155"/>
    </row>
    <row r="51" spans="1:41" s="9" customFormat="1" ht="25.15" customHeight="1" x14ac:dyDescent="0.25">
      <c r="A51" s="83">
        <v>45</v>
      </c>
      <c r="B51" s="84">
        <v>2021</v>
      </c>
      <c r="C51" s="85" t="s">
        <v>888</v>
      </c>
      <c r="D51" s="86" t="s">
        <v>883</v>
      </c>
      <c r="E51" s="86" t="s">
        <v>758</v>
      </c>
      <c r="F51" s="87">
        <v>44438</v>
      </c>
      <c r="G51" s="87">
        <v>44536</v>
      </c>
      <c r="H51" s="88">
        <f t="shared" si="3"/>
        <v>1.0888888888888888</v>
      </c>
      <c r="I51" s="89" t="s">
        <v>750</v>
      </c>
      <c r="J51" s="90" t="s">
        <v>751</v>
      </c>
      <c r="K51" s="90" t="s">
        <v>752</v>
      </c>
      <c r="L51" s="90" t="s">
        <v>753</v>
      </c>
      <c r="M51" s="91" t="s">
        <v>768</v>
      </c>
      <c r="N51" s="92" t="s">
        <v>884</v>
      </c>
      <c r="O51" s="85">
        <v>2910906760</v>
      </c>
      <c r="P51" s="93">
        <f>+_xlfn.XLOOKUP(O51,'[3]Benef Primera fecha '!$C:$C,'[3]Benef Primera fecha '!$E:$E,0)</f>
        <v>94999200</v>
      </c>
      <c r="Q51" s="93">
        <v>0</v>
      </c>
      <c r="R51" s="94">
        <f t="shared" si="4"/>
        <v>94999200</v>
      </c>
      <c r="S51" s="95">
        <v>0.12</v>
      </c>
      <c r="T51" s="94">
        <f t="shared" si="5"/>
        <v>10178485.714285715</v>
      </c>
      <c r="U51" s="117">
        <v>94999200</v>
      </c>
      <c r="V51" s="117">
        <v>0</v>
      </c>
      <c r="W51" s="94">
        <f t="shared" si="6"/>
        <v>0</v>
      </c>
      <c r="X51" s="94">
        <f t="shared" si="7"/>
        <v>0</v>
      </c>
      <c r="Y51" s="94">
        <f t="shared" si="8"/>
        <v>0</v>
      </c>
      <c r="Z51" s="93">
        <f>_xlfn.XLOOKUP(O51,'[4]2DO TRIMESTRE'!$C:$C,'[4]2DO TRIMESTRE'!$I:$I,0,0)</f>
        <v>0</v>
      </c>
      <c r="AA51" s="94">
        <f t="shared" si="9"/>
        <v>0</v>
      </c>
      <c r="AB51" s="94">
        <f t="shared" si="10"/>
        <v>0</v>
      </c>
      <c r="AC51" s="94">
        <f t="shared" si="11"/>
        <v>0</v>
      </c>
      <c r="AD51" s="93">
        <v>0</v>
      </c>
      <c r="AE51" s="94">
        <f t="shared" si="12"/>
        <v>0</v>
      </c>
      <c r="AF51" s="94">
        <f t="shared" si="13"/>
        <v>0</v>
      </c>
      <c r="AG51" s="94">
        <f t="shared" si="14"/>
        <v>0</v>
      </c>
      <c r="AH51" s="117">
        <v>0</v>
      </c>
      <c r="AI51" s="94">
        <f t="shared" si="15"/>
        <v>0</v>
      </c>
      <c r="AJ51" s="94">
        <f t="shared" si="16"/>
        <v>0</v>
      </c>
      <c r="AK51" s="94">
        <f t="shared" si="17"/>
        <v>0</v>
      </c>
      <c r="AL51" s="93">
        <v>10178486</v>
      </c>
      <c r="AM51" s="93">
        <f t="shared" si="18"/>
        <v>0</v>
      </c>
      <c r="AN51" s="155"/>
      <c r="AO51" s="155"/>
    </row>
    <row r="52" spans="1:41" s="9" customFormat="1" ht="25.15" customHeight="1" x14ac:dyDescent="0.25">
      <c r="A52" s="83">
        <v>46</v>
      </c>
      <c r="B52" s="84">
        <v>2021</v>
      </c>
      <c r="C52" s="85" t="s">
        <v>889</v>
      </c>
      <c r="D52" s="86" t="s">
        <v>890</v>
      </c>
      <c r="E52" s="86" t="s">
        <v>758</v>
      </c>
      <c r="F52" s="87">
        <v>44441</v>
      </c>
      <c r="G52" s="87">
        <v>44531</v>
      </c>
      <c r="H52" s="88">
        <f t="shared" si="3"/>
        <v>1</v>
      </c>
      <c r="I52" s="89" t="s">
        <v>750</v>
      </c>
      <c r="J52" s="90" t="s">
        <v>751</v>
      </c>
      <c r="K52" s="90" t="s">
        <v>752</v>
      </c>
      <c r="L52" s="90" t="s">
        <v>753</v>
      </c>
      <c r="M52" s="91" t="s">
        <v>768</v>
      </c>
      <c r="N52" s="92" t="s">
        <v>891</v>
      </c>
      <c r="O52" s="85">
        <v>2910906759</v>
      </c>
      <c r="P52" s="93">
        <f>+_xlfn.XLOOKUP(O52,'[3]Benef Primera fecha '!$C:$C,'[3]Benef Primera fecha '!$E:$E,0)</f>
        <v>70000000</v>
      </c>
      <c r="Q52" s="93">
        <v>0</v>
      </c>
      <c r="R52" s="94">
        <f t="shared" si="4"/>
        <v>70000000</v>
      </c>
      <c r="S52" s="95">
        <v>0.12</v>
      </c>
      <c r="T52" s="94">
        <f t="shared" si="5"/>
        <v>7499999.9999999991</v>
      </c>
      <c r="U52" s="117">
        <v>70000000</v>
      </c>
      <c r="V52" s="117">
        <v>0</v>
      </c>
      <c r="W52" s="94">
        <f t="shared" si="6"/>
        <v>0</v>
      </c>
      <c r="X52" s="94">
        <f t="shared" si="7"/>
        <v>0</v>
      </c>
      <c r="Y52" s="94">
        <f t="shared" si="8"/>
        <v>0</v>
      </c>
      <c r="Z52" s="93">
        <f>_xlfn.XLOOKUP(O52,'[4]2DO TRIMESTRE'!$C:$C,'[4]2DO TRIMESTRE'!$I:$I,0,0)</f>
        <v>0</v>
      </c>
      <c r="AA52" s="94">
        <f t="shared" ref="AA52" si="22">+Z52/(1+$S52)*$S52</f>
        <v>0</v>
      </c>
      <c r="AB52" s="94">
        <f t="shared" ref="AB52" si="23">+AA52*40%</f>
        <v>0</v>
      </c>
      <c r="AC52" s="94">
        <f t="shared" ref="AC52" si="24">+AA52*60%</f>
        <v>0</v>
      </c>
      <c r="AD52" s="93">
        <v>0</v>
      </c>
      <c r="AE52" s="94">
        <f t="shared" si="12"/>
        <v>0</v>
      </c>
      <c r="AF52" s="94">
        <f t="shared" si="13"/>
        <v>0</v>
      </c>
      <c r="AG52" s="94">
        <f t="shared" si="14"/>
        <v>0</v>
      </c>
      <c r="AH52" s="117">
        <v>0</v>
      </c>
      <c r="AI52" s="94">
        <f t="shared" si="15"/>
        <v>0</v>
      </c>
      <c r="AJ52" s="94">
        <f t="shared" si="16"/>
        <v>0</v>
      </c>
      <c r="AK52" s="94">
        <f t="shared" si="17"/>
        <v>0</v>
      </c>
      <c r="AL52" s="93">
        <v>7500000</v>
      </c>
      <c r="AM52" s="93">
        <f t="shared" si="18"/>
        <v>0</v>
      </c>
      <c r="AN52" s="155"/>
      <c r="AO52" s="155"/>
    </row>
    <row r="53" spans="1:41" s="9" customFormat="1" ht="25.15" customHeight="1" x14ac:dyDescent="0.25">
      <c r="A53" s="83">
        <v>47</v>
      </c>
      <c r="B53" s="84">
        <v>2021</v>
      </c>
      <c r="C53" s="85" t="s">
        <v>747</v>
      </c>
      <c r="D53" s="86" t="s">
        <v>892</v>
      </c>
      <c r="E53" s="86" t="s">
        <v>749</v>
      </c>
      <c r="F53" s="87">
        <v>44448</v>
      </c>
      <c r="G53" s="87">
        <v>44477</v>
      </c>
      <c r="H53" s="88">
        <f t="shared" si="3"/>
        <v>0.32222222222222224</v>
      </c>
      <c r="I53" s="89" t="s">
        <v>750</v>
      </c>
      <c r="J53" s="90" t="s">
        <v>751</v>
      </c>
      <c r="K53" s="90" t="s">
        <v>752</v>
      </c>
      <c r="L53" s="90" t="s">
        <v>753</v>
      </c>
      <c r="M53" s="91" t="s">
        <v>754</v>
      </c>
      <c r="N53" s="92" t="s">
        <v>893</v>
      </c>
      <c r="O53" s="85">
        <v>2910908045</v>
      </c>
      <c r="P53" s="93">
        <f>+_xlfn.XLOOKUP(O53,'[3]Benef Primera fecha '!$C:$C,'[3]Benef Primera fecha '!$E:$E,0)</f>
        <v>8285436</v>
      </c>
      <c r="Q53" s="93">
        <v>0</v>
      </c>
      <c r="R53" s="94">
        <f t="shared" si="4"/>
        <v>8285436</v>
      </c>
      <c r="S53" s="95">
        <v>0.12</v>
      </c>
      <c r="T53" s="94">
        <f t="shared" si="5"/>
        <v>887725.28571428556</v>
      </c>
      <c r="U53" s="117">
        <v>8285436</v>
      </c>
      <c r="V53" s="117">
        <v>0</v>
      </c>
      <c r="W53" s="94">
        <f t="shared" si="6"/>
        <v>0</v>
      </c>
      <c r="X53" s="94">
        <f t="shared" si="7"/>
        <v>0</v>
      </c>
      <c r="Y53" s="94">
        <f t="shared" si="8"/>
        <v>0</v>
      </c>
      <c r="Z53" s="93">
        <f>_xlfn.XLOOKUP(O53,'[4]2DO TRIMESTRE'!$C:$C,'[4]2DO TRIMESTRE'!$I:$I,0,0)</f>
        <v>0</v>
      </c>
      <c r="AA53" s="94">
        <f t="shared" si="9"/>
        <v>0</v>
      </c>
      <c r="AB53" s="94">
        <f t="shared" si="10"/>
        <v>0</v>
      </c>
      <c r="AC53" s="94">
        <f t="shared" si="11"/>
        <v>0</v>
      </c>
      <c r="AD53" s="93">
        <v>0</v>
      </c>
      <c r="AE53" s="94">
        <f t="shared" si="12"/>
        <v>0</v>
      </c>
      <c r="AF53" s="94">
        <f t="shared" si="13"/>
        <v>0</v>
      </c>
      <c r="AG53" s="94">
        <f t="shared" si="14"/>
        <v>0</v>
      </c>
      <c r="AH53" s="117">
        <v>0</v>
      </c>
      <c r="AI53" s="94">
        <f t="shared" si="15"/>
        <v>0</v>
      </c>
      <c r="AJ53" s="94">
        <f t="shared" si="16"/>
        <v>0</v>
      </c>
      <c r="AK53" s="94">
        <f t="shared" si="17"/>
        <v>0</v>
      </c>
      <c r="AL53" s="93">
        <v>887725</v>
      </c>
      <c r="AM53" s="93">
        <f t="shared" si="18"/>
        <v>0</v>
      </c>
      <c r="AN53" s="155"/>
      <c r="AO53" s="155"/>
    </row>
    <row r="54" spans="1:41" s="9" customFormat="1" ht="25.15" customHeight="1" x14ac:dyDescent="0.25">
      <c r="A54" s="83">
        <v>48</v>
      </c>
      <c r="B54" s="84">
        <v>2021</v>
      </c>
      <c r="C54" s="85" t="s">
        <v>894</v>
      </c>
      <c r="D54" s="86" t="s">
        <v>895</v>
      </c>
      <c r="E54" s="86" t="s">
        <v>758</v>
      </c>
      <c r="F54" s="87">
        <v>44449</v>
      </c>
      <c r="G54" s="87">
        <v>44545</v>
      </c>
      <c r="H54" s="88">
        <f t="shared" si="3"/>
        <v>1.0666666666666667</v>
      </c>
      <c r="I54" s="89" t="s">
        <v>763</v>
      </c>
      <c r="J54" s="90" t="s">
        <v>751</v>
      </c>
      <c r="K54" s="90" t="s">
        <v>752</v>
      </c>
      <c r="L54" s="90" t="s">
        <v>753</v>
      </c>
      <c r="M54" s="91" t="s">
        <v>768</v>
      </c>
      <c r="N54" s="92" t="s">
        <v>896</v>
      </c>
      <c r="O54" s="85">
        <v>2910906763</v>
      </c>
      <c r="P54" s="93">
        <f>+_xlfn.XLOOKUP(O54,'[3]Benef Primera fecha '!$C:$C,'[3]Benef Primera fecha '!$E:$E,0)</f>
        <v>100000000</v>
      </c>
      <c r="Q54" s="93">
        <v>0</v>
      </c>
      <c r="R54" s="94">
        <f t="shared" si="4"/>
        <v>100000000</v>
      </c>
      <c r="S54" s="95">
        <v>0.12</v>
      </c>
      <c r="T54" s="94">
        <f t="shared" si="5"/>
        <v>10714285.714285715</v>
      </c>
      <c r="U54" s="117">
        <v>100000000</v>
      </c>
      <c r="V54" s="117">
        <v>0</v>
      </c>
      <c r="W54" s="94">
        <f t="shared" si="6"/>
        <v>0</v>
      </c>
      <c r="X54" s="94">
        <f t="shared" si="7"/>
        <v>0</v>
      </c>
      <c r="Y54" s="94">
        <f t="shared" si="8"/>
        <v>0</v>
      </c>
      <c r="Z54" s="93">
        <f>_xlfn.XLOOKUP(O54,'[4]2DO TRIMESTRE'!$C:$C,'[4]2DO TRIMESTRE'!$I:$I,0,0)</f>
        <v>0</v>
      </c>
      <c r="AA54" s="94">
        <f t="shared" si="9"/>
        <v>0</v>
      </c>
      <c r="AB54" s="94">
        <f t="shared" si="10"/>
        <v>0</v>
      </c>
      <c r="AC54" s="94">
        <f t="shared" si="11"/>
        <v>0</v>
      </c>
      <c r="AD54" s="93">
        <v>0</v>
      </c>
      <c r="AE54" s="94">
        <f t="shared" si="12"/>
        <v>0</v>
      </c>
      <c r="AF54" s="94">
        <f t="shared" si="13"/>
        <v>0</v>
      </c>
      <c r="AG54" s="94">
        <f t="shared" si="14"/>
        <v>0</v>
      </c>
      <c r="AH54" s="117">
        <v>0</v>
      </c>
      <c r="AI54" s="94">
        <f t="shared" si="15"/>
        <v>0</v>
      </c>
      <c r="AJ54" s="94">
        <f t="shared" si="16"/>
        <v>0</v>
      </c>
      <c r="AK54" s="94">
        <f t="shared" si="17"/>
        <v>0</v>
      </c>
      <c r="AL54" s="93">
        <v>10714286</v>
      </c>
      <c r="AM54" s="93">
        <f t="shared" si="18"/>
        <v>0</v>
      </c>
      <c r="AN54" s="155"/>
      <c r="AO54" s="155"/>
    </row>
    <row r="55" spans="1:41" s="9" customFormat="1" ht="25.15" customHeight="1" x14ac:dyDescent="0.25">
      <c r="A55" s="83">
        <v>49</v>
      </c>
      <c r="B55" s="84">
        <v>2021</v>
      </c>
      <c r="C55" s="85" t="s">
        <v>897</v>
      </c>
      <c r="D55" s="86" t="s">
        <v>898</v>
      </c>
      <c r="E55" s="86" t="s">
        <v>758</v>
      </c>
      <c r="F55" s="87">
        <v>44449</v>
      </c>
      <c r="G55" s="87">
        <v>44883</v>
      </c>
      <c r="H55" s="88">
        <f t="shared" si="3"/>
        <v>4.822222222222222</v>
      </c>
      <c r="I55" s="89" t="s">
        <v>750</v>
      </c>
      <c r="J55" s="90" t="s">
        <v>751</v>
      </c>
      <c r="K55" s="90" t="s">
        <v>752</v>
      </c>
      <c r="L55" s="90" t="s">
        <v>753</v>
      </c>
      <c r="M55" s="91" t="s">
        <v>768</v>
      </c>
      <c r="N55" s="92" t="s">
        <v>899</v>
      </c>
      <c r="O55" s="85">
        <v>2910906758</v>
      </c>
      <c r="P55" s="93">
        <f>+_xlfn.XLOOKUP(O55,'[3]Benef Primera fecha '!$C:$C,'[3]Benef Primera fecha '!$E:$E,0)</f>
        <v>660783000</v>
      </c>
      <c r="Q55" s="93">
        <v>0</v>
      </c>
      <c r="R55" s="94">
        <f t="shared" si="4"/>
        <v>660783000</v>
      </c>
      <c r="S55" s="95">
        <v>0.12000006915432573</v>
      </c>
      <c r="T55" s="94">
        <f t="shared" si="5"/>
        <v>70798215</v>
      </c>
      <c r="U55" s="117">
        <v>660783000</v>
      </c>
      <c r="V55" s="117">
        <v>0</v>
      </c>
      <c r="W55" s="94">
        <f t="shared" si="6"/>
        <v>0</v>
      </c>
      <c r="X55" s="94">
        <f t="shared" si="7"/>
        <v>0</v>
      </c>
      <c r="Y55" s="94">
        <f t="shared" si="8"/>
        <v>0</v>
      </c>
      <c r="Z55" s="93">
        <f>_xlfn.XLOOKUP(O55,'[4]2DO TRIMESTRE'!$C:$C,'[4]2DO TRIMESTRE'!$I:$I,0,0)</f>
        <v>0</v>
      </c>
      <c r="AA55" s="94">
        <f t="shared" si="9"/>
        <v>0</v>
      </c>
      <c r="AB55" s="94">
        <f t="shared" si="10"/>
        <v>0</v>
      </c>
      <c r="AC55" s="94">
        <f t="shared" si="11"/>
        <v>0</v>
      </c>
      <c r="AD55" s="93">
        <v>0</v>
      </c>
      <c r="AE55" s="94">
        <f t="shared" si="12"/>
        <v>0</v>
      </c>
      <c r="AF55" s="94">
        <f t="shared" si="13"/>
        <v>0</v>
      </c>
      <c r="AG55" s="94">
        <f t="shared" si="14"/>
        <v>0</v>
      </c>
      <c r="AH55" s="117">
        <v>0</v>
      </c>
      <c r="AI55" s="94">
        <f t="shared" si="15"/>
        <v>0</v>
      </c>
      <c r="AJ55" s="94">
        <f t="shared" si="16"/>
        <v>0</v>
      </c>
      <c r="AK55" s="94">
        <f t="shared" si="17"/>
        <v>0</v>
      </c>
      <c r="AL55" s="93">
        <v>70798215</v>
      </c>
      <c r="AM55" s="93">
        <f t="shared" si="18"/>
        <v>0</v>
      </c>
      <c r="AN55" s="155"/>
      <c r="AO55" s="155"/>
    </row>
    <row r="56" spans="1:41" s="9" customFormat="1" ht="25.15" customHeight="1" x14ac:dyDescent="0.25">
      <c r="A56" s="83">
        <v>50</v>
      </c>
      <c r="B56" s="84">
        <v>2021</v>
      </c>
      <c r="C56" s="85" t="s">
        <v>900</v>
      </c>
      <c r="D56" s="86" t="s">
        <v>901</v>
      </c>
      <c r="E56" s="86" t="s">
        <v>777</v>
      </c>
      <c r="F56" s="87">
        <v>44449</v>
      </c>
      <c r="G56" s="87">
        <v>44633</v>
      </c>
      <c r="H56" s="88">
        <f t="shared" si="3"/>
        <v>2.0444444444444443</v>
      </c>
      <c r="I56" s="89" t="s">
        <v>750</v>
      </c>
      <c r="J56" s="90" t="s">
        <v>751</v>
      </c>
      <c r="K56" s="90" t="s">
        <v>752</v>
      </c>
      <c r="L56" s="90" t="s">
        <v>753</v>
      </c>
      <c r="M56" s="91" t="s">
        <v>768</v>
      </c>
      <c r="N56" s="92" t="s">
        <v>902</v>
      </c>
      <c r="O56" s="85">
        <v>2453018321</v>
      </c>
      <c r="P56" s="93">
        <f>+_xlfn.XLOOKUP(O56,'[3]Benef Primera fecha '!$C:$C,'[3]Benef Primera fecha '!$E:$E,0)</f>
        <v>439581220</v>
      </c>
      <c r="Q56" s="93">
        <v>0</v>
      </c>
      <c r="R56" s="94">
        <f t="shared" si="4"/>
        <v>439581220</v>
      </c>
      <c r="S56" s="95">
        <v>0.12</v>
      </c>
      <c r="T56" s="94">
        <f t="shared" si="5"/>
        <v>47097987.857142851</v>
      </c>
      <c r="U56" s="117">
        <v>391529566</v>
      </c>
      <c r="V56" s="117">
        <v>0</v>
      </c>
      <c r="W56" s="94">
        <f t="shared" si="6"/>
        <v>0</v>
      </c>
      <c r="X56" s="94">
        <f t="shared" si="7"/>
        <v>0</v>
      </c>
      <c r="Y56" s="94">
        <f t="shared" si="8"/>
        <v>0</v>
      </c>
      <c r="Z56" s="93">
        <f>_xlfn.XLOOKUP(O56,'[4]2DO TRIMESTRE'!$C:$C,'[4]2DO TRIMESTRE'!$I:$I,0,0)</f>
        <v>0</v>
      </c>
      <c r="AA56" s="94">
        <f t="shared" si="9"/>
        <v>0</v>
      </c>
      <c r="AB56" s="94">
        <f t="shared" si="10"/>
        <v>0</v>
      </c>
      <c r="AC56" s="94">
        <f t="shared" si="11"/>
        <v>0</v>
      </c>
      <c r="AD56" s="93">
        <v>0</v>
      </c>
      <c r="AE56" s="94">
        <f t="shared" si="12"/>
        <v>0</v>
      </c>
      <c r="AF56" s="94">
        <f t="shared" si="13"/>
        <v>0</v>
      </c>
      <c r="AG56" s="94">
        <f t="shared" si="14"/>
        <v>0</v>
      </c>
      <c r="AH56" s="117">
        <v>0</v>
      </c>
      <c r="AI56" s="94">
        <f t="shared" si="15"/>
        <v>0</v>
      </c>
      <c r="AJ56" s="94">
        <f t="shared" si="16"/>
        <v>0</v>
      </c>
      <c r="AK56" s="94">
        <f t="shared" si="17"/>
        <v>0</v>
      </c>
      <c r="AL56" s="93">
        <v>40539368</v>
      </c>
      <c r="AM56" s="93">
        <f t="shared" si="18"/>
        <v>0</v>
      </c>
      <c r="AN56" s="155"/>
      <c r="AO56" s="155"/>
    </row>
    <row r="57" spans="1:41" s="9" customFormat="1" ht="25.15" customHeight="1" x14ac:dyDescent="0.25">
      <c r="A57" s="83">
        <v>51</v>
      </c>
      <c r="B57" s="84">
        <v>2021</v>
      </c>
      <c r="C57" s="85" t="s">
        <v>903</v>
      </c>
      <c r="D57" s="86" t="s">
        <v>883</v>
      </c>
      <c r="E57" s="86" t="s">
        <v>758</v>
      </c>
      <c r="F57" s="87">
        <v>44453</v>
      </c>
      <c r="G57" s="87">
        <v>44587</v>
      </c>
      <c r="H57" s="88">
        <f t="shared" si="3"/>
        <v>1.4888888888888889</v>
      </c>
      <c r="I57" s="89" t="s">
        <v>750</v>
      </c>
      <c r="J57" s="90" t="s">
        <v>751</v>
      </c>
      <c r="K57" s="90" t="s">
        <v>752</v>
      </c>
      <c r="L57" s="90" t="s">
        <v>753</v>
      </c>
      <c r="M57" s="91" t="s">
        <v>768</v>
      </c>
      <c r="N57" s="92" t="s">
        <v>884</v>
      </c>
      <c r="O57" s="85">
        <v>2910906760</v>
      </c>
      <c r="P57" s="93">
        <f>+_xlfn.XLOOKUP(O57,'[3]Benef Primera fecha '!$C:$C,'[3]Benef Primera fecha '!$E:$E,0)</f>
        <v>94999200</v>
      </c>
      <c r="Q57" s="93">
        <v>0</v>
      </c>
      <c r="R57" s="94">
        <f t="shared" si="4"/>
        <v>94999200</v>
      </c>
      <c r="S57" s="95">
        <v>0.12</v>
      </c>
      <c r="T57" s="94">
        <f t="shared" si="5"/>
        <v>10178485.714285715</v>
      </c>
      <c r="U57" s="117">
        <v>94999200</v>
      </c>
      <c r="V57" s="117">
        <v>0</v>
      </c>
      <c r="W57" s="94">
        <f t="shared" si="6"/>
        <v>0</v>
      </c>
      <c r="X57" s="94">
        <f t="shared" si="7"/>
        <v>0</v>
      </c>
      <c r="Y57" s="94">
        <f t="shared" si="8"/>
        <v>0</v>
      </c>
      <c r="Z57" s="93">
        <f>_xlfn.XLOOKUP(O57,'[4]2DO TRIMESTRE'!$C:$C,'[4]2DO TRIMESTRE'!$I:$I,0,0)</f>
        <v>0</v>
      </c>
      <c r="AA57" s="94">
        <f t="shared" si="9"/>
        <v>0</v>
      </c>
      <c r="AB57" s="94">
        <f t="shared" si="10"/>
        <v>0</v>
      </c>
      <c r="AC57" s="94">
        <f t="shared" si="11"/>
        <v>0</v>
      </c>
      <c r="AD57" s="93">
        <v>0</v>
      </c>
      <c r="AE57" s="94">
        <f t="shared" si="12"/>
        <v>0</v>
      </c>
      <c r="AF57" s="94">
        <f t="shared" si="13"/>
        <v>0</v>
      </c>
      <c r="AG57" s="94">
        <f t="shared" si="14"/>
        <v>0</v>
      </c>
      <c r="AH57" s="117">
        <v>0</v>
      </c>
      <c r="AI57" s="94">
        <f t="shared" si="15"/>
        <v>0</v>
      </c>
      <c r="AJ57" s="94">
        <f t="shared" si="16"/>
        <v>0</v>
      </c>
      <c r="AK57" s="94">
        <f t="shared" si="17"/>
        <v>0</v>
      </c>
      <c r="AL57" s="93">
        <v>10178486</v>
      </c>
      <c r="AM57" s="93">
        <f t="shared" si="18"/>
        <v>0</v>
      </c>
      <c r="AN57" s="155"/>
      <c r="AO57" s="155"/>
    </row>
    <row r="58" spans="1:41" s="9" customFormat="1" ht="25.15" customHeight="1" x14ac:dyDescent="0.25">
      <c r="A58" s="83">
        <v>52</v>
      </c>
      <c r="B58" s="84">
        <v>2021</v>
      </c>
      <c r="C58" s="85" t="s">
        <v>747</v>
      </c>
      <c r="D58" s="86" t="s">
        <v>904</v>
      </c>
      <c r="E58" s="86" t="s">
        <v>749</v>
      </c>
      <c r="F58" s="87">
        <v>44453</v>
      </c>
      <c r="G58" s="87">
        <v>44574</v>
      </c>
      <c r="H58" s="88">
        <f t="shared" si="3"/>
        <v>1.3444444444444446</v>
      </c>
      <c r="I58" s="89" t="s">
        <v>750</v>
      </c>
      <c r="J58" s="90" t="s">
        <v>751</v>
      </c>
      <c r="K58" s="90" t="s">
        <v>752</v>
      </c>
      <c r="L58" s="90" t="s">
        <v>753</v>
      </c>
      <c r="M58" s="91" t="s">
        <v>754</v>
      </c>
      <c r="N58" s="92" t="s">
        <v>905</v>
      </c>
      <c r="O58" s="85">
        <v>2910908048</v>
      </c>
      <c r="P58" s="93">
        <v>11685000</v>
      </c>
      <c r="Q58" s="93">
        <v>0</v>
      </c>
      <c r="R58" s="94">
        <f t="shared" si="4"/>
        <v>11685000</v>
      </c>
      <c r="S58" s="95">
        <v>0</v>
      </c>
      <c r="T58" s="94">
        <f t="shared" si="5"/>
        <v>0</v>
      </c>
      <c r="U58" s="117">
        <v>0</v>
      </c>
      <c r="V58" s="117">
        <v>0</v>
      </c>
      <c r="W58" s="94">
        <f t="shared" si="6"/>
        <v>0</v>
      </c>
      <c r="X58" s="94">
        <f t="shared" si="7"/>
        <v>0</v>
      </c>
      <c r="Y58" s="94">
        <f t="shared" si="8"/>
        <v>0</v>
      </c>
      <c r="Z58" s="93">
        <f>_xlfn.XLOOKUP(O58,'[4]2DO TRIMESTRE'!$C:$C,'[4]2DO TRIMESTRE'!$I:$I,0,0)</f>
        <v>0</v>
      </c>
      <c r="AA58" s="94">
        <f t="shared" si="9"/>
        <v>0</v>
      </c>
      <c r="AB58" s="94">
        <f t="shared" si="10"/>
        <v>0</v>
      </c>
      <c r="AC58" s="94">
        <f t="shared" si="11"/>
        <v>0</v>
      </c>
      <c r="AD58" s="93">
        <v>0</v>
      </c>
      <c r="AE58" s="94">
        <f t="shared" si="12"/>
        <v>0</v>
      </c>
      <c r="AF58" s="94">
        <f t="shared" si="13"/>
        <v>0</v>
      </c>
      <c r="AG58" s="94">
        <f t="shared" si="14"/>
        <v>0</v>
      </c>
      <c r="AH58" s="117">
        <v>0</v>
      </c>
      <c r="AI58" s="94">
        <f t="shared" si="15"/>
        <v>0</v>
      </c>
      <c r="AJ58" s="94">
        <f t="shared" si="16"/>
        <v>0</v>
      </c>
      <c r="AK58" s="94">
        <f t="shared" si="17"/>
        <v>0</v>
      </c>
      <c r="AL58" s="93">
        <v>0</v>
      </c>
      <c r="AM58" s="93">
        <f t="shared" si="18"/>
        <v>0</v>
      </c>
      <c r="AN58" s="155"/>
      <c r="AO58" s="155"/>
    </row>
    <row r="59" spans="1:41" s="9" customFormat="1" ht="25.15" customHeight="1" x14ac:dyDescent="0.25">
      <c r="A59" s="83">
        <v>53</v>
      </c>
      <c r="B59" s="84">
        <v>2021</v>
      </c>
      <c r="C59" s="85" t="s">
        <v>900</v>
      </c>
      <c r="D59" s="86" t="s">
        <v>906</v>
      </c>
      <c r="E59" s="86" t="s">
        <v>758</v>
      </c>
      <c r="F59" s="87">
        <v>44454</v>
      </c>
      <c r="G59" s="87">
        <v>45150</v>
      </c>
      <c r="H59" s="88">
        <f t="shared" si="3"/>
        <v>7.7333333333333334</v>
      </c>
      <c r="I59" s="89" t="s">
        <v>759</v>
      </c>
      <c r="J59" s="90" t="s">
        <v>751</v>
      </c>
      <c r="K59" s="90" t="s">
        <v>752</v>
      </c>
      <c r="L59" s="90" t="s">
        <v>753</v>
      </c>
      <c r="M59" s="91" t="s">
        <v>768</v>
      </c>
      <c r="N59" s="92" t="s">
        <v>907</v>
      </c>
      <c r="O59" s="85">
        <v>2910906756</v>
      </c>
      <c r="P59" s="93">
        <f>+_xlfn.XLOOKUP(O59,'[3]Benef Primera fecha '!$C:$C,'[3]Benef Primera fecha '!$E:$E,0)</f>
        <v>2243355967</v>
      </c>
      <c r="Q59" s="93">
        <v>601517120</v>
      </c>
      <c r="R59" s="94">
        <f t="shared" si="4"/>
        <v>2844873087</v>
      </c>
      <c r="S59" s="95">
        <v>0.12</v>
      </c>
      <c r="T59" s="94">
        <f t="shared" si="5"/>
        <v>304807830.74999994</v>
      </c>
      <c r="U59" s="117">
        <v>1874978920</v>
      </c>
      <c r="V59" s="117">
        <v>0</v>
      </c>
      <c r="W59" s="94">
        <f t="shared" si="6"/>
        <v>0</v>
      </c>
      <c r="X59" s="94">
        <f t="shared" si="7"/>
        <v>0</v>
      </c>
      <c r="Y59" s="94">
        <f t="shared" si="8"/>
        <v>0</v>
      </c>
      <c r="Z59" s="93">
        <f>_xlfn.XLOOKUP(O59,'[4]2DO TRIMESTRE'!$C:$C,'[4]2DO TRIMESTRE'!$I:$I,0,0)</f>
        <v>0</v>
      </c>
      <c r="AA59" s="94">
        <f t="shared" si="9"/>
        <v>0</v>
      </c>
      <c r="AB59" s="94">
        <f t="shared" si="10"/>
        <v>0</v>
      </c>
      <c r="AC59" s="94">
        <f t="shared" si="11"/>
        <v>0</v>
      </c>
      <c r="AD59" s="93">
        <v>0</v>
      </c>
      <c r="AE59" s="94">
        <f t="shared" si="12"/>
        <v>0</v>
      </c>
      <c r="AF59" s="94">
        <f t="shared" si="13"/>
        <v>0</v>
      </c>
      <c r="AG59" s="94">
        <f t="shared" si="14"/>
        <v>0</v>
      </c>
      <c r="AH59" s="117">
        <v>0</v>
      </c>
      <c r="AI59" s="94">
        <f t="shared" si="15"/>
        <v>0</v>
      </c>
      <c r="AJ59" s="94">
        <f t="shared" si="16"/>
        <v>0</v>
      </c>
      <c r="AK59" s="94">
        <f t="shared" si="17"/>
        <v>0</v>
      </c>
      <c r="AL59" s="93">
        <v>200890598.73619679</v>
      </c>
      <c r="AM59" s="93">
        <f t="shared" si="18"/>
        <v>0</v>
      </c>
      <c r="AN59" s="155"/>
      <c r="AO59" s="155"/>
    </row>
    <row r="60" spans="1:41" s="9" customFormat="1" ht="25.15" customHeight="1" x14ac:dyDescent="0.25">
      <c r="A60" s="83">
        <v>54</v>
      </c>
      <c r="B60" s="84">
        <v>2021</v>
      </c>
      <c r="C60" s="85" t="s">
        <v>839</v>
      </c>
      <c r="D60" s="86" t="s">
        <v>908</v>
      </c>
      <c r="E60" s="86" t="s">
        <v>777</v>
      </c>
      <c r="F60" s="87">
        <v>44459</v>
      </c>
      <c r="G60" s="87">
        <v>44557</v>
      </c>
      <c r="H60" s="88">
        <f t="shared" si="3"/>
        <v>1.0888888888888888</v>
      </c>
      <c r="I60" s="89" t="s">
        <v>763</v>
      </c>
      <c r="J60" s="90" t="s">
        <v>751</v>
      </c>
      <c r="K60" s="90" t="s">
        <v>752</v>
      </c>
      <c r="L60" s="90" t="s">
        <v>753</v>
      </c>
      <c r="M60" s="91" t="s">
        <v>909</v>
      </c>
      <c r="N60" s="92" t="s">
        <v>910</v>
      </c>
      <c r="O60" s="85">
        <v>2453018320</v>
      </c>
      <c r="P60" s="93">
        <v>440000000</v>
      </c>
      <c r="Q60" s="93">
        <v>0</v>
      </c>
      <c r="R60" s="94">
        <f t="shared" si="4"/>
        <v>440000000</v>
      </c>
      <c r="S60" s="95">
        <v>0</v>
      </c>
      <c r="T60" s="94">
        <f t="shared" si="5"/>
        <v>0</v>
      </c>
      <c r="U60" s="117">
        <v>0</v>
      </c>
      <c r="V60" s="117">
        <v>0</v>
      </c>
      <c r="W60" s="94">
        <f t="shared" si="6"/>
        <v>0</v>
      </c>
      <c r="X60" s="94">
        <f t="shared" si="7"/>
        <v>0</v>
      </c>
      <c r="Y60" s="94">
        <f t="shared" si="8"/>
        <v>0</v>
      </c>
      <c r="Z60" s="93">
        <f>_xlfn.XLOOKUP(O60,'[4]2DO TRIMESTRE'!$C:$C,'[4]2DO TRIMESTRE'!$I:$I,0,0)</f>
        <v>0</v>
      </c>
      <c r="AA60" s="94">
        <f t="shared" si="9"/>
        <v>0</v>
      </c>
      <c r="AB60" s="94">
        <f t="shared" si="10"/>
        <v>0</v>
      </c>
      <c r="AC60" s="94">
        <f t="shared" si="11"/>
        <v>0</v>
      </c>
      <c r="AD60" s="93">
        <v>0</v>
      </c>
      <c r="AE60" s="94">
        <f t="shared" si="12"/>
        <v>0</v>
      </c>
      <c r="AF60" s="94">
        <f t="shared" si="13"/>
        <v>0</v>
      </c>
      <c r="AG60" s="94">
        <f t="shared" si="14"/>
        <v>0</v>
      </c>
      <c r="AH60" s="117">
        <v>0</v>
      </c>
      <c r="AI60" s="94">
        <f t="shared" si="15"/>
        <v>0</v>
      </c>
      <c r="AJ60" s="94">
        <f t="shared" si="16"/>
        <v>0</v>
      </c>
      <c r="AK60" s="94">
        <f t="shared" si="17"/>
        <v>0</v>
      </c>
      <c r="AL60" s="93">
        <v>0</v>
      </c>
      <c r="AM60" s="93">
        <f t="shared" si="18"/>
        <v>0</v>
      </c>
      <c r="AN60" s="155" t="s">
        <v>800</v>
      </c>
      <c r="AO60" s="155" t="s">
        <v>800</v>
      </c>
    </row>
    <row r="61" spans="1:41" s="9" customFormat="1" ht="25.15" customHeight="1" x14ac:dyDescent="0.25">
      <c r="A61" s="83">
        <v>55</v>
      </c>
      <c r="B61" s="84">
        <v>2022</v>
      </c>
      <c r="C61" s="85" t="s">
        <v>747</v>
      </c>
      <c r="D61" s="86" t="s">
        <v>911</v>
      </c>
      <c r="E61" s="86" t="s">
        <v>749</v>
      </c>
      <c r="F61" s="87">
        <v>44460</v>
      </c>
      <c r="G61" s="87">
        <v>45519</v>
      </c>
      <c r="H61" s="88">
        <f t="shared" si="3"/>
        <v>11.766666666666667</v>
      </c>
      <c r="I61" s="89" t="s">
        <v>750</v>
      </c>
      <c r="J61" s="90" t="s">
        <v>751</v>
      </c>
      <c r="K61" s="90" t="s">
        <v>752</v>
      </c>
      <c r="L61" s="90" t="s">
        <v>753</v>
      </c>
      <c r="M61" s="91" t="s">
        <v>754</v>
      </c>
      <c r="N61" s="92" t="s">
        <v>912</v>
      </c>
      <c r="O61" s="85">
        <v>2910908062</v>
      </c>
      <c r="P61" s="93">
        <f>+_xlfn.XLOOKUP(O61,'[3]Benef Primera fecha '!$C:$C,'[3]Benef Primera fecha '!$E:$E,0)</f>
        <v>118762000</v>
      </c>
      <c r="Q61" s="93">
        <v>0</v>
      </c>
      <c r="R61" s="94">
        <f t="shared" si="4"/>
        <v>118762000</v>
      </c>
      <c r="S61" s="95">
        <v>0.12</v>
      </c>
      <c r="T61" s="94">
        <f t="shared" si="5"/>
        <v>12724499.999999998</v>
      </c>
      <c r="U61" s="117">
        <v>118762000</v>
      </c>
      <c r="V61" s="117">
        <v>0</v>
      </c>
      <c r="W61" s="94">
        <f t="shared" si="6"/>
        <v>0</v>
      </c>
      <c r="X61" s="94">
        <f t="shared" si="7"/>
        <v>0</v>
      </c>
      <c r="Y61" s="94">
        <f t="shared" si="8"/>
        <v>0</v>
      </c>
      <c r="Z61" s="93">
        <f>_xlfn.XLOOKUP(O61,'[4]2DO TRIMESTRE'!$C:$C,'[4]2DO TRIMESTRE'!$I:$I,0,0)</f>
        <v>0</v>
      </c>
      <c r="AA61" s="94">
        <f t="shared" si="9"/>
        <v>0</v>
      </c>
      <c r="AB61" s="94">
        <f t="shared" si="10"/>
        <v>0</v>
      </c>
      <c r="AC61" s="94">
        <f t="shared" si="11"/>
        <v>0</v>
      </c>
      <c r="AD61" s="93">
        <v>0</v>
      </c>
      <c r="AE61" s="94">
        <f t="shared" si="12"/>
        <v>0</v>
      </c>
      <c r="AF61" s="94">
        <f t="shared" si="13"/>
        <v>0</v>
      </c>
      <c r="AG61" s="94">
        <f t="shared" si="14"/>
        <v>0</v>
      </c>
      <c r="AH61" s="117">
        <v>0</v>
      </c>
      <c r="AI61" s="94">
        <f t="shared" si="15"/>
        <v>0</v>
      </c>
      <c r="AJ61" s="94">
        <f t="shared" si="16"/>
        <v>0</v>
      </c>
      <c r="AK61" s="94">
        <f t="shared" si="17"/>
        <v>0</v>
      </c>
      <c r="AL61" s="93">
        <v>12724500</v>
      </c>
      <c r="AM61" s="93">
        <f t="shared" si="18"/>
        <v>0</v>
      </c>
      <c r="AN61" s="155"/>
      <c r="AO61" s="155"/>
    </row>
    <row r="62" spans="1:41" s="9" customFormat="1" ht="25.15" customHeight="1" x14ac:dyDescent="0.25">
      <c r="A62" s="83">
        <v>56</v>
      </c>
      <c r="B62" s="84">
        <v>2021</v>
      </c>
      <c r="C62" s="85" t="s">
        <v>913</v>
      </c>
      <c r="D62" s="86" t="s">
        <v>914</v>
      </c>
      <c r="E62" s="86" t="s">
        <v>758</v>
      </c>
      <c r="F62" s="87">
        <v>44461</v>
      </c>
      <c r="G62" s="87">
        <v>44521</v>
      </c>
      <c r="H62" s="88">
        <f t="shared" si="3"/>
        <v>0.66666666666666663</v>
      </c>
      <c r="I62" s="89" t="s">
        <v>759</v>
      </c>
      <c r="J62" s="90" t="s">
        <v>751</v>
      </c>
      <c r="K62" s="90" t="s">
        <v>752</v>
      </c>
      <c r="L62" s="90" t="s">
        <v>753</v>
      </c>
      <c r="M62" s="91" t="s">
        <v>768</v>
      </c>
      <c r="N62" s="92" t="s">
        <v>915</v>
      </c>
      <c r="O62" s="85">
        <v>2910906762</v>
      </c>
      <c r="P62" s="93">
        <f>+_xlfn.XLOOKUP(O62,'[3]Benef Primera fecha '!$C:$C,'[3]Benef Primera fecha '!$E:$E,0)</f>
        <v>20000000</v>
      </c>
      <c r="Q62" s="93">
        <v>0</v>
      </c>
      <c r="R62" s="94">
        <f t="shared" si="4"/>
        <v>20000000</v>
      </c>
      <c r="S62" s="95">
        <v>0.12</v>
      </c>
      <c r="T62" s="94">
        <v>2143000</v>
      </c>
      <c r="U62" s="117">
        <v>20000000</v>
      </c>
      <c r="V62" s="117">
        <v>0</v>
      </c>
      <c r="W62" s="94">
        <f t="shared" si="6"/>
        <v>0</v>
      </c>
      <c r="X62" s="94">
        <f t="shared" si="7"/>
        <v>0</v>
      </c>
      <c r="Y62" s="94">
        <f t="shared" si="8"/>
        <v>0</v>
      </c>
      <c r="Z62" s="93">
        <f>_xlfn.XLOOKUP(O62,'[4]2DO TRIMESTRE'!$C:$C,'[4]2DO TRIMESTRE'!$I:$I,0,0)</f>
        <v>0</v>
      </c>
      <c r="AA62" s="94">
        <f t="shared" si="9"/>
        <v>0</v>
      </c>
      <c r="AB62" s="94">
        <f t="shared" si="10"/>
        <v>0</v>
      </c>
      <c r="AC62" s="94">
        <f t="shared" si="11"/>
        <v>0</v>
      </c>
      <c r="AD62" s="93">
        <v>0</v>
      </c>
      <c r="AE62" s="94">
        <f t="shared" si="12"/>
        <v>0</v>
      </c>
      <c r="AF62" s="94">
        <f t="shared" si="13"/>
        <v>0</v>
      </c>
      <c r="AG62" s="94">
        <f t="shared" si="14"/>
        <v>0</v>
      </c>
      <c r="AH62" s="117">
        <v>0</v>
      </c>
      <c r="AI62" s="94">
        <f t="shared" si="15"/>
        <v>0</v>
      </c>
      <c r="AJ62" s="94">
        <f t="shared" si="16"/>
        <v>0</v>
      </c>
      <c r="AK62" s="94">
        <f t="shared" si="17"/>
        <v>0</v>
      </c>
      <c r="AL62" s="93">
        <v>2143000</v>
      </c>
      <c r="AM62" s="93">
        <f t="shared" si="18"/>
        <v>0</v>
      </c>
      <c r="AN62" s="155"/>
      <c r="AO62" s="155"/>
    </row>
    <row r="63" spans="1:41" s="9" customFormat="1" ht="25.15" customHeight="1" x14ac:dyDescent="0.25">
      <c r="A63" s="83">
        <v>57</v>
      </c>
      <c r="B63" s="84">
        <v>2021</v>
      </c>
      <c r="C63" s="85" t="s">
        <v>916</v>
      </c>
      <c r="D63" s="86" t="s">
        <v>917</v>
      </c>
      <c r="E63" s="86" t="s">
        <v>758</v>
      </c>
      <c r="F63" s="87">
        <v>44461</v>
      </c>
      <c r="G63" s="87">
        <v>44724</v>
      </c>
      <c r="H63" s="88">
        <f t="shared" si="3"/>
        <v>2.9222222222222221</v>
      </c>
      <c r="I63" s="89" t="s">
        <v>750</v>
      </c>
      <c r="J63" s="90" t="s">
        <v>751</v>
      </c>
      <c r="K63" s="90" t="s">
        <v>752</v>
      </c>
      <c r="L63" s="90" t="s">
        <v>753</v>
      </c>
      <c r="M63" s="91" t="s">
        <v>768</v>
      </c>
      <c r="N63" s="92" t="s">
        <v>918</v>
      </c>
      <c r="O63" s="85">
        <v>2910906764</v>
      </c>
      <c r="P63" s="93">
        <f>+_xlfn.XLOOKUP(O63,'[3]Benef Primera fecha '!$C:$C,'[3]Benef Primera fecha '!$E:$E,0)</f>
        <v>114000000</v>
      </c>
      <c r="Q63" s="93">
        <v>0</v>
      </c>
      <c r="R63" s="94">
        <f t="shared" si="4"/>
        <v>114000000</v>
      </c>
      <c r="S63" s="95">
        <v>0.12000000314385965</v>
      </c>
      <c r="T63" s="94">
        <f t="shared" si="5"/>
        <v>12214286</v>
      </c>
      <c r="U63" s="117">
        <v>114000000</v>
      </c>
      <c r="V63" s="117">
        <v>0</v>
      </c>
      <c r="W63" s="94">
        <f t="shared" si="6"/>
        <v>0</v>
      </c>
      <c r="X63" s="94">
        <f t="shared" si="7"/>
        <v>0</v>
      </c>
      <c r="Y63" s="94">
        <f t="shared" si="8"/>
        <v>0</v>
      </c>
      <c r="Z63" s="93">
        <f>_xlfn.XLOOKUP(O63,'[4]2DO TRIMESTRE'!$C:$C,'[4]2DO TRIMESTRE'!$I:$I,0,0)</f>
        <v>0</v>
      </c>
      <c r="AA63" s="94">
        <f t="shared" si="9"/>
        <v>0</v>
      </c>
      <c r="AB63" s="94">
        <f t="shared" si="10"/>
        <v>0</v>
      </c>
      <c r="AC63" s="94">
        <f t="shared" si="11"/>
        <v>0</v>
      </c>
      <c r="AD63" s="93">
        <v>0</v>
      </c>
      <c r="AE63" s="94">
        <f t="shared" si="12"/>
        <v>0</v>
      </c>
      <c r="AF63" s="94">
        <f t="shared" si="13"/>
        <v>0</v>
      </c>
      <c r="AG63" s="94">
        <f t="shared" si="14"/>
        <v>0</v>
      </c>
      <c r="AH63" s="117">
        <v>0</v>
      </c>
      <c r="AI63" s="94">
        <f t="shared" ref="AI63" si="25">+AH63/(1+$S63)*$S63</f>
        <v>0</v>
      </c>
      <c r="AJ63" s="94">
        <f t="shared" ref="AJ63" si="26">+AI63*40%</f>
        <v>0</v>
      </c>
      <c r="AK63" s="94">
        <f t="shared" ref="AK63" si="27">+AI63*60%</f>
        <v>0</v>
      </c>
      <c r="AL63" s="93">
        <v>9762857</v>
      </c>
      <c r="AM63" s="93">
        <f t="shared" si="18"/>
        <v>0</v>
      </c>
      <c r="AN63" s="155"/>
      <c r="AO63" s="155"/>
    </row>
    <row r="64" spans="1:41" s="9" customFormat="1" ht="25.15" customHeight="1" x14ac:dyDescent="0.25">
      <c r="A64" s="83">
        <v>58</v>
      </c>
      <c r="B64" s="84">
        <v>2021</v>
      </c>
      <c r="C64" s="85" t="s">
        <v>919</v>
      </c>
      <c r="D64" s="86" t="s">
        <v>920</v>
      </c>
      <c r="E64" s="86" t="s">
        <v>758</v>
      </c>
      <c r="F64" s="87">
        <v>44462</v>
      </c>
      <c r="G64" s="87">
        <v>44560</v>
      </c>
      <c r="H64" s="88">
        <f t="shared" si="3"/>
        <v>1.0888888888888888</v>
      </c>
      <c r="I64" s="89" t="s">
        <v>750</v>
      </c>
      <c r="J64" s="90" t="s">
        <v>751</v>
      </c>
      <c r="K64" s="90" t="s">
        <v>752</v>
      </c>
      <c r="L64" s="90" t="s">
        <v>753</v>
      </c>
      <c r="M64" s="91" t="s">
        <v>768</v>
      </c>
      <c r="N64" s="92" t="s">
        <v>921</v>
      </c>
      <c r="O64" s="85">
        <v>2910906765</v>
      </c>
      <c r="P64" s="93">
        <f>+_xlfn.XLOOKUP(O64,'[3]Benef Primera fecha '!$C:$C,'[3]Benef Primera fecha '!$E:$E,0)</f>
        <v>81450000</v>
      </c>
      <c r="Q64" s="93">
        <v>0</v>
      </c>
      <c r="R64" s="94">
        <f t="shared" si="4"/>
        <v>81450000</v>
      </c>
      <c r="S64" s="95">
        <v>0.12</v>
      </c>
      <c r="T64" s="94">
        <f t="shared" si="5"/>
        <v>8726785.7142857146</v>
      </c>
      <c r="U64" s="117">
        <v>81450000</v>
      </c>
      <c r="V64" s="117">
        <v>0</v>
      </c>
      <c r="W64" s="94">
        <f t="shared" si="6"/>
        <v>0</v>
      </c>
      <c r="X64" s="94">
        <f t="shared" si="7"/>
        <v>0</v>
      </c>
      <c r="Y64" s="94">
        <f t="shared" si="8"/>
        <v>0</v>
      </c>
      <c r="Z64" s="93">
        <f>_xlfn.XLOOKUP(O64,'[4]2DO TRIMESTRE'!$C:$C,'[4]2DO TRIMESTRE'!$I:$I,0,0)</f>
        <v>0</v>
      </c>
      <c r="AA64" s="94">
        <f t="shared" si="9"/>
        <v>0</v>
      </c>
      <c r="AB64" s="94">
        <f t="shared" si="10"/>
        <v>0</v>
      </c>
      <c r="AC64" s="94">
        <f t="shared" si="11"/>
        <v>0</v>
      </c>
      <c r="AD64" s="93">
        <v>0</v>
      </c>
      <c r="AE64" s="94">
        <f t="shared" si="12"/>
        <v>0</v>
      </c>
      <c r="AF64" s="94">
        <f t="shared" si="13"/>
        <v>0</v>
      </c>
      <c r="AG64" s="94">
        <f t="shared" si="14"/>
        <v>0</v>
      </c>
      <c r="AH64" s="117">
        <v>0</v>
      </c>
      <c r="AI64" s="94">
        <f t="shared" si="15"/>
        <v>0</v>
      </c>
      <c r="AJ64" s="94">
        <f t="shared" si="16"/>
        <v>0</v>
      </c>
      <c r="AK64" s="94">
        <f t="shared" si="17"/>
        <v>0</v>
      </c>
      <c r="AL64" s="93">
        <v>8726786</v>
      </c>
      <c r="AM64" s="93">
        <f t="shared" si="18"/>
        <v>0</v>
      </c>
      <c r="AN64" s="155"/>
      <c r="AO64" s="155"/>
    </row>
    <row r="65" spans="1:41" s="9" customFormat="1" ht="25.15" customHeight="1" x14ac:dyDescent="0.25">
      <c r="A65" s="83">
        <v>59</v>
      </c>
      <c r="B65" s="84">
        <v>2021</v>
      </c>
      <c r="C65" s="85" t="s">
        <v>922</v>
      </c>
      <c r="D65" s="86" t="s">
        <v>923</v>
      </c>
      <c r="E65" s="86" t="s">
        <v>758</v>
      </c>
      <c r="F65" s="87">
        <v>44463</v>
      </c>
      <c r="G65" s="87">
        <v>44561</v>
      </c>
      <c r="H65" s="88">
        <f t="shared" si="3"/>
        <v>1.0888888888888888</v>
      </c>
      <c r="I65" s="89" t="s">
        <v>750</v>
      </c>
      <c r="J65" s="90" t="s">
        <v>751</v>
      </c>
      <c r="K65" s="90" t="s">
        <v>752</v>
      </c>
      <c r="L65" s="90" t="s">
        <v>753</v>
      </c>
      <c r="M65" s="91" t="s">
        <v>768</v>
      </c>
      <c r="N65" s="92" t="s">
        <v>924</v>
      </c>
      <c r="O65" s="85">
        <v>2910906766</v>
      </c>
      <c r="P65" s="93">
        <f>+_xlfn.XLOOKUP(O65,'[3]Benef Primera fecha '!$C:$C,'[3]Benef Primera fecha '!$E:$E,0)</f>
        <v>39600000</v>
      </c>
      <c r="Q65" s="93">
        <v>0</v>
      </c>
      <c r="R65" s="94">
        <f t="shared" si="4"/>
        <v>39600000</v>
      </c>
      <c r="S65" s="95">
        <v>0.12</v>
      </c>
      <c r="T65" s="94">
        <f t="shared" si="5"/>
        <v>4242857.1428571418</v>
      </c>
      <c r="U65" s="117">
        <v>39600000</v>
      </c>
      <c r="V65" s="117">
        <v>0</v>
      </c>
      <c r="W65" s="94">
        <f t="shared" si="6"/>
        <v>0</v>
      </c>
      <c r="X65" s="94">
        <f t="shared" si="7"/>
        <v>0</v>
      </c>
      <c r="Y65" s="94">
        <f t="shared" si="8"/>
        <v>0</v>
      </c>
      <c r="Z65" s="93">
        <f>_xlfn.XLOOKUP(O65,'[4]2DO TRIMESTRE'!$C:$C,'[4]2DO TRIMESTRE'!$I:$I,0,0)</f>
        <v>0</v>
      </c>
      <c r="AA65" s="94">
        <f t="shared" si="9"/>
        <v>0</v>
      </c>
      <c r="AB65" s="94">
        <f t="shared" si="10"/>
        <v>0</v>
      </c>
      <c r="AC65" s="94">
        <f t="shared" si="11"/>
        <v>0</v>
      </c>
      <c r="AD65" s="93">
        <v>0</v>
      </c>
      <c r="AE65" s="94">
        <f t="shared" si="12"/>
        <v>0</v>
      </c>
      <c r="AF65" s="94">
        <f t="shared" si="13"/>
        <v>0</v>
      </c>
      <c r="AG65" s="94">
        <f t="shared" si="14"/>
        <v>0</v>
      </c>
      <c r="AH65" s="117">
        <v>0</v>
      </c>
      <c r="AI65" s="94">
        <f t="shared" si="15"/>
        <v>0</v>
      </c>
      <c r="AJ65" s="94">
        <f t="shared" si="16"/>
        <v>0</v>
      </c>
      <c r="AK65" s="94">
        <f t="shared" si="17"/>
        <v>0</v>
      </c>
      <c r="AL65" s="93">
        <v>4242857</v>
      </c>
      <c r="AM65" s="93">
        <f t="shared" si="18"/>
        <v>0</v>
      </c>
      <c r="AN65" s="155"/>
      <c r="AO65" s="155"/>
    </row>
    <row r="66" spans="1:41" s="9" customFormat="1" ht="25.15" customHeight="1" x14ac:dyDescent="0.25">
      <c r="A66" s="83">
        <v>60</v>
      </c>
      <c r="B66" s="84">
        <v>2021</v>
      </c>
      <c r="C66" s="85" t="s">
        <v>772</v>
      </c>
      <c r="D66" s="86" t="s">
        <v>925</v>
      </c>
      <c r="E66" s="86" t="s">
        <v>758</v>
      </c>
      <c r="F66" s="87">
        <v>44467</v>
      </c>
      <c r="G66" s="87">
        <v>44772</v>
      </c>
      <c r="H66" s="88">
        <f t="shared" si="3"/>
        <v>3.3888888888888888</v>
      </c>
      <c r="I66" s="89" t="s">
        <v>750</v>
      </c>
      <c r="J66" s="90" t="s">
        <v>751</v>
      </c>
      <c r="K66" s="90" t="s">
        <v>752</v>
      </c>
      <c r="L66" s="90" t="s">
        <v>753</v>
      </c>
      <c r="M66" s="91" t="s">
        <v>768</v>
      </c>
      <c r="N66" s="92" t="s">
        <v>926</v>
      </c>
      <c r="O66" s="85">
        <v>2910906769</v>
      </c>
      <c r="P66" s="93">
        <f>+_xlfn.XLOOKUP(O66,'[3]Benef Primera fecha '!$C:$C,'[3]Benef Primera fecha '!$E:$E,0)</f>
        <v>483310000</v>
      </c>
      <c r="Q66" s="93">
        <v>0</v>
      </c>
      <c r="R66" s="94">
        <f t="shared" si="4"/>
        <v>483310000</v>
      </c>
      <c r="S66" s="95">
        <v>0.11999999925844695</v>
      </c>
      <c r="T66" s="94">
        <f t="shared" si="5"/>
        <v>51783213.999999993</v>
      </c>
      <c r="U66" s="117">
        <v>481988167</v>
      </c>
      <c r="V66" s="117">
        <v>0</v>
      </c>
      <c r="W66" s="94">
        <f t="shared" si="6"/>
        <v>0</v>
      </c>
      <c r="X66" s="94">
        <f t="shared" si="7"/>
        <v>0</v>
      </c>
      <c r="Y66" s="94">
        <f t="shared" si="8"/>
        <v>0</v>
      </c>
      <c r="Z66" s="93">
        <f>_xlfn.XLOOKUP(O66,'[4]2DO TRIMESTRE'!$C:$C,'[4]2DO TRIMESTRE'!$I:$I,0,0)</f>
        <v>0</v>
      </c>
      <c r="AA66" s="94">
        <f t="shared" si="9"/>
        <v>0</v>
      </c>
      <c r="AB66" s="94">
        <f t="shared" si="10"/>
        <v>0</v>
      </c>
      <c r="AC66" s="94">
        <f t="shared" si="11"/>
        <v>0</v>
      </c>
      <c r="AD66" s="93">
        <v>0</v>
      </c>
      <c r="AE66" s="94">
        <f t="shared" si="12"/>
        <v>0</v>
      </c>
      <c r="AF66" s="94">
        <f t="shared" si="13"/>
        <v>0</v>
      </c>
      <c r="AG66" s="94">
        <f t="shared" si="14"/>
        <v>0</v>
      </c>
      <c r="AH66" s="117">
        <v>0</v>
      </c>
      <c r="AI66" s="94">
        <f t="shared" ref="AI66" si="28">+AH66/(1+$S66)*$S66</f>
        <v>0</v>
      </c>
      <c r="AJ66" s="94">
        <f t="shared" ref="AJ66" si="29">+AI66*40%</f>
        <v>0</v>
      </c>
      <c r="AK66" s="94">
        <f t="shared" ref="AK66" si="30">+AI66*60%</f>
        <v>0</v>
      </c>
      <c r="AL66" s="93">
        <v>51633460</v>
      </c>
      <c r="AM66" s="93">
        <f t="shared" si="18"/>
        <v>0</v>
      </c>
      <c r="AN66" s="155"/>
      <c r="AO66" s="155"/>
    </row>
    <row r="67" spans="1:41" s="9" customFormat="1" ht="25.15" customHeight="1" x14ac:dyDescent="0.25">
      <c r="A67" s="83">
        <v>61</v>
      </c>
      <c r="B67" s="84">
        <v>2021</v>
      </c>
      <c r="C67" s="85" t="s">
        <v>779</v>
      </c>
      <c r="D67" s="86" t="s">
        <v>927</v>
      </c>
      <c r="E67" s="86" t="s">
        <v>758</v>
      </c>
      <c r="F67" s="87">
        <v>44469</v>
      </c>
      <c r="G67" s="87">
        <v>44561</v>
      </c>
      <c r="H67" s="88">
        <f t="shared" si="3"/>
        <v>1.0222222222222221</v>
      </c>
      <c r="I67" s="89" t="s">
        <v>767</v>
      </c>
      <c r="J67" s="90" t="s">
        <v>751</v>
      </c>
      <c r="K67" s="90" t="s">
        <v>752</v>
      </c>
      <c r="L67" s="90" t="s">
        <v>753</v>
      </c>
      <c r="M67" s="91" t="s">
        <v>768</v>
      </c>
      <c r="N67" s="92" t="s">
        <v>928</v>
      </c>
      <c r="O67" s="85">
        <v>2910906761</v>
      </c>
      <c r="P67" s="93">
        <f>+_xlfn.XLOOKUP(O67,'[3]Benef Primera fecha '!$C:$C,'[3]Benef Primera fecha '!$E:$E,0)</f>
        <v>21000000</v>
      </c>
      <c r="Q67" s="93">
        <v>0</v>
      </c>
      <c r="R67" s="94">
        <f t="shared" si="4"/>
        <v>21000000</v>
      </c>
      <c r="S67" s="95">
        <v>0.12</v>
      </c>
      <c r="T67" s="94">
        <f t="shared" si="5"/>
        <v>2250000</v>
      </c>
      <c r="U67" s="117">
        <v>21000000</v>
      </c>
      <c r="V67" s="117">
        <v>0</v>
      </c>
      <c r="W67" s="94">
        <f t="shared" si="6"/>
        <v>0</v>
      </c>
      <c r="X67" s="94">
        <f t="shared" si="7"/>
        <v>0</v>
      </c>
      <c r="Y67" s="94">
        <f t="shared" si="8"/>
        <v>0</v>
      </c>
      <c r="Z67" s="93">
        <f>_xlfn.XLOOKUP(O67,'[4]2DO TRIMESTRE'!$C:$C,'[4]2DO TRIMESTRE'!$I:$I,0,0)</f>
        <v>0</v>
      </c>
      <c r="AA67" s="94">
        <f t="shared" si="9"/>
        <v>0</v>
      </c>
      <c r="AB67" s="94">
        <f t="shared" si="10"/>
        <v>0</v>
      </c>
      <c r="AC67" s="94">
        <f t="shared" si="11"/>
        <v>0</v>
      </c>
      <c r="AD67" s="93">
        <v>0</v>
      </c>
      <c r="AE67" s="94">
        <f t="shared" si="12"/>
        <v>0</v>
      </c>
      <c r="AF67" s="94">
        <f t="shared" si="13"/>
        <v>0</v>
      </c>
      <c r="AG67" s="94">
        <f t="shared" si="14"/>
        <v>0</v>
      </c>
      <c r="AH67" s="117">
        <v>0</v>
      </c>
      <c r="AI67" s="94">
        <f t="shared" ref="AI67:AI130" si="31">+AH67/(1+$S67)*$S67</f>
        <v>0</v>
      </c>
      <c r="AJ67" s="94">
        <f t="shared" ref="AJ67:AJ130" si="32">+AI67*40%</f>
        <v>0</v>
      </c>
      <c r="AK67" s="94">
        <f t="shared" ref="AK67:AK130" si="33">+AI67*60%</f>
        <v>0</v>
      </c>
      <c r="AL67" s="93">
        <v>2250000</v>
      </c>
      <c r="AM67" s="93">
        <f t="shared" si="18"/>
        <v>0</v>
      </c>
      <c r="AN67" s="155"/>
      <c r="AO67" s="155"/>
    </row>
    <row r="68" spans="1:41" s="9" customFormat="1" ht="25.15" customHeight="1" x14ac:dyDescent="0.25">
      <c r="A68" s="83">
        <v>62</v>
      </c>
      <c r="B68" s="84">
        <v>2021</v>
      </c>
      <c r="C68" s="85" t="s">
        <v>747</v>
      </c>
      <c r="D68" s="86" t="s">
        <v>929</v>
      </c>
      <c r="E68" s="86" t="s">
        <v>749</v>
      </c>
      <c r="F68" s="87">
        <v>44470</v>
      </c>
      <c r="G68" s="87">
        <v>44651</v>
      </c>
      <c r="H68" s="88">
        <f t="shared" si="3"/>
        <v>2.0111111111111111</v>
      </c>
      <c r="I68" s="89" t="s">
        <v>750</v>
      </c>
      <c r="J68" s="90" t="s">
        <v>751</v>
      </c>
      <c r="K68" s="90" t="s">
        <v>752</v>
      </c>
      <c r="L68" s="90" t="s">
        <v>753</v>
      </c>
      <c r="M68" s="91" t="s">
        <v>754</v>
      </c>
      <c r="N68" s="92" t="s">
        <v>930</v>
      </c>
      <c r="O68" s="85">
        <v>2910908043</v>
      </c>
      <c r="P68" s="93">
        <f>+_xlfn.XLOOKUP(O68,'[3]Benef Primera fecha '!$C:$C,'[3]Benef Primera fecha '!$E:$E,0)</f>
        <v>10909669</v>
      </c>
      <c r="Q68" s="93">
        <v>0</v>
      </c>
      <c r="R68" s="94">
        <f t="shared" si="4"/>
        <v>10909669</v>
      </c>
      <c r="S68" s="95">
        <v>0.12</v>
      </c>
      <c r="T68" s="94">
        <f t="shared" si="5"/>
        <v>1168893.107142857</v>
      </c>
      <c r="U68" s="117">
        <v>10909669</v>
      </c>
      <c r="V68" s="117">
        <v>0</v>
      </c>
      <c r="W68" s="94">
        <f t="shared" si="6"/>
        <v>0</v>
      </c>
      <c r="X68" s="94">
        <f t="shared" si="7"/>
        <v>0</v>
      </c>
      <c r="Y68" s="94">
        <f t="shared" si="8"/>
        <v>0</v>
      </c>
      <c r="Z68" s="93">
        <f>_xlfn.XLOOKUP(O68,'[4]2DO TRIMESTRE'!$C:$C,'[4]2DO TRIMESTRE'!$I:$I,0,0)</f>
        <v>0</v>
      </c>
      <c r="AA68" s="94">
        <f t="shared" si="9"/>
        <v>0</v>
      </c>
      <c r="AB68" s="94">
        <f t="shared" si="10"/>
        <v>0</v>
      </c>
      <c r="AC68" s="94">
        <f t="shared" si="11"/>
        <v>0</v>
      </c>
      <c r="AD68" s="93">
        <v>0</v>
      </c>
      <c r="AE68" s="94">
        <f t="shared" si="12"/>
        <v>0</v>
      </c>
      <c r="AF68" s="94">
        <f t="shared" si="13"/>
        <v>0</v>
      </c>
      <c r="AG68" s="94">
        <f t="shared" si="14"/>
        <v>0</v>
      </c>
      <c r="AH68" s="117">
        <v>0</v>
      </c>
      <c r="AI68" s="94">
        <f t="shared" si="31"/>
        <v>0</v>
      </c>
      <c r="AJ68" s="94">
        <f t="shared" si="32"/>
        <v>0</v>
      </c>
      <c r="AK68" s="94">
        <f t="shared" si="33"/>
        <v>0</v>
      </c>
      <c r="AL68" s="93">
        <v>1105339</v>
      </c>
      <c r="AM68" s="93">
        <f t="shared" si="18"/>
        <v>0</v>
      </c>
      <c r="AN68" s="155"/>
      <c r="AO68" s="155"/>
    </row>
    <row r="69" spans="1:41" s="9" customFormat="1" ht="25.15" customHeight="1" x14ac:dyDescent="0.25">
      <c r="A69" s="83">
        <v>63</v>
      </c>
      <c r="B69" s="84">
        <v>2021</v>
      </c>
      <c r="C69" s="85" t="s">
        <v>804</v>
      </c>
      <c r="D69" s="86" t="s">
        <v>931</v>
      </c>
      <c r="E69" s="86" t="s">
        <v>758</v>
      </c>
      <c r="F69" s="87">
        <v>44470</v>
      </c>
      <c r="G69" s="87">
        <v>44505</v>
      </c>
      <c r="H69" s="88">
        <f t="shared" si="3"/>
        <v>0.3888888888888889</v>
      </c>
      <c r="I69" s="89" t="s">
        <v>759</v>
      </c>
      <c r="J69" s="90" t="s">
        <v>751</v>
      </c>
      <c r="K69" s="90" t="s">
        <v>752</v>
      </c>
      <c r="L69" s="90" t="s">
        <v>753</v>
      </c>
      <c r="M69" s="91" t="s">
        <v>768</v>
      </c>
      <c r="N69" s="92" t="s">
        <v>932</v>
      </c>
      <c r="O69" s="85">
        <v>2910906770</v>
      </c>
      <c r="P69" s="93">
        <f>+_xlfn.XLOOKUP(O69,'[3]Benef Primera fecha '!$C:$C,'[3]Benef Primera fecha '!$E:$E,0)</f>
        <v>248617170</v>
      </c>
      <c r="Q69" s="93">
        <v>28000000</v>
      </c>
      <c r="R69" s="94">
        <f t="shared" si="4"/>
        <v>276617170</v>
      </c>
      <c r="S69" s="95">
        <v>0.12000000032391338</v>
      </c>
      <c r="T69" s="94">
        <f t="shared" si="5"/>
        <v>29637553.999999996</v>
      </c>
      <c r="U69" s="117">
        <v>210827357</v>
      </c>
      <c r="V69" s="117">
        <v>0</v>
      </c>
      <c r="W69" s="94">
        <f t="shared" si="6"/>
        <v>0</v>
      </c>
      <c r="X69" s="94">
        <f t="shared" si="7"/>
        <v>0</v>
      </c>
      <c r="Y69" s="94">
        <f t="shared" si="8"/>
        <v>0</v>
      </c>
      <c r="Z69" s="93">
        <f>_xlfn.XLOOKUP(O69,'[4]2DO TRIMESTRE'!$C:$C,'[4]2DO TRIMESTRE'!$I:$I,0,0)</f>
        <v>0</v>
      </c>
      <c r="AA69" s="94">
        <f t="shared" si="9"/>
        <v>0</v>
      </c>
      <c r="AB69" s="94">
        <f t="shared" si="10"/>
        <v>0</v>
      </c>
      <c r="AC69" s="94">
        <f t="shared" si="11"/>
        <v>0</v>
      </c>
      <c r="AD69" s="93">
        <v>0</v>
      </c>
      <c r="AE69" s="94">
        <f t="shared" si="12"/>
        <v>0</v>
      </c>
      <c r="AF69" s="94">
        <f t="shared" si="13"/>
        <v>0</v>
      </c>
      <c r="AG69" s="94">
        <f t="shared" si="14"/>
        <v>0</v>
      </c>
      <c r="AH69" s="117">
        <v>0</v>
      </c>
      <c r="AI69" s="94">
        <f t="shared" si="31"/>
        <v>0</v>
      </c>
      <c r="AJ69" s="94">
        <f t="shared" si="32"/>
        <v>0</v>
      </c>
      <c r="AK69" s="94">
        <f t="shared" si="33"/>
        <v>0</v>
      </c>
      <c r="AL69" s="93">
        <v>22588645</v>
      </c>
      <c r="AM69" s="93">
        <f t="shared" si="18"/>
        <v>0</v>
      </c>
      <c r="AN69" s="155"/>
      <c r="AO69" s="155"/>
    </row>
    <row r="70" spans="1:41" s="9" customFormat="1" ht="25.15" customHeight="1" x14ac:dyDescent="0.25">
      <c r="A70" s="83">
        <v>64</v>
      </c>
      <c r="B70" s="84">
        <v>2021</v>
      </c>
      <c r="C70" s="85" t="s">
        <v>933</v>
      </c>
      <c r="D70" s="86" t="s">
        <v>934</v>
      </c>
      <c r="E70" s="86" t="s">
        <v>758</v>
      </c>
      <c r="F70" s="87">
        <v>44474</v>
      </c>
      <c r="G70" s="87">
        <v>44683</v>
      </c>
      <c r="H70" s="88">
        <f t="shared" si="3"/>
        <v>2.3222222222222224</v>
      </c>
      <c r="I70" s="89" t="s">
        <v>750</v>
      </c>
      <c r="J70" s="90" t="s">
        <v>751</v>
      </c>
      <c r="K70" s="90" t="s">
        <v>752</v>
      </c>
      <c r="L70" s="90" t="s">
        <v>753</v>
      </c>
      <c r="M70" s="91" t="s">
        <v>768</v>
      </c>
      <c r="N70" s="92" t="s">
        <v>935</v>
      </c>
      <c r="O70" s="85">
        <v>2910906768</v>
      </c>
      <c r="P70" s="93">
        <f>+_xlfn.XLOOKUP(O70,'[3]Benef Primera fecha '!$C:$C,'[3]Benef Primera fecha '!$E:$E,0)</f>
        <v>205490000</v>
      </c>
      <c r="Q70" s="93">
        <v>0</v>
      </c>
      <c r="R70" s="94">
        <f t="shared" si="4"/>
        <v>205490000</v>
      </c>
      <c r="S70" s="95">
        <v>0.1200000017441238</v>
      </c>
      <c r="T70" s="94">
        <f t="shared" si="5"/>
        <v>22016786</v>
      </c>
      <c r="U70" s="117">
        <v>195221000</v>
      </c>
      <c r="V70" s="117">
        <v>0</v>
      </c>
      <c r="W70" s="94">
        <f t="shared" si="6"/>
        <v>0</v>
      </c>
      <c r="X70" s="94">
        <f t="shared" si="7"/>
        <v>0</v>
      </c>
      <c r="Y70" s="94">
        <f t="shared" si="8"/>
        <v>0</v>
      </c>
      <c r="Z70" s="93">
        <f>_xlfn.XLOOKUP(O70,'[4]2DO TRIMESTRE'!$C:$C,'[4]2DO TRIMESTRE'!$I:$I,0,0)</f>
        <v>0</v>
      </c>
      <c r="AA70" s="94">
        <f t="shared" si="9"/>
        <v>0</v>
      </c>
      <c r="AB70" s="94">
        <f t="shared" si="10"/>
        <v>0</v>
      </c>
      <c r="AC70" s="94">
        <f t="shared" si="11"/>
        <v>0</v>
      </c>
      <c r="AD70" s="93">
        <v>0</v>
      </c>
      <c r="AE70" s="94">
        <f t="shared" si="12"/>
        <v>0</v>
      </c>
      <c r="AF70" s="94">
        <f t="shared" si="13"/>
        <v>0</v>
      </c>
      <c r="AG70" s="94">
        <f t="shared" si="14"/>
        <v>0</v>
      </c>
      <c r="AH70" s="117">
        <v>0</v>
      </c>
      <c r="AI70" s="94">
        <f t="shared" si="31"/>
        <v>0</v>
      </c>
      <c r="AJ70" s="94">
        <f t="shared" si="32"/>
        <v>0</v>
      </c>
      <c r="AK70" s="94">
        <f t="shared" si="33"/>
        <v>0</v>
      </c>
      <c r="AL70" s="93">
        <v>20916536</v>
      </c>
      <c r="AM70" s="93">
        <f t="shared" si="18"/>
        <v>0</v>
      </c>
      <c r="AN70" s="155"/>
      <c r="AO70" s="155"/>
    </row>
    <row r="71" spans="1:41" s="9" customFormat="1" ht="25.15" customHeight="1" x14ac:dyDescent="0.25">
      <c r="A71" s="83">
        <v>65</v>
      </c>
      <c r="B71" s="84">
        <v>2021</v>
      </c>
      <c r="C71" s="85" t="s">
        <v>128</v>
      </c>
      <c r="D71" s="86" t="s">
        <v>936</v>
      </c>
      <c r="E71" s="86" t="s">
        <v>758</v>
      </c>
      <c r="F71" s="87">
        <v>44484</v>
      </c>
      <c r="G71" s="87">
        <v>44530</v>
      </c>
      <c r="H71" s="88">
        <f t="shared" si="3"/>
        <v>0.51111111111111107</v>
      </c>
      <c r="I71" s="89" t="s">
        <v>750</v>
      </c>
      <c r="J71" s="90" t="s">
        <v>751</v>
      </c>
      <c r="K71" s="90" t="s">
        <v>752</v>
      </c>
      <c r="L71" s="90" t="s">
        <v>753</v>
      </c>
      <c r="M71" s="91" t="s">
        <v>768</v>
      </c>
      <c r="N71" s="92" t="s">
        <v>937</v>
      </c>
      <c r="O71" s="85">
        <v>2910906767</v>
      </c>
      <c r="P71" s="93">
        <f>+_xlfn.XLOOKUP(O71,'[3]Benef Primera fecha '!$C:$C,'[3]Benef Primera fecha '!$E:$E,0)</f>
        <v>400000000</v>
      </c>
      <c r="Q71" s="93">
        <v>50000000</v>
      </c>
      <c r="R71" s="94">
        <f t="shared" si="4"/>
        <v>450000000</v>
      </c>
      <c r="S71" s="95">
        <v>0.12</v>
      </c>
      <c r="T71" s="94">
        <v>48250000</v>
      </c>
      <c r="U71" s="117">
        <v>450000000</v>
      </c>
      <c r="V71" s="117">
        <v>0</v>
      </c>
      <c r="W71" s="94">
        <f t="shared" si="6"/>
        <v>0</v>
      </c>
      <c r="X71" s="94">
        <f t="shared" si="7"/>
        <v>0</v>
      </c>
      <c r="Y71" s="94">
        <f t="shared" si="8"/>
        <v>0</v>
      </c>
      <c r="Z71" s="93">
        <f>_xlfn.XLOOKUP(O71,'[4]2DO TRIMESTRE'!$C:$C,'[4]2DO TRIMESTRE'!$I:$I,0,0)</f>
        <v>0</v>
      </c>
      <c r="AA71" s="94">
        <f t="shared" si="9"/>
        <v>0</v>
      </c>
      <c r="AB71" s="94">
        <f t="shared" si="10"/>
        <v>0</v>
      </c>
      <c r="AC71" s="94">
        <f t="shared" si="11"/>
        <v>0</v>
      </c>
      <c r="AD71" s="93">
        <v>0</v>
      </c>
      <c r="AE71" s="94">
        <f t="shared" si="12"/>
        <v>0</v>
      </c>
      <c r="AF71" s="94">
        <f t="shared" si="13"/>
        <v>0</v>
      </c>
      <c r="AG71" s="94">
        <f t="shared" si="14"/>
        <v>0</v>
      </c>
      <c r="AH71" s="117">
        <v>0</v>
      </c>
      <c r="AI71" s="94">
        <f t="shared" si="31"/>
        <v>0</v>
      </c>
      <c r="AJ71" s="94">
        <f t="shared" si="32"/>
        <v>0</v>
      </c>
      <c r="AK71" s="94">
        <f t="shared" si="33"/>
        <v>0</v>
      </c>
      <c r="AL71" s="93">
        <v>48250000</v>
      </c>
      <c r="AM71" s="93">
        <f t="shared" si="18"/>
        <v>0</v>
      </c>
      <c r="AN71" s="155"/>
      <c r="AO71" s="155"/>
    </row>
    <row r="72" spans="1:41" s="9" customFormat="1" ht="25.15" customHeight="1" x14ac:dyDescent="0.25">
      <c r="A72" s="83">
        <v>66</v>
      </c>
      <c r="B72" s="84">
        <v>2021</v>
      </c>
      <c r="C72" s="85" t="s">
        <v>828</v>
      </c>
      <c r="D72" s="86" t="s">
        <v>938</v>
      </c>
      <c r="E72" s="86" t="s">
        <v>777</v>
      </c>
      <c r="F72" s="87">
        <v>44488</v>
      </c>
      <c r="G72" s="87"/>
      <c r="H72" s="88">
        <f t="shared" ref="H72:H135" si="34">+(G72-F72)/90</f>
        <v>-494.31111111111113</v>
      </c>
      <c r="I72" s="89" t="s">
        <v>767</v>
      </c>
      <c r="J72" s="90" t="s">
        <v>751</v>
      </c>
      <c r="K72" s="90" t="s">
        <v>752</v>
      </c>
      <c r="L72" s="90" t="s">
        <v>753</v>
      </c>
      <c r="M72" s="91" t="s">
        <v>768</v>
      </c>
      <c r="N72" s="92" t="s">
        <v>939</v>
      </c>
      <c r="O72" s="85">
        <v>2453018322</v>
      </c>
      <c r="P72" s="93">
        <f>+_xlfn.XLOOKUP(O72,'[3]Benef Primera fecha '!$C:$C,'[3]Benef Primera fecha '!$E:$E,0)</f>
        <v>80000000</v>
      </c>
      <c r="Q72" s="93">
        <v>0</v>
      </c>
      <c r="R72" s="94">
        <f t="shared" ref="R72:R135" si="35">+(P72+Q72)</f>
        <v>80000000</v>
      </c>
      <c r="S72" s="95">
        <v>0.12</v>
      </c>
      <c r="T72" s="94">
        <f t="shared" ref="T72:T135" si="36">(R72/(1+S72))*S72</f>
        <v>8571428.571428569</v>
      </c>
      <c r="U72" s="117">
        <v>80000000</v>
      </c>
      <c r="V72" s="117">
        <v>0</v>
      </c>
      <c r="W72" s="94">
        <f t="shared" ref="W72:W135" si="37">+V72/(1+$S72)*$S72</f>
        <v>0</v>
      </c>
      <c r="X72" s="94">
        <f t="shared" ref="X72:X135" si="38">+W72*40%</f>
        <v>0</v>
      </c>
      <c r="Y72" s="94">
        <f t="shared" ref="Y72:Y135" si="39">+W72*60%</f>
        <v>0</v>
      </c>
      <c r="Z72" s="93">
        <f>_xlfn.XLOOKUP(O72,'[4]2DO TRIMESTRE'!$C:$C,'[4]2DO TRIMESTRE'!$I:$I,0,0)</f>
        <v>0</v>
      </c>
      <c r="AA72" s="94">
        <f t="shared" ref="AA72:AA135" si="40">+Z72/(1+$S72)*$S72</f>
        <v>0</v>
      </c>
      <c r="AB72" s="94">
        <f t="shared" ref="AB72:AB135" si="41">+AA72*40%</f>
        <v>0</v>
      </c>
      <c r="AC72" s="94">
        <f t="shared" ref="AC72:AC135" si="42">+AA72*60%</f>
        <v>0</v>
      </c>
      <c r="AD72" s="93">
        <v>0</v>
      </c>
      <c r="AE72" s="94">
        <f t="shared" ref="AE72:AE135" si="43">+AD72/(1+$S72)*$S72</f>
        <v>0</v>
      </c>
      <c r="AF72" s="94">
        <f t="shared" ref="AF72:AF135" si="44">+AE72*40%</f>
        <v>0</v>
      </c>
      <c r="AG72" s="94">
        <f t="shared" ref="AG72:AG135" si="45">+AE72*60%</f>
        <v>0</v>
      </c>
      <c r="AH72" s="117">
        <v>0</v>
      </c>
      <c r="AI72" s="94">
        <f t="shared" si="31"/>
        <v>0</v>
      </c>
      <c r="AJ72" s="94">
        <f t="shared" si="32"/>
        <v>0</v>
      </c>
      <c r="AK72" s="94">
        <f t="shared" si="33"/>
        <v>0</v>
      </c>
      <c r="AL72" s="93">
        <v>8571428</v>
      </c>
      <c r="AM72" s="93">
        <f t="shared" ref="AM72:AM135" si="46">W72+AA72+AE72+AI72</f>
        <v>0</v>
      </c>
      <c r="AN72" s="155"/>
      <c r="AO72" s="155"/>
    </row>
    <row r="73" spans="1:41" s="9" customFormat="1" ht="25.15" customHeight="1" x14ac:dyDescent="0.25">
      <c r="A73" s="83">
        <v>67</v>
      </c>
      <c r="B73" s="84">
        <v>2021</v>
      </c>
      <c r="C73" s="85" t="s">
        <v>747</v>
      </c>
      <c r="D73" s="86" t="s">
        <v>940</v>
      </c>
      <c r="E73" s="86" t="s">
        <v>749</v>
      </c>
      <c r="F73" s="87">
        <v>44489</v>
      </c>
      <c r="G73" s="87">
        <v>44491</v>
      </c>
      <c r="H73" s="88">
        <f t="shared" si="34"/>
        <v>2.2222222222222223E-2</v>
      </c>
      <c r="I73" s="89" t="s">
        <v>759</v>
      </c>
      <c r="J73" s="90" t="s">
        <v>751</v>
      </c>
      <c r="K73" s="90" t="s">
        <v>752</v>
      </c>
      <c r="L73" s="90" t="s">
        <v>753</v>
      </c>
      <c r="M73" s="91" t="s">
        <v>754</v>
      </c>
      <c r="N73" s="92" t="s">
        <v>941</v>
      </c>
      <c r="O73" s="85">
        <v>2910908049</v>
      </c>
      <c r="P73" s="93">
        <v>7014816</v>
      </c>
      <c r="Q73" s="93">
        <v>0</v>
      </c>
      <c r="R73" s="94">
        <f t="shared" si="35"/>
        <v>7014816</v>
      </c>
      <c r="S73" s="95">
        <v>0.12</v>
      </c>
      <c r="T73" s="94">
        <f t="shared" si="36"/>
        <v>751587.42857142852</v>
      </c>
      <c r="U73" s="117">
        <v>0</v>
      </c>
      <c r="V73" s="117">
        <v>0</v>
      </c>
      <c r="W73" s="94">
        <f t="shared" si="37"/>
        <v>0</v>
      </c>
      <c r="X73" s="94">
        <f t="shared" si="38"/>
        <v>0</v>
      </c>
      <c r="Y73" s="94">
        <f t="shared" si="39"/>
        <v>0</v>
      </c>
      <c r="Z73" s="93">
        <f>_xlfn.XLOOKUP(O73,'[4]2DO TRIMESTRE'!$C:$C,'[4]2DO TRIMESTRE'!$I:$I,0,0)</f>
        <v>0</v>
      </c>
      <c r="AA73" s="94">
        <f t="shared" si="40"/>
        <v>0</v>
      </c>
      <c r="AB73" s="94">
        <f t="shared" si="41"/>
        <v>0</v>
      </c>
      <c r="AC73" s="94">
        <f t="shared" si="42"/>
        <v>0</v>
      </c>
      <c r="AD73" s="93">
        <v>0</v>
      </c>
      <c r="AE73" s="94">
        <f t="shared" si="43"/>
        <v>0</v>
      </c>
      <c r="AF73" s="94">
        <f t="shared" si="44"/>
        <v>0</v>
      </c>
      <c r="AG73" s="94">
        <f t="shared" si="45"/>
        <v>0</v>
      </c>
      <c r="AH73" s="117">
        <v>0</v>
      </c>
      <c r="AI73" s="94">
        <f t="shared" si="31"/>
        <v>0</v>
      </c>
      <c r="AJ73" s="94">
        <f t="shared" si="32"/>
        <v>0</v>
      </c>
      <c r="AK73" s="94">
        <f t="shared" si="33"/>
        <v>0</v>
      </c>
      <c r="AL73" s="93">
        <v>0</v>
      </c>
      <c r="AM73" s="93">
        <f t="shared" si="46"/>
        <v>0</v>
      </c>
      <c r="AN73" s="155"/>
      <c r="AO73" s="155"/>
    </row>
    <row r="74" spans="1:41" s="9" customFormat="1" ht="25.15" customHeight="1" x14ac:dyDescent="0.25">
      <c r="A74" s="83">
        <v>68</v>
      </c>
      <c r="B74" s="84">
        <v>2021</v>
      </c>
      <c r="C74" s="85" t="s">
        <v>942</v>
      </c>
      <c r="D74" s="86" t="s">
        <v>943</v>
      </c>
      <c r="E74" s="86" t="s">
        <v>758</v>
      </c>
      <c r="F74" s="87">
        <v>44490</v>
      </c>
      <c r="G74" s="87">
        <v>44561</v>
      </c>
      <c r="H74" s="88">
        <f t="shared" si="34"/>
        <v>0.78888888888888886</v>
      </c>
      <c r="I74" s="89" t="s">
        <v>763</v>
      </c>
      <c r="J74" s="90" t="s">
        <v>751</v>
      </c>
      <c r="K74" s="90" t="s">
        <v>752</v>
      </c>
      <c r="L74" s="90" t="s">
        <v>753</v>
      </c>
      <c r="M74" s="91" t="s">
        <v>768</v>
      </c>
      <c r="N74" s="92" t="s">
        <v>944</v>
      </c>
      <c r="O74" s="85">
        <v>2453018323</v>
      </c>
      <c r="P74" s="93">
        <f>+_xlfn.XLOOKUP(O74,'[3]Benef Primera fecha '!$C:$C,'[3]Benef Primera fecha '!$E:$E,0)</f>
        <v>430696700</v>
      </c>
      <c r="Q74" s="93">
        <v>0</v>
      </c>
      <c r="R74" s="94">
        <f t="shared" si="35"/>
        <v>430696700</v>
      </c>
      <c r="S74" s="95">
        <v>0.12</v>
      </c>
      <c r="T74" s="94">
        <f t="shared" si="36"/>
        <v>46146074.999999993</v>
      </c>
      <c r="U74" s="117">
        <v>430696700</v>
      </c>
      <c r="V74" s="117">
        <v>0</v>
      </c>
      <c r="W74" s="94">
        <f t="shared" si="37"/>
        <v>0</v>
      </c>
      <c r="X74" s="94">
        <f t="shared" si="38"/>
        <v>0</v>
      </c>
      <c r="Y74" s="94">
        <f t="shared" si="39"/>
        <v>0</v>
      </c>
      <c r="Z74" s="93">
        <f>_xlfn.XLOOKUP(O74,'[4]2DO TRIMESTRE'!$C:$C,'[4]2DO TRIMESTRE'!$I:$I,0,0)</f>
        <v>0</v>
      </c>
      <c r="AA74" s="94">
        <f t="shared" si="40"/>
        <v>0</v>
      </c>
      <c r="AB74" s="94">
        <f t="shared" si="41"/>
        <v>0</v>
      </c>
      <c r="AC74" s="94">
        <f t="shared" si="42"/>
        <v>0</v>
      </c>
      <c r="AD74" s="93">
        <v>0</v>
      </c>
      <c r="AE74" s="94">
        <f t="shared" si="43"/>
        <v>0</v>
      </c>
      <c r="AF74" s="94">
        <f t="shared" si="44"/>
        <v>0</v>
      </c>
      <c r="AG74" s="94">
        <f t="shared" si="45"/>
        <v>0</v>
      </c>
      <c r="AH74" s="117">
        <v>0</v>
      </c>
      <c r="AI74" s="94">
        <f t="shared" si="31"/>
        <v>0</v>
      </c>
      <c r="AJ74" s="94">
        <f t="shared" si="32"/>
        <v>0</v>
      </c>
      <c r="AK74" s="94">
        <f t="shared" si="33"/>
        <v>0</v>
      </c>
      <c r="AL74" s="93">
        <v>35431790</v>
      </c>
      <c r="AM74" s="93">
        <f t="shared" si="46"/>
        <v>0</v>
      </c>
      <c r="AN74" s="155"/>
      <c r="AO74" s="155"/>
    </row>
    <row r="75" spans="1:41" s="9" customFormat="1" ht="25.15" customHeight="1" x14ac:dyDescent="0.25">
      <c r="A75" s="83">
        <v>69</v>
      </c>
      <c r="B75" s="84">
        <v>2021</v>
      </c>
      <c r="C75" s="85" t="s">
        <v>945</v>
      </c>
      <c r="D75" s="86" t="s">
        <v>946</v>
      </c>
      <c r="E75" s="86" t="s">
        <v>758</v>
      </c>
      <c r="F75" s="87">
        <v>44497</v>
      </c>
      <c r="G75" s="87">
        <v>44598</v>
      </c>
      <c r="H75" s="88">
        <f t="shared" si="34"/>
        <v>1.1222222222222222</v>
      </c>
      <c r="I75" s="89" t="s">
        <v>750</v>
      </c>
      <c r="J75" s="90" t="s">
        <v>751</v>
      </c>
      <c r="K75" s="90" t="s">
        <v>752</v>
      </c>
      <c r="L75" s="90" t="s">
        <v>753</v>
      </c>
      <c r="M75" s="91" t="s">
        <v>768</v>
      </c>
      <c r="N75" s="92" t="s">
        <v>947</v>
      </c>
      <c r="O75" s="85">
        <v>2453018329</v>
      </c>
      <c r="P75" s="93">
        <f>+_xlfn.XLOOKUP(O75,'[3]Benef Primera fecha '!$C:$C,'[3]Benef Primera fecha '!$E:$E,0)</f>
        <v>23000000</v>
      </c>
      <c r="Q75" s="93">
        <v>0</v>
      </c>
      <c r="R75" s="94">
        <f t="shared" si="35"/>
        <v>23000000</v>
      </c>
      <c r="S75" s="95">
        <v>0.12000001558260891</v>
      </c>
      <c r="T75" s="94">
        <f t="shared" si="36"/>
        <v>2464286</v>
      </c>
      <c r="U75" s="117">
        <v>9619080</v>
      </c>
      <c r="V75" s="117">
        <v>0</v>
      </c>
      <c r="W75" s="94">
        <f t="shared" si="37"/>
        <v>0</v>
      </c>
      <c r="X75" s="94">
        <f t="shared" si="38"/>
        <v>0</v>
      </c>
      <c r="Y75" s="94">
        <f t="shared" si="39"/>
        <v>0</v>
      </c>
      <c r="Z75" s="93">
        <f>_xlfn.XLOOKUP(O75,'[4]2DO TRIMESTRE'!$C:$C,'[4]2DO TRIMESTRE'!$I:$I,0,0)</f>
        <v>0</v>
      </c>
      <c r="AA75" s="94">
        <f t="shared" si="40"/>
        <v>0</v>
      </c>
      <c r="AB75" s="94">
        <f t="shared" si="41"/>
        <v>0</v>
      </c>
      <c r="AC75" s="94">
        <f t="shared" si="42"/>
        <v>0</v>
      </c>
      <c r="AD75" s="93">
        <v>0</v>
      </c>
      <c r="AE75" s="94">
        <f t="shared" si="43"/>
        <v>0</v>
      </c>
      <c r="AF75" s="94">
        <f t="shared" si="44"/>
        <v>0</v>
      </c>
      <c r="AG75" s="94">
        <f t="shared" si="45"/>
        <v>0</v>
      </c>
      <c r="AH75" s="117">
        <v>0</v>
      </c>
      <c r="AI75" s="94">
        <f t="shared" si="31"/>
        <v>0</v>
      </c>
      <c r="AJ75" s="94">
        <f t="shared" si="32"/>
        <v>0</v>
      </c>
      <c r="AK75" s="94">
        <f t="shared" si="33"/>
        <v>0</v>
      </c>
      <c r="AL75" s="93">
        <v>2464286</v>
      </c>
      <c r="AM75" s="93">
        <f t="shared" si="46"/>
        <v>0</v>
      </c>
      <c r="AN75" s="155"/>
      <c r="AO75" s="155"/>
    </row>
    <row r="76" spans="1:41" s="9" customFormat="1" ht="25.15" customHeight="1" x14ac:dyDescent="0.25">
      <c r="A76" s="83">
        <v>70</v>
      </c>
      <c r="B76" s="84">
        <v>2021</v>
      </c>
      <c r="C76" s="85" t="s">
        <v>839</v>
      </c>
      <c r="D76" s="86" t="s">
        <v>948</v>
      </c>
      <c r="E76" s="86" t="s">
        <v>777</v>
      </c>
      <c r="F76" s="87">
        <v>44505</v>
      </c>
      <c r="G76" s="87">
        <v>44711</v>
      </c>
      <c r="H76" s="88">
        <f t="shared" si="34"/>
        <v>2.2888888888888888</v>
      </c>
      <c r="I76" s="89" t="s">
        <v>767</v>
      </c>
      <c r="J76" s="90" t="s">
        <v>751</v>
      </c>
      <c r="K76" s="90" t="s">
        <v>752</v>
      </c>
      <c r="L76" s="90" t="s">
        <v>753</v>
      </c>
      <c r="M76" s="91" t="s">
        <v>768</v>
      </c>
      <c r="N76" s="92" t="s">
        <v>949</v>
      </c>
      <c r="O76" s="85">
        <v>2453018326</v>
      </c>
      <c r="P76" s="93">
        <f>+_xlfn.XLOOKUP(O76,'[3]Benef Primera fecha '!$C:$C,'[3]Benef Primera fecha '!$E:$E,0)</f>
        <v>420254100</v>
      </c>
      <c r="Q76" s="93">
        <v>0</v>
      </c>
      <c r="R76" s="94">
        <f t="shared" si="35"/>
        <v>420254100</v>
      </c>
      <c r="S76" s="95">
        <v>0.12</v>
      </c>
      <c r="T76" s="94">
        <f t="shared" si="36"/>
        <v>45027224.999999993</v>
      </c>
      <c r="U76" s="117">
        <v>420254100</v>
      </c>
      <c r="V76" s="117">
        <v>0</v>
      </c>
      <c r="W76" s="94">
        <f t="shared" si="37"/>
        <v>0</v>
      </c>
      <c r="X76" s="94">
        <f t="shared" si="38"/>
        <v>0</v>
      </c>
      <c r="Y76" s="94">
        <f t="shared" si="39"/>
        <v>0</v>
      </c>
      <c r="Z76" s="93">
        <f>_xlfn.XLOOKUP(O76,'[4]2DO TRIMESTRE'!$C:$C,'[4]2DO TRIMESTRE'!$I:$I,0,0)</f>
        <v>0</v>
      </c>
      <c r="AA76" s="94">
        <f t="shared" si="40"/>
        <v>0</v>
      </c>
      <c r="AB76" s="94">
        <f t="shared" si="41"/>
        <v>0</v>
      </c>
      <c r="AC76" s="94">
        <f t="shared" si="42"/>
        <v>0</v>
      </c>
      <c r="AD76" s="93">
        <v>0</v>
      </c>
      <c r="AE76" s="94">
        <f t="shared" si="43"/>
        <v>0</v>
      </c>
      <c r="AF76" s="94">
        <f t="shared" si="44"/>
        <v>0</v>
      </c>
      <c r="AG76" s="94">
        <f t="shared" si="45"/>
        <v>0</v>
      </c>
      <c r="AH76" s="117">
        <v>0</v>
      </c>
      <c r="AI76" s="94">
        <f t="shared" si="31"/>
        <v>0</v>
      </c>
      <c r="AJ76" s="94">
        <f t="shared" si="32"/>
        <v>0</v>
      </c>
      <c r="AK76" s="94">
        <f t="shared" si="33"/>
        <v>0</v>
      </c>
      <c r="AL76" s="93">
        <v>45027225</v>
      </c>
      <c r="AM76" s="93">
        <f t="shared" si="46"/>
        <v>0</v>
      </c>
      <c r="AN76" s="155"/>
      <c r="AO76" s="155"/>
    </row>
    <row r="77" spans="1:41" s="9" customFormat="1" ht="25.15" customHeight="1" x14ac:dyDescent="0.25">
      <c r="A77" s="83">
        <v>71</v>
      </c>
      <c r="B77" s="84">
        <v>2021</v>
      </c>
      <c r="C77" s="85" t="s">
        <v>804</v>
      </c>
      <c r="D77" s="86" t="s">
        <v>950</v>
      </c>
      <c r="E77" s="86" t="s">
        <v>758</v>
      </c>
      <c r="F77" s="87">
        <v>44508</v>
      </c>
      <c r="G77" s="87">
        <v>44758</v>
      </c>
      <c r="H77" s="88">
        <f t="shared" si="34"/>
        <v>2.7777777777777777</v>
      </c>
      <c r="I77" s="89" t="s">
        <v>763</v>
      </c>
      <c r="J77" s="90" t="s">
        <v>751</v>
      </c>
      <c r="K77" s="90" t="s">
        <v>752</v>
      </c>
      <c r="L77" s="90" t="s">
        <v>753</v>
      </c>
      <c r="M77" s="91" t="s">
        <v>768</v>
      </c>
      <c r="N77" s="92" t="s">
        <v>951</v>
      </c>
      <c r="O77" s="85">
        <v>2910906772</v>
      </c>
      <c r="P77" s="93">
        <f>+_xlfn.XLOOKUP(O77,'[3]Benef Primera fecha '!$C:$C,'[3]Benef Primera fecha '!$E:$E,0)</f>
        <v>186462878</v>
      </c>
      <c r="Q77" s="93">
        <v>0</v>
      </c>
      <c r="R77" s="94">
        <f t="shared" si="35"/>
        <v>186462878</v>
      </c>
      <c r="S77" s="95">
        <v>0.12000000336367221</v>
      </c>
      <c r="T77" s="94">
        <f t="shared" si="36"/>
        <v>19978166.000000004</v>
      </c>
      <c r="U77" s="117">
        <v>154080490</v>
      </c>
      <c r="V77" s="117">
        <v>0</v>
      </c>
      <c r="W77" s="94">
        <f t="shared" si="37"/>
        <v>0</v>
      </c>
      <c r="X77" s="94">
        <f t="shared" si="38"/>
        <v>0</v>
      </c>
      <c r="Y77" s="94">
        <f t="shared" si="39"/>
        <v>0</v>
      </c>
      <c r="Z77" s="93">
        <f>_xlfn.XLOOKUP(O77,'[4]2DO TRIMESTRE'!$C:$C,'[4]2DO TRIMESTRE'!$I:$I,0,0)</f>
        <v>0</v>
      </c>
      <c r="AA77" s="94">
        <f t="shared" si="40"/>
        <v>0</v>
      </c>
      <c r="AB77" s="94">
        <f t="shared" si="41"/>
        <v>0</v>
      </c>
      <c r="AC77" s="94">
        <f t="shared" si="42"/>
        <v>0</v>
      </c>
      <c r="AD77" s="93">
        <v>0</v>
      </c>
      <c r="AE77" s="94">
        <f t="shared" si="43"/>
        <v>0</v>
      </c>
      <c r="AF77" s="94">
        <f t="shared" si="44"/>
        <v>0</v>
      </c>
      <c r="AG77" s="94">
        <f t="shared" si="45"/>
        <v>0</v>
      </c>
      <c r="AH77" s="117">
        <v>0</v>
      </c>
      <c r="AI77" s="94">
        <f t="shared" si="31"/>
        <v>0</v>
      </c>
      <c r="AJ77" s="94">
        <f t="shared" si="32"/>
        <v>0</v>
      </c>
      <c r="AK77" s="94">
        <f t="shared" si="33"/>
        <v>0</v>
      </c>
      <c r="AL77" s="93">
        <v>16508624</v>
      </c>
      <c r="AM77" s="93">
        <f t="shared" si="46"/>
        <v>0</v>
      </c>
      <c r="AN77" s="155"/>
      <c r="AO77" s="155"/>
    </row>
    <row r="78" spans="1:41" s="9" customFormat="1" ht="25.15" customHeight="1" x14ac:dyDescent="0.25">
      <c r="A78" s="83">
        <v>72</v>
      </c>
      <c r="B78" s="84">
        <v>2021</v>
      </c>
      <c r="C78" s="85" t="s">
        <v>952</v>
      </c>
      <c r="D78" s="86" t="s">
        <v>953</v>
      </c>
      <c r="E78" s="86" t="s">
        <v>758</v>
      </c>
      <c r="F78" s="87">
        <v>44508</v>
      </c>
      <c r="G78" s="87">
        <v>44697</v>
      </c>
      <c r="H78" s="88">
        <f t="shared" si="34"/>
        <v>2.1</v>
      </c>
      <c r="I78" s="89" t="s">
        <v>759</v>
      </c>
      <c r="J78" s="90" t="s">
        <v>751</v>
      </c>
      <c r="K78" s="90" t="s">
        <v>752</v>
      </c>
      <c r="L78" s="90" t="s">
        <v>753</v>
      </c>
      <c r="M78" s="91" t="s">
        <v>768</v>
      </c>
      <c r="N78" s="92" t="s">
        <v>954</v>
      </c>
      <c r="O78" s="85">
        <v>2910906775</v>
      </c>
      <c r="P78" s="93">
        <f>+_xlfn.XLOOKUP(O78,'[3]Benef Primera fecha '!$C:$C,'[3]Benef Primera fecha '!$E:$E,0)</f>
        <v>423000000</v>
      </c>
      <c r="Q78" s="93">
        <v>0</v>
      </c>
      <c r="R78" s="94">
        <f t="shared" si="35"/>
        <v>423000000</v>
      </c>
      <c r="S78" s="95">
        <v>0.12000000127092199</v>
      </c>
      <c r="T78" s="94">
        <f t="shared" si="36"/>
        <v>45321429</v>
      </c>
      <c r="U78" s="117">
        <v>423000000</v>
      </c>
      <c r="V78" s="117">
        <v>0</v>
      </c>
      <c r="W78" s="94">
        <f t="shared" si="37"/>
        <v>0</v>
      </c>
      <c r="X78" s="94">
        <f t="shared" si="38"/>
        <v>0</v>
      </c>
      <c r="Y78" s="94">
        <f t="shared" si="39"/>
        <v>0</v>
      </c>
      <c r="Z78" s="93">
        <f>_xlfn.XLOOKUP(O78,'[4]2DO TRIMESTRE'!$C:$C,'[4]2DO TRIMESTRE'!$I:$I,0,0)</f>
        <v>0</v>
      </c>
      <c r="AA78" s="94">
        <f t="shared" si="40"/>
        <v>0</v>
      </c>
      <c r="AB78" s="94">
        <f t="shared" si="41"/>
        <v>0</v>
      </c>
      <c r="AC78" s="94">
        <f t="shared" si="42"/>
        <v>0</v>
      </c>
      <c r="AD78" s="93">
        <v>0</v>
      </c>
      <c r="AE78" s="94">
        <f t="shared" si="43"/>
        <v>0</v>
      </c>
      <c r="AF78" s="94">
        <f t="shared" si="44"/>
        <v>0</v>
      </c>
      <c r="AG78" s="94">
        <f t="shared" si="45"/>
        <v>0</v>
      </c>
      <c r="AH78" s="117">
        <v>0</v>
      </c>
      <c r="AI78" s="94">
        <f t="shared" si="31"/>
        <v>0</v>
      </c>
      <c r="AJ78" s="94">
        <f t="shared" si="32"/>
        <v>0</v>
      </c>
      <c r="AK78" s="94">
        <f t="shared" si="33"/>
        <v>0</v>
      </c>
      <c r="AL78" s="93">
        <v>45321429</v>
      </c>
      <c r="AM78" s="93">
        <f t="shared" si="46"/>
        <v>0</v>
      </c>
      <c r="AN78" s="155"/>
      <c r="AO78" s="155"/>
    </row>
    <row r="79" spans="1:41" s="9" customFormat="1" ht="25.15" customHeight="1" x14ac:dyDescent="0.25">
      <c r="A79" s="83">
        <v>73</v>
      </c>
      <c r="B79" s="84">
        <v>2021</v>
      </c>
      <c r="C79" s="85" t="s">
        <v>955</v>
      </c>
      <c r="D79" s="86" t="s">
        <v>956</v>
      </c>
      <c r="E79" s="86" t="s">
        <v>758</v>
      </c>
      <c r="F79" s="87">
        <v>44511</v>
      </c>
      <c r="G79" s="87">
        <v>44828</v>
      </c>
      <c r="H79" s="88">
        <f t="shared" si="34"/>
        <v>3.5222222222222221</v>
      </c>
      <c r="I79" s="89" t="s">
        <v>750</v>
      </c>
      <c r="J79" s="90" t="s">
        <v>751</v>
      </c>
      <c r="K79" s="90" t="s">
        <v>752</v>
      </c>
      <c r="L79" s="90" t="s">
        <v>753</v>
      </c>
      <c r="M79" s="91" t="s">
        <v>957</v>
      </c>
      <c r="N79" s="92" t="s">
        <v>958</v>
      </c>
      <c r="O79" s="85">
        <v>2453018325</v>
      </c>
      <c r="P79" s="93">
        <f>+_xlfn.XLOOKUP(O79,'[3]Benef Primera fecha '!$C:$C,'[3]Benef Primera fecha '!$E:$E,0)</f>
        <v>744689120</v>
      </c>
      <c r="Q79" s="93">
        <v>0</v>
      </c>
      <c r="R79" s="94">
        <f t="shared" si="35"/>
        <v>744689120</v>
      </c>
      <c r="S79" s="95">
        <v>0.12</v>
      </c>
      <c r="T79" s="94">
        <f t="shared" si="36"/>
        <v>79788119.999999985</v>
      </c>
      <c r="U79" s="117">
        <v>736984380</v>
      </c>
      <c r="V79" s="117">
        <v>0</v>
      </c>
      <c r="W79" s="94">
        <f t="shared" si="37"/>
        <v>0</v>
      </c>
      <c r="X79" s="94">
        <f t="shared" si="38"/>
        <v>0</v>
      </c>
      <c r="Y79" s="94">
        <f t="shared" si="39"/>
        <v>0</v>
      </c>
      <c r="Z79" s="93">
        <f>_xlfn.XLOOKUP(O79,'[4]2DO TRIMESTRE'!$C:$C,'[4]2DO TRIMESTRE'!$I:$I,0,0)</f>
        <v>0</v>
      </c>
      <c r="AA79" s="94">
        <f t="shared" si="40"/>
        <v>0</v>
      </c>
      <c r="AB79" s="94">
        <f t="shared" si="41"/>
        <v>0</v>
      </c>
      <c r="AC79" s="94">
        <f t="shared" si="42"/>
        <v>0</v>
      </c>
      <c r="AD79" s="93">
        <v>0</v>
      </c>
      <c r="AE79" s="94">
        <f t="shared" si="43"/>
        <v>0</v>
      </c>
      <c r="AF79" s="94">
        <f t="shared" si="44"/>
        <v>0</v>
      </c>
      <c r="AG79" s="94">
        <f t="shared" si="45"/>
        <v>0</v>
      </c>
      <c r="AH79" s="117">
        <v>0</v>
      </c>
      <c r="AI79" s="94">
        <f t="shared" si="31"/>
        <v>0</v>
      </c>
      <c r="AJ79" s="94">
        <f t="shared" si="32"/>
        <v>0</v>
      </c>
      <c r="AK79" s="94">
        <f t="shared" si="33"/>
        <v>0</v>
      </c>
      <c r="AL79" s="93">
        <v>78962612</v>
      </c>
      <c r="AM79" s="93">
        <f t="shared" si="46"/>
        <v>0</v>
      </c>
      <c r="AN79" s="155"/>
      <c r="AO79" s="155"/>
    </row>
    <row r="80" spans="1:41" s="9" customFormat="1" ht="25.15" customHeight="1" x14ac:dyDescent="0.25">
      <c r="A80" s="83">
        <v>74</v>
      </c>
      <c r="B80" s="84">
        <v>2021</v>
      </c>
      <c r="C80" s="85" t="s">
        <v>782</v>
      </c>
      <c r="D80" s="86" t="s">
        <v>959</v>
      </c>
      <c r="E80" s="86" t="s">
        <v>777</v>
      </c>
      <c r="F80" s="87">
        <v>44512</v>
      </c>
      <c r="G80" s="87">
        <v>44763</v>
      </c>
      <c r="H80" s="88">
        <f t="shared" si="34"/>
        <v>2.7888888888888888</v>
      </c>
      <c r="I80" s="89" t="s">
        <v>750</v>
      </c>
      <c r="J80" s="90" t="s">
        <v>751</v>
      </c>
      <c r="K80" s="90" t="s">
        <v>752</v>
      </c>
      <c r="L80" s="90" t="s">
        <v>753</v>
      </c>
      <c r="M80" s="91" t="s">
        <v>960</v>
      </c>
      <c r="N80" s="92" t="s">
        <v>961</v>
      </c>
      <c r="O80" s="85">
        <v>2453018328</v>
      </c>
      <c r="P80" s="93">
        <f>+_xlfn.XLOOKUP(O80,'[3]Benef Primera fecha '!$C:$C,'[3]Benef Primera fecha '!$E:$E,0)</f>
        <v>1199922000</v>
      </c>
      <c r="Q80" s="93">
        <v>0</v>
      </c>
      <c r="R80" s="94">
        <f t="shared" si="35"/>
        <v>1199922000</v>
      </c>
      <c r="S80" s="95">
        <v>0.12</v>
      </c>
      <c r="T80" s="94">
        <f t="shared" si="36"/>
        <v>128563071.4285714</v>
      </c>
      <c r="U80" s="117">
        <v>1090248013</v>
      </c>
      <c r="V80" s="117">
        <v>0</v>
      </c>
      <c r="W80" s="94">
        <f t="shared" si="37"/>
        <v>0</v>
      </c>
      <c r="X80" s="94">
        <f t="shared" si="38"/>
        <v>0</v>
      </c>
      <c r="Y80" s="94">
        <f t="shared" si="39"/>
        <v>0</v>
      </c>
      <c r="Z80" s="93">
        <f>_xlfn.XLOOKUP(O80,'[4]2DO TRIMESTRE'!$C:$C,'[4]2DO TRIMESTRE'!$I:$I,0,0)</f>
        <v>0</v>
      </c>
      <c r="AA80" s="94">
        <f t="shared" si="40"/>
        <v>0</v>
      </c>
      <c r="AB80" s="94">
        <f t="shared" si="41"/>
        <v>0</v>
      </c>
      <c r="AC80" s="94">
        <f t="shared" si="42"/>
        <v>0</v>
      </c>
      <c r="AD80" s="93">
        <v>0</v>
      </c>
      <c r="AE80" s="94">
        <f t="shared" si="43"/>
        <v>0</v>
      </c>
      <c r="AF80" s="94">
        <f t="shared" si="44"/>
        <v>0</v>
      </c>
      <c r="AG80" s="94">
        <f t="shared" si="45"/>
        <v>0</v>
      </c>
      <c r="AH80" s="117">
        <v>0</v>
      </c>
      <c r="AI80" s="94">
        <f t="shared" si="31"/>
        <v>0</v>
      </c>
      <c r="AJ80" s="94">
        <f t="shared" si="32"/>
        <v>0</v>
      </c>
      <c r="AK80" s="94">
        <f t="shared" si="33"/>
        <v>0</v>
      </c>
      <c r="AL80" s="93">
        <v>116812287</v>
      </c>
      <c r="AM80" s="93">
        <f t="shared" si="46"/>
        <v>0</v>
      </c>
      <c r="AN80" s="155"/>
      <c r="AO80" s="155"/>
    </row>
    <row r="81" spans="1:41" s="9" customFormat="1" ht="25.15" customHeight="1" x14ac:dyDescent="0.25">
      <c r="A81" s="83">
        <v>75</v>
      </c>
      <c r="B81" s="84">
        <v>2021</v>
      </c>
      <c r="C81" s="85" t="s">
        <v>962</v>
      </c>
      <c r="D81" s="86" t="s">
        <v>963</v>
      </c>
      <c r="E81" s="86" t="s">
        <v>777</v>
      </c>
      <c r="F81" s="87">
        <v>44512</v>
      </c>
      <c r="G81" s="87">
        <v>44851</v>
      </c>
      <c r="H81" s="88">
        <f t="shared" si="34"/>
        <v>3.7666666666666666</v>
      </c>
      <c r="I81" s="89" t="s">
        <v>759</v>
      </c>
      <c r="J81" s="90" t="s">
        <v>751</v>
      </c>
      <c r="K81" s="90" t="s">
        <v>752</v>
      </c>
      <c r="L81" s="90" t="s">
        <v>753</v>
      </c>
      <c r="M81" s="91" t="s">
        <v>768</v>
      </c>
      <c r="N81" s="92" t="s">
        <v>964</v>
      </c>
      <c r="O81" s="85">
        <v>2453018334</v>
      </c>
      <c r="P81" s="93">
        <v>384000000</v>
      </c>
      <c r="Q81" s="93">
        <v>0</v>
      </c>
      <c r="R81" s="94">
        <f t="shared" si="35"/>
        <v>384000000</v>
      </c>
      <c r="S81" s="95">
        <v>0</v>
      </c>
      <c r="T81" s="94">
        <f t="shared" si="36"/>
        <v>0</v>
      </c>
      <c r="U81" s="117">
        <v>0</v>
      </c>
      <c r="V81" s="117">
        <v>0</v>
      </c>
      <c r="W81" s="94">
        <f t="shared" si="37"/>
        <v>0</v>
      </c>
      <c r="X81" s="94">
        <f t="shared" si="38"/>
        <v>0</v>
      </c>
      <c r="Y81" s="94">
        <f t="shared" si="39"/>
        <v>0</v>
      </c>
      <c r="Z81" s="93">
        <f>_xlfn.XLOOKUP(O81,'[4]2DO TRIMESTRE'!$C:$C,'[4]2DO TRIMESTRE'!$I:$I,0,0)</f>
        <v>0</v>
      </c>
      <c r="AA81" s="94">
        <f t="shared" si="40"/>
        <v>0</v>
      </c>
      <c r="AB81" s="94">
        <f t="shared" si="41"/>
        <v>0</v>
      </c>
      <c r="AC81" s="94">
        <f t="shared" si="42"/>
        <v>0</v>
      </c>
      <c r="AD81" s="93">
        <v>0</v>
      </c>
      <c r="AE81" s="94">
        <f t="shared" si="43"/>
        <v>0</v>
      </c>
      <c r="AF81" s="94">
        <f t="shared" si="44"/>
        <v>0</v>
      </c>
      <c r="AG81" s="94">
        <f t="shared" si="45"/>
        <v>0</v>
      </c>
      <c r="AH81" s="117">
        <v>0</v>
      </c>
      <c r="AI81" s="94">
        <f t="shared" si="31"/>
        <v>0</v>
      </c>
      <c r="AJ81" s="94">
        <f t="shared" si="32"/>
        <v>0</v>
      </c>
      <c r="AK81" s="94">
        <f t="shared" si="33"/>
        <v>0</v>
      </c>
      <c r="AL81" s="93">
        <v>0</v>
      </c>
      <c r="AM81" s="93">
        <f t="shared" si="46"/>
        <v>0</v>
      </c>
      <c r="AN81" s="155" t="s">
        <v>800</v>
      </c>
      <c r="AO81" s="155" t="s">
        <v>800</v>
      </c>
    </row>
    <row r="82" spans="1:41" s="9" customFormat="1" ht="25.15" customHeight="1" x14ac:dyDescent="0.25">
      <c r="A82" s="83">
        <v>76</v>
      </c>
      <c r="B82" s="84">
        <v>2021</v>
      </c>
      <c r="C82" s="85" t="s">
        <v>965</v>
      </c>
      <c r="D82" s="86" t="s">
        <v>966</v>
      </c>
      <c r="E82" s="86" t="s">
        <v>777</v>
      </c>
      <c r="F82" s="87">
        <v>44512</v>
      </c>
      <c r="G82" s="87">
        <v>44914</v>
      </c>
      <c r="H82" s="88">
        <f t="shared" si="34"/>
        <v>4.4666666666666668</v>
      </c>
      <c r="I82" s="89" t="s">
        <v>763</v>
      </c>
      <c r="J82" s="90" t="s">
        <v>751</v>
      </c>
      <c r="K82" s="90" t="s">
        <v>752</v>
      </c>
      <c r="L82" s="90" t="s">
        <v>753</v>
      </c>
      <c r="M82" s="91" t="s">
        <v>967</v>
      </c>
      <c r="N82" s="92" t="s">
        <v>968</v>
      </c>
      <c r="O82" s="85">
        <v>2453018330</v>
      </c>
      <c r="P82" s="93">
        <f>+_xlfn.XLOOKUP(O82,'[3]Benef Primera fecha '!$C:$C,'[3]Benef Primera fecha '!$E:$E,0)</f>
        <v>2419332150</v>
      </c>
      <c r="Q82" s="93">
        <v>0</v>
      </c>
      <c r="R82" s="94">
        <f t="shared" si="35"/>
        <v>2419332150</v>
      </c>
      <c r="S82" s="95">
        <v>0.12000000003703501</v>
      </c>
      <c r="T82" s="94">
        <f>(R82/(1+S82))*S82</f>
        <v>259214159</v>
      </c>
      <c r="U82" s="117">
        <v>2419332150</v>
      </c>
      <c r="V82" s="117">
        <v>0</v>
      </c>
      <c r="W82" s="94">
        <f t="shared" si="37"/>
        <v>0</v>
      </c>
      <c r="X82" s="94">
        <f t="shared" si="38"/>
        <v>0</v>
      </c>
      <c r="Y82" s="94">
        <f t="shared" si="39"/>
        <v>0</v>
      </c>
      <c r="Z82" s="93">
        <f>_xlfn.XLOOKUP(O82,'[4]2DO TRIMESTRE'!$C:$C,'[4]2DO TRIMESTRE'!$I:$I,0,0)</f>
        <v>0</v>
      </c>
      <c r="AA82" s="94">
        <f>+Z82/(1+$S82)*$S82</f>
        <v>0</v>
      </c>
      <c r="AB82" s="94">
        <f>+AA82*40%</f>
        <v>0</v>
      </c>
      <c r="AC82" s="94">
        <f t="shared" si="42"/>
        <v>0</v>
      </c>
      <c r="AD82" s="93">
        <v>0</v>
      </c>
      <c r="AE82" s="94">
        <f t="shared" ref="AE82" si="47">+AD82/(1+$S82)*$S82</f>
        <v>0</v>
      </c>
      <c r="AF82" s="94">
        <f t="shared" ref="AF82" si="48">+AE82*40%</f>
        <v>0</v>
      </c>
      <c r="AG82" s="94">
        <f t="shared" ref="AG82" si="49">+AE82*60%</f>
        <v>0</v>
      </c>
      <c r="AH82" s="117">
        <v>0</v>
      </c>
      <c r="AI82" s="94">
        <f t="shared" si="31"/>
        <v>0</v>
      </c>
      <c r="AJ82" s="94">
        <f t="shared" si="32"/>
        <v>0</v>
      </c>
      <c r="AK82" s="94">
        <f t="shared" si="33"/>
        <v>0</v>
      </c>
      <c r="AL82" s="93">
        <v>259214159</v>
      </c>
      <c r="AM82" s="93">
        <f t="shared" si="46"/>
        <v>0</v>
      </c>
      <c r="AN82" s="155"/>
      <c r="AO82" s="155"/>
    </row>
    <row r="83" spans="1:41" s="9" customFormat="1" ht="25.15" customHeight="1" x14ac:dyDescent="0.25">
      <c r="A83" s="83">
        <v>77</v>
      </c>
      <c r="B83" s="84">
        <v>2021</v>
      </c>
      <c r="C83" s="85" t="s">
        <v>969</v>
      </c>
      <c r="D83" s="86" t="s">
        <v>970</v>
      </c>
      <c r="E83" s="86" t="s">
        <v>777</v>
      </c>
      <c r="F83" s="87">
        <v>44512</v>
      </c>
      <c r="G83" s="87">
        <v>44561</v>
      </c>
      <c r="H83" s="88">
        <f t="shared" si="34"/>
        <v>0.5444444444444444</v>
      </c>
      <c r="I83" s="89" t="s">
        <v>763</v>
      </c>
      <c r="J83" s="90" t="s">
        <v>751</v>
      </c>
      <c r="K83" s="90" t="s">
        <v>752</v>
      </c>
      <c r="L83" s="90" t="s">
        <v>753</v>
      </c>
      <c r="M83" s="91" t="s">
        <v>971</v>
      </c>
      <c r="N83" s="92" t="s">
        <v>972</v>
      </c>
      <c r="O83" s="85">
        <v>2453018324</v>
      </c>
      <c r="P83" s="93">
        <f>+_xlfn.XLOOKUP(O83,'[3]Benef Primera fecha '!$C:$C,'[3]Benef Primera fecha '!$E:$E,0)</f>
        <v>3388773098</v>
      </c>
      <c r="Q83" s="93">
        <v>0</v>
      </c>
      <c r="R83" s="94">
        <f t="shared" si="35"/>
        <v>3388773098</v>
      </c>
      <c r="S83" s="95">
        <v>0.12</v>
      </c>
      <c r="T83" s="94">
        <f t="shared" si="36"/>
        <v>363082831.9285714</v>
      </c>
      <c r="U83" s="117">
        <v>3388773098</v>
      </c>
      <c r="V83" s="117">
        <v>0</v>
      </c>
      <c r="W83" s="94">
        <f t="shared" si="37"/>
        <v>0</v>
      </c>
      <c r="X83" s="94">
        <f t="shared" si="38"/>
        <v>0</v>
      </c>
      <c r="Y83" s="94">
        <f t="shared" si="39"/>
        <v>0</v>
      </c>
      <c r="Z83" s="93">
        <f>_xlfn.XLOOKUP(O83,'[4]2DO TRIMESTRE'!$C:$C,'[4]2DO TRIMESTRE'!$I:$I,0,0)</f>
        <v>0</v>
      </c>
      <c r="AA83" s="94">
        <f t="shared" si="40"/>
        <v>0</v>
      </c>
      <c r="AB83" s="94">
        <f t="shared" si="41"/>
        <v>0</v>
      </c>
      <c r="AC83" s="94">
        <f t="shared" si="42"/>
        <v>0</v>
      </c>
      <c r="AD83" s="93">
        <v>0</v>
      </c>
      <c r="AE83" s="94">
        <f t="shared" si="43"/>
        <v>0</v>
      </c>
      <c r="AF83" s="94">
        <f t="shared" si="44"/>
        <v>0</v>
      </c>
      <c r="AG83" s="94">
        <f t="shared" si="45"/>
        <v>0</v>
      </c>
      <c r="AH83" s="117">
        <v>0</v>
      </c>
      <c r="AI83" s="94">
        <f t="shared" si="31"/>
        <v>0</v>
      </c>
      <c r="AJ83" s="94">
        <f t="shared" si="32"/>
        <v>0</v>
      </c>
      <c r="AK83" s="94">
        <f t="shared" si="33"/>
        <v>0</v>
      </c>
      <c r="AL83" s="93">
        <v>363082832</v>
      </c>
      <c r="AM83" s="93">
        <f t="shared" si="46"/>
        <v>0</v>
      </c>
      <c r="AN83" s="155"/>
      <c r="AO83" s="155"/>
    </row>
    <row r="84" spans="1:41" s="9" customFormat="1" ht="25.15" customHeight="1" x14ac:dyDescent="0.25">
      <c r="A84" s="83">
        <v>78</v>
      </c>
      <c r="B84" s="84">
        <v>2021</v>
      </c>
      <c r="C84" s="85" t="s">
        <v>973</v>
      </c>
      <c r="D84" s="86" t="s">
        <v>974</v>
      </c>
      <c r="E84" s="86" t="s">
        <v>777</v>
      </c>
      <c r="F84" s="87">
        <v>44512</v>
      </c>
      <c r="G84" s="87">
        <v>45239</v>
      </c>
      <c r="H84" s="88">
        <f t="shared" si="34"/>
        <v>8.0777777777777775</v>
      </c>
      <c r="I84" s="89" t="s">
        <v>759</v>
      </c>
      <c r="J84" s="90" t="s">
        <v>751</v>
      </c>
      <c r="K84" s="90" t="s">
        <v>752</v>
      </c>
      <c r="L84" s="90" t="s">
        <v>753</v>
      </c>
      <c r="M84" s="91" t="s">
        <v>768</v>
      </c>
      <c r="N84" s="92" t="s">
        <v>975</v>
      </c>
      <c r="O84" s="85">
        <v>2453018327</v>
      </c>
      <c r="P84" s="93">
        <f>+_xlfn.XLOOKUP(O84,'[3]Benef Primera fecha '!$C:$C,'[3]Benef Primera fecha '!$E:$E,0)</f>
        <v>570067542</v>
      </c>
      <c r="Q84" s="93">
        <v>0</v>
      </c>
      <c r="R84" s="94">
        <f t="shared" si="35"/>
        <v>570067542</v>
      </c>
      <c r="S84" s="95">
        <v>0.12</v>
      </c>
      <c r="T84" s="94">
        <f t="shared" si="36"/>
        <v>61078665.214285702</v>
      </c>
      <c r="U84" s="117">
        <v>570067542</v>
      </c>
      <c r="V84" s="117">
        <v>0</v>
      </c>
      <c r="W84" s="94">
        <f t="shared" si="37"/>
        <v>0</v>
      </c>
      <c r="X84" s="94">
        <f t="shared" si="38"/>
        <v>0</v>
      </c>
      <c r="Y84" s="94">
        <f t="shared" si="39"/>
        <v>0</v>
      </c>
      <c r="Z84" s="93">
        <f>_xlfn.XLOOKUP(O84,'[4]2DO TRIMESTRE'!$C:$C,'[4]2DO TRIMESTRE'!$I:$I,0,0)</f>
        <v>0</v>
      </c>
      <c r="AA84" s="94">
        <f t="shared" si="40"/>
        <v>0</v>
      </c>
      <c r="AB84" s="94">
        <f t="shared" si="41"/>
        <v>0</v>
      </c>
      <c r="AC84" s="94">
        <f t="shared" si="42"/>
        <v>0</v>
      </c>
      <c r="AD84" s="93">
        <v>0</v>
      </c>
      <c r="AE84" s="94">
        <f t="shared" si="43"/>
        <v>0</v>
      </c>
      <c r="AF84" s="94">
        <f t="shared" si="44"/>
        <v>0</v>
      </c>
      <c r="AG84" s="94">
        <f t="shared" si="45"/>
        <v>0</v>
      </c>
      <c r="AH84" s="117">
        <v>0</v>
      </c>
      <c r="AI84" s="94">
        <f t="shared" si="31"/>
        <v>0</v>
      </c>
      <c r="AJ84" s="94">
        <f t="shared" si="32"/>
        <v>0</v>
      </c>
      <c r="AK84" s="94">
        <f t="shared" si="33"/>
        <v>0</v>
      </c>
      <c r="AL84" s="93">
        <v>61078665.000000007</v>
      </c>
      <c r="AM84" s="93">
        <f t="shared" si="46"/>
        <v>0</v>
      </c>
      <c r="AN84" s="155"/>
      <c r="AO84" s="155"/>
    </row>
    <row r="85" spans="1:41" s="9" customFormat="1" ht="25.15" customHeight="1" x14ac:dyDescent="0.25">
      <c r="A85" s="83">
        <v>79</v>
      </c>
      <c r="B85" s="84">
        <v>2021</v>
      </c>
      <c r="C85" s="85" t="s">
        <v>976</v>
      </c>
      <c r="D85" s="86" t="s">
        <v>977</v>
      </c>
      <c r="E85" s="86" t="s">
        <v>777</v>
      </c>
      <c r="F85" s="87">
        <v>44512</v>
      </c>
      <c r="G85" s="87">
        <v>45266</v>
      </c>
      <c r="H85" s="88">
        <f t="shared" si="34"/>
        <v>8.3777777777777782</v>
      </c>
      <c r="I85" s="89" t="s">
        <v>759</v>
      </c>
      <c r="J85" s="90" t="s">
        <v>751</v>
      </c>
      <c r="K85" s="90" t="s">
        <v>752</v>
      </c>
      <c r="L85" s="90" t="s">
        <v>753</v>
      </c>
      <c r="M85" s="91" t="s">
        <v>768</v>
      </c>
      <c r="N85" s="92" t="s">
        <v>978</v>
      </c>
      <c r="O85" s="85">
        <v>2453018332</v>
      </c>
      <c r="P85" s="93">
        <f>+_xlfn.XLOOKUP(O85,'[3]Benef Primera fecha '!$C:$C,'[3]Benef Primera fecha '!$E:$E,0)</f>
        <v>1703681000</v>
      </c>
      <c r="Q85" s="93">
        <v>-154999930</v>
      </c>
      <c r="R85" s="94">
        <f t="shared" si="35"/>
        <v>1548681070</v>
      </c>
      <c r="S85" s="95">
        <v>0.12000000028927842</v>
      </c>
      <c r="T85" s="94">
        <f t="shared" si="36"/>
        <v>165930115</v>
      </c>
      <c r="U85" s="117">
        <v>992816670</v>
      </c>
      <c r="V85" s="117">
        <v>0</v>
      </c>
      <c r="W85" s="94">
        <f t="shared" si="37"/>
        <v>0</v>
      </c>
      <c r="X85" s="94">
        <f t="shared" si="38"/>
        <v>0</v>
      </c>
      <c r="Y85" s="94">
        <f t="shared" si="39"/>
        <v>0</v>
      </c>
      <c r="Z85" s="93">
        <f>_xlfn.XLOOKUP(O85,'[4]2DO TRIMESTRE'!$C:$C,'[4]2DO TRIMESTRE'!$I:$I,0,0)</f>
        <v>0</v>
      </c>
      <c r="AA85" s="94">
        <f t="shared" si="40"/>
        <v>0</v>
      </c>
      <c r="AB85" s="94">
        <f t="shared" si="41"/>
        <v>0</v>
      </c>
      <c r="AC85" s="94">
        <f t="shared" si="42"/>
        <v>0</v>
      </c>
      <c r="AD85" s="93">
        <v>0</v>
      </c>
      <c r="AE85" s="94">
        <f t="shared" si="43"/>
        <v>0</v>
      </c>
      <c r="AF85" s="94">
        <f t="shared" si="44"/>
        <v>0</v>
      </c>
      <c r="AG85" s="94">
        <f t="shared" si="45"/>
        <v>0</v>
      </c>
      <c r="AH85" s="117">
        <v>0</v>
      </c>
      <c r="AI85" s="94">
        <f t="shared" si="31"/>
        <v>0</v>
      </c>
      <c r="AJ85" s="94">
        <f t="shared" si="32"/>
        <v>0</v>
      </c>
      <c r="AK85" s="94">
        <f t="shared" si="33"/>
        <v>0</v>
      </c>
      <c r="AL85" s="93">
        <v>106373215</v>
      </c>
      <c r="AM85" s="93">
        <f t="shared" si="46"/>
        <v>0</v>
      </c>
      <c r="AN85" s="155"/>
      <c r="AO85" s="155"/>
    </row>
    <row r="86" spans="1:41" s="9" customFormat="1" ht="25.15" customHeight="1" x14ac:dyDescent="0.25">
      <c r="A86" s="83">
        <v>80</v>
      </c>
      <c r="B86" s="84">
        <v>2021</v>
      </c>
      <c r="C86" s="85" t="s">
        <v>979</v>
      </c>
      <c r="D86" s="86" t="s">
        <v>980</v>
      </c>
      <c r="E86" s="86" t="s">
        <v>758</v>
      </c>
      <c r="F86" s="87">
        <v>44512</v>
      </c>
      <c r="G86" s="87">
        <v>44766</v>
      </c>
      <c r="H86" s="88">
        <f t="shared" si="34"/>
        <v>2.8222222222222224</v>
      </c>
      <c r="I86" s="89" t="s">
        <v>750</v>
      </c>
      <c r="J86" s="90" t="s">
        <v>751</v>
      </c>
      <c r="K86" s="90" t="s">
        <v>752</v>
      </c>
      <c r="L86" s="90" t="s">
        <v>753</v>
      </c>
      <c r="M86" s="91" t="s">
        <v>768</v>
      </c>
      <c r="N86" s="92" t="s">
        <v>981</v>
      </c>
      <c r="O86" s="85">
        <v>2910906776</v>
      </c>
      <c r="P86" s="93">
        <f>+_xlfn.XLOOKUP(O86,'[3]Benef Primera fecha '!$C:$C,'[3]Benef Primera fecha '!$E:$E,0)</f>
        <v>150000000</v>
      </c>
      <c r="Q86" s="93">
        <v>0</v>
      </c>
      <c r="R86" s="94">
        <f t="shared" si="35"/>
        <v>150000000</v>
      </c>
      <c r="S86" s="95">
        <v>0.12</v>
      </c>
      <c r="T86" s="94">
        <f t="shared" si="36"/>
        <v>16071428.571428569</v>
      </c>
      <c r="U86" s="117">
        <v>135000000</v>
      </c>
      <c r="V86" s="117">
        <v>0</v>
      </c>
      <c r="W86" s="94">
        <f t="shared" si="37"/>
        <v>0</v>
      </c>
      <c r="X86" s="94">
        <f t="shared" si="38"/>
        <v>0</v>
      </c>
      <c r="Y86" s="94">
        <f t="shared" si="39"/>
        <v>0</v>
      </c>
      <c r="Z86" s="93">
        <f>_xlfn.XLOOKUP(O86,'[4]2DO TRIMESTRE'!$C:$C,'[4]2DO TRIMESTRE'!$I:$I,0,0)</f>
        <v>0</v>
      </c>
      <c r="AA86" s="94">
        <f t="shared" si="40"/>
        <v>0</v>
      </c>
      <c r="AB86" s="94">
        <f t="shared" si="41"/>
        <v>0</v>
      </c>
      <c r="AC86" s="94">
        <f t="shared" si="42"/>
        <v>0</v>
      </c>
      <c r="AD86" s="93">
        <v>0</v>
      </c>
      <c r="AE86" s="94">
        <f t="shared" si="43"/>
        <v>0</v>
      </c>
      <c r="AF86" s="94">
        <f t="shared" si="44"/>
        <v>0</v>
      </c>
      <c r="AG86" s="94">
        <f t="shared" si="45"/>
        <v>0</v>
      </c>
      <c r="AH86" s="117">
        <v>0</v>
      </c>
      <c r="AI86" s="94">
        <f t="shared" si="31"/>
        <v>0</v>
      </c>
      <c r="AJ86" s="94">
        <f t="shared" si="32"/>
        <v>0</v>
      </c>
      <c r="AK86" s="94">
        <f t="shared" si="33"/>
        <v>0</v>
      </c>
      <c r="AL86" s="93">
        <v>14490000</v>
      </c>
      <c r="AM86" s="93">
        <f t="shared" si="46"/>
        <v>0</v>
      </c>
      <c r="AN86" s="155"/>
      <c r="AO86" s="155"/>
    </row>
    <row r="87" spans="1:41" s="9" customFormat="1" ht="25.15" customHeight="1" x14ac:dyDescent="0.25">
      <c r="A87" s="83">
        <v>81</v>
      </c>
      <c r="B87" s="84">
        <v>2021</v>
      </c>
      <c r="C87" s="85" t="s">
        <v>897</v>
      </c>
      <c r="D87" s="86" t="s">
        <v>982</v>
      </c>
      <c r="E87" s="86" t="s">
        <v>758</v>
      </c>
      <c r="F87" s="87">
        <v>44512</v>
      </c>
      <c r="G87" s="87">
        <v>44849</v>
      </c>
      <c r="H87" s="88">
        <f t="shared" si="34"/>
        <v>3.7444444444444445</v>
      </c>
      <c r="I87" s="89" t="s">
        <v>750</v>
      </c>
      <c r="J87" s="90" t="s">
        <v>751</v>
      </c>
      <c r="K87" s="90" t="s">
        <v>752</v>
      </c>
      <c r="L87" s="90" t="s">
        <v>753</v>
      </c>
      <c r="M87" s="91" t="s">
        <v>768</v>
      </c>
      <c r="N87" s="92" t="s">
        <v>983</v>
      </c>
      <c r="O87" s="85">
        <v>2910906777</v>
      </c>
      <c r="P87" s="93">
        <f>+_xlfn.XLOOKUP(O87,'[3]Benef Primera fecha '!$C:$C,'[3]Benef Primera fecha '!$E:$E,0)</f>
        <v>1162897960</v>
      </c>
      <c r="Q87" s="93">
        <v>0</v>
      </c>
      <c r="R87" s="94">
        <f t="shared" si="35"/>
        <v>1162897960</v>
      </c>
      <c r="S87" s="95">
        <v>0.12</v>
      </c>
      <c r="T87" s="94">
        <f t="shared" si="36"/>
        <v>124596209.99999999</v>
      </c>
      <c r="U87" s="117">
        <v>1134011560</v>
      </c>
      <c r="V87" s="117">
        <v>0</v>
      </c>
      <c r="W87" s="94">
        <f t="shared" si="37"/>
        <v>0</v>
      </c>
      <c r="X87" s="94">
        <f t="shared" si="38"/>
        <v>0</v>
      </c>
      <c r="Y87" s="94">
        <f t="shared" si="39"/>
        <v>0</v>
      </c>
      <c r="Z87" s="93">
        <f>_xlfn.XLOOKUP(O87,'[4]2DO TRIMESTRE'!$C:$C,'[4]2DO TRIMESTRE'!$I:$I,0,0)</f>
        <v>0</v>
      </c>
      <c r="AA87" s="94">
        <f t="shared" si="40"/>
        <v>0</v>
      </c>
      <c r="AB87" s="94">
        <f t="shared" si="41"/>
        <v>0</v>
      </c>
      <c r="AC87" s="94">
        <f t="shared" si="42"/>
        <v>0</v>
      </c>
      <c r="AD87" s="93">
        <v>0</v>
      </c>
      <c r="AE87" s="94">
        <f t="shared" si="43"/>
        <v>0</v>
      </c>
      <c r="AF87" s="94">
        <f t="shared" si="44"/>
        <v>0</v>
      </c>
      <c r="AG87" s="94">
        <f t="shared" si="45"/>
        <v>0</v>
      </c>
      <c r="AH87" s="117">
        <v>0</v>
      </c>
      <c r="AI87" s="94">
        <f t="shared" si="31"/>
        <v>0</v>
      </c>
      <c r="AJ87" s="94">
        <f t="shared" si="32"/>
        <v>0</v>
      </c>
      <c r="AK87" s="94">
        <f t="shared" si="33"/>
        <v>0</v>
      </c>
      <c r="AL87" s="93">
        <v>121501239</v>
      </c>
      <c r="AM87" s="93">
        <f t="shared" si="46"/>
        <v>0</v>
      </c>
      <c r="AN87" s="155"/>
      <c r="AO87" s="155"/>
    </row>
    <row r="88" spans="1:41" s="9" customFormat="1" ht="25.15" customHeight="1" x14ac:dyDescent="0.25">
      <c r="A88" s="83">
        <v>82</v>
      </c>
      <c r="B88" s="84">
        <v>2021</v>
      </c>
      <c r="C88" s="85" t="s">
        <v>976</v>
      </c>
      <c r="D88" s="86" t="s">
        <v>984</v>
      </c>
      <c r="E88" s="86" t="s">
        <v>777</v>
      </c>
      <c r="F88" s="87">
        <v>44512</v>
      </c>
      <c r="G88" s="87">
        <v>45250</v>
      </c>
      <c r="H88" s="88">
        <f t="shared" si="34"/>
        <v>8.1999999999999993</v>
      </c>
      <c r="I88" s="89" t="s">
        <v>759</v>
      </c>
      <c r="J88" s="90" t="s">
        <v>751</v>
      </c>
      <c r="K88" s="90" t="s">
        <v>752</v>
      </c>
      <c r="L88" s="90" t="s">
        <v>753</v>
      </c>
      <c r="M88" s="91" t="s">
        <v>768</v>
      </c>
      <c r="N88" s="92" t="s">
        <v>985</v>
      </c>
      <c r="O88" s="85">
        <v>2453018331</v>
      </c>
      <c r="P88" s="93">
        <f>+_xlfn.XLOOKUP(O88,'[3]Benef Primera fecha '!$C:$C,'[3]Benef Primera fecha '!$E:$E,0)</f>
        <v>1079098616</v>
      </c>
      <c r="Q88" s="93">
        <v>0</v>
      </c>
      <c r="R88" s="94">
        <f t="shared" si="35"/>
        <v>1079098616</v>
      </c>
      <c r="S88" s="95">
        <v>0.12</v>
      </c>
      <c r="T88" s="94">
        <f t="shared" si="36"/>
        <v>115617708.85714285</v>
      </c>
      <c r="U88" s="117">
        <v>1079098616</v>
      </c>
      <c r="V88" s="117">
        <v>0</v>
      </c>
      <c r="W88" s="94">
        <f t="shared" si="37"/>
        <v>0</v>
      </c>
      <c r="X88" s="94">
        <f t="shared" si="38"/>
        <v>0</v>
      </c>
      <c r="Y88" s="94">
        <f t="shared" si="39"/>
        <v>0</v>
      </c>
      <c r="Z88" s="93">
        <v>585489219</v>
      </c>
      <c r="AA88" s="94">
        <f t="shared" si="40"/>
        <v>62730987.749999993</v>
      </c>
      <c r="AB88" s="94">
        <f t="shared" si="41"/>
        <v>25092395.099999998</v>
      </c>
      <c r="AC88" s="94">
        <f t="shared" si="42"/>
        <v>37638592.649999991</v>
      </c>
      <c r="AD88" s="93">
        <v>0</v>
      </c>
      <c r="AE88" s="94">
        <f t="shared" si="43"/>
        <v>0</v>
      </c>
      <c r="AF88" s="94">
        <f t="shared" si="44"/>
        <v>0</v>
      </c>
      <c r="AG88" s="94">
        <f t="shared" si="45"/>
        <v>0</v>
      </c>
      <c r="AH88" s="117">
        <v>0</v>
      </c>
      <c r="AI88" s="94">
        <f t="shared" si="31"/>
        <v>0</v>
      </c>
      <c r="AJ88" s="94">
        <f t="shared" si="32"/>
        <v>0</v>
      </c>
      <c r="AK88" s="94">
        <f t="shared" si="33"/>
        <v>0</v>
      </c>
      <c r="AL88" s="93">
        <v>115617708.99999999</v>
      </c>
      <c r="AM88" s="93">
        <f t="shared" si="46"/>
        <v>62730987.749999993</v>
      </c>
      <c r="AN88" s="155"/>
      <c r="AO88" s="155"/>
    </row>
    <row r="89" spans="1:41" s="9" customFormat="1" ht="25.15" customHeight="1" x14ac:dyDescent="0.25">
      <c r="A89" s="83">
        <v>83</v>
      </c>
      <c r="B89" s="84">
        <v>2021</v>
      </c>
      <c r="C89" s="85" t="s">
        <v>804</v>
      </c>
      <c r="D89" s="86" t="s">
        <v>986</v>
      </c>
      <c r="E89" s="86" t="s">
        <v>758</v>
      </c>
      <c r="F89" s="87">
        <v>44525</v>
      </c>
      <c r="G89" s="87">
        <v>44789</v>
      </c>
      <c r="H89" s="88">
        <f t="shared" si="34"/>
        <v>2.9333333333333331</v>
      </c>
      <c r="I89" s="89" t="s">
        <v>763</v>
      </c>
      <c r="J89" s="90" t="s">
        <v>751</v>
      </c>
      <c r="K89" s="90" t="s">
        <v>752</v>
      </c>
      <c r="L89" s="90" t="s">
        <v>753</v>
      </c>
      <c r="M89" s="91" t="s">
        <v>768</v>
      </c>
      <c r="N89" s="92" t="s">
        <v>987</v>
      </c>
      <c r="O89" s="85">
        <v>2910906773</v>
      </c>
      <c r="P89" s="93">
        <f>+_xlfn.XLOOKUP(O89,'[3]Benef Primera fecha '!$C:$C,'[3]Benef Primera fecha '!$E:$E,0)</f>
        <v>248617174</v>
      </c>
      <c r="Q89" s="93">
        <v>0</v>
      </c>
      <c r="R89" s="94">
        <f t="shared" si="35"/>
        <v>248617174</v>
      </c>
      <c r="S89" s="95">
        <v>0.12</v>
      </c>
      <c r="T89" s="94">
        <f t="shared" si="36"/>
        <v>26637554.357142854</v>
      </c>
      <c r="U89" s="117">
        <v>141514384</v>
      </c>
      <c r="V89" s="117">
        <v>0</v>
      </c>
      <c r="W89" s="94">
        <f t="shared" si="37"/>
        <v>0</v>
      </c>
      <c r="X89" s="94">
        <f t="shared" si="38"/>
        <v>0</v>
      </c>
      <c r="Y89" s="94">
        <f t="shared" si="39"/>
        <v>0</v>
      </c>
      <c r="Z89" s="93">
        <f>_xlfn.XLOOKUP(O89,'[4]2DO TRIMESTRE'!$C:$C,'[4]2DO TRIMESTRE'!$I:$I,0,0)</f>
        <v>0</v>
      </c>
      <c r="AA89" s="94">
        <f t="shared" si="40"/>
        <v>0</v>
      </c>
      <c r="AB89" s="94">
        <f t="shared" si="41"/>
        <v>0</v>
      </c>
      <c r="AC89" s="94">
        <f t="shared" si="42"/>
        <v>0</v>
      </c>
      <c r="AD89" s="93">
        <v>0</v>
      </c>
      <c r="AE89" s="94">
        <f t="shared" si="43"/>
        <v>0</v>
      </c>
      <c r="AF89" s="94">
        <f t="shared" si="44"/>
        <v>0</v>
      </c>
      <c r="AG89" s="94">
        <f t="shared" si="45"/>
        <v>0</v>
      </c>
      <c r="AH89" s="117">
        <v>0</v>
      </c>
      <c r="AI89" s="94">
        <f t="shared" si="31"/>
        <v>0</v>
      </c>
      <c r="AJ89" s="94">
        <f t="shared" si="32"/>
        <v>0</v>
      </c>
      <c r="AK89" s="94">
        <f t="shared" si="33"/>
        <v>0</v>
      </c>
      <c r="AL89" s="93">
        <v>15162255</v>
      </c>
      <c r="AM89" s="93">
        <f t="shared" si="46"/>
        <v>0</v>
      </c>
      <c r="AN89" s="155"/>
      <c r="AO89" s="155"/>
    </row>
    <row r="90" spans="1:41" s="9" customFormat="1" ht="25.15" customHeight="1" x14ac:dyDescent="0.25">
      <c r="A90" s="83">
        <v>84</v>
      </c>
      <c r="B90" s="84">
        <v>2022</v>
      </c>
      <c r="C90" s="85" t="s">
        <v>988</v>
      </c>
      <c r="D90" s="86" t="s">
        <v>989</v>
      </c>
      <c r="E90" s="86" t="s">
        <v>758</v>
      </c>
      <c r="F90" s="87">
        <v>44588</v>
      </c>
      <c r="G90" s="87">
        <v>44925</v>
      </c>
      <c r="H90" s="88">
        <f t="shared" si="34"/>
        <v>3.7444444444444445</v>
      </c>
      <c r="I90" s="89" t="s">
        <v>750</v>
      </c>
      <c r="J90" s="90" t="s">
        <v>751</v>
      </c>
      <c r="K90" s="90" t="s">
        <v>752</v>
      </c>
      <c r="L90" s="90" t="s">
        <v>753</v>
      </c>
      <c r="M90" s="91" t="s">
        <v>768</v>
      </c>
      <c r="N90" s="92" t="s">
        <v>990</v>
      </c>
      <c r="O90" s="85">
        <v>2910906781</v>
      </c>
      <c r="P90" s="93">
        <f>+_xlfn.XLOOKUP(O90,'[3]Benef Primera fecha '!$C:$C,'[3]Benef Primera fecha '!$E:$E,0)</f>
        <v>98000000</v>
      </c>
      <c r="Q90" s="93">
        <v>0</v>
      </c>
      <c r="R90" s="94">
        <f t="shared" si="35"/>
        <v>98000000</v>
      </c>
      <c r="S90" s="95">
        <v>0.12</v>
      </c>
      <c r="T90" s="94">
        <f t="shared" si="36"/>
        <v>10499999.999999998</v>
      </c>
      <c r="U90" s="117">
        <v>98000000</v>
      </c>
      <c r="V90" s="117">
        <v>0</v>
      </c>
      <c r="W90" s="94">
        <f t="shared" si="37"/>
        <v>0</v>
      </c>
      <c r="X90" s="94">
        <f t="shared" si="38"/>
        <v>0</v>
      </c>
      <c r="Y90" s="94">
        <f t="shared" si="39"/>
        <v>0</v>
      </c>
      <c r="Z90" s="93">
        <f>_xlfn.XLOOKUP(O90,'[4]2DO TRIMESTRE'!$C:$C,'[4]2DO TRIMESTRE'!$I:$I,0,0)</f>
        <v>0</v>
      </c>
      <c r="AA90" s="94">
        <f t="shared" si="40"/>
        <v>0</v>
      </c>
      <c r="AB90" s="94">
        <f t="shared" si="41"/>
        <v>0</v>
      </c>
      <c r="AC90" s="94">
        <f t="shared" si="42"/>
        <v>0</v>
      </c>
      <c r="AD90" s="93">
        <v>0</v>
      </c>
      <c r="AE90" s="94">
        <f t="shared" si="43"/>
        <v>0</v>
      </c>
      <c r="AF90" s="94">
        <f t="shared" si="44"/>
        <v>0</v>
      </c>
      <c r="AG90" s="94">
        <f t="shared" si="45"/>
        <v>0</v>
      </c>
      <c r="AH90" s="117">
        <v>0</v>
      </c>
      <c r="AI90" s="94">
        <f t="shared" si="31"/>
        <v>0</v>
      </c>
      <c r="AJ90" s="94">
        <f t="shared" si="32"/>
        <v>0</v>
      </c>
      <c r="AK90" s="94">
        <f t="shared" si="33"/>
        <v>0</v>
      </c>
      <c r="AL90" s="93">
        <v>10500000</v>
      </c>
      <c r="AM90" s="93">
        <f t="shared" si="46"/>
        <v>0</v>
      </c>
      <c r="AN90" s="155"/>
      <c r="AO90" s="155"/>
    </row>
    <row r="91" spans="1:41" s="9" customFormat="1" ht="25.15" customHeight="1" x14ac:dyDescent="0.25">
      <c r="A91" s="83">
        <v>85</v>
      </c>
      <c r="B91" s="84">
        <v>2022</v>
      </c>
      <c r="C91" s="85" t="s">
        <v>772</v>
      </c>
      <c r="D91" s="86" t="s">
        <v>991</v>
      </c>
      <c r="E91" s="86" t="s">
        <v>758</v>
      </c>
      <c r="F91" s="87">
        <v>44589</v>
      </c>
      <c r="G91" s="87">
        <v>44865</v>
      </c>
      <c r="H91" s="88">
        <f t="shared" si="34"/>
        <v>3.0666666666666669</v>
      </c>
      <c r="I91" s="89" t="s">
        <v>750</v>
      </c>
      <c r="J91" s="90" t="s">
        <v>751</v>
      </c>
      <c r="K91" s="90" t="s">
        <v>752</v>
      </c>
      <c r="L91" s="90" t="s">
        <v>753</v>
      </c>
      <c r="M91" s="91" t="s">
        <v>768</v>
      </c>
      <c r="N91" s="92" t="s">
        <v>992</v>
      </c>
      <c r="O91" s="85">
        <v>2910906784</v>
      </c>
      <c r="P91" s="93">
        <f>+_xlfn.XLOOKUP(O91,'[3]Benef Primera fecha '!$C:$C,'[3]Benef Primera fecha '!$E:$E,0)</f>
        <v>434569106</v>
      </c>
      <c r="Q91" s="93">
        <v>80975609</v>
      </c>
      <c r="R91" s="94">
        <f t="shared" si="35"/>
        <v>515544715</v>
      </c>
      <c r="S91" s="95">
        <v>0.12</v>
      </c>
      <c r="T91" s="94">
        <f t="shared" si="36"/>
        <v>55236933.749999993</v>
      </c>
      <c r="U91" s="117">
        <v>515544715</v>
      </c>
      <c r="V91" s="117">
        <v>0</v>
      </c>
      <c r="W91" s="94">
        <f t="shared" si="37"/>
        <v>0</v>
      </c>
      <c r="X91" s="94">
        <f t="shared" si="38"/>
        <v>0</v>
      </c>
      <c r="Y91" s="94">
        <f t="shared" si="39"/>
        <v>0</v>
      </c>
      <c r="Z91" s="93">
        <f>_xlfn.XLOOKUP(O91,'[4]2DO TRIMESTRE'!$C:$C,'[4]2DO TRIMESTRE'!$I:$I,0,0)</f>
        <v>0</v>
      </c>
      <c r="AA91" s="94">
        <f t="shared" si="40"/>
        <v>0</v>
      </c>
      <c r="AB91" s="94">
        <f t="shared" si="41"/>
        <v>0</v>
      </c>
      <c r="AC91" s="94">
        <f t="shared" si="42"/>
        <v>0</v>
      </c>
      <c r="AD91" s="93">
        <v>0</v>
      </c>
      <c r="AE91" s="94">
        <f t="shared" si="43"/>
        <v>0</v>
      </c>
      <c r="AF91" s="94">
        <f t="shared" si="44"/>
        <v>0</v>
      </c>
      <c r="AG91" s="94">
        <f t="shared" si="45"/>
        <v>0</v>
      </c>
      <c r="AH91" s="117">
        <v>0</v>
      </c>
      <c r="AI91" s="94">
        <f t="shared" si="31"/>
        <v>0</v>
      </c>
      <c r="AJ91" s="94">
        <f t="shared" si="32"/>
        <v>0</v>
      </c>
      <c r="AK91" s="94">
        <f t="shared" si="33"/>
        <v>0</v>
      </c>
      <c r="AL91" s="93">
        <v>55236934</v>
      </c>
      <c r="AM91" s="93">
        <f t="shared" si="46"/>
        <v>0</v>
      </c>
      <c r="AN91" s="155"/>
      <c r="AO91" s="155"/>
    </row>
    <row r="92" spans="1:41" s="9" customFormat="1" ht="25.15" customHeight="1" x14ac:dyDescent="0.25">
      <c r="A92" s="83">
        <v>86</v>
      </c>
      <c r="B92" s="84">
        <v>2022</v>
      </c>
      <c r="C92" s="85" t="s">
        <v>993</v>
      </c>
      <c r="D92" s="86" t="s">
        <v>994</v>
      </c>
      <c r="E92" s="86" t="s">
        <v>758</v>
      </c>
      <c r="F92" s="87">
        <v>44589</v>
      </c>
      <c r="G92" s="87">
        <v>44653</v>
      </c>
      <c r="H92" s="88">
        <f t="shared" si="34"/>
        <v>0.71111111111111114</v>
      </c>
      <c r="I92" s="89" t="s">
        <v>750</v>
      </c>
      <c r="J92" s="90" t="s">
        <v>751</v>
      </c>
      <c r="K92" s="90" t="s">
        <v>752</v>
      </c>
      <c r="L92" s="90" t="s">
        <v>753</v>
      </c>
      <c r="M92" s="91" t="s">
        <v>768</v>
      </c>
      <c r="N92" s="92" t="s">
        <v>995</v>
      </c>
      <c r="O92" s="85">
        <v>2910906778</v>
      </c>
      <c r="P92" s="93">
        <f>+_xlfn.XLOOKUP(O92,'[3]Benef Primera fecha '!$C:$C,'[3]Benef Primera fecha '!$E:$E,0)</f>
        <v>20000000</v>
      </c>
      <c r="Q92" s="93">
        <v>0</v>
      </c>
      <c r="R92" s="94">
        <f t="shared" si="35"/>
        <v>20000000</v>
      </c>
      <c r="S92" s="95">
        <v>0.12</v>
      </c>
      <c r="T92" s="94">
        <f t="shared" si="36"/>
        <v>2142857.1428571423</v>
      </c>
      <c r="U92" s="117">
        <v>20000000</v>
      </c>
      <c r="V92" s="117">
        <v>0</v>
      </c>
      <c r="W92" s="94">
        <f t="shared" si="37"/>
        <v>0</v>
      </c>
      <c r="X92" s="94">
        <f t="shared" si="38"/>
        <v>0</v>
      </c>
      <c r="Y92" s="94">
        <f t="shared" si="39"/>
        <v>0</v>
      </c>
      <c r="Z92" s="93">
        <f>_xlfn.XLOOKUP(O92,'[4]2DO TRIMESTRE'!$C:$C,'[4]2DO TRIMESTRE'!$I:$I,0,0)</f>
        <v>0</v>
      </c>
      <c r="AA92" s="94">
        <f t="shared" si="40"/>
        <v>0</v>
      </c>
      <c r="AB92" s="94">
        <f t="shared" si="41"/>
        <v>0</v>
      </c>
      <c r="AC92" s="94">
        <f t="shared" si="42"/>
        <v>0</v>
      </c>
      <c r="AD92" s="93">
        <v>0</v>
      </c>
      <c r="AE92" s="94">
        <f t="shared" si="43"/>
        <v>0</v>
      </c>
      <c r="AF92" s="94">
        <f t="shared" si="44"/>
        <v>0</v>
      </c>
      <c r="AG92" s="94">
        <f t="shared" si="45"/>
        <v>0</v>
      </c>
      <c r="AH92" s="117">
        <v>0</v>
      </c>
      <c r="AI92" s="94">
        <f t="shared" si="31"/>
        <v>0</v>
      </c>
      <c r="AJ92" s="94">
        <f t="shared" si="32"/>
        <v>0</v>
      </c>
      <c r="AK92" s="94">
        <f t="shared" si="33"/>
        <v>0</v>
      </c>
      <c r="AL92" s="93">
        <v>2142857</v>
      </c>
      <c r="AM92" s="93">
        <f t="shared" si="46"/>
        <v>0</v>
      </c>
      <c r="AN92" s="155"/>
      <c r="AO92" s="155"/>
    </row>
    <row r="93" spans="1:41" s="9" customFormat="1" ht="25.15" customHeight="1" x14ac:dyDescent="0.25">
      <c r="A93" s="83">
        <v>87</v>
      </c>
      <c r="B93" s="84">
        <v>2022</v>
      </c>
      <c r="C93" s="85" t="s">
        <v>996</v>
      </c>
      <c r="D93" s="86" t="s">
        <v>997</v>
      </c>
      <c r="E93" s="86" t="s">
        <v>758</v>
      </c>
      <c r="F93" s="87">
        <v>44589</v>
      </c>
      <c r="G93" s="87">
        <v>45684</v>
      </c>
      <c r="H93" s="88">
        <f t="shared" si="34"/>
        <v>12.166666666666666</v>
      </c>
      <c r="I93" s="89" t="s">
        <v>759</v>
      </c>
      <c r="J93" s="90" t="s">
        <v>751</v>
      </c>
      <c r="K93" s="90" t="s">
        <v>752</v>
      </c>
      <c r="L93" s="90" t="s">
        <v>753</v>
      </c>
      <c r="M93" s="91" t="s">
        <v>998</v>
      </c>
      <c r="N93" s="92" t="s">
        <v>999</v>
      </c>
      <c r="O93" s="85">
        <v>2910906794</v>
      </c>
      <c r="P93" s="93">
        <v>588925908</v>
      </c>
      <c r="Q93" s="93">
        <v>1003999</v>
      </c>
      <c r="R93" s="94">
        <f t="shared" si="35"/>
        <v>589929907</v>
      </c>
      <c r="S93" s="95">
        <v>0</v>
      </c>
      <c r="T93" s="94">
        <f t="shared" si="36"/>
        <v>0</v>
      </c>
      <c r="U93" s="117">
        <v>0</v>
      </c>
      <c r="V93" s="117">
        <v>0</v>
      </c>
      <c r="W93" s="94">
        <f t="shared" si="37"/>
        <v>0</v>
      </c>
      <c r="X93" s="94">
        <f t="shared" si="38"/>
        <v>0</v>
      </c>
      <c r="Y93" s="94">
        <f t="shared" si="39"/>
        <v>0</v>
      </c>
      <c r="Z93" s="93">
        <f>_xlfn.XLOOKUP(O93,'[4]2DO TRIMESTRE'!$C:$C,'[4]2DO TRIMESTRE'!$I:$I,0,0)</f>
        <v>0</v>
      </c>
      <c r="AA93" s="94">
        <f t="shared" si="40"/>
        <v>0</v>
      </c>
      <c r="AB93" s="94">
        <f t="shared" si="41"/>
        <v>0</v>
      </c>
      <c r="AC93" s="94">
        <f t="shared" si="42"/>
        <v>0</v>
      </c>
      <c r="AD93" s="93">
        <v>0</v>
      </c>
      <c r="AE93" s="94">
        <f t="shared" si="43"/>
        <v>0</v>
      </c>
      <c r="AF93" s="94">
        <f t="shared" si="44"/>
        <v>0</v>
      </c>
      <c r="AG93" s="94">
        <f t="shared" si="45"/>
        <v>0</v>
      </c>
      <c r="AH93" s="117">
        <v>0</v>
      </c>
      <c r="AI93" s="94">
        <f t="shared" si="31"/>
        <v>0</v>
      </c>
      <c r="AJ93" s="94">
        <f t="shared" si="32"/>
        <v>0</v>
      </c>
      <c r="AK93" s="94">
        <f t="shared" si="33"/>
        <v>0</v>
      </c>
      <c r="AL93" s="93">
        <v>0</v>
      </c>
      <c r="AM93" s="93">
        <f t="shared" si="46"/>
        <v>0</v>
      </c>
      <c r="AN93" s="155" t="s">
        <v>800</v>
      </c>
      <c r="AO93" s="155" t="s">
        <v>800</v>
      </c>
    </row>
    <row r="94" spans="1:41" s="9" customFormat="1" ht="25.15" customHeight="1" x14ac:dyDescent="0.25">
      <c r="A94" s="83">
        <v>88</v>
      </c>
      <c r="B94" s="84">
        <v>2022</v>
      </c>
      <c r="C94" s="85" t="s">
        <v>1000</v>
      </c>
      <c r="D94" s="86" t="s">
        <v>1001</v>
      </c>
      <c r="E94" s="86" t="s">
        <v>758</v>
      </c>
      <c r="F94" s="87">
        <v>44589</v>
      </c>
      <c r="G94" s="87">
        <v>44647</v>
      </c>
      <c r="H94" s="88">
        <f t="shared" si="34"/>
        <v>0.64444444444444449</v>
      </c>
      <c r="I94" s="89" t="s">
        <v>750</v>
      </c>
      <c r="J94" s="90" t="s">
        <v>751</v>
      </c>
      <c r="K94" s="90" t="s">
        <v>752</v>
      </c>
      <c r="L94" s="90" t="s">
        <v>753</v>
      </c>
      <c r="M94" s="91" t="s">
        <v>768</v>
      </c>
      <c r="N94" s="92" t="s">
        <v>1002</v>
      </c>
      <c r="O94" s="85">
        <v>2910906779</v>
      </c>
      <c r="P94" s="93">
        <f>+_xlfn.XLOOKUP(O94,'[3]Benef Primera fecha '!$C:$C,'[3]Benef Primera fecha '!$E:$E,0)</f>
        <v>39000000</v>
      </c>
      <c r="Q94" s="93">
        <v>0</v>
      </c>
      <c r="R94" s="94">
        <f t="shared" si="35"/>
        <v>39000000</v>
      </c>
      <c r="S94" s="95">
        <v>0.12</v>
      </c>
      <c r="T94" s="94">
        <f t="shared" si="36"/>
        <v>4178571.4285714277</v>
      </c>
      <c r="U94" s="117">
        <v>39000000</v>
      </c>
      <c r="V94" s="117">
        <v>0</v>
      </c>
      <c r="W94" s="94">
        <f t="shared" si="37"/>
        <v>0</v>
      </c>
      <c r="X94" s="94">
        <f t="shared" si="38"/>
        <v>0</v>
      </c>
      <c r="Y94" s="94">
        <f t="shared" si="39"/>
        <v>0</v>
      </c>
      <c r="Z94" s="93">
        <f>_xlfn.XLOOKUP(O94,'[4]2DO TRIMESTRE'!$C:$C,'[4]2DO TRIMESTRE'!$I:$I,0,0)</f>
        <v>0</v>
      </c>
      <c r="AA94" s="94">
        <f t="shared" si="40"/>
        <v>0</v>
      </c>
      <c r="AB94" s="94">
        <f t="shared" si="41"/>
        <v>0</v>
      </c>
      <c r="AC94" s="94">
        <f t="shared" si="42"/>
        <v>0</v>
      </c>
      <c r="AD94" s="93">
        <v>0</v>
      </c>
      <c r="AE94" s="94">
        <f t="shared" si="43"/>
        <v>0</v>
      </c>
      <c r="AF94" s="94">
        <f t="shared" si="44"/>
        <v>0</v>
      </c>
      <c r="AG94" s="94">
        <f t="shared" si="45"/>
        <v>0</v>
      </c>
      <c r="AH94" s="117">
        <v>0</v>
      </c>
      <c r="AI94" s="94">
        <f t="shared" si="31"/>
        <v>0</v>
      </c>
      <c r="AJ94" s="94">
        <f t="shared" si="32"/>
        <v>0</v>
      </c>
      <c r="AK94" s="94">
        <f t="shared" si="33"/>
        <v>0</v>
      </c>
      <c r="AL94" s="93">
        <v>4178571</v>
      </c>
      <c r="AM94" s="93">
        <f t="shared" si="46"/>
        <v>0</v>
      </c>
      <c r="AN94" s="155"/>
      <c r="AO94" s="155"/>
    </row>
    <row r="95" spans="1:41" s="9" customFormat="1" ht="25.15" customHeight="1" x14ac:dyDescent="0.25">
      <c r="A95" s="83">
        <v>89</v>
      </c>
      <c r="B95" s="84">
        <v>2022</v>
      </c>
      <c r="C95" s="85" t="s">
        <v>814</v>
      </c>
      <c r="D95" s="86" t="s">
        <v>1003</v>
      </c>
      <c r="E95" s="86" t="s">
        <v>758</v>
      </c>
      <c r="F95" s="87">
        <v>44589</v>
      </c>
      <c r="G95" s="87">
        <v>44997</v>
      </c>
      <c r="H95" s="88">
        <f t="shared" si="34"/>
        <v>4.5333333333333332</v>
      </c>
      <c r="I95" s="89" t="s">
        <v>759</v>
      </c>
      <c r="J95" s="90" t="s">
        <v>751</v>
      </c>
      <c r="K95" s="90" t="s">
        <v>752</v>
      </c>
      <c r="L95" s="90" t="s">
        <v>753</v>
      </c>
      <c r="M95" s="91" t="s">
        <v>768</v>
      </c>
      <c r="N95" s="92" t="s">
        <v>1004</v>
      </c>
      <c r="O95" s="85">
        <v>2910906783</v>
      </c>
      <c r="P95" s="93">
        <v>170613762</v>
      </c>
      <c r="Q95" s="93">
        <v>0</v>
      </c>
      <c r="R95" s="94">
        <f t="shared" si="35"/>
        <v>170613762</v>
      </c>
      <c r="S95" s="95">
        <v>0</v>
      </c>
      <c r="T95" s="94">
        <f t="shared" si="36"/>
        <v>0</v>
      </c>
      <c r="U95" s="117">
        <v>0</v>
      </c>
      <c r="V95" s="117">
        <v>0</v>
      </c>
      <c r="W95" s="94">
        <f t="shared" si="37"/>
        <v>0</v>
      </c>
      <c r="X95" s="94">
        <f t="shared" si="38"/>
        <v>0</v>
      </c>
      <c r="Y95" s="94">
        <f t="shared" si="39"/>
        <v>0</v>
      </c>
      <c r="Z95" s="93">
        <f>_xlfn.XLOOKUP(O95,'[4]2DO TRIMESTRE'!$C:$C,'[4]2DO TRIMESTRE'!$I:$I,0,0)</f>
        <v>0</v>
      </c>
      <c r="AA95" s="94">
        <f t="shared" si="40"/>
        <v>0</v>
      </c>
      <c r="AB95" s="94">
        <f t="shared" si="41"/>
        <v>0</v>
      </c>
      <c r="AC95" s="94">
        <f t="shared" si="42"/>
        <v>0</v>
      </c>
      <c r="AD95" s="93">
        <v>0</v>
      </c>
      <c r="AE95" s="94">
        <f t="shared" si="43"/>
        <v>0</v>
      </c>
      <c r="AF95" s="94">
        <f t="shared" si="44"/>
        <v>0</v>
      </c>
      <c r="AG95" s="94">
        <f t="shared" si="45"/>
        <v>0</v>
      </c>
      <c r="AH95" s="117">
        <v>0</v>
      </c>
      <c r="AI95" s="94">
        <f t="shared" si="31"/>
        <v>0</v>
      </c>
      <c r="AJ95" s="94">
        <f t="shared" si="32"/>
        <v>0</v>
      </c>
      <c r="AK95" s="94">
        <f t="shared" si="33"/>
        <v>0</v>
      </c>
      <c r="AL95" s="93">
        <v>0</v>
      </c>
      <c r="AM95" s="93">
        <f t="shared" si="46"/>
        <v>0</v>
      </c>
      <c r="AN95" s="155" t="s">
        <v>800</v>
      </c>
      <c r="AO95" s="155" t="s">
        <v>800</v>
      </c>
    </row>
    <row r="96" spans="1:41" s="9" customFormat="1" ht="25.15" customHeight="1" x14ac:dyDescent="0.25">
      <c r="A96" s="83">
        <v>90</v>
      </c>
      <c r="B96" s="84">
        <v>2022</v>
      </c>
      <c r="C96" s="85" t="s">
        <v>832</v>
      </c>
      <c r="D96" s="86" t="s">
        <v>1005</v>
      </c>
      <c r="E96" s="86" t="s">
        <v>758</v>
      </c>
      <c r="F96" s="87">
        <v>44589</v>
      </c>
      <c r="G96" s="87">
        <v>45684</v>
      </c>
      <c r="H96" s="88">
        <f t="shared" si="34"/>
        <v>12.166666666666666</v>
      </c>
      <c r="I96" s="89" t="s">
        <v>759</v>
      </c>
      <c r="J96" s="90" t="s">
        <v>751</v>
      </c>
      <c r="K96" s="90" t="s">
        <v>752</v>
      </c>
      <c r="L96" s="90" t="s">
        <v>834</v>
      </c>
      <c r="M96" s="91" t="s">
        <v>835</v>
      </c>
      <c r="N96" s="92" t="s">
        <v>1006</v>
      </c>
      <c r="O96" s="85">
        <v>2453017502</v>
      </c>
      <c r="P96" s="93">
        <f>+_xlfn.XLOOKUP(O96,'[3]Benef Primera fecha '!$C:$C,'[3]Benef Primera fecha '!$E:$E,0)</f>
        <v>5408592000</v>
      </c>
      <c r="Q96" s="93">
        <v>0</v>
      </c>
      <c r="R96" s="94">
        <f t="shared" si="35"/>
        <v>5408592000</v>
      </c>
      <c r="S96" s="95">
        <v>0.12</v>
      </c>
      <c r="T96" s="94">
        <f t="shared" si="36"/>
        <v>579492000</v>
      </c>
      <c r="U96" s="117">
        <v>3245155200</v>
      </c>
      <c r="V96" s="117">
        <v>0</v>
      </c>
      <c r="W96" s="94">
        <f t="shared" si="37"/>
        <v>0</v>
      </c>
      <c r="X96" s="94">
        <f t="shared" si="38"/>
        <v>0</v>
      </c>
      <c r="Y96" s="94">
        <f t="shared" si="39"/>
        <v>0</v>
      </c>
      <c r="Z96" s="93">
        <f>_xlfn.XLOOKUP(O96,'[4]2DO TRIMESTRE'!$C:$C,'[4]2DO TRIMESTRE'!$I:$I,0,0)</f>
        <v>0</v>
      </c>
      <c r="AA96" s="94">
        <f t="shared" si="40"/>
        <v>0</v>
      </c>
      <c r="AB96" s="94">
        <f t="shared" si="41"/>
        <v>0</v>
      </c>
      <c r="AC96" s="94">
        <f t="shared" si="42"/>
        <v>0</v>
      </c>
      <c r="AD96" s="93">
        <v>0</v>
      </c>
      <c r="AE96" s="94">
        <f t="shared" si="43"/>
        <v>0</v>
      </c>
      <c r="AF96" s="94">
        <f t="shared" si="44"/>
        <v>0</v>
      </c>
      <c r="AG96" s="94">
        <f t="shared" si="45"/>
        <v>0</v>
      </c>
      <c r="AH96" s="117">
        <v>0</v>
      </c>
      <c r="AI96" s="94">
        <f t="shared" si="31"/>
        <v>0</v>
      </c>
      <c r="AJ96" s="94">
        <f t="shared" si="32"/>
        <v>0</v>
      </c>
      <c r="AK96" s="94">
        <f t="shared" si="33"/>
        <v>0</v>
      </c>
      <c r="AL96" s="93">
        <v>358776831</v>
      </c>
      <c r="AM96" s="93">
        <f t="shared" si="46"/>
        <v>0</v>
      </c>
      <c r="AN96" s="155"/>
      <c r="AO96" s="155"/>
    </row>
    <row r="97" spans="1:41" s="9" customFormat="1" ht="25.15" customHeight="1" x14ac:dyDescent="0.25">
      <c r="A97" s="83">
        <v>91</v>
      </c>
      <c r="B97" s="84">
        <v>2022</v>
      </c>
      <c r="C97" s="85" t="s">
        <v>1007</v>
      </c>
      <c r="D97" s="86" t="s">
        <v>1008</v>
      </c>
      <c r="E97" s="86" t="s">
        <v>758</v>
      </c>
      <c r="F97" s="87">
        <v>44589</v>
      </c>
      <c r="G97" s="87">
        <v>44681</v>
      </c>
      <c r="H97" s="88">
        <f t="shared" si="34"/>
        <v>1.0222222222222221</v>
      </c>
      <c r="I97" s="89" t="s">
        <v>750</v>
      </c>
      <c r="J97" s="90" t="s">
        <v>751</v>
      </c>
      <c r="K97" s="90" t="s">
        <v>752</v>
      </c>
      <c r="L97" s="90" t="s">
        <v>753</v>
      </c>
      <c r="M97" s="91" t="s">
        <v>768</v>
      </c>
      <c r="N97" s="92" t="s">
        <v>1009</v>
      </c>
      <c r="O97" s="85">
        <v>2910906782</v>
      </c>
      <c r="P97" s="93">
        <v>20000000</v>
      </c>
      <c r="Q97" s="93">
        <v>0</v>
      </c>
      <c r="R97" s="94">
        <f t="shared" si="35"/>
        <v>20000000</v>
      </c>
      <c r="S97" s="95">
        <v>0.12</v>
      </c>
      <c r="T97" s="94">
        <f t="shared" si="36"/>
        <v>2142857.1428571423</v>
      </c>
      <c r="U97" s="117">
        <v>20000000</v>
      </c>
      <c r="V97" s="117">
        <v>0</v>
      </c>
      <c r="W97" s="94">
        <f t="shared" si="37"/>
        <v>0</v>
      </c>
      <c r="X97" s="94">
        <f t="shared" si="38"/>
        <v>0</v>
      </c>
      <c r="Y97" s="94">
        <f t="shared" si="39"/>
        <v>0</v>
      </c>
      <c r="Z97" s="93">
        <f>_xlfn.XLOOKUP(O97,'[4]2DO TRIMESTRE'!$C:$C,'[4]2DO TRIMESTRE'!$I:$I,0,0)</f>
        <v>0</v>
      </c>
      <c r="AA97" s="94">
        <f t="shared" si="40"/>
        <v>0</v>
      </c>
      <c r="AB97" s="94">
        <f t="shared" si="41"/>
        <v>0</v>
      </c>
      <c r="AC97" s="94">
        <f t="shared" si="42"/>
        <v>0</v>
      </c>
      <c r="AD97" s="93">
        <v>0</v>
      </c>
      <c r="AE97" s="94">
        <f t="shared" si="43"/>
        <v>0</v>
      </c>
      <c r="AF97" s="94">
        <f t="shared" si="44"/>
        <v>0</v>
      </c>
      <c r="AG97" s="94">
        <f t="shared" si="45"/>
        <v>0</v>
      </c>
      <c r="AH97" s="117">
        <v>0</v>
      </c>
      <c r="AI97" s="94">
        <f t="shared" si="31"/>
        <v>0</v>
      </c>
      <c r="AJ97" s="94">
        <f t="shared" si="32"/>
        <v>0</v>
      </c>
      <c r="AK97" s="94">
        <f t="shared" si="33"/>
        <v>0</v>
      </c>
      <c r="AL97" s="93">
        <v>2142857</v>
      </c>
      <c r="AM97" s="93">
        <f t="shared" si="46"/>
        <v>0</v>
      </c>
      <c r="AN97" s="155"/>
      <c r="AO97" s="155"/>
    </row>
    <row r="98" spans="1:41" s="9" customFormat="1" ht="25.15" customHeight="1" x14ac:dyDescent="0.25">
      <c r="A98" s="83">
        <v>92</v>
      </c>
      <c r="B98" s="84">
        <v>2022</v>
      </c>
      <c r="C98" s="85" t="s">
        <v>1010</v>
      </c>
      <c r="D98" s="86" t="s">
        <v>1011</v>
      </c>
      <c r="E98" s="86" t="s">
        <v>758</v>
      </c>
      <c r="F98" s="87">
        <v>44589</v>
      </c>
      <c r="G98" s="87">
        <v>44647</v>
      </c>
      <c r="H98" s="88">
        <f t="shared" si="34"/>
        <v>0.64444444444444449</v>
      </c>
      <c r="I98" s="89" t="s">
        <v>750</v>
      </c>
      <c r="J98" s="90" t="s">
        <v>751</v>
      </c>
      <c r="K98" s="90" t="s">
        <v>752</v>
      </c>
      <c r="L98" s="90" t="s">
        <v>753</v>
      </c>
      <c r="M98" s="91" t="s">
        <v>768</v>
      </c>
      <c r="N98" s="92" t="s">
        <v>1012</v>
      </c>
      <c r="O98" s="85">
        <v>2910906780</v>
      </c>
      <c r="P98" s="93">
        <f>+_xlfn.XLOOKUP(O98,'[3]Benef Primera fecha '!$C:$C,'[3]Benef Primera fecha '!$E:$E,0)</f>
        <v>39000000</v>
      </c>
      <c r="Q98" s="93">
        <v>0</v>
      </c>
      <c r="R98" s="94">
        <f t="shared" si="35"/>
        <v>39000000</v>
      </c>
      <c r="S98" s="95">
        <v>0.12</v>
      </c>
      <c r="T98" s="94">
        <f t="shared" si="36"/>
        <v>4178571.4285714277</v>
      </c>
      <c r="U98" s="117">
        <v>39000000</v>
      </c>
      <c r="V98" s="117">
        <v>0</v>
      </c>
      <c r="W98" s="94">
        <f t="shared" si="37"/>
        <v>0</v>
      </c>
      <c r="X98" s="94">
        <f t="shared" si="38"/>
        <v>0</v>
      </c>
      <c r="Y98" s="94">
        <f t="shared" si="39"/>
        <v>0</v>
      </c>
      <c r="Z98" s="93">
        <f>_xlfn.XLOOKUP(O98,'[4]2DO TRIMESTRE'!$C:$C,'[4]2DO TRIMESTRE'!$I:$I,0,0)</f>
        <v>0</v>
      </c>
      <c r="AA98" s="94">
        <f t="shared" si="40"/>
        <v>0</v>
      </c>
      <c r="AB98" s="94">
        <f t="shared" si="41"/>
        <v>0</v>
      </c>
      <c r="AC98" s="94">
        <f t="shared" si="42"/>
        <v>0</v>
      </c>
      <c r="AD98" s="93">
        <v>0</v>
      </c>
      <c r="AE98" s="94">
        <f t="shared" si="43"/>
        <v>0</v>
      </c>
      <c r="AF98" s="94">
        <f t="shared" si="44"/>
        <v>0</v>
      </c>
      <c r="AG98" s="94">
        <f t="shared" si="45"/>
        <v>0</v>
      </c>
      <c r="AH98" s="117">
        <v>0</v>
      </c>
      <c r="AI98" s="94">
        <f t="shared" si="31"/>
        <v>0</v>
      </c>
      <c r="AJ98" s="94">
        <f t="shared" si="32"/>
        <v>0</v>
      </c>
      <c r="AK98" s="94">
        <f t="shared" si="33"/>
        <v>0</v>
      </c>
      <c r="AL98" s="93">
        <v>4178571</v>
      </c>
      <c r="AM98" s="93">
        <f t="shared" si="46"/>
        <v>0</v>
      </c>
      <c r="AN98" s="155"/>
      <c r="AO98" s="155"/>
    </row>
    <row r="99" spans="1:41" s="9" customFormat="1" ht="25.15" customHeight="1" x14ac:dyDescent="0.25">
      <c r="A99" s="83">
        <v>93</v>
      </c>
      <c r="B99" s="84">
        <v>2022</v>
      </c>
      <c r="C99" s="85" t="s">
        <v>747</v>
      </c>
      <c r="D99" s="86" t="s">
        <v>1013</v>
      </c>
      <c r="E99" s="86" t="s">
        <v>749</v>
      </c>
      <c r="F99" s="87">
        <v>44600</v>
      </c>
      <c r="G99" s="87">
        <v>44688</v>
      </c>
      <c r="H99" s="88">
        <f t="shared" si="34"/>
        <v>0.97777777777777775</v>
      </c>
      <c r="I99" s="89" t="s">
        <v>750</v>
      </c>
      <c r="J99" s="90" t="s">
        <v>751</v>
      </c>
      <c r="K99" s="90" t="s">
        <v>752</v>
      </c>
      <c r="L99" s="90" t="s">
        <v>753</v>
      </c>
      <c r="M99" s="91" t="s">
        <v>754</v>
      </c>
      <c r="N99" s="92" t="s">
        <v>1014</v>
      </c>
      <c r="O99" s="85">
        <v>2910908050</v>
      </c>
      <c r="P99" s="93">
        <v>40884750</v>
      </c>
      <c r="Q99" s="93">
        <v>10902599</v>
      </c>
      <c r="R99" s="94">
        <f t="shared" si="35"/>
        <v>51787349</v>
      </c>
      <c r="S99" s="95">
        <v>0.13636363935584742</v>
      </c>
      <c r="T99" s="94">
        <f>(R99/(1+S99))*S99</f>
        <v>6214482</v>
      </c>
      <c r="U99" s="117">
        <v>0</v>
      </c>
      <c r="V99" s="117">
        <v>0</v>
      </c>
      <c r="W99" s="94">
        <f t="shared" si="37"/>
        <v>0</v>
      </c>
      <c r="X99" s="94">
        <f t="shared" si="38"/>
        <v>0</v>
      </c>
      <c r="Y99" s="94">
        <f t="shared" si="39"/>
        <v>0</v>
      </c>
      <c r="Z99" s="93">
        <f>_xlfn.XLOOKUP(O99,'[4]2DO TRIMESTRE'!$C:$C,'[4]2DO TRIMESTRE'!$I:$I,0,0)</f>
        <v>0</v>
      </c>
      <c r="AA99" s="94">
        <f t="shared" si="40"/>
        <v>0</v>
      </c>
      <c r="AB99" s="94">
        <f t="shared" si="41"/>
        <v>0</v>
      </c>
      <c r="AC99" s="94">
        <f t="shared" si="42"/>
        <v>0</v>
      </c>
      <c r="AD99" s="93">
        <v>0</v>
      </c>
      <c r="AE99" s="94">
        <f t="shared" si="43"/>
        <v>0</v>
      </c>
      <c r="AF99" s="94">
        <f t="shared" si="44"/>
        <v>0</v>
      </c>
      <c r="AG99" s="94">
        <f t="shared" si="45"/>
        <v>0</v>
      </c>
      <c r="AH99" s="117">
        <v>0</v>
      </c>
      <c r="AI99" s="94">
        <f t="shared" si="31"/>
        <v>0</v>
      </c>
      <c r="AJ99" s="94">
        <f t="shared" si="32"/>
        <v>0</v>
      </c>
      <c r="AK99" s="94">
        <f t="shared" si="33"/>
        <v>0</v>
      </c>
      <c r="AL99" s="93">
        <v>0</v>
      </c>
      <c r="AM99" s="93">
        <f t="shared" si="46"/>
        <v>0</v>
      </c>
      <c r="AN99" s="155"/>
      <c r="AO99" s="155"/>
    </row>
    <row r="100" spans="1:41" s="9" customFormat="1" ht="25.15" customHeight="1" x14ac:dyDescent="0.25">
      <c r="A100" s="83">
        <v>94</v>
      </c>
      <c r="B100" s="84">
        <v>2022</v>
      </c>
      <c r="C100" s="85" t="s">
        <v>747</v>
      </c>
      <c r="D100" s="86" t="s">
        <v>1015</v>
      </c>
      <c r="E100" s="86" t="s">
        <v>749</v>
      </c>
      <c r="F100" s="87">
        <v>44608</v>
      </c>
      <c r="G100" s="87"/>
      <c r="H100" s="88">
        <f t="shared" si="34"/>
        <v>-495.64444444444445</v>
      </c>
      <c r="I100" s="89" t="s">
        <v>750</v>
      </c>
      <c r="J100" s="90" t="s">
        <v>751</v>
      </c>
      <c r="K100" s="90" t="s">
        <v>752</v>
      </c>
      <c r="L100" s="90" t="s">
        <v>753</v>
      </c>
      <c r="M100" s="91" t="s">
        <v>754</v>
      </c>
      <c r="N100" s="92" t="s">
        <v>1016</v>
      </c>
      <c r="O100" s="85">
        <v>2910908051</v>
      </c>
      <c r="P100" s="93">
        <v>102300000</v>
      </c>
      <c r="Q100" s="93">
        <v>46544000</v>
      </c>
      <c r="R100" s="94">
        <f t="shared" si="35"/>
        <v>148844000</v>
      </c>
      <c r="S100" s="95">
        <v>0.13636363636363635</v>
      </c>
      <c r="T100" s="94">
        <f>(R100/(1+S100))*S100</f>
        <v>17861280</v>
      </c>
      <c r="U100" s="117">
        <v>0</v>
      </c>
      <c r="V100" s="117">
        <v>0</v>
      </c>
      <c r="W100" s="94">
        <f t="shared" si="37"/>
        <v>0</v>
      </c>
      <c r="X100" s="94">
        <f t="shared" si="38"/>
        <v>0</v>
      </c>
      <c r="Y100" s="94">
        <f t="shared" si="39"/>
        <v>0</v>
      </c>
      <c r="Z100" s="93">
        <f>_xlfn.XLOOKUP(O100,'[4]2DO TRIMESTRE'!$C:$C,'[4]2DO TRIMESTRE'!$I:$I,0,0)</f>
        <v>0</v>
      </c>
      <c r="AA100" s="94">
        <f t="shared" si="40"/>
        <v>0</v>
      </c>
      <c r="AB100" s="94">
        <f t="shared" si="41"/>
        <v>0</v>
      </c>
      <c r="AC100" s="94">
        <f t="shared" si="42"/>
        <v>0</v>
      </c>
      <c r="AD100" s="93">
        <v>0</v>
      </c>
      <c r="AE100" s="94">
        <f t="shared" si="43"/>
        <v>0</v>
      </c>
      <c r="AF100" s="94">
        <f t="shared" si="44"/>
        <v>0</v>
      </c>
      <c r="AG100" s="94">
        <f t="shared" si="45"/>
        <v>0</v>
      </c>
      <c r="AH100" s="117">
        <v>0</v>
      </c>
      <c r="AI100" s="94">
        <f t="shared" si="31"/>
        <v>0</v>
      </c>
      <c r="AJ100" s="94">
        <f t="shared" si="32"/>
        <v>0</v>
      </c>
      <c r="AK100" s="94">
        <f t="shared" si="33"/>
        <v>0</v>
      </c>
      <c r="AL100" s="93">
        <v>0</v>
      </c>
      <c r="AM100" s="93">
        <f t="shared" si="46"/>
        <v>0</v>
      </c>
      <c r="AN100" s="155"/>
      <c r="AO100" s="155"/>
    </row>
    <row r="101" spans="1:41" s="9" customFormat="1" ht="25.15" customHeight="1" x14ac:dyDescent="0.25">
      <c r="A101" s="83">
        <v>95</v>
      </c>
      <c r="B101" s="84">
        <v>2022</v>
      </c>
      <c r="C101" s="85" t="s">
        <v>747</v>
      </c>
      <c r="D101" s="86" t="s">
        <v>1017</v>
      </c>
      <c r="E101" s="86" t="s">
        <v>749</v>
      </c>
      <c r="F101" s="87">
        <v>44610</v>
      </c>
      <c r="G101" s="87">
        <v>44974</v>
      </c>
      <c r="H101" s="88">
        <f t="shared" si="34"/>
        <v>4.0444444444444443</v>
      </c>
      <c r="I101" s="89" t="s">
        <v>750</v>
      </c>
      <c r="J101" s="90" t="s">
        <v>751</v>
      </c>
      <c r="K101" s="90" t="s">
        <v>752</v>
      </c>
      <c r="L101" s="90" t="s">
        <v>753</v>
      </c>
      <c r="M101" s="91" t="s">
        <v>754</v>
      </c>
      <c r="N101" s="92" t="s">
        <v>1018</v>
      </c>
      <c r="O101" s="85">
        <v>2910908053</v>
      </c>
      <c r="P101" s="93">
        <f>+_xlfn.XLOOKUP(O101,'[3]Benef Primera fecha '!$C:$C,'[3]Benef Primera fecha '!$E:$E,0)</f>
        <v>191412500</v>
      </c>
      <c r="Q101" s="93">
        <v>139861000</v>
      </c>
      <c r="R101" s="94">
        <f t="shared" si="35"/>
        <v>331273500</v>
      </c>
      <c r="S101" s="95">
        <v>0.12</v>
      </c>
      <c r="T101" s="94">
        <v>39752820</v>
      </c>
      <c r="U101" s="117">
        <v>331273500</v>
      </c>
      <c r="V101" s="117">
        <v>0</v>
      </c>
      <c r="W101" s="94">
        <f t="shared" si="37"/>
        <v>0</v>
      </c>
      <c r="X101" s="94">
        <f t="shared" si="38"/>
        <v>0</v>
      </c>
      <c r="Y101" s="94">
        <f t="shared" si="39"/>
        <v>0</v>
      </c>
      <c r="Z101" s="93">
        <f>_xlfn.XLOOKUP(O101,'[4]2DO TRIMESTRE'!$C:$C,'[4]2DO TRIMESTRE'!$I:$I,0,0)</f>
        <v>0</v>
      </c>
      <c r="AA101" s="94">
        <f t="shared" si="40"/>
        <v>0</v>
      </c>
      <c r="AB101" s="94">
        <f t="shared" si="41"/>
        <v>0</v>
      </c>
      <c r="AC101" s="94">
        <f t="shared" si="42"/>
        <v>0</v>
      </c>
      <c r="AD101" s="93">
        <v>0</v>
      </c>
      <c r="AE101" s="94">
        <f t="shared" si="43"/>
        <v>0</v>
      </c>
      <c r="AF101" s="94">
        <f t="shared" si="44"/>
        <v>0</v>
      </c>
      <c r="AG101" s="94">
        <f t="shared" si="45"/>
        <v>0</v>
      </c>
      <c r="AH101" s="117">
        <v>0</v>
      </c>
      <c r="AI101" s="94">
        <f t="shared" si="31"/>
        <v>0</v>
      </c>
      <c r="AJ101" s="94">
        <f t="shared" si="32"/>
        <v>0</v>
      </c>
      <c r="AK101" s="94">
        <f t="shared" si="33"/>
        <v>0</v>
      </c>
      <c r="AL101" s="93">
        <v>39752820</v>
      </c>
      <c r="AM101" s="93">
        <f t="shared" si="46"/>
        <v>0</v>
      </c>
      <c r="AN101" s="155"/>
      <c r="AO101" s="155"/>
    </row>
    <row r="102" spans="1:41" s="9" customFormat="1" ht="25.15" customHeight="1" x14ac:dyDescent="0.25">
      <c r="A102" s="83">
        <v>96</v>
      </c>
      <c r="B102" s="84">
        <v>2022</v>
      </c>
      <c r="C102" s="85" t="s">
        <v>747</v>
      </c>
      <c r="D102" s="86" t="s">
        <v>1019</v>
      </c>
      <c r="E102" s="86" t="s">
        <v>749</v>
      </c>
      <c r="F102" s="87">
        <v>44635</v>
      </c>
      <c r="G102" s="87">
        <v>44999</v>
      </c>
      <c r="H102" s="88">
        <f t="shared" si="34"/>
        <v>4.0444444444444443</v>
      </c>
      <c r="I102" s="89" t="s">
        <v>750</v>
      </c>
      <c r="J102" s="90" t="s">
        <v>751</v>
      </c>
      <c r="K102" s="90" t="s">
        <v>752</v>
      </c>
      <c r="L102" s="90" t="s">
        <v>753</v>
      </c>
      <c r="M102" s="91" t="s">
        <v>754</v>
      </c>
      <c r="N102" s="92" t="s">
        <v>1020</v>
      </c>
      <c r="O102" s="85">
        <v>2910908046</v>
      </c>
      <c r="P102" s="93">
        <v>5760000</v>
      </c>
      <c r="Q102" s="93">
        <v>11966210</v>
      </c>
      <c r="R102" s="94">
        <f t="shared" si="35"/>
        <v>17726210</v>
      </c>
      <c r="S102" s="95">
        <v>0.13636363636363635</v>
      </c>
      <c r="T102" s="94">
        <f t="shared" si="36"/>
        <v>2127145.1999999997</v>
      </c>
      <c r="U102" s="117">
        <v>0</v>
      </c>
      <c r="V102" s="117">
        <v>0</v>
      </c>
      <c r="W102" s="94">
        <f t="shared" si="37"/>
        <v>0</v>
      </c>
      <c r="X102" s="94">
        <f t="shared" si="38"/>
        <v>0</v>
      </c>
      <c r="Y102" s="94">
        <f t="shared" si="39"/>
        <v>0</v>
      </c>
      <c r="Z102" s="93">
        <f>_xlfn.XLOOKUP(O102,'[4]2DO TRIMESTRE'!$C:$C,'[4]2DO TRIMESTRE'!$I:$I,0,0)</f>
        <v>0</v>
      </c>
      <c r="AA102" s="94">
        <f t="shared" si="40"/>
        <v>0</v>
      </c>
      <c r="AB102" s="94">
        <f t="shared" si="41"/>
        <v>0</v>
      </c>
      <c r="AC102" s="94">
        <f t="shared" si="42"/>
        <v>0</v>
      </c>
      <c r="AD102" s="93">
        <v>0</v>
      </c>
      <c r="AE102" s="94">
        <f t="shared" si="43"/>
        <v>0</v>
      </c>
      <c r="AF102" s="94">
        <f t="shared" si="44"/>
        <v>0</v>
      </c>
      <c r="AG102" s="94">
        <f t="shared" si="45"/>
        <v>0</v>
      </c>
      <c r="AH102" s="117">
        <v>0</v>
      </c>
      <c r="AI102" s="94">
        <f t="shared" si="31"/>
        <v>0</v>
      </c>
      <c r="AJ102" s="94">
        <f t="shared" si="32"/>
        <v>0</v>
      </c>
      <c r="AK102" s="94">
        <f t="shared" si="33"/>
        <v>0</v>
      </c>
      <c r="AL102" s="93">
        <v>0</v>
      </c>
      <c r="AM102" s="93">
        <f t="shared" si="46"/>
        <v>0</v>
      </c>
      <c r="AN102" s="155"/>
      <c r="AO102" s="155"/>
    </row>
    <row r="103" spans="1:41" s="9" customFormat="1" ht="25.15" customHeight="1" x14ac:dyDescent="0.25">
      <c r="A103" s="83">
        <v>97</v>
      </c>
      <c r="B103" s="84">
        <v>2022</v>
      </c>
      <c r="C103" s="85" t="s">
        <v>821</v>
      </c>
      <c r="D103" s="86" t="s">
        <v>1021</v>
      </c>
      <c r="E103" s="86" t="s">
        <v>777</v>
      </c>
      <c r="F103" s="87">
        <v>44644</v>
      </c>
      <c r="G103" s="87">
        <v>44926</v>
      </c>
      <c r="H103" s="88">
        <f t="shared" si="34"/>
        <v>3.1333333333333333</v>
      </c>
      <c r="I103" s="89" t="s">
        <v>759</v>
      </c>
      <c r="J103" s="90" t="s">
        <v>751</v>
      </c>
      <c r="K103" s="90" t="s">
        <v>752</v>
      </c>
      <c r="L103" s="90" t="s">
        <v>753</v>
      </c>
      <c r="M103" s="91" t="s">
        <v>768</v>
      </c>
      <c r="N103" s="92" t="s">
        <v>1022</v>
      </c>
      <c r="O103" s="85">
        <v>2453018333</v>
      </c>
      <c r="P103" s="93">
        <v>42424200</v>
      </c>
      <c r="Q103" s="93">
        <v>0</v>
      </c>
      <c r="R103" s="94">
        <f t="shared" si="35"/>
        <v>42424200</v>
      </c>
      <c r="S103" s="95">
        <v>0</v>
      </c>
      <c r="T103" s="94">
        <f t="shared" si="36"/>
        <v>0</v>
      </c>
      <c r="U103" s="117">
        <v>0</v>
      </c>
      <c r="V103" s="117">
        <v>0</v>
      </c>
      <c r="W103" s="94">
        <f t="shared" si="37"/>
        <v>0</v>
      </c>
      <c r="X103" s="94">
        <f t="shared" si="38"/>
        <v>0</v>
      </c>
      <c r="Y103" s="94">
        <f t="shared" si="39"/>
        <v>0</v>
      </c>
      <c r="Z103" s="93">
        <f>_xlfn.XLOOKUP(O103,'[4]2DO TRIMESTRE'!$C:$C,'[4]2DO TRIMESTRE'!$I:$I,0,0)</f>
        <v>0</v>
      </c>
      <c r="AA103" s="94">
        <f t="shared" si="40"/>
        <v>0</v>
      </c>
      <c r="AB103" s="94">
        <f t="shared" si="41"/>
        <v>0</v>
      </c>
      <c r="AC103" s="94">
        <f t="shared" si="42"/>
        <v>0</v>
      </c>
      <c r="AD103" s="93">
        <v>0</v>
      </c>
      <c r="AE103" s="94">
        <f t="shared" si="43"/>
        <v>0</v>
      </c>
      <c r="AF103" s="94">
        <f t="shared" si="44"/>
        <v>0</v>
      </c>
      <c r="AG103" s="94">
        <f t="shared" si="45"/>
        <v>0</v>
      </c>
      <c r="AH103" s="117">
        <v>0</v>
      </c>
      <c r="AI103" s="94">
        <f t="shared" si="31"/>
        <v>0</v>
      </c>
      <c r="AJ103" s="94">
        <f t="shared" si="32"/>
        <v>0</v>
      </c>
      <c r="AK103" s="94">
        <f t="shared" si="33"/>
        <v>0</v>
      </c>
      <c r="AL103" s="93">
        <v>0</v>
      </c>
      <c r="AM103" s="93">
        <f t="shared" si="46"/>
        <v>0</v>
      </c>
      <c r="AN103" s="155" t="s">
        <v>800</v>
      </c>
      <c r="AO103" s="155" t="s">
        <v>800</v>
      </c>
    </row>
    <row r="104" spans="1:41" s="9" customFormat="1" ht="25.15" customHeight="1" x14ac:dyDescent="0.25">
      <c r="A104" s="83">
        <v>98</v>
      </c>
      <c r="B104" s="84">
        <v>2022</v>
      </c>
      <c r="C104" s="85" t="s">
        <v>1023</v>
      </c>
      <c r="D104" s="86" t="s">
        <v>1024</v>
      </c>
      <c r="E104" s="86" t="s">
        <v>758</v>
      </c>
      <c r="F104" s="87">
        <v>44677</v>
      </c>
      <c r="G104" s="87">
        <v>44828</v>
      </c>
      <c r="H104" s="88">
        <f t="shared" si="34"/>
        <v>1.6777777777777778</v>
      </c>
      <c r="I104" s="89" t="s">
        <v>750</v>
      </c>
      <c r="J104" s="90" t="s">
        <v>751</v>
      </c>
      <c r="K104" s="90" t="s">
        <v>752</v>
      </c>
      <c r="L104" s="90" t="s">
        <v>753</v>
      </c>
      <c r="M104" s="91" t="s">
        <v>768</v>
      </c>
      <c r="N104" s="92" t="s">
        <v>1025</v>
      </c>
      <c r="O104" s="85">
        <v>2910906786</v>
      </c>
      <c r="P104" s="93">
        <f>+_xlfn.XLOOKUP(O104,'[3]Benef Primera fecha '!$C:$C,'[3]Benef Primera fecha '!$E:$E,0)</f>
        <v>61475000</v>
      </c>
      <c r="Q104" s="93">
        <v>0</v>
      </c>
      <c r="R104" s="94">
        <f t="shared" si="35"/>
        <v>61475000</v>
      </c>
      <c r="S104" s="95">
        <v>0.12</v>
      </c>
      <c r="T104" s="94">
        <f t="shared" si="36"/>
        <v>6586607.1428571418</v>
      </c>
      <c r="U104" s="117">
        <v>61475000</v>
      </c>
      <c r="V104" s="117">
        <v>0</v>
      </c>
      <c r="W104" s="94">
        <f t="shared" si="37"/>
        <v>0</v>
      </c>
      <c r="X104" s="94">
        <f t="shared" si="38"/>
        <v>0</v>
      </c>
      <c r="Y104" s="94">
        <f t="shared" si="39"/>
        <v>0</v>
      </c>
      <c r="Z104" s="93">
        <f>_xlfn.XLOOKUP(O104,'[4]2DO TRIMESTRE'!$C:$C,'[4]2DO TRIMESTRE'!$I:$I,0,0)</f>
        <v>0</v>
      </c>
      <c r="AA104" s="94">
        <f t="shared" si="40"/>
        <v>0</v>
      </c>
      <c r="AB104" s="94">
        <f t="shared" si="41"/>
        <v>0</v>
      </c>
      <c r="AC104" s="94">
        <f t="shared" si="42"/>
        <v>0</v>
      </c>
      <c r="AD104" s="93">
        <v>0</v>
      </c>
      <c r="AE104" s="94">
        <f t="shared" si="43"/>
        <v>0</v>
      </c>
      <c r="AF104" s="94">
        <f t="shared" si="44"/>
        <v>0</v>
      </c>
      <c r="AG104" s="94">
        <f t="shared" si="45"/>
        <v>0</v>
      </c>
      <c r="AH104" s="117">
        <v>0</v>
      </c>
      <c r="AI104" s="94">
        <f t="shared" si="31"/>
        <v>0</v>
      </c>
      <c r="AJ104" s="94">
        <f t="shared" si="32"/>
        <v>0</v>
      </c>
      <c r="AK104" s="94">
        <f t="shared" si="33"/>
        <v>0</v>
      </c>
      <c r="AL104" s="93">
        <v>6586607</v>
      </c>
      <c r="AM104" s="93">
        <f t="shared" si="46"/>
        <v>0</v>
      </c>
      <c r="AN104" s="155"/>
      <c r="AO104" s="155"/>
    </row>
    <row r="105" spans="1:41" s="9" customFormat="1" ht="25.15" customHeight="1" x14ac:dyDescent="0.25">
      <c r="A105" s="83">
        <v>99</v>
      </c>
      <c r="B105" s="84">
        <v>2022</v>
      </c>
      <c r="C105" s="85" t="s">
        <v>1026</v>
      </c>
      <c r="D105" s="86" t="s">
        <v>1027</v>
      </c>
      <c r="E105" s="86" t="s">
        <v>758</v>
      </c>
      <c r="F105" s="87">
        <v>44685</v>
      </c>
      <c r="G105" s="87">
        <v>44925</v>
      </c>
      <c r="H105" s="88">
        <f t="shared" si="34"/>
        <v>2.6666666666666665</v>
      </c>
      <c r="I105" s="89" t="s">
        <v>759</v>
      </c>
      <c r="J105" s="90" t="s">
        <v>751</v>
      </c>
      <c r="K105" s="90" t="s">
        <v>752</v>
      </c>
      <c r="L105" s="90" t="s">
        <v>753</v>
      </c>
      <c r="M105" s="91" t="s">
        <v>1028</v>
      </c>
      <c r="N105" s="92" t="s">
        <v>1029</v>
      </c>
      <c r="O105" s="85">
        <v>2910906785</v>
      </c>
      <c r="P105" s="93">
        <f>+_xlfn.XLOOKUP(O105,'[3]Benef Primera fecha '!$C:$C,'[3]Benef Primera fecha '!$E:$E,0)</f>
        <v>5617920000</v>
      </c>
      <c r="Q105" s="93">
        <v>0</v>
      </c>
      <c r="R105" s="94">
        <f t="shared" si="35"/>
        <v>5617920000</v>
      </c>
      <c r="S105" s="95">
        <v>0.12</v>
      </c>
      <c r="T105" s="94">
        <f t="shared" si="36"/>
        <v>601919999.99999988</v>
      </c>
      <c r="U105" s="117">
        <v>1467924839</v>
      </c>
      <c r="V105" s="117">
        <v>0</v>
      </c>
      <c r="W105" s="94">
        <f t="shared" si="37"/>
        <v>0</v>
      </c>
      <c r="X105" s="94">
        <f t="shared" si="38"/>
        <v>0</v>
      </c>
      <c r="Y105" s="94">
        <f t="shared" si="39"/>
        <v>0</v>
      </c>
      <c r="Z105" s="93">
        <f>_xlfn.XLOOKUP(O105,'[4]2DO TRIMESTRE'!$C:$C,'[4]2DO TRIMESTRE'!$I:$I,0,0)</f>
        <v>0</v>
      </c>
      <c r="AA105" s="94">
        <f t="shared" si="40"/>
        <v>0</v>
      </c>
      <c r="AB105" s="94">
        <f t="shared" si="41"/>
        <v>0</v>
      </c>
      <c r="AC105" s="94">
        <f t="shared" si="42"/>
        <v>0</v>
      </c>
      <c r="AD105" s="93">
        <v>0</v>
      </c>
      <c r="AE105" s="94">
        <f t="shared" si="43"/>
        <v>0</v>
      </c>
      <c r="AF105" s="94">
        <f t="shared" si="44"/>
        <v>0</v>
      </c>
      <c r="AG105" s="94">
        <f t="shared" si="45"/>
        <v>0</v>
      </c>
      <c r="AH105" s="117">
        <v>0</v>
      </c>
      <c r="AI105" s="94">
        <f t="shared" si="31"/>
        <v>0</v>
      </c>
      <c r="AJ105" s="94">
        <f t="shared" si="32"/>
        <v>0</v>
      </c>
      <c r="AK105" s="94">
        <f t="shared" si="33"/>
        <v>0</v>
      </c>
      <c r="AL105" s="93">
        <v>60373542</v>
      </c>
      <c r="AM105" s="93">
        <f t="shared" si="46"/>
        <v>0</v>
      </c>
      <c r="AN105" s="155"/>
      <c r="AO105" s="155"/>
    </row>
    <row r="106" spans="1:41" s="9" customFormat="1" ht="25.15" customHeight="1" x14ac:dyDescent="0.25">
      <c r="A106" s="83">
        <v>100</v>
      </c>
      <c r="B106" s="84">
        <v>2022</v>
      </c>
      <c r="C106" s="85" t="s">
        <v>1030</v>
      </c>
      <c r="D106" s="86" t="s">
        <v>1031</v>
      </c>
      <c r="E106" s="86" t="s">
        <v>758</v>
      </c>
      <c r="F106" s="87">
        <v>44690</v>
      </c>
      <c r="G106" s="87">
        <v>44965</v>
      </c>
      <c r="H106" s="88">
        <f t="shared" si="34"/>
        <v>3.0555555555555554</v>
      </c>
      <c r="I106" s="89" t="s">
        <v>750</v>
      </c>
      <c r="J106" s="90" t="s">
        <v>751</v>
      </c>
      <c r="K106" s="90" t="s">
        <v>752</v>
      </c>
      <c r="L106" s="90" t="s">
        <v>753</v>
      </c>
      <c r="M106" s="91" t="s">
        <v>754</v>
      </c>
      <c r="N106" s="92" t="s">
        <v>1032</v>
      </c>
      <c r="O106" s="85">
        <v>2910906787</v>
      </c>
      <c r="P106" s="93">
        <f>+_xlfn.XLOOKUP(O106,'[3]Benef Primera fecha '!$C:$C,'[3]Benef Primera fecha '!$E:$E,0)</f>
        <v>120252560</v>
      </c>
      <c r="Q106" s="93">
        <v>23455000</v>
      </c>
      <c r="R106" s="94">
        <f t="shared" si="35"/>
        <v>143707560</v>
      </c>
      <c r="S106" s="95">
        <v>0.12</v>
      </c>
      <c r="T106" s="94">
        <f t="shared" si="36"/>
        <v>15397238.571428569</v>
      </c>
      <c r="U106" s="117">
        <v>141382647</v>
      </c>
      <c r="V106" s="117">
        <v>0</v>
      </c>
      <c r="W106" s="94">
        <f t="shared" si="37"/>
        <v>0</v>
      </c>
      <c r="X106" s="94">
        <f t="shared" si="38"/>
        <v>0</v>
      </c>
      <c r="Y106" s="94">
        <f t="shared" si="39"/>
        <v>0</v>
      </c>
      <c r="Z106" s="93">
        <f>_xlfn.XLOOKUP(O106,'[4]2DO TRIMESTRE'!$C:$C,'[4]2DO TRIMESTRE'!$I:$I,0,0)</f>
        <v>0</v>
      </c>
      <c r="AA106" s="94">
        <f t="shared" si="40"/>
        <v>0</v>
      </c>
      <c r="AB106" s="94">
        <f t="shared" si="41"/>
        <v>0</v>
      </c>
      <c r="AC106" s="94">
        <f t="shared" si="42"/>
        <v>0</v>
      </c>
      <c r="AD106" s="93">
        <v>0</v>
      </c>
      <c r="AE106" s="94">
        <f t="shared" si="43"/>
        <v>0</v>
      </c>
      <c r="AF106" s="94">
        <f t="shared" si="44"/>
        <v>0</v>
      </c>
      <c r="AG106" s="94">
        <f t="shared" si="45"/>
        <v>0</v>
      </c>
      <c r="AH106" s="117">
        <v>0</v>
      </c>
      <c r="AI106" s="94">
        <f t="shared" si="31"/>
        <v>0</v>
      </c>
      <c r="AJ106" s="94">
        <f t="shared" si="32"/>
        <v>0</v>
      </c>
      <c r="AK106" s="94">
        <f t="shared" si="33"/>
        <v>0</v>
      </c>
      <c r="AL106" s="93">
        <v>15148141.171637964</v>
      </c>
      <c r="AM106" s="93">
        <f t="shared" si="46"/>
        <v>0</v>
      </c>
      <c r="AN106" s="155"/>
      <c r="AO106" s="155"/>
    </row>
    <row r="107" spans="1:41" s="9" customFormat="1" ht="25.15" customHeight="1" x14ac:dyDescent="0.25">
      <c r="A107" s="83">
        <v>101</v>
      </c>
      <c r="B107" s="84">
        <v>2022</v>
      </c>
      <c r="C107" s="85" t="s">
        <v>747</v>
      </c>
      <c r="D107" s="86" t="s">
        <v>1033</v>
      </c>
      <c r="E107" s="86" t="s">
        <v>749</v>
      </c>
      <c r="F107" s="87">
        <v>44699</v>
      </c>
      <c r="G107" s="87">
        <v>44821</v>
      </c>
      <c r="H107" s="88">
        <f t="shared" si="34"/>
        <v>1.3555555555555556</v>
      </c>
      <c r="I107" s="89" t="s">
        <v>759</v>
      </c>
      <c r="J107" s="90" t="s">
        <v>751</v>
      </c>
      <c r="K107" s="90" t="s">
        <v>752</v>
      </c>
      <c r="L107" s="90" t="s">
        <v>753</v>
      </c>
      <c r="M107" s="91" t="s">
        <v>754</v>
      </c>
      <c r="N107" s="92" t="s">
        <v>1034</v>
      </c>
      <c r="O107" s="85">
        <v>2910908054</v>
      </c>
      <c r="P107" s="93">
        <v>12000000</v>
      </c>
      <c r="Q107" s="93">
        <v>0</v>
      </c>
      <c r="R107" s="94">
        <f t="shared" si="35"/>
        <v>12000000</v>
      </c>
      <c r="S107" s="95">
        <v>0.12</v>
      </c>
      <c r="T107" s="94">
        <f t="shared" si="36"/>
        <v>1285714.2857142854</v>
      </c>
      <c r="U107" s="117">
        <v>0</v>
      </c>
      <c r="V107" s="117">
        <v>0</v>
      </c>
      <c r="W107" s="94">
        <f t="shared" si="37"/>
        <v>0</v>
      </c>
      <c r="X107" s="94">
        <f t="shared" si="38"/>
        <v>0</v>
      </c>
      <c r="Y107" s="94">
        <f t="shared" si="39"/>
        <v>0</v>
      </c>
      <c r="Z107" s="93">
        <f>_xlfn.XLOOKUP(O107,'[4]2DO TRIMESTRE'!$C:$C,'[4]2DO TRIMESTRE'!$I:$I,0,0)</f>
        <v>0</v>
      </c>
      <c r="AA107" s="94">
        <f t="shared" si="40"/>
        <v>0</v>
      </c>
      <c r="AB107" s="94">
        <f t="shared" si="41"/>
        <v>0</v>
      </c>
      <c r="AC107" s="94">
        <f t="shared" si="42"/>
        <v>0</v>
      </c>
      <c r="AD107" s="93">
        <v>0</v>
      </c>
      <c r="AE107" s="94">
        <f t="shared" si="43"/>
        <v>0</v>
      </c>
      <c r="AF107" s="94">
        <f t="shared" si="44"/>
        <v>0</v>
      </c>
      <c r="AG107" s="94">
        <f t="shared" si="45"/>
        <v>0</v>
      </c>
      <c r="AH107" s="117">
        <v>0</v>
      </c>
      <c r="AI107" s="94">
        <f t="shared" si="31"/>
        <v>0</v>
      </c>
      <c r="AJ107" s="94">
        <f t="shared" si="32"/>
        <v>0</v>
      </c>
      <c r="AK107" s="94">
        <f t="shared" si="33"/>
        <v>0</v>
      </c>
      <c r="AL107" s="93">
        <v>0</v>
      </c>
      <c r="AM107" s="93">
        <f t="shared" si="46"/>
        <v>0</v>
      </c>
      <c r="AN107" s="155"/>
      <c r="AO107" s="155"/>
    </row>
    <row r="108" spans="1:41" s="9" customFormat="1" ht="25.15" customHeight="1" x14ac:dyDescent="0.25">
      <c r="A108" s="83">
        <v>102</v>
      </c>
      <c r="B108" s="84">
        <v>2022</v>
      </c>
      <c r="C108" s="85" t="s">
        <v>747</v>
      </c>
      <c r="D108" s="86" t="s">
        <v>1035</v>
      </c>
      <c r="E108" s="86" t="s">
        <v>749</v>
      </c>
      <c r="F108" s="87">
        <v>44714</v>
      </c>
      <c r="G108" s="87">
        <v>44835</v>
      </c>
      <c r="H108" s="88">
        <f t="shared" si="34"/>
        <v>1.3444444444444446</v>
      </c>
      <c r="I108" s="89" t="s">
        <v>759</v>
      </c>
      <c r="J108" s="90" t="s">
        <v>751</v>
      </c>
      <c r="K108" s="90" t="s">
        <v>752</v>
      </c>
      <c r="L108" s="90" t="s">
        <v>753</v>
      </c>
      <c r="M108" s="91" t="s">
        <v>754</v>
      </c>
      <c r="N108" s="92" t="s">
        <v>1036</v>
      </c>
      <c r="O108" s="85">
        <v>2910908034</v>
      </c>
      <c r="P108" s="93">
        <f>+_xlfn.XLOOKUP(O108,'[3]Benef Primera fecha '!$C:$C,'[3]Benef Primera fecha '!$E:$E,0)</f>
        <v>10640000</v>
      </c>
      <c r="Q108" s="93">
        <v>0</v>
      </c>
      <c r="R108" s="94">
        <f t="shared" si="35"/>
        <v>10640000</v>
      </c>
      <c r="S108" s="95">
        <v>0.12</v>
      </c>
      <c r="T108" s="94">
        <f t="shared" si="36"/>
        <v>1140000</v>
      </c>
      <c r="U108" s="117">
        <v>10640000</v>
      </c>
      <c r="V108" s="117">
        <v>0</v>
      </c>
      <c r="W108" s="94">
        <f t="shared" si="37"/>
        <v>0</v>
      </c>
      <c r="X108" s="94">
        <f t="shared" si="38"/>
        <v>0</v>
      </c>
      <c r="Y108" s="94">
        <f t="shared" si="39"/>
        <v>0</v>
      </c>
      <c r="Z108" s="93">
        <f>_xlfn.XLOOKUP(O108,'[4]2DO TRIMESTRE'!$C:$C,'[4]2DO TRIMESTRE'!$I:$I,0,0)</f>
        <v>0</v>
      </c>
      <c r="AA108" s="94">
        <f t="shared" si="40"/>
        <v>0</v>
      </c>
      <c r="AB108" s="94">
        <f t="shared" si="41"/>
        <v>0</v>
      </c>
      <c r="AC108" s="94">
        <f t="shared" si="42"/>
        <v>0</v>
      </c>
      <c r="AD108" s="93">
        <v>0</v>
      </c>
      <c r="AE108" s="94">
        <f t="shared" si="43"/>
        <v>0</v>
      </c>
      <c r="AF108" s="94">
        <f t="shared" si="44"/>
        <v>0</v>
      </c>
      <c r="AG108" s="94">
        <f t="shared" si="45"/>
        <v>0</v>
      </c>
      <c r="AH108" s="117">
        <v>0</v>
      </c>
      <c r="AI108" s="94">
        <f t="shared" si="31"/>
        <v>0</v>
      </c>
      <c r="AJ108" s="94">
        <f t="shared" si="32"/>
        <v>0</v>
      </c>
      <c r="AK108" s="94">
        <f t="shared" si="33"/>
        <v>0</v>
      </c>
      <c r="AL108" s="93">
        <v>1140000</v>
      </c>
      <c r="AM108" s="93">
        <f t="shared" si="46"/>
        <v>0</v>
      </c>
      <c r="AN108" s="155"/>
      <c r="AO108" s="155"/>
    </row>
    <row r="109" spans="1:41" s="9" customFormat="1" ht="25.15" customHeight="1" x14ac:dyDescent="0.25">
      <c r="A109" s="83">
        <v>103</v>
      </c>
      <c r="B109" s="84">
        <v>2022</v>
      </c>
      <c r="C109" s="85" t="s">
        <v>1037</v>
      </c>
      <c r="D109" s="86" t="s">
        <v>1038</v>
      </c>
      <c r="E109" s="86" t="s">
        <v>758</v>
      </c>
      <c r="F109" s="87">
        <v>44720</v>
      </c>
      <c r="G109" s="87">
        <v>45140</v>
      </c>
      <c r="H109" s="88">
        <f t="shared" si="34"/>
        <v>4.666666666666667</v>
      </c>
      <c r="I109" s="89" t="s">
        <v>763</v>
      </c>
      <c r="J109" s="90" t="s">
        <v>751</v>
      </c>
      <c r="K109" s="90" t="s">
        <v>752</v>
      </c>
      <c r="L109" s="90" t="s">
        <v>753</v>
      </c>
      <c r="M109" s="91" t="s">
        <v>768</v>
      </c>
      <c r="N109" s="92" t="s">
        <v>1039</v>
      </c>
      <c r="O109" s="85">
        <v>2910906789</v>
      </c>
      <c r="P109" s="93">
        <f>+_xlfn.XLOOKUP(O109,'[3]Benef Primera fecha '!$C:$C,'[3]Benef Primera fecha '!$E:$E,0)</f>
        <v>9124262365</v>
      </c>
      <c r="Q109" s="93">
        <v>0</v>
      </c>
      <c r="R109" s="94">
        <f t="shared" si="35"/>
        <v>9124262365</v>
      </c>
      <c r="S109" s="95">
        <v>0.12</v>
      </c>
      <c r="T109" s="94">
        <f t="shared" si="36"/>
        <v>977599539.10714281</v>
      </c>
      <c r="U109" s="117">
        <v>1816897603.5999999</v>
      </c>
      <c r="V109" s="117">
        <v>0</v>
      </c>
      <c r="W109" s="94">
        <f t="shared" si="37"/>
        <v>0</v>
      </c>
      <c r="X109" s="94">
        <f t="shared" si="38"/>
        <v>0</v>
      </c>
      <c r="Y109" s="94">
        <f t="shared" si="39"/>
        <v>0</v>
      </c>
      <c r="Z109" s="93">
        <f>_xlfn.XLOOKUP(O109,'[4]2DO TRIMESTRE'!$C:$C,'[4]2DO TRIMESTRE'!$I:$I,0,0)</f>
        <v>0</v>
      </c>
      <c r="AA109" s="94">
        <f t="shared" si="40"/>
        <v>0</v>
      </c>
      <c r="AB109" s="94">
        <f t="shared" si="41"/>
        <v>0</v>
      </c>
      <c r="AC109" s="94">
        <f t="shared" si="42"/>
        <v>0</v>
      </c>
      <c r="AD109" s="93">
        <v>0</v>
      </c>
      <c r="AE109" s="94">
        <f t="shared" si="43"/>
        <v>0</v>
      </c>
      <c r="AF109" s="94">
        <f t="shared" si="44"/>
        <v>0</v>
      </c>
      <c r="AG109" s="94">
        <f t="shared" si="45"/>
        <v>0</v>
      </c>
      <c r="AH109" s="117">
        <v>0</v>
      </c>
      <c r="AI109" s="94">
        <f t="shared" si="31"/>
        <v>0</v>
      </c>
      <c r="AJ109" s="94">
        <f t="shared" si="32"/>
        <v>0</v>
      </c>
      <c r="AK109" s="94">
        <f t="shared" si="33"/>
        <v>0</v>
      </c>
      <c r="AL109" s="93">
        <v>194667600.36437911</v>
      </c>
      <c r="AM109" s="93">
        <f t="shared" si="46"/>
        <v>0</v>
      </c>
      <c r="AN109" s="155"/>
      <c r="AO109" s="155"/>
    </row>
    <row r="110" spans="1:41" s="9" customFormat="1" ht="25.15" customHeight="1" x14ac:dyDescent="0.25">
      <c r="A110" s="83">
        <v>104</v>
      </c>
      <c r="B110" s="84">
        <v>2022</v>
      </c>
      <c r="C110" s="85" t="s">
        <v>863</v>
      </c>
      <c r="D110" s="86" t="s">
        <v>1040</v>
      </c>
      <c r="E110" s="86" t="s">
        <v>758</v>
      </c>
      <c r="F110" s="87">
        <v>44741</v>
      </c>
      <c r="G110" s="87">
        <v>45260</v>
      </c>
      <c r="H110" s="88">
        <f t="shared" si="34"/>
        <v>5.7666666666666666</v>
      </c>
      <c r="I110" s="89" t="s">
        <v>759</v>
      </c>
      <c r="J110" s="90" t="s">
        <v>751</v>
      </c>
      <c r="K110" s="90" t="s">
        <v>752</v>
      </c>
      <c r="L110" s="90" t="s">
        <v>753</v>
      </c>
      <c r="M110" s="91" t="s">
        <v>768</v>
      </c>
      <c r="N110" s="92" t="s">
        <v>1041</v>
      </c>
      <c r="O110" s="85">
        <v>2910906788</v>
      </c>
      <c r="P110" s="93">
        <f>+_xlfn.XLOOKUP(O110,'[3]Benef Primera fecha '!$C:$C,'[3]Benef Primera fecha '!$E:$E,0)</f>
        <v>2078053077</v>
      </c>
      <c r="Q110" s="93">
        <v>1589737563</v>
      </c>
      <c r="R110" s="94">
        <f t="shared" si="35"/>
        <v>3667790640</v>
      </c>
      <c r="S110" s="95">
        <v>0.12</v>
      </c>
      <c r="T110" s="94">
        <f t="shared" si="36"/>
        <v>392977568.57142854</v>
      </c>
      <c r="U110" s="117">
        <v>3620209868</v>
      </c>
      <c r="V110" s="117">
        <v>0</v>
      </c>
      <c r="W110" s="94">
        <f t="shared" si="37"/>
        <v>0</v>
      </c>
      <c r="X110" s="94">
        <f t="shared" si="38"/>
        <v>0</v>
      </c>
      <c r="Y110" s="94">
        <f t="shared" si="39"/>
        <v>0</v>
      </c>
      <c r="Z110" s="93">
        <f>_xlfn.XLOOKUP(O110,'[4]2DO TRIMESTRE'!$C:$C,'[4]2DO TRIMESTRE'!$I:$I,0,0)</f>
        <v>0</v>
      </c>
      <c r="AA110" s="94">
        <f t="shared" si="40"/>
        <v>0</v>
      </c>
      <c r="AB110" s="94">
        <f t="shared" si="41"/>
        <v>0</v>
      </c>
      <c r="AC110" s="94">
        <f t="shared" si="42"/>
        <v>0</v>
      </c>
      <c r="AD110" s="93">
        <v>0</v>
      </c>
      <c r="AE110" s="94">
        <f t="shared" si="43"/>
        <v>0</v>
      </c>
      <c r="AF110" s="94">
        <f t="shared" si="44"/>
        <v>0</v>
      </c>
      <c r="AG110" s="94">
        <f t="shared" si="45"/>
        <v>0</v>
      </c>
      <c r="AH110" s="117">
        <v>0</v>
      </c>
      <c r="AI110" s="94">
        <f t="shared" si="31"/>
        <v>0</v>
      </c>
      <c r="AJ110" s="94">
        <f t="shared" si="32"/>
        <v>0</v>
      </c>
      <c r="AK110" s="94">
        <f t="shared" si="33"/>
        <v>0</v>
      </c>
      <c r="AL110" s="93">
        <v>387879629.13729745</v>
      </c>
      <c r="AM110" s="93">
        <f t="shared" si="46"/>
        <v>0</v>
      </c>
      <c r="AN110" s="155"/>
      <c r="AO110" s="155"/>
    </row>
    <row r="111" spans="1:41" s="9" customFormat="1" ht="25.15" customHeight="1" x14ac:dyDescent="0.25">
      <c r="A111" s="83">
        <v>105</v>
      </c>
      <c r="B111" s="84">
        <v>2022</v>
      </c>
      <c r="C111" s="85" t="s">
        <v>747</v>
      </c>
      <c r="D111" s="86" t="s">
        <v>1042</v>
      </c>
      <c r="E111" s="86" t="s">
        <v>749</v>
      </c>
      <c r="F111" s="87">
        <v>44748</v>
      </c>
      <c r="G111" s="87">
        <v>44765</v>
      </c>
      <c r="H111" s="88">
        <f t="shared" si="34"/>
        <v>0.18888888888888888</v>
      </c>
      <c r="I111" s="89" t="s">
        <v>759</v>
      </c>
      <c r="J111" s="90" t="s">
        <v>751</v>
      </c>
      <c r="K111" s="90" t="s">
        <v>752</v>
      </c>
      <c r="L111" s="90" t="s">
        <v>753</v>
      </c>
      <c r="M111" s="91" t="s">
        <v>754</v>
      </c>
      <c r="N111" s="92" t="s">
        <v>1043</v>
      </c>
      <c r="O111" s="85">
        <v>2910908007</v>
      </c>
      <c r="P111" s="93">
        <f>+_xlfn.XLOOKUP(O111,'[3]Benef Primera fecha '!$C:$C,'[3]Benef Primera fecha '!$E:$E,0)</f>
        <v>5254500</v>
      </c>
      <c r="Q111" s="93">
        <v>0</v>
      </c>
      <c r="R111" s="94">
        <f t="shared" si="35"/>
        <v>5254500</v>
      </c>
      <c r="S111" s="95">
        <v>0.12</v>
      </c>
      <c r="T111" s="94">
        <f t="shared" si="36"/>
        <v>562982.14285714272</v>
      </c>
      <c r="U111" s="117">
        <v>5254500</v>
      </c>
      <c r="V111" s="117">
        <v>0</v>
      </c>
      <c r="W111" s="94">
        <f t="shared" si="37"/>
        <v>0</v>
      </c>
      <c r="X111" s="94">
        <f t="shared" si="38"/>
        <v>0</v>
      </c>
      <c r="Y111" s="94">
        <f t="shared" si="39"/>
        <v>0</v>
      </c>
      <c r="Z111" s="93">
        <f>_xlfn.XLOOKUP(O111,'[4]2DO TRIMESTRE'!$C:$C,'[4]2DO TRIMESTRE'!$I:$I,0,0)</f>
        <v>0</v>
      </c>
      <c r="AA111" s="94">
        <f t="shared" si="40"/>
        <v>0</v>
      </c>
      <c r="AB111" s="94">
        <f t="shared" si="41"/>
        <v>0</v>
      </c>
      <c r="AC111" s="94">
        <f t="shared" si="42"/>
        <v>0</v>
      </c>
      <c r="AD111" s="93">
        <v>0</v>
      </c>
      <c r="AE111" s="94">
        <f t="shared" si="43"/>
        <v>0</v>
      </c>
      <c r="AF111" s="94">
        <f t="shared" si="44"/>
        <v>0</v>
      </c>
      <c r="AG111" s="94">
        <f t="shared" si="45"/>
        <v>0</v>
      </c>
      <c r="AH111" s="117">
        <v>0</v>
      </c>
      <c r="AI111" s="94">
        <f t="shared" si="31"/>
        <v>0</v>
      </c>
      <c r="AJ111" s="94">
        <f t="shared" si="32"/>
        <v>0</v>
      </c>
      <c r="AK111" s="94">
        <f t="shared" si="33"/>
        <v>0</v>
      </c>
      <c r="AL111" s="93">
        <v>562982</v>
      </c>
      <c r="AM111" s="93">
        <f t="shared" si="46"/>
        <v>0</v>
      </c>
      <c r="AN111" s="155"/>
      <c r="AO111" s="155"/>
    </row>
    <row r="112" spans="1:41" s="9" customFormat="1" ht="25.15" customHeight="1" x14ac:dyDescent="0.25">
      <c r="A112" s="83">
        <v>106</v>
      </c>
      <c r="B112" s="84">
        <v>2022</v>
      </c>
      <c r="C112" s="85" t="s">
        <v>128</v>
      </c>
      <c r="D112" s="86" t="s">
        <v>1044</v>
      </c>
      <c r="E112" s="86" t="s">
        <v>758</v>
      </c>
      <c r="F112" s="87">
        <v>44749</v>
      </c>
      <c r="G112" s="87">
        <v>44933</v>
      </c>
      <c r="H112" s="88">
        <f t="shared" si="34"/>
        <v>2.0444444444444443</v>
      </c>
      <c r="I112" s="89" t="s">
        <v>750</v>
      </c>
      <c r="J112" s="90" t="s">
        <v>751</v>
      </c>
      <c r="K112" s="90" t="s">
        <v>752</v>
      </c>
      <c r="L112" s="90" t="s">
        <v>753</v>
      </c>
      <c r="M112" s="91" t="s">
        <v>768</v>
      </c>
      <c r="N112" s="92" t="s">
        <v>1045</v>
      </c>
      <c r="O112" s="85">
        <v>2910906790</v>
      </c>
      <c r="P112" s="93">
        <f>+_xlfn.XLOOKUP(O112,'[3]Benef Primera fecha '!$C:$C,'[3]Benef Primera fecha '!$E:$E,0)</f>
        <v>1020000000</v>
      </c>
      <c r="Q112" s="93">
        <v>503800000</v>
      </c>
      <c r="R112" s="94">
        <f t="shared" si="35"/>
        <v>1523800000</v>
      </c>
      <c r="S112" s="95">
        <v>0.12</v>
      </c>
      <c r="T112" s="94">
        <v>163276433</v>
      </c>
      <c r="U112" s="117">
        <v>1281901000</v>
      </c>
      <c r="V112" s="117">
        <v>0</v>
      </c>
      <c r="W112" s="94">
        <f t="shared" si="37"/>
        <v>0</v>
      </c>
      <c r="X112" s="94">
        <f t="shared" si="38"/>
        <v>0</v>
      </c>
      <c r="Y112" s="94">
        <f t="shared" si="39"/>
        <v>0</v>
      </c>
      <c r="Z112" s="93">
        <f>_xlfn.XLOOKUP(O112,'[4]2DO TRIMESTRE'!$C:$C,'[4]2DO TRIMESTRE'!$I:$I,0,0)</f>
        <v>0</v>
      </c>
      <c r="AA112" s="94">
        <f t="shared" si="40"/>
        <v>0</v>
      </c>
      <c r="AB112" s="94">
        <f t="shared" si="41"/>
        <v>0</v>
      </c>
      <c r="AC112" s="94">
        <f t="shared" si="42"/>
        <v>0</v>
      </c>
      <c r="AD112" s="93">
        <v>0</v>
      </c>
      <c r="AE112" s="94">
        <f t="shared" si="43"/>
        <v>0</v>
      </c>
      <c r="AF112" s="94">
        <f t="shared" si="44"/>
        <v>0</v>
      </c>
      <c r="AG112" s="94">
        <f t="shared" si="45"/>
        <v>0</v>
      </c>
      <c r="AH112" s="117">
        <v>0</v>
      </c>
      <c r="AI112" s="94">
        <f t="shared" si="31"/>
        <v>0</v>
      </c>
      <c r="AJ112" s="94">
        <f t="shared" si="32"/>
        <v>0</v>
      </c>
      <c r="AK112" s="94">
        <f t="shared" si="33"/>
        <v>0</v>
      </c>
      <c r="AL112" s="93">
        <v>163276433</v>
      </c>
      <c r="AM112" s="93">
        <f t="shared" si="46"/>
        <v>0</v>
      </c>
      <c r="AN112" s="155"/>
      <c r="AO112" s="155"/>
    </row>
    <row r="113" spans="1:41" s="9" customFormat="1" ht="25.15" customHeight="1" x14ac:dyDescent="0.25">
      <c r="A113" s="83">
        <v>107</v>
      </c>
      <c r="B113" s="84">
        <v>2022</v>
      </c>
      <c r="C113" s="85" t="s">
        <v>860</v>
      </c>
      <c r="D113" s="86" t="s">
        <v>1046</v>
      </c>
      <c r="E113" s="86" t="s">
        <v>758</v>
      </c>
      <c r="F113" s="87">
        <v>44774</v>
      </c>
      <c r="G113" s="87">
        <v>44834</v>
      </c>
      <c r="H113" s="88">
        <f t="shared" si="34"/>
        <v>0.66666666666666663</v>
      </c>
      <c r="I113" s="89" t="s">
        <v>750</v>
      </c>
      <c r="J113" s="90" t="s">
        <v>751</v>
      </c>
      <c r="K113" s="90" t="s">
        <v>752</v>
      </c>
      <c r="L113" s="90" t="s">
        <v>753</v>
      </c>
      <c r="M113" s="91" t="s">
        <v>768</v>
      </c>
      <c r="N113" s="92" t="s">
        <v>1047</v>
      </c>
      <c r="O113" s="85">
        <v>2910906793</v>
      </c>
      <c r="P113" s="93">
        <f>+_xlfn.XLOOKUP(O113,'[3]Benef Primera fecha '!$C:$C,'[3]Benef Primera fecha '!$E:$E,0)</f>
        <v>152489124</v>
      </c>
      <c r="Q113" s="93">
        <v>0</v>
      </c>
      <c r="R113" s="94">
        <f t="shared" si="35"/>
        <v>152489124</v>
      </c>
      <c r="S113" s="95">
        <v>0.12</v>
      </c>
      <c r="T113" s="94">
        <f t="shared" si="36"/>
        <v>16338120.428571427</v>
      </c>
      <c r="U113" s="117">
        <v>152489124</v>
      </c>
      <c r="V113" s="117">
        <v>0</v>
      </c>
      <c r="W113" s="94">
        <f t="shared" si="37"/>
        <v>0</v>
      </c>
      <c r="X113" s="94">
        <f t="shared" si="38"/>
        <v>0</v>
      </c>
      <c r="Y113" s="94">
        <f t="shared" si="39"/>
        <v>0</v>
      </c>
      <c r="Z113" s="93">
        <f>_xlfn.XLOOKUP(O113,'[4]2DO TRIMESTRE'!$C:$C,'[4]2DO TRIMESTRE'!$I:$I,0,0)</f>
        <v>0</v>
      </c>
      <c r="AA113" s="94">
        <f t="shared" si="40"/>
        <v>0</v>
      </c>
      <c r="AB113" s="94">
        <f t="shared" si="41"/>
        <v>0</v>
      </c>
      <c r="AC113" s="94">
        <f t="shared" si="42"/>
        <v>0</v>
      </c>
      <c r="AD113" s="93">
        <v>0</v>
      </c>
      <c r="AE113" s="94">
        <f t="shared" si="43"/>
        <v>0</v>
      </c>
      <c r="AF113" s="94">
        <f t="shared" si="44"/>
        <v>0</v>
      </c>
      <c r="AG113" s="94">
        <f t="shared" si="45"/>
        <v>0</v>
      </c>
      <c r="AH113" s="117">
        <v>0</v>
      </c>
      <c r="AI113" s="94">
        <f t="shared" si="31"/>
        <v>0</v>
      </c>
      <c r="AJ113" s="94">
        <f t="shared" si="32"/>
        <v>0</v>
      </c>
      <c r="AK113" s="94">
        <f t="shared" si="33"/>
        <v>0</v>
      </c>
      <c r="AL113" s="93">
        <v>16338120</v>
      </c>
      <c r="AM113" s="93">
        <f t="shared" si="46"/>
        <v>0</v>
      </c>
      <c r="AN113" s="155"/>
      <c r="AO113" s="155"/>
    </row>
    <row r="114" spans="1:41" s="9" customFormat="1" ht="25.15" customHeight="1" x14ac:dyDescent="0.25">
      <c r="A114" s="83">
        <v>108</v>
      </c>
      <c r="B114" s="84">
        <v>2022</v>
      </c>
      <c r="C114" s="85" t="s">
        <v>1048</v>
      </c>
      <c r="D114" s="86" t="s">
        <v>1049</v>
      </c>
      <c r="E114" s="86" t="s">
        <v>777</v>
      </c>
      <c r="F114" s="87">
        <v>44782</v>
      </c>
      <c r="G114" s="87">
        <v>44941</v>
      </c>
      <c r="H114" s="88">
        <f t="shared" si="34"/>
        <v>1.7666666666666666</v>
      </c>
      <c r="I114" s="89" t="s">
        <v>750</v>
      </c>
      <c r="J114" s="90" t="s">
        <v>751</v>
      </c>
      <c r="K114" s="90" t="s">
        <v>752</v>
      </c>
      <c r="L114" s="90" t="s">
        <v>753</v>
      </c>
      <c r="M114" s="91" t="s">
        <v>768</v>
      </c>
      <c r="N114" s="92" t="s">
        <v>1050</v>
      </c>
      <c r="O114" s="85">
        <v>2453018335</v>
      </c>
      <c r="P114" s="93">
        <f>+_xlfn.XLOOKUP(O114,'[3]Benef Primera fecha '!$C:$C,'[3]Benef Primera fecha '!$E:$E,0)</f>
        <v>217600000</v>
      </c>
      <c r="Q114" s="93">
        <v>108800000</v>
      </c>
      <c r="R114" s="94">
        <f t="shared" si="35"/>
        <v>326400000</v>
      </c>
      <c r="S114" s="95">
        <v>0.12</v>
      </c>
      <c r="T114" s="94">
        <f t="shared" si="36"/>
        <v>34971428.571428567</v>
      </c>
      <c r="U114" s="117">
        <v>326400000</v>
      </c>
      <c r="V114" s="117">
        <v>0</v>
      </c>
      <c r="W114" s="94">
        <f t="shared" si="37"/>
        <v>0</v>
      </c>
      <c r="X114" s="94">
        <f t="shared" si="38"/>
        <v>0</v>
      </c>
      <c r="Y114" s="94">
        <f t="shared" si="39"/>
        <v>0</v>
      </c>
      <c r="Z114" s="93">
        <f>_xlfn.XLOOKUP(O114,'[4]2DO TRIMESTRE'!$C:$C,'[4]2DO TRIMESTRE'!$I:$I,0,0)</f>
        <v>0</v>
      </c>
      <c r="AA114" s="94">
        <f t="shared" si="40"/>
        <v>0</v>
      </c>
      <c r="AB114" s="94">
        <f t="shared" si="41"/>
        <v>0</v>
      </c>
      <c r="AC114" s="94">
        <f t="shared" si="42"/>
        <v>0</v>
      </c>
      <c r="AD114" s="93">
        <v>0</v>
      </c>
      <c r="AE114" s="94">
        <f t="shared" si="43"/>
        <v>0</v>
      </c>
      <c r="AF114" s="94">
        <f t="shared" si="44"/>
        <v>0</v>
      </c>
      <c r="AG114" s="94">
        <f t="shared" si="45"/>
        <v>0</v>
      </c>
      <c r="AH114" s="117">
        <v>0</v>
      </c>
      <c r="AI114" s="94">
        <f t="shared" si="31"/>
        <v>0</v>
      </c>
      <c r="AJ114" s="94">
        <f t="shared" si="32"/>
        <v>0</v>
      </c>
      <c r="AK114" s="94">
        <f t="shared" si="33"/>
        <v>0</v>
      </c>
      <c r="AL114" s="93">
        <v>34971429</v>
      </c>
      <c r="AM114" s="93">
        <f t="shared" si="46"/>
        <v>0</v>
      </c>
      <c r="AN114" s="155"/>
      <c r="AO114" s="155"/>
    </row>
    <row r="115" spans="1:41" s="9" customFormat="1" ht="25.15" customHeight="1" x14ac:dyDescent="0.25">
      <c r="A115" s="83">
        <v>109</v>
      </c>
      <c r="B115" s="84">
        <v>2022</v>
      </c>
      <c r="C115" s="85" t="s">
        <v>839</v>
      </c>
      <c r="D115" s="86" t="s">
        <v>1051</v>
      </c>
      <c r="E115" s="86" t="s">
        <v>758</v>
      </c>
      <c r="F115" s="87">
        <v>44790</v>
      </c>
      <c r="G115" s="87">
        <v>44963</v>
      </c>
      <c r="H115" s="88">
        <f t="shared" si="34"/>
        <v>1.9222222222222223</v>
      </c>
      <c r="I115" s="89" t="s">
        <v>759</v>
      </c>
      <c r="J115" s="90" t="s">
        <v>751</v>
      </c>
      <c r="K115" s="90" t="s">
        <v>752</v>
      </c>
      <c r="L115" s="90" t="s">
        <v>753</v>
      </c>
      <c r="M115" s="91" t="s">
        <v>768</v>
      </c>
      <c r="N115" s="92" t="s">
        <v>1052</v>
      </c>
      <c r="O115" s="85">
        <v>2910906796</v>
      </c>
      <c r="P115" s="93">
        <f>+_xlfn.XLOOKUP(O115,'[3]Benef Primera fecha '!$C:$C,'[3]Benef Primera fecha '!$E:$E,0)</f>
        <v>1980959670</v>
      </c>
      <c r="Q115" s="93">
        <v>0</v>
      </c>
      <c r="R115" s="94">
        <f t="shared" si="35"/>
        <v>1980959670</v>
      </c>
      <c r="S115" s="95">
        <v>0.12000000004523061</v>
      </c>
      <c r="T115" s="94">
        <f t="shared" si="36"/>
        <v>212245679</v>
      </c>
      <c r="U115" s="117">
        <v>1980959670</v>
      </c>
      <c r="V115" s="117">
        <v>0</v>
      </c>
      <c r="W115" s="94">
        <f t="shared" si="37"/>
        <v>0</v>
      </c>
      <c r="X115" s="94">
        <f t="shared" si="38"/>
        <v>0</v>
      </c>
      <c r="Y115" s="94">
        <f t="shared" si="39"/>
        <v>0</v>
      </c>
      <c r="Z115" s="93">
        <f>_xlfn.XLOOKUP(O115,'[4]2DO TRIMESTRE'!$C:$C,'[4]2DO TRIMESTRE'!$I:$I,0,0)</f>
        <v>0</v>
      </c>
      <c r="AA115" s="94">
        <f t="shared" si="40"/>
        <v>0</v>
      </c>
      <c r="AB115" s="94">
        <f t="shared" si="41"/>
        <v>0</v>
      </c>
      <c r="AC115" s="94">
        <f t="shared" si="42"/>
        <v>0</v>
      </c>
      <c r="AD115" s="93">
        <v>0</v>
      </c>
      <c r="AE115" s="94">
        <f t="shared" si="43"/>
        <v>0</v>
      </c>
      <c r="AF115" s="94">
        <f t="shared" si="44"/>
        <v>0</v>
      </c>
      <c r="AG115" s="94">
        <f t="shared" si="45"/>
        <v>0</v>
      </c>
      <c r="AH115" s="117">
        <v>0</v>
      </c>
      <c r="AI115" s="94">
        <f t="shared" si="31"/>
        <v>0</v>
      </c>
      <c r="AJ115" s="94">
        <f t="shared" si="32"/>
        <v>0</v>
      </c>
      <c r="AK115" s="94">
        <f t="shared" si="33"/>
        <v>0</v>
      </c>
      <c r="AL115" s="93">
        <v>212245679</v>
      </c>
      <c r="AM115" s="93">
        <f t="shared" si="46"/>
        <v>0</v>
      </c>
      <c r="AN115" s="155"/>
      <c r="AO115" s="155"/>
    </row>
    <row r="116" spans="1:41" s="9" customFormat="1" ht="25.15" customHeight="1" x14ac:dyDescent="0.25">
      <c r="A116" s="83">
        <v>110</v>
      </c>
      <c r="B116" s="84">
        <v>2022</v>
      </c>
      <c r="C116" s="85" t="s">
        <v>839</v>
      </c>
      <c r="D116" s="86" t="s">
        <v>1053</v>
      </c>
      <c r="E116" s="86" t="s">
        <v>777</v>
      </c>
      <c r="F116" s="87">
        <v>44792</v>
      </c>
      <c r="G116" s="87">
        <v>44985</v>
      </c>
      <c r="H116" s="88">
        <f t="shared" si="34"/>
        <v>2.1444444444444444</v>
      </c>
      <c r="I116" s="89" t="s">
        <v>750</v>
      </c>
      <c r="J116" s="90" t="s">
        <v>751</v>
      </c>
      <c r="K116" s="90" t="s">
        <v>752</v>
      </c>
      <c r="L116" s="90" t="s">
        <v>753</v>
      </c>
      <c r="M116" s="91" t="s">
        <v>768</v>
      </c>
      <c r="N116" s="92" t="s">
        <v>1054</v>
      </c>
      <c r="O116" s="85">
        <v>2453018336</v>
      </c>
      <c r="P116" s="93">
        <f>+_xlfn.XLOOKUP(O116,'[3]Benef Primera fecha '!$C:$C,'[3]Benef Primera fecha '!$E:$E,0)</f>
        <v>696232978</v>
      </c>
      <c r="Q116" s="93">
        <v>0</v>
      </c>
      <c r="R116" s="94">
        <f t="shared" si="35"/>
        <v>696232978</v>
      </c>
      <c r="S116" s="95">
        <v>0.12000000090084788</v>
      </c>
      <c r="T116" s="94">
        <f t="shared" si="36"/>
        <v>74596391</v>
      </c>
      <c r="U116" s="117">
        <v>573692161</v>
      </c>
      <c r="V116" s="117">
        <v>0</v>
      </c>
      <c r="W116" s="94">
        <f t="shared" si="37"/>
        <v>0</v>
      </c>
      <c r="X116" s="94">
        <f t="shared" si="38"/>
        <v>0</v>
      </c>
      <c r="Y116" s="94">
        <f t="shared" si="39"/>
        <v>0</v>
      </c>
      <c r="Z116" s="93">
        <f>_xlfn.XLOOKUP(O116,'[4]2DO TRIMESTRE'!$C:$C,'[4]2DO TRIMESTRE'!$I:$I,0,0)</f>
        <v>0</v>
      </c>
      <c r="AA116" s="94">
        <f t="shared" si="40"/>
        <v>0</v>
      </c>
      <c r="AB116" s="94">
        <f t="shared" si="41"/>
        <v>0</v>
      </c>
      <c r="AC116" s="94">
        <f t="shared" si="42"/>
        <v>0</v>
      </c>
      <c r="AD116" s="93">
        <v>0</v>
      </c>
      <c r="AE116" s="94">
        <f t="shared" si="43"/>
        <v>0</v>
      </c>
      <c r="AF116" s="94">
        <f t="shared" si="44"/>
        <v>0</v>
      </c>
      <c r="AG116" s="94">
        <f t="shared" si="45"/>
        <v>0</v>
      </c>
      <c r="AH116" s="117">
        <v>0</v>
      </c>
      <c r="AI116" s="94">
        <f t="shared" si="31"/>
        <v>0</v>
      </c>
      <c r="AJ116" s="94">
        <f t="shared" si="32"/>
        <v>0</v>
      </c>
      <c r="AK116" s="94">
        <f t="shared" si="33"/>
        <v>0</v>
      </c>
      <c r="AL116" s="93">
        <v>74596391</v>
      </c>
      <c r="AM116" s="93">
        <f t="shared" si="46"/>
        <v>0</v>
      </c>
      <c r="AN116" s="155"/>
      <c r="AO116" s="155"/>
    </row>
    <row r="117" spans="1:41" s="9" customFormat="1" ht="25.15" customHeight="1" x14ac:dyDescent="0.25">
      <c r="A117" s="83">
        <v>111</v>
      </c>
      <c r="B117" s="84">
        <v>2022</v>
      </c>
      <c r="C117" s="85" t="s">
        <v>782</v>
      </c>
      <c r="D117" s="86" t="s">
        <v>1055</v>
      </c>
      <c r="E117" s="86" t="s">
        <v>777</v>
      </c>
      <c r="F117" s="87">
        <v>44795</v>
      </c>
      <c r="G117" s="87">
        <v>45088</v>
      </c>
      <c r="H117" s="88">
        <f t="shared" si="34"/>
        <v>3.2555555555555555</v>
      </c>
      <c r="I117" s="89" t="s">
        <v>750</v>
      </c>
      <c r="J117" s="90" t="s">
        <v>751</v>
      </c>
      <c r="K117" s="90" t="s">
        <v>752</v>
      </c>
      <c r="L117" s="90" t="s">
        <v>753</v>
      </c>
      <c r="M117" s="91" t="s">
        <v>1056</v>
      </c>
      <c r="N117" s="92" t="s">
        <v>1057</v>
      </c>
      <c r="O117" s="85">
        <v>2453018337</v>
      </c>
      <c r="P117" s="93">
        <f>+_xlfn.XLOOKUP(O117,'[3]Benef Primera fecha '!$C:$C,'[3]Benef Primera fecha '!$E:$E,0)</f>
        <v>1746041438</v>
      </c>
      <c r="Q117" s="93">
        <v>0</v>
      </c>
      <c r="R117" s="94">
        <f t="shared" si="35"/>
        <v>1746041438</v>
      </c>
      <c r="S117" s="95">
        <v>0.12</v>
      </c>
      <c r="T117" s="94">
        <f t="shared" si="36"/>
        <v>187075868.35714284</v>
      </c>
      <c r="U117" s="117">
        <v>1670280606</v>
      </c>
      <c r="V117" s="117">
        <v>0</v>
      </c>
      <c r="W117" s="94">
        <f t="shared" si="37"/>
        <v>0</v>
      </c>
      <c r="X117" s="94">
        <f t="shared" si="38"/>
        <v>0</v>
      </c>
      <c r="Y117" s="94">
        <f t="shared" si="39"/>
        <v>0</v>
      </c>
      <c r="Z117" s="93">
        <f>_xlfn.XLOOKUP(O117,'[4]2DO TRIMESTRE'!$C:$C,'[4]2DO TRIMESTRE'!$I:$I,0,0)</f>
        <v>0</v>
      </c>
      <c r="AA117" s="94">
        <f t="shared" si="40"/>
        <v>0</v>
      </c>
      <c r="AB117" s="94">
        <f t="shared" si="41"/>
        <v>0</v>
      </c>
      <c r="AC117" s="94">
        <f t="shared" si="42"/>
        <v>0</v>
      </c>
      <c r="AD117" s="93">
        <v>0</v>
      </c>
      <c r="AE117" s="94">
        <f t="shared" si="43"/>
        <v>0</v>
      </c>
      <c r="AF117" s="94">
        <f t="shared" si="44"/>
        <v>0</v>
      </c>
      <c r="AG117" s="94">
        <f t="shared" si="45"/>
        <v>0</v>
      </c>
      <c r="AH117" s="117">
        <v>0</v>
      </c>
      <c r="AI117" s="94">
        <f t="shared" si="31"/>
        <v>0</v>
      </c>
      <c r="AJ117" s="94">
        <f t="shared" si="32"/>
        <v>0</v>
      </c>
      <c r="AK117" s="94">
        <f t="shared" si="33"/>
        <v>0</v>
      </c>
      <c r="AL117" s="93">
        <v>178958636</v>
      </c>
      <c r="AM117" s="93">
        <f t="shared" si="46"/>
        <v>0</v>
      </c>
      <c r="AN117" s="155"/>
      <c r="AO117" s="155"/>
    </row>
    <row r="118" spans="1:41" s="9" customFormat="1" ht="25.15" customHeight="1" x14ac:dyDescent="0.25">
      <c r="A118" s="83">
        <v>112</v>
      </c>
      <c r="B118" s="84">
        <v>2022</v>
      </c>
      <c r="C118" s="85" t="s">
        <v>900</v>
      </c>
      <c r="D118" s="86" t="s">
        <v>1058</v>
      </c>
      <c r="E118" s="86" t="s">
        <v>777</v>
      </c>
      <c r="F118" s="87">
        <v>44795</v>
      </c>
      <c r="G118" s="87">
        <v>45100</v>
      </c>
      <c r="H118" s="88">
        <f t="shared" si="34"/>
        <v>3.3888888888888888</v>
      </c>
      <c r="I118" s="89" t="s">
        <v>759</v>
      </c>
      <c r="J118" s="90" t="s">
        <v>751</v>
      </c>
      <c r="K118" s="90" t="s">
        <v>752</v>
      </c>
      <c r="L118" s="90" t="s">
        <v>753</v>
      </c>
      <c r="M118" s="91" t="s">
        <v>1059</v>
      </c>
      <c r="N118" s="92" t="s">
        <v>1060</v>
      </c>
      <c r="O118" s="85">
        <v>2453018339</v>
      </c>
      <c r="P118" s="93">
        <v>492800000</v>
      </c>
      <c r="Q118" s="93">
        <v>0</v>
      </c>
      <c r="R118" s="94">
        <f t="shared" si="35"/>
        <v>492800000</v>
      </c>
      <c r="S118" s="95">
        <v>0.12</v>
      </c>
      <c r="T118" s="94">
        <f t="shared" si="36"/>
        <v>52799999.999999993</v>
      </c>
      <c r="U118" s="117">
        <v>0</v>
      </c>
      <c r="V118" s="117">
        <v>0</v>
      </c>
      <c r="W118" s="94">
        <f t="shared" si="37"/>
        <v>0</v>
      </c>
      <c r="X118" s="94">
        <f t="shared" si="38"/>
        <v>0</v>
      </c>
      <c r="Y118" s="94">
        <f t="shared" si="39"/>
        <v>0</v>
      </c>
      <c r="Z118" s="93">
        <f>_xlfn.XLOOKUP(O118,'[4]2DO TRIMESTRE'!$C:$C,'[4]2DO TRIMESTRE'!$I:$I,0,0)</f>
        <v>0</v>
      </c>
      <c r="AA118" s="94">
        <f t="shared" si="40"/>
        <v>0</v>
      </c>
      <c r="AB118" s="94">
        <f t="shared" si="41"/>
        <v>0</v>
      </c>
      <c r="AC118" s="94">
        <f t="shared" si="42"/>
        <v>0</v>
      </c>
      <c r="AD118" s="93">
        <v>0</v>
      </c>
      <c r="AE118" s="94">
        <f t="shared" si="43"/>
        <v>0</v>
      </c>
      <c r="AF118" s="94">
        <f t="shared" si="44"/>
        <v>0</v>
      </c>
      <c r="AG118" s="94">
        <f t="shared" si="45"/>
        <v>0</v>
      </c>
      <c r="AH118" s="117">
        <v>0</v>
      </c>
      <c r="AI118" s="94">
        <f t="shared" si="31"/>
        <v>0</v>
      </c>
      <c r="AJ118" s="94">
        <f t="shared" si="32"/>
        <v>0</v>
      </c>
      <c r="AK118" s="94">
        <f t="shared" si="33"/>
        <v>0</v>
      </c>
      <c r="AL118" s="93">
        <v>0</v>
      </c>
      <c r="AM118" s="93">
        <f t="shared" si="46"/>
        <v>0</v>
      </c>
      <c r="AN118" s="155"/>
      <c r="AO118" s="155"/>
    </row>
    <row r="119" spans="1:41" s="9" customFormat="1" ht="25.15" customHeight="1" x14ac:dyDescent="0.25">
      <c r="A119" s="83">
        <v>113</v>
      </c>
      <c r="B119" s="84">
        <v>2022</v>
      </c>
      <c r="C119" s="85" t="s">
        <v>1061</v>
      </c>
      <c r="D119" s="86" t="s">
        <v>1062</v>
      </c>
      <c r="E119" s="86" t="s">
        <v>758</v>
      </c>
      <c r="F119" s="87">
        <v>44796</v>
      </c>
      <c r="G119" s="87">
        <v>45080</v>
      </c>
      <c r="H119" s="88">
        <f t="shared" si="34"/>
        <v>3.1555555555555554</v>
      </c>
      <c r="I119" s="89" t="s">
        <v>759</v>
      </c>
      <c r="J119" s="90" t="s">
        <v>751</v>
      </c>
      <c r="K119" s="90" t="s">
        <v>752</v>
      </c>
      <c r="L119" s="90" t="s">
        <v>753</v>
      </c>
      <c r="M119" s="91" t="s">
        <v>1059</v>
      </c>
      <c r="N119" s="92" t="s">
        <v>1063</v>
      </c>
      <c r="O119" s="85">
        <v>2910906797</v>
      </c>
      <c r="P119" s="93">
        <f>+_xlfn.XLOOKUP(O119,'[3]Benef Primera fecha '!$C:$C,'[3]Benef Primera fecha '!$E:$E,0)</f>
        <v>349990900</v>
      </c>
      <c r="Q119" s="93">
        <v>0</v>
      </c>
      <c r="R119" s="94">
        <f t="shared" si="35"/>
        <v>349990900</v>
      </c>
      <c r="S119" s="95">
        <v>0.12</v>
      </c>
      <c r="T119" s="94">
        <f t="shared" si="36"/>
        <v>37499025</v>
      </c>
      <c r="U119" s="117">
        <v>261037481</v>
      </c>
      <c r="V119" s="117">
        <v>0</v>
      </c>
      <c r="W119" s="94">
        <f t="shared" si="37"/>
        <v>0</v>
      </c>
      <c r="X119" s="94">
        <f t="shared" si="38"/>
        <v>0</v>
      </c>
      <c r="Y119" s="94">
        <f t="shared" si="39"/>
        <v>0</v>
      </c>
      <c r="Z119" s="93">
        <f>_xlfn.XLOOKUP(O119,'[4]2DO TRIMESTRE'!$C:$C,'[4]2DO TRIMESTRE'!$I:$I,0,0)</f>
        <v>0</v>
      </c>
      <c r="AA119" s="94">
        <f t="shared" si="40"/>
        <v>0</v>
      </c>
      <c r="AB119" s="94">
        <f t="shared" si="41"/>
        <v>0</v>
      </c>
      <c r="AC119" s="94">
        <f t="shared" si="42"/>
        <v>0</v>
      </c>
      <c r="AD119" s="93">
        <v>0</v>
      </c>
      <c r="AE119" s="94">
        <f t="shared" si="43"/>
        <v>0</v>
      </c>
      <c r="AF119" s="94">
        <f t="shared" si="44"/>
        <v>0</v>
      </c>
      <c r="AG119" s="94">
        <f t="shared" si="45"/>
        <v>0</v>
      </c>
      <c r="AH119" s="117">
        <v>0</v>
      </c>
      <c r="AI119" s="94">
        <f t="shared" si="31"/>
        <v>0</v>
      </c>
      <c r="AJ119" s="94">
        <f t="shared" si="32"/>
        <v>0</v>
      </c>
      <c r="AK119" s="94">
        <f t="shared" si="33"/>
        <v>0</v>
      </c>
      <c r="AL119" s="93">
        <v>27968302</v>
      </c>
      <c r="AM119" s="93">
        <f t="shared" si="46"/>
        <v>0</v>
      </c>
      <c r="AN119" s="155"/>
      <c r="AO119" s="155"/>
    </row>
    <row r="120" spans="1:41" s="9" customFormat="1" ht="25.15" customHeight="1" x14ac:dyDescent="0.25">
      <c r="A120" s="83">
        <v>114</v>
      </c>
      <c r="B120" s="84">
        <v>2022</v>
      </c>
      <c r="C120" s="85" t="s">
        <v>747</v>
      </c>
      <c r="D120" s="86" t="s">
        <v>1064</v>
      </c>
      <c r="E120" s="86" t="s">
        <v>749</v>
      </c>
      <c r="F120" s="87">
        <v>44804</v>
      </c>
      <c r="G120" s="87">
        <v>44854</v>
      </c>
      <c r="H120" s="88">
        <f t="shared" si="34"/>
        <v>0.55555555555555558</v>
      </c>
      <c r="I120" s="89" t="s">
        <v>759</v>
      </c>
      <c r="J120" s="90" t="s">
        <v>751</v>
      </c>
      <c r="K120" s="90" t="s">
        <v>752</v>
      </c>
      <c r="L120" s="90" t="s">
        <v>753</v>
      </c>
      <c r="M120" s="91" t="s">
        <v>754</v>
      </c>
      <c r="N120" s="92" t="s">
        <v>1065</v>
      </c>
      <c r="O120" s="85">
        <v>2910908064</v>
      </c>
      <c r="P120" s="93">
        <f>+_xlfn.XLOOKUP(O120,'[3]Benef Primera fecha '!$C:$C,'[3]Benef Primera fecha '!$E:$E,0)</f>
        <v>9650000</v>
      </c>
      <c r="Q120" s="93">
        <v>0</v>
      </c>
      <c r="R120" s="94">
        <f t="shared" si="35"/>
        <v>9650000</v>
      </c>
      <c r="S120" s="95">
        <v>0.12</v>
      </c>
      <c r="T120" s="94">
        <f t="shared" si="36"/>
        <v>1033928.5714285712</v>
      </c>
      <c r="U120" s="117">
        <v>9650000</v>
      </c>
      <c r="V120" s="117">
        <v>0</v>
      </c>
      <c r="W120" s="94">
        <f t="shared" si="37"/>
        <v>0</v>
      </c>
      <c r="X120" s="94">
        <f t="shared" si="38"/>
        <v>0</v>
      </c>
      <c r="Y120" s="94">
        <f t="shared" si="39"/>
        <v>0</v>
      </c>
      <c r="Z120" s="93">
        <f>_xlfn.XLOOKUP(O120,'[4]2DO TRIMESTRE'!$C:$C,'[4]2DO TRIMESTRE'!$I:$I,0,0)</f>
        <v>0</v>
      </c>
      <c r="AA120" s="94">
        <f t="shared" si="40"/>
        <v>0</v>
      </c>
      <c r="AB120" s="94">
        <f t="shared" si="41"/>
        <v>0</v>
      </c>
      <c r="AC120" s="94">
        <f t="shared" si="42"/>
        <v>0</v>
      </c>
      <c r="AD120" s="93">
        <v>0</v>
      </c>
      <c r="AE120" s="94">
        <f t="shared" si="43"/>
        <v>0</v>
      </c>
      <c r="AF120" s="94">
        <f t="shared" si="44"/>
        <v>0</v>
      </c>
      <c r="AG120" s="94">
        <f t="shared" si="45"/>
        <v>0</v>
      </c>
      <c r="AH120" s="117">
        <v>0</v>
      </c>
      <c r="AI120" s="94">
        <f t="shared" si="31"/>
        <v>0</v>
      </c>
      <c r="AJ120" s="94">
        <f t="shared" si="32"/>
        <v>0</v>
      </c>
      <c r="AK120" s="94">
        <f t="shared" si="33"/>
        <v>0</v>
      </c>
      <c r="AL120" s="93">
        <v>1033929</v>
      </c>
      <c r="AM120" s="93">
        <f t="shared" si="46"/>
        <v>0</v>
      </c>
      <c r="AN120" s="155"/>
      <c r="AO120" s="155"/>
    </row>
    <row r="121" spans="1:41" s="9" customFormat="1" ht="25.15" customHeight="1" x14ac:dyDescent="0.25">
      <c r="A121" s="83">
        <v>115</v>
      </c>
      <c r="B121" s="84">
        <v>2022</v>
      </c>
      <c r="C121" s="85" t="s">
        <v>1066</v>
      </c>
      <c r="D121" s="86" t="s">
        <v>1067</v>
      </c>
      <c r="E121" s="86" t="s">
        <v>758</v>
      </c>
      <c r="F121" s="87">
        <v>44812</v>
      </c>
      <c r="G121" s="87">
        <v>44919</v>
      </c>
      <c r="H121" s="88">
        <f t="shared" si="34"/>
        <v>1.1888888888888889</v>
      </c>
      <c r="I121" s="89" t="s">
        <v>759</v>
      </c>
      <c r="J121" s="90" t="s">
        <v>751</v>
      </c>
      <c r="K121" s="90" t="s">
        <v>752</v>
      </c>
      <c r="L121" s="90" t="s">
        <v>753</v>
      </c>
      <c r="M121" s="91" t="s">
        <v>768</v>
      </c>
      <c r="N121" s="92" t="s">
        <v>1068</v>
      </c>
      <c r="O121" s="85">
        <v>2910906795</v>
      </c>
      <c r="P121" s="93">
        <v>28000000</v>
      </c>
      <c r="Q121" s="93">
        <v>0</v>
      </c>
      <c r="R121" s="94">
        <f t="shared" si="35"/>
        <v>28000000</v>
      </c>
      <c r="S121" s="95">
        <v>0.12</v>
      </c>
      <c r="T121" s="94">
        <f t="shared" si="36"/>
        <v>2999999.9999999995</v>
      </c>
      <c r="U121" s="117">
        <v>0</v>
      </c>
      <c r="V121" s="117">
        <v>0</v>
      </c>
      <c r="W121" s="94">
        <f t="shared" si="37"/>
        <v>0</v>
      </c>
      <c r="X121" s="94">
        <f t="shared" si="38"/>
        <v>0</v>
      </c>
      <c r="Y121" s="94">
        <f t="shared" si="39"/>
        <v>0</v>
      </c>
      <c r="Z121" s="93">
        <f>_xlfn.XLOOKUP(O121,'[4]2DO TRIMESTRE'!$C:$C,'[4]2DO TRIMESTRE'!$I:$I,0,0)</f>
        <v>0</v>
      </c>
      <c r="AA121" s="94">
        <f t="shared" si="40"/>
        <v>0</v>
      </c>
      <c r="AB121" s="94">
        <f t="shared" si="41"/>
        <v>0</v>
      </c>
      <c r="AC121" s="94">
        <f t="shared" si="42"/>
        <v>0</v>
      </c>
      <c r="AD121" s="93">
        <v>0</v>
      </c>
      <c r="AE121" s="94">
        <f t="shared" si="43"/>
        <v>0</v>
      </c>
      <c r="AF121" s="94">
        <f t="shared" si="44"/>
        <v>0</v>
      </c>
      <c r="AG121" s="94">
        <f t="shared" si="45"/>
        <v>0</v>
      </c>
      <c r="AH121" s="117">
        <v>0</v>
      </c>
      <c r="AI121" s="94">
        <f t="shared" si="31"/>
        <v>0</v>
      </c>
      <c r="AJ121" s="94">
        <f t="shared" si="32"/>
        <v>0</v>
      </c>
      <c r="AK121" s="94">
        <f t="shared" si="33"/>
        <v>0</v>
      </c>
      <c r="AL121" s="93">
        <v>0</v>
      </c>
      <c r="AM121" s="93">
        <f t="shared" si="46"/>
        <v>0</v>
      </c>
      <c r="AN121" s="155"/>
      <c r="AO121" s="155"/>
    </row>
    <row r="122" spans="1:41" s="9" customFormat="1" ht="25.15" customHeight="1" x14ac:dyDescent="0.25">
      <c r="A122" s="83">
        <v>116</v>
      </c>
      <c r="B122" s="84">
        <v>2022</v>
      </c>
      <c r="C122" s="85" t="s">
        <v>1069</v>
      </c>
      <c r="D122" s="86" t="s">
        <v>1070</v>
      </c>
      <c r="E122" s="86" t="s">
        <v>777</v>
      </c>
      <c r="F122" s="87">
        <v>44816</v>
      </c>
      <c r="G122" s="87">
        <v>45008</v>
      </c>
      <c r="H122" s="88">
        <f t="shared" si="34"/>
        <v>2.1333333333333333</v>
      </c>
      <c r="I122" s="89" t="s">
        <v>750</v>
      </c>
      <c r="J122" s="90" t="s">
        <v>751</v>
      </c>
      <c r="K122" s="90" t="s">
        <v>752</v>
      </c>
      <c r="L122" s="90" t="s">
        <v>753</v>
      </c>
      <c r="M122" s="91" t="s">
        <v>768</v>
      </c>
      <c r="N122" s="92" t="s">
        <v>1071</v>
      </c>
      <c r="O122" s="85">
        <v>2453018338</v>
      </c>
      <c r="P122" s="93">
        <f>+_xlfn.XLOOKUP(O122,'[3]Benef Primera fecha '!$C:$C,'[3]Benef Primera fecha '!$E:$E,0)</f>
        <v>75000000</v>
      </c>
      <c r="Q122" s="93">
        <v>0</v>
      </c>
      <c r="R122" s="94">
        <f t="shared" si="35"/>
        <v>75000000</v>
      </c>
      <c r="S122" s="95">
        <v>0.10877896293272095</v>
      </c>
      <c r="T122" s="94">
        <f t="shared" si="36"/>
        <v>7358024</v>
      </c>
      <c r="U122" s="117">
        <v>75000000</v>
      </c>
      <c r="V122" s="117">
        <v>0</v>
      </c>
      <c r="W122" s="94">
        <f t="shared" si="37"/>
        <v>0</v>
      </c>
      <c r="X122" s="94">
        <f t="shared" si="38"/>
        <v>0</v>
      </c>
      <c r="Y122" s="94">
        <f t="shared" si="39"/>
        <v>0</v>
      </c>
      <c r="Z122" s="93">
        <f>_xlfn.XLOOKUP(O122,'[4]2DO TRIMESTRE'!$C:$C,'[4]2DO TRIMESTRE'!$I:$I,0,0)</f>
        <v>0</v>
      </c>
      <c r="AA122" s="94">
        <f t="shared" si="40"/>
        <v>0</v>
      </c>
      <c r="AB122" s="94">
        <f t="shared" si="41"/>
        <v>0</v>
      </c>
      <c r="AC122" s="94">
        <f t="shared" si="42"/>
        <v>0</v>
      </c>
      <c r="AD122" s="93">
        <v>0</v>
      </c>
      <c r="AE122" s="94">
        <f t="shared" si="43"/>
        <v>0</v>
      </c>
      <c r="AF122" s="94">
        <f t="shared" si="44"/>
        <v>0</v>
      </c>
      <c r="AG122" s="94">
        <f t="shared" si="45"/>
        <v>0</v>
      </c>
      <c r="AH122" s="117">
        <v>0</v>
      </c>
      <c r="AI122" s="94">
        <f t="shared" si="31"/>
        <v>0</v>
      </c>
      <c r="AJ122" s="94">
        <f t="shared" si="32"/>
        <v>0</v>
      </c>
      <c r="AK122" s="94">
        <f t="shared" si="33"/>
        <v>0</v>
      </c>
      <c r="AL122" s="93">
        <v>7358024</v>
      </c>
      <c r="AM122" s="93">
        <f t="shared" si="46"/>
        <v>0</v>
      </c>
      <c r="AN122" s="155"/>
      <c r="AO122" s="155"/>
    </row>
    <row r="123" spans="1:41" s="9" customFormat="1" ht="25.15" customHeight="1" x14ac:dyDescent="0.25">
      <c r="A123" s="83">
        <v>117</v>
      </c>
      <c r="B123" s="84">
        <v>2022</v>
      </c>
      <c r="C123" s="85" t="s">
        <v>747</v>
      </c>
      <c r="D123" s="86" t="s">
        <v>1072</v>
      </c>
      <c r="E123" s="86" t="s">
        <v>749</v>
      </c>
      <c r="F123" s="87">
        <v>44817</v>
      </c>
      <c r="G123" s="87">
        <v>44841</v>
      </c>
      <c r="H123" s="88">
        <f t="shared" si="34"/>
        <v>0.26666666666666666</v>
      </c>
      <c r="I123" s="89" t="s">
        <v>750</v>
      </c>
      <c r="J123" s="90" t="s">
        <v>751</v>
      </c>
      <c r="K123" s="90" t="s">
        <v>752</v>
      </c>
      <c r="L123" s="90" t="s">
        <v>753</v>
      </c>
      <c r="M123" s="91" t="s">
        <v>754</v>
      </c>
      <c r="N123" s="92" t="s">
        <v>1073</v>
      </c>
      <c r="O123" s="85">
        <v>2910906792</v>
      </c>
      <c r="P123" s="93">
        <f>+_xlfn.XLOOKUP(O123,'[3]Benef Primera fecha '!$C:$C,'[3]Benef Primera fecha '!$E:$E,0)</f>
        <v>7014816</v>
      </c>
      <c r="Q123" s="93">
        <v>0</v>
      </c>
      <c r="R123" s="94">
        <f t="shared" si="35"/>
        <v>7014816</v>
      </c>
      <c r="S123" s="95">
        <v>0.1199999233622146</v>
      </c>
      <c r="T123" s="94">
        <f t="shared" si="36"/>
        <v>751587</v>
      </c>
      <c r="U123" s="117">
        <v>7014816</v>
      </c>
      <c r="V123" s="117">
        <v>0</v>
      </c>
      <c r="W123" s="94">
        <f t="shared" si="37"/>
        <v>0</v>
      </c>
      <c r="X123" s="94">
        <f t="shared" si="38"/>
        <v>0</v>
      </c>
      <c r="Y123" s="94">
        <f t="shared" si="39"/>
        <v>0</v>
      </c>
      <c r="Z123" s="93">
        <f>_xlfn.XLOOKUP(O123,'[4]2DO TRIMESTRE'!$C:$C,'[4]2DO TRIMESTRE'!$I:$I,0,0)</f>
        <v>0</v>
      </c>
      <c r="AA123" s="94">
        <f t="shared" si="40"/>
        <v>0</v>
      </c>
      <c r="AB123" s="94">
        <f t="shared" si="41"/>
        <v>0</v>
      </c>
      <c r="AC123" s="94">
        <f t="shared" si="42"/>
        <v>0</v>
      </c>
      <c r="AD123" s="93">
        <v>0</v>
      </c>
      <c r="AE123" s="94">
        <f t="shared" si="43"/>
        <v>0</v>
      </c>
      <c r="AF123" s="94">
        <f t="shared" si="44"/>
        <v>0</v>
      </c>
      <c r="AG123" s="94">
        <f t="shared" si="45"/>
        <v>0</v>
      </c>
      <c r="AH123" s="117">
        <v>0</v>
      </c>
      <c r="AI123" s="94">
        <f t="shared" si="31"/>
        <v>0</v>
      </c>
      <c r="AJ123" s="94">
        <f t="shared" si="32"/>
        <v>0</v>
      </c>
      <c r="AK123" s="94">
        <f t="shared" si="33"/>
        <v>0</v>
      </c>
      <c r="AL123" s="93">
        <v>751587</v>
      </c>
      <c r="AM123" s="93">
        <f t="shared" si="46"/>
        <v>0</v>
      </c>
      <c r="AN123" s="155"/>
      <c r="AO123" s="155"/>
    </row>
    <row r="124" spans="1:41" s="9" customFormat="1" ht="25.15" customHeight="1" x14ac:dyDescent="0.25">
      <c r="A124" s="83">
        <v>118</v>
      </c>
      <c r="B124" s="84">
        <v>2022</v>
      </c>
      <c r="C124" s="85" t="s">
        <v>747</v>
      </c>
      <c r="D124" s="86" t="s">
        <v>1074</v>
      </c>
      <c r="E124" s="86" t="s">
        <v>749</v>
      </c>
      <c r="F124" s="87">
        <v>44819</v>
      </c>
      <c r="G124" s="87">
        <v>45367</v>
      </c>
      <c r="H124" s="88">
        <f t="shared" si="34"/>
        <v>6.0888888888888886</v>
      </c>
      <c r="I124" s="89" t="s">
        <v>759</v>
      </c>
      <c r="J124" s="90" t="s">
        <v>751</v>
      </c>
      <c r="K124" s="90" t="s">
        <v>752</v>
      </c>
      <c r="L124" s="90" t="s">
        <v>753</v>
      </c>
      <c r="M124" s="91" t="s">
        <v>754</v>
      </c>
      <c r="N124" s="92" t="s">
        <v>1075</v>
      </c>
      <c r="O124" s="85">
        <v>2910908071</v>
      </c>
      <c r="P124" s="93">
        <f>+_xlfn.XLOOKUP(O124,'[3]Benef Primera fecha '!$C:$C,'[3]Benef Primera fecha '!$E:$E,0)</f>
        <v>201985330</v>
      </c>
      <c r="Q124" s="93">
        <v>0</v>
      </c>
      <c r="R124" s="94">
        <f t="shared" si="35"/>
        <v>201985330</v>
      </c>
      <c r="S124" s="95">
        <v>0.11999999778201714</v>
      </c>
      <c r="T124" s="94">
        <f t="shared" si="36"/>
        <v>21641285</v>
      </c>
      <c r="U124" s="117">
        <v>201985330</v>
      </c>
      <c r="V124" s="117">
        <v>0</v>
      </c>
      <c r="W124" s="94">
        <f t="shared" si="37"/>
        <v>0</v>
      </c>
      <c r="X124" s="94">
        <f t="shared" si="38"/>
        <v>0</v>
      </c>
      <c r="Y124" s="94">
        <f t="shared" si="39"/>
        <v>0</v>
      </c>
      <c r="Z124" s="93">
        <f>_xlfn.XLOOKUP(O124,'[4]2DO TRIMESTRE'!$C:$C,'[4]2DO TRIMESTRE'!$I:$I,0,0)</f>
        <v>0</v>
      </c>
      <c r="AA124" s="94">
        <f t="shared" si="40"/>
        <v>0</v>
      </c>
      <c r="AB124" s="94">
        <f t="shared" si="41"/>
        <v>0</v>
      </c>
      <c r="AC124" s="94">
        <f t="shared" si="42"/>
        <v>0</v>
      </c>
      <c r="AD124" s="93">
        <v>0</v>
      </c>
      <c r="AE124" s="94">
        <f t="shared" si="43"/>
        <v>0</v>
      </c>
      <c r="AF124" s="94">
        <f t="shared" si="44"/>
        <v>0</v>
      </c>
      <c r="AG124" s="94">
        <f t="shared" si="45"/>
        <v>0</v>
      </c>
      <c r="AH124" s="117">
        <v>0</v>
      </c>
      <c r="AI124" s="94">
        <f t="shared" si="31"/>
        <v>0</v>
      </c>
      <c r="AJ124" s="94">
        <f t="shared" si="32"/>
        <v>0</v>
      </c>
      <c r="AK124" s="94">
        <f t="shared" si="33"/>
        <v>0</v>
      </c>
      <c r="AL124" s="93">
        <v>21641285</v>
      </c>
      <c r="AM124" s="93">
        <f t="shared" si="46"/>
        <v>0</v>
      </c>
      <c r="AN124" s="155"/>
      <c r="AO124" s="155"/>
    </row>
    <row r="125" spans="1:41" s="9" customFormat="1" ht="25.15" customHeight="1" x14ac:dyDescent="0.25">
      <c r="A125" s="83">
        <v>119</v>
      </c>
      <c r="B125" s="84">
        <v>2022</v>
      </c>
      <c r="C125" s="85" t="s">
        <v>814</v>
      </c>
      <c r="D125" s="86" t="s">
        <v>1076</v>
      </c>
      <c r="E125" s="86" t="s">
        <v>758</v>
      </c>
      <c r="F125" s="87">
        <v>44825</v>
      </c>
      <c r="G125" s="87"/>
      <c r="H125" s="88">
        <f t="shared" si="34"/>
        <v>-498.05555555555554</v>
      </c>
      <c r="I125" s="89" t="s">
        <v>1077</v>
      </c>
      <c r="J125" s="90" t="s">
        <v>751</v>
      </c>
      <c r="K125" s="90" t="s">
        <v>752</v>
      </c>
      <c r="L125" s="90" t="s">
        <v>753</v>
      </c>
      <c r="M125" s="91" t="s">
        <v>1059</v>
      </c>
      <c r="N125" s="92" t="s">
        <v>1078</v>
      </c>
      <c r="O125" s="85">
        <v>2910907215</v>
      </c>
      <c r="P125" s="93">
        <v>38163650</v>
      </c>
      <c r="Q125" s="93">
        <v>0</v>
      </c>
      <c r="R125" s="94">
        <f t="shared" si="35"/>
        <v>38163650</v>
      </c>
      <c r="S125" s="95">
        <v>0</v>
      </c>
      <c r="T125" s="94">
        <f t="shared" si="36"/>
        <v>0</v>
      </c>
      <c r="U125" s="117">
        <v>0</v>
      </c>
      <c r="V125" s="117">
        <v>0</v>
      </c>
      <c r="W125" s="94">
        <f t="shared" si="37"/>
        <v>0</v>
      </c>
      <c r="X125" s="94">
        <f t="shared" si="38"/>
        <v>0</v>
      </c>
      <c r="Y125" s="94">
        <f t="shared" si="39"/>
        <v>0</v>
      </c>
      <c r="Z125" s="93">
        <f>_xlfn.XLOOKUP(O125,'[4]2DO TRIMESTRE'!$C:$C,'[4]2DO TRIMESTRE'!$I:$I,0,0)</f>
        <v>0</v>
      </c>
      <c r="AA125" s="94">
        <f t="shared" si="40"/>
        <v>0</v>
      </c>
      <c r="AB125" s="94">
        <f t="shared" si="41"/>
        <v>0</v>
      </c>
      <c r="AC125" s="94">
        <f t="shared" si="42"/>
        <v>0</v>
      </c>
      <c r="AD125" s="93">
        <v>0</v>
      </c>
      <c r="AE125" s="94">
        <f t="shared" si="43"/>
        <v>0</v>
      </c>
      <c r="AF125" s="94">
        <f t="shared" si="44"/>
        <v>0</v>
      </c>
      <c r="AG125" s="94">
        <f t="shared" si="45"/>
        <v>0</v>
      </c>
      <c r="AH125" s="117">
        <v>0</v>
      </c>
      <c r="AI125" s="94">
        <f t="shared" si="31"/>
        <v>0</v>
      </c>
      <c r="AJ125" s="94">
        <f t="shared" si="32"/>
        <v>0</v>
      </c>
      <c r="AK125" s="94">
        <f t="shared" si="33"/>
        <v>0</v>
      </c>
      <c r="AL125" s="93">
        <v>0</v>
      </c>
      <c r="AM125" s="93">
        <f t="shared" si="46"/>
        <v>0</v>
      </c>
      <c r="AN125" s="155" t="s">
        <v>800</v>
      </c>
      <c r="AO125" s="155" t="s">
        <v>800</v>
      </c>
    </row>
    <row r="126" spans="1:41" s="9" customFormat="1" ht="25.15" customHeight="1" x14ac:dyDescent="0.25">
      <c r="A126" s="83">
        <v>120</v>
      </c>
      <c r="B126" s="84">
        <v>2022</v>
      </c>
      <c r="C126" s="85" t="s">
        <v>747</v>
      </c>
      <c r="D126" s="86" t="s">
        <v>1079</v>
      </c>
      <c r="E126" s="86" t="s">
        <v>749</v>
      </c>
      <c r="F126" s="87">
        <v>44826</v>
      </c>
      <c r="G126" s="87">
        <v>45190</v>
      </c>
      <c r="H126" s="88">
        <f t="shared" si="34"/>
        <v>4.0444444444444443</v>
      </c>
      <c r="I126" s="89" t="s">
        <v>759</v>
      </c>
      <c r="J126" s="90" t="s">
        <v>751</v>
      </c>
      <c r="K126" s="90" t="s">
        <v>752</v>
      </c>
      <c r="L126" s="90" t="s">
        <v>753</v>
      </c>
      <c r="M126" s="91" t="s">
        <v>754</v>
      </c>
      <c r="N126" s="92" t="s">
        <v>1080</v>
      </c>
      <c r="O126" s="85">
        <v>2910908060</v>
      </c>
      <c r="P126" s="93">
        <f>+_xlfn.XLOOKUP(O126,'[3]Benef Primera fecha '!$C:$C,'[3]Benef Primera fecha '!$E:$E,0)</f>
        <v>411529874</v>
      </c>
      <c r="Q126" s="93">
        <v>0</v>
      </c>
      <c r="R126" s="94">
        <f t="shared" si="35"/>
        <v>411529874</v>
      </c>
      <c r="S126" s="95">
        <v>0.12000000011023339</v>
      </c>
      <c r="T126" s="94">
        <f t="shared" si="36"/>
        <v>44092486.536164165</v>
      </c>
      <c r="U126" s="117">
        <v>411529874</v>
      </c>
      <c r="V126" s="117">
        <v>0</v>
      </c>
      <c r="W126" s="94">
        <f t="shared" si="37"/>
        <v>0</v>
      </c>
      <c r="X126" s="94">
        <f t="shared" si="38"/>
        <v>0</v>
      </c>
      <c r="Y126" s="94">
        <f t="shared" si="39"/>
        <v>0</v>
      </c>
      <c r="Z126" s="93">
        <f>_xlfn.XLOOKUP(O126,'[4]2DO TRIMESTRE'!$C:$C,'[4]2DO TRIMESTRE'!$I:$I,0,0)</f>
        <v>0</v>
      </c>
      <c r="AA126" s="94">
        <f t="shared" si="40"/>
        <v>0</v>
      </c>
      <c r="AB126" s="94">
        <f t="shared" si="41"/>
        <v>0</v>
      </c>
      <c r="AC126" s="94">
        <f t="shared" si="42"/>
        <v>0</v>
      </c>
      <c r="AD126" s="93">
        <v>0</v>
      </c>
      <c r="AE126" s="94">
        <f t="shared" si="43"/>
        <v>0</v>
      </c>
      <c r="AF126" s="94">
        <f t="shared" si="44"/>
        <v>0</v>
      </c>
      <c r="AG126" s="94">
        <f t="shared" si="45"/>
        <v>0</v>
      </c>
      <c r="AH126" s="117">
        <v>0</v>
      </c>
      <c r="AI126" s="94">
        <f t="shared" si="31"/>
        <v>0</v>
      </c>
      <c r="AJ126" s="94">
        <f t="shared" si="32"/>
        <v>0</v>
      </c>
      <c r="AK126" s="94">
        <f t="shared" si="33"/>
        <v>0</v>
      </c>
      <c r="AL126" s="93">
        <v>44092487</v>
      </c>
      <c r="AM126" s="93">
        <f t="shared" si="46"/>
        <v>0</v>
      </c>
      <c r="AN126" s="155"/>
      <c r="AO126" s="155"/>
    </row>
    <row r="127" spans="1:41" s="9" customFormat="1" ht="25.15" customHeight="1" x14ac:dyDescent="0.25">
      <c r="A127" s="83">
        <v>121</v>
      </c>
      <c r="B127" s="84">
        <v>2022</v>
      </c>
      <c r="C127" s="85" t="s">
        <v>747</v>
      </c>
      <c r="D127" s="86" t="s">
        <v>1081</v>
      </c>
      <c r="E127" s="86" t="s">
        <v>749</v>
      </c>
      <c r="F127" s="87">
        <v>44827</v>
      </c>
      <c r="G127" s="87">
        <v>45191</v>
      </c>
      <c r="H127" s="88">
        <f t="shared" si="34"/>
        <v>4.0444444444444443</v>
      </c>
      <c r="I127" s="89" t="s">
        <v>750</v>
      </c>
      <c r="J127" s="90" t="s">
        <v>751</v>
      </c>
      <c r="K127" s="90" t="s">
        <v>752</v>
      </c>
      <c r="L127" s="90" t="s">
        <v>753</v>
      </c>
      <c r="M127" s="91" t="s">
        <v>754</v>
      </c>
      <c r="N127" s="92" t="s">
        <v>1082</v>
      </c>
      <c r="O127" s="85">
        <v>2910908061</v>
      </c>
      <c r="P127" s="93">
        <f>+_xlfn.XLOOKUP(O127,'[3]Benef Primera fecha '!$C:$C,'[3]Benef Primera fecha '!$E:$E,0)</f>
        <v>76776000</v>
      </c>
      <c r="Q127" s="93">
        <v>0</v>
      </c>
      <c r="R127" s="94">
        <f t="shared" si="35"/>
        <v>76776000</v>
      </c>
      <c r="S127" s="95">
        <v>0.12</v>
      </c>
      <c r="T127" s="94">
        <f t="shared" si="36"/>
        <v>8226000</v>
      </c>
      <c r="U127" s="117">
        <v>76776000</v>
      </c>
      <c r="V127" s="117">
        <v>0</v>
      </c>
      <c r="W127" s="94">
        <f t="shared" si="37"/>
        <v>0</v>
      </c>
      <c r="X127" s="94">
        <f t="shared" si="38"/>
        <v>0</v>
      </c>
      <c r="Y127" s="94">
        <f t="shared" si="39"/>
        <v>0</v>
      </c>
      <c r="Z127" s="93">
        <f>_xlfn.XLOOKUP(O127,'[4]2DO TRIMESTRE'!$C:$C,'[4]2DO TRIMESTRE'!$I:$I,0,0)</f>
        <v>0</v>
      </c>
      <c r="AA127" s="94">
        <f t="shared" si="40"/>
        <v>0</v>
      </c>
      <c r="AB127" s="94">
        <f t="shared" si="41"/>
        <v>0</v>
      </c>
      <c r="AC127" s="94">
        <f t="shared" si="42"/>
        <v>0</v>
      </c>
      <c r="AD127" s="93">
        <v>0</v>
      </c>
      <c r="AE127" s="94">
        <f t="shared" si="43"/>
        <v>0</v>
      </c>
      <c r="AF127" s="94">
        <f t="shared" si="44"/>
        <v>0</v>
      </c>
      <c r="AG127" s="94">
        <f t="shared" si="45"/>
        <v>0</v>
      </c>
      <c r="AH127" s="117">
        <v>0</v>
      </c>
      <c r="AI127" s="94">
        <f t="shared" si="31"/>
        <v>0</v>
      </c>
      <c r="AJ127" s="94">
        <f t="shared" si="32"/>
        <v>0</v>
      </c>
      <c r="AK127" s="94">
        <f t="shared" si="33"/>
        <v>0</v>
      </c>
      <c r="AL127" s="93">
        <v>8226000</v>
      </c>
      <c r="AM127" s="93">
        <f t="shared" si="46"/>
        <v>0</v>
      </c>
      <c r="AN127" s="155"/>
      <c r="AO127" s="155"/>
    </row>
    <row r="128" spans="1:41" s="9" customFormat="1" ht="25.15" customHeight="1" x14ac:dyDescent="0.25">
      <c r="A128" s="83">
        <v>122</v>
      </c>
      <c r="B128" s="84">
        <v>2022</v>
      </c>
      <c r="C128" s="85" t="s">
        <v>747</v>
      </c>
      <c r="D128" s="86" t="s">
        <v>1083</v>
      </c>
      <c r="E128" s="86" t="s">
        <v>749</v>
      </c>
      <c r="F128" s="87">
        <v>44827</v>
      </c>
      <c r="G128" s="87">
        <v>45007</v>
      </c>
      <c r="H128" s="88">
        <f t="shared" si="34"/>
        <v>2</v>
      </c>
      <c r="I128" s="89" t="s">
        <v>759</v>
      </c>
      <c r="J128" s="90" t="s">
        <v>751</v>
      </c>
      <c r="K128" s="90" t="s">
        <v>752</v>
      </c>
      <c r="L128" s="90" t="s">
        <v>753</v>
      </c>
      <c r="M128" s="91" t="s">
        <v>754</v>
      </c>
      <c r="N128" s="92" t="s">
        <v>1084</v>
      </c>
      <c r="O128" s="85">
        <v>2910908063</v>
      </c>
      <c r="P128" s="93">
        <f>+_xlfn.XLOOKUP(O128,'[3]Benef Primera fecha '!$C:$C,'[3]Benef Primera fecha '!$E:$E,0)</f>
        <v>20000000</v>
      </c>
      <c r="Q128" s="93">
        <v>0</v>
      </c>
      <c r="R128" s="94">
        <f t="shared" si="35"/>
        <v>20000000</v>
      </c>
      <c r="S128" s="95">
        <v>0.12</v>
      </c>
      <c r="T128" s="94">
        <f t="shared" si="36"/>
        <v>2142857.1428571423</v>
      </c>
      <c r="U128" s="117">
        <v>20000000</v>
      </c>
      <c r="V128" s="117">
        <v>0</v>
      </c>
      <c r="W128" s="94">
        <f t="shared" si="37"/>
        <v>0</v>
      </c>
      <c r="X128" s="94">
        <f t="shared" si="38"/>
        <v>0</v>
      </c>
      <c r="Y128" s="94">
        <f t="shared" si="39"/>
        <v>0</v>
      </c>
      <c r="Z128" s="93">
        <f>_xlfn.XLOOKUP(O128,'[4]2DO TRIMESTRE'!$C:$C,'[4]2DO TRIMESTRE'!$I:$I,0,0)</f>
        <v>0</v>
      </c>
      <c r="AA128" s="94">
        <f t="shared" si="40"/>
        <v>0</v>
      </c>
      <c r="AB128" s="94">
        <f t="shared" si="41"/>
        <v>0</v>
      </c>
      <c r="AC128" s="94">
        <f t="shared" si="42"/>
        <v>0</v>
      </c>
      <c r="AD128" s="93">
        <v>0</v>
      </c>
      <c r="AE128" s="94">
        <f t="shared" si="43"/>
        <v>0</v>
      </c>
      <c r="AF128" s="94">
        <f t="shared" si="44"/>
        <v>0</v>
      </c>
      <c r="AG128" s="94">
        <f t="shared" si="45"/>
        <v>0</v>
      </c>
      <c r="AH128" s="117">
        <v>0</v>
      </c>
      <c r="AI128" s="94">
        <f t="shared" si="31"/>
        <v>0</v>
      </c>
      <c r="AJ128" s="94">
        <f t="shared" si="32"/>
        <v>0</v>
      </c>
      <c r="AK128" s="94">
        <f t="shared" si="33"/>
        <v>0</v>
      </c>
      <c r="AL128" s="93">
        <v>2142857</v>
      </c>
      <c r="AM128" s="93">
        <f t="shared" si="46"/>
        <v>0</v>
      </c>
      <c r="AN128" s="155"/>
      <c r="AO128" s="155"/>
    </row>
    <row r="129" spans="1:41" s="9" customFormat="1" ht="25.15" customHeight="1" x14ac:dyDescent="0.25">
      <c r="A129" s="83">
        <v>123</v>
      </c>
      <c r="B129" s="84">
        <v>2022</v>
      </c>
      <c r="C129" s="85" t="s">
        <v>814</v>
      </c>
      <c r="D129" s="86" t="s">
        <v>1085</v>
      </c>
      <c r="E129" s="86" t="s">
        <v>758</v>
      </c>
      <c r="F129" s="87">
        <v>44838</v>
      </c>
      <c r="G129" s="87">
        <v>45385</v>
      </c>
      <c r="H129" s="88">
        <f t="shared" si="34"/>
        <v>6.0777777777777775</v>
      </c>
      <c r="I129" s="89" t="s">
        <v>1086</v>
      </c>
      <c r="J129" s="90" t="s">
        <v>751</v>
      </c>
      <c r="K129" s="90" t="s">
        <v>752</v>
      </c>
      <c r="L129" s="90" t="s">
        <v>753</v>
      </c>
      <c r="M129" s="91" t="s">
        <v>1059</v>
      </c>
      <c r="N129" s="92" t="s">
        <v>1087</v>
      </c>
      <c r="O129" s="85">
        <v>2910907216</v>
      </c>
      <c r="P129" s="93">
        <v>504066240</v>
      </c>
      <c r="Q129" s="93">
        <v>0</v>
      </c>
      <c r="R129" s="94">
        <f t="shared" si="35"/>
        <v>504066240</v>
      </c>
      <c r="S129" s="95">
        <v>0</v>
      </c>
      <c r="T129" s="94">
        <f t="shared" si="36"/>
        <v>0</v>
      </c>
      <c r="U129" s="117">
        <v>0</v>
      </c>
      <c r="V129" s="117">
        <v>0</v>
      </c>
      <c r="W129" s="94">
        <f t="shared" si="37"/>
        <v>0</v>
      </c>
      <c r="X129" s="94">
        <f t="shared" si="38"/>
        <v>0</v>
      </c>
      <c r="Y129" s="94">
        <f t="shared" si="39"/>
        <v>0</v>
      </c>
      <c r="Z129" s="93">
        <f>_xlfn.XLOOKUP(O129,'[4]2DO TRIMESTRE'!$C:$C,'[4]2DO TRIMESTRE'!$I:$I,0,0)</f>
        <v>0</v>
      </c>
      <c r="AA129" s="94">
        <f t="shared" si="40"/>
        <v>0</v>
      </c>
      <c r="AB129" s="94">
        <f t="shared" si="41"/>
        <v>0</v>
      </c>
      <c r="AC129" s="94">
        <f t="shared" si="42"/>
        <v>0</v>
      </c>
      <c r="AD129" s="93">
        <v>0</v>
      </c>
      <c r="AE129" s="94">
        <f t="shared" si="43"/>
        <v>0</v>
      </c>
      <c r="AF129" s="94">
        <f t="shared" si="44"/>
        <v>0</v>
      </c>
      <c r="AG129" s="94">
        <f t="shared" si="45"/>
        <v>0</v>
      </c>
      <c r="AH129" s="117">
        <v>0</v>
      </c>
      <c r="AI129" s="94">
        <f t="shared" si="31"/>
        <v>0</v>
      </c>
      <c r="AJ129" s="94">
        <f t="shared" si="32"/>
        <v>0</v>
      </c>
      <c r="AK129" s="94">
        <f t="shared" si="33"/>
        <v>0</v>
      </c>
      <c r="AL129" s="93">
        <v>0</v>
      </c>
      <c r="AM129" s="93">
        <f t="shared" si="46"/>
        <v>0</v>
      </c>
      <c r="AN129" s="155" t="s">
        <v>800</v>
      </c>
      <c r="AO129" s="155" t="s">
        <v>800</v>
      </c>
    </row>
    <row r="130" spans="1:41" s="9" customFormat="1" ht="25.15" customHeight="1" x14ac:dyDescent="0.25">
      <c r="A130" s="83">
        <v>124</v>
      </c>
      <c r="B130" s="84">
        <v>2022</v>
      </c>
      <c r="C130" s="85" t="s">
        <v>814</v>
      </c>
      <c r="D130" s="86" t="s">
        <v>1088</v>
      </c>
      <c r="E130" s="86" t="s">
        <v>758</v>
      </c>
      <c r="F130" s="87">
        <v>44840</v>
      </c>
      <c r="G130" s="87">
        <v>45387</v>
      </c>
      <c r="H130" s="88">
        <f t="shared" si="34"/>
        <v>6.0777777777777775</v>
      </c>
      <c r="I130" s="89" t="s">
        <v>1086</v>
      </c>
      <c r="J130" s="90" t="s">
        <v>751</v>
      </c>
      <c r="K130" s="90" t="s">
        <v>752</v>
      </c>
      <c r="L130" s="90" t="s">
        <v>753</v>
      </c>
      <c r="M130" s="91" t="s">
        <v>1059</v>
      </c>
      <c r="N130" s="92" t="s">
        <v>1089</v>
      </c>
      <c r="O130" s="85">
        <v>2910907217</v>
      </c>
      <c r="P130" s="93">
        <v>502761032</v>
      </c>
      <c r="Q130" s="93">
        <v>0</v>
      </c>
      <c r="R130" s="94">
        <f t="shared" si="35"/>
        <v>502761032</v>
      </c>
      <c r="S130" s="95">
        <v>0</v>
      </c>
      <c r="T130" s="94">
        <f t="shared" si="36"/>
        <v>0</v>
      </c>
      <c r="U130" s="117">
        <v>0</v>
      </c>
      <c r="V130" s="117">
        <v>0</v>
      </c>
      <c r="W130" s="94">
        <f t="shared" si="37"/>
        <v>0</v>
      </c>
      <c r="X130" s="94">
        <f t="shared" si="38"/>
        <v>0</v>
      </c>
      <c r="Y130" s="94">
        <f t="shared" si="39"/>
        <v>0</v>
      </c>
      <c r="Z130" s="93">
        <f>_xlfn.XLOOKUP(O130,'[4]2DO TRIMESTRE'!$C:$C,'[4]2DO TRIMESTRE'!$I:$I,0,0)</f>
        <v>0</v>
      </c>
      <c r="AA130" s="94">
        <f t="shared" si="40"/>
        <v>0</v>
      </c>
      <c r="AB130" s="94">
        <f t="shared" si="41"/>
        <v>0</v>
      </c>
      <c r="AC130" s="94">
        <f t="shared" si="42"/>
        <v>0</v>
      </c>
      <c r="AD130" s="93">
        <v>0</v>
      </c>
      <c r="AE130" s="94">
        <f t="shared" si="43"/>
        <v>0</v>
      </c>
      <c r="AF130" s="94">
        <f t="shared" si="44"/>
        <v>0</v>
      </c>
      <c r="AG130" s="94">
        <f t="shared" si="45"/>
        <v>0</v>
      </c>
      <c r="AH130" s="117">
        <v>0</v>
      </c>
      <c r="AI130" s="94">
        <f t="shared" si="31"/>
        <v>0</v>
      </c>
      <c r="AJ130" s="94">
        <f t="shared" si="32"/>
        <v>0</v>
      </c>
      <c r="AK130" s="94">
        <f t="shared" si="33"/>
        <v>0</v>
      </c>
      <c r="AL130" s="93">
        <v>0</v>
      </c>
      <c r="AM130" s="93">
        <f t="shared" si="46"/>
        <v>0</v>
      </c>
      <c r="AN130" s="155" t="s">
        <v>800</v>
      </c>
      <c r="AO130" s="155" t="s">
        <v>800</v>
      </c>
    </row>
    <row r="131" spans="1:41" s="9" customFormat="1" ht="25.15" customHeight="1" x14ac:dyDescent="0.25">
      <c r="A131" s="83">
        <v>125</v>
      </c>
      <c r="B131" s="84">
        <v>2022</v>
      </c>
      <c r="C131" s="85" t="s">
        <v>747</v>
      </c>
      <c r="D131" s="86" t="s">
        <v>1090</v>
      </c>
      <c r="E131" s="86" t="s">
        <v>749</v>
      </c>
      <c r="F131" s="87">
        <v>44841</v>
      </c>
      <c r="G131" s="87">
        <v>44975</v>
      </c>
      <c r="H131" s="88">
        <f t="shared" si="34"/>
        <v>1.4888888888888889</v>
      </c>
      <c r="I131" s="89" t="s">
        <v>759</v>
      </c>
      <c r="J131" s="90" t="s">
        <v>751</v>
      </c>
      <c r="K131" s="90" t="s">
        <v>752</v>
      </c>
      <c r="L131" s="90" t="s">
        <v>753</v>
      </c>
      <c r="M131" s="91" t="s">
        <v>754</v>
      </c>
      <c r="N131" s="92" t="s">
        <v>1091</v>
      </c>
      <c r="O131" s="85">
        <v>2910908065</v>
      </c>
      <c r="P131" s="93">
        <f>+_xlfn.XLOOKUP(O131,'[3]Benef Primera fecha '!$C:$C,'[3]Benef Primera fecha '!$E:$E,0)</f>
        <v>45900000</v>
      </c>
      <c r="Q131" s="93">
        <v>0</v>
      </c>
      <c r="R131" s="94">
        <f t="shared" si="35"/>
        <v>45900000</v>
      </c>
      <c r="S131" s="95">
        <v>0.12</v>
      </c>
      <c r="T131" s="94">
        <f t="shared" si="36"/>
        <v>4917857.1428571418</v>
      </c>
      <c r="U131" s="117">
        <v>45900000</v>
      </c>
      <c r="V131" s="117">
        <v>0</v>
      </c>
      <c r="W131" s="94">
        <f t="shared" si="37"/>
        <v>0</v>
      </c>
      <c r="X131" s="94">
        <f t="shared" si="38"/>
        <v>0</v>
      </c>
      <c r="Y131" s="94">
        <f t="shared" si="39"/>
        <v>0</v>
      </c>
      <c r="Z131" s="93">
        <f>_xlfn.XLOOKUP(O131,'[4]2DO TRIMESTRE'!$C:$C,'[4]2DO TRIMESTRE'!$I:$I,0,0)</f>
        <v>0</v>
      </c>
      <c r="AA131" s="94">
        <f t="shared" si="40"/>
        <v>0</v>
      </c>
      <c r="AB131" s="94">
        <f t="shared" si="41"/>
        <v>0</v>
      </c>
      <c r="AC131" s="94">
        <f t="shared" si="42"/>
        <v>0</v>
      </c>
      <c r="AD131" s="93">
        <v>0</v>
      </c>
      <c r="AE131" s="94">
        <f t="shared" si="43"/>
        <v>0</v>
      </c>
      <c r="AF131" s="94">
        <f t="shared" si="44"/>
        <v>0</v>
      </c>
      <c r="AG131" s="94">
        <f t="shared" si="45"/>
        <v>0</v>
      </c>
      <c r="AH131" s="117">
        <v>0</v>
      </c>
      <c r="AI131" s="94">
        <f t="shared" ref="AI131:AI194" si="50">+AH131/(1+$S131)*$S131</f>
        <v>0</v>
      </c>
      <c r="AJ131" s="94">
        <f t="shared" ref="AJ131:AJ194" si="51">+AI131*40%</f>
        <v>0</v>
      </c>
      <c r="AK131" s="94">
        <f t="shared" ref="AK131:AK194" si="52">+AI131*60%</f>
        <v>0</v>
      </c>
      <c r="AL131" s="93">
        <v>4917857</v>
      </c>
      <c r="AM131" s="93">
        <f t="shared" si="46"/>
        <v>0</v>
      </c>
      <c r="AN131" s="155"/>
      <c r="AO131" s="155"/>
    </row>
    <row r="132" spans="1:41" s="9" customFormat="1" ht="25.15" customHeight="1" x14ac:dyDescent="0.25">
      <c r="A132" s="83">
        <v>126</v>
      </c>
      <c r="B132" s="84">
        <v>2022</v>
      </c>
      <c r="C132" s="85" t="s">
        <v>747</v>
      </c>
      <c r="D132" s="86" t="s">
        <v>1092</v>
      </c>
      <c r="E132" s="86" t="s">
        <v>749</v>
      </c>
      <c r="F132" s="87">
        <v>44854</v>
      </c>
      <c r="G132" s="87">
        <v>44853</v>
      </c>
      <c r="H132" s="88">
        <f t="shared" si="34"/>
        <v>-1.1111111111111112E-2</v>
      </c>
      <c r="I132" s="89" t="s">
        <v>759</v>
      </c>
      <c r="J132" s="90" t="s">
        <v>751</v>
      </c>
      <c r="K132" s="90" t="s">
        <v>752</v>
      </c>
      <c r="L132" s="90" t="s">
        <v>753</v>
      </c>
      <c r="M132" s="91" t="s">
        <v>754</v>
      </c>
      <c r="N132" s="92" t="s">
        <v>1093</v>
      </c>
      <c r="O132" s="85">
        <v>2910908047</v>
      </c>
      <c r="P132" s="93">
        <f>+_xlfn.XLOOKUP(O132,'[3]Benef Primera fecha '!$C:$C,'[3]Benef Primera fecha '!$E:$E,0)</f>
        <v>19079046</v>
      </c>
      <c r="Q132" s="93">
        <v>0</v>
      </c>
      <c r="R132" s="94">
        <f t="shared" si="35"/>
        <v>19079046</v>
      </c>
      <c r="S132" s="95">
        <v>0.12</v>
      </c>
      <c r="T132" s="94">
        <v>2289486</v>
      </c>
      <c r="U132" s="117">
        <v>19079046</v>
      </c>
      <c r="V132" s="117">
        <v>0</v>
      </c>
      <c r="W132" s="94">
        <f t="shared" si="37"/>
        <v>0</v>
      </c>
      <c r="X132" s="94">
        <f t="shared" si="38"/>
        <v>0</v>
      </c>
      <c r="Y132" s="94">
        <f t="shared" si="39"/>
        <v>0</v>
      </c>
      <c r="Z132" s="93">
        <f>_xlfn.XLOOKUP(O132,'[4]2DO TRIMESTRE'!$C:$C,'[4]2DO TRIMESTRE'!$I:$I,0,0)</f>
        <v>0</v>
      </c>
      <c r="AA132" s="94">
        <f t="shared" si="40"/>
        <v>0</v>
      </c>
      <c r="AB132" s="94">
        <f t="shared" si="41"/>
        <v>0</v>
      </c>
      <c r="AC132" s="94">
        <f t="shared" si="42"/>
        <v>0</v>
      </c>
      <c r="AD132" s="93">
        <v>0</v>
      </c>
      <c r="AE132" s="94">
        <f t="shared" si="43"/>
        <v>0</v>
      </c>
      <c r="AF132" s="94">
        <f t="shared" si="44"/>
        <v>0</v>
      </c>
      <c r="AG132" s="94">
        <f t="shared" si="45"/>
        <v>0</v>
      </c>
      <c r="AH132" s="117">
        <v>0</v>
      </c>
      <c r="AI132" s="94">
        <f t="shared" si="50"/>
        <v>0</v>
      </c>
      <c r="AJ132" s="94">
        <f t="shared" si="51"/>
        <v>0</v>
      </c>
      <c r="AK132" s="94">
        <f t="shared" si="52"/>
        <v>0</v>
      </c>
      <c r="AL132" s="93">
        <v>2289486</v>
      </c>
      <c r="AM132" s="93">
        <f t="shared" si="46"/>
        <v>0</v>
      </c>
      <c r="AN132" s="155"/>
      <c r="AO132" s="155"/>
    </row>
    <row r="133" spans="1:41" s="9" customFormat="1" ht="25.15" customHeight="1" x14ac:dyDescent="0.25">
      <c r="A133" s="83">
        <v>127</v>
      </c>
      <c r="B133" s="84">
        <v>2022</v>
      </c>
      <c r="C133" s="85" t="s">
        <v>996</v>
      </c>
      <c r="D133" s="86" t="s">
        <v>1094</v>
      </c>
      <c r="E133" s="86" t="s">
        <v>758</v>
      </c>
      <c r="F133" s="87">
        <v>44855</v>
      </c>
      <c r="G133" s="87">
        <v>45767</v>
      </c>
      <c r="H133" s="88">
        <f t="shared" si="34"/>
        <v>10.133333333333333</v>
      </c>
      <c r="I133" s="89" t="s">
        <v>759</v>
      </c>
      <c r="J133" s="90" t="s">
        <v>751</v>
      </c>
      <c r="K133" s="90" t="s">
        <v>752</v>
      </c>
      <c r="L133" s="90" t="s">
        <v>753</v>
      </c>
      <c r="M133" s="91" t="s">
        <v>1059</v>
      </c>
      <c r="N133" s="92" t="s">
        <v>1095</v>
      </c>
      <c r="O133" s="85">
        <v>2910907219</v>
      </c>
      <c r="P133" s="93">
        <v>606499128</v>
      </c>
      <c r="Q133" s="93">
        <v>0</v>
      </c>
      <c r="R133" s="94">
        <f t="shared" si="35"/>
        <v>606499128</v>
      </c>
      <c r="S133" s="95">
        <v>0</v>
      </c>
      <c r="T133" s="94">
        <f t="shared" si="36"/>
        <v>0</v>
      </c>
      <c r="U133" s="117">
        <v>0</v>
      </c>
      <c r="V133" s="117">
        <v>0</v>
      </c>
      <c r="W133" s="94">
        <f t="shared" si="37"/>
        <v>0</v>
      </c>
      <c r="X133" s="94">
        <f t="shared" si="38"/>
        <v>0</v>
      </c>
      <c r="Y133" s="94">
        <f t="shared" si="39"/>
        <v>0</v>
      </c>
      <c r="Z133" s="93">
        <f>_xlfn.XLOOKUP(O133,'[4]2DO TRIMESTRE'!$C:$C,'[4]2DO TRIMESTRE'!$I:$I,0,0)</f>
        <v>0</v>
      </c>
      <c r="AA133" s="94">
        <f t="shared" si="40"/>
        <v>0</v>
      </c>
      <c r="AB133" s="94">
        <f t="shared" si="41"/>
        <v>0</v>
      </c>
      <c r="AC133" s="94">
        <f t="shared" si="42"/>
        <v>0</v>
      </c>
      <c r="AD133" s="93">
        <v>0</v>
      </c>
      <c r="AE133" s="94">
        <f t="shared" si="43"/>
        <v>0</v>
      </c>
      <c r="AF133" s="94">
        <f t="shared" si="44"/>
        <v>0</v>
      </c>
      <c r="AG133" s="94">
        <f t="shared" si="45"/>
        <v>0</v>
      </c>
      <c r="AH133" s="117">
        <v>0</v>
      </c>
      <c r="AI133" s="94">
        <f t="shared" si="50"/>
        <v>0</v>
      </c>
      <c r="AJ133" s="94">
        <f t="shared" si="51"/>
        <v>0</v>
      </c>
      <c r="AK133" s="94">
        <f t="shared" si="52"/>
        <v>0</v>
      </c>
      <c r="AL133" s="93">
        <v>0</v>
      </c>
      <c r="AM133" s="93">
        <f t="shared" si="46"/>
        <v>0</v>
      </c>
      <c r="AN133" s="155" t="s">
        <v>800</v>
      </c>
      <c r="AO133" s="155" t="s">
        <v>800</v>
      </c>
    </row>
    <row r="134" spans="1:41" s="9" customFormat="1" ht="25.15" customHeight="1" x14ac:dyDescent="0.25">
      <c r="A134" s="83">
        <v>128</v>
      </c>
      <c r="B134" s="84">
        <v>2022</v>
      </c>
      <c r="C134" s="85" t="s">
        <v>996</v>
      </c>
      <c r="D134" s="86" t="s">
        <v>1096</v>
      </c>
      <c r="E134" s="86" t="s">
        <v>758</v>
      </c>
      <c r="F134" s="87">
        <v>44855</v>
      </c>
      <c r="G134" s="87">
        <v>45463</v>
      </c>
      <c r="H134" s="88">
        <f t="shared" si="34"/>
        <v>6.7555555555555555</v>
      </c>
      <c r="I134" s="89" t="s">
        <v>759</v>
      </c>
      <c r="J134" s="90" t="s">
        <v>751</v>
      </c>
      <c r="K134" s="90" t="s">
        <v>752</v>
      </c>
      <c r="L134" s="90" t="s">
        <v>753</v>
      </c>
      <c r="M134" s="91" t="s">
        <v>1059</v>
      </c>
      <c r="N134" s="92" t="s">
        <v>1097</v>
      </c>
      <c r="O134" s="85">
        <v>2910907220</v>
      </c>
      <c r="P134" s="93">
        <v>611281193</v>
      </c>
      <c r="Q134" s="93">
        <v>0</v>
      </c>
      <c r="R134" s="94">
        <f t="shared" si="35"/>
        <v>611281193</v>
      </c>
      <c r="S134" s="95">
        <v>0</v>
      </c>
      <c r="T134" s="94">
        <f t="shared" si="36"/>
        <v>0</v>
      </c>
      <c r="U134" s="117">
        <v>0</v>
      </c>
      <c r="V134" s="117">
        <v>0</v>
      </c>
      <c r="W134" s="94">
        <f t="shared" si="37"/>
        <v>0</v>
      </c>
      <c r="X134" s="94">
        <f t="shared" si="38"/>
        <v>0</v>
      </c>
      <c r="Y134" s="94">
        <f t="shared" si="39"/>
        <v>0</v>
      </c>
      <c r="Z134" s="93">
        <f>_xlfn.XLOOKUP(O134,'[4]2DO TRIMESTRE'!$C:$C,'[4]2DO TRIMESTRE'!$I:$I,0,0)</f>
        <v>0</v>
      </c>
      <c r="AA134" s="94">
        <f t="shared" si="40"/>
        <v>0</v>
      </c>
      <c r="AB134" s="94">
        <f t="shared" si="41"/>
        <v>0</v>
      </c>
      <c r="AC134" s="94">
        <f t="shared" si="42"/>
        <v>0</v>
      </c>
      <c r="AD134" s="93">
        <v>0</v>
      </c>
      <c r="AE134" s="94">
        <f t="shared" si="43"/>
        <v>0</v>
      </c>
      <c r="AF134" s="94">
        <f t="shared" si="44"/>
        <v>0</v>
      </c>
      <c r="AG134" s="94">
        <f t="shared" si="45"/>
        <v>0</v>
      </c>
      <c r="AH134" s="117">
        <v>0</v>
      </c>
      <c r="AI134" s="94">
        <f t="shared" si="50"/>
        <v>0</v>
      </c>
      <c r="AJ134" s="94">
        <f t="shared" si="51"/>
        <v>0</v>
      </c>
      <c r="AK134" s="94">
        <f t="shared" si="52"/>
        <v>0</v>
      </c>
      <c r="AL134" s="93">
        <v>0</v>
      </c>
      <c r="AM134" s="93">
        <f t="shared" si="46"/>
        <v>0</v>
      </c>
      <c r="AN134" s="155" t="s">
        <v>800</v>
      </c>
      <c r="AO134" s="155" t="s">
        <v>800</v>
      </c>
    </row>
    <row r="135" spans="1:41" s="9" customFormat="1" ht="25.15" customHeight="1" x14ac:dyDescent="0.25">
      <c r="A135" s="83">
        <v>129</v>
      </c>
      <c r="B135" s="84">
        <v>2022</v>
      </c>
      <c r="C135" s="85" t="s">
        <v>1000</v>
      </c>
      <c r="D135" s="86" t="s">
        <v>1098</v>
      </c>
      <c r="E135" s="86" t="s">
        <v>758</v>
      </c>
      <c r="F135" s="87">
        <v>44859</v>
      </c>
      <c r="G135" s="87">
        <v>44919</v>
      </c>
      <c r="H135" s="88">
        <f t="shared" si="34"/>
        <v>0.66666666666666663</v>
      </c>
      <c r="I135" s="89" t="s">
        <v>750</v>
      </c>
      <c r="J135" s="90" t="s">
        <v>751</v>
      </c>
      <c r="K135" s="90" t="s">
        <v>752</v>
      </c>
      <c r="L135" s="90" t="s">
        <v>753</v>
      </c>
      <c r="M135" s="91" t="s">
        <v>1059</v>
      </c>
      <c r="N135" s="92" t="s">
        <v>1099</v>
      </c>
      <c r="O135" s="85">
        <v>2910906798</v>
      </c>
      <c r="P135" s="93">
        <f>+_xlfn.XLOOKUP(O135,'[3]Benef Primera fecha '!$C:$C,'[3]Benef Primera fecha '!$E:$E,0)</f>
        <v>43000000</v>
      </c>
      <c r="Q135" s="93">
        <v>0</v>
      </c>
      <c r="R135" s="94">
        <f t="shared" si="35"/>
        <v>43000000</v>
      </c>
      <c r="S135" s="95">
        <v>0.12000000416744187</v>
      </c>
      <c r="T135" s="94">
        <f t="shared" si="36"/>
        <v>4607143</v>
      </c>
      <c r="U135" s="117">
        <v>41710000</v>
      </c>
      <c r="V135" s="117">
        <v>0</v>
      </c>
      <c r="W135" s="94">
        <f t="shared" si="37"/>
        <v>0</v>
      </c>
      <c r="X135" s="94">
        <f t="shared" si="38"/>
        <v>0</v>
      </c>
      <c r="Y135" s="94">
        <f t="shared" si="39"/>
        <v>0</v>
      </c>
      <c r="Z135" s="93">
        <f>_xlfn.XLOOKUP(O135,'[4]2DO TRIMESTRE'!$C:$C,'[4]2DO TRIMESTRE'!$I:$I,0,0)</f>
        <v>0</v>
      </c>
      <c r="AA135" s="94">
        <f t="shared" si="40"/>
        <v>0</v>
      </c>
      <c r="AB135" s="94">
        <f t="shared" si="41"/>
        <v>0</v>
      </c>
      <c r="AC135" s="94">
        <f t="shared" si="42"/>
        <v>0</v>
      </c>
      <c r="AD135" s="93">
        <v>0</v>
      </c>
      <c r="AE135" s="94">
        <f t="shared" si="43"/>
        <v>0</v>
      </c>
      <c r="AF135" s="94">
        <f t="shared" si="44"/>
        <v>0</v>
      </c>
      <c r="AG135" s="94">
        <f t="shared" si="45"/>
        <v>0</v>
      </c>
      <c r="AH135" s="117">
        <v>0</v>
      </c>
      <c r="AI135" s="94">
        <f t="shared" si="50"/>
        <v>0</v>
      </c>
      <c r="AJ135" s="94">
        <f t="shared" si="51"/>
        <v>0</v>
      </c>
      <c r="AK135" s="94">
        <f t="shared" si="52"/>
        <v>0</v>
      </c>
      <c r="AL135" s="93">
        <v>4468929</v>
      </c>
      <c r="AM135" s="93">
        <f t="shared" si="46"/>
        <v>0</v>
      </c>
      <c r="AN135" s="155"/>
      <c r="AO135" s="155"/>
    </row>
    <row r="136" spans="1:41" s="9" customFormat="1" ht="25.15" customHeight="1" x14ac:dyDescent="0.25">
      <c r="A136" s="83">
        <v>130</v>
      </c>
      <c r="B136" s="84">
        <v>2022</v>
      </c>
      <c r="C136" s="85" t="s">
        <v>1000</v>
      </c>
      <c r="D136" s="86" t="s">
        <v>1100</v>
      </c>
      <c r="E136" s="86" t="s">
        <v>758</v>
      </c>
      <c r="F136" s="87">
        <v>44859</v>
      </c>
      <c r="G136" s="87">
        <v>44919</v>
      </c>
      <c r="H136" s="88">
        <f t="shared" ref="H136:H199" si="53">+(G136-F136)/90</f>
        <v>0.66666666666666663</v>
      </c>
      <c r="I136" s="89" t="s">
        <v>750</v>
      </c>
      <c r="J136" s="90" t="s">
        <v>751</v>
      </c>
      <c r="K136" s="90" t="s">
        <v>752</v>
      </c>
      <c r="L136" s="90" t="s">
        <v>753</v>
      </c>
      <c r="M136" s="91" t="s">
        <v>1059</v>
      </c>
      <c r="N136" s="92" t="s">
        <v>1101</v>
      </c>
      <c r="O136" s="85">
        <v>2910906799</v>
      </c>
      <c r="P136" s="93">
        <f>+_xlfn.XLOOKUP(O136,'[3]Benef Primera fecha '!$C:$C,'[3]Benef Primera fecha '!$E:$E,0)</f>
        <v>70000000</v>
      </c>
      <c r="Q136" s="93">
        <v>0</v>
      </c>
      <c r="R136" s="94">
        <f t="shared" ref="R136:R199" si="54">+(P136+Q136)</f>
        <v>70000000</v>
      </c>
      <c r="S136" s="95">
        <v>0.12</v>
      </c>
      <c r="T136" s="94">
        <f t="shared" ref="T136:T199" si="55">(R136/(1+S136))*S136</f>
        <v>7499999.9999999991</v>
      </c>
      <c r="U136" s="117">
        <v>67900000</v>
      </c>
      <c r="V136" s="117">
        <v>0</v>
      </c>
      <c r="W136" s="94">
        <f t="shared" ref="W136:W199" si="56">+V136/(1+$S136)*$S136</f>
        <v>0</v>
      </c>
      <c r="X136" s="94">
        <f t="shared" ref="X136:X199" si="57">+W136*40%</f>
        <v>0</v>
      </c>
      <c r="Y136" s="94">
        <f t="shared" ref="Y136:Y199" si="58">+W136*60%</f>
        <v>0</v>
      </c>
      <c r="Z136" s="93">
        <f>_xlfn.XLOOKUP(O136,'[4]2DO TRIMESTRE'!$C:$C,'[4]2DO TRIMESTRE'!$I:$I,0,0)</f>
        <v>0</v>
      </c>
      <c r="AA136" s="94">
        <f t="shared" ref="AA136:AA199" si="59">+Z136/(1+$S136)*$S136</f>
        <v>0</v>
      </c>
      <c r="AB136" s="94">
        <f t="shared" ref="AB136:AB199" si="60">+AA136*40%</f>
        <v>0</v>
      </c>
      <c r="AC136" s="94">
        <f t="shared" ref="AC136:AC199" si="61">+AA136*60%</f>
        <v>0</v>
      </c>
      <c r="AD136" s="93">
        <v>0</v>
      </c>
      <c r="AE136" s="94">
        <f t="shared" ref="AE136:AE199" si="62">+AD136/(1+$S136)*$S136</f>
        <v>0</v>
      </c>
      <c r="AF136" s="94">
        <f t="shared" ref="AF136:AF199" si="63">+AE136*40%</f>
        <v>0</v>
      </c>
      <c r="AG136" s="94">
        <f t="shared" ref="AG136:AG199" si="64">+AE136*60%</f>
        <v>0</v>
      </c>
      <c r="AH136" s="117">
        <v>0</v>
      </c>
      <c r="AI136" s="94">
        <f t="shared" si="50"/>
        <v>0</v>
      </c>
      <c r="AJ136" s="94">
        <f t="shared" si="51"/>
        <v>0</v>
      </c>
      <c r="AK136" s="94">
        <f t="shared" si="52"/>
        <v>0</v>
      </c>
      <c r="AL136" s="93">
        <v>7275000</v>
      </c>
      <c r="AM136" s="93">
        <f t="shared" ref="AM136:AM199" si="65">W136+AA136+AE136+AI136</f>
        <v>0</v>
      </c>
      <c r="AN136" s="155"/>
      <c r="AO136" s="155"/>
    </row>
    <row r="137" spans="1:41" s="9" customFormat="1" ht="25.15" customHeight="1" x14ac:dyDescent="0.25">
      <c r="A137" s="83">
        <v>131</v>
      </c>
      <c r="B137" s="84">
        <v>2022</v>
      </c>
      <c r="C137" s="85" t="s">
        <v>1010</v>
      </c>
      <c r="D137" s="86" t="s">
        <v>1102</v>
      </c>
      <c r="E137" s="86" t="s">
        <v>758</v>
      </c>
      <c r="F137" s="87">
        <v>44859</v>
      </c>
      <c r="G137" s="87">
        <v>44920</v>
      </c>
      <c r="H137" s="88">
        <f t="shared" si="53"/>
        <v>0.67777777777777781</v>
      </c>
      <c r="I137" s="89" t="s">
        <v>750</v>
      </c>
      <c r="J137" s="90" t="s">
        <v>751</v>
      </c>
      <c r="K137" s="90" t="s">
        <v>752</v>
      </c>
      <c r="L137" s="90" t="s">
        <v>753</v>
      </c>
      <c r="M137" s="91" t="s">
        <v>1059</v>
      </c>
      <c r="N137" s="92" t="s">
        <v>1103</v>
      </c>
      <c r="O137" s="85">
        <v>2910907202</v>
      </c>
      <c r="P137" s="93">
        <v>43000000</v>
      </c>
      <c r="Q137" s="93">
        <v>0</v>
      </c>
      <c r="R137" s="94">
        <f t="shared" si="54"/>
        <v>43000000</v>
      </c>
      <c r="S137" s="95">
        <v>0.12</v>
      </c>
      <c r="T137" s="94">
        <f t="shared" si="55"/>
        <v>4607142.8571428573</v>
      </c>
      <c r="U137" s="117">
        <v>0</v>
      </c>
      <c r="V137" s="117">
        <v>0</v>
      </c>
      <c r="W137" s="94">
        <f t="shared" si="56"/>
        <v>0</v>
      </c>
      <c r="X137" s="94">
        <f t="shared" si="57"/>
        <v>0</v>
      </c>
      <c r="Y137" s="94">
        <f t="shared" si="58"/>
        <v>0</v>
      </c>
      <c r="Z137" s="93">
        <f>_xlfn.XLOOKUP(O137,'[4]2DO TRIMESTRE'!$C:$C,'[4]2DO TRIMESTRE'!$I:$I,0,0)</f>
        <v>0</v>
      </c>
      <c r="AA137" s="94">
        <f t="shared" si="59"/>
        <v>0</v>
      </c>
      <c r="AB137" s="94">
        <f t="shared" si="60"/>
        <v>0</v>
      </c>
      <c r="AC137" s="94">
        <f t="shared" si="61"/>
        <v>0</v>
      </c>
      <c r="AD137" s="93">
        <v>0</v>
      </c>
      <c r="AE137" s="94">
        <f t="shared" si="62"/>
        <v>0</v>
      </c>
      <c r="AF137" s="94">
        <f t="shared" si="63"/>
        <v>0</v>
      </c>
      <c r="AG137" s="94">
        <f t="shared" si="64"/>
        <v>0</v>
      </c>
      <c r="AH137" s="117">
        <v>0</v>
      </c>
      <c r="AI137" s="94">
        <f t="shared" si="50"/>
        <v>0</v>
      </c>
      <c r="AJ137" s="94">
        <f t="shared" si="51"/>
        <v>0</v>
      </c>
      <c r="AK137" s="94">
        <f t="shared" si="52"/>
        <v>0</v>
      </c>
      <c r="AL137" s="93">
        <v>0</v>
      </c>
      <c r="AM137" s="93">
        <f t="shared" si="65"/>
        <v>0</v>
      </c>
      <c r="AN137" s="155"/>
      <c r="AO137" s="155"/>
    </row>
    <row r="138" spans="1:41" s="9" customFormat="1" ht="25.15" customHeight="1" x14ac:dyDescent="0.25">
      <c r="A138" s="83">
        <v>132</v>
      </c>
      <c r="B138" s="84">
        <v>2022</v>
      </c>
      <c r="C138" s="85" t="s">
        <v>747</v>
      </c>
      <c r="D138" s="86" t="s">
        <v>1104</v>
      </c>
      <c r="E138" s="86" t="s">
        <v>777</v>
      </c>
      <c r="F138" s="87">
        <v>44860</v>
      </c>
      <c r="G138" s="87">
        <v>44859</v>
      </c>
      <c r="H138" s="88">
        <f t="shared" si="53"/>
        <v>-1.1111111111111112E-2</v>
      </c>
      <c r="I138" s="89" t="s">
        <v>759</v>
      </c>
      <c r="J138" s="90" t="s">
        <v>751</v>
      </c>
      <c r="K138" s="90" t="s">
        <v>752</v>
      </c>
      <c r="L138" s="90" t="s">
        <v>753</v>
      </c>
      <c r="M138" s="91" t="s">
        <v>1059</v>
      </c>
      <c r="N138" s="92" t="s">
        <v>1105</v>
      </c>
      <c r="O138" s="85">
        <v>2453019702</v>
      </c>
      <c r="P138" s="93">
        <v>26700169</v>
      </c>
      <c r="Q138" s="93">
        <v>575468</v>
      </c>
      <c r="R138" s="94">
        <f t="shared" si="54"/>
        <v>27275637</v>
      </c>
      <c r="S138" s="95">
        <v>0.12</v>
      </c>
      <c r="T138" s="94">
        <f t="shared" si="55"/>
        <v>2922389.6785714282</v>
      </c>
      <c r="U138" s="117">
        <v>0</v>
      </c>
      <c r="V138" s="117">
        <v>0</v>
      </c>
      <c r="W138" s="94">
        <f t="shared" si="56"/>
        <v>0</v>
      </c>
      <c r="X138" s="94">
        <f t="shared" si="57"/>
        <v>0</v>
      </c>
      <c r="Y138" s="94">
        <f t="shared" si="58"/>
        <v>0</v>
      </c>
      <c r="Z138" s="93">
        <f>_xlfn.XLOOKUP(O138,'[4]2DO TRIMESTRE'!$C:$C,'[4]2DO TRIMESTRE'!$I:$I,0,0)</f>
        <v>0</v>
      </c>
      <c r="AA138" s="94">
        <f t="shared" si="59"/>
        <v>0</v>
      </c>
      <c r="AB138" s="94">
        <f t="shared" si="60"/>
        <v>0</v>
      </c>
      <c r="AC138" s="94">
        <f t="shared" si="61"/>
        <v>0</v>
      </c>
      <c r="AD138" s="93">
        <v>0</v>
      </c>
      <c r="AE138" s="94">
        <f t="shared" si="62"/>
        <v>0</v>
      </c>
      <c r="AF138" s="94">
        <f t="shared" si="63"/>
        <v>0</v>
      </c>
      <c r="AG138" s="94">
        <f t="shared" si="64"/>
        <v>0</v>
      </c>
      <c r="AH138" s="117">
        <v>0</v>
      </c>
      <c r="AI138" s="94">
        <f t="shared" si="50"/>
        <v>0</v>
      </c>
      <c r="AJ138" s="94">
        <f t="shared" si="51"/>
        <v>0</v>
      </c>
      <c r="AK138" s="94">
        <f t="shared" si="52"/>
        <v>0</v>
      </c>
      <c r="AL138" s="93">
        <v>0</v>
      </c>
      <c r="AM138" s="93">
        <f t="shared" si="65"/>
        <v>0</v>
      </c>
      <c r="AN138" s="155"/>
      <c r="AO138" s="155"/>
    </row>
    <row r="139" spans="1:41" s="9" customFormat="1" ht="25.15" customHeight="1" x14ac:dyDescent="0.25">
      <c r="A139" s="83">
        <v>133</v>
      </c>
      <c r="B139" s="84">
        <v>2022</v>
      </c>
      <c r="C139" s="85" t="s">
        <v>945</v>
      </c>
      <c r="D139" s="86" t="s">
        <v>1106</v>
      </c>
      <c r="E139" s="86" t="s">
        <v>777</v>
      </c>
      <c r="F139" s="87">
        <v>44868</v>
      </c>
      <c r="G139" s="87">
        <v>44968</v>
      </c>
      <c r="H139" s="88">
        <f t="shared" si="53"/>
        <v>1.1111111111111112</v>
      </c>
      <c r="I139" s="89" t="s">
        <v>750</v>
      </c>
      <c r="J139" s="90" t="s">
        <v>751</v>
      </c>
      <c r="K139" s="90" t="s">
        <v>752</v>
      </c>
      <c r="L139" s="90" t="s">
        <v>753</v>
      </c>
      <c r="M139" s="91" t="s">
        <v>1059</v>
      </c>
      <c r="N139" s="92" t="s">
        <v>1107</v>
      </c>
      <c r="O139" s="85">
        <v>2453018341</v>
      </c>
      <c r="P139" s="93">
        <v>29000000</v>
      </c>
      <c r="Q139" s="93">
        <v>0</v>
      </c>
      <c r="R139" s="94">
        <f t="shared" si="54"/>
        <v>29000000</v>
      </c>
      <c r="S139" s="95">
        <v>0.12</v>
      </c>
      <c r="T139" s="94">
        <f t="shared" si="55"/>
        <v>3107142.8571428568</v>
      </c>
      <c r="U139" s="117">
        <v>0</v>
      </c>
      <c r="V139" s="117">
        <v>0</v>
      </c>
      <c r="W139" s="94">
        <f t="shared" si="56"/>
        <v>0</v>
      </c>
      <c r="X139" s="94">
        <f t="shared" si="57"/>
        <v>0</v>
      </c>
      <c r="Y139" s="94">
        <f t="shared" si="58"/>
        <v>0</v>
      </c>
      <c r="Z139" s="93">
        <f>_xlfn.XLOOKUP(O139,'[4]2DO TRIMESTRE'!$C:$C,'[4]2DO TRIMESTRE'!$I:$I,0,0)</f>
        <v>0</v>
      </c>
      <c r="AA139" s="94">
        <f t="shared" si="59"/>
        <v>0</v>
      </c>
      <c r="AB139" s="94">
        <f t="shared" si="60"/>
        <v>0</v>
      </c>
      <c r="AC139" s="94">
        <f t="shared" si="61"/>
        <v>0</v>
      </c>
      <c r="AD139" s="93">
        <v>0</v>
      </c>
      <c r="AE139" s="94">
        <f t="shared" si="62"/>
        <v>0</v>
      </c>
      <c r="AF139" s="94">
        <f t="shared" si="63"/>
        <v>0</v>
      </c>
      <c r="AG139" s="94">
        <f t="shared" si="64"/>
        <v>0</v>
      </c>
      <c r="AH139" s="117">
        <v>0</v>
      </c>
      <c r="AI139" s="94">
        <f t="shared" si="50"/>
        <v>0</v>
      </c>
      <c r="AJ139" s="94">
        <f t="shared" si="51"/>
        <v>0</v>
      </c>
      <c r="AK139" s="94">
        <f t="shared" si="52"/>
        <v>0</v>
      </c>
      <c r="AL139" s="93">
        <v>0</v>
      </c>
      <c r="AM139" s="93">
        <f t="shared" si="65"/>
        <v>0</v>
      </c>
      <c r="AN139" s="155"/>
      <c r="AO139" s="155"/>
    </row>
    <row r="140" spans="1:41" s="9" customFormat="1" ht="25.15" customHeight="1" x14ac:dyDescent="0.25">
      <c r="A140" s="83">
        <v>134</v>
      </c>
      <c r="B140" s="84">
        <v>2022</v>
      </c>
      <c r="C140" s="85" t="s">
        <v>1108</v>
      </c>
      <c r="D140" s="86" t="s">
        <v>1109</v>
      </c>
      <c r="E140" s="86" t="s">
        <v>758</v>
      </c>
      <c r="F140" s="87">
        <v>44873</v>
      </c>
      <c r="G140" s="87">
        <v>44924</v>
      </c>
      <c r="H140" s="88">
        <f t="shared" si="53"/>
        <v>0.56666666666666665</v>
      </c>
      <c r="I140" s="89" t="s">
        <v>750</v>
      </c>
      <c r="J140" s="90" t="s">
        <v>751</v>
      </c>
      <c r="K140" s="90" t="s">
        <v>752</v>
      </c>
      <c r="L140" s="90" t="s">
        <v>753</v>
      </c>
      <c r="M140" s="91" t="s">
        <v>1059</v>
      </c>
      <c r="N140" s="92" t="s">
        <v>1110</v>
      </c>
      <c r="O140" s="85">
        <v>2910907207</v>
      </c>
      <c r="P140" s="93">
        <f>+_xlfn.XLOOKUP(O140,'[3]Benef Primera fecha '!$C:$C,'[3]Benef Primera fecha '!$E:$E,0)</f>
        <v>15000000</v>
      </c>
      <c r="Q140" s="93">
        <v>0</v>
      </c>
      <c r="R140" s="94">
        <f t="shared" si="54"/>
        <v>15000000</v>
      </c>
      <c r="S140" s="95">
        <v>0.12</v>
      </c>
      <c r="T140" s="94">
        <f t="shared" si="55"/>
        <v>1607142.857142857</v>
      </c>
      <c r="U140" s="117">
        <v>15000000</v>
      </c>
      <c r="V140" s="117">
        <v>0</v>
      </c>
      <c r="W140" s="94">
        <f t="shared" si="56"/>
        <v>0</v>
      </c>
      <c r="X140" s="94">
        <f t="shared" si="57"/>
        <v>0</v>
      </c>
      <c r="Y140" s="94">
        <f t="shared" si="58"/>
        <v>0</v>
      </c>
      <c r="Z140" s="93">
        <f>_xlfn.XLOOKUP(O140,'[4]2DO TRIMESTRE'!$C:$C,'[4]2DO TRIMESTRE'!$I:$I,0,0)</f>
        <v>0</v>
      </c>
      <c r="AA140" s="94">
        <f t="shared" si="59"/>
        <v>0</v>
      </c>
      <c r="AB140" s="94">
        <f t="shared" si="60"/>
        <v>0</v>
      </c>
      <c r="AC140" s="94">
        <f t="shared" si="61"/>
        <v>0</v>
      </c>
      <c r="AD140" s="93">
        <v>0</v>
      </c>
      <c r="AE140" s="94">
        <f t="shared" si="62"/>
        <v>0</v>
      </c>
      <c r="AF140" s="94">
        <f t="shared" si="63"/>
        <v>0</v>
      </c>
      <c r="AG140" s="94">
        <f t="shared" si="64"/>
        <v>0</v>
      </c>
      <c r="AH140" s="117">
        <v>0</v>
      </c>
      <c r="AI140" s="94">
        <f t="shared" si="50"/>
        <v>0</v>
      </c>
      <c r="AJ140" s="94">
        <f t="shared" si="51"/>
        <v>0</v>
      </c>
      <c r="AK140" s="94">
        <f t="shared" si="52"/>
        <v>0</v>
      </c>
      <c r="AL140" s="93">
        <v>1607143</v>
      </c>
      <c r="AM140" s="93">
        <f t="shared" si="65"/>
        <v>0</v>
      </c>
      <c r="AN140" s="155"/>
      <c r="AO140" s="155"/>
    </row>
    <row r="141" spans="1:41" s="9" customFormat="1" ht="25.15" customHeight="1" x14ac:dyDescent="0.25">
      <c r="A141" s="83">
        <v>135</v>
      </c>
      <c r="B141" s="84">
        <v>2022</v>
      </c>
      <c r="C141" s="85" t="s">
        <v>1111</v>
      </c>
      <c r="D141" s="86" t="s">
        <v>1112</v>
      </c>
      <c r="E141" s="86" t="s">
        <v>758</v>
      </c>
      <c r="F141" s="87">
        <v>44874</v>
      </c>
      <c r="G141" s="87">
        <v>44926</v>
      </c>
      <c r="H141" s="88">
        <f t="shared" si="53"/>
        <v>0.57777777777777772</v>
      </c>
      <c r="I141" s="89" t="s">
        <v>750</v>
      </c>
      <c r="J141" s="90" t="s">
        <v>751</v>
      </c>
      <c r="K141" s="90" t="s">
        <v>752</v>
      </c>
      <c r="L141" s="90" t="s">
        <v>753</v>
      </c>
      <c r="M141" s="91" t="s">
        <v>1059</v>
      </c>
      <c r="N141" s="92" t="s">
        <v>1113</v>
      </c>
      <c r="O141" s="85">
        <v>2910907206</v>
      </c>
      <c r="P141" s="93">
        <f>+_xlfn.XLOOKUP(O141,'[3]Benef Primera fecha '!$C:$C,'[3]Benef Primera fecha '!$E:$E,0)</f>
        <v>15000000</v>
      </c>
      <c r="Q141" s="93">
        <v>0</v>
      </c>
      <c r="R141" s="94">
        <f t="shared" si="54"/>
        <v>15000000</v>
      </c>
      <c r="S141" s="95">
        <v>0.12</v>
      </c>
      <c r="T141" s="94">
        <f t="shared" si="55"/>
        <v>1607142.857142857</v>
      </c>
      <c r="U141" s="117">
        <v>11947120</v>
      </c>
      <c r="V141" s="117">
        <v>0</v>
      </c>
      <c r="W141" s="94">
        <f t="shared" si="56"/>
        <v>0</v>
      </c>
      <c r="X141" s="94">
        <f t="shared" si="57"/>
        <v>0</v>
      </c>
      <c r="Y141" s="94">
        <f t="shared" si="58"/>
        <v>0</v>
      </c>
      <c r="Z141" s="93">
        <f>_xlfn.XLOOKUP(O141,'[4]2DO TRIMESTRE'!$C:$C,'[4]2DO TRIMESTRE'!$I:$I,0,0)</f>
        <v>0</v>
      </c>
      <c r="AA141" s="94">
        <f t="shared" si="59"/>
        <v>0</v>
      </c>
      <c r="AB141" s="94">
        <f t="shared" si="60"/>
        <v>0</v>
      </c>
      <c r="AC141" s="94">
        <f t="shared" si="61"/>
        <v>0</v>
      </c>
      <c r="AD141" s="93">
        <v>0</v>
      </c>
      <c r="AE141" s="94">
        <f t="shared" si="62"/>
        <v>0</v>
      </c>
      <c r="AF141" s="94">
        <f t="shared" si="63"/>
        <v>0</v>
      </c>
      <c r="AG141" s="94">
        <f t="shared" si="64"/>
        <v>0</v>
      </c>
      <c r="AH141" s="117">
        <v>0</v>
      </c>
      <c r="AI141" s="94">
        <f t="shared" si="50"/>
        <v>0</v>
      </c>
      <c r="AJ141" s="94">
        <f t="shared" si="51"/>
        <v>0</v>
      </c>
      <c r="AK141" s="94">
        <f t="shared" si="52"/>
        <v>0</v>
      </c>
      <c r="AL141" s="93">
        <v>1280049</v>
      </c>
      <c r="AM141" s="93">
        <f t="shared" si="65"/>
        <v>0</v>
      </c>
      <c r="AN141" s="155"/>
      <c r="AO141" s="155"/>
    </row>
    <row r="142" spans="1:41" s="9" customFormat="1" ht="25.15" customHeight="1" x14ac:dyDescent="0.25">
      <c r="A142" s="83">
        <v>136</v>
      </c>
      <c r="B142" s="84">
        <v>2022</v>
      </c>
      <c r="C142" s="85" t="s">
        <v>922</v>
      </c>
      <c r="D142" s="86" t="s">
        <v>1114</v>
      </c>
      <c r="E142" s="86" t="s">
        <v>758</v>
      </c>
      <c r="F142" s="87">
        <v>44875</v>
      </c>
      <c r="G142" s="87">
        <v>44925</v>
      </c>
      <c r="H142" s="88">
        <f t="shared" si="53"/>
        <v>0.55555555555555558</v>
      </c>
      <c r="I142" s="89" t="s">
        <v>759</v>
      </c>
      <c r="J142" s="90" t="s">
        <v>751</v>
      </c>
      <c r="K142" s="90" t="s">
        <v>752</v>
      </c>
      <c r="L142" s="90" t="s">
        <v>753</v>
      </c>
      <c r="M142" s="91" t="s">
        <v>1059</v>
      </c>
      <c r="N142" s="92" t="s">
        <v>1115</v>
      </c>
      <c r="O142" s="85">
        <v>2910907208</v>
      </c>
      <c r="P142" s="93">
        <f>+_xlfn.XLOOKUP(O142,'[3]Benef Primera fecha '!$C:$C,'[3]Benef Primera fecha '!$E:$E,0)</f>
        <v>52000000</v>
      </c>
      <c r="Q142" s="93">
        <v>0</v>
      </c>
      <c r="R142" s="94">
        <f t="shared" si="54"/>
        <v>52000000</v>
      </c>
      <c r="S142" s="95">
        <v>0.12</v>
      </c>
      <c r="T142" s="94">
        <f t="shared" si="55"/>
        <v>5571428.5714285709</v>
      </c>
      <c r="U142" s="117">
        <v>52000000</v>
      </c>
      <c r="V142" s="117">
        <v>0</v>
      </c>
      <c r="W142" s="94">
        <f t="shared" si="56"/>
        <v>0</v>
      </c>
      <c r="X142" s="94">
        <f t="shared" si="57"/>
        <v>0</v>
      </c>
      <c r="Y142" s="94">
        <f t="shared" si="58"/>
        <v>0</v>
      </c>
      <c r="Z142" s="93">
        <f>_xlfn.XLOOKUP(O142,'[4]2DO TRIMESTRE'!$C:$C,'[4]2DO TRIMESTRE'!$I:$I,0,0)</f>
        <v>0</v>
      </c>
      <c r="AA142" s="94">
        <f t="shared" si="59"/>
        <v>0</v>
      </c>
      <c r="AB142" s="94">
        <f t="shared" si="60"/>
        <v>0</v>
      </c>
      <c r="AC142" s="94">
        <f t="shared" si="61"/>
        <v>0</v>
      </c>
      <c r="AD142" s="93">
        <v>0</v>
      </c>
      <c r="AE142" s="94">
        <f t="shared" si="62"/>
        <v>0</v>
      </c>
      <c r="AF142" s="94">
        <f t="shared" si="63"/>
        <v>0</v>
      </c>
      <c r="AG142" s="94">
        <f t="shared" si="64"/>
        <v>0</v>
      </c>
      <c r="AH142" s="117">
        <v>0</v>
      </c>
      <c r="AI142" s="94">
        <f t="shared" si="50"/>
        <v>0</v>
      </c>
      <c r="AJ142" s="94">
        <f t="shared" si="51"/>
        <v>0</v>
      </c>
      <c r="AK142" s="94">
        <f t="shared" si="52"/>
        <v>0</v>
      </c>
      <c r="AL142" s="93">
        <v>5571429</v>
      </c>
      <c r="AM142" s="93">
        <f t="shared" si="65"/>
        <v>0</v>
      </c>
      <c r="AN142" s="155"/>
      <c r="AO142" s="155"/>
    </row>
    <row r="143" spans="1:41" s="9" customFormat="1" ht="25.15" customHeight="1" x14ac:dyDescent="0.25">
      <c r="A143" s="83">
        <v>137</v>
      </c>
      <c r="B143" s="84">
        <v>2022</v>
      </c>
      <c r="C143" s="85" t="s">
        <v>1116</v>
      </c>
      <c r="D143" s="86" t="s">
        <v>1117</v>
      </c>
      <c r="E143" s="86" t="s">
        <v>758</v>
      </c>
      <c r="F143" s="87">
        <v>44875</v>
      </c>
      <c r="G143" s="87">
        <v>44920</v>
      </c>
      <c r="H143" s="88">
        <f t="shared" si="53"/>
        <v>0.5</v>
      </c>
      <c r="I143" s="89" t="s">
        <v>750</v>
      </c>
      <c r="J143" s="90" t="s">
        <v>751</v>
      </c>
      <c r="K143" s="90" t="s">
        <v>752</v>
      </c>
      <c r="L143" s="90" t="s">
        <v>753</v>
      </c>
      <c r="M143" s="91" t="s">
        <v>1059</v>
      </c>
      <c r="N143" s="92" t="s">
        <v>1118</v>
      </c>
      <c r="O143" s="85">
        <v>2910907203</v>
      </c>
      <c r="P143" s="93">
        <f>_xlfn.XLOOKUP(O143,[5]Base!$C:$C,[5]Base!$E:$E,0,0)</f>
        <v>89157600</v>
      </c>
      <c r="Q143" s="93">
        <v>89157600</v>
      </c>
      <c r="R143" s="94">
        <f t="shared" si="54"/>
        <v>178315200</v>
      </c>
      <c r="S143" s="95">
        <v>0.12</v>
      </c>
      <c r="T143" s="94">
        <f t="shared" si="55"/>
        <v>19105199.999999996</v>
      </c>
      <c r="U143" s="117">
        <v>89157600</v>
      </c>
      <c r="V143" s="117">
        <v>0</v>
      </c>
      <c r="W143" s="94">
        <f t="shared" si="56"/>
        <v>0</v>
      </c>
      <c r="X143" s="94">
        <f t="shared" si="57"/>
        <v>0</v>
      </c>
      <c r="Y143" s="94">
        <f t="shared" si="58"/>
        <v>0</v>
      </c>
      <c r="Z143" s="93">
        <f>_xlfn.XLOOKUP(O143,'[4]2DO TRIMESTRE'!$C:$C,'[4]2DO TRIMESTRE'!$I:$I,0,0)</f>
        <v>0</v>
      </c>
      <c r="AA143" s="94">
        <f t="shared" si="59"/>
        <v>0</v>
      </c>
      <c r="AB143" s="94">
        <f t="shared" si="60"/>
        <v>0</v>
      </c>
      <c r="AC143" s="94">
        <f t="shared" si="61"/>
        <v>0</v>
      </c>
      <c r="AD143" s="93">
        <v>0</v>
      </c>
      <c r="AE143" s="94">
        <f t="shared" si="62"/>
        <v>0</v>
      </c>
      <c r="AF143" s="94">
        <f t="shared" si="63"/>
        <v>0</v>
      </c>
      <c r="AG143" s="94">
        <f t="shared" si="64"/>
        <v>0</v>
      </c>
      <c r="AH143" s="117">
        <v>0</v>
      </c>
      <c r="AI143" s="94">
        <f t="shared" si="50"/>
        <v>0</v>
      </c>
      <c r="AJ143" s="94">
        <f t="shared" si="51"/>
        <v>0</v>
      </c>
      <c r="AK143" s="94">
        <f t="shared" si="52"/>
        <v>0</v>
      </c>
      <c r="AL143" s="93">
        <v>9552600</v>
      </c>
      <c r="AM143" s="93">
        <f t="shared" si="65"/>
        <v>0</v>
      </c>
      <c r="AN143" s="155"/>
      <c r="AO143" s="155"/>
    </row>
    <row r="144" spans="1:41" s="9" customFormat="1" ht="25.15" customHeight="1" x14ac:dyDescent="0.25">
      <c r="A144" s="83">
        <v>138</v>
      </c>
      <c r="B144" s="84">
        <v>2022</v>
      </c>
      <c r="C144" s="85" t="s">
        <v>1119</v>
      </c>
      <c r="D144" s="86" t="s">
        <v>1120</v>
      </c>
      <c r="E144" s="86" t="s">
        <v>758</v>
      </c>
      <c r="F144" s="87">
        <v>44875</v>
      </c>
      <c r="G144" s="87">
        <v>44925</v>
      </c>
      <c r="H144" s="88">
        <f t="shared" si="53"/>
        <v>0.55555555555555558</v>
      </c>
      <c r="I144" s="89" t="s">
        <v>750</v>
      </c>
      <c r="J144" s="90" t="s">
        <v>751</v>
      </c>
      <c r="K144" s="90" t="s">
        <v>752</v>
      </c>
      <c r="L144" s="90" t="s">
        <v>753</v>
      </c>
      <c r="M144" s="91" t="s">
        <v>1059</v>
      </c>
      <c r="N144" s="92" t="s">
        <v>1121</v>
      </c>
      <c r="O144" s="85">
        <v>2910907205</v>
      </c>
      <c r="P144" s="93">
        <f>+_xlfn.XLOOKUP(O144,'[3]Benef Primera fecha '!$C:$C,'[3]Benef Primera fecha '!$E:$E,0)</f>
        <v>15000000</v>
      </c>
      <c r="Q144" s="93">
        <v>0</v>
      </c>
      <c r="R144" s="94">
        <f t="shared" si="54"/>
        <v>15000000</v>
      </c>
      <c r="S144" s="95">
        <v>0.12</v>
      </c>
      <c r="T144" s="94">
        <f t="shared" si="55"/>
        <v>1607142.857142857</v>
      </c>
      <c r="U144" s="117">
        <v>12640000</v>
      </c>
      <c r="V144" s="117">
        <v>0</v>
      </c>
      <c r="W144" s="94">
        <f t="shared" si="56"/>
        <v>0</v>
      </c>
      <c r="X144" s="94">
        <f t="shared" si="57"/>
        <v>0</v>
      </c>
      <c r="Y144" s="94">
        <f t="shared" si="58"/>
        <v>0</v>
      </c>
      <c r="Z144" s="93">
        <f>_xlfn.XLOOKUP(O144,'[4]2DO TRIMESTRE'!$C:$C,'[4]2DO TRIMESTRE'!$I:$I,0,0)</f>
        <v>0</v>
      </c>
      <c r="AA144" s="94">
        <f t="shared" si="59"/>
        <v>0</v>
      </c>
      <c r="AB144" s="94">
        <f t="shared" si="60"/>
        <v>0</v>
      </c>
      <c r="AC144" s="94">
        <f t="shared" si="61"/>
        <v>0</v>
      </c>
      <c r="AD144" s="93">
        <v>0</v>
      </c>
      <c r="AE144" s="94">
        <f t="shared" si="62"/>
        <v>0</v>
      </c>
      <c r="AF144" s="94">
        <f t="shared" si="63"/>
        <v>0</v>
      </c>
      <c r="AG144" s="94">
        <f t="shared" si="64"/>
        <v>0</v>
      </c>
      <c r="AH144" s="117">
        <v>0</v>
      </c>
      <c r="AI144" s="94">
        <f t="shared" si="50"/>
        <v>0</v>
      </c>
      <c r="AJ144" s="94">
        <f t="shared" si="51"/>
        <v>0</v>
      </c>
      <c r="AK144" s="94">
        <f t="shared" si="52"/>
        <v>0</v>
      </c>
      <c r="AL144" s="93">
        <v>1354286</v>
      </c>
      <c r="AM144" s="93">
        <f t="shared" si="65"/>
        <v>0</v>
      </c>
      <c r="AN144" s="155"/>
      <c r="AO144" s="155"/>
    </row>
    <row r="145" spans="1:41" s="9" customFormat="1" ht="25.15" customHeight="1" x14ac:dyDescent="0.25">
      <c r="A145" s="83">
        <v>139</v>
      </c>
      <c r="B145" s="84">
        <v>2022</v>
      </c>
      <c r="C145" s="85" t="s">
        <v>1122</v>
      </c>
      <c r="D145" s="86" t="s">
        <v>1123</v>
      </c>
      <c r="E145" s="86" t="s">
        <v>758</v>
      </c>
      <c r="F145" s="87">
        <v>44876</v>
      </c>
      <c r="G145" s="87">
        <v>44920</v>
      </c>
      <c r="H145" s="88">
        <f t="shared" si="53"/>
        <v>0.48888888888888887</v>
      </c>
      <c r="I145" s="89" t="s">
        <v>759</v>
      </c>
      <c r="J145" s="90" t="s">
        <v>751</v>
      </c>
      <c r="K145" s="90" t="s">
        <v>752</v>
      </c>
      <c r="L145" s="90" t="s">
        <v>753</v>
      </c>
      <c r="M145" s="91" t="s">
        <v>1059</v>
      </c>
      <c r="N145" s="92" t="s">
        <v>1124</v>
      </c>
      <c r="O145" s="85">
        <v>2910907204</v>
      </c>
      <c r="P145" s="93">
        <f>+_xlfn.XLOOKUP(O145,'[3]Benef Primera fecha '!$C:$C,'[3]Benef Primera fecha '!$E:$E,0)</f>
        <v>35000000</v>
      </c>
      <c r="Q145" s="93">
        <v>0</v>
      </c>
      <c r="R145" s="94">
        <f t="shared" si="54"/>
        <v>35000000</v>
      </c>
      <c r="S145" s="95">
        <v>0.12</v>
      </c>
      <c r="T145" s="94">
        <f t="shared" si="55"/>
        <v>3749999.9999999995</v>
      </c>
      <c r="U145" s="117">
        <v>35000000</v>
      </c>
      <c r="V145" s="117">
        <v>0</v>
      </c>
      <c r="W145" s="94">
        <f t="shared" si="56"/>
        <v>0</v>
      </c>
      <c r="X145" s="94">
        <f t="shared" si="57"/>
        <v>0</v>
      </c>
      <c r="Y145" s="94">
        <f t="shared" si="58"/>
        <v>0</v>
      </c>
      <c r="Z145" s="93">
        <f>_xlfn.XLOOKUP(O145,'[4]2DO TRIMESTRE'!$C:$C,'[4]2DO TRIMESTRE'!$I:$I,0,0)</f>
        <v>0</v>
      </c>
      <c r="AA145" s="94">
        <f t="shared" si="59"/>
        <v>0</v>
      </c>
      <c r="AB145" s="94">
        <f t="shared" si="60"/>
        <v>0</v>
      </c>
      <c r="AC145" s="94">
        <f t="shared" si="61"/>
        <v>0</v>
      </c>
      <c r="AD145" s="93">
        <v>0</v>
      </c>
      <c r="AE145" s="94">
        <f t="shared" si="62"/>
        <v>0</v>
      </c>
      <c r="AF145" s="94">
        <f t="shared" si="63"/>
        <v>0</v>
      </c>
      <c r="AG145" s="94">
        <f t="shared" si="64"/>
        <v>0</v>
      </c>
      <c r="AH145" s="117">
        <v>0</v>
      </c>
      <c r="AI145" s="94">
        <f t="shared" si="50"/>
        <v>0</v>
      </c>
      <c r="AJ145" s="94">
        <f t="shared" si="51"/>
        <v>0</v>
      </c>
      <c r="AK145" s="94">
        <f t="shared" si="52"/>
        <v>0</v>
      </c>
      <c r="AL145" s="93">
        <v>3750000</v>
      </c>
      <c r="AM145" s="93">
        <f t="shared" si="65"/>
        <v>0</v>
      </c>
      <c r="AN145" s="155"/>
      <c r="AO145" s="155"/>
    </row>
    <row r="146" spans="1:41" s="9" customFormat="1" ht="25.15" customHeight="1" x14ac:dyDescent="0.25">
      <c r="A146" s="83">
        <v>140</v>
      </c>
      <c r="B146" s="84">
        <v>2022</v>
      </c>
      <c r="C146" s="85" t="s">
        <v>1116</v>
      </c>
      <c r="D146" s="86" t="s">
        <v>1125</v>
      </c>
      <c r="E146" s="86" t="s">
        <v>758</v>
      </c>
      <c r="F146" s="87">
        <v>44883</v>
      </c>
      <c r="G146" s="87">
        <v>44925</v>
      </c>
      <c r="H146" s="88">
        <f t="shared" si="53"/>
        <v>0.46666666666666667</v>
      </c>
      <c r="I146" s="89" t="s">
        <v>750</v>
      </c>
      <c r="J146" s="90" t="s">
        <v>751</v>
      </c>
      <c r="K146" s="90" t="s">
        <v>752</v>
      </c>
      <c r="L146" s="90" t="s">
        <v>753</v>
      </c>
      <c r="M146" s="91" t="s">
        <v>1059</v>
      </c>
      <c r="N146" s="92" t="s">
        <v>1126</v>
      </c>
      <c r="O146" s="85">
        <v>2910907209</v>
      </c>
      <c r="P146" s="93">
        <f>+_xlfn.XLOOKUP(O146,'[3]Benef Primera fecha '!$C:$C,'[3]Benef Primera fecha '!$E:$E,0)</f>
        <v>170000000</v>
      </c>
      <c r="Q146" s="93">
        <v>0</v>
      </c>
      <c r="R146" s="94">
        <f t="shared" si="54"/>
        <v>170000000</v>
      </c>
      <c r="S146" s="95">
        <v>0.12</v>
      </c>
      <c r="T146" s="94">
        <f t="shared" si="55"/>
        <v>18214285.714285713</v>
      </c>
      <c r="U146" s="117">
        <v>170000000</v>
      </c>
      <c r="V146" s="117">
        <v>0</v>
      </c>
      <c r="W146" s="94">
        <f t="shared" si="56"/>
        <v>0</v>
      </c>
      <c r="X146" s="94">
        <f t="shared" si="57"/>
        <v>0</v>
      </c>
      <c r="Y146" s="94">
        <f t="shared" si="58"/>
        <v>0</v>
      </c>
      <c r="Z146" s="93">
        <f>_xlfn.XLOOKUP(O146,'[4]2DO TRIMESTRE'!$C:$C,'[4]2DO TRIMESTRE'!$I:$I,0,0)</f>
        <v>0</v>
      </c>
      <c r="AA146" s="94">
        <f t="shared" si="59"/>
        <v>0</v>
      </c>
      <c r="AB146" s="94">
        <f t="shared" si="60"/>
        <v>0</v>
      </c>
      <c r="AC146" s="94">
        <f t="shared" si="61"/>
        <v>0</v>
      </c>
      <c r="AD146" s="93">
        <v>0</v>
      </c>
      <c r="AE146" s="94">
        <f t="shared" si="62"/>
        <v>0</v>
      </c>
      <c r="AF146" s="94">
        <f t="shared" si="63"/>
        <v>0</v>
      </c>
      <c r="AG146" s="94">
        <f t="shared" si="64"/>
        <v>0</v>
      </c>
      <c r="AH146" s="117">
        <v>0</v>
      </c>
      <c r="AI146" s="94">
        <f t="shared" si="50"/>
        <v>0</v>
      </c>
      <c r="AJ146" s="94">
        <f t="shared" si="51"/>
        <v>0</v>
      </c>
      <c r="AK146" s="94">
        <f t="shared" si="52"/>
        <v>0</v>
      </c>
      <c r="AL146" s="93">
        <v>18214286</v>
      </c>
      <c r="AM146" s="93">
        <f t="shared" si="65"/>
        <v>0</v>
      </c>
      <c r="AN146" s="155"/>
      <c r="AO146" s="155"/>
    </row>
    <row r="147" spans="1:41" s="9" customFormat="1" ht="25.15" customHeight="1" x14ac:dyDescent="0.25">
      <c r="A147" s="83">
        <v>141</v>
      </c>
      <c r="B147" s="84">
        <v>2022</v>
      </c>
      <c r="C147" s="85" t="s">
        <v>1127</v>
      </c>
      <c r="D147" s="86" t="s">
        <v>1128</v>
      </c>
      <c r="E147" s="86" t="s">
        <v>758</v>
      </c>
      <c r="F147" s="87">
        <v>44887</v>
      </c>
      <c r="G147" s="87">
        <v>44984</v>
      </c>
      <c r="H147" s="88">
        <f t="shared" si="53"/>
        <v>1.0777777777777777</v>
      </c>
      <c r="I147" s="89" t="s">
        <v>750</v>
      </c>
      <c r="J147" s="90" t="s">
        <v>751</v>
      </c>
      <c r="K147" s="90" t="s">
        <v>752</v>
      </c>
      <c r="L147" s="90" t="s">
        <v>753</v>
      </c>
      <c r="M147" s="91" t="s">
        <v>1059</v>
      </c>
      <c r="N147" s="92" t="s">
        <v>1129</v>
      </c>
      <c r="O147" s="85">
        <v>2910907210</v>
      </c>
      <c r="P147" s="93">
        <f>+_xlfn.XLOOKUP(O147,'[3]Benef Primera fecha '!$C:$C,'[3]Benef Primera fecha '!$E:$E,0)</f>
        <v>126000000</v>
      </c>
      <c r="Q147" s="93">
        <v>0</v>
      </c>
      <c r="R147" s="94">
        <f t="shared" si="54"/>
        <v>126000000</v>
      </c>
      <c r="S147" s="95">
        <v>0.12</v>
      </c>
      <c r="T147" s="94">
        <f t="shared" si="55"/>
        <v>13499999.999999998</v>
      </c>
      <c r="U147" s="117">
        <v>113400000</v>
      </c>
      <c r="V147" s="117">
        <v>0</v>
      </c>
      <c r="W147" s="94">
        <f t="shared" si="56"/>
        <v>0</v>
      </c>
      <c r="X147" s="94">
        <f t="shared" si="57"/>
        <v>0</v>
      </c>
      <c r="Y147" s="94">
        <f t="shared" si="58"/>
        <v>0</v>
      </c>
      <c r="Z147" s="93">
        <f>_xlfn.XLOOKUP(O147,'[4]2DO TRIMESTRE'!$C:$C,'[4]2DO TRIMESTRE'!$I:$I,0,0)</f>
        <v>0</v>
      </c>
      <c r="AA147" s="94">
        <f t="shared" si="59"/>
        <v>0</v>
      </c>
      <c r="AB147" s="94">
        <f t="shared" si="60"/>
        <v>0</v>
      </c>
      <c r="AC147" s="94">
        <f t="shared" si="61"/>
        <v>0</v>
      </c>
      <c r="AD147" s="93">
        <v>0</v>
      </c>
      <c r="AE147" s="94">
        <f t="shared" si="62"/>
        <v>0</v>
      </c>
      <c r="AF147" s="94">
        <f t="shared" si="63"/>
        <v>0</v>
      </c>
      <c r="AG147" s="94">
        <f t="shared" si="64"/>
        <v>0</v>
      </c>
      <c r="AH147" s="117">
        <v>0</v>
      </c>
      <c r="AI147" s="94">
        <f t="shared" si="50"/>
        <v>0</v>
      </c>
      <c r="AJ147" s="94">
        <f t="shared" si="51"/>
        <v>0</v>
      </c>
      <c r="AK147" s="94">
        <f t="shared" si="52"/>
        <v>0</v>
      </c>
      <c r="AL147" s="93">
        <v>12150000</v>
      </c>
      <c r="AM147" s="93">
        <f t="shared" si="65"/>
        <v>0</v>
      </c>
      <c r="AN147" s="155"/>
      <c r="AO147" s="155"/>
    </row>
    <row r="148" spans="1:41" s="9" customFormat="1" ht="25.15" customHeight="1" x14ac:dyDescent="0.25">
      <c r="A148" s="83">
        <v>142</v>
      </c>
      <c r="B148" s="84">
        <v>2022</v>
      </c>
      <c r="C148" s="85" t="s">
        <v>1130</v>
      </c>
      <c r="D148" s="86" t="s">
        <v>1131</v>
      </c>
      <c r="E148" s="86" t="s">
        <v>777</v>
      </c>
      <c r="F148" s="87">
        <v>44893</v>
      </c>
      <c r="G148" s="87">
        <v>45290</v>
      </c>
      <c r="H148" s="88">
        <f t="shared" si="53"/>
        <v>4.4111111111111114</v>
      </c>
      <c r="I148" s="89" t="s">
        <v>763</v>
      </c>
      <c r="J148" s="90" t="s">
        <v>751</v>
      </c>
      <c r="K148" s="90" t="s">
        <v>752</v>
      </c>
      <c r="L148" s="90" t="s">
        <v>753</v>
      </c>
      <c r="M148" s="91" t="s">
        <v>1132</v>
      </c>
      <c r="N148" s="92" t="s">
        <v>1133</v>
      </c>
      <c r="O148" s="85">
        <v>2453018340</v>
      </c>
      <c r="P148" s="93">
        <f>+_xlfn.XLOOKUP(O148,'[3]Benef Primera fecha '!$C:$C,'[3]Benef Primera fecha '!$E:$E,0)</f>
        <v>5029012761</v>
      </c>
      <c r="Q148" s="93">
        <v>2224394289</v>
      </c>
      <c r="R148" s="94">
        <f t="shared" si="54"/>
        <v>7253407050</v>
      </c>
      <c r="S148" s="95">
        <v>0.11946479767028537</v>
      </c>
      <c r="T148" s="94">
        <f t="shared" si="55"/>
        <v>774054537</v>
      </c>
      <c r="U148" s="117">
        <v>7034750199</v>
      </c>
      <c r="V148" s="117">
        <v>0</v>
      </c>
      <c r="W148" s="94">
        <f t="shared" si="56"/>
        <v>0</v>
      </c>
      <c r="X148" s="94">
        <f t="shared" si="57"/>
        <v>0</v>
      </c>
      <c r="Y148" s="94">
        <f t="shared" si="58"/>
        <v>0</v>
      </c>
      <c r="Z148" s="93">
        <f>_xlfn.XLOOKUP(O148,'[4]2DO TRIMESTRE'!$C:$C,'[4]2DO TRIMESTRE'!$I:$I,0,0)</f>
        <v>0</v>
      </c>
      <c r="AA148" s="94">
        <f t="shared" si="59"/>
        <v>0</v>
      </c>
      <c r="AB148" s="94">
        <f t="shared" si="60"/>
        <v>0</v>
      </c>
      <c r="AC148" s="94">
        <f t="shared" si="61"/>
        <v>0</v>
      </c>
      <c r="AD148" s="93">
        <v>0</v>
      </c>
      <c r="AE148" s="94">
        <f t="shared" si="62"/>
        <v>0</v>
      </c>
      <c r="AF148" s="94">
        <f t="shared" si="63"/>
        <v>0</v>
      </c>
      <c r="AG148" s="94">
        <f t="shared" si="64"/>
        <v>0</v>
      </c>
      <c r="AH148" s="117">
        <v>0</v>
      </c>
      <c r="AI148" s="94">
        <f t="shared" si="50"/>
        <v>0</v>
      </c>
      <c r="AJ148" s="94">
        <f t="shared" si="51"/>
        <v>0</v>
      </c>
      <c r="AK148" s="94">
        <f t="shared" si="52"/>
        <v>0</v>
      </c>
      <c r="AL148" s="93">
        <v>750720353.98835123</v>
      </c>
      <c r="AM148" s="93">
        <f t="shared" si="65"/>
        <v>0</v>
      </c>
      <c r="AN148" s="155"/>
      <c r="AO148" s="155"/>
    </row>
    <row r="149" spans="1:41" s="9" customFormat="1" ht="25.15" customHeight="1" x14ac:dyDescent="0.25">
      <c r="A149" s="83">
        <v>143</v>
      </c>
      <c r="B149" s="84">
        <v>2022</v>
      </c>
      <c r="C149" s="85" t="s">
        <v>747</v>
      </c>
      <c r="D149" s="86" t="s">
        <v>1135</v>
      </c>
      <c r="E149" s="86" t="s">
        <v>749</v>
      </c>
      <c r="F149" s="87">
        <v>44893</v>
      </c>
      <c r="G149" s="87">
        <v>44723</v>
      </c>
      <c r="H149" s="88">
        <f t="shared" si="53"/>
        <v>-1.8888888888888888</v>
      </c>
      <c r="I149" s="89" t="s">
        <v>750</v>
      </c>
      <c r="J149" s="90" t="s">
        <v>751</v>
      </c>
      <c r="K149" s="90" t="s">
        <v>752</v>
      </c>
      <c r="L149" s="90" t="s">
        <v>753</v>
      </c>
      <c r="M149" s="91" t="s">
        <v>754</v>
      </c>
      <c r="N149" s="92" t="s">
        <v>1136</v>
      </c>
      <c r="O149" s="85">
        <v>2910908067</v>
      </c>
      <c r="P149" s="93">
        <f>+_xlfn.XLOOKUP(O149,'[3]Benef Primera fecha '!$C:$C,'[3]Benef Primera fecha '!$E:$E,0)</f>
        <v>168850000</v>
      </c>
      <c r="Q149" s="93">
        <v>0</v>
      </c>
      <c r="R149" s="94">
        <f t="shared" si="54"/>
        <v>168850000</v>
      </c>
      <c r="S149" s="95">
        <v>0.12</v>
      </c>
      <c r="T149" s="94">
        <f t="shared" si="55"/>
        <v>18091071.428571429</v>
      </c>
      <c r="U149" s="117">
        <v>168850000</v>
      </c>
      <c r="V149" s="117">
        <v>0</v>
      </c>
      <c r="W149" s="94">
        <f t="shared" si="56"/>
        <v>0</v>
      </c>
      <c r="X149" s="94">
        <f t="shared" si="57"/>
        <v>0</v>
      </c>
      <c r="Y149" s="94">
        <f t="shared" si="58"/>
        <v>0</v>
      </c>
      <c r="Z149" s="93">
        <f>_xlfn.XLOOKUP(O149,'[4]2DO TRIMESTRE'!$C:$C,'[4]2DO TRIMESTRE'!$I:$I,0,0)</f>
        <v>0</v>
      </c>
      <c r="AA149" s="94">
        <f t="shared" si="59"/>
        <v>0</v>
      </c>
      <c r="AB149" s="94">
        <f t="shared" si="60"/>
        <v>0</v>
      </c>
      <c r="AC149" s="94">
        <f t="shared" si="61"/>
        <v>0</v>
      </c>
      <c r="AD149" s="93">
        <v>0</v>
      </c>
      <c r="AE149" s="94">
        <f t="shared" si="62"/>
        <v>0</v>
      </c>
      <c r="AF149" s="94">
        <f t="shared" si="63"/>
        <v>0</v>
      </c>
      <c r="AG149" s="94">
        <f t="shared" si="64"/>
        <v>0</v>
      </c>
      <c r="AH149" s="117">
        <v>0</v>
      </c>
      <c r="AI149" s="94">
        <f t="shared" si="50"/>
        <v>0</v>
      </c>
      <c r="AJ149" s="94">
        <f t="shared" si="51"/>
        <v>0</v>
      </c>
      <c r="AK149" s="94">
        <f t="shared" si="52"/>
        <v>0</v>
      </c>
      <c r="AL149" s="93">
        <v>18091071</v>
      </c>
      <c r="AM149" s="93">
        <f t="shared" si="65"/>
        <v>0</v>
      </c>
      <c r="AN149" s="155"/>
      <c r="AO149" s="155"/>
    </row>
    <row r="150" spans="1:41" s="9" customFormat="1" ht="25.15" customHeight="1" x14ac:dyDescent="0.25">
      <c r="A150" s="83">
        <v>144</v>
      </c>
      <c r="B150" s="84">
        <v>2022</v>
      </c>
      <c r="C150" s="85" t="s">
        <v>1137</v>
      </c>
      <c r="D150" s="86" t="s">
        <v>1138</v>
      </c>
      <c r="E150" s="86" t="s">
        <v>758</v>
      </c>
      <c r="F150" s="87">
        <v>44894</v>
      </c>
      <c r="G150" s="87"/>
      <c r="H150" s="88">
        <f t="shared" si="53"/>
        <v>-498.82222222222219</v>
      </c>
      <c r="I150" s="89" t="s">
        <v>1077</v>
      </c>
      <c r="J150" s="90" t="s">
        <v>751</v>
      </c>
      <c r="K150" s="90" t="s">
        <v>752</v>
      </c>
      <c r="L150" s="90" t="s">
        <v>753</v>
      </c>
      <c r="M150" s="91" t="s">
        <v>1059</v>
      </c>
      <c r="N150" s="92" t="s">
        <v>1139</v>
      </c>
      <c r="O150" s="85">
        <v>2910907213</v>
      </c>
      <c r="P150" s="93">
        <f>+_xlfn.XLOOKUP(O150,'[3]Benef Primera fecha '!$C:$C,'[3]Benef Primera fecha '!$E:$E,0)</f>
        <v>108553760</v>
      </c>
      <c r="Q150" s="93">
        <v>0</v>
      </c>
      <c r="R150" s="94">
        <f t="shared" si="54"/>
        <v>108553760</v>
      </c>
      <c r="S150" s="95">
        <v>0.12</v>
      </c>
      <c r="T150" s="94">
        <f t="shared" si="55"/>
        <v>11630759.999999998</v>
      </c>
      <c r="U150" s="117">
        <v>108553760</v>
      </c>
      <c r="V150" s="117">
        <v>0</v>
      </c>
      <c r="W150" s="94">
        <f t="shared" si="56"/>
        <v>0</v>
      </c>
      <c r="X150" s="94">
        <f t="shared" si="57"/>
        <v>0</v>
      </c>
      <c r="Y150" s="94">
        <f t="shared" si="58"/>
        <v>0</v>
      </c>
      <c r="Z150" s="93">
        <f>_xlfn.XLOOKUP(O150,'[4]2DO TRIMESTRE'!$C:$C,'[4]2DO TRIMESTRE'!$I:$I,0,0)</f>
        <v>0</v>
      </c>
      <c r="AA150" s="94">
        <f t="shared" si="59"/>
        <v>0</v>
      </c>
      <c r="AB150" s="94">
        <f t="shared" si="60"/>
        <v>0</v>
      </c>
      <c r="AC150" s="94">
        <f t="shared" si="61"/>
        <v>0</v>
      </c>
      <c r="AD150" s="93">
        <v>0</v>
      </c>
      <c r="AE150" s="94">
        <f t="shared" si="62"/>
        <v>0</v>
      </c>
      <c r="AF150" s="94">
        <f t="shared" si="63"/>
        <v>0</v>
      </c>
      <c r="AG150" s="94">
        <f t="shared" si="64"/>
        <v>0</v>
      </c>
      <c r="AH150" s="117">
        <v>0</v>
      </c>
      <c r="AI150" s="94">
        <f t="shared" si="50"/>
        <v>0</v>
      </c>
      <c r="AJ150" s="94">
        <f t="shared" si="51"/>
        <v>0</v>
      </c>
      <c r="AK150" s="94">
        <f t="shared" si="52"/>
        <v>0</v>
      </c>
      <c r="AL150" s="93">
        <v>11630760</v>
      </c>
      <c r="AM150" s="93">
        <f t="shared" si="65"/>
        <v>0</v>
      </c>
      <c r="AN150" s="155"/>
      <c r="AO150" s="155"/>
    </row>
    <row r="151" spans="1:41" s="9" customFormat="1" ht="25.15" customHeight="1" x14ac:dyDescent="0.25">
      <c r="A151" s="83">
        <v>145</v>
      </c>
      <c r="B151" s="84">
        <v>2022</v>
      </c>
      <c r="C151" s="85" t="s">
        <v>843</v>
      </c>
      <c r="D151" s="86" t="s">
        <v>1140</v>
      </c>
      <c r="E151" s="86" t="s">
        <v>758</v>
      </c>
      <c r="F151" s="87">
        <v>44901</v>
      </c>
      <c r="G151" s="87">
        <v>45120</v>
      </c>
      <c r="H151" s="88">
        <f t="shared" si="53"/>
        <v>2.4333333333333331</v>
      </c>
      <c r="I151" s="89" t="s">
        <v>759</v>
      </c>
      <c r="J151" s="90" t="s">
        <v>751</v>
      </c>
      <c r="K151" s="90" t="s">
        <v>752</v>
      </c>
      <c r="L151" s="90" t="s">
        <v>753</v>
      </c>
      <c r="M151" s="91" t="s">
        <v>1059</v>
      </c>
      <c r="N151" s="92" t="s">
        <v>1141</v>
      </c>
      <c r="O151" s="85">
        <v>2910907211</v>
      </c>
      <c r="P151" s="93">
        <f>+_xlfn.XLOOKUP(O151,'[3]Benef Primera fecha '!$C:$C,'[3]Benef Primera fecha '!$E:$E,0)</f>
        <v>690000000</v>
      </c>
      <c r="Q151" s="93">
        <v>0</v>
      </c>
      <c r="R151" s="94">
        <f t="shared" si="54"/>
        <v>690000000</v>
      </c>
      <c r="S151" s="95">
        <v>0.12</v>
      </c>
      <c r="T151" s="94">
        <f t="shared" si="55"/>
        <v>73928571.428571418</v>
      </c>
      <c r="U151" s="117">
        <v>621000333</v>
      </c>
      <c r="V151" s="117">
        <v>0</v>
      </c>
      <c r="W151" s="94">
        <f t="shared" si="56"/>
        <v>0</v>
      </c>
      <c r="X151" s="94">
        <f t="shared" si="57"/>
        <v>0</v>
      </c>
      <c r="Y151" s="94">
        <f t="shared" si="58"/>
        <v>0</v>
      </c>
      <c r="Z151" s="93">
        <f>_xlfn.XLOOKUP(O151,'[4]2DO TRIMESTRE'!$C:$C,'[4]2DO TRIMESTRE'!$I:$I,0,0)</f>
        <v>0</v>
      </c>
      <c r="AA151" s="94">
        <f t="shared" si="59"/>
        <v>0</v>
      </c>
      <c r="AB151" s="94">
        <f t="shared" si="60"/>
        <v>0</v>
      </c>
      <c r="AC151" s="94">
        <f t="shared" si="61"/>
        <v>0</v>
      </c>
      <c r="AD151" s="93">
        <v>0</v>
      </c>
      <c r="AE151" s="94">
        <f t="shared" si="62"/>
        <v>0</v>
      </c>
      <c r="AF151" s="94">
        <f t="shared" si="63"/>
        <v>0</v>
      </c>
      <c r="AG151" s="94">
        <f t="shared" si="64"/>
        <v>0</v>
      </c>
      <c r="AH151" s="117">
        <v>0</v>
      </c>
      <c r="AI151" s="94">
        <f t="shared" si="50"/>
        <v>0</v>
      </c>
      <c r="AJ151" s="94">
        <f t="shared" si="51"/>
        <v>0</v>
      </c>
      <c r="AK151" s="94">
        <f t="shared" si="52"/>
        <v>0</v>
      </c>
      <c r="AL151" s="93">
        <v>66535750</v>
      </c>
      <c r="AM151" s="93">
        <f t="shared" si="65"/>
        <v>0</v>
      </c>
      <c r="AN151" s="155"/>
      <c r="AO151" s="155"/>
    </row>
    <row r="152" spans="1:41" s="9" customFormat="1" ht="25.15" customHeight="1" x14ac:dyDescent="0.25">
      <c r="A152" s="83">
        <v>146</v>
      </c>
      <c r="B152" s="84">
        <v>2022</v>
      </c>
      <c r="C152" s="85" t="s">
        <v>772</v>
      </c>
      <c r="D152" s="86" t="s">
        <v>1142</v>
      </c>
      <c r="E152" s="86" t="s">
        <v>758</v>
      </c>
      <c r="F152" s="87">
        <v>44909</v>
      </c>
      <c r="G152" s="87">
        <v>45229</v>
      </c>
      <c r="H152" s="88">
        <f t="shared" si="53"/>
        <v>3.5555555555555554</v>
      </c>
      <c r="I152" s="89" t="s">
        <v>759</v>
      </c>
      <c r="J152" s="90" t="s">
        <v>751</v>
      </c>
      <c r="K152" s="90" t="s">
        <v>752</v>
      </c>
      <c r="L152" s="90" t="s">
        <v>753</v>
      </c>
      <c r="M152" s="91" t="s">
        <v>1059</v>
      </c>
      <c r="N152" s="92" t="s">
        <v>1143</v>
      </c>
      <c r="O152" s="85">
        <v>2910907212</v>
      </c>
      <c r="P152" s="93">
        <f>+_xlfn.XLOOKUP(O152,'[3]Benef Primera fecha '!$C:$C,'[3]Benef Primera fecha '!$E:$E,0)</f>
        <v>835350000</v>
      </c>
      <c r="Q152" s="93">
        <v>0</v>
      </c>
      <c r="R152" s="94">
        <f t="shared" si="54"/>
        <v>835350000</v>
      </c>
      <c r="S152" s="95">
        <v>0.12</v>
      </c>
      <c r="T152" s="94">
        <f t="shared" si="55"/>
        <v>89501785.714285702</v>
      </c>
      <c r="U152" s="117">
        <v>835350000</v>
      </c>
      <c r="V152" s="117">
        <v>0</v>
      </c>
      <c r="W152" s="94">
        <f t="shared" si="56"/>
        <v>0</v>
      </c>
      <c r="X152" s="94">
        <f t="shared" si="57"/>
        <v>0</v>
      </c>
      <c r="Y152" s="94">
        <f t="shared" si="58"/>
        <v>0</v>
      </c>
      <c r="Z152" s="93">
        <f>_xlfn.XLOOKUP(O152,'[4]2DO TRIMESTRE'!$C:$C,'[4]2DO TRIMESTRE'!$I:$I,0,0)</f>
        <v>0</v>
      </c>
      <c r="AA152" s="94">
        <f t="shared" si="59"/>
        <v>0</v>
      </c>
      <c r="AB152" s="94">
        <f t="shared" si="60"/>
        <v>0</v>
      </c>
      <c r="AC152" s="94">
        <f t="shared" si="61"/>
        <v>0</v>
      </c>
      <c r="AD152" s="93">
        <v>0</v>
      </c>
      <c r="AE152" s="94">
        <f t="shared" si="62"/>
        <v>0</v>
      </c>
      <c r="AF152" s="94">
        <f t="shared" si="63"/>
        <v>0</v>
      </c>
      <c r="AG152" s="94">
        <f t="shared" si="64"/>
        <v>0</v>
      </c>
      <c r="AH152" s="117">
        <v>0</v>
      </c>
      <c r="AI152" s="94">
        <f t="shared" si="50"/>
        <v>0</v>
      </c>
      <c r="AJ152" s="94">
        <f t="shared" si="51"/>
        <v>0</v>
      </c>
      <c r="AK152" s="94">
        <f t="shared" si="52"/>
        <v>0</v>
      </c>
      <c r="AL152" s="93">
        <v>89501786</v>
      </c>
      <c r="AM152" s="93">
        <f t="shared" si="65"/>
        <v>0</v>
      </c>
      <c r="AN152" s="155"/>
      <c r="AO152" s="155"/>
    </row>
    <row r="153" spans="1:41" s="9" customFormat="1" ht="25.15" customHeight="1" x14ac:dyDescent="0.25">
      <c r="A153" s="83">
        <v>147</v>
      </c>
      <c r="B153" s="84">
        <v>2022</v>
      </c>
      <c r="C153" s="85" t="s">
        <v>1144</v>
      </c>
      <c r="D153" s="86" t="s">
        <v>1145</v>
      </c>
      <c r="E153" s="86" t="s">
        <v>758</v>
      </c>
      <c r="F153" s="87">
        <v>44910</v>
      </c>
      <c r="G153" s="87">
        <v>45077</v>
      </c>
      <c r="H153" s="88">
        <f t="shared" si="53"/>
        <v>1.8555555555555556</v>
      </c>
      <c r="I153" s="89" t="s">
        <v>750</v>
      </c>
      <c r="J153" s="90" t="s">
        <v>751</v>
      </c>
      <c r="K153" s="90" t="s">
        <v>752</v>
      </c>
      <c r="L153" s="90" t="s">
        <v>753</v>
      </c>
      <c r="M153" s="91" t="s">
        <v>1059</v>
      </c>
      <c r="N153" s="92" t="s">
        <v>1146</v>
      </c>
      <c r="O153" s="85">
        <v>2910907214</v>
      </c>
      <c r="P153" s="93">
        <f>+_xlfn.XLOOKUP(O153,'[3]Benef Primera fecha '!$C:$C,'[3]Benef Primera fecha '!$E:$E,0)</f>
        <v>173532800</v>
      </c>
      <c r="Q153" s="93">
        <v>0</v>
      </c>
      <c r="R153" s="94">
        <f t="shared" si="54"/>
        <v>173532800</v>
      </c>
      <c r="S153" s="95">
        <v>0.12</v>
      </c>
      <c r="T153" s="94">
        <f t="shared" si="55"/>
        <v>18592800</v>
      </c>
      <c r="U153" s="117">
        <v>173532800</v>
      </c>
      <c r="V153" s="117">
        <v>0</v>
      </c>
      <c r="W153" s="94">
        <f t="shared" si="56"/>
        <v>0</v>
      </c>
      <c r="X153" s="94">
        <f t="shared" si="57"/>
        <v>0</v>
      </c>
      <c r="Y153" s="94">
        <f t="shared" si="58"/>
        <v>0</v>
      </c>
      <c r="Z153" s="93">
        <f>_xlfn.XLOOKUP(O153,'[4]2DO TRIMESTRE'!$C:$C,'[4]2DO TRIMESTRE'!$I:$I,0,0)</f>
        <v>0</v>
      </c>
      <c r="AA153" s="94">
        <f t="shared" si="59"/>
        <v>0</v>
      </c>
      <c r="AB153" s="94">
        <f t="shared" si="60"/>
        <v>0</v>
      </c>
      <c r="AC153" s="94">
        <f t="shared" si="61"/>
        <v>0</v>
      </c>
      <c r="AD153" s="93">
        <v>0</v>
      </c>
      <c r="AE153" s="94">
        <f t="shared" si="62"/>
        <v>0</v>
      </c>
      <c r="AF153" s="94">
        <f t="shared" si="63"/>
        <v>0</v>
      </c>
      <c r="AG153" s="94">
        <f t="shared" si="64"/>
        <v>0</v>
      </c>
      <c r="AH153" s="117">
        <v>0</v>
      </c>
      <c r="AI153" s="94">
        <f t="shared" si="50"/>
        <v>0</v>
      </c>
      <c r="AJ153" s="94">
        <f t="shared" si="51"/>
        <v>0</v>
      </c>
      <c r="AK153" s="94">
        <f t="shared" si="52"/>
        <v>0</v>
      </c>
      <c r="AL153" s="93">
        <v>18592800</v>
      </c>
      <c r="AM153" s="93">
        <f t="shared" si="65"/>
        <v>0</v>
      </c>
      <c r="AN153" s="155"/>
      <c r="AO153" s="155"/>
    </row>
    <row r="154" spans="1:41" s="9" customFormat="1" ht="25.15" customHeight="1" x14ac:dyDescent="0.25">
      <c r="A154" s="83">
        <v>148</v>
      </c>
      <c r="B154" s="84">
        <v>2022</v>
      </c>
      <c r="C154" s="85" t="s">
        <v>962</v>
      </c>
      <c r="D154" s="86" t="s">
        <v>1147</v>
      </c>
      <c r="E154" s="86" t="s">
        <v>777</v>
      </c>
      <c r="F154" s="87">
        <v>44910</v>
      </c>
      <c r="G154" s="87">
        <v>45189</v>
      </c>
      <c r="H154" s="88">
        <f t="shared" si="53"/>
        <v>3.1</v>
      </c>
      <c r="I154" s="89" t="s">
        <v>759</v>
      </c>
      <c r="J154" s="90" t="s">
        <v>751</v>
      </c>
      <c r="K154" s="90" t="s">
        <v>752</v>
      </c>
      <c r="L154" s="90" t="s">
        <v>753</v>
      </c>
      <c r="M154" s="91" t="s">
        <v>1059</v>
      </c>
      <c r="N154" s="92" t="s">
        <v>1148</v>
      </c>
      <c r="O154" s="85">
        <v>2453018343</v>
      </c>
      <c r="P154" s="93">
        <f>+_xlfn.XLOOKUP(O154,'[3]Benef Primera fecha '!$C:$C,'[3]Benef Primera fecha '!$E:$E,0)</f>
        <v>243781000</v>
      </c>
      <c r="Q154" s="93">
        <v>0</v>
      </c>
      <c r="R154" s="94">
        <f t="shared" si="54"/>
        <v>243781000</v>
      </c>
      <c r="S154" s="95">
        <v>0.12</v>
      </c>
      <c r="T154" s="94">
        <f t="shared" si="55"/>
        <v>26119392.857142854</v>
      </c>
      <c r="U154" s="117">
        <v>207075020</v>
      </c>
      <c r="V154" s="117">
        <v>0</v>
      </c>
      <c r="W154" s="94">
        <f t="shared" si="56"/>
        <v>0</v>
      </c>
      <c r="X154" s="94">
        <f t="shared" si="57"/>
        <v>0</v>
      </c>
      <c r="Y154" s="94">
        <f t="shared" si="58"/>
        <v>0</v>
      </c>
      <c r="Z154" s="93">
        <f>_xlfn.XLOOKUP(O154,'[4]2DO TRIMESTRE'!$C:$C,'[4]2DO TRIMESTRE'!$I:$I,0,0)</f>
        <v>0</v>
      </c>
      <c r="AA154" s="94">
        <f t="shared" si="59"/>
        <v>0</v>
      </c>
      <c r="AB154" s="94">
        <f t="shared" si="60"/>
        <v>0</v>
      </c>
      <c r="AC154" s="94">
        <f t="shared" si="61"/>
        <v>0</v>
      </c>
      <c r="AD154" s="93">
        <v>0</v>
      </c>
      <c r="AE154" s="94">
        <f t="shared" si="62"/>
        <v>0</v>
      </c>
      <c r="AF154" s="94">
        <f t="shared" si="63"/>
        <v>0</v>
      </c>
      <c r="AG154" s="94">
        <f t="shared" si="64"/>
        <v>0</v>
      </c>
      <c r="AH154" s="117">
        <v>0</v>
      </c>
      <c r="AI154" s="94">
        <f t="shared" si="50"/>
        <v>0</v>
      </c>
      <c r="AJ154" s="94">
        <f t="shared" si="51"/>
        <v>0</v>
      </c>
      <c r="AK154" s="94">
        <f t="shared" si="52"/>
        <v>0</v>
      </c>
      <c r="AL154" s="93">
        <v>22186609.407061499</v>
      </c>
      <c r="AM154" s="93">
        <f t="shared" si="65"/>
        <v>0</v>
      </c>
      <c r="AN154" s="155"/>
      <c r="AO154" s="155"/>
    </row>
    <row r="155" spans="1:41" s="9" customFormat="1" ht="25.15" customHeight="1" x14ac:dyDescent="0.25">
      <c r="A155" s="83">
        <v>149</v>
      </c>
      <c r="B155" s="84">
        <v>2022</v>
      </c>
      <c r="C155" s="85" t="s">
        <v>814</v>
      </c>
      <c r="D155" s="86" t="s">
        <v>1149</v>
      </c>
      <c r="E155" s="86" t="s">
        <v>758</v>
      </c>
      <c r="F155" s="87">
        <v>44916</v>
      </c>
      <c r="G155" s="87"/>
      <c r="H155" s="88">
        <f t="shared" si="53"/>
        <v>-499.06666666666666</v>
      </c>
      <c r="I155" s="89" t="s">
        <v>1077</v>
      </c>
      <c r="J155" s="90" t="s">
        <v>751</v>
      </c>
      <c r="K155" s="90" t="s">
        <v>752</v>
      </c>
      <c r="L155" s="90" t="s">
        <v>753</v>
      </c>
      <c r="M155" s="91" t="s">
        <v>1059</v>
      </c>
      <c r="N155" s="92" t="s">
        <v>1150</v>
      </c>
      <c r="O155" s="85">
        <v>2910907228</v>
      </c>
      <c r="P155" s="93">
        <v>151385432</v>
      </c>
      <c r="Q155" s="93">
        <v>0</v>
      </c>
      <c r="R155" s="94">
        <f t="shared" si="54"/>
        <v>151385432</v>
      </c>
      <c r="S155" s="95">
        <v>0</v>
      </c>
      <c r="T155" s="94">
        <f t="shared" si="55"/>
        <v>0</v>
      </c>
      <c r="U155" s="117">
        <v>0</v>
      </c>
      <c r="V155" s="117">
        <v>0</v>
      </c>
      <c r="W155" s="94">
        <f t="shared" si="56"/>
        <v>0</v>
      </c>
      <c r="X155" s="94">
        <f t="shared" si="57"/>
        <v>0</v>
      </c>
      <c r="Y155" s="94">
        <f t="shared" si="58"/>
        <v>0</v>
      </c>
      <c r="Z155" s="93">
        <f>_xlfn.XLOOKUP(O155,'[4]2DO TRIMESTRE'!$C:$C,'[4]2DO TRIMESTRE'!$I:$I,0,0)</f>
        <v>0</v>
      </c>
      <c r="AA155" s="94">
        <f t="shared" si="59"/>
        <v>0</v>
      </c>
      <c r="AB155" s="94">
        <f t="shared" si="60"/>
        <v>0</v>
      </c>
      <c r="AC155" s="94">
        <f t="shared" si="61"/>
        <v>0</v>
      </c>
      <c r="AD155" s="93">
        <v>0</v>
      </c>
      <c r="AE155" s="94">
        <f t="shared" si="62"/>
        <v>0</v>
      </c>
      <c r="AF155" s="94">
        <f t="shared" si="63"/>
        <v>0</v>
      </c>
      <c r="AG155" s="94">
        <f t="shared" si="64"/>
        <v>0</v>
      </c>
      <c r="AH155" s="117">
        <v>0</v>
      </c>
      <c r="AI155" s="94">
        <f t="shared" si="50"/>
        <v>0</v>
      </c>
      <c r="AJ155" s="94">
        <f t="shared" si="51"/>
        <v>0</v>
      </c>
      <c r="AK155" s="94">
        <f t="shared" si="52"/>
        <v>0</v>
      </c>
      <c r="AL155" s="93">
        <v>0</v>
      </c>
      <c r="AM155" s="93">
        <f t="shared" si="65"/>
        <v>0</v>
      </c>
      <c r="AN155" s="155" t="s">
        <v>800</v>
      </c>
      <c r="AO155" s="155" t="s">
        <v>800</v>
      </c>
    </row>
    <row r="156" spans="1:41" s="9" customFormat="1" ht="25.15" customHeight="1" x14ac:dyDescent="0.25">
      <c r="A156" s="83">
        <v>150</v>
      </c>
      <c r="B156" s="84">
        <v>2022</v>
      </c>
      <c r="C156" s="85" t="s">
        <v>1151</v>
      </c>
      <c r="D156" s="86" t="s">
        <v>1152</v>
      </c>
      <c r="E156" s="86" t="s">
        <v>777</v>
      </c>
      <c r="F156" s="87">
        <v>44917</v>
      </c>
      <c r="G156" s="87">
        <v>45830</v>
      </c>
      <c r="H156" s="88">
        <f t="shared" si="53"/>
        <v>10.144444444444444</v>
      </c>
      <c r="I156" s="89" t="s">
        <v>759</v>
      </c>
      <c r="J156" s="90" t="s">
        <v>751</v>
      </c>
      <c r="K156" s="90" t="s">
        <v>752</v>
      </c>
      <c r="L156" s="90" t="s">
        <v>753</v>
      </c>
      <c r="M156" s="91" t="s">
        <v>1153</v>
      </c>
      <c r="N156" s="92" t="s">
        <v>1154</v>
      </c>
      <c r="O156" s="85">
        <v>2453018346</v>
      </c>
      <c r="P156" s="93">
        <v>680689715</v>
      </c>
      <c r="Q156" s="93">
        <v>0</v>
      </c>
      <c r="R156" s="94">
        <f t="shared" si="54"/>
        <v>680689715</v>
      </c>
      <c r="S156" s="95">
        <v>0</v>
      </c>
      <c r="T156" s="94">
        <f t="shared" si="55"/>
        <v>0</v>
      </c>
      <c r="U156" s="117">
        <v>0</v>
      </c>
      <c r="V156" s="117">
        <v>0</v>
      </c>
      <c r="W156" s="94">
        <f t="shared" si="56"/>
        <v>0</v>
      </c>
      <c r="X156" s="94">
        <f t="shared" si="57"/>
        <v>0</v>
      </c>
      <c r="Y156" s="94">
        <f t="shared" si="58"/>
        <v>0</v>
      </c>
      <c r="Z156" s="93">
        <f>_xlfn.XLOOKUP(O156,'[4]2DO TRIMESTRE'!$C:$C,'[4]2DO TRIMESTRE'!$I:$I,0,0)</f>
        <v>0</v>
      </c>
      <c r="AA156" s="94">
        <f t="shared" si="59"/>
        <v>0</v>
      </c>
      <c r="AB156" s="94">
        <f t="shared" si="60"/>
        <v>0</v>
      </c>
      <c r="AC156" s="94">
        <f t="shared" si="61"/>
        <v>0</v>
      </c>
      <c r="AD156" s="93">
        <v>0</v>
      </c>
      <c r="AE156" s="94">
        <f t="shared" si="62"/>
        <v>0</v>
      </c>
      <c r="AF156" s="94">
        <f t="shared" si="63"/>
        <v>0</v>
      </c>
      <c r="AG156" s="94">
        <f t="shared" si="64"/>
        <v>0</v>
      </c>
      <c r="AH156" s="117">
        <v>0</v>
      </c>
      <c r="AI156" s="94">
        <f t="shared" si="50"/>
        <v>0</v>
      </c>
      <c r="AJ156" s="94">
        <f t="shared" si="51"/>
        <v>0</v>
      </c>
      <c r="AK156" s="94">
        <f t="shared" si="52"/>
        <v>0</v>
      </c>
      <c r="AL156" s="93">
        <v>0</v>
      </c>
      <c r="AM156" s="93">
        <f t="shared" si="65"/>
        <v>0</v>
      </c>
      <c r="AN156" s="155" t="s">
        <v>800</v>
      </c>
      <c r="AO156" s="155" t="s">
        <v>800</v>
      </c>
    </row>
    <row r="157" spans="1:41" s="9" customFormat="1" ht="25.15" customHeight="1" x14ac:dyDescent="0.25">
      <c r="A157" s="83">
        <v>151</v>
      </c>
      <c r="B157" s="84">
        <v>2022</v>
      </c>
      <c r="C157" s="85" t="s">
        <v>1010</v>
      </c>
      <c r="D157" s="86" t="s">
        <v>1155</v>
      </c>
      <c r="E157" s="86" t="s">
        <v>758</v>
      </c>
      <c r="F157" s="87">
        <v>44920</v>
      </c>
      <c r="G157" s="87">
        <v>44920</v>
      </c>
      <c r="H157" s="88">
        <f t="shared" si="53"/>
        <v>0</v>
      </c>
      <c r="I157" s="89" t="s">
        <v>750</v>
      </c>
      <c r="J157" s="90" t="s">
        <v>751</v>
      </c>
      <c r="K157" s="90" t="s">
        <v>752</v>
      </c>
      <c r="L157" s="90" t="s">
        <v>753</v>
      </c>
      <c r="M157" s="91" t="s">
        <v>1059</v>
      </c>
      <c r="N157" s="92" t="s">
        <v>1156</v>
      </c>
      <c r="O157" s="85">
        <v>2910907201</v>
      </c>
      <c r="P157" s="93">
        <f>+_xlfn.XLOOKUP(O157,'[3]Benef Primera fecha '!$C:$C,'[3]Benef Primera fecha '!$E:$E,0)</f>
        <v>70000000</v>
      </c>
      <c r="Q157" s="93">
        <v>0</v>
      </c>
      <c r="R157" s="94">
        <f t="shared" si="54"/>
        <v>70000000</v>
      </c>
      <c r="S157" s="95">
        <v>0.12</v>
      </c>
      <c r="T157" s="94">
        <f t="shared" si="55"/>
        <v>7499999.9999999991</v>
      </c>
      <c r="U157" s="117">
        <v>44536680</v>
      </c>
      <c r="V157" s="117">
        <v>0</v>
      </c>
      <c r="W157" s="94">
        <f t="shared" si="56"/>
        <v>0</v>
      </c>
      <c r="X157" s="94">
        <f t="shared" si="57"/>
        <v>0</v>
      </c>
      <c r="Y157" s="94">
        <f t="shared" si="58"/>
        <v>0</v>
      </c>
      <c r="Z157" s="93">
        <f>_xlfn.XLOOKUP(O157,'[4]2DO TRIMESTRE'!$C:$C,'[4]2DO TRIMESTRE'!$I:$I,0,0)</f>
        <v>0</v>
      </c>
      <c r="AA157" s="94">
        <f t="shared" si="59"/>
        <v>0</v>
      </c>
      <c r="AB157" s="94">
        <f t="shared" si="60"/>
        <v>0</v>
      </c>
      <c r="AC157" s="94">
        <f t="shared" si="61"/>
        <v>0</v>
      </c>
      <c r="AD157" s="93">
        <v>0</v>
      </c>
      <c r="AE157" s="94">
        <f t="shared" si="62"/>
        <v>0</v>
      </c>
      <c r="AF157" s="94">
        <f t="shared" si="63"/>
        <v>0</v>
      </c>
      <c r="AG157" s="94">
        <f t="shared" si="64"/>
        <v>0</v>
      </c>
      <c r="AH157" s="117">
        <v>0</v>
      </c>
      <c r="AI157" s="94">
        <f t="shared" si="50"/>
        <v>0</v>
      </c>
      <c r="AJ157" s="94">
        <f t="shared" si="51"/>
        <v>0</v>
      </c>
      <c r="AK157" s="94">
        <f t="shared" si="52"/>
        <v>0</v>
      </c>
      <c r="AL157" s="93">
        <v>4771787</v>
      </c>
      <c r="AM157" s="93">
        <f t="shared" si="65"/>
        <v>0</v>
      </c>
      <c r="AN157" s="155"/>
      <c r="AO157" s="155"/>
    </row>
    <row r="158" spans="1:41" s="9" customFormat="1" ht="25.15" customHeight="1" x14ac:dyDescent="0.25">
      <c r="A158" s="83">
        <v>152</v>
      </c>
      <c r="B158" s="84">
        <v>2022</v>
      </c>
      <c r="C158" s="85" t="s">
        <v>1157</v>
      </c>
      <c r="D158" s="86" t="s">
        <v>1158</v>
      </c>
      <c r="E158" s="86" t="s">
        <v>758</v>
      </c>
      <c r="F158" s="87">
        <v>44923</v>
      </c>
      <c r="G158" s="87"/>
      <c r="H158" s="88">
        <f t="shared" si="53"/>
        <v>-499.14444444444445</v>
      </c>
      <c r="I158" s="89" t="s">
        <v>750</v>
      </c>
      <c r="J158" s="90" t="s">
        <v>751</v>
      </c>
      <c r="K158" s="90" t="s">
        <v>752</v>
      </c>
      <c r="L158" s="90" t="s">
        <v>753</v>
      </c>
      <c r="M158" s="91" t="s">
        <v>1059</v>
      </c>
      <c r="N158" s="92" t="s">
        <v>1159</v>
      </c>
      <c r="O158" s="85">
        <v>2910907218</v>
      </c>
      <c r="P158" s="93">
        <f>+_xlfn.XLOOKUP(O158,'[3]Benef Primera fecha '!$C:$C,'[3]Benef Primera fecha '!$E:$E,0)</f>
        <v>35000000</v>
      </c>
      <c r="Q158" s="93">
        <v>0</v>
      </c>
      <c r="R158" s="94">
        <f t="shared" si="54"/>
        <v>35000000</v>
      </c>
      <c r="S158" s="95">
        <v>0.12</v>
      </c>
      <c r="T158" s="94">
        <f t="shared" si="55"/>
        <v>3749999.9999999995</v>
      </c>
      <c r="U158" s="117">
        <v>35000000</v>
      </c>
      <c r="V158" s="117">
        <v>0</v>
      </c>
      <c r="W158" s="94">
        <f t="shared" si="56"/>
        <v>0</v>
      </c>
      <c r="X158" s="94">
        <f t="shared" si="57"/>
        <v>0</v>
      </c>
      <c r="Y158" s="94">
        <f t="shared" si="58"/>
        <v>0</v>
      </c>
      <c r="Z158" s="93">
        <f>_xlfn.XLOOKUP(O158,'[4]2DO TRIMESTRE'!$C:$C,'[4]2DO TRIMESTRE'!$I:$I,0,0)</f>
        <v>0</v>
      </c>
      <c r="AA158" s="94">
        <f t="shared" si="59"/>
        <v>0</v>
      </c>
      <c r="AB158" s="94">
        <f t="shared" si="60"/>
        <v>0</v>
      </c>
      <c r="AC158" s="94">
        <f t="shared" si="61"/>
        <v>0</v>
      </c>
      <c r="AD158" s="93">
        <v>0</v>
      </c>
      <c r="AE158" s="94">
        <f t="shared" si="62"/>
        <v>0</v>
      </c>
      <c r="AF158" s="94">
        <f t="shared" si="63"/>
        <v>0</v>
      </c>
      <c r="AG158" s="94">
        <f t="shared" si="64"/>
        <v>0</v>
      </c>
      <c r="AH158" s="117">
        <v>0</v>
      </c>
      <c r="AI158" s="94">
        <f t="shared" si="50"/>
        <v>0</v>
      </c>
      <c r="AJ158" s="94">
        <f t="shared" si="51"/>
        <v>0</v>
      </c>
      <c r="AK158" s="94">
        <f t="shared" si="52"/>
        <v>0</v>
      </c>
      <c r="AL158" s="93">
        <v>3750000</v>
      </c>
      <c r="AM158" s="93">
        <f t="shared" si="65"/>
        <v>0</v>
      </c>
      <c r="AN158" s="155"/>
      <c r="AO158" s="155"/>
    </row>
    <row r="159" spans="1:41" s="9" customFormat="1" ht="25.15" customHeight="1" x14ac:dyDescent="0.25">
      <c r="A159" s="83">
        <v>153</v>
      </c>
      <c r="B159" s="84">
        <v>2022</v>
      </c>
      <c r="C159" s="85" t="s">
        <v>1160</v>
      </c>
      <c r="D159" s="86" t="s">
        <v>1161</v>
      </c>
      <c r="E159" s="86" t="s">
        <v>758</v>
      </c>
      <c r="F159" s="87">
        <v>44923</v>
      </c>
      <c r="G159" s="87">
        <v>45411</v>
      </c>
      <c r="H159" s="88">
        <f t="shared" si="53"/>
        <v>5.4222222222222225</v>
      </c>
      <c r="I159" s="89" t="s">
        <v>759</v>
      </c>
      <c r="J159" s="90" t="s">
        <v>751</v>
      </c>
      <c r="K159" s="90" t="s">
        <v>752</v>
      </c>
      <c r="L159" s="90" t="s">
        <v>753</v>
      </c>
      <c r="M159" s="91" t="s">
        <v>1162</v>
      </c>
      <c r="N159" s="92" t="s">
        <v>1163</v>
      </c>
      <c r="O159" s="85">
        <v>2910907232</v>
      </c>
      <c r="P159" s="93">
        <f>+_xlfn.XLOOKUP(O159,'[3]Benef Primera fecha '!$C:$C,'[3]Benef Primera fecha '!$E:$E,0)</f>
        <v>643456583</v>
      </c>
      <c r="Q159" s="93">
        <v>0</v>
      </c>
      <c r="R159" s="94">
        <f t="shared" si="54"/>
        <v>643456583</v>
      </c>
      <c r="S159" s="95">
        <v>0.12000000048736777</v>
      </c>
      <c r="T159" s="94">
        <f t="shared" si="55"/>
        <v>68941777</v>
      </c>
      <c r="U159" s="117">
        <v>553965446.89999998</v>
      </c>
      <c r="V159" s="117">
        <v>0</v>
      </c>
      <c r="W159" s="94">
        <f t="shared" si="56"/>
        <v>0</v>
      </c>
      <c r="X159" s="94">
        <f t="shared" si="57"/>
        <v>0</v>
      </c>
      <c r="Y159" s="94">
        <f t="shared" si="58"/>
        <v>0</v>
      </c>
      <c r="Z159" s="93">
        <f>_xlfn.XLOOKUP(O159,'[4]2DO TRIMESTRE'!$C:$C,'[4]2DO TRIMESTRE'!$I:$I,0,0)</f>
        <v>0</v>
      </c>
      <c r="AA159" s="94">
        <f t="shared" si="59"/>
        <v>0</v>
      </c>
      <c r="AB159" s="94">
        <f t="shared" si="60"/>
        <v>0</v>
      </c>
      <c r="AC159" s="94">
        <f t="shared" si="61"/>
        <v>0</v>
      </c>
      <c r="AD159" s="93">
        <v>0</v>
      </c>
      <c r="AE159" s="94">
        <f t="shared" si="62"/>
        <v>0</v>
      </c>
      <c r="AF159" s="94">
        <f t="shared" si="63"/>
        <v>0</v>
      </c>
      <c r="AG159" s="94">
        <f t="shared" si="64"/>
        <v>0</v>
      </c>
      <c r="AH159" s="117">
        <v>0</v>
      </c>
      <c r="AI159" s="94">
        <f t="shared" si="50"/>
        <v>0</v>
      </c>
      <c r="AJ159" s="94">
        <f t="shared" si="51"/>
        <v>0</v>
      </c>
      <c r="AK159" s="94">
        <f t="shared" si="52"/>
        <v>0</v>
      </c>
      <c r="AL159" s="93">
        <v>59353440.954516016</v>
      </c>
      <c r="AM159" s="93">
        <f t="shared" si="65"/>
        <v>0</v>
      </c>
      <c r="AN159" s="155"/>
      <c r="AO159" s="155"/>
    </row>
    <row r="160" spans="1:41" s="9" customFormat="1" ht="25.15" customHeight="1" x14ac:dyDescent="0.25">
      <c r="A160" s="83">
        <v>154</v>
      </c>
      <c r="B160" s="84">
        <v>2022</v>
      </c>
      <c r="C160" s="85" t="s">
        <v>1164</v>
      </c>
      <c r="D160" s="86" t="s">
        <v>1165</v>
      </c>
      <c r="E160" s="86" t="s">
        <v>758</v>
      </c>
      <c r="F160" s="87">
        <v>44923</v>
      </c>
      <c r="G160" s="87">
        <v>45353</v>
      </c>
      <c r="H160" s="88">
        <f t="shared" si="53"/>
        <v>4.7777777777777777</v>
      </c>
      <c r="I160" s="89" t="s">
        <v>759</v>
      </c>
      <c r="J160" s="90" t="s">
        <v>751</v>
      </c>
      <c r="K160" s="90" t="s">
        <v>752</v>
      </c>
      <c r="L160" s="90" t="s">
        <v>753</v>
      </c>
      <c r="M160" s="91" t="s">
        <v>1059</v>
      </c>
      <c r="N160" s="92" t="s">
        <v>1166</v>
      </c>
      <c r="O160" s="85">
        <v>2910907222</v>
      </c>
      <c r="P160" s="93">
        <f>+_xlfn.XLOOKUP(O160,'[3]Benef Primera fecha '!$C:$C,'[3]Benef Primera fecha '!$E:$E,0)</f>
        <v>390823000</v>
      </c>
      <c r="Q160" s="93">
        <v>0</v>
      </c>
      <c r="R160" s="94">
        <f t="shared" si="54"/>
        <v>390823000</v>
      </c>
      <c r="S160" s="95">
        <v>0.12</v>
      </c>
      <c r="T160" s="94">
        <f t="shared" si="55"/>
        <v>41873892.857142858</v>
      </c>
      <c r="U160" s="117">
        <v>371281850</v>
      </c>
      <c r="V160" s="117">
        <v>0</v>
      </c>
      <c r="W160" s="94">
        <f t="shared" si="56"/>
        <v>0</v>
      </c>
      <c r="X160" s="94">
        <f t="shared" si="57"/>
        <v>0</v>
      </c>
      <c r="Y160" s="94">
        <f t="shared" si="58"/>
        <v>0</v>
      </c>
      <c r="Z160" s="93">
        <f>_xlfn.XLOOKUP(O160,'[4]2DO TRIMESTRE'!$C:$C,'[4]2DO TRIMESTRE'!$I:$I,0,0)</f>
        <v>0</v>
      </c>
      <c r="AA160" s="94">
        <f t="shared" si="59"/>
        <v>0</v>
      </c>
      <c r="AB160" s="94">
        <f t="shared" si="60"/>
        <v>0</v>
      </c>
      <c r="AC160" s="94">
        <f t="shared" si="61"/>
        <v>0</v>
      </c>
      <c r="AD160" s="93">
        <v>0</v>
      </c>
      <c r="AE160" s="94">
        <f t="shared" si="62"/>
        <v>0</v>
      </c>
      <c r="AF160" s="94">
        <f t="shared" si="63"/>
        <v>0</v>
      </c>
      <c r="AG160" s="94">
        <f t="shared" si="64"/>
        <v>0</v>
      </c>
      <c r="AH160" s="117">
        <v>0</v>
      </c>
      <c r="AI160" s="94">
        <f t="shared" si="50"/>
        <v>0</v>
      </c>
      <c r="AJ160" s="94">
        <f t="shared" si="51"/>
        <v>0</v>
      </c>
      <c r="AK160" s="94">
        <f t="shared" si="52"/>
        <v>0</v>
      </c>
      <c r="AL160" s="93">
        <v>39780198</v>
      </c>
      <c r="AM160" s="93">
        <f t="shared" si="65"/>
        <v>0</v>
      </c>
      <c r="AN160" s="155"/>
      <c r="AO160" s="155"/>
    </row>
    <row r="161" spans="1:41" s="9" customFormat="1" ht="25.15" customHeight="1" x14ac:dyDescent="0.25">
      <c r="A161" s="83">
        <v>155</v>
      </c>
      <c r="B161" s="84">
        <v>2022</v>
      </c>
      <c r="C161" s="85" t="s">
        <v>1023</v>
      </c>
      <c r="D161" s="86" t="s">
        <v>1167</v>
      </c>
      <c r="E161" s="86" t="s">
        <v>758</v>
      </c>
      <c r="F161" s="87">
        <v>44924</v>
      </c>
      <c r="G161" s="87"/>
      <c r="H161" s="88">
        <f t="shared" si="53"/>
        <v>-499.15555555555557</v>
      </c>
      <c r="I161" s="89" t="s">
        <v>1077</v>
      </c>
      <c r="J161" s="90" t="s">
        <v>751</v>
      </c>
      <c r="K161" s="90" t="s">
        <v>752</v>
      </c>
      <c r="L161" s="90" t="s">
        <v>753</v>
      </c>
      <c r="M161" s="91" t="s">
        <v>1059</v>
      </c>
      <c r="N161" s="92" t="s">
        <v>1168</v>
      </c>
      <c r="O161" s="85">
        <v>2910907221</v>
      </c>
      <c r="P161" s="93">
        <f>+_xlfn.XLOOKUP(O161,'[3]Benef Primera fecha '!$C:$C,'[3]Benef Primera fecha '!$E:$E,0)</f>
        <v>242915000</v>
      </c>
      <c r="Q161" s="93">
        <v>0</v>
      </c>
      <c r="R161" s="94">
        <f t="shared" si="54"/>
        <v>242915000</v>
      </c>
      <c r="S161" s="95">
        <v>0.12</v>
      </c>
      <c r="T161" s="94">
        <f t="shared" si="55"/>
        <v>26026607.142857138</v>
      </c>
      <c r="U161" s="117">
        <v>242915000</v>
      </c>
      <c r="V161" s="117">
        <v>0</v>
      </c>
      <c r="W161" s="94">
        <f t="shared" si="56"/>
        <v>0</v>
      </c>
      <c r="X161" s="94">
        <f t="shared" si="57"/>
        <v>0</v>
      </c>
      <c r="Y161" s="94">
        <f t="shared" si="58"/>
        <v>0</v>
      </c>
      <c r="Z161" s="93">
        <f>_xlfn.XLOOKUP(O161,'[4]2DO TRIMESTRE'!$C:$C,'[4]2DO TRIMESTRE'!$I:$I,0,0)</f>
        <v>0</v>
      </c>
      <c r="AA161" s="94">
        <f t="shared" si="59"/>
        <v>0</v>
      </c>
      <c r="AB161" s="94">
        <f t="shared" si="60"/>
        <v>0</v>
      </c>
      <c r="AC161" s="94">
        <f t="shared" si="61"/>
        <v>0</v>
      </c>
      <c r="AD161" s="93">
        <v>0</v>
      </c>
      <c r="AE161" s="94">
        <f t="shared" si="62"/>
        <v>0</v>
      </c>
      <c r="AF161" s="94">
        <f t="shared" si="63"/>
        <v>0</v>
      </c>
      <c r="AG161" s="94">
        <f t="shared" si="64"/>
        <v>0</v>
      </c>
      <c r="AH161" s="117">
        <v>0</v>
      </c>
      <c r="AI161" s="94">
        <f t="shared" si="50"/>
        <v>0</v>
      </c>
      <c r="AJ161" s="94">
        <f t="shared" si="51"/>
        <v>0</v>
      </c>
      <c r="AK161" s="94">
        <f t="shared" si="52"/>
        <v>0</v>
      </c>
      <c r="AL161" s="93">
        <v>25740314.392857142</v>
      </c>
      <c r="AM161" s="93">
        <f t="shared" si="65"/>
        <v>0</v>
      </c>
      <c r="AN161" s="155"/>
      <c r="AO161" s="155"/>
    </row>
    <row r="162" spans="1:41" s="9" customFormat="1" ht="25.15" customHeight="1" x14ac:dyDescent="0.25">
      <c r="A162" s="83">
        <v>156</v>
      </c>
      <c r="B162" s="84">
        <v>2022</v>
      </c>
      <c r="C162" s="85" t="s">
        <v>843</v>
      </c>
      <c r="D162" s="86" t="s">
        <v>1169</v>
      </c>
      <c r="E162" s="86" t="s">
        <v>758</v>
      </c>
      <c r="F162" s="87">
        <v>44924</v>
      </c>
      <c r="G162" s="87">
        <v>45143</v>
      </c>
      <c r="H162" s="88">
        <f t="shared" si="53"/>
        <v>2.4333333333333331</v>
      </c>
      <c r="I162" s="89" t="s">
        <v>759</v>
      </c>
      <c r="J162" s="90" t="s">
        <v>751</v>
      </c>
      <c r="K162" s="90" t="s">
        <v>752</v>
      </c>
      <c r="L162" s="90" t="s">
        <v>753</v>
      </c>
      <c r="M162" s="91" t="s">
        <v>1059</v>
      </c>
      <c r="N162" s="92" t="s">
        <v>1170</v>
      </c>
      <c r="O162" s="85">
        <v>2910907225</v>
      </c>
      <c r="P162" s="93">
        <f>+_xlfn.XLOOKUP(O162,'[3]Benef Primera fecha '!$C:$C,'[3]Benef Primera fecha '!$E:$E,0)</f>
        <v>247000000</v>
      </c>
      <c r="Q162" s="93">
        <v>0</v>
      </c>
      <c r="R162" s="94">
        <f t="shared" si="54"/>
        <v>247000000</v>
      </c>
      <c r="S162" s="95">
        <v>0.12000000145101215</v>
      </c>
      <c r="T162" s="94">
        <f t="shared" si="55"/>
        <v>26464286</v>
      </c>
      <c r="U162" s="117">
        <v>357381432</v>
      </c>
      <c r="V162" s="117">
        <v>0</v>
      </c>
      <c r="W162" s="94">
        <f t="shared" si="56"/>
        <v>0</v>
      </c>
      <c r="X162" s="94">
        <f t="shared" si="57"/>
        <v>0</v>
      </c>
      <c r="Y162" s="94">
        <f t="shared" si="58"/>
        <v>0</v>
      </c>
      <c r="Z162" s="93">
        <f>_xlfn.XLOOKUP(O162,'[4]2DO TRIMESTRE'!$C:$C,'[4]2DO TRIMESTRE'!$I:$I,0,0)</f>
        <v>0</v>
      </c>
      <c r="AA162" s="94">
        <f t="shared" si="59"/>
        <v>0</v>
      </c>
      <c r="AB162" s="94">
        <f t="shared" si="60"/>
        <v>0</v>
      </c>
      <c r="AC162" s="94">
        <f t="shared" si="61"/>
        <v>0</v>
      </c>
      <c r="AD162" s="93">
        <v>0</v>
      </c>
      <c r="AE162" s="94">
        <f t="shared" si="62"/>
        <v>0</v>
      </c>
      <c r="AF162" s="94">
        <f t="shared" si="63"/>
        <v>0</v>
      </c>
      <c r="AG162" s="94">
        <f t="shared" si="64"/>
        <v>0</v>
      </c>
      <c r="AH162" s="117">
        <v>0</v>
      </c>
      <c r="AI162" s="94">
        <f t="shared" si="50"/>
        <v>0</v>
      </c>
      <c r="AJ162" s="94">
        <f t="shared" si="51"/>
        <v>0</v>
      </c>
      <c r="AK162" s="94">
        <f t="shared" si="52"/>
        <v>0</v>
      </c>
      <c r="AL162" s="93">
        <v>26464286</v>
      </c>
      <c r="AM162" s="93">
        <f t="shared" si="65"/>
        <v>0</v>
      </c>
      <c r="AN162" s="155"/>
      <c r="AO162" s="155"/>
    </row>
    <row r="163" spans="1:41" s="9" customFormat="1" ht="25.15" customHeight="1" x14ac:dyDescent="0.25">
      <c r="A163" s="83">
        <v>157</v>
      </c>
      <c r="B163" s="84">
        <v>2022</v>
      </c>
      <c r="C163" s="85" t="s">
        <v>1171</v>
      </c>
      <c r="D163" s="86" t="s">
        <v>1172</v>
      </c>
      <c r="E163" s="86" t="s">
        <v>777</v>
      </c>
      <c r="F163" s="87">
        <v>44925</v>
      </c>
      <c r="G163" s="87">
        <v>45316</v>
      </c>
      <c r="H163" s="88">
        <f t="shared" si="53"/>
        <v>4.3444444444444441</v>
      </c>
      <c r="I163" s="89" t="s">
        <v>759</v>
      </c>
      <c r="J163" s="90" t="s">
        <v>751</v>
      </c>
      <c r="K163" s="90" t="s">
        <v>752</v>
      </c>
      <c r="L163" s="90" t="s">
        <v>753</v>
      </c>
      <c r="M163" s="91" t="s">
        <v>1059</v>
      </c>
      <c r="N163" s="92" t="s">
        <v>1173</v>
      </c>
      <c r="O163" s="85">
        <v>2453018342</v>
      </c>
      <c r="P163" s="93">
        <f>+_xlfn.XLOOKUP(O163,'[3]Benef Primera fecha '!$C:$C,'[3]Benef Primera fecha '!$E:$E,0)</f>
        <v>452090000</v>
      </c>
      <c r="Q163" s="93">
        <v>226000000</v>
      </c>
      <c r="R163" s="94">
        <f t="shared" si="54"/>
        <v>678090000</v>
      </c>
      <c r="S163" s="95">
        <v>0.12</v>
      </c>
      <c r="T163" s="94">
        <f t="shared" si="55"/>
        <v>72652500</v>
      </c>
      <c r="U163" s="117">
        <v>638910941</v>
      </c>
      <c r="V163" s="117">
        <v>123181765</v>
      </c>
      <c r="W163" s="94">
        <f t="shared" si="56"/>
        <v>13198046.249999998</v>
      </c>
      <c r="X163" s="94">
        <f t="shared" si="57"/>
        <v>5279218.5</v>
      </c>
      <c r="Y163" s="94">
        <f t="shared" si="58"/>
        <v>7918827.7499999981</v>
      </c>
      <c r="Z163" s="93">
        <f>_xlfn.XLOOKUP(O163,'[4]2DO TRIMESTRE'!$C:$C,'[4]2DO TRIMESTRE'!$I:$I,0,0)</f>
        <v>0</v>
      </c>
      <c r="AA163" s="94">
        <f t="shared" si="59"/>
        <v>0</v>
      </c>
      <c r="AB163" s="94">
        <f t="shared" si="60"/>
        <v>0</v>
      </c>
      <c r="AC163" s="94">
        <f t="shared" si="61"/>
        <v>0</v>
      </c>
      <c r="AD163" s="93">
        <v>0</v>
      </c>
      <c r="AE163" s="94">
        <f t="shared" si="62"/>
        <v>0</v>
      </c>
      <c r="AF163" s="94">
        <f t="shared" si="63"/>
        <v>0</v>
      </c>
      <c r="AG163" s="94">
        <f t="shared" si="64"/>
        <v>0</v>
      </c>
      <c r="AH163" s="117">
        <v>0</v>
      </c>
      <c r="AI163" s="94">
        <f t="shared" si="50"/>
        <v>0</v>
      </c>
      <c r="AJ163" s="94">
        <f t="shared" si="51"/>
        <v>0</v>
      </c>
      <c r="AK163" s="94">
        <f t="shared" si="52"/>
        <v>0</v>
      </c>
      <c r="AL163" s="93">
        <v>68454743.678571403</v>
      </c>
      <c r="AM163" s="93">
        <f t="shared" si="65"/>
        <v>13198046.249999998</v>
      </c>
      <c r="AN163" s="155"/>
      <c r="AO163" s="155"/>
    </row>
    <row r="164" spans="1:41" s="9" customFormat="1" ht="25.15" customHeight="1" x14ac:dyDescent="0.25">
      <c r="A164" s="83">
        <v>158</v>
      </c>
      <c r="B164" s="84">
        <v>2023</v>
      </c>
      <c r="C164" s="85" t="s">
        <v>128</v>
      </c>
      <c r="D164" s="86" t="s">
        <v>1174</v>
      </c>
      <c r="E164" s="86" t="s">
        <v>758</v>
      </c>
      <c r="F164" s="87">
        <v>44943</v>
      </c>
      <c r="G164" s="87">
        <v>45286</v>
      </c>
      <c r="H164" s="88">
        <f t="shared" si="53"/>
        <v>3.8111111111111109</v>
      </c>
      <c r="I164" s="89" t="s">
        <v>750</v>
      </c>
      <c r="J164" s="90" t="s">
        <v>751</v>
      </c>
      <c r="K164" s="90" t="s">
        <v>752</v>
      </c>
      <c r="L164" s="90" t="s">
        <v>753</v>
      </c>
      <c r="M164" s="91" t="s">
        <v>1059</v>
      </c>
      <c r="N164" s="92" t="s">
        <v>1175</v>
      </c>
      <c r="O164" s="85">
        <v>2910907223</v>
      </c>
      <c r="P164" s="93">
        <f>+_xlfn.XLOOKUP(O164,'[3]Benef Primera fecha '!$C:$C,'[3]Benef Primera fecha '!$E:$E,0)</f>
        <v>11000088770</v>
      </c>
      <c r="Q164" s="93">
        <v>0</v>
      </c>
      <c r="R164" s="94">
        <f t="shared" si="54"/>
        <v>11000088770</v>
      </c>
      <c r="S164" s="95">
        <v>0.12</v>
      </c>
      <c r="T164" s="94">
        <f t="shared" si="55"/>
        <v>1178580939.6428568</v>
      </c>
      <c r="U164" s="117">
        <v>317261491</v>
      </c>
      <c r="V164" s="117">
        <v>0</v>
      </c>
      <c r="W164" s="94">
        <f t="shared" si="56"/>
        <v>0</v>
      </c>
      <c r="X164" s="94">
        <f t="shared" si="57"/>
        <v>0</v>
      </c>
      <c r="Y164" s="94">
        <f t="shared" si="58"/>
        <v>0</v>
      </c>
      <c r="Z164" s="93">
        <f>_xlfn.XLOOKUP(O164,'[4]2DO TRIMESTRE'!$C:$C,'[4]2DO TRIMESTRE'!$I:$I,0,0)</f>
        <v>0</v>
      </c>
      <c r="AA164" s="94">
        <f t="shared" si="59"/>
        <v>0</v>
      </c>
      <c r="AB164" s="94">
        <f t="shared" si="60"/>
        <v>0</v>
      </c>
      <c r="AC164" s="94">
        <f t="shared" si="61"/>
        <v>0</v>
      </c>
      <c r="AD164" s="93">
        <v>0</v>
      </c>
      <c r="AE164" s="94">
        <f t="shared" si="62"/>
        <v>0</v>
      </c>
      <c r="AF164" s="94">
        <f t="shared" si="63"/>
        <v>0</v>
      </c>
      <c r="AG164" s="94">
        <f t="shared" si="64"/>
        <v>0</v>
      </c>
      <c r="AH164" s="117">
        <v>0</v>
      </c>
      <c r="AI164" s="94">
        <f t="shared" si="50"/>
        <v>0</v>
      </c>
      <c r="AJ164" s="94">
        <f t="shared" si="51"/>
        <v>0</v>
      </c>
      <c r="AK164" s="94">
        <f t="shared" si="52"/>
        <v>0</v>
      </c>
      <c r="AL164" s="93">
        <v>1161182642</v>
      </c>
      <c r="AM164" s="93">
        <f t="shared" si="65"/>
        <v>0</v>
      </c>
      <c r="AN164" s="155"/>
      <c r="AO164" s="155"/>
    </row>
    <row r="165" spans="1:41" s="9" customFormat="1" ht="25.15" customHeight="1" x14ac:dyDescent="0.25">
      <c r="A165" s="83">
        <v>159</v>
      </c>
      <c r="B165" s="84">
        <v>2023</v>
      </c>
      <c r="C165" s="85" t="s">
        <v>1176</v>
      </c>
      <c r="D165" s="86" t="s">
        <v>1177</v>
      </c>
      <c r="E165" s="86" t="s">
        <v>758</v>
      </c>
      <c r="F165" s="87">
        <v>44957</v>
      </c>
      <c r="G165" s="87">
        <v>45257</v>
      </c>
      <c r="H165" s="88">
        <f t="shared" si="53"/>
        <v>3.3333333333333335</v>
      </c>
      <c r="I165" s="89" t="s">
        <v>759</v>
      </c>
      <c r="J165" s="90" t="s">
        <v>1178</v>
      </c>
      <c r="K165" s="90" t="s">
        <v>752</v>
      </c>
      <c r="L165" s="90" t="s">
        <v>753</v>
      </c>
      <c r="M165" s="91" t="s">
        <v>1059</v>
      </c>
      <c r="N165" s="92" t="s">
        <v>1179</v>
      </c>
      <c r="O165" s="85">
        <v>2910907224</v>
      </c>
      <c r="P165" s="93">
        <f>+_xlfn.XLOOKUP(O165,'[3]Benef Primera fecha '!$C:$C,'[3]Benef Primera fecha '!$E:$E,0)</f>
        <v>153881691</v>
      </c>
      <c r="Q165" s="93">
        <v>72639499</v>
      </c>
      <c r="R165" s="94">
        <f t="shared" si="54"/>
        <v>226521190</v>
      </c>
      <c r="S165" s="95">
        <v>0.11999999723116413</v>
      </c>
      <c r="T165" s="94">
        <f t="shared" si="55"/>
        <v>24270127</v>
      </c>
      <c r="U165" s="117">
        <v>339649927</v>
      </c>
      <c r="V165" s="117">
        <v>0</v>
      </c>
      <c r="W165" s="94">
        <f t="shared" si="56"/>
        <v>0</v>
      </c>
      <c r="X165" s="94">
        <f t="shared" si="57"/>
        <v>0</v>
      </c>
      <c r="Y165" s="94">
        <f t="shared" si="58"/>
        <v>0</v>
      </c>
      <c r="Z165" s="93">
        <f>_xlfn.XLOOKUP(O165,'[4]2DO TRIMESTRE'!$C:$C,'[4]2DO TRIMESTRE'!$I:$I,0,0)</f>
        <v>0</v>
      </c>
      <c r="AA165" s="94">
        <f t="shared" si="59"/>
        <v>0</v>
      </c>
      <c r="AB165" s="94">
        <f t="shared" si="60"/>
        <v>0</v>
      </c>
      <c r="AC165" s="94">
        <f t="shared" si="61"/>
        <v>0</v>
      </c>
      <c r="AD165" s="93">
        <v>0</v>
      </c>
      <c r="AE165" s="94">
        <f t="shared" si="62"/>
        <v>0</v>
      </c>
      <c r="AF165" s="94">
        <f t="shared" si="63"/>
        <v>0</v>
      </c>
      <c r="AG165" s="94">
        <f t="shared" si="64"/>
        <v>0</v>
      </c>
      <c r="AH165" s="117">
        <v>0</v>
      </c>
      <c r="AI165" s="94">
        <f t="shared" si="50"/>
        <v>0</v>
      </c>
      <c r="AJ165" s="94">
        <f t="shared" si="51"/>
        <v>0</v>
      </c>
      <c r="AK165" s="94">
        <f t="shared" si="52"/>
        <v>0</v>
      </c>
      <c r="AL165" s="93">
        <v>19784544</v>
      </c>
      <c r="AM165" s="93">
        <f t="shared" si="65"/>
        <v>0</v>
      </c>
      <c r="AN165" s="155"/>
      <c r="AO165" s="155"/>
    </row>
    <row r="166" spans="1:41" s="9" customFormat="1" ht="25.15" customHeight="1" x14ac:dyDescent="0.25">
      <c r="A166" s="83">
        <v>160</v>
      </c>
      <c r="B166" s="84">
        <v>2023</v>
      </c>
      <c r="C166" s="85" t="s">
        <v>1180</v>
      </c>
      <c r="D166" s="86" t="s">
        <v>1181</v>
      </c>
      <c r="E166" s="86" t="s">
        <v>758</v>
      </c>
      <c r="F166" s="87">
        <v>44970</v>
      </c>
      <c r="G166" s="87">
        <v>45199</v>
      </c>
      <c r="H166" s="88">
        <f t="shared" si="53"/>
        <v>2.5444444444444443</v>
      </c>
      <c r="I166" s="89" t="s">
        <v>759</v>
      </c>
      <c r="J166" s="90" t="s">
        <v>751</v>
      </c>
      <c r="K166" s="90" t="s">
        <v>752</v>
      </c>
      <c r="L166" s="90" t="s">
        <v>753</v>
      </c>
      <c r="M166" s="91" t="s">
        <v>1059</v>
      </c>
      <c r="N166" s="92" t="s">
        <v>1182</v>
      </c>
      <c r="O166" s="85">
        <v>2910907227</v>
      </c>
      <c r="P166" s="93">
        <f>+_xlfn.XLOOKUP(O166,'[3]Benef Primera fecha '!$C:$C,'[3]Benef Primera fecha '!$E:$E,0)</f>
        <v>187400000</v>
      </c>
      <c r="Q166" s="93">
        <v>0</v>
      </c>
      <c r="R166" s="94">
        <f t="shared" si="54"/>
        <v>187400000</v>
      </c>
      <c r="S166" s="95">
        <v>0.12</v>
      </c>
      <c r="T166" s="94">
        <f t="shared" si="55"/>
        <v>20078571.428571429</v>
      </c>
      <c r="U166" s="117">
        <v>704286099</v>
      </c>
      <c r="V166" s="117">
        <v>0</v>
      </c>
      <c r="W166" s="94">
        <f t="shared" si="56"/>
        <v>0</v>
      </c>
      <c r="X166" s="94">
        <f t="shared" si="57"/>
        <v>0</v>
      </c>
      <c r="Y166" s="94">
        <f t="shared" si="58"/>
        <v>0</v>
      </c>
      <c r="Z166" s="93">
        <f>_xlfn.XLOOKUP(O166,'[4]2DO TRIMESTRE'!$C:$C,'[4]2DO TRIMESTRE'!$I:$I,0,0)</f>
        <v>0</v>
      </c>
      <c r="AA166" s="94">
        <f t="shared" si="59"/>
        <v>0</v>
      </c>
      <c r="AB166" s="94">
        <f t="shared" si="60"/>
        <v>0</v>
      </c>
      <c r="AC166" s="94">
        <f t="shared" si="61"/>
        <v>0</v>
      </c>
      <c r="AD166" s="93">
        <v>0</v>
      </c>
      <c r="AE166" s="94">
        <f t="shared" si="62"/>
        <v>0</v>
      </c>
      <c r="AF166" s="94">
        <f t="shared" si="63"/>
        <v>0</v>
      </c>
      <c r="AG166" s="94">
        <f t="shared" si="64"/>
        <v>0</v>
      </c>
      <c r="AH166" s="117">
        <v>0</v>
      </c>
      <c r="AI166" s="94">
        <f t="shared" si="50"/>
        <v>0</v>
      </c>
      <c r="AJ166" s="94">
        <f t="shared" si="51"/>
        <v>0</v>
      </c>
      <c r="AK166" s="94">
        <f t="shared" si="52"/>
        <v>0</v>
      </c>
      <c r="AL166" s="93">
        <v>4134457</v>
      </c>
      <c r="AM166" s="93">
        <f t="shared" si="65"/>
        <v>0</v>
      </c>
      <c r="AN166" s="155"/>
      <c r="AO166" s="155"/>
    </row>
    <row r="167" spans="1:41" s="9" customFormat="1" ht="25.15" customHeight="1" x14ac:dyDescent="0.25">
      <c r="A167" s="83">
        <v>161</v>
      </c>
      <c r="B167" s="84">
        <v>2023</v>
      </c>
      <c r="C167" s="85" t="s">
        <v>993</v>
      </c>
      <c r="D167" s="86" t="s">
        <v>1183</v>
      </c>
      <c r="E167" s="86" t="s">
        <v>758</v>
      </c>
      <c r="F167" s="87">
        <v>44979</v>
      </c>
      <c r="G167" s="87">
        <v>45072</v>
      </c>
      <c r="H167" s="88">
        <f t="shared" si="53"/>
        <v>1.0333333333333334</v>
      </c>
      <c r="I167" s="89" t="s">
        <v>750</v>
      </c>
      <c r="J167" s="90" t="s">
        <v>751</v>
      </c>
      <c r="K167" s="90" t="s">
        <v>752</v>
      </c>
      <c r="L167" s="90" t="s">
        <v>753</v>
      </c>
      <c r="M167" s="91" t="s">
        <v>1059</v>
      </c>
      <c r="N167" s="92" t="s">
        <v>1184</v>
      </c>
      <c r="O167" s="85">
        <v>2910907226</v>
      </c>
      <c r="P167" s="93">
        <f>+_xlfn.XLOOKUP(O167,'[3]Benef Primera fecha '!$C:$C,'[3]Benef Primera fecha '!$E:$E,0)</f>
        <v>27000000</v>
      </c>
      <c r="Q167" s="93">
        <v>0</v>
      </c>
      <c r="R167" s="94">
        <f t="shared" si="54"/>
        <v>27000000</v>
      </c>
      <c r="S167" s="95">
        <v>0.12</v>
      </c>
      <c r="T167" s="94">
        <f t="shared" si="55"/>
        <v>2892857.1428571423</v>
      </c>
      <c r="U167" s="117">
        <v>188526848</v>
      </c>
      <c r="V167" s="117">
        <v>0</v>
      </c>
      <c r="W167" s="94">
        <f t="shared" si="56"/>
        <v>0</v>
      </c>
      <c r="X167" s="94">
        <f t="shared" si="57"/>
        <v>0</v>
      </c>
      <c r="Y167" s="94">
        <f t="shared" si="58"/>
        <v>0</v>
      </c>
      <c r="Z167" s="93">
        <f>_xlfn.XLOOKUP(O167,'[4]2DO TRIMESTRE'!$C:$C,'[4]2DO TRIMESTRE'!$I:$I,0,0)</f>
        <v>0</v>
      </c>
      <c r="AA167" s="94">
        <f t="shared" si="59"/>
        <v>0</v>
      </c>
      <c r="AB167" s="94">
        <f t="shared" si="60"/>
        <v>0</v>
      </c>
      <c r="AC167" s="94">
        <f t="shared" si="61"/>
        <v>0</v>
      </c>
      <c r="AD167" s="93">
        <v>0</v>
      </c>
      <c r="AE167" s="94">
        <f t="shared" si="62"/>
        <v>0</v>
      </c>
      <c r="AF167" s="94">
        <f t="shared" si="63"/>
        <v>0</v>
      </c>
      <c r="AG167" s="94">
        <f t="shared" si="64"/>
        <v>0</v>
      </c>
      <c r="AH167" s="117">
        <v>0</v>
      </c>
      <c r="AI167" s="94">
        <f t="shared" si="50"/>
        <v>0</v>
      </c>
      <c r="AJ167" s="94">
        <f t="shared" si="51"/>
        <v>0</v>
      </c>
      <c r="AK167" s="94">
        <f t="shared" si="52"/>
        <v>0</v>
      </c>
      <c r="AL167" s="93">
        <v>2892857</v>
      </c>
      <c r="AM167" s="93">
        <f t="shared" si="65"/>
        <v>0</v>
      </c>
      <c r="AN167" s="155"/>
      <c r="AO167" s="155"/>
    </row>
    <row r="168" spans="1:41" s="9" customFormat="1" ht="25.15" customHeight="1" x14ac:dyDescent="0.25">
      <c r="A168" s="83">
        <v>162</v>
      </c>
      <c r="B168" s="84">
        <v>2023</v>
      </c>
      <c r="C168" s="85" t="s">
        <v>1185</v>
      </c>
      <c r="D168" s="86" t="s">
        <v>1186</v>
      </c>
      <c r="E168" s="86" t="s">
        <v>758</v>
      </c>
      <c r="F168" s="87">
        <v>44988</v>
      </c>
      <c r="G168" s="87">
        <v>45121</v>
      </c>
      <c r="H168" s="88">
        <f t="shared" si="53"/>
        <v>1.4777777777777779</v>
      </c>
      <c r="I168" s="89" t="s">
        <v>750</v>
      </c>
      <c r="J168" s="90" t="s">
        <v>751</v>
      </c>
      <c r="K168" s="90" t="s">
        <v>752</v>
      </c>
      <c r="L168" s="90" t="s">
        <v>753</v>
      </c>
      <c r="M168" s="91" t="s">
        <v>1059</v>
      </c>
      <c r="N168" s="92" t="s">
        <v>1187</v>
      </c>
      <c r="O168" s="85">
        <v>2910907233</v>
      </c>
      <c r="P168" s="93">
        <f>+_xlfn.XLOOKUP(O168,'[3]Benef Primera fecha '!$C:$C,'[3]Benef Primera fecha '!$E:$E,0)</f>
        <v>21856311</v>
      </c>
      <c r="Q168" s="93">
        <v>0</v>
      </c>
      <c r="R168" s="94">
        <f t="shared" si="54"/>
        <v>21856311</v>
      </c>
      <c r="S168" s="95">
        <v>0.12</v>
      </c>
      <c r="T168" s="94">
        <f t="shared" si="55"/>
        <v>2341747.6071428568</v>
      </c>
      <c r="U168" s="117">
        <v>172400000.00000003</v>
      </c>
      <c r="V168" s="117">
        <v>0</v>
      </c>
      <c r="W168" s="94">
        <f t="shared" si="56"/>
        <v>0</v>
      </c>
      <c r="X168" s="94">
        <f t="shared" si="57"/>
        <v>0</v>
      </c>
      <c r="Y168" s="94">
        <f t="shared" si="58"/>
        <v>0</v>
      </c>
      <c r="Z168" s="93">
        <f>_xlfn.XLOOKUP(O168,'[4]2DO TRIMESTRE'!$C:$C,'[4]2DO TRIMESTRE'!$I:$I,0,0)</f>
        <v>0</v>
      </c>
      <c r="AA168" s="94">
        <f t="shared" si="59"/>
        <v>0</v>
      </c>
      <c r="AB168" s="94">
        <f t="shared" si="60"/>
        <v>0</v>
      </c>
      <c r="AC168" s="94">
        <f t="shared" si="61"/>
        <v>0</v>
      </c>
      <c r="AD168" s="93">
        <v>0</v>
      </c>
      <c r="AE168" s="94">
        <f t="shared" si="62"/>
        <v>0</v>
      </c>
      <c r="AF168" s="94">
        <f t="shared" si="63"/>
        <v>0</v>
      </c>
      <c r="AG168" s="94">
        <f t="shared" si="64"/>
        <v>0</v>
      </c>
      <c r="AH168" s="117">
        <v>0</v>
      </c>
      <c r="AI168" s="94">
        <f t="shared" si="50"/>
        <v>0</v>
      </c>
      <c r="AJ168" s="94">
        <f t="shared" si="51"/>
        <v>0</v>
      </c>
      <c r="AK168" s="94">
        <f t="shared" si="52"/>
        <v>0</v>
      </c>
      <c r="AL168" s="93">
        <v>2341748</v>
      </c>
      <c r="AM168" s="93">
        <f t="shared" si="65"/>
        <v>0</v>
      </c>
      <c r="AN168" s="155"/>
      <c r="AO168" s="155"/>
    </row>
    <row r="169" spans="1:41" s="9" customFormat="1" ht="25.15" customHeight="1" x14ac:dyDescent="0.25">
      <c r="A169" s="83">
        <v>163</v>
      </c>
      <c r="B169" s="84">
        <v>2023</v>
      </c>
      <c r="C169" s="85" t="s">
        <v>779</v>
      </c>
      <c r="D169" s="86" t="s">
        <v>1188</v>
      </c>
      <c r="E169" s="86" t="s">
        <v>758</v>
      </c>
      <c r="F169" s="87">
        <v>44994</v>
      </c>
      <c r="G169" s="87">
        <v>45359</v>
      </c>
      <c r="H169" s="88">
        <f t="shared" si="53"/>
        <v>4.0555555555555554</v>
      </c>
      <c r="I169" s="89" t="s">
        <v>759</v>
      </c>
      <c r="J169" s="90" t="s">
        <v>751</v>
      </c>
      <c r="K169" s="90" t="s">
        <v>752</v>
      </c>
      <c r="L169" s="90" t="s">
        <v>753</v>
      </c>
      <c r="M169" s="91" t="s">
        <v>754</v>
      </c>
      <c r="N169" s="92" t="s">
        <v>1189</v>
      </c>
      <c r="O169" s="85">
        <v>2910907230</v>
      </c>
      <c r="P169" s="93">
        <f>+_xlfn.XLOOKUP(O169,'[3]Benef Primera fecha '!$C:$C,'[3]Benef Primera fecha '!$E:$E,0)</f>
        <v>56700000</v>
      </c>
      <c r="Q169" s="93">
        <v>18900000</v>
      </c>
      <c r="R169" s="94">
        <f t="shared" si="54"/>
        <v>75600000</v>
      </c>
      <c r="S169" s="95">
        <v>0.12</v>
      </c>
      <c r="T169" s="94">
        <f t="shared" si="55"/>
        <v>8100000</v>
      </c>
      <c r="U169" s="117">
        <v>606400000</v>
      </c>
      <c r="V169" s="117">
        <v>0</v>
      </c>
      <c r="W169" s="94">
        <f t="shared" si="56"/>
        <v>0</v>
      </c>
      <c r="X169" s="94">
        <f t="shared" si="57"/>
        <v>0</v>
      </c>
      <c r="Y169" s="94">
        <f t="shared" si="58"/>
        <v>0</v>
      </c>
      <c r="Z169" s="93">
        <f>_xlfn.XLOOKUP(O169,'[4]2DO TRIMESTRE'!$C:$C,'[4]2DO TRIMESTRE'!$I:$I,0,0)</f>
        <v>0</v>
      </c>
      <c r="AA169" s="94">
        <f t="shared" si="59"/>
        <v>0</v>
      </c>
      <c r="AB169" s="94">
        <f t="shared" si="60"/>
        <v>0</v>
      </c>
      <c r="AC169" s="94">
        <f t="shared" si="61"/>
        <v>0</v>
      </c>
      <c r="AD169" s="93">
        <v>0</v>
      </c>
      <c r="AE169" s="94">
        <f t="shared" si="62"/>
        <v>0</v>
      </c>
      <c r="AF169" s="94">
        <f t="shared" si="63"/>
        <v>0</v>
      </c>
      <c r="AG169" s="94">
        <f t="shared" si="64"/>
        <v>0</v>
      </c>
      <c r="AH169" s="117">
        <v>0</v>
      </c>
      <c r="AI169" s="94">
        <f t="shared" si="50"/>
        <v>0</v>
      </c>
      <c r="AJ169" s="94">
        <f t="shared" si="51"/>
        <v>0</v>
      </c>
      <c r="AK169" s="94">
        <f t="shared" si="52"/>
        <v>0</v>
      </c>
      <c r="AL169" s="93">
        <v>6595714</v>
      </c>
      <c r="AM169" s="93">
        <f t="shared" si="65"/>
        <v>0</v>
      </c>
      <c r="AN169" s="155"/>
      <c r="AO169" s="155"/>
    </row>
    <row r="170" spans="1:41" s="9" customFormat="1" ht="25.15" customHeight="1" x14ac:dyDescent="0.25">
      <c r="A170" s="83">
        <v>164</v>
      </c>
      <c r="B170" s="84">
        <v>2023</v>
      </c>
      <c r="C170" s="85" t="s">
        <v>1066</v>
      </c>
      <c r="D170" s="86" t="s">
        <v>1190</v>
      </c>
      <c r="E170" s="86" t="s">
        <v>777</v>
      </c>
      <c r="F170" s="87">
        <v>44999</v>
      </c>
      <c r="G170" s="87">
        <v>45816</v>
      </c>
      <c r="H170" s="88">
        <f t="shared" si="53"/>
        <v>9.0777777777777775</v>
      </c>
      <c r="I170" s="89" t="s">
        <v>759</v>
      </c>
      <c r="J170" s="90" t="s">
        <v>751</v>
      </c>
      <c r="K170" s="90" t="s">
        <v>752</v>
      </c>
      <c r="L170" s="90" t="s">
        <v>753</v>
      </c>
      <c r="M170" s="91" t="s">
        <v>1059</v>
      </c>
      <c r="N170" s="92" t="s">
        <v>1191</v>
      </c>
      <c r="O170" s="85">
        <v>2453018344</v>
      </c>
      <c r="P170" s="93">
        <v>299270193</v>
      </c>
      <c r="Q170" s="93">
        <v>0</v>
      </c>
      <c r="R170" s="94">
        <f t="shared" si="54"/>
        <v>299270193</v>
      </c>
      <c r="S170" s="95">
        <v>0</v>
      </c>
      <c r="T170" s="94">
        <v>0</v>
      </c>
      <c r="U170" s="117">
        <v>0</v>
      </c>
      <c r="V170" s="117">
        <v>0</v>
      </c>
      <c r="W170" s="94">
        <f t="shared" si="56"/>
        <v>0</v>
      </c>
      <c r="X170" s="94">
        <f t="shared" si="57"/>
        <v>0</v>
      </c>
      <c r="Y170" s="94">
        <f t="shared" si="58"/>
        <v>0</v>
      </c>
      <c r="Z170" s="93">
        <f>_xlfn.XLOOKUP(O170,'[4]2DO TRIMESTRE'!$C:$C,'[4]2DO TRIMESTRE'!$I:$I,0,0)</f>
        <v>0</v>
      </c>
      <c r="AA170" s="94">
        <f t="shared" si="59"/>
        <v>0</v>
      </c>
      <c r="AB170" s="94">
        <f t="shared" si="60"/>
        <v>0</v>
      </c>
      <c r="AC170" s="94">
        <f t="shared" si="61"/>
        <v>0</v>
      </c>
      <c r="AD170" s="93">
        <v>0</v>
      </c>
      <c r="AE170" s="94">
        <f t="shared" si="62"/>
        <v>0</v>
      </c>
      <c r="AF170" s="94">
        <f t="shared" si="63"/>
        <v>0</v>
      </c>
      <c r="AG170" s="94">
        <f t="shared" si="64"/>
        <v>0</v>
      </c>
      <c r="AH170" s="117">
        <v>0</v>
      </c>
      <c r="AI170" s="94">
        <f t="shared" si="50"/>
        <v>0</v>
      </c>
      <c r="AJ170" s="94">
        <f t="shared" si="51"/>
        <v>0</v>
      </c>
      <c r="AK170" s="94">
        <f t="shared" si="52"/>
        <v>0</v>
      </c>
      <c r="AL170" s="93">
        <v>0</v>
      </c>
      <c r="AM170" s="93">
        <f t="shared" si="65"/>
        <v>0</v>
      </c>
      <c r="AN170" s="155" t="s">
        <v>800</v>
      </c>
      <c r="AO170" s="155" t="s">
        <v>800</v>
      </c>
    </row>
    <row r="171" spans="1:41" s="9" customFormat="1" ht="25.15" customHeight="1" x14ac:dyDescent="0.25">
      <c r="A171" s="83">
        <v>165</v>
      </c>
      <c r="B171" s="84">
        <v>2023</v>
      </c>
      <c r="C171" s="85" t="s">
        <v>1151</v>
      </c>
      <c r="D171" s="86" t="s">
        <v>1192</v>
      </c>
      <c r="E171" s="86" t="s">
        <v>777</v>
      </c>
      <c r="F171" s="87">
        <v>45002</v>
      </c>
      <c r="G171" s="87">
        <v>45294</v>
      </c>
      <c r="H171" s="88">
        <f t="shared" si="53"/>
        <v>3.2444444444444445</v>
      </c>
      <c r="I171" s="89" t="s">
        <v>759</v>
      </c>
      <c r="J171" s="90" t="s">
        <v>751</v>
      </c>
      <c r="K171" s="90" t="s">
        <v>752</v>
      </c>
      <c r="L171" s="90" t="s">
        <v>753</v>
      </c>
      <c r="M171" s="91" t="s">
        <v>1193</v>
      </c>
      <c r="N171" s="92" t="s">
        <v>1194</v>
      </c>
      <c r="O171" s="85">
        <v>2453018345</v>
      </c>
      <c r="P171" s="93">
        <f>+_xlfn.XLOOKUP(O171,'[3]Benef Primera fecha '!$C:$C,'[3]Benef Primera fecha '!$E:$E,0)</f>
        <v>483200000</v>
      </c>
      <c r="Q171" s="93">
        <v>0</v>
      </c>
      <c r="R171" s="94">
        <f t="shared" si="54"/>
        <v>483200000</v>
      </c>
      <c r="S171" s="95">
        <v>0.12000000111258279</v>
      </c>
      <c r="T171" s="94">
        <f t="shared" si="55"/>
        <v>51771429</v>
      </c>
      <c r="U171" s="117">
        <v>291741240</v>
      </c>
      <c r="V171" s="117">
        <v>0</v>
      </c>
      <c r="W171" s="94">
        <f t="shared" si="56"/>
        <v>0</v>
      </c>
      <c r="X171" s="94">
        <f t="shared" si="57"/>
        <v>0</v>
      </c>
      <c r="Y171" s="94">
        <f t="shared" si="58"/>
        <v>0</v>
      </c>
      <c r="Z171" s="93">
        <f>_xlfn.XLOOKUP(O171,'[4]2DO TRIMESTRE'!$C:$C,'[4]2DO TRIMESTRE'!$I:$I,0,0)</f>
        <v>0</v>
      </c>
      <c r="AA171" s="94">
        <f t="shared" si="59"/>
        <v>0</v>
      </c>
      <c r="AB171" s="94">
        <f t="shared" si="60"/>
        <v>0</v>
      </c>
      <c r="AC171" s="94">
        <f t="shared" si="61"/>
        <v>0</v>
      </c>
      <c r="AD171" s="93">
        <v>0</v>
      </c>
      <c r="AE171" s="94">
        <f t="shared" si="62"/>
        <v>0</v>
      </c>
      <c r="AF171" s="94">
        <f t="shared" si="63"/>
        <v>0</v>
      </c>
      <c r="AG171" s="94">
        <f t="shared" si="64"/>
        <v>0</v>
      </c>
      <c r="AH171" s="117">
        <v>0</v>
      </c>
      <c r="AI171" s="94">
        <f t="shared" si="50"/>
        <v>0</v>
      </c>
      <c r="AJ171" s="94">
        <f t="shared" si="51"/>
        <v>0</v>
      </c>
      <c r="AK171" s="94">
        <f t="shared" si="52"/>
        <v>0</v>
      </c>
      <c r="AL171" s="93">
        <v>45271421.946191989</v>
      </c>
      <c r="AM171" s="93">
        <f t="shared" si="65"/>
        <v>0</v>
      </c>
      <c r="AN171" s="155"/>
      <c r="AO171" s="155"/>
    </row>
    <row r="172" spans="1:41" s="9" customFormat="1" ht="25.15" customHeight="1" x14ac:dyDescent="0.25">
      <c r="A172" s="83">
        <v>166</v>
      </c>
      <c r="B172" s="84">
        <v>2023</v>
      </c>
      <c r="C172" s="85" t="s">
        <v>1195</v>
      </c>
      <c r="D172" s="86" t="s">
        <v>1196</v>
      </c>
      <c r="E172" s="86" t="s">
        <v>758</v>
      </c>
      <c r="F172" s="87">
        <v>45006</v>
      </c>
      <c r="G172" s="87">
        <v>45275</v>
      </c>
      <c r="H172" s="88">
        <f t="shared" si="53"/>
        <v>2.9888888888888889</v>
      </c>
      <c r="I172" s="89" t="s">
        <v>759</v>
      </c>
      <c r="J172" s="90" t="s">
        <v>751</v>
      </c>
      <c r="K172" s="90" t="s">
        <v>752</v>
      </c>
      <c r="L172" s="90" t="s">
        <v>753</v>
      </c>
      <c r="M172" s="91" t="s">
        <v>1059</v>
      </c>
      <c r="N172" s="92" t="s">
        <v>1197</v>
      </c>
      <c r="O172" s="85">
        <v>2910907229</v>
      </c>
      <c r="P172" s="93">
        <f>+_xlfn.XLOOKUP(O172,'[3]Benef Primera fecha '!$C:$C,'[3]Benef Primera fecha '!$E:$E,0)</f>
        <v>1995501200</v>
      </c>
      <c r="Q172" s="93">
        <v>0</v>
      </c>
      <c r="R172" s="94">
        <f t="shared" si="54"/>
        <v>1995501200</v>
      </c>
      <c r="S172" s="95">
        <v>0.12</v>
      </c>
      <c r="T172" s="94">
        <f t="shared" si="55"/>
        <v>213803699.99999997</v>
      </c>
      <c r="U172" s="117">
        <v>416137603</v>
      </c>
      <c r="V172" s="117">
        <v>0</v>
      </c>
      <c r="W172" s="94">
        <f t="shared" si="56"/>
        <v>0</v>
      </c>
      <c r="X172" s="94">
        <f t="shared" si="57"/>
        <v>0</v>
      </c>
      <c r="Y172" s="94">
        <f t="shared" si="58"/>
        <v>0</v>
      </c>
      <c r="Z172" s="93">
        <f>_xlfn.XLOOKUP(O172,'[4]2DO TRIMESTRE'!$C:$C,'[4]2DO TRIMESTRE'!$I:$I,0,0)</f>
        <v>0</v>
      </c>
      <c r="AA172" s="94">
        <f t="shared" si="59"/>
        <v>0</v>
      </c>
      <c r="AB172" s="94">
        <f t="shared" si="60"/>
        <v>0</v>
      </c>
      <c r="AC172" s="94">
        <f t="shared" si="61"/>
        <v>0</v>
      </c>
      <c r="AD172" s="93">
        <v>0</v>
      </c>
      <c r="AE172" s="94">
        <f t="shared" si="62"/>
        <v>0</v>
      </c>
      <c r="AF172" s="94">
        <f t="shared" si="63"/>
        <v>0</v>
      </c>
      <c r="AG172" s="94">
        <f t="shared" si="64"/>
        <v>0</v>
      </c>
      <c r="AH172" s="117">
        <v>0</v>
      </c>
      <c r="AI172" s="94">
        <f t="shared" si="50"/>
        <v>0</v>
      </c>
      <c r="AJ172" s="94">
        <f t="shared" si="51"/>
        <v>0</v>
      </c>
      <c r="AK172" s="94">
        <f t="shared" si="52"/>
        <v>0</v>
      </c>
      <c r="AL172" s="93">
        <v>169192109.99999997</v>
      </c>
      <c r="AM172" s="93">
        <f t="shared" si="65"/>
        <v>0</v>
      </c>
      <c r="AN172" s="155"/>
      <c r="AO172" s="155"/>
    </row>
    <row r="173" spans="1:41" s="9" customFormat="1" ht="25.15" customHeight="1" x14ac:dyDescent="0.25">
      <c r="A173" s="83">
        <v>167</v>
      </c>
      <c r="B173" s="84">
        <v>2023</v>
      </c>
      <c r="C173" s="85" t="s">
        <v>128</v>
      </c>
      <c r="D173" s="86" t="s">
        <v>1198</v>
      </c>
      <c r="E173" s="86" t="s">
        <v>758</v>
      </c>
      <c r="F173" s="87">
        <v>45016</v>
      </c>
      <c r="G173" s="87">
        <v>45193</v>
      </c>
      <c r="H173" s="88">
        <f t="shared" si="53"/>
        <v>1.9666666666666666</v>
      </c>
      <c r="I173" s="89" t="s">
        <v>750</v>
      </c>
      <c r="J173" s="90" t="s">
        <v>751</v>
      </c>
      <c r="K173" s="90" t="s">
        <v>752</v>
      </c>
      <c r="L173" s="90" t="s">
        <v>753</v>
      </c>
      <c r="M173" s="91" t="s">
        <v>1059</v>
      </c>
      <c r="N173" s="92" t="s">
        <v>1199</v>
      </c>
      <c r="O173" s="85">
        <v>2910907234</v>
      </c>
      <c r="P173" s="93">
        <f>+_xlfn.XLOOKUP(O173,'[3]Benef Primera fecha '!$C:$C,'[3]Benef Primera fecha '!$E:$E,0)</f>
        <v>255000000</v>
      </c>
      <c r="Q173" s="93">
        <v>0</v>
      </c>
      <c r="R173" s="94">
        <f t="shared" si="54"/>
        <v>255000000</v>
      </c>
      <c r="S173" s="95">
        <v>0.12</v>
      </c>
      <c r="T173" s="94">
        <f t="shared" si="55"/>
        <v>27321428.571428567</v>
      </c>
      <c r="U173" s="117">
        <v>64880000</v>
      </c>
      <c r="V173" s="117">
        <v>0</v>
      </c>
      <c r="W173" s="94">
        <f t="shared" si="56"/>
        <v>0</v>
      </c>
      <c r="X173" s="94">
        <f t="shared" si="57"/>
        <v>0</v>
      </c>
      <c r="Y173" s="94">
        <f t="shared" si="58"/>
        <v>0</v>
      </c>
      <c r="Z173" s="93">
        <f>_xlfn.XLOOKUP(O173,'[4]2DO TRIMESTRE'!$C:$C,'[4]2DO TRIMESTRE'!$I:$I,0,0)</f>
        <v>0</v>
      </c>
      <c r="AA173" s="94">
        <f t="shared" si="59"/>
        <v>0</v>
      </c>
      <c r="AB173" s="94">
        <f t="shared" si="60"/>
        <v>0</v>
      </c>
      <c r="AC173" s="94">
        <f t="shared" si="61"/>
        <v>0</v>
      </c>
      <c r="AD173" s="93">
        <v>0</v>
      </c>
      <c r="AE173" s="94">
        <f t="shared" si="62"/>
        <v>0</v>
      </c>
      <c r="AF173" s="94">
        <f t="shared" si="63"/>
        <v>0</v>
      </c>
      <c r="AG173" s="94">
        <f t="shared" si="64"/>
        <v>0</v>
      </c>
      <c r="AH173" s="117">
        <v>0</v>
      </c>
      <c r="AI173" s="94">
        <f t="shared" si="50"/>
        <v>0</v>
      </c>
      <c r="AJ173" s="94">
        <f t="shared" si="51"/>
        <v>0</v>
      </c>
      <c r="AK173" s="94">
        <f t="shared" si="52"/>
        <v>0</v>
      </c>
      <c r="AL173" s="93">
        <v>27321428.571428567</v>
      </c>
      <c r="AM173" s="93">
        <f t="shared" si="65"/>
        <v>0</v>
      </c>
      <c r="AN173" s="155"/>
      <c r="AO173" s="155"/>
    </row>
    <row r="174" spans="1:41" s="9" customFormat="1" ht="25.15" customHeight="1" x14ac:dyDescent="0.25">
      <c r="A174" s="83">
        <v>168</v>
      </c>
      <c r="B174" s="84">
        <v>2023</v>
      </c>
      <c r="C174" s="85" t="s">
        <v>863</v>
      </c>
      <c r="D174" s="86" t="s">
        <v>1200</v>
      </c>
      <c r="E174" s="86" t="s">
        <v>758</v>
      </c>
      <c r="F174" s="87">
        <v>45016</v>
      </c>
      <c r="G174" s="87">
        <v>45397</v>
      </c>
      <c r="H174" s="88">
        <f t="shared" si="53"/>
        <v>4.2333333333333334</v>
      </c>
      <c r="I174" s="89" t="s">
        <v>750</v>
      </c>
      <c r="J174" s="90" t="s">
        <v>751</v>
      </c>
      <c r="K174" s="90" t="s">
        <v>752</v>
      </c>
      <c r="L174" s="90" t="s">
        <v>753</v>
      </c>
      <c r="M174" s="91" t="s">
        <v>1059</v>
      </c>
      <c r="N174" s="92" t="s">
        <v>1201</v>
      </c>
      <c r="O174" s="85">
        <v>2910907231</v>
      </c>
      <c r="P174" s="93">
        <f>_xlfn.XLOOKUP(O174,[5]Base!$C:$C,[5]Base!$E:$E,0,0)</f>
        <v>7055787001</v>
      </c>
      <c r="Q174" s="93">
        <v>5902674987</v>
      </c>
      <c r="R174" s="94">
        <f t="shared" si="54"/>
        <v>12958461988</v>
      </c>
      <c r="S174" s="95">
        <v>0.12000000005714458</v>
      </c>
      <c r="T174" s="94">
        <f t="shared" si="55"/>
        <v>1388406642.1617551</v>
      </c>
      <c r="U174" s="117">
        <v>6774347079</v>
      </c>
      <c r="V174" s="117">
        <v>0</v>
      </c>
      <c r="W174" s="94">
        <f t="shared" si="56"/>
        <v>0</v>
      </c>
      <c r="X174" s="94">
        <f t="shared" si="57"/>
        <v>0</v>
      </c>
      <c r="Y174" s="94">
        <f t="shared" si="58"/>
        <v>0</v>
      </c>
      <c r="Z174" s="93">
        <f>_xlfn.XLOOKUP(O174,'[4]2DO TRIMESTRE'!$C:$C,'[4]2DO TRIMESTRE'!$I:$I,0,0)</f>
        <v>0</v>
      </c>
      <c r="AA174" s="94">
        <f t="shared" si="59"/>
        <v>0</v>
      </c>
      <c r="AB174" s="94">
        <f t="shared" si="60"/>
        <v>0</v>
      </c>
      <c r="AC174" s="94">
        <f t="shared" si="61"/>
        <v>0</v>
      </c>
      <c r="AD174" s="93">
        <v>0</v>
      </c>
      <c r="AE174" s="94">
        <f t="shared" ref="AE174" si="66">+AD174/(1+$S174)*$S174</f>
        <v>0</v>
      </c>
      <c r="AF174" s="94">
        <f t="shared" ref="AF174" si="67">+AE174*40%</f>
        <v>0</v>
      </c>
      <c r="AG174" s="94">
        <f t="shared" ref="AG174" si="68">+AE174*60%</f>
        <v>0</v>
      </c>
      <c r="AH174" s="117">
        <v>0</v>
      </c>
      <c r="AI174" s="94">
        <f t="shared" si="50"/>
        <v>0</v>
      </c>
      <c r="AJ174" s="94">
        <f t="shared" si="51"/>
        <v>0</v>
      </c>
      <c r="AK174" s="94">
        <f t="shared" si="52"/>
        <v>0</v>
      </c>
      <c r="AL174" s="93">
        <v>725275008</v>
      </c>
      <c r="AM174" s="93">
        <f t="shared" si="65"/>
        <v>0</v>
      </c>
      <c r="AN174" s="155"/>
      <c r="AO174" s="155"/>
    </row>
    <row r="175" spans="1:41" s="9" customFormat="1" ht="25.15" customHeight="1" x14ac:dyDescent="0.25">
      <c r="A175" s="83">
        <v>169</v>
      </c>
      <c r="B175" s="84">
        <v>2023</v>
      </c>
      <c r="C175" s="85" t="s">
        <v>1171</v>
      </c>
      <c r="D175" s="86" t="s">
        <v>1202</v>
      </c>
      <c r="E175" s="86" t="s">
        <v>777</v>
      </c>
      <c r="F175" s="87">
        <v>45040</v>
      </c>
      <c r="G175" s="87">
        <v>45323</v>
      </c>
      <c r="H175" s="88">
        <f t="shared" si="53"/>
        <v>3.1444444444444444</v>
      </c>
      <c r="I175" s="89" t="s">
        <v>750</v>
      </c>
      <c r="J175" s="90" t="s">
        <v>751</v>
      </c>
      <c r="K175" s="90" t="s">
        <v>752</v>
      </c>
      <c r="L175" s="90" t="s">
        <v>753</v>
      </c>
      <c r="M175" s="91" t="s">
        <v>1059</v>
      </c>
      <c r="N175" s="92" t="s">
        <v>1203</v>
      </c>
      <c r="O175" s="85">
        <v>2453018347</v>
      </c>
      <c r="P175" s="93">
        <f>+_xlfn.XLOOKUP(O175,'[3]Benef Primera fecha '!$C:$C,'[3]Benef Primera fecha '!$E:$E,0)</f>
        <v>1778543757</v>
      </c>
      <c r="Q175" s="93">
        <v>254780000</v>
      </c>
      <c r="R175" s="94">
        <f>P175+Q175</f>
        <v>2033323757</v>
      </c>
      <c r="S175" s="95">
        <v>0.13636300011590732</v>
      </c>
      <c r="T175" s="94">
        <f>(R175/(1+S175))*S175</f>
        <v>243997848.99999997</v>
      </c>
      <c r="U175" s="117">
        <v>1895149324</v>
      </c>
      <c r="V175" s="117">
        <v>0</v>
      </c>
      <c r="W175" s="94">
        <f t="shared" si="56"/>
        <v>0</v>
      </c>
      <c r="X175" s="94">
        <f t="shared" si="57"/>
        <v>0</v>
      </c>
      <c r="Y175" s="94">
        <f t="shared" si="58"/>
        <v>0</v>
      </c>
      <c r="Z175" s="93">
        <f>_xlfn.XLOOKUP(O175,'[4]2DO TRIMESTRE'!$C:$C,'[4]2DO TRIMESTRE'!$I:$I,0,0)</f>
        <v>0</v>
      </c>
      <c r="AA175" s="94">
        <f t="shared" si="59"/>
        <v>0</v>
      </c>
      <c r="AB175" s="94">
        <f t="shared" si="60"/>
        <v>0</v>
      </c>
      <c r="AC175" s="94">
        <f t="shared" si="61"/>
        <v>0</v>
      </c>
      <c r="AD175" s="93">
        <v>0</v>
      </c>
      <c r="AE175" s="94">
        <f t="shared" si="62"/>
        <v>0</v>
      </c>
      <c r="AF175" s="94">
        <f t="shared" si="63"/>
        <v>0</v>
      </c>
      <c r="AG175" s="94">
        <f t="shared" si="64"/>
        <v>0</v>
      </c>
      <c r="AH175" s="117">
        <v>0</v>
      </c>
      <c r="AI175" s="94">
        <f t="shared" si="50"/>
        <v>0</v>
      </c>
      <c r="AJ175" s="94">
        <f t="shared" si="51"/>
        <v>0</v>
      </c>
      <c r="AK175" s="94">
        <f t="shared" si="52"/>
        <v>0</v>
      </c>
      <c r="AL175" s="93">
        <v>227416985.11999634</v>
      </c>
      <c r="AM175" s="93">
        <f t="shared" si="65"/>
        <v>0</v>
      </c>
      <c r="AN175" s="155"/>
      <c r="AO175" s="155"/>
    </row>
    <row r="176" spans="1:41" s="9" customFormat="1" ht="25.15" customHeight="1" x14ac:dyDescent="0.25">
      <c r="A176" s="83">
        <v>170</v>
      </c>
      <c r="B176" s="84">
        <v>2023</v>
      </c>
      <c r="C176" s="85" t="s">
        <v>747</v>
      </c>
      <c r="D176" s="86" t="s">
        <v>1204</v>
      </c>
      <c r="E176" s="86" t="s">
        <v>749</v>
      </c>
      <c r="F176" s="87">
        <v>45041</v>
      </c>
      <c r="G176" s="87">
        <v>45162</v>
      </c>
      <c r="H176" s="88">
        <f t="shared" si="53"/>
        <v>1.3444444444444446</v>
      </c>
      <c r="I176" s="89" t="s">
        <v>759</v>
      </c>
      <c r="J176" s="90" t="s">
        <v>751</v>
      </c>
      <c r="K176" s="90" t="s">
        <v>752</v>
      </c>
      <c r="L176" s="90" t="s">
        <v>753</v>
      </c>
      <c r="M176" s="91" t="s">
        <v>754</v>
      </c>
      <c r="N176" s="92" t="s">
        <v>1205</v>
      </c>
      <c r="O176" s="85">
        <v>2910908076</v>
      </c>
      <c r="P176" s="93">
        <f>+_xlfn.XLOOKUP(O176,'[3]Benef Primera fecha '!$C:$C,'[3]Benef Primera fecha '!$E:$E,0)</f>
        <v>26650000</v>
      </c>
      <c r="Q176" s="93">
        <v>0</v>
      </c>
      <c r="R176" s="94">
        <f t="shared" si="54"/>
        <v>26650000</v>
      </c>
      <c r="S176" s="95">
        <v>0.12</v>
      </c>
      <c r="T176" s="94">
        <f t="shared" si="55"/>
        <v>2855357.1428571423</v>
      </c>
      <c r="U176" s="117">
        <v>4205667801</v>
      </c>
      <c r="V176" s="117">
        <v>0</v>
      </c>
      <c r="W176" s="94">
        <f t="shared" si="56"/>
        <v>0</v>
      </c>
      <c r="X176" s="94">
        <f t="shared" si="57"/>
        <v>0</v>
      </c>
      <c r="Y176" s="94">
        <f t="shared" si="58"/>
        <v>0</v>
      </c>
      <c r="Z176" s="93">
        <f>_xlfn.XLOOKUP(O176,'[4]2DO TRIMESTRE'!$C:$C,'[4]2DO TRIMESTRE'!$I:$I,0,0)</f>
        <v>0</v>
      </c>
      <c r="AA176" s="94">
        <f t="shared" si="59"/>
        <v>0</v>
      </c>
      <c r="AB176" s="94">
        <f t="shared" si="60"/>
        <v>0</v>
      </c>
      <c r="AC176" s="94">
        <f t="shared" si="61"/>
        <v>0</v>
      </c>
      <c r="AD176" s="93">
        <v>0</v>
      </c>
      <c r="AE176" s="94">
        <f t="shared" si="62"/>
        <v>0</v>
      </c>
      <c r="AF176" s="94">
        <f t="shared" si="63"/>
        <v>0</v>
      </c>
      <c r="AG176" s="94">
        <f t="shared" si="64"/>
        <v>0</v>
      </c>
      <c r="AH176" s="117">
        <v>0</v>
      </c>
      <c r="AI176" s="94">
        <f t="shared" si="50"/>
        <v>0</v>
      </c>
      <c r="AJ176" s="94">
        <f t="shared" si="51"/>
        <v>0</v>
      </c>
      <c r="AK176" s="94">
        <f t="shared" si="52"/>
        <v>0</v>
      </c>
      <c r="AL176" s="93">
        <v>2855357</v>
      </c>
      <c r="AM176" s="93">
        <f t="shared" si="65"/>
        <v>0</v>
      </c>
      <c r="AN176" s="155"/>
      <c r="AO176" s="155"/>
    </row>
    <row r="177" spans="1:41" s="9" customFormat="1" ht="25.15" customHeight="1" x14ac:dyDescent="0.25">
      <c r="A177" s="83">
        <v>171</v>
      </c>
      <c r="B177" s="84">
        <v>2023</v>
      </c>
      <c r="C177" s="85" t="s">
        <v>747</v>
      </c>
      <c r="D177" s="86" t="s">
        <v>1206</v>
      </c>
      <c r="E177" s="86" t="s">
        <v>749</v>
      </c>
      <c r="F177" s="87">
        <v>45042</v>
      </c>
      <c r="G177" s="87">
        <v>45081</v>
      </c>
      <c r="H177" s="88">
        <f t="shared" si="53"/>
        <v>0.43333333333333335</v>
      </c>
      <c r="I177" s="89" t="s">
        <v>750</v>
      </c>
      <c r="J177" s="90" t="s">
        <v>751</v>
      </c>
      <c r="K177" s="90" t="s">
        <v>752</v>
      </c>
      <c r="L177" s="90" t="s">
        <v>753</v>
      </c>
      <c r="M177" s="91" t="s">
        <v>754</v>
      </c>
      <c r="N177" s="92" t="s">
        <v>1207</v>
      </c>
      <c r="O177" s="85">
        <v>2910908059</v>
      </c>
      <c r="P177" s="93">
        <f>+_xlfn.XLOOKUP(O177,'[3]Benef Primera fecha '!$C:$C,'[3]Benef Primera fecha '!$E:$E,0)</f>
        <v>9500000</v>
      </c>
      <c r="Q177" s="93">
        <v>0</v>
      </c>
      <c r="R177" s="94">
        <f t="shared" si="54"/>
        <v>9500000</v>
      </c>
      <c r="S177" s="95">
        <v>0.12</v>
      </c>
      <c r="T177" s="94">
        <f t="shared" si="55"/>
        <v>1017857.1428571427</v>
      </c>
      <c r="U177" s="117">
        <v>1908118697.2400002</v>
      </c>
      <c r="V177" s="117">
        <v>0</v>
      </c>
      <c r="W177" s="94">
        <f t="shared" si="56"/>
        <v>0</v>
      </c>
      <c r="X177" s="94">
        <f t="shared" si="57"/>
        <v>0</v>
      </c>
      <c r="Y177" s="94">
        <f t="shared" si="58"/>
        <v>0</v>
      </c>
      <c r="Z177" s="93">
        <f>_xlfn.XLOOKUP(O177,'[4]2DO TRIMESTRE'!$C:$C,'[4]2DO TRIMESTRE'!$I:$I,0,0)</f>
        <v>0</v>
      </c>
      <c r="AA177" s="94">
        <f t="shared" si="59"/>
        <v>0</v>
      </c>
      <c r="AB177" s="94">
        <f t="shared" si="60"/>
        <v>0</v>
      </c>
      <c r="AC177" s="94">
        <f t="shared" si="61"/>
        <v>0</v>
      </c>
      <c r="AD177" s="93">
        <v>0</v>
      </c>
      <c r="AE177" s="94">
        <f t="shared" si="62"/>
        <v>0</v>
      </c>
      <c r="AF177" s="94">
        <f t="shared" si="63"/>
        <v>0</v>
      </c>
      <c r="AG177" s="94">
        <f t="shared" si="64"/>
        <v>0</v>
      </c>
      <c r="AH177" s="117">
        <v>0</v>
      </c>
      <c r="AI177" s="94">
        <f t="shared" si="50"/>
        <v>0</v>
      </c>
      <c r="AJ177" s="94">
        <f t="shared" si="51"/>
        <v>0</v>
      </c>
      <c r="AK177" s="94">
        <f t="shared" si="52"/>
        <v>0</v>
      </c>
      <c r="AL177" s="93">
        <v>1017857</v>
      </c>
      <c r="AM177" s="93">
        <f t="shared" si="65"/>
        <v>0</v>
      </c>
      <c r="AN177" s="155"/>
      <c r="AO177" s="155"/>
    </row>
    <row r="178" spans="1:41" s="9" customFormat="1" ht="25.15" customHeight="1" x14ac:dyDescent="0.25">
      <c r="A178" s="83">
        <v>172</v>
      </c>
      <c r="B178" s="84">
        <v>2023</v>
      </c>
      <c r="C178" s="85" t="s">
        <v>1171</v>
      </c>
      <c r="D178" s="86" t="s">
        <v>1208</v>
      </c>
      <c r="E178" s="86" t="s">
        <v>777</v>
      </c>
      <c r="F178" s="87">
        <v>45051</v>
      </c>
      <c r="G178" s="87">
        <v>45355</v>
      </c>
      <c r="H178" s="88">
        <f t="shared" si="53"/>
        <v>3.3777777777777778</v>
      </c>
      <c r="I178" s="89" t="s">
        <v>759</v>
      </c>
      <c r="J178" s="90" t="s">
        <v>751</v>
      </c>
      <c r="K178" s="90" t="s">
        <v>752</v>
      </c>
      <c r="L178" s="90" t="s">
        <v>753</v>
      </c>
      <c r="M178" s="91" t="s">
        <v>1059</v>
      </c>
      <c r="N178" s="92" t="s">
        <v>1209</v>
      </c>
      <c r="O178" s="85">
        <v>2453018348</v>
      </c>
      <c r="P178" s="93">
        <f>+_xlfn.XLOOKUP(O178,'[3]Benef Primera fecha '!$C:$C,'[3]Benef Primera fecha '!$E:$E,0)</f>
        <v>3529418400</v>
      </c>
      <c r="Q178" s="93">
        <v>123249843</v>
      </c>
      <c r="R178" s="94">
        <f t="shared" si="54"/>
        <v>3652668243</v>
      </c>
      <c r="S178" s="95">
        <v>0.11999999984768028</v>
      </c>
      <c r="T178" s="94">
        <f t="shared" si="55"/>
        <v>391357311.30646259</v>
      </c>
      <c r="U178" s="117">
        <v>435013718</v>
      </c>
      <c r="V178" s="117">
        <v>0</v>
      </c>
      <c r="W178" s="94">
        <f t="shared" si="56"/>
        <v>0</v>
      </c>
      <c r="X178" s="94">
        <f t="shared" si="57"/>
        <v>0</v>
      </c>
      <c r="Y178" s="94">
        <f t="shared" si="58"/>
        <v>0</v>
      </c>
      <c r="Z178" s="93">
        <f>_xlfn.XLOOKUP(O178,'[4]2DO TRIMESTRE'!$C:$C,'[4]2DO TRIMESTRE'!$I:$I,0,0)</f>
        <v>0</v>
      </c>
      <c r="AA178" s="94">
        <f t="shared" si="59"/>
        <v>0</v>
      </c>
      <c r="AB178" s="94">
        <f t="shared" si="60"/>
        <v>0</v>
      </c>
      <c r="AC178" s="94">
        <f t="shared" si="61"/>
        <v>0</v>
      </c>
      <c r="AD178" s="93">
        <v>0</v>
      </c>
      <c r="AE178" s="94">
        <f t="shared" si="62"/>
        <v>0</v>
      </c>
      <c r="AF178" s="94">
        <f t="shared" si="63"/>
        <v>0</v>
      </c>
      <c r="AG178" s="94">
        <f t="shared" si="64"/>
        <v>0</v>
      </c>
      <c r="AH178" s="117">
        <v>0</v>
      </c>
      <c r="AI178" s="94">
        <f t="shared" si="50"/>
        <v>0</v>
      </c>
      <c r="AJ178" s="94">
        <f t="shared" si="51"/>
        <v>0</v>
      </c>
      <c r="AK178" s="94">
        <f t="shared" si="52"/>
        <v>0</v>
      </c>
      <c r="AL178" s="93">
        <v>250867949.19596934</v>
      </c>
      <c r="AM178" s="93">
        <f t="shared" si="65"/>
        <v>0</v>
      </c>
      <c r="AN178" s="155"/>
      <c r="AO178" s="155"/>
    </row>
    <row r="179" spans="1:41" s="9" customFormat="1" ht="25.15" customHeight="1" x14ac:dyDescent="0.25">
      <c r="A179" s="83">
        <v>173</v>
      </c>
      <c r="B179" s="84">
        <v>2023</v>
      </c>
      <c r="C179" s="85" t="s">
        <v>1210</v>
      </c>
      <c r="D179" s="86" t="s">
        <v>1211</v>
      </c>
      <c r="E179" s="86" t="s">
        <v>777</v>
      </c>
      <c r="F179" s="87">
        <v>45064</v>
      </c>
      <c r="G179" s="87">
        <v>45316</v>
      </c>
      <c r="H179" s="88">
        <f t="shared" si="53"/>
        <v>2.8</v>
      </c>
      <c r="I179" s="89" t="s">
        <v>759</v>
      </c>
      <c r="J179" s="90" t="s">
        <v>751</v>
      </c>
      <c r="K179" s="90" t="s">
        <v>752</v>
      </c>
      <c r="L179" s="90" t="s">
        <v>753</v>
      </c>
      <c r="M179" s="91" t="s">
        <v>1059</v>
      </c>
      <c r="N179" s="92" t="s">
        <v>1212</v>
      </c>
      <c r="O179" s="85">
        <v>2453018349</v>
      </c>
      <c r="P179" s="93">
        <f>+_xlfn.XLOOKUP(O179,'[3]Benef Primera fecha '!$C:$C,'[3]Benef Primera fecha '!$E:$E,0)</f>
        <v>2759044522</v>
      </c>
      <c r="Q179" s="93">
        <v>0</v>
      </c>
      <c r="R179" s="94">
        <f t="shared" si="54"/>
        <v>2759044522</v>
      </c>
      <c r="S179" s="95">
        <v>0.12</v>
      </c>
      <c r="T179" s="94">
        <f t="shared" si="55"/>
        <v>295611913.07142854</v>
      </c>
      <c r="U179" s="117">
        <v>250000000</v>
      </c>
      <c r="V179" s="117">
        <v>0</v>
      </c>
      <c r="W179" s="94">
        <f t="shared" si="56"/>
        <v>0</v>
      </c>
      <c r="X179" s="94">
        <f t="shared" si="57"/>
        <v>0</v>
      </c>
      <c r="Y179" s="94">
        <f t="shared" si="58"/>
        <v>0</v>
      </c>
      <c r="Z179" s="93">
        <f>_xlfn.XLOOKUP(O179,'[4]2DO TRIMESTRE'!$C:$C,'[4]2DO TRIMESTRE'!$I:$I,0,0)</f>
        <v>0</v>
      </c>
      <c r="AA179" s="94">
        <f t="shared" si="59"/>
        <v>0</v>
      </c>
      <c r="AB179" s="94">
        <f t="shared" si="60"/>
        <v>0</v>
      </c>
      <c r="AC179" s="94">
        <f t="shared" si="61"/>
        <v>0</v>
      </c>
      <c r="AD179" s="93">
        <v>0</v>
      </c>
      <c r="AE179" s="94">
        <f t="shared" si="62"/>
        <v>0</v>
      </c>
      <c r="AF179" s="94">
        <f t="shared" si="63"/>
        <v>0</v>
      </c>
      <c r="AG179" s="94">
        <f t="shared" si="64"/>
        <v>0</v>
      </c>
      <c r="AH179" s="117">
        <v>0</v>
      </c>
      <c r="AI179" s="94">
        <f t="shared" si="50"/>
        <v>0</v>
      </c>
      <c r="AJ179" s="94">
        <f t="shared" si="51"/>
        <v>0</v>
      </c>
      <c r="AK179" s="94">
        <f t="shared" si="52"/>
        <v>0</v>
      </c>
      <c r="AL179" s="93">
        <v>275206500.04064482</v>
      </c>
      <c r="AM179" s="93">
        <f t="shared" si="65"/>
        <v>0</v>
      </c>
      <c r="AN179" s="155"/>
      <c r="AO179" s="155"/>
    </row>
    <row r="180" spans="1:41" s="9" customFormat="1" ht="25.15" customHeight="1" x14ac:dyDescent="0.25">
      <c r="A180" s="83">
        <v>174</v>
      </c>
      <c r="B180" s="84">
        <v>2023</v>
      </c>
      <c r="C180" s="85" t="s">
        <v>876</v>
      </c>
      <c r="D180" s="86" t="s">
        <v>1213</v>
      </c>
      <c r="E180" s="86" t="s">
        <v>758</v>
      </c>
      <c r="F180" s="87">
        <v>45064</v>
      </c>
      <c r="G180" s="87">
        <v>45316</v>
      </c>
      <c r="H180" s="88">
        <f t="shared" si="53"/>
        <v>2.8</v>
      </c>
      <c r="I180" s="89" t="s">
        <v>759</v>
      </c>
      <c r="J180" s="90" t="s">
        <v>751</v>
      </c>
      <c r="K180" s="90" t="s">
        <v>752</v>
      </c>
      <c r="L180" s="90" t="s">
        <v>753</v>
      </c>
      <c r="M180" s="91" t="s">
        <v>1059</v>
      </c>
      <c r="N180" s="92" t="s">
        <v>1214</v>
      </c>
      <c r="O180" s="85">
        <v>2910907235</v>
      </c>
      <c r="P180" s="93">
        <f>+_xlfn.XLOOKUP(O180,'[3]Benef Primera fecha '!$C:$C,'[3]Benef Primera fecha '!$E:$E,0)</f>
        <v>195267045</v>
      </c>
      <c r="Q180" s="93">
        <v>0</v>
      </c>
      <c r="R180" s="94">
        <f t="shared" si="54"/>
        <v>195267045</v>
      </c>
      <c r="S180" s="95">
        <v>0.12</v>
      </c>
      <c r="T180" s="94">
        <f t="shared" si="55"/>
        <v>20921469.107142854</v>
      </c>
      <c r="U180" s="117">
        <v>700000000</v>
      </c>
      <c r="V180" s="117">
        <v>0</v>
      </c>
      <c r="W180" s="94">
        <f t="shared" si="56"/>
        <v>0</v>
      </c>
      <c r="X180" s="94">
        <f t="shared" si="57"/>
        <v>0</v>
      </c>
      <c r="Y180" s="94">
        <f t="shared" si="58"/>
        <v>0</v>
      </c>
      <c r="Z180" s="93">
        <f>_xlfn.XLOOKUP(O180,'[4]2DO TRIMESTRE'!$C:$C,'[4]2DO TRIMESTRE'!$I:$I,0,0)</f>
        <v>0</v>
      </c>
      <c r="AA180" s="94">
        <f t="shared" si="59"/>
        <v>0</v>
      </c>
      <c r="AB180" s="94">
        <f t="shared" si="60"/>
        <v>0</v>
      </c>
      <c r="AC180" s="94">
        <f t="shared" si="61"/>
        <v>0</v>
      </c>
      <c r="AD180" s="93">
        <v>0</v>
      </c>
      <c r="AE180" s="94">
        <f t="shared" si="62"/>
        <v>0</v>
      </c>
      <c r="AF180" s="94">
        <f t="shared" si="63"/>
        <v>0</v>
      </c>
      <c r="AG180" s="94">
        <f t="shared" si="64"/>
        <v>0</v>
      </c>
      <c r="AH180" s="117">
        <v>0</v>
      </c>
      <c r="AI180" s="94">
        <f t="shared" si="50"/>
        <v>0</v>
      </c>
      <c r="AJ180" s="94">
        <f t="shared" si="51"/>
        <v>0</v>
      </c>
      <c r="AK180" s="94">
        <f t="shared" si="52"/>
        <v>0</v>
      </c>
      <c r="AL180" s="93">
        <v>20921469</v>
      </c>
      <c r="AM180" s="93">
        <f t="shared" si="65"/>
        <v>0</v>
      </c>
      <c r="AN180" s="155"/>
      <c r="AO180" s="155"/>
    </row>
    <row r="181" spans="1:41" s="9" customFormat="1" ht="25.15" customHeight="1" x14ac:dyDescent="0.25">
      <c r="A181" s="83">
        <v>175</v>
      </c>
      <c r="B181" s="84">
        <v>2023</v>
      </c>
      <c r="C181" s="85" t="s">
        <v>128</v>
      </c>
      <c r="D181" s="86" t="s">
        <v>1215</v>
      </c>
      <c r="E181" s="86" t="s">
        <v>758</v>
      </c>
      <c r="F181" s="87">
        <v>45069</v>
      </c>
      <c r="G181" s="87">
        <v>45260</v>
      </c>
      <c r="H181" s="88">
        <f t="shared" si="53"/>
        <v>2.1222222222222222</v>
      </c>
      <c r="I181" s="89" t="s">
        <v>750</v>
      </c>
      <c r="J181" s="90" t="s">
        <v>751</v>
      </c>
      <c r="K181" s="90" t="s">
        <v>752</v>
      </c>
      <c r="L181" s="90" t="s">
        <v>753</v>
      </c>
      <c r="M181" s="91" t="s">
        <v>1059</v>
      </c>
      <c r="N181" s="92" t="s">
        <v>1216</v>
      </c>
      <c r="O181" s="85">
        <v>2910907243</v>
      </c>
      <c r="P181" s="93">
        <f>+_xlfn.XLOOKUP(O181,'[3]Benef Primera fecha '!$C:$C,'[3]Benef Primera fecha '!$E:$E,0)</f>
        <v>370000000</v>
      </c>
      <c r="Q181" s="93">
        <v>0</v>
      </c>
      <c r="R181" s="94">
        <f t="shared" si="54"/>
        <v>370000000</v>
      </c>
      <c r="S181" s="95">
        <v>0.12</v>
      </c>
      <c r="T181" s="94">
        <f t="shared" si="55"/>
        <v>39642857.142857134</v>
      </c>
      <c r="U181" s="117">
        <v>546066695</v>
      </c>
      <c r="V181" s="117">
        <v>0</v>
      </c>
      <c r="W181" s="94">
        <f t="shared" si="56"/>
        <v>0</v>
      </c>
      <c r="X181" s="94">
        <f t="shared" si="57"/>
        <v>0</v>
      </c>
      <c r="Y181" s="94">
        <f t="shared" si="58"/>
        <v>0</v>
      </c>
      <c r="Z181" s="93">
        <f>_xlfn.XLOOKUP(O181,'[4]2DO TRIMESTRE'!$C:$C,'[4]2DO TRIMESTRE'!$I:$I,0,0)</f>
        <v>0</v>
      </c>
      <c r="AA181" s="94">
        <f t="shared" si="59"/>
        <v>0</v>
      </c>
      <c r="AB181" s="94">
        <f t="shared" si="60"/>
        <v>0</v>
      </c>
      <c r="AC181" s="94">
        <f t="shared" si="61"/>
        <v>0</v>
      </c>
      <c r="AD181" s="93">
        <v>0</v>
      </c>
      <c r="AE181" s="94">
        <f t="shared" si="62"/>
        <v>0</v>
      </c>
      <c r="AF181" s="94">
        <f t="shared" si="63"/>
        <v>0</v>
      </c>
      <c r="AG181" s="94">
        <f t="shared" si="64"/>
        <v>0</v>
      </c>
      <c r="AH181" s="117">
        <v>0</v>
      </c>
      <c r="AI181" s="94">
        <f t="shared" si="50"/>
        <v>0</v>
      </c>
      <c r="AJ181" s="94">
        <f t="shared" si="51"/>
        <v>0</v>
      </c>
      <c r="AK181" s="94">
        <f t="shared" si="52"/>
        <v>0</v>
      </c>
      <c r="AL181" s="93">
        <v>39642857</v>
      </c>
      <c r="AM181" s="93">
        <f t="shared" si="65"/>
        <v>0</v>
      </c>
      <c r="AN181" s="155"/>
      <c r="AO181" s="155"/>
    </row>
    <row r="182" spans="1:41" s="9" customFormat="1" ht="25.15" customHeight="1" x14ac:dyDescent="0.25">
      <c r="A182" s="83">
        <v>176</v>
      </c>
      <c r="B182" s="84">
        <v>2023</v>
      </c>
      <c r="C182" s="85" t="s">
        <v>1217</v>
      </c>
      <c r="D182" s="86" t="s">
        <v>1217</v>
      </c>
      <c r="E182" s="86" t="s">
        <v>758</v>
      </c>
      <c r="F182" s="87">
        <v>45075</v>
      </c>
      <c r="G182" s="87">
        <v>45288</v>
      </c>
      <c r="H182" s="88">
        <f t="shared" si="53"/>
        <v>2.3666666666666667</v>
      </c>
      <c r="I182" s="89" t="s">
        <v>1077</v>
      </c>
      <c r="J182" s="90" t="s">
        <v>751</v>
      </c>
      <c r="K182" s="90" t="s">
        <v>752</v>
      </c>
      <c r="L182" s="90" t="s">
        <v>753</v>
      </c>
      <c r="M182" s="91" t="s">
        <v>1059</v>
      </c>
      <c r="N182" s="92" t="s">
        <v>1218</v>
      </c>
      <c r="O182" s="85">
        <v>2910907236</v>
      </c>
      <c r="P182" s="93">
        <f>+_xlfn.XLOOKUP(O182,'[3]Benef Primera fecha '!$C:$C,'[3]Benef Primera fecha '!$E:$E,0)</f>
        <v>785300000</v>
      </c>
      <c r="Q182" s="93">
        <v>0</v>
      </c>
      <c r="R182" s="94">
        <f t="shared" si="54"/>
        <v>785300000</v>
      </c>
      <c r="S182" s="95">
        <v>0.12000000045638609</v>
      </c>
      <c r="T182" s="94">
        <f t="shared" si="55"/>
        <v>84139286</v>
      </c>
      <c r="U182" s="117">
        <v>785300000</v>
      </c>
      <c r="V182" s="117">
        <v>0</v>
      </c>
      <c r="W182" s="94">
        <f t="shared" si="56"/>
        <v>0</v>
      </c>
      <c r="X182" s="94">
        <f t="shared" si="57"/>
        <v>0</v>
      </c>
      <c r="Y182" s="94">
        <f t="shared" si="58"/>
        <v>0</v>
      </c>
      <c r="Z182" s="93">
        <f>_xlfn.XLOOKUP(O182,'[4]2DO TRIMESTRE'!$C:$C,'[4]2DO TRIMESTRE'!$I:$I,0,0)</f>
        <v>0</v>
      </c>
      <c r="AA182" s="94">
        <f t="shared" si="59"/>
        <v>0</v>
      </c>
      <c r="AB182" s="94">
        <f t="shared" si="60"/>
        <v>0</v>
      </c>
      <c r="AC182" s="94">
        <f>+AA182*60%</f>
        <v>0</v>
      </c>
      <c r="AD182" s="93">
        <v>0</v>
      </c>
      <c r="AE182" s="94">
        <f t="shared" si="62"/>
        <v>0</v>
      </c>
      <c r="AF182" s="94">
        <f t="shared" si="63"/>
        <v>0</v>
      </c>
      <c r="AG182" s="94">
        <f t="shared" si="64"/>
        <v>0</v>
      </c>
      <c r="AH182" s="117">
        <v>0</v>
      </c>
      <c r="AI182" s="94">
        <f t="shared" si="50"/>
        <v>0</v>
      </c>
      <c r="AJ182" s="94">
        <f t="shared" si="51"/>
        <v>0</v>
      </c>
      <c r="AK182" s="94">
        <f t="shared" si="52"/>
        <v>0</v>
      </c>
      <c r="AL182" s="93">
        <v>84139286</v>
      </c>
      <c r="AM182" s="93">
        <f t="shared" si="65"/>
        <v>0</v>
      </c>
      <c r="AN182" s="155"/>
      <c r="AO182" s="155"/>
    </row>
    <row r="183" spans="1:41" s="9" customFormat="1" ht="25.15" customHeight="1" x14ac:dyDescent="0.25">
      <c r="A183" s="83">
        <v>177</v>
      </c>
      <c r="B183" s="84">
        <v>2023</v>
      </c>
      <c r="C183" s="85" t="s">
        <v>1219</v>
      </c>
      <c r="D183" s="86" t="s">
        <v>1220</v>
      </c>
      <c r="E183" s="86" t="s">
        <v>777</v>
      </c>
      <c r="F183" s="87">
        <v>45075</v>
      </c>
      <c r="G183" s="87">
        <v>45442</v>
      </c>
      <c r="H183" s="88">
        <f t="shared" si="53"/>
        <v>4.0777777777777775</v>
      </c>
      <c r="I183" s="89" t="s">
        <v>763</v>
      </c>
      <c r="J183" s="90" t="s">
        <v>751</v>
      </c>
      <c r="K183" s="90" t="s">
        <v>752</v>
      </c>
      <c r="L183" s="90" t="s">
        <v>834</v>
      </c>
      <c r="M183" s="91" t="s">
        <v>1221</v>
      </c>
      <c r="N183" s="92" t="s">
        <v>1222</v>
      </c>
      <c r="O183" s="85">
        <v>2453018350</v>
      </c>
      <c r="P183" s="93">
        <f>+_xlfn.XLOOKUP(O183,'[3]Benef Primera fecha '!$C:$C,'[3]Benef Primera fecha '!$E:$E,0)</f>
        <v>16284654500</v>
      </c>
      <c r="Q183" s="93">
        <v>0</v>
      </c>
      <c r="R183" s="94">
        <f t="shared" si="54"/>
        <v>16284654500</v>
      </c>
      <c r="S183" s="95">
        <v>0.09</v>
      </c>
      <c r="T183" s="94">
        <f t="shared" si="55"/>
        <v>1344604499.9999998</v>
      </c>
      <c r="U183" s="117">
        <v>16284654500</v>
      </c>
      <c r="V183" s="117">
        <v>0</v>
      </c>
      <c r="W183" s="94">
        <f t="shared" si="56"/>
        <v>0</v>
      </c>
      <c r="X183" s="94">
        <f t="shared" si="57"/>
        <v>0</v>
      </c>
      <c r="Y183" s="94">
        <f t="shared" si="58"/>
        <v>0</v>
      </c>
      <c r="Z183" s="93">
        <f>_xlfn.XLOOKUP(O183,'[4]2DO TRIMESTRE'!$C:$C,'[4]2DO TRIMESTRE'!$I:$I,0,0)</f>
        <v>0</v>
      </c>
      <c r="AA183" s="94">
        <f t="shared" si="59"/>
        <v>0</v>
      </c>
      <c r="AB183" s="94">
        <f t="shared" si="60"/>
        <v>0</v>
      </c>
      <c r="AC183" s="94">
        <f t="shared" si="61"/>
        <v>0</v>
      </c>
      <c r="AD183" s="93">
        <v>0</v>
      </c>
      <c r="AE183" s="94">
        <f t="shared" si="62"/>
        <v>0</v>
      </c>
      <c r="AF183" s="94">
        <f t="shared" si="63"/>
        <v>0</v>
      </c>
      <c r="AG183" s="94">
        <f t="shared" si="64"/>
        <v>0</v>
      </c>
      <c r="AH183" s="117">
        <v>0</v>
      </c>
      <c r="AI183" s="94">
        <f t="shared" si="50"/>
        <v>0</v>
      </c>
      <c r="AJ183" s="94">
        <f t="shared" si="51"/>
        <v>0</v>
      </c>
      <c r="AK183" s="94">
        <f t="shared" si="52"/>
        <v>0</v>
      </c>
      <c r="AL183" s="93">
        <v>1248080777.9999998</v>
      </c>
      <c r="AM183" s="93">
        <f t="shared" si="65"/>
        <v>0</v>
      </c>
      <c r="AN183" s="155"/>
      <c r="AO183" s="155"/>
    </row>
    <row r="184" spans="1:41" s="9" customFormat="1" ht="25.15" customHeight="1" x14ac:dyDescent="0.25">
      <c r="A184" s="83">
        <v>178</v>
      </c>
      <c r="B184" s="84">
        <v>2023</v>
      </c>
      <c r="C184" s="85" t="s">
        <v>1223</v>
      </c>
      <c r="D184" s="86" t="s">
        <v>1223</v>
      </c>
      <c r="E184" s="86" t="s">
        <v>758</v>
      </c>
      <c r="F184" s="87">
        <v>45085</v>
      </c>
      <c r="G184" s="87">
        <v>45260</v>
      </c>
      <c r="H184" s="88">
        <f t="shared" si="53"/>
        <v>1.9444444444444444</v>
      </c>
      <c r="I184" s="89" t="s">
        <v>759</v>
      </c>
      <c r="J184" s="90" t="s">
        <v>751</v>
      </c>
      <c r="K184" s="90" t="s">
        <v>752</v>
      </c>
      <c r="L184" s="90" t="s">
        <v>753</v>
      </c>
      <c r="M184" s="91" t="s">
        <v>1059</v>
      </c>
      <c r="N184" s="92" t="s">
        <v>1224</v>
      </c>
      <c r="O184" s="85">
        <v>2910907251</v>
      </c>
      <c r="P184" s="93">
        <f>+_xlfn.XLOOKUP(O184,'[3]Benef Primera fecha '!$C:$C,'[3]Benef Primera fecha '!$E:$E,0)</f>
        <v>30000000</v>
      </c>
      <c r="Q184" s="93">
        <v>0</v>
      </c>
      <c r="R184" s="94">
        <f t="shared" si="54"/>
        <v>30000000</v>
      </c>
      <c r="S184" s="95">
        <v>0.12000001194666679</v>
      </c>
      <c r="T184" s="94">
        <f t="shared" si="55"/>
        <v>3214285.9999999995</v>
      </c>
      <c r="U184" s="117">
        <v>13230000</v>
      </c>
      <c r="V184" s="117">
        <v>0</v>
      </c>
      <c r="W184" s="94">
        <f t="shared" si="56"/>
        <v>0</v>
      </c>
      <c r="X184" s="94">
        <f t="shared" si="57"/>
        <v>0</v>
      </c>
      <c r="Y184" s="94">
        <f t="shared" si="58"/>
        <v>0</v>
      </c>
      <c r="Z184" s="93">
        <f>_xlfn.XLOOKUP(O184,'[4]2DO TRIMESTRE'!$C:$C,'[4]2DO TRIMESTRE'!$I:$I,0,0)</f>
        <v>0</v>
      </c>
      <c r="AA184" s="94">
        <f t="shared" si="59"/>
        <v>0</v>
      </c>
      <c r="AB184" s="94">
        <f t="shared" si="60"/>
        <v>0</v>
      </c>
      <c r="AC184" s="94">
        <f t="shared" si="61"/>
        <v>0</v>
      </c>
      <c r="AD184" s="93">
        <v>0</v>
      </c>
      <c r="AE184" s="94">
        <f t="shared" si="62"/>
        <v>0</v>
      </c>
      <c r="AF184" s="94">
        <f t="shared" si="63"/>
        <v>0</v>
      </c>
      <c r="AG184" s="94">
        <f t="shared" si="64"/>
        <v>0</v>
      </c>
      <c r="AH184" s="117">
        <v>0</v>
      </c>
      <c r="AI184" s="94">
        <f t="shared" si="50"/>
        <v>0</v>
      </c>
      <c r="AJ184" s="94">
        <f t="shared" si="51"/>
        <v>0</v>
      </c>
      <c r="AK184" s="94">
        <f t="shared" si="52"/>
        <v>0</v>
      </c>
      <c r="AL184" s="93">
        <v>1417500</v>
      </c>
      <c r="AM184" s="93">
        <f t="shared" si="65"/>
        <v>0</v>
      </c>
      <c r="AN184" s="155"/>
      <c r="AO184" s="155"/>
    </row>
    <row r="185" spans="1:41" s="9" customFormat="1" ht="25.15" customHeight="1" x14ac:dyDescent="0.25">
      <c r="A185" s="83">
        <v>179</v>
      </c>
      <c r="B185" s="84">
        <v>2023</v>
      </c>
      <c r="C185" s="85" t="s">
        <v>1007</v>
      </c>
      <c r="D185" s="86" t="s">
        <v>1225</v>
      </c>
      <c r="E185" s="86" t="s">
        <v>758</v>
      </c>
      <c r="F185" s="87">
        <v>45097</v>
      </c>
      <c r="G185" s="87">
        <v>45312</v>
      </c>
      <c r="H185" s="88">
        <f t="shared" si="53"/>
        <v>2.3888888888888888</v>
      </c>
      <c r="I185" s="89" t="s">
        <v>759</v>
      </c>
      <c r="J185" s="90" t="s">
        <v>751</v>
      </c>
      <c r="K185" s="90" t="s">
        <v>752</v>
      </c>
      <c r="L185" s="90" t="s">
        <v>753</v>
      </c>
      <c r="M185" s="91" t="s">
        <v>1059</v>
      </c>
      <c r="N185" s="92" t="s">
        <v>1226</v>
      </c>
      <c r="O185" s="85">
        <v>2910907244</v>
      </c>
      <c r="P185" s="93">
        <f>+_xlfn.XLOOKUP(O185,'[3]Benef Primera fecha '!$C:$C,'[3]Benef Primera fecha '!$E:$E,0)</f>
        <v>50000000</v>
      </c>
      <c r="Q185" s="93">
        <v>0</v>
      </c>
      <c r="R185" s="94">
        <f t="shared" si="54"/>
        <v>50000000</v>
      </c>
      <c r="S185" s="95">
        <v>0.12000000358400001</v>
      </c>
      <c r="T185" s="94">
        <f t="shared" si="55"/>
        <v>5357143</v>
      </c>
      <c r="U185" s="117">
        <v>50000000</v>
      </c>
      <c r="V185" s="117">
        <v>0</v>
      </c>
      <c r="W185" s="94">
        <f t="shared" si="56"/>
        <v>0</v>
      </c>
      <c r="X185" s="94">
        <f t="shared" si="57"/>
        <v>0</v>
      </c>
      <c r="Y185" s="94">
        <f t="shared" si="58"/>
        <v>0</v>
      </c>
      <c r="Z185" s="93">
        <f>_xlfn.XLOOKUP(O185,'[4]2DO TRIMESTRE'!$C:$C,'[4]2DO TRIMESTRE'!$I:$I,0,0)</f>
        <v>0</v>
      </c>
      <c r="AA185" s="94">
        <f t="shared" si="59"/>
        <v>0</v>
      </c>
      <c r="AB185" s="94">
        <f t="shared" si="60"/>
        <v>0</v>
      </c>
      <c r="AC185" s="94">
        <f t="shared" si="61"/>
        <v>0</v>
      </c>
      <c r="AD185" s="93">
        <v>0</v>
      </c>
      <c r="AE185" s="94">
        <f t="shared" si="62"/>
        <v>0</v>
      </c>
      <c r="AF185" s="94">
        <f t="shared" si="63"/>
        <v>0</v>
      </c>
      <c r="AG185" s="94">
        <f t="shared" si="64"/>
        <v>0</v>
      </c>
      <c r="AH185" s="117">
        <v>0</v>
      </c>
      <c r="AI185" s="94">
        <f t="shared" si="50"/>
        <v>0</v>
      </c>
      <c r="AJ185" s="94">
        <f t="shared" si="51"/>
        <v>0</v>
      </c>
      <c r="AK185" s="94">
        <f t="shared" si="52"/>
        <v>0</v>
      </c>
      <c r="AL185" s="93">
        <v>5357143</v>
      </c>
      <c r="AM185" s="93">
        <f t="shared" si="65"/>
        <v>0</v>
      </c>
      <c r="AN185" s="155"/>
      <c r="AO185" s="155"/>
    </row>
    <row r="186" spans="1:41" s="9" customFormat="1" ht="25.15" customHeight="1" x14ac:dyDescent="0.25">
      <c r="A186" s="83">
        <v>180</v>
      </c>
      <c r="B186" s="84">
        <v>2023</v>
      </c>
      <c r="C186" s="85" t="s">
        <v>1122</v>
      </c>
      <c r="D186" s="86" t="s">
        <v>1227</v>
      </c>
      <c r="E186" s="86" t="s">
        <v>758</v>
      </c>
      <c r="F186" s="87">
        <v>45097</v>
      </c>
      <c r="G186" s="87">
        <v>45312</v>
      </c>
      <c r="H186" s="88">
        <f t="shared" si="53"/>
        <v>2.3888888888888888</v>
      </c>
      <c r="I186" s="89" t="s">
        <v>750</v>
      </c>
      <c r="J186" s="90" t="s">
        <v>751</v>
      </c>
      <c r="K186" s="90" t="s">
        <v>752</v>
      </c>
      <c r="L186" s="90" t="s">
        <v>753</v>
      </c>
      <c r="M186" s="91" t="s">
        <v>1059</v>
      </c>
      <c r="N186" s="92" t="s">
        <v>1228</v>
      </c>
      <c r="O186" s="85">
        <v>2910907242</v>
      </c>
      <c r="P186" s="93">
        <v>40000000</v>
      </c>
      <c r="Q186" s="93">
        <v>0</v>
      </c>
      <c r="R186" s="94">
        <f t="shared" si="54"/>
        <v>40000000</v>
      </c>
      <c r="S186" s="95">
        <v>0.12</v>
      </c>
      <c r="T186" s="94">
        <f t="shared" si="55"/>
        <v>4285714.2857142845</v>
      </c>
      <c r="U186" s="117">
        <v>40000000</v>
      </c>
      <c r="V186" s="117">
        <v>0</v>
      </c>
      <c r="W186" s="94">
        <f t="shared" si="56"/>
        <v>0</v>
      </c>
      <c r="X186" s="94">
        <f t="shared" si="57"/>
        <v>0</v>
      </c>
      <c r="Y186" s="94">
        <f t="shared" si="58"/>
        <v>0</v>
      </c>
      <c r="Z186" s="93">
        <f>_xlfn.XLOOKUP(O186,'[4]2DO TRIMESTRE'!$C:$C,'[4]2DO TRIMESTRE'!$I:$I,0,0)</f>
        <v>0</v>
      </c>
      <c r="AA186" s="94">
        <f t="shared" si="59"/>
        <v>0</v>
      </c>
      <c r="AB186" s="94">
        <f t="shared" si="60"/>
        <v>0</v>
      </c>
      <c r="AC186" s="94">
        <f t="shared" si="61"/>
        <v>0</v>
      </c>
      <c r="AD186" s="93">
        <v>0</v>
      </c>
      <c r="AE186" s="94">
        <f t="shared" si="62"/>
        <v>0</v>
      </c>
      <c r="AF186" s="94">
        <f t="shared" si="63"/>
        <v>0</v>
      </c>
      <c r="AG186" s="94">
        <f t="shared" si="64"/>
        <v>0</v>
      </c>
      <c r="AH186" s="117">
        <v>0</v>
      </c>
      <c r="AI186" s="94">
        <f t="shared" si="50"/>
        <v>0</v>
      </c>
      <c r="AJ186" s="94">
        <f t="shared" si="51"/>
        <v>0</v>
      </c>
      <c r="AK186" s="94">
        <f t="shared" si="52"/>
        <v>0</v>
      </c>
      <c r="AL186" s="93">
        <v>4285714</v>
      </c>
      <c r="AM186" s="93">
        <f t="shared" si="65"/>
        <v>0</v>
      </c>
      <c r="AN186" s="155"/>
      <c r="AO186" s="155"/>
    </row>
    <row r="187" spans="1:41" s="9" customFormat="1" ht="25.15" customHeight="1" x14ac:dyDescent="0.25">
      <c r="A187" s="83">
        <v>181</v>
      </c>
      <c r="B187" s="84">
        <v>2023</v>
      </c>
      <c r="C187" s="85" t="s">
        <v>1157</v>
      </c>
      <c r="D187" s="86" t="s">
        <v>1229</v>
      </c>
      <c r="E187" s="86" t="s">
        <v>758</v>
      </c>
      <c r="F187" s="87">
        <v>45097</v>
      </c>
      <c r="G187" s="87">
        <v>45312</v>
      </c>
      <c r="H187" s="88">
        <f t="shared" si="53"/>
        <v>2.3888888888888888</v>
      </c>
      <c r="I187" s="89" t="s">
        <v>759</v>
      </c>
      <c r="J187" s="90" t="s">
        <v>751</v>
      </c>
      <c r="K187" s="90" t="s">
        <v>752</v>
      </c>
      <c r="L187" s="90" t="s">
        <v>753</v>
      </c>
      <c r="M187" s="91" t="s">
        <v>1059</v>
      </c>
      <c r="N187" s="92" t="s">
        <v>1230</v>
      </c>
      <c r="O187" s="85">
        <v>2910907237</v>
      </c>
      <c r="P187" s="93">
        <v>40000000</v>
      </c>
      <c r="Q187" s="93">
        <v>0</v>
      </c>
      <c r="R187" s="94">
        <f t="shared" si="54"/>
        <v>40000000</v>
      </c>
      <c r="S187" s="95">
        <v>0.12</v>
      </c>
      <c r="T187" s="94">
        <f t="shared" si="55"/>
        <v>4285714.2857142845</v>
      </c>
      <c r="U187" s="117">
        <v>0</v>
      </c>
      <c r="V187" s="117">
        <v>0</v>
      </c>
      <c r="W187" s="94">
        <f t="shared" si="56"/>
        <v>0</v>
      </c>
      <c r="X187" s="94">
        <f t="shared" si="57"/>
        <v>0</v>
      </c>
      <c r="Y187" s="94">
        <f t="shared" si="58"/>
        <v>0</v>
      </c>
      <c r="Z187" s="93">
        <f>_xlfn.XLOOKUP(O187,'[4]2DO TRIMESTRE'!$C:$C,'[4]2DO TRIMESTRE'!$I:$I,0,0)</f>
        <v>0</v>
      </c>
      <c r="AA187" s="94">
        <f t="shared" si="59"/>
        <v>0</v>
      </c>
      <c r="AB187" s="94">
        <f t="shared" si="60"/>
        <v>0</v>
      </c>
      <c r="AC187" s="94">
        <f t="shared" si="61"/>
        <v>0</v>
      </c>
      <c r="AD187" s="93">
        <v>0</v>
      </c>
      <c r="AE187" s="94">
        <f t="shared" si="62"/>
        <v>0</v>
      </c>
      <c r="AF187" s="94">
        <f t="shared" si="63"/>
        <v>0</v>
      </c>
      <c r="AG187" s="94">
        <f t="shared" si="64"/>
        <v>0</v>
      </c>
      <c r="AH187" s="117">
        <v>0</v>
      </c>
      <c r="AI187" s="94">
        <f t="shared" si="50"/>
        <v>0</v>
      </c>
      <c r="AJ187" s="94">
        <f t="shared" si="51"/>
        <v>0</v>
      </c>
      <c r="AK187" s="94">
        <f t="shared" si="52"/>
        <v>0</v>
      </c>
      <c r="AL187" s="93">
        <v>0</v>
      </c>
      <c r="AM187" s="93">
        <f t="shared" si="65"/>
        <v>0</v>
      </c>
      <c r="AN187" s="155"/>
      <c r="AO187" s="155"/>
    </row>
    <row r="188" spans="1:41" s="9" customFormat="1" ht="25.15" customHeight="1" x14ac:dyDescent="0.25">
      <c r="A188" s="83">
        <v>182</v>
      </c>
      <c r="B188" s="84">
        <v>2023</v>
      </c>
      <c r="C188" s="85" t="s">
        <v>782</v>
      </c>
      <c r="D188" s="86" t="s">
        <v>1231</v>
      </c>
      <c r="E188" s="86" t="s">
        <v>777</v>
      </c>
      <c r="F188" s="87">
        <v>45100</v>
      </c>
      <c r="G188" s="87">
        <v>45278</v>
      </c>
      <c r="H188" s="88">
        <f t="shared" si="53"/>
        <v>1.9777777777777779</v>
      </c>
      <c r="I188" s="89" t="s">
        <v>759</v>
      </c>
      <c r="J188" s="90" t="s">
        <v>751</v>
      </c>
      <c r="K188" s="90" t="s">
        <v>752</v>
      </c>
      <c r="L188" s="90" t="s">
        <v>753</v>
      </c>
      <c r="M188" s="91" t="s">
        <v>1232</v>
      </c>
      <c r="N188" s="92" t="s">
        <v>1233</v>
      </c>
      <c r="O188" s="85">
        <v>2453018351</v>
      </c>
      <c r="P188" s="93">
        <f>+_xlfn.XLOOKUP(O188,'[3]Benef Primera fecha '!$C:$C,'[3]Benef Primera fecha '!$E:$E,0)</f>
        <v>1229752235</v>
      </c>
      <c r="Q188" s="93">
        <v>0</v>
      </c>
      <c r="R188" s="94">
        <f t="shared" si="54"/>
        <v>1229752235</v>
      </c>
      <c r="S188" s="95">
        <v>0.1199999999635699</v>
      </c>
      <c r="T188" s="94">
        <f t="shared" si="55"/>
        <v>131759168</v>
      </c>
      <c r="U188" s="117">
        <v>1203667735</v>
      </c>
      <c r="V188" s="117">
        <v>0</v>
      </c>
      <c r="W188" s="94">
        <f t="shared" si="56"/>
        <v>0</v>
      </c>
      <c r="X188" s="94">
        <f t="shared" si="57"/>
        <v>0</v>
      </c>
      <c r="Y188" s="94">
        <f t="shared" si="58"/>
        <v>0</v>
      </c>
      <c r="Z188" s="93">
        <f>_xlfn.XLOOKUP(O188,'[4]2DO TRIMESTRE'!$C:$C,'[4]2DO TRIMESTRE'!$I:$I,0,0)</f>
        <v>0</v>
      </c>
      <c r="AA188" s="94">
        <f t="shared" si="59"/>
        <v>0</v>
      </c>
      <c r="AB188" s="94">
        <f t="shared" si="60"/>
        <v>0</v>
      </c>
      <c r="AC188" s="94">
        <f t="shared" si="61"/>
        <v>0</v>
      </c>
      <c r="AD188" s="93">
        <v>0</v>
      </c>
      <c r="AE188" s="94">
        <f t="shared" si="62"/>
        <v>0</v>
      </c>
      <c r="AF188" s="94">
        <f t="shared" si="63"/>
        <v>0</v>
      </c>
      <c r="AG188" s="94">
        <f t="shared" si="64"/>
        <v>0</v>
      </c>
      <c r="AH188" s="117">
        <v>0</v>
      </c>
      <c r="AI188" s="94">
        <f t="shared" si="50"/>
        <v>0</v>
      </c>
      <c r="AJ188" s="94">
        <f t="shared" si="51"/>
        <v>0</v>
      </c>
      <c r="AK188" s="94">
        <f t="shared" si="52"/>
        <v>0</v>
      </c>
      <c r="AL188" s="93">
        <v>128964400.14361468</v>
      </c>
      <c r="AM188" s="93">
        <f t="shared" si="65"/>
        <v>0</v>
      </c>
      <c r="AN188" s="155"/>
      <c r="AO188" s="155"/>
    </row>
    <row r="189" spans="1:41" s="9" customFormat="1" ht="25.15" customHeight="1" x14ac:dyDescent="0.25">
      <c r="A189" s="83">
        <v>183</v>
      </c>
      <c r="B189" s="84">
        <v>2023</v>
      </c>
      <c r="C189" s="85" t="s">
        <v>1234</v>
      </c>
      <c r="D189" s="86" t="s">
        <v>1234</v>
      </c>
      <c r="E189" s="86" t="s">
        <v>758</v>
      </c>
      <c r="F189" s="87">
        <v>45100</v>
      </c>
      <c r="G189" s="87">
        <v>45252</v>
      </c>
      <c r="H189" s="88">
        <f t="shared" si="53"/>
        <v>1.6888888888888889</v>
      </c>
      <c r="I189" s="89" t="s">
        <v>759</v>
      </c>
      <c r="J189" s="90" t="s">
        <v>751</v>
      </c>
      <c r="K189" s="90" t="s">
        <v>752</v>
      </c>
      <c r="L189" s="90" t="s">
        <v>753</v>
      </c>
      <c r="M189" s="91" t="s">
        <v>1059</v>
      </c>
      <c r="N189" s="92" t="s">
        <v>1235</v>
      </c>
      <c r="O189" s="85">
        <v>2910907259</v>
      </c>
      <c r="P189" s="93">
        <f>+_xlfn.XLOOKUP(O189,'[3]Benef Primera fecha '!$C:$C,'[3]Benef Primera fecha '!$E:$E,0)</f>
        <v>5000000</v>
      </c>
      <c r="Q189" s="93">
        <v>0</v>
      </c>
      <c r="R189" s="94">
        <f t="shared" si="54"/>
        <v>5000000</v>
      </c>
      <c r="S189" s="95">
        <v>0.11999992832000458</v>
      </c>
      <c r="T189" s="94">
        <f t="shared" si="55"/>
        <v>535714</v>
      </c>
      <c r="U189" s="117">
        <v>2500000</v>
      </c>
      <c r="V189" s="117">
        <v>0</v>
      </c>
      <c r="W189" s="94">
        <f t="shared" si="56"/>
        <v>0</v>
      </c>
      <c r="X189" s="94">
        <f t="shared" si="57"/>
        <v>0</v>
      </c>
      <c r="Y189" s="94">
        <f t="shared" si="58"/>
        <v>0</v>
      </c>
      <c r="Z189" s="93">
        <f>_xlfn.XLOOKUP(O189,'[4]2DO TRIMESTRE'!$C:$C,'[4]2DO TRIMESTRE'!$I:$I,0,0)</f>
        <v>0</v>
      </c>
      <c r="AA189" s="94">
        <f t="shared" si="59"/>
        <v>0</v>
      </c>
      <c r="AB189" s="94">
        <f t="shared" si="60"/>
        <v>0</v>
      </c>
      <c r="AC189" s="94">
        <f t="shared" si="61"/>
        <v>0</v>
      </c>
      <c r="AD189" s="93">
        <v>0</v>
      </c>
      <c r="AE189" s="94">
        <f t="shared" si="62"/>
        <v>0</v>
      </c>
      <c r="AF189" s="94">
        <f t="shared" si="63"/>
        <v>0</v>
      </c>
      <c r="AG189" s="94">
        <f t="shared" si="64"/>
        <v>0</v>
      </c>
      <c r="AH189" s="117">
        <v>0</v>
      </c>
      <c r="AI189" s="94">
        <f t="shared" si="50"/>
        <v>0</v>
      </c>
      <c r="AJ189" s="94">
        <f t="shared" si="51"/>
        <v>0</v>
      </c>
      <c r="AK189" s="94">
        <f t="shared" si="52"/>
        <v>0</v>
      </c>
      <c r="AL189" s="93">
        <v>267857</v>
      </c>
      <c r="AM189" s="93">
        <f t="shared" si="65"/>
        <v>0</v>
      </c>
      <c r="AN189" s="155"/>
      <c r="AO189" s="155"/>
    </row>
    <row r="190" spans="1:41" s="9" customFormat="1" ht="25.15" customHeight="1" x14ac:dyDescent="0.25">
      <c r="A190" s="83">
        <v>184</v>
      </c>
      <c r="B190" s="84">
        <v>2023</v>
      </c>
      <c r="C190" s="85" t="s">
        <v>1007</v>
      </c>
      <c r="D190" s="86" t="s">
        <v>1236</v>
      </c>
      <c r="E190" s="86" t="s">
        <v>758</v>
      </c>
      <c r="F190" s="87">
        <v>45103</v>
      </c>
      <c r="G190" s="87">
        <v>45309</v>
      </c>
      <c r="H190" s="88">
        <f t="shared" si="53"/>
        <v>2.2888888888888888</v>
      </c>
      <c r="I190" s="89" t="s">
        <v>759</v>
      </c>
      <c r="J190" s="90" t="s">
        <v>751</v>
      </c>
      <c r="K190" s="90" t="s">
        <v>752</v>
      </c>
      <c r="L190" s="90" t="s">
        <v>753</v>
      </c>
      <c r="M190" s="91" t="s">
        <v>1059</v>
      </c>
      <c r="N190" s="92" t="s">
        <v>1237</v>
      </c>
      <c r="O190" s="85">
        <v>2910907240</v>
      </c>
      <c r="P190" s="93">
        <f>+_xlfn.XLOOKUP(O190,'[3]Benef Primera fecha '!$C:$C,'[3]Benef Primera fecha '!$E:$E,0)</f>
        <v>25000000</v>
      </c>
      <c r="Q190" s="93">
        <v>0</v>
      </c>
      <c r="R190" s="94">
        <f t="shared" si="54"/>
        <v>25000000</v>
      </c>
      <c r="S190" s="95">
        <v>0.12000002867200073</v>
      </c>
      <c r="T190" s="94">
        <f t="shared" si="55"/>
        <v>2678572</v>
      </c>
      <c r="U190" s="117">
        <v>25000000</v>
      </c>
      <c r="V190" s="117">
        <v>0</v>
      </c>
      <c r="W190" s="94">
        <f t="shared" si="56"/>
        <v>0</v>
      </c>
      <c r="X190" s="94">
        <f t="shared" si="57"/>
        <v>0</v>
      </c>
      <c r="Y190" s="94">
        <f t="shared" si="58"/>
        <v>0</v>
      </c>
      <c r="Z190" s="93">
        <f>_xlfn.XLOOKUP(O190,'[4]2DO TRIMESTRE'!$C:$C,'[4]2DO TRIMESTRE'!$I:$I,0,0)</f>
        <v>0</v>
      </c>
      <c r="AA190" s="94">
        <f t="shared" si="59"/>
        <v>0</v>
      </c>
      <c r="AB190" s="94">
        <f t="shared" si="60"/>
        <v>0</v>
      </c>
      <c r="AC190" s="94">
        <f t="shared" si="61"/>
        <v>0</v>
      </c>
      <c r="AD190" s="93">
        <v>0</v>
      </c>
      <c r="AE190" s="94">
        <f t="shared" si="62"/>
        <v>0</v>
      </c>
      <c r="AF190" s="94">
        <f t="shared" si="63"/>
        <v>0</v>
      </c>
      <c r="AG190" s="94">
        <f t="shared" si="64"/>
        <v>0</v>
      </c>
      <c r="AH190" s="117">
        <v>0</v>
      </c>
      <c r="AI190" s="94">
        <f t="shared" si="50"/>
        <v>0</v>
      </c>
      <c r="AJ190" s="94">
        <f t="shared" si="51"/>
        <v>0</v>
      </c>
      <c r="AK190" s="94">
        <f t="shared" si="52"/>
        <v>0</v>
      </c>
      <c r="AL190" s="93">
        <v>2678572</v>
      </c>
      <c r="AM190" s="93">
        <f t="shared" si="65"/>
        <v>0</v>
      </c>
      <c r="AN190" s="155"/>
      <c r="AO190" s="155"/>
    </row>
    <row r="191" spans="1:41" s="9" customFormat="1" ht="25.15" customHeight="1" x14ac:dyDescent="0.25">
      <c r="A191" s="83">
        <v>185</v>
      </c>
      <c r="B191" s="84">
        <v>2023</v>
      </c>
      <c r="C191" s="85" t="s">
        <v>1238</v>
      </c>
      <c r="D191" s="86" t="s">
        <v>1239</v>
      </c>
      <c r="E191" s="86" t="s">
        <v>758</v>
      </c>
      <c r="F191" s="87">
        <v>45104</v>
      </c>
      <c r="G191" s="87">
        <v>45276</v>
      </c>
      <c r="H191" s="88">
        <f t="shared" si="53"/>
        <v>1.9111111111111112</v>
      </c>
      <c r="I191" s="89" t="s">
        <v>759</v>
      </c>
      <c r="J191" s="90" t="s">
        <v>751</v>
      </c>
      <c r="K191" s="90" t="s">
        <v>752</v>
      </c>
      <c r="L191" s="90" t="s">
        <v>753</v>
      </c>
      <c r="M191" s="91" t="s">
        <v>1059</v>
      </c>
      <c r="N191" s="92" t="s">
        <v>1240</v>
      </c>
      <c r="O191" s="85">
        <v>2910907262</v>
      </c>
      <c r="P191" s="93">
        <v>3000000</v>
      </c>
      <c r="Q191" s="93">
        <v>0</v>
      </c>
      <c r="R191" s="94">
        <f t="shared" si="54"/>
        <v>3000000</v>
      </c>
      <c r="S191" s="95">
        <v>0.12</v>
      </c>
      <c r="T191" s="94">
        <f t="shared" si="55"/>
        <v>321428.57142857136</v>
      </c>
      <c r="U191" s="117">
        <v>0</v>
      </c>
      <c r="V191" s="117">
        <v>0</v>
      </c>
      <c r="W191" s="94">
        <f t="shared" si="56"/>
        <v>0</v>
      </c>
      <c r="X191" s="94">
        <f t="shared" si="57"/>
        <v>0</v>
      </c>
      <c r="Y191" s="94">
        <f t="shared" si="58"/>
        <v>0</v>
      </c>
      <c r="Z191" s="93">
        <f>_xlfn.XLOOKUP(O191,'[4]2DO TRIMESTRE'!$C:$C,'[4]2DO TRIMESTRE'!$I:$I,0,0)</f>
        <v>0</v>
      </c>
      <c r="AA191" s="94">
        <f t="shared" si="59"/>
        <v>0</v>
      </c>
      <c r="AB191" s="94">
        <f t="shared" si="60"/>
        <v>0</v>
      </c>
      <c r="AC191" s="94">
        <f t="shared" si="61"/>
        <v>0</v>
      </c>
      <c r="AD191" s="93">
        <v>0</v>
      </c>
      <c r="AE191" s="94">
        <f t="shared" si="62"/>
        <v>0</v>
      </c>
      <c r="AF191" s="94">
        <f t="shared" si="63"/>
        <v>0</v>
      </c>
      <c r="AG191" s="94">
        <f t="shared" si="64"/>
        <v>0</v>
      </c>
      <c r="AH191" s="117">
        <v>0</v>
      </c>
      <c r="AI191" s="94">
        <f t="shared" si="50"/>
        <v>0</v>
      </c>
      <c r="AJ191" s="94">
        <f t="shared" si="51"/>
        <v>0</v>
      </c>
      <c r="AK191" s="94">
        <f t="shared" si="52"/>
        <v>0</v>
      </c>
      <c r="AL191" s="93">
        <v>0</v>
      </c>
      <c r="AM191" s="93">
        <f t="shared" si="65"/>
        <v>0</v>
      </c>
      <c r="AN191" s="155"/>
      <c r="AO191" s="155"/>
    </row>
    <row r="192" spans="1:41" s="9" customFormat="1" ht="25.15" customHeight="1" x14ac:dyDescent="0.25">
      <c r="A192" s="83">
        <v>186</v>
      </c>
      <c r="B192" s="84">
        <v>2023</v>
      </c>
      <c r="C192" s="85" t="s">
        <v>1241</v>
      </c>
      <c r="D192" s="86" t="s">
        <v>1242</v>
      </c>
      <c r="E192" s="86" t="s">
        <v>758</v>
      </c>
      <c r="F192" s="87">
        <v>45104</v>
      </c>
      <c r="G192" s="87">
        <v>45276</v>
      </c>
      <c r="H192" s="88">
        <f t="shared" si="53"/>
        <v>1.9111111111111112</v>
      </c>
      <c r="I192" s="89" t="s">
        <v>759</v>
      </c>
      <c r="J192" s="90" t="s">
        <v>751</v>
      </c>
      <c r="K192" s="90" t="s">
        <v>752</v>
      </c>
      <c r="L192" s="90" t="s">
        <v>753</v>
      </c>
      <c r="M192" s="91" t="s">
        <v>1059</v>
      </c>
      <c r="N192" s="92" t="s">
        <v>1243</v>
      </c>
      <c r="O192" s="85">
        <v>2910907267</v>
      </c>
      <c r="P192" s="93">
        <v>3000000</v>
      </c>
      <c r="Q192" s="93">
        <v>0</v>
      </c>
      <c r="R192" s="94">
        <f t="shared" si="54"/>
        <v>3000000</v>
      </c>
      <c r="S192" s="95">
        <v>0.12</v>
      </c>
      <c r="T192" s="94">
        <f t="shared" si="55"/>
        <v>321428.57142857136</v>
      </c>
      <c r="U192" s="117">
        <v>0</v>
      </c>
      <c r="V192" s="117">
        <v>0</v>
      </c>
      <c r="W192" s="94">
        <f t="shared" si="56"/>
        <v>0</v>
      </c>
      <c r="X192" s="94">
        <f t="shared" si="57"/>
        <v>0</v>
      </c>
      <c r="Y192" s="94">
        <f t="shared" si="58"/>
        <v>0</v>
      </c>
      <c r="Z192" s="93">
        <f>_xlfn.XLOOKUP(O192,'[4]2DO TRIMESTRE'!$C:$C,'[4]2DO TRIMESTRE'!$I:$I,0,0)</f>
        <v>0</v>
      </c>
      <c r="AA192" s="94">
        <f t="shared" si="59"/>
        <v>0</v>
      </c>
      <c r="AB192" s="94">
        <f t="shared" si="60"/>
        <v>0</v>
      </c>
      <c r="AC192" s="94">
        <f t="shared" si="61"/>
        <v>0</v>
      </c>
      <c r="AD192" s="93">
        <v>0</v>
      </c>
      <c r="AE192" s="94">
        <f t="shared" si="62"/>
        <v>0</v>
      </c>
      <c r="AF192" s="94">
        <f t="shared" si="63"/>
        <v>0</v>
      </c>
      <c r="AG192" s="94">
        <f t="shared" si="64"/>
        <v>0</v>
      </c>
      <c r="AH192" s="117">
        <v>0</v>
      </c>
      <c r="AI192" s="94">
        <f t="shared" si="50"/>
        <v>0</v>
      </c>
      <c r="AJ192" s="94">
        <f t="shared" si="51"/>
        <v>0</v>
      </c>
      <c r="AK192" s="94">
        <f t="shared" si="52"/>
        <v>0</v>
      </c>
      <c r="AL192" s="93">
        <v>0</v>
      </c>
      <c r="AM192" s="93">
        <f t="shared" si="65"/>
        <v>0</v>
      </c>
      <c r="AN192" s="155"/>
      <c r="AO192" s="155"/>
    </row>
    <row r="193" spans="1:41" s="9" customFormat="1" ht="25.15" customHeight="1" x14ac:dyDescent="0.25">
      <c r="A193" s="83">
        <v>187</v>
      </c>
      <c r="B193" s="84">
        <v>2023</v>
      </c>
      <c r="C193" s="85" t="s">
        <v>993</v>
      </c>
      <c r="D193" s="86" t="s">
        <v>993</v>
      </c>
      <c r="E193" s="86" t="s">
        <v>758</v>
      </c>
      <c r="F193" s="87">
        <v>45104</v>
      </c>
      <c r="G193" s="87">
        <v>45260</v>
      </c>
      <c r="H193" s="88">
        <f t="shared" si="53"/>
        <v>1.7333333333333334</v>
      </c>
      <c r="I193" s="89" t="s">
        <v>750</v>
      </c>
      <c r="J193" s="90" t="s">
        <v>751</v>
      </c>
      <c r="K193" s="90" t="s">
        <v>752</v>
      </c>
      <c r="L193" s="90" t="s">
        <v>753</v>
      </c>
      <c r="M193" s="91" t="s">
        <v>1059</v>
      </c>
      <c r="N193" s="92" t="s">
        <v>1244</v>
      </c>
      <c r="O193" s="85">
        <v>2910907250</v>
      </c>
      <c r="P193" s="93">
        <f>+_xlfn.XLOOKUP(O193,'[3]Benef Primera fecha '!$C:$C,'[3]Benef Primera fecha '!$E:$E,0)</f>
        <v>30000000</v>
      </c>
      <c r="Q193" s="93">
        <v>0</v>
      </c>
      <c r="R193" s="94">
        <f t="shared" si="54"/>
        <v>30000000</v>
      </c>
      <c r="S193" s="95">
        <v>0.12000001194666679</v>
      </c>
      <c r="T193" s="94">
        <f t="shared" si="55"/>
        <v>3214285.9999999995</v>
      </c>
      <c r="U193" s="117">
        <v>30000000</v>
      </c>
      <c r="V193" s="117">
        <v>0</v>
      </c>
      <c r="W193" s="94">
        <f t="shared" si="56"/>
        <v>0</v>
      </c>
      <c r="X193" s="94">
        <f t="shared" si="57"/>
        <v>0</v>
      </c>
      <c r="Y193" s="94">
        <f t="shared" si="58"/>
        <v>0</v>
      </c>
      <c r="Z193" s="93">
        <f>_xlfn.XLOOKUP(O193,'[4]2DO TRIMESTRE'!$C:$C,'[4]2DO TRIMESTRE'!$I:$I,0,0)</f>
        <v>0</v>
      </c>
      <c r="AA193" s="94">
        <f t="shared" si="59"/>
        <v>0</v>
      </c>
      <c r="AB193" s="94">
        <f t="shared" si="60"/>
        <v>0</v>
      </c>
      <c r="AC193" s="94">
        <f t="shared" si="61"/>
        <v>0</v>
      </c>
      <c r="AD193" s="93">
        <v>0</v>
      </c>
      <c r="AE193" s="94">
        <f t="shared" si="62"/>
        <v>0</v>
      </c>
      <c r="AF193" s="94">
        <f t="shared" si="63"/>
        <v>0</v>
      </c>
      <c r="AG193" s="94">
        <f t="shared" si="64"/>
        <v>0</v>
      </c>
      <c r="AH193" s="117">
        <v>0</v>
      </c>
      <c r="AI193" s="94">
        <f t="shared" si="50"/>
        <v>0</v>
      </c>
      <c r="AJ193" s="94">
        <f t="shared" si="51"/>
        <v>0</v>
      </c>
      <c r="AK193" s="94">
        <f t="shared" si="52"/>
        <v>0</v>
      </c>
      <c r="AL193" s="93">
        <v>3214286</v>
      </c>
      <c r="AM193" s="93">
        <f t="shared" si="65"/>
        <v>0</v>
      </c>
      <c r="AN193" s="155"/>
      <c r="AO193" s="155"/>
    </row>
    <row r="194" spans="1:41" s="9" customFormat="1" ht="25.15" customHeight="1" x14ac:dyDescent="0.25">
      <c r="A194" s="83">
        <v>188</v>
      </c>
      <c r="B194" s="84">
        <v>2023</v>
      </c>
      <c r="C194" s="85" t="s">
        <v>1245</v>
      </c>
      <c r="D194" s="86" t="s">
        <v>1246</v>
      </c>
      <c r="E194" s="86" t="s">
        <v>758</v>
      </c>
      <c r="F194" s="87">
        <v>45104</v>
      </c>
      <c r="G194" s="87">
        <v>45286</v>
      </c>
      <c r="H194" s="88">
        <f t="shared" si="53"/>
        <v>2.0222222222222221</v>
      </c>
      <c r="I194" s="89" t="s">
        <v>1077</v>
      </c>
      <c r="J194" s="90" t="s">
        <v>751</v>
      </c>
      <c r="K194" s="90" t="s">
        <v>752</v>
      </c>
      <c r="L194" s="90" t="s">
        <v>753</v>
      </c>
      <c r="M194" s="91" t="s">
        <v>1059</v>
      </c>
      <c r="N194" s="92" t="s">
        <v>1247</v>
      </c>
      <c r="O194" s="85">
        <v>2910907279</v>
      </c>
      <c r="P194" s="93">
        <f>+_xlfn.XLOOKUP(O194,'[3]Benef Primera fecha '!$C:$C,'[3]Benef Primera fecha '!$E:$E,0)</f>
        <v>400000000</v>
      </c>
      <c r="Q194" s="93">
        <v>0</v>
      </c>
      <c r="R194" s="94">
        <f t="shared" si="54"/>
        <v>400000000</v>
      </c>
      <c r="S194" s="95">
        <v>0.12000000044799999</v>
      </c>
      <c r="T194" s="94">
        <f t="shared" si="55"/>
        <v>42857143</v>
      </c>
      <c r="U194" s="117">
        <v>400000000</v>
      </c>
      <c r="V194" s="117">
        <v>0</v>
      </c>
      <c r="W194" s="94">
        <f t="shared" si="56"/>
        <v>0</v>
      </c>
      <c r="X194" s="94">
        <f t="shared" si="57"/>
        <v>0</v>
      </c>
      <c r="Y194" s="94">
        <f t="shared" si="58"/>
        <v>0</v>
      </c>
      <c r="Z194" s="93">
        <f>_xlfn.XLOOKUP(O194,'[4]2DO TRIMESTRE'!$C:$C,'[4]2DO TRIMESTRE'!$I:$I,0,0)</f>
        <v>0</v>
      </c>
      <c r="AA194" s="94">
        <f t="shared" si="59"/>
        <v>0</v>
      </c>
      <c r="AB194" s="94">
        <f t="shared" si="60"/>
        <v>0</v>
      </c>
      <c r="AC194" s="94">
        <f t="shared" si="61"/>
        <v>0</v>
      </c>
      <c r="AD194" s="93">
        <v>0</v>
      </c>
      <c r="AE194" s="94">
        <f t="shared" si="62"/>
        <v>0</v>
      </c>
      <c r="AF194" s="94">
        <f t="shared" si="63"/>
        <v>0</v>
      </c>
      <c r="AG194" s="94">
        <f t="shared" si="64"/>
        <v>0</v>
      </c>
      <c r="AH194" s="117">
        <v>0</v>
      </c>
      <c r="AI194" s="94">
        <f t="shared" si="50"/>
        <v>0</v>
      </c>
      <c r="AJ194" s="94">
        <f t="shared" si="51"/>
        <v>0</v>
      </c>
      <c r="AK194" s="94">
        <f t="shared" si="52"/>
        <v>0</v>
      </c>
      <c r="AL194" s="93">
        <v>42857143</v>
      </c>
      <c r="AM194" s="93">
        <f t="shared" si="65"/>
        <v>0</v>
      </c>
      <c r="AN194" s="155"/>
      <c r="AO194" s="155"/>
    </row>
    <row r="195" spans="1:41" s="9" customFormat="1" ht="25.15" customHeight="1" x14ac:dyDescent="0.25">
      <c r="A195" s="83">
        <v>189</v>
      </c>
      <c r="B195" s="84">
        <v>2023</v>
      </c>
      <c r="C195" s="85" t="s">
        <v>922</v>
      </c>
      <c r="D195" s="86" t="s">
        <v>1248</v>
      </c>
      <c r="E195" s="86" t="s">
        <v>758</v>
      </c>
      <c r="F195" s="87">
        <v>45104</v>
      </c>
      <c r="G195" s="87">
        <v>45291</v>
      </c>
      <c r="H195" s="88">
        <f t="shared" si="53"/>
        <v>2.0777777777777779</v>
      </c>
      <c r="I195" s="89" t="s">
        <v>759</v>
      </c>
      <c r="J195" s="90" t="s">
        <v>751</v>
      </c>
      <c r="K195" s="90" t="s">
        <v>752</v>
      </c>
      <c r="L195" s="90" t="s">
        <v>753</v>
      </c>
      <c r="M195" s="91" t="s">
        <v>1059</v>
      </c>
      <c r="N195" s="92" t="s">
        <v>1249</v>
      </c>
      <c r="O195" s="85">
        <v>2910907249</v>
      </c>
      <c r="P195" s="93">
        <f>+_xlfn.XLOOKUP(O195,'[3]Benef Primera fecha '!$C:$C,'[3]Benef Primera fecha '!$E:$E,0)</f>
        <v>65500000</v>
      </c>
      <c r="Q195" s="93">
        <v>0</v>
      </c>
      <c r="R195" s="94">
        <f t="shared" si="54"/>
        <v>65500000</v>
      </c>
      <c r="S195" s="95">
        <v>0.11999999726412214</v>
      </c>
      <c r="T195" s="94">
        <f t="shared" si="55"/>
        <v>7017857</v>
      </c>
      <c r="U195" s="117">
        <v>65000000</v>
      </c>
      <c r="V195" s="117">
        <v>0</v>
      </c>
      <c r="W195" s="94">
        <f t="shared" si="56"/>
        <v>0</v>
      </c>
      <c r="X195" s="94">
        <f t="shared" si="57"/>
        <v>0</v>
      </c>
      <c r="Y195" s="94">
        <f t="shared" si="58"/>
        <v>0</v>
      </c>
      <c r="Z195" s="93">
        <f>_xlfn.XLOOKUP(O195,'[4]2DO TRIMESTRE'!$C:$C,'[4]2DO TRIMESTRE'!$I:$I,0,0)</f>
        <v>0</v>
      </c>
      <c r="AA195" s="94">
        <f t="shared" si="59"/>
        <v>0</v>
      </c>
      <c r="AB195" s="94">
        <f t="shared" si="60"/>
        <v>0</v>
      </c>
      <c r="AC195" s="94">
        <f t="shared" si="61"/>
        <v>0</v>
      </c>
      <c r="AD195" s="93">
        <v>0</v>
      </c>
      <c r="AE195" s="94">
        <f t="shared" si="62"/>
        <v>0</v>
      </c>
      <c r="AF195" s="94">
        <f t="shared" si="63"/>
        <v>0</v>
      </c>
      <c r="AG195" s="94">
        <f t="shared" si="64"/>
        <v>0</v>
      </c>
      <c r="AH195" s="117">
        <v>0</v>
      </c>
      <c r="AI195" s="94">
        <f t="shared" ref="AI195:AI258" si="69">+AH195/(1+$S195)*$S195</f>
        <v>0</v>
      </c>
      <c r="AJ195" s="94">
        <f t="shared" ref="AJ195:AJ258" si="70">+AI195*40%</f>
        <v>0</v>
      </c>
      <c r="AK195" s="94">
        <f t="shared" ref="AK195:AK258" si="71">+AI195*60%</f>
        <v>0</v>
      </c>
      <c r="AL195" s="93">
        <v>6964286</v>
      </c>
      <c r="AM195" s="93">
        <f t="shared" si="65"/>
        <v>0</v>
      </c>
      <c r="AN195" s="155"/>
      <c r="AO195" s="155"/>
    </row>
    <row r="196" spans="1:41" s="9" customFormat="1" ht="25.15" customHeight="1" x14ac:dyDescent="0.25">
      <c r="A196" s="83">
        <v>190</v>
      </c>
      <c r="B196" s="84">
        <v>2023</v>
      </c>
      <c r="C196" s="85" t="s">
        <v>1250</v>
      </c>
      <c r="D196" s="86" t="s">
        <v>1239</v>
      </c>
      <c r="E196" s="86" t="s">
        <v>758</v>
      </c>
      <c r="F196" s="87">
        <v>45104</v>
      </c>
      <c r="G196" s="87">
        <v>45276</v>
      </c>
      <c r="H196" s="88">
        <f t="shared" si="53"/>
        <v>1.9111111111111112</v>
      </c>
      <c r="I196" s="89" t="s">
        <v>759</v>
      </c>
      <c r="J196" s="90" t="s">
        <v>751</v>
      </c>
      <c r="K196" s="90" t="s">
        <v>752</v>
      </c>
      <c r="L196" s="90" t="s">
        <v>753</v>
      </c>
      <c r="M196" s="91" t="s">
        <v>1059</v>
      </c>
      <c r="N196" s="92" t="s">
        <v>1251</v>
      </c>
      <c r="O196" s="85">
        <v>2910907269</v>
      </c>
      <c r="P196" s="93">
        <v>3000000</v>
      </c>
      <c r="Q196" s="93">
        <v>0</v>
      </c>
      <c r="R196" s="94">
        <f t="shared" si="54"/>
        <v>3000000</v>
      </c>
      <c r="S196" s="95">
        <v>0.12</v>
      </c>
      <c r="T196" s="94">
        <f t="shared" si="55"/>
        <v>321428.57142857136</v>
      </c>
      <c r="U196" s="117">
        <v>0</v>
      </c>
      <c r="V196" s="117">
        <v>0</v>
      </c>
      <c r="W196" s="94">
        <f t="shared" si="56"/>
        <v>0</v>
      </c>
      <c r="X196" s="94">
        <f t="shared" si="57"/>
        <v>0</v>
      </c>
      <c r="Y196" s="94">
        <f t="shared" si="58"/>
        <v>0</v>
      </c>
      <c r="Z196" s="93">
        <f>_xlfn.XLOOKUP(O196,'[4]2DO TRIMESTRE'!$C:$C,'[4]2DO TRIMESTRE'!$I:$I,0,0)</f>
        <v>0</v>
      </c>
      <c r="AA196" s="94">
        <f t="shared" si="59"/>
        <v>0</v>
      </c>
      <c r="AB196" s="94">
        <f t="shared" si="60"/>
        <v>0</v>
      </c>
      <c r="AC196" s="94">
        <f t="shared" si="61"/>
        <v>0</v>
      </c>
      <c r="AD196" s="93">
        <v>0</v>
      </c>
      <c r="AE196" s="94">
        <f t="shared" si="62"/>
        <v>0</v>
      </c>
      <c r="AF196" s="94">
        <f t="shared" si="63"/>
        <v>0</v>
      </c>
      <c r="AG196" s="94">
        <f t="shared" si="64"/>
        <v>0</v>
      </c>
      <c r="AH196" s="117">
        <v>0</v>
      </c>
      <c r="AI196" s="94">
        <f t="shared" si="69"/>
        <v>0</v>
      </c>
      <c r="AJ196" s="94">
        <f t="shared" si="70"/>
        <v>0</v>
      </c>
      <c r="AK196" s="94">
        <f t="shared" si="71"/>
        <v>0</v>
      </c>
      <c r="AL196" s="93">
        <v>0</v>
      </c>
      <c r="AM196" s="93">
        <f t="shared" si="65"/>
        <v>0</v>
      </c>
      <c r="AN196" s="155"/>
      <c r="AO196" s="155"/>
    </row>
    <row r="197" spans="1:41" s="9" customFormat="1" ht="25.15" customHeight="1" x14ac:dyDescent="0.25">
      <c r="A197" s="83">
        <v>191</v>
      </c>
      <c r="B197" s="84">
        <v>2023</v>
      </c>
      <c r="C197" s="85" t="s">
        <v>1252</v>
      </c>
      <c r="D197" s="86" t="s">
        <v>1253</v>
      </c>
      <c r="E197" s="86" t="s">
        <v>758</v>
      </c>
      <c r="F197" s="87">
        <v>45104</v>
      </c>
      <c r="G197" s="87">
        <v>45276</v>
      </c>
      <c r="H197" s="88">
        <f t="shared" si="53"/>
        <v>1.9111111111111112</v>
      </c>
      <c r="I197" s="89" t="s">
        <v>759</v>
      </c>
      <c r="J197" s="90" t="s">
        <v>751</v>
      </c>
      <c r="K197" s="90" t="s">
        <v>752</v>
      </c>
      <c r="L197" s="90" t="s">
        <v>753</v>
      </c>
      <c r="M197" s="91" t="s">
        <v>1059</v>
      </c>
      <c r="N197" s="92" t="s">
        <v>1254</v>
      </c>
      <c r="O197" s="85">
        <v>2910907277</v>
      </c>
      <c r="P197" s="93">
        <v>3000000</v>
      </c>
      <c r="Q197" s="93">
        <v>0</v>
      </c>
      <c r="R197" s="94">
        <f t="shared" si="54"/>
        <v>3000000</v>
      </c>
      <c r="S197" s="95">
        <v>0.12000017920002867</v>
      </c>
      <c r="T197" s="94">
        <f t="shared" si="55"/>
        <v>321429</v>
      </c>
      <c r="U197" s="117">
        <v>2692000</v>
      </c>
      <c r="V197" s="117">
        <v>0</v>
      </c>
      <c r="W197" s="94">
        <f t="shared" si="56"/>
        <v>0</v>
      </c>
      <c r="X197" s="94">
        <f t="shared" si="57"/>
        <v>0</v>
      </c>
      <c r="Y197" s="94">
        <f t="shared" si="58"/>
        <v>0</v>
      </c>
      <c r="Z197" s="93">
        <f>_xlfn.XLOOKUP(O197,'[4]2DO TRIMESTRE'!$C:$C,'[4]2DO TRIMESTRE'!$I:$I,0,0)</f>
        <v>0</v>
      </c>
      <c r="AA197" s="94">
        <f t="shared" si="59"/>
        <v>0</v>
      </c>
      <c r="AB197" s="94">
        <f t="shared" si="60"/>
        <v>0</v>
      </c>
      <c r="AC197" s="94">
        <f t="shared" si="61"/>
        <v>0</v>
      </c>
      <c r="AD197" s="93">
        <v>0</v>
      </c>
      <c r="AE197" s="94">
        <f t="shared" si="62"/>
        <v>0</v>
      </c>
      <c r="AF197" s="94">
        <f t="shared" si="63"/>
        <v>0</v>
      </c>
      <c r="AG197" s="94">
        <f t="shared" si="64"/>
        <v>0</v>
      </c>
      <c r="AH197" s="117">
        <v>0</v>
      </c>
      <c r="AI197" s="94">
        <f t="shared" si="69"/>
        <v>0</v>
      </c>
      <c r="AJ197" s="94">
        <f t="shared" si="70"/>
        <v>0</v>
      </c>
      <c r="AK197" s="94">
        <f t="shared" si="71"/>
        <v>0</v>
      </c>
      <c r="AL197" s="93">
        <v>265429</v>
      </c>
      <c r="AM197" s="93">
        <f t="shared" si="65"/>
        <v>0</v>
      </c>
      <c r="AN197" s="155"/>
      <c r="AO197" s="155"/>
    </row>
    <row r="198" spans="1:41" s="9" customFormat="1" ht="25.15" customHeight="1" x14ac:dyDescent="0.25">
      <c r="A198" s="83">
        <v>192</v>
      </c>
      <c r="B198" s="84">
        <v>2023</v>
      </c>
      <c r="C198" s="85" t="s">
        <v>1255</v>
      </c>
      <c r="D198" s="86" t="s">
        <v>1256</v>
      </c>
      <c r="E198" s="86" t="s">
        <v>758</v>
      </c>
      <c r="F198" s="87">
        <v>45104</v>
      </c>
      <c r="G198" s="87">
        <v>45276</v>
      </c>
      <c r="H198" s="88">
        <f t="shared" si="53"/>
        <v>1.9111111111111112</v>
      </c>
      <c r="I198" s="89" t="s">
        <v>759</v>
      </c>
      <c r="J198" s="90" t="s">
        <v>751</v>
      </c>
      <c r="K198" s="90" t="s">
        <v>752</v>
      </c>
      <c r="L198" s="90" t="s">
        <v>753</v>
      </c>
      <c r="M198" s="91" t="s">
        <v>1059</v>
      </c>
      <c r="N198" s="92" t="s">
        <v>1257</v>
      </c>
      <c r="O198" s="85">
        <v>2910907273</v>
      </c>
      <c r="P198" s="93">
        <v>3000000</v>
      </c>
      <c r="Q198" s="93">
        <v>0</v>
      </c>
      <c r="R198" s="94">
        <f t="shared" si="54"/>
        <v>3000000</v>
      </c>
      <c r="S198" s="95">
        <v>0.12</v>
      </c>
      <c r="T198" s="94">
        <f t="shared" si="55"/>
        <v>321428.57142857136</v>
      </c>
      <c r="U198" s="117">
        <v>3000000</v>
      </c>
      <c r="V198" s="117">
        <v>0</v>
      </c>
      <c r="W198" s="94">
        <f t="shared" si="56"/>
        <v>0</v>
      </c>
      <c r="X198" s="94">
        <f t="shared" si="57"/>
        <v>0</v>
      </c>
      <c r="Y198" s="94">
        <f t="shared" si="58"/>
        <v>0</v>
      </c>
      <c r="Z198" s="93">
        <f>_xlfn.XLOOKUP(O198,'[4]2DO TRIMESTRE'!$C:$C,'[4]2DO TRIMESTRE'!$I:$I,0,0)</f>
        <v>0</v>
      </c>
      <c r="AA198" s="94">
        <f t="shared" si="59"/>
        <v>0</v>
      </c>
      <c r="AB198" s="94">
        <f t="shared" si="60"/>
        <v>0</v>
      </c>
      <c r="AC198" s="94">
        <f t="shared" si="61"/>
        <v>0</v>
      </c>
      <c r="AD198" s="93">
        <v>0</v>
      </c>
      <c r="AE198" s="94">
        <f t="shared" si="62"/>
        <v>0</v>
      </c>
      <c r="AF198" s="94">
        <f t="shared" si="63"/>
        <v>0</v>
      </c>
      <c r="AG198" s="94">
        <f t="shared" si="64"/>
        <v>0</v>
      </c>
      <c r="AH198" s="117">
        <v>0</v>
      </c>
      <c r="AI198" s="94">
        <f t="shared" si="69"/>
        <v>0</v>
      </c>
      <c r="AJ198" s="94">
        <f t="shared" si="70"/>
        <v>0</v>
      </c>
      <c r="AK198" s="94">
        <f t="shared" si="71"/>
        <v>0</v>
      </c>
      <c r="AL198" s="93">
        <v>321429</v>
      </c>
      <c r="AM198" s="93">
        <f t="shared" si="65"/>
        <v>0</v>
      </c>
      <c r="AN198" s="155"/>
      <c r="AO198" s="155"/>
    </row>
    <row r="199" spans="1:41" s="9" customFormat="1" ht="25.15" customHeight="1" x14ac:dyDescent="0.25">
      <c r="A199" s="83">
        <v>193</v>
      </c>
      <c r="B199" s="84">
        <v>2023</v>
      </c>
      <c r="C199" s="85" t="s">
        <v>1258</v>
      </c>
      <c r="D199" s="86" t="s">
        <v>1258</v>
      </c>
      <c r="E199" s="86" t="s">
        <v>758</v>
      </c>
      <c r="F199" s="87">
        <v>45104</v>
      </c>
      <c r="G199" s="87">
        <v>45277</v>
      </c>
      <c r="H199" s="88">
        <f t="shared" si="53"/>
        <v>1.9222222222222223</v>
      </c>
      <c r="I199" s="89" t="s">
        <v>759</v>
      </c>
      <c r="J199" s="90" t="s">
        <v>751</v>
      </c>
      <c r="K199" s="90" t="s">
        <v>752</v>
      </c>
      <c r="L199" s="90" t="s">
        <v>753</v>
      </c>
      <c r="M199" s="91" t="s">
        <v>1059</v>
      </c>
      <c r="N199" s="92" t="s">
        <v>1259</v>
      </c>
      <c r="O199" s="85">
        <v>2910907258</v>
      </c>
      <c r="P199" s="93">
        <f>+_xlfn.XLOOKUP(O199,'[3]Benef Primera fecha '!$C:$C,'[3]Benef Primera fecha '!$E:$E,0)</f>
        <v>6000000</v>
      </c>
      <c r="Q199" s="93">
        <v>0</v>
      </c>
      <c r="R199" s="94">
        <f t="shared" si="54"/>
        <v>6000000</v>
      </c>
      <c r="S199" s="95">
        <v>0.11999997013333413</v>
      </c>
      <c r="T199" s="94">
        <f t="shared" si="55"/>
        <v>642857</v>
      </c>
      <c r="U199" s="117">
        <v>5460000</v>
      </c>
      <c r="V199" s="117">
        <v>0</v>
      </c>
      <c r="W199" s="94">
        <f t="shared" si="56"/>
        <v>0</v>
      </c>
      <c r="X199" s="94">
        <f t="shared" si="57"/>
        <v>0</v>
      </c>
      <c r="Y199" s="94">
        <f t="shared" si="58"/>
        <v>0</v>
      </c>
      <c r="Z199" s="93">
        <f>_xlfn.XLOOKUP(O199,'[4]2DO TRIMESTRE'!$C:$C,'[4]2DO TRIMESTRE'!$I:$I,0,0)</f>
        <v>0</v>
      </c>
      <c r="AA199" s="94">
        <f t="shared" si="59"/>
        <v>0</v>
      </c>
      <c r="AB199" s="94">
        <f t="shared" si="60"/>
        <v>0</v>
      </c>
      <c r="AC199" s="94">
        <f t="shared" si="61"/>
        <v>0</v>
      </c>
      <c r="AD199" s="93">
        <v>0</v>
      </c>
      <c r="AE199" s="94">
        <f t="shared" si="62"/>
        <v>0</v>
      </c>
      <c r="AF199" s="94">
        <f t="shared" si="63"/>
        <v>0</v>
      </c>
      <c r="AG199" s="94">
        <f t="shared" si="64"/>
        <v>0</v>
      </c>
      <c r="AH199" s="117">
        <v>0</v>
      </c>
      <c r="AI199" s="94">
        <f t="shared" si="69"/>
        <v>0</v>
      </c>
      <c r="AJ199" s="94">
        <f t="shared" si="70"/>
        <v>0</v>
      </c>
      <c r="AK199" s="94">
        <f t="shared" si="71"/>
        <v>0</v>
      </c>
      <c r="AL199" s="93">
        <v>585000</v>
      </c>
      <c r="AM199" s="93">
        <f t="shared" si="65"/>
        <v>0</v>
      </c>
      <c r="AN199" s="155"/>
      <c r="AO199" s="155"/>
    </row>
    <row r="200" spans="1:41" s="9" customFormat="1" ht="25.15" customHeight="1" x14ac:dyDescent="0.25">
      <c r="A200" s="83">
        <v>194</v>
      </c>
      <c r="B200" s="84">
        <v>2023</v>
      </c>
      <c r="C200" s="85" t="s">
        <v>1260</v>
      </c>
      <c r="D200" s="86" t="s">
        <v>1260</v>
      </c>
      <c r="E200" s="86" t="s">
        <v>758</v>
      </c>
      <c r="F200" s="87">
        <v>45104</v>
      </c>
      <c r="G200" s="87">
        <v>45276</v>
      </c>
      <c r="H200" s="88">
        <f t="shared" ref="H200:H263" si="72">+(G200-F200)/90</f>
        <v>1.9111111111111112</v>
      </c>
      <c r="I200" s="89" t="s">
        <v>759</v>
      </c>
      <c r="J200" s="90" t="s">
        <v>751</v>
      </c>
      <c r="K200" s="90" t="s">
        <v>752</v>
      </c>
      <c r="L200" s="90" t="s">
        <v>753</v>
      </c>
      <c r="M200" s="91" t="s">
        <v>1059</v>
      </c>
      <c r="N200" s="92" t="s">
        <v>1261</v>
      </c>
      <c r="O200" s="85">
        <v>2910907275</v>
      </c>
      <c r="P200" s="93">
        <f>+_xlfn.XLOOKUP(O200,'[3]Benef Primera fecha '!$C:$C,'[3]Benef Primera fecha '!$E:$E,0)</f>
        <v>3000000</v>
      </c>
      <c r="Q200" s="93">
        <v>0</v>
      </c>
      <c r="R200" s="94">
        <f t="shared" ref="R200:R263" si="73">+(P200+Q200)</f>
        <v>3000000</v>
      </c>
      <c r="S200" s="95">
        <v>0.12000017920002867</v>
      </c>
      <c r="T200" s="94">
        <f t="shared" ref="T200:T263" si="74">(R200/(1+S200))*S200</f>
        <v>321429</v>
      </c>
      <c r="U200" s="117">
        <v>1500000</v>
      </c>
      <c r="V200" s="117">
        <v>0</v>
      </c>
      <c r="W200" s="94">
        <f t="shared" ref="W200:W263" si="75">+V200/(1+$S200)*$S200</f>
        <v>0</v>
      </c>
      <c r="X200" s="94">
        <f t="shared" ref="X200:X263" si="76">+W200*40%</f>
        <v>0</v>
      </c>
      <c r="Y200" s="94">
        <f t="shared" ref="Y200:Y263" si="77">+W200*60%</f>
        <v>0</v>
      </c>
      <c r="Z200" s="93">
        <f>_xlfn.XLOOKUP(O200,'[4]2DO TRIMESTRE'!$C:$C,'[4]2DO TRIMESTRE'!$I:$I,0,0)</f>
        <v>0</v>
      </c>
      <c r="AA200" s="94">
        <f t="shared" ref="AA200:AA263" si="78">+Z200/(1+$S200)*$S200</f>
        <v>0</v>
      </c>
      <c r="AB200" s="94">
        <f t="shared" ref="AB200:AB263" si="79">+AA200*40%</f>
        <v>0</v>
      </c>
      <c r="AC200" s="94">
        <f t="shared" ref="AC200:AC263" si="80">+AA200*60%</f>
        <v>0</v>
      </c>
      <c r="AD200" s="93">
        <v>0</v>
      </c>
      <c r="AE200" s="94">
        <f t="shared" ref="AE200:AE263" si="81">+AD200/(1+$S200)*$S200</f>
        <v>0</v>
      </c>
      <c r="AF200" s="94">
        <f t="shared" ref="AF200:AF263" si="82">+AE200*40%</f>
        <v>0</v>
      </c>
      <c r="AG200" s="94">
        <f t="shared" ref="AG200:AG263" si="83">+AE200*60%</f>
        <v>0</v>
      </c>
      <c r="AH200" s="117">
        <v>0</v>
      </c>
      <c r="AI200" s="94">
        <f t="shared" si="69"/>
        <v>0</v>
      </c>
      <c r="AJ200" s="94">
        <f t="shared" si="70"/>
        <v>0</v>
      </c>
      <c r="AK200" s="94">
        <f t="shared" si="71"/>
        <v>0</v>
      </c>
      <c r="AL200" s="93">
        <v>160715</v>
      </c>
      <c r="AM200" s="93">
        <f t="shared" ref="AM200:AM263" si="84">W200+AA200+AE200+AI200</f>
        <v>0</v>
      </c>
      <c r="AN200" s="155"/>
      <c r="AO200" s="155"/>
    </row>
    <row r="201" spans="1:41" s="9" customFormat="1" ht="25.15" customHeight="1" x14ac:dyDescent="0.25">
      <c r="A201" s="83">
        <v>195</v>
      </c>
      <c r="B201" s="84">
        <v>2023</v>
      </c>
      <c r="C201" s="85" t="s">
        <v>1262</v>
      </c>
      <c r="D201" s="86" t="s">
        <v>1263</v>
      </c>
      <c r="E201" s="86" t="s">
        <v>758</v>
      </c>
      <c r="F201" s="87">
        <v>45104</v>
      </c>
      <c r="G201" s="87">
        <v>45276</v>
      </c>
      <c r="H201" s="88">
        <f t="shared" si="72"/>
        <v>1.9111111111111112</v>
      </c>
      <c r="I201" s="89" t="s">
        <v>759</v>
      </c>
      <c r="J201" s="90" t="s">
        <v>751</v>
      </c>
      <c r="K201" s="90" t="s">
        <v>752</v>
      </c>
      <c r="L201" s="90" t="s">
        <v>753</v>
      </c>
      <c r="M201" s="91" t="s">
        <v>1059</v>
      </c>
      <c r="N201" s="92" t="s">
        <v>1264</v>
      </c>
      <c r="O201" s="85">
        <v>2910907260</v>
      </c>
      <c r="P201" s="93">
        <v>3500000</v>
      </c>
      <c r="Q201" s="93">
        <v>0</v>
      </c>
      <c r="R201" s="94">
        <f t="shared" si="73"/>
        <v>3500000</v>
      </c>
      <c r="S201" s="95">
        <v>0.12</v>
      </c>
      <c r="T201" s="94">
        <f t="shared" si="74"/>
        <v>374999.99999999994</v>
      </c>
      <c r="U201" s="117">
        <v>0</v>
      </c>
      <c r="V201" s="117">
        <v>0</v>
      </c>
      <c r="W201" s="94">
        <f t="shared" si="75"/>
        <v>0</v>
      </c>
      <c r="X201" s="94">
        <f t="shared" si="76"/>
        <v>0</v>
      </c>
      <c r="Y201" s="94">
        <f t="shared" si="77"/>
        <v>0</v>
      </c>
      <c r="Z201" s="93">
        <f>_xlfn.XLOOKUP(O201,'[4]2DO TRIMESTRE'!$C:$C,'[4]2DO TRIMESTRE'!$I:$I,0,0)</f>
        <v>0</v>
      </c>
      <c r="AA201" s="94">
        <f t="shared" si="78"/>
        <v>0</v>
      </c>
      <c r="AB201" s="94">
        <f t="shared" si="79"/>
        <v>0</v>
      </c>
      <c r="AC201" s="94">
        <f t="shared" si="80"/>
        <v>0</v>
      </c>
      <c r="AD201" s="93">
        <v>0</v>
      </c>
      <c r="AE201" s="94">
        <f t="shared" si="81"/>
        <v>0</v>
      </c>
      <c r="AF201" s="94">
        <f t="shared" si="82"/>
        <v>0</v>
      </c>
      <c r="AG201" s="94">
        <f t="shared" si="83"/>
        <v>0</v>
      </c>
      <c r="AH201" s="117">
        <v>0</v>
      </c>
      <c r="AI201" s="94">
        <f t="shared" si="69"/>
        <v>0</v>
      </c>
      <c r="AJ201" s="94">
        <f t="shared" si="70"/>
        <v>0</v>
      </c>
      <c r="AK201" s="94">
        <f t="shared" si="71"/>
        <v>0</v>
      </c>
      <c r="AL201" s="93">
        <v>0</v>
      </c>
      <c r="AM201" s="93">
        <f t="shared" si="84"/>
        <v>0</v>
      </c>
      <c r="AN201" s="155"/>
      <c r="AO201" s="155"/>
    </row>
    <row r="202" spans="1:41" s="9" customFormat="1" ht="25.15" customHeight="1" x14ac:dyDescent="0.25">
      <c r="A202" s="83">
        <v>196</v>
      </c>
      <c r="B202" s="84">
        <v>2023</v>
      </c>
      <c r="C202" s="85" t="s">
        <v>1171</v>
      </c>
      <c r="D202" s="86" t="s">
        <v>1265</v>
      </c>
      <c r="E202" s="86" t="s">
        <v>777</v>
      </c>
      <c r="F202" s="87">
        <v>45104</v>
      </c>
      <c r="G202" s="87">
        <v>45432</v>
      </c>
      <c r="H202" s="88">
        <f t="shared" si="72"/>
        <v>3.6444444444444444</v>
      </c>
      <c r="I202" s="89" t="s">
        <v>759</v>
      </c>
      <c r="J202" s="90" t="s">
        <v>751</v>
      </c>
      <c r="K202" s="90" t="s">
        <v>752</v>
      </c>
      <c r="L202" s="90" t="s">
        <v>753</v>
      </c>
      <c r="M202" s="91" t="s">
        <v>1059</v>
      </c>
      <c r="N202" s="92" t="s">
        <v>1266</v>
      </c>
      <c r="O202" s="85">
        <v>2453018355</v>
      </c>
      <c r="P202" s="93">
        <f>+_xlfn.XLOOKUP(O202,'[3]Benef Primera fecha '!$C:$C,'[3]Benef Primera fecha '!$E:$E,0)</f>
        <v>1960924800</v>
      </c>
      <c r="Q202" s="93">
        <v>0</v>
      </c>
      <c r="R202" s="94">
        <f t="shared" si="73"/>
        <v>1960924800</v>
      </c>
      <c r="S202" s="95">
        <v>0.12000000018277091</v>
      </c>
      <c r="T202" s="94">
        <f t="shared" si="74"/>
        <v>210099086.00000003</v>
      </c>
      <c r="U202" s="117">
        <v>1226506132</v>
      </c>
      <c r="V202" s="117">
        <v>0</v>
      </c>
      <c r="W202" s="94">
        <f t="shared" si="75"/>
        <v>0</v>
      </c>
      <c r="X202" s="94">
        <f t="shared" si="76"/>
        <v>0</v>
      </c>
      <c r="Y202" s="94">
        <f t="shared" si="77"/>
        <v>0</v>
      </c>
      <c r="Z202" s="93">
        <f>_xlfn.XLOOKUP(O202,'[4]2DO TRIMESTRE'!$C:$C,'[4]2DO TRIMESTRE'!$I:$I,0,0)</f>
        <v>0</v>
      </c>
      <c r="AA202" s="94">
        <f t="shared" si="78"/>
        <v>0</v>
      </c>
      <c r="AB202" s="94">
        <f t="shared" si="79"/>
        <v>0</v>
      </c>
      <c r="AC202" s="94">
        <f t="shared" si="80"/>
        <v>0</v>
      </c>
      <c r="AD202" s="93">
        <v>0</v>
      </c>
      <c r="AE202" s="94">
        <f t="shared" si="81"/>
        <v>0</v>
      </c>
      <c r="AF202" s="94">
        <f t="shared" si="82"/>
        <v>0</v>
      </c>
      <c r="AG202" s="94">
        <f t="shared" si="83"/>
        <v>0</v>
      </c>
      <c r="AH202" s="117">
        <v>0</v>
      </c>
      <c r="AI202" s="94">
        <f t="shared" si="69"/>
        <v>0</v>
      </c>
      <c r="AJ202" s="94">
        <f t="shared" si="70"/>
        <v>0</v>
      </c>
      <c r="AK202" s="94">
        <f t="shared" si="71"/>
        <v>0</v>
      </c>
      <c r="AL202" s="93">
        <v>131411371.46442096</v>
      </c>
      <c r="AM202" s="93">
        <f t="shared" si="84"/>
        <v>0</v>
      </c>
      <c r="AN202" s="155"/>
      <c r="AO202" s="155"/>
    </row>
    <row r="203" spans="1:41" s="9" customFormat="1" ht="25.15" customHeight="1" x14ac:dyDescent="0.25">
      <c r="A203" s="83">
        <v>197</v>
      </c>
      <c r="B203" s="84">
        <v>2023</v>
      </c>
      <c r="C203" s="85" t="s">
        <v>1000</v>
      </c>
      <c r="D203" s="86" t="s">
        <v>1267</v>
      </c>
      <c r="E203" s="86" t="s">
        <v>758</v>
      </c>
      <c r="F203" s="87">
        <v>45105</v>
      </c>
      <c r="G203" s="87">
        <v>45266</v>
      </c>
      <c r="H203" s="88">
        <f t="shared" si="72"/>
        <v>1.788888888888889</v>
      </c>
      <c r="I203" s="89" t="s">
        <v>750</v>
      </c>
      <c r="J203" s="90" t="s">
        <v>751</v>
      </c>
      <c r="K203" s="90" t="s">
        <v>752</v>
      </c>
      <c r="L203" s="90" t="s">
        <v>753</v>
      </c>
      <c r="M203" s="91" t="s">
        <v>1059</v>
      </c>
      <c r="N203" s="92" t="s">
        <v>1268</v>
      </c>
      <c r="O203" s="85">
        <v>2910907284</v>
      </c>
      <c r="P203" s="93">
        <v>70000000</v>
      </c>
      <c r="Q203" s="93">
        <v>0</v>
      </c>
      <c r="R203" s="94">
        <f t="shared" si="73"/>
        <v>70000000</v>
      </c>
      <c r="S203" s="95">
        <v>0.12</v>
      </c>
      <c r="T203" s="94">
        <f t="shared" si="74"/>
        <v>7499999.9999999991</v>
      </c>
      <c r="U203" s="117">
        <v>0</v>
      </c>
      <c r="V203" s="117">
        <v>0</v>
      </c>
      <c r="W203" s="94">
        <f t="shared" si="75"/>
        <v>0</v>
      </c>
      <c r="X203" s="94">
        <f t="shared" si="76"/>
        <v>0</v>
      </c>
      <c r="Y203" s="94">
        <f t="shared" si="77"/>
        <v>0</v>
      </c>
      <c r="Z203" s="93">
        <f>_xlfn.XLOOKUP(O203,'[4]2DO TRIMESTRE'!$C:$C,'[4]2DO TRIMESTRE'!$I:$I,0,0)</f>
        <v>0</v>
      </c>
      <c r="AA203" s="94">
        <f t="shared" si="78"/>
        <v>0</v>
      </c>
      <c r="AB203" s="94">
        <f t="shared" si="79"/>
        <v>0</v>
      </c>
      <c r="AC203" s="94">
        <f t="shared" si="80"/>
        <v>0</v>
      </c>
      <c r="AD203" s="93">
        <v>0</v>
      </c>
      <c r="AE203" s="94">
        <f t="shared" si="81"/>
        <v>0</v>
      </c>
      <c r="AF203" s="94">
        <f t="shared" si="82"/>
        <v>0</v>
      </c>
      <c r="AG203" s="94">
        <f t="shared" si="83"/>
        <v>0</v>
      </c>
      <c r="AH203" s="117">
        <v>0</v>
      </c>
      <c r="AI203" s="94">
        <f t="shared" si="69"/>
        <v>0</v>
      </c>
      <c r="AJ203" s="94">
        <f t="shared" si="70"/>
        <v>0</v>
      </c>
      <c r="AK203" s="94">
        <f t="shared" si="71"/>
        <v>0</v>
      </c>
      <c r="AL203" s="93">
        <v>0</v>
      </c>
      <c r="AM203" s="93">
        <f t="shared" si="84"/>
        <v>0</v>
      </c>
      <c r="AN203" s="155"/>
      <c r="AO203" s="155"/>
    </row>
    <row r="204" spans="1:41" s="9" customFormat="1" ht="25.15" customHeight="1" x14ac:dyDescent="0.25">
      <c r="A204" s="83">
        <v>198</v>
      </c>
      <c r="B204" s="84">
        <v>2023</v>
      </c>
      <c r="C204" s="85" t="s">
        <v>1269</v>
      </c>
      <c r="D204" s="86" t="s">
        <v>1269</v>
      </c>
      <c r="E204" s="86" t="s">
        <v>758</v>
      </c>
      <c r="F204" s="87">
        <v>45105</v>
      </c>
      <c r="G204" s="87">
        <v>45276</v>
      </c>
      <c r="H204" s="88">
        <f t="shared" si="72"/>
        <v>1.9</v>
      </c>
      <c r="I204" s="89" t="s">
        <v>763</v>
      </c>
      <c r="J204" s="90" t="s">
        <v>751</v>
      </c>
      <c r="K204" s="90" t="s">
        <v>752</v>
      </c>
      <c r="L204" s="90" t="s">
        <v>753</v>
      </c>
      <c r="M204" s="91" t="s">
        <v>1059</v>
      </c>
      <c r="N204" s="92" t="s">
        <v>1270</v>
      </c>
      <c r="O204" s="85">
        <v>2910907261</v>
      </c>
      <c r="P204" s="93">
        <f>+_xlfn.XLOOKUP(O204,'[3]Benef Primera fecha '!$C:$C,'[3]Benef Primera fecha '!$E:$E,0)</f>
        <v>10000000</v>
      </c>
      <c r="Q204" s="93">
        <v>0</v>
      </c>
      <c r="R204" s="94">
        <f t="shared" si="73"/>
        <v>10000000</v>
      </c>
      <c r="S204" s="95">
        <v>0.12000005376000258</v>
      </c>
      <c r="T204" s="94">
        <f t="shared" si="74"/>
        <v>1071429</v>
      </c>
      <c r="U204" s="117">
        <v>10000000</v>
      </c>
      <c r="V204" s="117">
        <v>0</v>
      </c>
      <c r="W204" s="94">
        <f t="shared" si="75"/>
        <v>0</v>
      </c>
      <c r="X204" s="94">
        <f t="shared" si="76"/>
        <v>0</v>
      </c>
      <c r="Y204" s="94">
        <f t="shared" si="77"/>
        <v>0</v>
      </c>
      <c r="Z204" s="93">
        <f>_xlfn.XLOOKUP(O204,'[4]2DO TRIMESTRE'!$C:$C,'[4]2DO TRIMESTRE'!$I:$I,0,0)</f>
        <v>0</v>
      </c>
      <c r="AA204" s="94">
        <f t="shared" si="78"/>
        <v>0</v>
      </c>
      <c r="AB204" s="94">
        <f t="shared" si="79"/>
        <v>0</v>
      </c>
      <c r="AC204" s="94">
        <f t="shared" si="80"/>
        <v>0</v>
      </c>
      <c r="AD204" s="93">
        <v>0</v>
      </c>
      <c r="AE204" s="94">
        <f t="shared" si="81"/>
        <v>0</v>
      </c>
      <c r="AF204" s="94">
        <f t="shared" si="82"/>
        <v>0</v>
      </c>
      <c r="AG204" s="94">
        <f t="shared" si="83"/>
        <v>0</v>
      </c>
      <c r="AH204" s="117">
        <v>0</v>
      </c>
      <c r="AI204" s="94">
        <f t="shared" si="69"/>
        <v>0</v>
      </c>
      <c r="AJ204" s="94">
        <f t="shared" si="70"/>
        <v>0</v>
      </c>
      <c r="AK204" s="94">
        <f t="shared" si="71"/>
        <v>0</v>
      </c>
      <c r="AL204" s="93">
        <v>1071429</v>
      </c>
      <c r="AM204" s="93">
        <f t="shared" si="84"/>
        <v>0</v>
      </c>
      <c r="AN204" s="155"/>
      <c r="AO204" s="155"/>
    </row>
    <row r="205" spans="1:41" s="9" customFormat="1" ht="25.15" customHeight="1" x14ac:dyDescent="0.25">
      <c r="A205" s="83">
        <v>199</v>
      </c>
      <c r="B205" s="84">
        <v>2023</v>
      </c>
      <c r="C205" s="85" t="s">
        <v>1108</v>
      </c>
      <c r="D205" s="86" t="s">
        <v>1271</v>
      </c>
      <c r="E205" s="86" t="s">
        <v>758</v>
      </c>
      <c r="F205" s="87">
        <v>45105</v>
      </c>
      <c r="G205" s="87">
        <v>45257</v>
      </c>
      <c r="H205" s="88">
        <f t="shared" si="72"/>
        <v>1.6888888888888889</v>
      </c>
      <c r="I205" s="89" t="s">
        <v>759</v>
      </c>
      <c r="J205" s="90" t="s">
        <v>751</v>
      </c>
      <c r="K205" s="90"/>
      <c r="L205" s="90"/>
      <c r="M205" s="91">
        <v>0</v>
      </c>
      <c r="N205" s="92" t="s">
        <v>1272</v>
      </c>
      <c r="O205" s="85">
        <v>2910907289</v>
      </c>
      <c r="P205" s="93">
        <v>30000000</v>
      </c>
      <c r="Q205" s="93">
        <v>0</v>
      </c>
      <c r="R205" s="94">
        <f t="shared" si="73"/>
        <v>30000000</v>
      </c>
      <c r="S205" s="95">
        <v>0.12</v>
      </c>
      <c r="T205" s="94">
        <f t="shared" si="74"/>
        <v>3214285.7142857141</v>
      </c>
      <c r="U205" s="117">
        <v>0</v>
      </c>
      <c r="V205" s="117">
        <v>0</v>
      </c>
      <c r="W205" s="94">
        <f t="shared" si="75"/>
        <v>0</v>
      </c>
      <c r="X205" s="94">
        <f t="shared" si="76"/>
        <v>0</v>
      </c>
      <c r="Y205" s="94">
        <f t="shared" si="77"/>
        <v>0</v>
      </c>
      <c r="Z205" s="93">
        <f>_xlfn.XLOOKUP(O205,'[4]2DO TRIMESTRE'!$C:$C,'[4]2DO TRIMESTRE'!$I:$I,0,0)</f>
        <v>0</v>
      </c>
      <c r="AA205" s="94">
        <f t="shared" si="78"/>
        <v>0</v>
      </c>
      <c r="AB205" s="94">
        <f t="shared" si="79"/>
        <v>0</v>
      </c>
      <c r="AC205" s="94">
        <f t="shared" si="80"/>
        <v>0</v>
      </c>
      <c r="AD205" s="93">
        <v>0</v>
      </c>
      <c r="AE205" s="94">
        <f t="shared" si="81"/>
        <v>0</v>
      </c>
      <c r="AF205" s="94">
        <f t="shared" si="82"/>
        <v>0</v>
      </c>
      <c r="AG205" s="94">
        <f t="shared" si="83"/>
        <v>0</v>
      </c>
      <c r="AH205" s="117">
        <v>0</v>
      </c>
      <c r="AI205" s="94">
        <f t="shared" si="69"/>
        <v>0</v>
      </c>
      <c r="AJ205" s="94">
        <f t="shared" si="70"/>
        <v>0</v>
      </c>
      <c r="AK205" s="94">
        <f t="shared" si="71"/>
        <v>0</v>
      </c>
      <c r="AL205" s="93">
        <v>0</v>
      </c>
      <c r="AM205" s="93">
        <f t="shared" si="84"/>
        <v>0</v>
      </c>
      <c r="AN205" s="155"/>
      <c r="AO205" s="155"/>
    </row>
    <row r="206" spans="1:41" s="9" customFormat="1" ht="25.15" customHeight="1" x14ac:dyDescent="0.25">
      <c r="A206" s="83">
        <v>200</v>
      </c>
      <c r="B206" s="84">
        <v>2023</v>
      </c>
      <c r="C206" s="85" t="s">
        <v>1273</v>
      </c>
      <c r="D206" s="86" t="s">
        <v>1274</v>
      </c>
      <c r="E206" s="86" t="s">
        <v>758</v>
      </c>
      <c r="F206" s="87">
        <v>45105</v>
      </c>
      <c r="G206" s="87">
        <v>45283</v>
      </c>
      <c r="H206" s="88">
        <f t="shared" si="72"/>
        <v>1.9777777777777779</v>
      </c>
      <c r="I206" s="89" t="s">
        <v>759</v>
      </c>
      <c r="J206" s="90" t="s">
        <v>751</v>
      </c>
      <c r="K206" s="90" t="s">
        <v>752</v>
      </c>
      <c r="L206" s="90" t="s">
        <v>753</v>
      </c>
      <c r="M206" s="91" t="s">
        <v>1059</v>
      </c>
      <c r="N206" s="92" t="s">
        <v>1275</v>
      </c>
      <c r="O206" s="85">
        <v>2910907263</v>
      </c>
      <c r="P206" s="93">
        <v>3000000</v>
      </c>
      <c r="Q206" s="93">
        <v>0</v>
      </c>
      <c r="R206" s="94">
        <f t="shared" si="73"/>
        <v>3000000</v>
      </c>
      <c r="S206" s="95">
        <v>0.12</v>
      </c>
      <c r="T206" s="94">
        <f t="shared" si="74"/>
        <v>321428.57142857136</v>
      </c>
      <c r="U206" s="117">
        <v>0</v>
      </c>
      <c r="V206" s="117">
        <v>0</v>
      </c>
      <c r="W206" s="94">
        <f t="shared" si="75"/>
        <v>0</v>
      </c>
      <c r="X206" s="94">
        <f t="shared" si="76"/>
        <v>0</v>
      </c>
      <c r="Y206" s="94">
        <f t="shared" si="77"/>
        <v>0</v>
      </c>
      <c r="Z206" s="93">
        <f>_xlfn.XLOOKUP(O206,'[4]2DO TRIMESTRE'!$C:$C,'[4]2DO TRIMESTRE'!$I:$I,0,0)</f>
        <v>0</v>
      </c>
      <c r="AA206" s="94">
        <f t="shared" si="78"/>
        <v>0</v>
      </c>
      <c r="AB206" s="94">
        <f t="shared" si="79"/>
        <v>0</v>
      </c>
      <c r="AC206" s="94">
        <f t="shared" si="80"/>
        <v>0</v>
      </c>
      <c r="AD206" s="93">
        <v>0</v>
      </c>
      <c r="AE206" s="94">
        <f t="shared" si="81"/>
        <v>0</v>
      </c>
      <c r="AF206" s="94">
        <f t="shared" si="82"/>
        <v>0</v>
      </c>
      <c r="AG206" s="94">
        <f t="shared" si="83"/>
        <v>0</v>
      </c>
      <c r="AH206" s="117">
        <v>0</v>
      </c>
      <c r="AI206" s="94">
        <f t="shared" si="69"/>
        <v>0</v>
      </c>
      <c r="AJ206" s="94">
        <f t="shared" si="70"/>
        <v>0</v>
      </c>
      <c r="AK206" s="94">
        <f t="shared" si="71"/>
        <v>0</v>
      </c>
      <c r="AL206" s="93">
        <v>0</v>
      </c>
      <c r="AM206" s="93">
        <f t="shared" si="84"/>
        <v>0</v>
      </c>
      <c r="AN206" s="155"/>
      <c r="AO206" s="155"/>
    </row>
    <row r="207" spans="1:41" s="9" customFormat="1" ht="25.15" customHeight="1" x14ac:dyDescent="0.25">
      <c r="A207" s="83">
        <v>201</v>
      </c>
      <c r="B207" s="84">
        <v>2023</v>
      </c>
      <c r="C207" s="85" t="s">
        <v>1000</v>
      </c>
      <c r="D207" s="86" t="s">
        <v>1276</v>
      </c>
      <c r="E207" s="86" t="s">
        <v>758</v>
      </c>
      <c r="F207" s="87">
        <v>45105</v>
      </c>
      <c r="G207" s="87">
        <v>45272</v>
      </c>
      <c r="H207" s="88">
        <f t="shared" si="72"/>
        <v>1.8555555555555556</v>
      </c>
      <c r="I207" s="89" t="s">
        <v>759</v>
      </c>
      <c r="J207" s="90" t="s">
        <v>751</v>
      </c>
      <c r="K207" s="90" t="s">
        <v>752</v>
      </c>
      <c r="L207" s="90" t="s">
        <v>753</v>
      </c>
      <c r="M207" s="91" t="s">
        <v>1059</v>
      </c>
      <c r="N207" s="92" t="s">
        <v>1277</v>
      </c>
      <c r="O207" s="85">
        <v>2910907285</v>
      </c>
      <c r="P207" s="93">
        <v>43000000</v>
      </c>
      <c r="Q207" s="93">
        <v>0</v>
      </c>
      <c r="R207" s="94">
        <f t="shared" si="73"/>
        <v>43000000</v>
      </c>
      <c r="S207" s="95">
        <v>0.12</v>
      </c>
      <c r="T207" s="94">
        <f t="shared" si="74"/>
        <v>4607142.8571428573</v>
      </c>
      <c r="U207" s="117">
        <v>0</v>
      </c>
      <c r="V207" s="117">
        <v>0</v>
      </c>
      <c r="W207" s="94">
        <f t="shared" si="75"/>
        <v>0</v>
      </c>
      <c r="X207" s="94">
        <f t="shared" si="76"/>
        <v>0</v>
      </c>
      <c r="Y207" s="94">
        <f t="shared" si="77"/>
        <v>0</v>
      </c>
      <c r="Z207" s="93">
        <f>_xlfn.XLOOKUP(O207,'[4]2DO TRIMESTRE'!$C:$C,'[4]2DO TRIMESTRE'!$I:$I,0,0)</f>
        <v>0</v>
      </c>
      <c r="AA207" s="94">
        <f t="shared" si="78"/>
        <v>0</v>
      </c>
      <c r="AB207" s="94">
        <f t="shared" si="79"/>
        <v>0</v>
      </c>
      <c r="AC207" s="94">
        <f t="shared" si="80"/>
        <v>0</v>
      </c>
      <c r="AD207" s="93">
        <v>0</v>
      </c>
      <c r="AE207" s="94">
        <f t="shared" si="81"/>
        <v>0</v>
      </c>
      <c r="AF207" s="94">
        <f t="shared" si="82"/>
        <v>0</v>
      </c>
      <c r="AG207" s="94">
        <f t="shared" si="83"/>
        <v>0</v>
      </c>
      <c r="AH207" s="117">
        <v>0</v>
      </c>
      <c r="AI207" s="94">
        <f t="shared" si="69"/>
        <v>0</v>
      </c>
      <c r="AJ207" s="94">
        <f t="shared" si="70"/>
        <v>0</v>
      </c>
      <c r="AK207" s="94">
        <f t="shared" si="71"/>
        <v>0</v>
      </c>
      <c r="AL207" s="93">
        <v>0</v>
      </c>
      <c r="AM207" s="93">
        <f t="shared" si="84"/>
        <v>0</v>
      </c>
      <c r="AN207" s="155"/>
      <c r="AO207" s="155"/>
    </row>
    <row r="208" spans="1:41" s="9" customFormat="1" ht="25.15" customHeight="1" x14ac:dyDescent="0.25">
      <c r="A208" s="83">
        <v>202</v>
      </c>
      <c r="B208" s="84">
        <v>2023</v>
      </c>
      <c r="C208" s="85" t="s">
        <v>1278</v>
      </c>
      <c r="D208" s="86" t="s">
        <v>1279</v>
      </c>
      <c r="E208" s="86" t="s">
        <v>758</v>
      </c>
      <c r="F208" s="87">
        <v>45105</v>
      </c>
      <c r="G208" s="87">
        <v>45269</v>
      </c>
      <c r="H208" s="88">
        <f t="shared" si="72"/>
        <v>1.8222222222222222</v>
      </c>
      <c r="I208" s="89" t="s">
        <v>750</v>
      </c>
      <c r="J208" s="90" t="s">
        <v>751</v>
      </c>
      <c r="K208" s="90" t="s">
        <v>752</v>
      </c>
      <c r="L208" s="90" t="s">
        <v>753</v>
      </c>
      <c r="M208" s="91" t="s">
        <v>1059</v>
      </c>
      <c r="N208" s="92" t="s">
        <v>1280</v>
      </c>
      <c r="O208" s="85">
        <v>2910907247</v>
      </c>
      <c r="P208" s="93">
        <f>+_xlfn.XLOOKUP(O208,'[3]Benef Primera fecha '!$C:$C,'[3]Benef Primera fecha '!$E:$E,0)</f>
        <v>797983995</v>
      </c>
      <c r="Q208" s="93">
        <v>0</v>
      </c>
      <c r="R208" s="94">
        <f t="shared" si="73"/>
        <v>797983995</v>
      </c>
      <c r="S208" s="95">
        <v>0.11999999971929262</v>
      </c>
      <c r="T208" s="94">
        <f t="shared" si="74"/>
        <v>85498285</v>
      </c>
      <c r="U208" s="117">
        <v>596892028</v>
      </c>
      <c r="V208" s="117">
        <v>0</v>
      </c>
      <c r="W208" s="94">
        <f t="shared" si="75"/>
        <v>0</v>
      </c>
      <c r="X208" s="94">
        <f t="shared" si="76"/>
        <v>0</v>
      </c>
      <c r="Y208" s="94">
        <f t="shared" si="77"/>
        <v>0</v>
      </c>
      <c r="Z208" s="93">
        <f>_xlfn.XLOOKUP(O208,'[4]2DO TRIMESTRE'!$C:$C,'[4]2DO TRIMESTRE'!$I:$I,0,0)</f>
        <v>0</v>
      </c>
      <c r="AA208" s="94">
        <f t="shared" si="78"/>
        <v>0</v>
      </c>
      <c r="AB208" s="94">
        <f t="shared" si="79"/>
        <v>0</v>
      </c>
      <c r="AC208" s="94">
        <f t="shared" si="80"/>
        <v>0</v>
      </c>
      <c r="AD208" s="93">
        <v>0</v>
      </c>
      <c r="AE208" s="94">
        <f t="shared" si="81"/>
        <v>0</v>
      </c>
      <c r="AF208" s="94">
        <f t="shared" si="82"/>
        <v>0</v>
      </c>
      <c r="AG208" s="94">
        <f t="shared" si="83"/>
        <v>0</v>
      </c>
      <c r="AH208" s="117">
        <v>0</v>
      </c>
      <c r="AI208" s="94">
        <f t="shared" si="69"/>
        <v>0</v>
      </c>
      <c r="AJ208" s="94">
        <f t="shared" si="70"/>
        <v>0</v>
      </c>
      <c r="AK208" s="94">
        <f t="shared" si="71"/>
        <v>0</v>
      </c>
      <c r="AL208" s="93">
        <v>63952717</v>
      </c>
      <c r="AM208" s="93">
        <f t="shared" si="84"/>
        <v>0</v>
      </c>
      <c r="AN208" s="155"/>
      <c r="AO208" s="155"/>
    </row>
    <row r="209" spans="1:41" s="9" customFormat="1" ht="25.15" customHeight="1" x14ac:dyDescent="0.25">
      <c r="A209" s="83">
        <v>203</v>
      </c>
      <c r="B209" s="84">
        <v>2023</v>
      </c>
      <c r="C209" s="85" t="s">
        <v>1281</v>
      </c>
      <c r="D209" s="86" t="s">
        <v>1242</v>
      </c>
      <c r="E209" s="86" t="s">
        <v>758</v>
      </c>
      <c r="F209" s="87">
        <v>45105</v>
      </c>
      <c r="G209" s="87">
        <v>45276</v>
      </c>
      <c r="H209" s="88">
        <f t="shared" si="72"/>
        <v>1.9</v>
      </c>
      <c r="I209" s="89" t="s">
        <v>759</v>
      </c>
      <c r="J209" s="90" t="s">
        <v>751</v>
      </c>
      <c r="K209" s="90" t="s">
        <v>752</v>
      </c>
      <c r="L209" s="90" t="s">
        <v>753</v>
      </c>
      <c r="M209" s="91" t="s">
        <v>1059</v>
      </c>
      <c r="N209" s="92" t="s">
        <v>1282</v>
      </c>
      <c r="O209" s="85">
        <v>2910907270</v>
      </c>
      <c r="P209" s="93">
        <v>3000000</v>
      </c>
      <c r="Q209" s="93">
        <v>0</v>
      </c>
      <c r="R209" s="94">
        <f t="shared" si="73"/>
        <v>3000000</v>
      </c>
      <c r="S209" s="95">
        <v>0.12</v>
      </c>
      <c r="T209" s="94">
        <f t="shared" si="74"/>
        <v>321428.57142857136</v>
      </c>
      <c r="U209" s="117">
        <v>0</v>
      </c>
      <c r="V209" s="117">
        <v>0</v>
      </c>
      <c r="W209" s="94">
        <f t="shared" si="75"/>
        <v>0</v>
      </c>
      <c r="X209" s="94">
        <f t="shared" si="76"/>
        <v>0</v>
      </c>
      <c r="Y209" s="94">
        <f t="shared" si="77"/>
        <v>0</v>
      </c>
      <c r="Z209" s="93">
        <f>_xlfn.XLOOKUP(O209,'[4]2DO TRIMESTRE'!$C:$C,'[4]2DO TRIMESTRE'!$I:$I,0,0)</f>
        <v>0</v>
      </c>
      <c r="AA209" s="94">
        <f t="shared" si="78"/>
        <v>0</v>
      </c>
      <c r="AB209" s="94">
        <f t="shared" si="79"/>
        <v>0</v>
      </c>
      <c r="AC209" s="94">
        <f t="shared" si="80"/>
        <v>0</v>
      </c>
      <c r="AD209" s="93">
        <v>0</v>
      </c>
      <c r="AE209" s="94">
        <f t="shared" si="81"/>
        <v>0</v>
      </c>
      <c r="AF209" s="94">
        <f t="shared" si="82"/>
        <v>0</v>
      </c>
      <c r="AG209" s="94">
        <f t="shared" si="83"/>
        <v>0</v>
      </c>
      <c r="AH209" s="117">
        <v>0</v>
      </c>
      <c r="AI209" s="94">
        <f t="shared" si="69"/>
        <v>0</v>
      </c>
      <c r="AJ209" s="94">
        <f t="shared" si="70"/>
        <v>0</v>
      </c>
      <c r="AK209" s="94">
        <f t="shared" si="71"/>
        <v>0</v>
      </c>
      <c r="AL209" s="93">
        <v>0</v>
      </c>
      <c r="AM209" s="93">
        <f t="shared" si="84"/>
        <v>0</v>
      </c>
      <c r="AN209" s="155"/>
      <c r="AO209" s="155"/>
    </row>
    <row r="210" spans="1:41" s="9" customFormat="1" ht="25.15" customHeight="1" x14ac:dyDescent="0.25">
      <c r="A210" s="83">
        <v>204</v>
      </c>
      <c r="B210" s="84">
        <v>2023</v>
      </c>
      <c r="C210" s="85" t="s">
        <v>1283</v>
      </c>
      <c r="D210" s="86" t="s">
        <v>1284</v>
      </c>
      <c r="E210" s="86" t="s">
        <v>758</v>
      </c>
      <c r="F210" s="87">
        <v>45105</v>
      </c>
      <c r="G210" s="87">
        <v>45276</v>
      </c>
      <c r="H210" s="88">
        <f t="shared" si="72"/>
        <v>1.9</v>
      </c>
      <c r="I210" s="89" t="s">
        <v>759</v>
      </c>
      <c r="J210" s="90" t="s">
        <v>751</v>
      </c>
      <c r="K210" s="90" t="s">
        <v>752</v>
      </c>
      <c r="L210" s="90" t="s">
        <v>753</v>
      </c>
      <c r="M210" s="91" t="s">
        <v>1059</v>
      </c>
      <c r="N210" s="92" t="s">
        <v>1285</v>
      </c>
      <c r="O210" s="85">
        <v>2910907268</v>
      </c>
      <c r="P210" s="93">
        <v>3000000</v>
      </c>
      <c r="Q210" s="93">
        <v>0</v>
      </c>
      <c r="R210" s="94">
        <f t="shared" si="73"/>
        <v>3000000</v>
      </c>
      <c r="S210" s="95">
        <v>0.12</v>
      </c>
      <c r="T210" s="94">
        <f t="shared" si="74"/>
        <v>321428.57142857136</v>
      </c>
      <c r="U210" s="117">
        <v>0</v>
      </c>
      <c r="V210" s="117">
        <v>0</v>
      </c>
      <c r="W210" s="94">
        <f t="shared" si="75"/>
        <v>0</v>
      </c>
      <c r="X210" s="94">
        <f t="shared" si="76"/>
        <v>0</v>
      </c>
      <c r="Y210" s="94">
        <f t="shared" si="77"/>
        <v>0</v>
      </c>
      <c r="Z210" s="93">
        <f>_xlfn.XLOOKUP(O210,'[4]2DO TRIMESTRE'!$C:$C,'[4]2DO TRIMESTRE'!$I:$I,0,0)</f>
        <v>0</v>
      </c>
      <c r="AA210" s="94">
        <f t="shared" si="78"/>
        <v>0</v>
      </c>
      <c r="AB210" s="94">
        <f t="shared" si="79"/>
        <v>0</v>
      </c>
      <c r="AC210" s="94">
        <f t="shared" si="80"/>
        <v>0</v>
      </c>
      <c r="AD210" s="93">
        <v>0</v>
      </c>
      <c r="AE210" s="94">
        <f t="shared" si="81"/>
        <v>0</v>
      </c>
      <c r="AF210" s="94">
        <f t="shared" si="82"/>
        <v>0</v>
      </c>
      <c r="AG210" s="94">
        <f t="shared" si="83"/>
        <v>0</v>
      </c>
      <c r="AH210" s="117">
        <v>0</v>
      </c>
      <c r="AI210" s="94">
        <f t="shared" si="69"/>
        <v>0</v>
      </c>
      <c r="AJ210" s="94">
        <f t="shared" si="70"/>
        <v>0</v>
      </c>
      <c r="AK210" s="94">
        <f t="shared" si="71"/>
        <v>0</v>
      </c>
      <c r="AL210" s="93">
        <v>0</v>
      </c>
      <c r="AM210" s="93">
        <f t="shared" si="84"/>
        <v>0</v>
      </c>
      <c r="AN210" s="155"/>
      <c r="AO210" s="155"/>
    </row>
    <row r="211" spans="1:41" s="9" customFormat="1" ht="25.15" customHeight="1" x14ac:dyDescent="0.25">
      <c r="A211" s="83">
        <v>205</v>
      </c>
      <c r="B211" s="84">
        <v>2023</v>
      </c>
      <c r="C211" s="85" t="s">
        <v>1286</v>
      </c>
      <c r="D211" s="86" t="s">
        <v>1242</v>
      </c>
      <c r="E211" s="86" t="s">
        <v>758</v>
      </c>
      <c r="F211" s="87">
        <v>45105</v>
      </c>
      <c r="G211" s="87">
        <v>45216</v>
      </c>
      <c r="H211" s="88">
        <f t="shared" si="72"/>
        <v>1.2333333333333334</v>
      </c>
      <c r="I211" s="89" t="s">
        <v>759</v>
      </c>
      <c r="J211" s="90" t="s">
        <v>751</v>
      </c>
      <c r="K211" s="90" t="s">
        <v>752</v>
      </c>
      <c r="L211" s="90" t="s">
        <v>753</v>
      </c>
      <c r="M211" s="91" t="s">
        <v>1059</v>
      </c>
      <c r="N211" s="92" t="s">
        <v>1287</v>
      </c>
      <c r="O211" s="85">
        <v>2910907271</v>
      </c>
      <c r="P211" s="93">
        <v>3000000</v>
      </c>
      <c r="Q211" s="93">
        <v>0</v>
      </c>
      <c r="R211" s="94">
        <f t="shared" si="73"/>
        <v>3000000</v>
      </c>
      <c r="S211" s="95">
        <v>0.12</v>
      </c>
      <c r="T211" s="94">
        <f t="shared" si="74"/>
        <v>321428.57142857136</v>
      </c>
      <c r="U211" s="117">
        <v>0</v>
      </c>
      <c r="V211" s="117">
        <v>0</v>
      </c>
      <c r="W211" s="94">
        <f t="shared" si="75"/>
        <v>0</v>
      </c>
      <c r="X211" s="94">
        <f t="shared" si="76"/>
        <v>0</v>
      </c>
      <c r="Y211" s="94">
        <f t="shared" si="77"/>
        <v>0</v>
      </c>
      <c r="Z211" s="93">
        <f>_xlfn.XLOOKUP(O211,'[4]2DO TRIMESTRE'!$C:$C,'[4]2DO TRIMESTRE'!$I:$I,0,0)</f>
        <v>0</v>
      </c>
      <c r="AA211" s="94">
        <f t="shared" si="78"/>
        <v>0</v>
      </c>
      <c r="AB211" s="94">
        <f t="shared" si="79"/>
        <v>0</v>
      </c>
      <c r="AC211" s="94">
        <f t="shared" si="80"/>
        <v>0</v>
      </c>
      <c r="AD211" s="93">
        <v>0</v>
      </c>
      <c r="AE211" s="94">
        <f t="shared" si="81"/>
        <v>0</v>
      </c>
      <c r="AF211" s="94">
        <f t="shared" si="82"/>
        <v>0</v>
      </c>
      <c r="AG211" s="94">
        <f t="shared" si="83"/>
        <v>0</v>
      </c>
      <c r="AH211" s="117">
        <v>0</v>
      </c>
      <c r="AI211" s="94">
        <f t="shared" si="69"/>
        <v>0</v>
      </c>
      <c r="AJ211" s="94">
        <f t="shared" si="70"/>
        <v>0</v>
      </c>
      <c r="AK211" s="94">
        <f t="shared" si="71"/>
        <v>0</v>
      </c>
      <c r="AL211" s="93">
        <v>0</v>
      </c>
      <c r="AM211" s="93">
        <f t="shared" si="84"/>
        <v>0</v>
      </c>
      <c r="AN211" s="155"/>
      <c r="AO211" s="155"/>
    </row>
    <row r="212" spans="1:41" s="9" customFormat="1" ht="25.15" customHeight="1" x14ac:dyDescent="0.25">
      <c r="A212" s="83">
        <v>206</v>
      </c>
      <c r="B212" s="84">
        <v>2023</v>
      </c>
      <c r="C212" s="85" t="s">
        <v>1288</v>
      </c>
      <c r="D212" s="86" t="s">
        <v>1288</v>
      </c>
      <c r="E212" s="86" t="s">
        <v>758</v>
      </c>
      <c r="F212" s="87">
        <v>45105</v>
      </c>
      <c r="G212" s="87">
        <v>45253</v>
      </c>
      <c r="H212" s="88">
        <f t="shared" si="72"/>
        <v>1.6444444444444444</v>
      </c>
      <c r="I212" s="89" t="s">
        <v>759</v>
      </c>
      <c r="J212" s="90" t="s">
        <v>751</v>
      </c>
      <c r="K212" s="90" t="s">
        <v>752</v>
      </c>
      <c r="L212" s="90" t="s">
        <v>753</v>
      </c>
      <c r="M212" s="91" t="s">
        <v>1059</v>
      </c>
      <c r="N212" s="92" t="s">
        <v>1289</v>
      </c>
      <c r="O212" s="85">
        <v>2910907252</v>
      </c>
      <c r="P212" s="93">
        <f>+_xlfn.XLOOKUP(O212,'[3]Benef Primera fecha '!$C:$C,'[3]Benef Primera fecha '!$E:$E,0)</f>
        <v>31800000</v>
      </c>
      <c r="Q212" s="93">
        <v>0</v>
      </c>
      <c r="R212" s="94">
        <f t="shared" si="73"/>
        <v>31800000</v>
      </c>
      <c r="S212" s="95">
        <v>0.12000000563522016</v>
      </c>
      <c r="T212" s="94">
        <f t="shared" si="74"/>
        <v>3407143</v>
      </c>
      <c r="U212" s="117">
        <v>29669400</v>
      </c>
      <c r="V212" s="117">
        <v>0</v>
      </c>
      <c r="W212" s="94">
        <f t="shared" si="75"/>
        <v>0</v>
      </c>
      <c r="X212" s="94">
        <f t="shared" si="76"/>
        <v>0</v>
      </c>
      <c r="Y212" s="94">
        <f t="shared" si="77"/>
        <v>0</v>
      </c>
      <c r="Z212" s="93">
        <f>_xlfn.XLOOKUP(O212,'[4]2DO TRIMESTRE'!$C:$C,'[4]2DO TRIMESTRE'!$I:$I,0,0)</f>
        <v>0</v>
      </c>
      <c r="AA212" s="94">
        <f t="shared" si="78"/>
        <v>0</v>
      </c>
      <c r="AB212" s="94">
        <f t="shared" si="79"/>
        <v>0</v>
      </c>
      <c r="AC212" s="94">
        <f t="shared" si="80"/>
        <v>0</v>
      </c>
      <c r="AD212" s="93">
        <v>0</v>
      </c>
      <c r="AE212" s="94">
        <f t="shared" si="81"/>
        <v>0</v>
      </c>
      <c r="AF212" s="94">
        <f t="shared" si="82"/>
        <v>0</v>
      </c>
      <c r="AG212" s="94">
        <f t="shared" si="83"/>
        <v>0</v>
      </c>
      <c r="AH212" s="117">
        <v>0</v>
      </c>
      <c r="AI212" s="94">
        <f t="shared" si="69"/>
        <v>0</v>
      </c>
      <c r="AJ212" s="94">
        <f t="shared" si="70"/>
        <v>0</v>
      </c>
      <c r="AK212" s="94">
        <f t="shared" si="71"/>
        <v>0</v>
      </c>
      <c r="AL212" s="93">
        <v>3178864</v>
      </c>
      <c r="AM212" s="93">
        <f t="shared" si="84"/>
        <v>0</v>
      </c>
      <c r="AN212" s="155"/>
      <c r="AO212" s="155"/>
    </row>
    <row r="213" spans="1:41" s="9" customFormat="1" ht="25.15" customHeight="1" x14ac:dyDescent="0.25">
      <c r="A213" s="83">
        <v>207</v>
      </c>
      <c r="B213" s="84">
        <v>2023</v>
      </c>
      <c r="C213" s="85" t="s">
        <v>1290</v>
      </c>
      <c r="D213" s="86" t="s">
        <v>1290</v>
      </c>
      <c r="E213" s="86" t="s">
        <v>758</v>
      </c>
      <c r="F213" s="87">
        <v>45105</v>
      </c>
      <c r="G213" s="87">
        <v>45257</v>
      </c>
      <c r="H213" s="88">
        <f t="shared" si="72"/>
        <v>1.6888888888888889</v>
      </c>
      <c r="I213" s="89" t="s">
        <v>759</v>
      </c>
      <c r="J213" s="90" t="s">
        <v>751</v>
      </c>
      <c r="K213" s="90" t="s">
        <v>752</v>
      </c>
      <c r="L213" s="90" t="s">
        <v>753</v>
      </c>
      <c r="M213" s="91" t="s">
        <v>1059</v>
      </c>
      <c r="N213" s="92" t="s">
        <v>1291</v>
      </c>
      <c r="O213" s="85">
        <v>2910907253</v>
      </c>
      <c r="P213" s="93">
        <f>+_xlfn.XLOOKUP(O213,'[3]Benef Primera fecha '!$C:$C,'[3]Benef Primera fecha '!$E:$E,0)</f>
        <v>30000000</v>
      </c>
      <c r="Q213" s="93">
        <v>0</v>
      </c>
      <c r="R213" s="94">
        <f t="shared" si="73"/>
        <v>30000000</v>
      </c>
      <c r="S213" s="95">
        <v>0.12000001194666679</v>
      </c>
      <c r="T213" s="94">
        <f t="shared" si="74"/>
        <v>3214285.9999999995</v>
      </c>
      <c r="U213" s="117">
        <v>30000000</v>
      </c>
      <c r="V213" s="117">
        <v>0</v>
      </c>
      <c r="W213" s="94">
        <f t="shared" si="75"/>
        <v>0</v>
      </c>
      <c r="X213" s="94">
        <f t="shared" si="76"/>
        <v>0</v>
      </c>
      <c r="Y213" s="94">
        <f t="shared" si="77"/>
        <v>0</v>
      </c>
      <c r="Z213" s="93">
        <f>_xlfn.XLOOKUP(O213,'[4]2DO TRIMESTRE'!$C:$C,'[4]2DO TRIMESTRE'!$I:$I,0,0)</f>
        <v>0</v>
      </c>
      <c r="AA213" s="94">
        <f t="shared" si="78"/>
        <v>0</v>
      </c>
      <c r="AB213" s="94">
        <f t="shared" si="79"/>
        <v>0</v>
      </c>
      <c r="AC213" s="94">
        <f t="shared" si="80"/>
        <v>0</v>
      </c>
      <c r="AD213" s="93">
        <v>0</v>
      </c>
      <c r="AE213" s="94">
        <f t="shared" si="81"/>
        <v>0</v>
      </c>
      <c r="AF213" s="94">
        <f t="shared" si="82"/>
        <v>0</v>
      </c>
      <c r="AG213" s="94">
        <f t="shared" si="83"/>
        <v>0</v>
      </c>
      <c r="AH213" s="117">
        <v>0</v>
      </c>
      <c r="AI213" s="94">
        <f t="shared" si="69"/>
        <v>0</v>
      </c>
      <c r="AJ213" s="94">
        <f t="shared" si="70"/>
        <v>0</v>
      </c>
      <c r="AK213" s="94">
        <f t="shared" si="71"/>
        <v>0</v>
      </c>
      <c r="AL213" s="93">
        <v>3214286</v>
      </c>
      <c r="AM213" s="93">
        <f t="shared" si="84"/>
        <v>0</v>
      </c>
      <c r="AN213" s="155"/>
      <c r="AO213" s="155"/>
    </row>
    <row r="214" spans="1:41" s="9" customFormat="1" ht="25.15" customHeight="1" x14ac:dyDescent="0.25">
      <c r="A214" s="83">
        <v>208</v>
      </c>
      <c r="B214" s="84">
        <v>2023</v>
      </c>
      <c r="C214" s="85" t="s">
        <v>1292</v>
      </c>
      <c r="D214" s="86" t="s">
        <v>1293</v>
      </c>
      <c r="E214" s="86" t="s">
        <v>758</v>
      </c>
      <c r="F214" s="87">
        <v>45105</v>
      </c>
      <c r="G214" s="87">
        <v>45283</v>
      </c>
      <c r="H214" s="88">
        <f t="shared" si="72"/>
        <v>1.9777777777777779</v>
      </c>
      <c r="I214" s="89" t="s">
        <v>759</v>
      </c>
      <c r="J214" s="90" t="s">
        <v>751</v>
      </c>
      <c r="K214" s="90" t="s">
        <v>752</v>
      </c>
      <c r="L214" s="90" t="s">
        <v>753</v>
      </c>
      <c r="M214" s="91" t="s">
        <v>1059</v>
      </c>
      <c r="N214" s="92" t="s">
        <v>1294</v>
      </c>
      <c r="O214" s="85">
        <v>2910907238</v>
      </c>
      <c r="P214" s="93">
        <f>+_xlfn.XLOOKUP(O214,'[3]Benef Primera fecha '!$C:$C,'[3]Benef Primera fecha '!$E:$E,0)</f>
        <v>12151862208</v>
      </c>
      <c r="Q214" s="93">
        <v>6075931104</v>
      </c>
      <c r="R214" s="94">
        <f t="shared" si="73"/>
        <v>18227793312</v>
      </c>
      <c r="S214" s="95">
        <v>0.12000000000983115</v>
      </c>
      <c r="T214" s="94">
        <f t="shared" si="74"/>
        <v>1952977855</v>
      </c>
      <c r="U214" s="117">
        <v>18211793311</v>
      </c>
      <c r="V214" s="117">
        <v>0</v>
      </c>
      <c r="W214" s="94">
        <f t="shared" si="75"/>
        <v>0</v>
      </c>
      <c r="X214" s="94">
        <f t="shared" si="76"/>
        <v>0</v>
      </c>
      <c r="Y214" s="94">
        <f t="shared" si="77"/>
        <v>0</v>
      </c>
      <c r="Z214" s="93">
        <f>_xlfn.XLOOKUP(O214,'[4]2DO TRIMESTRE'!$C:$C,'[4]2DO TRIMESTRE'!$I:$I,0,0)</f>
        <v>0</v>
      </c>
      <c r="AA214" s="94">
        <f t="shared" si="78"/>
        <v>0</v>
      </c>
      <c r="AB214" s="94">
        <f t="shared" si="79"/>
        <v>0</v>
      </c>
      <c r="AC214" s="94">
        <f t="shared" si="80"/>
        <v>0</v>
      </c>
      <c r="AD214" s="93">
        <v>0</v>
      </c>
      <c r="AE214" s="94">
        <f t="shared" si="81"/>
        <v>0</v>
      </c>
      <c r="AF214" s="94">
        <f t="shared" si="82"/>
        <v>0</v>
      </c>
      <c r="AG214" s="94">
        <f t="shared" si="83"/>
        <v>0</v>
      </c>
      <c r="AH214" s="117">
        <v>0</v>
      </c>
      <c r="AI214" s="94">
        <f t="shared" si="69"/>
        <v>0</v>
      </c>
      <c r="AJ214" s="94">
        <f t="shared" si="70"/>
        <v>0</v>
      </c>
      <c r="AK214" s="94">
        <f t="shared" si="71"/>
        <v>0</v>
      </c>
      <c r="AL214" s="93">
        <v>1951263569.1784461</v>
      </c>
      <c r="AM214" s="93">
        <f t="shared" si="84"/>
        <v>0</v>
      </c>
      <c r="AN214" s="155"/>
      <c r="AO214" s="155"/>
    </row>
    <row r="215" spans="1:41" s="9" customFormat="1" ht="25.15" customHeight="1" x14ac:dyDescent="0.25">
      <c r="A215" s="83">
        <v>209</v>
      </c>
      <c r="B215" s="84">
        <v>2023</v>
      </c>
      <c r="C215" s="85" t="s">
        <v>1023</v>
      </c>
      <c r="D215" s="86" t="s">
        <v>1295</v>
      </c>
      <c r="E215" s="86" t="s">
        <v>758</v>
      </c>
      <c r="F215" s="87">
        <v>45105</v>
      </c>
      <c r="G215" s="87"/>
      <c r="H215" s="88">
        <f t="shared" si="72"/>
        <v>-501.16666666666669</v>
      </c>
      <c r="I215" s="89" t="s">
        <v>1077</v>
      </c>
      <c r="J215" s="90" t="s">
        <v>751</v>
      </c>
      <c r="K215" s="90" t="s">
        <v>752</v>
      </c>
      <c r="L215" s="90" t="s">
        <v>753</v>
      </c>
      <c r="M215" s="91" t="s">
        <v>1059</v>
      </c>
      <c r="N215" s="92" t="s">
        <v>1296</v>
      </c>
      <c r="O215" s="85">
        <v>2910907241</v>
      </c>
      <c r="P215" s="93">
        <f>+_xlfn.XLOOKUP(O215,'[3]Benef Primera fecha '!$C:$C,'[3]Benef Primera fecha '!$E:$E,0)</f>
        <v>399151141</v>
      </c>
      <c r="Q215" s="93">
        <v>0</v>
      </c>
      <c r="R215" s="94">
        <f t="shared" si="73"/>
        <v>399151141</v>
      </c>
      <c r="S215" s="95">
        <v>0.12000009214755827</v>
      </c>
      <c r="T215" s="94">
        <f t="shared" si="74"/>
        <v>42766223</v>
      </c>
      <c r="U215" s="117">
        <v>399151141</v>
      </c>
      <c r="V215" s="117">
        <v>0</v>
      </c>
      <c r="W215" s="94">
        <f t="shared" si="75"/>
        <v>0</v>
      </c>
      <c r="X215" s="94">
        <f t="shared" si="76"/>
        <v>0</v>
      </c>
      <c r="Y215" s="94">
        <f t="shared" si="77"/>
        <v>0</v>
      </c>
      <c r="Z215" s="93">
        <f>_xlfn.XLOOKUP(O215,'[4]2DO TRIMESTRE'!$C:$C,'[4]2DO TRIMESTRE'!$I:$I,0,0)</f>
        <v>0</v>
      </c>
      <c r="AA215" s="94">
        <f t="shared" si="78"/>
        <v>0</v>
      </c>
      <c r="AB215" s="94">
        <f t="shared" si="79"/>
        <v>0</v>
      </c>
      <c r="AC215" s="94">
        <f t="shared" si="80"/>
        <v>0</v>
      </c>
      <c r="AD215" s="93">
        <v>0</v>
      </c>
      <c r="AE215" s="94">
        <f t="shared" si="81"/>
        <v>0</v>
      </c>
      <c r="AF215" s="94">
        <f t="shared" si="82"/>
        <v>0</v>
      </c>
      <c r="AG215" s="94">
        <f t="shared" si="83"/>
        <v>0</v>
      </c>
      <c r="AH215" s="117">
        <v>0</v>
      </c>
      <c r="AI215" s="94">
        <f t="shared" si="69"/>
        <v>0</v>
      </c>
      <c r="AJ215" s="94">
        <f t="shared" si="70"/>
        <v>0</v>
      </c>
      <c r="AK215" s="94">
        <f t="shared" si="71"/>
        <v>0</v>
      </c>
      <c r="AL215" s="93">
        <v>42766223</v>
      </c>
      <c r="AM215" s="93">
        <f t="shared" si="84"/>
        <v>0</v>
      </c>
      <c r="AN215" s="155"/>
      <c r="AO215" s="155"/>
    </row>
    <row r="216" spans="1:41" s="9" customFormat="1" ht="25.15" customHeight="1" x14ac:dyDescent="0.25">
      <c r="A216" s="83">
        <v>210</v>
      </c>
      <c r="B216" s="84">
        <v>2023</v>
      </c>
      <c r="C216" s="85" t="s">
        <v>894</v>
      </c>
      <c r="D216" s="86" t="s">
        <v>1297</v>
      </c>
      <c r="E216" s="86" t="s">
        <v>758</v>
      </c>
      <c r="F216" s="87">
        <v>45105</v>
      </c>
      <c r="G216" s="87">
        <v>45226</v>
      </c>
      <c r="H216" s="88">
        <f t="shared" si="72"/>
        <v>1.3444444444444446</v>
      </c>
      <c r="I216" s="89" t="s">
        <v>750</v>
      </c>
      <c r="J216" s="90" t="s">
        <v>751</v>
      </c>
      <c r="K216" s="90" t="s">
        <v>752</v>
      </c>
      <c r="L216" s="90" t="s">
        <v>753</v>
      </c>
      <c r="M216" s="91" t="s">
        <v>1059</v>
      </c>
      <c r="N216" s="92" t="s">
        <v>1298</v>
      </c>
      <c r="O216" s="85">
        <v>2910907239</v>
      </c>
      <c r="P216" s="93">
        <f>+_xlfn.XLOOKUP(O216,'[3]Benef Primera fecha '!$C:$C,'[3]Benef Primera fecha '!$E:$E,0)</f>
        <v>80000000</v>
      </c>
      <c r="Q216" s="93">
        <v>0</v>
      </c>
      <c r="R216" s="94">
        <f t="shared" si="73"/>
        <v>80000000</v>
      </c>
      <c r="S216" s="95">
        <v>0.12</v>
      </c>
      <c r="T216" s="94">
        <f t="shared" si="74"/>
        <v>8571428.571428569</v>
      </c>
      <c r="U216" s="117">
        <v>32880258.859999999</v>
      </c>
      <c r="V216" s="117">
        <v>0</v>
      </c>
      <c r="W216" s="94">
        <f t="shared" si="75"/>
        <v>0</v>
      </c>
      <c r="X216" s="94">
        <f t="shared" si="76"/>
        <v>0</v>
      </c>
      <c r="Y216" s="94">
        <f t="shared" si="77"/>
        <v>0</v>
      </c>
      <c r="Z216" s="93">
        <f>_xlfn.XLOOKUP(O216,'[4]2DO TRIMESTRE'!$C:$C,'[4]2DO TRIMESTRE'!$I:$I,0,0)</f>
        <v>0</v>
      </c>
      <c r="AA216" s="94">
        <f t="shared" si="78"/>
        <v>0</v>
      </c>
      <c r="AB216" s="94">
        <f t="shared" si="79"/>
        <v>0</v>
      </c>
      <c r="AC216" s="94">
        <f t="shared" si="80"/>
        <v>0</v>
      </c>
      <c r="AD216" s="93">
        <v>0</v>
      </c>
      <c r="AE216" s="94">
        <f t="shared" si="81"/>
        <v>0</v>
      </c>
      <c r="AF216" s="94">
        <f t="shared" si="82"/>
        <v>0</v>
      </c>
      <c r="AG216" s="94">
        <f t="shared" si="83"/>
        <v>0</v>
      </c>
      <c r="AH216" s="117">
        <v>0</v>
      </c>
      <c r="AI216" s="94">
        <f t="shared" si="69"/>
        <v>0</v>
      </c>
      <c r="AJ216" s="94">
        <f t="shared" si="70"/>
        <v>0</v>
      </c>
      <c r="AK216" s="94">
        <f t="shared" si="71"/>
        <v>0</v>
      </c>
      <c r="AL216" s="93">
        <v>3522885</v>
      </c>
      <c r="AM216" s="93">
        <f t="shared" si="84"/>
        <v>0</v>
      </c>
      <c r="AN216" s="155"/>
      <c r="AO216" s="155"/>
    </row>
    <row r="217" spans="1:41" s="9" customFormat="1" ht="25.15" customHeight="1" x14ac:dyDescent="0.25">
      <c r="A217" s="83">
        <v>211</v>
      </c>
      <c r="B217" s="84">
        <v>2023</v>
      </c>
      <c r="C217" s="85" t="s">
        <v>1299</v>
      </c>
      <c r="D217" s="86" t="s">
        <v>1300</v>
      </c>
      <c r="E217" s="86" t="s">
        <v>777</v>
      </c>
      <c r="F217" s="87">
        <v>45105</v>
      </c>
      <c r="G217" s="87">
        <v>45287</v>
      </c>
      <c r="H217" s="88">
        <f t="shared" si="72"/>
        <v>2.0222222222222221</v>
      </c>
      <c r="I217" s="89" t="s">
        <v>1077</v>
      </c>
      <c r="J217" s="90" t="s">
        <v>751</v>
      </c>
      <c r="K217" s="90" t="s">
        <v>752</v>
      </c>
      <c r="L217" s="90" t="s">
        <v>753</v>
      </c>
      <c r="M217" s="91" t="s">
        <v>1059</v>
      </c>
      <c r="N217" s="92" t="s">
        <v>1301</v>
      </c>
      <c r="O217" s="85">
        <v>2453018352</v>
      </c>
      <c r="P217" s="93">
        <f>+_xlfn.XLOOKUP(O217,'[3]Benef Primera fecha '!$C:$C,'[3]Benef Primera fecha '!$E:$E,0)</f>
        <v>5189063824</v>
      </c>
      <c r="Q217" s="93">
        <v>0</v>
      </c>
      <c r="R217" s="94">
        <f t="shared" si="73"/>
        <v>5189063824</v>
      </c>
      <c r="S217" s="95">
        <v>0.12000000042904171</v>
      </c>
      <c r="T217" s="94">
        <f t="shared" si="74"/>
        <v>555971125.77481246</v>
      </c>
      <c r="U217" s="117">
        <v>2040850037</v>
      </c>
      <c r="V217" s="117">
        <v>0</v>
      </c>
      <c r="W217" s="94">
        <f t="shared" si="75"/>
        <v>0</v>
      </c>
      <c r="X217" s="94">
        <f t="shared" si="76"/>
        <v>0</v>
      </c>
      <c r="Y217" s="94">
        <f t="shared" si="77"/>
        <v>0</v>
      </c>
      <c r="Z217" s="93">
        <f>_xlfn.XLOOKUP(O217,'[4]2DO TRIMESTRE'!$C:$C,'[4]2DO TRIMESTRE'!$I:$I,0,0)</f>
        <v>0</v>
      </c>
      <c r="AA217" s="94">
        <f t="shared" si="78"/>
        <v>0</v>
      </c>
      <c r="AB217" s="94">
        <f t="shared" si="79"/>
        <v>0</v>
      </c>
      <c r="AC217" s="94">
        <f t="shared" si="80"/>
        <v>0</v>
      </c>
      <c r="AD217" s="93">
        <v>0</v>
      </c>
      <c r="AE217" s="94">
        <f t="shared" si="81"/>
        <v>0</v>
      </c>
      <c r="AF217" s="94">
        <f t="shared" si="82"/>
        <v>0</v>
      </c>
      <c r="AG217" s="94">
        <f t="shared" si="83"/>
        <v>0</v>
      </c>
      <c r="AH217" s="117">
        <v>0</v>
      </c>
      <c r="AI217" s="94">
        <f t="shared" si="69"/>
        <v>0</v>
      </c>
      <c r="AJ217" s="94">
        <f t="shared" si="70"/>
        <v>0</v>
      </c>
      <c r="AK217" s="94">
        <f t="shared" si="71"/>
        <v>0</v>
      </c>
      <c r="AL217" s="93">
        <v>218662504.66231647</v>
      </c>
      <c r="AM217" s="93">
        <f t="shared" si="84"/>
        <v>0</v>
      </c>
      <c r="AN217" s="155"/>
      <c r="AO217" s="155"/>
    </row>
    <row r="218" spans="1:41" s="9" customFormat="1" ht="25.15" customHeight="1" x14ac:dyDescent="0.25">
      <c r="A218" s="83">
        <v>212</v>
      </c>
      <c r="B218" s="84">
        <v>2023</v>
      </c>
      <c r="C218" s="85" t="s">
        <v>843</v>
      </c>
      <c r="D218" s="86" t="s">
        <v>1302</v>
      </c>
      <c r="E218" s="86" t="s">
        <v>758</v>
      </c>
      <c r="F218" s="87">
        <v>45105</v>
      </c>
      <c r="G218" s="87">
        <v>45345</v>
      </c>
      <c r="H218" s="88">
        <f t="shared" si="72"/>
        <v>2.6666666666666665</v>
      </c>
      <c r="I218" s="89" t="s">
        <v>759</v>
      </c>
      <c r="J218" s="90" t="s">
        <v>751</v>
      </c>
      <c r="K218" s="90" t="s">
        <v>752</v>
      </c>
      <c r="L218" s="90" t="s">
        <v>753</v>
      </c>
      <c r="M218" s="91" t="s">
        <v>1059</v>
      </c>
      <c r="N218" s="92" t="s">
        <v>1303</v>
      </c>
      <c r="O218" s="85">
        <v>2910907246</v>
      </c>
      <c r="P218" s="93">
        <f>+_xlfn.XLOOKUP(O218,'[3]Benef Primera fecha '!$C:$C,'[3]Benef Primera fecha '!$E:$E,0)</f>
        <v>2750500000</v>
      </c>
      <c r="Q218" s="93">
        <v>0</v>
      </c>
      <c r="R218" s="94">
        <f t="shared" si="73"/>
        <v>2750500000</v>
      </c>
      <c r="S218" s="95">
        <v>0.11999999997654534</v>
      </c>
      <c r="T218" s="94">
        <f t="shared" si="74"/>
        <v>294696428.51999998</v>
      </c>
      <c r="U218" s="117">
        <v>2726557653</v>
      </c>
      <c r="V218" s="117">
        <v>0</v>
      </c>
      <c r="W218" s="94">
        <f t="shared" si="75"/>
        <v>0</v>
      </c>
      <c r="X218" s="94">
        <f t="shared" si="76"/>
        <v>0</v>
      </c>
      <c r="Y218" s="94">
        <f t="shared" si="77"/>
        <v>0</v>
      </c>
      <c r="Z218" s="93">
        <f>_xlfn.XLOOKUP(O218,'[4]2DO TRIMESTRE'!$C:$C,'[4]2DO TRIMESTRE'!$I:$I,0,0)</f>
        <v>0</v>
      </c>
      <c r="AA218" s="94">
        <f t="shared" si="78"/>
        <v>0</v>
      </c>
      <c r="AB218" s="94">
        <f t="shared" si="79"/>
        <v>0</v>
      </c>
      <c r="AC218" s="94">
        <f t="shared" si="80"/>
        <v>0</v>
      </c>
      <c r="AD218" s="93">
        <v>0</v>
      </c>
      <c r="AE218" s="94">
        <f>+AD218/(1+$S218)*$S218</f>
        <v>0</v>
      </c>
      <c r="AF218" s="94">
        <f t="shared" si="82"/>
        <v>0</v>
      </c>
      <c r="AG218" s="94">
        <f t="shared" si="83"/>
        <v>0</v>
      </c>
      <c r="AH218" s="117">
        <v>0</v>
      </c>
      <c r="AI218" s="94">
        <f t="shared" si="69"/>
        <v>0</v>
      </c>
      <c r="AJ218" s="94">
        <f t="shared" si="70"/>
        <v>0</v>
      </c>
      <c r="AK218" s="94">
        <f t="shared" si="71"/>
        <v>0</v>
      </c>
      <c r="AL218" s="93">
        <v>292131177.05616194</v>
      </c>
      <c r="AM218" s="93">
        <f t="shared" si="84"/>
        <v>0</v>
      </c>
      <c r="AN218" s="155"/>
      <c r="AO218" s="155"/>
    </row>
    <row r="219" spans="1:41" s="9" customFormat="1" ht="25.15" customHeight="1" x14ac:dyDescent="0.25">
      <c r="A219" s="83">
        <v>213</v>
      </c>
      <c r="B219" s="84">
        <v>2023</v>
      </c>
      <c r="C219" s="85" t="s">
        <v>879</v>
      </c>
      <c r="D219" s="86" t="s">
        <v>1304</v>
      </c>
      <c r="E219" s="86" t="s">
        <v>777</v>
      </c>
      <c r="F219" s="87">
        <v>45105</v>
      </c>
      <c r="G219" s="87">
        <v>45287</v>
      </c>
      <c r="H219" s="88">
        <f t="shared" si="72"/>
        <v>2.0222222222222221</v>
      </c>
      <c r="I219" s="89" t="s">
        <v>759</v>
      </c>
      <c r="J219" s="90" t="s">
        <v>751</v>
      </c>
      <c r="K219" s="90" t="s">
        <v>752</v>
      </c>
      <c r="L219" s="90" t="s">
        <v>753</v>
      </c>
      <c r="M219" s="91" t="s">
        <v>1305</v>
      </c>
      <c r="N219" s="92" t="s">
        <v>1306</v>
      </c>
      <c r="O219" s="85">
        <v>2453018357</v>
      </c>
      <c r="P219" s="93">
        <v>130000000</v>
      </c>
      <c r="Q219" s="93">
        <v>0</v>
      </c>
      <c r="R219" s="94">
        <f t="shared" si="73"/>
        <v>130000000</v>
      </c>
      <c r="S219" s="95">
        <v>0</v>
      </c>
      <c r="T219" s="94">
        <f t="shared" si="74"/>
        <v>0</v>
      </c>
      <c r="U219" s="117">
        <v>0</v>
      </c>
      <c r="V219" s="117">
        <v>0</v>
      </c>
      <c r="W219" s="94">
        <f t="shared" si="75"/>
        <v>0</v>
      </c>
      <c r="X219" s="94">
        <f t="shared" si="76"/>
        <v>0</v>
      </c>
      <c r="Y219" s="94">
        <f t="shared" si="77"/>
        <v>0</v>
      </c>
      <c r="Z219" s="93">
        <f>_xlfn.XLOOKUP(O219,'[4]2DO TRIMESTRE'!$C:$C,'[4]2DO TRIMESTRE'!$I:$I,0,0)</f>
        <v>0</v>
      </c>
      <c r="AA219" s="94">
        <f t="shared" si="78"/>
        <v>0</v>
      </c>
      <c r="AB219" s="94">
        <f t="shared" si="79"/>
        <v>0</v>
      </c>
      <c r="AC219" s="94">
        <f t="shared" si="80"/>
        <v>0</v>
      </c>
      <c r="AD219" s="93">
        <v>0</v>
      </c>
      <c r="AE219" s="94">
        <f t="shared" si="81"/>
        <v>0</v>
      </c>
      <c r="AF219" s="94">
        <f t="shared" si="82"/>
        <v>0</v>
      </c>
      <c r="AG219" s="94">
        <f t="shared" si="83"/>
        <v>0</v>
      </c>
      <c r="AH219" s="117">
        <v>0</v>
      </c>
      <c r="AI219" s="94">
        <f t="shared" si="69"/>
        <v>0</v>
      </c>
      <c r="AJ219" s="94">
        <f t="shared" si="70"/>
        <v>0</v>
      </c>
      <c r="AK219" s="94">
        <f t="shared" si="71"/>
        <v>0</v>
      </c>
      <c r="AL219" s="93">
        <v>0</v>
      </c>
      <c r="AM219" s="93">
        <f t="shared" si="84"/>
        <v>0</v>
      </c>
      <c r="AN219" s="155" t="s">
        <v>800</v>
      </c>
      <c r="AO219" s="155" t="s">
        <v>800</v>
      </c>
    </row>
    <row r="220" spans="1:41" s="9" customFormat="1" ht="25.15" customHeight="1" x14ac:dyDescent="0.25">
      <c r="A220" s="83">
        <v>214</v>
      </c>
      <c r="B220" s="84">
        <v>2023</v>
      </c>
      <c r="C220" s="85" t="s">
        <v>1307</v>
      </c>
      <c r="D220" s="86" t="s">
        <v>1308</v>
      </c>
      <c r="E220" s="86" t="s">
        <v>777</v>
      </c>
      <c r="F220" s="87">
        <v>45105</v>
      </c>
      <c r="G220" s="87">
        <v>45257</v>
      </c>
      <c r="H220" s="88">
        <f t="shared" si="72"/>
        <v>1.6888888888888889</v>
      </c>
      <c r="I220" s="89" t="s">
        <v>750</v>
      </c>
      <c r="J220" s="90" t="s">
        <v>751</v>
      </c>
      <c r="K220" s="90" t="s">
        <v>752</v>
      </c>
      <c r="L220" s="90" t="s">
        <v>753</v>
      </c>
      <c r="M220" s="91" t="s">
        <v>1059</v>
      </c>
      <c r="N220" s="92" t="s">
        <v>1309</v>
      </c>
      <c r="O220" s="85">
        <v>2453018353</v>
      </c>
      <c r="P220" s="93">
        <v>70000000</v>
      </c>
      <c r="Q220" s="93">
        <v>0</v>
      </c>
      <c r="R220" s="94">
        <f t="shared" si="73"/>
        <v>70000000</v>
      </c>
      <c r="S220" s="95">
        <v>0.12</v>
      </c>
      <c r="T220" s="94">
        <f t="shared" si="74"/>
        <v>7499999.9999999991</v>
      </c>
      <c r="U220" s="117">
        <v>70000000</v>
      </c>
      <c r="V220" s="117">
        <v>0</v>
      </c>
      <c r="W220" s="94">
        <f t="shared" si="75"/>
        <v>0</v>
      </c>
      <c r="X220" s="94">
        <f t="shared" si="76"/>
        <v>0</v>
      </c>
      <c r="Y220" s="94">
        <f t="shared" si="77"/>
        <v>0</v>
      </c>
      <c r="Z220" s="93">
        <f>_xlfn.XLOOKUP(O220,'[4]2DO TRIMESTRE'!$C:$C,'[4]2DO TRIMESTRE'!$I:$I,0,0)</f>
        <v>0</v>
      </c>
      <c r="AA220" s="94">
        <f t="shared" si="78"/>
        <v>0</v>
      </c>
      <c r="AB220" s="94">
        <f t="shared" si="79"/>
        <v>0</v>
      </c>
      <c r="AC220" s="94">
        <f t="shared" si="80"/>
        <v>0</v>
      </c>
      <c r="AD220" s="93">
        <v>0</v>
      </c>
      <c r="AE220" s="94">
        <f t="shared" si="81"/>
        <v>0</v>
      </c>
      <c r="AF220" s="94">
        <f t="shared" si="82"/>
        <v>0</v>
      </c>
      <c r="AG220" s="94">
        <f t="shared" si="83"/>
        <v>0</v>
      </c>
      <c r="AH220" s="117">
        <v>0</v>
      </c>
      <c r="AI220" s="94">
        <f t="shared" si="69"/>
        <v>0</v>
      </c>
      <c r="AJ220" s="94">
        <f t="shared" si="70"/>
        <v>0</v>
      </c>
      <c r="AK220" s="94">
        <f t="shared" si="71"/>
        <v>0</v>
      </c>
      <c r="AL220" s="93">
        <v>7499999.9999999991</v>
      </c>
      <c r="AM220" s="93">
        <f t="shared" si="84"/>
        <v>0</v>
      </c>
      <c r="AN220" s="155"/>
      <c r="AO220" s="155"/>
    </row>
    <row r="221" spans="1:41" s="9" customFormat="1" ht="25.15" customHeight="1" x14ac:dyDescent="0.25">
      <c r="A221" s="83">
        <v>215</v>
      </c>
      <c r="B221" s="84">
        <v>2023</v>
      </c>
      <c r="C221" s="85" t="s">
        <v>1310</v>
      </c>
      <c r="D221" s="86" t="s">
        <v>1310</v>
      </c>
      <c r="E221" s="86" t="s">
        <v>758</v>
      </c>
      <c r="F221" s="87">
        <v>45105</v>
      </c>
      <c r="G221" s="87">
        <v>45222</v>
      </c>
      <c r="H221" s="88">
        <f t="shared" si="72"/>
        <v>1.3</v>
      </c>
      <c r="I221" s="89" t="s">
        <v>759</v>
      </c>
      <c r="J221" s="90" t="s">
        <v>751</v>
      </c>
      <c r="K221" s="90" t="s">
        <v>752</v>
      </c>
      <c r="L221" s="90" t="s">
        <v>753</v>
      </c>
      <c r="M221" s="91" t="s">
        <v>1059</v>
      </c>
      <c r="N221" s="92" t="s">
        <v>1311</v>
      </c>
      <c r="O221" s="85">
        <v>2910907256</v>
      </c>
      <c r="P221" s="93">
        <f>+_xlfn.XLOOKUP(O221,'[3]Benef Primera fecha '!$C:$C,'[3]Benef Primera fecha '!$E:$E,0)</f>
        <v>28000000</v>
      </c>
      <c r="Q221" s="93">
        <v>0</v>
      </c>
      <c r="R221" s="94">
        <f t="shared" si="73"/>
        <v>28000000</v>
      </c>
      <c r="S221" s="95">
        <v>0.12</v>
      </c>
      <c r="T221" s="94">
        <f t="shared" si="74"/>
        <v>2999999.9999999995</v>
      </c>
      <c r="U221" s="117">
        <v>11046000</v>
      </c>
      <c r="V221" s="117">
        <v>0</v>
      </c>
      <c r="W221" s="94">
        <f t="shared" si="75"/>
        <v>0</v>
      </c>
      <c r="X221" s="94">
        <f t="shared" si="76"/>
        <v>0</v>
      </c>
      <c r="Y221" s="94">
        <f t="shared" si="77"/>
        <v>0</v>
      </c>
      <c r="Z221" s="93">
        <f>_xlfn.XLOOKUP(O221,'[4]2DO TRIMESTRE'!$C:$C,'[4]2DO TRIMESTRE'!$I:$I,0,0)</f>
        <v>0</v>
      </c>
      <c r="AA221" s="94">
        <f t="shared" si="78"/>
        <v>0</v>
      </c>
      <c r="AB221" s="94">
        <f t="shared" si="79"/>
        <v>0</v>
      </c>
      <c r="AC221" s="94">
        <f t="shared" si="80"/>
        <v>0</v>
      </c>
      <c r="AD221" s="93">
        <v>0</v>
      </c>
      <c r="AE221" s="94">
        <f t="shared" si="81"/>
        <v>0</v>
      </c>
      <c r="AF221" s="94">
        <f t="shared" si="82"/>
        <v>0</v>
      </c>
      <c r="AG221" s="94">
        <f t="shared" si="83"/>
        <v>0</v>
      </c>
      <c r="AH221" s="117">
        <v>0</v>
      </c>
      <c r="AI221" s="94">
        <f t="shared" si="69"/>
        <v>0</v>
      </c>
      <c r="AJ221" s="94">
        <f t="shared" si="70"/>
        <v>0</v>
      </c>
      <c r="AK221" s="94">
        <f t="shared" si="71"/>
        <v>0</v>
      </c>
      <c r="AL221" s="93">
        <v>1183500</v>
      </c>
      <c r="AM221" s="93">
        <f t="shared" si="84"/>
        <v>0</v>
      </c>
      <c r="AN221" s="155"/>
      <c r="AO221" s="155"/>
    </row>
    <row r="222" spans="1:41" s="9" customFormat="1" ht="25.15" customHeight="1" x14ac:dyDescent="0.25">
      <c r="A222" s="83">
        <v>216</v>
      </c>
      <c r="B222" s="84">
        <v>2023</v>
      </c>
      <c r="C222" s="85" t="s">
        <v>1312</v>
      </c>
      <c r="D222" s="86" t="s">
        <v>1312</v>
      </c>
      <c r="E222" s="86" t="s">
        <v>758</v>
      </c>
      <c r="F222" s="87">
        <v>45105</v>
      </c>
      <c r="G222" s="87">
        <v>45276</v>
      </c>
      <c r="H222" s="88">
        <f t="shared" si="72"/>
        <v>1.9</v>
      </c>
      <c r="I222" s="89" t="s">
        <v>759</v>
      </c>
      <c r="J222" s="90" t="s">
        <v>751</v>
      </c>
      <c r="K222" s="90" t="s">
        <v>752</v>
      </c>
      <c r="L222" s="90" t="s">
        <v>753</v>
      </c>
      <c r="M222" s="91" t="s">
        <v>1059</v>
      </c>
      <c r="N222" s="92" t="s">
        <v>1313</v>
      </c>
      <c r="O222" s="85">
        <v>2910907288</v>
      </c>
      <c r="P222" s="93">
        <f>+_xlfn.XLOOKUP(O222,'[3]Benef Primera fecha '!$C:$C,'[3]Benef Primera fecha '!$E:$E,0)</f>
        <v>3000000</v>
      </c>
      <c r="Q222" s="93">
        <v>0</v>
      </c>
      <c r="R222" s="94">
        <f t="shared" si="73"/>
        <v>3000000</v>
      </c>
      <c r="S222" s="95">
        <v>0.12000017920002867</v>
      </c>
      <c r="T222" s="94">
        <f t="shared" si="74"/>
        <v>321429</v>
      </c>
      <c r="U222" s="117">
        <v>1500000</v>
      </c>
      <c r="V222" s="117">
        <v>0</v>
      </c>
      <c r="W222" s="94">
        <f t="shared" si="75"/>
        <v>0</v>
      </c>
      <c r="X222" s="94">
        <f t="shared" si="76"/>
        <v>0</v>
      </c>
      <c r="Y222" s="94">
        <f t="shared" si="77"/>
        <v>0</v>
      </c>
      <c r="Z222" s="93">
        <f>_xlfn.XLOOKUP(O222,'[4]2DO TRIMESTRE'!$C:$C,'[4]2DO TRIMESTRE'!$I:$I,0,0)</f>
        <v>0</v>
      </c>
      <c r="AA222" s="94">
        <f t="shared" si="78"/>
        <v>0</v>
      </c>
      <c r="AB222" s="94">
        <f t="shared" si="79"/>
        <v>0</v>
      </c>
      <c r="AC222" s="94">
        <f t="shared" si="80"/>
        <v>0</v>
      </c>
      <c r="AD222" s="93">
        <v>0</v>
      </c>
      <c r="AE222" s="94">
        <f t="shared" si="81"/>
        <v>0</v>
      </c>
      <c r="AF222" s="94">
        <f t="shared" si="82"/>
        <v>0</v>
      </c>
      <c r="AG222" s="94">
        <f t="shared" si="83"/>
        <v>0</v>
      </c>
      <c r="AH222" s="117">
        <v>0</v>
      </c>
      <c r="AI222" s="94">
        <f t="shared" si="69"/>
        <v>0</v>
      </c>
      <c r="AJ222" s="94">
        <f t="shared" si="70"/>
        <v>0</v>
      </c>
      <c r="AK222" s="94">
        <f t="shared" si="71"/>
        <v>0</v>
      </c>
      <c r="AL222" s="93">
        <v>160715</v>
      </c>
      <c r="AM222" s="93">
        <f t="shared" si="84"/>
        <v>0</v>
      </c>
      <c r="AN222" s="155"/>
      <c r="AO222" s="155"/>
    </row>
    <row r="223" spans="1:41" s="9" customFormat="1" ht="25.15" customHeight="1" x14ac:dyDescent="0.25">
      <c r="A223" s="83">
        <v>217</v>
      </c>
      <c r="B223" s="84">
        <v>2023</v>
      </c>
      <c r="C223" s="85" t="s">
        <v>1314</v>
      </c>
      <c r="D223" s="86" t="s">
        <v>1315</v>
      </c>
      <c r="E223" s="86" t="s">
        <v>758</v>
      </c>
      <c r="F223" s="87">
        <v>45105</v>
      </c>
      <c r="G223" s="87">
        <v>45276</v>
      </c>
      <c r="H223" s="88">
        <f t="shared" si="72"/>
        <v>1.9</v>
      </c>
      <c r="I223" s="89" t="s">
        <v>759</v>
      </c>
      <c r="J223" s="90" t="s">
        <v>751</v>
      </c>
      <c r="K223" s="90" t="s">
        <v>752</v>
      </c>
      <c r="L223" s="90" t="s">
        <v>753</v>
      </c>
      <c r="M223" s="91" t="s">
        <v>1059</v>
      </c>
      <c r="N223" s="92" t="s">
        <v>1316</v>
      </c>
      <c r="O223" s="85">
        <v>2910907264</v>
      </c>
      <c r="P223" s="93">
        <v>3000000</v>
      </c>
      <c r="Q223" s="93">
        <v>0</v>
      </c>
      <c r="R223" s="94">
        <f t="shared" si="73"/>
        <v>3000000</v>
      </c>
      <c r="S223" s="95">
        <v>0.12</v>
      </c>
      <c r="T223" s="94">
        <f t="shared" si="74"/>
        <v>321428.57142857136</v>
      </c>
      <c r="U223" s="117">
        <v>0</v>
      </c>
      <c r="V223" s="117">
        <v>0</v>
      </c>
      <c r="W223" s="94">
        <f t="shared" si="75"/>
        <v>0</v>
      </c>
      <c r="X223" s="94">
        <f t="shared" si="76"/>
        <v>0</v>
      </c>
      <c r="Y223" s="94">
        <f t="shared" si="77"/>
        <v>0</v>
      </c>
      <c r="Z223" s="93">
        <f>_xlfn.XLOOKUP(O223,'[4]2DO TRIMESTRE'!$C:$C,'[4]2DO TRIMESTRE'!$I:$I,0,0)</f>
        <v>0</v>
      </c>
      <c r="AA223" s="94">
        <f t="shared" si="78"/>
        <v>0</v>
      </c>
      <c r="AB223" s="94">
        <f t="shared" si="79"/>
        <v>0</v>
      </c>
      <c r="AC223" s="94">
        <f t="shared" si="80"/>
        <v>0</v>
      </c>
      <c r="AD223" s="93">
        <v>0</v>
      </c>
      <c r="AE223" s="94">
        <f t="shared" si="81"/>
        <v>0</v>
      </c>
      <c r="AF223" s="94">
        <f t="shared" si="82"/>
        <v>0</v>
      </c>
      <c r="AG223" s="94">
        <f t="shared" si="83"/>
        <v>0</v>
      </c>
      <c r="AH223" s="117">
        <v>0</v>
      </c>
      <c r="AI223" s="94">
        <f t="shared" si="69"/>
        <v>0</v>
      </c>
      <c r="AJ223" s="94">
        <f t="shared" si="70"/>
        <v>0</v>
      </c>
      <c r="AK223" s="94">
        <f t="shared" si="71"/>
        <v>0</v>
      </c>
      <c r="AL223" s="93">
        <v>0</v>
      </c>
      <c r="AM223" s="93">
        <f t="shared" si="84"/>
        <v>0</v>
      </c>
      <c r="AN223" s="155"/>
      <c r="AO223" s="155"/>
    </row>
    <row r="224" spans="1:41" s="9" customFormat="1" ht="25.15" customHeight="1" x14ac:dyDescent="0.25">
      <c r="A224" s="83">
        <v>218</v>
      </c>
      <c r="B224" s="84">
        <v>2023</v>
      </c>
      <c r="C224" s="85" t="s">
        <v>1317</v>
      </c>
      <c r="D224" s="86" t="s">
        <v>1318</v>
      </c>
      <c r="E224" s="86" t="s">
        <v>758</v>
      </c>
      <c r="F224" s="87">
        <v>45105</v>
      </c>
      <c r="G224" s="87">
        <v>45276</v>
      </c>
      <c r="H224" s="88">
        <f t="shared" si="72"/>
        <v>1.9</v>
      </c>
      <c r="I224" s="89" t="s">
        <v>759</v>
      </c>
      <c r="J224" s="90" t="s">
        <v>751</v>
      </c>
      <c r="K224" s="90" t="s">
        <v>752</v>
      </c>
      <c r="L224" s="90" t="s">
        <v>753</v>
      </c>
      <c r="M224" s="91" t="s">
        <v>1059</v>
      </c>
      <c r="N224" s="92" t="s">
        <v>1319</v>
      </c>
      <c r="O224" s="85">
        <v>2910907272</v>
      </c>
      <c r="P224" s="93">
        <v>3000000</v>
      </c>
      <c r="Q224" s="93">
        <v>0</v>
      </c>
      <c r="R224" s="94">
        <f t="shared" si="73"/>
        <v>3000000</v>
      </c>
      <c r="S224" s="95">
        <v>0.12</v>
      </c>
      <c r="T224" s="94">
        <f t="shared" si="74"/>
        <v>321428.57142857136</v>
      </c>
      <c r="U224" s="117">
        <v>0</v>
      </c>
      <c r="V224" s="117">
        <v>0</v>
      </c>
      <c r="W224" s="94">
        <f t="shared" si="75"/>
        <v>0</v>
      </c>
      <c r="X224" s="94">
        <f t="shared" si="76"/>
        <v>0</v>
      </c>
      <c r="Y224" s="94">
        <f t="shared" si="77"/>
        <v>0</v>
      </c>
      <c r="Z224" s="93">
        <f>_xlfn.XLOOKUP(O224,'[4]2DO TRIMESTRE'!$C:$C,'[4]2DO TRIMESTRE'!$I:$I,0,0)</f>
        <v>0</v>
      </c>
      <c r="AA224" s="94">
        <f t="shared" si="78"/>
        <v>0</v>
      </c>
      <c r="AB224" s="94">
        <f t="shared" si="79"/>
        <v>0</v>
      </c>
      <c r="AC224" s="94">
        <f t="shared" si="80"/>
        <v>0</v>
      </c>
      <c r="AD224" s="93">
        <v>0</v>
      </c>
      <c r="AE224" s="94">
        <f t="shared" si="81"/>
        <v>0</v>
      </c>
      <c r="AF224" s="94">
        <f t="shared" si="82"/>
        <v>0</v>
      </c>
      <c r="AG224" s="94">
        <f t="shared" si="83"/>
        <v>0</v>
      </c>
      <c r="AH224" s="117">
        <v>0</v>
      </c>
      <c r="AI224" s="94">
        <f t="shared" si="69"/>
        <v>0</v>
      </c>
      <c r="AJ224" s="94">
        <f t="shared" si="70"/>
        <v>0</v>
      </c>
      <c r="AK224" s="94">
        <f t="shared" si="71"/>
        <v>0</v>
      </c>
      <c r="AL224" s="93">
        <v>0</v>
      </c>
      <c r="AM224" s="93">
        <f t="shared" si="84"/>
        <v>0</v>
      </c>
      <c r="AN224" s="155"/>
      <c r="AO224" s="155"/>
    </row>
    <row r="225" spans="1:41" s="9" customFormat="1" ht="25.15" customHeight="1" x14ac:dyDescent="0.25">
      <c r="A225" s="83">
        <v>219</v>
      </c>
      <c r="B225" s="84">
        <v>2023</v>
      </c>
      <c r="C225" s="85" t="s">
        <v>1320</v>
      </c>
      <c r="D225" s="86" t="s">
        <v>1320</v>
      </c>
      <c r="E225" s="86" t="s">
        <v>758</v>
      </c>
      <c r="F225" s="87">
        <v>45105</v>
      </c>
      <c r="G225" s="87">
        <v>45276</v>
      </c>
      <c r="H225" s="88">
        <f t="shared" si="72"/>
        <v>1.9</v>
      </c>
      <c r="I225" s="89" t="s">
        <v>759</v>
      </c>
      <c r="J225" s="90" t="s">
        <v>751</v>
      </c>
      <c r="K225" s="90" t="s">
        <v>752</v>
      </c>
      <c r="L225" s="90" t="s">
        <v>753</v>
      </c>
      <c r="M225" s="91" t="s">
        <v>1059</v>
      </c>
      <c r="N225" s="92" t="s">
        <v>1321</v>
      </c>
      <c r="O225" s="85">
        <v>2910907278</v>
      </c>
      <c r="P225" s="93">
        <f>+_xlfn.XLOOKUP(O225,'[3]Benef Primera fecha '!$C:$C,'[3]Benef Primera fecha '!$E:$E,0)</f>
        <v>3000000</v>
      </c>
      <c r="Q225" s="93">
        <v>0</v>
      </c>
      <c r="R225" s="94">
        <f t="shared" si="73"/>
        <v>3000000</v>
      </c>
      <c r="S225" s="95">
        <v>0.12000017920002867</v>
      </c>
      <c r="T225" s="94">
        <f t="shared" si="74"/>
        <v>321429</v>
      </c>
      <c r="U225" s="117">
        <v>3000000</v>
      </c>
      <c r="V225" s="117">
        <v>0</v>
      </c>
      <c r="W225" s="94">
        <f t="shared" si="75"/>
        <v>0</v>
      </c>
      <c r="X225" s="94">
        <f t="shared" si="76"/>
        <v>0</v>
      </c>
      <c r="Y225" s="94">
        <f t="shared" si="77"/>
        <v>0</v>
      </c>
      <c r="Z225" s="93">
        <f>_xlfn.XLOOKUP(O225,'[4]2DO TRIMESTRE'!$C:$C,'[4]2DO TRIMESTRE'!$I:$I,0,0)</f>
        <v>0</v>
      </c>
      <c r="AA225" s="94">
        <f t="shared" si="78"/>
        <v>0</v>
      </c>
      <c r="AB225" s="94">
        <f t="shared" si="79"/>
        <v>0</v>
      </c>
      <c r="AC225" s="94">
        <f t="shared" si="80"/>
        <v>0</v>
      </c>
      <c r="AD225" s="93">
        <v>0</v>
      </c>
      <c r="AE225" s="94">
        <f t="shared" si="81"/>
        <v>0</v>
      </c>
      <c r="AF225" s="94">
        <f t="shared" si="82"/>
        <v>0</v>
      </c>
      <c r="AG225" s="94">
        <f t="shared" si="83"/>
        <v>0</v>
      </c>
      <c r="AH225" s="117">
        <v>0</v>
      </c>
      <c r="AI225" s="94">
        <f t="shared" si="69"/>
        <v>0</v>
      </c>
      <c r="AJ225" s="94">
        <f t="shared" si="70"/>
        <v>0</v>
      </c>
      <c r="AK225" s="94">
        <f t="shared" si="71"/>
        <v>0</v>
      </c>
      <c r="AL225" s="93">
        <v>321429</v>
      </c>
      <c r="AM225" s="93">
        <f t="shared" si="84"/>
        <v>0</v>
      </c>
      <c r="AN225" s="155"/>
      <c r="AO225" s="155"/>
    </row>
    <row r="226" spans="1:41" s="9" customFormat="1" ht="25.15" customHeight="1" x14ac:dyDescent="0.25">
      <c r="A226" s="83">
        <v>220</v>
      </c>
      <c r="B226" s="84">
        <v>2023</v>
      </c>
      <c r="C226" s="85" t="s">
        <v>1322</v>
      </c>
      <c r="D226" s="86" t="s">
        <v>1323</v>
      </c>
      <c r="E226" s="86" t="s">
        <v>758</v>
      </c>
      <c r="F226" s="87">
        <v>45105</v>
      </c>
      <c r="G226" s="87">
        <v>45215</v>
      </c>
      <c r="H226" s="88">
        <f t="shared" si="72"/>
        <v>1.2222222222222223</v>
      </c>
      <c r="I226" s="89" t="s">
        <v>759</v>
      </c>
      <c r="J226" s="90" t="s">
        <v>751</v>
      </c>
      <c r="K226" s="90" t="s">
        <v>752</v>
      </c>
      <c r="L226" s="90" t="s">
        <v>753</v>
      </c>
      <c r="M226" s="91" t="s">
        <v>1059</v>
      </c>
      <c r="N226" s="92" t="s">
        <v>1324</v>
      </c>
      <c r="O226" s="85">
        <v>2910907274</v>
      </c>
      <c r="P226" s="93">
        <v>3000000</v>
      </c>
      <c r="Q226" s="93">
        <v>0</v>
      </c>
      <c r="R226" s="94">
        <f t="shared" si="73"/>
        <v>3000000</v>
      </c>
      <c r="S226" s="95">
        <v>0.12</v>
      </c>
      <c r="T226" s="94">
        <f t="shared" si="74"/>
        <v>321428.57142857136</v>
      </c>
      <c r="U226" s="117">
        <v>0</v>
      </c>
      <c r="V226" s="117">
        <v>0</v>
      </c>
      <c r="W226" s="94">
        <f t="shared" si="75"/>
        <v>0</v>
      </c>
      <c r="X226" s="94">
        <f t="shared" si="76"/>
        <v>0</v>
      </c>
      <c r="Y226" s="94">
        <f t="shared" si="77"/>
        <v>0</v>
      </c>
      <c r="Z226" s="93">
        <f>_xlfn.XLOOKUP(O226,'[4]2DO TRIMESTRE'!$C:$C,'[4]2DO TRIMESTRE'!$I:$I,0,0)</f>
        <v>0</v>
      </c>
      <c r="AA226" s="94">
        <f t="shared" si="78"/>
        <v>0</v>
      </c>
      <c r="AB226" s="94">
        <f t="shared" si="79"/>
        <v>0</v>
      </c>
      <c r="AC226" s="94">
        <f t="shared" si="80"/>
        <v>0</v>
      </c>
      <c r="AD226" s="93">
        <v>0</v>
      </c>
      <c r="AE226" s="94">
        <f t="shared" si="81"/>
        <v>0</v>
      </c>
      <c r="AF226" s="94">
        <f t="shared" si="82"/>
        <v>0</v>
      </c>
      <c r="AG226" s="94">
        <f t="shared" si="83"/>
        <v>0</v>
      </c>
      <c r="AH226" s="117">
        <v>0</v>
      </c>
      <c r="AI226" s="94">
        <f t="shared" si="69"/>
        <v>0</v>
      </c>
      <c r="AJ226" s="94">
        <f t="shared" si="70"/>
        <v>0</v>
      </c>
      <c r="AK226" s="94">
        <f t="shared" si="71"/>
        <v>0</v>
      </c>
      <c r="AL226" s="93">
        <v>0</v>
      </c>
      <c r="AM226" s="93">
        <f t="shared" si="84"/>
        <v>0</v>
      </c>
      <c r="AN226" s="155"/>
      <c r="AO226" s="155"/>
    </row>
    <row r="227" spans="1:41" s="9" customFormat="1" ht="25.15" customHeight="1" x14ac:dyDescent="0.25">
      <c r="A227" s="83">
        <v>221</v>
      </c>
      <c r="B227" s="84">
        <v>2023</v>
      </c>
      <c r="C227" s="85" t="s">
        <v>1325</v>
      </c>
      <c r="D227" s="86" t="s">
        <v>1326</v>
      </c>
      <c r="E227" s="86" t="s">
        <v>758</v>
      </c>
      <c r="F227" s="87">
        <v>45105</v>
      </c>
      <c r="G227" s="87">
        <v>45276</v>
      </c>
      <c r="H227" s="88">
        <f t="shared" si="72"/>
        <v>1.9</v>
      </c>
      <c r="I227" s="89" t="s">
        <v>759</v>
      </c>
      <c r="J227" s="90" t="s">
        <v>751</v>
      </c>
      <c r="K227" s="90" t="s">
        <v>752</v>
      </c>
      <c r="L227" s="90" t="s">
        <v>753</v>
      </c>
      <c r="M227" s="91" t="s">
        <v>1059</v>
      </c>
      <c r="N227" s="92" t="s">
        <v>1327</v>
      </c>
      <c r="O227" s="85">
        <v>2910907266</v>
      </c>
      <c r="P227" s="93">
        <v>3000000</v>
      </c>
      <c r="Q227" s="93">
        <v>0</v>
      </c>
      <c r="R227" s="94">
        <f t="shared" si="73"/>
        <v>3000000</v>
      </c>
      <c r="S227" s="95">
        <v>0.12</v>
      </c>
      <c r="T227" s="94">
        <f t="shared" si="74"/>
        <v>321428.57142857136</v>
      </c>
      <c r="U227" s="117">
        <v>0</v>
      </c>
      <c r="V227" s="117">
        <v>0</v>
      </c>
      <c r="W227" s="94">
        <f t="shared" si="75"/>
        <v>0</v>
      </c>
      <c r="X227" s="94">
        <f t="shared" si="76"/>
        <v>0</v>
      </c>
      <c r="Y227" s="94">
        <f t="shared" si="77"/>
        <v>0</v>
      </c>
      <c r="Z227" s="93">
        <f>_xlfn.XLOOKUP(O227,'[4]2DO TRIMESTRE'!$C:$C,'[4]2DO TRIMESTRE'!$I:$I,0,0)</f>
        <v>0</v>
      </c>
      <c r="AA227" s="94">
        <f t="shared" si="78"/>
        <v>0</v>
      </c>
      <c r="AB227" s="94">
        <f t="shared" si="79"/>
        <v>0</v>
      </c>
      <c r="AC227" s="94">
        <f t="shared" si="80"/>
        <v>0</v>
      </c>
      <c r="AD227" s="93">
        <v>0</v>
      </c>
      <c r="AE227" s="94">
        <f t="shared" si="81"/>
        <v>0</v>
      </c>
      <c r="AF227" s="94">
        <f t="shared" si="82"/>
        <v>0</v>
      </c>
      <c r="AG227" s="94">
        <f t="shared" si="83"/>
        <v>0</v>
      </c>
      <c r="AH227" s="117">
        <v>0</v>
      </c>
      <c r="AI227" s="94">
        <f t="shared" si="69"/>
        <v>0</v>
      </c>
      <c r="AJ227" s="94">
        <f t="shared" si="70"/>
        <v>0</v>
      </c>
      <c r="AK227" s="94">
        <f t="shared" si="71"/>
        <v>0</v>
      </c>
      <c r="AL227" s="93">
        <v>0</v>
      </c>
      <c r="AM227" s="93">
        <f t="shared" si="84"/>
        <v>0</v>
      </c>
      <c r="AN227" s="155"/>
      <c r="AO227" s="155"/>
    </row>
    <row r="228" spans="1:41" s="9" customFormat="1" ht="25.15" customHeight="1" x14ac:dyDescent="0.25">
      <c r="A228" s="83">
        <v>222</v>
      </c>
      <c r="B228" s="84">
        <v>2023</v>
      </c>
      <c r="C228" s="85" t="s">
        <v>1328</v>
      </c>
      <c r="D228" s="86" t="s">
        <v>1328</v>
      </c>
      <c r="E228" s="86" t="s">
        <v>758</v>
      </c>
      <c r="F228" s="87">
        <v>45105</v>
      </c>
      <c r="G228" s="87">
        <v>45276</v>
      </c>
      <c r="H228" s="88">
        <f t="shared" si="72"/>
        <v>1.9</v>
      </c>
      <c r="I228" s="89" t="s">
        <v>759</v>
      </c>
      <c r="J228" s="90" t="s">
        <v>751</v>
      </c>
      <c r="K228" s="90" t="s">
        <v>752</v>
      </c>
      <c r="L228" s="90" t="s">
        <v>753</v>
      </c>
      <c r="M228" s="91" t="s">
        <v>1059</v>
      </c>
      <c r="N228" s="92" t="s">
        <v>1329</v>
      </c>
      <c r="O228" s="85">
        <v>2910907276</v>
      </c>
      <c r="P228" s="93">
        <f>+_xlfn.XLOOKUP(O228,'[3]Benef Primera fecha '!$C:$C,'[3]Benef Primera fecha '!$E:$E,0)</f>
        <v>3000000</v>
      </c>
      <c r="Q228" s="93">
        <v>0</v>
      </c>
      <c r="R228" s="94">
        <f t="shared" si="73"/>
        <v>3000000</v>
      </c>
      <c r="S228" s="95">
        <v>0.12000017920002867</v>
      </c>
      <c r="T228" s="94">
        <f t="shared" si="74"/>
        <v>321429</v>
      </c>
      <c r="U228" s="117">
        <v>3000000</v>
      </c>
      <c r="V228" s="117">
        <v>0</v>
      </c>
      <c r="W228" s="94">
        <f t="shared" si="75"/>
        <v>0</v>
      </c>
      <c r="X228" s="94">
        <f t="shared" si="76"/>
        <v>0</v>
      </c>
      <c r="Y228" s="94">
        <f t="shared" si="77"/>
        <v>0</v>
      </c>
      <c r="Z228" s="93">
        <f>_xlfn.XLOOKUP(O228,'[4]2DO TRIMESTRE'!$C:$C,'[4]2DO TRIMESTRE'!$I:$I,0,0)</f>
        <v>0</v>
      </c>
      <c r="AA228" s="94">
        <f t="shared" si="78"/>
        <v>0</v>
      </c>
      <c r="AB228" s="94">
        <f t="shared" si="79"/>
        <v>0</v>
      </c>
      <c r="AC228" s="94">
        <f t="shared" si="80"/>
        <v>0</v>
      </c>
      <c r="AD228" s="93">
        <v>0</v>
      </c>
      <c r="AE228" s="94">
        <f t="shared" si="81"/>
        <v>0</v>
      </c>
      <c r="AF228" s="94">
        <f t="shared" si="82"/>
        <v>0</v>
      </c>
      <c r="AG228" s="94">
        <f t="shared" si="83"/>
        <v>0</v>
      </c>
      <c r="AH228" s="117">
        <v>0</v>
      </c>
      <c r="AI228" s="94">
        <f t="shared" si="69"/>
        <v>0</v>
      </c>
      <c r="AJ228" s="94">
        <f t="shared" si="70"/>
        <v>0</v>
      </c>
      <c r="AK228" s="94">
        <f t="shared" si="71"/>
        <v>0</v>
      </c>
      <c r="AL228" s="93">
        <v>321429</v>
      </c>
      <c r="AM228" s="93">
        <f t="shared" si="84"/>
        <v>0</v>
      </c>
      <c r="AN228" s="155"/>
      <c r="AO228" s="155"/>
    </row>
    <row r="229" spans="1:41" s="9" customFormat="1" ht="25.15" customHeight="1" x14ac:dyDescent="0.25">
      <c r="A229" s="83">
        <v>223</v>
      </c>
      <c r="B229" s="84">
        <v>2023</v>
      </c>
      <c r="C229" s="85" t="s">
        <v>1330</v>
      </c>
      <c r="D229" s="86" t="s">
        <v>1330</v>
      </c>
      <c r="E229" s="86" t="s">
        <v>758</v>
      </c>
      <c r="F229" s="87">
        <v>45105</v>
      </c>
      <c r="G229" s="87">
        <v>45276</v>
      </c>
      <c r="H229" s="88">
        <f t="shared" si="72"/>
        <v>1.9</v>
      </c>
      <c r="I229" s="89" t="s">
        <v>759</v>
      </c>
      <c r="J229" s="90" t="s">
        <v>751</v>
      </c>
      <c r="K229" s="90" t="s">
        <v>752</v>
      </c>
      <c r="L229" s="90" t="s">
        <v>753</v>
      </c>
      <c r="M229" s="91" t="s">
        <v>1059</v>
      </c>
      <c r="N229" s="92" t="s">
        <v>1331</v>
      </c>
      <c r="O229" s="85">
        <v>2910907265</v>
      </c>
      <c r="P229" s="93">
        <f>+_xlfn.XLOOKUP(O229,'[3]Benef Primera fecha '!$C:$C,'[3]Benef Primera fecha '!$E:$E,0)</f>
        <v>3000000</v>
      </c>
      <c r="Q229" s="93">
        <v>0</v>
      </c>
      <c r="R229" s="94">
        <f t="shared" si="73"/>
        <v>3000000</v>
      </c>
      <c r="S229" s="95">
        <v>0.12000017920002867</v>
      </c>
      <c r="T229" s="94">
        <f t="shared" si="74"/>
        <v>321429</v>
      </c>
      <c r="U229" s="117">
        <v>3000000</v>
      </c>
      <c r="V229" s="117">
        <v>0</v>
      </c>
      <c r="W229" s="94">
        <f t="shared" si="75"/>
        <v>0</v>
      </c>
      <c r="X229" s="94">
        <f t="shared" si="76"/>
        <v>0</v>
      </c>
      <c r="Y229" s="94">
        <f t="shared" si="77"/>
        <v>0</v>
      </c>
      <c r="Z229" s="93">
        <f>_xlfn.XLOOKUP(O229,'[4]2DO TRIMESTRE'!$C:$C,'[4]2DO TRIMESTRE'!$I:$I,0,0)</f>
        <v>0</v>
      </c>
      <c r="AA229" s="94">
        <f t="shared" si="78"/>
        <v>0</v>
      </c>
      <c r="AB229" s="94">
        <f t="shared" si="79"/>
        <v>0</v>
      </c>
      <c r="AC229" s="94">
        <f t="shared" si="80"/>
        <v>0</v>
      </c>
      <c r="AD229" s="93">
        <v>0</v>
      </c>
      <c r="AE229" s="94">
        <f t="shared" si="81"/>
        <v>0</v>
      </c>
      <c r="AF229" s="94">
        <f t="shared" si="82"/>
        <v>0</v>
      </c>
      <c r="AG229" s="94">
        <f t="shared" si="83"/>
        <v>0</v>
      </c>
      <c r="AH229" s="117">
        <v>0</v>
      </c>
      <c r="AI229" s="94">
        <f t="shared" si="69"/>
        <v>0</v>
      </c>
      <c r="AJ229" s="94">
        <f t="shared" si="70"/>
        <v>0</v>
      </c>
      <c r="AK229" s="94">
        <f t="shared" si="71"/>
        <v>0</v>
      </c>
      <c r="AL229" s="93">
        <v>321429</v>
      </c>
      <c r="AM229" s="93">
        <f t="shared" si="84"/>
        <v>0</v>
      </c>
      <c r="AN229" s="155"/>
      <c r="AO229" s="155"/>
    </row>
    <row r="230" spans="1:41" s="9" customFormat="1" ht="25.15" customHeight="1" x14ac:dyDescent="0.25">
      <c r="A230" s="83">
        <v>224</v>
      </c>
      <c r="B230" s="84">
        <v>2023</v>
      </c>
      <c r="C230" s="85" t="s">
        <v>1332</v>
      </c>
      <c r="D230" s="86" t="s">
        <v>1333</v>
      </c>
      <c r="E230" s="86" t="s">
        <v>758</v>
      </c>
      <c r="F230" s="87">
        <v>45105</v>
      </c>
      <c r="G230" s="87">
        <v>45269</v>
      </c>
      <c r="H230" s="88">
        <f t="shared" si="72"/>
        <v>1.8222222222222222</v>
      </c>
      <c r="I230" s="89" t="s">
        <v>759</v>
      </c>
      <c r="J230" s="90" t="s">
        <v>751</v>
      </c>
      <c r="K230" s="90" t="s">
        <v>752</v>
      </c>
      <c r="L230" s="90" t="s">
        <v>753</v>
      </c>
      <c r="M230" s="91" t="s">
        <v>1059</v>
      </c>
      <c r="N230" s="92" t="s">
        <v>1334</v>
      </c>
      <c r="O230" s="85">
        <v>2910907257</v>
      </c>
      <c r="P230" s="93">
        <v>18000000</v>
      </c>
      <c r="Q230" s="93">
        <v>0</v>
      </c>
      <c r="R230" s="94">
        <f t="shared" si="73"/>
        <v>18000000</v>
      </c>
      <c r="S230" s="95">
        <v>0.12</v>
      </c>
      <c r="T230" s="94">
        <f t="shared" si="74"/>
        <v>1928571.4285714282</v>
      </c>
      <c r="U230" s="117">
        <v>0</v>
      </c>
      <c r="V230" s="117">
        <v>0</v>
      </c>
      <c r="W230" s="94">
        <f t="shared" si="75"/>
        <v>0</v>
      </c>
      <c r="X230" s="94">
        <f t="shared" si="76"/>
        <v>0</v>
      </c>
      <c r="Y230" s="94">
        <f t="shared" si="77"/>
        <v>0</v>
      </c>
      <c r="Z230" s="93">
        <f>_xlfn.XLOOKUP(O230,'[4]2DO TRIMESTRE'!$C:$C,'[4]2DO TRIMESTRE'!$I:$I,0,0)</f>
        <v>0</v>
      </c>
      <c r="AA230" s="94">
        <f t="shared" si="78"/>
        <v>0</v>
      </c>
      <c r="AB230" s="94">
        <f t="shared" si="79"/>
        <v>0</v>
      </c>
      <c r="AC230" s="94">
        <f t="shared" si="80"/>
        <v>0</v>
      </c>
      <c r="AD230" s="93">
        <v>0</v>
      </c>
      <c r="AE230" s="94">
        <f t="shared" si="81"/>
        <v>0</v>
      </c>
      <c r="AF230" s="94">
        <f t="shared" si="82"/>
        <v>0</v>
      </c>
      <c r="AG230" s="94">
        <f t="shared" si="83"/>
        <v>0</v>
      </c>
      <c r="AH230" s="117">
        <v>0</v>
      </c>
      <c r="AI230" s="94">
        <f t="shared" si="69"/>
        <v>0</v>
      </c>
      <c r="AJ230" s="94">
        <f t="shared" si="70"/>
        <v>0</v>
      </c>
      <c r="AK230" s="94">
        <f t="shared" si="71"/>
        <v>0</v>
      </c>
      <c r="AL230" s="93">
        <v>0</v>
      </c>
      <c r="AM230" s="93">
        <f t="shared" si="84"/>
        <v>0</v>
      </c>
      <c r="AN230" s="155"/>
      <c r="AO230" s="155"/>
    </row>
    <row r="231" spans="1:41" s="9" customFormat="1" ht="25.15" customHeight="1" x14ac:dyDescent="0.25">
      <c r="A231" s="83">
        <v>225</v>
      </c>
      <c r="B231" s="84">
        <v>2023</v>
      </c>
      <c r="C231" s="85" t="s">
        <v>1335</v>
      </c>
      <c r="D231" s="86" t="s">
        <v>1335</v>
      </c>
      <c r="E231" s="86" t="s">
        <v>758</v>
      </c>
      <c r="F231" s="87">
        <v>45105</v>
      </c>
      <c r="G231" s="87">
        <v>45260</v>
      </c>
      <c r="H231" s="88">
        <f t="shared" si="72"/>
        <v>1.7222222222222223</v>
      </c>
      <c r="I231" s="89" t="s">
        <v>759</v>
      </c>
      <c r="J231" s="90" t="s">
        <v>751</v>
      </c>
      <c r="K231" s="90" t="s">
        <v>752</v>
      </c>
      <c r="L231" s="90" t="s">
        <v>753</v>
      </c>
      <c r="M231" s="91" t="s">
        <v>1059</v>
      </c>
      <c r="N231" s="92" t="s">
        <v>1336</v>
      </c>
      <c r="O231" s="85">
        <v>2910907255</v>
      </c>
      <c r="P231" s="93">
        <f>+_xlfn.XLOOKUP(O231,'[3]Benef Primera fecha '!$C:$C,'[3]Benef Primera fecha '!$E:$E,0)</f>
        <v>33000000</v>
      </c>
      <c r="Q231" s="93">
        <v>0</v>
      </c>
      <c r="R231" s="94">
        <f t="shared" si="73"/>
        <v>33000000</v>
      </c>
      <c r="S231" s="95">
        <v>0.11999998913939404</v>
      </c>
      <c r="T231" s="94">
        <f t="shared" si="74"/>
        <v>3535713.9999999995</v>
      </c>
      <c r="U231" s="117">
        <v>31680000</v>
      </c>
      <c r="V231" s="117">
        <v>0</v>
      </c>
      <c r="W231" s="94">
        <f t="shared" si="75"/>
        <v>0</v>
      </c>
      <c r="X231" s="94">
        <f t="shared" si="76"/>
        <v>0</v>
      </c>
      <c r="Y231" s="94">
        <f t="shared" si="77"/>
        <v>0</v>
      </c>
      <c r="Z231" s="93">
        <f>_xlfn.XLOOKUP(O231,'[4]2DO TRIMESTRE'!$C:$C,'[4]2DO TRIMESTRE'!$I:$I,0,0)</f>
        <v>0</v>
      </c>
      <c r="AA231" s="94">
        <f t="shared" si="78"/>
        <v>0</v>
      </c>
      <c r="AB231" s="94">
        <f t="shared" si="79"/>
        <v>0</v>
      </c>
      <c r="AC231" s="94">
        <f t="shared" si="80"/>
        <v>0</v>
      </c>
      <c r="AD231" s="93">
        <v>0</v>
      </c>
      <c r="AE231" s="94">
        <f t="shared" si="81"/>
        <v>0</v>
      </c>
      <c r="AF231" s="94">
        <f t="shared" si="82"/>
        <v>0</v>
      </c>
      <c r="AG231" s="94">
        <f t="shared" si="83"/>
        <v>0</v>
      </c>
      <c r="AH231" s="117">
        <v>0</v>
      </c>
      <c r="AI231" s="94">
        <f t="shared" si="69"/>
        <v>0</v>
      </c>
      <c r="AJ231" s="94">
        <f t="shared" si="70"/>
        <v>0</v>
      </c>
      <c r="AK231" s="94">
        <f t="shared" si="71"/>
        <v>0</v>
      </c>
      <c r="AL231" s="93">
        <v>3394285.4399999995</v>
      </c>
      <c r="AM231" s="93">
        <f t="shared" si="84"/>
        <v>0</v>
      </c>
      <c r="AN231" s="155"/>
      <c r="AO231" s="155"/>
    </row>
    <row r="232" spans="1:41" s="9" customFormat="1" ht="25.15" customHeight="1" x14ac:dyDescent="0.25">
      <c r="A232" s="83">
        <v>226</v>
      </c>
      <c r="B232" s="84">
        <v>2023</v>
      </c>
      <c r="C232" s="85" t="s">
        <v>1010</v>
      </c>
      <c r="D232" s="86" t="s">
        <v>1010</v>
      </c>
      <c r="E232" s="86" t="s">
        <v>758</v>
      </c>
      <c r="F232" s="87">
        <v>45105</v>
      </c>
      <c r="G232" s="87">
        <v>45260</v>
      </c>
      <c r="H232" s="88">
        <f t="shared" si="72"/>
        <v>1.7222222222222223</v>
      </c>
      <c r="I232" s="89" t="s">
        <v>759</v>
      </c>
      <c r="J232" s="90" t="s">
        <v>751</v>
      </c>
      <c r="K232" s="90" t="s">
        <v>752</v>
      </c>
      <c r="L232" s="90" t="s">
        <v>753</v>
      </c>
      <c r="M232" s="91" t="s">
        <v>1059</v>
      </c>
      <c r="N232" s="92" t="s">
        <v>1337</v>
      </c>
      <c r="O232" s="85">
        <v>2910907282</v>
      </c>
      <c r="P232" s="93">
        <f>+_xlfn.XLOOKUP(O232,'[3]Benef Primera fecha '!$C:$C,'[3]Benef Primera fecha '!$E:$E,0)</f>
        <v>70000000</v>
      </c>
      <c r="Q232" s="93">
        <v>0</v>
      </c>
      <c r="R232" s="94">
        <f t="shared" si="73"/>
        <v>70000000</v>
      </c>
      <c r="S232" s="95">
        <v>0.12</v>
      </c>
      <c r="T232" s="94">
        <f t="shared" si="74"/>
        <v>7499999.9999999991</v>
      </c>
      <c r="U232" s="117">
        <v>70000000</v>
      </c>
      <c r="V232" s="117">
        <v>0</v>
      </c>
      <c r="W232" s="94">
        <f t="shared" si="75"/>
        <v>0</v>
      </c>
      <c r="X232" s="94">
        <f t="shared" si="76"/>
        <v>0</v>
      </c>
      <c r="Y232" s="94">
        <f t="shared" si="77"/>
        <v>0</v>
      </c>
      <c r="Z232" s="93">
        <f>_xlfn.XLOOKUP(O232,'[4]2DO TRIMESTRE'!$C:$C,'[4]2DO TRIMESTRE'!$I:$I,0,0)</f>
        <v>0</v>
      </c>
      <c r="AA232" s="94">
        <f t="shared" si="78"/>
        <v>0</v>
      </c>
      <c r="AB232" s="94">
        <f t="shared" si="79"/>
        <v>0</v>
      </c>
      <c r="AC232" s="94">
        <f t="shared" si="80"/>
        <v>0</v>
      </c>
      <c r="AD232" s="93">
        <v>0</v>
      </c>
      <c r="AE232" s="94">
        <f t="shared" si="81"/>
        <v>0</v>
      </c>
      <c r="AF232" s="94">
        <f t="shared" si="82"/>
        <v>0</v>
      </c>
      <c r="AG232" s="94">
        <f t="shared" si="83"/>
        <v>0</v>
      </c>
      <c r="AH232" s="117">
        <v>0</v>
      </c>
      <c r="AI232" s="94">
        <f t="shared" si="69"/>
        <v>0</v>
      </c>
      <c r="AJ232" s="94">
        <f t="shared" si="70"/>
        <v>0</v>
      </c>
      <c r="AK232" s="94">
        <f t="shared" si="71"/>
        <v>0</v>
      </c>
      <c r="AL232" s="93">
        <v>7500000</v>
      </c>
      <c r="AM232" s="93">
        <f t="shared" si="84"/>
        <v>0</v>
      </c>
      <c r="AN232" s="155"/>
      <c r="AO232" s="155"/>
    </row>
    <row r="233" spans="1:41" s="9" customFormat="1" ht="25.15" customHeight="1" x14ac:dyDescent="0.25">
      <c r="A233" s="83">
        <v>227</v>
      </c>
      <c r="B233" s="84">
        <v>2023</v>
      </c>
      <c r="C233" s="85" t="s">
        <v>1010</v>
      </c>
      <c r="D233" s="86" t="s">
        <v>1010</v>
      </c>
      <c r="E233" s="86" t="s">
        <v>758</v>
      </c>
      <c r="F233" s="87">
        <v>45105</v>
      </c>
      <c r="G233" s="87">
        <v>45260</v>
      </c>
      <c r="H233" s="88">
        <f t="shared" si="72"/>
        <v>1.7222222222222223</v>
      </c>
      <c r="I233" s="89" t="s">
        <v>759</v>
      </c>
      <c r="J233" s="90" t="s">
        <v>751</v>
      </c>
      <c r="K233" s="90" t="s">
        <v>752</v>
      </c>
      <c r="L233" s="90" t="s">
        <v>753</v>
      </c>
      <c r="M233" s="91" t="s">
        <v>1059</v>
      </c>
      <c r="N233" s="92" t="s">
        <v>1338</v>
      </c>
      <c r="O233" s="85">
        <v>2910907283</v>
      </c>
      <c r="P233" s="93">
        <f>+_xlfn.XLOOKUP(O233,'[3]Benef Primera fecha '!$C:$C,'[3]Benef Primera fecha '!$E:$E,0)</f>
        <v>43000000</v>
      </c>
      <c r="Q233" s="93">
        <v>0</v>
      </c>
      <c r="R233" s="94">
        <f t="shared" si="73"/>
        <v>43000000</v>
      </c>
      <c r="S233" s="95">
        <v>0.12000000416744187</v>
      </c>
      <c r="T233" s="94">
        <f t="shared" si="74"/>
        <v>4607143</v>
      </c>
      <c r="U233" s="117">
        <v>43000000</v>
      </c>
      <c r="V233" s="117">
        <v>0</v>
      </c>
      <c r="W233" s="94">
        <f t="shared" si="75"/>
        <v>0</v>
      </c>
      <c r="X233" s="94">
        <f t="shared" si="76"/>
        <v>0</v>
      </c>
      <c r="Y233" s="94">
        <f t="shared" si="77"/>
        <v>0</v>
      </c>
      <c r="Z233" s="93">
        <f>_xlfn.XLOOKUP(O233,'[4]2DO TRIMESTRE'!$C:$C,'[4]2DO TRIMESTRE'!$I:$I,0,0)</f>
        <v>0</v>
      </c>
      <c r="AA233" s="94">
        <f t="shared" si="78"/>
        <v>0</v>
      </c>
      <c r="AB233" s="94">
        <f t="shared" si="79"/>
        <v>0</v>
      </c>
      <c r="AC233" s="94">
        <f t="shared" si="80"/>
        <v>0</v>
      </c>
      <c r="AD233" s="93">
        <v>0</v>
      </c>
      <c r="AE233" s="94">
        <f t="shared" si="81"/>
        <v>0</v>
      </c>
      <c r="AF233" s="94">
        <f t="shared" si="82"/>
        <v>0</v>
      </c>
      <c r="AG233" s="94">
        <f t="shared" si="83"/>
        <v>0</v>
      </c>
      <c r="AH233" s="117">
        <v>0</v>
      </c>
      <c r="AI233" s="94">
        <f t="shared" si="69"/>
        <v>0</v>
      </c>
      <c r="AJ233" s="94">
        <f t="shared" si="70"/>
        <v>0</v>
      </c>
      <c r="AK233" s="94">
        <f t="shared" si="71"/>
        <v>0</v>
      </c>
      <c r="AL233" s="93">
        <v>4607143</v>
      </c>
      <c r="AM233" s="93">
        <f t="shared" si="84"/>
        <v>0</v>
      </c>
      <c r="AN233" s="155"/>
      <c r="AO233" s="155"/>
    </row>
    <row r="234" spans="1:41" s="9" customFormat="1" ht="25.15" customHeight="1" x14ac:dyDescent="0.25">
      <c r="A234" s="83">
        <v>228</v>
      </c>
      <c r="B234" s="84">
        <v>2023</v>
      </c>
      <c r="C234" s="85" t="s">
        <v>1339</v>
      </c>
      <c r="D234" s="86" t="s">
        <v>1339</v>
      </c>
      <c r="E234" s="86" t="s">
        <v>758</v>
      </c>
      <c r="F234" s="87">
        <v>45105</v>
      </c>
      <c r="G234" s="87">
        <v>45258</v>
      </c>
      <c r="H234" s="88">
        <f t="shared" si="72"/>
        <v>1.7</v>
      </c>
      <c r="I234" s="89" t="s">
        <v>759</v>
      </c>
      <c r="J234" s="90" t="s">
        <v>751</v>
      </c>
      <c r="K234" s="90" t="s">
        <v>752</v>
      </c>
      <c r="L234" s="90" t="s">
        <v>753</v>
      </c>
      <c r="M234" s="91" t="s">
        <v>1059</v>
      </c>
      <c r="N234" s="92" t="s">
        <v>1340</v>
      </c>
      <c r="O234" s="85">
        <v>2910907287</v>
      </c>
      <c r="P234" s="93">
        <f>+_xlfn.XLOOKUP(O234,'[3]Benef Primera fecha '!$C:$C,'[3]Benef Primera fecha '!$E:$E,0)</f>
        <v>28000000</v>
      </c>
      <c r="Q234" s="93">
        <v>0</v>
      </c>
      <c r="R234" s="94">
        <f t="shared" si="73"/>
        <v>28000000</v>
      </c>
      <c r="S234" s="95">
        <v>0.12</v>
      </c>
      <c r="T234" s="94">
        <f t="shared" si="74"/>
        <v>2999999.9999999995</v>
      </c>
      <c r="U234" s="117">
        <v>14000000</v>
      </c>
      <c r="V234" s="117">
        <v>0</v>
      </c>
      <c r="W234" s="94">
        <f t="shared" si="75"/>
        <v>0</v>
      </c>
      <c r="X234" s="94">
        <f t="shared" si="76"/>
        <v>0</v>
      </c>
      <c r="Y234" s="94">
        <f t="shared" si="77"/>
        <v>0</v>
      </c>
      <c r="Z234" s="93">
        <f>_xlfn.XLOOKUP(O234,'[4]2DO TRIMESTRE'!$C:$C,'[4]2DO TRIMESTRE'!$I:$I,0,0)</f>
        <v>0</v>
      </c>
      <c r="AA234" s="94">
        <f t="shared" si="78"/>
        <v>0</v>
      </c>
      <c r="AB234" s="94">
        <f t="shared" si="79"/>
        <v>0</v>
      </c>
      <c r="AC234" s="94">
        <f t="shared" si="80"/>
        <v>0</v>
      </c>
      <c r="AD234" s="93">
        <v>0</v>
      </c>
      <c r="AE234" s="94">
        <f t="shared" si="81"/>
        <v>0</v>
      </c>
      <c r="AF234" s="94">
        <f t="shared" si="82"/>
        <v>0</v>
      </c>
      <c r="AG234" s="94">
        <f t="shared" si="83"/>
        <v>0</v>
      </c>
      <c r="AH234" s="117">
        <v>0</v>
      </c>
      <c r="AI234" s="94">
        <f t="shared" si="69"/>
        <v>0</v>
      </c>
      <c r="AJ234" s="94">
        <f t="shared" si="70"/>
        <v>0</v>
      </c>
      <c r="AK234" s="94">
        <f t="shared" si="71"/>
        <v>0</v>
      </c>
      <c r="AL234" s="93">
        <v>1500000</v>
      </c>
      <c r="AM234" s="93">
        <f t="shared" si="84"/>
        <v>0</v>
      </c>
      <c r="AN234" s="155"/>
      <c r="AO234" s="155"/>
    </row>
    <row r="235" spans="1:41" s="9" customFormat="1" ht="25.15" customHeight="1" x14ac:dyDescent="0.25">
      <c r="A235" s="83">
        <v>229</v>
      </c>
      <c r="B235" s="84">
        <v>2023</v>
      </c>
      <c r="C235" s="85" t="s">
        <v>839</v>
      </c>
      <c r="D235" s="86" t="s">
        <v>1341</v>
      </c>
      <c r="E235" s="86" t="s">
        <v>758</v>
      </c>
      <c r="F235" s="87">
        <v>45105</v>
      </c>
      <c r="G235" s="87">
        <v>45323</v>
      </c>
      <c r="H235" s="88">
        <f t="shared" si="72"/>
        <v>2.4222222222222221</v>
      </c>
      <c r="I235" s="89" t="s">
        <v>759</v>
      </c>
      <c r="J235" s="90" t="s">
        <v>751</v>
      </c>
      <c r="K235" s="90" t="s">
        <v>752</v>
      </c>
      <c r="L235" s="90" t="s">
        <v>753</v>
      </c>
      <c r="M235" s="91" t="s">
        <v>1059</v>
      </c>
      <c r="N235" s="92" t="s">
        <v>1342</v>
      </c>
      <c r="O235" s="85">
        <v>2910907248</v>
      </c>
      <c r="P235" s="93">
        <f>+_xlfn.XLOOKUP(O235,'[3]Benef Primera fecha '!$C:$C,'[3]Benef Primera fecha '!$E:$E,0)</f>
        <v>920810240</v>
      </c>
      <c r="Q235" s="93">
        <v>0</v>
      </c>
      <c r="R235" s="94">
        <f t="shared" si="73"/>
        <v>920810240</v>
      </c>
      <c r="S235" s="95">
        <v>0.12</v>
      </c>
      <c r="T235" s="94">
        <f t="shared" si="74"/>
        <v>98658239.999999985</v>
      </c>
      <c r="U235" s="117">
        <v>920810240</v>
      </c>
      <c r="V235" s="117">
        <v>0</v>
      </c>
      <c r="W235" s="94">
        <f t="shared" si="75"/>
        <v>0</v>
      </c>
      <c r="X235" s="94">
        <f t="shared" si="76"/>
        <v>0</v>
      </c>
      <c r="Y235" s="94">
        <f t="shared" si="77"/>
        <v>0</v>
      </c>
      <c r="Z235" s="93">
        <f>_xlfn.XLOOKUP(O235,'[4]2DO TRIMESTRE'!$C:$C,'[4]2DO TRIMESTRE'!$I:$I,0,0)</f>
        <v>0</v>
      </c>
      <c r="AA235" s="94">
        <f t="shared" si="78"/>
        <v>0</v>
      </c>
      <c r="AB235" s="94">
        <f t="shared" si="79"/>
        <v>0</v>
      </c>
      <c r="AC235" s="94">
        <f t="shared" si="80"/>
        <v>0</v>
      </c>
      <c r="AD235" s="93">
        <v>0</v>
      </c>
      <c r="AE235" s="94">
        <f t="shared" si="81"/>
        <v>0</v>
      </c>
      <c r="AF235" s="94">
        <f t="shared" si="82"/>
        <v>0</v>
      </c>
      <c r="AG235" s="94">
        <f t="shared" si="83"/>
        <v>0</v>
      </c>
      <c r="AH235" s="117">
        <v>0</v>
      </c>
      <c r="AI235" s="94">
        <f t="shared" si="69"/>
        <v>0</v>
      </c>
      <c r="AJ235" s="94">
        <f t="shared" si="70"/>
        <v>0</v>
      </c>
      <c r="AK235" s="94">
        <f t="shared" si="71"/>
        <v>0</v>
      </c>
      <c r="AL235" s="93">
        <v>98658239.999999985</v>
      </c>
      <c r="AM235" s="93">
        <f t="shared" si="84"/>
        <v>0</v>
      </c>
      <c r="AN235" s="155"/>
      <c r="AO235" s="155"/>
    </row>
    <row r="236" spans="1:41" s="9" customFormat="1" ht="25.15" customHeight="1" x14ac:dyDescent="0.25">
      <c r="A236" s="83">
        <v>230</v>
      </c>
      <c r="B236" s="84">
        <v>2023</v>
      </c>
      <c r="C236" s="85" t="s">
        <v>1343</v>
      </c>
      <c r="D236" s="86" t="s">
        <v>1343</v>
      </c>
      <c r="E236" s="86" t="s">
        <v>777</v>
      </c>
      <c r="F236" s="87">
        <v>45105</v>
      </c>
      <c r="G236" s="87">
        <v>45470</v>
      </c>
      <c r="H236" s="88">
        <f t="shared" si="72"/>
        <v>4.0555555555555554</v>
      </c>
      <c r="I236" s="89" t="s">
        <v>1086</v>
      </c>
      <c r="J236" s="90" t="s">
        <v>751</v>
      </c>
      <c r="K236" s="90" t="s">
        <v>752</v>
      </c>
      <c r="L236" s="90" t="s">
        <v>753</v>
      </c>
      <c r="M236" s="91" t="s">
        <v>1059</v>
      </c>
      <c r="N236" s="92" t="s">
        <v>1344</v>
      </c>
      <c r="O236" s="85">
        <v>2453018358</v>
      </c>
      <c r="P236" s="93">
        <f>_xlfn.XLOOKUP(O236,[5]Base!$C:$C,[5]Base!$E:$E,0,0)</f>
        <v>0</v>
      </c>
      <c r="Q236" s="93">
        <v>0</v>
      </c>
      <c r="R236" s="94">
        <f t="shared" si="73"/>
        <v>0</v>
      </c>
      <c r="S236" s="95">
        <v>0</v>
      </c>
      <c r="T236" s="94">
        <f t="shared" si="74"/>
        <v>0</v>
      </c>
      <c r="U236" s="117">
        <v>0</v>
      </c>
      <c r="V236" s="117">
        <v>0</v>
      </c>
      <c r="W236" s="94">
        <f t="shared" si="75"/>
        <v>0</v>
      </c>
      <c r="X236" s="94">
        <f t="shared" si="76"/>
        <v>0</v>
      </c>
      <c r="Y236" s="94">
        <f t="shared" si="77"/>
        <v>0</v>
      </c>
      <c r="Z236" s="93">
        <f>_xlfn.XLOOKUP(O236,'[4]2DO TRIMESTRE'!$C:$C,'[4]2DO TRIMESTRE'!$I:$I,0,0)</f>
        <v>0</v>
      </c>
      <c r="AA236" s="94">
        <f t="shared" si="78"/>
        <v>0</v>
      </c>
      <c r="AB236" s="94">
        <f t="shared" si="79"/>
        <v>0</v>
      </c>
      <c r="AC236" s="94">
        <f t="shared" si="80"/>
        <v>0</v>
      </c>
      <c r="AD236" s="93">
        <v>0</v>
      </c>
      <c r="AE236" s="94">
        <f t="shared" si="81"/>
        <v>0</v>
      </c>
      <c r="AF236" s="94">
        <f t="shared" si="82"/>
        <v>0</v>
      </c>
      <c r="AG236" s="94">
        <f t="shared" si="83"/>
        <v>0</v>
      </c>
      <c r="AH236" s="117">
        <v>0</v>
      </c>
      <c r="AI236" s="94">
        <f t="shared" si="69"/>
        <v>0</v>
      </c>
      <c r="AJ236" s="94">
        <f t="shared" si="70"/>
        <v>0</v>
      </c>
      <c r="AK236" s="94">
        <f t="shared" si="71"/>
        <v>0</v>
      </c>
      <c r="AL236" s="93">
        <v>0</v>
      </c>
      <c r="AM236" s="93">
        <f t="shared" si="84"/>
        <v>0</v>
      </c>
      <c r="AN236" s="155" t="s">
        <v>800</v>
      </c>
      <c r="AO236" s="155" t="s">
        <v>800</v>
      </c>
    </row>
    <row r="237" spans="1:41" s="9" customFormat="1" ht="25.15" customHeight="1" x14ac:dyDescent="0.25">
      <c r="A237" s="83">
        <v>231</v>
      </c>
      <c r="B237" s="84">
        <v>2023</v>
      </c>
      <c r="C237" s="85" t="s">
        <v>1164</v>
      </c>
      <c r="D237" s="86" t="s">
        <v>1345</v>
      </c>
      <c r="E237" s="86" t="s">
        <v>777</v>
      </c>
      <c r="F237" s="87">
        <v>45105</v>
      </c>
      <c r="G237" s="87">
        <v>45424</v>
      </c>
      <c r="H237" s="88">
        <f t="shared" si="72"/>
        <v>3.5444444444444443</v>
      </c>
      <c r="I237" s="89" t="s">
        <v>759</v>
      </c>
      <c r="J237" s="90" t="s">
        <v>751</v>
      </c>
      <c r="K237" s="90" t="s">
        <v>752</v>
      </c>
      <c r="L237" s="90" t="s">
        <v>753</v>
      </c>
      <c r="M237" s="91" t="s">
        <v>1059</v>
      </c>
      <c r="N237" s="92" t="s">
        <v>1346</v>
      </c>
      <c r="O237" s="85">
        <v>2453018354</v>
      </c>
      <c r="P237" s="93">
        <v>330437363</v>
      </c>
      <c r="Q237" s="93">
        <v>0</v>
      </c>
      <c r="R237" s="94">
        <f t="shared" si="73"/>
        <v>330437363</v>
      </c>
      <c r="S237" s="95">
        <v>0.11999999932211056</v>
      </c>
      <c r="T237" s="94">
        <f t="shared" si="74"/>
        <v>35404003</v>
      </c>
      <c r="U237" s="117">
        <v>220873674</v>
      </c>
      <c r="V237" s="117">
        <v>0</v>
      </c>
      <c r="W237" s="94">
        <f t="shared" si="75"/>
        <v>0</v>
      </c>
      <c r="X237" s="94">
        <f t="shared" si="76"/>
        <v>0</v>
      </c>
      <c r="Y237" s="94">
        <f t="shared" si="77"/>
        <v>0</v>
      </c>
      <c r="Z237" s="93">
        <f>_xlfn.XLOOKUP(O237,'[4]2DO TRIMESTRE'!$C:$C,'[4]2DO TRIMESTRE'!$I:$I,0,0)</f>
        <v>0</v>
      </c>
      <c r="AA237" s="94">
        <f t="shared" si="78"/>
        <v>0</v>
      </c>
      <c r="AB237" s="94">
        <f t="shared" si="79"/>
        <v>0</v>
      </c>
      <c r="AC237" s="94">
        <f t="shared" si="80"/>
        <v>0</v>
      </c>
      <c r="AD237" s="93">
        <v>0</v>
      </c>
      <c r="AE237" s="94">
        <f t="shared" si="81"/>
        <v>0</v>
      </c>
      <c r="AF237" s="94">
        <f t="shared" si="82"/>
        <v>0</v>
      </c>
      <c r="AG237" s="94">
        <f t="shared" si="83"/>
        <v>0</v>
      </c>
      <c r="AH237" s="117">
        <v>0</v>
      </c>
      <c r="AI237" s="94">
        <f t="shared" si="69"/>
        <v>0</v>
      </c>
      <c r="AJ237" s="94">
        <f t="shared" si="70"/>
        <v>0</v>
      </c>
      <c r="AK237" s="94">
        <f t="shared" si="71"/>
        <v>0</v>
      </c>
      <c r="AL237" s="93">
        <v>23665036.380637806</v>
      </c>
      <c r="AM237" s="93">
        <f t="shared" si="84"/>
        <v>0</v>
      </c>
      <c r="AN237" s="155"/>
      <c r="AO237" s="155"/>
    </row>
    <row r="238" spans="1:41" s="9" customFormat="1" ht="25.15" customHeight="1" x14ac:dyDescent="0.25">
      <c r="A238" s="83">
        <v>232</v>
      </c>
      <c r="B238" s="84">
        <v>2023</v>
      </c>
      <c r="C238" s="85" t="s">
        <v>873</v>
      </c>
      <c r="D238" s="86" t="s">
        <v>1347</v>
      </c>
      <c r="E238" s="86" t="s">
        <v>758</v>
      </c>
      <c r="F238" s="87">
        <v>45105</v>
      </c>
      <c r="G238" s="87">
        <v>45266</v>
      </c>
      <c r="H238" s="88">
        <f t="shared" si="72"/>
        <v>1.788888888888889</v>
      </c>
      <c r="I238" s="89" t="s">
        <v>759</v>
      </c>
      <c r="J238" s="90" t="s">
        <v>751</v>
      </c>
      <c r="K238" s="90" t="s">
        <v>752</v>
      </c>
      <c r="L238" s="90" t="s">
        <v>753</v>
      </c>
      <c r="M238" s="91" t="s">
        <v>1059</v>
      </c>
      <c r="N238" s="92" t="s">
        <v>1348</v>
      </c>
      <c r="O238" s="85">
        <v>2910907245</v>
      </c>
      <c r="P238" s="93">
        <v>31920000</v>
      </c>
      <c r="Q238" s="93">
        <v>0</v>
      </c>
      <c r="R238" s="94">
        <f t="shared" si="73"/>
        <v>31920000</v>
      </c>
      <c r="S238" s="95">
        <v>0.12</v>
      </c>
      <c r="T238" s="94">
        <f t="shared" si="74"/>
        <v>3419999.9999999995</v>
      </c>
      <c r="U238" s="117">
        <v>21600000</v>
      </c>
      <c r="V238" s="117">
        <v>0</v>
      </c>
      <c r="W238" s="94">
        <f t="shared" si="75"/>
        <v>0</v>
      </c>
      <c r="X238" s="94">
        <f t="shared" si="76"/>
        <v>0</v>
      </c>
      <c r="Y238" s="94">
        <f t="shared" si="77"/>
        <v>0</v>
      </c>
      <c r="Z238" s="93">
        <f>_xlfn.XLOOKUP(O238,'[4]2DO TRIMESTRE'!$C:$C,'[4]2DO TRIMESTRE'!$I:$I,0,0)</f>
        <v>0</v>
      </c>
      <c r="AA238" s="94">
        <f t="shared" si="78"/>
        <v>0</v>
      </c>
      <c r="AB238" s="94">
        <f t="shared" si="79"/>
        <v>0</v>
      </c>
      <c r="AC238" s="94">
        <f t="shared" si="80"/>
        <v>0</v>
      </c>
      <c r="AD238" s="93">
        <v>0</v>
      </c>
      <c r="AE238" s="94">
        <f t="shared" si="81"/>
        <v>0</v>
      </c>
      <c r="AF238" s="94">
        <f t="shared" si="82"/>
        <v>0</v>
      </c>
      <c r="AG238" s="94">
        <f t="shared" si="83"/>
        <v>0</v>
      </c>
      <c r="AH238" s="117">
        <v>0</v>
      </c>
      <c r="AI238" s="94">
        <f t="shared" si="69"/>
        <v>0</v>
      </c>
      <c r="AJ238" s="94">
        <f t="shared" si="70"/>
        <v>0</v>
      </c>
      <c r="AK238" s="94">
        <f t="shared" si="71"/>
        <v>0</v>
      </c>
      <c r="AL238" s="93">
        <v>2314285.7142857141</v>
      </c>
      <c r="AM238" s="93">
        <f t="shared" si="84"/>
        <v>0</v>
      </c>
      <c r="AN238" s="155"/>
      <c r="AO238" s="155"/>
    </row>
    <row r="239" spans="1:41" s="9" customFormat="1" ht="25.15" customHeight="1" x14ac:dyDescent="0.25">
      <c r="A239" s="83">
        <v>233</v>
      </c>
      <c r="B239" s="84">
        <v>2023</v>
      </c>
      <c r="C239" s="85" t="s">
        <v>900</v>
      </c>
      <c r="D239" s="86" t="s">
        <v>900</v>
      </c>
      <c r="E239" s="86" t="s">
        <v>777</v>
      </c>
      <c r="F239" s="87">
        <v>45105</v>
      </c>
      <c r="G239" s="87">
        <v>45421</v>
      </c>
      <c r="H239" s="88">
        <f t="shared" si="72"/>
        <v>3.5111111111111111</v>
      </c>
      <c r="I239" s="89" t="s">
        <v>759</v>
      </c>
      <c r="J239" s="90" t="s">
        <v>751</v>
      </c>
      <c r="K239" s="90" t="s">
        <v>752</v>
      </c>
      <c r="L239" s="90" t="s">
        <v>753</v>
      </c>
      <c r="M239" s="91" t="s">
        <v>1059</v>
      </c>
      <c r="N239" s="92" t="s">
        <v>1349</v>
      </c>
      <c r="O239" s="85">
        <v>2453018359</v>
      </c>
      <c r="P239" s="93">
        <v>509286400</v>
      </c>
      <c r="Q239" s="93">
        <v>0</v>
      </c>
      <c r="R239" s="94">
        <f t="shared" si="73"/>
        <v>509286400</v>
      </c>
      <c r="S239" s="95">
        <v>0.12</v>
      </c>
      <c r="T239" s="94">
        <f t="shared" si="74"/>
        <v>54566399.999999993</v>
      </c>
      <c r="U239" s="117">
        <v>206480000</v>
      </c>
      <c r="V239" s="117">
        <v>0</v>
      </c>
      <c r="W239" s="94">
        <f t="shared" si="75"/>
        <v>0</v>
      </c>
      <c r="X239" s="94">
        <f t="shared" si="76"/>
        <v>0</v>
      </c>
      <c r="Y239" s="94">
        <f t="shared" si="77"/>
        <v>0</v>
      </c>
      <c r="Z239" s="93">
        <f>_xlfn.XLOOKUP(O239,'[4]2DO TRIMESTRE'!$C:$C,'[4]2DO TRIMESTRE'!$I:$I,0,0)</f>
        <v>0</v>
      </c>
      <c r="AA239" s="94">
        <f t="shared" si="78"/>
        <v>0</v>
      </c>
      <c r="AB239" s="94">
        <f t="shared" si="79"/>
        <v>0</v>
      </c>
      <c r="AC239" s="94">
        <f t="shared" si="80"/>
        <v>0</v>
      </c>
      <c r="AD239" s="93">
        <v>0</v>
      </c>
      <c r="AE239" s="94">
        <f t="shared" si="81"/>
        <v>0</v>
      </c>
      <c r="AF239" s="94">
        <f t="shared" si="82"/>
        <v>0</v>
      </c>
      <c r="AG239" s="94">
        <f t="shared" si="83"/>
        <v>0</v>
      </c>
      <c r="AH239" s="117">
        <v>0</v>
      </c>
      <c r="AI239" s="94">
        <f t="shared" si="69"/>
        <v>0</v>
      </c>
      <c r="AJ239" s="94">
        <f t="shared" si="70"/>
        <v>0</v>
      </c>
      <c r="AK239" s="94">
        <f t="shared" si="71"/>
        <v>0</v>
      </c>
      <c r="AL239" s="93">
        <v>24777600</v>
      </c>
      <c r="AM239" s="93">
        <f t="shared" si="84"/>
        <v>0</v>
      </c>
      <c r="AN239" s="155"/>
      <c r="AO239" s="155"/>
    </row>
    <row r="240" spans="1:41" s="9" customFormat="1" ht="25.15" customHeight="1" x14ac:dyDescent="0.25">
      <c r="A240" s="83">
        <v>234</v>
      </c>
      <c r="B240" s="84">
        <v>2023</v>
      </c>
      <c r="C240" s="85" t="s">
        <v>1350</v>
      </c>
      <c r="D240" s="86" t="s">
        <v>1350</v>
      </c>
      <c r="E240" s="86" t="s">
        <v>758</v>
      </c>
      <c r="F240" s="87">
        <v>45105</v>
      </c>
      <c r="G240" s="87">
        <v>45680</v>
      </c>
      <c r="H240" s="88">
        <f t="shared" si="72"/>
        <v>6.3888888888888893</v>
      </c>
      <c r="I240" s="89" t="s">
        <v>1077</v>
      </c>
      <c r="J240" s="90" t="s">
        <v>751</v>
      </c>
      <c r="K240" s="90" t="s">
        <v>752</v>
      </c>
      <c r="L240" s="90" t="s">
        <v>753</v>
      </c>
      <c r="M240" s="91" t="s">
        <v>754</v>
      </c>
      <c r="N240" s="92">
        <v>0</v>
      </c>
      <c r="O240" s="85">
        <v>0</v>
      </c>
      <c r="P240" s="93">
        <f>_xlfn.XLOOKUP(O240,[5]Base!$C:$C,[5]Base!$E:$E,0,0)</f>
        <v>0</v>
      </c>
      <c r="Q240" s="93">
        <v>0</v>
      </c>
      <c r="R240" s="94">
        <f t="shared" si="73"/>
        <v>0</v>
      </c>
      <c r="S240" s="95">
        <v>0</v>
      </c>
      <c r="T240" s="94">
        <f t="shared" si="74"/>
        <v>0</v>
      </c>
      <c r="U240" s="117">
        <v>0</v>
      </c>
      <c r="V240" s="117">
        <v>0</v>
      </c>
      <c r="W240" s="94">
        <f t="shared" si="75"/>
        <v>0</v>
      </c>
      <c r="X240" s="94">
        <f t="shared" si="76"/>
        <v>0</v>
      </c>
      <c r="Y240" s="94">
        <f t="shared" si="77"/>
        <v>0</v>
      </c>
      <c r="Z240" s="93">
        <f>_xlfn.XLOOKUP(O240,'[4]2DO TRIMESTRE'!$C:$C,'[4]2DO TRIMESTRE'!$I:$I,0,0)</f>
        <v>0</v>
      </c>
      <c r="AA240" s="94">
        <f t="shared" si="78"/>
        <v>0</v>
      </c>
      <c r="AB240" s="94">
        <f t="shared" si="79"/>
        <v>0</v>
      </c>
      <c r="AC240" s="94">
        <f t="shared" si="80"/>
        <v>0</v>
      </c>
      <c r="AD240" s="93">
        <v>0</v>
      </c>
      <c r="AE240" s="94">
        <f t="shared" si="81"/>
        <v>0</v>
      </c>
      <c r="AF240" s="94">
        <f t="shared" si="82"/>
        <v>0</v>
      </c>
      <c r="AG240" s="94">
        <f t="shared" si="83"/>
        <v>0</v>
      </c>
      <c r="AH240" s="117">
        <v>0</v>
      </c>
      <c r="AI240" s="94">
        <f t="shared" si="69"/>
        <v>0</v>
      </c>
      <c r="AJ240" s="94">
        <f t="shared" si="70"/>
        <v>0</v>
      </c>
      <c r="AK240" s="94">
        <f t="shared" si="71"/>
        <v>0</v>
      </c>
      <c r="AL240" s="93">
        <v>0</v>
      </c>
      <c r="AM240" s="93">
        <f t="shared" si="84"/>
        <v>0</v>
      </c>
      <c r="AN240" s="155" t="s">
        <v>1801</v>
      </c>
      <c r="AO240" s="155" t="s">
        <v>1801</v>
      </c>
    </row>
    <row r="241" spans="1:41" s="9" customFormat="1" ht="25.15" customHeight="1" x14ac:dyDescent="0.25">
      <c r="A241" s="83">
        <v>235</v>
      </c>
      <c r="B241" s="84">
        <v>2023</v>
      </c>
      <c r="C241" s="85" t="s">
        <v>747</v>
      </c>
      <c r="D241" s="86" t="s">
        <v>747</v>
      </c>
      <c r="E241" s="86" t="s">
        <v>749</v>
      </c>
      <c r="F241" s="87">
        <v>45121</v>
      </c>
      <c r="G241" s="87">
        <v>45476</v>
      </c>
      <c r="H241" s="88">
        <f t="shared" si="72"/>
        <v>3.9444444444444446</v>
      </c>
      <c r="I241" s="89" t="s">
        <v>759</v>
      </c>
      <c r="J241" s="90" t="s">
        <v>751</v>
      </c>
      <c r="K241" s="90" t="s">
        <v>752</v>
      </c>
      <c r="L241" s="90" t="s">
        <v>753</v>
      </c>
      <c r="M241" s="91" t="s">
        <v>1059</v>
      </c>
      <c r="N241" s="92" t="s">
        <v>1351</v>
      </c>
      <c r="O241" s="85">
        <v>2910908075</v>
      </c>
      <c r="P241" s="93">
        <f>+_xlfn.XLOOKUP(O241,'[3]Benef Primera fecha '!$C:$C,'[3]Benef Primera fecha '!$E:$E,0)</f>
        <v>85315200</v>
      </c>
      <c r="Q241" s="93">
        <f>144357300+87588991</f>
        <v>231946291</v>
      </c>
      <c r="R241" s="94">
        <f t="shared" si="73"/>
        <v>317261491</v>
      </c>
      <c r="S241" s="95">
        <v>0.12000000155329284</v>
      </c>
      <c r="T241" s="94">
        <f t="shared" si="74"/>
        <v>33992303</v>
      </c>
      <c r="U241" s="117">
        <v>317261491</v>
      </c>
      <c r="V241" s="117">
        <v>0</v>
      </c>
      <c r="W241" s="94">
        <f t="shared" si="75"/>
        <v>0</v>
      </c>
      <c r="X241" s="94">
        <f t="shared" si="76"/>
        <v>0</v>
      </c>
      <c r="Y241" s="94">
        <f t="shared" si="77"/>
        <v>0</v>
      </c>
      <c r="Z241" s="93">
        <f>_xlfn.XLOOKUP(O241,'[4]2DO TRIMESTRE'!$C:$C,'[4]2DO TRIMESTRE'!$I:$I,0,0)</f>
        <v>0</v>
      </c>
      <c r="AA241" s="94">
        <f t="shared" si="78"/>
        <v>0</v>
      </c>
      <c r="AB241" s="94">
        <f t="shared" si="79"/>
        <v>0</v>
      </c>
      <c r="AC241" s="94">
        <f t="shared" si="80"/>
        <v>0</v>
      </c>
      <c r="AD241" s="93">
        <v>0</v>
      </c>
      <c r="AE241" s="94">
        <f t="shared" si="81"/>
        <v>0</v>
      </c>
      <c r="AF241" s="94">
        <f t="shared" si="82"/>
        <v>0</v>
      </c>
      <c r="AG241" s="94">
        <f t="shared" si="83"/>
        <v>0</v>
      </c>
      <c r="AH241" s="117">
        <v>0</v>
      </c>
      <c r="AI241" s="94">
        <f t="shared" si="69"/>
        <v>0</v>
      </c>
      <c r="AJ241" s="94">
        <f t="shared" si="70"/>
        <v>0</v>
      </c>
      <c r="AK241" s="94">
        <f t="shared" si="71"/>
        <v>0</v>
      </c>
      <c r="AL241" s="93">
        <v>33992302.858459301</v>
      </c>
      <c r="AM241" s="93">
        <f t="shared" si="84"/>
        <v>0</v>
      </c>
      <c r="AN241" s="155"/>
      <c r="AO241" s="155"/>
    </row>
    <row r="242" spans="1:41" s="9" customFormat="1" ht="25.15" customHeight="1" x14ac:dyDescent="0.25">
      <c r="A242" s="83">
        <v>236</v>
      </c>
      <c r="B242" s="84">
        <v>2023</v>
      </c>
      <c r="C242" s="85" t="s">
        <v>1352</v>
      </c>
      <c r="D242" s="86" t="s">
        <v>1353</v>
      </c>
      <c r="E242" s="86" t="s">
        <v>758</v>
      </c>
      <c r="F242" s="87">
        <v>45131</v>
      </c>
      <c r="G242" s="87">
        <v>45680</v>
      </c>
      <c r="H242" s="88">
        <f t="shared" si="72"/>
        <v>6.1</v>
      </c>
      <c r="I242" s="89" t="s">
        <v>1086</v>
      </c>
      <c r="J242" s="90" t="s">
        <v>751</v>
      </c>
      <c r="K242" s="90" t="s">
        <v>752</v>
      </c>
      <c r="L242" s="90" t="s">
        <v>753</v>
      </c>
      <c r="M242" s="91" t="s">
        <v>1059</v>
      </c>
      <c r="N242" s="92" t="s">
        <v>1354</v>
      </c>
      <c r="O242" s="85">
        <v>2910907292</v>
      </c>
      <c r="P242" s="93">
        <v>161644000</v>
      </c>
      <c r="Q242" s="93">
        <v>3000000</v>
      </c>
      <c r="R242" s="94">
        <f t="shared" si="73"/>
        <v>164644000</v>
      </c>
      <c r="S242" s="95">
        <v>0</v>
      </c>
      <c r="T242" s="94">
        <f t="shared" si="74"/>
        <v>0</v>
      </c>
      <c r="U242" s="117">
        <v>0</v>
      </c>
      <c r="V242" s="117">
        <v>0</v>
      </c>
      <c r="W242" s="94">
        <f t="shared" si="75"/>
        <v>0</v>
      </c>
      <c r="X242" s="94">
        <f t="shared" si="76"/>
        <v>0</v>
      </c>
      <c r="Y242" s="94">
        <f t="shared" si="77"/>
        <v>0</v>
      </c>
      <c r="Z242" s="93">
        <f>_xlfn.XLOOKUP(O242,'[4]2DO TRIMESTRE'!$C:$C,'[4]2DO TRIMESTRE'!$I:$I,0,0)</f>
        <v>0</v>
      </c>
      <c r="AA242" s="94">
        <f t="shared" si="78"/>
        <v>0</v>
      </c>
      <c r="AB242" s="94">
        <f t="shared" si="79"/>
        <v>0</v>
      </c>
      <c r="AC242" s="94">
        <f t="shared" si="80"/>
        <v>0</v>
      </c>
      <c r="AD242" s="93">
        <v>0</v>
      </c>
      <c r="AE242" s="94">
        <f t="shared" si="81"/>
        <v>0</v>
      </c>
      <c r="AF242" s="94">
        <f t="shared" si="82"/>
        <v>0</v>
      </c>
      <c r="AG242" s="94">
        <f t="shared" si="83"/>
        <v>0</v>
      </c>
      <c r="AH242" s="117">
        <v>0</v>
      </c>
      <c r="AI242" s="94">
        <f t="shared" si="69"/>
        <v>0</v>
      </c>
      <c r="AJ242" s="94">
        <f t="shared" si="70"/>
        <v>0</v>
      </c>
      <c r="AK242" s="94">
        <f t="shared" si="71"/>
        <v>0</v>
      </c>
      <c r="AL242" s="93">
        <v>0</v>
      </c>
      <c r="AM242" s="93">
        <f t="shared" si="84"/>
        <v>0</v>
      </c>
      <c r="AN242" s="155" t="s">
        <v>800</v>
      </c>
      <c r="AO242" s="155" t="s">
        <v>800</v>
      </c>
    </row>
    <row r="243" spans="1:41" s="9" customFormat="1" ht="25.15" customHeight="1" x14ac:dyDescent="0.25">
      <c r="A243" s="83">
        <v>237</v>
      </c>
      <c r="B243" s="84">
        <v>2023</v>
      </c>
      <c r="C243" s="85" t="s">
        <v>128</v>
      </c>
      <c r="D243" s="86" t="s">
        <v>128</v>
      </c>
      <c r="E243" s="86" t="s">
        <v>758</v>
      </c>
      <c r="F243" s="87">
        <v>45134</v>
      </c>
      <c r="G243" s="87">
        <v>45280</v>
      </c>
      <c r="H243" s="88">
        <f t="shared" si="72"/>
        <v>1.6222222222222222</v>
      </c>
      <c r="I243" s="89" t="s">
        <v>750</v>
      </c>
      <c r="J243" s="90" t="s">
        <v>751</v>
      </c>
      <c r="K243" s="90" t="s">
        <v>752</v>
      </c>
      <c r="L243" s="90" t="s">
        <v>753</v>
      </c>
      <c r="M243" s="91" t="s">
        <v>1059</v>
      </c>
      <c r="N243" s="92" t="s">
        <v>1355</v>
      </c>
      <c r="O243" s="85">
        <v>2910907280</v>
      </c>
      <c r="P243" s="93">
        <f>+_xlfn.XLOOKUP(O243,'[3]Benef Primera fecha '!$C:$C,'[3]Benef Primera fecha '!$E:$E,0)</f>
        <v>500000000</v>
      </c>
      <c r="Q243" s="93">
        <v>0</v>
      </c>
      <c r="R243" s="94">
        <f t="shared" si="73"/>
        <v>500000000</v>
      </c>
      <c r="S243" s="95">
        <v>0.12000000107520001</v>
      </c>
      <c r="T243" s="94">
        <f t="shared" si="74"/>
        <v>53571429</v>
      </c>
      <c r="U243" s="117">
        <v>500000000</v>
      </c>
      <c r="V243" s="117">
        <v>0</v>
      </c>
      <c r="W243" s="94">
        <f t="shared" si="75"/>
        <v>0</v>
      </c>
      <c r="X243" s="94">
        <f t="shared" si="76"/>
        <v>0</v>
      </c>
      <c r="Y243" s="94">
        <f t="shared" si="77"/>
        <v>0</v>
      </c>
      <c r="Z243" s="93">
        <f>_xlfn.XLOOKUP(O243,'[4]2DO TRIMESTRE'!$C:$C,'[4]2DO TRIMESTRE'!$I:$I,0,0)</f>
        <v>0</v>
      </c>
      <c r="AA243" s="94">
        <f t="shared" si="78"/>
        <v>0</v>
      </c>
      <c r="AB243" s="94">
        <f t="shared" si="79"/>
        <v>0</v>
      </c>
      <c r="AC243" s="94">
        <f t="shared" si="80"/>
        <v>0</v>
      </c>
      <c r="AD243" s="93">
        <v>0</v>
      </c>
      <c r="AE243" s="94">
        <f t="shared" si="81"/>
        <v>0</v>
      </c>
      <c r="AF243" s="94">
        <f t="shared" si="82"/>
        <v>0</v>
      </c>
      <c r="AG243" s="94">
        <f t="shared" si="83"/>
        <v>0</v>
      </c>
      <c r="AH243" s="117">
        <v>0</v>
      </c>
      <c r="AI243" s="94">
        <f t="shared" si="69"/>
        <v>0</v>
      </c>
      <c r="AJ243" s="94">
        <f t="shared" si="70"/>
        <v>0</v>
      </c>
      <c r="AK243" s="94">
        <f t="shared" si="71"/>
        <v>0</v>
      </c>
      <c r="AL243" s="93">
        <v>53571429</v>
      </c>
      <c r="AM243" s="93">
        <f t="shared" si="84"/>
        <v>0</v>
      </c>
      <c r="AN243" s="155"/>
      <c r="AO243" s="155"/>
    </row>
    <row r="244" spans="1:41" s="9" customFormat="1" ht="25.15" customHeight="1" x14ac:dyDescent="0.25">
      <c r="A244" s="83">
        <v>238</v>
      </c>
      <c r="B244" s="84">
        <v>2023</v>
      </c>
      <c r="C244" s="85" t="s">
        <v>1356</v>
      </c>
      <c r="D244" s="86" t="s">
        <v>1356</v>
      </c>
      <c r="E244" s="86" t="s">
        <v>758</v>
      </c>
      <c r="F244" s="87">
        <v>45148</v>
      </c>
      <c r="G244" s="87">
        <v>45279</v>
      </c>
      <c r="H244" s="88">
        <f t="shared" si="72"/>
        <v>1.4555555555555555</v>
      </c>
      <c r="I244" s="89" t="s">
        <v>759</v>
      </c>
      <c r="J244" s="90" t="s">
        <v>751</v>
      </c>
      <c r="K244" s="90" t="s">
        <v>752</v>
      </c>
      <c r="L244" s="90" t="s">
        <v>753</v>
      </c>
      <c r="M244" s="91" t="s">
        <v>754</v>
      </c>
      <c r="N244" s="92" t="s">
        <v>1357</v>
      </c>
      <c r="O244" s="85">
        <v>2910907286</v>
      </c>
      <c r="P244" s="93">
        <f>+_xlfn.XLOOKUP(O244,'[3]Benef Primera fecha '!$C:$C,'[3]Benef Primera fecha '!$E:$E,0)</f>
        <v>5000000</v>
      </c>
      <c r="Q244" s="93">
        <v>0</v>
      </c>
      <c r="R244" s="94">
        <f t="shared" si="73"/>
        <v>5000000</v>
      </c>
      <c r="S244" s="95">
        <v>0.11999992832000458</v>
      </c>
      <c r="T244" s="94">
        <f t="shared" si="74"/>
        <v>535714</v>
      </c>
      <c r="U244" s="117">
        <v>4900000</v>
      </c>
      <c r="V244" s="117">
        <v>0</v>
      </c>
      <c r="W244" s="94">
        <f t="shared" si="75"/>
        <v>0</v>
      </c>
      <c r="X244" s="94">
        <f t="shared" si="76"/>
        <v>0</v>
      </c>
      <c r="Y244" s="94">
        <f t="shared" si="77"/>
        <v>0</v>
      </c>
      <c r="Z244" s="93">
        <f>_xlfn.XLOOKUP(O244,'[4]2DO TRIMESTRE'!$C:$C,'[4]2DO TRIMESTRE'!$I:$I,0,0)</f>
        <v>0</v>
      </c>
      <c r="AA244" s="94">
        <f t="shared" si="78"/>
        <v>0</v>
      </c>
      <c r="AB244" s="94">
        <f t="shared" si="79"/>
        <v>0</v>
      </c>
      <c r="AC244" s="94">
        <f t="shared" si="80"/>
        <v>0</v>
      </c>
      <c r="AD244" s="93">
        <v>0</v>
      </c>
      <c r="AE244" s="94">
        <f t="shared" si="81"/>
        <v>0</v>
      </c>
      <c r="AF244" s="94">
        <f t="shared" si="82"/>
        <v>0</v>
      </c>
      <c r="AG244" s="94">
        <f t="shared" si="83"/>
        <v>0</v>
      </c>
      <c r="AH244" s="117">
        <v>0</v>
      </c>
      <c r="AI244" s="94">
        <f t="shared" si="69"/>
        <v>0</v>
      </c>
      <c r="AJ244" s="94">
        <f t="shared" si="70"/>
        <v>0</v>
      </c>
      <c r="AK244" s="94">
        <f t="shared" si="71"/>
        <v>0</v>
      </c>
      <c r="AL244" s="93">
        <v>525000</v>
      </c>
      <c r="AM244" s="93">
        <f t="shared" si="84"/>
        <v>0</v>
      </c>
      <c r="AN244" s="155"/>
      <c r="AO244" s="155"/>
    </row>
    <row r="245" spans="1:41" s="9" customFormat="1" ht="25.15" customHeight="1" x14ac:dyDescent="0.25">
      <c r="A245" s="83">
        <v>239</v>
      </c>
      <c r="B245" s="84">
        <v>2023</v>
      </c>
      <c r="C245" s="85" t="s">
        <v>747</v>
      </c>
      <c r="D245" s="86" t="s">
        <v>1358</v>
      </c>
      <c r="E245" s="86" t="s">
        <v>749</v>
      </c>
      <c r="F245" s="87">
        <v>45163</v>
      </c>
      <c r="G245" s="87">
        <v>45528</v>
      </c>
      <c r="H245" s="88">
        <f t="shared" si="72"/>
        <v>4.0555555555555554</v>
      </c>
      <c r="I245" s="89" t="s">
        <v>759</v>
      </c>
      <c r="J245" s="90" t="s">
        <v>751</v>
      </c>
      <c r="K245" s="90" t="s">
        <v>752</v>
      </c>
      <c r="L245" s="90" t="s">
        <v>753</v>
      </c>
      <c r="M245" s="91" t="s">
        <v>1059</v>
      </c>
      <c r="N245" s="92" t="s">
        <v>1359</v>
      </c>
      <c r="O245" s="85">
        <v>2910908082</v>
      </c>
      <c r="P245" s="93">
        <f>+_xlfn.XLOOKUP(O245,'[3]Benef Primera fecha '!$C:$C,'[3]Benef Primera fecha '!$E:$E,0)</f>
        <v>40600000</v>
      </c>
      <c r="Q245" s="93">
        <v>62117000</v>
      </c>
      <c r="R245" s="94">
        <f t="shared" si="73"/>
        <v>102717000</v>
      </c>
      <c r="S245" s="95">
        <v>0.12</v>
      </c>
      <c r="T245" s="94">
        <f t="shared" si="74"/>
        <v>11005392.857142856</v>
      </c>
      <c r="U245" s="117">
        <v>102717000</v>
      </c>
      <c r="V245" s="117">
        <v>0</v>
      </c>
      <c r="W245" s="94">
        <f t="shared" si="75"/>
        <v>0</v>
      </c>
      <c r="X245" s="94">
        <f t="shared" si="76"/>
        <v>0</v>
      </c>
      <c r="Y245" s="94">
        <f t="shared" si="77"/>
        <v>0</v>
      </c>
      <c r="Z245" s="93">
        <f>_xlfn.XLOOKUP(O245,'[4]2DO TRIMESTRE'!$C:$C,'[4]2DO TRIMESTRE'!$I:$I,0,0)</f>
        <v>0</v>
      </c>
      <c r="AA245" s="94">
        <f t="shared" si="78"/>
        <v>0</v>
      </c>
      <c r="AB245" s="94">
        <f t="shared" si="79"/>
        <v>0</v>
      </c>
      <c r="AC245" s="94">
        <f t="shared" si="80"/>
        <v>0</v>
      </c>
      <c r="AD245" s="93">
        <v>0</v>
      </c>
      <c r="AE245" s="94">
        <f t="shared" si="81"/>
        <v>0</v>
      </c>
      <c r="AF245" s="94">
        <f t="shared" si="82"/>
        <v>0</v>
      </c>
      <c r="AG245" s="94">
        <f t="shared" si="83"/>
        <v>0</v>
      </c>
      <c r="AH245" s="117">
        <v>0</v>
      </c>
      <c r="AI245" s="94">
        <f t="shared" si="69"/>
        <v>0</v>
      </c>
      <c r="AJ245" s="94">
        <f t="shared" si="70"/>
        <v>0</v>
      </c>
      <c r="AK245" s="94">
        <f t="shared" si="71"/>
        <v>0</v>
      </c>
      <c r="AL245" s="93">
        <v>11005393</v>
      </c>
      <c r="AM245" s="93">
        <f t="shared" si="84"/>
        <v>0</v>
      </c>
      <c r="AN245" s="155"/>
      <c r="AO245" s="155"/>
    </row>
    <row r="246" spans="1:41" s="9" customFormat="1" ht="25.15" customHeight="1" x14ac:dyDescent="0.25">
      <c r="A246" s="83">
        <v>240</v>
      </c>
      <c r="B246" s="84">
        <v>2023</v>
      </c>
      <c r="C246" s="85" t="s">
        <v>1352</v>
      </c>
      <c r="D246" s="86" t="s">
        <v>1360</v>
      </c>
      <c r="E246" s="86" t="s">
        <v>758</v>
      </c>
      <c r="F246" s="87">
        <v>45170</v>
      </c>
      <c r="G246" s="87">
        <v>45377</v>
      </c>
      <c r="H246" s="88">
        <f t="shared" si="72"/>
        <v>2.2999999999999998</v>
      </c>
      <c r="I246" s="89" t="s">
        <v>759</v>
      </c>
      <c r="J246" s="90" t="s">
        <v>1178</v>
      </c>
      <c r="K246" s="90" t="s">
        <v>752</v>
      </c>
      <c r="L246" s="90" t="s">
        <v>753</v>
      </c>
      <c r="M246" s="91" t="s">
        <v>754</v>
      </c>
      <c r="N246" s="92" t="s">
        <v>1361</v>
      </c>
      <c r="O246" s="85">
        <v>2910907281</v>
      </c>
      <c r="P246" s="93">
        <f>+_xlfn.XLOOKUP(O246,'[3]Benef Primera fecha '!$C:$C,'[3]Benef Primera fecha '!$E:$E,0)</f>
        <v>1291654128</v>
      </c>
      <c r="Q246" s="93">
        <v>0</v>
      </c>
      <c r="R246" s="94">
        <f t="shared" si="73"/>
        <v>1291654128</v>
      </c>
      <c r="S246" s="95">
        <v>0.12</v>
      </c>
      <c r="T246" s="94">
        <f t="shared" si="74"/>
        <v>138391513.7142857</v>
      </c>
      <c r="U246" s="117">
        <v>645827064</v>
      </c>
      <c r="V246" s="117">
        <v>0</v>
      </c>
      <c r="W246" s="94">
        <f t="shared" si="75"/>
        <v>0</v>
      </c>
      <c r="X246" s="94">
        <f t="shared" si="76"/>
        <v>0</v>
      </c>
      <c r="Y246" s="94">
        <f t="shared" si="77"/>
        <v>0</v>
      </c>
      <c r="Z246" s="93">
        <f>_xlfn.XLOOKUP(O246,'[4]2DO TRIMESTRE'!$C:$C,'[4]2DO TRIMESTRE'!$I:$I,0,0)</f>
        <v>0</v>
      </c>
      <c r="AA246" s="94">
        <f t="shared" si="78"/>
        <v>0</v>
      </c>
      <c r="AB246" s="94">
        <f t="shared" si="79"/>
        <v>0</v>
      </c>
      <c r="AC246" s="94">
        <f t="shared" si="80"/>
        <v>0</v>
      </c>
      <c r="AD246" s="93">
        <v>0</v>
      </c>
      <c r="AE246" s="94">
        <f t="shared" si="81"/>
        <v>0</v>
      </c>
      <c r="AF246" s="94">
        <f t="shared" si="82"/>
        <v>0</v>
      </c>
      <c r="AG246" s="94">
        <f t="shared" si="83"/>
        <v>0</v>
      </c>
      <c r="AH246" s="117">
        <v>0</v>
      </c>
      <c r="AI246" s="94">
        <f t="shared" si="69"/>
        <v>0</v>
      </c>
      <c r="AJ246" s="94">
        <f t="shared" si="70"/>
        <v>0</v>
      </c>
      <c r="AK246" s="94">
        <f t="shared" si="71"/>
        <v>0</v>
      </c>
      <c r="AL246" s="93">
        <v>69195757</v>
      </c>
      <c r="AM246" s="93">
        <f t="shared" si="84"/>
        <v>0</v>
      </c>
      <c r="AN246" s="155"/>
      <c r="AO246" s="155"/>
    </row>
    <row r="247" spans="1:41" s="9" customFormat="1" ht="25.15" customHeight="1" x14ac:dyDescent="0.25">
      <c r="A247" s="83">
        <v>241</v>
      </c>
      <c r="B247" s="84">
        <v>2023</v>
      </c>
      <c r="C247" s="85" t="s">
        <v>747</v>
      </c>
      <c r="D247" s="86" t="s">
        <v>1362</v>
      </c>
      <c r="E247" s="86" t="s">
        <v>749</v>
      </c>
      <c r="F247" s="87">
        <v>45170</v>
      </c>
      <c r="G247" s="87">
        <v>45535</v>
      </c>
      <c r="H247" s="88">
        <f t="shared" si="72"/>
        <v>4.0555555555555554</v>
      </c>
      <c r="I247" s="89" t="s">
        <v>1086</v>
      </c>
      <c r="J247" s="90" t="s">
        <v>751</v>
      </c>
      <c r="K247" s="90" t="s">
        <v>752</v>
      </c>
      <c r="L247" s="90" t="s">
        <v>753</v>
      </c>
      <c r="M247" s="91" t="s">
        <v>754</v>
      </c>
      <c r="N247" s="92" t="s">
        <v>1363</v>
      </c>
      <c r="O247" s="85">
        <v>2910908081</v>
      </c>
      <c r="P247" s="93">
        <f>+_xlfn.XLOOKUP(O247,'[3]Benef Primera fecha '!$C:$C,'[3]Benef Primera fecha '!$E:$E,0)</f>
        <v>220177700</v>
      </c>
      <c r="Q247" s="93">
        <v>280417100</v>
      </c>
      <c r="R247" s="94">
        <f t="shared" si="73"/>
        <v>500594800</v>
      </c>
      <c r="S247" s="95">
        <v>0.11999999964202585</v>
      </c>
      <c r="T247" s="94">
        <f t="shared" si="74"/>
        <v>53635157</v>
      </c>
      <c r="U247" s="117">
        <v>500594800</v>
      </c>
      <c r="V247" s="117">
        <v>0</v>
      </c>
      <c r="W247" s="94">
        <f t="shared" si="75"/>
        <v>0</v>
      </c>
      <c r="X247" s="94">
        <f t="shared" si="76"/>
        <v>0</v>
      </c>
      <c r="Y247" s="94">
        <f t="shared" si="77"/>
        <v>0</v>
      </c>
      <c r="Z247" s="93">
        <f>_xlfn.XLOOKUP(O247,'[4]2DO TRIMESTRE'!$C:$C,'[4]2DO TRIMESTRE'!$I:$I,0,0)</f>
        <v>0</v>
      </c>
      <c r="AA247" s="94">
        <f t="shared" si="78"/>
        <v>0</v>
      </c>
      <c r="AB247" s="94">
        <f t="shared" si="79"/>
        <v>0</v>
      </c>
      <c r="AC247" s="94">
        <f t="shared" si="80"/>
        <v>0</v>
      </c>
      <c r="AD247" s="93">
        <v>0</v>
      </c>
      <c r="AE247" s="94">
        <f t="shared" si="81"/>
        <v>0</v>
      </c>
      <c r="AF247" s="94">
        <f t="shared" si="82"/>
        <v>0</v>
      </c>
      <c r="AG247" s="94">
        <f t="shared" si="83"/>
        <v>0</v>
      </c>
      <c r="AH247" s="117">
        <v>0</v>
      </c>
      <c r="AI247" s="94">
        <f t="shared" si="69"/>
        <v>0</v>
      </c>
      <c r="AJ247" s="94">
        <f t="shared" si="70"/>
        <v>0</v>
      </c>
      <c r="AK247" s="94">
        <f t="shared" si="71"/>
        <v>0</v>
      </c>
      <c r="AL247" s="93">
        <v>53635157</v>
      </c>
      <c r="AM247" s="93">
        <f t="shared" si="84"/>
        <v>0</v>
      </c>
      <c r="AN247" s="155"/>
      <c r="AO247" s="155"/>
    </row>
    <row r="248" spans="1:41" s="9" customFormat="1" ht="25.15" customHeight="1" x14ac:dyDescent="0.25">
      <c r="A248" s="83">
        <v>242</v>
      </c>
      <c r="B248" s="84">
        <v>2023</v>
      </c>
      <c r="C248" s="85" t="s">
        <v>1364</v>
      </c>
      <c r="D248" s="86" t="s">
        <v>1365</v>
      </c>
      <c r="E248" s="86" t="s">
        <v>758</v>
      </c>
      <c r="F248" s="87">
        <v>45173</v>
      </c>
      <c r="G248" s="87">
        <v>45325</v>
      </c>
      <c r="H248" s="88">
        <f t="shared" si="72"/>
        <v>1.6888888888888889</v>
      </c>
      <c r="I248" s="89" t="s">
        <v>1086</v>
      </c>
      <c r="J248" s="90" t="s">
        <v>751</v>
      </c>
      <c r="K248" s="90" t="s">
        <v>752</v>
      </c>
      <c r="L248" s="90" t="s">
        <v>753</v>
      </c>
      <c r="M248" s="91" t="s">
        <v>754</v>
      </c>
      <c r="N248" s="92" t="s">
        <v>1366</v>
      </c>
      <c r="O248" s="85">
        <v>2910907290</v>
      </c>
      <c r="P248" s="93">
        <f>+_xlfn.XLOOKUP(O248,'[3]Benef Primera fecha '!$C:$C,'[3]Benef Primera fecha '!$E:$E,0)</f>
        <v>318870136</v>
      </c>
      <c r="Q248" s="93">
        <v>0</v>
      </c>
      <c r="R248" s="94">
        <f t="shared" si="73"/>
        <v>318870136</v>
      </c>
      <c r="S248" s="95">
        <v>0.1199999983140472</v>
      </c>
      <c r="T248" s="94">
        <f t="shared" si="74"/>
        <v>34164657</v>
      </c>
      <c r="U248" s="117">
        <v>286983123</v>
      </c>
      <c r="V248" s="117">
        <v>0</v>
      </c>
      <c r="W248" s="94">
        <f t="shared" si="75"/>
        <v>0</v>
      </c>
      <c r="X248" s="94">
        <f t="shared" si="76"/>
        <v>0</v>
      </c>
      <c r="Y248" s="94">
        <f t="shared" si="77"/>
        <v>0</v>
      </c>
      <c r="Z248" s="93">
        <f>_xlfn.XLOOKUP(O248,'[4]2DO TRIMESTRE'!$C:$C,'[4]2DO TRIMESTRE'!$I:$I,0,0)</f>
        <v>0</v>
      </c>
      <c r="AA248" s="94">
        <f t="shared" si="78"/>
        <v>0</v>
      </c>
      <c r="AB248" s="94">
        <f t="shared" si="79"/>
        <v>0</v>
      </c>
      <c r="AC248" s="94">
        <f t="shared" si="80"/>
        <v>0</v>
      </c>
      <c r="AD248" s="93">
        <v>0</v>
      </c>
      <c r="AE248" s="94">
        <f t="shared" si="81"/>
        <v>0</v>
      </c>
      <c r="AF248" s="94">
        <f t="shared" si="82"/>
        <v>0</v>
      </c>
      <c r="AG248" s="94">
        <f t="shared" si="83"/>
        <v>0</v>
      </c>
      <c r="AH248" s="117">
        <v>0</v>
      </c>
      <c r="AI248" s="94">
        <f t="shared" si="69"/>
        <v>0</v>
      </c>
      <c r="AJ248" s="94">
        <f t="shared" si="70"/>
        <v>0</v>
      </c>
      <c r="AK248" s="94">
        <f t="shared" si="71"/>
        <v>0</v>
      </c>
      <c r="AL248" s="93">
        <v>30748191.364285715</v>
      </c>
      <c r="AM248" s="93">
        <f t="shared" si="84"/>
        <v>0</v>
      </c>
      <c r="AN248" s="155"/>
      <c r="AO248" s="155"/>
    </row>
    <row r="249" spans="1:41" s="9" customFormat="1" ht="25.15" customHeight="1" x14ac:dyDescent="0.25">
      <c r="A249" s="83">
        <v>243</v>
      </c>
      <c r="B249" s="84">
        <v>2023</v>
      </c>
      <c r="C249" s="85" t="s">
        <v>747</v>
      </c>
      <c r="D249" s="86" t="s">
        <v>1367</v>
      </c>
      <c r="E249" s="86" t="s">
        <v>749</v>
      </c>
      <c r="F249" s="87">
        <v>45180</v>
      </c>
      <c r="G249" s="87">
        <v>45545</v>
      </c>
      <c r="H249" s="88">
        <f t="shared" si="72"/>
        <v>4.0555555555555554</v>
      </c>
      <c r="I249" s="89" t="s">
        <v>759</v>
      </c>
      <c r="J249" s="90" t="s">
        <v>751</v>
      </c>
      <c r="K249" s="90" t="s">
        <v>752</v>
      </c>
      <c r="L249" s="90" t="s">
        <v>753</v>
      </c>
      <c r="M249" s="91" t="s">
        <v>754</v>
      </c>
      <c r="N249" s="92" t="s">
        <v>1368</v>
      </c>
      <c r="O249" s="85">
        <v>2910908079</v>
      </c>
      <c r="P249" s="93">
        <f>+_xlfn.XLOOKUP(O249,'[3]Benef Primera fecha '!$C:$C,'[3]Benef Primera fecha '!$E:$E,0)</f>
        <v>204784660</v>
      </c>
      <c r="Q249" s="93">
        <v>239135000</v>
      </c>
      <c r="R249" s="94">
        <f t="shared" si="73"/>
        <v>443919660</v>
      </c>
      <c r="S249" s="95">
        <v>0.11999999798161677</v>
      </c>
      <c r="T249" s="94">
        <f t="shared" si="74"/>
        <v>47562819.999999993</v>
      </c>
      <c r="U249" s="117">
        <v>443919660</v>
      </c>
      <c r="V249" s="117">
        <v>0</v>
      </c>
      <c r="W249" s="94">
        <f t="shared" si="75"/>
        <v>0</v>
      </c>
      <c r="X249" s="94">
        <f t="shared" si="76"/>
        <v>0</v>
      </c>
      <c r="Y249" s="94">
        <f t="shared" si="77"/>
        <v>0</v>
      </c>
      <c r="Z249" s="93">
        <f>_xlfn.XLOOKUP(O249,'[4]2DO TRIMESTRE'!$C:$C,'[4]2DO TRIMESTRE'!$I:$I,0,0)</f>
        <v>0</v>
      </c>
      <c r="AA249" s="94">
        <f t="shared" si="78"/>
        <v>0</v>
      </c>
      <c r="AB249" s="94">
        <f t="shared" si="79"/>
        <v>0</v>
      </c>
      <c r="AC249" s="94">
        <f t="shared" si="80"/>
        <v>0</v>
      </c>
      <c r="AD249" s="93">
        <v>0</v>
      </c>
      <c r="AE249" s="94">
        <f t="shared" si="81"/>
        <v>0</v>
      </c>
      <c r="AF249" s="94">
        <f t="shared" si="82"/>
        <v>0</v>
      </c>
      <c r="AG249" s="94">
        <f t="shared" si="83"/>
        <v>0</v>
      </c>
      <c r="AH249" s="117">
        <v>0</v>
      </c>
      <c r="AI249" s="94">
        <f t="shared" si="69"/>
        <v>0</v>
      </c>
      <c r="AJ249" s="94">
        <f t="shared" si="70"/>
        <v>0</v>
      </c>
      <c r="AK249" s="94">
        <f t="shared" si="71"/>
        <v>0</v>
      </c>
      <c r="AL249" s="93">
        <v>47562819.999999993</v>
      </c>
      <c r="AM249" s="93">
        <f t="shared" si="84"/>
        <v>0</v>
      </c>
      <c r="AN249" s="155"/>
      <c r="AO249" s="155"/>
    </row>
    <row r="250" spans="1:41" s="9" customFormat="1" ht="25.15" customHeight="1" x14ac:dyDescent="0.25">
      <c r="A250" s="83">
        <v>244</v>
      </c>
      <c r="B250" s="84">
        <v>2023</v>
      </c>
      <c r="C250" s="85" t="s">
        <v>747</v>
      </c>
      <c r="D250" s="86" t="s">
        <v>747</v>
      </c>
      <c r="E250" s="86" t="s">
        <v>749</v>
      </c>
      <c r="F250" s="87">
        <v>45180</v>
      </c>
      <c r="G250" s="87"/>
      <c r="H250" s="88">
        <f t="shared" si="72"/>
        <v>-502</v>
      </c>
      <c r="I250" s="89" t="s">
        <v>759</v>
      </c>
      <c r="J250" s="90" t="s">
        <v>751</v>
      </c>
      <c r="K250" s="90" t="s">
        <v>752</v>
      </c>
      <c r="L250" s="90" t="s">
        <v>753</v>
      </c>
      <c r="M250" s="91" t="s">
        <v>754</v>
      </c>
      <c r="N250" s="92" t="s">
        <v>1369</v>
      </c>
      <c r="O250" s="85">
        <v>2910908080</v>
      </c>
      <c r="P250" s="93">
        <f>+_xlfn.XLOOKUP(O250,'[3]Benef Primera fecha '!$C:$C,'[3]Benef Primera fecha '!$E:$E,0)</f>
        <v>14059200</v>
      </c>
      <c r="Q250" s="93">
        <v>0</v>
      </c>
      <c r="R250" s="94">
        <f t="shared" si="73"/>
        <v>14059200</v>
      </c>
      <c r="S250" s="95">
        <v>0.12000001274610234</v>
      </c>
      <c r="T250" s="94">
        <f t="shared" si="74"/>
        <v>1506343</v>
      </c>
      <c r="U250" s="117">
        <v>14059200</v>
      </c>
      <c r="V250" s="117">
        <v>0</v>
      </c>
      <c r="W250" s="94">
        <f t="shared" si="75"/>
        <v>0</v>
      </c>
      <c r="X250" s="94">
        <f t="shared" si="76"/>
        <v>0</v>
      </c>
      <c r="Y250" s="94">
        <f t="shared" si="77"/>
        <v>0</v>
      </c>
      <c r="Z250" s="93">
        <f>_xlfn.XLOOKUP(O250,'[4]2DO TRIMESTRE'!$C:$C,'[4]2DO TRIMESTRE'!$I:$I,0,0)</f>
        <v>0</v>
      </c>
      <c r="AA250" s="94">
        <f t="shared" si="78"/>
        <v>0</v>
      </c>
      <c r="AB250" s="94">
        <f t="shared" si="79"/>
        <v>0</v>
      </c>
      <c r="AC250" s="94">
        <f t="shared" si="80"/>
        <v>0</v>
      </c>
      <c r="AD250" s="93">
        <v>0</v>
      </c>
      <c r="AE250" s="94">
        <f t="shared" si="81"/>
        <v>0</v>
      </c>
      <c r="AF250" s="94">
        <f t="shared" si="82"/>
        <v>0</v>
      </c>
      <c r="AG250" s="94">
        <f t="shared" si="83"/>
        <v>0</v>
      </c>
      <c r="AH250" s="117">
        <v>0</v>
      </c>
      <c r="AI250" s="94">
        <f t="shared" si="69"/>
        <v>0</v>
      </c>
      <c r="AJ250" s="94">
        <f t="shared" si="70"/>
        <v>0</v>
      </c>
      <c r="AK250" s="94">
        <f t="shared" si="71"/>
        <v>0</v>
      </c>
      <c r="AL250" s="93">
        <v>1506343</v>
      </c>
      <c r="AM250" s="93">
        <f t="shared" si="84"/>
        <v>0</v>
      </c>
      <c r="AN250" s="155"/>
      <c r="AO250" s="155"/>
    </row>
    <row r="251" spans="1:41" s="9" customFormat="1" ht="25.15" customHeight="1" x14ac:dyDescent="0.25">
      <c r="A251" s="83">
        <v>245</v>
      </c>
      <c r="B251" s="84">
        <v>2023</v>
      </c>
      <c r="C251" s="85" t="s">
        <v>1370</v>
      </c>
      <c r="D251" s="86" t="s">
        <v>1370</v>
      </c>
      <c r="E251" s="86" t="s">
        <v>749</v>
      </c>
      <c r="F251" s="87">
        <v>45183</v>
      </c>
      <c r="G251" s="87">
        <v>45243</v>
      </c>
      <c r="H251" s="88">
        <f t="shared" si="72"/>
        <v>0.66666666666666663</v>
      </c>
      <c r="I251" s="89" t="s">
        <v>763</v>
      </c>
      <c r="J251" s="90" t="s">
        <v>751</v>
      </c>
      <c r="K251" s="90" t="s">
        <v>752</v>
      </c>
      <c r="L251" s="90" t="s">
        <v>753</v>
      </c>
      <c r="M251" s="91" t="s">
        <v>1059</v>
      </c>
      <c r="N251" s="92" t="s">
        <v>1371</v>
      </c>
      <c r="O251" s="85">
        <v>2910908087</v>
      </c>
      <c r="P251" s="93">
        <f>+_xlfn.XLOOKUP(O251,'[3]Benef Primera fecha '!$C:$C,'[3]Benef Primera fecha '!$E:$E,0)</f>
        <v>12251100</v>
      </c>
      <c r="Q251" s="93">
        <v>0</v>
      </c>
      <c r="R251" s="94">
        <f t="shared" si="73"/>
        <v>12251100</v>
      </c>
      <c r="S251" s="95">
        <v>0.119946262032742</v>
      </c>
      <c r="T251" s="94">
        <f t="shared" si="74"/>
        <v>1312092.9999999991</v>
      </c>
      <c r="U251" s="117">
        <v>12251100</v>
      </c>
      <c r="V251" s="117">
        <v>0</v>
      </c>
      <c r="W251" s="94">
        <f t="shared" si="75"/>
        <v>0</v>
      </c>
      <c r="X251" s="94">
        <f t="shared" si="76"/>
        <v>0</v>
      </c>
      <c r="Y251" s="94">
        <f t="shared" si="77"/>
        <v>0</v>
      </c>
      <c r="Z251" s="93">
        <f>_xlfn.XLOOKUP(O251,'[4]2DO TRIMESTRE'!$C:$C,'[4]2DO TRIMESTRE'!$I:$I,0,0)</f>
        <v>0</v>
      </c>
      <c r="AA251" s="94">
        <f t="shared" si="78"/>
        <v>0</v>
      </c>
      <c r="AB251" s="94">
        <f t="shared" si="79"/>
        <v>0</v>
      </c>
      <c r="AC251" s="94">
        <f t="shared" si="80"/>
        <v>0</v>
      </c>
      <c r="AD251" s="93">
        <v>0</v>
      </c>
      <c r="AE251" s="94">
        <f t="shared" si="81"/>
        <v>0</v>
      </c>
      <c r="AF251" s="94">
        <f t="shared" si="82"/>
        <v>0</v>
      </c>
      <c r="AG251" s="94">
        <f t="shared" si="83"/>
        <v>0</v>
      </c>
      <c r="AH251" s="117">
        <v>0</v>
      </c>
      <c r="AI251" s="94">
        <f t="shared" si="69"/>
        <v>0</v>
      </c>
      <c r="AJ251" s="94">
        <f t="shared" si="70"/>
        <v>0</v>
      </c>
      <c r="AK251" s="94">
        <f t="shared" si="71"/>
        <v>0</v>
      </c>
      <c r="AL251" s="93">
        <v>1312093</v>
      </c>
      <c r="AM251" s="93">
        <f t="shared" si="84"/>
        <v>0</v>
      </c>
      <c r="AN251" s="155"/>
      <c r="AO251" s="155"/>
    </row>
    <row r="252" spans="1:41" s="9" customFormat="1" ht="25.15" customHeight="1" x14ac:dyDescent="0.25">
      <c r="A252" s="83">
        <v>246</v>
      </c>
      <c r="B252" s="84">
        <v>2023</v>
      </c>
      <c r="C252" s="85" t="s">
        <v>1372</v>
      </c>
      <c r="D252" s="86" t="s">
        <v>1373</v>
      </c>
      <c r="E252" s="86" t="s">
        <v>777</v>
      </c>
      <c r="F252" s="87">
        <v>45187</v>
      </c>
      <c r="G252" s="87"/>
      <c r="H252" s="88">
        <f t="shared" si="72"/>
        <v>-502.07777777777778</v>
      </c>
      <c r="I252" s="89" t="s">
        <v>1077</v>
      </c>
      <c r="J252" s="90" t="s">
        <v>751</v>
      </c>
      <c r="K252" s="90" t="s">
        <v>752</v>
      </c>
      <c r="L252" s="90" t="s">
        <v>753</v>
      </c>
      <c r="M252" s="91" t="s">
        <v>754</v>
      </c>
      <c r="N252" s="92" t="s">
        <v>1374</v>
      </c>
      <c r="O252" s="85">
        <v>2453018361</v>
      </c>
      <c r="P252" s="93">
        <v>10040000</v>
      </c>
      <c r="Q252" s="93">
        <v>0</v>
      </c>
      <c r="R252" s="94">
        <f t="shared" si="73"/>
        <v>10040000</v>
      </c>
      <c r="S252" s="95">
        <v>0</v>
      </c>
      <c r="T252" s="94">
        <f t="shared" si="74"/>
        <v>0</v>
      </c>
      <c r="U252" s="117">
        <v>0</v>
      </c>
      <c r="V252" s="117">
        <v>0</v>
      </c>
      <c r="W252" s="94">
        <f t="shared" si="75"/>
        <v>0</v>
      </c>
      <c r="X252" s="94">
        <f t="shared" si="76"/>
        <v>0</v>
      </c>
      <c r="Y252" s="94">
        <f t="shared" si="77"/>
        <v>0</v>
      </c>
      <c r="Z252" s="93">
        <f>_xlfn.XLOOKUP(O252,'[4]2DO TRIMESTRE'!$C:$C,'[4]2DO TRIMESTRE'!$I:$I,0,0)</f>
        <v>0</v>
      </c>
      <c r="AA252" s="94">
        <f t="shared" si="78"/>
        <v>0</v>
      </c>
      <c r="AB252" s="94">
        <f t="shared" si="79"/>
        <v>0</v>
      </c>
      <c r="AC252" s="94">
        <f t="shared" si="80"/>
        <v>0</v>
      </c>
      <c r="AD252" s="93">
        <v>0</v>
      </c>
      <c r="AE252" s="94">
        <f t="shared" si="81"/>
        <v>0</v>
      </c>
      <c r="AF252" s="94">
        <f t="shared" si="82"/>
        <v>0</v>
      </c>
      <c r="AG252" s="94">
        <f t="shared" si="83"/>
        <v>0</v>
      </c>
      <c r="AH252" s="117">
        <v>0</v>
      </c>
      <c r="AI252" s="94">
        <f t="shared" si="69"/>
        <v>0</v>
      </c>
      <c r="AJ252" s="94">
        <f t="shared" si="70"/>
        <v>0</v>
      </c>
      <c r="AK252" s="94">
        <f t="shared" si="71"/>
        <v>0</v>
      </c>
      <c r="AL252" s="93">
        <v>0</v>
      </c>
      <c r="AM252" s="93">
        <f t="shared" si="84"/>
        <v>0</v>
      </c>
      <c r="AN252" s="155" t="s">
        <v>800</v>
      </c>
      <c r="AO252" s="155" t="s">
        <v>800</v>
      </c>
    </row>
    <row r="253" spans="1:41" s="9" customFormat="1" ht="25.15" customHeight="1" x14ac:dyDescent="0.25">
      <c r="A253" s="83">
        <v>247</v>
      </c>
      <c r="B253" s="84">
        <v>2023</v>
      </c>
      <c r="C253" s="85" t="s">
        <v>747</v>
      </c>
      <c r="D253" s="86" t="s">
        <v>1375</v>
      </c>
      <c r="E253" s="86" t="s">
        <v>749</v>
      </c>
      <c r="F253" s="87">
        <v>45189</v>
      </c>
      <c r="G253" s="87">
        <v>45554</v>
      </c>
      <c r="H253" s="88">
        <f t="shared" si="72"/>
        <v>4.0555555555555554</v>
      </c>
      <c r="I253" s="89" t="s">
        <v>759</v>
      </c>
      <c r="J253" s="90" t="s">
        <v>751</v>
      </c>
      <c r="K253" s="90" t="s">
        <v>752</v>
      </c>
      <c r="L253" s="90" t="s">
        <v>753</v>
      </c>
      <c r="M253" s="91" t="s">
        <v>754</v>
      </c>
      <c r="N253" s="92" t="s">
        <v>1376</v>
      </c>
      <c r="O253" s="85">
        <v>2910908083</v>
      </c>
      <c r="P253" s="93">
        <f>+_xlfn.XLOOKUP(O253,'[3]Benef Primera fecha '!$C:$C,'[3]Benef Primera fecha '!$E:$E,0)</f>
        <v>47560000</v>
      </c>
      <c r="Q253" s="93">
        <v>68875000</v>
      </c>
      <c r="R253" s="94">
        <f t="shared" si="73"/>
        <v>116435000</v>
      </c>
      <c r="S253" s="95">
        <v>0.12000000461716839</v>
      </c>
      <c r="T253" s="94">
        <f t="shared" si="74"/>
        <v>12475179.000000002</v>
      </c>
      <c r="U253" s="117">
        <v>116435000</v>
      </c>
      <c r="V253" s="117">
        <v>0</v>
      </c>
      <c r="W253" s="94">
        <f t="shared" si="75"/>
        <v>0</v>
      </c>
      <c r="X253" s="94">
        <f t="shared" si="76"/>
        <v>0</v>
      </c>
      <c r="Y253" s="94">
        <f t="shared" si="77"/>
        <v>0</v>
      </c>
      <c r="Z253" s="93">
        <f>_xlfn.XLOOKUP(O253,'[4]2DO TRIMESTRE'!$C:$C,'[4]2DO TRIMESTRE'!$I:$I,0,0)</f>
        <v>0</v>
      </c>
      <c r="AA253" s="94">
        <f t="shared" si="78"/>
        <v>0</v>
      </c>
      <c r="AB253" s="94">
        <f t="shared" si="79"/>
        <v>0</v>
      </c>
      <c r="AC253" s="94">
        <f t="shared" si="80"/>
        <v>0</v>
      </c>
      <c r="AD253" s="93">
        <v>0</v>
      </c>
      <c r="AE253" s="94">
        <f t="shared" si="81"/>
        <v>0</v>
      </c>
      <c r="AF253" s="94">
        <f t="shared" si="82"/>
        <v>0</v>
      </c>
      <c r="AG253" s="94">
        <f t="shared" si="83"/>
        <v>0</v>
      </c>
      <c r="AH253" s="117">
        <v>0</v>
      </c>
      <c r="AI253" s="94">
        <f t="shared" si="69"/>
        <v>0</v>
      </c>
      <c r="AJ253" s="94">
        <f t="shared" si="70"/>
        <v>0</v>
      </c>
      <c r="AK253" s="94">
        <f t="shared" si="71"/>
        <v>0</v>
      </c>
      <c r="AL253" s="93">
        <v>12475179.000000002</v>
      </c>
      <c r="AM253" s="93">
        <f t="shared" si="84"/>
        <v>0</v>
      </c>
      <c r="AN253" s="155"/>
      <c r="AO253" s="155"/>
    </row>
    <row r="254" spans="1:41" s="9" customFormat="1" ht="25.15" customHeight="1" x14ac:dyDescent="0.25">
      <c r="A254" s="83">
        <v>248</v>
      </c>
      <c r="B254" s="84">
        <v>2023</v>
      </c>
      <c r="C254" s="85" t="s">
        <v>747</v>
      </c>
      <c r="D254" s="86" t="s">
        <v>1377</v>
      </c>
      <c r="E254" s="86" t="s">
        <v>749</v>
      </c>
      <c r="F254" s="87">
        <v>45203</v>
      </c>
      <c r="G254" s="87">
        <v>45330</v>
      </c>
      <c r="H254" s="88">
        <f t="shared" si="72"/>
        <v>1.4111111111111112</v>
      </c>
      <c r="I254" s="89" t="s">
        <v>750</v>
      </c>
      <c r="J254" s="90" t="s">
        <v>751</v>
      </c>
      <c r="K254" s="90" t="s">
        <v>752</v>
      </c>
      <c r="L254" s="90" t="s">
        <v>753</v>
      </c>
      <c r="M254" s="91" t="s">
        <v>754</v>
      </c>
      <c r="N254" s="92" t="s">
        <v>1378</v>
      </c>
      <c r="O254" s="85">
        <v>2910908085</v>
      </c>
      <c r="P254" s="93">
        <f>+_xlfn.XLOOKUP(O254,'[3]Benef Primera fecha '!$C:$C,'[3]Benef Primera fecha '!$E:$E,0)</f>
        <v>159900000</v>
      </c>
      <c r="Q254" s="93">
        <v>0</v>
      </c>
      <c r="R254" s="94">
        <f t="shared" si="73"/>
        <v>159900000</v>
      </c>
      <c r="S254" s="95">
        <v>0.12000000112070044</v>
      </c>
      <c r="T254" s="94">
        <f t="shared" si="74"/>
        <v>17132143</v>
      </c>
      <c r="U254" s="117">
        <v>159900000</v>
      </c>
      <c r="V254" s="117">
        <v>0</v>
      </c>
      <c r="W254" s="94">
        <f t="shared" si="75"/>
        <v>0</v>
      </c>
      <c r="X254" s="94">
        <f t="shared" si="76"/>
        <v>0</v>
      </c>
      <c r="Y254" s="94">
        <f t="shared" si="77"/>
        <v>0</v>
      </c>
      <c r="Z254" s="93">
        <f>_xlfn.XLOOKUP(O254,'[4]2DO TRIMESTRE'!$C:$C,'[4]2DO TRIMESTRE'!$I:$I,0,0)</f>
        <v>0</v>
      </c>
      <c r="AA254" s="94">
        <f t="shared" si="78"/>
        <v>0</v>
      </c>
      <c r="AB254" s="94">
        <f t="shared" si="79"/>
        <v>0</v>
      </c>
      <c r="AC254" s="94">
        <f t="shared" si="80"/>
        <v>0</v>
      </c>
      <c r="AD254" s="93">
        <v>0</v>
      </c>
      <c r="AE254" s="94">
        <f t="shared" si="81"/>
        <v>0</v>
      </c>
      <c r="AF254" s="94">
        <f t="shared" si="82"/>
        <v>0</v>
      </c>
      <c r="AG254" s="94">
        <f t="shared" si="83"/>
        <v>0</v>
      </c>
      <c r="AH254" s="117">
        <v>0</v>
      </c>
      <c r="AI254" s="94">
        <f t="shared" si="69"/>
        <v>0</v>
      </c>
      <c r="AJ254" s="94">
        <f t="shared" si="70"/>
        <v>0</v>
      </c>
      <c r="AK254" s="94">
        <f t="shared" si="71"/>
        <v>0</v>
      </c>
      <c r="AL254" s="93">
        <v>17132143</v>
      </c>
      <c r="AM254" s="93">
        <f t="shared" si="84"/>
        <v>0</v>
      </c>
      <c r="AN254" s="155"/>
      <c r="AO254" s="155"/>
    </row>
    <row r="255" spans="1:41" s="9" customFormat="1" ht="25.15" customHeight="1" x14ac:dyDescent="0.25">
      <c r="A255" s="83">
        <v>249</v>
      </c>
      <c r="B255" s="84">
        <v>2023</v>
      </c>
      <c r="C255" s="85" t="s">
        <v>747</v>
      </c>
      <c r="D255" s="86" t="s">
        <v>747</v>
      </c>
      <c r="E255" s="86" t="s">
        <v>749</v>
      </c>
      <c r="F255" s="87">
        <v>45211</v>
      </c>
      <c r="G255" s="87">
        <v>45271</v>
      </c>
      <c r="H255" s="88">
        <f t="shared" si="72"/>
        <v>0.66666666666666663</v>
      </c>
      <c r="I255" s="89" t="s">
        <v>1077</v>
      </c>
      <c r="J255" s="90" t="s">
        <v>751</v>
      </c>
      <c r="K255" s="90" t="s">
        <v>752</v>
      </c>
      <c r="L255" s="90" t="s">
        <v>753</v>
      </c>
      <c r="M255" s="91" t="s">
        <v>754</v>
      </c>
      <c r="N255" s="92" t="s">
        <v>1379</v>
      </c>
      <c r="O255" s="85">
        <v>2910908074</v>
      </c>
      <c r="P255" s="93">
        <f>+_xlfn.XLOOKUP(O255,'[3]Benef Primera fecha '!$C:$C,'[3]Benef Primera fecha '!$E:$E,0)</f>
        <v>18323356</v>
      </c>
      <c r="Q255" s="93">
        <v>11908869</v>
      </c>
      <c r="R255" s="94">
        <f t="shared" si="73"/>
        <v>30232225</v>
      </c>
      <c r="S255" s="95">
        <v>0.12000000148186249</v>
      </c>
      <c r="T255" s="94">
        <f t="shared" si="74"/>
        <v>3239167</v>
      </c>
      <c r="U255" s="117">
        <v>30232225</v>
      </c>
      <c r="V255" s="117">
        <v>0</v>
      </c>
      <c r="W255" s="94">
        <f t="shared" si="75"/>
        <v>0</v>
      </c>
      <c r="X255" s="94">
        <f t="shared" si="76"/>
        <v>0</v>
      </c>
      <c r="Y255" s="94">
        <f t="shared" si="77"/>
        <v>0</v>
      </c>
      <c r="Z255" s="93">
        <f>_xlfn.XLOOKUP(O255,'[4]2DO TRIMESTRE'!$C:$C,'[4]2DO TRIMESTRE'!$I:$I,0,0)</f>
        <v>0</v>
      </c>
      <c r="AA255" s="94">
        <f t="shared" si="78"/>
        <v>0</v>
      </c>
      <c r="AB255" s="94">
        <f t="shared" si="79"/>
        <v>0</v>
      </c>
      <c r="AC255" s="94">
        <f t="shared" si="80"/>
        <v>0</v>
      </c>
      <c r="AD255" s="93">
        <v>0</v>
      </c>
      <c r="AE255" s="94">
        <f t="shared" si="81"/>
        <v>0</v>
      </c>
      <c r="AF255" s="94">
        <f t="shared" si="82"/>
        <v>0</v>
      </c>
      <c r="AG255" s="94">
        <f t="shared" si="83"/>
        <v>0</v>
      </c>
      <c r="AH255" s="117">
        <v>0</v>
      </c>
      <c r="AI255" s="94">
        <f t="shared" si="69"/>
        <v>0</v>
      </c>
      <c r="AJ255" s="94">
        <f t="shared" si="70"/>
        <v>0</v>
      </c>
      <c r="AK255" s="94">
        <f t="shared" si="71"/>
        <v>0</v>
      </c>
      <c r="AL255" s="93">
        <v>3239167</v>
      </c>
      <c r="AM255" s="93">
        <f t="shared" si="84"/>
        <v>0</v>
      </c>
      <c r="AN255" s="155"/>
      <c r="AO255" s="155"/>
    </row>
    <row r="256" spans="1:41" s="9" customFormat="1" ht="25.15" customHeight="1" x14ac:dyDescent="0.25">
      <c r="A256" s="83">
        <v>250</v>
      </c>
      <c r="B256" s="84">
        <v>2023</v>
      </c>
      <c r="C256" s="85" t="s">
        <v>747</v>
      </c>
      <c r="D256" s="86" t="s">
        <v>747</v>
      </c>
      <c r="E256" s="86" t="s">
        <v>749</v>
      </c>
      <c r="F256" s="87">
        <v>45239</v>
      </c>
      <c r="G256" s="87">
        <v>45304</v>
      </c>
      <c r="H256" s="88">
        <f t="shared" si="72"/>
        <v>0.72222222222222221</v>
      </c>
      <c r="I256" s="89" t="s">
        <v>750</v>
      </c>
      <c r="J256" s="90" t="s">
        <v>751</v>
      </c>
      <c r="K256" s="90" t="s">
        <v>752</v>
      </c>
      <c r="L256" s="90" t="s">
        <v>753</v>
      </c>
      <c r="M256" s="91" t="s">
        <v>1059</v>
      </c>
      <c r="N256" s="92" t="s">
        <v>1380</v>
      </c>
      <c r="O256" s="85">
        <v>2910908086</v>
      </c>
      <c r="P256" s="93">
        <v>10150000</v>
      </c>
      <c r="Q256" s="93">
        <v>0</v>
      </c>
      <c r="R256" s="94">
        <f t="shared" si="73"/>
        <v>10150000</v>
      </c>
      <c r="S256" s="95">
        <v>0.12</v>
      </c>
      <c r="T256" s="94">
        <f t="shared" si="74"/>
        <v>1087500</v>
      </c>
      <c r="U256" s="117">
        <v>0</v>
      </c>
      <c r="V256" s="117">
        <v>0</v>
      </c>
      <c r="W256" s="94">
        <f t="shared" si="75"/>
        <v>0</v>
      </c>
      <c r="X256" s="94">
        <f t="shared" si="76"/>
        <v>0</v>
      </c>
      <c r="Y256" s="94">
        <f t="shared" si="77"/>
        <v>0</v>
      </c>
      <c r="Z256" s="93">
        <f>_xlfn.XLOOKUP(O256,'[4]2DO TRIMESTRE'!$C:$C,'[4]2DO TRIMESTRE'!$I:$I,0,0)</f>
        <v>0</v>
      </c>
      <c r="AA256" s="94">
        <f t="shared" si="78"/>
        <v>0</v>
      </c>
      <c r="AB256" s="94">
        <f t="shared" si="79"/>
        <v>0</v>
      </c>
      <c r="AC256" s="94">
        <f t="shared" si="80"/>
        <v>0</v>
      </c>
      <c r="AD256" s="93">
        <v>0</v>
      </c>
      <c r="AE256" s="94">
        <f t="shared" si="81"/>
        <v>0</v>
      </c>
      <c r="AF256" s="94">
        <f t="shared" si="82"/>
        <v>0</v>
      </c>
      <c r="AG256" s="94">
        <f t="shared" si="83"/>
        <v>0</v>
      </c>
      <c r="AH256" s="117">
        <v>0</v>
      </c>
      <c r="AI256" s="94">
        <f t="shared" si="69"/>
        <v>0</v>
      </c>
      <c r="AJ256" s="94">
        <f t="shared" si="70"/>
        <v>0</v>
      </c>
      <c r="AK256" s="94">
        <f t="shared" si="71"/>
        <v>0</v>
      </c>
      <c r="AL256" s="93">
        <v>0</v>
      </c>
      <c r="AM256" s="93">
        <f t="shared" si="84"/>
        <v>0</v>
      </c>
      <c r="AN256" s="155"/>
      <c r="AO256" s="155"/>
    </row>
    <row r="257" spans="1:41" s="9" customFormat="1" ht="25.15" customHeight="1" x14ac:dyDescent="0.25">
      <c r="A257" s="83">
        <v>251</v>
      </c>
      <c r="B257" s="84">
        <v>2023</v>
      </c>
      <c r="C257" s="85" t="s">
        <v>1381</v>
      </c>
      <c r="D257" s="86" t="s">
        <v>1382</v>
      </c>
      <c r="E257" s="86" t="s">
        <v>758</v>
      </c>
      <c r="F257" s="87">
        <v>45245</v>
      </c>
      <c r="G257" s="87">
        <v>45291</v>
      </c>
      <c r="H257" s="88">
        <f t="shared" si="72"/>
        <v>0.51111111111111107</v>
      </c>
      <c r="I257" s="89" t="s">
        <v>759</v>
      </c>
      <c r="J257" s="90" t="s">
        <v>751</v>
      </c>
      <c r="K257" s="90" t="s">
        <v>752</v>
      </c>
      <c r="L257" s="90" t="s">
        <v>753</v>
      </c>
      <c r="M257" s="91" t="s">
        <v>1059</v>
      </c>
      <c r="N257" s="92" t="s">
        <v>1383</v>
      </c>
      <c r="O257" s="85">
        <v>2910907293</v>
      </c>
      <c r="P257" s="93">
        <v>5000000</v>
      </c>
      <c r="Q257" s="93">
        <v>0</v>
      </c>
      <c r="R257" s="94">
        <f t="shared" si="73"/>
        <v>5000000</v>
      </c>
      <c r="S257" s="95">
        <v>0.12</v>
      </c>
      <c r="T257" s="94">
        <f t="shared" si="74"/>
        <v>535714.28571428556</v>
      </c>
      <c r="U257" s="117">
        <v>5000000</v>
      </c>
      <c r="V257" s="117">
        <v>0</v>
      </c>
      <c r="W257" s="94">
        <f t="shared" si="75"/>
        <v>0</v>
      </c>
      <c r="X257" s="94">
        <f t="shared" si="76"/>
        <v>0</v>
      </c>
      <c r="Y257" s="94">
        <f t="shared" si="77"/>
        <v>0</v>
      </c>
      <c r="Z257" s="93">
        <f>_xlfn.XLOOKUP(O257,'[4]2DO TRIMESTRE'!$C:$C,'[4]2DO TRIMESTRE'!$I:$I,0,0)</f>
        <v>0</v>
      </c>
      <c r="AA257" s="94">
        <f t="shared" si="78"/>
        <v>0</v>
      </c>
      <c r="AB257" s="94">
        <f t="shared" si="79"/>
        <v>0</v>
      </c>
      <c r="AC257" s="94">
        <f t="shared" si="80"/>
        <v>0</v>
      </c>
      <c r="AD257" s="93">
        <v>0</v>
      </c>
      <c r="AE257" s="94">
        <f t="shared" si="81"/>
        <v>0</v>
      </c>
      <c r="AF257" s="94">
        <f t="shared" si="82"/>
        <v>0</v>
      </c>
      <c r="AG257" s="94">
        <f t="shared" si="83"/>
        <v>0</v>
      </c>
      <c r="AH257" s="117">
        <v>0</v>
      </c>
      <c r="AI257" s="94">
        <f t="shared" si="69"/>
        <v>0</v>
      </c>
      <c r="AJ257" s="94">
        <f t="shared" si="70"/>
        <v>0</v>
      </c>
      <c r="AK257" s="94">
        <f t="shared" si="71"/>
        <v>0</v>
      </c>
      <c r="AL257" s="93">
        <v>535714</v>
      </c>
      <c r="AM257" s="93">
        <f t="shared" si="84"/>
        <v>0</v>
      </c>
      <c r="AN257" s="155"/>
      <c r="AO257" s="155"/>
    </row>
    <row r="258" spans="1:41" s="9" customFormat="1" ht="25.15" customHeight="1" x14ac:dyDescent="0.25">
      <c r="A258" s="83">
        <v>252</v>
      </c>
      <c r="B258" s="84">
        <v>2023</v>
      </c>
      <c r="C258" s="85" t="s">
        <v>1384</v>
      </c>
      <c r="D258" s="86" t="s">
        <v>1385</v>
      </c>
      <c r="E258" s="86" t="s">
        <v>758</v>
      </c>
      <c r="F258" s="87">
        <v>45246</v>
      </c>
      <c r="G258" s="87">
        <v>45291</v>
      </c>
      <c r="H258" s="88">
        <f t="shared" si="72"/>
        <v>0.5</v>
      </c>
      <c r="I258" s="89" t="s">
        <v>759</v>
      </c>
      <c r="J258" s="90" t="s">
        <v>751</v>
      </c>
      <c r="K258" s="90" t="s">
        <v>752</v>
      </c>
      <c r="L258" s="90" t="s">
        <v>753</v>
      </c>
      <c r="M258" s="91" t="s">
        <v>1059</v>
      </c>
      <c r="N258" s="92" t="s">
        <v>1386</v>
      </c>
      <c r="O258" s="85">
        <v>2910907294</v>
      </c>
      <c r="P258" s="93">
        <v>20000000</v>
      </c>
      <c r="Q258" s="93">
        <v>0</v>
      </c>
      <c r="R258" s="94">
        <f t="shared" si="73"/>
        <v>20000000</v>
      </c>
      <c r="S258" s="95">
        <v>0.11999999104000007</v>
      </c>
      <c r="T258" s="94">
        <f t="shared" si="74"/>
        <v>2142857</v>
      </c>
      <c r="U258" s="117">
        <v>17260000</v>
      </c>
      <c r="V258" s="117">
        <v>0</v>
      </c>
      <c r="W258" s="94">
        <f t="shared" si="75"/>
        <v>0</v>
      </c>
      <c r="X258" s="94">
        <f t="shared" si="76"/>
        <v>0</v>
      </c>
      <c r="Y258" s="94">
        <f t="shared" si="77"/>
        <v>0</v>
      </c>
      <c r="Z258" s="93">
        <f>_xlfn.XLOOKUP(O258,'[4]2DO TRIMESTRE'!$C:$C,'[4]2DO TRIMESTRE'!$I:$I,0,0)</f>
        <v>0</v>
      </c>
      <c r="AA258" s="94">
        <f t="shared" si="78"/>
        <v>0</v>
      </c>
      <c r="AB258" s="94">
        <f t="shared" si="79"/>
        <v>0</v>
      </c>
      <c r="AC258" s="94">
        <f t="shared" si="80"/>
        <v>0</v>
      </c>
      <c r="AD258" s="93">
        <v>0</v>
      </c>
      <c r="AE258" s="94">
        <f t="shared" si="81"/>
        <v>0</v>
      </c>
      <c r="AF258" s="94">
        <f t="shared" si="82"/>
        <v>0</v>
      </c>
      <c r="AG258" s="94">
        <f t="shared" si="83"/>
        <v>0</v>
      </c>
      <c r="AH258" s="117">
        <v>0</v>
      </c>
      <c r="AI258" s="94">
        <f t="shared" si="69"/>
        <v>0</v>
      </c>
      <c r="AJ258" s="94">
        <f t="shared" si="70"/>
        <v>0</v>
      </c>
      <c r="AK258" s="94">
        <f t="shared" si="71"/>
        <v>0</v>
      </c>
      <c r="AL258" s="93">
        <v>1849281</v>
      </c>
      <c r="AM258" s="93">
        <f t="shared" si="84"/>
        <v>0</v>
      </c>
      <c r="AN258" s="155"/>
      <c r="AO258" s="155"/>
    </row>
    <row r="259" spans="1:41" s="9" customFormat="1" ht="25.15" customHeight="1" x14ac:dyDescent="0.25">
      <c r="A259" s="83">
        <v>253</v>
      </c>
      <c r="B259" s="84">
        <v>2023</v>
      </c>
      <c r="C259" s="85" t="s">
        <v>993</v>
      </c>
      <c r="D259" s="86" t="s">
        <v>993</v>
      </c>
      <c r="E259" s="86" t="s">
        <v>758</v>
      </c>
      <c r="F259" s="87">
        <v>45252</v>
      </c>
      <c r="G259" s="87"/>
      <c r="H259" s="88">
        <f t="shared" si="72"/>
        <v>-502.8</v>
      </c>
      <c r="I259" s="89" t="s">
        <v>1077</v>
      </c>
      <c r="J259" s="90" t="s">
        <v>751</v>
      </c>
      <c r="K259" s="90" t="s">
        <v>752</v>
      </c>
      <c r="L259" s="90" t="s">
        <v>753</v>
      </c>
      <c r="M259" s="91" t="s">
        <v>1059</v>
      </c>
      <c r="N259" s="92" t="s">
        <v>1387</v>
      </c>
      <c r="O259" s="85">
        <v>2910907296</v>
      </c>
      <c r="P259" s="93">
        <f>+_xlfn.XLOOKUP(O259,'[3]Benef Primera fecha '!$C:$C,'[3]Benef Primera fecha '!$E:$E,0)</f>
        <v>30000000</v>
      </c>
      <c r="Q259" s="93">
        <v>0</v>
      </c>
      <c r="R259" s="94">
        <f t="shared" si="73"/>
        <v>30000000</v>
      </c>
      <c r="S259" s="95">
        <v>0.12000001194666679</v>
      </c>
      <c r="T259" s="94">
        <f t="shared" si="74"/>
        <v>3214285.9999999995</v>
      </c>
      <c r="U259" s="117">
        <v>30000000</v>
      </c>
      <c r="V259" s="117">
        <v>0</v>
      </c>
      <c r="W259" s="94">
        <f t="shared" si="75"/>
        <v>0</v>
      </c>
      <c r="X259" s="94">
        <f t="shared" si="76"/>
        <v>0</v>
      </c>
      <c r="Y259" s="94">
        <f t="shared" si="77"/>
        <v>0</v>
      </c>
      <c r="Z259" s="93">
        <f>_xlfn.XLOOKUP(O259,'[4]2DO TRIMESTRE'!$C:$C,'[4]2DO TRIMESTRE'!$I:$I,0,0)</f>
        <v>0</v>
      </c>
      <c r="AA259" s="94">
        <f t="shared" si="78"/>
        <v>0</v>
      </c>
      <c r="AB259" s="94">
        <f t="shared" si="79"/>
        <v>0</v>
      </c>
      <c r="AC259" s="94">
        <f t="shared" si="80"/>
        <v>0</v>
      </c>
      <c r="AD259" s="93">
        <v>0</v>
      </c>
      <c r="AE259" s="94">
        <f t="shared" si="81"/>
        <v>0</v>
      </c>
      <c r="AF259" s="94">
        <f t="shared" si="82"/>
        <v>0</v>
      </c>
      <c r="AG259" s="94">
        <f t="shared" si="83"/>
        <v>0</v>
      </c>
      <c r="AH259" s="117">
        <v>0</v>
      </c>
      <c r="AI259" s="94">
        <f t="shared" ref="AI259:AI322" si="85">+AH259/(1+$S259)*$S259</f>
        <v>0</v>
      </c>
      <c r="AJ259" s="94">
        <f t="shared" ref="AJ259:AJ322" si="86">+AI259*40%</f>
        <v>0</v>
      </c>
      <c r="AK259" s="94">
        <f t="shared" ref="AK259:AK322" si="87">+AI259*60%</f>
        <v>0</v>
      </c>
      <c r="AL259" s="93">
        <v>3214285.9999999995</v>
      </c>
      <c r="AM259" s="93">
        <f t="shared" si="84"/>
        <v>0</v>
      </c>
      <c r="AN259" s="155"/>
      <c r="AO259" s="155"/>
    </row>
    <row r="260" spans="1:41" s="9" customFormat="1" ht="25.15" customHeight="1" x14ac:dyDescent="0.25">
      <c r="A260" s="83">
        <v>254</v>
      </c>
      <c r="B260" s="84">
        <v>2023</v>
      </c>
      <c r="C260" s="85" t="s">
        <v>1388</v>
      </c>
      <c r="D260" s="86" t="s">
        <v>1388</v>
      </c>
      <c r="E260" s="86" t="s">
        <v>758</v>
      </c>
      <c r="F260" s="87">
        <v>45260</v>
      </c>
      <c r="G260" s="87">
        <v>45350</v>
      </c>
      <c r="H260" s="88">
        <f t="shared" si="72"/>
        <v>1</v>
      </c>
      <c r="I260" s="89" t="s">
        <v>759</v>
      </c>
      <c r="J260" s="90" t="s">
        <v>751</v>
      </c>
      <c r="K260" s="90" t="s">
        <v>752</v>
      </c>
      <c r="L260" s="90" t="s">
        <v>753</v>
      </c>
      <c r="M260" s="91" t="s">
        <v>1059</v>
      </c>
      <c r="N260" s="92" t="s">
        <v>1389</v>
      </c>
      <c r="O260" s="85">
        <v>2910907295</v>
      </c>
      <c r="P260" s="93">
        <v>2000000</v>
      </c>
      <c r="Q260" s="93">
        <v>0</v>
      </c>
      <c r="R260" s="94">
        <f t="shared" si="73"/>
        <v>2000000</v>
      </c>
      <c r="S260" s="95">
        <v>0.12000017920002867</v>
      </c>
      <c r="T260" s="94">
        <f t="shared" si="74"/>
        <v>214286</v>
      </c>
      <c r="U260" s="117">
        <v>2000000</v>
      </c>
      <c r="V260" s="117">
        <v>0</v>
      </c>
      <c r="W260" s="94">
        <f t="shared" si="75"/>
        <v>0</v>
      </c>
      <c r="X260" s="94">
        <f t="shared" si="76"/>
        <v>0</v>
      </c>
      <c r="Y260" s="94">
        <f t="shared" si="77"/>
        <v>0</v>
      </c>
      <c r="Z260" s="93">
        <f>_xlfn.XLOOKUP(O260,'[4]2DO TRIMESTRE'!$C:$C,'[4]2DO TRIMESTRE'!$I:$I,0,0)</f>
        <v>0</v>
      </c>
      <c r="AA260" s="94">
        <f t="shared" si="78"/>
        <v>0</v>
      </c>
      <c r="AB260" s="94">
        <f t="shared" si="79"/>
        <v>0</v>
      </c>
      <c r="AC260" s="94">
        <f t="shared" si="80"/>
        <v>0</v>
      </c>
      <c r="AD260" s="93">
        <v>0</v>
      </c>
      <c r="AE260" s="94">
        <f t="shared" si="81"/>
        <v>0</v>
      </c>
      <c r="AF260" s="94">
        <f t="shared" si="82"/>
        <v>0</v>
      </c>
      <c r="AG260" s="94">
        <f t="shared" si="83"/>
        <v>0</v>
      </c>
      <c r="AH260" s="117">
        <v>0</v>
      </c>
      <c r="AI260" s="94">
        <f t="shared" si="85"/>
        <v>0</v>
      </c>
      <c r="AJ260" s="94">
        <f t="shared" si="86"/>
        <v>0</v>
      </c>
      <c r="AK260" s="94">
        <f t="shared" si="87"/>
        <v>0</v>
      </c>
      <c r="AL260" s="93">
        <v>214286</v>
      </c>
      <c r="AM260" s="93">
        <f t="shared" si="84"/>
        <v>0</v>
      </c>
      <c r="AN260" s="155"/>
      <c r="AO260" s="155"/>
    </row>
    <row r="261" spans="1:41" s="9" customFormat="1" ht="25.15" customHeight="1" x14ac:dyDescent="0.25">
      <c r="A261" s="83">
        <v>255</v>
      </c>
      <c r="B261" s="84">
        <v>2023</v>
      </c>
      <c r="C261" s="85" t="s">
        <v>1390</v>
      </c>
      <c r="D261" s="86" t="s">
        <v>1390</v>
      </c>
      <c r="E261" s="86" t="s">
        <v>758</v>
      </c>
      <c r="F261" s="87">
        <v>45264</v>
      </c>
      <c r="G261" s="87"/>
      <c r="H261" s="88">
        <f t="shared" si="72"/>
        <v>-502.93333333333334</v>
      </c>
      <c r="I261" s="89" t="s">
        <v>1077</v>
      </c>
      <c r="J261" s="90" t="s">
        <v>751</v>
      </c>
      <c r="K261" s="90" t="s">
        <v>752</v>
      </c>
      <c r="L261" s="90" t="s">
        <v>753</v>
      </c>
      <c r="M261" s="91" t="s">
        <v>1059</v>
      </c>
      <c r="N261" s="92" t="s">
        <v>1391</v>
      </c>
      <c r="O261" s="85">
        <v>2910907297</v>
      </c>
      <c r="P261" s="93">
        <f>+_xlfn.XLOOKUP(O261,'[3]Benef Primera fecha '!$C:$C,'[3]Benef Primera fecha '!$E:$E,0)</f>
        <v>10000000</v>
      </c>
      <c r="Q261" s="93">
        <v>0</v>
      </c>
      <c r="R261" s="94">
        <f t="shared" si="73"/>
        <v>10000000</v>
      </c>
      <c r="S261" s="95">
        <v>0.12000005376000258</v>
      </c>
      <c r="T261" s="94">
        <f t="shared" si="74"/>
        <v>1071429</v>
      </c>
      <c r="U261" s="117">
        <v>8330000</v>
      </c>
      <c r="V261" s="117">
        <v>0</v>
      </c>
      <c r="W261" s="94">
        <f t="shared" si="75"/>
        <v>0</v>
      </c>
      <c r="X261" s="94">
        <f t="shared" si="76"/>
        <v>0</v>
      </c>
      <c r="Y261" s="94">
        <f t="shared" si="77"/>
        <v>0</v>
      </c>
      <c r="Z261" s="93">
        <f>_xlfn.XLOOKUP(O261,'[4]2DO TRIMESTRE'!$C:$C,'[4]2DO TRIMESTRE'!$I:$I,0,0)</f>
        <v>0</v>
      </c>
      <c r="AA261" s="94">
        <f t="shared" si="78"/>
        <v>0</v>
      </c>
      <c r="AB261" s="94">
        <f t="shared" si="79"/>
        <v>0</v>
      </c>
      <c r="AC261" s="94">
        <f t="shared" si="80"/>
        <v>0</v>
      </c>
      <c r="AD261" s="93">
        <v>0</v>
      </c>
      <c r="AE261" s="94">
        <f t="shared" si="81"/>
        <v>0</v>
      </c>
      <c r="AF261" s="94">
        <f t="shared" si="82"/>
        <v>0</v>
      </c>
      <c r="AG261" s="94">
        <f t="shared" si="83"/>
        <v>0</v>
      </c>
      <c r="AH261" s="117">
        <v>0</v>
      </c>
      <c r="AI261" s="94">
        <f t="shared" si="85"/>
        <v>0</v>
      </c>
      <c r="AJ261" s="94">
        <f t="shared" si="86"/>
        <v>0</v>
      </c>
      <c r="AK261" s="94">
        <f t="shared" si="87"/>
        <v>0</v>
      </c>
      <c r="AL261" s="93">
        <v>892500</v>
      </c>
      <c r="AM261" s="93">
        <f t="shared" si="84"/>
        <v>0</v>
      </c>
      <c r="AN261" s="155"/>
      <c r="AO261" s="155"/>
    </row>
    <row r="262" spans="1:41" s="9" customFormat="1" ht="25.15" customHeight="1" x14ac:dyDescent="0.25">
      <c r="A262" s="83">
        <v>256</v>
      </c>
      <c r="B262" s="84">
        <v>2023</v>
      </c>
      <c r="C262" s="85" t="s">
        <v>1392</v>
      </c>
      <c r="D262" s="86" t="s">
        <v>1242</v>
      </c>
      <c r="E262" s="86" t="s">
        <v>758</v>
      </c>
      <c r="F262" s="87">
        <v>45266</v>
      </c>
      <c r="G262" s="87">
        <v>45327</v>
      </c>
      <c r="H262" s="88">
        <f t="shared" si="72"/>
        <v>0.67777777777777781</v>
      </c>
      <c r="I262" s="89" t="s">
        <v>759</v>
      </c>
      <c r="J262" s="90" t="s">
        <v>751</v>
      </c>
      <c r="K262" s="90" t="s">
        <v>752</v>
      </c>
      <c r="L262" s="90" t="s">
        <v>753</v>
      </c>
      <c r="M262" s="91" t="s">
        <v>1059</v>
      </c>
      <c r="N262" s="92" t="s">
        <v>1393</v>
      </c>
      <c r="O262" s="85">
        <v>2910907298</v>
      </c>
      <c r="P262" s="93">
        <v>2000000</v>
      </c>
      <c r="Q262" s="93">
        <v>0</v>
      </c>
      <c r="R262" s="94">
        <f t="shared" si="73"/>
        <v>2000000</v>
      </c>
      <c r="S262" s="95">
        <v>0.12</v>
      </c>
      <c r="T262" s="94">
        <f t="shared" si="74"/>
        <v>214285.71428571423</v>
      </c>
      <c r="U262" s="117">
        <v>0</v>
      </c>
      <c r="V262" s="117">
        <v>0</v>
      </c>
      <c r="W262" s="94">
        <f t="shared" si="75"/>
        <v>0</v>
      </c>
      <c r="X262" s="94">
        <f t="shared" si="76"/>
        <v>0</v>
      </c>
      <c r="Y262" s="94">
        <f t="shared" si="77"/>
        <v>0</v>
      </c>
      <c r="Z262" s="93">
        <f>_xlfn.XLOOKUP(O262,'[4]2DO TRIMESTRE'!$C:$C,'[4]2DO TRIMESTRE'!$I:$I,0,0)</f>
        <v>0</v>
      </c>
      <c r="AA262" s="94">
        <f t="shared" si="78"/>
        <v>0</v>
      </c>
      <c r="AB262" s="94">
        <f t="shared" si="79"/>
        <v>0</v>
      </c>
      <c r="AC262" s="94">
        <f t="shared" si="80"/>
        <v>0</v>
      </c>
      <c r="AD262" s="93">
        <v>0</v>
      </c>
      <c r="AE262" s="94">
        <f t="shared" si="81"/>
        <v>0</v>
      </c>
      <c r="AF262" s="94">
        <f t="shared" si="82"/>
        <v>0</v>
      </c>
      <c r="AG262" s="94">
        <f t="shared" si="83"/>
        <v>0</v>
      </c>
      <c r="AH262" s="117">
        <v>0</v>
      </c>
      <c r="AI262" s="94">
        <f t="shared" si="85"/>
        <v>0</v>
      </c>
      <c r="AJ262" s="94">
        <f t="shared" si="86"/>
        <v>0</v>
      </c>
      <c r="AK262" s="94">
        <f t="shared" si="87"/>
        <v>0</v>
      </c>
      <c r="AL262" s="93">
        <v>0</v>
      </c>
      <c r="AM262" s="93">
        <f t="shared" si="84"/>
        <v>0</v>
      </c>
      <c r="AN262" s="155"/>
      <c r="AO262" s="155"/>
    </row>
    <row r="263" spans="1:41" s="9" customFormat="1" ht="25.15" customHeight="1" x14ac:dyDescent="0.25">
      <c r="A263" s="83">
        <v>257</v>
      </c>
      <c r="B263" s="84">
        <v>2023</v>
      </c>
      <c r="C263" s="85" t="s">
        <v>1394</v>
      </c>
      <c r="D263" s="86" t="s">
        <v>1394</v>
      </c>
      <c r="E263" s="86" t="s">
        <v>758</v>
      </c>
      <c r="F263" s="87">
        <v>45267</v>
      </c>
      <c r="G263" s="87"/>
      <c r="H263" s="88">
        <f t="shared" si="72"/>
        <v>-502.96666666666664</v>
      </c>
      <c r="I263" s="89" t="s">
        <v>1077</v>
      </c>
      <c r="J263" s="90" t="s">
        <v>751</v>
      </c>
      <c r="K263" s="90" t="s">
        <v>752</v>
      </c>
      <c r="L263" s="90" t="s">
        <v>753</v>
      </c>
      <c r="M263" s="91" t="s">
        <v>1059</v>
      </c>
      <c r="N263" s="92" t="s">
        <v>1395</v>
      </c>
      <c r="O263" s="85">
        <v>2910907291</v>
      </c>
      <c r="P263" s="93">
        <f>+_xlfn.XLOOKUP(O263,'[3]Benef Primera fecha '!$C:$C,'[3]Benef Primera fecha '!$E:$E,0)</f>
        <v>335000000</v>
      </c>
      <c r="Q263" s="93">
        <v>0</v>
      </c>
      <c r="R263" s="94">
        <f t="shared" si="73"/>
        <v>335000000</v>
      </c>
      <c r="S263" s="95">
        <v>0.11999999946507463</v>
      </c>
      <c r="T263" s="94">
        <f t="shared" si="74"/>
        <v>35892857</v>
      </c>
      <c r="U263" s="117">
        <v>335000000</v>
      </c>
      <c r="V263" s="117">
        <v>0</v>
      </c>
      <c r="W263" s="94">
        <f t="shared" si="75"/>
        <v>0</v>
      </c>
      <c r="X263" s="94">
        <f t="shared" si="76"/>
        <v>0</v>
      </c>
      <c r="Y263" s="94">
        <f t="shared" si="77"/>
        <v>0</v>
      </c>
      <c r="Z263" s="93">
        <f>_xlfn.XLOOKUP(O263,'[4]2DO TRIMESTRE'!$C:$C,'[4]2DO TRIMESTRE'!$I:$I,0,0)</f>
        <v>0</v>
      </c>
      <c r="AA263" s="94">
        <f t="shared" si="78"/>
        <v>0</v>
      </c>
      <c r="AB263" s="94">
        <f t="shared" si="79"/>
        <v>0</v>
      </c>
      <c r="AC263" s="94">
        <f t="shared" si="80"/>
        <v>0</v>
      </c>
      <c r="AD263" s="93">
        <v>0</v>
      </c>
      <c r="AE263" s="94">
        <f t="shared" si="81"/>
        <v>0</v>
      </c>
      <c r="AF263" s="94">
        <f t="shared" si="82"/>
        <v>0</v>
      </c>
      <c r="AG263" s="94">
        <f t="shared" si="83"/>
        <v>0</v>
      </c>
      <c r="AH263" s="117">
        <v>0</v>
      </c>
      <c r="AI263" s="94">
        <f t="shared" si="85"/>
        <v>0</v>
      </c>
      <c r="AJ263" s="94">
        <f t="shared" si="86"/>
        <v>0</v>
      </c>
      <c r="AK263" s="94">
        <f t="shared" si="87"/>
        <v>0</v>
      </c>
      <c r="AL263" s="93">
        <v>35892857</v>
      </c>
      <c r="AM263" s="93">
        <f t="shared" si="84"/>
        <v>0</v>
      </c>
      <c r="AN263" s="155"/>
      <c r="AO263" s="155"/>
    </row>
    <row r="264" spans="1:41" s="9" customFormat="1" ht="25.15" customHeight="1" x14ac:dyDescent="0.25">
      <c r="A264" s="83">
        <v>258</v>
      </c>
      <c r="B264" s="84">
        <v>2023</v>
      </c>
      <c r="C264" s="85" t="s">
        <v>1396</v>
      </c>
      <c r="D264" s="86" t="s">
        <v>1397</v>
      </c>
      <c r="E264" s="86" t="s">
        <v>777</v>
      </c>
      <c r="F264" s="87">
        <v>45271</v>
      </c>
      <c r="G264" s="87"/>
      <c r="H264" s="88">
        <f t="shared" ref="H264:H296" si="88">+(G264-F264)/90</f>
        <v>-503.01111111111112</v>
      </c>
      <c r="I264" s="89" t="s">
        <v>1077</v>
      </c>
      <c r="J264" s="90" t="s">
        <v>751</v>
      </c>
      <c r="K264" s="90" t="s">
        <v>752</v>
      </c>
      <c r="L264" s="90" t="s">
        <v>753</v>
      </c>
      <c r="M264" s="91" t="s">
        <v>1059</v>
      </c>
      <c r="N264" s="92" t="s">
        <v>1398</v>
      </c>
      <c r="O264" s="85">
        <v>2453018362</v>
      </c>
      <c r="P264" s="93">
        <v>56400000</v>
      </c>
      <c r="Q264" s="93">
        <v>0</v>
      </c>
      <c r="R264" s="94">
        <f t="shared" ref="R264:R287" si="89">+(P264+Q264)</f>
        <v>56400000</v>
      </c>
      <c r="S264" s="95">
        <v>0.12</v>
      </c>
      <c r="T264" s="94">
        <f t="shared" ref="T264:T293" si="90">(R264/(1+S264))*S264</f>
        <v>6042857.1428571418</v>
      </c>
      <c r="U264" s="117">
        <v>56400000</v>
      </c>
      <c r="V264" s="117">
        <v>0</v>
      </c>
      <c r="W264" s="94">
        <f t="shared" ref="W264:W327" si="91">+V264/(1+$S264)*$S264</f>
        <v>0</v>
      </c>
      <c r="X264" s="94">
        <f t="shared" ref="X264:X327" si="92">+W264*40%</f>
        <v>0</v>
      </c>
      <c r="Y264" s="94">
        <f t="shared" ref="Y264:Y327" si="93">+W264*60%</f>
        <v>0</v>
      </c>
      <c r="Z264" s="93">
        <f>_xlfn.XLOOKUP(O264,'[4]2DO TRIMESTRE'!$C:$C,'[4]2DO TRIMESTRE'!$I:$I,0,0)</f>
        <v>0</v>
      </c>
      <c r="AA264" s="94">
        <f t="shared" ref="AA264:AA311" si="94">+Z264/(1+$S264)*$S264</f>
        <v>0</v>
      </c>
      <c r="AB264" s="94">
        <f t="shared" ref="AB264:AB311" si="95">+AA264*40%</f>
        <v>0</v>
      </c>
      <c r="AC264" s="94">
        <f t="shared" ref="AC264:AC311" si="96">+AA264*60%</f>
        <v>0</v>
      </c>
      <c r="AD264" s="93">
        <v>0</v>
      </c>
      <c r="AE264" s="94">
        <f t="shared" ref="AE264:AE327" si="97">+AD264/(1+$S264)*$S264</f>
        <v>0</v>
      </c>
      <c r="AF264" s="94">
        <f t="shared" ref="AF264:AF327" si="98">+AE264*40%</f>
        <v>0</v>
      </c>
      <c r="AG264" s="94">
        <f t="shared" ref="AG264:AG327" si="99">+AE264*60%</f>
        <v>0</v>
      </c>
      <c r="AH264" s="117">
        <v>0</v>
      </c>
      <c r="AI264" s="94">
        <f t="shared" si="85"/>
        <v>0</v>
      </c>
      <c r="AJ264" s="94">
        <f t="shared" si="86"/>
        <v>0</v>
      </c>
      <c r="AK264" s="94">
        <f t="shared" si="87"/>
        <v>0</v>
      </c>
      <c r="AL264" s="93">
        <v>6042857</v>
      </c>
      <c r="AM264" s="93">
        <f t="shared" ref="AM264:AM327" si="100">W264+AA264+AE264+AI264</f>
        <v>0</v>
      </c>
      <c r="AN264" s="155"/>
      <c r="AO264" s="155"/>
    </row>
    <row r="265" spans="1:41" s="9" customFormat="1" ht="25.15" customHeight="1" x14ac:dyDescent="0.25">
      <c r="A265" s="83">
        <v>259</v>
      </c>
      <c r="B265" s="84">
        <v>2023</v>
      </c>
      <c r="C265" s="85" t="s">
        <v>1399</v>
      </c>
      <c r="D265" s="86" t="s">
        <v>1400</v>
      </c>
      <c r="E265" s="86" t="s">
        <v>758</v>
      </c>
      <c r="F265" s="87">
        <v>45272</v>
      </c>
      <c r="G265" s="87"/>
      <c r="H265" s="88">
        <f t="shared" si="88"/>
        <v>-503.02222222222224</v>
      </c>
      <c r="I265" s="89" t="s">
        <v>1077</v>
      </c>
      <c r="J265" s="90" t="s">
        <v>751</v>
      </c>
      <c r="K265" s="90" t="s">
        <v>752</v>
      </c>
      <c r="L265" s="90" t="s">
        <v>753</v>
      </c>
      <c r="M265" s="91" t="s">
        <v>754</v>
      </c>
      <c r="N265" s="92" t="s">
        <v>1354</v>
      </c>
      <c r="O265" s="85">
        <v>2910907292</v>
      </c>
      <c r="P265" s="93">
        <v>2000000</v>
      </c>
      <c r="Q265" s="93">
        <v>0</v>
      </c>
      <c r="R265" s="94">
        <f t="shared" si="89"/>
        <v>2000000</v>
      </c>
      <c r="S265" s="95">
        <v>0.12</v>
      </c>
      <c r="T265" s="94">
        <f t="shared" si="90"/>
        <v>214285.71428571423</v>
      </c>
      <c r="U265" s="117">
        <v>0</v>
      </c>
      <c r="V265" s="117">
        <v>0</v>
      </c>
      <c r="W265" s="94">
        <f t="shared" si="91"/>
        <v>0</v>
      </c>
      <c r="X265" s="94">
        <f t="shared" si="92"/>
        <v>0</v>
      </c>
      <c r="Y265" s="94">
        <f t="shared" si="93"/>
        <v>0</v>
      </c>
      <c r="Z265" s="93">
        <f>_xlfn.XLOOKUP(O265,'[4]2DO TRIMESTRE'!$C:$C,'[4]2DO TRIMESTRE'!$I:$I,0,0)</f>
        <v>0</v>
      </c>
      <c r="AA265" s="94">
        <f t="shared" si="94"/>
        <v>0</v>
      </c>
      <c r="AB265" s="94">
        <f t="shared" si="95"/>
        <v>0</v>
      </c>
      <c r="AC265" s="94">
        <f t="shared" si="96"/>
        <v>0</v>
      </c>
      <c r="AD265" s="93">
        <v>0</v>
      </c>
      <c r="AE265" s="94">
        <f t="shared" si="97"/>
        <v>0</v>
      </c>
      <c r="AF265" s="94">
        <f t="shared" si="98"/>
        <v>0</v>
      </c>
      <c r="AG265" s="94">
        <f t="shared" si="99"/>
        <v>0</v>
      </c>
      <c r="AH265" s="117">
        <v>0</v>
      </c>
      <c r="AI265" s="94">
        <f t="shared" si="85"/>
        <v>0</v>
      </c>
      <c r="AJ265" s="94">
        <f t="shared" si="86"/>
        <v>0</v>
      </c>
      <c r="AK265" s="94">
        <f t="shared" si="87"/>
        <v>0</v>
      </c>
      <c r="AL265" s="93">
        <v>0</v>
      </c>
      <c r="AM265" s="93">
        <f t="shared" si="100"/>
        <v>0</v>
      </c>
      <c r="AN265" s="155"/>
      <c r="AO265" s="155"/>
    </row>
    <row r="266" spans="1:41" s="9" customFormat="1" ht="25.15" customHeight="1" x14ac:dyDescent="0.25">
      <c r="A266" s="83">
        <v>260</v>
      </c>
      <c r="B266" s="84">
        <v>2023</v>
      </c>
      <c r="C266" s="85" t="s">
        <v>747</v>
      </c>
      <c r="D266" s="86" t="s">
        <v>747</v>
      </c>
      <c r="E266" s="86" t="s">
        <v>749</v>
      </c>
      <c r="F266" s="87">
        <v>45273</v>
      </c>
      <c r="G266" s="87"/>
      <c r="H266" s="88">
        <f t="shared" si="88"/>
        <v>-503.03333333333336</v>
      </c>
      <c r="I266" s="89" t="s">
        <v>759</v>
      </c>
      <c r="J266" s="90" t="s">
        <v>751</v>
      </c>
      <c r="K266" s="90" t="s">
        <v>752</v>
      </c>
      <c r="L266" s="90" t="s">
        <v>753</v>
      </c>
      <c r="M266" s="91" t="s">
        <v>1059</v>
      </c>
      <c r="N266" s="92" t="s">
        <v>1401</v>
      </c>
      <c r="O266" s="85">
        <v>2910908090</v>
      </c>
      <c r="P266" s="93">
        <f>+_xlfn.XLOOKUP(O266,'[3]Benef Primera fecha '!$C:$C,'[3]Benef Primera fecha '!$E:$E,0)</f>
        <v>22820000</v>
      </c>
      <c r="Q266" s="93">
        <v>0</v>
      </c>
      <c r="R266" s="94">
        <f t="shared" si="89"/>
        <v>22820000</v>
      </c>
      <c r="S266" s="95">
        <v>0.12</v>
      </c>
      <c r="T266" s="94">
        <f t="shared" si="90"/>
        <v>2444999.9999999995</v>
      </c>
      <c r="U266" s="117">
        <v>22820000</v>
      </c>
      <c r="V266" s="117">
        <v>0</v>
      </c>
      <c r="W266" s="94">
        <f t="shared" si="91"/>
        <v>0</v>
      </c>
      <c r="X266" s="94">
        <f t="shared" si="92"/>
        <v>0</v>
      </c>
      <c r="Y266" s="94">
        <f t="shared" si="93"/>
        <v>0</v>
      </c>
      <c r="Z266" s="93">
        <f>_xlfn.XLOOKUP(O266,'[4]2DO TRIMESTRE'!$C:$C,'[4]2DO TRIMESTRE'!$I:$I,0,0)</f>
        <v>0</v>
      </c>
      <c r="AA266" s="94">
        <f t="shared" si="94"/>
        <v>0</v>
      </c>
      <c r="AB266" s="94">
        <f t="shared" si="95"/>
        <v>0</v>
      </c>
      <c r="AC266" s="94">
        <f t="shared" si="96"/>
        <v>0</v>
      </c>
      <c r="AD266" s="93">
        <v>0</v>
      </c>
      <c r="AE266" s="94">
        <f t="shared" si="97"/>
        <v>0</v>
      </c>
      <c r="AF266" s="94">
        <f t="shared" si="98"/>
        <v>0</v>
      </c>
      <c r="AG266" s="94">
        <f t="shared" si="99"/>
        <v>0</v>
      </c>
      <c r="AH266" s="117">
        <v>0</v>
      </c>
      <c r="AI266" s="94">
        <f t="shared" si="85"/>
        <v>0</v>
      </c>
      <c r="AJ266" s="94">
        <f t="shared" si="86"/>
        <v>0</v>
      </c>
      <c r="AK266" s="94">
        <f t="shared" si="87"/>
        <v>0</v>
      </c>
      <c r="AL266" s="93">
        <v>2445000</v>
      </c>
      <c r="AM266" s="93">
        <f t="shared" si="100"/>
        <v>0</v>
      </c>
      <c r="AN266" s="155"/>
      <c r="AO266" s="155"/>
    </row>
    <row r="267" spans="1:41" s="9" customFormat="1" ht="25.15" customHeight="1" x14ac:dyDescent="0.25">
      <c r="A267" s="83">
        <v>261</v>
      </c>
      <c r="B267" s="84">
        <v>2023</v>
      </c>
      <c r="C267" s="85" t="s">
        <v>1023</v>
      </c>
      <c r="D267" s="86" t="s">
        <v>1402</v>
      </c>
      <c r="E267" s="86" t="s">
        <v>758</v>
      </c>
      <c r="F267" s="87">
        <v>45278</v>
      </c>
      <c r="G267" s="87"/>
      <c r="H267" s="88">
        <f t="shared" si="88"/>
        <v>-503.0888888888889</v>
      </c>
      <c r="I267" s="89" t="s">
        <v>759</v>
      </c>
      <c r="J267" s="90" t="s">
        <v>751</v>
      </c>
      <c r="K267" s="90" t="s">
        <v>752</v>
      </c>
      <c r="L267" s="90" t="s">
        <v>753</v>
      </c>
      <c r="M267" s="91" t="s">
        <v>1059</v>
      </c>
      <c r="N267" s="92" t="s">
        <v>1403</v>
      </c>
      <c r="O267" s="85">
        <v>2910907304</v>
      </c>
      <c r="P267" s="93">
        <v>66930000</v>
      </c>
      <c r="Q267" s="93">
        <v>0</v>
      </c>
      <c r="R267" s="94">
        <f t="shared" si="89"/>
        <v>66930000</v>
      </c>
      <c r="S267" s="95">
        <v>0.12</v>
      </c>
      <c r="T267" s="94">
        <f t="shared" si="90"/>
        <v>7171071.4285714282</v>
      </c>
      <c r="U267" s="117">
        <v>46335639</v>
      </c>
      <c r="V267" s="117">
        <v>0</v>
      </c>
      <c r="W267" s="94">
        <f t="shared" si="91"/>
        <v>0</v>
      </c>
      <c r="X267" s="94">
        <f t="shared" si="92"/>
        <v>0</v>
      </c>
      <c r="Y267" s="94">
        <f t="shared" si="93"/>
        <v>0</v>
      </c>
      <c r="Z267" s="93">
        <f>_xlfn.XLOOKUP(O267,'[4]2DO TRIMESTRE'!$C:$C,'[4]2DO TRIMESTRE'!$I:$I,0,0)</f>
        <v>0</v>
      </c>
      <c r="AA267" s="94">
        <f t="shared" si="94"/>
        <v>0</v>
      </c>
      <c r="AB267" s="94">
        <f t="shared" si="95"/>
        <v>0</v>
      </c>
      <c r="AC267" s="94">
        <f t="shared" si="96"/>
        <v>0</v>
      </c>
      <c r="AD267" s="93">
        <v>0</v>
      </c>
      <c r="AE267" s="94">
        <f t="shared" si="97"/>
        <v>0</v>
      </c>
      <c r="AF267" s="94">
        <f t="shared" si="98"/>
        <v>0</v>
      </c>
      <c r="AG267" s="94">
        <f t="shared" si="99"/>
        <v>0</v>
      </c>
      <c r="AH267" s="117">
        <v>0</v>
      </c>
      <c r="AI267" s="94">
        <f t="shared" si="85"/>
        <v>0</v>
      </c>
      <c r="AJ267" s="94">
        <f t="shared" si="86"/>
        <v>0</v>
      </c>
      <c r="AK267" s="94">
        <f t="shared" si="87"/>
        <v>0</v>
      </c>
      <c r="AL267" s="93">
        <v>4964532.4533000002</v>
      </c>
      <c r="AM267" s="93">
        <f t="shared" si="100"/>
        <v>0</v>
      </c>
      <c r="AN267" s="155"/>
      <c r="AO267" s="155"/>
    </row>
    <row r="268" spans="1:41" s="9" customFormat="1" ht="25.15" customHeight="1" x14ac:dyDescent="0.25">
      <c r="A268" s="83">
        <v>262</v>
      </c>
      <c r="B268" s="84">
        <v>2023</v>
      </c>
      <c r="C268" s="85" t="s">
        <v>1122</v>
      </c>
      <c r="D268" s="86" t="s">
        <v>1404</v>
      </c>
      <c r="E268" s="86" t="s">
        <v>758</v>
      </c>
      <c r="F268" s="87">
        <v>45278</v>
      </c>
      <c r="G268" s="87"/>
      <c r="H268" s="88">
        <f t="shared" si="88"/>
        <v>-503.0888888888889</v>
      </c>
      <c r="I268" s="89" t="s">
        <v>750</v>
      </c>
      <c r="J268" s="90" t="s">
        <v>751</v>
      </c>
      <c r="K268" s="90" t="s">
        <v>752</v>
      </c>
      <c r="L268" s="90" t="s">
        <v>753</v>
      </c>
      <c r="M268" s="91" t="s">
        <v>1059</v>
      </c>
      <c r="N268" s="92" t="s">
        <v>1405</v>
      </c>
      <c r="O268" s="85">
        <v>2910907301</v>
      </c>
      <c r="P268" s="93">
        <v>40000000</v>
      </c>
      <c r="Q268" s="93">
        <v>0</v>
      </c>
      <c r="R268" s="94">
        <f t="shared" si="89"/>
        <v>40000000</v>
      </c>
      <c r="S268" s="95">
        <v>0.12</v>
      </c>
      <c r="T268" s="94">
        <f t="shared" si="90"/>
        <v>4285714.2857142845</v>
      </c>
      <c r="U268" s="117">
        <v>40000000</v>
      </c>
      <c r="V268" s="117">
        <v>0</v>
      </c>
      <c r="W268" s="94">
        <f t="shared" si="91"/>
        <v>0</v>
      </c>
      <c r="X268" s="94">
        <f t="shared" si="92"/>
        <v>0</v>
      </c>
      <c r="Y268" s="94">
        <f t="shared" si="93"/>
        <v>0</v>
      </c>
      <c r="Z268" s="93">
        <f>_xlfn.XLOOKUP(O268,'[4]2DO TRIMESTRE'!$C:$C,'[4]2DO TRIMESTRE'!$I:$I,0,0)</f>
        <v>0</v>
      </c>
      <c r="AA268" s="94">
        <f t="shared" si="94"/>
        <v>0</v>
      </c>
      <c r="AB268" s="94">
        <f t="shared" si="95"/>
        <v>0</v>
      </c>
      <c r="AC268" s="94">
        <f t="shared" si="96"/>
        <v>0</v>
      </c>
      <c r="AD268" s="93">
        <v>0</v>
      </c>
      <c r="AE268" s="94">
        <f t="shared" si="97"/>
        <v>0</v>
      </c>
      <c r="AF268" s="94">
        <f t="shared" si="98"/>
        <v>0</v>
      </c>
      <c r="AG268" s="94">
        <f t="shared" si="99"/>
        <v>0</v>
      </c>
      <c r="AH268" s="117">
        <v>0</v>
      </c>
      <c r="AI268" s="94">
        <f t="shared" si="85"/>
        <v>0</v>
      </c>
      <c r="AJ268" s="94">
        <f t="shared" si="86"/>
        <v>0</v>
      </c>
      <c r="AK268" s="94">
        <f t="shared" si="87"/>
        <v>0</v>
      </c>
      <c r="AL268" s="93">
        <v>4285714</v>
      </c>
      <c r="AM268" s="93">
        <f t="shared" si="100"/>
        <v>0</v>
      </c>
      <c r="AN268" s="155"/>
      <c r="AO268" s="155"/>
    </row>
    <row r="269" spans="1:41" s="9" customFormat="1" ht="25.15" customHeight="1" x14ac:dyDescent="0.25">
      <c r="A269" s="83">
        <v>263</v>
      </c>
      <c r="B269" s="84">
        <v>2023</v>
      </c>
      <c r="C269" s="85" t="s">
        <v>1157</v>
      </c>
      <c r="D269" s="86" t="s">
        <v>1157</v>
      </c>
      <c r="E269" s="86" t="s">
        <v>758</v>
      </c>
      <c r="F269" s="87">
        <v>45279</v>
      </c>
      <c r="G269" s="87"/>
      <c r="H269" s="88">
        <f t="shared" si="88"/>
        <v>-503.1</v>
      </c>
      <c r="I269" s="89" t="s">
        <v>1077</v>
      </c>
      <c r="J269" s="90" t="s">
        <v>751</v>
      </c>
      <c r="K269" s="90" t="s">
        <v>752</v>
      </c>
      <c r="L269" s="90" t="s">
        <v>753</v>
      </c>
      <c r="M269" s="91" t="s">
        <v>1059</v>
      </c>
      <c r="N269" s="92" t="s">
        <v>1406</v>
      </c>
      <c r="O269" s="85">
        <v>2910907299</v>
      </c>
      <c r="P269" s="93">
        <v>40000000</v>
      </c>
      <c r="Q269" s="93">
        <v>0</v>
      </c>
      <c r="R269" s="94">
        <f t="shared" si="89"/>
        <v>40000000</v>
      </c>
      <c r="S269" s="95">
        <v>0.11999999104000007</v>
      </c>
      <c r="T269" s="94">
        <f t="shared" si="90"/>
        <v>4285714</v>
      </c>
      <c r="U269" s="117">
        <v>36300000</v>
      </c>
      <c r="V269" s="117">
        <v>0</v>
      </c>
      <c r="W269" s="94">
        <f t="shared" si="91"/>
        <v>0</v>
      </c>
      <c r="X269" s="94">
        <f t="shared" si="92"/>
        <v>0</v>
      </c>
      <c r="Y269" s="94">
        <f t="shared" si="93"/>
        <v>0</v>
      </c>
      <c r="Z269" s="93">
        <f>_xlfn.XLOOKUP(O269,'[4]2DO TRIMESTRE'!$C:$C,'[4]2DO TRIMESTRE'!$I:$I,0,0)</f>
        <v>0</v>
      </c>
      <c r="AA269" s="94">
        <f t="shared" si="94"/>
        <v>0</v>
      </c>
      <c r="AB269" s="94">
        <f t="shared" si="95"/>
        <v>0</v>
      </c>
      <c r="AC269" s="94">
        <f t="shared" si="96"/>
        <v>0</v>
      </c>
      <c r="AD269" s="93">
        <v>0</v>
      </c>
      <c r="AE269" s="94">
        <f t="shared" si="97"/>
        <v>0</v>
      </c>
      <c r="AF269" s="94">
        <f t="shared" si="98"/>
        <v>0</v>
      </c>
      <c r="AG269" s="94">
        <f t="shared" si="99"/>
        <v>0</v>
      </c>
      <c r="AH269" s="117">
        <v>0</v>
      </c>
      <c r="AI269" s="94">
        <f t="shared" si="85"/>
        <v>0</v>
      </c>
      <c r="AJ269" s="94">
        <f t="shared" si="86"/>
        <v>0</v>
      </c>
      <c r="AK269" s="94">
        <f t="shared" si="87"/>
        <v>0</v>
      </c>
      <c r="AL269" s="93">
        <v>3889285.4550000001</v>
      </c>
      <c r="AM269" s="93">
        <f t="shared" si="100"/>
        <v>0</v>
      </c>
      <c r="AN269" s="155"/>
      <c r="AO269" s="155"/>
    </row>
    <row r="270" spans="1:41" s="9" customFormat="1" ht="25.15" customHeight="1" x14ac:dyDescent="0.25">
      <c r="A270" s="83">
        <v>264</v>
      </c>
      <c r="B270" s="84">
        <v>2023</v>
      </c>
      <c r="C270" s="85" t="s">
        <v>1352</v>
      </c>
      <c r="D270" s="86" t="s">
        <v>1407</v>
      </c>
      <c r="E270" s="86" t="s">
        <v>777</v>
      </c>
      <c r="F270" s="87">
        <v>45281</v>
      </c>
      <c r="G270" s="87">
        <v>45887</v>
      </c>
      <c r="H270" s="88">
        <f t="shared" si="88"/>
        <v>6.7333333333333334</v>
      </c>
      <c r="I270" s="89" t="s">
        <v>759</v>
      </c>
      <c r="J270" s="90" t="s">
        <v>751</v>
      </c>
      <c r="K270" s="90" t="s">
        <v>752</v>
      </c>
      <c r="L270" s="90" t="s">
        <v>753</v>
      </c>
      <c r="M270" s="91" t="s">
        <v>1059</v>
      </c>
      <c r="N270" s="92" t="s">
        <v>1408</v>
      </c>
      <c r="O270" s="85">
        <v>2453018360</v>
      </c>
      <c r="P270" s="93">
        <v>623455500</v>
      </c>
      <c r="Q270" s="93">
        <v>0</v>
      </c>
      <c r="R270" s="94">
        <f t="shared" si="89"/>
        <v>623455500</v>
      </c>
      <c r="S270" s="95">
        <v>0.12</v>
      </c>
      <c r="T270" s="94">
        <f t="shared" si="90"/>
        <v>66798803.57142856</v>
      </c>
      <c r="U270" s="117">
        <v>339649927</v>
      </c>
      <c r="V270" s="117">
        <v>0</v>
      </c>
      <c r="W270" s="94">
        <f t="shared" si="91"/>
        <v>0</v>
      </c>
      <c r="X270" s="94">
        <f t="shared" si="92"/>
        <v>0</v>
      </c>
      <c r="Y270" s="94">
        <f t="shared" si="93"/>
        <v>0</v>
      </c>
      <c r="Z270" s="93">
        <f>_xlfn.XLOOKUP(O270,'[4]2DO TRIMESTRE'!$C:$C,'[4]2DO TRIMESTRE'!$I:$I,0,0)</f>
        <v>0</v>
      </c>
      <c r="AA270" s="94">
        <f t="shared" si="94"/>
        <v>0</v>
      </c>
      <c r="AB270" s="94">
        <f t="shared" si="95"/>
        <v>0</v>
      </c>
      <c r="AC270" s="94">
        <f t="shared" si="96"/>
        <v>0</v>
      </c>
      <c r="AD270" s="93">
        <v>0</v>
      </c>
      <c r="AE270" s="94">
        <f t="shared" si="97"/>
        <v>0</v>
      </c>
      <c r="AF270" s="94">
        <f t="shared" si="98"/>
        <v>0</v>
      </c>
      <c r="AG270" s="94">
        <f t="shared" si="99"/>
        <v>0</v>
      </c>
      <c r="AH270" s="117">
        <v>0</v>
      </c>
      <c r="AI270" s="94">
        <f t="shared" si="85"/>
        <v>0</v>
      </c>
      <c r="AJ270" s="94">
        <f t="shared" si="86"/>
        <v>0</v>
      </c>
      <c r="AK270" s="94">
        <f t="shared" si="87"/>
        <v>0</v>
      </c>
      <c r="AL270" s="93">
        <v>36391063.78897354</v>
      </c>
      <c r="AM270" s="93">
        <f t="shared" si="100"/>
        <v>0</v>
      </c>
      <c r="AN270" s="155"/>
      <c r="AO270" s="155"/>
    </row>
    <row r="271" spans="1:41" s="9" customFormat="1" ht="25.15" customHeight="1" x14ac:dyDescent="0.25">
      <c r="A271" s="83">
        <v>265</v>
      </c>
      <c r="B271" s="84">
        <v>2023</v>
      </c>
      <c r="C271" s="85" t="s">
        <v>128</v>
      </c>
      <c r="D271" s="86" t="s">
        <v>128</v>
      </c>
      <c r="E271" s="86" t="s">
        <v>758</v>
      </c>
      <c r="F271" s="87">
        <v>45289</v>
      </c>
      <c r="G271" s="87">
        <v>45443</v>
      </c>
      <c r="H271" s="88">
        <f t="shared" si="88"/>
        <v>1.711111111111111</v>
      </c>
      <c r="I271" s="89" t="s">
        <v>759</v>
      </c>
      <c r="J271" s="90" t="s">
        <v>751</v>
      </c>
      <c r="K271" s="90" t="s">
        <v>752</v>
      </c>
      <c r="L271" s="90" t="s">
        <v>753</v>
      </c>
      <c r="M271" s="91" t="s">
        <v>1059</v>
      </c>
      <c r="N271" s="92" t="s">
        <v>1409</v>
      </c>
      <c r="O271" s="85">
        <v>2910907303</v>
      </c>
      <c r="P271" s="93">
        <v>1870184774</v>
      </c>
      <c r="Q271" s="93">
        <v>0</v>
      </c>
      <c r="R271" s="94">
        <f t="shared" si="89"/>
        <v>1870184774</v>
      </c>
      <c r="S271" s="95">
        <v>0.11999999995209029</v>
      </c>
      <c r="T271" s="94">
        <f t="shared" si="90"/>
        <v>200376940.00000003</v>
      </c>
      <c r="U271" s="117">
        <v>1129447121</v>
      </c>
      <c r="V271" s="117">
        <v>0</v>
      </c>
      <c r="W271" s="94">
        <f t="shared" si="91"/>
        <v>0</v>
      </c>
      <c r="X271" s="94">
        <f t="shared" si="92"/>
        <v>0</v>
      </c>
      <c r="Y271" s="94">
        <f t="shared" si="93"/>
        <v>0</v>
      </c>
      <c r="Z271" s="93">
        <f>_xlfn.XLOOKUP(O271,'[4]2DO TRIMESTRE'!$C:$C,'[4]2DO TRIMESTRE'!$I:$I,0,0)</f>
        <v>0</v>
      </c>
      <c r="AA271" s="94">
        <f t="shared" si="94"/>
        <v>0</v>
      </c>
      <c r="AB271" s="94">
        <f t="shared" si="95"/>
        <v>0</v>
      </c>
      <c r="AC271" s="94">
        <f t="shared" si="96"/>
        <v>0</v>
      </c>
      <c r="AD271" s="93">
        <v>0</v>
      </c>
      <c r="AE271" s="94">
        <f t="shared" si="97"/>
        <v>0</v>
      </c>
      <c r="AF271" s="94">
        <f t="shared" si="98"/>
        <v>0</v>
      </c>
      <c r="AG271" s="94">
        <f t="shared" si="99"/>
        <v>0</v>
      </c>
      <c r="AH271" s="117">
        <v>0</v>
      </c>
      <c r="AI271" s="94">
        <f t="shared" si="85"/>
        <v>0</v>
      </c>
      <c r="AJ271" s="94">
        <f t="shared" si="86"/>
        <v>0</v>
      </c>
      <c r="AK271" s="94">
        <f t="shared" si="87"/>
        <v>0</v>
      </c>
      <c r="AL271" s="93">
        <v>75459224.865958124</v>
      </c>
      <c r="AM271" s="93">
        <f t="shared" si="100"/>
        <v>0</v>
      </c>
      <c r="AN271" s="155"/>
      <c r="AO271" s="155"/>
    </row>
    <row r="272" spans="1:41" s="9" customFormat="1" ht="25.15" customHeight="1" x14ac:dyDescent="0.25">
      <c r="A272" s="83">
        <v>266</v>
      </c>
      <c r="B272" s="84">
        <v>2024</v>
      </c>
      <c r="C272" s="85" t="s">
        <v>128</v>
      </c>
      <c r="D272" s="86" t="s">
        <v>1410</v>
      </c>
      <c r="E272" s="86" t="s">
        <v>758</v>
      </c>
      <c r="F272" s="87">
        <v>45318</v>
      </c>
      <c r="G272" s="87">
        <v>45632</v>
      </c>
      <c r="H272" s="88">
        <f t="shared" si="88"/>
        <v>3.4888888888888889</v>
      </c>
      <c r="I272" s="89" t="s">
        <v>759</v>
      </c>
      <c r="J272" s="90" t="s">
        <v>751</v>
      </c>
      <c r="K272" s="90" t="s">
        <v>752</v>
      </c>
      <c r="L272" s="90" t="s">
        <v>753</v>
      </c>
      <c r="M272" s="91" t="s">
        <v>1059</v>
      </c>
      <c r="N272" s="92" t="s">
        <v>1411</v>
      </c>
      <c r="O272" s="85">
        <v>2910907305</v>
      </c>
      <c r="P272" s="93">
        <f>+_xlfn.XLOOKUP(O272,'[3]Benef Primera fecha '!$C:$C,'[3]Benef Primera fecha '!$E:$E,0)</f>
        <v>16023830031</v>
      </c>
      <c r="Q272" s="93">
        <v>0</v>
      </c>
      <c r="R272" s="94">
        <f t="shared" si="89"/>
        <v>16023830031</v>
      </c>
      <c r="S272" s="95">
        <v>0.120000139039735</v>
      </c>
      <c r="T272" s="94">
        <f t="shared" si="90"/>
        <v>1716840708.0000036</v>
      </c>
      <c r="U272" s="117">
        <v>12487467521</v>
      </c>
      <c r="V272" s="117">
        <v>0</v>
      </c>
      <c r="W272" s="94">
        <f t="shared" si="91"/>
        <v>0</v>
      </c>
      <c r="X272" s="94">
        <f t="shared" si="92"/>
        <v>0</v>
      </c>
      <c r="Y272" s="94">
        <f t="shared" si="93"/>
        <v>0</v>
      </c>
      <c r="Z272" s="93">
        <f>_xlfn.XLOOKUP(O272,'[4]2DO TRIMESTRE'!$C:$C,'[4]2DO TRIMESTRE'!$I:$I,0,0)</f>
        <v>0</v>
      </c>
      <c r="AA272" s="94">
        <f t="shared" si="94"/>
        <v>0</v>
      </c>
      <c r="AB272" s="94">
        <f t="shared" si="95"/>
        <v>0</v>
      </c>
      <c r="AC272" s="94">
        <f t="shared" si="96"/>
        <v>0</v>
      </c>
      <c r="AD272" s="93">
        <v>0</v>
      </c>
      <c r="AE272" s="94">
        <f t="shared" si="97"/>
        <v>0</v>
      </c>
      <c r="AF272" s="94">
        <f t="shared" si="98"/>
        <v>0</v>
      </c>
      <c r="AG272" s="94">
        <f t="shared" si="99"/>
        <v>0</v>
      </c>
      <c r="AH272" s="117">
        <v>0</v>
      </c>
      <c r="AI272" s="94">
        <f t="shared" si="85"/>
        <v>0</v>
      </c>
      <c r="AJ272" s="94">
        <f t="shared" si="86"/>
        <v>0</v>
      </c>
      <c r="AK272" s="94">
        <f t="shared" si="87"/>
        <v>0</v>
      </c>
      <c r="AL272" s="93">
        <v>1657912075.6085422</v>
      </c>
      <c r="AM272" s="93">
        <f t="shared" si="100"/>
        <v>0</v>
      </c>
      <c r="AN272" s="155"/>
      <c r="AO272" s="155"/>
    </row>
    <row r="273" spans="1:41" s="9" customFormat="1" ht="25.15" customHeight="1" x14ac:dyDescent="0.25">
      <c r="A273" s="83">
        <v>267</v>
      </c>
      <c r="B273" s="84">
        <v>2024</v>
      </c>
      <c r="C273" s="85" t="s">
        <v>128</v>
      </c>
      <c r="D273" s="86" t="s">
        <v>1412</v>
      </c>
      <c r="E273" s="86" t="s">
        <v>758</v>
      </c>
      <c r="F273" s="87">
        <v>45345</v>
      </c>
      <c r="G273" s="87">
        <v>45656</v>
      </c>
      <c r="H273" s="88">
        <f t="shared" si="88"/>
        <v>3.4555555555555557</v>
      </c>
      <c r="I273" s="89" t="s">
        <v>759</v>
      </c>
      <c r="J273" s="90" t="s">
        <v>751</v>
      </c>
      <c r="K273" s="90" t="s">
        <v>752</v>
      </c>
      <c r="L273" s="90" t="s">
        <v>753</v>
      </c>
      <c r="M273" s="91" t="s">
        <v>1059</v>
      </c>
      <c r="N273" s="92" t="s">
        <v>1413</v>
      </c>
      <c r="O273" s="85">
        <v>2910907306</v>
      </c>
      <c r="P273" s="93">
        <v>150000000</v>
      </c>
      <c r="Q273" s="93">
        <v>0</v>
      </c>
      <c r="R273" s="94">
        <f t="shared" si="89"/>
        <v>150000000</v>
      </c>
      <c r="S273" s="95">
        <v>0.12002986746313235</v>
      </c>
      <c r="T273" s="94">
        <f>(R273/(1+S273))*S273</f>
        <v>16075000</v>
      </c>
      <c r="U273" s="117">
        <v>150000000</v>
      </c>
      <c r="V273" s="117">
        <v>0</v>
      </c>
      <c r="W273" s="94">
        <f t="shared" si="91"/>
        <v>0</v>
      </c>
      <c r="X273" s="94">
        <f t="shared" si="92"/>
        <v>0</v>
      </c>
      <c r="Y273" s="94">
        <f t="shared" si="93"/>
        <v>0</v>
      </c>
      <c r="Z273" s="93">
        <f>_xlfn.XLOOKUP(O273,'[4]2DO TRIMESTRE'!$C:$C,'[4]2DO TRIMESTRE'!$I:$I,0,0)</f>
        <v>0</v>
      </c>
      <c r="AA273" s="94">
        <f t="shared" si="94"/>
        <v>0</v>
      </c>
      <c r="AB273" s="94">
        <f t="shared" si="95"/>
        <v>0</v>
      </c>
      <c r="AC273" s="94">
        <f t="shared" si="96"/>
        <v>0</v>
      </c>
      <c r="AD273" s="93">
        <v>0</v>
      </c>
      <c r="AE273" s="94">
        <f t="shared" si="97"/>
        <v>0</v>
      </c>
      <c r="AF273" s="94">
        <f t="shared" si="98"/>
        <v>0</v>
      </c>
      <c r="AG273" s="94">
        <f t="shared" si="99"/>
        <v>0</v>
      </c>
      <c r="AH273" s="117">
        <v>0</v>
      </c>
      <c r="AI273" s="94">
        <f t="shared" si="85"/>
        <v>0</v>
      </c>
      <c r="AJ273" s="94">
        <f t="shared" si="86"/>
        <v>0</v>
      </c>
      <c r="AK273" s="94">
        <f t="shared" si="87"/>
        <v>0</v>
      </c>
      <c r="AL273" s="93">
        <v>16075000</v>
      </c>
      <c r="AM273" s="93">
        <f t="shared" si="100"/>
        <v>0</v>
      </c>
      <c r="AN273" s="155"/>
      <c r="AO273" s="155"/>
    </row>
    <row r="274" spans="1:41" s="9" customFormat="1" ht="25.15" customHeight="1" x14ac:dyDescent="0.25">
      <c r="A274" s="83">
        <v>268</v>
      </c>
      <c r="B274" s="84">
        <v>2024</v>
      </c>
      <c r="C274" s="85" t="s">
        <v>1066</v>
      </c>
      <c r="D274" s="86" t="s">
        <v>1414</v>
      </c>
      <c r="E274" s="86" t="s">
        <v>758</v>
      </c>
      <c r="F274" s="87">
        <v>45348</v>
      </c>
      <c r="G274" s="87"/>
      <c r="H274" s="88">
        <f t="shared" si="88"/>
        <v>-503.86666666666667</v>
      </c>
      <c r="I274" s="89" t="s">
        <v>759</v>
      </c>
      <c r="J274" s="90" t="s">
        <v>751</v>
      </c>
      <c r="K274" s="90" t="s">
        <v>752</v>
      </c>
      <c r="L274" s="90" t="s">
        <v>753</v>
      </c>
      <c r="M274" s="91" t="s">
        <v>1059</v>
      </c>
      <c r="N274" s="92" t="s">
        <v>1415</v>
      </c>
      <c r="O274" s="85">
        <v>2910907308</v>
      </c>
      <c r="P274" s="93">
        <v>25000000</v>
      </c>
      <c r="Q274" s="93">
        <v>0</v>
      </c>
      <c r="R274" s="94">
        <f t="shared" si="89"/>
        <v>25000000</v>
      </c>
      <c r="S274" s="95">
        <v>0.12</v>
      </c>
      <c r="T274" s="94">
        <f t="shared" si="90"/>
        <v>2678571.4285714286</v>
      </c>
      <c r="U274" s="117">
        <v>25000000</v>
      </c>
      <c r="V274" s="117">
        <v>0</v>
      </c>
      <c r="W274" s="94">
        <f t="shared" si="91"/>
        <v>0</v>
      </c>
      <c r="X274" s="94">
        <f t="shared" si="92"/>
        <v>0</v>
      </c>
      <c r="Y274" s="94">
        <f t="shared" si="93"/>
        <v>0</v>
      </c>
      <c r="Z274" s="93">
        <f>_xlfn.XLOOKUP(O274,'[4]2DO TRIMESTRE'!$C:$C,'[4]2DO TRIMESTRE'!$I:$I,0,0)</f>
        <v>0</v>
      </c>
      <c r="AA274" s="94">
        <f t="shared" si="94"/>
        <v>0</v>
      </c>
      <c r="AB274" s="94">
        <f t="shared" si="95"/>
        <v>0</v>
      </c>
      <c r="AC274" s="94">
        <f t="shared" si="96"/>
        <v>0</v>
      </c>
      <c r="AD274" s="93">
        <v>0</v>
      </c>
      <c r="AE274" s="94">
        <f t="shared" si="97"/>
        <v>0</v>
      </c>
      <c r="AF274" s="94">
        <f t="shared" si="98"/>
        <v>0</v>
      </c>
      <c r="AG274" s="94">
        <f t="shared" si="99"/>
        <v>0</v>
      </c>
      <c r="AH274" s="117">
        <v>0</v>
      </c>
      <c r="AI274" s="94">
        <f t="shared" si="85"/>
        <v>0</v>
      </c>
      <c r="AJ274" s="94">
        <f t="shared" si="86"/>
        <v>0</v>
      </c>
      <c r="AK274" s="94">
        <f t="shared" si="87"/>
        <v>0</v>
      </c>
      <c r="AL274" s="93">
        <v>2678571</v>
      </c>
      <c r="AM274" s="93">
        <f t="shared" si="100"/>
        <v>0</v>
      </c>
      <c r="AN274" s="155"/>
      <c r="AO274" s="155"/>
    </row>
    <row r="275" spans="1:41" s="9" customFormat="1" ht="25.15" customHeight="1" x14ac:dyDescent="0.25">
      <c r="A275" s="83">
        <v>269</v>
      </c>
      <c r="B275" s="84">
        <v>2024</v>
      </c>
      <c r="C275" s="85" t="s">
        <v>1416</v>
      </c>
      <c r="D275" s="86" t="s">
        <v>1417</v>
      </c>
      <c r="E275" s="86" t="s">
        <v>777</v>
      </c>
      <c r="F275" s="87">
        <v>45348</v>
      </c>
      <c r="G275" s="87">
        <v>45646</v>
      </c>
      <c r="H275" s="88">
        <f t="shared" si="88"/>
        <v>3.3111111111111109</v>
      </c>
      <c r="I275" s="89" t="s">
        <v>763</v>
      </c>
      <c r="J275" s="90" t="s">
        <v>751</v>
      </c>
      <c r="K275" s="90" t="s">
        <v>752</v>
      </c>
      <c r="L275" s="90" t="s">
        <v>753</v>
      </c>
      <c r="M275" s="91" t="s">
        <v>1059</v>
      </c>
      <c r="N275" s="92" t="s">
        <v>1418</v>
      </c>
      <c r="O275" s="85">
        <v>2910907309</v>
      </c>
      <c r="P275" s="93">
        <v>398419520</v>
      </c>
      <c r="Q275" s="93">
        <v>0</v>
      </c>
      <c r="R275" s="94">
        <f t="shared" si="89"/>
        <v>398419520</v>
      </c>
      <c r="S275" s="95">
        <v>0.12</v>
      </c>
      <c r="T275" s="94">
        <f t="shared" si="90"/>
        <v>42687805.714285709</v>
      </c>
      <c r="U275" s="117">
        <v>334737156</v>
      </c>
      <c r="V275" s="117">
        <v>0</v>
      </c>
      <c r="W275" s="94">
        <f t="shared" si="91"/>
        <v>0</v>
      </c>
      <c r="X275" s="94">
        <f t="shared" si="92"/>
        <v>0</v>
      </c>
      <c r="Y275" s="94">
        <f t="shared" si="93"/>
        <v>0</v>
      </c>
      <c r="Z275" s="93">
        <v>146210308</v>
      </c>
      <c r="AA275" s="94">
        <f t="shared" si="94"/>
        <v>15665390.142857142</v>
      </c>
      <c r="AB275" s="94">
        <f t="shared" si="95"/>
        <v>6266156.0571428575</v>
      </c>
      <c r="AC275" s="94">
        <f t="shared" si="96"/>
        <v>9399234.0857142843</v>
      </c>
      <c r="AD275" s="93">
        <v>0</v>
      </c>
      <c r="AE275" s="94">
        <f t="shared" si="97"/>
        <v>0</v>
      </c>
      <c r="AF275" s="94">
        <f t="shared" si="98"/>
        <v>0</v>
      </c>
      <c r="AG275" s="94">
        <f t="shared" si="99"/>
        <v>0</v>
      </c>
      <c r="AH275" s="117">
        <v>0</v>
      </c>
      <c r="AI275" s="94">
        <f t="shared" si="85"/>
        <v>0</v>
      </c>
      <c r="AJ275" s="94">
        <f t="shared" si="86"/>
        <v>0</v>
      </c>
      <c r="AK275" s="94">
        <f t="shared" si="87"/>
        <v>0</v>
      </c>
      <c r="AL275" s="93">
        <v>35864695.525760725</v>
      </c>
      <c r="AM275" s="93">
        <f t="shared" si="100"/>
        <v>15665390.142857142</v>
      </c>
      <c r="AN275" s="155"/>
      <c r="AO275" s="155"/>
    </row>
    <row r="276" spans="1:41" s="9" customFormat="1" ht="25.15" customHeight="1" x14ac:dyDescent="0.25">
      <c r="A276" s="83">
        <v>270</v>
      </c>
      <c r="B276" s="84">
        <v>2024</v>
      </c>
      <c r="C276" s="85" t="s">
        <v>1419</v>
      </c>
      <c r="D276" s="86" t="s">
        <v>1420</v>
      </c>
      <c r="E276" s="86" t="s">
        <v>758</v>
      </c>
      <c r="F276" s="87">
        <v>45349</v>
      </c>
      <c r="G276" s="87"/>
      <c r="H276" s="88">
        <f t="shared" si="88"/>
        <v>-503.87777777777779</v>
      </c>
      <c r="I276" s="89" t="s">
        <v>759</v>
      </c>
      <c r="J276" s="90" t="s">
        <v>751</v>
      </c>
      <c r="K276" s="90" t="s">
        <v>752</v>
      </c>
      <c r="L276" s="90" t="s">
        <v>753</v>
      </c>
      <c r="M276" s="91" t="s">
        <v>754</v>
      </c>
      <c r="N276" s="92" t="s">
        <v>1421</v>
      </c>
      <c r="O276" s="85">
        <v>2910907307</v>
      </c>
      <c r="P276" s="93">
        <v>166800000</v>
      </c>
      <c r="Q276" s="93">
        <v>5600000</v>
      </c>
      <c r="R276" s="94">
        <f>+(P276+Q276)</f>
        <v>172400000</v>
      </c>
      <c r="S276" s="95">
        <v>0.12000000311832948</v>
      </c>
      <c r="T276" s="94">
        <f t="shared" si="90"/>
        <v>18471429</v>
      </c>
      <c r="U276" s="117">
        <v>172400000.00000003</v>
      </c>
      <c r="V276" s="117">
        <v>0</v>
      </c>
      <c r="W276" s="94">
        <f t="shared" si="91"/>
        <v>0</v>
      </c>
      <c r="X276" s="94">
        <f t="shared" si="92"/>
        <v>0</v>
      </c>
      <c r="Y276" s="94">
        <f t="shared" si="93"/>
        <v>0</v>
      </c>
      <c r="Z276" s="93">
        <f>_xlfn.XLOOKUP(O276,'[4]2DO TRIMESTRE'!$C:$C,'[4]2DO TRIMESTRE'!$I:$I,0,0)</f>
        <v>0</v>
      </c>
      <c r="AA276" s="94">
        <f t="shared" si="94"/>
        <v>0</v>
      </c>
      <c r="AB276" s="94">
        <f t="shared" si="95"/>
        <v>0</v>
      </c>
      <c r="AC276" s="94">
        <f t="shared" si="96"/>
        <v>0</v>
      </c>
      <c r="AD276" s="93">
        <v>0</v>
      </c>
      <c r="AE276" s="94">
        <f t="shared" si="97"/>
        <v>0</v>
      </c>
      <c r="AF276" s="94">
        <f t="shared" si="98"/>
        <v>0</v>
      </c>
      <c r="AG276" s="94">
        <f t="shared" si="99"/>
        <v>0</v>
      </c>
      <c r="AH276" s="117">
        <v>0</v>
      </c>
      <c r="AI276" s="94">
        <f t="shared" si="85"/>
        <v>0</v>
      </c>
      <c r="AJ276" s="94">
        <f t="shared" si="86"/>
        <v>0</v>
      </c>
      <c r="AK276" s="94">
        <f t="shared" si="87"/>
        <v>0</v>
      </c>
      <c r="AL276" s="93">
        <v>18471429.006573517</v>
      </c>
      <c r="AM276" s="93">
        <f t="shared" si="100"/>
        <v>0</v>
      </c>
      <c r="AN276" s="155"/>
      <c r="AO276" s="155"/>
    </row>
    <row r="277" spans="1:41" s="9" customFormat="1" ht="25.15" customHeight="1" x14ac:dyDescent="0.25">
      <c r="A277" s="83">
        <v>271</v>
      </c>
      <c r="B277" s="84">
        <v>2024</v>
      </c>
      <c r="C277" s="85" t="s">
        <v>747</v>
      </c>
      <c r="D277" s="86" t="s">
        <v>747</v>
      </c>
      <c r="E277" s="86" t="s">
        <v>749</v>
      </c>
      <c r="F277" s="87">
        <v>45350</v>
      </c>
      <c r="G277" s="87">
        <v>45461</v>
      </c>
      <c r="H277" s="88">
        <f t="shared" si="88"/>
        <v>1.2333333333333334</v>
      </c>
      <c r="I277" s="89" t="s">
        <v>1086</v>
      </c>
      <c r="J277" s="90" t="s">
        <v>751</v>
      </c>
      <c r="K277" s="90" t="s">
        <v>752</v>
      </c>
      <c r="L277" s="90" t="s">
        <v>753</v>
      </c>
      <c r="M277" s="91" t="s">
        <v>1059</v>
      </c>
      <c r="N277" s="92" t="s">
        <v>1422</v>
      </c>
      <c r="O277" s="85">
        <v>2910908096</v>
      </c>
      <c r="P277" s="93">
        <v>40000000</v>
      </c>
      <c r="Q277" s="93">
        <v>0</v>
      </c>
      <c r="R277" s="94">
        <f t="shared" si="89"/>
        <v>40000000</v>
      </c>
      <c r="S277" s="95">
        <v>0.12</v>
      </c>
      <c r="T277" s="94">
        <f t="shared" si="90"/>
        <v>4285714.2857142845</v>
      </c>
      <c r="U277" s="117">
        <v>40000000</v>
      </c>
      <c r="V277" s="117">
        <v>0</v>
      </c>
      <c r="W277" s="94">
        <f t="shared" si="91"/>
        <v>0</v>
      </c>
      <c r="X277" s="94">
        <f t="shared" si="92"/>
        <v>0</v>
      </c>
      <c r="Y277" s="94">
        <f t="shared" si="93"/>
        <v>0</v>
      </c>
      <c r="Z277" s="93">
        <f>_xlfn.XLOOKUP(O277,'[4]2DO TRIMESTRE'!$C:$C,'[4]2DO TRIMESTRE'!$I:$I,0,0)</f>
        <v>0</v>
      </c>
      <c r="AA277" s="94">
        <f t="shared" si="94"/>
        <v>0</v>
      </c>
      <c r="AB277" s="94">
        <f t="shared" si="95"/>
        <v>0</v>
      </c>
      <c r="AC277" s="94">
        <f t="shared" si="96"/>
        <v>0</v>
      </c>
      <c r="AD277" s="93">
        <v>0</v>
      </c>
      <c r="AE277" s="94">
        <f t="shared" si="97"/>
        <v>0</v>
      </c>
      <c r="AF277" s="94">
        <f t="shared" si="98"/>
        <v>0</v>
      </c>
      <c r="AG277" s="94">
        <f t="shared" si="99"/>
        <v>0</v>
      </c>
      <c r="AH277" s="117">
        <v>0</v>
      </c>
      <c r="AI277" s="94">
        <f t="shared" si="85"/>
        <v>0</v>
      </c>
      <c r="AJ277" s="94">
        <f t="shared" si="86"/>
        <v>0</v>
      </c>
      <c r="AK277" s="94">
        <f t="shared" si="87"/>
        <v>0</v>
      </c>
      <c r="AL277" s="93">
        <v>4285714</v>
      </c>
      <c r="AM277" s="93">
        <f t="shared" si="100"/>
        <v>0</v>
      </c>
      <c r="AN277" s="155"/>
      <c r="AO277" s="155"/>
    </row>
    <row r="278" spans="1:41" s="9" customFormat="1" ht="25.15" customHeight="1" x14ac:dyDescent="0.25">
      <c r="A278" s="83">
        <v>272</v>
      </c>
      <c r="B278" s="84">
        <v>2024</v>
      </c>
      <c r="C278" s="85" t="s">
        <v>128</v>
      </c>
      <c r="D278" s="86" t="s">
        <v>1423</v>
      </c>
      <c r="E278" s="86" t="s">
        <v>758</v>
      </c>
      <c r="F278" s="87">
        <v>45362</v>
      </c>
      <c r="G278" s="87">
        <v>45641</v>
      </c>
      <c r="H278" s="88">
        <f t="shared" si="88"/>
        <v>3.1</v>
      </c>
      <c r="I278" s="89" t="s">
        <v>750</v>
      </c>
      <c r="J278" s="90" t="s">
        <v>751</v>
      </c>
      <c r="K278" s="90" t="s">
        <v>752</v>
      </c>
      <c r="L278" s="90" t="s">
        <v>753</v>
      </c>
      <c r="M278" s="91" t="s">
        <v>754</v>
      </c>
      <c r="N278" s="92" t="s">
        <v>1424</v>
      </c>
      <c r="O278" s="85">
        <v>2910907310</v>
      </c>
      <c r="P278" s="93">
        <v>500000000</v>
      </c>
      <c r="Q278" s="93">
        <v>106400000</v>
      </c>
      <c r="R278" s="94">
        <f t="shared" si="89"/>
        <v>606400000</v>
      </c>
      <c r="S278" s="95">
        <v>0.1198522622345337</v>
      </c>
      <c r="T278" s="94">
        <f t="shared" si="90"/>
        <v>64900000</v>
      </c>
      <c r="U278" s="117">
        <v>606400000</v>
      </c>
      <c r="V278" s="117">
        <v>0</v>
      </c>
      <c r="W278" s="94">
        <f t="shared" si="91"/>
        <v>0</v>
      </c>
      <c r="X278" s="94">
        <f t="shared" si="92"/>
        <v>0</v>
      </c>
      <c r="Y278" s="94">
        <f t="shared" si="93"/>
        <v>0</v>
      </c>
      <c r="Z278" s="93">
        <f>_xlfn.XLOOKUP(O278,'[4]2DO TRIMESTRE'!$C:$C,'[4]2DO TRIMESTRE'!$I:$I,0,0)</f>
        <v>0</v>
      </c>
      <c r="AA278" s="94">
        <f t="shared" si="94"/>
        <v>0</v>
      </c>
      <c r="AB278" s="94">
        <f t="shared" si="95"/>
        <v>0</v>
      </c>
      <c r="AC278" s="94">
        <f t="shared" si="96"/>
        <v>0</v>
      </c>
      <c r="AD278" s="93">
        <v>0</v>
      </c>
      <c r="AE278" s="94">
        <f t="shared" si="97"/>
        <v>0</v>
      </c>
      <c r="AF278" s="94">
        <f t="shared" si="98"/>
        <v>0</v>
      </c>
      <c r="AG278" s="94">
        <f t="shared" si="99"/>
        <v>0</v>
      </c>
      <c r="AH278" s="117">
        <v>0</v>
      </c>
      <c r="AI278" s="94">
        <f t="shared" si="85"/>
        <v>0</v>
      </c>
      <c r="AJ278" s="94">
        <f t="shared" si="86"/>
        <v>0</v>
      </c>
      <c r="AK278" s="94">
        <f t="shared" si="87"/>
        <v>0</v>
      </c>
      <c r="AL278" s="93">
        <v>64899999.285599999</v>
      </c>
      <c r="AM278" s="93">
        <f t="shared" si="100"/>
        <v>0</v>
      </c>
      <c r="AN278" s="155"/>
      <c r="AO278" s="155"/>
    </row>
    <row r="279" spans="1:41" s="9" customFormat="1" ht="25.15" customHeight="1" x14ac:dyDescent="0.25">
      <c r="A279" s="83">
        <v>273</v>
      </c>
      <c r="B279" s="84">
        <v>2024</v>
      </c>
      <c r="C279" s="85" t="s">
        <v>747</v>
      </c>
      <c r="D279" s="86" t="s">
        <v>1425</v>
      </c>
      <c r="E279" s="86" t="s">
        <v>749</v>
      </c>
      <c r="F279" s="87">
        <v>45371</v>
      </c>
      <c r="G279" s="87"/>
      <c r="H279" s="88">
        <f t="shared" si="88"/>
        <v>-504.12222222222221</v>
      </c>
      <c r="I279" s="89" t="s">
        <v>1077</v>
      </c>
      <c r="J279" s="90" t="s">
        <v>751</v>
      </c>
      <c r="K279" s="90" t="s">
        <v>752</v>
      </c>
      <c r="L279" s="90" t="s">
        <v>753</v>
      </c>
      <c r="M279" s="91" t="s">
        <v>754</v>
      </c>
      <c r="N279" s="92" t="s">
        <v>1426</v>
      </c>
      <c r="O279" s="85">
        <v>2910908095</v>
      </c>
      <c r="P279" s="93">
        <v>41756000</v>
      </c>
      <c r="Q279" s="93">
        <v>0</v>
      </c>
      <c r="R279" s="94">
        <f t="shared" si="89"/>
        <v>41756000</v>
      </c>
      <c r="S279" s="95">
        <v>0.12</v>
      </c>
      <c r="T279" s="94">
        <f t="shared" si="90"/>
        <v>4473857.1428571418</v>
      </c>
      <c r="U279" s="117">
        <v>41756000</v>
      </c>
      <c r="V279" s="117">
        <v>0</v>
      </c>
      <c r="W279" s="94">
        <f t="shared" si="91"/>
        <v>0</v>
      </c>
      <c r="X279" s="94">
        <f t="shared" si="92"/>
        <v>0</v>
      </c>
      <c r="Y279" s="94">
        <f t="shared" si="93"/>
        <v>0</v>
      </c>
      <c r="Z279" s="93">
        <f>_xlfn.XLOOKUP(O279,'[4]2DO TRIMESTRE'!$C:$C,'[4]2DO TRIMESTRE'!$I:$I,0,0)</f>
        <v>0</v>
      </c>
      <c r="AA279" s="94">
        <f t="shared" si="94"/>
        <v>0</v>
      </c>
      <c r="AB279" s="94">
        <f t="shared" si="95"/>
        <v>0</v>
      </c>
      <c r="AC279" s="94">
        <f t="shared" si="96"/>
        <v>0</v>
      </c>
      <c r="AD279" s="93">
        <v>0</v>
      </c>
      <c r="AE279" s="94">
        <f t="shared" si="97"/>
        <v>0</v>
      </c>
      <c r="AF279" s="94">
        <f t="shared" si="98"/>
        <v>0</v>
      </c>
      <c r="AG279" s="94">
        <f t="shared" si="99"/>
        <v>0</v>
      </c>
      <c r="AH279" s="117">
        <v>0</v>
      </c>
      <c r="AI279" s="94">
        <f t="shared" si="85"/>
        <v>0</v>
      </c>
      <c r="AJ279" s="94">
        <f t="shared" si="86"/>
        <v>0</v>
      </c>
      <c r="AK279" s="94">
        <f t="shared" si="87"/>
        <v>0</v>
      </c>
      <c r="AL279" s="93">
        <v>4473857</v>
      </c>
      <c r="AM279" s="93">
        <f t="shared" si="100"/>
        <v>0</v>
      </c>
      <c r="AN279" s="155"/>
      <c r="AO279" s="155"/>
    </row>
    <row r="280" spans="1:41" s="9" customFormat="1" ht="25.15" customHeight="1" x14ac:dyDescent="0.25">
      <c r="A280" s="83">
        <v>274</v>
      </c>
      <c r="B280" s="84">
        <v>2024</v>
      </c>
      <c r="C280" s="85" t="s">
        <v>747</v>
      </c>
      <c r="D280" s="86" t="s">
        <v>747</v>
      </c>
      <c r="E280" s="86" t="s">
        <v>749</v>
      </c>
      <c r="F280" s="87">
        <v>45387</v>
      </c>
      <c r="G280" s="87">
        <v>45434</v>
      </c>
      <c r="H280" s="88">
        <f t="shared" si="88"/>
        <v>0.52222222222222225</v>
      </c>
      <c r="I280" s="89" t="s">
        <v>759</v>
      </c>
      <c r="J280" s="90" t="s">
        <v>751</v>
      </c>
      <c r="K280" s="90" t="s">
        <v>752</v>
      </c>
      <c r="L280" s="90" t="s">
        <v>753</v>
      </c>
      <c r="M280" s="91" t="s">
        <v>754</v>
      </c>
      <c r="N280" s="92" t="s">
        <v>1427</v>
      </c>
      <c r="O280" s="85">
        <v>2910908091</v>
      </c>
      <c r="P280" s="93">
        <v>21600000</v>
      </c>
      <c r="Q280" s="93">
        <v>0</v>
      </c>
      <c r="R280" s="94">
        <f t="shared" si="89"/>
        <v>21600000</v>
      </c>
      <c r="S280" s="95">
        <v>0.12000001659259284</v>
      </c>
      <c r="T280" s="94">
        <f t="shared" si="90"/>
        <v>2314286</v>
      </c>
      <c r="U280" s="117">
        <v>21600000</v>
      </c>
      <c r="V280" s="117">
        <v>0</v>
      </c>
      <c r="W280" s="94">
        <f t="shared" si="91"/>
        <v>0</v>
      </c>
      <c r="X280" s="94">
        <f t="shared" si="92"/>
        <v>0</v>
      </c>
      <c r="Y280" s="94">
        <f t="shared" si="93"/>
        <v>0</v>
      </c>
      <c r="Z280" s="93">
        <f>_xlfn.XLOOKUP(O280,'[4]2DO TRIMESTRE'!$C:$C,'[4]2DO TRIMESTRE'!$I:$I,0,0)</f>
        <v>0</v>
      </c>
      <c r="AA280" s="94">
        <f t="shared" si="94"/>
        <v>0</v>
      </c>
      <c r="AB280" s="94">
        <f t="shared" si="95"/>
        <v>0</v>
      </c>
      <c r="AC280" s="94">
        <f t="shared" si="96"/>
        <v>0</v>
      </c>
      <c r="AD280" s="93">
        <v>0</v>
      </c>
      <c r="AE280" s="94">
        <f t="shared" si="97"/>
        <v>0</v>
      </c>
      <c r="AF280" s="94">
        <f t="shared" si="98"/>
        <v>0</v>
      </c>
      <c r="AG280" s="94">
        <f t="shared" si="99"/>
        <v>0</v>
      </c>
      <c r="AH280" s="117">
        <v>0</v>
      </c>
      <c r="AI280" s="94">
        <f t="shared" si="85"/>
        <v>0</v>
      </c>
      <c r="AJ280" s="94">
        <f t="shared" si="86"/>
        <v>0</v>
      </c>
      <c r="AK280" s="94">
        <f t="shared" si="87"/>
        <v>0</v>
      </c>
      <c r="AL280" s="93">
        <v>2314286</v>
      </c>
      <c r="AM280" s="93">
        <f t="shared" si="100"/>
        <v>0</v>
      </c>
      <c r="AN280" s="155"/>
      <c r="AO280" s="155"/>
    </row>
    <row r="281" spans="1:41" s="9" customFormat="1" ht="25.15" customHeight="1" x14ac:dyDescent="0.25">
      <c r="A281" s="83">
        <v>275</v>
      </c>
      <c r="B281" s="84">
        <v>2024</v>
      </c>
      <c r="C281" s="85" t="s">
        <v>747</v>
      </c>
      <c r="D281" s="86" t="s">
        <v>747</v>
      </c>
      <c r="E281" s="86" t="s">
        <v>749</v>
      </c>
      <c r="F281" s="87">
        <v>45387</v>
      </c>
      <c r="G281" s="87">
        <v>45480</v>
      </c>
      <c r="H281" s="88">
        <f t="shared" si="88"/>
        <v>1.0333333333333334</v>
      </c>
      <c r="I281" s="89" t="s">
        <v>1086</v>
      </c>
      <c r="J281" s="90" t="s">
        <v>751</v>
      </c>
      <c r="K281" s="90" t="s">
        <v>752</v>
      </c>
      <c r="L281" s="90" t="s">
        <v>753</v>
      </c>
      <c r="M281" s="91" t="s">
        <v>1059</v>
      </c>
      <c r="N281" s="92" t="s">
        <v>1428</v>
      </c>
      <c r="O281" s="85">
        <v>2910908093</v>
      </c>
      <c r="P281" s="93">
        <v>36500000</v>
      </c>
      <c r="Q281" s="93">
        <v>4000000</v>
      </c>
      <c r="R281" s="94">
        <f t="shared" si="89"/>
        <v>40500000</v>
      </c>
      <c r="S281" s="95">
        <v>0.119999990180822</v>
      </c>
      <c r="T281" s="94">
        <v>4339286</v>
      </c>
      <c r="U281" s="117">
        <v>40500000</v>
      </c>
      <c r="V281" s="117">
        <v>0</v>
      </c>
      <c r="W281" s="94">
        <f t="shared" si="91"/>
        <v>0</v>
      </c>
      <c r="X281" s="94">
        <f t="shared" si="92"/>
        <v>0</v>
      </c>
      <c r="Y281" s="94">
        <f t="shared" si="93"/>
        <v>0</v>
      </c>
      <c r="Z281" s="93">
        <f>_xlfn.XLOOKUP(O281,'[4]2DO TRIMESTRE'!$C:$C,'[4]2DO TRIMESTRE'!$I:$I,0,0)</f>
        <v>0</v>
      </c>
      <c r="AA281" s="94">
        <f t="shared" si="94"/>
        <v>0</v>
      </c>
      <c r="AB281" s="94">
        <f t="shared" si="95"/>
        <v>0</v>
      </c>
      <c r="AC281" s="94">
        <f t="shared" si="96"/>
        <v>0</v>
      </c>
      <c r="AD281" s="93">
        <v>0</v>
      </c>
      <c r="AE281" s="94">
        <f t="shared" si="97"/>
        <v>0</v>
      </c>
      <c r="AF281" s="94">
        <f t="shared" si="98"/>
        <v>0</v>
      </c>
      <c r="AG281" s="94">
        <f t="shared" si="99"/>
        <v>0</v>
      </c>
      <c r="AH281" s="117">
        <v>0</v>
      </c>
      <c r="AI281" s="94">
        <f t="shared" si="85"/>
        <v>0</v>
      </c>
      <c r="AJ281" s="94">
        <f t="shared" si="86"/>
        <v>0</v>
      </c>
      <c r="AK281" s="94">
        <f t="shared" si="87"/>
        <v>0</v>
      </c>
      <c r="AL281" s="93">
        <v>4339286</v>
      </c>
      <c r="AM281" s="93">
        <f t="shared" si="100"/>
        <v>0</v>
      </c>
      <c r="AN281" s="155"/>
      <c r="AO281" s="155"/>
    </row>
    <row r="282" spans="1:41" s="9" customFormat="1" ht="25.15" customHeight="1" x14ac:dyDescent="0.25">
      <c r="A282" s="83">
        <v>276</v>
      </c>
      <c r="B282" s="84">
        <v>2024</v>
      </c>
      <c r="C282" s="85" t="s">
        <v>1292</v>
      </c>
      <c r="D282" s="86" t="s">
        <v>1429</v>
      </c>
      <c r="E282" s="86" t="s">
        <v>758</v>
      </c>
      <c r="F282" s="87">
        <v>45391</v>
      </c>
      <c r="G282" s="87"/>
      <c r="H282" s="88">
        <f t="shared" si="88"/>
        <v>-504.34444444444443</v>
      </c>
      <c r="I282" s="89" t="s">
        <v>1077</v>
      </c>
      <c r="J282" s="90" t="s">
        <v>751</v>
      </c>
      <c r="K282" s="90" t="s">
        <v>752</v>
      </c>
      <c r="L282" s="90" t="s">
        <v>753</v>
      </c>
      <c r="M282" s="91" t="s">
        <v>1059</v>
      </c>
      <c r="N282" s="92" t="s">
        <v>1430</v>
      </c>
      <c r="O282" s="85">
        <v>2910907311</v>
      </c>
      <c r="P282" s="93">
        <v>5473446856</v>
      </c>
      <c r="Q282" s="93">
        <v>2550099872</v>
      </c>
      <c r="R282" s="94">
        <f t="shared" si="89"/>
        <v>8023546728</v>
      </c>
      <c r="S282" s="95">
        <v>0.12</v>
      </c>
      <c r="T282" s="94">
        <v>859665721</v>
      </c>
      <c r="U282" s="117">
        <v>7811423181</v>
      </c>
      <c r="V282" s="117">
        <v>0</v>
      </c>
      <c r="W282" s="94">
        <f t="shared" si="91"/>
        <v>0</v>
      </c>
      <c r="X282" s="94">
        <f t="shared" si="92"/>
        <v>0</v>
      </c>
      <c r="Y282" s="94">
        <f t="shared" si="93"/>
        <v>0</v>
      </c>
      <c r="Z282" s="93">
        <f>_xlfn.XLOOKUP(O282,'[4]2DO TRIMESTRE'!$C:$C,'[4]2DO TRIMESTRE'!$I:$I,0,0)</f>
        <v>0</v>
      </c>
      <c r="AA282" s="94">
        <f t="shared" si="94"/>
        <v>0</v>
      </c>
      <c r="AB282" s="94">
        <f t="shared" si="95"/>
        <v>0</v>
      </c>
      <c r="AC282" s="94">
        <f t="shared" si="96"/>
        <v>0</v>
      </c>
      <c r="AD282" s="93">
        <v>0</v>
      </c>
      <c r="AE282" s="94">
        <f t="shared" si="97"/>
        <v>0</v>
      </c>
      <c r="AF282" s="94">
        <f t="shared" si="98"/>
        <v>0</v>
      </c>
      <c r="AG282" s="94">
        <f t="shared" si="99"/>
        <v>0</v>
      </c>
      <c r="AH282" s="117">
        <v>0</v>
      </c>
      <c r="AI282" s="94">
        <f t="shared" si="85"/>
        <v>0</v>
      </c>
      <c r="AJ282" s="94">
        <f t="shared" si="86"/>
        <v>0</v>
      </c>
      <c r="AK282" s="94">
        <f t="shared" si="87"/>
        <v>0</v>
      </c>
      <c r="AL282" s="93">
        <v>836938198.10336614</v>
      </c>
      <c r="AM282" s="93">
        <f t="shared" si="100"/>
        <v>0</v>
      </c>
      <c r="AN282" s="155"/>
      <c r="AO282" s="155"/>
    </row>
    <row r="283" spans="1:41" s="9" customFormat="1" ht="25.15" customHeight="1" x14ac:dyDescent="0.25">
      <c r="A283" s="83">
        <v>277</v>
      </c>
      <c r="B283" s="84">
        <v>2024</v>
      </c>
      <c r="C283" s="85" t="s">
        <v>876</v>
      </c>
      <c r="D283" s="86" t="s">
        <v>1431</v>
      </c>
      <c r="E283" s="86" t="s">
        <v>758</v>
      </c>
      <c r="F283" s="87">
        <v>45393</v>
      </c>
      <c r="G283" s="87">
        <v>45400</v>
      </c>
      <c r="H283" s="88">
        <f t="shared" si="88"/>
        <v>7.7777777777777779E-2</v>
      </c>
      <c r="I283" s="89" t="s">
        <v>759</v>
      </c>
      <c r="J283" s="90" t="s">
        <v>751</v>
      </c>
      <c r="K283" s="90" t="s">
        <v>752</v>
      </c>
      <c r="L283" s="90" t="s">
        <v>753</v>
      </c>
      <c r="M283" s="91" t="s">
        <v>1059</v>
      </c>
      <c r="N283" s="92" t="s">
        <v>1432</v>
      </c>
      <c r="O283" s="85">
        <v>2910907312</v>
      </c>
      <c r="P283" s="93">
        <v>140800000</v>
      </c>
      <c r="Q283" s="93">
        <v>0</v>
      </c>
      <c r="R283" s="94">
        <f t="shared" si="89"/>
        <v>140800000</v>
      </c>
      <c r="S283" s="95">
        <v>0.12</v>
      </c>
      <c r="T283" s="94">
        <f t="shared" si="90"/>
        <v>15085714.285714284</v>
      </c>
      <c r="U283" s="117">
        <v>51200000</v>
      </c>
      <c r="V283" s="117">
        <v>0</v>
      </c>
      <c r="W283" s="94">
        <f t="shared" si="91"/>
        <v>0</v>
      </c>
      <c r="X283" s="94">
        <f t="shared" si="92"/>
        <v>0</v>
      </c>
      <c r="Y283" s="94">
        <f t="shared" si="93"/>
        <v>0</v>
      </c>
      <c r="Z283" s="93">
        <f>_xlfn.XLOOKUP(O283,'[4]2DO TRIMESTRE'!$C:$C,'[4]2DO TRIMESTRE'!$I:$I,0,0)</f>
        <v>0</v>
      </c>
      <c r="AA283" s="94">
        <f t="shared" si="94"/>
        <v>0</v>
      </c>
      <c r="AB283" s="94">
        <f t="shared" si="95"/>
        <v>0</v>
      </c>
      <c r="AC283" s="94">
        <f t="shared" si="96"/>
        <v>0</v>
      </c>
      <c r="AD283" s="93">
        <v>0</v>
      </c>
      <c r="AE283" s="94">
        <f t="shared" si="97"/>
        <v>0</v>
      </c>
      <c r="AF283" s="94">
        <f t="shared" si="98"/>
        <v>0</v>
      </c>
      <c r="AG283" s="94">
        <f t="shared" si="99"/>
        <v>0</v>
      </c>
      <c r="AH283" s="117">
        <v>0</v>
      </c>
      <c r="AI283" s="94">
        <f t="shared" si="85"/>
        <v>0</v>
      </c>
      <c r="AJ283" s="94">
        <f t="shared" si="86"/>
        <v>0</v>
      </c>
      <c r="AK283" s="94">
        <f t="shared" si="87"/>
        <v>0</v>
      </c>
      <c r="AL283" s="93">
        <v>5485714.1818181816</v>
      </c>
      <c r="AM283" s="93">
        <f t="shared" si="100"/>
        <v>0</v>
      </c>
      <c r="AN283" s="155"/>
      <c r="AO283" s="155"/>
    </row>
    <row r="284" spans="1:41" s="9" customFormat="1" ht="25.15" customHeight="1" x14ac:dyDescent="0.25">
      <c r="A284" s="83">
        <v>278</v>
      </c>
      <c r="B284" s="84">
        <v>2024</v>
      </c>
      <c r="C284" s="85" t="s">
        <v>128</v>
      </c>
      <c r="D284" s="86" t="s">
        <v>1433</v>
      </c>
      <c r="E284" s="86" t="s">
        <v>758</v>
      </c>
      <c r="F284" s="87">
        <v>45405</v>
      </c>
      <c r="G284" s="87"/>
      <c r="H284" s="88">
        <f t="shared" si="88"/>
        <v>-504.5</v>
      </c>
      <c r="I284" s="89" t="s">
        <v>1077</v>
      </c>
      <c r="J284" s="90" t="s">
        <v>751</v>
      </c>
      <c r="K284" s="90" t="s">
        <v>752</v>
      </c>
      <c r="L284" s="90" t="s">
        <v>753</v>
      </c>
      <c r="M284" s="91" t="s">
        <v>1059</v>
      </c>
      <c r="N284" s="92" t="s">
        <v>1434</v>
      </c>
      <c r="O284" s="85">
        <v>2910907313</v>
      </c>
      <c r="P284" s="93">
        <v>280000000</v>
      </c>
      <c r="Q284" s="93">
        <v>0</v>
      </c>
      <c r="R284" s="94">
        <f t="shared" si="89"/>
        <v>280000000</v>
      </c>
      <c r="S284" s="95">
        <v>0.12</v>
      </c>
      <c r="T284" s="94">
        <f t="shared" si="90"/>
        <v>29999999.999999996</v>
      </c>
      <c r="U284" s="117">
        <v>0</v>
      </c>
      <c r="V284" s="117">
        <v>0</v>
      </c>
      <c r="W284" s="94">
        <f t="shared" si="91"/>
        <v>0</v>
      </c>
      <c r="X284" s="94">
        <f t="shared" si="92"/>
        <v>0</v>
      </c>
      <c r="Y284" s="94">
        <f t="shared" si="93"/>
        <v>0</v>
      </c>
      <c r="Z284" s="93">
        <f>_xlfn.XLOOKUP(O284,'[4]2DO TRIMESTRE'!$C:$C,'[4]2DO TRIMESTRE'!$I:$I,0,0)</f>
        <v>0</v>
      </c>
      <c r="AA284" s="94">
        <f t="shared" si="94"/>
        <v>0</v>
      </c>
      <c r="AB284" s="94">
        <f t="shared" si="95"/>
        <v>0</v>
      </c>
      <c r="AC284" s="94">
        <f t="shared" si="96"/>
        <v>0</v>
      </c>
      <c r="AD284" s="93">
        <v>0</v>
      </c>
      <c r="AE284" s="94">
        <f t="shared" si="97"/>
        <v>0</v>
      </c>
      <c r="AF284" s="94">
        <f t="shared" si="98"/>
        <v>0</v>
      </c>
      <c r="AG284" s="94">
        <f t="shared" si="99"/>
        <v>0</v>
      </c>
      <c r="AH284" s="117">
        <v>0</v>
      </c>
      <c r="AI284" s="94">
        <f t="shared" si="85"/>
        <v>0</v>
      </c>
      <c r="AJ284" s="94">
        <f t="shared" si="86"/>
        <v>0</v>
      </c>
      <c r="AK284" s="94">
        <f t="shared" si="87"/>
        <v>0</v>
      </c>
      <c r="AL284" s="93">
        <v>0</v>
      </c>
      <c r="AM284" s="93">
        <f t="shared" si="100"/>
        <v>0</v>
      </c>
      <c r="AN284" s="155"/>
      <c r="AO284" s="155"/>
    </row>
    <row r="285" spans="1:41" s="9" customFormat="1" ht="25.15" customHeight="1" x14ac:dyDescent="0.25">
      <c r="A285" s="83">
        <v>279</v>
      </c>
      <c r="B285" s="84">
        <v>2024</v>
      </c>
      <c r="C285" s="85" t="s">
        <v>1435</v>
      </c>
      <c r="D285" s="86" t="s">
        <v>1435</v>
      </c>
      <c r="E285" s="86" t="s">
        <v>758</v>
      </c>
      <c r="F285" s="87">
        <v>45408</v>
      </c>
      <c r="G285" s="87">
        <v>45498</v>
      </c>
      <c r="H285" s="88">
        <f t="shared" si="88"/>
        <v>1</v>
      </c>
      <c r="I285" s="89" t="s">
        <v>759</v>
      </c>
      <c r="J285" s="90" t="s">
        <v>751</v>
      </c>
      <c r="K285" s="90" t="s">
        <v>752</v>
      </c>
      <c r="L285" s="90" t="s">
        <v>753</v>
      </c>
      <c r="M285" s="91" t="s">
        <v>1436</v>
      </c>
      <c r="N285" s="92" t="s">
        <v>1437</v>
      </c>
      <c r="O285" s="85">
        <v>2910907314</v>
      </c>
      <c r="P285" s="93">
        <v>60000000</v>
      </c>
      <c r="Q285" s="93">
        <v>0</v>
      </c>
      <c r="R285" s="94">
        <f t="shared" si="89"/>
        <v>60000000</v>
      </c>
      <c r="S285" s="95">
        <v>0.11999999104000007</v>
      </c>
      <c r="T285" s="94">
        <f t="shared" si="90"/>
        <v>6428571</v>
      </c>
      <c r="U285" s="117">
        <v>60000000</v>
      </c>
      <c r="V285" s="117">
        <v>0</v>
      </c>
      <c r="W285" s="94">
        <f t="shared" si="91"/>
        <v>0</v>
      </c>
      <c r="X285" s="94">
        <f t="shared" si="92"/>
        <v>0</v>
      </c>
      <c r="Y285" s="94">
        <f t="shared" si="93"/>
        <v>0</v>
      </c>
      <c r="Z285" s="93">
        <f>_xlfn.XLOOKUP(O285,'[4]2DO TRIMESTRE'!$C:$C,'[4]2DO TRIMESTRE'!$I:$I,0,0)</f>
        <v>0</v>
      </c>
      <c r="AA285" s="94">
        <f t="shared" si="94"/>
        <v>0</v>
      </c>
      <c r="AB285" s="94">
        <f t="shared" si="95"/>
        <v>0</v>
      </c>
      <c r="AC285" s="94">
        <f t="shared" si="96"/>
        <v>0</v>
      </c>
      <c r="AD285" s="93">
        <v>0</v>
      </c>
      <c r="AE285" s="94">
        <f t="shared" si="97"/>
        <v>0</v>
      </c>
      <c r="AF285" s="94">
        <f t="shared" si="98"/>
        <v>0</v>
      </c>
      <c r="AG285" s="94">
        <f t="shared" si="99"/>
        <v>0</v>
      </c>
      <c r="AH285" s="117">
        <v>0</v>
      </c>
      <c r="AI285" s="94">
        <f t="shared" si="85"/>
        <v>0</v>
      </c>
      <c r="AJ285" s="94">
        <f t="shared" si="86"/>
        <v>0</v>
      </c>
      <c r="AK285" s="94">
        <f t="shared" si="87"/>
        <v>0</v>
      </c>
      <c r="AL285" s="93">
        <v>6428570</v>
      </c>
      <c r="AM285" s="93">
        <f t="shared" si="100"/>
        <v>0</v>
      </c>
      <c r="AN285" s="155"/>
      <c r="AO285" s="155"/>
    </row>
    <row r="286" spans="1:41" s="9" customFormat="1" ht="25.15" customHeight="1" x14ac:dyDescent="0.25">
      <c r="A286" s="83">
        <v>280</v>
      </c>
      <c r="B286" s="84">
        <v>2024</v>
      </c>
      <c r="C286" s="85" t="s">
        <v>782</v>
      </c>
      <c r="D286" s="86" t="s">
        <v>782</v>
      </c>
      <c r="E286" s="86" t="s">
        <v>777</v>
      </c>
      <c r="F286" s="87">
        <v>45409</v>
      </c>
      <c r="G286" s="87"/>
      <c r="H286" s="88">
        <f t="shared" si="88"/>
        <v>-504.54444444444442</v>
      </c>
      <c r="I286" s="89" t="s">
        <v>759</v>
      </c>
      <c r="J286" s="90" t="s">
        <v>751</v>
      </c>
      <c r="K286" s="90" t="s">
        <v>752</v>
      </c>
      <c r="L286" s="90" t="s">
        <v>753</v>
      </c>
      <c r="M286" s="91" t="s">
        <v>768</v>
      </c>
      <c r="N286" s="92" t="s">
        <v>1438</v>
      </c>
      <c r="O286" s="85">
        <v>2453018363</v>
      </c>
      <c r="P286" s="93">
        <v>1394276563</v>
      </c>
      <c r="Q286" s="93">
        <v>494794990</v>
      </c>
      <c r="R286" s="94">
        <f t="shared" si="89"/>
        <v>1889071553</v>
      </c>
      <c r="S286" s="95">
        <v>0.12</v>
      </c>
      <c r="T286" s="94">
        <f t="shared" si="90"/>
        <v>202400523.53571427</v>
      </c>
      <c r="U286" s="117">
        <v>1824162325</v>
      </c>
      <c r="V286" s="117">
        <v>0</v>
      </c>
      <c r="W286" s="94">
        <f t="shared" si="91"/>
        <v>0</v>
      </c>
      <c r="X286" s="94">
        <f t="shared" si="92"/>
        <v>0</v>
      </c>
      <c r="Y286" s="94">
        <f t="shared" si="93"/>
        <v>0</v>
      </c>
      <c r="Z286" s="93">
        <f>_xlfn.XLOOKUP(O286,'[4]2DO TRIMESTRE'!$C:$C,'[4]2DO TRIMESTRE'!$I:$I,0,0)</f>
        <v>0</v>
      </c>
      <c r="AA286" s="94">
        <f t="shared" si="94"/>
        <v>0</v>
      </c>
      <c r="AB286" s="94">
        <f t="shared" si="95"/>
        <v>0</v>
      </c>
      <c r="AC286" s="94">
        <f t="shared" si="96"/>
        <v>0</v>
      </c>
      <c r="AD286" s="93">
        <v>0</v>
      </c>
      <c r="AE286" s="94">
        <f t="shared" si="97"/>
        <v>0</v>
      </c>
      <c r="AF286" s="94">
        <f t="shared" si="98"/>
        <v>0</v>
      </c>
      <c r="AG286" s="94">
        <f t="shared" si="99"/>
        <v>0</v>
      </c>
      <c r="AH286" s="117">
        <v>0</v>
      </c>
      <c r="AI286" s="94">
        <f t="shared" si="85"/>
        <v>0</v>
      </c>
      <c r="AJ286" s="94">
        <f t="shared" si="86"/>
        <v>0</v>
      </c>
      <c r="AK286" s="94">
        <f t="shared" si="87"/>
        <v>0</v>
      </c>
      <c r="AL286" s="93">
        <v>195445963.8411898</v>
      </c>
      <c r="AM286" s="93">
        <f t="shared" si="100"/>
        <v>0</v>
      </c>
      <c r="AN286" s="155"/>
      <c r="AO286" s="155"/>
    </row>
    <row r="287" spans="1:41" s="9" customFormat="1" ht="25.15" customHeight="1" x14ac:dyDescent="0.25">
      <c r="A287" s="83">
        <v>281</v>
      </c>
      <c r="B287" s="84">
        <v>2020</v>
      </c>
      <c r="C287" s="85" t="s">
        <v>897</v>
      </c>
      <c r="D287" s="86" t="s">
        <v>1439</v>
      </c>
      <c r="E287" s="86" t="s">
        <v>758</v>
      </c>
      <c r="F287" s="87">
        <v>44195</v>
      </c>
      <c r="G287" s="87">
        <v>44504</v>
      </c>
      <c r="H287" s="88">
        <f t="shared" si="88"/>
        <v>3.4333333333333331</v>
      </c>
      <c r="I287" s="89" t="s">
        <v>763</v>
      </c>
      <c r="J287" s="90" t="s">
        <v>751</v>
      </c>
      <c r="K287" s="90" t="s">
        <v>752</v>
      </c>
      <c r="L287" s="90" t="s">
        <v>753</v>
      </c>
      <c r="M287" s="91" t="s">
        <v>768</v>
      </c>
      <c r="N287" s="92" t="s">
        <v>1440</v>
      </c>
      <c r="O287" s="85">
        <v>2910906729</v>
      </c>
      <c r="P287" s="93">
        <f>+_xlfn.XLOOKUP(O287,'[3]Benef Primera fecha '!$C:$C,'[3]Benef Primera fecha '!$E:$E,0)</f>
        <v>336230576</v>
      </c>
      <c r="Q287" s="93">
        <v>0</v>
      </c>
      <c r="R287" s="94">
        <f t="shared" si="89"/>
        <v>336230576</v>
      </c>
      <c r="S287" s="95">
        <v>0.12</v>
      </c>
      <c r="T287" s="94">
        <f t="shared" si="90"/>
        <v>36024704.571428567</v>
      </c>
      <c r="U287" s="117">
        <v>336230576</v>
      </c>
      <c r="V287" s="117">
        <v>0</v>
      </c>
      <c r="W287" s="94">
        <f t="shared" si="91"/>
        <v>0</v>
      </c>
      <c r="X287" s="94">
        <f t="shared" si="92"/>
        <v>0</v>
      </c>
      <c r="Y287" s="94">
        <f t="shared" si="93"/>
        <v>0</v>
      </c>
      <c r="Z287" s="93">
        <f>_xlfn.XLOOKUP(O287,'[4]2DO TRIMESTRE'!$C:$C,'[4]2DO TRIMESTRE'!$I:$I,0,0)</f>
        <v>0</v>
      </c>
      <c r="AA287" s="94">
        <f t="shared" si="94"/>
        <v>0</v>
      </c>
      <c r="AB287" s="94">
        <f t="shared" si="95"/>
        <v>0</v>
      </c>
      <c r="AC287" s="94">
        <f t="shared" si="96"/>
        <v>0</v>
      </c>
      <c r="AD287" s="93">
        <v>0</v>
      </c>
      <c r="AE287" s="94">
        <f t="shared" si="97"/>
        <v>0</v>
      </c>
      <c r="AF287" s="94">
        <f t="shared" si="98"/>
        <v>0</v>
      </c>
      <c r="AG287" s="94">
        <f t="shared" si="99"/>
        <v>0</v>
      </c>
      <c r="AH287" s="117">
        <v>0</v>
      </c>
      <c r="AI287" s="94">
        <f t="shared" si="85"/>
        <v>0</v>
      </c>
      <c r="AJ287" s="94">
        <f t="shared" si="86"/>
        <v>0</v>
      </c>
      <c r="AK287" s="94">
        <f t="shared" si="87"/>
        <v>0</v>
      </c>
      <c r="AL287" s="93">
        <v>36024705</v>
      </c>
      <c r="AM287" s="93">
        <f t="shared" si="100"/>
        <v>0</v>
      </c>
      <c r="AN287" s="155"/>
      <c r="AO287" s="155"/>
    </row>
    <row r="288" spans="1:41" s="9" customFormat="1" ht="25.15" customHeight="1" x14ac:dyDescent="0.25">
      <c r="A288" s="83">
        <v>282</v>
      </c>
      <c r="B288" s="84">
        <v>2018</v>
      </c>
      <c r="C288" s="85" t="s">
        <v>1441</v>
      </c>
      <c r="D288" s="86" t="s">
        <v>1441</v>
      </c>
      <c r="E288" s="86" t="s">
        <v>758</v>
      </c>
      <c r="F288" s="87">
        <v>43209</v>
      </c>
      <c r="G288" s="87">
        <v>45449</v>
      </c>
      <c r="H288" s="88">
        <f t="shared" si="88"/>
        <v>24.888888888888889</v>
      </c>
      <c r="I288" s="89" t="s">
        <v>759</v>
      </c>
      <c r="J288" s="90" t="s">
        <v>751</v>
      </c>
      <c r="K288" s="90" t="s">
        <v>752</v>
      </c>
      <c r="L288" s="90" t="s">
        <v>753</v>
      </c>
      <c r="M288" s="91" t="s">
        <v>768</v>
      </c>
      <c r="N288" s="92" t="s">
        <v>1442</v>
      </c>
      <c r="O288" s="85">
        <v>2910906370</v>
      </c>
      <c r="P288" s="93">
        <f>+_xlfn.XLOOKUP(O288,'[3]Benef Primera fecha '!$C:$C,'[3]Benef Primera fecha '!$E:$E,0)</f>
        <v>3829020000</v>
      </c>
      <c r="Q288" s="93">
        <v>1204547040</v>
      </c>
      <c r="R288" s="94">
        <f>+(P288+Q288)</f>
        <v>5033567040</v>
      </c>
      <c r="S288" s="95">
        <v>0.12</v>
      </c>
      <c r="T288" s="94">
        <f t="shared" si="90"/>
        <v>539310754.28571415</v>
      </c>
      <c r="U288" s="117">
        <v>4360852460</v>
      </c>
      <c r="V288" s="117">
        <v>0</v>
      </c>
      <c r="W288" s="94">
        <f t="shared" si="91"/>
        <v>0</v>
      </c>
      <c r="X288" s="94">
        <f t="shared" si="92"/>
        <v>0</v>
      </c>
      <c r="Y288" s="94">
        <f t="shared" si="93"/>
        <v>0</v>
      </c>
      <c r="Z288" s="93">
        <f>_xlfn.XLOOKUP(O288,'[4]2DO TRIMESTRE'!$C:$C,'[4]2DO TRIMESTRE'!$I:$I,0,0)</f>
        <v>0</v>
      </c>
      <c r="AA288" s="94">
        <f t="shared" si="94"/>
        <v>0</v>
      </c>
      <c r="AB288" s="94">
        <f t="shared" si="95"/>
        <v>0</v>
      </c>
      <c r="AC288" s="94">
        <f t="shared" si="96"/>
        <v>0</v>
      </c>
      <c r="AD288" s="93">
        <v>0</v>
      </c>
      <c r="AE288" s="94">
        <f t="shared" si="97"/>
        <v>0</v>
      </c>
      <c r="AF288" s="94">
        <f t="shared" si="98"/>
        <v>0</v>
      </c>
      <c r="AG288" s="94">
        <f t="shared" si="99"/>
        <v>0</v>
      </c>
      <c r="AH288" s="117">
        <v>0</v>
      </c>
      <c r="AI288" s="94">
        <f t="shared" si="85"/>
        <v>0</v>
      </c>
      <c r="AJ288" s="94">
        <f t="shared" si="86"/>
        <v>0</v>
      </c>
      <c r="AK288" s="94">
        <f t="shared" si="87"/>
        <v>0</v>
      </c>
      <c r="AL288" s="93">
        <v>467234191.89532739</v>
      </c>
      <c r="AM288" s="93">
        <f t="shared" si="100"/>
        <v>0</v>
      </c>
      <c r="AN288" s="155"/>
      <c r="AO288" s="155"/>
    </row>
    <row r="289" spans="1:41" s="9" customFormat="1" ht="25.15" customHeight="1" x14ac:dyDescent="0.25">
      <c r="A289" s="83">
        <v>283</v>
      </c>
      <c r="B289" s="84">
        <v>2016</v>
      </c>
      <c r="C289" s="85" t="s">
        <v>1443</v>
      </c>
      <c r="D289" s="86" t="s">
        <v>1444</v>
      </c>
      <c r="E289" s="86" t="s">
        <v>777</v>
      </c>
      <c r="F289" s="87">
        <v>42604</v>
      </c>
      <c r="G289" s="87">
        <v>43050</v>
      </c>
      <c r="H289" s="88">
        <f t="shared" si="88"/>
        <v>4.9555555555555557</v>
      </c>
      <c r="I289" s="89" t="s">
        <v>750</v>
      </c>
      <c r="J289" s="90" t="s">
        <v>751</v>
      </c>
      <c r="K289" s="90" t="s">
        <v>1445</v>
      </c>
      <c r="L289" s="90" t="s">
        <v>753</v>
      </c>
      <c r="M289" s="91" t="s">
        <v>1446</v>
      </c>
      <c r="N289" s="92" t="s">
        <v>1447</v>
      </c>
      <c r="O289" s="85">
        <v>2453013403</v>
      </c>
      <c r="P289" s="93">
        <f>_xlfn.XLOOKUP(O289,[5]Base!$C:$C,[5]Base!$E:$E,0,0)</f>
        <v>100000000</v>
      </c>
      <c r="Q289" s="93">
        <v>0</v>
      </c>
      <c r="R289" s="94">
        <f t="shared" ref="R289:R352" si="101">+(P289+Q289)</f>
        <v>100000000</v>
      </c>
      <c r="S289" s="95">
        <v>0.12</v>
      </c>
      <c r="T289" s="94">
        <f t="shared" si="90"/>
        <v>10714285.714285715</v>
      </c>
      <c r="U289" s="117">
        <v>100000000</v>
      </c>
      <c r="V289" s="117">
        <v>0</v>
      </c>
      <c r="W289" s="94">
        <f t="shared" si="91"/>
        <v>0</v>
      </c>
      <c r="X289" s="94">
        <f t="shared" si="92"/>
        <v>0</v>
      </c>
      <c r="Y289" s="94">
        <f t="shared" si="93"/>
        <v>0</v>
      </c>
      <c r="Z289" s="93">
        <f>_xlfn.XLOOKUP(O289,'[4]2DO TRIMESTRE'!$C:$C,'[4]2DO TRIMESTRE'!$I:$I,0,0)</f>
        <v>0</v>
      </c>
      <c r="AA289" s="94">
        <f t="shared" si="94"/>
        <v>0</v>
      </c>
      <c r="AB289" s="94">
        <f t="shared" si="95"/>
        <v>0</v>
      </c>
      <c r="AC289" s="94">
        <f t="shared" si="96"/>
        <v>0</v>
      </c>
      <c r="AD289" s="93">
        <v>0</v>
      </c>
      <c r="AE289" s="94">
        <f t="shared" si="97"/>
        <v>0</v>
      </c>
      <c r="AF289" s="94">
        <f t="shared" si="98"/>
        <v>0</v>
      </c>
      <c r="AG289" s="94">
        <f t="shared" si="99"/>
        <v>0</v>
      </c>
      <c r="AH289" s="117">
        <v>0</v>
      </c>
      <c r="AI289" s="94">
        <f t="shared" si="85"/>
        <v>0</v>
      </c>
      <c r="AJ289" s="94">
        <f t="shared" si="86"/>
        <v>0</v>
      </c>
      <c r="AK289" s="94">
        <f t="shared" si="87"/>
        <v>0</v>
      </c>
      <c r="AL289" s="93">
        <v>10714286</v>
      </c>
      <c r="AM289" s="93">
        <f t="shared" si="100"/>
        <v>0</v>
      </c>
      <c r="AN289" s="155"/>
      <c r="AO289" s="155"/>
    </row>
    <row r="290" spans="1:41" s="9" customFormat="1" ht="25.15" customHeight="1" x14ac:dyDescent="0.25">
      <c r="A290" s="83">
        <v>284</v>
      </c>
      <c r="B290" s="84">
        <v>2020</v>
      </c>
      <c r="C290" s="85" t="s">
        <v>1448</v>
      </c>
      <c r="D290" s="86" t="s">
        <v>1449</v>
      </c>
      <c r="E290" s="86" t="s">
        <v>758</v>
      </c>
      <c r="F290" s="87">
        <v>44132</v>
      </c>
      <c r="G290" s="87">
        <v>44198</v>
      </c>
      <c r="H290" s="88">
        <f t="shared" si="88"/>
        <v>0.73333333333333328</v>
      </c>
      <c r="I290" s="89" t="s">
        <v>750</v>
      </c>
      <c r="J290" s="90" t="s">
        <v>751</v>
      </c>
      <c r="K290" s="90" t="s">
        <v>752</v>
      </c>
      <c r="L290" s="90" t="s">
        <v>753</v>
      </c>
      <c r="M290" s="91" t="s">
        <v>768</v>
      </c>
      <c r="N290" s="92" t="s">
        <v>1450</v>
      </c>
      <c r="O290" s="85">
        <v>2910906723</v>
      </c>
      <c r="P290" s="93">
        <v>503737398</v>
      </c>
      <c r="Q290" s="93">
        <v>0</v>
      </c>
      <c r="R290" s="94">
        <f t="shared" si="101"/>
        <v>503737398</v>
      </c>
      <c r="S290" s="95">
        <v>0.11999999982212954</v>
      </c>
      <c r="T290" s="94">
        <f t="shared" si="90"/>
        <v>53971864</v>
      </c>
      <c r="U290" s="117">
        <v>503737398</v>
      </c>
      <c r="V290" s="117">
        <v>0</v>
      </c>
      <c r="W290" s="94">
        <f t="shared" si="91"/>
        <v>0</v>
      </c>
      <c r="X290" s="94">
        <f t="shared" si="92"/>
        <v>0</v>
      </c>
      <c r="Y290" s="94">
        <f t="shared" si="93"/>
        <v>0</v>
      </c>
      <c r="Z290" s="93">
        <f>_xlfn.XLOOKUP(O290,'[4]2DO TRIMESTRE'!$C:$C,'[4]2DO TRIMESTRE'!$I:$I,0,0)</f>
        <v>0</v>
      </c>
      <c r="AA290" s="94">
        <f t="shared" si="94"/>
        <v>0</v>
      </c>
      <c r="AB290" s="94">
        <f t="shared" si="95"/>
        <v>0</v>
      </c>
      <c r="AC290" s="94">
        <f t="shared" si="96"/>
        <v>0</v>
      </c>
      <c r="AD290" s="93">
        <v>0</v>
      </c>
      <c r="AE290" s="94">
        <f t="shared" si="97"/>
        <v>0</v>
      </c>
      <c r="AF290" s="94">
        <f t="shared" si="98"/>
        <v>0</v>
      </c>
      <c r="AG290" s="94">
        <f t="shared" si="99"/>
        <v>0</v>
      </c>
      <c r="AH290" s="117">
        <v>0</v>
      </c>
      <c r="AI290" s="94">
        <f t="shared" si="85"/>
        <v>0</v>
      </c>
      <c r="AJ290" s="94">
        <f t="shared" si="86"/>
        <v>0</v>
      </c>
      <c r="AK290" s="94">
        <f t="shared" si="87"/>
        <v>0</v>
      </c>
      <c r="AL290" s="93">
        <v>53971864</v>
      </c>
      <c r="AM290" s="93">
        <f t="shared" si="100"/>
        <v>0</v>
      </c>
      <c r="AN290" s="155"/>
      <c r="AO290" s="155"/>
    </row>
    <row r="291" spans="1:41" s="9" customFormat="1" ht="25.15" customHeight="1" x14ac:dyDescent="0.25">
      <c r="A291" s="83">
        <v>285</v>
      </c>
      <c r="B291" s="84">
        <v>2024</v>
      </c>
      <c r="C291" s="85" t="s">
        <v>1278</v>
      </c>
      <c r="D291" s="86" t="s">
        <v>674</v>
      </c>
      <c r="E291" s="86" t="s">
        <v>758</v>
      </c>
      <c r="F291" s="87">
        <v>45435</v>
      </c>
      <c r="G291" s="87">
        <v>45592</v>
      </c>
      <c r="H291" s="88">
        <f t="shared" si="88"/>
        <v>1.7444444444444445</v>
      </c>
      <c r="I291" s="89" t="s">
        <v>759</v>
      </c>
      <c r="J291" s="90" t="s">
        <v>751</v>
      </c>
      <c r="K291" s="90" t="s">
        <v>752</v>
      </c>
      <c r="L291" s="90" t="s">
        <v>753</v>
      </c>
      <c r="M291" s="91" t="s">
        <v>768</v>
      </c>
      <c r="N291" s="92" t="s">
        <v>1451</v>
      </c>
      <c r="O291" s="85">
        <v>2910907316</v>
      </c>
      <c r="P291" s="93">
        <v>291741240</v>
      </c>
      <c r="Q291" s="93">
        <v>0</v>
      </c>
      <c r="R291" s="94">
        <f t="shared" si="101"/>
        <v>291741240</v>
      </c>
      <c r="S291" s="95">
        <v>0.11999999982212954</v>
      </c>
      <c r="T291" s="94">
        <f>(R291/(1+S291))*S291</f>
        <v>31257989.958631899</v>
      </c>
      <c r="U291" s="117">
        <v>291741240</v>
      </c>
      <c r="V291" s="117">
        <v>0</v>
      </c>
      <c r="W291" s="94">
        <f t="shared" si="91"/>
        <v>0</v>
      </c>
      <c r="X291" s="94">
        <f t="shared" si="92"/>
        <v>0</v>
      </c>
      <c r="Y291" s="94">
        <f t="shared" si="93"/>
        <v>0</v>
      </c>
      <c r="Z291" s="93">
        <f>_xlfn.XLOOKUP(O291,'[4]2DO TRIMESTRE'!$C:$C,'[4]2DO TRIMESTRE'!$I:$I,0,0)</f>
        <v>0</v>
      </c>
      <c r="AA291" s="94">
        <f t="shared" si="94"/>
        <v>0</v>
      </c>
      <c r="AB291" s="94">
        <f t="shared" si="95"/>
        <v>0</v>
      </c>
      <c r="AC291" s="94">
        <f t="shared" si="96"/>
        <v>0</v>
      </c>
      <c r="AD291" s="93">
        <v>0</v>
      </c>
      <c r="AE291" s="94">
        <f t="shared" si="97"/>
        <v>0</v>
      </c>
      <c r="AF291" s="94">
        <f t="shared" si="98"/>
        <v>0</v>
      </c>
      <c r="AG291" s="94">
        <f t="shared" si="99"/>
        <v>0</v>
      </c>
      <c r="AH291" s="117">
        <v>0</v>
      </c>
      <c r="AI291" s="94">
        <f t="shared" si="85"/>
        <v>0</v>
      </c>
      <c r="AJ291" s="94">
        <f t="shared" si="86"/>
        <v>0</v>
      </c>
      <c r="AK291" s="94">
        <f t="shared" si="87"/>
        <v>0</v>
      </c>
      <c r="AL291" s="93">
        <v>31257989.98345276</v>
      </c>
      <c r="AM291" s="93">
        <f t="shared" si="100"/>
        <v>0</v>
      </c>
      <c r="AN291" s="155"/>
      <c r="AO291" s="155"/>
    </row>
    <row r="292" spans="1:41" s="9" customFormat="1" ht="25.15" customHeight="1" x14ac:dyDescent="0.25">
      <c r="A292" s="83">
        <v>286</v>
      </c>
      <c r="B292" s="84">
        <v>2024</v>
      </c>
      <c r="C292" s="85" t="s">
        <v>1452</v>
      </c>
      <c r="D292" s="86" t="s">
        <v>688</v>
      </c>
      <c r="E292" s="86" t="s">
        <v>749</v>
      </c>
      <c r="F292" s="87">
        <v>45516</v>
      </c>
      <c r="G292" s="87">
        <v>45590</v>
      </c>
      <c r="H292" s="88">
        <f t="shared" si="88"/>
        <v>0.82222222222222219</v>
      </c>
      <c r="I292" s="89" t="s">
        <v>759</v>
      </c>
      <c r="J292" s="90" t="s">
        <v>751</v>
      </c>
      <c r="K292" s="90" t="s">
        <v>752</v>
      </c>
      <c r="L292" s="90" t="s">
        <v>753</v>
      </c>
      <c r="M292" s="91" t="s">
        <v>754</v>
      </c>
      <c r="N292" s="92" t="s">
        <v>1453</v>
      </c>
      <c r="O292" s="85">
        <v>2910908216</v>
      </c>
      <c r="P292" s="93">
        <v>7342730</v>
      </c>
      <c r="Q292" s="93">
        <v>0</v>
      </c>
      <c r="R292" s="94">
        <f t="shared" si="101"/>
        <v>7342730</v>
      </c>
      <c r="S292" s="95">
        <v>0.12000001659259284</v>
      </c>
      <c r="T292" s="94">
        <v>786722</v>
      </c>
      <c r="U292" s="117">
        <v>7342730</v>
      </c>
      <c r="V292" s="117">
        <v>0</v>
      </c>
      <c r="W292" s="94">
        <f t="shared" si="91"/>
        <v>0</v>
      </c>
      <c r="X292" s="94">
        <f t="shared" si="92"/>
        <v>0</v>
      </c>
      <c r="Y292" s="94">
        <f t="shared" si="93"/>
        <v>0</v>
      </c>
      <c r="Z292" s="93">
        <f>_xlfn.XLOOKUP(O292,'[4]2DO TRIMESTRE'!$C:$C,'[4]2DO TRIMESTRE'!$I:$I,0,0)</f>
        <v>0</v>
      </c>
      <c r="AA292" s="94">
        <f t="shared" si="94"/>
        <v>0</v>
      </c>
      <c r="AB292" s="94">
        <f t="shared" si="95"/>
        <v>0</v>
      </c>
      <c r="AC292" s="94">
        <f t="shared" si="96"/>
        <v>0</v>
      </c>
      <c r="AD292" s="93">
        <v>0</v>
      </c>
      <c r="AE292" s="94">
        <f t="shared" si="97"/>
        <v>0</v>
      </c>
      <c r="AF292" s="94">
        <f t="shared" si="98"/>
        <v>0</v>
      </c>
      <c r="AG292" s="94">
        <f t="shared" si="99"/>
        <v>0</v>
      </c>
      <c r="AH292" s="117">
        <v>0</v>
      </c>
      <c r="AI292" s="94">
        <f t="shared" si="85"/>
        <v>0</v>
      </c>
      <c r="AJ292" s="94">
        <f t="shared" si="86"/>
        <v>0</v>
      </c>
      <c r="AK292" s="94">
        <f t="shared" si="87"/>
        <v>0</v>
      </c>
      <c r="AL292" s="93">
        <v>786722</v>
      </c>
      <c r="AM292" s="93">
        <f t="shared" si="100"/>
        <v>0</v>
      </c>
      <c r="AN292" s="155"/>
      <c r="AO292" s="155"/>
    </row>
    <row r="293" spans="1:41" s="9" customFormat="1" ht="25.15" customHeight="1" x14ac:dyDescent="0.25">
      <c r="A293" s="83">
        <v>287</v>
      </c>
      <c r="B293" s="84">
        <v>2024</v>
      </c>
      <c r="C293" s="85" t="s">
        <v>1452</v>
      </c>
      <c r="D293" s="86" t="s">
        <v>689</v>
      </c>
      <c r="E293" s="86" t="s">
        <v>749</v>
      </c>
      <c r="F293" s="87">
        <v>45476</v>
      </c>
      <c r="G293" s="87">
        <v>45612</v>
      </c>
      <c r="H293" s="88">
        <f t="shared" si="88"/>
        <v>1.5111111111111111</v>
      </c>
      <c r="I293" s="89" t="s">
        <v>759</v>
      </c>
      <c r="J293" s="90" t="s">
        <v>751</v>
      </c>
      <c r="K293" s="90" t="s">
        <v>752</v>
      </c>
      <c r="L293" s="90" t="s">
        <v>753</v>
      </c>
      <c r="M293" s="91" t="s">
        <v>754</v>
      </c>
      <c r="N293" s="92" t="s">
        <v>1454</v>
      </c>
      <c r="O293" s="85">
        <v>2910908204</v>
      </c>
      <c r="P293" s="93">
        <v>142450000</v>
      </c>
      <c r="Q293" s="93">
        <v>0</v>
      </c>
      <c r="R293" s="94">
        <f t="shared" si="101"/>
        <v>142450000</v>
      </c>
      <c r="S293" s="95">
        <v>0.12</v>
      </c>
      <c r="T293" s="94">
        <f t="shared" si="90"/>
        <v>15262499.999999998</v>
      </c>
      <c r="U293" s="117">
        <v>142450000</v>
      </c>
      <c r="V293" s="117">
        <v>0</v>
      </c>
      <c r="W293" s="94">
        <f t="shared" si="91"/>
        <v>0</v>
      </c>
      <c r="X293" s="94">
        <f t="shared" si="92"/>
        <v>0</v>
      </c>
      <c r="Y293" s="94">
        <f t="shared" si="93"/>
        <v>0</v>
      </c>
      <c r="Z293" s="93">
        <f>_xlfn.XLOOKUP(O293,'[4]2DO TRIMESTRE'!$C:$C,'[4]2DO TRIMESTRE'!$I:$I,0,0)</f>
        <v>0</v>
      </c>
      <c r="AA293" s="94">
        <f t="shared" si="94"/>
        <v>0</v>
      </c>
      <c r="AB293" s="94">
        <f t="shared" si="95"/>
        <v>0</v>
      </c>
      <c r="AC293" s="94">
        <f t="shared" si="96"/>
        <v>0</v>
      </c>
      <c r="AD293" s="93">
        <v>0</v>
      </c>
      <c r="AE293" s="94">
        <f t="shared" si="97"/>
        <v>0</v>
      </c>
      <c r="AF293" s="94">
        <f t="shared" si="98"/>
        <v>0</v>
      </c>
      <c r="AG293" s="94">
        <f t="shared" si="99"/>
        <v>0</v>
      </c>
      <c r="AH293" s="117">
        <v>0</v>
      </c>
      <c r="AI293" s="94">
        <f t="shared" si="85"/>
        <v>0</v>
      </c>
      <c r="AJ293" s="94">
        <f t="shared" si="86"/>
        <v>0</v>
      </c>
      <c r="AK293" s="94">
        <f t="shared" si="87"/>
        <v>0</v>
      </c>
      <c r="AL293" s="93">
        <v>15262499.999999998</v>
      </c>
      <c r="AM293" s="93">
        <f t="shared" si="100"/>
        <v>0</v>
      </c>
      <c r="AN293" s="155"/>
      <c r="AO293" s="155"/>
    </row>
    <row r="294" spans="1:41" s="9" customFormat="1" ht="25.15" customHeight="1" x14ac:dyDescent="0.25">
      <c r="A294" s="83">
        <v>288</v>
      </c>
      <c r="B294" s="84">
        <v>2024</v>
      </c>
      <c r="C294" s="85" t="s">
        <v>1452</v>
      </c>
      <c r="D294" s="86" t="s">
        <v>690</v>
      </c>
      <c r="E294" s="86" t="s">
        <v>749</v>
      </c>
      <c r="F294" s="87">
        <v>45525</v>
      </c>
      <c r="G294" s="87">
        <v>45903</v>
      </c>
      <c r="H294" s="88">
        <f t="shared" si="88"/>
        <v>4.2</v>
      </c>
      <c r="I294" s="89" t="s">
        <v>759</v>
      </c>
      <c r="J294" s="90" t="s">
        <v>751</v>
      </c>
      <c r="K294" s="90" t="s">
        <v>752</v>
      </c>
      <c r="L294" s="90" t="s">
        <v>753</v>
      </c>
      <c r="M294" s="91" t="s">
        <v>754</v>
      </c>
      <c r="N294" s="92" t="s">
        <v>1455</v>
      </c>
      <c r="O294" s="85">
        <v>2910908210</v>
      </c>
      <c r="P294" s="93">
        <v>184371200</v>
      </c>
      <c r="Q294" s="93">
        <v>277625581</v>
      </c>
      <c r="R294" s="94">
        <f t="shared" si="101"/>
        <v>461996781</v>
      </c>
      <c r="S294" s="95">
        <v>0.12000000075359689</v>
      </c>
      <c r="T294" s="94">
        <f t="shared" ref="T294:T300" si="102">(R294/(1+S294))*S294</f>
        <v>49499655.384693354</v>
      </c>
      <c r="U294" s="117">
        <v>461996781</v>
      </c>
      <c r="V294" s="117">
        <v>0</v>
      </c>
      <c r="W294" s="94">
        <f t="shared" si="91"/>
        <v>0</v>
      </c>
      <c r="X294" s="94">
        <f t="shared" si="92"/>
        <v>0</v>
      </c>
      <c r="Y294" s="94">
        <f t="shared" si="93"/>
        <v>0</v>
      </c>
      <c r="Z294" s="93">
        <f>_xlfn.XLOOKUP(O294,'[4]2DO TRIMESTRE'!$C:$C,'[4]2DO TRIMESTRE'!$I:$I,0,0)</f>
        <v>0</v>
      </c>
      <c r="AA294" s="94">
        <f t="shared" si="94"/>
        <v>0</v>
      </c>
      <c r="AB294" s="94">
        <f t="shared" si="95"/>
        <v>0</v>
      </c>
      <c r="AC294" s="94">
        <f t="shared" si="96"/>
        <v>0</v>
      </c>
      <c r="AD294" s="93">
        <v>0</v>
      </c>
      <c r="AE294" s="94">
        <f t="shared" si="97"/>
        <v>0</v>
      </c>
      <c r="AF294" s="94">
        <f t="shared" si="98"/>
        <v>0</v>
      </c>
      <c r="AG294" s="94">
        <f t="shared" si="99"/>
        <v>0</v>
      </c>
      <c r="AH294" s="117">
        <v>0</v>
      </c>
      <c r="AI294" s="94">
        <f t="shared" si="85"/>
        <v>0</v>
      </c>
      <c r="AJ294" s="94">
        <f t="shared" si="86"/>
        <v>0</v>
      </c>
      <c r="AK294" s="94">
        <f t="shared" si="87"/>
        <v>0</v>
      </c>
      <c r="AL294" s="93">
        <v>49499655</v>
      </c>
      <c r="AM294" s="93">
        <f t="shared" si="100"/>
        <v>0</v>
      </c>
      <c r="AN294" s="155"/>
      <c r="AO294" s="155"/>
    </row>
    <row r="295" spans="1:41" s="9" customFormat="1" ht="25.15" customHeight="1" x14ac:dyDescent="0.25">
      <c r="A295" s="83">
        <v>289</v>
      </c>
      <c r="B295" s="84">
        <v>2024</v>
      </c>
      <c r="C295" s="85" t="s">
        <v>1452</v>
      </c>
      <c r="D295" s="86" t="s">
        <v>692</v>
      </c>
      <c r="E295" s="86" t="s">
        <v>749</v>
      </c>
      <c r="F295" s="87">
        <v>45525</v>
      </c>
      <c r="G295" s="87"/>
      <c r="H295" s="88"/>
      <c r="I295" s="89" t="s">
        <v>759</v>
      </c>
      <c r="J295" s="90" t="s">
        <v>751</v>
      </c>
      <c r="K295" s="90" t="s">
        <v>752</v>
      </c>
      <c r="L295" s="90" t="s">
        <v>753</v>
      </c>
      <c r="M295" s="91" t="s">
        <v>754</v>
      </c>
      <c r="N295" s="92" t="s">
        <v>1456</v>
      </c>
      <c r="O295" s="85">
        <v>2910908203</v>
      </c>
      <c r="P295" s="93">
        <v>50750000</v>
      </c>
      <c r="Q295" s="93">
        <v>14130000</v>
      </c>
      <c r="R295" s="94">
        <f t="shared" si="101"/>
        <v>64880000</v>
      </c>
      <c r="S295" s="95">
        <v>0.11999999902804777</v>
      </c>
      <c r="T295" s="94">
        <f t="shared" si="102"/>
        <v>6951428.5211573178</v>
      </c>
      <c r="U295" s="117">
        <v>64880000</v>
      </c>
      <c r="V295" s="117">
        <v>0</v>
      </c>
      <c r="W295" s="94">
        <f t="shared" si="91"/>
        <v>0</v>
      </c>
      <c r="X295" s="94">
        <f t="shared" si="92"/>
        <v>0</v>
      </c>
      <c r="Y295" s="94">
        <f t="shared" si="93"/>
        <v>0</v>
      </c>
      <c r="Z295" s="93">
        <f>_xlfn.XLOOKUP(O295,'[4]2DO TRIMESTRE'!$C:$C,'[4]2DO TRIMESTRE'!$I:$I,0,0)</f>
        <v>0</v>
      </c>
      <c r="AA295" s="94">
        <f t="shared" si="94"/>
        <v>0</v>
      </c>
      <c r="AB295" s="94">
        <f t="shared" si="95"/>
        <v>0</v>
      </c>
      <c r="AC295" s="94">
        <f t="shared" si="96"/>
        <v>0</v>
      </c>
      <c r="AD295" s="93">
        <v>0</v>
      </c>
      <c r="AE295" s="94">
        <f t="shared" si="97"/>
        <v>0</v>
      </c>
      <c r="AF295" s="94">
        <f t="shared" si="98"/>
        <v>0</v>
      </c>
      <c r="AG295" s="94">
        <f t="shared" si="99"/>
        <v>0</v>
      </c>
      <c r="AH295" s="117">
        <v>0</v>
      </c>
      <c r="AI295" s="94">
        <f t="shared" si="85"/>
        <v>0</v>
      </c>
      <c r="AJ295" s="94">
        <f t="shared" si="86"/>
        <v>0</v>
      </c>
      <c r="AK295" s="94">
        <f t="shared" si="87"/>
        <v>0</v>
      </c>
      <c r="AL295" s="93">
        <v>6951428.5604801606</v>
      </c>
      <c r="AM295" s="93">
        <f t="shared" si="100"/>
        <v>0</v>
      </c>
      <c r="AN295" s="155"/>
      <c r="AO295" s="155"/>
    </row>
    <row r="296" spans="1:41" s="9" customFormat="1" ht="25.15" customHeight="1" x14ac:dyDescent="0.25">
      <c r="A296" s="83">
        <v>290</v>
      </c>
      <c r="B296" s="84">
        <v>2024</v>
      </c>
      <c r="C296" s="85" t="s">
        <v>839</v>
      </c>
      <c r="D296" s="86" t="s">
        <v>693</v>
      </c>
      <c r="E296" s="86" t="s">
        <v>777</v>
      </c>
      <c r="F296" s="87">
        <v>45428</v>
      </c>
      <c r="G296" s="87">
        <v>45611</v>
      </c>
      <c r="H296" s="88">
        <f t="shared" si="88"/>
        <v>2.0333333333333332</v>
      </c>
      <c r="I296" s="89" t="s">
        <v>759</v>
      </c>
      <c r="J296" s="90" t="s">
        <v>751</v>
      </c>
      <c r="K296" s="90" t="s">
        <v>752</v>
      </c>
      <c r="L296" s="90" t="s">
        <v>753</v>
      </c>
      <c r="M296" s="91" t="s">
        <v>1059</v>
      </c>
      <c r="N296" s="92" t="s">
        <v>1457</v>
      </c>
      <c r="O296" s="85">
        <v>2453018365</v>
      </c>
      <c r="P296" s="93">
        <v>127684466</v>
      </c>
      <c r="Q296" s="93">
        <v>0</v>
      </c>
      <c r="R296" s="94">
        <f t="shared" si="101"/>
        <v>127684466</v>
      </c>
      <c r="S296" s="95">
        <v>0.12000000491210891</v>
      </c>
      <c r="T296" s="94">
        <f t="shared" si="102"/>
        <v>13680479.000000002</v>
      </c>
      <c r="U296" s="117">
        <v>99015555</v>
      </c>
      <c r="V296" s="117">
        <v>0</v>
      </c>
      <c r="W296" s="94">
        <f t="shared" si="91"/>
        <v>0</v>
      </c>
      <c r="X296" s="94">
        <f t="shared" si="92"/>
        <v>0</v>
      </c>
      <c r="Y296" s="94">
        <f t="shared" si="93"/>
        <v>0</v>
      </c>
      <c r="Z296" s="93">
        <f>_xlfn.XLOOKUP(O296,'[4]2DO TRIMESTRE'!$C:$C,'[4]2DO TRIMESTRE'!$I:$I,0,0)</f>
        <v>0</v>
      </c>
      <c r="AA296" s="94">
        <f t="shared" si="94"/>
        <v>0</v>
      </c>
      <c r="AB296" s="94">
        <f t="shared" si="95"/>
        <v>0</v>
      </c>
      <c r="AC296" s="94">
        <f t="shared" si="96"/>
        <v>0</v>
      </c>
      <c r="AD296" s="93">
        <v>0</v>
      </c>
      <c r="AE296" s="94">
        <f>+AD296/(1+$S296)*$S296</f>
        <v>0</v>
      </c>
      <c r="AF296" s="94">
        <f t="shared" si="98"/>
        <v>0</v>
      </c>
      <c r="AG296" s="94">
        <f t="shared" si="99"/>
        <v>0</v>
      </c>
      <c r="AH296" s="117">
        <v>0</v>
      </c>
      <c r="AI296" s="94">
        <f t="shared" si="85"/>
        <v>0</v>
      </c>
      <c r="AJ296" s="94">
        <f t="shared" si="86"/>
        <v>0</v>
      </c>
      <c r="AK296" s="94">
        <f t="shared" si="87"/>
        <v>0</v>
      </c>
      <c r="AL296" s="93">
        <v>10608809.852021039</v>
      </c>
      <c r="AM296" s="93">
        <f t="shared" si="100"/>
        <v>0</v>
      </c>
      <c r="AN296" s="155"/>
      <c r="AO296" s="155"/>
    </row>
    <row r="297" spans="1:41" s="9" customFormat="1" ht="25.15" customHeight="1" x14ac:dyDescent="0.25">
      <c r="A297" s="83">
        <v>291</v>
      </c>
      <c r="B297" s="84">
        <v>2024</v>
      </c>
      <c r="C297" s="85" t="s">
        <v>1452</v>
      </c>
      <c r="D297" s="86" t="s">
        <v>703</v>
      </c>
      <c r="E297" s="86" t="s">
        <v>749</v>
      </c>
      <c r="F297" s="87">
        <v>45525</v>
      </c>
      <c r="G297" s="87"/>
      <c r="H297" s="88"/>
      <c r="I297" s="89" t="s">
        <v>759</v>
      </c>
      <c r="J297" s="90" t="s">
        <v>751</v>
      </c>
      <c r="K297" s="90" t="s">
        <v>752</v>
      </c>
      <c r="L297" s="90" t="s">
        <v>753</v>
      </c>
      <c r="M297" s="91" t="s">
        <v>754</v>
      </c>
      <c r="N297" s="92" t="s">
        <v>1458</v>
      </c>
      <c r="O297" s="85">
        <v>2910908212</v>
      </c>
      <c r="P297" s="93">
        <v>40170000</v>
      </c>
      <c r="Q297" s="93">
        <v>65085700</v>
      </c>
      <c r="R297" s="94">
        <f t="shared" si="101"/>
        <v>105255700</v>
      </c>
      <c r="S297" s="95">
        <v>0.11999999489243815</v>
      </c>
      <c r="T297" s="94">
        <f>(R297/(1+S297))*S297</f>
        <v>11277396</v>
      </c>
      <c r="U297" s="117">
        <v>105255700</v>
      </c>
      <c r="V297" s="117">
        <v>2646480</v>
      </c>
      <c r="W297" s="94">
        <f t="shared" si="91"/>
        <v>283551.41779571085</v>
      </c>
      <c r="X297" s="94">
        <f t="shared" si="92"/>
        <v>113420.56711828435</v>
      </c>
      <c r="Y297" s="94">
        <f t="shared" si="93"/>
        <v>170130.8506774265</v>
      </c>
      <c r="Z297" s="93">
        <f>_xlfn.XLOOKUP(O297,'[4]2DO TRIMESTRE'!$C:$C,'[4]2DO TRIMESTRE'!$I:$I,0,0)</f>
        <v>0</v>
      </c>
      <c r="AA297" s="94">
        <f t="shared" si="94"/>
        <v>0</v>
      </c>
      <c r="AB297" s="94">
        <f t="shared" si="95"/>
        <v>0</v>
      </c>
      <c r="AC297" s="94">
        <f t="shared" si="96"/>
        <v>0</v>
      </c>
      <c r="AD297" s="93">
        <v>0</v>
      </c>
      <c r="AE297" s="94">
        <f t="shared" si="97"/>
        <v>0</v>
      </c>
      <c r="AF297" s="94">
        <f t="shared" si="98"/>
        <v>0</v>
      </c>
      <c r="AG297" s="94">
        <f t="shared" si="99"/>
        <v>0</v>
      </c>
      <c r="AH297" s="117">
        <v>0</v>
      </c>
      <c r="AI297" s="94">
        <f t="shared" si="85"/>
        <v>0</v>
      </c>
      <c r="AJ297" s="94">
        <f t="shared" si="86"/>
        <v>0</v>
      </c>
      <c r="AK297" s="94">
        <f t="shared" si="87"/>
        <v>0</v>
      </c>
      <c r="AL297" s="93">
        <v>11277396</v>
      </c>
      <c r="AM297" s="93">
        <f>W297+AA297+AE297+AI297</f>
        <v>283551.41779571085</v>
      </c>
      <c r="AN297" s="155"/>
      <c r="AO297" s="155"/>
    </row>
    <row r="298" spans="1:41" s="9" customFormat="1" ht="25.15" customHeight="1" x14ac:dyDescent="0.25">
      <c r="A298" s="83">
        <v>292</v>
      </c>
      <c r="B298" s="84">
        <v>2024</v>
      </c>
      <c r="C298" s="85" t="s">
        <v>1452</v>
      </c>
      <c r="D298" s="86" t="s">
        <v>704</v>
      </c>
      <c r="E298" s="86" t="s">
        <v>749</v>
      </c>
      <c r="F298" s="87">
        <v>45525</v>
      </c>
      <c r="G298" s="87"/>
      <c r="H298" s="88"/>
      <c r="I298" s="89" t="s">
        <v>759</v>
      </c>
      <c r="J298" s="90" t="s">
        <v>751</v>
      </c>
      <c r="K298" s="90" t="s">
        <v>752</v>
      </c>
      <c r="L298" s="90" t="s">
        <v>753</v>
      </c>
      <c r="M298" s="91" t="s">
        <v>754</v>
      </c>
      <c r="N298" s="92" t="s">
        <v>1459</v>
      </c>
      <c r="O298" s="85">
        <v>2910908213</v>
      </c>
      <c r="P298" s="93">
        <v>40950000</v>
      </c>
      <c r="Q298" s="93">
        <v>82594350</v>
      </c>
      <c r="R298" s="94">
        <f t="shared" si="101"/>
        <v>123544350</v>
      </c>
      <c r="S298" s="95">
        <v>0.12</v>
      </c>
      <c r="T298" s="94">
        <f t="shared" si="102"/>
        <v>13236894.642857142</v>
      </c>
      <c r="U298" s="117">
        <v>123544350</v>
      </c>
      <c r="V298" s="117">
        <v>0</v>
      </c>
      <c r="W298" s="94">
        <f t="shared" si="91"/>
        <v>0</v>
      </c>
      <c r="X298" s="94">
        <f t="shared" si="92"/>
        <v>0</v>
      </c>
      <c r="Y298" s="94">
        <f t="shared" si="93"/>
        <v>0</v>
      </c>
      <c r="Z298" s="93">
        <f>_xlfn.XLOOKUP(O298,'[4]2DO TRIMESTRE'!$C:$C,'[4]2DO TRIMESTRE'!$I:$I,0,0)</f>
        <v>0</v>
      </c>
      <c r="AA298" s="94">
        <f t="shared" si="94"/>
        <v>0</v>
      </c>
      <c r="AB298" s="94">
        <f t="shared" si="95"/>
        <v>0</v>
      </c>
      <c r="AC298" s="94">
        <f t="shared" si="96"/>
        <v>0</v>
      </c>
      <c r="AD298" s="93">
        <v>0</v>
      </c>
      <c r="AE298" s="94">
        <f t="shared" si="97"/>
        <v>0</v>
      </c>
      <c r="AF298" s="94">
        <f t="shared" si="98"/>
        <v>0</v>
      </c>
      <c r="AG298" s="94">
        <f t="shared" si="99"/>
        <v>0</v>
      </c>
      <c r="AH298" s="117">
        <v>0</v>
      </c>
      <c r="AI298" s="94">
        <f t="shared" si="85"/>
        <v>0</v>
      </c>
      <c r="AJ298" s="94">
        <f t="shared" si="86"/>
        <v>0</v>
      </c>
      <c r="AK298" s="94">
        <f t="shared" si="87"/>
        <v>0</v>
      </c>
      <c r="AL298" s="93">
        <v>13236894.642857142</v>
      </c>
      <c r="AM298" s="93">
        <f t="shared" si="100"/>
        <v>0</v>
      </c>
      <c r="AN298" s="155"/>
      <c r="AO298" s="155"/>
    </row>
    <row r="299" spans="1:41" s="9" customFormat="1" ht="25.15" customHeight="1" x14ac:dyDescent="0.25">
      <c r="A299" s="83">
        <v>293</v>
      </c>
      <c r="B299" s="84">
        <v>2024</v>
      </c>
      <c r="C299" s="85" t="s">
        <v>1219</v>
      </c>
      <c r="D299" s="86" t="s">
        <v>1460</v>
      </c>
      <c r="E299" s="86" t="s">
        <v>758</v>
      </c>
      <c r="F299" s="87">
        <v>45503</v>
      </c>
      <c r="G299" s="87">
        <v>45639</v>
      </c>
      <c r="H299" s="88">
        <f t="shared" ref="H299:H362" si="103">+(G299-F299)/90</f>
        <v>1.5111111111111111</v>
      </c>
      <c r="I299" s="89" t="s">
        <v>759</v>
      </c>
      <c r="J299" s="90" t="s">
        <v>751</v>
      </c>
      <c r="K299" s="90" t="s">
        <v>752</v>
      </c>
      <c r="L299" s="90" t="s">
        <v>753</v>
      </c>
      <c r="M299" s="91" t="s">
        <v>1059</v>
      </c>
      <c r="N299" s="92" t="s">
        <v>1461</v>
      </c>
      <c r="O299" s="85">
        <v>2910907334</v>
      </c>
      <c r="P299" s="93">
        <v>4052000000</v>
      </c>
      <c r="Q299" s="93">
        <v>0</v>
      </c>
      <c r="R299" s="94">
        <f t="shared" si="101"/>
        <v>4052000000</v>
      </c>
      <c r="S299" s="95">
        <v>0.11999999995577493</v>
      </c>
      <c r="T299" s="94">
        <f t="shared" si="102"/>
        <v>434142856.99999994</v>
      </c>
      <c r="U299" s="117">
        <v>4052000000</v>
      </c>
      <c r="V299" s="117">
        <v>0</v>
      </c>
      <c r="W299" s="94">
        <f t="shared" si="91"/>
        <v>0</v>
      </c>
      <c r="X299" s="94">
        <f t="shared" si="92"/>
        <v>0</v>
      </c>
      <c r="Y299" s="94">
        <f t="shared" si="93"/>
        <v>0</v>
      </c>
      <c r="Z299" s="93">
        <f>_xlfn.XLOOKUP(O299,'[4]2DO TRIMESTRE'!$C:$C,'[4]2DO TRIMESTRE'!$I:$I,0,0)</f>
        <v>0</v>
      </c>
      <c r="AA299" s="94">
        <f t="shared" si="94"/>
        <v>0</v>
      </c>
      <c r="AB299" s="94">
        <f t="shared" si="95"/>
        <v>0</v>
      </c>
      <c r="AC299" s="94">
        <f t="shared" si="96"/>
        <v>0</v>
      </c>
      <c r="AD299" s="93">
        <v>0</v>
      </c>
      <c r="AE299" s="94">
        <f t="shared" si="97"/>
        <v>0</v>
      </c>
      <c r="AF299" s="94">
        <f t="shared" si="98"/>
        <v>0</v>
      </c>
      <c r="AG299" s="94">
        <f t="shared" si="99"/>
        <v>0</v>
      </c>
      <c r="AH299" s="117">
        <v>0</v>
      </c>
      <c r="AI299" s="94">
        <f t="shared" si="85"/>
        <v>0</v>
      </c>
      <c r="AJ299" s="94">
        <f t="shared" si="86"/>
        <v>0</v>
      </c>
      <c r="AK299" s="94">
        <f t="shared" si="87"/>
        <v>0</v>
      </c>
      <c r="AL299" s="93">
        <v>434142856.99999994</v>
      </c>
      <c r="AM299" s="93">
        <f t="shared" si="100"/>
        <v>0</v>
      </c>
      <c r="AN299" s="155"/>
      <c r="AO299" s="155"/>
    </row>
    <row r="300" spans="1:41" s="9" customFormat="1" ht="25.15" customHeight="1" x14ac:dyDescent="0.25">
      <c r="A300" s="83">
        <v>294</v>
      </c>
      <c r="B300" s="84">
        <v>2024</v>
      </c>
      <c r="C300" s="85" t="s">
        <v>1462</v>
      </c>
      <c r="D300" s="86" t="s">
        <v>1463</v>
      </c>
      <c r="E300" s="86" t="s">
        <v>758</v>
      </c>
      <c r="F300" s="87">
        <v>45455</v>
      </c>
      <c r="G300" s="87">
        <v>45590</v>
      </c>
      <c r="H300" s="88">
        <f t="shared" si="103"/>
        <v>1.5</v>
      </c>
      <c r="I300" s="89" t="s">
        <v>759</v>
      </c>
      <c r="J300" s="90" t="s">
        <v>751</v>
      </c>
      <c r="K300" s="90" t="s">
        <v>752</v>
      </c>
      <c r="L300" s="90" t="s">
        <v>753</v>
      </c>
      <c r="M300" s="91" t="s">
        <v>1059</v>
      </c>
      <c r="N300" s="92" t="s">
        <v>1464</v>
      </c>
      <c r="O300" s="85">
        <v>2910907326</v>
      </c>
      <c r="P300" s="93">
        <v>3999639300</v>
      </c>
      <c r="Q300" s="93">
        <v>599995450</v>
      </c>
      <c r="R300" s="94">
        <f t="shared" si="101"/>
        <v>4599634750</v>
      </c>
      <c r="S300" s="95">
        <v>0.1200000000194798</v>
      </c>
      <c r="T300" s="94">
        <f t="shared" si="102"/>
        <v>492818009</v>
      </c>
      <c r="U300" s="117">
        <v>4205667801</v>
      </c>
      <c r="V300" s="117">
        <v>0</v>
      </c>
      <c r="W300" s="94">
        <f t="shared" si="91"/>
        <v>0</v>
      </c>
      <c r="X300" s="94">
        <f t="shared" si="92"/>
        <v>0</v>
      </c>
      <c r="Y300" s="94">
        <f t="shared" si="93"/>
        <v>0</v>
      </c>
      <c r="Z300" s="93">
        <f>_xlfn.XLOOKUP(O300,'[4]2DO TRIMESTRE'!$C:$C,'[4]2DO TRIMESTRE'!$I:$I,0,0)</f>
        <v>0</v>
      </c>
      <c r="AA300" s="94">
        <f t="shared" si="94"/>
        <v>0</v>
      </c>
      <c r="AB300" s="94">
        <f t="shared" si="95"/>
        <v>0</v>
      </c>
      <c r="AC300" s="94">
        <f t="shared" si="96"/>
        <v>0</v>
      </c>
      <c r="AD300" s="93">
        <v>0</v>
      </c>
      <c r="AE300" s="94">
        <f t="shared" si="97"/>
        <v>0</v>
      </c>
      <c r="AF300" s="94">
        <f t="shared" si="98"/>
        <v>0</v>
      </c>
      <c r="AG300" s="94">
        <f t="shared" si="99"/>
        <v>0</v>
      </c>
      <c r="AH300" s="117">
        <v>0</v>
      </c>
      <c r="AI300" s="94">
        <f t="shared" si="85"/>
        <v>0</v>
      </c>
      <c r="AJ300" s="94">
        <f t="shared" si="86"/>
        <v>0</v>
      </c>
      <c r="AK300" s="94">
        <f t="shared" si="87"/>
        <v>0</v>
      </c>
      <c r="AL300" s="93">
        <v>450607264.45816767</v>
      </c>
      <c r="AM300" s="93">
        <f t="shared" si="100"/>
        <v>0</v>
      </c>
      <c r="AN300" s="155"/>
      <c r="AO300" s="155"/>
    </row>
    <row r="301" spans="1:41" s="9" customFormat="1" ht="25.15" customHeight="1" x14ac:dyDescent="0.25">
      <c r="A301" s="83">
        <v>295</v>
      </c>
      <c r="B301" s="84">
        <v>2024</v>
      </c>
      <c r="C301" s="85" t="s">
        <v>1501</v>
      </c>
      <c r="D301" s="86" t="s">
        <v>1479</v>
      </c>
      <c r="E301" s="86" t="s">
        <v>758</v>
      </c>
      <c r="F301" s="87">
        <v>45491</v>
      </c>
      <c r="G301" s="87">
        <v>45618</v>
      </c>
      <c r="H301" s="88">
        <f t="shared" si="103"/>
        <v>1.4111111111111112</v>
      </c>
      <c r="I301" s="89" t="s">
        <v>750</v>
      </c>
      <c r="J301" s="90" t="s">
        <v>751</v>
      </c>
      <c r="K301" s="90" t="s">
        <v>752</v>
      </c>
      <c r="L301" s="90" t="s">
        <v>753</v>
      </c>
      <c r="M301" s="91" t="s">
        <v>1502</v>
      </c>
      <c r="N301" s="92" t="s">
        <v>1490</v>
      </c>
      <c r="O301" s="85">
        <v>2910907330</v>
      </c>
      <c r="P301" s="93">
        <v>1822389277</v>
      </c>
      <c r="Q301" s="93">
        <v>285764734</v>
      </c>
      <c r="R301" s="94">
        <f t="shared" si="101"/>
        <v>2108154011</v>
      </c>
      <c r="S301" s="95">
        <v>0.12602584291992081</v>
      </c>
      <c r="T301" s="94">
        <v>225873644</v>
      </c>
      <c r="U301" s="117">
        <v>2018154011</v>
      </c>
      <c r="V301" s="117">
        <v>0</v>
      </c>
      <c r="W301" s="94">
        <f t="shared" si="91"/>
        <v>0</v>
      </c>
      <c r="X301" s="94">
        <f t="shared" si="92"/>
        <v>0</v>
      </c>
      <c r="Y301" s="94">
        <f t="shared" si="93"/>
        <v>0</v>
      </c>
      <c r="Z301" s="93">
        <f>_xlfn.XLOOKUP(O301,'[4]2DO TRIMESTRE'!$C:$C,'[4]2DO TRIMESTRE'!$I:$I,0,0)</f>
        <v>0</v>
      </c>
      <c r="AA301" s="94">
        <f t="shared" si="94"/>
        <v>0</v>
      </c>
      <c r="AB301" s="94">
        <f t="shared" si="95"/>
        <v>0</v>
      </c>
      <c r="AC301" s="94">
        <f t="shared" si="96"/>
        <v>0</v>
      </c>
      <c r="AD301" s="93">
        <v>0</v>
      </c>
      <c r="AE301" s="94">
        <f t="shared" si="97"/>
        <v>0</v>
      </c>
      <c r="AF301" s="94">
        <f t="shared" si="98"/>
        <v>0</v>
      </c>
      <c r="AG301" s="94">
        <f t="shared" si="99"/>
        <v>0</v>
      </c>
      <c r="AH301" s="117">
        <v>0</v>
      </c>
      <c r="AI301" s="94">
        <f t="shared" si="85"/>
        <v>0</v>
      </c>
      <c r="AJ301" s="94">
        <f t="shared" si="86"/>
        <v>0</v>
      </c>
      <c r="AK301" s="94">
        <f t="shared" si="87"/>
        <v>0</v>
      </c>
      <c r="AL301" s="93">
        <v>225873644</v>
      </c>
      <c r="AM301" s="93">
        <f t="shared" si="100"/>
        <v>0</v>
      </c>
      <c r="AN301" s="155"/>
      <c r="AO301" s="155"/>
    </row>
    <row r="302" spans="1:41" s="9" customFormat="1" ht="25.15" customHeight="1" x14ac:dyDescent="0.25">
      <c r="A302" s="83">
        <v>296</v>
      </c>
      <c r="B302" s="84">
        <v>2024</v>
      </c>
      <c r="C302" s="85" t="s">
        <v>1503</v>
      </c>
      <c r="D302" s="86" t="s">
        <v>1480</v>
      </c>
      <c r="E302" s="86" t="s">
        <v>758</v>
      </c>
      <c r="F302" s="87">
        <v>45540</v>
      </c>
      <c r="G302" s="87">
        <v>45646</v>
      </c>
      <c r="H302" s="88">
        <f t="shared" si="103"/>
        <v>1.1777777777777778</v>
      </c>
      <c r="I302" s="89" t="s">
        <v>759</v>
      </c>
      <c r="J302" s="90" t="s">
        <v>751</v>
      </c>
      <c r="K302" s="90" t="s">
        <v>752</v>
      </c>
      <c r="L302" s="90" t="s">
        <v>753</v>
      </c>
      <c r="M302" s="91" t="s">
        <v>1502</v>
      </c>
      <c r="N302" s="92" t="s">
        <v>1492</v>
      </c>
      <c r="O302" s="85">
        <v>2910907338</v>
      </c>
      <c r="P302" s="93">
        <v>435013718</v>
      </c>
      <c r="Q302" s="93">
        <v>0</v>
      </c>
      <c r="R302" s="94">
        <f t="shared" si="101"/>
        <v>435013718</v>
      </c>
      <c r="S302" s="95">
        <v>0.12000000102985259</v>
      </c>
      <c r="T302" s="94">
        <v>46608613</v>
      </c>
      <c r="U302" s="117">
        <v>435013718</v>
      </c>
      <c r="V302" s="117">
        <v>0</v>
      </c>
      <c r="W302" s="94">
        <f t="shared" si="91"/>
        <v>0</v>
      </c>
      <c r="X302" s="94">
        <f t="shared" si="92"/>
        <v>0</v>
      </c>
      <c r="Y302" s="94">
        <f t="shared" si="93"/>
        <v>0</v>
      </c>
      <c r="Z302" s="93">
        <f>_xlfn.XLOOKUP(O302,'[4]2DO TRIMESTRE'!$C:$C,'[4]2DO TRIMESTRE'!$I:$I,0,0)</f>
        <v>0</v>
      </c>
      <c r="AA302" s="94">
        <f t="shared" si="94"/>
        <v>0</v>
      </c>
      <c r="AB302" s="94">
        <f t="shared" si="95"/>
        <v>0</v>
      </c>
      <c r="AC302" s="94">
        <f t="shared" si="96"/>
        <v>0</v>
      </c>
      <c r="AD302" s="93">
        <v>0</v>
      </c>
      <c r="AE302" s="94">
        <f t="shared" si="97"/>
        <v>0</v>
      </c>
      <c r="AF302" s="94">
        <f t="shared" si="98"/>
        <v>0</v>
      </c>
      <c r="AG302" s="94">
        <f t="shared" si="99"/>
        <v>0</v>
      </c>
      <c r="AH302" s="117">
        <v>0</v>
      </c>
      <c r="AI302" s="94">
        <f t="shared" si="85"/>
        <v>0</v>
      </c>
      <c r="AJ302" s="94">
        <f t="shared" si="86"/>
        <v>0</v>
      </c>
      <c r="AK302" s="94">
        <f t="shared" si="87"/>
        <v>0</v>
      </c>
      <c r="AL302" s="93">
        <v>46608613.000000007</v>
      </c>
      <c r="AM302" s="93">
        <f t="shared" si="100"/>
        <v>0</v>
      </c>
      <c r="AN302" s="155"/>
      <c r="AO302" s="155"/>
    </row>
    <row r="303" spans="1:41" s="9" customFormat="1" ht="25.15" customHeight="1" x14ac:dyDescent="0.25">
      <c r="A303" s="83">
        <v>297</v>
      </c>
      <c r="B303" s="84">
        <v>2024</v>
      </c>
      <c r="C303" s="85" t="s">
        <v>894</v>
      </c>
      <c r="D303" s="86" t="s">
        <v>1481</v>
      </c>
      <c r="E303" s="86" t="s">
        <v>758</v>
      </c>
      <c r="F303" s="87">
        <v>45469</v>
      </c>
      <c r="G303" s="87">
        <v>45626</v>
      </c>
      <c r="H303" s="88">
        <f t="shared" si="103"/>
        <v>1.7444444444444445</v>
      </c>
      <c r="I303" s="89" t="s">
        <v>759</v>
      </c>
      <c r="J303" s="90" t="s">
        <v>751</v>
      </c>
      <c r="K303" s="90" t="s">
        <v>752</v>
      </c>
      <c r="L303" s="90" t="s">
        <v>753</v>
      </c>
      <c r="M303" s="91" t="s">
        <v>1502</v>
      </c>
      <c r="N303" s="92" t="s">
        <v>1493</v>
      </c>
      <c r="O303" s="85">
        <v>2910907327</v>
      </c>
      <c r="P303" s="93">
        <v>100000000</v>
      </c>
      <c r="Q303" s="93">
        <v>11428571</v>
      </c>
      <c r="R303" s="94">
        <f t="shared" si="101"/>
        <v>111428571</v>
      </c>
      <c r="S303" s="95">
        <v>0.12000000358400001</v>
      </c>
      <c r="T303" s="94">
        <v>11938775</v>
      </c>
      <c r="U303" s="117">
        <v>65714287</v>
      </c>
      <c r="V303" s="117">
        <v>0</v>
      </c>
      <c r="W303" s="94">
        <f t="shared" si="91"/>
        <v>0</v>
      </c>
      <c r="X303" s="94">
        <f t="shared" si="92"/>
        <v>0</v>
      </c>
      <c r="Y303" s="94">
        <f t="shared" si="93"/>
        <v>0</v>
      </c>
      <c r="Z303" s="93">
        <f>_xlfn.XLOOKUP(O303,'[4]2DO TRIMESTRE'!$C:$C,'[4]2DO TRIMESTRE'!$I:$I,0,0)</f>
        <v>0</v>
      </c>
      <c r="AA303" s="94">
        <f t="shared" si="94"/>
        <v>0</v>
      </c>
      <c r="AB303" s="94">
        <f t="shared" si="95"/>
        <v>0</v>
      </c>
      <c r="AC303" s="94">
        <f t="shared" si="96"/>
        <v>0</v>
      </c>
      <c r="AD303" s="93">
        <v>0</v>
      </c>
      <c r="AE303" s="94">
        <f t="shared" si="97"/>
        <v>0</v>
      </c>
      <c r="AF303" s="94">
        <f t="shared" si="98"/>
        <v>0</v>
      </c>
      <c r="AG303" s="94">
        <f t="shared" si="99"/>
        <v>0</v>
      </c>
      <c r="AH303" s="117">
        <v>0</v>
      </c>
      <c r="AI303" s="94">
        <f t="shared" si="85"/>
        <v>0</v>
      </c>
      <c r="AJ303" s="94">
        <f t="shared" si="86"/>
        <v>0</v>
      </c>
      <c r="AK303" s="94">
        <f t="shared" si="87"/>
        <v>0</v>
      </c>
      <c r="AL303" s="93">
        <v>7040816.6520408196</v>
      </c>
      <c r="AM303" s="93">
        <f t="shared" si="100"/>
        <v>0</v>
      </c>
      <c r="AN303" s="155"/>
      <c r="AO303" s="155"/>
    </row>
    <row r="304" spans="1:41" s="9" customFormat="1" ht="25.15" customHeight="1" x14ac:dyDescent="0.25">
      <c r="A304" s="83">
        <v>298</v>
      </c>
      <c r="B304" s="84">
        <v>2024</v>
      </c>
      <c r="C304" s="85" t="s">
        <v>1504</v>
      </c>
      <c r="D304" s="86" t="s">
        <v>1482</v>
      </c>
      <c r="E304" s="86" t="s">
        <v>758</v>
      </c>
      <c r="F304" s="87">
        <v>45427</v>
      </c>
      <c r="G304" s="87">
        <v>45531</v>
      </c>
      <c r="H304" s="88">
        <f t="shared" si="103"/>
        <v>1.1555555555555554</v>
      </c>
      <c r="I304" s="89" t="s">
        <v>759</v>
      </c>
      <c r="J304" s="90" t="s">
        <v>751</v>
      </c>
      <c r="K304" s="90" t="s">
        <v>752</v>
      </c>
      <c r="L304" s="90" t="s">
        <v>753</v>
      </c>
      <c r="M304" s="91" t="s">
        <v>1502</v>
      </c>
      <c r="N304" s="92" t="s">
        <v>1494</v>
      </c>
      <c r="O304" s="85">
        <v>2910907317</v>
      </c>
      <c r="P304" s="93">
        <v>250000000</v>
      </c>
      <c r="Q304" s="93">
        <v>0</v>
      </c>
      <c r="R304" s="94">
        <f t="shared" si="101"/>
        <v>250000000</v>
      </c>
      <c r="S304" s="95">
        <v>0.11999999856640001</v>
      </c>
      <c r="T304" s="94">
        <v>26785714</v>
      </c>
      <c r="U304" s="117">
        <v>250000000</v>
      </c>
      <c r="V304" s="117">
        <v>0</v>
      </c>
      <c r="W304" s="94">
        <f t="shared" si="91"/>
        <v>0</v>
      </c>
      <c r="X304" s="94">
        <f t="shared" si="92"/>
        <v>0</v>
      </c>
      <c r="Y304" s="94">
        <f t="shared" si="93"/>
        <v>0</v>
      </c>
      <c r="Z304" s="93">
        <f>_xlfn.XLOOKUP(O304,'[4]2DO TRIMESTRE'!$C:$C,'[4]2DO TRIMESTRE'!$I:$I,0,0)</f>
        <v>0</v>
      </c>
      <c r="AA304" s="94">
        <f t="shared" si="94"/>
        <v>0</v>
      </c>
      <c r="AB304" s="94">
        <f t="shared" si="95"/>
        <v>0</v>
      </c>
      <c r="AC304" s="94">
        <f t="shared" si="96"/>
        <v>0</v>
      </c>
      <c r="AD304" s="93">
        <v>0</v>
      </c>
      <c r="AE304" s="94">
        <f t="shared" si="97"/>
        <v>0</v>
      </c>
      <c r="AF304" s="94">
        <f t="shared" si="98"/>
        <v>0</v>
      </c>
      <c r="AG304" s="94">
        <f t="shared" si="99"/>
        <v>0</v>
      </c>
      <c r="AH304" s="117">
        <v>0</v>
      </c>
      <c r="AI304" s="94">
        <f t="shared" si="85"/>
        <v>0</v>
      </c>
      <c r="AJ304" s="94">
        <f t="shared" si="86"/>
        <v>0</v>
      </c>
      <c r="AK304" s="94">
        <f t="shared" si="87"/>
        <v>0</v>
      </c>
      <c r="AL304" s="93">
        <v>26785714</v>
      </c>
      <c r="AM304" s="93">
        <f t="shared" si="100"/>
        <v>0</v>
      </c>
      <c r="AN304" s="155"/>
      <c r="AO304" s="155"/>
    </row>
    <row r="305" spans="1:41" s="9" customFormat="1" ht="25.15" customHeight="1" x14ac:dyDescent="0.25">
      <c r="A305" s="83">
        <v>299</v>
      </c>
      <c r="B305" s="84">
        <v>2024</v>
      </c>
      <c r="C305" s="85" t="s">
        <v>128</v>
      </c>
      <c r="D305" s="86" t="s">
        <v>1483</v>
      </c>
      <c r="E305" s="86" t="s">
        <v>758</v>
      </c>
      <c r="F305" s="87">
        <v>45442</v>
      </c>
      <c r="G305" s="87">
        <v>45657</v>
      </c>
      <c r="H305" s="88">
        <f t="shared" si="103"/>
        <v>2.3888888888888888</v>
      </c>
      <c r="I305" s="89" t="s">
        <v>759</v>
      </c>
      <c r="J305" s="90" t="s">
        <v>751</v>
      </c>
      <c r="K305" s="90" t="s">
        <v>752</v>
      </c>
      <c r="L305" s="90" t="s">
        <v>753</v>
      </c>
      <c r="M305" s="91" t="s">
        <v>1502</v>
      </c>
      <c r="N305" s="92" t="s">
        <v>1495</v>
      </c>
      <c r="O305" s="85">
        <v>2910907319</v>
      </c>
      <c r="P305" s="93">
        <v>700000000</v>
      </c>
      <c r="Q305" s="93">
        <v>0</v>
      </c>
      <c r="R305" s="94">
        <f t="shared" si="101"/>
        <v>700000000</v>
      </c>
      <c r="S305" s="95">
        <v>0.12</v>
      </c>
      <c r="T305" s="94">
        <v>75000000</v>
      </c>
      <c r="U305" s="117">
        <v>700000000</v>
      </c>
      <c r="V305" s="117">
        <v>0</v>
      </c>
      <c r="W305" s="94">
        <f t="shared" si="91"/>
        <v>0</v>
      </c>
      <c r="X305" s="94">
        <f t="shared" si="92"/>
        <v>0</v>
      </c>
      <c r="Y305" s="94">
        <f t="shared" si="93"/>
        <v>0</v>
      </c>
      <c r="Z305" s="93">
        <f>_xlfn.XLOOKUP(O305,'[4]2DO TRIMESTRE'!$C:$C,'[4]2DO TRIMESTRE'!$I:$I,0,0)</f>
        <v>0</v>
      </c>
      <c r="AA305" s="94">
        <f t="shared" si="94"/>
        <v>0</v>
      </c>
      <c r="AB305" s="94">
        <f t="shared" si="95"/>
        <v>0</v>
      </c>
      <c r="AC305" s="94">
        <f t="shared" si="96"/>
        <v>0</v>
      </c>
      <c r="AD305" s="93">
        <v>0</v>
      </c>
      <c r="AE305" s="94">
        <f t="shared" si="97"/>
        <v>0</v>
      </c>
      <c r="AF305" s="94">
        <f t="shared" si="98"/>
        <v>0</v>
      </c>
      <c r="AG305" s="94">
        <f t="shared" si="99"/>
        <v>0</v>
      </c>
      <c r="AH305" s="117">
        <v>0</v>
      </c>
      <c r="AI305" s="94">
        <f t="shared" si="85"/>
        <v>0</v>
      </c>
      <c r="AJ305" s="94">
        <f t="shared" si="86"/>
        <v>0</v>
      </c>
      <c r="AK305" s="94">
        <f t="shared" si="87"/>
        <v>0</v>
      </c>
      <c r="AL305" s="93">
        <v>74999999.999999985</v>
      </c>
      <c r="AM305" s="93">
        <f t="shared" si="100"/>
        <v>0</v>
      </c>
      <c r="AN305" s="155"/>
      <c r="AO305" s="155"/>
    </row>
    <row r="306" spans="1:41" s="9" customFormat="1" ht="25.15" customHeight="1" x14ac:dyDescent="0.25">
      <c r="A306" s="83">
        <v>300</v>
      </c>
      <c r="B306" s="84">
        <v>2016</v>
      </c>
      <c r="C306" s="85" t="s">
        <v>1505</v>
      </c>
      <c r="D306" s="86" t="s">
        <v>1484</v>
      </c>
      <c r="E306" s="86" t="s">
        <v>758</v>
      </c>
      <c r="F306" s="87">
        <v>42674</v>
      </c>
      <c r="G306" s="87">
        <v>42832</v>
      </c>
      <c r="H306" s="88">
        <f t="shared" si="103"/>
        <v>1.7555555555555555</v>
      </c>
      <c r="I306" s="89" t="s">
        <v>750</v>
      </c>
      <c r="J306" s="90" t="s">
        <v>751</v>
      </c>
      <c r="K306" s="90" t="s">
        <v>752</v>
      </c>
      <c r="L306" s="90" t="s">
        <v>753</v>
      </c>
      <c r="M306" s="91" t="s">
        <v>1502</v>
      </c>
      <c r="N306" s="92" t="s">
        <v>1496</v>
      </c>
      <c r="O306" s="85">
        <v>2910906230</v>
      </c>
      <c r="P306" s="93">
        <v>245000000</v>
      </c>
      <c r="Q306" s="93">
        <v>0</v>
      </c>
      <c r="R306" s="94">
        <f t="shared" si="101"/>
        <v>245000000</v>
      </c>
      <c r="S306" s="95">
        <v>0.12</v>
      </c>
      <c r="T306" s="94">
        <v>26250000</v>
      </c>
      <c r="U306" s="117">
        <v>245000000</v>
      </c>
      <c r="V306" s="117">
        <v>0</v>
      </c>
      <c r="W306" s="94">
        <f t="shared" si="91"/>
        <v>0</v>
      </c>
      <c r="X306" s="94">
        <f t="shared" si="92"/>
        <v>0</v>
      </c>
      <c r="Y306" s="94">
        <f t="shared" si="93"/>
        <v>0</v>
      </c>
      <c r="Z306" s="93">
        <f>_xlfn.XLOOKUP(O306,'[4]2DO TRIMESTRE'!$C:$C,'[4]2DO TRIMESTRE'!$I:$I,0,0)</f>
        <v>0</v>
      </c>
      <c r="AA306" s="94">
        <f t="shared" si="94"/>
        <v>0</v>
      </c>
      <c r="AB306" s="94">
        <f t="shared" si="95"/>
        <v>0</v>
      </c>
      <c r="AC306" s="94">
        <f t="shared" si="96"/>
        <v>0</v>
      </c>
      <c r="AD306" s="93">
        <v>0</v>
      </c>
      <c r="AE306" s="94">
        <f t="shared" si="97"/>
        <v>0</v>
      </c>
      <c r="AF306" s="94">
        <f t="shared" si="98"/>
        <v>0</v>
      </c>
      <c r="AG306" s="94">
        <f t="shared" si="99"/>
        <v>0</v>
      </c>
      <c r="AH306" s="117">
        <v>0</v>
      </c>
      <c r="AI306" s="94">
        <f t="shared" si="85"/>
        <v>0</v>
      </c>
      <c r="AJ306" s="94">
        <f t="shared" si="86"/>
        <v>0</v>
      </c>
      <c r="AK306" s="94">
        <f t="shared" si="87"/>
        <v>0</v>
      </c>
      <c r="AL306" s="93">
        <v>7465000</v>
      </c>
      <c r="AM306" s="93">
        <f t="shared" si="100"/>
        <v>0</v>
      </c>
      <c r="AN306" s="155"/>
      <c r="AO306" s="155"/>
    </row>
    <row r="307" spans="1:41" s="9" customFormat="1" ht="25.15" customHeight="1" x14ac:dyDescent="0.25">
      <c r="A307" s="83">
        <v>301</v>
      </c>
      <c r="B307" s="84">
        <v>2024</v>
      </c>
      <c r="C307" s="85" t="s">
        <v>1023</v>
      </c>
      <c r="D307" s="86" t="s">
        <v>1485</v>
      </c>
      <c r="E307" s="86" t="s">
        <v>777</v>
      </c>
      <c r="F307" s="87">
        <v>45510</v>
      </c>
      <c r="G307" s="87">
        <v>45657</v>
      </c>
      <c r="H307" s="88">
        <f t="shared" si="103"/>
        <v>1.6333333333333333</v>
      </c>
      <c r="I307" s="89" t="s">
        <v>759</v>
      </c>
      <c r="J307" s="90" t="s">
        <v>751</v>
      </c>
      <c r="K307" s="90" t="s">
        <v>752</v>
      </c>
      <c r="L307" s="90" t="s">
        <v>753</v>
      </c>
      <c r="M307" s="91" t="s">
        <v>1502</v>
      </c>
      <c r="N307" s="92" t="s">
        <v>1500</v>
      </c>
      <c r="O307" s="85">
        <v>2453018366</v>
      </c>
      <c r="P307" s="93">
        <v>599905000</v>
      </c>
      <c r="Q307" s="93">
        <v>0</v>
      </c>
      <c r="R307" s="94">
        <f t="shared" si="101"/>
        <v>599905000</v>
      </c>
      <c r="S307" s="95">
        <v>0.12000000059742792</v>
      </c>
      <c r="T307" s="94">
        <v>64275536</v>
      </c>
      <c r="U307" s="117">
        <v>546066695</v>
      </c>
      <c r="V307" s="117">
        <v>0</v>
      </c>
      <c r="W307" s="94">
        <f t="shared" si="91"/>
        <v>0</v>
      </c>
      <c r="X307" s="94">
        <f t="shared" si="92"/>
        <v>0</v>
      </c>
      <c r="Y307" s="94">
        <f t="shared" si="93"/>
        <v>0</v>
      </c>
      <c r="Z307" s="93">
        <f>_xlfn.XLOOKUP(O307,'[4]2DO TRIMESTRE'!$C:$C,'[4]2DO TRIMESTRE'!$I:$I,0,0)</f>
        <v>0</v>
      </c>
      <c r="AA307" s="94">
        <f t="shared" si="94"/>
        <v>0</v>
      </c>
      <c r="AB307" s="94">
        <f t="shared" si="95"/>
        <v>0</v>
      </c>
      <c r="AC307" s="94">
        <f t="shared" si="96"/>
        <v>0</v>
      </c>
      <c r="AD307" s="93">
        <v>0</v>
      </c>
      <c r="AE307" s="94">
        <f t="shared" si="97"/>
        <v>0</v>
      </c>
      <c r="AF307" s="94">
        <f t="shared" si="98"/>
        <v>0</v>
      </c>
      <c r="AG307" s="94">
        <f t="shared" si="99"/>
        <v>0</v>
      </c>
      <c r="AH307" s="117">
        <v>0</v>
      </c>
      <c r="AI307" s="94">
        <f t="shared" si="85"/>
        <v>0</v>
      </c>
      <c r="AJ307" s="94">
        <f t="shared" si="86"/>
        <v>0</v>
      </c>
      <c r="AK307" s="94">
        <f t="shared" si="87"/>
        <v>0</v>
      </c>
      <c r="AL307" s="93">
        <v>58507146.152930081</v>
      </c>
      <c r="AM307" s="93">
        <f t="shared" si="100"/>
        <v>0</v>
      </c>
      <c r="AN307" s="155"/>
      <c r="AO307" s="155"/>
    </row>
    <row r="308" spans="1:41" s="9" customFormat="1" ht="25.15" customHeight="1" x14ac:dyDescent="0.25">
      <c r="A308" s="83">
        <v>302</v>
      </c>
      <c r="B308" s="84">
        <v>2024</v>
      </c>
      <c r="C308" s="85" t="s">
        <v>1506</v>
      </c>
      <c r="D308" s="86" t="s">
        <v>1486</v>
      </c>
      <c r="E308" s="86" t="s">
        <v>758</v>
      </c>
      <c r="F308" s="87">
        <v>45547</v>
      </c>
      <c r="G308" s="87">
        <v>45656</v>
      </c>
      <c r="H308" s="88">
        <f t="shared" si="103"/>
        <v>1.211111111111111</v>
      </c>
      <c r="I308" s="89" t="s">
        <v>759</v>
      </c>
      <c r="J308" s="90" t="s">
        <v>751</v>
      </c>
      <c r="K308" s="90" t="s">
        <v>752</v>
      </c>
      <c r="L308" s="90" t="s">
        <v>753</v>
      </c>
      <c r="M308" s="91" t="s">
        <v>1502</v>
      </c>
      <c r="N308" s="92" t="s">
        <v>1497</v>
      </c>
      <c r="O308" s="85">
        <v>2910907341</v>
      </c>
      <c r="P308" s="93">
        <v>250000000</v>
      </c>
      <c r="Q308" s="93">
        <v>0</v>
      </c>
      <c r="R308" s="94">
        <f t="shared" si="101"/>
        <v>250000000</v>
      </c>
      <c r="S308" s="95">
        <v>0.11999999856640001</v>
      </c>
      <c r="T308" s="94">
        <v>26785714</v>
      </c>
      <c r="U308" s="117">
        <v>143365800</v>
      </c>
      <c r="V308" s="117">
        <v>0</v>
      </c>
      <c r="W308" s="94">
        <f t="shared" si="91"/>
        <v>0</v>
      </c>
      <c r="X308" s="94">
        <f t="shared" si="92"/>
        <v>0</v>
      </c>
      <c r="Y308" s="94">
        <f t="shared" si="93"/>
        <v>0</v>
      </c>
      <c r="Z308" s="93">
        <f>_xlfn.XLOOKUP(O308,'[4]2DO TRIMESTRE'!$C:$C,'[4]2DO TRIMESTRE'!$I:$I,0,0)</f>
        <v>0</v>
      </c>
      <c r="AA308" s="94">
        <f t="shared" si="94"/>
        <v>0</v>
      </c>
      <c r="AB308" s="94">
        <f t="shared" si="95"/>
        <v>0</v>
      </c>
      <c r="AC308" s="94">
        <f t="shared" si="96"/>
        <v>0</v>
      </c>
      <c r="AD308" s="93">
        <v>0</v>
      </c>
      <c r="AE308" s="94">
        <f t="shared" si="97"/>
        <v>0</v>
      </c>
      <c r="AF308" s="94">
        <f t="shared" si="98"/>
        <v>0</v>
      </c>
      <c r="AG308" s="94">
        <f t="shared" si="99"/>
        <v>0</v>
      </c>
      <c r="AH308" s="117">
        <v>0</v>
      </c>
      <c r="AI308" s="94">
        <f t="shared" si="85"/>
        <v>0</v>
      </c>
      <c r="AJ308" s="94">
        <f t="shared" si="86"/>
        <v>0</v>
      </c>
      <c r="AK308" s="94">
        <f t="shared" si="87"/>
        <v>0</v>
      </c>
      <c r="AL308" s="93">
        <v>15360621.264724802</v>
      </c>
      <c r="AM308" s="93">
        <f t="shared" si="100"/>
        <v>0</v>
      </c>
      <c r="AN308" s="155"/>
      <c r="AO308" s="155"/>
    </row>
    <row r="309" spans="1:41" s="9" customFormat="1" ht="25.15" customHeight="1" x14ac:dyDescent="0.25">
      <c r="A309" s="83">
        <v>303</v>
      </c>
      <c r="B309" s="84">
        <v>2024</v>
      </c>
      <c r="C309" s="85" t="s">
        <v>1509</v>
      </c>
      <c r="D309" s="86" t="s">
        <v>1487</v>
      </c>
      <c r="E309" s="86" t="s">
        <v>758</v>
      </c>
      <c r="F309" s="87">
        <v>45560</v>
      </c>
      <c r="G309" s="87">
        <v>45657</v>
      </c>
      <c r="H309" s="88">
        <f t="shared" si="103"/>
        <v>1.0777777777777777</v>
      </c>
      <c r="I309" s="89" t="s">
        <v>759</v>
      </c>
      <c r="J309" s="90" t="s">
        <v>751</v>
      </c>
      <c r="K309" s="90" t="s">
        <v>752</v>
      </c>
      <c r="L309" s="90" t="s">
        <v>753</v>
      </c>
      <c r="M309" s="91" t="s">
        <v>1507</v>
      </c>
      <c r="N309" s="92" t="s">
        <v>1498</v>
      </c>
      <c r="O309" s="85">
        <v>2910907342</v>
      </c>
      <c r="P309" s="93">
        <v>300600000</v>
      </c>
      <c r="Q309" s="93">
        <v>0</v>
      </c>
      <c r="R309" s="94">
        <f t="shared" si="101"/>
        <v>300600000</v>
      </c>
      <c r="S309" s="95">
        <v>0.12000000059614105</v>
      </c>
      <c r="T309" s="94">
        <v>32207143</v>
      </c>
      <c r="U309" s="117">
        <v>300600000</v>
      </c>
      <c r="V309" s="117">
        <v>0</v>
      </c>
      <c r="W309" s="94">
        <f t="shared" si="91"/>
        <v>0</v>
      </c>
      <c r="X309" s="94">
        <f t="shared" si="92"/>
        <v>0</v>
      </c>
      <c r="Y309" s="94">
        <f t="shared" si="93"/>
        <v>0</v>
      </c>
      <c r="Z309" s="93">
        <f>_xlfn.XLOOKUP(O309,'[4]2DO TRIMESTRE'!$C:$C,'[4]2DO TRIMESTRE'!$I:$I,0,0)</f>
        <v>0</v>
      </c>
      <c r="AA309" s="94">
        <f t="shared" si="94"/>
        <v>0</v>
      </c>
      <c r="AB309" s="94">
        <f t="shared" si="95"/>
        <v>0</v>
      </c>
      <c r="AC309" s="94">
        <f t="shared" si="96"/>
        <v>0</v>
      </c>
      <c r="AD309" s="93">
        <v>0</v>
      </c>
      <c r="AE309" s="94">
        <f t="shared" si="97"/>
        <v>0</v>
      </c>
      <c r="AF309" s="94">
        <f t="shared" si="98"/>
        <v>0</v>
      </c>
      <c r="AG309" s="94">
        <f t="shared" si="99"/>
        <v>0</v>
      </c>
      <c r="AH309" s="117">
        <v>0</v>
      </c>
      <c r="AI309" s="94">
        <f t="shared" si="85"/>
        <v>0</v>
      </c>
      <c r="AJ309" s="94">
        <f t="shared" si="86"/>
        <v>0</v>
      </c>
      <c r="AK309" s="94">
        <f t="shared" si="87"/>
        <v>0</v>
      </c>
      <c r="AL309" s="93">
        <v>32207143</v>
      </c>
      <c r="AM309" s="93">
        <f t="shared" si="100"/>
        <v>0</v>
      </c>
      <c r="AN309" s="155"/>
      <c r="AO309" s="155"/>
    </row>
    <row r="310" spans="1:41" s="9" customFormat="1" ht="25.15" customHeight="1" x14ac:dyDescent="0.25">
      <c r="A310" s="83">
        <v>304</v>
      </c>
      <c r="B310" s="84">
        <v>2024</v>
      </c>
      <c r="C310" s="85" t="s">
        <v>1510</v>
      </c>
      <c r="D310" s="86" t="s">
        <v>1488</v>
      </c>
      <c r="E310" s="86" t="s">
        <v>758</v>
      </c>
      <c r="F310" s="87">
        <v>45441</v>
      </c>
      <c r="G310" s="87">
        <v>45633</v>
      </c>
      <c r="H310" s="88">
        <f t="shared" si="103"/>
        <v>2.1333333333333333</v>
      </c>
      <c r="I310" s="89" t="s">
        <v>759</v>
      </c>
      <c r="J310" s="90" t="s">
        <v>751</v>
      </c>
      <c r="K310" s="90" t="s">
        <v>752</v>
      </c>
      <c r="L310" s="90" t="s">
        <v>753</v>
      </c>
      <c r="M310" s="91" t="s">
        <v>1508</v>
      </c>
      <c r="N310" s="92" t="s">
        <v>1499</v>
      </c>
      <c r="O310" s="85">
        <v>2910907318</v>
      </c>
      <c r="P310" s="93">
        <v>190000000</v>
      </c>
      <c r="Q310" s="93">
        <v>0</v>
      </c>
      <c r="R310" s="94">
        <f t="shared" si="101"/>
        <v>190000000</v>
      </c>
      <c r="S310" s="95">
        <v>0.12000000094315789</v>
      </c>
      <c r="T310" s="94">
        <v>20357143</v>
      </c>
      <c r="U310" s="117">
        <v>190000000</v>
      </c>
      <c r="V310" s="117">
        <v>0</v>
      </c>
      <c r="W310" s="94">
        <f t="shared" si="91"/>
        <v>0</v>
      </c>
      <c r="X310" s="94">
        <f t="shared" si="92"/>
        <v>0</v>
      </c>
      <c r="Y310" s="94">
        <f t="shared" si="93"/>
        <v>0</v>
      </c>
      <c r="Z310" s="93">
        <f>_xlfn.XLOOKUP(O310,'[4]2DO TRIMESTRE'!$C:$C,'[4]2DO TRIMESTRE'!$I:$I,0,0)</f>
        <v>0</v>
      </c>
      <c r="AA310" s="94">
        <f t="shared" si="94"/>
        <v>0</v>
      </c>
      <c r="AB310" s="94">
        <f t="shared" si="95"/>
        <v>0</v>
      </c>
      <c r="AC310" s="94">
        <f t="shared" si="96"/>
        <v>0</v>
      </c>
      <c r="AD310" s="93">
        <v>0</v>
      </c>
      <c r="AE310" s="94">
        <f t="shared" si="97"/>
        <v>0</v>
      </c>
      <c r="AF310" s="94">
        <f t="shared" si="98"/>
        <v>0</v>
      </c>
      <c r="AG310" s="94">
        <f t="shared" si="99"/>
        <v>0</v>
      </c>
      <c r="AH310" s="117">
        <v>0</v>
      </c>
      <c r="AI310" s="94">
        <f t="shared" si="85"/>
        <v>0</v>
      </c>
      <c r="AJ310" s="94">
        <f t="shared" si="86"/>
        <v>0</v>
      </c>
      <c r="AK310" s="94">
        <f t="shared" si="87"/>
        <v>0</v>
      </c>
      <c r="AL310" s="93">
        <v>20357143</v>
      </c>
      <c r="AM310" s="93">
        <f t="shared" si="100"/>
        <v>0</v>
      </c>
      <c r="AN310" s="155"/>
      <c r="AO310" s="155"/>
    </row>
    <row r="311" spans="1:41" s="9" customFormat="1" ht="25.15" customHeight="1" x14ac:dyDescent="0.25">
      <c r="A311" s="83">
        <v>305</v>
      </c>
      <c r="B311" s="84">
        <v>2024</v>
      </c>
      <c r="C311" s="85" t="s">
        <v>1452</v>
      </c>
      <c r="D311" s="86" t="s">
        <v>1489</v>
      </c>
      <c r="E311" s="86" t="s">
        <v>749</v>
      </c>
      <c r="F311" s="87">
        <v>45506</v>
      </c>
      <c r="G311" s="87">
        <v>45708</v>
      </c>
      <c r="H311" s="88">
        <f t="shared" si="103"/>
        <v>2.2444444444444445</v>
      </c>
      <c r="I311" s="89" t="s">
        <v>759</v>
      </c>
      <c r="J311" s="90" t="s">
        <v>751</v>
      </c>
      <c r="K311" s="90" t="s">
        <v>752</v>
      </c>
      <c r="L311" s="90" t="s">
        <v>753</v>
      </c>
      <c r="M311" s="91" t="s">
        <v>754</v>
      </c>
      <c r="N311" s="92" t="s">
        <v>1491</v>
      </c>
      <c r="O311" s="85">
        <v>2910908211</v>
      </c>
      <c r="P311" s="93">
        <v>25168000</v>
      </c>
      <c r="Q311" s="93">
        <v>0</v>
      </c>
      <c r="R311" s="94">
        <f t="shared" si="101"/>
        <v>25168000</v>
      </c>
      <c r="S311" s="95">
        <v>0.11999997863954269</v>
      </c>
      <c r="T311" s="94">
        <v>2696571</v>
      </c>
      <c r="U311" s="117">
        <v>25168000</v>
      </c>
      <c r="V311" s="117">
        <v>0</v>
      </c>
      <c r="W311" s="94">
        <f t="shared" si="91"/>
        <v>0</v>
      </c>
      <c r="X311" s="94">
        <f t="shared" si="92"/>
        <v>0</v>
      </c>
      <c r="Y311" s="94">
        <f t="shared" si="93"/>
        <v>0</v>
      </c>
      <c r="Z311" s="93">
        <f>_xlfn.XLOOKUP(O311,'[4]2DO TRIMESTRE'!$C:$C,'[4]2DO TRIMESTRE'!$I:$I,0,0)</f>
        <v>0</v>
      </c>
      <c r="AA311" s="94">
        <f t="shared" si="94"/>
        <v>0</v>
      </c>
      <c r="AB311" s="94">
        <f t="shared" si="95"/>
        <v>0</v>
      </c>
      <c r="AC311" s="94">
        <f t="shared" si="96"/>
        <v>0</v>
      </c>
      <c r="AD311" s="93">
        <v>0</v>
      </c>
      <c r="AE311" s="94">
        <f t="shared" si="97"/>
        <v>0</v>
      </c>
      <c r="AF311" s="94">
        <f t="shared" si="98"/>
        <v>0</v>
      </c>
      <c r="AG311" s="94">
        <f t="shared" si="99"/>
        <v>0</v>
      </c>
      <c r="AH311" s="117">
        <v>0</v>
      </c>
      <c r="AI311" s="94">
        <f t="shared" si="85"/>
        <v>0</v>
      </c>
      <c r="AJ311" s="94">
        <f t="shared" si="86"/>
        <v>0</v>
      </c>
      <c r="AK311" s="94">
        <f t="shared" si="87"/>
        <v>0</v>
      </c>
      <c r="AL311" s="93">
        <v>2696571</v>
      </c>
      <c r="AM311" s="93">
        <f t="shared" si="100"/>
        <v>0</v>
      </c>
      <c r="AN311" s="155"/>
      <c r="AO311" s="155"/>
    </row>
    <row r="312" spans="1:41" s="9" customFormat="1" ht="25.15" customHeight="1" x14ac:dyDescent="0.25">
      <c r="A312" s="83">
        <v>306</v>
      </c>
      <c r="B312" s="84">
        <v>2024</v>
      </c>
      <c r="C312" s="85" t="s">
        <v>128</v>
      </c>
      <c r="D312" s="86" t="s">
        <v>1546</v>
      </c>
      <c r="E312" s="86" t="s">
        <v>758</v>
      </c>
      <c r="F312" s="87">
        <v>45475</v>
      </c>
      <c r="G312" s="87">
        <v>45626</v>
      </c>
      <c r="H312" s="88">
        <f t="shared" si="103"/>
        <v>1.6777777777777778</v>
      </c>
      <c r="I312" s="89" t="s">
        <v>750</v>
      </c>
      <c r="J312" s="90" t="s">
        <v>751</v>
      </c>
      <c r="K312" s="90" t="s">
        <v>752</v>
      </c>
      <c r="L312" s="90" t="s">
        <v>753</v>
      </c>
      <c r="M312" s="91" t="s">
        <v>1059</v>
      </c>
      <c r="N312" s="92" t="s">
        <v>1599</v>
      </c>
      <c r="O312" s="85">
        <v>2910907328</v>
      </c>
      <c r="P312" s="93">
        <v>580000000</v>
      </c>
      <c r="Q312" s="93">
        <v>0</v>
      </c>
      <c r="R312" s="94">
        <f t="shared" si="101"/>
        <v>580000000</v>
      </c>
      <c r="S312" s="95">
        <v>0.11999999969103449</v>
      </c>
      <c r="T312" s="94">
        <f t="shared" ref="T312:T326" si="104">(R312/(1+S312))*S312</f>
        <v>62142857</v>
      </c>
      <c r="U312" s="117">
        <v>580000000</v>
      </c>
      <c r="V312" s="117">
        <v>0</v>
      </c>
      <c r="W312" s="94">
        <f t="shared" si="91"/>
        <v>0</v>
      </c>
      <c r="X312" s="94">
        <f t="shared" si="92"/>
        <v>0</v>
      </c>
      <c r="Y312" s="94">
        <f t="shared" si="93"/>
        <v>0</v>
      </c>
      <c r="Z312" s="93">
        <f>_xlfn.XLOOKUP(O312,'[4]2DO TRIMESTRE'!$C:$C,'[4]2DO TRIMESTRE'!$I:$I,0,0)</f>
        <v>0</v>
      </c>
      <c r="AA312" s="94">
        <f t="shared" ref="AA312:AA333" si="105">+Z312/(1+$S312)*$S312</f>
        <v>0</v>
      </c>
      <c r="AB312" s="94">
        <f t="shared" ref="AB312:AB333" si="106">+AA312*40%</f>
        <v>0</v>
      </c>
      <c r="AC312" s="94">
        <f t="shared" ref="AC312:AC333" si="107">+AA312*60%</f>
        <v>0</v>
      </c>
      <c r="AD312" s="93">
        <v>0</v>
      </c>
      <c r="AE312" s="94">
        <f t="shared" si="97"/>
        <v>0</v>
      </c>
      <c r="AF312" s="94">
        <f t="shared" si="98"/>
        <v>0</v>
      </c>
      <c r="AG312" s="94">
        <f t="shared" si="99"/>
        <v>0</v>
      </c>
      <c r="AH312" s="117">
        <v>0</v>
      </c>
      <c r="AI312" s="94">
        <f t="shared" si="85"/>
        <v>0</v>
      </c>
      <c r="AJ312" s="94">
        <f t="shared" si="86"/>
        <v>0</v>
      </c>
      <c r="AK312" s="94">
        <f t="shared" si="87"/>
        <v>0</v>
      </c>
      <c r="AL312" s="93">
        <v>62142857</v>
      </c>
      <c r="AM312" s="93">
        <f t="shared" si="100"/>
        <v>0</v>
      </c>
      <c r="AN312" s="155"/>
      <c r="AO312" s="155"/>
    </row>
    <row r="313" spans="1:41" s="9" customFormat="1" ht="25.15" customHeight="1" x14ac:dyDescent="0.25">
      <c r="A313" s="83">
        <v>307</v>
      </c>
      <c r="B313" s="84">
        <v>2024</v>
      </c>
      <c r="C313" s="85" t="s">
        <v>1621</v>
      </c>
      <c r="D313" s="86" t="s">
        <v>1548</v>
      </c>
      <c r="E313" s="86" t="s">
        <v>758</v>
      </c>
      <c r="F313" s="87">
        <v>45509</v>
      </c>
      <c r="G313" s="87">
        <v>45762</v>
      </c>
      <c r="H313" s="88">
        <f t="shared" si="103"/>
        <v>2.8111111111111109</v>
      </c>
      <c r="I313" s="89" t="s">
        <v>759</v>
      </c>
      <c r="J313" s="90" t="s">
        <v>751</v>
      </c>
      <c r="K313" s="90" t="s">
        <v>752</v>
      </c>
      <c r="L313" s="90" t="s">
        <v>753</v>
      </c>
      <c r="M313" s="91" t="s">
        <v>1059</v>
      </c>
      <c r="N313" s="92" t="s">
        <v>1600</v>
      </c>
      <c r="O313" s="85">
        <v>2910907332</v>
      </c>
      <c r="P313" s="93">
        <v>1712294814</v>
      </c>
      <c r="Q313" s="93">
        <v>0</v>
      </c>
      <c r="R313" s="94">
        <f t="shared" si="101"/>
        <v>1712294814</v>
      </c>
      <c r="S313" s="95">
        <v>0.12000000026163719</v>
      </c>
      <c r="T313" s="94">
        <f t="shared" si="104"/>
        <v>183460159</v>
      </c>
      <c r="U313" s="117">
        <v>1712294813.8</v>
      </c>
      <c r="V313" s="117">
        <v>0</v>
      </c>
      <c r="W313" s="94">
        <f t="shared" si="91"/>
        <v>0</v>
      </c>
      <c r="X313" s="94">
        <f t="shared" si="92"/>
        <v>0</v>
      </c>
      <c r="Y313" s="94">
        <f t="shared" si="93"/>
        <v>0</v>
      </c>
      <c r="Z313" s="93">
        <f>_xlfn.XLOOKUP(O313,'[4]2DO TRIMESTRE'!$C:$C,'[4]2DO TRIMESTRE'!$I:$I,0,0)</f>
        <v>0</v>
      </c>
      <c r="AA313" s="94">
        <f t="shared" si="105"/>
        <v>0</v>
      </c>
      <c r="AB313" s="94">
        <f t="shared" si="106"/>
        <v>0</v>
      </c>
      <c r="AC313" s="94">
        <f t="shared" si="107"/>
        <v>0</v>
      </c>
      <c r="AD313" s="93">
        <v>0</v>
      </c>
      <c r="AE313" s="94">
        <f>+AD313/(1+$S313)*$S313</f>
        <v>0</v>
      </c>
      <c r="AF313" s="94">
        <f t="shared" si="98"/>
        <v>0</v>
      </c>
      <c r="AG313" s="94">
        <f t="shared" si="99"/>
        <v>0</v>
      </c>
      <c r="AH313" s="117">
        <v>0</v>
      </c>
      <c r="AI313" s="94">
        <f t="shared" si="85"/>
        <v>0</v>
      </c>
      <c r="AJ313" s="94">
        <f t="shared" si="86"/>
        <v>0</v>
      </c>
      <c r="AK313" s="94">
        <f t="shared" si="87"/>
        <v>0</v>
      </c>
      <c r="AL313" s="93">
        <v>183460158.97857144</v>
      </c>
      <c r="AM313" s="93">
        <f t="shared" si="100"/>
        <v>0</v>
      </c>
      <c r="AN313" s="155"/>
      <c r="AO313" s="155"/>
    </row>
    <row r="314" spans="1:41" s="9" customFormat="1" ht="25.15" customHeight="1" x14ac:dyDescent="0.25">
      <c r="A314" s="83">
        <v>308</v>
      </c>
      <c r="B314" s="84">
        <v>2024</v>
      </c>
      <c r="C314" s="85" t="s">
        <v>1219</v>
      </c>
      <c r="D314" s="86" t="s">
        <v>1550</v>
      </c>
      <c r="E314" s="86" t="s">
        <v>758</v>
      </c>
      <c r="F314" s="87">
        <v>45595</v>
      </c>
      <c r="G314" s="87">
        <v>45646</v>
      </c>
      <c r="H314" s="88">
        <f t="shared" si="103"/>
        <v>0.56666666666666665</v>
      </c>
      <c r="I314" s="89" t="s">
        <v>763</v>
      </c>
      <c r="J314" s="90" t="s">
        <v>751</v>
      </c>
      <c r="K314" s="90" t="s">
        <v>752</v>
      </c>
      <c r="L314" s="90" t="s">
        <v>753</v>
      </c>
      <c r="M314" s="91" t="s">
        <v>1059</v>
      </c>
      <c r="N314" s="92" t="s">
        <v>1601</v>
      </c>
      <c r="O314" s="85">
        <v>2910907348</v>
      </c>
      <c r="P314" s="93">
        <v>5400000000</v>
      </c>
      <c r="Q314" s="93">
        <v>0</v>
      </c>
      <c r="R314" s="94">
        <f t="shared" si="101"/>
        <v>5400000000</v>
      </c>
      <c r="S314" s="95">
        <v>0.12000000009955555</v>
      </c>
      <c r="T314" s="94">
        <f t="shared" si="104"/>
        <v>578571429</v>
      </c>
      <c r="U314" s="117">
        <v>5400000000</v>
      </c>
      <c r="V314" s="117">
        <v>0</v>
      </c>
      <c r="W314" s="94">
        <f t="shared" si="91"/>
        <v>0</v>
      </c>
      <c r="X314" s="94">
        <f t="shared" si="92"/>
        <v>0</v>
      </c>
      <c r="Y314" s="94">
        <f t="shared" si="93"/>
        <v>0</v>
      </c>
      <c r="Z314" s="93">
        <f>_xlfn.XLOOKUP(O314,'[4]2DO TRIMESTRE'!$C:$C,'[4]2DO TRIMESTRE'!$I:$I,0,0)</f>
        <v>0</v>
      </c>
      <c r="AA314" s="94">
        <f t="shared" si="105"/>
        <v>0</v>
      </c>
      <c r="AB314" s="94">
        <f t="shared" si="106"/>
        <v>0</v>
      </c>
      <c r="AC314" s="94">
        <f t="shared" si="107"/>
        <v>0</v>
      </c>
      <c r="AD314" s="93">
        <v>0</v>
      </c>
      <c r="AE314" s="94">
        <f t="shared" si="97"/>
        <v>0</v>
      </c>
      <c r="AF314" s="94">
        <f t="shared" si="98"/>
        <v>0</v>
      </c>
      <c r="AG314" s="94">
        <f t="shared" si="99"/>
        <v>0</v>
      </c>
      <c r="AH314" s="117">
        <v>0</v>
      </c>
      <c r="AI314" s="94">
        <f t="shared" si="85"/>
        <v>0</v>
      </c>
      <c r="AJ314" s="94">
        <f t="shared" si="86"/>
        <v>0</v>
      </c>
      <c r="AK314" s="94">
        <f t="shared" si="87"/>
        <v>0</v>
      </c>
      <c r="AL314" s="93">
        <v>578571429</v>
      </c>
      <c r="AM314" s="93">
        <f t="shared" si="100"/>
        <v>0</v>
      </c>
      <c r="AN314" s="155"/>
      <c r="AO314" s="155"/>
    </row>
    <row r="315" spans="1:41" s="9" customFormat="1" ht="25.15" customHeight="1" x14ac:dyDescent="0.25">
      <c r="A315" s="83">
        <v>309</v>
      </c>
      <c r="B315" s="84">
        <v>2024</v>
      </c>
      <c r="C315" s="85" t="s">
        <v>1010</v>
      </c>
      <c r="D315" s="86" t="s">
        <v>1553</v>
      </c>
      <c r="E315" s="86" t="s">
        <v>758</v>
      </c>
      <c r="F315" s="87">
        <v>45589</v>
      </c>
      <c r="G315" s="87">
        <v>45649</v>
      </c>
      <c r="H315" s="88">
        <f t="shared" si="103"/>
        <v>0.66666666666666663</v>
      </c>
      <c r="I315" s="89" t="s">
        <v>763</v>
      </c>
      <c r="J315" s="90" t="s">
        <v>751</v>
      </c>
      <c r="K315" s="90" t="s">
        <v>752</v>
      </c>
      <c r="L315" s="90" t="s">
        <v>753</v>
      </c>
      <c r="M315" s="91" t="s">
        <v>1059</v>
      </c>
      <c r="N315" s="92" t="s">
        <v>1602</v>
      </c>
      <c r="O315" s="85">
        <v>2910907349</v>
      </c>
      <c r="P315" s="93">
        <v>43000000</v>
      </c>
      <c r="Q315" s="93">
        <v>0</v>
      </c>
      <c r="R315" s="94">
        <f t="shared" si="101"/>
        <v>43000000</v>
      </c>
      <c r="S315" s="95">
        <v>0.12000000416744187</v>
      </c>
      <c r="T315" s="94">
        <f t="shared" si="104"/>
        <v>4607143</v>
      </c>
      <c r="U315" s="117">
        <v>43000000</v>
      </c>
      <c r="V315" s="117">
        <v>0</v>
      </c>
      <c r="W315" s="94">
        <f t="shared" si="91"/>
        <v>0</v>
      </c>
      <c r="X315" s="94">
        <f t="shared" si="92"/>
        <v>0</v>
      </c>
      <c r="Y315" s="94">
        <f t="shared" si="93"/>
        <v>0</v>
      </c>
      <c r="Z315" s="93">
        <f>_xlfn.XLOOKUP(O315,'[4]2DO TRIMESTRE'!$C:$C,'[4]2DO TRIMESTRE'!$I:$I,0,0)</f>
        <v>0</v>
      </c>
      <c r="AA315" s="94">
        <f t="shared" si="105"/>
        <v>0</v>
      </c>
      <c r="AB315" s="94">
        <f t="shared" si="106"/>
        <v>0</v>
      </c>
      <c r="AC315" s="94">
        <f t="shared" si="107"/>
        <v>0</v>
      </c>
      <c r="AD315" s="93">
        <v>0</v>
      </c>
      <c r="AE315" s="94">
        <f t="shared" si="97"/>
        <v>0</v>
      </c>
      <c r="AF315" s="94">
        <f t="shared" si="98"/>
        <v>0</v>
      </c>
      <c r="AG315" s="94">
        <f t="shared" si="99"/>
        <v>0</v>
      </c>
      <c r="AH315" s="117">
        <v>0</v>
      </c>
      <c r="AI315" s="94">
        <f t="shared" si="85"/>
        <v>0</v>
      </c>
      <c r="AJ315" s="94">
        <f t="shared" si="86"/>
        <v>0</v>
      </c>
      <c r="AK315" s="94">
        <f t="shared" si="87"/>
        <v>0</v>
      </c>
      <c r="AL315" s="93">
        <v>4607143</v>
      </c>
      <c r="AM315" s="93">
        <f t="shared" si="100"/>
        <v>0</v>
      </c>
      <c r="AN315" s="155"/>
      <c r="AO315" s="155"/>
    </row>
    <row r="316" spans="1:41" s="9" customFormat="1" ht="25.15" customHeight="1" x14ac:dyDescent="0.25">
      <c r="A316" s="83">
        <v>310</v>
      </c>
      <c r="B316" s="84">
        <v>2024</v>
      </c>
      <c r="C316" s="85" t="s">
        <v>1007</v>
      </c>
      <c r="D316" s="86" t="s">
        <v>1555</v>
      </c>
      <c r="E316" s="86" t="s">
        <v>758</v>
      </c>
      <c r="F316" s="87">
        <v>45581</v>
      </c>
      <c r="G316" s="87">
        <v>45611</v>
      </c>
      <c r="H316" s="88">
        <f t="shared" si="103"/>
        <v>0.33333333333333331</v>
      </c>
      <c r="I316" s="89" t="s">
        <v>759</v>
      </c>
      <c r="J316" s="90" t="s">
        <v>751</v>
      </c>
      <c r="K316" s="90" t="s">
        <v>752</v>
      </c>
      <c r="L316" s="90" t="s">
        <v>753</v>
      </c>
      <c r="M316" s="91" t="s">
        <v>1059</v>
      </c>
      <c r="N316" s="92" t="s">
        <v>1603</v>
      </c>
      <c r="O316" s="85">
        <v>2910907346</v>
      </c>
      <c r="P316" s="93">
        <v>20000000</v>
      </c>
      <c r="Q316" s="93">
        <v>0</v>
      </c>
      <c r="R316" s="94">
        <f t="shared" si="101"/>
        <v>20000000</v>
      </c>
      <c r="S316" s="95">
        <v>0.11999999104000007</v>
      </c>
      <c r="T316" s="94">
        <f t="shared" si="104"/>
        <v>2142857</v>
      </c>
      <c r="U316" s="117">
        <v>20000000</v>
      </c>
      <c r="V316" s="117">
        <v>0</v>
      </c>
      <c r="W316" s="94">
        <f t="shared" si="91"/>
        <v>0</v>
      </c>
      <c r="X316" s="94">
        <f t="shared" si="92"/>
        <v>0</v>
      </c>
      <c r="Y316" s="94">
        <f t="shared" si="93"/>
        <v>0</v>
      </c>
      <c r="Z316" s="93">
        <f>_xlfn.XLOOKUP(O316,'[4]2DO TRIMESTRE'!$C:$C,'[4]2DO TRIMESTRE'!$I:$I,0,0)</f>
        <v>0</v>
      </c>
      <c r="AA316" s="94">
        <f t="shared" si="105"/>
        <v>0</v>
      </c>
      <c r="AB316" s="94">
        <f t="shared" si="106"/>
        <v>0</v>
      </c>
      <c r="AC316" s="94">
        <f t="shared" si="107"/>
        <v>0</v>
      </c>
      <c r="AD316" s="93">
        <v>0</v>
      </c>
      <c r="AE316" s="94">
        <f t="shared" si="97"/>
        <v>0</v>
      </c>
      <c r="AF316" s="94">
        <f t="shared" si="98"/>
        <v>0</v>
      </c>
      <c r="AG316" s="94">
        <f t="shared" si="99"/>
        <v>0</v>
      </c>
      <c r="AH316" s="117">
        <v>0</v>
      </c>
      <c r="AI316" s="94">
        <f t="shared" si="85"/>
        <v>0</v>
      </c>
      <c r="AJ316" s="94">
        <f t="shared" si="86"/>
        <v>0</v>
      </c>
      <c r="AK316" s="94">
        <f t="shared" si="87"/>
        <v>0</v>
      </c>
      <c r="AL316" s="93">
        <v>2142857</v>
      </c>
      <c r="AM316" s="93">
        <f t="shared" si="100"/>
        <v>0</v>
      </c>
      <c r="AN316" s="155"/>
      <c r="AO316" s="155"/>
    </row>
    <row r="317" spans="1:41" s="9" customFormat="1" ht="25.15" customHeight="1" x14ac:dyDescent="0.25">
      <c r="A317" s="83">
        <v>311</v>
      </c>
      <c r="B317" s="84">
        <v>2024</v>
      </c>
      <c r="C317" s="85" t="s">
        <v>1116</v>
      </c>
      <c r="D317" s="86" t="s">
        <v>1558</v>
      </c>
      <c r="E317" s="86" t="s">
        <v>758</v>
      </c>
      <c r="F317" s="87">
        <v>45455</v>
      </c>
      <c r="G317" s="87">
        <v>45747</v>
      </c>
      <c r="H317" s="88">
        <f t="shared" si="103"/>
        <v>3.2444444444444445</v>
      </c>
      <c r="I317" s="89" t="s">
        <v>763</v>
      </c>
      <c r="J317" s="90" t="s">
        <v>751</v>
      </c>
      <c r="K317" s="90" t="s">
        <v>752</v>
      </c>
      <c r="L317" s="90" t="s">
        <v>753</v>
      </c>
      <c r="M317" s="91" t="s">
        <v>1059</v>
      </c>
      <c r="N317" s="92" t="s">
        <v>1604</v>
      </c>
      <c r="O317" s="85">
        <v>2910907320</v>
      </c>
      <c r="P317" s="93">
        <v>1897000000</v>
      </c>
      <c r="Q317" s="93">
        <v>60000000</v>
      </c>
      <c r="R317" s="94">
        <f t="shared" si="101"/>
        <v>1957000000</v>
      </c>
      <c r="S317" s="95">
        <v>0.12</v>
      </c>
      <c r="T317" s="94">
        <v>209678571</v>
      </c>
      <c r="U317" s="117">
        <v>1957000000</v>
      </c>
      <c r="V317" s="117">
        <v>0</v>
      </c>
      <c r="W317" s="94">
        <f t="shared" si="91"/>
        <v>0</v>
      </c>
      <c r="X317" s="94">
        <f t="shared" si="92"/>
        <v>0</v>
      </c>
      <c r="Y317" s="94">
        <f t="shared" si="93"/>
        <v>0</v>
      </c>
      <c r="Z317" s="93">
        <f>_xlfn.XLOOKUP(O317,'[4]2DO TRIMESTRE'!$C:$C,'[4]2DO TRIMESTRE'!$I:$I,0,0)</f>
        <v>0</v>
      </c>
      <c r="AA317" s="94">
        <f t="shared" si="105"/>
        <v>0</v>
      </c>
      <c r="AB317" s="94">
        <f t="shared" si="106"/>
        <v>0</v>
      </c>
      <c r="AC317" s="94">
        <f t="shared" si="107"/>
        <v>0</v>
      </c>
      <c r="AD317" s="93">
        <v>0</v>
      </c>
      <c r="AE317" s="94">
        <f t="shared" si="97"/>
        <v>0</v>
      </c>
      <c r="AF317" s="94">
        <f t="shared" si="98"/>
        <v>0</v>
      </c>
      <c r="AG317" s="94">
        <f t="shared" si="99"/>
        <v>0</v>
      </c>
      <c r="AH317" s="117">
        <v>0</v>
      </c>
      <c r="AI317" s="94">
        <f t="shared" si="85"/>
        <v>0</v>
      </c>
      <c r="AJ317" s="94">
        <f t="shared" si="86"/>
        <v>0</v>
      </c>
      <c r="AK317" s="94">
        <f t="shared" si="87"/>
        <v>0</v>
      </c>
      <c r="AL317" s="93">
        <v>209678571</v>
      </c>
      <c r="AM317" s="93">
        <f t="shared" si="100"/>
        <v>0</v>
      </c>
      <c r="AN317" s="155"/>
      <c r="AO317" s="155"/>
    </row>
    <row r="318" spans="1:41" s="9" customFormat="1" ht="25.15" customHeight="1" x14ac:dyDescent="0.25">
      <c r="A318" s="83">
        <v>312</v>
      </c>
      <c r="B318" s="84">
        <v>2024</v>
      </c>
      <c r="C318" s="85" t="s">
        <v>128</v>
      </c>
      <c r="D318" s="86" t="s">
        <v>1561</v>
      </c>
      <c r="E318" s="86" t="s">
        <v>758</v>
      </c>
      <c r="F318" s="87">
        <v>45554</v>
      </c>
      <c r="G318" s="87">
        <v>45695</v>
      </c>
      <c r="H318" s="88">
        <f t="shared" si="103"/>
        <v>1.5666666666666667</v>
      </c>
      <c r="I318" s="89" t="s">
        <v>763</v>
      </c>
      <c r="J318" s="90" t="s">
        <v>751</v>
      </c>
      <c r="K318" s="90" t="s">
        <v>752</v>
      </c>
      <c r="L318" s="90" t="s">
        <v>753</v>
      </c>
      <c r="M318" s="91" t="s">
        <v>1059</v>
      </c>
      <c r="N318" s="92" t="s">
        <v>1605</v>
      </c>
      <c r="O318" s="85">
        <v>2910907335</v>
      </c>
      <c r="P318" s="93">
        <v>708000000</v>
      </c>
      <c r="Q318" s="93">
        <v>0</v>
      </c>
      <c r="R318" s="94">
        <f t="shared" si="101"/>
        <v>708000000</v>
      </c>
      <c r="S318" s="95">
        <v>0.12000000025310735</v>
      </c>
      <c r="T318" s="94">
        <f t="shared" si="104"/>
        <v>75857143</v>
      </c>
      <c r="U318" s="117">
        <v>704460000</v>
      </c>
      <c r="V318" s="117">
        <v>0</v>
      </c>
      <c r="W318" s="94">
        <f t="shared" si="91"/>
        <v>0</v>
      </c>
      <c r="X318" s="94">
        <f t="shared" si="92"/>
        <v>0</v>
      </c>
      <c r="Y318" s="94">
        <f t="shared" si="93"/>
        <v>0</v>
      </c>
      <c r="Z318" s="93">
        <f>_xlfn.XLOOKUP(O318,'[4]2DO TRIMESTRE'!$C:$C,'[4]2DO TRIMESTRE'!$I:$I,0,0)</f>
        <v>0</v>
      </c>
      <c r="AA318" s="94">
        <f t="shared" si="105"/>
        <v>0</v>
      </c>
      <c r="AB318" s="94">
        <f t="shared" si="106"/>
        <v>0</v>
      </c>
      <c r="AC318" s="94">
        <f t="shared" si="107"/>
        <v>0</v>
      </c>
      <c r="AD318" s="93">
        <v>0</v>
      </c>
      <c r="AE318" s="94">
        <f t="shared" si="97"/>
        <v>0</v>
      </c>
      <c r="AF318" s="94">
        <f t="shared" si="98"/>
        <v>0</v>
      </c>
      <c r="AG318" s="94">
        <f t="shared" si="99"/>
        <v>0</v>
      </c>
      <c r="AH318" s="117">
        <v>0</v>
      </c>
      <c r="AI318" s="94">
        <f t="shared" si="85"/>
        <v>0</v>
      </c>
      <c r="AJ318" s="94">
        <f t="shared" si="86"/>
        <v>0</v>
      </c>
      <c r="AK318" s="94">
        <f t="shared" si="87"/>
        <v>0</v>
      </c>
      <c r="AL318" s="93">
        <v>75477857.284999996</v>
      </c>
      <c r="AM318" s="93">
        <f t="shared" si="100"/>
        <v>0</v>
      </c>
      <c r="AN318" s="155"/>
      <c r="AO318" s="155"/>
    </row>
    <row r="319" spans="1:41" s="9" customFormat="1" ht="25.15" customHeight="1" x14ac:dyDescent="0.25">
      <c r="A319" s="83">
        <v>313</v>
      </c>
      <c r="B319" s="84">
        <v>2024</v>
      </c>
      <c r="C319" s="85" t="s">
        <v>128</v>
      </c>
      <c r="D319" s="86" t="s">
        <v>1565</v>
      </c>
      <c r="E319" s="86" t="s">
        <v>758</v>
      </c>
      <c r="F319" s="87">
        <v>45533</v>
      </c>
      <c r="G319" s="87">
        <v>45762</v>
      </c>
      <c r="H319" s="88">
        <f t="shared" si="103"/>
        <v>2.5444444444444443</v>
      </c>
      <c r="I319" s="89" t="s">
        <v>759</v>
      </c>
      <c r="J319" s="90" t="s">
        <v>751</v>
      </c>
      <c r="K319" s="90" t="s">
        <v>752</v>
      </c>
      <c r="L319" s="90" t="s">
        <v>753</v>
      </c>
      <c r="M319" s="91" t="s">
        <v>1059</v>
      </c>
      <c r="N319" s="92" t="s">
        <v>1606</v>
      </c>
      <c r="O319" s="85">
        <v>2910907336</v>
      </c>
      <c r="P319" s="93">
        <v>400000000</v>
      </c>
      <c r="Q319" s="93">
        <v>0</v>
      </c>
      <c r="R319" s="94">
        <f t="shared" si="101"/>
        <v>400000000</v>
      </c>
      <c r="S319" s="95">
        <v>0.12000000044799999</v>
      </c>
      <c r="T319" s="94">
        <f t="shared" si="104"/>
        <v>42857143</v>
      </c>
      <c r="U319" s="117">
        <v>372647600</v>
      </c>
      <c r="V319" s="117">
        <v>0</v>
      </c>
      <c r="W319" s="94">
        <f t="shared" si="91"/>
        <v>0</v>
      </c>
      <c r="X319" s="94">
        <f t="shared" si="92"/>
        <v>0</v>
      </c>
      <c r="Y319" s="94">
        <f t="shared" si="93"/>
        <v>0</v>
      </c>
      <c r="Z319" s="93">
        <f>_xlfn.XLOOKUP(O319,'[4]2DO TRIMESTRE'!$C:$C,'[4]2DO TRIMESTRE'!$I:$I,0,0)</f>
        <v>0</v>
      </c>
      <c r="AA319" s="94">
        <f t="shared" si="105"/>
        <v>0</v>
      </c>
      <c r="AB319" s="94">
        <f t="shared" si="106"/>
        <v>0</v>
      </c>
      <c r="AC319" s="94">
        <f t="shared" si="107"/>
        <v>0</v>
      </c>
      <c r="AD319" s="93">
        <v>0</v>
      </c>
      <c r="AE319" s="94">
        <f t="shared" si="97"/>
        <v>0</v>
      </c>
      <c r="AF319" s="94">
        <f t="shared" si="98"/>
        <v>0</v>
      </c>
      <c r="AG319" s="94">
        <f t="shared" si="99"/>
        <v>0</v>
      </c>
      <c r="AH319" s="117">
        <v>0</v>
      </c>
      <c r="AI319" s="94">
        <f t="shared" si="85"/>
        <v>0</v>
      </c>
      <c r="AJ319" s="94">
        <f t="shared" si="86"/>
        <v>0</v>
      </c>
      <c r="AK319" s="94">
        <f t="shared" si="87"/>
        <v>0</v>
      </c>
      <c r="AL319" s="93">
        <v>39926528.704516999</v>
      </c>
      <c r="AM319" s="93">
        <f t="shared" si="100"/>
        <v>0</v>
      </c>
      <c r="AN319" s="155"/>
      <c r="AO319" s="155"/>
    </row>
    <row r="320" spans="1:41" s="9" customFormat="1" ht="25.15" customHeight="1" x14ac:dyDescent="0.25">
      <c r="A320" s="83">
        <v>314</v>
      </c>
      <c r="B320" s="84">
        <v>2024</v>
      </c>
      <c r="C320" s="85" t="s">
        <v>922</v>
      </c>
      <c r="D320" s="86" t="s">
        <v>1567</v>
      </c>
      <c r="E320" s="86" t="s">
        <v>758</v>
      </c>
      <c r="F320" s="87">
        <v>45455</v>
      </c>
      <c r="G320" s="87">
        <v>45657</v>
      </c>
      <c r="H320" s="88">
        <f t="shared" si="103"/>
        <v>2.2444444444444445</v>
      </c>
      <c r="I320" s="89" t="s">
        <v>763</v>
      </c>
      <c r="J320" s="90" t="s">
        <v>751</v>
      </c>
      <c r="K320" s="90" t="s">
        <v>752</v>
      </c>
      <c r="L320" s="90" t="s">
        <v>753</v>
      </c>
      <c r="M320" s="91" t="s">
        <v>1059</v>
      </c>
      <c r="N320" s="92" t="s">
        <v>1607</v>
      </c>
      <c r="O320" s="85">
        <v>2910907329</v>
      </c>
      <c r="P320" s="93">
        <v>75000000</v>
      </c>
      <c r="Q320" s="93">
        <v>0</v>
      </c>
      <c r="R320" s="94">
        <f t="shared" si="101"/>
        <v>75000000</v>
      </c>
      <c r="S320" s="95">
        <v>0.11999999522133335</v>
      </c>
      <c r="T320" s="94">
        <f t="shared" si="104"/>
        <v>8035714</v>
      </c>
      <c r="U320" s="117">
        <v>75000000</v>
      </c>
      <c r="V320" s="117">
        <v>0</v>
      </c>
      <c r="W320" s="94">
        <f t="shared" si="91"/>
        <v>0</v>
      </c>
      <c r="X320" s="94">
        <f t="shared" si="92"/>
        <v>0</v>
      </c>
      <c r="Y320" s="94">
        <f t="shared" si="93"/>
        <v>0</v>
      </c>
      <c r="Z320" s="93">
        <f>_xlfn.XLOOKUP(O320,'[4]2DO TRIMESTRE'!$C:$C,'[4]2DO TRIMESTRE'!$I:$I,0,0)</f>
        <v>0</v>
      </c>
      <c r="AA320" s="94">
        <f t="shared" si="105"/>
        <v>0</v>
      </c>
      <c r="AB320" s="94">
        <f t="shared" si="106"/>
        <v>0</v>
      </c>
      <c r="AC320" s="94">
        <f t="shared" si="107"/>
        <v>0</v>
      </c>
      <c r="AD320" s="93">
        <v>0</v>
      </c>
      <c r="AE320" s="94">
        <f t="shared" si="97"/>
        <v>0</v>
      </c>
      <c r="AF320" s="94">
        <f t="shared" si="98"/>
        <v>0</v>
      </c>
      <c r="AG320" s="94">
        <f t="shared" si="99"/>
        <v>0</v>
      </c>
      <c r="AH320" s="117">
        <v>0</v>
      </c>
      <c r="AI320" s="94">
        <f t="shared" si="85"/>
        <v>0</v>
      </c>
      <c r="AJ320" s="94">
        <f t="shared" si="86"/>
        <v>0</v>
      </c>
      <c r="AK320" s="94">
        <f t="shared" si="87"/>
        <v>0</v>
      </c>
      <c r="AL320" s="93">
        <v>8035714</v>
      </c>
      <c r="AM320" s="93">
        <f t="shared" si="100"/>
        <v>0</v>
      </c>
      <c r="AN320" s="155"/>
      <c r="AO320" s="155"/>
    </row>
    <row r="321" spans="1:41" s="9" customFormat="1" ht="25.15" customHeight="1" x14ac:dyDescent="0.25">
      <c r="A321" s="83">
        <v>315</v>
      </c>
      <c r="B321" s="84">
        <v>2024</v>
      </c>
      <c r="C321" s="85" t="s">
        <v>1622</v>
      </c>
      <c r="D321" s="86" t="s">
        <v>1571</v>
      </c>
      <c r="E321" s="86" t="s">
        <v>758</v>
      </c>
      <c r="F321" s="87">
        <v>45580</v>
      </c>
      <c r="G321" s="87">
        <v>45648</v>
      </c>
      <c r="H321" s="88">
        <f t="shared" si="103"/>
        <v>0.75555555555555554</v>
      </c>
      <c r="I321" s="89" t="s">
        <v>763</v>
      </c>
      <c r="J321" s="90" t="s">
        <v>751</v>
      </c>
      <c r="K321" s="90" t="s">
        <v>752</v>
      </c>
      <c r="L321" s="90" t="s">
        <v>753</v>
      </c>
      <c r="M321" s="91" t="s">
        <v>1059</v>
      </c>
      <c r="N321" s="92" t="s">
        <v>1608</v>
      </c>
      <c r="O321" s="85">
        <v>2910907343</v>
      </c>
      <c r="P321" s="93">
        <v>325000000</v>
      </c>
      <c r="Q321" s="93">
        <v>0</v>
      </c>
      <c r="R321" s="94">
        <f t="shared" si="101"/>
        <v>325000000</v>
      </c>
      <c r="S321" s="95">
        <v>0.12000000165415385</v>
      </c>
      <c r="T321" s="94">
        <f t="shared" si="104"/>
        <v>34821429</v>
      </c>
      <c r="U321" s="117">
        <v>325000000</v>
      </c>
      <c r="V321" s="117">
        <v>0</v>
      </c>
      <c r="W321" s="94">
        <f t="shared" si="91"/>
        <v>0</v>
      </c>
      <c r="X321" s="94">
        <f t="shared" si="92"/>
        <v>0</v>
      </c>
      <c r="Y321" s="94">
        <f t="shared" si="93"/>
        <v>0</v>
      </c>
      <c r="Z321" s="93">
        <f>_xlfn.XLOOKUP(O321,'[4]2DO TRIMESTRE'!$C:$C,'[4]2DO TRIMESTRE'!$I:$I,0,0)</f>
        <v>0</v>
      </c>
      <c r="AA321" s="94">
        <f t="shared" si="105"/>
        <v>0</v>
      </c>
      <c r="AB321" s="94">
        <f t="shared" si="106"/>
        <v>0</v>
      </c>
      <c r="AC321" s="94">
        <f t="shared" si="107"/>
        <v>0</v>
      </c>
      <c r="AD321" s="93">
        <v>0</v>
      </c>
      <c r="AE321" s="94">
        <f t="shared" si="97"/>
        <v>0</v>
      </c>
      <c r="AF321" s="94">
        <f t="shared" si="98"/>
        <v>0</v>
      </c>
      <c r="AG321" s="94">
        <f t="shared" si="99"/>
        <v>0</v>
      </c>
      <c r="AH321" s="117">
        <v>0</v>
      </c>
      <c r="AI321" s="94">
        <f t="shared" si="85"/>
        <v>0</v>
      </c>
      <c r="AJ321" s="94">
        <f t="shared" si="86"/>
        <v>0</v>
      </c>
      <c r="AK321" s="94">
        <f t="shared" si="87"/>
        <v>0</v>
      </c>
      <c r="AL321" s="93">
        <v>34821429</v>
      </c>
      <c r="AM321" s="93">
        <f t="shared" si="100"/>
        <v>0</v>
      </c>
      <c r="AN321" s="155"/>
      <c r="AO321" s="155"/>
    </row>
    <row r="322" spans="1:41" s="9" customFormat="1" ht="25.15" customHeight="1" x14ac:dyDescent="0.25">
      <c r="A322" s="83">
        <v>316</v>
      </c>
      <c r="B322" s="84">
        <v>2024</v>
      </c>
      <c r="C322" s="85" t="s">
        <v>1623</v>
      </c>
      <c r="D322" s="86" t="s">
        <v>1573</v>
      </c>
      <c r="E322" s="86" t="s">
        <v>758</v>
      </c>
      <c r="F322" s="87">
        <v>45632</v>
      </c>
      <c r="G322" s="87">
        <v>45991</v>
      </c>
      <c r="H322" s="88">
        <f t="shared" si="103"/>
        <v>3.9888888888888889</v>
      </c>
      <c r="I322" s="89" t="s">
        <v>1077</v>
      </c>
      <c r="J322" s="90" t="s">
        <v>751</v>
      </c>
      <c r="K322" s="90" t="s">
        <v>752</v>
      </c>
      <c r="L322" s="90" t="s">
        <v>753</v>
      </c>
      <c r="M322" s="91" t="s">
        <v>1059</v>
      </c>
      <c r="N322" s="92" t="s">
        <v>1609</v>
      </c>
      <c r="O322" s="85">
        <v>2910907361</v>
      </c>
      <c r="P322" s="93">
        <v>845530500</v>
      </c>
      <c r="Q322" s="93">
        <v>0</v>
      </c>
      <c r="R322" s="94">
        <f t="shared" si="101"/>
        <v>845530500</v>
      </c>
      <c r="S322" s="95">
        <v>0.12000000063581384</v>
      </c>
      <c r="T322" s="94">
        <f t="shared" si="104"/>
        <v>90592554.000000015</v>
      </c>
      <c r="U322" s="117">
        <v>845530500</v>
      </c>
      <c r="V322" s="117">
        <v>229950000</v>
      </c>
      <c r="W322" s="94">
        <f>+V322/(1+$S322)*$S322</f>
        <v>24637500.116554048</v>
      </c>
      <c r="X322" s="94">
        <f t="shared" si="92"/>
        <v>9855000.0466216188</v>
      </c>
      <c r="Y322" s="94">
        <f t="shared" si="93"/>
        <v>14782500.069932429</v>
      </c>
      <c r="Z322" s="93">
        <f>_xlfn.XLOOKUP(O322,'[4]2DO TRIMESTRE'!$C:$C,'[4]2DO TRIMESTRE'!$I:$I,0,0)</f>
        <v>0</v>
      </c>
      <c r="AA322" s="94">
        <f t="shared" si="105"/>
        <v>0</v>
      </c>
      <c r="AB322" s="94">
        <f t="shared" si="106"/>
        <v>0</v>
      </c>
      <c r="AC322" s="94">
        <f t="shared" si="107"/>
        <v>0</v>
      </c>
      <c r="AD322" s="93">
        <v>0</v>
      </c>
      <c r="AE322" s="94">
        <f>+AD322/(1+$S322)*$S322</f>
        <v>0</v>
      </c>
      <c r="AF322" s="94">
        <f t="shared" si="98"/>
        <v>0</v>
      </c>
      <c r="AG322" s="94">
        <f t="shared" si="99"/>
        <v>0</v>
      </c>
      <c r="AH322" s="117">
        <v>0</v>
      </c>
      <c r="AI322" s="94">
        <f t="shared" si="85"/>
        <v>0</v>
      </c>
      <c r="AJ322" s="94">
        <f t="shared" si="86"/>
        <v>0</v>
      </c>
      <c r="AK322" s="94">
        <f t="shared" si="87"/>
        <v>0</v>
      </c>
      <c r="AL322" s="93">
        <v>90592554.000000015</v>
      </c>
      <c r="AM322" s="93">
        <f t="shared" si="100"/>
        <v>24637500.116554048</v>
      </c>
      <c r="AN322" s="155"/>
      <c r="AO322" s="155"/>
    </row>
    <row r="323" spans="1:41" s="9" customFormat="1" ht="25.15" customHeight="1" x14ac:dyDescent="0.25">
      <c r="A323" s="83">
        <v>317</v>
      </c>
      <c r="B323" s="84">
        <v>2024</v>
      </c>
      <c r="C323" s="85" t="s">
        <v>1452</v>
      </c>
      <c r="D323" s="86" t="s">
        <v>1576</v>
      </c>
      <c r="E323" s="86" t="s">
        <v>749</v>
      </c>
      <c r="F323" s="87">
        <v>45541</v>
      </c>
      <c r="G323" s="87">
        <v>45631</v>
      </c>
      <c r="H323" s="88">
        <f t="shared" si="103"/>
        <v>1</v>
      </c>
      <c r="I323" s="89" t="s">
        <v>763</v>
      </c>
      <c r="J323" s="90" t="s">
        <v>751</v>
      </c>
      <c r="K323" s="90" t="s">
        <v>752</v>
      </c>
      <c r="L323" s="90" t="s">
        <v>753</v>
      </c>
      <c r="M323" s="91" t="s">
        <v>754</v>
      </c>
      <c r="N323" s="92" t="s">
        <v>1617</v>
      </c>
      <c r="O323" s="85">
        <v>2910908205</v>
      </c>
      <c r="P323" s="93">
        <v>10800000</v>
      </c>
      <c r="Q323" s="93">
        <v>0</v>
      </c>
      <c r="R323" s="94">
        <f t="shared" si="101"/>
        <v>10800000</v>
      </c>
      <c r="S323" s="95">
        <v>0.12000001659259284</v>
      </c>
      <c r="T323" s="94">
        <f t="shared" si="104"/>
        <v>1157143</v>
      </c>
      <c r="U323" s="117">
        <v>10800000</v>
      </c>
      <c r="V323" s="117">
        <v>0</v>
      </c>
      <c r="W323" s="94">
        <f t="shared" si="91"/>
        <v>0</v>
      </c>
      <c r="X323" s="94">
        <f t="shared" si="92"/>
        <v>0</v>
      </c>
      <c r="Y323" s="94">
        <f t="shared" si="93"/>
        <v>0</v>
      </c>
      <c r="Z323" s="93">
        <f>_xlfn.XLOOKUP(O323,'[4]2DO TRIMESTRE'!$C:$C,'[4]2DO TRIMESTRE'!$I:$I,0,0)</f>
        <v>0</v>
      </c>
      <c r="AA323" s="94">
        <f t="shared" si="105"/>
        <v>0</v>
      </c>
      <c r="AB323" s="94">
        <f t="shared" si="106"/>
        <v>0</v>
      </c>
      <c r="AC323" s="94">
        <f t="shared" si="107"/>
        <v>0</v>
      </c>
      <c r="AD323" s="93">
        <v>0</v>
      </c>
      <c r="AE323" s="94">
        <f t="shared" si="97"/>
        <v>0</v>
      </c>
      <c r="AF323" s="94">
        <f t="shared" si="98"/>
        <v>0</v>
      </c>
      <c r="AG323" s="94">
        <f t="shared" si="99"/>
        <v>0</v>
      </c>
      <c r="AH323" s="117">
        <v>0</v>
      </c>
      <c r="AI323" s="94">
        <f t="shared" ref="AI323:AI384" si="108">+AH323/(1+$S323)*$S323</f>
        <v>0</v>
      </c>
      <c r="AJ323" s="94">
        <f t="shared" ref="AJ323:AJ384" si="109">+AI323*40%</f>
        <v>0</v>
      </c>
      <c r="AK323" s="94">
        <f t="shared" ref="AK323:AK384" si="110">+AI323*60%</f>
        <v>0</v>
      </c>
      <c r="AL323" s="93">
        <v>1157143</v>
      </c>
      <c r="AM323" s="93">
        <f t="shared" si="100"/>
        <v>0</v>
      </c>
      <c r="AN323" s="155"/>
      <c r="AO323" s="155"/>
    </row>
    <row r="324" spans="1:41" s="9" customFormat="1" ht="25.15" customHeight="1" x14ac:dyDescent="0.25">
      <c r="A324" s="83">
        <v>318</v>
      </c>
      <c r="B324" s="84">
        <v>2024</v>
      </c>
      <c r="C324" s="85" t="s">
        <v>1452</v>
      </c>
      <c r="D324" s="86" t="s">
        <v>1577</v>
      </c>
      <c r="E324" s="86" t="s">
        <v>749</v>
      </c>
      <c r="F324" s="87">
        <v>45722</v>
      </c>
      <c r="G324" s="87">
        <v>45905</v>
      </c>
      <c r="H324" s="88">
        <f t="shared" si="103"/>
        <v>2.0333333333333332</v>
      </c>
      <c r="I324" s="89" t="s">
        <v>759</v>
      </c>
      <c r="J324" s="90" t="s">
        <v>751</v>
      </c>
      <c r="K324" s="90" t="s">
        <v>752</v>
      </c>
      <c r="L324" s="90" t="s">
        <v>753</v>
      </c>
      <c r="M324" s="91" t="s">
        <v>754</v>
      </c>
      <c r="N324" s="92" t="s">
        <v>1618</v>
      </c>
      <c r="O324" s="85">
        <v>2910908224</v>
      </c>
      <c r="P324" s="93">
        <v>48569820</v>
      </c>
      <c r="Q324" s="93">
        <v>0</v>
      </c>
      <c r="R324" s="94">
        <f t="shared" si="101"/>
        <v>48569820</v>
      </c>
      <c r="S324" s="95">
        <v>0.11999999262093214</v>
      </c>
      <c r="T324" s="94">
        <f t="shared" si="104"/>
        <v>5203909</v>
      </c>
      <c r="U324" s="117">
        <v>48569820</v>
      </c>
      <c r="V324" s="117">
        <v>0</v>
      </c>
      <c r="W324" s="94">
        <f t="shared" si="91"/>
        <v>0</v>
      </c>
      <c r="X324" s="94">
        <f t="shared" si="92"/>
        <v>0</v>
      </c>
      <c r="Y324" s="94">
        <f t="shared" si="93"/>
        <v>0</v>
      </c>
      <c r="Z324" s="93">
        <f>_xlfn.XLOOKUP(O324,'[4]2DO TRIMESTRE'!$C:$C,'[4]2DO TRIMESTRE'!$I:$I,0,0)</f>
        <v>0</v>
      </c>
      <c r="AA324" s="94">
        <f t="shared" si="105"/>
        <v>0</v>
      </c>
      <c r="AB324" s="94">
        <f t="shared" si="106"/>
        <v>0</v>
      </c>
      <c r="AC324" s="94">
        <f t="shared" si="107"/>
        <v>0</v>
      </c>
      <c r="AD324" s="93">
        <v>0</v>
      </c>
      <c r="AE324" s="94">
        <f t="shared" si="97"/>
        <v>0</v>
      </c>
      <c r="AF324" s="94">
        <f t="shared" si="98"/>
        <v>0</v>
      </c>
      <c r="AG324" s="94">
        <f t="shared" si="99"/>
        <v>0</v>
      </c>
      <c r="AH324" s="117">
        <v>0</v>
      </c>
      <c r="AI324" s="94">
        <f t="shared" si="108"/>
        <v>0</v>
      </c>
      <c r="AJ324" s="94">
        <f t="shared" si="109"/>
        <v>0</v>
      </c>
      <c r="AK324" s="94">
        <f t="shared" si="110"/>
        <v>0</v>
      </c>
      <c r="AL324" s="93">
        <v>5203909</v>
      </c>
      <c r="AM324" s="93">
        <f t="shared" si="100"/>
        <v>0</v>
      </c>
      <c r="AN324" s="155"/>
      <c r="AO324" s="155"/>
    </row>
    <row r="325" spans="1:41" s="9" customFormat="1" ht="25.15" customHeight="1" x14ac:dyDescent="0.25">
      <c r="A325" s="83">
        <v>319</v>
      </c>
      <c r="B325" s="84">
        <v>2024</v>
      </c>
      <c r="C325" s="85" t="s">
        <v>1452</v>
      </c>
      <c r="D325" s="86" t="s">
        <v>1579</v>
      </c>
      <c r="E325" s="86" t="s">
        <v>749</v>
      </c>
      <c r="F325" s="87">
        <v>45539</v>
      </c>
      <c r="G325" s="87">
        <v>45903</v>
      </c>
      <c r="H325" s="88">
        <f t="shared" si="103"/>
        <v>4.0444444444444443</v>
      </c>
      <c r="I325" s="89" t="s">
        <v>759</v>
      </c>
      <c r="J325" s="90" t="s">
        <v>751</v>
      </c>
      <c r="K325" s="90" t="s">
        <v>752</v>
      </c>
      <c r="L325" s="90" t="s">
        <v>753</v>
      </c>
      <c r="M325" s="91" t="s">
        <v>754</v>
      </c>
      <c r="N325" s="92" t="s">
        <v>1619</v>
      </c>
      <c r="O325" s="85">
        <v>2910908214</v>
      </c>
      <c r="P325" s="93">
        <v>476086000</v>
      </c>
      <c r="Q325" s="93">
        <v>0</v>
      </c>
      <c r="R325" s="94">
        <f t="shared" si="101"/>
        <v>476086000</v>
      </c>
      <c r="S325" s="95">
        <v>0.12000000188201292</v>
      </c>
      <c r="T325" s="94">
        <f t="shared" si="104"/>
        <v>51009215</v>
      </c>
      <c r="U325" s="117">
        <v>476086000</v>
      </c>
      <c r="V325" s="117">
        <v>0</v>
      </c>
      <c r="W325" s="94">
        <f t="shared" si="91"/>
        <v>0</v>
      </c>
      <c r="X325" s="94">
        <f t="shared" si="92"/>
        <v>0</v>
      </c>
      <c r="Y325" s="94">
        <f t="shared" si="93"/>
        <v>0</v>
      </c>
      <c r="Z325" s="93">
        <f>_xlfn.XLOOKUP(O325,'[4]2DO TRIMESTRE'!$C:$C,'[4]2DO TRIMESTRE'!$I:$I,0,0)</f>
        <v>0</v>
      </c>
      <c r="AA325" s="94">
        <f t="shared" si="105"/>
        <v>0</v>
      </c>
      <c r="AB325" s="94">
        <f t="shared" si="106"/>
        <v>0</v>
      </c>
      <c r="AC325" s="94">
        <f t="shared" si="107"/>
        <v>0</v>
      </c>
      <c r="AD325" s="93">
        <v>0</v>
      </c>
      <c r="AE325" s="94">
        <f t="shared" si="97"/>
        <v>0</v>
      </c>
      <c r="AF325" s="94">
        <f t="shared" si="98"/>
        <v>0</v>
      </c>
      <c r="AG325" s="94">
        <f t="shared" si="99"/>
        <v>0</v>
      </c>
      <c r="AH325" s="117">
        <v>0</v>
      </c>
      <c r="AI325" s="94">
        <f t="shared" si="108"/>
        <v>0</v>
      </c>
      <c r="AJ325" s="94">
        <f t="shared" si="109"/>
        <v>0</v>
      </c>
      <c r="AK325" s="94">
        <f t="shared" si="110"/>
        <v>0</v>
      </c>
      <c r="AL325" s="93">
        <v>51009215</v>
      </c>
      <c r="AM325" s="93">
        <f t="shared" si="100"/>
        <v>0</v>
      </c>
      <c r="AN325" s="155"/>
      <c r="AO325" s="155"/>
    </row>
    <row r="326" spans="1:41" s="9" customFormat="1" ht="25.15" customHeight="1" x14ac:dyDescent="0.25">
      <c r="A326" s="83">
        <v>320</v>
      </c>
      <c r="B326" s="84">
        <v>2024</v>
      </c>
      <c r="C326" s="85" t="s">
        <v>1452</v>
      </c>
      <c r="D326" s="86" t="s">
        <v>1580</v>
      </c>
      <c r="E326" s="86" t="s">
        <v>749</v>
      </c>
      <c r="F326" s="87">
        <v>45614</v>
      </c>
      <c r="G326" s="87">
        <v>45750</v>
      </c>
      <c r="H326" s="88">
        <f t="shared" si="103"/>
        <v>1.5111111111111111</v>
      </c>
      <c r="I326" s="89" t="s">
        <v>763</v>
      </c>
      <c r="J326" s="90" t="s">
        <v>751</v>
      </c>
      <c r="K326" s="90" t="s">
        <v>752</v>
      </c>
      <c r="L326" s="90" t="s">
        <v>753</v>
      </c>
      <c r="M326" s="91" t="s">
        <v>754</v>
      </c>
      <c r="N326" s="92" t="s">
        <v>1620</v>
      </c>
      <c r="O326" s="85">
        <v>2910908217</v>
      </c>
      <c r="P326" s="93">
        <v>15525000</v>
      </c>
      <c r="Q326" s="93">
        <v>0</v>
      </c>
      <c r="R326" s="94">
        <f t="shared" si="101"/>
        <v>15525000</v>
      </c>
      <c r="S326" s="95">
        <v>0.12000001154267323</v>
      </c>
      <c r="T326" s="94">
        <f t="shared" si="104"/>
        <v>1663393.0000000002</v>
      </c>
      <c r="U326" s="117">
        <v>15525000</v>
      </c>
      <c r="V326" s="117">
        <v>0</v>
      </c>
      <c r="W326" s="94">
        <f t="shared" si="91"/>
        <v>0</v>
      </c>
      <c r="X326" s="94">
        <f t="shared" si="92"/>
        <v>0</v>
      </c>
      <c r="Y326" s="94">
        <f t="shared" si="93"/>
        <v>0</v>
      </c>
      <c r="Z326" s="93">
        <f>_xlfn.XLOOKUP(O326,'[4]2DO TRIMESTRE'!$C:$C,'[4]2DO TRIMESTRE'!$I:$I,0,0)</f>
        <v>0</v>
      </c>
      <c r="AA326" s="94">
        <f t="shared" si="105"/>
        <v>0</v>
      </c>
      <c r="AB326" s="94">
        <f t="shared" si="106"/>
        <v>0</v>
      </c>
      <c r="AC326" s="94">
        <f t="shared" si="107"/>
        <v>0</v>
      </c>
      <c r="AD326" s="93">
        <v>0</v>
      </c>
      <c r="AE326" s="94">
        <f t="shared" si="97"/>
        <v>0</v>
      </c>
      <c r="AF326" s="94">
        <f t="shared" si="98"/>
        <v>0</v>
      </c>
      <c r="AG326" s="94">
        <f t="shared" si="99"/>
        <v>0</v>
      </c>
      <c r="AH326" s="117">
        <v>0</v>
      </c>
      <c r="AI326" s="94">
        <f t="shared" si="108"/>
        <v>0</v>
      </c>
      <c r="AJ326" s="94">
        <f t="shared" si="109"/>
        <v>0</v>
      </c>
      <c r="AK326" s="94">
        <f t="shared" si="110"/>
        <v>0</v>
      </c>
      <c r="AL326" s="93">
        <v>1663393.0000000002</v>
      </c>
      <c r="AM326" s="93">
        <f t="shared" si="100"/>
        <v>0</v>
      </c>
      <c r="AN326" s="155"/>
      <c r="AO326" s="155"/>
    </row>
    <row r="327" spans="1:41" s="9" customFormat="1" ht="25.15" customHeight="1" x14ac:dyDescent="0.25">
      <c r="A327" s="83">
        <v>321</v>
      </c>
      <c r="B327" s="84">
        <v>2024</v>
      </c>
      <c r="C327" s="85" t="s">
        <v>1624</v>
      </c>
      <c r="D327" s="86" t="s">
        <v>1582</v>
      </c>
      <c r="E327" s="86" t="s">
        <v>758</v>
      </c>
      <c r="F327" s="87">
        <v>45625</v>
      </c>
      <c r="G327" s="87">
        <v>45656</v>
      </c>
      <c r="H327" s="88">
        <f t="shared" si="103"/>
        <v>0.34444444444444444</v>
      </c>
      <c r="I327" s="89" t="s">
        <v>763</v>
      </c>
      <c r="J327" s="90" t="s">
        <v>751</v>
      </c>
      <c r="K327" s="90" t="s">
        <v>752</v>
      </c>
      <c r="L327" s="90" t="s">
        <v>753</v>
      </c>
      <c r="M327" s="91" t="s">
        <v>1059</v>
      </c>
      <c r="N327" s="92" t="s">
        <v>1610</v>
      </c>
      <c r="O327" s="85">
        <v>2910907360</v>
      </c>
      <c r="P327" s="93">
        <v>115000000</v>
      </c>
      <c r="Q327" s="93">
        <v>0</v>
      </c>
      <c r="R327" s="94">
        <f t="shared" si="101"/>
        <v>115000000</v>
      </c>
      <c r="S327" s="95">
        <v>0.12000000467478263</v>
      </c>
      <c r="T327" s="94">
        <v>12321429</v>
      </c>
      <c r="U327" s="117">
        <v>115000000</v>
      </c>
      <c r="V327" s="117">
        <v>0</v>
      </c>
      <c r="W327" s="94">
        <f t="shared" si="91"/>
        <v>0</v>
      </c>
      <c r="X327" s="94">
        <f t="shared" si="92"/>
        <v>0</v>
      </c>
      <c r="Y327" s="94">
        <f t="shared" si="93"/>
        <v>0</v>
      </c>
      <c r="Z327" s="93">
        <v>50198000</v>
      </c>
      <c r="AA327" s="94">
        <f>+Z327/(1+$S327)*$S327</f>
        <v>5378357.329930434</v>
      </c>
      <c r="AB327" s="94">
        <f>+AA327*40%</f>
        <v>2151342.9319721735</v>
      </c>
      <c r="AC327" s="94">
        <f t="shared" si="107"/>
        <v>3227014.3979582605</v>
      </c>
      <c r="AD327" s="93">
        <v>0</v>
      </c>
      <c r="AE327" s="94">
        <f t="shared" si="97"/>
        <v>0</v>
      </c>
      <c r="AF327" s="94">
        <f t="shared" si="98"/>
        <v>0</v>
      </c>
      <c r="AG327" s="94">
        <f t="shared" si="99"/>
        <v>0</v>
      </c>
      <c r="AH327" s="117">
        <v>0</v>
      </c>
      <c r="AI327" s="94">
        <f t="shared" si="108"/>
        <v>0</v>
      </c>
      <c r="AJ327" s="94">
        <f t="shared" si="109"/>
        <v>0</v>
      </c>
      <c r="AK327" s="94">
        <f t="shared" si="110"/>
        <v>0</v>
      </c>
      <c r="AL327" s="93">
        <v>12321429</v>
      </c>
      <c r="AM327" s="93">
        <f t="shared" si="100"/>
        <v>5378357.329930434</v>
      </c>
      <c r="AN327" s="155"/>
      <c r="AO327" s="155"/>
    </row>
    <row r="328" spans="1:41" s="9" customFormat="1" ht="25.15" customHeight="1" x14ac:dyDescent="0.25">
      <c r="A328" s="83">
        <v>322</v>
      </c>
      <c r="B328" s="84">
        <v>2024</v>
      </c>
      <c r="C328" s="85" t="s">
        <v>882</v>
      </c>
      <c r="D328" s="86" t="s">
        <v>1584</v>
      </c>
      <c r="E328" s="86" t="s">
        <v>758</v>
      </c>
      <c r="F328" s="87">
        <v>45597</v>
      </c>
      <c r="G328" s="87">
        <v>45657</v>
      </c>
      <c r="H328" s="88">
        <f t="shared" si="103"/>
        <v>0.66666666666666663</v>
      </c>
      <c r="I328" s="89" t="s">
        <v>763</v>
      </c>
      <c r="J328" s="90" t="s">
        <v>751</v>
      </c>
      <c r="K328" s="90" t="s">
        <v>752</v>
      </c>
      <c r="L328" s="90" t="s">
        <v>753</v>
      </c>
      <c r="M328" s="91" t="s">
        <v>1059</v>
      </c>
      <c r="N328" s="92" t="s">
        <v>1611</v>
      </c>
      <c r="O328" s="85">
        <v>2910907352</v>
      </c>
      <c r="P328" s="93">
        <v>30000000</v>
      </c>
      <c r="Q328" s="93">
        <v>0</v>
      </c>
      <c r="R328" s="94">
        <f t="shared" si="101"/>
        <v>30000000</v>
      </c>
      <c r="S328" s="95">
        <v>0.12000001194666679</v>
      </c>
      <c r="T328" s="94">
        <v>3214285.9999999995</v>
      </c>
      <c r="U328" s="117">
        <v>27600000</v>
      </c>
      <c r="V328" s="117">
        <v>0</v>
      </c>
      <c r="W328" s="94">
        <f t="shared" ref="W328:W384" si="111">+V328/(1+$S328)*$S328</f>
        <v>0</v>
      </c>
      <c r="X328" s="94">
        <f t="shared" ref="X328:X384" si="112">+W328*40%</f>
        <v>0</v>
      </c>
      <c r="Y328" s="94">
        <f t="shared" ref="Y328:Y384" si="113">+W328*60%</f>
        <v>0</v>
      </c>
      <c r="Z328" s="93">
        <f>_xlfn.XLOOKUP(O328,'[4]2DO TRIMESTRE'!$C:$C,'[4]2DO TRIMESTRE'!$I:$I,0,0)</f>
        <v>0</v>
      </c>
      <c r="AA328" s="94">
        <f t="shared" si="105"/>
        <v>0</v>
      </c>
      <c r="AB328" s="94">
        <f t="shared" si="106"/>
        <v>0</v>
      </c>
      <c r="AC328" s="94">
        <f t="shared" si="107"/>
        <v>0</v>
      </c>
      <c r="AD328" s="93">
        <v>0</v>
      </c>
      <c r="AE328" s="94">
        <f t="shared" ref="AE328:AE356" si="114">+AD328/(1+$S328)*$S328</f>
        <v>0</v>
      </c>
      <c r="AF328" s="94">
        <f t="shared" ref="AF328:AF356" si="115">+AE328*40%</f>
        <v>0</v>
      </c>
      <c r="AG328" s="94">
        <f t="shared" ref="AG328:AG356" si="116">+AE328*60%</f>
        <v>0</v>
      </c>
      <c r="AH328" s="117">
        <v>0</v>
      </c>
      <c r="AI328" s="94">
        <f t="shared" si="108"/>
        <v>0</v>
      </c>
      <c r="AJ328" s="94">
        <f t="shared" si="109"/>
        <v>0</v>
      </c>
      <c r="AK328" s="94">
        <f t="shared" si="110"/>
        <v>0</v>
      </c>
      <c r="AL328" s="93">
        <v>2957143.1199999996</v>
      </c>
      <c r="AM328" s="93">
        <f t="shared" ref="AM328:AM391" si="117">W328+AA328+AE328+AI328</f>
        <v>0</v>
      </c>
      <c r="AN328" s="155"/>
      <c r="AO328" s="155"/>
    </row>
    <row r="329" spans="1:41" s="9" customFormat="1" ht="25.15" customHeight="1" x14ac:dyDescent="0.25">
      <c r="A329" s="83">
        <v>323</v>
      </c>
      <c r="B329" s="84">
        <v>2024</v>
      </c>
      <c r="C329" s="85" t="s">
        <v>1625</v>
      </c>
      <c r="D329" s="86" t="s">
        <v>1586</v>
      </c>
      <c r="E329" s="86" t="s">
        <v>758</v>
      </c>
      <c r="F329" s="87">
        <v>45608</v>
      </c>
      <c r="G329" s="87">
        <v>45637</v>
      </c>
      <c r="H329" s="88">
        <f t="shared" si="103"/>
        <v>0.32222222222222224</v>
      </c>
      <c r="I329" s="89" t="s">
        <v>763</v>
      </c>
      <c r="J329" s="90" t="s">
        <v>751</v>
      </c>
      <c r="K329" s="90" t="s">
        <v>752</v>
      </c>
      <c r="L329" s="90" t="s">
        <v>753</v>
      </c>
      <c r="M329" s="91" t="s">
        <v>1059</v>
      </c>
      <c r="N329" s="92" t="s">
        <v>1612</v>
      </c>
      <c r="O329" s="85">
        <v>2910907353</v>
      </c>
      <c r="P329" s="93">
        <v>31000000</v>
      </c>
      <c r="Q329" s="93">
        <v>0</v>
      </c>
      <c r="R329" s="94">
        <f t="shared" si="101"/>
        <v>31000000</v>
      </c>
      <c r="S329" s="95">
        <v>0.12000001734193576</v>
      </c>
      <c r="T329" s="94">
        <v>3321429</v>
      </c>
      <c r="U329" s="117">
        <v>31000000</v>
      </c>
      <c r="V329" s="117">
        <v>0</v>
      </c>
      <c r="W329" s="94">
        <f t="shared" si="111"/>
        <v>0</v>
      </c>
      <c r="X329" s="94">
        <f t="shared" si="112"/>
        <v>0</v>
      </c>
      <c r="Y329" s="94">
        <f t="shared" si="113"/>
        <v>0</v>
      </c>
      <c r="Z329" s="93">
        <f>_xlfn.XLOOKUP(O329,'[4]2DO TRIMESTRE'!$C:$C,'[4]2DO TRIMESTRE'!$I:$I,0,0)</f>
        <v>0</v>
      </c>
      <c r="AA329" s="94">
        <f t="shared" si="105"/>
        <v>0</v>
      </c>
      <c r="AB329" s="94">
        <f t="shared" si="106"/>
        <v>0</v>
      </c>
      <c r="AC329" s="94">
        <f t="shared" si="107"/>
        <v>0</v>
      </c>
      <c r="AD329" s="93">
        <v>0</v>
      </c>
      <c r="AE329" s="94">
        <f t="shared" si="114"/>
        <v>0</v>
      </c>
      <c r="AF329" s="94">
        <f t="shared" si="115"/>
        <v>0</v>
      </c>
      <c r="AG329" s="94">
        <f t="shared" si="116"/>
        <v>0</v>
      </c>
      <c r="AH329" s="117">
        <v>0</v>
      </c>
      <c r="AI329" s="94">
        <f t="shared" si="108"/>
        <v>0</v>
      </c>
      <c r="AJ329" s="94">
        <f t="shared" si="109"/>
        <v>0</v>
      </c>
      <c r="AK329" s="94">
        <f t="shared" si="110"/>
        <v>0</v>
      </c>
      <c r="AL329" s="93">
        <v>3321429</v>
      </c>
      <c r="AM329" s="93">
        <f t="shared" si="117"/>
        <v>0</v>
      </c>
      <c r="AN329" s="155"/>
      <c r="AO329" s="155"/>
    </row>
    <row r="330" spans="1:41" s="9" customFormat="1" ht="25.15" customHeight="1" x14ac:dyDescent="0.25">
      <c r="A330" s="83">
        <v>324</v>
      </c>
      <c r="B330" s="84">
        <v>2024</v>
      </c>
      <c r="C330" s="85" t="s">
        <v>1435</v>
      </c>
      <c r="D330" s="86" t="s">
        <v>1589</v>
      </c>
      <c r="E330" s="86" t="s">
        <v>758</v>
      </c>
      <c r="F330" s="87">
        <v>45580</v>
      </c>
      <c r="G330" s="87">
        <v>45655</v>
      </c>
      <c r="H330" s="88">
        <f t="shared" si="103"/>
        <v>0.83333333333333337</v>
      </c>
      <c r="I330" s="89" t="s">
        <v>750</v>
      </c>
      <c r="J330" s="90" t="s">
        <v>751</v>
      </c>
      <c r="K330" s="90" t="s">
        <v>752</v>
      </c>
      <c r="L330" s="90" t="s">
        <v>753</v>
      </c>
      <c r="M330" s="91" t="s">
        <v>1059</v>
      </c>
      <c r="N330" s="92" t="s">
        <v>1613</v>
      </c>
      <c r="O330" s="85">
        <v>2910907344</v>
      </c>
      <c r="P330" s="93">
        <v>52000000</v>
      </c>
      <c r="Q330" s="93">
        <v>0</v>
      </c>
      <c r="R330" s="94">
        <f t="shared" si="101"/>
        <v>52000000</v>
      </c>
      <c r="S330" s="95">
        <v>0.12000001033846164</v>
      </c>
      <c r="T330" s="94">
        <v>5571428.9999999991</v>
      </c>
      <c r="U330" s="117">
        <v>52000000</v>
      </c>
      <c r="V330" s="117">
        <v>0</v>
      </c>
      <c r="W330" s="94">
        <f t="shared" si="111"/>
        <v>0</v>
      </c>
      <c r="X330" s="94">
        <f t="shared" si="112"/>
        <v>0</v>
      </c>
      <c r="Y330" s="94">
        <f t="shared" si="113"/>
        <v>0</v>
      </c>
      <c r="Z330" s="93">
        <f>_xlfn.XLOOKUP(O330,'[4]2DO TRIMESTRE'!$C:$C,'[4]2DO TRIMESTRE'!$I:$I,0,0)</f>
        <v>0</v>
      </c>
      <c r="AA330" s="94">
        <f t="shared" si="105"/>
        <v>0</v>
      </c>
      <c r="AB330" s="94">
        <f t="shared" si="106"/>
        <v>0</v>
      </c>
      <c r="AC330" s="94">
        <f t="shared" si="107"/>
        <v>0</v>
      </c>
      <c r="AD330" s="93">
        <v>0</v>
      </c>
      <c r="AE330" s="94">
        <f t="shared" si="114"/>
        <v>0</v>
      </c>
      <c r="AF330" s="94">
        <f t="shared" si="115"/>
        <v>0</v>
      </c>
      <c r="AG330" s="94">
        <f t="shared" si="116"/>
        <v>0</v>
      </c>
      <c r="AH330" s="117">
        <v>0</v>
      </c>
      <c r="AI330" s="94">
        <f t="shared" si="108"/>
        <v>0</v>
      </c>
      <c r="AJ330" s="94">
        <f t="shared" si="109"/>
        <v>0</v>
      </c>
      <c r="AK330" s="94">
        <f t="shared" si="110"/>
        <v>0</v>
      </c>
      <c r="AL330" s="93">
        <v>5571428.9999999991</v>
      </c>
      <c r="AM330" s="93">
        <f t="shared" si="117"/>
        <v>0</v>
      </c>
      <c r="AN330" s="155"/>
      <c r="AO330" s="155"/>
    </row>
    <row r="331" spans="1:41" s="9" customFormat="1" ht="25.15" customHeight="1" x14ac:dyDescent="0.25">
      <c r="A331" s="83">
        <v>325</v>
      </c>
      <c r="B331" s="84">
        <v>2024</v>
      </c>
      <c r="C331" s="85" t="s">
        <v>1000</v>
      </c>
      <c r="D331" s="86" t="s">
        <v>1591</v>
      </c>
      <c r="E331" s="86" t="s">
        <v>758</v>
      </c>
      <c r="F331" s="87">
        <v>45589</v>
      </c>
      <c r="G331" s="87">
        <v>45649</v>
      </c>
      <c r="H331" s="88">
        <f t="shared" si="103"/>
        <v>0.66666666666666663</v>
      </c>
      <c r="I331" s="89" t="s">
        <v>763</v>
      </c>
      <c r="J331" s="90" t="s">
        <v>751</v>
      </c>
      <c r="K331" s="90" t="s">
        <v>752</v>
      </c>
      <c r="L331" s="90" t="s">
        <v>753</v>
      </c>
      <c r="M331" s="91" t="s">
        <v>1059</v>
      </c>
      <c r="N331" s="92" t="s">
        <v>1614</v>
      </c>
      <c r="O331" s="85">
        <v>2910907350</v>
      </c>
      <c r="P331" s="93">
        <v>43000000</v>
      </c>
      <c r="Q331" s="93">
        <v>0</v>
      </c>
      <c r="R331" s="94">
        <f t="shared" si="101"/>
        <v>43000000</v>
      </c>
      <c r="S331" s="95">
        <v>0.12000000416744187</v>
      </c>
      <c r="T331" s="94">
        <v>4607143</v>
      </c>
      <c r="U331" s="117">
        <v>43000000</v>
      </c>
      <c r="V331" s="117">
        <v>0</v>
      </c>
      <c r="W331" s="94">
        <f t="shared" si="111"/>
        <v>0</v>
      </c>
      <c r="X331" s="94">
        <f t="shared" si="112"/>
        <v>0</v>
      </c>
      <c r="Y331" s="94">
        <f t="shared" si="113"/>
        <v>0</v>
      </c>
      <c r="Z331" s="93">
        <f>_xlfn.XLOOKUP(O331,'[4]2DO TRIMESTRE'!$C:$C,'[4]2DO TRIMESTRE'!$I:$I,0,0)</f>
        <v>0</v>
      </c>
      <c r="AA331" s="94">
        <f t="shared" si="105"/>
        <v>0</v>
      </c>
      <c r="AB331" s="94">
        <f t="shared" si="106"/>
        <v>0</v>
      </c>
      <c r="AC331" s="94">
        <f t="shared" si="107"/>
        <v>0</v>
      </c>
      <c r="AD331" s="93">
        <v>0</v>
      </c>
      <c r="AE331" s="94">
        <f t="shared" si="114"/>
        <v>0</v>
      </c>
      <c r="AF331" s="94">
        <f t="shared" si="115"/>
        <v>0</v>
      </c>
      <c r="AG331" s="94">
        <f t="shared" si="116"/>
        <v>0</v>
      </c>
      <c r="AH331" s="117">
        <v>0</v>
      </c>
      <c r="AI331" s="94">
        <f t="shared" si="108"/>
        <v>0</v>
      </c>
      <c r="AJ331" s="94">
        <f t="shared" si="109"/>
        <v>0</v>
      </c>
      <c r="AK331" s="94">
        <f t="shared" si="110"/>
        <v>0</v>
      </c>
      <c r="AL331" s="93">
        <v>4607143</v>
      </c>
      <c r="AM331" s="93">
        <f t="shared" si="117"/>
        <v>0</v>
      </c>
      <c r="AN331" s="155"/>
      <c r="AO331" s="155"/>
    </row>
    <row r="332" spans="1:41" s="9" customFormat="1" ht="25.15" customHeight="1" x14ac:dyDescent="0.25">
      <c r="A332" s="83">
        <v>326</v>
      </c>
      <c r="B332" s="84">
        <v>2024</v>
      </c>
      <c r="C332" s="85" t="s">
        <v>1626</v>
      </c>
      <c r="D332" s="86" t="s">
        <v>1594</v>
      </c>
      <c r="E332" s="86" t="s">
        <v>758</v>
      </c>
      <c r="F332" s="87">
        <v>45558</v>
      </c>
      <c r="G332" s="87">
        <v>45679</v>
      </c>
      <c r="H332" s="88">
        <f t="shared" si="103"/>
        <v>1.3444444444444446</v>
      </c>
      <c r="I332" s="89" t="s">
        <v>750</v>
      </c>
      <c r="J332" s="90" t="s">
        <v>751</v>
      </c>
      <c r="K332" s="90" t="s">
        <v>752</v>
      </c>
      <c r="L332" s="90" t="s">
        <v>753</v>
      </c>
      <c r="M332" s="91" t="s">
        <v>1059</v>
      </c>
      <c r="N332" s="92" t="s">
        <v>1615</v>
      </c>
      <c r="O332" s="85">
        <v>2910907339</v>
      </c>
      <c r="P332" s="93">
        <v>111464444</v>
      </c>
      <c r="Q332" s="93">
        <v>0</v>
      </c>
      <c r="R332" s="94">
        <f t="shared" si="101"/>
        <v>111464444</v>
      </c>
      <c r="S332" s="95">
        <v>0.12</v>
      </c>
      <c r="T332" s="94">
        <v>11942618.999999998</v>
      </c>
      <c r="U332" s="117">
        <v>100318000</v>
      </c>
      <c r="V332" s="117">
        <v>0</v>
      </c>
      <c r="W332" s="94">
        <f t="shared" si="111"/>
        <v>0</v>
      </c>
      <c r="X332" s="94">
        <f t="shared" si="112"/>
        <v>0</v>
      </c>
      <c r="Y332" s="94">
        <f t="shared" si="113"/>
        <v>0</v>
      </c>
      <c r="Z332" s="93">
        <f>_xlfn.XLOOKUP(O332,'[4]2DO TRIMESTRE'!$C:$C,'[4]2DO TRIMESTRE'!$I:$I,0,0)</f>
        <v>0</v>
      </c>
      <c r="AA332" s="94">
        <f t="shared" si="105"/>
        <v>0</v>
      </c>
      <c r="AB332" s="94">
        <f t="shared" si="106"/>
        <v>0</v>
      </c>
      <c r="AC332" s="94">
        <f t="shared" si="107"/>
        <v>0</v>
      </c>
      <c r="AD332" s="93">
        <v>0</v>
      </c>
      <c r="AE332" s="94">
        <f t="shared" si="114"/>
        <v>0</v>
      </c>
      <c r="AF332" s="94">
        <f t="shared" si="115"/>
        <v>0</v>
      </c>
      <c r="AG332" s="94">
        <f t="shared" si="116"/>
        <v>0</v>
      </c>
      <c r="AH332" s="117">
        <v>0</v>
      </c>
      <c r="AI332" s="94">
        <f t="shared" si="108"/>
        <v>0</v>
      </c>
      <c r="AJ332" s="94">
        <f t="shared" si="109"/>
        <v>0</v>
      </c>
      <c r="AK332" s="94">
        <f t="shared" si="110"/>
        <v>0</v>
      </c>
      <c r="AL332" s="93">
        <v>10748357.142857142</v>
      </c>
      <c r="AM332" s="93">
        <f t="shared" si="117"/>
        <v>0</v>
      </c>
      <c r="AN332" s="155"/>
      <c r="AO332" s="155"/>
    </row>
    <row r="333" spans="1:41" s="9" customFormat="1" ht="25.15" customHeight="1" x14ac:dyDescent="0.25">
      <c r="A333" s="83">
        <v>327</v>
      </c>
      <c r="B333" s="84">
        <v>2024</v>
      </c>
      <c r="C333" s="85" t="s">
        <v>1627</v>
      </c>
      <c r="D333" s="86" t="s">
        <v>1596</v>
      </c>
      <c r="E333" s="86" t="s">
        <v>758</v>
      </c>
      <c r="F333" s="87">
        <v>45610</v>
      </c>
      <c r="G333" s="87">
        <v>45654</v>
      </c>
      <c r="H333" s="88">
        <f t="shared" si="103"/>
        <v>0.48888888888888887</v>
      </c>
      <c r="I333" s="89" t="s">
        <v>763</v>
      </c>
      <c r="J333" s="90" t="s">
        <v>751</v>
      </c>
      <c r="K333" s="90" t="s">
        <v>752</v>
      </c>
      <c r="L333" s="90" t="s">
        <v>753</v>
      </c>
      <c r="M333" s="91" t="s">
        <v>1059</v>
      </c>
      <c r="N333" s="92" t="s">
        <v>1616</v>
      </c>
      <c r="O333" s="85">
        <v>2910907354</v>
      </c>
      <c r="P333" s="93">
        <v>25000000</v>
      </c>
      <c r="Q333" s="93">
        <v>0</v>
      </c>
      <c r="R333" s="94">
        <f t="shared" si="101"/>
        <v>25000000</v>
      </c>
      <c r="S333" s="95">
        <v>0.11999997849600041</v>
      </c>
      <c r="T333" s="94">
        <v>2678571</v>
      </c>
      <c r="U333" s="117">
        <v>25000000</v>
      </c>
      <c r="V333" s="117">
        <v>0</v>
      </c>
      <c r="W333" s="94">
        <f t="shared" si="111"/>
        <v>0</v>
      </c>
      <c r="X333" s="94">
        <f t="shared" si="112"/>
        <v>0</v>
      </c>
      <c r="Y333" s="94">
        <f t="shared" si="113"/>
        <v>0</v>
      </c>
      <c r="Z333" s="93">
        <f>_xlfn.XLOOKUP(O333,'[4]2DO TRIMESTRE'!$C:$C,'[4]2DO TRIMESTRE'!$I:$I,0,0)</f>
        <v>0</v>
      </c>
      <c r="AA333" s="94">
        <f t="shared" si="105"/>
        <v>0</v>
      </c>
      <c r="AB333" s="94">
        <f t="shared" si="106"/>
        <v>0</v>
      </c>
      <c r="AC333" s="94">
        <f t="shared" si="107"/>
        <v>0</v>
      </c>
      <c r="AD333" s="93">
        <v>0</v>
      </c>
      <c r="AE333" s="94">
        <f t="shared" si="114"/>
        <v>0</v>
      </c>
      <c r="AF333" s="94">
        <f t="shared" si="115"/>
        <v>0</v>
      </c>
      <c r="AG333" s="94">
        <f t="shared" si="116"/>
        <v>0</v>
      </c>
      <c r="AH333" s="117">
        <v>0</v>
      </c>
      <c r="AI333" s="94">
        <f t="shared" si="108"/>
        <v>0</v>
      </c>
      <c r="AJ333" s="94">
        <f t="shared" si="109"/>
        <v>0</v>
      </c>
      <c r="AK333" s="94">
        <f t="shared" si="110"/>
        <v>0</v>
      </c>
      <c r="AL333" s="93">
        <v>2678571</v>
      </c>
      <c r="AM333" s="93">
        <f t="shared" si="117"/>
        <v>0</v>
      </c>
      <c r="AN333" s="155"/>
      <c r="AO333" s="155"/>
    </row>
    <row r="334" spans="1:41" s="9" customFormat="1" ht="25.15" customHeight="1" x14ac:dyDescent="0.25">
      <c r="A334" s="83">
        <v>328</v>
      </c>
      <c r="B334" s="84">
        <v>2025</v>
      </c>
      <c r="C334" s="85" t="s">
        <v>128</v>
      </c>
      <c r="D334" s="86" t="s">
        <v>1630</v>
      </c>
      <c r="E334" s="86" t="s">
        <v>758</v>
      </c>
      <c r="F334" s="87">
        <v>45687</v>
      </c>
      <c r="G334" s="87">
        <v>45996</v>
      </c>
      <c r="H334" s="88">
        <f t="shared" si="103"/>
        <v>3.4333333333333331</v>
      </c>
      <c r="I334" s="89" t="s">
        <v>759</v>
      </c>
      <c r="J334" s="90" t="s">
        <v>751</v>
      </c>
      <c r="K334" s="90" t="s">
        <v>752</v>
      </c>
      <c r="L334" s="90" t="s">
        <v>753</v>
      </c>
      <c r="M334" s="91" t="s">
        <v>1059</v>
      </c>
      <c r="N334" s="92" t="s">
        <v>1686</v>
      </c>
      <c r="O334" s="85">
        <v>2910907376</v>
      </c>
      <c r="P334" s="93">
        <v>19056054897</v>
      </c>
      <c r="Q334" s="93">
        <v>0</v>
      </c>
      <c r="R334" s="94">
        <f t="shared" si="101"/>
        <v>19056054897</v>
      </c>
      <c r="S334" s="95">
        <v>0.12000000003056246</v>
      </c>
      <c r="T334" s="94">
        <v>2041720168</v>
      </c>
      <c r="U334" s="117">
        <v>18532703305.110001</v>
      </c>
      <c r="V334" s="117">
        <v>0</v>
      </c>
      <c r="W334" s="94">
        <f t="shared" si="111"/>
        <v>0</v>
      </c>
      <c r="X334" s="94">
        <f t="shared" si="112"/>
        <v>0</v>
      </c>
      <c r="Y334" s="94">
        <f t="shared" si="113"/>
        <v>0</v>
      </c>
      <c r="Z334" s="93">
        <f>_xlfn.XLOOKUP(O334,'[4]2DO TRIMESTRE'!$C:$C,'[4]2DO TRIMESTRE'!$I:$I,0,0)</f>
        <v>0</v>
      </c>
      <c r="AA334" s="94">
        <f t="shared" ref="AA334:AA353" si="118">+Z334/(1+$S334)*$S334</f>
        <v>0</v>
      </c>
      <c r="AB334" s="94">
        <f t="shared" ref="AB334:AB353" si="119">+AA334*40%</f>
        <v>0</v>
      </c>
      <c r="AC334" s="94">
        <f t="shared" ref="AC334:AC353" si="120">+AA334*60%</f>
        <v>0</v>
      </c>
      <c r="AD334" s="93">
        <v>0</v>
      </c>
      <c r="AE334" s="94">
        <f>+AD334/(1+$S334)*$S334</f>
        <v>0</v>
      </c>
      <c r="AF334" s="94">
        <f t="shared" si="115"/>
        <v>0</v>
      </c>
      <c r="AG334" s="94">
        <f t="shared" si="116"/>
        <v>0</v>
      </c>
      <c r="AH334" s="117">
        <v>0</v>
      </c>
      <c r="AI334" s="94">
        <f t="shared" si="108"/>
        <v>0</v>
      </c>
      <c r="AJ334" s="94">
        <f t="shared" si="109"/>
        <v>0</v>
      </c>
      <c r="AK334" s="94">
        <f t="shared" si="110"/>
        <v>0</v>
      </c>
      <c r="AL334" s="93">
        <v>1985646783.1418917</v>
      </c>
      <c r="AM334" s="93">
        <f t="shared" si="117"/>
        <v>0</v>
      </c>
      <c r="AN334" s="155"/>
      <c r="AO334" s="155"/>
    </row>
    <row r="335" spans="1:41" s="9" customFormat="1" ht="25.15" customHeight="1" x14ac:dyDescent="0.25">
      <c r="A335" s="83">
        <v>329</v>
      </c>
      <c r="B335" s="84">
        <v>2024</v>
      </c>
      <c r="C335" s="85" t="s">
        <v>1048</v>
      </c>
      <c r="D335" s="86" t="s">
        <v>1633</v>
      </c>
      <c r="E335" s="86" t="s">
        <v>777</v>
      </c>
      <c r="F335" s="87">
        <v>45621</v>
      </c>
      <c r="G335" s="87">
        <v>45651</v>
      </c>
      <c r="H335" s="88">
        <f t="shared" si="103"/>
        <v>0.33333333333333331</v>
      </c>
      <c r="I335" s="89" t="s">
        <v>750</v>
      </c>
      <c r="J335" s="90" t="s">
        <v>751</v>
      </c>
      <c r="K335" s="90" t="s">
        <v>752</v>
      </c>
      <c r="L335" s="90" t="s">
        <v>753</v>
      </c>
      <c r="M335" s="91" t="s">
        <v>1059</v>
      </c>
      <c r="N335" s="92" t="s">
        <v>1687</v>
      </c>
      <c r="O335" s="85">
        <v>2453018369</v>
      </c>
      <c r="P335" s="93">
        <v>60000000</v>
      </c>
      <c r="Q335" s="93">
        <v>0</v>
      </c>
      <c r="R335" s="94">
        <f t="shared" si="101"/>
        <v>60000000</v>
      </c>
      <c r="S335" s="95">
        <v>0.11999999104000007</v>
      </c>
      <c r="T335" s="94">
        <v>6428571</v>
      </c>
      <c r="U335" s="117">
        <v>60000000</v>
      </c>
      <c r="V335" s="117">
        <v>0</v>
      </c>
      <c r="W335" s="94">
        <f t="shared" si="111"/>
        <v>0</v>
      </c>
      <c r="X335" s="94">
        <f t="shared" si="112"/>
        <v>0</v>
      </c>
      <c r="Y335" s="94">
        <f t="shared" si="113"/>
        <v>0</v>
      </c>
      <c r="Z335" s="93">
        <f>_xlfn.XLOOKUP(O335,'[4]2DO TRIMESTRE'!$C:$C,'[4]2DO TRIMESTRE'!$I:$I,0,0)</f>
        <v>0</v>
      </c>
      <c r="AA335" s="94">
        <f t="shared" si="118"/>
        <v>0</v>
      </c>
      <c r="AB335" s="94">
        <f t="shared" si="119"/>
        <v>0</v>
      </c>
      <c r="AC335" s="94">
        <f t="shared" si="120"/>
        <v>0</v>
      </c>
      <c r="AD335" s="93">
        <v>0</v>
      </c>
      <c r="AE335" s="94">
        <f t="shared" si="114"/>
        <v>0</v>
      </c>
      <c r="AF335" s="94">
        <f t="shared" si="115"/>
        <v>0</v>
      </c>
      <c r="AG335" s="94">
        <f t="shared" si="116"/>
        <v>0</v>
      </c>
      <c r="AH335" s="117">
        <v>0</v>
      </c>
      <c r="AI335" s="94">
        <f t="shared" si="108"/>
        <v>0</v>
      </c>
      <c r="AJ335" s="94">
        <f t="shared" si="109"/>
        <v>0</v>
      </c>
      <c r="AK335" s="94">
        <f t="shared" si="110"/>
        <v>0</v>
      </c>
      <c r="AL335" s="93">
        <v>6428571</v>
      </c>
      <c r="AM335" s="93">
        <f t="shared" si="117"/>
        <v>0</v>
      </c>
      <c r="AN335" s="155"/>
      <c r="AO335" s="155"/>
    </row>
    <row r="336" spans="1:41" s="9" customFormat="1" ht="25.15" customHeight="1" x14ac:dyDescent="0.25">
      <c r="A336" s="83">
        <v>330</v>
      </c>
      <c r="B336" s="84">
        <v>2024</v>
      </c>
      <c r="C336" s="85" t="s">
        <v>1706</v>
      </c>
      <c r="D336" s="86" t="s">
        <v>1637</v>
      </c>
      <c r="E336" s="86" t="s">
        <v>758</v>
      </c>
      <c r="F336" s="87">
        <v>45609</v>
      </c>
      <c r="G336" s="87">
        <v>45798</v>
      </c>
      <c r="H336" s="88">
        <f t="shared" si="103"/>
        <v>2.1</v>
      </c>
      <c r="I336" s="89" t="s">
        <v>759</v>
      </c>
      <c r="J336" s="90" t="s">
        <v>751</v>
      </c>
      <c r="K336" s="90" t="s">
        <v>752</v>
      </c>
      <c r="L336" s="90" t="s">
        <v>753</v>
      </c>
      <c r="M336" s="91" t="s">
        <v>1059</v>
      </c>
      <c r="N336" s="92" t="s">
        <v>1688</v>
      </c>
      <c r="O336" s="85">
        <v>2910907355</v>
      </c>
      <c r="P336" s="93">
        <v>1500000000</v>
      </c>
      <c r="Q336" s="93">
        <v>0</v>
      </c>
      <c r="R336" s="94">
        <f t="shared" si="101"/>
        <v>1500000000</v>
      </c>
      <c r="S336" s="95">
        <v>0.12000000023893333</v>
      </c>
      <c r="T336" s="94">
        <v>160714286</v>
      </c>
      <c r="U336" s="117">
        <v>1500000000</v>
      </c>
      <c r="V336" s="117">
        <v>0</v>
      </c>
      <c r="W336" s="94">
        <f t="shared" si="111"/>
        <v>0</v>
      </c>
      <c r="X336" s="94">
        <f t="shared" si="112"/>
        <v>0</v>
      </c>
      <c r="Y336" s="94">
        <f t="shared" si="113"/>
        <v>0</v>
      </c>
      <c r="Z336" s="93">
        <f>_xlfn.XLOOKUP(O336,'[4]2DO TRIMESTRE'!$C:$C,'[4]2DO TRIMESTRE'!$I:$I,0,0)</f>
        <v>0</v>
      </c>
      <c r="AA336" s="94">
        <f t="shared" si="118"/>
        <v>0</v>
      </c>
      <c r="AB336" s="94">
        <f t="shared" si="119"/>
        <v>0</v>
      </c>
      <c r="AC336" s="94">
        <f t="shared" si="120"/>
        <v>0</v>
      </c>
      <c r="AD336" s="93">
        <v>0</v>
      </c>
      <c r="AE336" s="94">
        <f t="shared" si="114"/>
        <v>0</v>
      </c>
      <c r="AF336" s="94">
        <f t="shared" si="115"/>
        <v>0</v>
      </c>
      <c r="AG336" s="94">
        <f t="shared" si="116"/>
        <v>0</v>
      </c>
      <c r="AH336" s="117">
        <v>0</v>
      </c>
      <c r="AI336" s="94">
        <f t="shared" si="108"/>
        <v>0</v>
      </c>
      <c r="AJ336" s="94">
        <f t="shared" si="109"/>
        <v>0</v>
      </c>
      <c r="AK336" s="94">
        <f t="shared" si="110"/>
        <v>0</v>
      </c>
      <c r="AL336" s="93">
        <v>160714286</v>
      </c>
      <c r="AM336" s="93">
        <f t="shared" si="117"/>
        <v>0</v>
      </c>
      <c r="AN336" s="155"/>
      <c r="AO336" s="155"/>
    </row>
    <row r="337" spans="1:41" s="9" customFormat="1" ht="25.15" customHeight="1" x14ac:dyDescent="0.25">
      <c r="A337" s="83">
        <v>331</v>
      </c>
      <c r="B337" s="84">
        <v>2024</v>
      </c>
      <c r="C337" s="85" t="s">
        <v>1195</v>
      </c>
      <c r="D337" s="86" t="s">
        <v>1640</v>
      </c>
      <c r="E337" s="86" t="s">
        <v>758</v>
      </c>
      <c r="F337" s="87">
        <v>45509</v>
      </c>
      <c r="G337" s="87">
        <v>45650</v>
      </c>
      <c r="H337" s="88">
        <f t="shared" si="103"/>
        <v>1.5666666666666667</v>
      </c>
      <c r="I337" s="89" t="s">
        <v>763</v>
      </c>
      <c r="J337" s="90" t="s">
        <v>751</v>
      </c>
      <c r="K337" s="90" t="s">
        <v>752</v>
      </c>
      <c r="L337" s="90" t="s">
        <v>753</v>
      </c>
      <c r="M337" s="91" t="s">
        <v>1059</v>
      </c>
      <c r="N337" s="92" t="s">
        <v>1689</v>
      </c>
      <c r="O337" s="85">
        <v>2910907333</v>
      </c>
      <c r="P337" s="93">
        <v>4000000000</v>
      </c>
      <c r="Q337" s="93">
        <v>0</v>
      </c>
      <c r="R337" s="94">
        <f t="shared" si="101"/>
        <v>4000000000</v>
      </c>
      <c r="S337" s="95">
        <v>0.1200000001344</v>
      </c>
      <c r="T337" s="94">
        <v>428571429</v>
      </c>
      <c r="U337" s="117">
        <v>3344872522</v>
      </c>
      <c r="V337" s="117">
        <v>126506668.61000013</v>
      </c>
      <c r="W337" s="94">
        <f t="shared" si="111"/>
        <v>13554285.936054302</v>
      </c>
      <c r="X337" s="94">
        <f t="shared" si="112"/>
        <v>5421714.3744217213</v>
      </c>
      <c r="Y337" s="94">
        <f t="shared" si="113"/>
        <v>8132571.5616325811</v>
      </c>
      <c r="Z337" s="93">
        <f>_xlfn.XLOOKUP(O337,'[4]2DO TRIMESTRE'!$C:$C,'[4]2DO TRIMESTRE'!$I:$I,0,0)</f>
        <v>0</v>
      </c>
      <c r="AA337" s="94">
        <f t="shared" si="118"/>
        <v>0</v>
      </c>
      <c r="AB337" s="94">
        <f t="shared" si="119"/>
        <v>0</v>
      </c>
      <c r="AC337" s="94">
        <f t="shared" si="120"/>
        <v>0</v>
      </c>
      <c r="AD337" s="93">
        <v>0</v>
      </c>
      <c r="AE337" s="94">
        <f t="shared" si="114"/>
        <v>0</v>
      </c>
      <c r="AF337" s="94">
        <f t="shared" si="115"/>
        <v>0</v>
      </c>
      <c r="AG337" s="94">
        <f t="shared" si="116"/>
        <v>0</v>
      </c>
      <c r="AH337" s="117">
        <v>0</v>
      </c>
      <c r="AI337" s="94">
        <f t="shared" si="108"/>
        <v>0</v>
      </c>
      <c r="AJ337" s="94">
        <f t="shared" si="109"/>
        <v>0</v>
      </c>
      <c r="AK337" s="94">
        <f t="shared" si="110"/>
        <v>0</v>
      </c>
      <c r="AL337" s="93">
        <v>358379199.14409345</v>
      </c>
      <c r="AM337" s="93">
        <f t="shared" si="117"/>
        <v>13554285.936054302</v>
      </c>
      <c r="AN337" s="155"/>
      <c r="AO337" s="155"/>
    </row>
    <row r="338" spans="1:41" s="9" customFormat="1" ht="25.15" customHeight="1" x14ac:dyDescent="0.25">
      <c r="A338" s="83">
        <v>332</v>
      </c>
      <c r="B338" s="84">
        <v>2024</v>
      </c>
      <c r="C338" s="85" t="s">
        <v>976</v>
      </c>
      <c r="D338" s="86" t="s">
        <v>1642</v>
      </c>
      <c r="E338" s="86" t="s">
        <v>758</v>
      </c>
      <c r="F338" s="87">
        <v>45652</v>
      </c>
      <c r="G338" s="87">
        <v>45932</v>
      </c>
      <c r="H338" s="88">
        <f t="shared" si="103"/>
        <v>3.1111111111111112</v>
      </c>
      <c r="I338" s="89" t="s">
        <v>759</v>
      </c>
      <c r="J338" s="90" t="s">
        <v>751</v>
      </c>
      <c r="K338" s="90" t="s">
        <v>752</v>
      </c>
      <c r="L338" s="90" t="s">
        <v>753</v>
      </c>
      <c r="M338" s="91" t="s">
        <v>1059</v>
      </c>
      <c r="N338" s="92" t="s">
        <v>1690</v>
      </c>
      <c r="O338" s="85">
        <v>2910907371</v>
      </c>
      <c r="P338" s="93">
        <v>2438185998</v>
      </c>
      <c r="Q338" s="93">
        <v>0</v>
      </c>
      <c r="R338" s="94">
        <f t="shared" si="101"/>
        <v>2438185998</v>
      </c>
      <c r="S338" s="95">
        <v>0.11999999996325136</v>
      </c>
      <c r="T338" s="94">
        <v>261234214</v>
      </c>
      <c r="U338" s="117">
        <v>1766886988</v>
      </c>
      <c r="V338" s="117">
        <v>579372688</v>
      </c>
      <c r="W338" s="94">
        <f t="shared" si="111"/>
        <v>62075645.125883967</v>
      </c>
      <c r="X338" s="94">
        <f t="shared" si="112"/>
        <v>24830258.050353587</v>
      </c>
      <c r="Y338" s="94">
        <f t="shared" si="113"/>
        <v>37245387.07553038</v>
      </c>
      <c r="Z338" s="93">
        <v>204779404</v>
      </c>
      <c r="AA338" s="94">
        <f>+Z338/(1+$S338)*$S338</f>
        <v>21940650.422572255</v>
      </c>
      <c r="AB338" s="94">
        <v>8776224</v>
      </c>
      <c r="AC338" s="94">
        <v>13164336.422571987</v>
      </c>
      <c r="AD338" s="93">
        <v>0</v>
      </c>
      <c r="AE338" s="94">
        <f t="shared" si="114"/>
        <v>0</v>
      </c>
      <c r="AF338" s="94">
        <f t="shared" si="115"/>
        <v>0</v>
      </c>
      <c r="AG338" s="94">
        <f t="shared" si="116"/>
        <v>0</v>
      </c>
      <c r="AH338" s="117">
        <v>0</v>
      </c>
      <c r="AI338" s="94">
        <f t="shared" si="108"/>
        <v>0</v>
      </c>
      <c r="AJ338" s="94">
        <f t="shared" si="109"/>
        <v>0</v>
      </c>
      <c r="AK338" s="94">
        <f t="shared" si="110"/>
        <v>0</v>
      </c>
      <c r="AL338" s="93">
        <v>189309230.091095</v>
      </c>
      <c r="AM338" s="93">
        <f t="shared" si="117"/>
        <v>84016295.548456222</v>
      </c>
      <c r="AN338" s="155"/>
      <c r="AO338" s="155"/>
    </row>
    <row r="339" spans="1:41" s="9" customFormat="1" ht="25.15" customHeight="1" x14ac:dyDescent="0.25">
      <c r="A339" s="83">
        <v>333</v>
      </c>
      <c r="B339" s="84">
        <v>2024</v>
      </c>
      <c r="C339" s="85" t="s">
        <v>1707</v>
      </c>
      <c r="D339" s="86" t="s">
        <v>1644</v>
      </c>
      <c r="E339" s="86" t="s">
        <v>777</v>
      </c>
      <c r="F339" s="87">
        <v>45656</v>
      </c>
      <c r="G339" s="87">
        <v>45865</v>
      </c>
      <c r="H339" s="88">
        <f t="shared" si="103"/>
        <v>2.3222222222222224</v>
      </c>
      <c r="I339" s="89" t="s">
        <v>759</v>
      </c>
      <c r="J339" s="90" t="s">
        <v>751</v>
      </c>
      <c r="K339" s="90" t="s">
        <v>752</v>
      </c>
      <c r="L339" s="90" t="s">
        <v>753</v>
      </c>
      <c r="M339" s="91" t="s">
        <v>1059</v>
      </c>
      <c r="N339" s="92" t="s">
        <v>1691</v>
      </c>
      <c r="O339" s="85">
        <v>2453018371</v>
      </c>
      <c r="P339" s="93">
        <v>2206796261</v>
      </c>
      <c r="Q339" s="93">
        <v>0</v>
      </c>
      <c r="R339" s="94">
        <f t="shared" si="101"/>
        <v>2206796261</v>
      </c>
      <c r="S339" s="95">
        <v>0.120000000263912</v>
      </c>
      <c r="T339" s="94">
        <v>236442457</v>
      </c>
      <c r="U339" s="117">
        <v>2180023751</v>
      </c>
      <c r="V339" s="117">
        <v>0</v>
      </c>
      <c r="W339" s="94">
        <f t="shared" si="111"/>
        <v>0</v>
      </c>
      <c r="X339" s="94">
        <f t="shared" si="112"/>
        <v>0</v>
      </c>
      <c r="Y339" s="94">
        <f t="shared" si="113"/>
        <v>0</v>
      </c>
      <c r="Z339" s="93">
        <v>187637493</v>
      </c>
      <c r="AA339" s="94">
        <f t="shared" si="118"/>
        <v>20104017.146619726</v>
      </c>
      <c r="AB339" s="94">
        <f t="shared" si="119"/>
        <v>8041606.8586478904</v>
      </c>
      <c r="AC339" s="94">
        <f t="shared" si="120"/>
        <v>12062410.287971836</v>
      </c>
      <c r="AD339" s="93">
        <v>0</v>
      </c>
      <c r="AE339" s="94">
        <f>+AD339/(1+$S339)*$S339</f>
        <v>0</v>
      </c>
      <c r="AF339" s="94">
        <f t="shared" si="115"/>
        <v>0</v>
      </c>
      <c r="AG339" s="94">
        <f t="shared" si="116"/>
        <v>0</v>
      </c>
      <c r="AH339" s="117">
        <v>0</v>
      </c>
      <c r="AI339" s="94">
        <f t="shared" si="108"/>
        <v>0</v>
      </c>
      <c r="AJ339" s="94">
        <f t="shared" si="109"/>
        <v>0</v>
      </c>
      <c r="AK339" s="94">
        <f t="shared" si="110"/>
        <v>0</v>
      </c>
      <c r="AL339" s="93">
        <v>233573973.78008163</v>
      </c>
      <c r="AM339" s="93">
        <f t="shared" si="117"/>
        <v>20104017.146619726</v>
      </c>
      <c r="AN339" s="155"/>
      <c r="AO339" s="155"/>
    </row>
    <row r="340" spans="1:41" s="9" customFormat="1" ht="25.15" customHeight="1" x14ac:dyDescent="0.25">
      <c r="A340" s="83">
        <v>334</v>
      </c>
      <c r="B340" s="84">
        <v>2024</v>
      </c>
      <c r="C340" s="85" t="s">
        <v>1708</v>
      </c>
      <c r="D340" s="86" t="s">
        <v>1645</v>
      </c>
      <c r="E340" s="86" t="s">
        <v>777</v>
      </c>
      <c r="F340" s="87">
        <v>45656</v>
      </c>
      <c r="G340" s="87">
        <v>45914</v>
      </c>
      <c r="H340" s="88">
        <f t="shared" si="103"/>
        <v>2.8666666666666667</v>
      </c>
      <c r="I340" s="89" t="s">
        <v>759</v>
      </c>
      <c r="J340" s="90" t="s">
        <v>751</v>
      </c>
      <c r="K340" s="90" t="s">
        <v>752</v>
      </c>
      <c r="L340" s="90" t="s">
        <v>753</v>
      </c>
      <c r="M340" s="91" t="s">
        <v>1059</v>
      </c>
      <c r="N340" s="92" t="s">
        <v>1692</v>
      </c>
      <c r="O340" s="85">
        <v>2453018372</v>
      </c>
      <c r="P340" s="93">
        <v>1417150530</v>
      </c>
      <c r="Q340" s="93">
        <v>0</v>
      </c>
      <c r="R340" s="94">
        <f t="shared" si="101"/>
        <v>1417150530</v>
      </c>
      <c r="S340" s="95">
        <v>0.1200000001896764</v>
      </c>
      <c r="T340" s="94">
        <v>151837557</v>
      </c>
      <c r="U340" s="117">
        <v>1163504743</v>
      </c>
      <c r="V340" s="117">
        <v>0</v>
      </c>
      <c r="W340" s="94">
        <f t="shared" si="111"/>
        <v>0</v>
      </c>
      <c r="X340" s="94">
        <f t="shared" si="112"/>
        <v>0</v>
      </c>
      <c r="Y340" s="94">
        <f t="shared" si="113"/>
        <v>0</v>
      </c>
      <c r="Z340" s="93">
        <v>403734245</v>
      </c>
      <c r="AA340" s="94">
        <f t="shared" si="118"/>
        <v>43257240.596762478</v>
      </c>
      <c r="AB340" s="94">
        <f t="shared" si="119"/>
        <v>17302896.238704991</v>
      </c>
      <c r="AC340" s="94">
        <f t="shared" si="120"/>
        <v>25954344.358057488</v>
      </c>
      <c r="AD340" s="93">
        <v>0</v>
      </c>
      <c r="AE340" s="94">
        <f>+AD340/(1+$S340)*$S340</f>
        <v>0</v>
      </c>
      <c r="AF340" s="94">
        <f t="shared" si="115"/>
        <v>0</v>
      </c>
      <c r="AG340" s="94">
        <f t="shared" si="116"/>
        <v>0</v>
      </c>
      <c r="AH340" s="117">
        <v>0</v>
      </c>
      <c r="AI340" s="94">
        <f t="shared" si="108"/>
        <v>0</v>
      </c>
      <c r="AJ340" s="94">
        <f t="shared" si="109"/>
        <v>0</v>
      </c>
      <c r="AK340" s="94">
        <f t="shared" si="110"/>
        <v>0</v>
      </c>
      <c r="AL340" s="93">
        <v>124661222.64021794</v>
      </c>
      <c r="AM340" s="93">
        <f t="shared" si="117"/>
        <v>43257240.596762478</v>
      </c>
      <c r="AN340" s="155"/>
      <c r="AO340" s="155"/>
    </row>
    <row r="341" spans="1:41" s="9" customFormat="1" ht="25.15" customHeight="1" x14ac:dyDescent="0.25">
      <c r="A341" s="83">
        <v>335</v>
      </c>
      <c r="B341" s="84">
        <v>2024</v>
      </c>
      <c r="C341" s="85" t="s">
        <v>900</v>
      </c>
      <c r="D341" s="86" t="s">
        <v>1646</v>
      </c>
      <c r="E341" s="86" t="s">
        <v>777</v>
      </c>
      <c r="F341" s="87">
        <v>45649</v>
      </c>
      <c r="G341" s="87">
        <v>45742</v>
      </c>
      <c r="H341" s="88">
        <f t="shared" si="103"/>
        <v>1.0333333333333334</v>
      </c>
      <c r="I341" s="89" t="s">
        <v>763</v>
      </c>
      <c r="J341" s="90" t="s">
        <v>751</v>
      </c>
      <c r="K341" s="90" t="s">
        <v>752</v>
      </c>
      <c r="L341" s="90" t="s">
        <v>753</v>
      </c>
      <c r="M341" s="91" t="s">
        <v>1059</v>
      </c>
      <c r="N341" s="92" t="s">
        <v>1693</v>
      </c>
      <c r="O341" s="85">
        <v>2453018374</v>
      </c>
      <c r="P341" s="93">
        <v>259168000</v>
      </c>
      <c r="Q341" s="93">
        <v>0</v>
      </c>
      <c r="R341" s="94">
        <f t="shared" si="101"/>
        <v>259168000</v>
      </c>
      <c r="S341" s="95">
        <v>0.12</v>
      </c>
      <c r="T341" s="94">
        <v>27768000</v>
      </c>
      <c r="U341" s="117">
        <v>187200000</v>
      </c>
      <c r="V341" s="117">
        <v>0</v>
      </c>
      <c r="W341" s="94">
        <f t="shared" si="111"/>
        <v>0</v>
      </c>
      <c r="X341" s="94">
        <f t="shared" si="112"/>
        <v>0</v>
      </c>
      <c r="Y341" s="94">
        <f t="shared" si="113"/>
        <v>0</v>
      </c>
      <c r="Z341" s="93">
        <f>_xlfn.XLOOKUP(O341,'[4]2DO TRIMESTRE'!$C:$C,'[4]2DO TRIMESTRE'!$I:$I,0,0)</f>
        <v>0</v>
      </c>
      <c r="AA341" s="94">
        <f t="shared" si="118"/>
        <v>0</v>
      </c>
      <c r="AB341" s="94">
        <f t="shared" si="119"/>
        <v>0</v>
      </c>
      <c r="AC341" s="94">
        <f t="shared" si="120"/>
        <v>0</v>
      </c>
      <c r="AD341" s="93">
        <v>0</v>
      </c>
      <c r="AE341" s="94">
        <f t="shared" si="114"/>
        <v>0</v>
      </c>
      <c r="AF341" s="94">
        <f t="shared" si="115"/>
        <v>0</v>
      </c>
      <c r="AG341" s="94">
        <f t="shared" si="116"/>
        <v>0</v>
      </c>
      <c r="AH341" s="117">
        <v>0</v>
      </c>
      <c r="AI341" s="94">
        <f t="shared" si="108"/>
        <v>0</v>
      </c>
      <c r="AJ341" s="94">
        <f t="shared" si="109"/>
        <v>0</v>
      </c>
      <c r="AK341" s="94">
        <f t="shared" si="110"/>
        <v>0</v>
      </c>
      <c r="AL341" s="93">
        <v>20057142.857142854</v>
      </c>
      <c r="AM341" s="93">
        <f t="shared" si="117"/>
        <v>0</v>
      </c>
      <c r="AN341" s="155"/>
      <c r="AO341" s="155"/>
    </row>
    <row r="342" spans="1:41" s="9" customFormat="1" ht="25.15" customHeight="1" x14ac:dyDescent="0.25">
      <c r="A342" s="83">
        <v>336</v>
      </c>
      <c r="B342" s="84">
        <v>2024</v>
      </c>
      <c r="C342" s="85" t="s">
        <v>976</v>
      </c>
      <c r="D342" s="86" t="s">
        <v>1648</v>
      </c>
      <c r="E342" s="86" t="s">
        <v>758</v>
      </c>
      <c r="F342" s="87">
        <v>45646</v>
      </c>
      <c r="G342" s="87">
        <v>46014</v>
      </c>
      <c r="H342" s="88">
        <f t="shared" si="103"/>
        <v>4.0888888888888886</v>
      </c>
      <c r="I342" s="89" t="s">
        <v>759</v>
      </c>
      <c r="J342" s="90" t="s">
        <v>751</v>
      </c>
      <c r="K342" s="90" t="s">
        <v>752</v>
      </c>
      <c r="L342" s="90" t="s">
        <v>753</v>
      </c>
      <c r="M342" s="91" t="s">
        <v>1059</v>
      </c>
      <c r="N342" s="92" t="s">
        <v>1694</v>
      </c>
      <c r="O342" s="85">
        <v>2910907377</v>
      </c>
      <c r="P342" s="93">
        <v>2827080133</v>
      </c>
      <c r="Q342" s="93">
        <v>0</v>
      </c>
      <c r="R342" s="94">
        <f t="shared" si="101"/>
        <v>2827080133</v>
      </c>
      <c r="S342" s="95">
        <v>0.1200000000792337</v>
      </c>
      <c r="T342" s="94">
        <v>302901443</v>
      </c>
      <c r="U342" s="117">
        <v>848124040</v>
      </c>
      <c r="V342" s="117">
        <v>0</v>
      </c>
      <c r="W342" s="94">
        <f t="shared" si="111"/>
        <v>0</v>
      </c>
      <c r="X342" s="94">
        <f t="shared" si="112"/>
        <v>0</v>
      </c>
      <c r="Y342" s="94">
        <f t="shared" si="113"/>
        <v>0</v>
      </c>
      <c r="Z342" s="93">
        <f>_xlfn.XLOOKUP(O342,'[4]2DO TRIMESTRE'!$C:$C,'[4]2DO TRIMESTRE'!$I:$I,0,0)</f>
        <v>0</v>
      </c>
      <c r="AA342" s="94">
        <f t="shared" si="118"/>
        <v>0</v>
      </c>
      <c r="AB342" s="94">
        <f t="shared" si="119"/>
        <v>0</v>
      </c>
      <c r="AC342" s="94">
        <f t="shared" si="120"/>
        <v>0</v>
      </c>
      <c r="AD342" s="93">
        <v>0</v>
      </c>
      <c r="AE342" s="94">
        <f t="shared" si="114"/>
        <v>0</v>
      </c>
      <c r="AF342" s="94">
        <f t="shared" si="115"/>
        <v>0</v>
      </c>
      <c r="AG342" s="94">
        <f t="shared" si="116"/>
        <v>0</v>
      </c>
      <c r="AH342" s="117">
        <v>0</v>
      </c>
      <c r="AI342" s="94">
        <f t="shared" si="108"/>
        <v>0</v>
      </c>
      <c r="AJ342" s="94">
        <f t="shared" si="109"/>
        <v>0</v>
      </c>
      <c r="AK342" s="94">
        <f t="shared" si="110"/>
        <v>0</v>
      </c>
      <c r="AL342" s="93">
        <v>90870432.910714298</v>
      </c>
      <c r="AM342" s="93">
        <f t="shared" si="117"/>
        <v>0</v>
      </c>
      <c r="AN342" s="155"/>
      <c r="AO342" s="155"/>
    </row>
    <row r="343" spans="1:41" s="9" customFormat="1" ht="25.15" customHeight="1" x14ac:dyDescent="0.25">
      <c r="A343" s="83">
        <v>337</v>
      </c>
      <c r="B343" s="84">
        <v>2024</v>
      </c>
      <c r="C343" s="85" t="s">
        <v>962</v>
      </c>
      <c r="D343" s="86" t="s">
        <v>1650</v>
      </c>
      <c r="E343" s="86" t="s">
        <v>758</v>
      </c>
      <c r="F343" s="87">
        <v>45653</v>
      </c>
      <c r="G343" s="87">
        <v>45912</v>
      </c>
      <c r="H343" s="88">
        <f t="shared" si="103"/>
        <v>2.8777777777777778</v>
      </c>
      <c r="I343" s="89" t="s">
        <v>759</v>
      </c>
      <c r="J343" s="90" t="s">
        <v>751</v>
      </c>
      <c r="K343" s="90" t="s">
        <v>752</v>
      </c>
      <c r="L343" s="90" t="s">
        <v>753</v>
      </c>
      <c r="M343" s="91" t="s">
        <v>1059</v>
      </c>
      <c r="N343" s="92" t="s">
        <v>1695</v>
      </c>
      <c r="O343" s="85">
        <v>2910907373</v>
      </c>
      <c r="P343" s="93">
        <v>1257683000</v>
      </c>
      <c r="Q343" s="93">
        <v>0</v>
      </c>
      <c r="R343" s="94">
        <f t="shared" si="101"/>
        <v>1257683000</v>
      </c>
      <c r="S343" s="95">
        <v>0.12</v>
      </c>
      <c r="T343" s="94">
        <v>134751750</v>
      </c>
      <c r="U343" s="117">
        <v>843640937</v>
      </c>
      <c r="V343" s="117">
        <v>130493707</v>
      </c>
      <c r="W343" s="94">
        <f t="shared" si="111"/>
        <v>13981468.607142856</v>
      </c>
      <c r="X343" s="94">
        <f t="shared" si="112"/>
        <v>5592587.4428571425</v>
      </c>
      <c r="Y343" s="94">
        <f t="shared" si="113"/>
        <v>8388881.1642857138</v>
      </c>
      <c r="Z343" s="93">
        <v>335842330</v>
      </c>
      <c r="AA343" s="94">
        <f t="shared" si="118"/>
        <v>35983106.785714276</v>
      </c>
      <c r="AB343" s="94">
        <f t="shared" si="119"/>
        <v>14393242.714285711</v>
      </c>
      <c r="AC343" s="94">
        <f t="shared" si="120"/>
        <v>21589864.071428563</v>
      </c>
      <c r="AD343" s="93">
        <v>0</v>
      </c>
      <c r="AE343" s="94">
        <f t="shared" si="114"/>
        <v>0</v>
      </c>
      <c r="AF343" s="94">
        <f t="shared" si="115"/>
        <v>0</v>
      </c>
      <c r="AG343" s="94">
        <f t="shared" si="116"/>
        <v>0</v>
      </c>
      <c r="AH343" s="117">
        <v>0</v>
      </c>
      <c r="AI343" s="94">
        <f t="shared" si="108"/>
        <v>0</v>
      </c>
      <c r="AJ343" s="94">
        <f t="shared" si="109"/>
        <v>0</v>
      </c>
      <c r="AK343" s="94">
        <f t="shared" si="110"/>
        <v>0</v>
      </c>
      <c r="AL343" s="93">
        <v>90390100.392857134</v>
      </c>
      <c r="AM343" s="93">
        <f t="shared" si="117"/>
        <v>49964575.392857134</v>
      </c>
      <c r="AN343" s="155"/>
      <c r="AO343" s="155"/>
    </row>
    <row r="344" spans="1:41" s="9" customFormat="1" ht="25.15" customHeight="1" x14ac:dyDescent="0.25">
      <c r="A344" s="83">
        <v>338</v>
      </c>
      <c r="B344" s="84">
        <v>2024</v>
      </c>
      <c r="C344" s="85" t="s">
        <v>843</v>
      </c>
      <c r="D344" s="86" t="s">
        <v>1652</v>
      </c>
      <c r="E344" s="86" t="s">
        <v>758</v>
      </c>
      <c r="F344" s="87">
        <v>45656</v>
      </c>
      <c r="G344" s="87">
        <v>45930</v>
      </c>
      <c r="H344" s="88">
        <f t="shared" si="103"/>
        <v>3.0444444444444443</v>
      </c>
      <c r="I344" s="89" t="s">
        <v>759</v>
      </c>
      <c r="J344" s="90" t="s">
        <v>751</v>
      </c>
      <c r="K344" s="90" t="s">
        <v>752</v>
      </c>
      <c r="L344" s="90" t="s">
        <v>753</v>
      </c>
      <c r="M344" s="91" t="s">
        <v>1059</v>
      </c>
      <c r="N344" s="92" t="s">
        <v>1696</v>
      </c>
      <c r="O344" s="85">
        <v>2910907369</v>
      </c>
      <c r="P344" s="93">
        <v>2326000000</v>
      </c>
      <c r="Q344" s="93">
        <v>0</v>
      </c>
      <c r="R344" s="94">
        <f t="shared" si="101"/>
        <v>2326000000</v>
      </c>
      <c r="S344" s="95">
        <v>0.11999999961478934</v>
      </c>
      <c r="T344" s="94">
        <v>249214285</v>
      </c>
      <c r="U344" s="117">
        <v>697800000</v>
      </c>
      <c r="V344" s="117">
        <v>0</v>
      </c>
      <c r="W344" s="94">
        <f t="shared" si="111"/>
        <v>0</v>
      </c>
      <c r="X344" s="94">
        <f t="shared" si="112"/>
        <v>0</v>
      </c>
      <c r="Y344" s="94">
        <f t="shared" si="113"/>
        <v>0</v>
      </c>
      <c r="Z344" s="93">
        <f>_xlfn.XLOOKUP(O344,'[4]2DO TRIMESTRE'!$C:$C,'[4]2DO TRIMESTRE'!$I:$I,0,0)</f>
        <v>0</v>
      </c>
      <c r="AA344" s="94">
        <f t="shared" si="118"/>
        <v>0</v>
      </c>
      <c r="AB344" s="94">
        <f t="shared" si="119"/>
        <v>0</v>
      </c>
      <c r="AC344" s="94">
        <f t="shared" si="120"/>
        <v>0</v>
      </c>
      <c r="AD344" s="93">
        <v>0</v>
      </c>
      <c r="AE344" s="94">
        <f t="shared" si="114"/>
        <v>0</v>
      </c>
      <c r="AF344" s="94">
        <f t="shared" si="115"/>
        <v>0</v>
      </c>
      <c r="AG344" s="94">
        <f t="shared" si="116"/>
        <v>0</v>
      </c>
      <c r="AH344" s="117">
        <v>0</v>
      </c>
      <c r="AI344" s="94">
        <f t="shared" si="108"/>
        <v>0</v>
      </c>
      <c r="AJ344" s="94">
        <f t="shared" si="109"/>
        <v>0</v>
      </c>
      <c r="AK344" s="94">
        <f t="shared" si="110"/>
        <v>0</v>
      </c>
      <c r="AL344" s="93">
        <v>74764285.5</v>
      </c>
      <c r="AM344" s="93">
        <f t="shared" si="117"/>
        <v>0</v>
      </c>
      <c r="AN344" s="155"/>
      <c r="AO344" s="155"/>
    </row>
    <row r="345" spans="1:41" s="9" customFormat="1" ht="25.15" customHeight="1" x14ac:dyDescent="0.25">
      <c r="A345" s="83">
        <v>339</v>
      </c>
      <c r="B345" s="84">
        <v>2024</v>
      </c>
      <c r="C345" s="85" t="s">
        <v>1171</v>
      </c>
      <c r="D345" s="86" t="s">
        <v>1654</v>
      </c>
      <c r="E345" s="86" t="s">
        <v>758</v>
      </c>
      <c r="F345" s="87">
        <v>45652</v>
      </c>
      <c r="G345" s="87">
        <v>45995</v>
      </c>
      <c r="H345" s="88">
        <f t="shared" si="103"/>
        <v>3.8111111111111109</v>
      </c>
      <c r="I345" s="89" t="s">
        <v>759</v>
      </c>
      <c r="J345" s="90" t="s">
        <v>751</v>
      </c>
      <c r="K345" s="90" t="s">
        <v>752</v>
      </c>
      <c r="L345" s="90" t="s">
        <v>753</v>
      </c>
      <c r="M345" s="91" t="s">
        <v>1059</v>
      </c>
      <c r="N345" s="92" t="s">
        <v>1697</v>
      </c>
      <c r="O345" s="85">
        <v>2910907370</v>
      </c>
      <c r="P345" s="93">
        <v>2400000000</v>
      </c>
      <c r="Q345" s="93">
        <v>0</v>
      </c>
      <c r="R345" s="94">
        <f t="shared" si="101"/>
        <v>2400000000</v>
      </c>
      <c r="S345" s="95">
        <v>0.11999999992533333</v>
      </c>
      <c r="T345" s="94">
        <v>257142857</v>
      </c>
      <c r="U345" s="117">
        <v>1560000000</v>
      </c>
      <c r="V345" s="117">
        <v>600000000</v>
      </c>
      <c r="W345" s="94">
        <f t="shared" si="111"/>
        <v>64285714.25</v>
      </c>
      <c r="X345" s="94">
        <f t="shared" si="112"/>
        <v>25714285.700000003</v>
      </c>
      <c r="Y345" s="94">
        <f t="shared" si="113"/>
        <v>38571428.549999997</v>
      </c>
      <c r="Z345" s="93">
        <f>_xlfn.XLOOKUP(O345,'[4]2DO TRIMESTRE'!$C:$C,'[4]2DO TRIMESTRE'!$I:$I,0,0)</f>
        <v>0</v>
      </c>
      <c r="AA345" s="94">
        <f t="shared" si="118"/>
        <v>0</v>
      </c>
      <c r="AB345" s="94">
        <f t="shared" si="119"/>
        <v>0</v>
      </c>
      <c r="AC345" s="94">
        <f t="shared" si="120"/>
        <v>0</v>
      </c>
      <c r="AD345" s="93">
        <v>0</v>
      </c>
      <c r="AE345" s="94">
        <f t="shared" si="114"/>
        <v>0</v>
      </c>
      <c r="AF345" s="94">
        <f t="shared" si="115"/>
        <v>0</v>
      </c>
      <c r="AG345" s="94">
        <f t="shared" si="116"/>
        <v>0</v>
      </c>
      <c r="AH345" s="117">
        <v>0</v>
      </c>
      <c r="AI345" s="94">
        <f t="shared" si="108"/>
        <v>0</v>
      </c>
      <c r="AJ345" s="94">
        <f t="shared" si="109"/>
        <v>0</v>
      </c>
      <c r="AK345" s="94">
        <f t="shared" si="110"/>
        <v>0</v>
      </c>
      <c r="AL345" s="93">
        <v>167142857.05000001</v>
      </c>
      <c r="AM345" s="93">
        <f t="shared" si="117"/>
        <v>64285714.25</v>
      </c>
      <c r="AN345" s="155"/>
      <c r="AO345" s="155"/>
    </row>
    <row r="346" spans="1:41" s="9" customFormat="1" ht="25.15" customHeight="1" x14ac:dyDescent="0.25">
      <c r="A346" s="83">
        <v>340</v>
      </c>
      <c r="B346" s="84">
        <v>2024</v>
      </c>
      <c r="C346" s="85" t="s">
        <v>1171</v>
      </c>
      <c r="D346" s="86" t="s">
        <v>1657</v>
      </c>
      <c r="E346" s="86" t="s">
        <v>758</v>
      </c>
      <c r="F346" s="87">
        <v>45652</v>
      </c>
      <c r="G346" s="87">
        <v>45970</v>
      </c>
      <c r="H346" s="88">
        <f t="shared" si="103"/>
        <v>3.5333333333333332</v>
      </c>
      <c r="I346" s="89" t="s">
        <v>759</v>
      </c>
      <c r="J346" s="90" t="s">
        <v>751</v>
      </c>
      <c r="K346" s="90" t="s">
        <v>752</v>
      </c>
      <c r="L346" s="90" t="s">
        <v>753</v>
      </c>
      <c r="M346" s="91" t="s">
        <v>1059</v>
      </c>
      <c r="N346" s="92" t="s">
        <v>1698</v>
      </c>
      <c r="O346" s="85">
        <v>2920907372</v>
      </c>
      <c r="P346" s="93">
        <v>1150000000</v>
      </c>
      <c r="Q346" s="93">
        <v>0</v>
      </c>
      <c r="R346" s="94">
        <f t="shared" si="101"/>
        <v>1150000000</v>
      </c>
      <c r="S346" s="95">
        <v>0.12000000031165217</v>
      </c>
      <c r="T346" s="94">
        <v>123214286</v>
      </c>
      <c r="U346" s="117">
        <v>1150000000</v>
      </c>
      <c r="V346" s="117">
        <v>460000000</v>
      </c>
      <c r="W346" s="94">
        <f t="shared" si="111"/>
        <v>49285714.399999999</v>
      </c>
      <c r="X346" s="94">
        <f t="shared" si="112"/>
        <v>19714285.760000002</v>
      </c>
      <c r="Y346" s="94">
        <f t="shared" si="113"/>
        <v>29571428.639999997</v>
      </c>
      <c r="Z346" s="93">
        <v>115000000</v>
      </c>
      <c r="AA346" s="94">
        <f t="shared" si="118"/>
        <v>12321428.6</v>
      </c>
      <c r="AB346" s="94">
        <f t="shared" si="119"/>
        <v>4928571.4400000004</v>
      </c>
      <c r="AC346" s="94">
        <f t="shared" si="120"/>
        <v>7392857.1599999992</v>
      </c>
      <c r="AD346" s="93">
        <v>0</v>
      </c>
      <c r="AE346" s="94">
        <f t="shared" si="114"/>
        <v>0</v>
      </c>
      <c r="AF346" s="94">
        <f t="shared" si="115"/>
        <v>0</v>
      </c>
      <c r="AG346" s="94">
        <f t="shared" si="116"/>
        <v>0</v>
      </c>
      <c r="AH346" s="117">
        <v>0</v>
      </c>
      <c r="AI346" s="94">
        <f t="shared" si="108"/>
        <v>0</v>
      </c>
      <c r="AJ346" s="94">
        <f t="shared" si="109"/>
        <v>0</v>
      </c>
      <c r="AK346" s="94">
        <f t="shared" si="110"/>
        <v>0</v>
      </c>
      <c r="AL346" s="93">
        <v>123214286</v>
      </c>
      <c r="AM346" s="93">
        <f t="shared" si="117"/>
        <v>61607143</v>
      </c>
      <c r="AN346" s="155"/>
      <c r="AO346" s="155"/>
    </row>
    <row r="347" spans="1:41" s="9" customFormat="1" ht="25.15" customHeight="1" x14ac:dyDescent="0.25">
      <c r="A347" s="83">
        <v>341</v>
      </c>
      <c r="B347" s="84">
        <v>2024</v>
      </c>
      <c r="C347" s="85" t="s">
        <v>1195</v>
      </c>
      <c r="D347" s="86" t="s">
        <v>1660</v>
      </c>
      <c r="E347" s="86" t="s">
        <v>758</v>
      </c>
      <c r="F347" s="87">
        <v>45611</v>
      </c>
      <c r="G347" s="87">
        <v>45657</v>
      </c>
      <c r="H347" s="88">
        <f t="shared" si="103"/>
        <v>0.51111111111111107</v>
      </c>
      <c r="I347" s="89" t="s">
        <v>763</v>
      </c>
      <c r="J347" s="90" t="s">
        <v>751</v>
      </c>
      <c r="K347" s="90" t="s">
        <v>752</v>
      </c>
      <c r="L347" s="90" t="s">
        <v>753</v>
      </c>
      <c r="M347" s="91" t="s">
        <v>1059</v>
      </c>
      <c r="N347" s="92" t="s">
        <v>1699</v>
      </c>
      <c r="O347" s="85">
        <v>2910907357</v>
      </c>
      <c r="P347" s="93">
        <v>85000000</v>
      </c>
      <c r="Q347" s="93">
        <v>0</v>
      </c>
      <c r="R347" s="94">
        <f t="shared" si="101"/>
        <v>85000000</v>
      </c>
      <c r="S347" s="95">
        <v>0.1200000021082353</v>
      </c>
      <c r="T347" s="94">
        <v>9107143</v>
      </c>
      <c r="U347" s="117">
        <v>85000000</v>
      </c>
      <c r="V347" s="117">
        <v>0</v>
      </c>
      <c r="W347" s="94">
        <f t="shared" si="111"/>
        <v>0</v>
      </c>
      <c r="X347" s="94">
        <f t="shared" si="112"/>
        <v>0</v>
      </c>
      <c r="Y347" s="94">
        <f t="shared" si="113"/>
        <v>0</v>
      </c>
      <c r="Z347" s="93">
        <f>_xlfn.XLOOKUP(O347,'[4]2DO TRIMESTRE'!$C:$C,'[4]2DO TRIMESTRE'!$I:$I,0,0)</f>
        <v>0</v>
      </c>
      <c r="AA347" s="94">
        <f t="shared" si="118"/>
        <v>0</v>
      </c>
      <c r="AB347" s="94">
        <f t="shared" si="119"/>
        <v>0</v>
      </c>
      <c r="AC347" s="94">
        <f t="shared" si="120"/>
        <v>0</v>
      </c>
      <c r="AD347" s="93">
        <v>0</v>
      </c>
      <c r="AE347" s="94">
        <f t="shared" si="114"/>
        <v>0</v>
      </c>
      <c r="AF347" s="94">
        <f t="shared" si="115"/>
        <v>0</v>
      </c>
      <c r="AG347" s="94">
        <f t="shared" si="116"/>
        <v>0</v>
      </c>
      <c r="AH347" s="117">
        <v>0</v>
      </c>
      <c r="AI347" s="94">
        <f t="shared" si="108"/>
        <v>0</v>
      </c>
      <c r="AJ347" s="94">
        <f t="shared" si="109"/>
        <v>0</v>
      </c>
      <c r="AK347" s="94">
        <f t="shared" si="110"/>
        <v>0</v>
      </c>
      <c r="AL347" s="93">
        <v>9107143</v>
      </c>
      <c r="AM347" s="93">
        <f t="shared" si="117"/>
        <v>0</v>
      </c>
      <c r="AN347" s="155"/>
      <c r="AO347" s="155"/>
    </row>
    <row r="348" spans="1:41" s="9" customFormat="1" ht="25.15" customHeight="1" x14ac:dyDescent="0.25">
      <c r="A348" s="83">
        <v>342</v>
      </c>
      <c r="B348" s="84">
        <v>2024</v>
      </c>
      <c r="C348" s="85" t="s">
        <v>128</v>
      </c>
      <c r="D348" s="86" t="s">
        <v>1664</v>
      </c>
      <c r="E348" s="86" t="s">
        <v>758</v>
      </c>
      <c r="F348" s="87">
        <v>45636</v>
      </c>
      <c r="G348" s="87">
        <v>45802</v>
      </c>
      <c r="H348" s="88">
        <f t="shared" si="103"/>
        <v>1.8444444444444446</v>
      </c>
      <c r="I348" s="89" t="s">
        <v>763</v>
      </c>
      <c r="J348" s="90" t="s">
        <v>751</v>
      </c>
      <c r="K348" s="90" t="s">
        <v>752</v>
      </c>
      <c r="L348" s="90" t="s">
        <v>753</v>
      </c>
      <c r="M348" s="91" t="s">
        <v>1059</v>
      </c>
      <c r="N348" s="92" t="s">
        <v>1700</v>
      </c>
      <c r="O348" s="85">
        <v>2910907366</v>
      </c>
      <c r="P348" s="93">
        <v>305000000</v>
      </c>
      <c r="Q348" s="93">
        <v>0</v>
      </c>
      <c r="R348" s="94">
        <f t="shared" si="101"/>
        <v>305000000</v>
      </c>
      <c r="S348" s="95">
        <v>0.11999999823737705</v>
      </c>
      <c r="T348" s="94">
        <v>32678571</v>
      </c>
      <c r="U348" s="117">
        <v>303475000</v>
      </c>
      <c r="V348" s="117">
        <v>0</v>
      </c>
      <c r="W348" s="94">
        <f t="shared" si="111"/>
        <v>0</v>
      </c>
      <c r="X348" s="94">
        <f t="shared" si="112"/>
        <v>0</v>
      </c>
      <c r="Y348" s="94">
        <f t="shared" si="113"/>
        <v>0</v>
      </c>
      <c r="Z348" s="93">
        <f>_xlfn.XLOOKUP(O348,'[4]2DO TRIMESTRE'!$C:$C,'[4]2DO TRIMESTRE'!$I:$I,0,0)</f>
        <v>0</v>
      </c>
      <c r="AA348" s="94">
        <f t="shared" si="118"/>
        <v>0</v>
      </c>
      <c r="AB348" s="94">
        <f t="shared" si="119"/>
        <v>0</v>
      </c>
      <c r="AC348" s="94">
        <f t="shared" si="120"/>
        <v>0</v>
      </c>
      <c r="AD348" s="93">
        <v>0</v>
      </c>
      <c r="AE348" s="94">
        <f t="shared" si="114"/>
        <v>0</v>
      </c>
      <c r="AF348" s="94">
        <f t="shared" si="115"/>
        <v>0</v>
      </c>
      <c r="AG348" s="94">
        <f t="shared" si="116"/>
        <v>0</v>
      </c>
      <c r="AH348" s="117">
        <v>0</v>
      </c>
      <c r="AI348" s="94">
        <f t="shared" si="108"/>
        <v>0</v>
      </c>
      <c r="AJ348" s="94">
        <f t="shared" si="109"/>
        <v>0</v>
      </c>
      <c r="AK348" s="94">
        <f t="shared" si="110"/>
        <v>0</v>
      </c>
      <c r="AL348" s="93">
        <v>32515178.145</v>
      </c>
      <c r="AM348" s="93">
        <f t="shared" si="117"/>
        <v>0</v>
      </c>
      <c r="AN348" s="155"/>
      <c r="AO348" s="155"/>
    </row>
    <row r="349" spans="1:41" s="9" customFormat="1" ht="25.15" customHeight="1" x14ac:dyDescent="0.25">
      <c r="A349" s="83">
        <v>343</v>
      </c>
      <c r="B349" s="84">
        <v>2025</v>
      </c>
      <c r="C349" s="85" t="s">
        <v>747</v>
      </c>
      <c r="D349" s="86" t="s">
        <v>1666</v>
      </c>
      <c r="E349" s="86" t="s">
        <v>749</v>
      </c>
      <c r="F349" s="87">
        <v>45716</v>
      </c>
      <c r="G349" s="87">
        <v>46261</v>
      </c>
      <c r="H349" s="88">
        <f t="shared" si="103"/>
        <v>6.0555555555555554</v>
      </c>
      <c r="I349" s="89" t="s">
        <v>759</v>
      </c>
      <c r="J349" s="90" t="s">
        <v>751</v>
      </c>
      <c r="K349" s="90" t="s">
        <v>752</v>
      </c>
      <c r="L349" s="90" t="s">
        <v>753</v>
      </c>
      <c r="M349" s="91" t="s">
        <v>754</v>
      </c>
      <c r="N349" s="92" t="s">
        <v>1701</v>
      </c>
      <c r="O349" s="85">
        <v>2910908227</v>
      </c>
      <c r="P349" s="93">
        <v>152243101</v>
      </c>
      <c r="Q349" s="93">
        <v>562194962</v>
      </c>
      <c r="R349" s="94">
        <f>+(P349+Q349)</f>
        <v>714438063</v>
      </c>
      <c r="S349" s="95">
        <v>0.12000000027361996</v>
      </c>
      <c r="T349" s="94">
        <v>76546935</v>
      </c>
      <c r="U349" s="117">
        <v>714438063</v>
      </c>
      <c r="V349" s="117">
        <v>360670612</v>
      </c>
      <c r="W349" s="94">
        <f t="shared" si="111"/>
        <v>38643279.935815275</v>
      </c>
      <c r="X349" s="94">
        <f t="shared" si="112"/>
        <v>15457311.974326111</v>
      </c>
      <c r="Y349" s="94">
        <f t="shared" si="113"/>
        <v>23185967.961489163</v>
      </c>
      <c r="Z349" s="93">
        <v>86855350</v>
      </c>
      <c r="AA349" s="94">
        <f t="shared" si="118"/>
        <v>9305930.3760884535</v>
      </c>
      <c r="AB349" s="94">
        <f t="shared" si="119"/>
        <v>3722372.1504353816</v>
      </c>
      <c r="AC349" s="94">
        <f t="shared" si="120"/>
        <v>5583558.2256530719</v>
      </c>
      <c r="AD349" s="93">
        <v>0</v>
      </c>
      <c r="AE349" s="94">
        <f>+AD349/(1+$S349)*$S349</f>
        <v>0</v>
      </c>
      <c r="AF349" s="94">
        <f t="shared" si="115"/>
        <v>0</v>
      </c>
      <c r="AG349" s="94">
        <f t="shared" si="116"/>
        <v>0</v>
      </c>
      <c r="AH349" s="117">
        <v>0</v>
      </c>
      <c r="AI349" s="94">
        <f t="shared" si="108"/>
        <v>0</v>
      </c>
      <c r="AJ349" s="94">
        <f t="shared" si="109"/>
        <v>0</v>
      </c>
      <c r="AK349" s="94">
        <f t="shared" si="110"/>
        <v>0</v>
      </c>
      <c r="AL349" s="93">
        <v>76546934</v>
      </c>
      <c r="AM349" s="93">
        <f t="shared" si="117"/>
        <v>47949210.31190373</v>
      </c>
      <c r="AN349" s="155"/>
      <c r="AO349" s="155"/>
    </row>
    <row r="350" spans="1:41" s="9" customFormat="1" ht="25.15" customHeight="1" x14ac:dyDescent="0.25">
      <c r="A350" s="83">
        <v>344</v>
      </c>
      <c r="B350" s="84">
        <v>2025</v>
      </c>
      <c r="C350" s="85" t="s">
        <v>1709</v>
      </c>
      <c r="D350" s="86" t="s">
        <v>1667</v>
      </c>
      <c r="E350" s="86" t="s">
        <v>758</v>
      </c>
      <c r="F350" s="87">
        <v>45739</v>
      </c>
      <c r="G350" s="87">
        <v>46022</v>
      </c>
      <c r="H350" s="88">
        <f t="shared" si="103"/>
        <v>3.1444444444444444</v>
      </c>
      <c r="I350" s="89" t="s">
        <v>759</v>
      </c>
      <c r="J350" s="90" t="s">
        <v>751</v>
      </c>
      <c r="K350" s="90" t="s">
        <v>752</v>
      </c>
      <c r="L350" s="90" t="s">
        <v>753</v>
      </c>
      <c r="M350" s="91" t="s">
        <v>1059</v>
      </c>
      <c r="N350" s="92" t="s">
        <v>1702</v>
      </c>
      <c r="O350" s="85">
        <v>2910907380</v>
      </c>
      <c r="P350" s="93">
        <v>1991969000</v>
      </c>
      <c r="Q350" s="93">
        <v>0</v>
      </c>
      <c r="R350" s="94">
        <f>+(P350+Q350)</f>
        <v>1991969000</v>
      </c>
      <c r="S350" s="95">
        <v>0.12</v>
      </c>
      <c r="T350" s="94">
        <v>213425250</v>
      </c>
      <c r="U350" s="117">
        <v>1819428050</v>
      </c>
      <c r="V350" s="117">
        <v>705182841</v>
      </c>
      <c r="W350" s="94">
        <f t="shared" si="111"/>
        <v>75555304.392857134</v>
      </c>
      <c r="X350" s="94">
        <f t="shared" si="112"/>
        <v>30222121.757142857</v>
      </c>
      <c r="Y350" s="94">
        <f t="shared" si="113"/>
        <v>45333182.635714278</v>
      </c>
      <c r="Z350" s="93">
        <f>_xlfn.XLOOKUP(O350,'[4]2DO TRIMESTRE'!$C:$C,'[4]2DO TRIMESTRE'!$I:$I,0,0)</f>
        <v>0</v>
      </c>
      <c r="AA350" s="94">
        <f t="shared" si="118"/>
        <v>0</v>
      </c>
      <c r="AB350" s="94">
        <f t="shared" si="119"/>
        <v>0</v>
      </c>
      <c r="AC350" s="94">
        <f t="shared" si="120"/>
        <v>0</v>
      </c>
      <c r="AD350" s="93">
        <v>0</v>
      </c>
      <c r="AE350" s="94">
        <f t="shared" si="114"/>
        <v>0</v>
      </c>
      <c r="AF350" s="94">
        <f t="shared" si="115"/>
        <v>0</v>
      </c>
      <c r="AG350" s="94">
        <f t="shared" si="116"/>
        <v>0</v>
      </c>
      <c r="AH350" s="117">
        <v>0</v>
      </c>
      <c r="AI350" s="94">
        <f t="shared" si="108"/>
        <v>0</v>
      </c>
      <c r="AJ350" s="94">
        <f t="shared" si="109"/>
        <v>0</v>
      </c>
      <c r="AK350" s="94">
        <f t="shared" si="110"/>
        <v>0</v>
      </c>
      <c r="AL350" s="93">
        <v>194938719.6428571</v>
      </c>
      <c r="AM350" s="93">
        <f t="shared" si="117"/>
        <v>75555304.392857134</v>
      </c>
      <c r="AN350" s="155" t="s">
        <v>1854</v>
      </c>
      <c r="AO350" s="155"/>
    </row>
    <row r="351" spans="1:41" s="9" customFormat="1" ht="25.15" customHeight="1" x14ac:dyDescent="0.25">
      <c r="A351" s="83">
        <v>345</v>
      </c>
      <c r="B351" s="84">
        <v>2025</v>
      </c>
      <c r="C351" s="85" t="s">
        <v>128</v>
      </c>
      <c r="D351" s="86" t="s">
        <v>1670</v>
      </c>
      <c r="E351" s="86" t="s">
        <v>758</v>
      </c>
      <c r="F351" s="87">
        <v>45737</v>
      </c>
      <c r="G351" s="87">
        <v>45988</v>
      </c>
      <c r="H351" s="88">
        <f t="shared" si="103"/>
        <v>2.7888888888888888</v>
      </c>
      <c r="I351" s="89" t="s">
        <v>759</v>
      </c>
      <c r="J351" s="90" t="s">
        <v>751</v>
      </c>
      <c r="K351" s="90" t="s">
        <v>752</v>
      </c>
      <c r="L351" s="90" t="s">
        <v>753</v>
      </c>
      <c r="M351" s="91" t="s">
        <v>1059</v>
      </c>
      <c r="N351" s="92" t="s">
        <v>1703</v>
      </c>
      <c r="O351" s="85">
        <v>2910907381</v>
      </c>
      <c r="P351" s="93">
        <v>696050000</v>
      </c>
      <c r="Q351" s="93">
        <v>347370000</v>
      </c>
      <c r="R351" s="94">
        <f t="shared" si="101"/>
        <v>1043420000</v>
      </c>
      <c r="S351" s="95">
        <v>0.12000000051490554</v>
      </c>
      <c r="T351" s="94">
        <v>111795000</v>
      </c>
      <c r="U351" s="117">
        <v>1043420000</v>
      </c>
      <c r="V351" s="117">
        <v>400020000</v>
      </c>
      <c r="W351" s="94">
        <f t="shared" si="111"/>
        <v>42859285.878485747</v>
      </c>
      <c r="X351" s="94">
        <f t="shared" si="112"/>
        <v>17143714.351394299</v>
      </c>
      <c r="Y351" s="94">
        <f t="shared" si="113"/>
        <v>25715571.527091447</v>
      </c>
      <c r="Z351" s="93">
        <f>_xlfn.XLOOKUP(O351,'[4]2DO TRIMESTRE'!$C:$C,'[4]2DO TRIMESTRE'!$I:$I,0,0)</f>
        <v>0</v>
      </c>
      <c r="AA351" s="94">
        <f t="shared" si="118"/>
        <v>0</v>
      </c>
      <c r="AB351" s="94">
        <f t="shared" si="119"/>
        <v>0</v>
      </c>
      <c r="AC351" s="94">
        <f t="shared" si="120"/>
        <v>0</v>
      </c>
      <c r="AD351" s="93">
        <v>0</v>
      </c>
      <c r="AE351" s="94">
        <f t="shared" si="114"/>
        <v>0</v>
      </c>
      <c r="AF351" s="94">
        <f t="shared" si="115"/>
        <v>0</v>
      </c>
      <c r="AG351" s="94">
        <f t="shared" si="116"/>
        <v>0</v>
      </c>
      <c r="AH351" s="117">
        <v>0</v>
      </c>
      <c r="AI351" s="94">
        <f t="shared" si="108"/>
        <v>0</v>
      </c>
      <c r="AJ351" s="94">
        <f t="shared" si="109"/>
        <v>0</v>
      </c>
      <c r="AK351" s="94">
        <f t="shared" si="110"/>
        <v>0</v>
      </c>
      <c r="AL351" s="93">
        <v>111794999.99999999</v>
      </c>
      <c r="AM351" s="93">
        <f t="shared" si="117"/>
        <v>42859285.878485747</v>
      </c>
      <c r="AN351" s="155"/>
      <c r="AO351" s="155"/>
    </row>
    <row r="352" spans="1:41" s="9" customFormat="1" ht="25.15" customHeight="1" x14ac:dyDescent="0.25">
      <c r="A352" s="83">
        <v>346</v>
      </c>
      <c r="B352" s="84">
        <v>2024</v>
      </c>
      <c r="C352" s="85" t="s">
        <v>1171</v>
      </c>
      <c r="D352" s="86" t="s">
        <v>1672</v>
      </c>
      <c r="E352" s="86" t="s">
        <v>758</v>
      </c>
      <c r="F352" s="87">
        <v>45656</v>
      </c>
      <c r="G352" s="87">
        <v>46014</v>
      </c>
      <c r="H352" s="88">
        <f t="shared" si="103"/>
        <v>3.9777777777777779</v>
      </c>
      <c r="I352" s="89" t="s">
        <v>759</v>
      </c>
      <c r="J352" s="90" t="s">
        <v>751</v>
      </c>
      <c r="K352" s="90" t="s">
        <v>752</v>
      </c>
      <c r="L352" s="90" t="s">
        <v>753</v>
      </c>
      <c r="M352" s="91" t="s">
        <v>1059</v>
      </c>
      <c r="N352" s="92" t="s">
        <v>1704</v>
      </c>
      <c r="O352" s="85">
        <v>2910907378</v>
      </c>
      <c r="P352" s="93">
        <v>3710855946</v>
      </c>
      <c r="Q352" s="93">
        <v>0</v>
      </c>
      <c r="R352" s="94">
        <f t="shared" si="101"/>
        <v>3710855946</v>
      </c>
      <c r="S352" s="95">
        <v>0.12000000016901761</v>
      </c>
      <c r="T352" s="94">
        <v>397591709</v>
      </c>
      <c r="U352" s="117">
        <v>2597599214</v>
      </c>
      <c r="V352" s="117">
        <v>0</v>
      </c>
      <c r="W352" s="94">
        <f t="shared" si="111"/>
        <v>0</v>
      </c>
      <c r="X352" s="94">
        <f t="shared" si="112"/>
        <v>0</v>
      </c>
      <c r="Y352" s="94">
        <f t="shared" si="113"/>
        <v>0</v>
      </c>
      <c r="Z352" s="93">
        <v>742171235</v>
      </c>
      <c r="AA352" s="94">
        <f t="shared" si="118"/>
        <v>79518346.707142875</v>
      </c>
      <c r="AB352" s="94">
        <f t="shared" si="119"/>
        <v>31807338.682857152</v>
      </c>
      <c r="AC352" s="94">
        <f t="shared" si="120"/>
        <v>47711008.024285726</v>
      </c>
      <c r="AD352" s="93">
        <v>0</v>
      </c>
      <c r="AE352" s="94">
        <f t="shared" si="114"/>
        <v>0</v>
      </c>
      <c r="AF352" s="94">
        <f t="shared" si="115"/>
        <v>0</v>
      </c>
      <c r="AG352" s="94">
        <f t="shared" si="116"/>
        <v>0</v>
      </c>
      <c r="AH352" s="117">
        <v>0</v>
      </c>
      <c r="AI352" s="94">
        <f t="shared" si="108"/>
        <v>0</v>
      </c>
      <c r="AJ352" s="94">
        <f t="shared" si="109"/>
        <v>0</v>
      </c>
      <c r="AK352" s="94">
        <f t="shared" si="110"/>
        <v>0</v>
      </c>
      <c r="AL352" s="93">
        <v>278314201.85000002</v>
      </c>
      <c r="AM352" s="93">
        <f t="shared" si="117"/>
        <v>79518346.707142875</v>
      </c>
      <c r="AN352" s="155"/>
      <c r="AO352" s="155"/>
    </row>
    <row r="353" spans="1:41" s="9" customFormat="1" ht="25.15" customHeight="1" x14ac:dyDescent="0.25">
      <c r="A353" s="83">
        <v>347</v>
      </c>
      <c r="B353" s="84">
        <v>2024</v>
      </c>
      <c r="C353" s="85" t="s">
        <v>1171</v>
      </c>
      <c r="D353" s="86" t="s">
        <v>1674</v>
      </c>
      <c r="E353" s="86" t="s">
        <v>758</v>
      </c>
      <c r="F353" s="87">
        <v>45656</v>
      </c>
      <c r="G353" s="87">
        <v>45986</v>
      </c>
      <c r="H353" s="88">
        <f t="shared" si="103"/>
        <v>3.6666666666666665</v>
      </c>
      <c r="I353" s="89" t="s">
        <v>759</v>
      </c>
      <c r="J353" s="90" t="s">
        <v>751</v>
      </c>
      <c r="K353" s="90" t="s">
        <v>752</v>
      </c>
      <c r="L353" s="90" t="s">
        <v>753</v>
      </c>
      <c r="M353" s="91" t="s">
        <v>1059</v>
      </c>
      <c r="N353" s="92" t="s">
        <v>1705</v>
      </c>
      <c r="O353" s="85">
        <v>2910907374</v>
      </c>
      <c r="P353" s="93">
        <v>1711670240</v>
      </c>
      <c r="Q353" s="93">
        <v>0</v>
      </c>
      <c r="R353" s="94">
        <f t="shared" ref="R353:R410" si="121">+(P353+Q353)</f>
        <v>1711670240</v>
      </c>
      <c r="S353" s="95">
        <v>0.12</v>
      </c>
      <c r="T353" s="94">
        <v>183393240</v>
      </c>
      <c r="U353" s="117">
        <v>1540503216</v>
      </c>
      <c r="V353" s="117">
        <v>0</v>
      </c>
      <c r="W353" s="94">
        <f t="shared" si="111"/>
        <v>0</v>
      </c>
      <c r="X353" s="94">
        <f t="shared" si="112"/>
        <v>0</v>
      </c>
      <c r="Y353" s="94">
        <f t="shared" si="113"/>
        <v>0</v>
      </c>
      <c r="Z353" s="93">
        <v>342334048</v>
      </c>
      <c r="AA353" s="94">
        <f t="shared" si="118"/>
        <v>36678648</v>
      </c>
      <c r="AB353" s="94">
        <f t="shared" si="119"/>
        <v>14671459.200000001</v>
      </c>
      <c r="AC353" s="94">
        <f t="shared" si="120"/>
        <v>22007188.800000001</v>
      </c>
      <c r="AD353" s="93">
        <v>0</v>
      </c>
      <c r="AE353" s="94">
        <f t="shared" si="114"/>
        <v>0</v>
      </c>
      <c r="AF353" s="94">
        <f t="shared" si="115"/>
        <v>0</v>
      </c>
      <c r="AG353" s="94">
        <f t="shared" si="116"/>
        <v>0</v>
      </c>
      <c r="AH353" s="117">
        <v>0</v>
      </c>
      <c r="AI353" s="94">
        <f t="shared" si="108"/>
        <v>0</v>
      </c>
      <c r="AJ353" s="94">
        <f t="shared" si="109"/>
        <v>0</v>
      </c>
      <c r="AK353" s="94">
        <f t="shared" si="110"/>
        <v>0</v>
      </c>
      <c r="AL353" s="93">
        <v>165053915.99999997</v>
      </c>
      <c r="AM353" s="93">
        <f t="shared" si="117"/>
        <v>36678648</v>
      </c>
      <c r="AN353" s="155"/>
      <c r="AO353" s="155"/>
    </row>
    <row r="354" spans="1:41" s="9" customFormat="1" ht="25.15" customHeight="1" x14ac:dyDescent="0.25">
      <c r="A354" s="83">
        <v>348</v>
      </c>
      <c r="B354" s="84">
        <v>2024</v>
      </c>
      <c r="C354" s="85" t="s">
        <v>1713</v>
      </c>
      <c r="D354" s="86" t="s">
        <v>1679</v>
      </c>
      <c r="E354" s="86" t="s">
        <v>777</v>
      </c>
      <c r="F354" s="87">
        <v>45656</v>
      </c>
      <c r="G354" s="87">
        <v>45858</v>
      </c>
      <c r="H354" s="88">
        <f t="shared" si="103"/>
        <v>2.2444444444444445</v>
      </c>
      <c r="I354" s="89" t="s">
        <v>759</v>
      </c>
      <c r="J354" s="90" t="s">
        <v>751</v>
      </c>
      <c r="K354" s="90" t="s">
        <v>752</v>
      </c>
      <c r="L354" s="90" t="s">
        <v>753</v>
      </c>
      <c r="M354" s="91" t="s">
        <v>1059</v>
      </c>
      <c r="N354" s="92" t="s">
        <v>1710</v>
      </c>
      <c r="O354" s="85">
        <v>2453018370</v>
      </c>
      <c r="P354" s="93">
        <v>455000000</v>
      </c>
      <c r="Q354" s="93">
        <v>0</v>
      </c>
      <c r="R354" s="94">
        <f t="shared" si="121"/>
        <v>455000000</v>
      </c>
      <c r="S354" s="95">
        <v>0.12</v>
      </c>
      <c r="T354" s="94">
        <v>48750000</v>
      </c>
      <c r="U354" s="117">
        <v>416665692</v>
      </c>
      <c r="V354" s="117">
        <v>319452566</v>
      </c>
      <c r="W354" s="94">
        <f t="shared" si="111"/>
        <v>34227060.642857134</v>
      </c>
      <c r="X354" s="94">
        <f t="shared" si="112"/>
        <v>13690824.257142855</v>
      </c>
      <c r="Y354" s="94">
        <f t="shared" si="113"/>
        <v>20536236.385714281</v>
      </c>
      <c r="Z354" s="93">
        <f>_xlfn.XLOOKUP(O354,'[4]2DO TRIMESTRE'!$C:$C,'[4]2DO TRIMESTRE'!$I:$I,0,0)</f>
        <v>0</v>
      </c>
      <c r="AA354" s="94">
        <f t="shared" ref="AA354:AA357" si="122">+Z354/(1+$S354)*$S354</f>
        <v>0</v>
      </c>
      <c r="AB354" s="94">
        <f t="shared" ref="AB354:AB357" si="123">+AA354*40%</f>
        <v>0</v>
      </c>
      <c r="AC354" s="94">
        <f>+AA354*60%</f>
        <v>0</v>
      </c>
      <c r="AD354" s="93">
        <v>0</v>
      </c>
      <c r="AE354" s="94">
        <f t="shared" si="114"/>
        <v>0</v>
      </c>
      <c r="AF354" s="94">
        <f t="shared" si="115"/>
        <v>0</v>
      </c>
      <c r="AG354" s="94">
        <f t="shared" si="116"/>
        <v>0</v>
      </c>
      <c r="AH354" s="117">
        <v>0</v>
      </c>
      <c r="AI354" s="94">
        <f t="shared" si="108"/>
        <v>0</v>
      </c>
      <c r="AJ354" s="94">
        <f t="shared" si="109"/>
        <v>0</v>
      </c>
      <c r="AK354" s="94">
        <f t="shared" si="110"/>
        <v>0</v>
      </c>
      <c r="AL354" s="93">
        <v>44642752.714285709</v>
      </c>
      <c r="AM354" s="93">
        <f t="shared" si="117"/>
        <v>34227060.642857134</v>
      </c>
      <c r="AN354" s="155"/>
      <c r="AO354" s="155"/>
    </row>
    <row r="355" spans="1:41" s="9" customFormat="1" ht="25.15" customHeight="1" x14ac:dyDescent="0.25">
      <c r="A355" s="83">
        <v>349</v>
      </c>
      <c r="B355" s="84">
        <v>2025</v>
      </c>
      <c r="C355" s="85" t="s">
        <v>765</v>
      </c>
      <c r="D355" s="86" t="s">
        <v>1680</v>
      </c>
      <c r="E355" s="86" t="s">
        <v>758</v>
      </c>
      <c r="F355" s="87">
        <v>45757</v>
      </c>
      <c r="G355" s="87"/>
      <c r="H355" s="88">
        <f>+(G355-F355)/90</f>
        <v>-508.4111111111111</v>
      </c>
      <c r="I355" s="89" t="s">
        <v>1077</v>
      </c>
      <c r="J355" s="90" t="s">
        <v>751</v>
      </c>
      <c r="K355" s="90" t="s">
        <v>752</v>
      </c>
      <c r="L355" s="90" t="s">
        <v>753</v>
      </c>
      <c r="M355" s="91" t="s">
        <v>1059</v>
      </c>
      <c r="N355" s="92" t="s">
        <v>1711</v>
      </c>
      <c r="O355" s="85">
        <v>2910907384</v>
      </c>
      <c r="P355" s="93">
        <v>1562512000</v>
      </c>
      <c r="Q355" s="93">
        <v>0</v>
      </c>
      <c r="R355" s="94">
        <f t="shared" si="121"/>
        <v>1562512000</v>
      </c>
      <c r="S355" s="95">
        <v>0.12</v>
      </c>
      <c r="T355" s="94">
        <v>167412000</v>
      </c>
      <c r="U355" s="117">
        <v>1484386400</v>
      </c>
      <c r="V355" s="117">
        <v>390628000</v>
      </c>
      <c r="W355" s="94">
        <f t="shared" si="111"/>
        <v>41852999.999999993</v>
      </c>
      <c r="X355" s="94">
        <f t="shared" si="112"/>
        <v>16741199.999999998</v>
      </c>
      <c r="Y355" s="94">
        <f t="shared" si="113"/>
        <v>25111799.999999996</v>
      </c>
      <c r="Z355" s="93">
        <f>_xlfn.XLOOKUP(O355,'[4]2DO TRIMESTRE'!$C:$C,'[4]2DO TRIMESTRE'!$I:$I,0,0)</f>
        <v>0</v>
      </c>
      <c r="AA355" s="94">
        <f t="shared" si="122"/>
        <v>0</v>
      </c>
      <c r="AB355" s="94">
        <f t="shared" si="123"/>
        <v>0</v>
      </c>
      <c r="AC355" s="94">
        <f t="shared" ref="AC355:AC357" si="124">+AA355*60%</f>
        <v>0</v>
      </c>
      <c r="AD355" s="93">
        <v>0</v>
      </c>
      <c r="AE355" s="94">
        <f t="shared" si="114"/>
        <v>0</v>
      </c>
      <c r="AF355" s="94">
        <f t="shared" si="115"/>
        <v>0</v>
      </c>
      <c r="AG355" s="94">
        <f t="shared" si="116"/>
        <v>0</v>
      </c>
      <c r="AH355" s="117">
        <v>0</v>
      </c>
      <c r="AI355" s="94">
        <f t="shared" si="108"/>
        <v>0</v>
      </c>
      <c r="AJ355" s="94">
        <f t="shared" si="109"/>
        <v>0</v>
      </c>
      <c r="AK355" s="94">
        <f t="shared" si="110"/>
        <v>0</v>
      </c>
      <c r="AL355" s="93">
        <v>159041399.99999997</v>
      </c>
      <c r="AM355" s="93">
        <f t="shared" si="117"/>
        <v>41852999.999999993</v>
      </c>
      <c r="AN355" s="155"/>
      <c r="AO355" s="155"/>
    </row>
    <row r="356" spans="1:41" s="9" customFormat="1" ht="25.15" customHeight="1" x14ac:dyDescent="0.25">
      <c r="A356" s="83">
        <v>350</v>
      </c>
      <c r="B356" s="84">
        <v>2024</v>
      </c>
      <c r="C356" s="85" t="s">
        <v>1714</v>
      </c>
      <c r="D356" s="86" t="s">
        <v>1683</v>
      </c>
      <c r="E356" s="86" t="s">
        <v>758</v>
      </c>
      <c r="F356" s="87">
        <v>45630</v>
      </c>
      <c r="G356" s="87">
        <v>45757</v>
      </c>
      <c r="H356" s="88">
        <f t="shared" si="103"/>
        <v>1.4111111111111112</v>
      </c>
      <c r="I356" s="89" t="s">
        <v>763</v>
      </c>
      <c r="J356" s="90" t="s">
        <v>751</v>
      </c>
      <c r="K356" s="90" t="s">
        <v>752</v>
      </c>
      <c r="L356" s="90" t="s">
        <v>753</v>
      </c>
      <c r="M356" s="91" t="s">
        <v>1059</v>
      </c>
      <c r="N356" s="92" t="s">
        <v>1712</v>
      </c>
      <c r="O356" s="85">
        <v>2910907363</v>
      </c>
      <c r="P356" s="93">
        <v>126672630</v>
      </c>
      <c r="Q356" s="93">
        <v>0</v>
      </c>
      <c r="R356" s="94">
        <f>+(P356+Q356)</f>
        <v>126672630</v>
      </c>
      <c r="S356" s="95">
        <v>0.12000000495134587</v>
      </c>
      <c r="T356" s="94">
        <v>13572068</v>
      </c>
      <c r="U356" s="117">
        <v>123885832</v>
      </c>
      <c r="V356" s="117">
        <v>0</v>
      </c>
      <c r="W356" s="94">
        <f t="shared" si="111"/>
        <v>0</v>
      </c>
      <c r="X356" s="94">
        <f t="shared" si="112"/>
        <v>0</v>
      </c>
      <c r="Y356" s="94">
        <f t="shared" si="113"/>
        <v>0</v>
      </c>
      <c r="Z356" s="93">
        <f>_xlfn.XLOOKUP(O356,'[4]2DO TRIMESTRE'!$C:$C,'[4]2DO TRIMESTRE'!$I:$I,0,0)</f>
        <v>0</v>
      </c>
      <c r="AA356" s="94">
        <f t="shared" si="122"/>
        <v>0</v>
      </c>
      <c r="AB356" s="94">
        <f t="shared" si="123"/>
        <v>0</v>
      </c>
      <c r="AC356" s="94">
        <f t="shared" si="124"/>
        <v>0</v>
      </c>
      <c r="AD356" s="93">
        <v>0</v>
      </c>
      <c r="AE356" s="94">
        <f t="shared" si="114"/>
        <v>0</v>
      </c>
      <c r="AF356" s="94">
        <f t="shared" si="115"/>
        <v>0</v>
      </c>
      <c r="AG356" s="94">
        <f t="shared" si="116"/>
        <v>0</v>
      </c>
      <c r="AH356" s="117">
        <v>0</v>
      </c>
      <c r="AI356" s="94">
        <f t="shared" si="108"/>
        <v>0</v>
      </c>
      <c r="AJ356" s="94">
        <f t="shared" si="109"/>
        <v>0</v>
      </c>
      <c r="AK356" s="94">
        <f t="shared" si="110"/>
        <v>0</v>
      </c>
      <c r="AL356" s="93">
        <v>13273482.488999998</v>
      </c>
      <c r="AM356" s="93">
        <f t="shared" si="117"/>
        <v>0</v>
      </c>
      <c r="AN356" s="155"/>
      <c r="AO356" s="155"/>
    </row>
    <row r="357" spans="1:41" s="9" customFormat="1" ht="25.15" customHeight="1" x14ac:dyDescent="0.25">
      <c r="A357" s="83">
        <v>351</v>
      </c>
      <c r="B357" s="84">
        <v>2024</v>
      </c>
      <c r="C357" s="85" t="s">
        <v>1501</v>
      </c>
      <c r="D357" s="86" t="s">
        <v>1725</v>
      </c>
      <c r="E357" s="86" t="s">
        <v>758</v>
      </c>
      <c r="F357" s="87">
        <v>45547</v>
      </c>
      <c r="G357" s="87">
        <v>45656</v>
      </c>
      <c r="H357" s="88">
        <f t="shared" si="103"/>
        <v>1.211111111111111</v>
      </c>
      <c r="I357" s="89" t="s">
        <v>750</v>
      </c>
      <c r="J357" s="90" t="s">
        <v>751</v>
      </c>
      <c r="K357" s="90" t="s">
        <v>752</v>
      </c>
      <c r="L357" s="90" t="s">
        <v>753</v>
      </c>
      <c r="M357" s="91" t="s">
        <v>1059</v>
      </c>
      <c r="N357" s="92" t="s">
        <v>1778</v>
      </c>
      <c r="O357" s="85">
        <v>2910907340</v>
      </c>
      <c r="P357" s="93">
        <v>1732614817</v>
      </c>
      <c r="Q357" s="93">
        <v>0</v>
      </c>
      <c r="R357" s="94">
        <f>+(P357+Q357)</f>
        <v>1732614817</v>
      </c>
      <c r="S357" s="95">
        <v>0.11999999940529193</v>
      </c>
      <c r="T357" s="94">
        <v>185637301</v>
      </c>
      <c r="U357" s="117">
        <v>1732614817.0699999</v>
      </c>
      <c r="V357" s="117">
        <v>0</v>
      </c>
      <c r="W357" s="94">
        <f t="shared" si="111"/>
        <v>0</v>
      </c>
      <c r="X357" s="94">
        <f t="shared" si="112"/>
        <v>0</v>
      </c>
      <c r="Y357" s="94">
        <f t="shared" si="113"/>
        <v>0</v>
      </c>
      <c r="Z357" s="93">
        <f>_xlfn.XLOOKUP(O357,'[4]2DO TRIMESTRE'!$C:$C,'[4]2DO TRIMESTRE'!$I:$I,0,0)</f>
        <v>0</v>
      </c>
      <c r="AA357" s="94">
        <f t="shared" si="122"/>
        <v>0</v>
      </c>
      <c r="AB357" s="94">
        <f t="shared" si="123"/>
        <v>0</v>
      </c>
      <c r="AC357" s="94">
        <f t="shared" si="124"/>
        <v>0</v>
      </c>
      <c r="AD357" s="93">
        <v>0</v>
      </c>
      <c r="AE357" s="94">
        <f t="shared" ref="AE357:AE374" si="125">+AD357/(1+$S357)*$S357</f>
        <v>0</v>
      </c>
      <c r="AF357" s="94">
        <f t="shared" ref="AF357:AF374" si="126">+AE357*40%</f>
        <v>0</v>
      </c>
      <c r="AG357" s="94">
        <f t="shared" ref="AG357:AG374" si="127">+AE357*60%</f>
        <v>0</v>
      </c>
      <c r="AH357" s="117">
        <v>0</v>
      </c>
      <c r="AI357" s="94">
        <f t="shared" si="108"/>
        <v>0</v>
      </c>
      <c r="AJ357" s="94">
        <f t="shared" si="109"/>
        <v>0</v>
      </c>
      <c r="AK357" s="94">
        <f t="shared" si="110"/>
        <v>0</v>
      </c>
      <c r="AL357" s="93">
        <v>185637301.00749999</v>
      </c>
      <c r="AM357" s="93">
        <f t="shared" si="117"/>
        <v>0</v>
      </c>
      <c r="AN357" s="155"/>
      <c r="AO357" s="155"/>
    </row>
    <row r="358" spans="1:41" s="9" customFormat="1" ht="25.15" customHeight="1" x14ac:dyDescent="0.25">
      <c r="A358" s="83">
        <v>352</v>
      </c>
      <c r="B358" s="84">
        <v>2025</v>
      </c>
      <c r="C358" s="85" t="s">
        <v>1501</v>
      </c>
      <c r="D358" s="86" t="s">
        <v>1727</v>
      </c>
      <c r="E358" s="86" t="s">
        <v>758</v>
      </c>
      <c r="F358" s="87">
        <v>45755</v>
      </c>
      <c r="G358" s="87">
        <v>45961</v>
      </c>
      <c r="H358" s="88">
        <f t="shared" si="103"/>
        <v>2.2888888888888888</v>
      </c>
      <c r="I358" s="89" t="s">
        <v>759</v>
      </c>
      <c r="J358" s="90" t="s">
        <v>751</v>
      </c>
      <c r="K358" s="90" t="s">
        <v>752</v>
      </c>
      <c r="L358" s="90" t="s">
        <v>753</v>
      </c>
      <c r="M358" s="91" t="s">
        <v>1059</v>
      </c>
      <c r="N358" s="92" t="s">
        <v>1779</v>
      </c>
      <c r="O358" s="85">
        <v>2910907383</v>
      </c>
      <c r="P358" s="93">
        <v>6216503808</v>
      </c>
      <c r="Q358" s="93">
        <v>961783025</v>
      </c>
      <c r="R358" s="94">
        <f>+(P358+Q358)</f>
        <v>7178286833</v>
      </c>
      <c r="S358" s="95">
        <v>0.11999999991352052</v>
      </c>
      <c r="T358" s="94">
        <v>769102161</v>
      </c>
      <c r="U358" s="117">
        <v>7178286833</v>
      </c>
      <c r="V358" s="117">
        <v>1740621063.8400002</v>
      </c>
      <c r="W358" s="94">
        <f t="shared" si="111"/>
        <v>186495113.86285713</v>
      </c>
      <c r="X358" s="94">
        <f t="shared" si="112"/>
        <v>74598045.545142859</v>
      </c>
      <c r="Y358" s="94">
        <f t="shared" si="113"/>
        <v>111897068.31771427</v>
      </c>
      <c r="Z358" s="93">
        <v>961783027</v>
      </c>
      <c r="AA358" s="94">
        <f t="shared" ref="AA358:AA366" si="128">+Z358/(1+$S358)*$S358</f>
        <v>103048181.3979795</v>
      </c>
      <c r="AB358" s="94">
        <f t="shared" ref="AB358:AB373" si="129">+AA358*40%</f>
        <v>41219272.559191801</v>
      </c>
      <c r="AC358" s="94">
        <f t="shared" ref="AC358:AC373" si="130">+AA358*60%</f>
        <v>61828908.838787697</v>
      </c>
      <c r="AD358" s="93">
        <v>0</v>
      </c>
      <c r="AE358" s="94">
        <f t="shared" si="125"/>
        <v>0</v>
      </c>
      <c r="AF358" s="94">
        <f t="shared" si="126"/>
        <v>0</v>
      </c>
      <c r="AG358" s="94">
        <f t="shared" si="127"/>
        <v>0</v>
      </c>
      <c r="AH358" s="117">
        <v>0</v>
      </c>
      <c r="AI358" s="94">
        <f t="shared" si="108"/>
        <v>0</v>
      </c>
      <c r="AJ358" s="94">
        <f t="shared" si="109"/>
        <v>0</v>
      </c>
      <c r="AK358" s="94">
        <f t="shared" si="110"/>
        <v>0</v>
      </c>
      <c r="AL358" s="93">
        <v>769102161</v>
      </c>
      <c r="AM358" s="93">
        <f t="shared" si="117"/>
        <v>289543295.2608366</v>
      </c>
      <c r="AN358" s="155"/>
      <c r="AO358" s="155"/>
    </row>
    <row r="359" spans="1:41" s="9" customFormat="1" ht="25.15" customHeight="1" x14ac:dyDescent="0.25">
      <c r="A359" s="83">
        <v>353</v>
      </c>
      <c r="B359" s="84">
        <v>2025</v>
      </c>
      <c r="C359" s="85" t="s">
        <v>1795</v>
      </c>
      <c r="D359" s="86" t="s">
        <v>1736</v>
      </c>
      <c r="E359" s="86" t="s">
        <v>758</v>
      </c>
      <c r="F359" s="87">
        <v>45772</v>
      </c>
      <c r="G359" s="87">
        <v>45899</v>
      </c>
      <c r="H359" s="88">
        <f t="shared" si="103"/>
        <v>1.4111111111111112</v>
      </c>
      <c r="I359" s="89" t="s">
        <v>759</v>
      </c>
      <c r="J359" s="90" t="s">
        <v>751</v>
      </c>
      <c r="K359" s="90" t="s">
        <v>752</v>
      </c>
      <c r="L359" s="90" t="s">
        <v>753</v>
      </c>
      <c r="M359" s="91" t="s">
        <v>1059</v>
      </c>
      <c r="N359" s="92" t="s">
        <v>1780</v>
      </c>
      <c r="O359" s="85">
        <v>2910907387</v>
      </c>
      <c r="P359" s="93">
        <v>76000000</v>
      </c>
      <c r="Q359" s="93">
        <v>0</v>
      </c>
      <c r="R359" s="94">
        <f t="shared" si="121"/>
        <v>76000000</v>
      </c>
      <c r="S359" s="95">
        <v>0.11999999764210527</v>
      </c>
      <c r="T359" s="94">
        <v>8142857</v>
      </c>
      <c r="U359" s="117">
        <v>72200000</v>
      </c>
      <c r="V359" s="117">
        <v>0</v>
      </c>
      <c r="W359" s="94">
        <f t="shared" si="111"/>
        <v>0</v>
      </c>
      <c r="X359" s="94">
        <f t="shared" si="112"/>
        <v>0</v>
      </c>
      <c r="Y359" s="94">
        <f t="shared" si="113"/>
        <v>0</v>
      </c>
      <c r="Z359" s="93">
        <f>_xlfn.XLOOKUP(O359,'[4]2DO TRIMESTRE'!$C:$C,'[4]2DO TRIMESTRE'!$I:$I,0,0)</f>
        <v>0</v>
      </c>
      <c r="AA359" s="94">
        <f t="shared" si="128"/>
        <v>0</v>
      </c>
      <c r="AB359" s="94">
        <f t="shared" si="129"/>
        <v>0</v>
      </c>
      <c r="AC359" s="94">
        <f t="shared" si="130"/>
        <v>0</v>
      </c>
      <c r="AD359" s="93">
        <v>0</v>
      </c>
      <c r="AE359" s="94">
        <f t="shared" si="125"/>
        <v>0</v>
      </c>
      <c r="AF359" s="94">
        <f t="shared" si="126"/>
        <v>0</v>
      </c>
      <c r="AG359" s="94">
        <f t="shared" si="127"/>
        <v>0</v>
      </c>
      <c r="AH359" s="117">
        <v>0</v>
      </c>
      <c r="AI359" s="94">
        <f t="shared" si="108"/>
        <v>0</v>
      </c>
      <c r="AJ359" s="94">
        <f t="shared" si="109"/>
        <v>0</v>
      </c>
      <c r="AK359" s="94">
        <f t="shared" si="110"/>
        <v>0</v>
      </c>
      <c r="AL359" s="93">
        <v>7735714.1499999994</v>
      </c>
      <c r="AM359" s="93">
        <f t="shared" si="117"/>
        <v>0</v>
      </c>
      <c r="AN359" s="155"/>
      <c r="AO359" s="155"/>
    </row>
    <row r="360" spans="1:41" s="9" customFormat="1" ht="25.15" customHeight="1" x14ac:dyDescent="0.25">
      <c r="A360" s="83">
        <v>354</v>
      </c>
      <c r="B360" s="84">
        <v>2025</v>
      </c>
      <c r="C360" s="85" t="s">
        <v>782</v>
      </c>
      <c r="D360" s="86" t="s">
        <v>1738</v>
      </c>
      <c r="E360" s="86" t="s">
        <v>777</v>
      </c>
      <c r="F360" s="87">
        <v>45758</v>
      </c>
      <c r="G360" s="87">
        <v>45984</v>
      </c>
      <c r="H360" s="88">
        <f t="shared" si="103"/>
        <v>2.5111111111111111</v>
      </c>
      <c r="I360" s="89" t="s">
        <v>759</v>
      </c>
      <c r="J360" s="90" t="s">
        <v>751</v>
      </c>
      <c r="K360" s="90" t="s">
        <v>752</v>
      </c>
      <c r="L360" s="90" t="s">
        <v>753</v>
      </c>
      <c r="M360" s="91" t="s">
        <v>1800</v>
      </c>
      <c r="N360" s="92" t="s">
        <v>1784</v>
      </c>
      <c r="O360" s="85">
        <v>2453018377</v>
      </c>
      <c r="P360" s="93">
        <v>1443523270</v>
      </c>
      <c r="Q360" s="93">
        <v>0</v>
      </c>
      <c r="R360" s="94">
        <f t="shared" si="121"/>
        <v>1443523270</v>
      </c>
      <c r="S360" s="95">
        <v>0.12000000043449248</v>
      </c>
      <c r="T360" s="94">
        <v>154663208</v>
      </c>
      <c r="U360" s="117">
        <v>1074553725</v>
      </c>
      <c r="V360" s="117">
        <v>339387866</v>
      </c>
      <c r="W360" s="94">
        <f t="shared" si="111"/>
        <v>36362985.760412522</v>
      </c>
      <c r="X360" s="94">
        <f t="shared" si="112"/>
        <v>14545194.304165009</v>
      </c>
      <c r="Y360" s="94">
        <f t="shared" si="113"/>
        <v>21817791.456247512</v>
      </c>
      <c r="Z360" s="93">
        <f>_xlfn.XLOOKUP(O360,'[4]2DO TRIMESTRE'!$C:$C,'[4]2DO TRIMESTRE'!$I:$I,0,0)</f>
        <v>0</v>
      </c>
      <c r="AA360" s="94">
        <f t="shared" si="128"/>
        <v>0</v>
      </c>
      <c r="AB360" s="94">
        <f t="shared" si="129"/>
        <v>0</v>
      </c>
      <c r="AC360" s="94">
        <f t="shared" si="130"/>
        <v>0</v>
      </c>
      <c r="AD360" s="93">
        <v>0</v>
      </c>
      <c r="AE360" s="94">
        <f t="shared" si="125"/>
        <v>0</v>
      </c>
      <c r="AF360" s="94">
        <f t="shared" si="126"/>
        <v>0</v>
      </c>
      <c r="AG360" s="94">
        <f t="shared" si="127"/>
        <v>0</v>
      </c>
      <c r="AH360" s="117">
        <v>0</v>
      </c>
      <c r="AI360" s="94">
        <f t="shared" si="108"/>
        <v>0</v>
      </c>
      <c r="AJ360" s="94">
        <f t="shared" si="109"/>
        <v>0</v>
      </c>
      <c r="AK360" s="94">
        <f t="shared" si="110"/>
        <v>0</v>
      </c>
      <c r="AL360" s="93">
        <v>115130756.62219827</v>
      </c>
      <c r="AM360" s="93">
        <f t="shared" si="117"/>
        <v>36362985.760412522</v>
      </c>
      <c r="AN360" s="155"/>
      <c r="AO360" s="155"/>
    </row>
    <row r="361" spans="1:41" s="9" customFormat="1" ht="25.15" customHeight="1" x14ac:dyDescent="0.25">
      <c r="A361" s="83">
        <v>355</v>
      </c>
      <c r="B361" s="84">
        <v>2025</v>
      </c>
      <c r="C361" s="85" t="s">
        <v>1023</v>
      </c>
      <c r="D361" s="86" t="s">
        <v>1739</v>
      </c>
      <c r="E361" s="86" t="s">
        <v>777</v>
      </c>
      <c r="F361" s="87">
        <v>45747</v>
      </c>
      <c r="G361" s="87">
        <v>45970</v>
      </c>
      <c r="H361" s="88">
        <f t="shared" si="103"/>
        <v>2.4777777777777779</v>
      </c>
      <c r="I361" s="89" t="s">
        <v>759</v>
      </c>
      <c r="J361" s="90" t="s">
        <v>751</v>
      </c>
      <c r="K361" s="90" t="s">
        <v>752</v>
      </c>
      <c r="L361" s="90" t="s">
        <v>753</v>
      </c>
      <c r="M361" s="91" t="s">
        <v>1059</v>
      </c>
      <c r="N361" s="92" t="s">
        <v>1785</v>
      </c>
      <c r="O361" s="85">
        <v>2453018376</v>
      </c>
      <c r="P361" s="93">
        <v>618838000</v>
      </c>
      <c r="Q361" s="93">
        <v>309419000</v>
      </c>
      <c r="R361" s="94">
        <f t="shared" si="121"/>
        <v>928257000</v>
      </c>
      <c r="S361" s="95">
        <v>0.11999999913127507</v>
      </c>
      <c r="T361" s="94">
        <v>99456107</v>
      </c>
      <c r="U361" s="117">
        <v>846885851</v>
      </c>
      <c r="V361" s="117">
        <v>272338260</v>
      </c>
      <c r="W361" s="94">
        <f t="shared" si="111"/>
        <v>29179099.09710855</v>
      </c>
      <c r="X361" s="94">
        <f t="shared" si="112"/>
        <v>11671639.638843421</v>
      </c>
      <c r="Y361" s="94">
        <f t="shared" si="113"/>
        <v>17507459.458265129</v>
      </c>
      <c r="Z361" s="93">
        <f>_xlfn.XLOOKUP(O361,'[4]2DO TRIMESTRE'!$C:$C,'[4]2DO TRIMESTRE'!$I:$I,0,0)</f>
        <v>0</v>
      </c>
      <c r="AA361" s="94">
        <f t="shared" si="128"/>
        <v>0</v>
      </c>
      <c r="AB361" s="94">
        <f t="shared" si="129"/>
        <v>0</v>
      </c>
      <c r="AC361" s="94">
        <f t="shared" si="130"/>
        <v>0</v>
      </c>
      <c r="AD361" s="93">
        <v>0</v>
      </c>
      <c r="AE361" s="94">
        <f t="shared" si="125"/>
        <v>0</v>
      </c>
      <c r="AF361" s="94">
        <f t="shared" si="126"/>
        <v>0</v>
      </c>
      <c r="AG361" s="94">
        <f t="shared" si="127"/>
        <v>0</v>
      </c>
      <c r="AH361" s="117">
        <v>0</v>
      </c>
      <c r="AI361" s="94">
        <f t="shared" si="108"/>
        <v>0</v>
      </c>
      <c r="AJ361" s="94">
        <f t="shared" si="109"/>
        <v>0</v>
      </c>
      <c r="AK361" s="94">
        <f t="shared" si="110"/>
        <v>0</v>
      </c>
      <c r="AL361" s="93">
        <v>90737769.619665742</v>
      </c>
      <c r="AM361" s="93">
        <f t="shared" si="117"/>
        <v>29179099.09710855</v>
      </c>
      <c r="AN361" s="155"/>
      <c r="AO361" s="155"/>
    </row>
    <row r="362" spans="1:41" s="9" customFormat="1" ht="25.15" customHeight="1" x14ac:dyDescent="0.25">
      <c r="A362" s="83">
        <v>356</v>
      </c>
      <c r="B362" s="84">
        <v>2024</v>
      </c>
      <c r="C362" s="85" t="s">
        <v>128</v>
      </c>
      <c r="D362" s="86" t="s">
        <v>1744</v>
      </c>
      <c r="E362" s="86" t="s">
        <v>758</v>
      </c>
      <c r="F362" s="87">
        <v>45644</v>
      </c>
      <c r="G362" s="87">
        <v>45961</v>
      </c>
      <c r="H362" s="88">
        <f t="shared" si="103"/>
        <v>3.5222222222222221</v>
      </c>
      <c r="I362" s="89" t="s">
        <v>759</v>
      </c>
      <c r="J362" s="90" t="s">
        <v>751</v>
      </c>
      <c r="K362" s="90" t="s">
        <v>752</v>
      </c>
      <c r="L362" s="90" t="s">
        <v>753</v>
      </c>
      <c r="M362" s="91" t="s">
        <v>1059</v>
      </c>
      <c r="N362" s="92" t="s">
        <v>1781</v>
      </c>
      <c r="O362" s="85">
        <v>2910907375</v>
      </c>
      <c r="P362" s="93">
        <v>2150000000</v>
      </c>
      <c r="Q362" s="93">
        <v>0</v>
      </c>
      <c r="R362" s="94">
        <f t="shared" si="121"/>
        <v>2150000000</v>
      </c>
      <c r="S362" s="95">
        <v>0.12000000008334884</v>
      </c>
      <c r="T362" s="94">
        <v>230357143</v>
      </c>
      <c r="U362" s="117">
        <v>1944675000</v>
      </c>
      <c r="V362" s="117">
        <v>0</v>
      </c>
      <c r="W362" s="94">
        <f t="shared" si="111"/>
        <v>0</v>
      </c>
      <c r="X362" s="94">
        <f t="shared" si="112"/>
        <v>0</v>
      </c>
      <c r="Y362" s="94">
        <f t="shared" si="113"/>
        <v>0</v>
      </c>
      <c r="Z362" s="93">
        <v>168130000</v>
      </c>
      <c r="AA362" s="94">
        <f t="shared" si="128"/>
        <v>18013928.582600001</v>
      </c>
      <c r="AB362" s="94">
        <f t="shared" si="129"/>
        <v>7205571.4330400005</v>
      </c>
      <c r="AC362" s="94">
        <f t="shared" si="130"/>
        <v>10808357.149560001</v>
      </c>
      <c r="AD362" s="93">
        <v>0</v>
      </c>
      <c r="AE362" s="94">
        <f t="shared" si="125"/>
        <v>0</v>
      </c>
      <c r="AF362" s="94">
        <f t="shared" si="126"/>
        <v>0</v>
      </c>
      <c r="AG362" s="94">
        <f t="shared" si="127"/>
        <v>0</v>
      </c>
      <c r="AH362" s="117">
        <v>0</v>
      </c>
      <c r="AI362" s="94">
        <f t="shared" si="108"/>
        <v>0</v>
      </c>
      <c r="AJ362" s="94">
        <f t="shared" si="109"/>
        <v>0</v>
      </c>
      <c r="AK362" s="94">
        <f t="shared" si="110"/>
        <v>0</v>
      </c>
      <c r="AL362" s="93">
        <v>208358035.84350002</v>
      </c>
      <c r="AM362" s="93">
        <f t="shared" si="117"/>
        <v>18013928.582600001</v>
      </c>
      <c r="AN362" s="155"/>
      <c r="AO362" s="155"/>
    </row>
    <row r="363" spans="1:41" s="9" customFormat="1" ht="25.15" customHeight="1" x14ac:dyDescent="0.25">
      <c r="A363" s="83">
        <v>357</v>
      </c>
      <c r="B363" s="84">
        <v>2025</v>
      </c>
      <c r="C363" s="85" t="s">
        <v>1796</v>
      </c>
      <c r="D363" s="86" t="s">
        <v>1750</v>
      </c>
      <c r="E363" s="86" t="s">
        <v>758</v>
      </c>
      <c r="F363" s="87">
        <v>45743</v>
      </c>
      <c r="G363" s="87">
        <v>46056</v>
      </c>
      <c r="H363" s="88">
        <f t="shared" ref="H363:H425" si="131">+(G363-F363)/90</f>
        <v>3.4777777777777779</v>
      </c>
      <c r="I363" s="89" t="s">
        <v>759</v>
      </c>
      <c r="J363" s="90" t="s">
        <v>751</v>
      </c>
      <c r="K363" s="90" t="s">
        <v>752</v>
      </c>
      <c r="L363" s="90" t="s">
        <v>753</v>
      </c>
      <c r="M363" s="91" t="s">
        <v>1059</v>
      </c>
      <c r="N363" s="92" t="s">
        <v>1782</v>
      </c>
      <c r="O363" s="85">
        <v>2910907386</v>
      </c>
      <c r="P363" s="93">
        <v>175000000</v>
      </c>
      <c r="Q363" s="93">
        <v>0</v>
      </c>
      <c r="R363" s="94">
        <f>+(P363+Q363)</f>
        <v>175000000</v>
      </c>
      <c r="S363" s="95">
        <v>0.12</v>
      </c>
      <c r="T363" s="94">
        <v>18750000</v>
      </c>
      <c r="U363" s="117">
        <v>175000000</v>
      </c>
      <c r="V363" s="117">
        <v>0</v>
      </c>
      <c r="W363" s="94">
        <f t="shared" si="111"/>
        <v>0</v>
      </c>
      <c r="X363" s="94">
        <f t="shared" si="112"/>
        <v>0</v>
      </c>
      <c r="Y363" s="94">
        <f t="shared" si="113"/>
        <v>0</v>
      </c>
      <c r="Z363" s="93">
        <v>87500000</v>
      </c>
      <c r="AA363" s="94">
        <f t="shared" si="128"/>
        <v>9375000</v>
      </c>
      <c r="AB363" s="94">
        <f t="shared" si="129"/>
        <v>3750000</v>
      </c>
      <c r="AC363" s="94">
        <f t="shared" si="130"/>
        <v>5625000</v>
      </c>
      <c r="AD363" s="93">
        <v>0</v>
      </c>
      <c r="AE363" s="94">
        <f t="shared" si="125"/>
        <v>0</v>
      </c>
      <c r="AF363" s="94">
        <f t="shared" si="126"/>
        <v>0</v>
      </c>
      <c r="AG363" s="94">
        <f t="shared" si="127"/>
        <v>0</v>
      </c>
      <c r="AH363" s="117">
        <v>0</v>
      </c>
      <c r="AI363" s="94">
        <f t="shared" si="108"/>
        <v>0</v>
      </c>
      <c r="AJ363" s="94">
        <f t="shared" si="109"/>
        <v>0</v>
      </c>
      <c r="AK363" s="94">
        <f t="shared" si="110"/>
        <v>0</v>
      </c>
      <c r="AL363" s="93">
        <v>18750000</v>
      </c>
      <c r="AM363" s="93">
        <f t="shared" si="117"/>
        <v>9375000</v>
      </c>
      <c r="AN363" s="155"/>
      <c r="AO363" s="155"/>
    </row>
    <row r="364" spans="1:41" s="9" customFormat="1" ht="25.15" customHeight="1" x14ac:dyDescent="0.25">
      <c r="A364" s="83">
        <v>358</v>
      </c>
      <c r="B364" s="84">
        <v>2024</v>
      </c>
      <c r="C364" s="85" t="s">
        <v>876</v>
      </c>
      <c r="D364" s="86" t="s">
        <v>1754</v>
      </c>
      <c r="E364" s="86" t="s">
        <v>758</v>
      </c>
      <c r="F364" s="87">
        <v>45420</v>
      </c>
      <c r="G364" s="87">
        <v>45657</v>
      </c>
      <c r="H364" s="88">
        <f t="shared" si="131"/>
        <v>2.6333333333333333</v>
      </c>
      <c r="I364" s="89" t="s">
        <v>763</v>
      </c>
      <c r="J364" s="90" t="s">
        <v>751</v>
      </c>
      <c r="K364" s="90" t="s">
        <v>752</v>
      </c>
      <c r="L364" s="90" t="s">
        <v>753</v>
      </c>
      <c r="M364" s="91" t="s">
        <v>1059</v>
      </c>
      <c r="N364" s="92" t="s">
        <v>1783</v>
      </c>
      <c r="O364" s="85">
        <v>2910907315</v>
      </c>
      <c r="P364" s="93">
        <v>118000000</v>
      </c>
      <c r="Q364" s="93">
        <v>0</v>
      </c>
      <c r="R364" s="94">
        <f t="shared" si="121"/>
        <v>118000000</v>
      </c>
      <c r="S364" s="95">
        <v>0.11999999848135594</v>
      </c>
      <c r="T364" s="94">
        <v>12642857</v>
      </c>
      <c r="U364" s="117">
        <v>118000000</v>
      </c>
      <c r="V364" s="117">
        <v>0</v>
      </c>
      <c r="W364" s="94">
        <f t="shared" si="111"/>
        <v>0</v>
      </c>
      <c r="X364" s="94">
        <f t="shared" si="112"/>
        <v>0</v>
      </c>
      <c r="Y364" s="94">
        <f t="shared" si="113"/>
        <v>0</v>
      </c>
      <c r="Z364" s="93">
        <f>_xlfn.XLOOKUP(O364,'[4]2DO TRIMESTRE'!$C:$C,'[4]2DO TRIMESTRE'!$I:$I,0,0)</f>
        <v>0</v>
      </c>
      <c r="AA364" s="94">
        <f t="shared" si="128"/>
        <v>0</v>
      </c>
      <c r="AB364" s="94">
        <f t="shared" si="129"/>
        <v>0</v>
      </c>
      <c r="AC364" s="94">
        <f t="shared" si="130"/>
        <v>0</v>
      </c>
      <c r="AD364" s="93">
        <v>0</v>
      </c>
      <c r="AE364" s="94">
        <f t="shared" si="125"/>
        <v>0</v>
      </c>
      <c r="AF364" s="94">
        <f t="shared" si="126"/>
        <v>0</v>
      </c>
      <c r="AG364" s="94">
        <f t="shared" si="127"/>
        <v>0</v>
      </c>
      <c r="AH364" s="117">
        <v>0</v>
      </c>
      <c r="AI364" s="94">
        <f t="shared" si="108"/>
        <v>0</v>
      </c>
      <c r="AJ364" s="94">
        <f t="shared" si="109"/>
        <v>0</v>
      </c>
      <c r="AK364" s="94">
        <f t="shared" si="110"/>
        <v>0</v>
      </c>
      <c r="AL364" s="93">
        <v>12642857</v>
      </c>
      <c r="AM364" s="93">
        <f t="shared" si="117"/>
        <v>0</v>
      </c>
      <c r="AN364" s="155"/>
      <c r="AO364" s="155"/>
    </row>
    <row r="365" spans="1:41" s="9" customFormat="1" ht="25.15" customHeight="1" x14ac:dyDescent="0.25">
      <c r="A365" s="83">
        <v>359</v>
      </c>
      <c r="B365" s="84">
        <v>2025</v>
      </c>
      <c r="C365" s="85" t="s">
        <v>128</v>
      </c>
      <c r="D365" s="86" t="s">
        <v>1758</v>
      </c>
      <c r="E365" s="86" t="s">
        <v>758</v>
      </c>
      <c r="F365" s="87">
        <v>45775</v>
      </c>
      <c r="G365" s="87">
        <v>46012</v>
      </c>
      <c r="H365" s="88">
        <f t="shared" si="131"/>
        <v>2.6333333333333333</v>
      </c>
      <c r="I365" s="89" t="s">
        <v>759</v>
      </c>
      <c r="J365" s="90" t="s">
        <v>751</v>
      </c>
      <c r="K365" s="90" t="s">
        <v>752</v>
      </c>
      <c r="L365" s="90" t="s">
        <v>753</v>
      </c>
      <c r="M365" s="91" t="s">
        <v>1059</v>
      </c>
      <c r="N365" s="92" t="s">
        <v>1787</v>
      </c>
      <c r="O365" s="85">
        <v>2910907388</v>
      </c>
      <c r="P365" s="93">
        <v>318000000</v>
      </c>
      <c r="Q365" s="93">
        <v>0</v>
      </c>
      <c r="R365" s="94">
        <f t="shared" si="121"/>
        <v>318000000</v>
      </c>
      <c r="S365" s="95">
        <v>0.12000225409258686</v>
      </c>
      <c r="T365" s="94">
        <v>34072000</v>
      </c>
      <c r="U365" s="117">
        <v>318000000</v>
      </c>
      <c r="V365" s="117">
        <v>0</v>
      </c>
      <c r="W365" s="94">
        <f t="shared" si="111"/>
        <v>0</v>
      </c>
      <c r="X365" s="94">
        <f t="shared" si="112"/>
        <v>0</v>
      </c>
      <c r="Y365" s="94">
        <f t="shared" si="113"/>
        <v>0</v>
      </c>
      <c r="Z365" s="93">
        <f>_xlfn.XLOOKUP(O365,'[4]2DO TRIMESTRE'!$C:$C,'[4]2DO TRIMESTRE'!$I:$I,0,0)</f>
        <v>0</v>
      </c>
      <c r="AA365" s="94">
        <f t="shared" si="128"/>
        <v>0</v>
      </c>
      <c r="AB365" s="94">
        <f t="shared" si="129"/>
        <v>0</v>
      </c>
      <c r="AC365" s="94">
        <f t="shared" si="130"/>
        <v>0</v>
      </c>
      <c r="AD365" s="93">
        <v>0</v>
      </c>
      <c r="AE365" s="94">
        <f t="shared" si="125"/>
        <v>0</v>
      </c>
      <c r="AF365" s="94">
        <f t="shared" si="126"/>
        <v>0</v>
      </c>
      <c r="AG365" s="94">
        <f t="shared" si="127"/>
        <v>0</v>
      </c>
      <c r="AH365" s="117">
        <v>0</v>
      </c>
      <c r="AI365" s="94">
        <f t="shared" si="108"/>
        <v>0</v>
      </c>
      <c r="AJ365" s="94">
        <f t="shared" si="109"/>
        <v>0</v>
      </c>
      <c r="AK365" s="94">
        <f t="shared" si="110"/>
        <v>0</v>
      </c>
      <c r="AL365" s="93">
        <v>34072000</v>
      </c>
      <c r="AM365" s="93">
        <f t="shared" si="117"/>
        <v>0</v>
      </c>
      <c r="AN365" s="155"/>
      <c r="AO365" s="155"/>
    </row>
    <row r="366" spans="1:41" s="9" customFormat="1" ht="25.15" customHeight="1" x14ac:dyDescent="0.25">
      <c r="A366" s="83">
        <v>360</v>
      </c>
      <c r="B366" s="84">
        <v>2025</v>
      </c>
      <c r="C366" s="85" t="s">
        <v>1797</v>
      </c>
      <c r="D366" s="86" t="s">
        <v>1760</v>
      </c>
      <c r="E366" s="86" t="s">
        <v>758</v>
      </c>
      <c r="F366" s="87">
        <v>45799</v>
      </c>
      <c r="G366" s="87">
        <v>46022</v>
      </c>
      <c r="H366" s="88">
        <f t="shared" si="131"/>
        <v>2.4777777777777779</v>
      </c>
      <c r="I366" s="89" t="s">
        <v>759</v>
      </c>
      <c r="J366" s="90" t="s">
        <v>751</v>
      </c>
      <c r="K366" s="90" t="s">
        <v>752</v>
      </c>
      <c r="L366" s="90" t="s">
        <v>753</v>
      </c>
      <c r="M366" s="91" t="s">
        <v>1059</v>
      </c>
      <c r="N366" s="92" t="s">
        <v>1788</v>
      </c>
      <c r="O366" s="85">
        <v>2910907389</v>
      </c>
      <c r="P366" s="93">
        <v>531500000</v>
      </c>
      <c r="Q366" s="93">
        <v>0</v>
      </c>
      <c r="R366" s="94">
        <f t="shared" si="121"/>
        <v>531500000</v>
      </c>
      <c r="S366" s="95">
        <v>0.12000000101147695</v>
      </c>
      <c r="T366" s="94">
        <v>56946429</v>
      </c>
      <c r="U366" s="117">
        <v>531500000</v>
      </c>
      <c r="V366" s="117">
        <v>223230000</v>
      </c>
      <c r="W366" s="94">
        <f t="shared" si="111"/>
        <v>23917500.18</v>
      </c>
      <c r="X366" s="94">
        <f t="shared" si="112"/>
        <v>9567000.0720000006</v>
      </c>
      <c r="Y366" s="94">
        <f t="shared" si="113"/>
        <v>14350500.107999999</v>
      </c>
      <c r="Z366" s="93">
        <f>_xlfn.XLOOKUP(O366,'[4]2DO TRIMESTRE'!$C:$C,'[4]2DO TRIMESTRE'!$I:$I,0,0)</f>
        <v>0</v>
      </c>
      <c r="AA366" s="94">
        <f t="shared" si="128"/>
        <v>0</v>
      </c>
      <c r="AB366" s="94">
        <f t="shared" si="129"/>
        <v>0</v>
      </c>
      <c r="AC366" s="94">
        <f t="shared" si="130"/>
        <v>0</v>
      </c>
      <c r="AD366" s="93">
        <v>0</v>
      </c>
      <c r="AE366" s="94">
        <f t="shared" si="125"/>
        <v>0</v>
      </c>
      <c r="AF366" s="94">
        <f t="shared" si="126"/>
        <v>0</v>
      </c>
      <c r="AG366" s="94">
        <f t="shared" si="127"/>
        <v>0</v>
      </c>
      <c r="AH366" s="117">
        <v>0</v>
      </c>
      <c r="AI366" s="94">
        <f t="shared" si="108"/>
        <v>0</v>
      </c>
      <c r="AJ366" s="94">
        <f t="shared" si="109"/>
        <v>0</v>
      </c>
      <c r="AK366" s="94">
        <f t="shared" si="110"/>
        <v>0</v>
      </c>
      <c r="AL366" s="93">
        <v>56946429</v>
      </c>
      <c r="AM366" s="93">
        <f t="shared" si="117"/>
        <v>23917500.18</v>
      </c>
      <c r="AN366" s="155"/>
      <c r="AO366" s="155"/>
    </row>
    <row r="367" spans="1:41" s="9" customFormat="1" ht="25.15" customHeight="1" x14ac:dyDescent="0.25">
      <c r="A367" s="83">
        <v>361</v>
      </c>
      <c r="B367" s="84">
        <v>2025</v>
      </c>
      <c r="C367" s="85" t="s">
        <v>1798</v>
      </c>
      <c r="D367" s="86" t="s">
        <v>1761</v>
      </c>
      <c r="E367" s="86" t="s">
        <v>758</v>
      </c>
      <c r="F367" s="87">
        <v>45859</v>
      </c>
      <c r="G367" s="87">
        <v>46068</v>
      </c>
      <c r="H367" s="88">
        <f t="shared" si="131"/>
        <v>2.3222222222222224</v>
      </c>
      <c r="I367" s="89" t="s">
        <v>763</v>
      </c>
      <c r="J367" s="90" t="s">
        <v>751</v>
      </c>
      <c r="K367" s="90" t="s">
        <v>752</v>
      </c>
      <c r="L367" s="90" t="s">
        <v>753</v>
      </c>
      <c r="M367" s="91" t="s">
        <v>1059</v>
      </c>
      <c r="N367" s="92" t="s">
        <v>1789</v>
      </c>
      <c r="O367" s="85">
        <v>2910907399</v>
      </c>
      <c r="P367" s="93">
        <v>205400000</v>
      </c>
      <c r="Q367" s="93">
        <v>0</v>
      </c>
      <c r="R367" s="94">
        <f t="shared" si="121"/>
        <v>205400000</v>
      </c>
      <c r="S367" s="95">
        <v>0.12000000087244402</v>
      </c>
      <c r="T367" s="94">
        <v>22007143</v>
      </c>
      <c r="U367" s="117">
        <v>205400000</v>
      </c>
      <c r="V367" s="117">
        <v>123240000</v>
      </c>
      <c r="W367" s="94">
        <f t="shared" si="111"/>
        <v>13204285.800000001</v>
      </c>
      <c r="X367" s="94">
        <f t="shared" si="112"/>
        <v>5281714.32</v>
      </c>
      <c r="Y367" s="94">
        <f t="shared" si="113"/>
        <v>7922571.4800000004</v>
      </c>
      <c r="Z367" s="93">
        <v>20540000</v>
      </c>
      <c r="AA367" s="94">
        <f>+Z367/(1+$S367)*$S367</f>
        <v>2200714.2999999998</v>
      </c>
      <c r="AB367" s="94">
        <f t="shared" si="129"/>
        <v>880285.72</v>
      </c>
      <c r="AC367" s="94">
        <f t="shared" si="130"/>
        <v>1320428.5799999998</v>
      </c>
      <c r="AD367" s="93">
        <v>0</v>
      </c>
      <c r="AE367" s="94">
        <f t="shared" si="125"/>
        <v>0</v>
      </c>
      <c r="AF367" s="94">
        <f t="shared" si="126"/>
        <v>0</v>
      </c>
      <c r="AG367" s="94">
        <f t="shared" si="127"/>
        <v>0</v>
      </c>
      <c r="AH367" s="117">
        <v>0</v>
      </c>
      <c r="AI367" s="94">
        <f t="shared" si="108"/>
        <v>0</v>
      </c>
      <c r="AJ367" s="94">
        <f t="shared" si="109"/>
        <v>0</v>
      </c>
      <c r="AK367" s="94">
        <f t="shared" si="110"/>
        <v>0</v>
      </c>
      <c r="AL367" s="93">
        <v>22007143</v>
      </c>
      <c r="AM367" s="93">
        <f t="shared" si="117"/>
        <v>15405000.100000001</v>
      </c>
      <c r="AN367" s="155"/>
      <c r="AO367" s="155"/>
    </row>
    <row r="368" spans="1:41" s="9" customFormat="1" ht="25.15" customHeight="1" x14ac:dyDescent="0.25">
      <c r="A368" s="83">
        <v>362</v>
      </c>
      <c r="B368" s="84">
        <v>2025</v>
      </c>
      <c r="C368" s="85" t="s">
        <v>1799</v>
      </c>
      <c r="D368" s="86" t="s">
        <v>1764</v>
      </c>
      <c r="E368" s="86" t="s">
        <v>758</v>
      </c>
      <c r="F368" s="87">
        <v>45817</v>
      </c>
      <c r="G368" s="87">
        <v>46011</v>
      </c>
      <c r="H368" s="88">
        <f t="shared" si="131"/>
        <v>2.1555555555555554</v>
      </c>
      <c r="I368" s="89" t="s">
        <v>759</v>
      </c>
      <c r="J368" s="90" t="s">
        <v>751</v>
      </c>
      <c r="K368" s="90" t="s">
        <v>752</v>
      </c>
      <c r="L368" s="90" t="s">
        <v>753</v>
      </c>
      <c r="M368" s="91" t="s">
        <v>1059</v>
      </c>
      <c r="N368" s="92" t="s">
        <v>1790</v>
      </c>
      <c r="O368" s="85">
        <v>2910907393</v>
      </c>
      <c r="P368" s="93">
        <v>1554017120</v>
      </c>
      <c r="Q368" s="93">
        <v>0</v>
      </c>
      <c r="R368" s="94">
        <f t="shared" si="121"/>
        <v>1554017120</v>
      </c>
      <c r="S368" s="95">
        <v>0.11999999976937191</v>
      </c>
      <c r="T368" s="94">
        <v>166501834</v>
      </c>
      <c r="U368" s="117">
        <v>1554017120</v>
      </c>
      <c r="V368" s="117">
        <v>1165512840</v>
      </c>
      <c r="W368" s="94">
        <f t="shared" si="111"/>
        <v>124876375.5</v>
      </c>
      <c r="X368" s="94">
        <f t="shared" si="112"/>
        <v>49950550.200000003</v>
      </c>
      <c r="Y368" s="94">
        <f t="shared" si="113"/>
        <v>74925825.299999997</v>
      </c>
      <c r="Z368" s="93">
        <f>_xlfn.XLOOKUP(O368,'[4]2DO TRIMESTRE'!$C:$C,'[4]2DO TRIMESTRE'!$I:$I,0,0)</f>
        <v>0</v>
      </c>
      <c r="AA368" s="94">
        <f t="shared" ref="AA368:AA383" si="132">+Z368/(1+$S368)*$S368</f>
        <v>0</v>
      </c>
      <c r="AB368" s="94">
        <f t="shared" si="129"/>
        <v>0</v>
      </c>
      <c r="AC368" s="94">
        <f t="shared" si="130"/>
        <v>0</v>
      </c>
      <c r="AD368" s="93">
        <v>0</v>
      </c>
      <c r="AE368" s="94">
        <f t="shared" si="125"/>
        <v>0</v>
      </c>
      <c r="AF368" s="94">
        <f t="shared" si="126"/>
        <v>0</v>
      </c>
      <c r="AG368" s="94">
        <f t="shared" si="127"/>
        <v>0</v>
      </c>
      <c r="AH368" s="117">
        <v>0</v>
      </c>
      <c r="AI368" s="94">
        <f t="shared" si="108"/>
        <v>0</v>
      </c>
      <c r="AJ368" s="94">
        <f t="shared" si="109"/>
        <v>0</v>
      </c>
      <c r="AK368" s="94">
        <f t="shared" si="110"/>
        <v>0</v>
      </c>
      <c r="AL368" s="93">
        <v>166501833</v>
      </c>
      <c r="AM368" s="93">
        <f t="shared" si="117"/>
        <v>124876375.5</v>
      </c>
      <c r="AN368" s="155" t="s">
        <v>1854</v>
      </c>
      <c r="AO368" s="155"/>
    </row>
    <row r="369" spans="1:41" s="9" customFormat="1" ht="25.15" customHeight="1" x14ac:dyDescent="0.25">
      <c r="A369" s="83">
        <v>363</v>
      </c>
      <c r="B369" s="84">
        <v>2025</v>
      </c>
      <c r="C369" s="85" t="s">
        <v>786</v>
      </c>
      <c r="D369" s="86" t="s">
        <v>1769</v>
      </c>
      <c r="E369" s="86" t="s">
        <v>758</v>
      </c>
      <c r="F369" s="87">
        <v>45744</v>
      </c>
      <c r="G369" s="87">
        <v>45968</v>
      </c>
      <c r="H369" s="88">
        <f t="shared" si="131"/>
        <v>2.4888888888888889</v>
      </c>
      <c r="I369" s="89" t="s">
        <v>759</v>
      </c>
      <c r="J369" s="90" t="s">
        <v>751</v>
      </c>
      <c r="K369" s="90" t="s">
        <v>752</v>
      </c>
      <c r="L369" s="90" t="s">
        <v>753</v>
      </c>
      <c r="M369" s="91" t="s">
        <v>1059</v>
      </c>
      <c r="N369" s="92" t="s">
        <v>1791</v>
      </c>
      <c r="O369" s="85">
        <v>2910907382</v>
      </c>
      <c r="P369" s="93">
        <v>1332000000</v>
      </c>
      <c r="Q369" s="93">
        <v>786514285</v>
      </c>
      <c r="R369" s="94">
        <f t="shared" si="121"/>
        <v>2118514285</v>
      </c>
      <c r="S369" s="95">
        <v>0.12000000026906907</v>
      </c>
      <c r="T369" s="94">
        <v>226983673</v>
      </c>
      <c r="U369" s="117">
        <v>1668171429</v>
      </c>
      <c r="V369" s="117">
        <v>0</v>
      </c>
      <c r="W369" s="94">
        <f t="shared" si="111"/>
        <v>0</v>
      </c>
      <c r="X369" s="94">
        <f t="shared" si="112"/>
        <v>0</v>
      </c>
      <c r="Y369" s="94">
        <f t="shared" si="113"/>
        <v>0</v>
      </c>
      <c r="Z369" s="93">
        <v>1002171429</v>
      </c>
      <c r="AA369" s="94">
        <f t="shared" si="132"/>
        <v>107375510.46496598</v>
      </c>
      <c r="AB369" s="94">
        <f t="shared" si="129"/>
        <v>42950204.1859864</v>
      </c>
      <c r="AC369" s="94">
        <f t="shared" si="130"/>
        <v>64425306.278979585</v>
      </c>
      <c r="AD369" s="93">
        <v>0</v>
      </c>
      <c r="AE369" s="94">
        <f t="shared" si="125"/>
        <v>0</v>
      </c>
      <c r="AF369" s="94">
        <f t="shared" si="126"/>
        <v>0</v>
      </c>
      <c r="AG369" s="94">
        <f t="shared" si="127"/>
        <v>0</v>
      </c>
      <c r="AH369" s="117">
        <v>0</v>
      </c>
      <c r="AI369" s="94">
        <f t="shared" si="108"/>
        <v>0</v>
      </c>
      <c r="AJ369" s="94">
        <f t="shared" si="109"/>
        <v>0</v>
      </c>
      <c r="AK369" s="94">
        <f t="shared" si="110"/>
        <v>0</v>
      </c>
      <c r="AL369" s="93">
        <v>178732652.79779726</v>
      </c>
      <c r="AM369" s="93">
        <f t="shared" si="117"/>
        <v>107375510.46496598</v>
      </c>
      <c r="AN369" s="155"/>
      <c r="AO369" s="155"/>
    </row>
    <row r="370" spans="1:41" s="9" customFormat="1" ht="25.15" customHeight="1" x14ac:dyDescent="0.25">
      <c r="A370" s="83">
        <v>364</v>
      </c>
      <c r="B370" s="84">
        <v>2024</v>
      </c>
      <c r="C370" s="85" t="s">
        <v>1509</v>
      </c>
      <c r="D370" s="86" t="s">
        <v>1774</v>
      </c>
      <c r="E370" s="86" t="s">
        <v>777</v>
      </c>
      <c r="F370" s="87">
        <v>45656</v>
      </c>
      <c r="G370" s="87">
        <v>46025</v>
      </c>
      <c r="H370" s="88">
        <f t="shared" si="131"/>
        <v>4.0999999999999996</v>
      </c>
      <c r="I370" s="89" t="s">
        <v>759</v>
      </c>
      <c r="J370" s="90" t="s">
        <v>751</v>
      </c>
      <c r="K370" s="90" t="s">
        <v>752</v>
      </c>
      <c r="L370" s="90" t="s">
        <v>753</v>
      </c>
      <c r="M370" s="91" t="s">
        <v>1059</v>
      </c>
      <c r="N370" s="92" t="s">
        <v>1786</v>
      </c>
      <c r="O370" s="85">
        <v>2453018375</v>
      </c>
      <c r="P370" s="93">
        <v>7314957000</v>
      </c>
      <c r="Q370" s="93">
        <v>0</v>
      </c>
      <c r="R370" s="94">
        <f t="shared" si="121"/>
        <v>7314957000</v>
      </c>
      <c r="S370" s="95">
        <v>0.12000000002449775</v>
      </c>
      <c r="T370" s="94">
        <v>783745393</v>
      </c>
      <c r="U370" s="117">
        <v>2765000000</v>
      </c>
      <c r="V370" s="117">
        <v>1301224597</v>
      </c>
      <c r="W370" s="94">
        <f t="shared" si="111"/>
        <v>139416921.13255504</v>
      </c>
      <c r="X370" s="94">
        <f t="shared" si="112"/>
        <v>55766768.453022018</v>
      </c>
      <c r="Y370" s="94">
        <f t="shared" si="113"/>
        <v>83650152.67953302</v>
      </c>
      <c r="Z370" s="93">
        <v>320977887</v>
      </c>
      <c r="AA370" s="94">
        <f t="shared" si="132"/>
        <v>34390487.899125665</v>
      </c>
      <c r="AB370" s="94">
        <f t="shared" si="129"/>
        <v>13756195.159650266</v>
      </c>
      <c r="AC370" s="94">
        <f t="shared" si="130"/>
        <v>20634292.739475399</v>
      </c>
      <c r="AD370" s="93">
        <v>0</v>
      </c>
      <c r="AE370" s="94">
        <f t="shared" si="125"/>
        <v>0</v>
      </c>
      <c r="AF370" s="94">
        <f t="shared" si="126"/>
        <v>0</v>
      </c>
      <c r="AG370" s="94">
        <f t="shared" si="127"/>
        <v>0</v>
      </c>
      <c r="AH370" s="117">
        <v>0</v>
      </c>
      <c r="AI370" s="94">
        <f t="shared" si="108"/>
        <v>0</v>
      </c>
      <c r="AJ370" s="94">
        <f t="shared" si="109"/>
        <v>0</v>
      </c>
      <c r="AK370" s="94">
        <f t="shared" si="110"/>
        <v>0</v>
      </c>
      <c r="AL370" s="93">
        <v>296250000.05399895</v>
      </c>
      <c r="AM370" s="93">
        <f t="shared" si="117"/>
        <v>173807409.0316807</v>
      </c>
      <c r="AN370" s="155" t="s">
        <v>1852</v>
      </c>
      <c r="AO370" s="155"/>
    </row>
    <row r="371" spans="1:41" s="9" customFormat="1" ht="25.15" customHeight="1" x14ac:dyDescent="0.25">
      <c r="A371" s="83">
        <v>365</v>
      </c>
      <c r="B371" s="84">
        <v>2025</v>
      </c>
      <c r="C371" s="85" t="s">
        <v>747</v>
      </c>
      <c r="D371" s="86" t="s">
        <v>1775</v>
      </c>
      <c r="E371" s="86" t="s">
        <v>749</v>
      </c>
      <c r="F371" s="87">
        <v>45905</v>
      </c>
      <c r="G371" s="87">
        <v>46268</v>
      </c>
      <c r="H371" s="88">
        <f t="shared" si="131"/>
        <v>4.0333333333333332</v>
      </c>
      <c r="I371" s="89" t="s">
        <v>759</v>
      </c>
      <c r="J371" s="90" t="s">
        <v>751</v>
      </c>
      <c r="K371" s="90" t="s">
        <v>752</v>
      </c>
      <c r="L371" s="90" t="s">
        <v>753</v>
      </c>
      <c r="M371" s="91" t="s">
        <v>754</v>
      </c>
      <c r="N371" s="92" t="s">
        <v>1792</v>
      </c>
      <c r="O371" s="85">
        <v>2910908240</v>
      </c>
      <c r="P371" s="93">
        <v>198146100</v>
      </c>
      <c r="Q371" s="93">
        <v>312736273</v>
      </c>
      <c r="R371" s="94">
        <f>+(P371+Q371)</f>
        <v>510882373</v>
      </c>
      <c r="S371" s="95">
        <v>0.11999999901167256</v>
      </c>
      <c r="T371" s="94">
        <v>54737397</v>
      </c>
      <c r="U371" s="117">
        <v>510882373</v>
      </c>
      <c r="V371" s="117">
        <v>255144970</v>
      </c>
      <c r="W371" s="94">
        <f t="shared" si="111"/>
        <v>27336960.870402765</v>
      </c>
      <c r="X371" s="94">
        <f t="shared" si="112"/>
        <v>10934784.348161107</v>
      </c>
      <c r="Y371" s="94">
        <f t="shared" si="113"/>
        <v>16402176.522241658</v>
      </c>
      <c r="Z371" s="93">
        <v>57591303</v>
      </c>
      <c r="AA371" s="94">
        <f t="shared" si="132"/>
        <v>6170496.7046244703</v>
      </c>
      <c r="AB371" s="94">
        <f t="shared" si="129"/>
        <v>2468198.6818497884</v>
      </c>
      <c r="AC371" s="94">
        <f t="shared" si="130"/>
        <v>3702298.0227746819</v>
      </c>
      <c r="AD371" s="93">
        <v>0</v>
      </c>
      <c r="AE371" s="94">
        <f t="shared" si="125"/>
        <v>0</v>
      </c>
      <c r="AF371" s="94">
        <f t="shared" si="126"/>
        <v>0</v>
      </c>
      <c r="AG371" s="94">
        <f t="shared" si="127"/>
        <v>0</v>
      </c>
      <c r="AH371" s="117">
        <v>0</v>
      </c>
      <c r="AI371" s="94">
        <f t="shared" si="108"/>
        <v>0</v>
      </c>
      <c r="AJ371" s="94">
        <f t="shared" si="109"/>
        <v>0</v>
      </c>
      <c r="AK371" s="94">
        <f t="shared" si="110"/>
        <v>0</v>
      </c>
      <c r="AL371" s="93">
        <v>54737397.000000007</v>
      </c>
      <c r="AM371" s="93">
        <f t="shared" si="117"/>
        <v>33507457.575027235</v>
      </c>
      <c r="AN371" s="155"/>
      <c r="AO371" s="155"/>
    </row>
    <row r="372" spans="1:41" s="9" customFormat="1" ht="25.15" customHeight="1" x14ac:dyDescent="0.25">
      <c r="A372" s="83">
        <v>366</v>
      </c>
      <c r="B372" s="84">
        <v>2025</v>
      </c>
      <c r="C372" s="85" t="s">
        <v>747</v>
      </c>
      <c r="D372" s="86" t="s">
        <v>1776</v>
      </c>
      <c r="E372" s="86" t="s">
        <v>749</v>
      </c>
      <c r="F372" s="87">
        <v>45905</v>
      </c>
      <c r="G372" s="87">
        <v>46268</v>
      </c>
      <c r="H372" s="88">
        <f t="shared" si="131"/>
        <v>4.0333333333333332</v>
      </c>
      <c r="I372" s="89" t="s">
        <v>759</v>
      </c>
      <c r="J372" s="90" t="s">
        <v>751</v>
      </c>
      <c r="K372" s="90" t="s">
        <v>752</v>
      </c>
      <c r="L372" s="90" t="s">
        <v>753</v>
      </c>
      <c r="M372" s="91" t="s">
        <v>754</v>
      </c>
      <c r="N372" s="92" t="s">
        <v>1793</v>
      </c>
      <c r="O372" s="85">
        <v>2910908242</v>
      </c>
      <c r="P372" s="93">
        <v>198721250</v>
      </c>
      <c r="Q372" s="93">
        <v>275789482</v>
      </c>
      <c r="R372" s="94">
        <f t="shared" si="121"/>
        <v>474510732</v>
      </c>
      <c r="S372" s="95">
        <v>0.12000000315617983</v>
      </c>
      <c r="T372" s="94">
        <v>50840435</v>
      </c>
      <c r="U372" s="117">
        <v>474510732</v>
      </c>
      <c r="V372" s="117">
        <v>275789482</v>
      </c>
      <c r="W372" s="94">
        <f t="shared" si="111"/>
        <v>29548873.765338961</v>
      </c>
      <c r="X372" s="94">
        <f t="shared" si="112"/>
        <v>11819549.506135585</v>
      </c>
      <c r="Y372" s="94">
        <f t="shared" si="113"/>
        <v>17729324.259203374</v>
      </c>
      <c r="Z372" s="93">
        <f>_xlfn.XLOOKUP(O372,'[4]2DO TRIMESTRE'!$C:$C,'[4]2DO TRIMESTRE'!$I:$I,0,0)</f>
        <v>0</v>
      </c>
      <c r="AA372" s="94">
        <f t="shared" si="132"/>
        <v>0</v>
      </c>
      <c r="AB372" s="94">
        <f t="shared" si="129"/>
        <v>0</v>
      </c>
      <c r="AC372" s="94">
        <f t="shared" si="130"/>
        <v>0</v>
      </c>
      <c r="AD372" s="93">
        <v>0</v>
      </c>
      <c r="AE372" s="94">
        <f t="shared" si="125"/>
        <v>0</v>
      </c>
      <c r="AF372" s="94">
        <f t="shared" si="126"/>
        <v>0</v>
      </c>
      <c r="AG372" s="94">
        <f t="shared" si="127"/>
        <v>0</v>
      </c>
      <c r="AH372" s="117">
        <v>0</v>
      </c>
      <c r="AI372" s="94">
        <f t="shared" si="108"/>
        <v>0</v>
      </c>
      <c r="AJ372" s="94">
        <f t="shared" si="109"/>
        <v>0</v>
      </c>
      <c r="AK372" s="94">
        <f t="shared" si="110"/>
        <v>0</v>
      </c>
      <c r="AL372" s="93">
        <v>50840435.314998552</v>
      </c>
      <c r="AM372" s="93">
        <f t="shared" si="117"/>
        <v>29548873.765338961</v>
      </c>
      <c r="AN372" s="155"/>
      <c r="AO372" s="155"/>
    </row>
    <row r="373" spans="1:41" s="9" customFormat="1" ht="25.15" customHeight="1" x14ac:dyDescent="0.25">
      <c r="A373" s="83">
        <v>367</v>
      </c>
      <c r="B373" s="84">
        <v>2025</v>
      </c>
      <c r="C373" s="85" t="s">
        <v>747</v>
      </c>
      <c r="D373" s="86" t="s">
        <v>1777</v>
      </c>
      <c r="E373" s="86" t="s">
        <v>749</v>
      </c>
      <c r="F373" s="87">
        <v>45845</v>
      </c>
      <c r="G373" s="87">
        <v>46007</v>
      </c>
      <c r="H373" s="88">
        <f t="shared" si="131"/>
        <v>1.8</v>
      </c>
      <c r="I373" s="89" t="s">
        <v>759</v>
      </c>
      <c r="J373" s="90" t="s">
        <v>751</v>
      </c>
      <c r="K373" s="90" t="s">
        <v>752</v>
      </c>
      <c r="L373" s="90" t="s">
        <v>753</v>
      </c>
      <c r="M373" s="91" t="s">
        <v>754</v>
      </c>
      <c r="N373" s="92" t="s">
        <v>1794</v>
      </c>
      <c r="O373" s="85">
        <v>2910908243</v>
      </c>
      <c r="P373" s="93">
        <v>60125000</v>
      </c>
      <c r="Q373" s="93">
        <v>30721860</v>
      </c>
      <c r="R373" s="94">
        <f t="shared" si="121"/>
        <v>90846860</v>
      </c>
      <c r="S373" s="95">
        <v>0.11999999403908528</v>
      </c>
      <c r="T373" s="94">
        <v>9733592</v>
      </c>
      <c r="U373" s="117">
        <v>90846860</v>
      </c>
      <c r="V373" s="117">
        <v>30721860</v>
      </c>
      <c r="W373" s="94">
        <f t="shared" si="111"/>
        <v>3291627.711152433</v>
      </c>
      <c r="X373" s="94">
        <f t="shared" si="112"/>
        <v>1316651.0844609733</v>
      </c>
      <c r="Y373" s="94">
        <f t="shared" si="113"/>
        <v>1974976.6266914597</v>
      </c>
      <c r="Z373" s="93">
        <f>_xlfn.XLOOKUP(O373,'[4]2DO TRIMESTRE'!$C:$C,'[4]2DO TRIMESTRE'!$I:$I,0,0)</f>
        <v>0</v>
      </c>
      <c r="AA373" s="94">
        <f t="shared" si="132"/>
        <v>0</v>
      </c>
      <c r="AB373" s="94">
        <f t="shared" si="129"/>
        <v>0</v>
      </c>
      <c r="AC373" s="94">
        <f t="shared" si="130"/>
        <v>0</v>
      </c>
      <c r="AD373" s="93">
        <v>0</v>
      </c>
      <c r="AE373" s="94">
        <f t="shared" si="125"/>
        <v>0</v>
      </c>
      <c r="AF373" s="94">
        <f t="shared" si="126"/>
        <v>0</v>
      </c>
      <c r="AG373" s="94">
        <f t="shared" si="127"/>
        <v>0</v>
      </c>
      <c r="AH373" s="117">
        <v>0</v>
      </c>
      <c r="AI373" s="94">
        <f t="shared" si="108"/>
        <v>0</v>
      </c>
      <c r="AJ373" s="94">
        <f t="shared" si="109"/>
        <v>0</v>
      </c>
      <c r="AK373" s="94">
        <f t="shared" si="110"/>
        <v>0</v>
      </c>
      <c r="AL373" s="93">
        <v>9733592</v>
      </c>
      <c r="AM373" s="93">
        <f t="shared" si="117"/>
        <v>3291627.711152433</v>
      </c>
      <c r="AN373" s="155"/>
      <c r="AO373" s="155"/>
    </row>
    <row r="374" spans="1:41" s="9" customFormat="1" ht="25.15" customHeight="1" x14ac:dyDescent="0.25">
      <c r="A374" s="83">
        <v>368</v>
      </c>
      <c r="B374" s="84">
        <v>2025</v>
      </c>
      <c r="C374" s="85" t="s">
        <v>1394</v>
      </c>
      <c r="D374" s="86" t="s">
        <v>1813</v>
      </c>
      <c r="E374" s="86" t="s">
        <v>777</v>
      </c>
      <c r="F374" s="87">
        <v>45849</v>
      </c>
      <c r="G374" s="87">
        <v>45971</v>
      </c>
      <c r="H374" s="88">
        <f t="shared" si="131"/>
        <v>1.3555555555555556</v>
      </c>
      <c r="I374" s="89" t="s">
        <v>759</v>
      </c>
      <c r="J374" s="90" t="s">
        <v>751</v>
      </c>
      <c r="K374" s="90" t="s">
        <v>752</v>
      </c>
      <c r="L374" s="90" t="s">
        <v>753</v>
      </c>
      <c r="M374" s="91" t="s">
        <v>1059</v>
      </c>
      <c r="N374" s="92" t="s">
        <v>1802</v>
      </c>
      <c r="O374" s="85">
        <v>2453018381</v>
      </c>
      <c r="P374" s="93">
        <v>275000000</v>
      </c>
      <c r="Q374" s="93">
        <v>0</v>
      </c>
      <c r="R374" s="94">
        <f t="shared" si="121"/>
        <v>275000000</v>
      </c>
      <c r="S374" s="95">
        <v>0.12000000130327274</v>
      </c>
      <c r="T374" s="94">
        <v>29464286</v>
      </c>
      <c r="U374" s="117">
        <v>253637857</v>
      </c>
      <c r="V374" s="117">
        <v>147817857</v>
      </c>
      <c r="W374" s="94">
        <f t="shared" si="111"/>
        <v>15837627.68929128</v>
      </c>
      <c r="X374" s="94">
        <f t="shared" si="112"/>
        <v>6335051.0757165123</v>
      </c>
      <c r="Y374" s="94">
        <f t="shared" si="113"/>
        <v>9502576.6135747675</v>
      </c>
      <c r="Z374" s="93">
        <f>_xlfn.XLOOKUP(O374,'[4]2DO TRIMESTRE'!$C:$C,'[4]2DO TRIMESTRE'!$I:$I,0,0)</f>
        <v>0</v>
      </c>
      <c r="AA374" s="94">
        <f t="shared" si="132"/>
        <v>0</v>
      </c>
      <c r="AB374" s="94">
        <f t="shared" ref="AB374:AB383" si="133">+AA374*40%</f>
        <v>0</v>
      </c>
      <c r="AC374" s="94">
        <f t="shared" ref="AC374:AC383" si="134">+AA374*60%</f>
        <v>0</v>
      </c>
      <c r="AD374" s="93">
        <v>0</v>
      </c>
      <c r="AE374" s="94">
        <f t="shared" si="125"/>
        <v>0</v>
      </c>
      <c r="AF374" s="94">
        <f t="shared" si="126"/>
        <v>0</v>
      </c>
      <c r="AG374" s="94">
        <f t="shared" si="127"/>
        <v>0</v>
      </c>
      <c r="AH374" s="117">
        <v>0</v>
      </c>
      <c r="AI374" s="94">
        <f t="shared" si="108"/>
        <v>0</v>
      </c>
      <c r="AJ374" s="94">
        <f t="shared" si="109"/>
        <v>0</v>
      </c>
      <c r="AK374" s="94">
        <f t="shared" si="110"/>
        <v>0</v>
      </c>
      <c r="AL374" s="93">
        <v>27175484.942091282</v>
      </c>
      <c r="AM374" s="93">
        <f t="shared" si="117"/>
        <v>15837627.68929128</v>
      </c>
      <c r="AN374" s="155"/>
      <c r="AO374" s="155"/>
    </row>
    <row r="375" spans="1:41" s="9" customFormat="1" ht="25.15" customHeight="1" x14ac:dyDescent="0.25">
      <c r="A375" s="83">
        <v>369</v>
      </c>
      <c r="B375" s="84">
        <v>2025</v>
      </c>
      <c r="C375" s="85" t="s">
        <v>828</v>
      </c>
      <c r="D375" s="86" t="s">
        <v>1814</v>
      </c>
      <c r="E375" s="86" t="s">
        <v>777</v>
      </c>
      <c r="F375" s="87">
        <v>45854</v>
      </c>
      <c r="G375" s="87">
        <v>46022</v>
      </c>
      <c r="H375" s="88">
        <f t="shared" si="131"/>
        <v>1.8666666666666667</v>
      </c>
      <c r="I375" s="89" t="s">
        <v>759</v>
      </c>
      <c r="J375" s="90" t="s">
        <v>751</v>
      </c>
      <c r="K375" s="90" t="s">
        <v>752</v>
      </c>
      <c r="L375" s="90" t="s">
        <v>753</v>
      </c>
      <c r="M375" s="91" t="s">
        <v>1827</v>
      </c>
      <c r="N375" s="92" t="s">
        <v>1803</v>
      </c>
      <c r="O375" s="85">
        <v>2453018380</v>
      </c>
      <c r="P375" s="93">
        <v>374100000</v>
      </c>
      <c r="Q375" s="93">
        <v>0</v>
      </c>
      <c r="R375" s="94">
        <f t="shared" si="121"/>
        <v>374100000</v>
      </c>
      <c r="S375" s="95">
        <v>0.12000000383213046</v>
      </c>
      <c r="T375" s="94">
        <v>40082144</v>
      </c>
      <c r="U375" s="117">
        <v>223269652</v>
      </c>
      <c r="V375" s="117">
        <v>0</v>
      </c>
      <c r="W375" s="94">
        <f t="shared" si="111"/>
        <v>0</v>
      </c>
      <c r="X375" s="94">
        <f t="shared" si="112"/>
        <v>0</v>
      </c>
      <c r="Y375" s="94">
        <f t="shared" si="113"/>
        <v>0</v>
      </c>
      <c r="Z375" s="93">
        <v>174103896</v>
      </c>
      <c r="AA375" s="94">
        <f t="shared" si="132"/>
        <v>18653989.389021713</v>
      </c>
      <c r="AB375" s="94">
        <f t="shared" si="133"/>
        <v>7461595.7556086853</v>
      </c>
      <c r="AC375" s="94">
        <f t="shared" si="134"/>
        <v>11192393.633413028</v>
      </c>
      <c r="AD375" s="93">
        <v>0</v>
      </c>
      <c r="AE375" s="94">
        <f t="shared" ref="AE375:AE384" si="135">+AD375/(1+$S375)*$S375</f>
        <v>0</v>
      </c>
      <c r="AF375" s="94">
        <f t="shared" ref="AF375:AF384" si="136">+AE375*40%</f>
        <v>0</v>
      </c>
      <c r="AG375" s="94">
        <f t="shared" ref="AG375:AG384" si="137">+AE375*60%</f>
        <v>0</v>
      </c>
      <c r="AH375" s="117">
        <v>0</v>
      </c>
      <c r="AI375" s="94">
        <f t="shared" si="108"/>
        <v>0</v>
      </c>
      <c r="AJ375" s="94">
        <f t="shared" si="109"/>
        <v>0</v>
      </c>
      <c r="AK375" s="94">
        <f t="shared" si="110"/>
        <v>0</v>
      </c>
      <c r="AL375" s="93">
        <v>23921749.110649258</v>
      </c>
      <c r="AM375" s="93">
        <f t="shared" si="117"/>
        <v>18653989.389021713</v>
      </c>
      <c r="AN375" s="155"/>
      <c r="AO375" s="155"/>
    </row>
    <row r="376" spans="1:41" s="9" customFormat="1" ht="25.15" customHeight="1" x14ac:dyDescent="0.25">
      <c r="A376" s="83">
        <v>370</v>
      </c>
      <c r="B376" s="84">
        <v>2025</v>
      </c>
      <c r="C376" s="85" t="s">
        <v>900</v>
      </c>
      <c r="D376" s="86" t="s">
        <v>1815</v>
      </c>
      <c r="E376" s="86" t="s">
        <v>777</v>
      </c>
      <c r="F376" s="87">
        <v>45860</v>
      </c>
      <c r="G376" s="87">
        <v>45951</v>
      </c>
      <c r="H376" s="88">
        <f t="shared" si="131"/>
        <v>1.0111111111111111</v>
      </c>
      <c r="I376" s="89" t="s">
        <v>759</v>
      </c>
      <c r="J376" s="90" t="s">
        <v>751</v>
      </c>
      <c r="K376" s="90" t="s">
        <v>752</v>
      </c>
      <c r="L376" s="90" t="s">
        <v>753</v>
      </c>
      <c r="M376" s="91" t="s">
        <v>1059</v>
      </c>
      <c r="N376" s="92" t="s">
        <v>1804</v>
      </c>
      <c r="O376" s="85">
        <v>2453018382</v>
      </c>
      <c r="P376" s="93">
        <v>207261600</v>
      </c>
      <c r="Q376" s="93">
        <v>0</v>
      </c>
      <c r="R376" s="94">
        <f t="shared" si="121"/>
        <v>207261600</v>
      </c>
      <c r="S376" s="95">
        <v>0.12</v>
      </c>
      <c r="T376" s="94">
        <v>22206600</v>
      </c>
      <c r="U376" s="117">
        <v>185055000</v>
      </c>
      <c r="V376" s="117">
        <v>0</v>
      </c>
      <c r="W376" s="94">
        <f t="shared" si="111"/>
        <v>0</v>
      </c>
      <c r="X376" s="94">
        <f t="shared" si="112"/>
        <v>0</v>
      </c>
      <c r="Y376" s="94">
        <f t="shared" si="113"/>
        <v>0</v>
      </c>
      <c r="Z376" s="93">
        <f>_xlfn.XLOOKUP(O376,'[4]2DO TRIMESTRE'!$C:$C,'[4]2DO TRIMESTRE'!$I:$I,0,0)</f>
        <v>0</v>
      </c>
      <c r="AA376" s="94">
        <f t="shared" si="132"/>
        <v>0</v>
      </c>
      <c r="AB376" s="94">
        <f t="shared" si="133"/>
        <v>0</v>
      </c>
      <c r="AC376" s="94">
        <f t="shared" si="134"/>
        <v>0</v>
      </c>
      <c r="AD376" s="93">
        <v>0</v>
      </c>
      <c r="AE376" s="94">
        <f t="shared" si="135"/>
        <v>0</v>
      </c>
      <c r="AF376" s="94">
        <f t="shared" si="136"/>
        <v>0</v>
      </c>
      <c r="AG376" s="94">
        <f t="shared" si="137"/>
        <v>0</v>
      </c>
      <c r="AH376" s="117">
        <v>0</v>
      </c>
      <c r="AI376" s="94">
        <f t="shared" si="108"/>
        <v>0</v>
      </c>
      <c r="AJ376" s="94">
        <f t="shared" si="109"/>
        <v>0</v>
      </c>
      <c r="AK376" s="94">
        <f t="shared" si="110"/>
        <v>0</v>
      </c>
      <c r="AL376" s="93">
        <v>0</v>
      </c>
      <c r="AM376" s="93">
        <f t="shared" si="117"/>
        <v>0</v>
      </c>
      <c r="AN376" s="155"/>
      <c r="AO376" s="155"/>
    </row>
    <row r="377" spans="1:41" s="9" customFormat="1" ht="25.15" customHeight="1" x14ac:dyDescent="0.25">
      <c r="A377" s="239">
        <v>371</v>
      </c>
      <c r="B377" s="240">
        <v>2025</v>
      </c>
      <c r="C377" s="241" t="s">
        <v>1219</v>
      </c>
      <c r="D377" s="242" t="s">
        <v>1816</v>
      </c>
      <c r="E377" s="242" t="s">
        <v>777</v>
      </c>
      <c r="F377" s="243">
        <v>45873</v>
      </c>
      <c r="G377" s="243">
        <v>46006</v>
      </c>
      <c r="H377" s="244">
        <f t="shared" si="131"/>
        <v>1.4777777777777779</v>
      </c>
      <c r="I377" s="244" t="s">
        <v>759</v>
      </c>
      <c r="J377" s="244" t="s">
        <v>751</v>
      </c>
      <c r="K377" s="244" t="s">
        <v>752</v>
      </c>
      <c r="L377" s="244" t="s">
        <v>753</v>
      </c>
      <c r="M377" s="245" t="s">
        <v>1828</v>
      </c>
      <c r="N377" s="246" t="s">
        <v>1805</v>
      </c>
      <c r="O377" s="241">
        <v>2453018383</v>
      </c>
      <c r="P377" s="238">
        <v>10000000000</v>
      </c>
      <c r="Q377" s="238">
        <v>0</v>
      </c>
      <c r="R377" s="238">
        <f t="shared" si="121"/>
        <v>10000000000</v>
      </c>
      <c r="S377" s="247">
        <v>8.9999999953130003E-2</v>
      </c>
      <c r="T377" s="238">
        <v>825688073</v>
      </c>
      <c r="U377" s="248">
        <v>10000000000</v>
      </c>
      <c r="V377" s="117">
        <v>1354343885</v>
      </c>
      <c r="W377" s="94">
        <f t="shared" si="111"/>
        <v>111826559.25849836</v>
      </c>
      <c r="X377" s="94">
        <f t="shared" si="112"/>
        <v>44730623.703399345</v>
      </c>
      <c r="Y377" s="94">
        <f t="shared" si="113"/>
        <v>67095935.55509901</v>
      </c>
      <c r="Z377" s="93">
        <v>5109597599</v>
      </c>
      <c r="AA377" s="238">
        <f t="shared" si="132"/>
        <v>421893379.53237373</v>
      </c>
      <c r="AB377" s="238">
        <f t="shared" si="133"/>
        <v>168757351.81294951</v>
      </c>
      <c r="AC377" s="238">
        <f t="shared" si="134"/>
        <v>253136027.71942422</v>
      </c>
      <c r="AD377" s="93">
        <v>0</v>
      </c>
      <c r="AE377" s="94">
        <f t="shared" si="135"/>
        <v>0</v>
      </c>
      <c r="AF377" s="94">
        <f t="shared" si="136"/>
        <v>0</v>
      </c>
      <c r="AG377" s="94">
        <f t="shared" si="137"/>
        <v>0</v>
      </c>
      <c r="AH377" s="117">
        <v>0</v>
      </c>
      <c r="AI377" s="94">
        <f t="shared" si="108"/>
        <v>0</v>
      </c>
      <c r="AJ377" s="94">
        <f t="shared" si="109"/>
        <v>0</v>
      </c>
      <c r="AK377" s="94">
        <f t="shared" si="110"/>
        <v>0</v>
      </c>
      <c r="AL377" s="238">
        <v>825688073</v>
      </c>
      <c r="AM377" s="238">
        <f t="shared" si="117"/>
        <v>533719938.7908721</v>
      </c>
      <c r="AN377" s="249" t="s">
        <v>1134</v>
      </c>
      <c r="AO377" s="249" t="s">
        <v>1134</v>
      </c>
    </row>
    <row r="378" spans="1:41" s="9" customFormat="1" ht="25.15" customHeight="1" x14ac:dyDescent="0.25">
      <c r="A378" s="83">
        <v>372</v>
      </c>
      <c r="B378" s="84">
        <v>2025</v>
      </c>
      <c r="C378" s="85" t="s">
        <v>1824</v>
      </c>
      <c r="D378" s="86" t="s">
        <v>1817</v>
      </c>
      <c r="E378" s="86" t="s">
        <v>758</v>
      </c>
      <c r="F378" s="87">
        <v>45875</v>
      </c>
      <c r="G378" s="87">
        <v>46027</v>
      </c>
      <c r="H378" s="88">
        <f t="shared" si="131"/>
        <v>1.6888888888888889</v>
      </c>
      <c r="I378" s="89" t="s">
        <v>759</v>
      </c>
      <c r="J378" s="90" t="s">
        <v>751</v>
      </c>
      <c r="K378" s="90" t="s">
        <v>752</v>
      </c>
      <c r="L378" s="90" t="s">
        <v>753</v>
      </c>
      <c r="M378" s="91" t="s">
        <v>1059</v>
      </c>
      <c r="N378" s="92" t="s">
        <v>1808</v>
      </c>
      <c r="O378" s="85">
        <v>2910907403</v>
      </c>
      <c r="P378" s="93">
        <v>735134716</v>
      </c>
      <c r="Q378" s="93">
        <v>0</v>
      </c>
      <c r="R378" s="94">
        <f t="shared" si="121"/>
        <v>735134716</v>
      </c>
      <c r="S378" s="95">
        <v>0.12000000024376485</v>
      </c>
      <c r="T378" s="94">
        <v>78764434</v>
      </c>
      <c r="U378" s="117">
        <v>735134716</v>
      </c>
      <c r="V378" s="117">
        <v>441080830</v>
      </c>
      <c r="W378" s="94">
        <f t="shared" si="111"/>
        <v>47258660.442857146</v>
      </c>
      <c r="X378" s="94">
        <f t="shared" si="112"/>
        <v>18903464.177142859</v>
      </c>
      <c r="Y378" s="94">
        <f t="shared" si="113"/>
        <v>28355196.265714288</v>
      </c>
      <c r="Z378" s="93">
        <f>_xlfn.XLOOKUP(O378,'[4]2DO TRIMESTRE'!$C:$C,'[4]2DO TRIMESTRE'!$I:$I,0,0)</f>
        <v>0</v>
      </c>
      <c r="AA378" s="94">
        <f t="shared" si="132"/>
        <v>0</v>
      </c>
      <c r="AB378" s="94">
        <f t="shared" si="133"/>
        <v>0</v>
      </c>
      <c r="AC378" s="94">
        <f t="shared" si="134"/>
        <v>0</v>
      </c>
      <c r="AD378" s="93">
        <v>0</v>
      </c>
      <c r="AE378" s="94">
        <f t="shared" si="135"/>
        <v>0</v>
      </c>
      <c r="AF378" s="94">
        <f t="shared" si="136"/>
        <v>0</v>
      </c>
      <c r="AG378" s="94">
        <f t="shared" si="137"/>
        <v>0</v>
      </c>
      <c r="AH378" s="117">
        <v>0</v>
      </c>
      <c r="AI378" s="94">
        <f t="shared" si="108"/>
        <v>0</v>
      </c>
      <c r="AJ378" s="94">
        <f t="shared" si="109"/>
        <v>0</v>
      </c>
      <c r="AK378" s="94">
        <f t="shared" si="110"/>
        <v>0</v>
      </c>
      <c r="AL378" s="93">
        <v>78764434</v>
      </c>
      <c r="AM378" s="93">
        <f t="shared" si="117"/>
        <v>47258660.442857146</v>
      </c>
      <c r="AN378" s="155" t="s">
        <v>1854</v>
      </c>
      <c r="AO378" s="155"/>
    </row>
    <row r="379" spans="1:41" s="9" customFormat="1" ht="25.15" customHeight="1" x14ac:dyDescent="0.25">
      <c r="A379" s="83">
        <v>373</v>
      </c>
      <c r="B379" s="84">
        <v>2025</v>
      </c>
      <c r="C379" s="85" t="s">
        <v>1116</v>
      </c>
      <c r="D379" s="86" t="s">
        <v>1818</v>
      </c>
      <c r="E379" s="86" t="s">
        <v>758</v>
      </c>
      <c r="F379" s="87">
        <v>45833</v>
      </c>
      <c r="G379" s="87">
        <v>46021</v>
      </c>
      <c r="H379" s="88">
        <f t="shared" si="131"/>
        <v>2.088888888888889</v>
      </c>
      <c r="I379" s="89" t="s">
        <v>759</v>
      </c>
      <c r="J379" s="90" t="s">
        <v>751</v>
      </c>
      <c r="K379" s="90" t="s">
        <v>752</v>
      </c>
      <c r="L379" s="90" t="s">
        <v>753</v>
      </c>
      <c r="M379" s="91" t="s">
        <v>1059</v>
      </c>
      <c r="N379" s="92" t="s">
        <v>1809</v>
      </c>
      <c r="O379" s="85">
        <v>2910907396</v>
      </c>
      <c r="P379" s="93">
        <v>1416690000</v>
      </c>
      <c r="Q379" s="93">
        <v>0</v>
      </c>
      <c r="R379" s="94">
        <f t="shared" si="121"/>
        <v>1416690000</v>
      </c>
      <c r="S379" s="95">
        <v>0.11999999974701593</v>
      </c>
      <c r="T379" s="94">
        <v>151788214</v>
      </c>
      <c r="U379" s="117">
        <v>1371690000</v>
      </c>
      <c r="V379" s="117">
        <v>831876000</v>
      </c>
      <c r="W379" s="94">
        <f t="shared" si="111"/>
        <v>89129571.260800868</v>
      </c>
      <c r="X379" s="94">
        <f t="shared" si="112"/>
        <v>35651828.504320346</v>
      </c>
      <c r="Y379" s="94">
        <f t="shared" si="113"/>
        <v>53477742.756480522</v>
      </c>
      <c r="Z379" s="93">
        <f>_xlfn.XLOOKUP(O379,'[4]2DO TRIMESTRE'!$C:$C,'[4]2DO TRIMESTRE'!$I:$I,0,0)</f>
        <v>0</v>
      </c>
      <c r="AA379" s="94">
        <f t="shared" si="132"/>
        <v>0</v>
      </c>
      <c r="AB379" s="94">
        <f t="shared" si="133"/>
        <v>0</v>
      </c>
      <c r="AC379" s="94">
        <f t="shared" si="134"/>
        <v>0</v>
      </c>
      <c r="AD379" s="93">
        <v>0</v>
      </c>
      <c r="AE379" s="94">
        <f t="shared" si="135"/>
        <v>0</v>
      </c>
      <c r="AF379" s="94">
        <f t="shared" si="136"/>
        <v>0</v>
      </c>
      <c r="AG379" s="94">
        <f t="shared" si="137"/>
        <v>0</v>
      </c>
      <c r="AH379" s="117">
        <v>0</v>
      </c>
      <c r="AI379" s="94">
        <f t="shared" si="108"/>
        <v>0</v>
      </c>
      <c r="AJ379" s="94">
        <f t="shared" si="109"/>
        <v>0</v>
      </c>
      <c r="AK379" s="94">
        <f t="shared" si="110"/>
        <v>0</v>
      </c>
      <c r="AL379" s="93">
        <v>146966785.4376469</v>
      </c>
      <c r="AM379" s="93">
        <f t="shared" si="117"/>
        <v>89129571.260800868</v>
      </c>
      <c r="AN379" s="155"/>
      <c r="AO379" s="155"/>
    </row>
    <row r="380" spans="1:41" s="9" customFormat="1" ht="25.15" customHeight="1" x14ac:dyDescent="0.25">
      <c r="A380" s="83">
        <v>374</v>
      </c>
      <c r="B380" s="84">
        <v>2025</v>
      </c>
      <c r="C380" s="85" t="s">
        <v>1503</v>
      </c>
      <c r="D380" s="86" t="s">
        <v>1819</v>
      </c>
      <c r="E380" s="86" t="s">
        <v>758</v>
      </c>
      <c r="F380" s="87">
        <v>45912</v>
      </c>
      <c r="G380" s="87">
        <v>46010</v>
      </c>
      <c r="H380" s="88">
        <f t="shared" si="131"/>
        <v>1.0888888888888888</v>
      </c>
      <c r="I380" s="89" t="s">
        <v>759</v>
      </c>
      <c r="J380" s="90" t="s">
        <v>751</v>
      </c>
      <c r="K380" s="90" t="s">
        <v>752</v>
      </c>
      <c r="L380" s="90" t="s">
        <v>753</v>
      </c>
      <c r="M380" s="91" t="s">
        <v>1059</v>
      </c>
      <c r="N380" s="92" t="s">
        <v>1810</v>
      </c>
      <c r="O380" s="85">
        <v>2910907411</v>
      </c>
      <c r="P380" s="93">
        <v>529000000</v>
      </c>
      <c r="Q380" s="93">
        <v>0</v>
      </c>
      <c r="R380" s="94">
        <f t="shared" si="121"/>
        <v>529000000</v>
      </c>
      <c r="S380" s="95">
        <v>0.11999999898374292</v>
      </c>
      <c r="T380" s="94">
        <v>56678571</v>
      </c>
      <c r="U380" s="117">
        <v>446100000</v>
      </c>
      <c r="V380" s="117">
        <v>75800000</v>
      </c>
      <c r="W380" s="94">
        <f t="shared" si="111"/>
        <v>8121428.5100189047</v>
      </c>
      <c r="X380" s="94">
        <f t="shared" si="112"/>
        <v>3248571.404007562</v>
      </c>
      <c r="Y380" s="94">
        <f t="shared" si="113"/>
        <v>4872857.1060113423</v>
      </c>
      <c r="Z380" s="93">
        <f>_xlfn.XLOOKUP(O380,'[4]2DO TRIMESTRE'!$C:$C,'[4]2DO TRIMESTRE'!$I:$I,0,0)</f>
        <v>0</v>
      </c>
      <c r="AA380" s="94">
        <f t="shared" si="132"/>
        <v>0</v>
      </c>
      <c r="AB380" s="94">
        <f t="shared" si="133"/>
        <v>0</v>
      </c>
      <c r="AC380" s="94">
        <f t="shared" si="134"/>
        <v>0</v>
      </c>
      <c r="AD380" s="93">
        <v>0</v>
      </c>
      <c r="AE380" s="94">
        <f t="shared" si="135"/>
        <v>0</v>
      </c>
      <c r="AF380" s="94">
        <f t="shared" si="136"/>
        <v>0</v>
      </c>
      <c r="AG380" s="94">
        <f t="shared" si="137"/>
        <v>0</v>
      </c>
      <c r="AH380" s="117">
        <v>0</v>
      </c>
      <c r="AI380" s="94">
        <f t="shared" si="108"/>
        <v>0</v>
      </c>
      <c r="AJ380" s="94">
        <f t="shared" si="109"/>
        <v>0</v>
      </c>
      <c r="AK380" s="94">
        <f t="shared" si="110"/>
        <v>0</v>
      </c>
      <c r="AL380" s="93">
        <v>47796428.21001891</v>
      </c>
      <c r="AM380" s="93">
        <f t="shared" si="117"/>
        <v>8121428.5100189047</v>
      </c>
      <c r="AN380" s="155" t="s">
        <v>1852</v>
      </c>
      <c r="AO380" s="155"/>
    </row>
    <row r="381" spans="1:41" s="9" customFormat="1" ht="25.15" customHeight="1" x14ac:dyDescent="0.25">
      <c r="A381" s="83">
        <v>375</v>
      </c>
      <c r="B381" s="84">
        <v>2025</v>
      </c>
      <c r="C381" s="85" t="s">
        <v>1825</v>
      </c>
      <c r="D381" s="86" t="s">
        <v>1820</v>
      </c>
      <c r="E381" s="86" t="s">
        <v>777</v>
      </c>
      <c r="F381" s="87">
        <v>45889</v>
      </c>
      <c r="G381" s="87">
        <v>46072</v>
      </c>
      <c r="H381" s="88">
        <f t="shared" si="131"/>
        <v>2.0333333333333332</v>
      </c>
      <c r="I381" s="89" t="s">
        <v>759</v>
      </c>
      <c r="J381" s="90" t="s">
        <v>751</v>
      </c>
      <c r="K381" s="90" t="s">
        <v>752</v>
      </c>
      <c r="L381" s="90" t="s">
        <v>753</v>
      </c>
      <c r="M381" s="91" t="s">
        <v>1059</v>
      </c>
      <c r="N381" s="92" t="s">
        <v>1806</v>
      </c>
      <c r="O381" s="85">
        <v>2453018384</v>
      </c>
      <c r="P381" s="93">
        <v>1506566504</v>
      </c>
      <c r="Q381" s="93">
        <v>0</v>
      </c>
      <c r="R381" s="94">
        <f t="shared" si="121"/>
        <v>1506566504</v>
      </c>
      <c r="S381" s="95">
        <v>0.12000000023789192</v>
      </c>
      <c r="T381" s="94">
        <v>161417840</v>
      </c>
      <c r="U381" s="117">
        <v>728453397</v>
      </c>
      <c r="V381" s="117">
        <v>523579454</v>
      </c>
      <c r="W381" s="94">
        <f>+V381/(1+$S381)*$S381</f>
        <v>56097798.742151879</v>
      </c>
      <c r="X381" s="94">
        <f>+W381*40%</f>
        <v>22439119.496860754</v>
      </c>
      <c r="Y381" s="94">
        <f t="shared" si="113"/>
        <v>33658679.245291129</v>
      </c>
      <c r="Z381" s="93">
        <f>_xlfn.XLOOKUP(O381,'[4]2DO TRIMESTRE'!$C:$C,'[4]2DO TRIMESTRE'!$I:$I,0,0)</f>
        <v>0</v>
      </c>
      <c r="AA381" s="94">
        <f t="shared" ref="AA381" si="138">+Z381/(1+$S381)*$S381</f>
        <v>0</v>
      </c>
      <c r="AB381" s="94">
        <f t="shared" ref="AB381" si="139">+AA381*40%</f>
        <v>0</v>
      </c>
      <c r="AC381" s="94">
        <f t="shared" ref="AC381" si="140">+AA381*60%</f>
        <v>0</v>
      </c>
      <c r="AD381" s="93">
        <v>0</v>
      </c>
      <c r="AE381" s="94">
        <f t="shared" si="135"/>
        <v>0</v>
      </c>
      <c r="AF381" s="94">
        <f t="shared" si="136"/>
        <v>0</v>
      </c>
      <c r="AG381" s="94">
        <f t="shared" si="137"/>
        <v>0</v>
      </c>
      <c r="AH381" s="117">
        <v>0</v>
      </c>
      <c r="AI381" s="94">
        <f t="shared" si="108"/>
        <v>0</v>
      </c>
      <c r="AJ381" s="94">
        <f t="shared" si="109"/>
        <v>0</v>
      </c>
      <c r="AK381" s="94">
        <f t="shared" si="110"/>
        <v>0</v>
      </c>
      <c r="AL381" s="93">
        <v>78048578.388148263</v>
      </c>
      <c r="AM381" s="93">
        <f t="shared" si="117"/>
        <v>56097798.742151879</v>
      </c>
      <c r="AN381" s="155"/>
      <c r="AO381" s="155"/>
    </row>
    <row r="382" spans="1:41" s="9" customFormat="1" ht="25.15" customHeight="1" x14ac:dyDescent="0.25">
      <c r="A382" s="83">
        <v>376</v>
      </c>
      <c r="B382" s="84">
        <v>2025</v>
      </c>
      <c r="C382" s="85" t="s">
        <v>765</v>
      </c>
      <c r="D382" s="86" t="s">
        <v>1821</v>
      </c>
      <c r="E382" s="86" t="s">
        <v>758</v>
      </c>
      <c r="F382" s="87">
        <v>45817</v>
      </c>
      <c r="G382" s="87">
        <v>46181</v>
      </c>
      <c r="H382" s="88">
        <f t="shared" si="131"/>
        <v>4.0444444444444443</v>
      </c>
      <c r="I382" s="89" t="s">
        <v>759</v>
      </c>
      <c r="J382" s="90" t="s">
        <v>751</v>
      </c>
      <c r="K382" s="90" t="s">
        <v>752</v>
      </c>
      <c r="L382" s="90" t="s">
        <v>753</v>
      </c>
      <c r="M382" s="91" t="s">
        <v>1059</v>
      </c>
      <c r="N382" s="92" t="s">
        <v>1811</v>
      </c>
      <c r="O382" s="85">
        <v>2910907385</v>
      </c>
      <c r="P382" s="93">
        <v>6850084165</v>
      </c>
      <c r="Q382" s="93">
        <v>0</v>
      </c>
      <c r="R382" s="94">
        <f t="shared" si="121"/>
        <v>6850084165</v>
      </c>
      <c r="S382" s="95">
        <v>0.1199999999803798</v>
      </c>
      <c r="T382" s="94">
        <v>733937589</v>
      </c>
      <c r="U382" s="117">
        <v>2911285770.6300001</v>
      </c>
      <c r="V382" s="117">
        <v>0</v>
      </c>
      <c r="W382" s="94">
        <f t="shared" si="111"/>
        <v>0</v>
      </c>
      <c r="X382" s="94">
        <f t="shared" si="112"/>
        <v>0</v>
      </c>
      <c r="Y382" s="94">
        <f t="shared" si="113"/>
        <v>0</v>
      </c>
      <c r="Z382" s="93">
        <v>2055025250</v>
      </c>
      <c r="AA382" s="94">
        <f t="shared" si="132"/>
        <v>220181276.75357142</v>
      </c>
      <c r="AB382" s="94">
        <f t="shared" si="133"/>
        <v>88072510.701428577</v>
      </c>
      <c r="AC382" s="94">
        <f t="shared" si="134"/>
        <v>132108766.05214284</v>
      </c>
      <c r="AD382" s="93">
        <v>0</v>
      </c>
      <c r="AE382" s="94">
        <f t="shared" si="135"/>
        <v>0</v>
      </c>
      <c r="AF382" s="94">
        <f t="shared" si="136"/>
        <v>0</v>
      </c>
      <c r="AG382" s="94">
        <f t="shared" si="137"/>
        <v>0</v>
      </c>
      <c r="AH382" s="117">
        <v>0</v>
      </c>
      <c r="AI382" s="94">
        <f t="shared" si="108"/>
        <v>0</v>
      </c>
      <c r="AJ382" s="94">
        <f t="shared" si="109"/>
        <v>0</v>
      </c>
      <c r="AK382" s="94">
        <f t="shared" si="110"/>
        <v>0</v>
      </c>
      <c r="AL382" s="93">
        <v>311923475.37910718</v>
      </c>
      <c r="AM382" s="93">
        <f t="shared" si="117"/>
        <v>220181276.75357142</v>
      </c>
      <c r="AN382" s="155"/>
      <c r="AO382" s="155"/>
    </row>
    <row r="383" spans="1:41" s="9" customFormat="1" ht="25.15" customHeight="1" x14ac:dyDescent="0.25">
      <c r="A383" s="83">
        <v>377</v>
      </c>
      <c r="B383" s="84">
        <v>2025</v>
      </c>
      <c r="C383" s="85" t="s">
        <v>1707</v>
      </c>
      <c r="D383" s="86" t="s">
        <v>1822</v>
      </c>
      <c r="E383" s="86" t="s">
        <v>777</v>
      </c>
      <c r="F383" s="87">
        <v>45898</v>
      </c>
      <c r="G383" s="87">
        <v>46080</v>
      </c>
      <c r="H383" s="88">
        <f t="shared" si="131"/>
        <v>2.0222222222222221</v>
      </c>
      <c r="I383" s="89" t="s">
        <v>759</v>
      </c>
      <c r="J383" s="90" t="s">
        <v>751</v>
      </c>
      <c r="K383" s="90" t="s">
        <v>752</v>
      </c>
      <c r="L383" s="90" t="s">
        <v>753</v>
      </c>
      <c r="M383" s="91" t="s">
        <v>1059</v>
      </c>
      <c r="N383" s="92" t="s">
        <v>1807</v>
      </c>
      <c r="O383" s="85">
        <v>2453018386</v>
      </c>
      <c r="P383" s="93">
        <v>3815140012</v>
      </c>
      <c r="Q383" s="93">
        <v>0</v>
      </c>
      <c r="R383" s="94">
        <f t="shared" si="121"/>
        <v>3815140012</v>
      </c>
      <c r="S383" s="95">
        <v>0.11999999990605849</v>
      </c>
      <c r="T383" s="94">
        <v>408765001</v>
      </c>
      <c r="U383" s="117">
        <v>1702585337</v>
      </c>
      <c r="V383" s="117">
        <v>0</v>
      </c>
      <c r="W383" s="94">
        <f t="shared" si="111"/>
        <v>0</v>
      </c>
      <c r="X383" s="94">
        <f t="shared" si="112"/>
        <v>0</v>
      </c>
      <c r="Y383" s="94">
        <f t="shared" si="113"/>
        <v>0</v>
      </c>
      <c r="Z383" s="93">
        <v>1118491132</v>
      </c>
      <c r="AA383" s="94">
        <f t="shared" si="132"/>
        <v>119838335.48766521</v>
      </c>
      <c r="AB383" s="94">
        <f t="shared" si="133"/>
        <v>47935334.195066087</v>
      </c>
      <c r="AC383" s="94">
        <f t="shared" si="134"/>
        <v>71903001.292599127</v>
      </c>
      <c r="AD383" s="93">
        <v>0</v>
      </c>
      <c r="AE383" s="94">
        <f t="shared" si="135"/>
        <v>0</v>
      </c>
      <c r="AF383" s="94">
        <f t="shared" si="136"/>
        <v>0</v>
      </c>
      <c r="AG383" s="94">
        <f t="shared" si="137"/>
        <v>0</v>
      </c>
      <c r="AH383" s="117">
        <v>0</v>
      </c>
      <c r="AI383" s="94">
        <f t="shared" si="108"/>
        <v>0</v>
      </c>
      <c r="AJ383" s="94">
        <f t="shared" si="109"/>
        <v>0</v>
      </c>
      <c r="AK383" s="94">
        <f t="shared" si="110"/>
        <v>0</v>
      </c>
      <c r="AL383" s="93">
        <v>182419857.40820834</v>
      </c>
      <c r="AM383" s="93">
        <f t="shared" si="117"/>
        <v>119838335.48766521</v>
      </c>
      <c r="AN383" s="155"/>
      <c r="AO383" s="155"/>
    </row>
    <row r="384" spans="1:41" s="9" customFormat="1" ht="25.15" customHeight="1" x14ac:dyDescent="0.25">
      <c r="A384" s="83">
        <v>378</v>
      </c>
      <c r="B384" s="84">
        <v>2025</v>
      </c>
      <c r="C384" s="85" t="s">
        <v>1826</v>
      </c>
      <c r="D384" s="86" t="s">
        <v>1823</v>
      </c>
      <c r="E384" s="86" t="s">
        <v>758</v>
      </c>
      <c r="F384" s="87">
        <v>45842</v>
      </c>
      <c r="G384" s="87">
        <v>45976</v>
      </c>
      <c r="H384" s="88">
        <f t="shared" si="131"/>
        <v>1.4888888888888889</v>
      </c>
      <c r="I384" s="89" t="s">
        <v>759</v>
      </c>
      <c r="J384" s="90" t="s">
        <v>751</v>
      </c>
      <c r="K384" s="90" t="s">
        <v>752</v>
      </c>
      <c r="L384" s="90" t="s">
        <v>753</v>
      </c>
      <c r="M384" s="91" t="s">
        <v>1059</v>
      </c>
      <c r="N384" s="92" t="s">
        <v>1812</v>
      </c>
      <c r="O384" s="85">
        <v>2910907397</v>
      </c>
      <c r="P384" s="93">
        <v>495604000</v>
      </c>
      <c r="Q384" s="93">
        <v>0</v>
      </c>
      <c r="R384" s="94">
        <f t="shared" si="121"/>
        <v>495604000</v>
      </c>
      <c r="S384" s="95">
        <v>0.120000001084737</v>
      </c>
      <c r="T384" s="94">
        <v>53100429</v>
      </c>
      <c r="U384" s="117">
        <v>446955756</v>
      </c>
      <c r="V384" s="117">
        <v>127701649</v>
      </c>
      <c r="W384" s="94">
        <f t="shared" si="111"/>
        <v>13682319.646143736</v>
      </c>
      <c r="X384" s="94">
        <f t="shared" si="112"/>
        <v>5472927.8584574945</v>
      </c>
      <c r="Y384" s="94">
        <f t="shared" si="113"/>
        <v>8209391.7876862418</v>
      </c>
      <c r="Z384" s="93">
        <f>_xlfn.XLOOKUP(O384,'[4]2DO TRIMESTRE'!$C:$C,'[4]2DO TRIMESTRE'!$I:$I,0,0)</f>
        <v>0</v>
      </c>
      <c r="AA384" s="94">
        <f t="shared" ref="AA384:AA410" si="141">+Z384/(1+$S384)*$S384</f>
        <v>0</v>
      </c>
      <c r="AB384" s="94">
        <f t="shared" ref="AB384:AB410" si="142">+AA384*40%</f>
        <v>0</v>
      </c>
      <c r="AC384" s="94">
        <f t="shared" ref="AC384:AC410" si="143">+AA384*60%</f>
        <v>0</v>
      </c>
      <c r="AD384" s="93">
        <v>0</v>
      </c>
      <c r="AE384" s="94">
        <f t="shared" si="135"/>
        <v>0</v>
      </c>
      <c r="AF384" s="94">
        <f t="shared" si="136"/>
        <v>0</v>
      </c>
      <c r="AG384" s="94">
        <f t="shared" si="137"/>
        <v>0</v>
      </c>
      <c r="AH384" s="117">
        <v>0</v>
      </c>
      <c r="AI384" s="94">
        <f t="shared" si="108"/>
        <v>0</v>
      </c>
      <c r="AJ384" s="94">
        <f t="shared" si="109"/>
        <v>0</v>
      </c>
      <c r="AK384" s="94">
        <f t="shared" si="110"/>
        <v>0</v>
      </c>
      <c r="AL384" s="93">
        <v>47888117.100788772</v>
      </c>
      <c r="AM384" s="93">
        <f t="shared" si="117"/>
        <v>13682319.646143736</v>
      </c>
      <c r="AN384" s="155" t="s">
        <v>1852</v>
      </c>
      <c r="AO384" s="155"/>
    </row>
    <row r="385" spans="1:41" s="9" customFormat="1" ht="25.15" customHeight="1" x14ac:dyDescent="0.25">
      <c r="A385" s="83">
        <v>379</v>
      </c>
      <c r="B385" s="84">
        <v>2025</v>
      </c>
      <c r="C385" s="85" t="s">
        <v>782</v>
      </c>
      <c r="D385" s="86" t="s">
        <v>1855</v>
      </c>
      <c r="E385" s="86" t="s">
        <v>777</v>
      </c>
      <c r="F385" s="87">
        <v>45961</v>
      </c>
      <c r="G385" s="87">
        <v>46209</v>
      </c>
      <c r="H385" s="88">
        <f t="shared" si="131"/>
        <v>2.7555555555555555</v>
      </c>
      <c r="I385" s="89" t="s">
        <v>759</v>
      </c>
      <c r="J385" s="90" t="s">
        <v>751</v>
      </c>
      <c r="K385" s="90" t="s">
        <v>752</v>
      </c>
      <c r="L385" s="90" t="s">
        <v>753</v>
      </c>
      <c r="M385" s="91" t="s">
        <v>1913</v>
      </c>
      <c r="N385" s="92" t="s">
        <v>1881</v>
      </c>
      <c r="O385" s="85">
        <v>2453018388</v>
      </c>
      <c r="P385" s="93">
        <v>1824115250</v>
      </c>
      <c r="Q385" s="93">
        <v>0</v>
      </c>
      <c r="R385" s="94">
        <f t="shared" si="121"/>
        <v>1824115250</v>
      </c>
      <c r="S385" s="95">
        <v>0.12000000024559852</v>
      </c>
      <c r="T385" s="94">
        <f>P385</f>
        <v>1824115250</v>
      </c>
      <c r="U385" s="117">
        <v>961610068</v>
      </c>
      <c r="V385" s="117">
        <v>522728433</v>
      </c>
      <c r="W385" s="94">
        <f t="shared" ref="W385:W410" si="144">+V385/(1+$S385)*$S385</f>
        <v>56006617.923773378</v>
      </c>
      <c r="X385" s="94">
        <f t="shared" ref="X385:X410" si="145">+W385*40%</f>
        <v>22402647.169509351</v>
      </c>
      <c r="Y385" s="94">
        <f t="shared" ref="Y385:Y410" si="146">+W385*60%</f>
        <v>33603970.754264027</v>
      </c>
      <c r="Z385" s="93">
        <v>438881635</v>
      </c>
      <c r="AA385" s="94">
        <f t="shared" si="141"/>
        <v>47023032.407357052</v>
      </c>
      <c r="AB385" s="94">
        <f t="shared" si="142"/>
        <v>18809212.96294282</v>
      </c>
      <c r="AC385" s="94">
        <f t="shared" si="143"/>
        <v>28213819.444414232</v>
      </c>
      <c r="AD385" s="93">
        <v>0</v>
      </c>
      <c r="AE385" s="94"/>
      <c r="AF385" s="94"/>
      <c r="AG385" s="94"/>
      <c r="AH385" s="117">
        <v>0</v>
      </c>
      <c r="AI385" s="94"/>
      <c r="AJ385" s="94"/>
      <c r="AK385" s="94"/>
      <c r="AL385" s="93">
        <v>103029650.33113043</v>
      </c>
      <c r="AM385" s="93">
        <f t="shared" si="117"/>
        <v>103029650.33113043</v>
      </c>
      <c r="AN385" s="155"/>
      <c r="AO385" s="155"/>
    </row>
    <row r="386" spans="1:41" s="9" customFormat="1" ht="25.15" customHeight="1" x14ac:dyDescent="0.25">
      <c r="A386" s="83">
        <v>380</v>
      </c>
      <c r="B386" s="84">
        <v>2025</v>
      </c>
      <c r="C386" s="85" t="s">
        <v>1907</v>
      </c>
      <c r="D386" s="86" t="s">
        <v>1856</v>
      </c>
      <c r="E386" s="86" t="s">
        <v>777</v>
      </c>
      <c r="F386" s="87">
        <v>45968</v>
      </c>
      <c r="G386" s="87">
        <v>46022</v>
      </c>
      <c r="H386" s="88">
        <f t="shared" si="131"/>
        <v>0.6</v>
      </c>
      <c r="I386" s="89" t="s">
        <v>759</v>
      </c>
      <c r="J386" s="90" t="s">
        <v>751</v>
      </c>
      <c r="K386" s="90" t="s">
        <v>752</v>
      </c>
      <c r="L386" s="90" t="s">
        <v>753</v>
      </c>
      <c r="M386" s="91" t="s">
        <v>1914</v>
      </c>
      <c r="N386" s="92" t="s">
        <v>1882</v>
      </c>
      <c r="O386" s="85">
        <v>2453018390</v>
      </c>
      <c r="P386" s="93">
        <v>113450000</v>
      </c>
      <c r="Q386" s="93">
        <v>0</v>
      </c>
      <c r="R386" s="94">
        <f t="shared" si="121"/>
        <v>113450000</v>
      </c>
      <c r="S386" s="95">
        <v>0.11999999842044953</v>
      </c>
      <c r="T386" s="94">
        <v>12155357</v>
      </c>
      <c r="U386" s="117">
        <v>62421637</v>
      </c>
      <c r="V386" s="117">
        <v>62421637</v>
      </c>
      <c r="W386" s="94">
        <f t="shared" si="144"/>
        <v>6688032.4571124623</v>
      </c>
      <c r="X386" s="94">
        <f t="shared" si="145"/>
        <v>2675212.9828449851</v>
      </c>
      <c r="Y386" s="94">
        <f t="shared" si="146"/>
        <v>4012819.4742674772</v>
      </c>
      <c r="Z386" s="93">
        <f>_xlfn.XLOOKUP(O386,'[4]2DO TRIMESTRE'!$C:$C,'[4]2DO TRIMESTRE'!$I:$I,0,0)</f>
        <v>0</v>
      </c>
      <c r="AA386" s="94">
        <f t="shared" si="141"/>
        <v>0</v>
      </c>
      <c r="AB386" s="94">
        <f t="shared" si="142"/>
        <v>0</v>
      </c>
      <c r="AC386" s="94">
        <f t="shared" si="143"/>
        <v>0</v>
      </c>
      <c r="AD386" s="93">
        <v>0</v>
      </c>
      <c r="AE386" s="94"/>
      <c r="AF386" s="94"/>
      <c r="AG386" s="94"/>
      <c r="AH386" s="117">
        <v>0</v>
      </c>
      <c r="AI386" s="94"/>
      <c r="AJ386" s="94"/>
      <c r="AK386" s="94"/>
      <c r="AL386" s="93">
        <v>6688032.4571124623</v>
      </c>
      <c r="AM386" s="93">
        <f t="shared" si="117"/>
        <v>6688032.4571124623</v>
      </c>
      <c r="AN386" s="155"/>
      <c r="AO386" s="155"/>
    </row>
    <row r="387" spans="1:41" s="9" customFormat="1" ht="25.15" customHeight="1" x14ac:dyDescent="0.25">
      <c r="A387" s="83">
        <v>381</v>
      </c>
      <c r="B387" s="84">
        <v>2025</v>
      </c>
      <c r="C387" s="85" t="s">
        <v>1908</v>
      </c>
      <c r="D387" s="86" t="s">
        <v>1857</v>
      </c>
      <c r="E387" s="86" t="s">
        <v>777</v>
      </c>
      <c r="F387" s="87">
        <v>45968</v>
      </c>
      <c r="G387" s="87">
        <v>46172</v>
      </c>
      <c r="H387" s="88">
        <f t="shared" si="131"/>
        <v>2.2666666666666666</v>
      </c>
      <c r="I387" s="89" t="s">
        <v>759</v>
      </c>
      <c r="J387" s="90" t="s">
        <v>751</v>
      </c>
      <c r="K387" s="90" t="s">
        <v>752</v>
      </c>
      <c r="L387" s="90" t="s">
        <v>753</v>
      </c>
      <c r="M387" s="91" t="s">
        <v>1915</v>
      </c>
      <c r="N387" s="92" t="s">
        <v>1883</v>
      </c>
      <c r="O387" s="85">
        <v>2453018391</v>
      </c>
      <c r="P387" s="93">
        <v>3787438828</v>
      </c>
      <c r="Q387" s="93">
        <v>2541541638</v>
      </c>
      <c r="R387" s="94">
        <f t="shared" si="121"/>
        <v>6328980466</v>
      </c>
      <c r="S387" s="95">
        <v>0.11999999990537141</v>
      </c>
      <c r="T387" s="94">
        <v>678105050</v>
      </c>
      <c r="U387" s="117">
        <v>3589608051</v>
      </c>
      <c r="V387" s="117">
        <v>2093828799</v>
      </c>
      <c r="W387" s="94">
        <f t="shared" si="144"/>
        <v>224338799.73490429</v>
      </c>
      <c r="X387" s="94">
        <f t="shared" si="145"/>
        <v>89735519.893961728</v>
      </c>
      <c r="Y387" s="94">
        <f t="shared" si="146"/>
        <v>134603279.84094256</v>
      </c>
      <c r="Z387" s="93">
        <v>1495779252</v>
      </c>
      <c r="AA387" s="94">
        <f t="shared" si="141"/>
        <v>160262062.60144812</v>
      </c>
      <c r="AB387" s="94">
        <f t="shared" si="142"/>
        <v>64104825.040579252</v>
      </c>
      <c r="AC387" s="94">
        <f t="shared" si="143"/>
        <v>96157237.560868874</v>
      </c>
      <c r="AD387" s="93">
        <v>0</v>
      </c>
      <c r="AE387" s="94"/>
      <c r="AF387" s="94"/>
      <c r="AG387" s="94"/>
      <c r="AH387" s="117">
        <v>0</v>
      </c>
      <c r="AI387" s="94"/>
      <c r="AJ387" s="94"/>
      <c r="AK387" s="94"/>
      <c r="AL387" s="93">
        <v>384600862</v>
      </c>
      <c r="AM387" s="93">
        <f t="shared" si="117"/>
        <v>384600862.33635241</v>
      </c>
      <c r="AN387" s="155" t="s">
        <v>1854</v>
      </c>
      <c r="AO387" s="155"/>
    </row>
    <row r="388" spans="1:41" s="9" customFormat="1" ht="25.15" customHeight="1" x14ac:dyDescent="0.25">
      <c r="A388" s="83">
        <v>382</v>
      </c>
      <c r="B388" s="84">
        <v>2025</v>
      </c>
      <c r="C388" s="85" t="s">
        <v>900</v>
      </c>
      <c r="D388" s="86" t="s">
        <v>1858</v>
      </c>
      <c r="E388" s="86" t="s">
        <v>777</v>
      </c>
      <c r="F388" s="87">
        <v>45968</v>
      </c>
      <c r="G388" s="87">
        <v>46212</v>
      </c>
      <c r="H388" s="88">
        <f t="shared" si="131"/>
        <v>2.7111111111111112</v>
      </c>
      <c r="I388" s="89" t="s">
        <v>759</v>
      </c>
      <c r="J388" s="90" t="s">
        <v>751</v>
      </c>
      <c r="K388" s="90" t="s">
        <v>752</v>
      </c>
      <c r="L388" s="90" t="s">
        <v>753</v>
      </c>
      <c r="M388" s="91" t="s">
        <v>1059</v>
      </c>
      <c r="N388" s="92" t="s">
        <v>1884</v>
      </c>
      <c r="O388" s="85">
        <v>2453018393</v>
      </c>
      <c r="P388" s="93">
        <v>414523200</v>
      </c>
      <c r="Q388" s="93">
        <v>0</v>
      </c>
      <c r="R388" s="94">
        <f t="shared" si="121"/>
        <v>414523200</v>
      </c>
      <c r="S388" s="95">
        <v>0.12</v>
      </c>
      <c r="T388" s="94">
        <v>44413200</v>
      </c>
      <c r="U388" s="117">
        <v>150891000</v>
      </c>
      <c r="V388" s="117">
        <v>150891000</v>
      </c>
      <c r="W388" s="94">
        <f t="shared" si="144"/>
        <v>16166892.857142856</v>
      </c>
      <c r="X388" s="94">
        <f t="shared" si="145"/>
        <v>6466757.1428571427</v>
      </c>
      <c r="Y388" s="94">
        <f t="shared" si="146"/>
        <v>9700135.7142857127</v>
      </c>
      <c r="Z388" s="93">
        <f>_xlfn.XLOOKUP(O388,'[4]2DO TRIMESTRE'!$C:$C,'[4]2DO TRIMESTRE'!$I:$I,0,0)</f>
        <v>0</v>
      </c>
      <c r="AA388" s="94">
        <f t="shared" si="141"/>
        <v>0</v>
      </c>
      <c r="AB388" s="94">
        <f t="shared" si="142"/>
        <v>0</v>
      </c>
      <c r="AC388" s="94">
        <f t="shared" si="143"/>
        <v>0</v>
      </c>
      <c r="AD388" s="93">
        <v>0</v>
      </c>
      <c r="AE388" s="94"/>
      <c r="AF388" s="94"/>
      <c r="AG388" s="94"/>
      <c r="AH388" s="117">
        <v>0</v>
      </c>
      <c r="AI388" s="94"/>
      <c r="AJ388" s="94"/>
      <c r="AK388" s="94"/>
      <c r="AL388" s="93">
        <v>16166892.857142856</v>
      </c>
      <c r="AM388" s="93">
        <f t="shared" si="117"/>
        <v>16166892.857142856</v>
      </c>
      <c r="AN388" s="155"/>
      <c r="AO388" s="155"/>
    </row>
    <row r="389" spans="1:41" s="9" customFormat="1" ht="25.15" customHeight="1" x14ac:dyDescent="0.25">
      <c r="A389" s="83">
        <v>383</v>
      </c>
      <c r="B389" s="84">
        <v>2025</v>
      </c>
      <c r="C389" s="85" t="s">
        <v>945</v>
      </c>
      <c r="D389" s="86" t="s">
        <v>1859</v>
      </c>
      <c r="E389" s="86" t="s">
        <v>758</v>
      </c>
      <c r="F389" s="87">
        <v>45791</v>
      </c>
      <c r="G389" s="87">
        <v>46078</v>
      </c>
      <c r="H389" s="88">
        <f t="shared" si="131"/>
        <v>3.1888888888888891</v>
      </c>
      <c r="I389" s="89" t="s">
        <v>759</v>
      </c>
      <c r="J389" s="90" t="s">
        <v>751</v>
      </c>
      <c r="K389" s="90" t="s">
        <v>752</v>
      </c>
      <c r="L389" s="90" t="s">
        <v>753</v>
      </c>
      <c r="M389" s="91" t="s">
        <v>1059</v>
      </c>
      <c r="N389" s="92" t="s">
        <v>1885</v>
      </c>
      <c r="O389" s="85">
        <v>2910907390</v>
      </c>
      <c r="P389" s="93">
        <v>204472820</v>
      </c>
      <c r="Q389" s="93">
        <v>0</v>
      </c>
      <c r="R389" s="94">
        <f t="shared" si="121"/>
        <v>204472820</v>
      </c>
      <c r="S389" s="95">
        <v>0.1199999991235999</v>
      </c>
      <c r="T389" s="94">
        <v>21907802</v>
      </c>
      <c r="U389" s="117">
        <v>180345025</v>
      </c>
      <c r="V389" s="117">
        <v>180345025</v>
      </c>
      <c r="W389" s="94">
        <f t="shared" si="144"/>
        <v>19322681.124000005</v>
      </c>
      <c r="X389" s="94">
        <f t="shared" si="145"/>
        <v>7729072.4496000027</v>
      </c>
      <c r="Y389" s="94">
        <f t="shared" si="146"/>
        <v>11593608.674400004</v>
      </c>
      <c r="Z389" s="93">
        <f>_xlfn.XLOOKUP(O389,'[4]2DO TRIMESTRE'!$C:$C,'[4]2DO TRIMESTRE'!$I:$I,0,0)</f>
        <v>0</v>
      </c>
      <c r="AA389" s="94">
        <f t="shared" si="141"/>
        <v>0</v>
      </c>
      <c r="AB389" s="94">
        <f t="shared" si="142"/>
        <v>0</v>
      </c>
      <c r="AC389" s="94">
        <f t="shared" si="143"/>
        <v>0</v>
      </c>
      <c r="AD389" s="93">
        <v>0</v>
      </c>
      <c r="AE389" s="94"/>
      <c r="AF389" s="94"/>
      <c r="AG389" s="94"/>
      <c r="AH389" s="117">
        <v>0</v>
      </c>
      <c r="AI389" s="94"/>
      <c r="AJ389" s="94"/>
      <c r="AK389" s="94"/>
      <c r="AL389" s="93">
        <v>19322681.124000005</v>
      </c>
      <c r="AM389" s="93">
        <f t="shared" si="117"/>
        <v>19322681.124000005</v>
      </c>
      <c r="AN389" s="155"/>
      <c r="AO389" s="155"/>
    </row>
    <row r="390" spans="1:41" s="9" customFormat="1" ht="25.15" customHeight="1" x14ac:dyDescent="0.25">
      <c r="A390" s="83">
        <v>384</v>
      </c>
      <c r="B390" s="84">
        <v>2025</v>
      </c>
      <c r="C390" s="85" t="s">
        <v>1909</v>
      </c>
      <c r="D390" s="86" t="s">
        <v>1860</v>
      </c>
      <c r="E390" s="86" t="s">
        <v>758</v>
      </c>
      <c r="F390" s="87">
        <v>45821</v>
      </c>
      <c r="G390" s="87">
        <v>45950</v>
      </c>
      <c r="H390" s="88">
        <f t="shared" si="131"/>
        <v>1.4333333333333333</v>
      </c>
      <c r="I390" s="89" t="s">
        <v>759</v>
      </c>
      <c r="J390" s="90" t="s">
        <v>751</v>
      </c>
      <c r="K390" s="90" t="s">
        <v>752</v>
      </c>
      <c r="L390" s="90" t="s">
        <v>753</v>
      </c>
      <c r="M390" s="91" t="s">
        <v>1059</v>
      </c>
      <c r="N390" s="92" t="s">
        <v>1886</v>
      </c>
      <c r="O390" s="85">
        <v>2910907394</v>
      </c>
      <c r="P390" s="93">
        <v>50000000</v>
      </c>
      <c r="Q390" s="93">
        <v>0</v>
      </c>
      <c r="R390" s="94">
        <f t="shared" si="121"/>
        <v>50000000</v>
      </c>
      <c r="S390" s="95">
        <v>0.12000000358400001</v>
      </c>
      <c r="T390" s="94">
        <v>5357143</v>
      </c>
      <c r="U390" s="117">
        <v>50000000</v>
      </c>
      <c r="V390" s="117">
        <v>50000000</v>
      </c>
      <c r="W390" s="94">
        <f t="shared" si="144"/>
        <v>5357143</v>
      </c>
      <c r="X390" s="94">
        <f t="shared" si="145"/>
        <v>2142857.2000000002</v>
      </c>
      <c r="Y390" s="94">
        <f t="shared" si="146"/>
        <v>3214285.8</v>
      </c>
      <c r="Z390" s="93">
        <f>_xlfn.XLOOKUP(O390,'[4]2DO TRIMESTRE'!$C:$C,'[4]2DO TRIMESTRE'!$I:$I,0,0)</f>
        <v>0</v>
      </c>
      <c r="AA390" s="94">
        <f t="shared" si="141"/>
        <v>0</v>
      </c>
      <c r="AB390" s="94">
        <f t="shared" si="142"/>
        <v>0</v>
      </c>
      <c r="AC390" s="94">
        <f t="shared" si="143"/>
        <v>0</v>
      </c>
      <c r="AD390" s="93">
        <v>0</v>
      </c>
      <c r="AE390" s="94"/>
      <c r="AF390" s="94"/>
      <c r="AG390" s="94"/>
      <c r="AH390" s="117">
        <v>0</v>
      </c>
      <c r="AI390" s="94"/>
      <c r="AJ390" s="94"/>
      <c r="AK390" s="94"/>
      <c r="AL390" s="93">
        <v>5357143</v>
      </c>
      <c r="AM390" s="93">
        <f t="shared" si="117"/>
        <v>5357143</v>
      </c>
      <c r="AN390" s="155"/>
      <c r="AO390" s="155"/>
    </row>
    <row r="391" spans="1:41" s="9" customFormat="1" ht="25.15" customHeight="1" x14ac:dyDescent="0.25">
      <c r="A391" s="83">
        <v>385</v>
      </c>
      <c r="B391" s="84">
        <v>2025</v>
      </c>
      <c r="C391" s="85" t="s">
        <v>1910</v>
      </c>
      <c r="D391" s="86" t="s">
        <v>1861</v>
      </c>
      <c r="E391" s="86" t="s">
        <v>758</v>
      </c>
      <c r="F391" s="87">
        <v>45849</v>
      </c>
      <c r="G391" s="87">
        <v>46192</v>
      </c>
      <c r="H391" s="88">
        <f t="shared" si="131"/>
        <v>3.8111111111111109</v>
      </c>
      <c r="I391" s="89" t="s">
        <v>759</v>
      </c>
      <c r="J391" s="90" t="s">
        <v>751</v>
      </c>
      <c r="K391" s="90" t="s">
        <v>752</v>
      </c>
      <c r="L391" s="90" t="s">
        <v>753</v>
      </c>
      <c r="M391" s="91" t="s">
        <v>1059</v>
      </c>
      <c r="N391" s="92" t="s">
        <v>1887</v>
      </c>
      <c r="O391" s="85">
        <v>2910907398</v>
      </c>
      <c r="P391" s="93">
        <v>490000000</v>
      </c>
      <c r="Q391" s="93">
        <v>0</v>
      </c>
      <c r="R391" s="94">
        <f t="shared" si="121"/>
        <v>490000000</v>
      </c>
      <c r="S391" s="95">
        <v>0.12</v>
      </c>
      <c r="T391" s="94">
        <v>52500000</v>
      </c>
      <c r="U391" s="117">
        <v>192472000</v>
      </c>
      <c r="V391" s="117">
        <v>192472000</v>
      </c>
      <c r="W391" s="94">
        <f t="shared" si="144"/>
        <v>20621999.999999996</v>
      </c>
      <c r="X391" s="94">
        <f t="shared" si="145"/>
        <v>8248799.9999999991</v>
      </c>
      <c r="Y391" s="94">
        <f t="shared" si="146"/>
        <v>12373199.999999998</v>
      </c>
      <c r="Z391" s="93">
        <f>_xlfn.XLOOKUP(O391,'[4]2DO TRIMESTRE'!$C:$C,'[4]2DO TRIMESTRE'!$I:$I,0,0)</f>
        <v>0</v>
      </c>
      <c r="AA391" s="94">
        <f t="shared" si="141"/>
        <v>0</v>
      </c>
      <c r="AB391" s="94">
        <f t="shared" si="142"/>
        <v>0</v>
      </c>
      <c r="AC391" s="94">
        <f t="shared" si="143"/>
        <v>0</v>
      </c>
      <c r="AD391" s="93">
        <v>0</v>
      </c>
      <c r="AE391" s="94"/>
      <c r="AF391" s="94"/>
      <c r="AG391" s="94"/>
      <c r="AH391" s="117">
        <v>0</v>
      </c>
      <c r="AI391" s="94"/>
      <c r="AJ391" s="94"/>
      <c r="AK391" s="94"/>
      <c r="AL391" s="93">
        <v>20621999.999999996</v>
      </c>
      <c r="AM391" s="93">
        <f t="shared" si="117"/>
        <v>20621999.999999996</v>
      </c>
      <c r="AN391" s="155"/>
      <c r="AO391" s="155"/>
    </row>
    <row r="392" spans="1:41" s="9" customFormat="1" ht="25.15" customHeight="1" x14ac:dyDescent="0.25">
      <c r="A392" s="83">
        <v>386</v>
      </c>
      <c r="B392" s="84">
        <v>2025</v>
      </c>
      <c r="C392" s="85" t="s">
        <v>128</v>
      </c>
      <c r="D392" s="86" t="s">
        <v>1862</v>
      </c>
      <c r="E392" s="86" t="s">
        <v>758</v>
      </c>
      <c r="F392" s="87">
        <v>45862</v>
      </c>
      <c r="G392" s="87">
        <v>46153</v>
      </c>
      <c r="H392" s="88">
        <f t="shared" si="131"/>
        <v>3.2333333333333334</v>
      </c>
      <c r="I392" s="89" t="s">
        <v>759</v>
      </c>
      <c r="J392" s="90" t="s">
        <v>751</v>
      </c>
      <c r="K392" s="90" t="s">
        <v>752</v>
      </c>
      <c r="L392" s="90" t="s">
        <v>753</v>
      </c>
      <c r="M392" s="91" t="s">
        <v>1059</v>
      </c>
      <c r="N392" s="92" t="s">
        <v>1888</v>
      </c>
      <c r="O392" s="85">
        <v>2910907401</v>
      </c>
      <c r="P392" s="93">
        <v>685000000</v>
      </c>
      <c r="Q392" s="93">
        <v>0</v>
      </c>
      <c r="R392" s="94">
        <f t="shared" si="121"/>
        <v>685000000</v>
      </c>
      <c r="S392" s="95">
        <v>0.11999999973839416</v>
      </c>
      <c r="T392" s="94">
        <v>73392857</v>
      </c>
      <c r="U392" s="117">
        <v>172876628</v>
      </c>
      <c r="V392" s="117">
        <v>75369316</v>
      </c>
      <c r="W392" s="94">
        <f t="shared" si="144"/>
        <v>8075283.8414245415</v>
      </c>
      <c r="X392" s="94">
        <f t="shared" si="145"/>
        <v>3230113.536569817</v>
      </c>
      <c r="Y392" s="94">
        <f t="shared" si="146"/>
        <v>4845170.3048547246</v>
      </c>
      <c r="Z392" s="93">
        <v>97507312</v>
      </c>
      <c r="AA392" s="94">
        <f t="shared" si="141"/>
        <v>10447211.979664793</v>
      </c>
      <c r="AB392" s="94">
        <f t="shared" si="142"/>
        <v>4178884.7918659174</v>
      </c>
      <c r="AC392" s="94">
        <f t="shared" si="143"/>
        <v>6268327.1877988754</v>
      </c>
      <c r="AD392" s="93">
        <v>0</v>
      </c>
      <c r="AE392" s="94"/>
      <c r="AF392" s="94"/>
      <c r="AG392" s="94"/>
      <c r="AH392" s="117">
        <v>0</v>
      </c>
      <c r="AI392" s="94"/>
      <c r="AJ392" s="94"/>
      <c r="AK392" s="94"/>
      <c r="AL392" s="93">
        <v>18522495.821089335</v>
      </c>
      <c r="AM392" s="93">
        <f t="shared" ref="AM392:AM455" si="147">W392+AA392+AE392+AI392</f>
        <v>18522495.821089335</v>
      </c>
      <c r="AN392" s="155"/>
      <c r="AO392" s="155"/>
    </row>
    <row r="393" spans="1:41" s="9" customFormat="1" ht="25.15" customHeight="1" x14ac:dyDescent="0.25">
      <c r="A393" s="83">
        <v>387</v>
      </c>
      <c r="B393" s="84">
        <v>2025</v>
      </c>
      <c r="C393" s="85" t="s">
        <v>1509</v>
      </c>
      <c r="D393" s="86" t="s">
        <v>1863</v>
      </c>
      <c r="E393" s="86" t="s">
        <v>758</v>
      </c>
      <c r="F393" s="87">
        <v>45882</v>
      </c>
      <c r="G393" s="87">
        <v>46173</v>
      </c>
      <c r="H393" s="88">
        <f t="shared" si="131"/>
        <v>3.2333333333333334</v>
      </c>
      <c r="I393" s="89" t="s">
        <v>759</v>
      </c>
      <c r="J393" s="90" t="s">
        <v>751</v>
      </c>
      <c r="K393" s="90" t="s">
        <v>752</v>
      </c>
      <c r="L393" s="90" t="s">
        <v>753</v>
      </c>
      <c r="M393" s="91" t="s">
        <v>1059</v>
      </c>
      <c r="N393" s="92" t="s">
        <v>1889</v>
      </c>
      <c r="O393" s="85">
        <v>2910907408</v>
      </c>
      <c r="P393" s="93">
        <v>9065910000</v>
      </c>
      <c r="Q393" s="93">
        <v>0</v>
      </c>
      <c r="R393" s="94">
        <f t="shared" si="121"/>
        <v>9065910000</v>
      </c>
      <c r="S393" s="95">
        <v>0.12</v>
      </c>
      <c r="T393" s="94">
        <v>971347500</v>
      </c>
      <c r="U393" s="117">
        <v>3626364000</v>
      </c>
      <c r="V393" s="117">
        <v>3626364000</v>
      </c>
      <c r="W393" s="94">
        <f t="shared" si="144"/>
        <v>388538999.99999994</v>
      </c>
      <c r="X393" s="94">
        <f t="shared" si="145"/>
        <v>155415599.99999997</v>
      </c>
      <c r="Y393" s="94">
        <f t="shared" si="146"/>
        <v>233123399.99999997</v>
      </c>
      <c r="Z393" s="93">
        <f>_xlfn.XLOOKUP(O393,'[4]2DO TRIMESTRE'!$C:$C,'[4]2DO TRIMESTRE'!$I:$I,0,0)</f>
        <v>0</v>
      </c>
      <c r="AA393" s="94">
        <f t="shared" si="141"/>
        <v>0</v>
      </c>
      <c r="AB393" s="94">
        <f t="shared" si="142"/>
        <v>0</v>
      </c>
      <c r="AC393" s="94">
        <f t="shared" si="143"/>
        <v>0</v>
      </c>
      <c r="AD393" s="93">
        <v>0</v>
      </c>
      <c r="AE393" s="94"/>
      <c r="AF393" s="94"/>
      <c r="AG393" s="94"/>
      <c r="AH393" s="117">
        <v>0</v>
      </c>
      <c r="AI393" s="94"/>
      <c r="AJ393" s="94"/>
      <c r="AK393" s="94"/>
      <c r="AL393" s="93">
        <v>388538999.99999994</v>
      </c>
      <c r="AM393" s="93">
        <f t="shared" si="147"/>
        <v>388538999.99999994</v>
      </c>
      <c r="AN393" s="155"/>
      <c r="AO393" s="155"/>
    </row>
    <row r="394" spans="1:41" s="9" customFormat="1" ht="25.15" customHeight="1" x14ac:dyDescent="0.25">
      <c r="A394" s="83">
        <v>388</v>
      </c>
      <c r="B394" s="84">
        <v>2025</v>
      </c>
      <c r="C394" s="85" t="s">
        <v>1911</v>
      </c>
      <c r="D394" s="86" t="s">
        <v>1864</v>
      </c>
      <c r="E394" s="86" t="s">
        <v>758</v>
      </c>
      <c r="F394" s="87">
        <v>45897</v>
      </c>
      <c r="G394" s="87">
        <v>46142</v>
      </c>
      <c r="H394" s="88">
        <f t="shared" si="131"/>
        <v>2.7222222222222223</v>
      </c>
      <c r="I394" s="89" t="s">
        <v>759</v>
      </c>
      <c r="J394" s="90" t="s">
        <v>751</v>
      </c>
      <c r="K394" s="90" t="s">
        <v>752</v>
      </c>
      <c r="L394" s="90" t="s">
        <v>753</v>
      </c>
      <c r="M394" s="91" t="s">
        <v>1059</v>
      </c>
      <c r="N394" s="92" t="s">
        <v>1890</v>
      </c>
      <c r="O394" s="85">
        <v>2910907409</v>
      </c>
      <c r="P394" s="93">
        <v>100000000</v>
      </c>
      <c r="Q394" s="93">
        <v>0</v>
      </c>
      <c r="R394" s="94">
        <f t="shared" si="121"/>
        <v>100000000</v>
      </c>
      <c r="S394" s="95">
        <v>0.12000000358400001</v>
      </c>
      <c r="T394" s="94">
        <v>10714286</v>
      </c>
      <c r="U394" s="117">
        <v>90000000</v>
      </c>
      <c r="V394" s="117">
        <v>90000000</v>
      </c>
      <c r="W394" s="94">
        <f t="shared" si="144"/>
        <v>9642857.3999999985</v>
      </c>
      <c r="X394" s="94">
        <f t="shared" si="145"/>
        <v>3857142.9599999995</v>
      </c>
      <c r="Y394" s="94">
        <f t="shared" si="146"/>
        <v>5785714.4399999985</v>
      </c>
      <c r="Z394" s="93">
        <f>_xlfn.XLOOKUP(O394,'[4]2DO TRIMESTRE'!$C:$C,'[4]2DO TRIMESTRE'!$I:$I,0,0)</f>
        <v>0</v>
      </c>
      <c r="AA394" s="94">
        <f t="shared" si="141"/>
        <v>0</v>
      </c>
      <c r="AB394" s="94">
        <f t="shared" si="142"/>
        <v>0</v>
      </c>
      <c r="AC394" s="94">
        <f t="shared" si="143"/>
        <v>0</v>
      </c>
      <c r="AD394" s="93">
        <v>0</v>
      </c>
      <c r="AE394" s="94"/>
      <c r="AF394" s="94"/>
      <c r="AG394" s="94"/>
      <c r="AH394" s="117">
        <v>0</v>
      </c>
      <c r="AI394" s="94"/>
      <c r="AJ394" s="94"/>
      <c r="AK394" s="94"/>
      <c r="AL394" s="93">
        <v>9642857.3999999985</v>
      </c>
      <c r="AM394" s="93">
        <f t="shared" si="147"/>
        <v>9642857.3999999985</v>
      </c>
      <c r="AN394" s="155"/>
      <c r="AO394" s="155"/>
    </row>
    <row r="395" spans="1:41" s="9" customFormat="1" ht="25.15" customHeight="1" x14ac:dyDescent="0.25">
      <c r="A395" s="83">
        <v>389</v>
      </c>
      <c r="B395" s="84">
        <v>2025</v>
      </c>
      <c r="C395" s="85" t="s">
        <v>765</v>
      </c>
      <c r="D395" s="86" t="s">
        <v>1865</v>
      </c>
      <c r="E395" s="86" t="s">
        <v>758</v>
      </c>
      <c r="F395" s="87">
        <v>45881</v>
      </c>
      <c r="G395" s="87">
        <v>46314</v>
      </c>
      <c r="H395" s="88">
        <f t="shared" si="131"/>
        <v>4.8111111111111109</v>
      </c>
      <c r="I395" s="89" t="s">
        <v>759</v>
      </c>
      <c r="J395" s="90" t="s">
        <v>751</v>
      </c>
      <c r="K395" s="90" t="s">
        <v>752</v>
      </c>
      <c r="L395" s="90" t="s">
        <v>753</v>
      </c>
      <c r="M395" s="91" t="s">
        <v>1059</v>
      </c>
      <c r="N395" s="92" t="s">
        <v>1891</v>
      </c>
      <c r="O395" s="85">
        <v>2910907414</v>
      </c>
      <c r="P395" s="93">
        <v>8684230500</v>
      </c>
      <c r="Q395" s="93">
        <v>0</v>
      </c>
      <c r="R395" s="94">
        <f t="shared" si="121"/>
        <v>8684230500</v>
      </c>
      <c r="S395" s="95">
        <v>0.1200000000206351</v>
      </c>
      <c r="T395" s="94">
        <v>930453268</v>
      </c>
      <c r="U395" s="117">
        <v>3907903725</v>
      </c>
      <c r="V395" s="117">
        <v>868423050</v>
      </c>
      <c r="W395" s="94">
        <f t="shared" si="144"/>
        <v>93045326.799999982</v>
      </c>
      <c r="X395" s="94">
        <f t="shared" si="145"/>
        <v>37218130.719999991</v>
      </c>
      <c r="Y395" s="94">
        <f t="shared" si="146"/>
        <v>55827196.079999991</v>
      </c>
      <c r="Z395" s="93">
        <v>3039480675</v>
      </c>
      <c r="AA395" s="94">
        <f t="shared" si="141"/>
        <v>325658643.79999995</v>
      </c>
      <c r="AB395" s="94">
        <f t="shared" si="142"/>
        <v>130263457.51999998</v>
      </c>
      <c r="AC395" s="94">
        <f t="shared" si="143"/>
        <v>195395186.27999997</v>
      </c>
      <c r="AD395" s="93">
        <v>0</v>
      </c>
      <c r="AE395" s="94"/>
      <c r="AF395" s="94"/>
      <c r="AG395" s="94"/>
      <c r="AH395" s="117">
        <v>0</v>
      </c>
      <c r="AI395" s="94"/>
      <c r="AJ395" s="94"/>
      <c r="AK395" s="94"/>
      <c r="AL395" s="93">
        <v>418703970.59999996</v>
      </c>
      <c r="AM395" s="93">
        <f t="shared" si="147"/>
        <v>418703970.5999999</v>
      </c>
      <c r="AN395" s="155"/>
      <c r="AO395" s="155"/>
    </row>
    <row r="396" spans="1:41" s="9" customFormat="1" ht="25.15" customHeight="1" x14ac:dyDescent="0.25">
      <c r="A396" s="83">
        <v>390</v>
      </c>
      <c r="B396" s="84">
        <v>2025</v>
      </c>
      <c r="C396" s="85" t="s">
        <v>900</v>
      </c>
      <c r="D396" s="86" t="s">
        <v>1866</v>
      </c>
      <c r="E396" s="86" t="s">
        <v>758</v>
      </c>
      <c r="F396" s="87">
        <v>45924</v>
      </c>
      <c r="G396" s="87">
        <v>46037</v>
      </c>
      <c r="H396" s="88">
        <f t="shared" si="131"/>
        <v>1.2555555555555555</v>
      </c>
      <c r="I396" s="89" t="s">
        <v>759</v>
      </c>
      <c r="J396" s="90" t="s">
        <v>751</v>
      </c>
      <c r="K396" s="90" t="s">
        <v>752</v>
      </c>
      <c r="L396" s="90" t="s">
        <v>753</v>
      </c>
      <c r="M396" s="91" t="s">
        <v>1059</v>
      </c>
      <c r="N396" s="92" t="s">
        <v>1892</v>
      </c>
      <c r="O396" s="85">
        <v>2910907417</v>
      </c>
      <c r="P396" s="93">
        <v>47926666</v>
      </c>
      <c r="Q396" s="93">
        <v>0</v>
      </c>
      <c r="R396" s="94">
        <f t="shared" si="121"/>
        <v>47926666</v>
      </c>
      <c r="S396" s="95">
        <v>0.12002617396976639</v>
      </c>
      <c r="T396" s="94">
        <v>5135999.93</v>
      </c>
      <c r="U396" s="117">
        <v>47926666</v>
      </c>
      <c r="V396" s="117">
        <v>47926666</v>
      </c>
      <c r="W396" s="94">
        <f t="shared" si="144"/>
        <v>5135999.93</v>
      </c>
      <c r="X396" s="94">
        <f t="shared" si="145"/>
        <v>2054399.9720000001</v>
      </c>
      <c r="Y396" s="94">
        <f t="shared" si="146"/>
        <v>3081599.9579999996</v>
      </c>
      <c r="Z396" s="93">
        <f>_xlfn.XLOOKUP(O396,'[4]2DO TRIMESTRE'!$C:$C,'[4]2DO TRIMESTRE'!$I:$I,0,0)</f>
        <v>0</v>
      </c>
      <c r="AA396" s="94">
        <f t="shared" si="141"/>
        <v>0</v>
      </c>
      <c r="AB396" s="94">
        <f t="shared" si="142"/>
        <v>0</v>
      </c>
      <c r="AC396" s="94">
        <f t="shared" si="143"/>
        <v>0</v>
      </c>
      <c r="AD396" s="93">
        <v>0</v>
      </c>
      <c r="AE396" s="94"/>
      <c r="AF396" s="94"/>
      <c r="AG396" s="94"/>
      <c r="AH396" s="117">
        <v>0</v>
      </c>
      <c r="AI396" s="94"/>
      <c r="AJ396" s="94"/>
      <c r="AK396" s="94"/>
      <c r="AL396" s="93">
        <v>5135999.93</v>
      </c>
      <c r="AM396" s="93">
        <f t="shared" si="147"/>
        <v>5135999.93</v>
      </c>
      <c r="AN396" s="155"/>
      <c r="AO396" s="155"/>
    </row>
    <row r="397" spans="1:41" s="9" customFormat="1" ht="25.15" customHeight="1" x14ac:dyDescent="0.25">
      <c r="A397" s="83">
        <v>391</v>
      </c>
      <c r="B397" s="84">
        <v>2025</v>
      </c>
      <c r="C397" s="85" t="s">
        <v>1623</v>
      </c>
      <c r="D397" s="86" t="s">
        <v>1867</v>
      </c>
      <c r="E397" s="86" t="s">
        <v>758</v>
      </c>
      <c r="F397" s="87">
        <v>45931</v>
      </c>
      <c r="G397" s="87">
        <v>46326</v>
      </c>
      <c r="H397" s="88">
        <f t="shared" si="131"/>
        <v>4.3888888888888893</v>
      </c>
      <c r="I397" s="89" t="s">
        <v>759</v>
      </c>
      <c r="J397" s="90" t="s">
        <v>751</v>
      </c>
      <c r="K397" s="90" t="s">
        <v>752</v>
      </c>
      <c r="L397" s="90" t="s">
        <v>753</v>
      </c>
      <c r="M397" s="91" t="s">
        <v>1059</v>
      </c>
      <c r="N397" s="92" t="s">
        <v>1893</v>
      </c>
      <c r="O397" s="85">
        <v>2910907419</v>
      </c>
      <c r="P397" s="93">
        <v>631125000</v>
      </c>
      <c r="Q397" s="93">
        <v>0</v>
      </c>
      <c r="R397" s="94">
        <f t="shared" si="121"/>
        <v>631125000</v>
      </c>
      <c r="S397" s="95">
        <v>0.12000000056787483</v>
      </c>
      <c r="T397" s="94">
        <v>67620536</v>
      </c>
      <c r="U397" s="117">
        <v>442715000</v>
      </c>
      <c r="V397" s="117">
        <v>170875000</v>
      </c>
      <c r="W397" s="94">
        <f t="shared" si="144"/>
        <v>18308035.79164191</v>
      </c>
      <c r="X397" s="94">
        <f t="shared" si="145"/>
        <v>7323214.3166567646</v>
      </c>
      <c r="Y397" s="94">
        <f t="shared" si="146"/>
        <v>10984821.474985145</v>
      </c>
      <c r="Z397" s="93">
        <v>271840000</v>
      </c>
      <c r="AA397" s="94">
        <f>+Z397/(1+$S397)*$S397</f>
        <v>29125714.408777978</v>
      </c>
      <c r="AB397" s="94">
        <f t="shared" si="142"/>
        <v>11650285.763511192</v>
      </c>
      <c r="AC397" s="94">
        <f t="shared" si="143"/>
        <v>17475428.645266786</v>
      </c>
      <c r="AD397" s="93">
        <v>0</v>
      </c>
      <c r="AE397" s="94"/>
      <c r="AF397" s="94"/>
      <c r="AG397" s="94"/>
      <c r="AH397" s="117">
        <v>0</v>
      </c>
      <c r="AI397" s="94"/>
      <c r="AJ397" s="94"/>
      <c r="AK397" s="94"/>
      <c r="AL397" s="93">
        <v>47433750.200419888</v>
      </c>
      <c r="AM397" s="93">
        <f t="shared" si="147"/>
        <v>47433750.200419888</v>
      </c>
      <c r="AN397" s="155"/>
      <c r="AO397" s="155"/>
    </row>
    <row r="398" spans="1:41" s="9" customFormat="1" ht="25.15" customHeight="1" x14ac:dyDescent="0.25">
      <c r="A398" s="83">
        <v>392</v>
      </c>
      <c r="B398" s="84">
        <v>2025</v>
      </c>
      <c r="C398" s="85" t="s">
        <v>832</v>
      </c>
      <c r="D398" s="86" t="s">
        <v>1868</v>
      </c>
      <c r="E398" s="86" t="s">
        <v>758</v>
      </c>
      <c r="F398" s="87">
        <v>45938</v>
      </c>
      <c r="G398" s="87">
        <v>46142</v>
      </c>
      <c r="H398" s="88">
        <f t="shared" si="131"/>
        <v>2.2666666666666666</v>
      </c>
      <c r="I398" s="89" t="s">
        <v>759</v>
      </c>
      <c r="J398" s="90" t="s">
        <v>751</v>
      </c>
      <c r="K398" s="90" t="s">
        <v>752</v>
      </c>
      <c r="L398" s="90" t="s">
        <v>753</v>
      </c>
      <c r="M398" s="91" t="s">
        <v>1059</v>
      </c>
      <c r="N398" s="92" t="s">
        <v>1894</v>
      </c>
      <c r="O398" s="85">
        <v>2910907420</v>
      </c>
      <c r="P398" s="93">
        <v>789100000</v>
      </c>
      <c r="Q398" s="93">
        <v>0</v>
      </c>
      <c r="R398" s="94">
        <f t="shared" si="121"/>
        <v>789100000</v>
      </c>
      <c r="S398" s="95">
        <v>0.12000000068128247</v>
      </c>
      <c r="T398" s="94">
        <v>84546429</v>
      </c>
      <c r="U398" s="117">
        <v>789100000</v>
      </c>
      <c r="V398" s="117">
        <v>651865217.38999999</v>
      </c>
      <c r="W398" s="94">
        <f t="shared" si="144"/>
        <v>69842702.217251554</v>
      </c>
      <c r="X398" s="94">
        <f t="shared" si="145"/>
        <v>27937080.886900622</v>
      </c>
      <c r="Y398" s="94">
        <f t="shared" si="146"/>
        <v>41905621.330350928</v>
      </c>
      <c r="Z398" s="93">
        <v>137234782.61000001</v>
      </c>
      <c r="AA398" s="94">
        <f t="shared" si="141"/>
        <v>14703726.782748448</v>
      </c>
      <c r="AB398" s="94">
        <f t="shared" si="142"/>
        <v>5881490.7130993791</v>
      </c>
      <c r="AC398" s="94">
        <f>+AA398*60%</f>
        <v>8822236.0696490686</v>
      </c>
      <c r="AD398" s="93">
        <v>0</v>
      </c>
      <c r="AE398" s="94"/>
      <c r="AF398" s="94"/>
      <c r="AG398" s="94"/>
      <c r="AH398" s="117">
        <v>0</v>
      </c>
      <c r="AI398" s="94"/>
      <c r="AJ398" s="94"/>
      <c r="AK398" s="94"/>
      <c r="AL398" s="93">
        <v>84546429</v>
      </c>
      <c r="AM398" s="93">
        <f t="shared" si="147"/>
        <v>84546429</v>
      </c>
      <c r="AN398" s="155" t="s">
        <v>1854</v>
      </c>
      <c r="AO398" s="155"/>
    </row>
    <row r="399" spans="1:41" s="9" customFormat="1" ht="25.15" customHeight="1" x14ac:dyDescent="0.25">
      <c r="A399" s="83">
        <v>393</v>
      </c>
      <c r="B399" s="84">
        <v>2025</v>
      </c>
      <c r="C399" s="85" t="s">
        <v>1510</v>
      </c>
      <c r="D399" s="86" t="s">
        <v>1869</v>
      </c>
      <c r="E399" s="86" t="s">
        <v>758</v>
      </c>
      <c r="F399" s="87">
        <v>45944</v>
      </c>
      <c r="G399" s="87">
        <v>46021</v>
      </c>
      <c r="H399" s="88">
        <f t="shared" si="131"/>
        <v>0.85555555555555551</v>
      </c>
      <c r="I399" s="89" t="s">
        <v>759</v>
      </c>
      <c r="J399" s="90" t="s">
        <v>751</v>
      </c>
      <c r="K399" s="90" t="s">
        <v>752</v>
      </c>
      <c r="L399" s="90" t="s">
        <v>753</v>
      </c>
      <c r="M399" s="91" t="s">
        <v>1059</v>
      </c>
      <c r="N399" s="92" t="s">
        <v>1895</v>
      </c>
      <c r="O399" s="85">
        <v>2910907422</v>
      </c>
      <c r="P399" s="93">
        <v>96492616</v>
      </c>
      <c r="Q399" s="93">
        <v>0</v>
      </c>
      <c r="R399" s="94">
        <f t="shared" si="121"/>
        <v>96492616</v>
      </c>
      <c r="S399" s="95">
        <v>0.1200000055714108</v>
      </c>
      <c r="T399" s="94">
        <v>10338495</v>
      </c>
      <c r="U399" s="117">
        <v>96492616</v>
      </c>
      <c r="V399" s="117">
        <v>96492616</v>
      </c>
      <c r="W399" s="94">
        <f t="shared" si="144"/>
        <v>10338495</v>
      </c>
      <c r="X399" s="94">
        <f t="shared" si="145"/>
        <v>4135398</v>
      </c>
      <c r="Y399" s="94">
        <f t="shared" si="146"/>
        <v>6203097</v>
      </c>
      <c r="Z399" s="93">
        <f>_xlfn.XLOOKUP(O399,'[4]2DO TRIMESTRE'!$C:$C,'[4]2DO TRIMESTRE'!$I:$I,0,0)</f>
        <v>0</v>
      </c>
      <c r="AA399" s="94">
        <f t="shared" si="141"/>
        <v>0</v>
      </c>
      <c r="AB399" s="94">
        <f t="shared" si="142"/>
        <v>0</v>
      </c>
      <c r="AC399" s="94">
        <f t="shared" si="143"/>
        <v>0</v>
      </c>
      <c r="AD399" s="93">
        <v>0</v>
      </c>
      <c r="AE399" s="94"/>
      <c r="AF399" s="94"/>
      <c r="AG399" s="94"/>
      <c r="AH399" s="117">
        <v>0</v>
      </c>
      <c r="AI399" s="94"/>
      <c r="AJ399" s="94"/>
      <c r="AK399" s="94"/>
      <c r="AL399" s="93">
        <v>10338495</v>
      </c>
      <c r="AM399" s="93">
        <f t="shared" si="147"/>
        <v>10338495</v>
      </c>
      <c r="AN399" s="155"/>
      <c r="AO399" s="155"/>
    </row>
    <row r="400" spans="1:41" s="9" customFormat="1" ht="25.15" customHeight="1" x14ac:dyDescent="0.25">
      <c r="A400" s="83">
        <v>394</v>
      </c>
      <c r="B400" s="84">
        <v>2025</v>
      </c>
      <c r="C400" s="85" t="s">
        <v>843</v>
      </c>
      <c r="D400" s="86" t="s">
        <v>1870</v>
      </c>
      <c r="E400" s="86" t="s">
        <v>758</v>
      </c>
      <c r="F400" s="87">
        <v>45968</v>
      </c>
      <c r="G400" s="87">
        <v>46174</v>
      </c>
      <c r="H400" s="88">
        <f t="shared" si="131"/>
        <v>2.2888888888888888</v>
      </c>
      <c r="I400" s="89" t="s">
        <v>759</v>
      </c>
      <c r="J400" s="90" t="s">
        <v>751</v>
      </c>
      <c r="K400" s="90" t="s">
        <v>752</v>
      </c>
      <c r="L400" s="90" t="s">
        <v>753</v>
      </c>
      <c r="M400" s="91" t="s">
        <v>1059</v>
      </c>
      <c r="N400" s="92" t="s">
        <v>1896</v>
      </c>
      <c r="O400" s="85">
        <v>2910907427</v>
      </c>
      <c r="P400" s="93">
        <v>2600000000</v>
      </c>
      <c r="Q400" s="93">
        <v>0</v>
      </c>
      <c r="R400" s="94">
        <f t="shared" si="121"/>
        <v>2600000000</v>
      </c>
      <c r="S400" s="95">
        <v>0.12000000020676924</v>
      </c>
      <c r="T400" s="94">
        <v>278571429</v>
      </c>
      <c r="U400" s="117">
        <v>780000000</v>
      </c>
      <c r="V400" s="117">
        <v>780000000</v>
      </c>
      <c r="W400" s="94">
        <f t="shared" si="144"/>
        <v>83571428.700000018</v>
      </c>
      <c r="X400" s="94">
        <f t="shared" si="145"/>
        <v>33428571.480000008</v>
      </c>
      <c r="Y400" s="94">
        <f t="shared" si="146"/>
        <v>50142857.220000006</v>
      </c>
      <c r="Z400" s="93">
        <f>_xlfn.XLOOKUP(O400,'[4]2DO TRIMESTRE'!$C:$C,'[4]2DO TRIMESTRE'!$I:$I,0,0)</f>
        <v>0</v>
      </c>
      <c r="AA400" s="94">
        <f t="shared" si="141"/>
        <v>0</v>
      </c>
      <c r="AB400" s="94">
        <f t="shared" si="142"/>
        <v>0</v>
      </c>
      <c r="AC400" s="94">
        <f t="shared" si="143"/>
        <v>0</v>
      </c>
      <c r="AD400" s="93">
        <v>0</v>
      </c>
      <c r="AE400" s="94"/>
      <c r="AF400" s="94"/>
      <c r="AG400" s="94"/>
      <c r="AH400" s="117">
        <v>0</v>
      </c>
      <c r="AI400" s="94"/>
      <c r="AJ400" s="94"/>
      <c r="AK400" s="94"/>
      <c r="AL400" s="93">
        <v>83571428.700000018</v>
      </c>
      <c r="AM400" s="93">
        <f t="shared" si="147"/>
        <v>83571428.700000018</v>
      </c>
      <c r="AN400" s="155"/>
      <c r="AO400" s="155"/>
    </row>
    <row r="401" spans="1:41" s="9" customFormat="1" ht="25.15" customHeight="1" x14ac:dyDescent="0.25">
      <c r="A401" s="83">
        <v>395</v>
      </c>
      <c r="B401" s="84">
        <v>2026</v>
      </c>
      <c r="C401" s="85" t="s">
        <v>1795</v>
      </c>
      <c r="D401" s="86" t="s">
        <v>1871</v>
      </c>
      <c r="E401" s="86" t="s">
        <v>758</v>
      </c>
      <c r="F401" s="87">
        <v>46041</v>
      </c>
      <c r="G401" s="87">
        <v>46193</v>
      </c>
      <c r="H401" s="88">
        <f t="shared" si="131"/>
        <v>1.6888888888888889</v>
      </c>
      <c r="I401" s="89" t="s">
        <v>759</v>
      </c>
      <c r="J401" s="90" t="s">
        <v>751</v>
      </c>
      <c r="K401" s="90" t="s">
        <v>752</v>
      </c>
      <c r="L401" s="90" t="s">
        <v>753</v>
      </c>
      <c r="M401" s="91" t="s">
        <v>1059</v>
      </c>
      <c r="N401" s="92" t="s">
        <v>1897</v>
      </c>
      <c r="O401" s="85">
        <v>2910907437</v>
      </c>
      <c r="P401" s="93">
        <v>90000000</v>
      </c>
      <c r="Q401" s="93">
        <v>0</v>
      </c>
      <c r="R401" s="94">
        <f t="shared" si="121"/>
        <v>90000000</v>
      </c>
      <c r="S401" s="95">
        <v>0.11999623482154659</v>
      </c>
      <c r="T401" s="94">
        <v>9642587</v>
      </c>
      <c r="U401" s="117">
        <v>53460000</v>
      </c>
      <c r="V401" s="117">
        <v>53460000</v>
      </c>
      <c r="W401" s="94">
        <f t="shared" si="144"/>
        <v>5727696.6780000003</v>
      </c>
      <c r="X401" s="94">
        <f t="shared" si="145"/>
        <v>2291078.6712000002</v>
      </c>
      <c r="Y401" s="94">
        <f t="shared" si="146"/>
        <v>3436618.0068000001</v>
      </c>
      <c r="Z401" s="93">
        <f>_xlfn.XLOOKUP(O401,'[4]2DO TRIMESTRE'!$C:$C,'[4]2DO TRIMESTRE'!$I:$I,0,0)</f>
        <v>0</v>
      </c>
      <c r="AA401" s="94">
        <f t="shared" si="141"/>
        <v>0</v>
      </c>
      <c r="AB401" s="94">
        <f t="shared" si="142"/>
        <v>0</v>
      </c>
      <c r="AC401" s="94">
        <f t="shared" si="143"/>
        <v>0</v>
      </c>
      <c r="AD401" s="93">
        <v>0</v>
      </c>
      <c r="AE401" s="94"/>
      <c r="AF401" s="94"/>
      <c r="AG401" s="94"/>
      <c r="AH401" s="117">
        <v>0</v>
      </c>
      <c r="AI401" s="94"/>
      <c r="AJ401" s="94"/>
      <c r="AK401" s="94"/>
      <c r="AL401" s="93">
        <v>5727696.6780000003</v>
      </c>
      <c r="AM401" s="93">
        <f t="shared" si="147"/>
        <v>5727696.6780000003</v>
      </c>
      <c r="AN401" s="155"/>
      <c r="AO401" s="155"/>
    </row>
    <row r="402" spans="1:41" s="9" customFormat="1" ht="25.15" customHeight="1" x14ac:dyDescent="0.25">
      <c r="A402" s="239">
        <v>396</v>
      </c>
      <c r="B402" s="240">
        <v>2026</v>
      </c>
      <c r="C402" s="241" t="s">
        <v>128</v>
      </c>
      <c r="D402" s="242" t="s">
        <v>1872</v>
      </c>
      <c r="E402" s="242" t="s">
        <v>758</v>
      </c>
      <c r="F402" s="243">
        <v>46045</v>
      </c>
      <c r="G402" s="243">
        <v>46360</v>
      </c>
      <c r="H402" s="244">
        <f t="shared" si="131"/>
        <v>3.5</v>
      </c>
      <c r="I402" s="244" t="s">
        <v>759</v>
      </c>
      <c r="J402" s="244" t="s">
        <v>751</v>
      </c>
      <c r="K402" s="244" t="s">
        <v>752</v>
      </c>
      <c r="L402" s="244" t="s">
        <v>753</v>
      </c>
      <c r="M402" s="245" t="s">
        <v>1059</v>
      </c>
      <c r="N402" s="246" t="s">
        <v>1898</v>
      </c>
      <c r="O402" s="241">
        <v>2910907439</v>
      </c>
      <c r="P402" s="238">
        <v>19664096867</v>
      </c>
      <c r="Q402" s="238">
        <v>0</v>
      </c>
      <c r="R402" s="238">
        <f t="shared" si="121"/>
        <v>19664096867</v>
      </c>
      <c r="S402" s="247">
        <v>0.10000000001678186</v>
      </c>
      <c r="T402" s="238">
        <v>1787645170</v>
      </c>
      <c r="U402" s="248">
        <v>8148520253.5799999</v>
      </c>
      <c r="V402" s="117">
        <v>2926650729.5299997</v>
      </c>
      <c r="W402" s="94">
        <f t="shared" si="144"/>
        <v>266059157.2705906</v>
      </c>
      <c r="X402" s="94">
        <f t="shared" si="145"/>
        <v>106423662.90823625</v>
      </c>
      <c r="Y402" s="94">
        <f t="shared" si="146"/>
        <v>159635494.36235437</v>
      </c>
      <c r="Z402" s="93">
        <v>5221869524.0500002</v>
      </c>
      <c r="AA402" s="238">
        <f t="shared" si="141"/>
        <v>474715411.34969646</v>
      </c>
      <c r="AB402" s="238">
        <f t="shared" si="142"/>
        <v>189886164.53987861</v>
      </c>
      <c r="AC402" s="238">
        <f t="shared" si="143"/>
        <v>284829246.80981785</v>
      </c>
      <c r="AD402" s="93">
        <v>0</v>
      </c>
      <c r="AE402" s="94"/>
      <c r="AF402" s="94"/>
      <c r="AG402" s="94"/>
      <c r="AH402" s="117">
        <v>0</v>
      </c>
      <c r="AI402" s="94"/>
      <c r="AJ402" s="94"/>
      <c r="AK402" s="94"/>
      <c r="AL402" s="238">
        <v>740774568.62028706</v>
      </c>
      <c r="AM402" s="238">
        <f t="shared" si="147"/>
        <v>740774568.62028706</v>
      </c>
      <c r="AN402" s="249" t="s">
        <v>1134</v>
      </c>
      <c r="AO402" s="249" t="s">
        <v>1134</v>
      </c>
    </row>
    <row r="403" spans="1:41" s="9" customFormat="1" ht="25.15" customHeight="1" x14ac:dyDescent="0.25">
      <c r="A403" s="83">
        <v>397</v>
      </c>
      <c r="B403" s="84">
        <v>2026</v>
      </c>
      <c r="C403" s="85" t="s">
        <v>1799</v>
      </c>
      <c r="D403" s="86" t="s">
        <v>1873</v>
      </c>
      <c r="E403" s="86" t="s">
        <v>758</v>
      </c>
      <c r="F403" s="87">
        <v>46050</v>
      </c>
      <c r="G403" s="87">
        <v>46205</v>
      </c>
      <c r="H403" s="88">
        <f t="shared" si="131"/>
        <v>1.7222222222222223</v>
      </c>
      <c r="I403" s="89" t="s">
        <v>759</v>
      </c>
      <c r="J403" s="90" t="s">
        <v>751</v>
      </c>
      <c r="K403" s="90" t="s">
        <v>752</v>
      </c>
      <c r="L403" s="90" t="s">
        <v>753</v>
      </c>
      <c r="M403" s="91" t="s">
        <v>1059</v>
      </c>
      <c r="N403" s="92" t="s">
        <v>1899</v>
      </c>
      <c r="O403" s="85">
        <v>2910907440</v>
      </c>
      <c r="P403" s="93">
        <v>1538000000</v>
      </c>
      <c r="Q403" s="93">
        <v>0</v>
      </c>
      <c r="R403" s="94">
        <f t="shared" si="121"/>
        <v>1538000000</v>
      </c>
      <c r="S403" s="95">
        <v>0.11999999976697009</v>
      </c>
      <c r="T403" s="94">
        <v>164785714</v>
      </c>
      <c r="U403" s="117">
        <v>922800000</v>
      </c>
      <c r="V403" s="117">
        <v>384500000</v>
      </c>
      <c r="W403" s="94">
        <f t="shared" si="144"/>
        <v>41196428.5</v>
      </c>
      <c r="X403" s="94">
        <f t="shared" si="145"/>
        <v>16478571.4</v>
      </c>
      <c r="Y403" s="94">
        <f t="shared" si="146"/>
        <v>24717857.099999998</v>
      </c>
      <c r="Z403" s="93">
        <v>538300000</v>
      </c>
      <c r="AA403" s="94">
        <f t="shared" si="141"/>
        <v>57674999.900000006</v>
      </c>
      <c r="AB403" s="94">
        <f t="shared" si="142"/>
        <v>23069999.960000005</v>
      </c>
      <c r="AC403" s="94">
        <f t="shared" si="143"/>
        <v>34604999.940000005</v>
      </c>
      <c r="AD403" s="93">
        <v>0</v>
      </c>
      <c r="AE403" s="94"/>
      <c r="AF403" s="94"/>
      <c r="AG403" s="94"/>
      <c r="AH403" s="117">
        <v>0</v>
      </c>
      <c r="AI403" s="94"/>
      <c r="AJ403" s="94"/>
      <c r="AK403" s="94"/>
      <c r="AL403" s="93">
        <v>98871428.400000006</v>
      </c>
      <c r="AM403" s="93">
        <f t="shared" si="147"/>
        <v>98871428.400000006</v>
      </c>
      <c r="AN403" s="155"/>
      <c r="AO403" s="155"/>
    </row>
    <row r="404" spans="1:41" s="9" customFormat="1" ht="25.15" customHeight="1" x14ac:dyDescent="0.25">
      <c r="A404" s="83">
        <v>398</v>
      </c>
      <c r="B404" s="84">
        <v>2026</v>
      </c>
      <c r="C404" s="85" t="s">
        <v>1797</v>
      </c>
      <c r="D404" s="86" t="s">
        <v>1874</v>
      </c>
      <c r="E404" s="86" t="s">
        <v>758</v>
      </c>
      <c r="F404" s="87">
        <v>46052</v>
      </c>
      <c r="G404" s="87">
        <v>46388</v>
      </c>
      <c r="H404" s="88">
        <f t="shared" si="131"/>
        <v>3.7333333333333334</v>
      </c>
      <c r="I404" s="89" t="s">
        <v>759</v>
      </c>
      <c r="J404" s="90" t="s">
        <v>751</v>
      </c>
      <c r="K404" s="90" t="s">
        <v>752</v>
      </c>
      <c r="L404" s="90" t="s">
        <v>753</v>
      </c>
      <c r="M404" s="91" t="s">
        <v>1059</v>
      </c>
      <c r="N404" s="92" t="s">
        <v>1900</v>
      </c>
      <c r="O404" s="85">
        <v>2910907442</v>
      </c>
      <c r="P404" s="93">
        <v>490000000</v>
      </c>
      <c r="Q404" s="93">
        <v>0</v>
      </c>
      <c r="R404" s="94">
        <f t="shared" si="121"/>
        <v>490000000</v>
      </c>
      <c r="S404" s="95">
        <v>0.12</v>
      </c>
      <c r="T404" s="94">
        <v>52500000</v>
      </c>
      <c r="U404" s="117">
        <v>196000000</v>
      </c>
      <c r="V404" s="117">
        <v>49000000</v>
      </c>
      <c r="W404" s="94">
        <f t="shared" si="144"/>
        <v>5249999.9999999991</v>
      </c>
      <c r="X404" s="94">
        <f t="shared" si="145"/>
        <v>2099999.9999999995</v>
      </c>
      <c r="Y404" s="94">
        <f t="shared" si="146"/>
        <v>3149999.9999999995</v>
      </c>
      <c r="Z404" s="93">
        <v>147000000</v>
      </c>
      <c r="AA404" s="94">
        <f t="shared" si="141"/>
        <v>15749999.999999998</v>
      </c>
      <c r="AB404" s="94">
        <f t="shared" si="142"/>
        <v>6300000</v>
      </c>
      <c r="AC404" s="94">
        <f t="shared" si="143"/>
        <v>9449999.9999999981</v>
      </c>
      <c r="AD404" s="93">
        <v>0</v>
      </c>
      <c r="AE404" s="94"/>
      <c r="AF404" s="94"/>
      <c r="AG404" s="94"/>
      <c r="AH404" s="117">
        <v>0</v>
      </c>
      <c r="AI404" s="94"/>
      <c r="AJ404" s="94"/>
      <c r="AK404" s="94"/>
      <c r="AL404" s="93">
        <v>20999999.999999996</v>
      </c>
      <c r="AM404" s="93">
        <f t="shared" si="147"/>
        <v>20999999.999999996</v>
      </c>
      <c r="AN404" s="155"/>
      <c r="AO404" s="155"/>
    </row>
    <row r="405" spans="1:41" s="9" customFormat="1" ht="25.15" customHeight="1" x14ac:dyDescent="0.25">
      <c r="A405" s="83">
        <v>399</v>
      </c>
      <c r="B405" s="84">
        <v>2026</v>
      </c>
      <c r="C405" s="85" t="s">
        <v>1912</v>
      </c>
      <c r="D405" s="86" t="s">
        <v>1875</v>
      </c>
      <c r="E405" s="86" t="s">
        <v>758</v>
      </c>
      <c r="F405" s="87">
        <v>46052</v>
      </c>
      <c r="G405" s="87">
        <v>46387</v>
      </c>
      <c r="H405" s="88">
        <f t="shared" si="131"/>
        <v>3.7222222222222223</v>
      </c>
      <c r="I405" s="89" t="s">
        <v>759</v>
      </c>
      <c r="J405" s="90" t="s">
        <v>751</v>
      </c>
      <c r="K405" s="90" t="s">
        <v>752</v>
      </c>
      <c r="L405" s="90" t="s">
        <v>753</v>
      </c>
      <c r="M405" s="91" t="s">
        <v>1059</v>
      </c>
      <c r="N405" s="92" t="s">
        <v>1901</v>
      </c>
      <c r="O405" s="85">
        <v>2910907447</v>
      </c>
      <c r="P405" s="93">
        <v>1350000000</v>
      </c>
      <c r="Q405" s="93">
        <v>0</v>
      </c>
      <c r="R405" s="94">
        <f t="shared" si="121"/>
        <v>1350000000</v>
      </c>
      <c r="S405" s="95">
        <v>0.11999999986725926</v>
      </c>
      <c r="T405" s="94">
        <v>144642857</v>
      </c>
      <c r="U405" s="117">
        <v>1053000000</v>
      </c>
      <c r="V405" s="117">
        <v>513000000</v>
      </c>
      <c r="W405" s="94">
        <f t="shared" si="144"/>
        <v>54964285.660000004</v>
      </c>
      <c r="X405" s="94">
        <f t="shared" si="145"/>
        <v>21985714.264000002</v>
      </c>
      <c r="Y405" s="94">
        <f t="shared" si="146"/>
        <v>32978571.396000002</v>
      </c>
      <c r="Z405" s="93">
        <v>540000000</v>
      </c>
      <c r="AA405" s="94">
        <f t="shared" si="141"/>
        <v>57857142.800000004</v>
      </c>
      <c r="AB405" s="94">
        <f t="shared" si="142"/>
        <v>23142857.120000005</v>
      </c>
      <c r="AC405" s="94">
        <f t="shared" si="143"/>
        <v>34714285.68</v>
      </c>
      <c r="AD405" s="93">
        <v>0</v>
      </c>
      <c r="AE405" s="94"/>
      <c r="AF405" s="94"/>
      <c r="AG405" s="94"/>
      <c r="AH405" s="117">
        <v>0</v>
      </c>
      <c r="AI405" s="94"/>
      <c r="AJ405" s="94"/>
      <c r="AK405" s="94"/>
      <c r="AL405" s="93">
        <v>112821428.46000001</v>
      </c>
      <c r="AM405" s="93">
        <f t="shared" si="147"/>
        <v>112821428.46000001</v>
      </c>
      <c r="AN405" s="155"/>
      <c r="AO405" s="155"/>
    </row>
    <row r="406" spans="1:41" s="9" customFormat="1" ht="25.15" customHeight="1" x14ac:dyDescent="0.25">
      <c r="A406" s="83">
        <v>400</v>
      </c>
      <c r="B406" s="84">
        <v>2025</v>
      </c>
      <c r="C406" s="85" t="s">
        <v>747</v>
      </c>
      <c r="D406" s="86" t="s">
        <v>1876</v>
      </c>
      <c r="E406" s="86" t="s">
        <v>749</v>
      </c>
      <c r="F406" s="87">
        <v>45919</v>
      </c>
      <c r="G406" s="87">
        <v>46126</v>
      </c>
      <c r="H406" s="88">
        <f t="shared" si="131"/>
        <v>2.2999999999999998</v>
      </c>
      <c r="I406" s="89" t="s">
        <v>759</v>
      </c>
      <c r="J406" s="90" t="s">
        <v>751</v>
      </c>
      <c r="K406" s="90" t="s">
        <v>752</v>
      </c>
      <c r="L406" s="90" t="s">
        <v>753</v>
      </c>
      <c r="M406" s="91" t="s">
        <v>754</v>
      </c>
      <c r="N406" s="92" t="s">
        <v>1902</v>
      </c>
      <c r="O406" s="85">
        <v>2910908231</v>
      </c>
      <c r="P406" s="93">
        <v>112060000</v>
      </c>
      <c r="Q406" s="93">
        <v>0</v>
      </c>
      <c r="R406" s="94">
        <f t="shared" si="121"/>
        <v>112060000</v>
      </c>
      <c r="S406" s="95">
        <v>0.12000000479742996</v>
      </c>
      <c r="T406" s="94">
        <v>12006429</v>
      </c>
      <c r="U406" s="117">
        <v>112060000</v>
      </c>
      <c r="V406" s="117">
        <v>112060000</v>
      </c>
      <c r="W406" s="94">
        <f t="shared" si="144"/>
        <v>12006429</v>
      </c>
      <c r="X406" s="94">
        <f t="shared" si="145"/>
        <v>4802571.6000000006</v>
      </c>
      <c r="Y406" s="94">
        <f t="shared" si="146"/>
        <v>7203857.3999999994</v>
      </c>
      <c r="Z406" s="93">
        <f>_xlfn.XLOOKUP(O406,'[4]2DO TRIMESTRE'!$C:$C,'[4]2DO TRIMESTRE'!$I:$I,0,0)</f>
        <v>0</v>
      </c>
      <c r="AA406" s="94">
        <f t="shared" si="141"/>
        <v>0</v>
      </c>
      <c r="AB406" s="94">
        <f t="shared" si="142"/>
        <v>0</v>
      </c>
      <c r="AC406" s="94">
        <f t="shared" si="143"/>
        <v>0</v>
      </c>
      <c r="AD406" s="93">
        <v>0</v>
      </c>
      <c r="AE406" s="94"/>
      <c r="AF406" s="94"/>
      <c r="AG406" s="94"/>
      <c r="AH406" s="117">
        <v>0</v>
      </c>
      <c r="AI406" s="94"/>
      <c r="AJ406" s="94"/>
      <c r="AK406" s="94"/>
      <c r="AL406" s="93">
        <v>12006429</v>
      </c>
      <c r="AM406" s="93">
        <f t="shared" si="147"/>
        <v>12006429</v>
      </c>
      <c r="AN406" s="155"/>
      <c r="AO406" s="155"/>
    </row>
    <row r="407" spans="1:41" s="9" customFormat="1" ht="25.15" customHeight="1" x14ac:dyDescent="0.25">
      <c r="A407" s="83">
        <v>401</v>
      </c>
      <c r="B407" s="84">
        <v>2025</v>
      </c>
      <c r="C407" s="85" t="s">
        <v>747</v>
      </c>
      <c r="D407" s="86" t="s">
        <v>1877</v>
      </c>
      <c r="E407" s="86" t="s">
        <v>749</v>
      </c>
      <c r="F407" s="87">
        <v>45905</v>
      </c>
      <c r="G407" s="87">
        <v>46279</v>
      </c>
      <c r="H407" s="88">
        <f t="shared" si="131"/>
        <v>4.1555555555555559</v>
      </c>
      <c r="I407" s="89" t="s">
        <v>759</v>
      </c>
      <c r="J407" s="90" t="s">
        <v>751</v>
      </c>
      <c r="K407" s="90" t="s">
        <v>752</v>
      </c>
      <c r="L407" s="90" t="s">
        <v>753</v>
      </c>
      <c r="M407" s="91" t="s">
        <v>754</v>
      </c>
      <c r="N407" s="92" t="s">
        <v>1903</v>
      </c>
      <c r="O407" s="85">
        <v>2910908236</v>
      </c>
      <c r="P407" s="93">
        <v>94163409</v>
      </c>
      <c r="Q407" s="93">
        <v>0</v>
      </c>
      <c r="R407" s="94">
        <f t="shared" si="121"/>
        <v>94163409</v>
      </c>
      <c r="S407" s="95">
        <v>0.11999999096039532</v>
      </c>
      <c r="T407" s="94">
        <v>10088936</v>
      </c>
      <c r="U407" s="117">
        <v>94163409</v>
      </c>
      <c r="V407" s="117">
        <v>94163409</v>
      </c>
      <c r="W407" s="94">
        <f t="shared" si="144"/>
        <v>10088936</v>
      </c>
      <c r="X407" s="94">
        <f t="shared" si="145"/>
        <v>4035574.4000000004</v>
      </c>
      <c r="Y407" s="94">
        <f t="shared" si="146"/>
        <v>6053361.5999999996</v>
      </c>
      <c r="Z407" s="93">
        <f>_xlfn.XLOOKUP(O407,'[4]2DO TRIMESTRE'!$C:$C,'[4]2DO TRIMESTRE'!$I:$I,0,0)</f>
        <v>0</v>
      </c>
      <c r="AA407" s="94">
        <f t="shared" si="141"/>
        <v>0</v>
      </c>
      <c r="AB407" s="94">
        <f t="shared" si="142"/>
        <v>0</v>
      </c>
      <c r="AC407" s="94">
        <f t="shared" si="143"/>
        <v>0</v>
      </c>
      <c r="AD407" s="93">
        <v>0</v>
      </c>
      <c r="AE407" s="94"/>
      <c r="AF407" s="94"/>
      <c r="AG407" s="94"/>
      <c r="AH407" s="117">
        <v>0</v>
      </c>
      <c r="AI407" s="94"/>
      <c r="AJ407" s="94"/>
      <c r="AK407" s="94"/>
      <c r="AL407" s="93">
        <v>10088936</v>
      </c>
      <c r="AM407" s="93">
        <f t="shared" si="147"/>
        <v>10088936</v>
      </c>
      <c r="AN407" s="155"/>
      <c r="AO407" s="155"/>
    </row>
    <row r="408" spans="1:41" s="9" customFormat="1" ht="25.15" customHeight="1" x14ac:dyDescent="0.25">
      <c r="A408" s="83">
        <v>402</v>
      </c>
      <c r="B408" s="84">
        <v>2025</v>
      </c>
      <c r="C408" s="85" t="s">
        <v>747</v>
      </c>
      <c r="D408" s="86" t="s">
        <v>1878</v>
      </c>
      <c r="E408" s="86" t="s">
        <v>749</v>
      </c>
      <c r="F408" s="87">
        <v>45905</v>
      </c>
      <c r="G408" s="87">
        <v>46095</v>
      </c>
      <c r="H408" s="88">
        <f t="shared" si="131"/>
        <v>2.1111111111111112</v>
      </c>
      <c r="I408" s="89" t="s">
        <v>759</v>
      </c>
      <c r="J408" s="90" t="s">
        <v>751</v>
      </c>
      <c r="K408" s="90" t="s">
        <v>752</v>
      </c>
      <c r="L408" s="90" t="s">
        <v>753</v>
      </c>
      <c r="M408" s="91" t="s">
        <v>754</v>
      </c>
      <c r="N408" s="92" t="s">
        <v>1904</v>
      </c>
      <c r="O408" s="85">
        <v>2910908237</v>
      </c>
      <c r="P408" s="93">
        <v>7226400</v>
      </c>
      <c r="Q408" s="93">
        <v>0</v>
      </c>
      <c r="R408" s="94">
        <f t="shared" si="121"/>
        <v>7226400</v>
      </c>
      <c r="S408" s="95">
        <v>0.11999997520203752</v>
      </c>
      <c r="T408" s="94">
        <v>774257</v>
      </c>
      <c r="U408" s="117">
        <v>7226400</v>
      </c>
      <c r="V408" s="117">
        <v>7226400</v>
      </c>
      <c r="W408" s="94">
        <f t="shared" si="144"/>
        <v>774257</v>
      </c>
      <c r="X408" s="94">
        <f t="shared" si="145"/>
        <v>309702.8</v>
      </c>
      <c r="Y408" s="94">
        <f t="shared" si="146"/>
        <v>464554.2</v>
      </c>
      <c r="Z408" s="93">
        <f>_xlfn.XLOOKUP(O408,'[4]2DO TRIMESTRE'!$C:$C,'[4]2DO TRIMESTRE'!$I:$I,0,0)</f>
        <v>0</v>
      </c>
      <c r="AA408" s="94">
        <f t="shared" si="141"/>
        <v>0</v>
      </c>
      <c r="AB408" s="94">
        <f t="shared" si="142"/>
        <v>0</v>
      </c>
      <c r="AC408" s="94">
        <f t="shared" si="143"/>
        <v>0</v>
      </c>
      <c r="AD408" s="93">
        <v>0</v>
      </c>
      <c r="AE408" s="94"/>
      <c r="AF408" s="94"/>
      <c r="AG408" s="94"/>
      <c r="AH408" s="117">
        <v>0</v>
      </c>
      <c r="AI408" s="94"/>
      <c r="AJ408" s="94"/>
      <c r="AK408" s="94"/>
      <c r="AL408" s="93">
        <v>774257</v>
      </c>
      <c r="AM408" s="93">
        <f t="shared" si="147"/>
        <v>774257</v>
      </c>
      <c r="AN408" s="155"/>
      <c r="AO408" s="155"/>
    </row>
    <row r="409" spans="1:41" s="9" customFormat="1" ht="25.15" customHeight="1" x14ac:dyDescent="0.25">
      <c r="A409" s="83">
        <v>403</v>
      </c>
      <c r="B409" s="84">
        <v>2025</v>
      </c>
      <c r="C409" s="85" t="s">
        <v>747</v>
      </c>
      <c r="D409" s="86" t="s">
        <v>1879</v>
      </c>
      <c r="E409" s="86" t="s">
        <v>749</v>
      </c>
      <c r="F409" s="87">
        <v>45905</v>
      </c>
      <c r="G409" s="87">
        <v>46279</v>
      </c>
      <c r="H409" s="88">
        <f t="shared" si="131"/>
        <v>4.1555555555555559</v>
      </c>
      <c r="I409" s="89" t="s">
        <v>759</v>
      </c>
      <c r="J409" s="90" t="s">
        <v>751</v>
      </c>
      <c r="K409" s="90" t="s">
        <v>752</v>
      </c>
      <c r="L409" s="90" t="s">
        <v>753</v>
      </c>
      <c r="M409" s="91" t="s">
        <v>754</v>
      </c>
      <c r="N409" s="92" t="s">
        <v>1905</v>
      </c>
      <c r="O409" s="85">
        <v>2910908238</v>
      </c>
      <c r="P409" s="93">
        <v>104000560</v>
      </c>
      <c r="Q409" s="93">
        <v>0</v>
      </c>
      <c r="R409" s="94">
        <f t="shared" si="121"/>
        <v>104000560</v>
      </c>
      <c r="S409" s="95">
        <v>0.11999999827693236</v>
      </c>
      <c r="T409" s="94">
        <v>11142917</v>
      </c>
      <c r="U409" s="117">
        <v>104000560</v>
      </c>
      <c r="V409" s="117">
        <v>104000560</v>
      </c>
      <c r="W409" s="94">
        <f t="shared" si="144"/>
        <v>11142917</v>
      </c>
      <c r="X409" s="94">
        <f t="shared" si="145"/>
        <v>4457166.8</v>
      </c>
      <c r="Y409" s="94">
        <f t="shared" si="146"/>
        <v>6685750.2000000002</v>
      </c>
      <c r="Z409" s="93">
        <f>_xlfn.XLOOKUP(O409,'[4]2DO TRIMESTRE'!$C:$C,'[4]2DO TRIMESTRE'!$I:$I,0,0)</f>
        <v>0</v>
      </c>
      <c r="AA409" s="94">
        <f t="shared" si="141"/>
        <v>0</v>
      </c>
      <c r="AB409" s="94">
        <f t="shared" si="142"/>
        <v>0</v>
      </c>
      <c r="AC409" s="94">
        <f t="shared" si="143"/>
        <v>0</v>
      </c>
      <c r="AD409" s="93">
        <v>0</v>
      </c>
      <c r="AE409" s="94"/>
      <c r="AF409" s="94"/>
      <c r="AG409" s="94"/>
      <c r="AH409" s="117">
        <v>0</v>
      </c>
      <c r="AI409" s="94"/>
      <c r="AJ409" s="94"/>
      <c r="AK409" s="94"/>
      <c r="AL409" s="93">
        <v>11142917</v>
      </c>
      <c r="AM409" s="93">
        <f t="shared" si="147"/>
        <v>11142917</v>
      </c>
      <c r="AN409" s="155"/>
      <c r="AO409" s="155"/>
    </row>
    <row r="410" spans="1:41" s="9" customFormat="1" ht="25.15" customHeight="1" x14ac:dyDescent="0.25">
      <c r="A410" s="83">
        <v>404</v>
      </c>
      <c r="B410" s="84">
        <v>2025</v>
      </c>
      <c r="C410" s="85" t="s">
        <v>747</v>
      </c>
      <c r="D410" s="86" t="s">
        <v>1880</v>
      </c>
      <c r="E410" s="86" t="s">
        <v>749</v>
      </c>
      <c r="F410" s="87">
        <v>45905</v>
      </c>
      <c r="G410" s="87">
        <v>46095</v>
      </c>
      <c r="H410" s="88">
        <f t="shared" si="131"/>
        <v>2.1111111111111112</v>
      </c>
      <c r="I410" s="89" t="s">
        <v>759</v>
      </c>
      <c r="J410" s="90" t="s">
        <v>751</v>
      </c>
      <c r="K410" s="90" t="s">
        <v>752</v>
      </c>
      <c r="L410" s="90" t="s">
        <v>753</v>
      </c>
      <c r="M410" s="91" t="s">
        <v>754</v>
      </c>
      <c r="N410" s="92" t="s">
        <v>1906</v>
      </c>
      <c r="O410" s="85">
        <v>2910908239</v>
      </c>
      <c r="P410" s="93">
        <v>17102000</v>
      </c>
      <c r="Q410" s="93">
        <v>0</v>
      </c>
      <c r="R410" s="94">
        <f t="shared" si="121"/>
        <v>17102000</v>
      </c>
      <c r="S410" s="95">
        <v>0.11999998952169347</v>
      </c>
      <c r="T410" s="94">
        <v>1832357</v>
      </c>
      <c r="U410" s="117">
        <v>17102000</v>
      </c>
      <c r="V410" s="117">
        <v>17102000</v>
      </c>
      <c r="W410" s="94">
        <f t="shared" si="144"/>
        <v>1832357</v>
      </c>
      <c r="X410" s="94">
        <f t="shared" si="145"/>
        <v>732942.8</v>
      </c>
      <c r="Y410" s="94">
        <f t="shared" si="146"/>
        <v>1099414.2</v>
      </c>
      <c r="Z410" s="93">
        <f>_xlfn.XLOOKUP(O410,'[4]2DO TRIMESTRE'!$C:$C,'[4]2DO TRIMESTRE'!$I:$I,0,0)</f>
        <v>0</v>
      </c>
      <c r="AA410" s="94">
        <f t="shared" si="141"/>
        <v>0</v>
      </c>
      <c r="AB410" s="94">
        <f t="shared" si="142"/>
        <v>0</v>
      </c>
      <c r="AC410" s="94">
        <f t="shared" si="143"/>
        <v>0</v>
      </c>
      <c r="AD410" s="93">
        <v>0</v>
      </c>
      <c r="AE410" s="94"/>
      <c r="AF410" s="94"/>
      <c r="AG410" s="94"/>
      <c r="AH410" s="117">
        <v>0</v>
      </c>
      <c r="AI410" s="94"/>
      <c r="AJ410" s="94"/>
      <c r="AK410" s="94"/>
      <c r="AL410" s="93">
        <v>1832357</v>
      </c>
      <c r="AM410" s="93">
        <f t="shared" si="147"/>
        <v>1832357</v>
      </c>
      <c r="AN410" s="155"/>
      <c r="AO410" s="155"/>
    </row>
    <row r="411" spans="1:41" s="9" customFormat="1" ht="25.15" customHeight="1" x14ac:dyDescent="0.25">
      <c r="A411" s="83">
        <v>405</v>
      </c>
      <c r="B411" s="84">
        <v>2024</v>
      </c>
      <c r="C411" s="85" t="s">
        <v>1501</v>
      </c>
      <c r="D411" s="86" t="s">
        <v>1917</v>
      </c>
      <c r="E411" s="86" t="s">
        <v>758</v>
      </c>
      <c r="F411" s="87">
        <v>45616</v>
      </c>
      <c r="G411" s="87">
        <v>45805</v>
      </c>
      <c r="H411" s="88">
        <f t="shared" si="131"/>
        <v>2.1</v>
      </c>
      <c r="I411" s="89" t="s">
        <v>763</v>
      </c>
      <c r="J411" s="90" t="s">
        <v>751</v>
      </c>
      <c r="K411" s="90" t="s">
        <v>752</v>
      </c>
      <c r="L411" s="90" t="s">
        <v>753</v>
      </c>
      <c r="M411" s="91" t="s">
        <v>1059</v>
      </c>
      <c r="N411" s="92" t="s">
        <v>2003</v>
      </c>
      <c r="O411" s="85">
        <v>2910907356</v>
      </c>
      <c r="P411" s="93">
        <v>1078997482</v>
      </c>
      <c r="Q411" s="93">
        <v>0</v>
      </c>
      <c r="R411" s="94">
        <v>1078997482</v>
      </c>
      <c r="S411" s="95">
        <v>0.12</v>
      </c>
      <c r="T411" s="94">
        <v>115606873.07142855</v>
      </c>
      <c r="U411" s="117">
        <v>0</v>
      </c>
      <c r="V411" s="117">
        <v>0</v>
      </c>
      <c r="W411" s="94">
        <v>0</v>
      </c>
      <c r="X411" s="94">
        <v>0</v>
      </c>
      <c r="Y411" s="94">
        <v>0</v>
      </c>
      <c r="Z411" s="93">
        <f>_xlfn.XLOOKUP(O411,'[4]2DO TRIMESTRE'!$C:$C,'[4]2DO TRIMESTRE'!$I:$I,0,0)</f>
        <v>0</v>
      </c>
      <c r="AA411" s="94">
        <v>0</v>
      </c>
      <c r="AB411" s="94">
        <v>0</v>
      </c>
      <c r="AC411" s="94">
        <v>0</v>
      </c>
      <c r="AD411" s="93"/>
      <c r="AE411" s="94"/>
      <c r="AF411" s="94"/>
      <c r="AG411" s="94"/>
      <c r="AH411" s="117"/>
      <c r="AI411" s="94"/>
      <c r="AJ411" s="94"/>
      <c r="AK411" s="94"/>
      <c r="AL411" s="93">
        <v>0</v>
      </c>
      <c r="AM411" s="93">
        <f t="shared" si="147"/>
        <v>0</v>
      </c>
      <c r="AN411" s="155"/>
      <c r="AO411" s="155"/>
    </row>
    <row r="412" spans="1:41" s="9" customFormat="1" ht="25.15" customHeight="1" x14ac:dyDescent="0.25">
      <c r="A412" s="83">
        <v>406</v>
      </c>
      <c r="B412" s="84">
        <v>2024</v>
      </c>
      <c r="C412" s="85" t="s">
        <v>1970</v>
      </c>
      <c r="D412" s="86" t="s">
        <v>1918</v>
      </c>
      <c r="E412" s="86" t="s">
        <v>758</v>
      </c>
      <c r="F412" s="87">
        <v>45595</v>
      </c>
      <c r="G412" s="87">
        <v>45672</v>
      </c>
      <c r="H412" s="88">
        <f t="shared" si="131"/>
        <v>0.85555555555555551</v>
      </c>
      <c r="I412" s="89" t="s">
        <v>763</v>
      </c>
      <c r="J412" s="90" t="s">
        <v>751</v>
      </c>
      <c r="K412" s="90" t="s">
        <v>752</v>
      </c>
      <c r="L412" s="90" t="s">
        <v>753</v>
      </c>
      <c r="M412" s="91" t="s">
        <v>1059</v>
      </c>
      <c r="N412" s="92" t="s">
        <v>2005</v>
      </c>
      <c r="O412" s="85">
        <v>2910907347</v>
      </c>
      <c r="P412" s="93">
        <v>65000000</v>
      </c>
      <c r="Q412" s="93">
        <v>0</v>
      </c>
      <c r="R412" s="94">
        <v>65000000</v>
      </c>
      <c r="S412" s="95">
        <v>0.1199999440000028</v>
      </c>
      <c r="T412" s="94">
        <v>6964285.7142857136</v>
      </c>
      <c r="U412" s="117">
        <v>0</v>
      </c>
      <c r="V412" s="117">
        <v>0</v>
      </c>
      <c r="W412" s="94">
        <v>0</v>
      </c>
      <c r="X412" s="94">
        <v>0</v>
      </c>
      <c r="Y412" s="94">
        <v>0</v>
      </c>
      <c r="Z412" s="93">
        <f>_xlfn.XLOOKUP(O412,'[4]2DO TRIMESTRE'!$C:$C,'[4]2DO TRIMESTRE'!$I:$I,0,0)</f>
        <v>0</v>
      </c>
      <c r="AA412" s="94">
        <v>0</v>
      </c>
      <c r="AB412" s="94">
        <v>0</v>
      </c>
      <c r="AC412" s="94">
        <v>0</v>
      </c>
      <c r="AD412" s="93"/>
      <c r="AE412" s="94"/>
      <c r="AF412" s="94"/>
      <c r="AG412" s="94"/>
      <c r="AH412" s="117"/>
      <c r="AI412" s="94"/>
      <c r="AJ412" s="94"/>
      <c r="AK412" s="94"/>
      <c r="AL412" s="93">
        <v>0</v>
      </c>
      <c r="AM412" s="93">
        <f t="shared" si="147"/>
        <v>0</v>
      </c>
      <c r="AN412" s="155"/>
      <c r="AO412" s="155"/>
    </row>
    <row r="413" spans="1:41" s="9" customFormat="1" ht="25.15" customHeight="1" x14ac:dyDescent="0.25">
      <c r="A413" s="83">
        <v>407</v>
      </c>
      <c r="B413" s="84">
        <v>2024</v>
      </c>
      <c r="C413" s="85" t="s">
        <v>1501</v>
      </c>
      <c r="D413" s="86" t="s">
        <v>1919</v>
      </c>
      <c r="E413" s="86" t="s">
        <v>758</v>
      </c>
      <c r="F413" s="87">
        <v>45698</v>
      </c>
      <c r="G413" s="87">
        <v>45835</v>
      </c>
      <c r="H413" s="88">
        <f t="shared" si="131"/>
        <v>1.5222222222222221</v>
      </c>
      <c r="I413" s="89" t="s">
        <v>750</v>
      </c>
      <c r="J413" s="90" t="s">
        <v>751</v>
      </c>
      <c r="K413" s="90" t="s">
        <v>752</v>
      </c>
      <c r="L413" s="90" t="s">
        <v>753</v>
      </c>
      <c r="M413" s="91" t="s">
        <v>1059</v>
      </c>
      <c r="N413" s="92" t="s">
        <v>2006</v>
      </c>
      <c r="O413" s="85">
        <v>2910907367</v>
      </c>
      <c r="P413" s="93">
        <v>0</v>
      </c>
      <c r="Q413" s="93">
        <v>0</v>
      </c>
      <c r="R413" s="94">
        <v>0</v>
      </c>
      <c r="S413" s="95">
        <v>0.1199999440000028</v>
      </c>
      <c r="T413" s="94">
        <v>0</v>
      </c>
      <c r="U413" s="117">
        <v>0</v>
      </c>
      <c r="V413" s="117">
        <v>0</v>
      </c>
      <c r="W413" s="94">
        <v>0</v>
      </c>
      <c r="X413" s="94">
        <v>0</v>
      </c>
      <c r="Y413" s="94">
        <v>0</v>
      </c>
      <c r="Z413" s="93">
        <f>_xlfn.XLOOKUP(O413,'[4]2DO TRIMESTRE'!$C:$C,'[4]2DO TRIMESTRE'!$I:$I,0,0)</f>
        <v>0</v>
      </c>
      <c r="AA413" s="94">
        <v>0</v>
      </c>
      <c r="AB413" s="94">
        <v>0</v>
      </c>
      <c r="AC413" s="94">
        <v>0</v>
      </c>
      <c r="AD413" s="93"/>
      <c r="AE413" s="94"/>
      <c r="AF413" s="94"/>
      <c r="AG413" s="94"/>
      <c r="AH413" s="117"/>
      <c r="AI413" s="94"/>
      <c r="AJ413" s="94"/>
      <c r="AK413" s="94"/>
      <c r="AL413" s="93">
        <v>0</v>
      </c>
      <c r="AM413" s="93">
        <f t="shared" si="147"/>
        <v>0</v>
      </c>
      <c r="AN413" s="155"/>
      <c r="AO413" s="155"/>
    </row>
    <row r="414" spans="1:41" s="9" customFormat="1" ht="25.15" customHeight="1" x14ac:dyDescent="0.25">
      <c r="A414" s="83">
        <v>408</v>
      </c>
      <c r="B414" s="84">
        <v>2024</v>
      </c>
      <c r="C414" s="85" t="s">
        <v>1971</v>
      </c>
      <c r="D414" s="86" t="s">
        <v>1920</v>
      </c>
      <c r="E414" s="86" t="s">
        <v>758</v>
      </c>
      <c r="F414" s="87">
        <v>45624</v>
      </c>
      <c r="G414" s="87">
        <v>45716</v>
      </c>
      <c r="H414" s="88">
        <f t="shared" si="131"/>
        <v>1.0222222222222221</v>
      </c>
      <c r="I414" s="89" t="s">
        <v>763</v>
      </c>
      <c r="J414" s="90" t="s">
        <v>751</v>
      </c>
      <c r="K414" s="90" t="s">
        <v>752</v>
      </c>
      <c r="L414" s="90" t="s">
        <v>753</v>
      </c>
      <c r="M414" s="91" t="s">
        <v>1059</v>
      </c>
      <c r="N414" s="92" t="s">
        <v>2007</v>
      </c>
      <c r="O414" s="85">
        <v>2910907359</v>
      </c>
      <c r="P414" s="93">
        <v>9600000</v>
      </c>
      <c r="Q414" s="93">
        <v>0</v>
      </c>
      <c r="R414" s="94">
        <v>9600000</v>
      </c>
      <c r="S414" s="95">
        <v>0.1199999440000028</v>
      </c>
      <c r="T414" s="94">
        <v>1028571.4285714285</v>
      </c>
      <c r="U414" s="117">
        <v>9600000</v>
      </c>
      <c r="V414" s="117">
        <v>0</v>
      </c>
      <c r="W414" s="94">
        <v>0</v>
      </c>
      <c r="X414" s="94">
        <v>0</v>
      </c>
      <c r="Y414" s="94">
        <v>0</v>
      </c>
      <c r="Z414" s="93">
        <f>_xlfn.XLOOKUP(O414,'[4]2DO TRIMESTRE'!$C:$C,'[4]2DO TRIMESTRE'!$I:$I,0,0)</f>
        <v>9600000</v>
      </c>
      <c r="AA414" s="94">
        <f t="shared" ref="AA414" si="148">+Z414/(1+$S414)*$S414</f>
        <v>1028571</v>
      </c>
      <c r="AB414" s="94">
        <f t="shared" ref="AB414" si="149">+AA414*40%</f>
        <v>411428.4</v>
      </c>
      <c r="AC414" s="94">
        <f t="shared" ref="AC414" si="150">+AA414*60%</f>
        <v>617142.6</v>
      </c>
      <c r="AD414" s="93"/>
      <c r="AE414" s="94"/>
      <c r="AF414" s="94"/>
      <c r="AG414" s="94"/>
      <c r="AH414" s="117"/>
      <c r="AI414" s="94"/>
      <c r="AJ414" s="94"/>
      <c r="AK414" s="94"/>
      <c r="AL414" s="93">
        <v>1028571</v>
      </c>
      <c r="AM414" s="93">
        <f t="shared" si="147"/>
        <v>1028571</v>
      </c>
      <c r="AN414" s="155"/>
      <c r="AO414" s="155"/>
    </row>
    <row r="415" spans="1:41" s="9" customFormat="1" ht="25.15" customHeight="1" x14ac:dyDescent="0.25">
      <c r="A415" s="83">
        <v>409</v>
      </c>
      <c r="B415" s="84">
        <v>2024</v>
      </c>
      <c r="C415" s="85" t="s">
        <v>1972</v>
      </c>
      <c r="D415" s="86" t="s">
        <v>1921</v>
      </c>
      <c r="E415" s="86" t="s">
        <v>758</v>
      </c>
      <c r="F415" s="87">
        <v>45653</v>
      </c>
      <c r="G415" s="87">
        <v>46217</v>
      </c>
      <c r="H415" s="88">
        <f t="shared" si="131"/>
        <v>6.2666666666666666</v>
      </c>
      <c r="I415" s="89" t="s">
        <v>759</v>
      </c>
      <c r="J415" s="90" t="s">
        <v>751</v>
      </c>
      <c r="K415" s="90" t="s">
        <v>752</v>
      </c>
      <c r="L415" s="90" t="s">
        <v>753</v>
      </c>
      <c r="M415" s="91" t="s">
        <v>1059</v>
      </c>
      <c r="N415" s="92" t="s">
        <v>2014</v>
      </c>
      <c r="O415" s="85">
        <v>2910907364</v>
      </c>
      <c r="P415" s="93">
        <v>3273008195</v>
      </c>
      <c r="Q415" s="93">
        <v>0</v>
      </c>
      <c r="R415" s="94">
        <v>3273008195</v>
      </c>
      <c r="S415" s="95">
        <v>0.1199999440000028</v>
      </c>
      <c r="T415" s="94">
        <v>350679449.46428567</v>
      </c>
      <c r="U415" s="117">
        <v>0</v>
      </c>
      <c r="V415" s="117">
        <v>0</v>
      </c>
      <c r="W415" s="94">
        <v>0</v>
      </c>
      <c r="X415" s="94">
        <v>0</v>
      </c>
      <c r="Y415" s="94">
        <v>0</v>
      </c>
      <c r="Z415" s="93">
        <f>_xlfn.XLOOKUP(O415,'[4]2DO TRIMESTRE'!$C:$C,'[4]2DO TRIMESTRE'!$I:$I,0,0)</f>
        <v>0</v>
      </c>
      <c r="AA415" s="94">
        <v>0</v>
      </c>
      <c r="AB415" s="94">
        <v>0</v>
      </c>
      <c r="AC415" s="94">
        <v>0</v>
      </c>
      <c r="AD415" s="93"/>
      <c r="AE415" s="94"/>
      <c r="AF415" s="94"/>
      <c r="AG415" s="94"/>
      <c r="AH415" s="117"/>
      <c r="AI415" s="94"/>
      <c r="AJ415" s="94"/>
      <c r="AK415" s="94"/>
      <c r="AL415" s="93">
        <v>0</v>
      </c>
      <c r="AM415" s="93">
        <f t="shared" si="147"/>
        <v>0</v>
      </c>
      <c r="AN415" s="155"/>
      <c r="AO415" s="155"/>
    </row>
    <row r="416" spans="1:41" s="9" customFormat="1" ht="25.15" customHeight="1" x14ac:dyDescent="0.25">
      <c r="A416" s="83">
        <v>410</v>
      </c>
      <c r="B416" s="84">
        <v>2024</v>
      </c>
      <c r="C416" s="85" t="s">
        <v>1973</v>
      </c>
      <c r="D416" s="86" t="s">
        <v>1922</v>
      </c>
      <c r="E416" s="86" t="s">
        <v>777</v>
      </c>
      <c r="F416" s="87">
        <v>45666</v>
      </c>
      <c r="G416" s="87">
        <v>45892</v>
      </c>
      <c r="H416" s="88">
        <f t="shared" si="131"/>
        <v>2.5111111111111111</v>
      </c>
      <c r="I416" s="89" t="s">
        <v>763</v>
      </c>
      <c r="J416" s="90" t="s">
        <v>751</v>
      </c>
      <c r="K416" s="90" t="s">
        <v>752</v>
      </c>
      <c r="L416" s="90" t="s">
        <v>753</v>
      </c>
      <c r="M416" s="91" t="s">
        <v>1059</v>
      </c>
      <c r="N416" s="92" t="s">
        <v>2015</v>
      </c>
      <c r="O416" s="85">
        <v>2453018373</v>
      </c>
      <c r="P416" s="93">
        <v>50894807</v>
      </c>
      <c r="Q416" s="93">
        <v>0</v>
      </c>
      <c r="R416" s="94">
        <v>50894807</v>
      </c>
      <c r="S416" s="95">
        <v>0.11999999911975302</v>
      </c>
      <c r="T416" s="94">
        <v>5453015.0357142854</v>
      </c>
      <c r="U416" s="117">
        <v>50894807</v>
      </c>
      <c r="V416" s="117">
        <v>0</v>
      </c>
      <c r="W416" s="94">
        <v>0</v>
      </c>
      <c r="X416" s="94">
        <v>0</v>
      </c>
      <c r="Y416" s="94">
        <v>0</v>
      </c>
      <c r="Z416" s="93">
        <f>_xlfn.XLOOKUP(O416,'[4]2DO TRIMESTRE'!$C:$C,'[4]2DO TRIMESTRE'!$I:$I,0,0)</f>
        <v>50894807</v>
      </c>
      <c r="AA416" s="94">
        <f t="shared" ref="AA416:AA417" si="151">+Z416/(1+$S416)*$S416</f>
        <v>5453014.9999999991</v>
      </c>
      <c r="AB416" s="94">
        <f t="shared" ref="AB416:AB417" si="152">+AA416*40%</f>
        <v>2181205.9999999995</v>
      </c>
      <c r="AC416" s="94">
        <f t="shared" ref="AC416:AC417" si="153">+AA416*60%</f>
        <v>3271808.9999999995</v>
      </c>
      <c r="AD416" s="93"/>
      <c r="AE416" s="94"/>
      <c r="AF416" s="94"/>
      <c r="AG416" s="94"/>
      <c r="AH416" s="117"/>
      <c r="AI416" s="94"/>
      <c r="AJ416" s="94"/>
      <c r="AK416" s="94"/>
      <c r="AL416" s="93">
        <v>5453014.9999999991</v>
      </c>
      <c r="AM416" s="93">
        <f t="shared" si="147"/>
        <v>5453014.9999999991</v>
      </c>
      <c r="AN416" s="155"/>
      <c r="AO416" s="155"/>
    </row>
    <row r="417" spans="1:41" s="9" customFormat="1" ht="25.15" customHeight="1" x14ac:dyDescent="0.25">
      <c r="A417" s="83">
        <v>411</v>
      </c>
      <c r="B417" s="84">
        <v>2024</v>
      </c>
      <c r="C417" s="85" t="s">
        <v>1974</v>
      </c>
      <c r="D417" s="86" t="s">
        <v>1923</v>
      </c>
      <c r="E417" s="86" t="s">
        <v>758</v>
      </c>
      <c r="F417" s="87">
        <v>45653</v>
      </c>
      <c r="G417" s="87">
        <v>45926</v>
      </c>
      <c r="H417" s="88">
        <f t="shared" si="131"/>
        <v>3.0333333333333332</v>
      </c>
      <c r="I417" s="89" t="s">
        <v>763</v>
      </c>
      <c r="J417" s="90" t="s">
        <v>751</v>
      </c>
      <c r="K417" s="90" t="s">
        <v>752</v>
      </c>
      <c r="L417" s="90" t="s">
        <v>753</v>
      </c>
      <c r="M417" s="91" t="s">
        <v>1059</v>
      </c>
      <c r="N417" s="92" t="s">
        <v>2008</v>
      </c>
      <c r="O417" s="85">
        <v>2910907368</v>
      </c>
      <c r="P417" s="93">
        <v>35550000</v>
      </c>
      <c r="Q417" s="93">
        <v>0</v>
      </c>
      <c r="R417" s="94">
        <v>35550000</v>
      </c>
      <c r="S417" s="95">
        <v>0.11999997983684987</v>
      </c>
      <c r="T417" s="94">
        <v>3808928.5714285709</v>
      </c>
      <c r="U417" s="117">
        <v>35550000</v>
      </c>
      <c r="V417" s="117">
        <v>0</v>
      </c>
      <c r="W417" s="94">
        <v>0</v>
      </c>
      <c r="X417" s="94">
        <v>0</v>
      </c>
      <c r="Y417" s="94">
        <v>0</v>
      </c>
      <c r="Z417" s="93">
        <f>_xlfn.XLOOKUP(O417,'[4]2DO TRIMESTRE'!$C:$C,'[4]2DO TRIMESTRE'!$I:$I,0,0)</f>
        <v>35550000</v>
      </c>
      <c r="AA417" s="94">
        <f t="shared" si="151"/>
        <v>3808928</v>
      </c>
      <c r="AB417" s="94">
        <f t="shared" si="152"/>
        <v>1523571.2000000002</v>
      </c>
      <c r="AC417" s="94">
        <f t="shared" si="153"/>
        <v>2285356.7999999998</v>
      </c>
      <c r="AD417" s="93"/>
      <c r="AE417" s="94"/>
      <c r="AF417" s="94"/>
      <c r="AG417" s="94"/>
      <c r="AH417" s="117"/>
      <c r="AI417" s="94"/>
      <c r="AJ417" s="94"/>
      <c r="AK417" s="94"/>
      <c r="AL417" s="93">
        <v>3808928</v>
      </c>
      <c r="AM417" s="93">
        <f t="shared" si="147"/>
        <v>3808928</v>
      </c>
      <c r="AN417" s="155"/>
      <c r="AO417" s="155"/>
    </row>
    <row r="418" spans="1:41" s="9" customFormat="1" ht="25.15" customHeight="1" x14ac:dyDescent="0.25">
      <c r="A418" s="83">
        <v>412</v>
      </c>
      <c r="B418" s="84">
        <v>2024</v>
      </c>
      <c r="C418" s="85" t="s">
        <v>1975</v>
      </c>
      <c r="D418" s="86" t="s">
        <v>1924</v>
      </c>
      <c r="E418" s="86" t="s">
        <v>758</v>
      </c>
      <c r="F418" s="87">
        <v>45698</v>
      </c>
      <c r="G418" s="87">
        <v>46000</v>
      </c>
      <c r="H418" s="88">
        <f t="shared" si="131"/>
        <v>3.3555555555555556</v>
      </c>
      <c r="I418" s="89" t="s">
        <v>763</v>
      </c>
      <c r="J418" s="90" t="s">
        <v>751</v>
      </c>
      <c r="K418" s="90" t="s">
        <v>752</v>
      </c>
      <c r="L418" s="90" t="s">
        <v>753</v>
      </c>
      <c r="M418" s="91" t="s">
        <v>1059</v>
      </c>
      <c r="N418" s="92" t="s">
        <v>2016</v>
      </c>
      <c r="O418" s="85">
        <v>2910907372</v>
      </c>
      <c r="P418" s="93">
        <v>1150000000</v>
      </c>
      <c r="Q418" s="93">
        <v>0</v>
      </c>
      <c r="R418" s="94">
        <v>1150000000</v>
      </c>
      <c r="S418" s="95">
        <v>0.1199999440000028</v>
      </c>
      <c r="T418" s="94">
        <v>123214285.7142857</v>
      </c>
      <c r="U418" s="117">
        <v>0</v>
      </c>
      <c r="V418" s="117">
        <v>0</v>
      </c>
      <c r="W418" s="94">
        <v>0</v>
      </c>
      <c r="X418" s="94">
        <v>0</v>
      </c>
      <c r="Y418" s="94">
        <v>0</v>
      </c>
      <c r="Z418" s="93">
        <f>_xlfn.XLOOKUP(O418,'[4]2DO TRIMESTRE'!$C:$C,'[4]2DO TRIMESTRE'!$I:$I,0,0)</f>
        <v>0</v>
      </c>
      <c r="AA418" s="94">
        <v>0</v>
      </c>
      <c r="AB418" s="94">
        <v>0</v>
      </c>
      <c r="AC418" s="94">
        <v>0</v>
      </c>
      <c r="AD418" s="93"/>
      <c r="AE418" s="94"/>
      <c r="AF418" s="94"/>
      <c r="AG418" s="94"/>
      <c r="AH418" s="117"/>
      <c r="AI418" s="94"/>
      <c r="AJ418" s="94"/>
      <c r="AK418" s="94"/>
      <c r="AL418" s="93">
        <v>0</v>
      </c>
      <c r="AM418" s="93">
        <f t="shared" si="147"/>
        <v>0</v>
      </c>
      <c r="AN418" s="155"/>
      <c r="AO418" s="155"/>
    </row>
    <row r="419" spans="1:41" s="9" customFormat="1" ht="25.15" customHeight="1" x14ac:dyDescent="0.25">
      <c r="A419" s="83">
        <v>414</v>
      </c>
      <c r="B419" s="84">
        <v>2025</v>
      </c>
      <c r="C419" s="85" t="s">
        <v>1976</v>
      </c>
      <c r="D419" s="86" t="s">
        <v>1925</v>
      </c>
      <c r="E419" s="86" t="s">
        <v>758</v>
      </c>
      <c r="F419" s="87">
        <v>45747</v>
      </c>
      <c r="G419" s="87">
        <v>45807</v>
      </c>
      <c r="H419" s="88">
        <f t="shared" si="131"/>
        <v>0.66666666666666663</v>
      </c>
      <c r="I419" s="89" t="s">
        <v>750</v>
      </c>
      <c r="J419" s="90" t="s">
        <v>751</v>
      </c>
      <c r="K419" s="90" t="s">
        <v>752</v>
      </c>
      <c r="L419" s="90" t="s">
        <v>753</v>
      </c>
      <c r="M419" s="91" t="s">
        <v>1059</v>
      </c>
      <c r="N419" s="92" t="s">
        <v>2009</v>
      </c>
      <c r="O419" s="85">
        <v>2910907379</v>
      </c>
      <c r="P419" s="93">
        <v>18000000</v>
      </c>
      <c r="Q419" s="93">
        <v>0</v>
      </c>
      <c r="R419" s="94">
        <v>18000000</v>
      </c>
      <c r="S419" s="95">
        <v>0.11999997013333413</v>
      </c>
      <c r="T419" s="94">
        <v>1928571.4285714284</v>
      </c>
      <c r="U419" s="117">
        <v>18000000</v>
      </c>
      <c r="V419" s="117">
        <v>0</v>
      </c>
      <c r="W419" s="94">
        <v>0</v>
      </c>
      <c r="X419" s="94">
        <v>0</v>
      </c>
      <c r="Y419" s="94">
        <v>0</v>
      </c>
      <c r="Z419" s="93">
        <f>_xlfn.XLOOKUP(O419,'[4]2DO TRIMESTRE'!$C:$C,'[4]2DO TRIMESTRE'!$I:$I,0,0)</f>
        <v>18000000</v>
      </c>
      <c r="AA419" s="94">
        <f t="shared" ref="AA419:AA421" si="154">+Z419/(1+$S419)*$S419</f>
        <v>1928571</v>
      </c>
      <c r="AB419" s="94">
        <f t="shared" ref="AB419:AB420" si="155">+AA419*40%</f>
        <v>771428.4</v>
      </c>
      <c r="AC419" s="94">
        <f t="shared" ref="AC419:AC421" si="156">+AA419*60%</f>
        <v>1157142.5999999999</v>
      </c>
      <c r="AD419" s="93"/>
      <c r="AE419" s="94"/>
      <c r="AF419" s="94"/>
      <c r="AG419" s="94"/>
      <c r="AH419" s="117"/>
      <c r="AI419" s="94"/>
      <c r="AJ419" s="94"/>
      <c r="AK419" s="94"/>
      <c r="AL419" s="93">
        <v>1928571</v>
      </c>
      <c r="AM419" s="93">
        <f t="shared" si="147"/>
        <v>1928571</v>
      </c>
      <c r="AN419" s="155"/>
      <c r="AO419" s="155"/>
    </row>
    <row r="420" spans="1:41" s="9" customFormat="1" ht="25.15" customHeight="1" x14ac:dyDescent="0.25">
      <c r="A420" s="83">
        <v>415</v>
      </c>
      <c r="B420" s="84">
        <v>2025</v>
      </c>
      <c r="C420" s="85" t="s">
        <v>1970</v>
      </c>
      <c r="D420" s="86" t="s">
        <v>1926</v>
      </c>
      <c r="E420" s="86" t="s">
        <v>758</v>
      </c>
      <c r="F420" s="87">
        <v>45819</v>
      </c>
      <c r="G420" s="87">
        <v>46001</v>
      </c>
      <c r="H420" s="88">
        <f t="shared" si="131"/>
        <v>2.0222222222222221</v>
      </c>
      <c r="I420" s="89" t="s">
        <v>763</v>
      </c>
      <c r="J420" s="90" t="s">
        <v>751</v>
      </c>
      <c r="K420" s="90" t="s">
        <v>752</v>
      </c>
      <c r="L420" s="90" t="s">
        <v>753</v>
      </c>
      <c r="M420" s="91" t="s">
        <v>1059</v>
      </c>
      <c r="N420" s="92" t="s">
        <v>2004</v>
      </c>
      <c r="O420" s="85">
        <v>2910907391</v>
      </c>
      <c r="P420" s="93">
        <v>70000000</v>
      </c>
      <c r="Q420" s="93">
        <v>0</v>
      </c>
      <c r="R420" s="94">
        <v>70000000</v>
      </c>
      <c r="S420" s="95">
        <v>0.12</v>
      </c>
      <c r="T420" s="94">
        <v>7499999.9999999991</v>
      </c>
      <c r="U420" s="117">
        <v>70000000</v>
      </c>
      <c r="V420" s="117">
        <v>0</v>
      </c>
      <c r="W420" s="94">
        <v>0</v>
      </c>
      <c r="X420" s="94">
        <v>0</v>
      </c>
      <c r="Y420" s="94">
        <v>0</v>
      </c>
      <c r="Z420" s="93">
        <f>_xlfn.XLOOKUP(O420,'[4]2DO TRIMESTRE'!$C:$C,'[4]2DO TRIMESTRE'!$I:$I,0,0)</f>
        <v>70000000</v>
      </c>
      <c r="AA420" s="94">
        <f t="shared" si="154"/>
        <v>7499999.9999999991</v>
      </c>
      <c r="AB420" s="94">
        <f t="shared" si="155"/>
        <v>3000000</v>
      </c>
      <c r="AC420" s="94">
        <f t="shared" si="156"/>
        <v>4499999.9999999991</v>
      </c>
      <c r="AD420" s="93"/>
      <c r="AE420" s="94"/>
      <c r="AF420" s="94"/>
      <c r="AG420" s="94"/>
      <c r="AH420" s="117"/>
      <c r="AI420" s="94"/>
      <c r="AJ420" s="94"/>
      <c r="AK420" s="94"/>
      <c r="AL420" s="93">
        <v>7499999.9999999991</v>
      </c>
      <c r="AM420" s="93">
        <f t="shared" si="147"/>
        <v>7499999.9999999991</v>
      </c>
      <c r="AN420" s="155"/>
      <c r="AO420" s="155"/>
    </row>
    <row r="421" spans="1:41" s="9" customFormat="1" ht="25.15" customHeight="1" x14ac:dyDescent="0.25">
      <c r="A421" s="83">
        <v>416</v>
      </c>
      <c r="B421" s="84">
        <v>2025</v>
      </c>
      <c r="C421" s="85" t="s">
        <v>1977</v>
      </c>
      <c r="D421" s="86" t="s">
        <v>1927</v>
      </c>
      <c r="E421" s="86" t="s">
        <v>758</v>
      </c>
      <c r="F421" s="87">
        <v>45811</v>
      </c>
      <c r="G421" s="87">
        <v>45932</v>
      </c>
      <c r="H421" s="88">
        <f t="shared" si="131"/>
        <v>1.3444444444444446</v>
      </c>
      <c r="I421" s="89" t="s">
        <v>750</v>
      </c>
      <c r="J421" s="90" t="s">
        <v>751</v>
      </c>
      <c r="K421" s="90" t="s">
        <v>752</v>
      </c>
      <c r="L421" s="90" t="s">
        <v>753</v>
      </c>
      <c r="M421" s="91" t="s">
        <v>1059</v>
      </c>
      <c r="N421" s="92" t="s">
        <v>2002</v>
      </c>
      <c r="O421" s="85">
        <v>2910907392</v>
      </c>
      <c r="P421" s="93">
        <v>24192000</v>
      </c>
      <c r="Q421" s="93">
        <v>0</v>
      </c>
      <c r="R421" s="94">
        <v>24192000</v>
      </c>
      <c r="S421" s="95">
        <v>0.1199999440000028</v>
      </c>
      <c r="T421" s="94">
        <v>2591999.9999999995</v>
      </c>
      <c r="U421" s="117">
        <v>24192000</v>
      </c>
      <c r="V421" s="117">
        <v>0</v>
      </c>
      <c r="W421" s="94">
        <v>0</v>
      </c>
      <c r="X421" s="94">
        <v>0</v>
      </c>
      <c r="Y421" s="94">
        <v>0</v>
      </c>
      <c r="Z421" s="93">
        <v>24192000</v>
      </c>
      <c r="AA421" s="94">
        <f t="shared" si="154"/>
        <v>2591998.92</v>
      </c>
      <c r="AB421" s="94">
        <f>+AA421*40%</f>
        <v>1036799.568</v>
      </c>
      <c r="AC421" s="94">
        <f t="shared" si="156"/>
        <v>1555199.352</v>
      </c>
      <c r="AD421" s="93"/>
      <c r="AE421" s="94"/>
      <c r="AF421" s="94"/>
      <c r="AG421" s="94"/>
      <c r="AH421" s="117"/>
      <c r="AI421" s="94"/>
      <c r="AJ421" s="94"/>
      <c r="AK421" s="94"/>
      <c r="AL421" s="93">
        <v>0</v>
      </c>
      <c r="AM421" s="93">
        <f t="shared" si="147"/>
        <v>2591998.92</v>
      </c>
      <c r="AN421" s="155"/>
      <c r="AO421" s="155"/>
    </row>
    <row r="422" spans="1:41" s="9" customFormat="1" ht="25.15" customHeight="1" x14ac:dyDescent="0.25">
      <c r="A422" s="83">
        <v>417</v>
      </c>
      <c r="B422" s="84">
        <v>2025</v>
      </c>
      <c r="C422" s="85" t="s">
        <v>1978</v>
      </c>
      <c r="D422" s="86" t="s">
        <v>1928</v>
      </c>
      <c r="E422" s="86" t="s">
        <v>758</v>
      </c>
      <c r="F422" s="87">
        <v>45825</v>
      </c>
      <c r="G422" s="87">
        <v>46022</v>
      </c>
      <c r="H422" s="88">
        <f t="shared" si="131"/>
        <v>2.1888888888888891</v>
      </c>
      <c r="I422" s="89" t="s">
        <v>763</v>
      </c>
      <c r="J422" s="90" t="s">
        <v>751</v>
      </c>
      <c r="K422" s="90" t="s">
        <v>752</v>
      </c>
      <c r="L422" s="90" t="s">
        <v>753</v>
      </c>
      <c r="M422" s="91" t="s">
        <v>1059</v>
      </c>
      <c r="N422" s="92" t="s">
        <v>2010</v>
      </c>
      <c r="O422" s="85">
        <v>2910907395</v>
      </c>
      <c r="P422" s="93">
        <v>179800000</v>
      </c>
      <c r="Q422" s="93">
        <v>0</v>
      </c>
      <c r="R422" s="94">
        <v>179800000</v>
      </c>
      <c r="S422" s="95">
        <v>0.12000000199332592</v>
      </c>
      <c r="T422" s="94">
        <v>19264285.714285713</v>
      </c>
      <c r="U422" s="117">
        <v>95700000</v>
      </c>
      <c r="V422" s="117">
        <v>0</v>
      </c>
      <c r="W422" s="94">
        <v>0</v>
      </c>
      <c r="X422" s="94">
        <v>0</v>
      </c>
      <c r="Y422" s="94">
        <v>0</v>
      </c>
      <c r="Z422" s="93">
        <f>_xlfn.XLOOKUP(O422,'[4]2DO TRIMESTRE'!$C:$C,'[4]2DO TRIMESTRE'!$I:$I,0,0)</f>
        <v>95700000</v>
      </c>
      <c r="AA422" s="94">
        <f t="shared" ref="AA422" si="157">+Z422/(1+$S422)*$S422</f>
        <v>10253571.580645161</v>
      </c>
      <c r="AB422" s="94">
        <f t="shared" ref="AB422" si="158">+AA422*40%</f>
        <v>4101428.6322580646</v>
      </c>
      <c r="AC422" s="94">
        <f t="shared" ref="AC422" si="159">+AA422*60%</f>
        <v>6152142.9483870966</v>
      </c>
      <c r="AD422" s="93"/>
      <c r="AE422" s="94"/>
      <c r="AF422" s="94"/>
      <c r="AG422" s="94"/>
      <c r="AH422" s="117"/>
      <c r="AI422" s="94"/>
      <c r="AJ422" s="94"/>
      <c r="AK422" s="94"/>
      <c r="AL422" s="93">
        <v>10253571.580645161</v>
      </c>
      <c r="AM422" s="93">
        <f t="shared" si="147"/>
        <v>10253571.580645161</v>
      </c>
      <c r="AN422" s="155"/>
      <c r="AO422" s="155"/>
    </row>
    <row r="423" spans="1:41" s="9" customFormat="1" ht="25.15" customHeight="1" x14ac:dyDescent="0.25">
      <c r="A423" s="83">
        <v>418</v>
      </c>
      <c r="B423" s="84">
        <v>2025</v>
      </c>
      <c r="C423" s="85" t="s">
        <v>786</v>
      </c>
      <c r="D423" s="86" t="s">
        <v>1929</v>
      </c>
      <c r="E423" s="86" t="s">
        <v>758</v>
      </c>
      <c r="F423" s="87">
        <v>45903</v>
      </c>
      <c r="G423" s="87">
        <v>46022</v>
      </c>
      <c r="H423" s="88">
        <f t="shared" si="131"/>
        <v>1.3222222222222222</v>
      </c>
      <c r="I423" s="89" t="s">
        <v>750</v>
      </c>
      <c r="J423" s="90" t="s">
        <v>751</v>
      </c>
      <c r="K423" s="90" t="s">
        <v>752</v>
      </c>
      <c r="L423" s="90" t="s">
        <v>753</v>
      </c>
      <c r="M423" s="91" t="s">
        <v>1059</v>
      </c>
      <c r="N423" s="92" t="s">
        <v>2011</v>
      </c>
      <c r="O423" s="85">
        <v>2910907402</v>
      </c>
      <c r="P423" s="93">
        <v>42257500</v>
      </c>
      <c r="Q423" s="93">
        <v>0</v>
      </c>
      <c r="R423" s="94">
        <v>42257500</v>
      </c>
      <c r="S423" s="95">
        <v>0.1199999440000028</v>
      </c>
      <c r="T423" s="94">
        <v>4527589.2857142854</v>
      </c>
      <c r="U423" s="117">
        <v>0</v>
      </c>
      <c r="V423" s="117">
        <v>0</v>
      </c>
      <c r="W423" s="94">
        <v>0</v>
      </c>
      <c r="X423" s="94">
        <v>0</v>
      </c>
      <c r="Y423" s="94">
        <v>0</v>
      </c>
      <c r="Z423" s="93">
        <f>_xlfn.XLOOKUP(O423,'[4]2DO TRIMESTRE'!$C:$C,'[4]2DO TRIMESTRE'!$I:$I,0,0)</f>
        <v>0</v>
      </c>
      <c r="AA423" s="94">
        <v>0</v>
      </c>
      <c r="AB423" s="94">
        <v>0</v>
      </c>
      <c r="AC423" s="94">
        <v>0</v>
      </c>
      <c r="AD423" s="93"/>
      <c r="AE423" s="94"/>
      <c r="AF423" s="94"/>
      <c r="AG423" s="94"/>
      <c r="AH423" s="117"/>
      <c r="AI423" s="94"/>
      <c r="AJ423" s="94"/>
      <c r="AK423" s="94"/>
      <c r="AL423" s="93">
        <v>0</v>
      </c>
      <c r="AM423" s="93">
        <f t="shared" si="147"/>
        <v>0</v>
      </c>
      <c r="AN423" s="155"/>
      <c r="AO423" s="155"/>
    </row>
    <row r="424" spans="1:41" s="9" customFormat="1" ht="25.15" customHeight="1" x14ac:dyDescent="0.25">
      <c r="A424" s="83">
        <v>419</v>
      </c>
      <c r="B424" s="84">
        <v>2025</v>
      </c>
      <c r="C424" s="85" t="s">
        <v>1979</v>
      </c>
      <c r="D424" s="86" t="s">
        <v>1930</v>
      </c>
      <c r="E424" s="86" t="s">
        <v>758</v>
      </c>
      <c r="F424" s="87">
        <v>45888</v>
      </c>
      <c r="G424" s="87">
        <v>45980</v>
      </c>
      <c r="H424" s="88">
        <f t="shared" si="131"/>
        <v>1.0222222222222221</v>
      </c>
      <c r="I424" s="89" t="s">
        <v>763</v>
      </c>
      <c r="J424" s="90" t="s">
        <v>751</v>
      </c>
      <c r="K424" s="90" t="s">
        <v>752</v>
      </c>
      <c r="L424" s="90" t="s">
        <v>753</v>
      </c>
      <c r="M424" s="91" t="s">
        <v>1059</v>
      </c>
      <c r="N424" s="92" t="s">
        <v>2012</v>
      </c>
      <c r="O424" s="85">
        <v>2910907404</v>
      </c>
      <c r="P424" s="93">
        <v>55000000</v>
      </c>
      <c r="Q424" s="93">
        <v>0</v>
      </c>
      <c r="R424" s="94">
        <v>55000000</v>
      </c>
      <c r="S424" s="95">
        <v>0.11999999674181819</v>
      </c>
      <c r="T424" s="94">
        <v>5892857.1428571427</v>
      </c>
      <c r="U424" s="117">
        <v>55000000</v>
      </c>
      <c r="V424" s="117">
        <v>0</v>
      </c>
      <c r="W424" s="94">
        <v>0</v>
      </c>
      <c r="X424" s="94">
        <v>0</v>
      </c>
      <c r="Y424" s="94">
        <v>0</v>
      </c>
      <c r="Z424" s="93">
        <f>_xlfn.XLOOKUP(O424,'[4]2DO TRIMESTRE'!$C:$C,'[4]2DO TRIMESTRE'!$I:$I,0,0)</f>
        <v>55000000</v>
      </c>
      <c r="AA424" s="94">
        <f t="shared" ref="AA424" si="160">+Z424/(1+$S424)*$S424</f>
        <v>5892857</v>
      </c>
      <c r="AB424" s="94">
        <f t="shared" ref="AB424" si="161">+AA424*40%</f>
        <v>2357142.8000000003</v>
      </c>
      <c r="AC424" s="94">
        <f t="shared" ref="AC424" si="162">+AA424*60%</f>
        <v>3535714.1999999997</v>
      </c>
      <c r="AD424" s="93"/>
      <c r="AE424" s="94"/>
      <c r="AF424" s="94"/>
      <c r="AG424" s="94"/>
      <c r="AH424" s="117"/>
      <c r="AI424" s="94"/>
      <c r="AJ424" s="94"/>
      <c r="AK424" s="94"/>
      <c r="AL424" s="93">
        <v>5892857</v>
      </c>
      <c r="AM424" s="93">
        <f t="shared" si="147"/>
        <v>5892857</v>
      </c>
      <c r="AN424" s="155"/>
      <c r="AO424" s="155"/>
    </row>
    <row r="425" spans="1:41" s="9" customFormat="1" ht="25.15" customHeight="1" x14ac:dyDescent="0.25">
      <c r="A425" s="83">
        <v>420</v>
      </c>
      <c r="B425" s="84">
        <v>2025</v>
      </c>
      <c r="C425" s="85" t="s">
        <v>1980</v>
      </c>
      <c r="D425" s="86" t="s">
        <v>1931</v>
      </c>
      <c r="E425" s="86" t="s">
        <v>758</v>
      </c>
      <c r="F425" s="87">
        <v>45880</v>
      </c>
      <c r="G425" s="87">
        <v>46001</v>
      </c>
      <c r="H425" s="88">
        <f t="shared" si="131"/>
        <v>1.3444444444444446</v>
      </c>
      <c r="I425" s="89" t="s">
        <v>750</v>
      </c>
      <c r="J425" s="90" t="s">
        <v>751</v>
      </c>
      <c r="K425" s="90" t="s">
        <v>752</v>
      </c>
      <c r="L425" s="90" t="s">
        <v>753</v>
      </c>
      <c r="M425" s="91" t="s">
        <v>1059</v>
      </c>
      <c r="N425" s="92" t="s">
        <v>2013</v>
      </c>
      <c r="O425" s="85">
        <v>2910907405</v>
      </c>
      <c r="P425" s="93">
        <v>40000000</v>
      </c>
      <c r="Q425" s="93">
        <v>0</v>
      </c>
      <c r="R425" s="94">
        <v>40000000</v>
      </c>
      <c r="S425" s="95">
        <v>0.1199999440000028</v>
      </c>
      <c r="T425" s="94">
        <v>4285714.2857142854</v>
      </c>
      <c r="U425" s="117">
        <v>0</v>
      </c>
      <c r="V425" s="117">
        <v>0</v>
      </c>
      <c r="W425" s="94">
        <v>0</v>
      </c>
      <c r="X425" s="94">
        <v>0</v>
      </c>
      <c r="Y425" s="94">
        <v>0</v>
      </c>
      <c r="Z425" s="93">
        <f>_xlfn.XLOOKUP(O425,'[4]2DO TRIMESTRE'!$C:$C,'[4]2DO TRIMESTRE'!$I:$I,0,0)</f>
        <v>0</v>
      </c>
      <c r="AA425" s="94">
        <v>0</v>
      </c>
      <c r="AB425" s="94">
        <v>0</v>
      </c>
      <c r="AC425" s="94">
        <v>0</v>
      </c>
      <c r="AD425" s="93"/>
      <c r="AE425" s="94"/>
      <c r="AF425" s="94"/>
      <c r="AG425" s="94"/>
      <c r="AH425" s="117"/>
      <c r="AI425" s="94"/>
      <c r="AJ425" s="94"/>
      <c r="AK425" s="94"/>
      <c r="AL425" s="93">
        <v>0</v>
      </c>
      <c r="AM425" s="93">
        <f t="shared" si="147"/>
        <v>0</v>
      </c>
      <c r="AN425" s="155"/>
      <c r="AO425" s="155"/>
    </row>
    <row r="426" spans="1:41" s="9" customFormat="1" ht="25.15" customHeight="1" x14ac:dyDescent="0.25">
      <c r="A426" s="83">
        <v>421</v>
      </c>
      <c r="B426" s="84">
        <v>2025</v>
      </c>
      <c r="C426" s="85" t="s">
        <v>1825</v>
      </c>
      <c r="D426" s="86" t="s">
        <v>1932</v>
      </c>
      <c r="E426" s="86" t="s">
        <v>758</v>
      </c>
      <c r="F426" s="87">
        <v>45882</v>
      </c>
      <c r="G426" s="87">
        <v>46103</v>
      </c>
      <c r="H426" s="88">
        <f t="shared" ref="H426:H464" si="163">+(G426-F426)/90</f>
        <v>2.4555555555555557</v>
      </c>
      <c r="I426" s="89" t="s">
        <v>763</v>
      </c>
      <c r="J426" s="90" t="s">
        <v>751</v>
      </c>
      <c r="K426" s="90" t="s">
        <v>752</v>
      </c>
      <c r="L426" s="90" t="s">
        <v>753</v>
      </c>
      <c r="M426" s="91" t="s">
        <v>1059</v>
      </c>
      <c r="N426" s="92" t="s">
        <v>2017</v>
      </c>
      <c r="O426" s="85">
        <v>2910907406</v>
      </c>
      <c r="P426" s="93">
        <v>100000000</v>
      </c>
      <c r="Q426" s="93">
        <v>0</v>
      </c>
      <c r="R426" s="94">
        <v>100000000</v>
      </c>
      <c r="S426" s="95">
        <v>0.12000000358400001</v>
      </c>
      <c r="T426" s="94">
        <v>10714285.714285713</v>
      </c>
      <c r="U426" s="117">
        <v>80000000</v>
      </c>
      <c r="V426" s="117">
        <v>0</v>
      </c>
      <c r="W426" s="94">
        <v>0</v>
      </c>
      <c r="X426" s="94">
        <v>0</v>
      </c>
      <c r="Y426" s="94">
        <v>0</v>
      </c>
      <c r="Z426" s="93">
        <f>_xlfn.XLOOKUP(O426,'[4]2DO TRIMESTRE'!$C:$C,'[4]2DO TRIMESTRE'!$I:$I,0,0)</f>
        <v>80000000</v>
      </c>
      <c r="AA426" s="94">
        <f t="shared" ref="AA426" si="164">+Z426/(1+$S426)*$S426</f>
        <v>8571428.7999999989</v>
      </c>
      <c r="AB426" s="94">
        <f t="shared" ref="AB426" si="165">+AA426*40%</f>
        <v>3428571.5199999996</v>
      </c>
      <c r="AC426" s="94">
        <f t="shared" ref="AC426" si="166">+AA426*60%</f>
        <v>5142857.2799999993</v>
      </c>
      <c r="AD426" s="93"/>
      <c r="AE426" s="94"/>
      <c r="AF426" s="94"/>
      <c r="AG426" s="94"/>
      <c r="AH426" s="117"/>
      <c r="AI426" s="94"/>
      <c r="AJ426" s="94"/>
      <c r="AK426" s="94"/>
      <c r="AL426" s="93">
        <v>8571428.7999999989</v>
      </c>
      <c r="AM426" s="93">
        <f t="shared" si="147"/>
        <v>8571428.7999999989</v>
      </c>
      <c r="AN426" s="155"/>
      <c r="AO426" s="155"/>
    </row>
    <row r="427" spans="1:41" s="9" customFormat="1" ht="25.15" customHeight="1" x14ac:dyDescent="0.25">
      <c r="A427" s="83">
        <v>422</v>
      </c>
      <c r="B427" s="84">
        <v>2025</v>
      </c>
      <c r="C427" s="85" t="s">
        <v>1981</v>
      </c>
      <c r="D427" s="86" t="s">
        <v>1933</v>
      </c>
      <c r="E427" s="86" t="s">
        <v>758</v>
      </c>
      <c r="F427" s="87">
        <v>45784</v>
      </c>
      <c r="G427" s="87">
        <v>45921</v>
      </c>
      <c r="H427" s="88">
        <f t="shared" si="163"/>
        <v>1.5222222222222221</v>
      </c>
      <c r="I427" s="89" t="s">
        <v>763</v>
      </c>
      <c r="J427" s="90" t="s">
        <v>751</v>
      </c>
      <c r="K427" s="90" t="s">
        <v>752</v>
      </c>
      <c r="L427" s="90" t="s">
        <v>753</v>
      </c>
      <c r="M427" s="91" t="s">
        <v>1059</v>
      </c>
      <c r="N427" s="92" t="s">
        <v>2018</v>
      </c>
      <c r="O427" s="85">
        <v>2910907407</v>
      </c>
      <c r="P427" s="93">
        <v>24428250</v>
      </c>
      <c r="Q427" s="93">
        <v>0</v>
      </c>
      <c r="R427" s="94">
        <v>24428250</v>
      </c>
      <c r="S427" s="95">
        <v>0.1199999440000028</v>
      </c>
      <c r="T427" s="94">
        <v>2617312.4999999995</v>
      </c>
      <c r="U427" s="117">
        <v>0</v>
      </c>
      <c r="V427" s="117">
        <v>0</v>
      </c>
      <c r="W427" s="94">
        <v>0</v>
      </c>
      <c r="X427" s="94">
        <v>0</v>
      </c>
      <c r="Y427" s="94">
        <v>0</v>
      </c>
      <c r="Z427" s="93">
        <f>_xlfn.XLOOKUP(O427,'[4]2DO TRIMESTRE'!$C:$C,'[4]2DO TRIMESTRE'!$I:$I,0,0)</f>
        <v>0</v>
      </c>
      <c r="AA427" s="94">
        <v>0</v>
      </c>
      <c r="AB427" s="94">
        <v>0</v>
      </c>
      <c r="AC427" s="94">
        <v>0</v>
      </c>
      <c r="AD427" s="93"/>
      <c r="AE427" s="94"/>
      <c r="AF427" s="94"/>
      <c r="AG427" s="94"/>
      <c r="AH427" s="117"/>
      <c r="AI427" s="94"/>
      <c r="AJ427" s="94"/>
      <c r="AK427" s="94"/>
      <c r="AL427" s="93">
        <v>0</v>
      </c>
      <c r="AM427" s="93">
        <f t="shared" si="147"/>
        <v>0</v>
      </c>
      <c r="AN427" s="155"/>
      <c r="AO427" s="155"/>
    </row>
    <row r="428" spans="1:41" s="9" customFormat="1" ht="25.15" customHeight="1" x14ac:dyDescent="0.25">
      <c r="A428" s="83">
        <v>423</v>
      </c>
      <c r="B428" s="84">
        <v>2025</v>
      </c>
      <c r="C428" s="85" t="s">
        <v>1982</v>
      </c>
      <c r="D428" s="86" t="s">
        <v>1934</v>
      </c>
      <c r="E428" s="86" t="s">
        <v>758</v>
      </c>
      <c r="F428" s="87">
        <v>45891</v>
      </c>
      <c r="G428" s="87">
        <v>45982</v>
      </c>
      <c r="H428" s="88">
        <f t="shared" si="163"/>
        <v>1.0111111111111111</v>
      </c>
      <c r="I428" s="89" t="s">
        <v>763</v>
      </c>
      <c r="J428" s="90" t="s">
        <v>751</v>
      </c>
      <c r="K428" s="90" t="s">
        <v>752</v>
      </c>
      <c r="L428" s="90" t="s">
        <v>753</v>
      </c>
      <c r="M428" s="91" t="s">
        <v>1059</v>
      </c>
      <c r="N428" s="92" t="s">
        <v>2019</v>
      </c>
      <c r="O428" s="85">
        <v>2910907410</v>
      </c>
      <c r="P428" s="93">
        <v>25000000</v>
      </c>
      <c r="Q428" s="93">
        <v>0</v>
      </c>
      <c r="R428" s="94">
        <v>25000000</v>
      </c>
      <c r="S428" s="95">
        <v>0.1199999440000028</v>
      </c>
      <c r="T428" s="94">
        <v>2678571.4285714282</v>
      </c>
      <c r="U428" s="117">
        <v>0</v>
      </c>
      <c r="V428" s="117">
        <v>0</v>
      </c>
      <c r="W428" s="94">
        <v>0</v>
      </c>
      <c r="X428" s="94">
        <v>0</v>
      </c>
      <c r="Y428" s="94">
        <v>0</v>
      </c>
      <c r="Z428" s="93">
        <f>_xlfn.XLOOKUP(O428,'[4]2DO TRIMESTRE'!$C:$C,'[4]2DO TRIMESTRE'!$I:$I,0,0)</f>
        <v>0</v>
      </c>
      <c r="AA428" s="94">
        <v>0</v>
      </c>
      <c r="AB428" s="94">
        <v>0</v>
      </c>
      <c r="AC428" s="94">
        <v>0</v>
      </c>
      <c r="AD428" s="93"/>
      <c r="AE428" s="94"/>
      <c r="AF428" s="94"/>
      <c r="AG428" s="94"/>
      <c r="AH428" s="117"/>
      <c r="AI428" s="94"/>
      <c r="AJ428" s="94"/>
      <c r="AK428" s="94"/>
      <c r="AL428" s="93">
        <v>0</v>
      </c>
      <c r="AM428" s="93">
        <f t="shared" si="147"/>
        <v>0</v>
      </c>
      <c r="AN428" s="155"/>
      <c r="AO428" s="155"/>
    </row>
    <row r="429" spans="1:41" s="9" customFormat="1" ht="25.15" customHeight="1" x14ac:dyDescent="0.25">
      <c r="A429" s="83">
        <v>424</v>
      </c>
      <c r="B429" s="84">
        <v>2025</v>
      </c>
      <c r="C429" s="85" t="s">
        <v>945</v>
      </c>
      <c r="D429" s="86" t="s">
        <v>1935</v>
      </c>
      <c r="E429" s="86" t="s">
        <v>758</v>
      </c>
      <c r="F429" s="87">
        <v>45985</v>
      </c>
      <c r="G429" s="87">
        <v>46214</v>
      </c>
      <c r="H429" s="88">
        <f t="shared" si="163"/>
        <v>2.5444444444444443</v>
      </c>
      <c r="I429" s="89" t="s">
        <v>759</v>
      </c>
      <c r="J429" s="90" t="s">
        <v>751</v>
      </c>
      <c r="K429" s="90" t="s">
        <v>752</v>
      </c>
      <c r="L429" s="90" t="s">
        <v>753</v>
      </c>
      <c r="M429" s="91" t="s">
        <v>1059</v>
      </c>
      <c r="N429" s="92" t="s">
        <v>2020</v>
      </c>
      <c r="O429" s="85">
        <v>2910907412</v>
      </c>
      <c r="P429" s="93">
        <v>27701260</v>
      </c>
      <c r="Q429" s="93">
        <v>0</v>
      </c>
      <c r="R429" s="94">
        <v>27701260</v>
      </c>
      <c r="S429" s="95">
        <v>0.1199999440000028</v>
      </c>
      <c r="T429" s="94">
        <v>2967992.1428571423</v>
      </c>
      <c r="U429" s="117">
        <v>0</v>
      </c>
      <c r="V429" s="117">
        <v>0</v>
      </c>
      <c r="W429" s="94">
        <v>0</v>
      </c>
      <c r="X429" s="94">
        <v>0</v>
      </c>
      <c r="Y429" s="94">
        <v>0</v>
      </c>
      <c r="Z429" s="93">
        <f>_xlfn.XLOOKUP(O429,'[4]2DO TRIMESTRE'!$C:$C,'[4]2DO TRIMESTRE'!$I:$I,0,0)</f>
        <v>0</v>
      </c>
      <c r="AA429" s="94">
        <v>0</v>
      </c>
      <c r="AB429" s="94">
        <v>0</v>
      </c>
      <c r="AC429" s="94">
        <v>0</v>
      </c>
      <c r="AD429" s="93"/>
      <c r="AE429" s="94"/>
      <c r="AF429" s="94"/>
      <c r="AG429" s="94"/>
      <c r="AH429" s="117"/>
      <c r="AI429" s="94"/>
      <c r="AJ429" s="94"/>
      <c r="AK429" s="94"/>
      <c r="AL429" s="93">
        <v>0</v>
      </c>
      <c r="AM429" s="93">
        <f t="shared" si="147"/>
        <v>0</v>
      </c>
      <c r="AN429" s="155"/>
      <c r="AO429" s="155"/>
    </row>
    <row r="430" spans="1:41" s="9" customFormat="1" ht="25.15" customHeight="1" x14ac:dyDescent="0.25">
      <c r="A430" s="83">
        <v>425</v>
      </c>
      <c r="B430" s="84">
        <v>2025</v>
      </c>
      <c r="C430" s="85" t="s">
        <v>1983</v>
      </c>
      <c r="D430" s="86" t="s">
        <v>1936</v>
      </c>
      <c r="E430" s="86" t="s">
        <v>758</v>
      </c>
      <c r="F430" s="87">
        <v>45909</v>
      </c>
      <c r="G430" s="87">
        <v>45999</v>
      </c>
      <c r="H430" s="88">
        <f t="shared" si="163"/>
        <v>1</v>
      </c>
      <c r="I430" s="89" t="s">
        <v>763</v>
      </c>
      <c r="J430" s="90" t="s">
        <v>751</v>
      </c>
      <c r="K430" s="90" t="s">
        <v>752</v>
      </c>
      <c r="L430" s="90" t="s">
        <v>753</v>
      </c>
      <c r="M430" s="91" t="s">
        <v>1059</v>
      </c>
      <c r="N430" s="92" t="s">
        <v>2021</v>
      </c>
      <c r="O430" s="85">
        <v>2910907413</v>
      </c>
      <c r="P430" s="93">
        <v>39000000</v>
      </c>
      <c r="Q430" s="93">
        <v>0</v>
      </c>
      <c r="R430" s="94">
        <v>39000000</v>
      </c>
      <c r="S430" s="95">
        <v>0.1199999440000028</v>
      </c>
      <c r="T430" s="94">
        <v>4178571.4285714282</v>
      </c>
      <c r="U430" s="117">
        <v>0</v>
      </c>
      <c r="V430" s="117">
        <v>0</v>
      </c>
      <c r="W430" s="94">
        <v>0</v>
      </c>
      <c r="X430" s="94">
        <v>0</v>
      </c>
      <c r="Y430" s="94">
        <v>0</v>
      </c>
      <c r="Z430" s="93">
        <f>_xlfn.XLOOKUP(O430,'[4]2DO TRIMESTRE'!$C:$C,'[4]2DO TRIMESTRE'!$I:$I,0,0)</f>
        <v>0</v>
      </c>
      <c r="AA430" s="94">
        <v>0</v>
      </c>
      <c r="AB430" s="94">
        <v>0</v>
      </c>
      <c r="AC430" s="94">
        <v>0</v>
      </c>
      <c r="AD430" s="93"/>
      <c r="AE430" s="94"/>
      <c r="AF430" s="94"/>
      <c r="AG430" s="94"/>
      <c r="AH430" s="117"/>
      <c r="AI430" s="94"/>
      <c r="AJ430" s="94"/>
      <c r="AK430" s="94"/>
      <c r="AL430" s="93">
        <v>0</v>
      </c>
      <c r="AM430" s="93">
        <f t="shared" si="147"/>
        <v>0</v>
      </c>
      <c r="AN430" s="155"/>
      <c r="AO430" s="155"/>
    </row>
    <row r="431" spans="1:41" s="9" customFormat="1" ht="25.15" customHeight="1" x14ac:dyDescent="0.25">
      <c r="A431" s="83">
        <v>426</v>
      </c>
      <c r="B431" s="84">
        <v>2025</v>
      </c>
      <c r="C431" s="85" t="s">
        <v>1976</v>
      </c>
      <c r="D431" s="86" t="s">
        <v>1937</v>
      </c>
      <c r="E431" s="86" t="s">
        <v>758</v>
      </c>
      <c r="F431" s="87">
        <v>45919</v>
      </c>
      <c r="G431" s="87">
        <v>46010</v>
      </c>
      <c r="H431" s="88">
        <f t="shared" si="163"/>
        <v>1.0111111111111111</v>
      </c>
      <c r="I431" s="89" t="s">
        <v>763</v>
      </c>
      <c r="J431" s="90" t="s">
        <v>751</v>
      </c>
      <c r="K431" s="90" t="s">
        <v>752</v>
      </c>
      <c r="L431" s="90" t="s">
        <v>753</v>
      </c>
      <c r="M431" s="91" t="s">
        <v>1059</v>
      </c>
      <c r="N431" s="92" t="s">
        <v>2022</v>
      </c>
      <c r="O431" s="85">
        <v>2910907415</v>
      </c>
      <c r="P431" s="93">
        <v>27000000</v>
      </c>
      <c r="Q431" s="93">
        <v>0</v>
      </c>
      <c r="R431" s="94">
        <v>27000000</v>
      </c>
      <c r="S431" s="95">
        <v>0.1199999440000028</v>
      </c>
      <c r="T431" s="94">
        <v>2892857.1428571427</v>
      </c>
      <c r="U431" s="117">
        <v>0</v>
      </c>
      <c r="V431" s="117">
        <v>0</v>
      </c>
      <c r="W431" s="94">
        <v>0</v>
      </c>
      <c r="X431" s="94">
        <v>0</v>
      </c>
      <c r="Y431" s="94">
        <v>0</v>
      </c>
      <c r="Z431" s="93">
        <f>_xlfn.XLOOKUP(O431,'[4]2DO TRIMESTRE'!$C:$C,'[4]2DO TRIMESTRE'!$I:$I,0,0)</f>
        <v>0</v>
      </c>
      <c r="AA431" s="94">
        <v>0</v>
      </c>
      <c r="AB431" s="94">
        <v>0</v>
      </c>
      <c r="AC431" s="94">
        <v>0</v>
      </c>
      <c r="AD431" s="93"/>
      <c r="AE431" s="94"/>
      <c r="AF431" s="94"/>
      <c r="AG431" s="94"/>
      <c r="AH431" s="117"/>
      <c r="AI431" s="94"/>
      <c r="AJ431" s="94"/>
      <c r="AK431" s="94"/>
      <c r="AL431" s="93">
        <v>0</v>
      </c>
      <c r="AM431" s="93">
        <f t="shared" si="147"/>
        <v>0</v>
      </c>
      <c r="AN431" s="155"/>
      <c r="AO431" s="155"/>
    </row>
    <row r="432" spans="1:41" s="9" customFormat="1" ht="25.15" customHeight="1" x14ac:dyDescent="0.25">
      <c r="A432" s="83">
        <v>427</v>
      </c>
      <c r="B432" s="84">
        <v>2025</v>
      </c>
      <c r="C432" s="85" t="s">
        <v>1984</v>
      </c>
      <c r="D432" s="86" t="s">
        <v>1938</v>
      </c>
      <c r="E432" s="86" t="s">
        <v>758</v>
      </c>
      <c r="F432" s="87">
        <v>45919</v>
      </c>
      <c r="G432" s="87">
        <v>46010</v>
      </c>
      <c r="H432" s="88">
        <f t="shared" si="163"/>
        <v>1.0111111111111111</v>
      </c>
      <c r="I432" s="89" t="s">
        <v>750</v>
      </c>
      <c r="J432" s="90" t="s">
        <v>751</v>
      </c>
      <c r="K432" s="90" t="s">
        <v>752</v>
      </c>
      <c r="L432" s="90" t="s">
        <v>753</v>
      </c>
      <c r="M432" s="91" t="s">
        <v>1059</v>
      </c>
      <c r="N432" s="92" t="s">
        <v>2023</v>
      </c>
      <c r="O432" s="85">
        <v>2910907416</v>
      </c>
      <c r="P432" s="93">
        <v>27000000</v>
      </c>
      <c r="Q432" s="93">
        <v>0</v>
      </c>
      <c r="R432" s="94">
        <v>27000000</v>
      </c>
      <c r="S432" s="95">
        <v>0.1199999440000028</v>
      </c>
      <c r="T432" s="94">
        <v>2892857.1428571427</v>
      </c>
      <c r="U432" s="117">
        <v>0</v>
      </c>
      <c r="V432" s="117">
        <v>0</v>
      </c>
      <c r="W432" s="94">
        <v>0</v>
      </c>
      <c r="X432" s="94">
        <v>0</v>
      </c>
      <c r="Y432" s="94">
        <v>0</v>
      </c>
      <c r="Z432" s="93">
        <f>_xlfn.XLOOKUP(O432,'[4]2DO TRIMESTRE'!$C:$C,'[4]2DO TRIMESTRE'!$I:$I,0,0)</f>
        <v>0</v>
      </c>
      <c r="AA432" s="94">
        <v>0</v>
      </c>
      <c r="AB432" s="94">
        <v>0</v>
      </c>
      <c r="AC432" s="94">
        <v>0</v>
      </c>
      <c r="AD432" s="93"/>
      <c r="AE432" s="94"/>
      <c r="AF432" s="94"/>
      <c r="AG432" s="94"/>
      <c r="AH432" s="117"/>
      <c r="AI432" s="94"/>
      <c r="AJ432" s="94"/>
      <c r="AK432" s="94"/>
      <c r="AL432" s="93">
        <v>0</v>
      </c>
      <c r="AM432" s="93">
        <f t="shared" si="147"/>
        <v>0</v>
      </c>
      <c r="AN432" s="155"/>
      <c r="AO432" s="155"/>
    </row>
    <row r="433" spans="1:41" s="9" customFormat="1" ht="25.15" customHeight="1" x14ac:dyDescent="0.25">
      <c r="A433" s="83">
        <v>428</v>
      </c>
      <c r="B433" s="84">
        <v>2025</v>
      </c>
      <c r="C433" s="85" t="s">
        <v>882</v>
      </c>
      <c r="D433" s="86" t="s">
        <v>1939</v>
      </c>
      <c r="E433" s="86" t="s">
        <v>758</v>
      </c>
      <c r="F433" s="87">
        <v>45945</v>
      </c>
      <c r="G433" s="87">
        <v>46022</v>
      </c>
      <c r="H433" s="88">
        <f t="shared" si="163"/>
        <v>0.85555555555555551</v>
      </c>
      <c r="I433" s="89" t="s">
        <v>763</v>
      </c>
      <c r="J433" s="90" t="s">
        <v>751</v>
      </c>
      <c r="K433" s="90" t="s">
        <v>752</v>
      </c>
      <c r="L433" s="90" t="s">
        <v>753</v>
      </c>
      <c r="M433" s="91" t="s">
        <v>1059</v>
      </c>
      <c r="N433" s="92" t="s">
        <v>2024</v>
      </c>
      <c r="O433" s="85">
        <v>2910907418</v>
      </c>
      <c r="P433" s="93">
        <v>30000000</v>
      </c>
      <c r="Q433" s="93">
        <v>0</v>
      </c>
      <c r="R433" s="94">
        <v>30000000</v>
      </c>
      <c r="S433" s="95">
        <v>0.1199999440000028</v>
      </c>
      <c r="T433" s="94">
        <v>3214285.7142857141</v>
      </c>
      <c r="U433" s="117">
        <v>0</v>
      </c>
      <c r="V433" s="117">
        <v>0</v>
      </c>
      <c r="W433" s="94">
        <v>0</v>
      </c>
      <c r="X433" s="94">
        <v>0</v>
      </c>
      <c r="Y433" s="94">
        <v>0</v>
      </c>
      <c r="Z433" s="93">
        <f>_xlfn.XLOOKUP(O433,'[4]2DO TRIMESTRE'!$C:$C,'[4]2DO TRIMESTRE'!$I:$I,0,0)</f>
        <v>0</v>
      </c>
      <c r="AA433" s="94">
        <v>0</v>
      </c>
      <c r="AB433" s="94">
        <v>0</v>
      </c>
      <c r="AC433" s="94">
        <v>0</v>
      </c>
      <c r="AD433" s="93"/>
      <c r="AE433" s="94"/>
      <c r="AF433" s="94"/>
      <c r="AG433" s="94"/>
      <c r="AH433" s="117"/>
      <c r="AI433" s="94"/>
      <c r="AJ433" s="94"/>
      <c r="AK433" s="94"/>
      <c r="AL433" s="93">
        <v>0</v>
      </c>
      <c r="AM433" s="93">
        <f t="shared" si="147"/>
        <v>0</v>
      </c>
      <c r="AN433" s="155"/>
      <c r="AO433" s="155"/>
    </row>
    <row r="434" spans="1:41" s="9" customFormat="1" ht="25.15" customHeight="1" x14ac:dyDescent="0.25">
      <c r="A434" s="83">
        <v>429</v>
      </c>
      <c r="B434" s="84">
        <v>2025</v>
      </c>
      <c r="C434" s="85" t="s">
        <v>1010</v>
      </c>
      <c r="D434" s="86" t="s">
        <v>1940</v>
      </c>
      <c r="E434" s="86" t="s">
        <v>758</v>
      </c>
      <c r="F434" s="87">
        <v>45946</v>
      </c>
      <c r="G434" s="87">
        <v>46006</v>
      </c>
      <c r="H434" s="88">
        <f t="shared" si="163"/>
        <v>0.66666666666666663</v>
      </c>
      <c r="I434" s="89" t="s">
        <v>763</v>
      </c>
      <c r="J434" s="90" t="s">
        <v>751</v>
      </c>
      <c r="K434" s="90" t="s">
        <v>752</v>
      </c>
      <c r="L434" s="90" t="s">
        <v>753</v>
      </c>
      <c r="M434" s="91" t="s">
        <v>1059</v>
      </c>
      <c r="N434" s="92" t="s">
        <v>2025</v>
      </c>
      <c r="O434" s="85">
        <v>2910907421</v>
      </c>
      <c r="P434" s="93">
        <v>43000000</v>
      </c>
      <c r="Q434" s="93">
        <v>0</v>
      </c>
      <c r="R434" s="94">
        <v>43000000</v>
      </c>
      <c r="S434" s="95">
        <v>0.1199999440000028</v>
      </c>
      <c r="T434" s="94">
        <v>4607142.8571428563</v>
      </c>
      <c r="U434" s="117">
        <v>0</v>
      </c>
      <c r="V434" s="117">
        <v>0</v>
      </c>
      <c r="W434" s="94">
        <v>0</v>
      </c>
      <c r="X434" s="94">
        <v>0</v>
      </c>
      <c r="Y434" s="94">
        <v>0</v>
      </c>
      <c r="Z434" s="93">
        <f>_xlfn.XLOOKUP(O434,'[4]2DO TRIMESTRE'!$C:$C,'[4]2DO TRIMESTRE'!$I:$I,0,0)</f>
        <v>0</v>
      </c>
      <c r="AA434" s="94">
        <v>0</v>
      </c>
      <c r="AB434" s="94">
        <v>0</v>
      </c>
      <c r="AC434" s="94">
        <v>0</v>
      </c>
      <c r="AD434" s="93"/>
      <c r="AE434" s="94"/>
      <c r="AF434" s="94"/>
      <c r="AG434" s="94"/>
      <c r="AH434" s="117"/>
      <c r="AI434" s="94"/>
      <c r="AJ434" s="94"/>
      <c r="AK434" s="94"/>
      <c r="AL434" s="93">
        <v>0</v>
      </c>
      <c r="AM434" s="93">
        <f t="shared" si="147"/>
        <v>0</v>
      </c>
      <c r="AN434" s="155"/>
      <c r="AO434" s="155"/>
    </row>
    <row r="435" spans="1:41" s="9" customFormat="1" ht="25.15" customHeight="1" x14ac:dyDescent="0.25">
      <c r="A435" s="83">
        <v>430</v>
      </c>
      <c r="B435" s="84">
        <v>2025</v>
      </c>
      <c r="C435" s="85" t="s">
        <v>1000</v>
      </c>
      <c r="D435" s="86" t="s">
        <v>1941</v>
      </c>
      <c r="E435" s="86" t="s">
        <v>758</v>
      </c>
      <c r="F435" s="87">
        <v>45951</v>
      </c>
      <c r="G435" s="87">
        <v>46011</v>
      </c>
      <c r="H435" s="88">
        <f t="shared" si="163"/>
        <v>0.66666666666666663</v>
      </c>
      <c r="I435" s="89" t="s">
        <v>750</v>
      </c>
      <c r="J435" s="90" t="s">
        <v>751</v>
      </c>
      <c r="K435" s="90" t="s">
        <v>752</v>
      </c>
      <c r="L435" s="90" t="s">
        <v>753</v>
      </c>
      <c r="M435" s="91" t="s">
        <v>1059</v>
      </c>
      <c r="N435" s="92" t="s">
        <v>2026</v>
      </c>
      <c r="O435" s="85">
        <v>2910907423</v>
      </c>
      <c r="P435" s="93">
        <v>47000000</v>
      </c>
      <c r="Q435" s="93">
        <v>0</v>
      </c>
      <c r="R435" s="94">
        <v>47000000</v>
      </c>
      <c r="S435" s="95">
        <v>0.11999999237446814</v>
      </c>
      <c r="T435" s="94">
        <v>5035714.2857142854</v>
      </c>
      <c r="U435" s="117">
        <v>47000000</v>
      </c>
      <c r="V435" s="117">
        <v>0</v>
      </c>
      <c r="W435" s="94">
        <v>0</v>
      </c>
      <c r="X435" s="94">
        <v>0</v>
      </c>
      <c r="Y435" s="94">
        <v>0</v>
      </c>
      <c r="Z435" s="93">
        <f>_xlfn.XLOOKUP(O435,'[4]2DO TRIMESTRE'!$C:$C,'[4]2DO TRIMESTRE'!$I:$I,0,0)</f>
        <v>47000000</v>
      </c>
      <c r="AA435" s="94">
        <f t="shared" ref="AA435" si="167">+Z435/(1+$S435)*$S435</f>
        <v>5035714</v>
      </c>
      <c r="AB435" s="94">
        <f t="shared" ref="AB435" si="168">+AA435*40%</f>
        <v>2014285.6</v>
      </c>
      <c r="AC435" s="94">
        <f t="shared" ref="AC435" si="169">+AA435*60%</f>
        <v>3021428.4</v>
      </c>
      <c r="AD435" s="93"/>
      <c r="AE435" s="94"/>
      <c r="AF435" s="94"/>
      <c r="AG435" s="94"/>
      <c r="AH435" s="117"/>
      <c r="AI435" s="94"/>
      <c r="AJ435" s="94"/>
      <c r="AK435" s="94"/>
      <c r="AL435" s="93">
        <v>5035714</v>
      </c>
      <c r="AM435" s="93">
        <f t="shared" si="147"/>
        <v>5035714</v>
      </c>
      <c r="AN435" s="155"/>
      <c r="AO435" s="155"/>
    </row>
    <row r="436" spans="1:41" s="9" customFormat="1" ht="25.15" customHeight="1" x14ac:dyDescent="0.25">
      <c r="A436" s="83">
        <v>431</v>
      </c>
      <c r="B436" s="84">
        <v>2025</v>
      </c>
      <c r="C436" s="85" t="s">
        <v>1976</v>
      </c>
      <c r="D436" s="86" t="s">
        <v>1942</v>
      </c>
      <c r="E436" s="86" t="s">
        <v>758</v>
      </c>
      <c r="F436" s="87">
        <v>45974</v>
      </c>
      <c r="G436" s="87">
        <v>46021</v>
      </c>
      <c r="H436" s="88">
        <f t="shared" si="163"/>
        <v>0.52222222222222225</v>
      </c>
      <c r="I436" s="89" t="s">
        <v>763</v>
      </c>
      <c r="J436" s="90" t="s">
        <v>751</v>
      </c>
      <c r="K436" s="90" t="s">
        <v>752</v>
      </c>
      <c r="L436" s="90" t="s">
        <v>753</v>
      </c>
      <c r="M436" s="91" t="s">
        <v>1059</v>
      </c>
      <c r="N436" s="92" t="s">
        <v>2027</v>
      </c>
      <c r="O436" s="85">
        <v>2910907424</v>
      </c>
      <c r="P436" s="93">
        <v>18000000</v>
      </c>
      <c r="Q436" s="93">
        <v>0</v>
      </c>
      <c r="R436" s="94">
        <v>18000000</v>
      </c>
      <c r="S436" s="95">
        <v>0.1199999440000028</v>
      </c>
      <c r="T436" s="94">
        <v>1928571.4285714284</v>
      </c>
      <c r="U436" s="117">
        <v>0</v>
      </c>
      <c r="V436" s="117">
        <v>0</v>
      </c>
      <c r="W436" s="94">
        <v>0</v>
      </c>
      <c r="X436" s="94">
        <v>0</v>
      </c>
      <c r="Y436" s="94">
        <v>0</v>
      </c>
      <c r="Z436" s="93">
        <f>_xlfn.XLOOKUP(O436,'[4]2DO TRIMESTRE'!$C:$C,'[4]2DO TRIMESTRE'!$I:$I,0,0)</f>
        <v>0</v>
      </c>
      <c r="AA436" s="94">
        <v>0</v>
      </c>
      <c r="AB436" s="94">
        <v>0</v>
      </c>
      <c r="AC436" s="94">
        <v>0</v>
      </c>
      <c r="AD436" s="93"/>
      <c r="AE436" s="94"/>
      <c r="AF436" s="94"/>
      <c r="AG436" s="94"/>
      <c r="AH436" s="117"/>
      <c r="AI436" s="94"/>
      <c r="AJ436" s="94"/>
      <c r="AK436" s="94"/>
      <c r="AL436" s="93">
        <v>0</v>
      </c>
      <c r="AM436" s="93">
        <f t="shared" si="147"/>
        <v>0</v>
      </c>
      <c r="AN436" s="155"/>
      <c r="AO436" s="155"/>
    </row>
    <row r="437" spans="1:41" s="9" customFormat="1" ht="25.15" customHeight="1" x14ac:dyDescent="0.25">
      <c r="A437" s="83">
        <v>432</v>
      </c>
      <c r="B437" s="84">
        <v>2025</v>
      </c>
      <c r="C437" s="85" t="s">
        <v>996</v>
      </c>
      <c r="D437" s="86" t="s">
        <v>1943</v>
      </c>
      <c r="E437" s="86" t="s">
        <v>777</v>
      </c>
      <c r="F437" s="87">
        <v>45931</v>
      </c>
      <c r="G437" s="87">
        <v>45991</v>
      </c>
      <c r="H437" s="88">
        <f t="shared" si="163"/>
        <v>0.66666666666666663</v>
      </c>
      <c r="I437" s="89" t="s">
        <v>763</v>
      </c>
      <c r="J437" s="90" t="s">
        <v>751</v>
      </c>
      <c r="K437" s="90" t="s">
        <v>752</v>
      </c>
      <c r="L437" s="90" t="s">
        <v>753</v>
      </c>
      <c r="M437" s="91" t="s">
        <v>1059</v>
      </c>
      <c r="N437" s="92" t="s">
        <v>2028</v>
      </c>
      <c r="O437" s="85">
        <v>2453018387</v>
      </c>
      <c r="P437" s="93">
        <v>379460000</v>
      </c>
      <c r="Q437" s="93">
        <v>0</v>
      </c>
      <c r="R437" s="94">
        <v>379460000</v>
      </c>
      <c r="S437" s="95">
        <v>0.1199999440000028</v>
      </c>
      <c r="T437" s="94">
        <v>0</v>
      </c>
      <c r="U437" s="117">
        <v>0</v>
      </c>
      <c r="V437" s="117">
        <v>0</v>
      </c>
      <c r="W437" s="94">
        <v>0</v>
      </c>
      <c r="X437" s="94">
        <v>0</v>
      </c>
      <c r="Y437" s="94">
        <v>0</v>
      </c>
      <c r="Z437" s="93">
        <f>_xlfn.XLOOKUP(O437,'[4]2DO TRIMESTRE'!$C:$C,'[4]2DO TRIMESTRE'!$I:$I,0,0)</f>
        <v>0</v>
      </c>
      <c r="AA437" s="94">
        <v>0</v>
      </c>
      <c r="AB437" s="94">
        <v>0</v>
      </c>
      <c r="AC437" s="94">
        <v>0</v>
      </c>
      <c r="AD437" s="93"/>
      <c r="AE437" s="94"/>
      <c r="AF437" s="94"/>
      <c r="AG437" s="94"/>
      <c r="AH437" s="117"/>
      <c r="AI437" s="94"/>
      <c r="AJ437" s="94"/>
      <c r="AK437" s="94"/>
      <c r="AL437" s="93">
        <v>0</v>
      </c>
      <c r="AM437" s="93">
        <f t="shared" si="147"/>
        <v>0</v>
      </c>
      <c r="AN437" s="155"/>
      <c r="AO437" s="155"/>
    </row>
    <row r="438" spans="1:41" s="9" customFormat="1" ht="25.15" customHeight="1" x14ac:dyDescent="0.25">
      <c r="A438" s="83">
        <v>433</v>
      </c>
      <c r="B438" s="84">
        <v>2025</v>
      </c>
      <c r="C438" s="85" t="s">
        <v>1985</v>
      </c>
      <c r="D438" s="86" t="s">
        <v>1944</v>
      </c>
      <c r="E438" s="86" t="s">
        <v>758</v>
      </c>
      <c r="F438" s="87">
        <v>45992</v>
      </c>
      <c r="G438" s="87">
        <v>46216</v>
      </c>
      <c r="H438" s="88">
        <f t="shared" si="163"/>
        <v>2.4888888888888889</v>
      </c>
      <c r="I438" s="89" t="s">
        <v>750</v>
      </c>
      <c r="J438" s="90" t="s">
        <v>751</v>
      </c>
      <c r="K438" s="90" t="s">
        <v>752</v>
      </c>
      <c r="L438" s="90" t="s">
        <v>753</v>
      </c>
      <c r="M438" s="91" t="s">
        <v>1059</v>
      </c>
      <c r="N438" s="92" t="s">
        <v>1897</v>
      </c>
      <c r="O438" s="85">
        <v>2910907432</v>
      </c>
      <c r="P438" s="93">
        <v>580000000</v>
      </c>
      <c r="Q438" s="93">
        <v>0</v>
      </c>
      <c r="R438" s="94">
        <v>580000000</v>
      </c>
      <c r="S438" s="95">
        <v>0.1199999440000028</v>
      </c>
      <c r="T438" s="94">
        <v>62142857.142857134</v>
      </c>
      <c r="U438" s="117">
        <v>0</v>
      </c>
      <c r="V438" s="117">
        <v>0</v>
      </c>
      <c r="W438" s="94">
        <v>0</v>
      </c>
      <c r="X438" s="94">
        <v>0</v>
      </c>
      <c r="Y438" s="94">
        <v>0</v>
      </c>
      <c r="Z438" s="93">
        <f>_xlfn.XLOOKUP(O438,'[4]2DO TRIMESTRE'!$C:$C,'[4]2DO TRIMESTRE'!$I:$I,0,0)</f>
        <v>0</v>
      </c>
      <c r="AA438" s="94">
        <v>0</v>
      </c>
      <c r="AB438" s="94">
        <v>0</v>
      </c>
      <c r="AC438" s="94">
        <v>0</v>
      </c>
      <c r="AD438" s="93"/>
      <c r="AE438" s="94"/>
      <c r="AF438" s="94"/>
      <c r="AG438" s="94"/>
      <c r="AH438" s="117"/>
      <c r="AI438" s="94"/>
      <c r="AJ438" s="94"/>
      <c r="AK438" s="94"/>
      <c r="AL438" s="93">
        <v>0</v>
      </c>
      <c r="AM438" s="93">
        <f t="shared" si="147"/>
        <v>0</v>
      </c>
      <c r="AN438" s="155"/>
      <c r="AO438" s="155"/>
    </row>
    <row r="439" spans="1:41" s="9" customFormat="1" ht="25.15" customHeight="1" x14ac:dyDescent="0.25">
      <c r="A439" s="83">
        <v>434</v>
      </c>
      <c r="B439" s="84">
        <v>2025</v>
      </c>
      <c r="C439" s="85" t="s">
        <v>1986</v>
      </c>
      <c r="D439" s="86" t="s">
        <v>1945</v>
      </c>
      <c r="E439" s="86" t="s">
        <v>758</v>
      </c>
      <c r="F439" s="87">
        <v>45992</v>
      </c>
      <c r="G439" s="87">
        <v>46172</v>
      </c>
      <c r="H439" s="88">
        <f t="shared" si="163"/>
        <v>2</v>
      </c>
      <c r="I439" s="89" t="s">
        <v>763</v>
      </c>
      <c r="J439" s="90" t="s">
        <v>751</v>
      </c>
      <c r="K439" s="90" t="s">
        <v>752</v>
      </c>
      <c r="L439" s="90" t="s">
        <v>753</v>
      </c>
      <c r="M439" s="91" t="s">
        <v>1059</v>
      </c>
      <c r="N439" s="92" t="s">
        <v>2029</v>
      </c>
      <c r="O439" s="85">
        <v>2910907433</v>
      </c>
      <c r="P439" s="93">
        <v>500000000</v>
      </c>
      <c r="Q439" s="93">
        <v>0</v>
      </c>
      <c r="R439" s="94">
        <v>500000000</v>
      </c>
      <c r="S439" s="95">
        <v>0.12003404903509067</v>
      </c>
      <c r="T439" s="94">
        <v>53571428.571428567</v>
      </c>
      <c r="U439" s="117">
        <v>113125000</v>
      </c>
      <c r="V439" s="117">
        <v>0</v>
      </c>
      <c r="W439" s="94">
        <v>0</v>
      </c>
      <c r="X439" s="94">
        <v>0</v>
      </c>
      <c r="Y439" s="94">
        <v>0</v>
      </c>
      <c r="Z439" s="93">
        <f>_xlfn.XLOOKUP(O439,'[4]2DO TRIMESTRE'!$C:$C,'[4]2DO TRIMESTRE'!$I:$I,0,0)</f>
        <v>113125000</v>
      </c>
      <c r="AA439" s="94">
        <f t="shared" ref="AA439" si="170">+Z439/(1+$S439)*$S439</f>
        <v>12123606.25</v>
      </c>
      <c r="AB439" s="94">
        <f t="shared" ref="AB439" si="171">+AA439*40%</f>
        <v>4849442.5</v>
      </c>
      <c r="AC439" s="94">
        <f t="shared" ref="AC439" si="172">+AA439*60%</f>
        <v>7274163.75</v>
      </c>
      <c r="AD439" s="93"/>
      <c r="AE439" s="94"/>
      <c r="AF439" s="94"/>
      <c r="AG439" s="94"/>
      <c r="AH439" s="117"/>
      <c r="AI439" s="94"/>
      <c r="AJ439" s="94"/>
      <c r="AK439" s="94"/>
      <c r="AL439" s="93">
        <v>12123606.25</v>
      </c>
      <c r="AM439" s="93">
        <f t="shared" si="147"/>
        <v>12123606.25</v>
      </c>
      <c r="AN439" s="155"/>
      <c r="AO439" s="155"/>
    </row>
    <row r="440" spans="1:41" s="9" customFormat="1" ht="25.15" customHeight="1" x14ac:dyDescent="0.25">
      <c r="A440" s="83">
        <v>435</v>
      </c>
      <c r="B440" s="84">
        <v>2025</v>
      </c>
      <c r="C440" s="85" t="s">
        <v>1987</v>
      </c>
      <c r="D440" s="86" t="s">
        <v>1946</v>
      </c>
      <c r="E440" s="86" t="s">
        <v>758</v>
      </c>
      <c r="F440" s="87">
        <v>45968</v>
      </c>
      <c r="G440" s="87">
        <v>45997</v>
      </c>
      <c r="H440" s="88">
        <f t="shared" si="163"/>
        <v>0.32222222222222224</v>
      </c>
      <c r="I440" s="89" t="s">
        <v>763</v>
      </c>
      <c r="J440" s="90" t="s">
        <v>751</v>
      </c>
      <c r="K440" s="90" t="s">
        <v>752</v>
      </c>
      <c r="L440" s="90" t="s">
        <v>753</v>
      </c>
      <c r="M440" s="91" t="s">
        <v>1059</v>
      </c>
      <c r="N440" s="92" t="s">
        <v>2030</v>
      </c>
      <c r="O440" s="85">
        <v>2910907431</v>
      </c>
      <c r="P440" s="93">
        <v>21224000</v>
      </c>
      <c r="Q440" s="93">
        <v>0</v>
      </c>
      <c r="R440" s="94">
        <v>21224000</v>
      </c>
      <c r="S440" s="95">
        <v>0.1199999440000028</v>
      </c>
      <c r="T440" s="94">
        <v>2274000</v>
      </c>
      <c r="U440" s="117">
        <v>0</v>
      </c>
      <c r="V440" s="117">
        <v>0</v>
      </c>
      <c r="W440" s="94">
        <v>0</v>
      </c>
      <c r="X440" s="94">
        <v>0</v>
      </c>
      <c r="Y440" s="94">
        <v>0</v>
      </c>
      <c r="Z440" s="93">
        <f>_xlfn.XLOOKUP(O440,'[4]2DO TRIMESTRE'!$C:$C,'[4]2DO TRIMESTRE'!$I:$I,0,0)</f>
        <v>0</v>
      </c>
      <c r="AA440" s="94">
        <v>0</v>
      </c>
      <c r="AB440" s="94">
        <v>0</v>
      </c>
      <c r="AC440" s="94">
        <v>0</v>
      </c>
      <c r="AD440" s="93"/>
      <c r="AE440" s="94"/>
      <c r="AF440" s="94"/>
      <c r="AG440" s="94"/>
      <c r="AH440" s="117"/>
      <c r="AI440" s="94"/>
      <c r="AJ440" s="94"/>
      <c r="AK440" s="94"/>
      <c r="AL440" s="93">
        <v>0</v>
      </c>
      <c r="AM440" s="93">
        <f t="shared" si="147"/>
        <v>0</v>
      </c>
      <c r="AN440" s="155"/>
      <c r="AO440" s="155"/>
    </row>
    <row r="441" spans="1:41" s="9" customFormat="1" ht="25.15" customHeight="1" x14ac:dyDescent="0.25">
      <c r="A441" s="83">
        <v>436</v>
      </c>
      <c r="B441" s="84">
        <v>2025</v>
      </c>
      <c r="C441" s="85" t="s">
        <v>1119</v>
      </c>
      <c r="D441" s="86" t="s">
        <v>1947</v>
      </c>
      <c r="E441" s="86" t="s">
        <v>758</v>
      </c>
      <c r="F441" s="87">
        <v>45968</v>
      </c>
      <c r="G441" s="87">
        <v>46021</v>
      </c>
      <c r="H441" s="88">
        <f t="shared" si="163"/>
        <v>0.58888888888888891</v>
      </c>
      <c r="I441" s="89" t="s">
        <v>763</v>
      </c>
      <c r="J441" s="90" t="s">
        <v>751</v>
      </c>
      <c r="K441" s="90" t="s">
        <v>752</v>
      </c>
      <c r="L441" s="90" t="s">
        <v>753</v>
      </c>
      <c r="M441" s="91" t="s">
        <v>1059</v>
      </c>
      <c r="N441" s="92" t="s">
        <v>2031</v>
      </c>
      <c r="O441" s="85">
        <v>2910907430</v>
      </c>
      <c r="P441" s="93">
        <v>21900000</v>
      </c>
      <c r="Q441" s="93">
        <v>0</v>
      </c>
      <c r="R441" s="94">
        <v>21900000</v>
      </c>
      <c r="S441" s="95">
        <v>0.1199999440000028</v>
      </c>
      <c r="T441" s="94">
        <v>2346428.5714285714</v>
      </c>
      <c r="U441" s="117">
        <v>0</v>
      </c>
      <c r="V441" s="117">
        <v>0</v>
      </c>
      <c r="W441" s="94">
        <v>0</v>
      </c>
      <c r="X441" s="94">
        <v>0</v>
      </c>
      <c r="Y441" s="94">
        <v>0</v>
      </c>
      <c r="Z441" s="93">
        <f>_xlfn.XLOOKUP(O441,'[4]2DO TRIMESTRE'!$C:$C,'[4]2DO TRIMESTRE'!$I:$I,0,0)</f>
        <v>0</v>
      </c>
      <c r="AA441" s="94">
        <v>0</v>
      </c>
      <c r="AB441" s="94">
        <v>0</v>
      </c>
      <c r="AC441" s="94">
        <v>0</v>
      </c>
      <c r="AD441" s="93"/>
      <c r="AE441" s="94"/>
      <c r="AF441" s="94"/>
      <c r="AG441" s="94"/>
      <c r="AH441" s="117"/>
      <c r="AI441" s="94"/>
      <c r="AJ441" s="94"/>
      <c r="AK441" s="94"/>
      <c r="AL441" s="93">
        <v>0</v>
      </c>
      <c r="AM441" s="93">
        <f t="shared" si="147"/>
        <v>0</v>
      </c>
      <c r="AN441" s="155"/>
      <c r="AO441" s="155"/>
    </row>
    <row r="442" spans="1:41" s="9" customFormat="1" ht="25.15" customHeight="1" x14ac:dyDescent="0.25">
      <c r="A442" s="83">
        <v>437</v>
      </c>
      <c r="B442" s="84">
        <v>2025</v>
      </c>
      <c r="C442" s="85" t="s">
        <v>1988</v>
      </c>
      <c r="D442" s="86" t="s">
        <v>1948</v>
      </c>
      <c r="E442" s="86" t="s">
        <v>758</v>
      </c>
      <c r="F442" s="87">
        <v>46000</v>
      </c>
      <c r="G442" s="87">
        <v>46242</v>
      </c>
      <c r="H442" s="88">
        <f t="shared" si="163"/>
        <v>2.6888888888888891</v>
      </c>
      <c r="I442" s="89" t="s">
        <v>759</v>
      </c>
      <c r="J442" s="90" t="s">
        <v>751</v>
      </c>
      <c r="K442" s="90" t="s">
        <v>752</v>
      </c>
      <c r="L442" s="90" t="s">
        <v>753</v>
      </c>
      <c r="M442" s="91" t="s">
        <v>1059</v>
      </c>
      <c r="N442" s="92" t="s">
        <v>2032</v>
      </c>
      <c r="O442" s="85">
        <v>2910907438</v>
      </c>
      <c r="P442" s="93">
        <v>3160000000</v>
      </c>
      <c r="Q442" s="93">
        <v>0</v>
      </c>
      <c r="R442" s="94">
        <v>3160000000</v>
      </c>
      <c r="S442" s="95">
        <v>0.12000000017012659</v>
      </c>
      <c r="T442" s="94">
        <v>338571428.57142854</v>
      </c>
      <c r="U442" s="117">
        <v>1264000000</v>
      </c>
      <c r="V442" s="117">
        <v>0</v>
      </c>
      <c r="W442" s="94">
        <v>0</v>
      </c>
      <c r="X442" s="94">
        <v>0</v>
      </c>
      <c r="Y442" s="94">
        <v>0</v>
      </c>
      <c r="Z442" s="93">
        <f>_xlfn.XLOOKUP(O442,'[4]2DO TRIMESTRE'!$C:$C,'[4]2DO TRIMESTRE'!$I:$I,0,0)</f>
        <v>1264000000</v>
      </c>
      <c r="AA442" s="94">
        <f t="shared" ref="AA442" si="173">+Z442/(1+$S442)*$S442</f>
        <v>135428571.59999999</v>
      </c>
      <c r="AB442" s="94">
        <f t="shared" ref="AB442" si="174">+AA442*40%</f>
        <v>54171428.640000001</v>
      </c>
      <c r="AC442" s="94">
        <f t="shared" ref="AC442" si="175">+AA442*60%</f>
        <v>81257142.959999993</v>
      </c>
      <c r="AD442" s="93"/>
      <c r="AE442" s="94"/>
      <c r="AF442" s="94"/>
      <c r="AG442" s="94"/>
      <c r="AH442" s="117"/>
      <c r="AI442" s="94"/>
      <c r="AJ442" s="94"/>
      <c r="AK442" s="94"/>
      <c r="AL442" s="93">
        <v>135428571.59999999</v>
      </c>
      <c r="AM442" s="93">
        <f t="shared" si="147"/>
        <v>135428571.59999999</v>
      </c>
      <c r="AN442" s="155"/>
      <c r="AO442" s="155"/>
    </row>
    <row r="443" spans="1:41" s="9" customFormat="1" ht="25.15" customHeight="1" x14ac:dyDescent="0.25">
      <c r="A443" s="83">
        <v>438</v>
      </c>
      <c r="B443" s="84">
        <v>2025</v>
      </c>
      <c r="C443" s="85" t="s">
        <v>1983</v>
      </c>
      <c r="D443" s="86" t="s">
        <v>1949</v>
      </c>
      <c r="E443" s="86" t="s">
        <v>758</v>
      </c>
      <c r="F443" s="87">
        <v>45968</v>
      </c>
      <c r="G443" s="87">
        <v>46021</v>
      </c>
      <c r="H443" s="88">
        <f t="shared" si="163"/>
        <v>0.58888888888888891</v>
      </c>
      <c r="I443" s="89" t="s">
        <v>763</v>
      </c>
      <c r="J443" s="90" t="s">
        <v>751</v>
      </c>
      <c r="K443" s="90" t="s">
        <v>752</v>
      </c>
      <c r="L443" s="90" t="s">
        <v>753</v>
      </c>
      <c r="M443" s="91" t="s">
        <v>1059</v>
      </c>
      <c r="N443" s="92" t="s">
        <v>2033</v>
      </c>
      <c r="O443" s="85">
        <v>2910907426</v>
      </c>
      <c r="P443" s="93">
        <v>25000000</v>
      </c>
      <c r="Q443" s="93">
        <v>0</v>
      </c>
      <c r="R443" s="94">
        <v>25000000</v>
      </c>
      <c r="S443" s="95">
        <v>0.1199999440000028</v>
      </c>
      <c r="T443" s="94">
        <v>2678571.4285714282</v>
      </c>
      <c r="U443" s="117">
        <v>0</v>
      </c>
      <c r="V443" s="117">
        <v>0</v>
      </c>
      <c r="W443" s="94">
        <v>0</v>
      </c>
      <c r="X443" s="94">
        <v>0</v>
      </c>
      <c r="Y443" s="94">
        <v>0</v>
      </c>
      <c r="Z443" s="93">
        <f>_xlfn.XLOOKUP(O443,'[4]2DO TRIMESTRE'!$C:$C,'[4]2DO TRIMESTRE'!$I:$I,0,0)</f>
        <v>0</v>
      </c>
      <c r="AA443" s="94">
        <v>0</v>
      </c>
      <c r="AB443" s="94">
        <v>0</v>
      </c>
      <c r="AC443" s="94">
        <v>0</v>
      </c>
      <c r="AD443" s="93"/>
      <c r="AE443" s="94"/>
      <c r="AF443" s="94"/>
      <c r="AG443" s="94"/>
      <c r="AH443" s="117"/>
      <c r="AI443" s="94"/>
      <c r="AJ443" s="94"/>
      <c r="AK443" s="94"/>
      <c r="AL443" s="93">
        <v>0</v>
      </c>
      <c r="AM443" s="93">
        <f t="shared" si="147"/>
        <v>0</v>
      </c>
      <c r="AN443" s="155"/>
      <c r="AO443" s="155"/>
    </row>
    <row r="444" spans="1:41" s="9" customFormat="1" ht="25.15" customHeight="1" x14ac:dyDescent="0.25">
      <c r="A444" s="83">
        <v>439</v>
      </c>
      <c r="B444" s="84">
        <v>2025</v>
      </c>
      <c r="C444" s="85" t="s">
        <v>1980</v>
      </c>
      <c r="D444" s="86" t="s">
        <v>1950</v>
      </c>
      <c r="E444" s="86" t="s">
        <v>758</v>
      </c>
      <c r="F444" s="87">
        <v>45968</v>
      </c>
      <c r="G444" s="87">
        <v>46006</v>
      </c>
      <c r="H444" s="88">
        <f t="shared" si="163"/>
        <v>0.42222222222222222</v>
      </c>
      <c r="I444" s="89" t="s">
        <v>750</v>
      </c>
      <c r="J444" s="90" t="s">
        <v>751</v>
      </c>
      <c r="K444" s="90" t="s">
        <v>752</v>
      </c>
      <c r="L444" s="90" t="s">
        <v>753</v>
      </c>
      <c r="M444" s="91" t="s">
        <v>1059</v>
      </c>
      <c r="N444" s="92" t="s">
        <v>2034</v>
      </c>
      <c r="O444" s="85">
        <v>2910907425</v>
      </c>
      <c r="P444" s="93">
        <v>9900000</v>
      </c>
      <c r="Q444" s="93">
        <v>0</v>
      </c>
      <c r="R444" s="94">
        <v>9900000</v>
      </c>
      <c r="S444" s="95">
        <v>0.1199999440000028</v>
      </c>
      <c r="T444" s="94">
        <v>1060714.2857142857</v>
      </c>
      <c r="U444" s="117">
        <v>0</v>
      </c>
      <c r="V444" s="117">
        <v>0</v>
      </c>
      <c r="W444" s="94">
        <v>0</v>
      </c>
      <c r="X444" s="94">
        <v>0</v>
      </c>
      <c r="Y444" s="94">
        <v>0</v>
      </c>
      <c r="Z444" s="93">
        <f>_xlfn.XLOOKUP(O444,'[4]2DO TRIMESTRE'!$C:$C,'[4]2DO TRIMESTRE'!$I:$I,0,0)</f>
        <v>0</v>
      </c>
      <c r="AA444" s="94">
        <v>0</v>
      </c>
      <c r="AB444" s="94">
        <v>0</v>
      </c>
      <c r="AC444" s="94">
        <v>0</v>
      </c>
      <c r="AD444" s="93"/>
      <c r="AE444" s="94"/>
      <c r="AF444" s="94"/>
      <c r="AG444" s="94"/>
      <c r="AH444" s="117"/>
      <c r="AI444" s="94"/>
      <c r="AJ444" s="94"/>
      <c r="AK444" s="94"/>
      <c r="AL444" s="93">
        <v>0</v>
      </c>
      <c r="AM444" s="93">
        <f t="shared" si="147"/>
        <v>0</v>
      </c>
      <c r="AN444" s="155"/>
      <c r="AO444" s="155"/>
    </row>
    <row r="445" spans="1:41" s="9" customFormat="1" ht="25.15" customHeight="1" x14ac:dyDescent="0.25">
      <c r="A445" s="83">
        <v>440</v>
      </c>
      <c r="B445" s="84">
        <v>2025</v>
      </c>
      <c r="C445" s="85" t="s">
        <v>1982</v>
      </c>
      <c r="D445" s="86" t="s">
        <v>1951</v>
      </c>
      <c r="E445" s="86" t="s">
        <v>758</v>
      </c>
      <c r="F445" s="87">
        <v>45976</v>
      </c>
      <c r="G445" s="87">
        <v>46029</v>
      </c>
      <c r="H445" s="88">
        <f t="shared" si="163"/>
        <v>0.58888888888888891</v>
      </c>
      <c r="I445" s="89" t="s">
        <v>763</v>
      </c>
      <c r="J445" s="90" t="s">
        <v>751</v>
      </c>
      <c r="K445" s="90" t="s">
        <v>752</v>
      </c>
      <c r="L445" s="90" t="s">
        <v>753</v>
      </c>
      <c r="M445" s="91" t="s">
        <v>1059</v>
      </c>
      <c r="N445" s="92" t="s">
        <v>2035</v>
      </c>
      <c r="O445" s="85">
        <v>2910907434</v>
      </c>
      <c r="P445" s="93">
        <v>10000000</v>
      </c>
      <c r="Q445" s="93">
        <v>0</v>
      </c>
      <c r="R445" s="94">
        <v>10000000</v>
      </c>
      <c r="S445" s="95">
        <v>0.1199999440000028</v>
      </c>
      <c r="T445" s="94">
        <v>1071428.5714285714</v>
      </c>
      <c r="U445" s="117">
        <v>0</v>
      </c>
      <c r="V445" s="117">
        <v>0</v>
      </c>
      <c r="W445" s="94">
        <v>0</v>
      </c>
      <c r="X445" s="94">
        <v>0</v>
      </c>
      <c r="Y445" s="94">
        <v>0</v>
      </c>
      <c r="Z445" s="93">
        <f>_xlfn.XLOOKUP(O445,'[4]2DO TRIMESTRE'!$C:$C,'[4]2DO TRIMESTRE'!$I:$I,0,0)</f>
        <v>0</v>
      </c>
      <c r="AA445" s="94">
        <v>0</v>
      </c>
      <c r="AB445" s="94">
        <v>0</v>
      </c>
      <c r="AC445" s="94">
        <v>0</v>
      </c>
      <c r="AD445" s="93"/>
      <c r="AE445" s="94"/>
      <c r="AF445" s="94"/>
      <c r="AG445" s="94"/>
      <c r="AH445" s="117"/>
      <c r="AI445" s="94"/>
      <c r="AJ445" s="94"/>
      <c r="AK445" s="94"/>
      <c r="AL445" s="93">
        <v>0</v>
      </c>
      <c r="AM445" s="93">
        <f t="shared" si="147"/>
        <v>0</v>
      </c>
      <c r="AN445" s="155"/>
      <c r="AO445" s="155"/>
    </row>
    <row r="446" spans="1:41" s="9" customFormat="1" ht="25.15" customHeight="1" x14ac:dyDescent="0.25">
      <c r="A446" s="83">
        <v>441</v>
      </c>
      <c r="B446" s="84">
        <v>2025</v>
      </c>
      <c r="C446" s="85" t="s">
        <v>1989</v>
      </c>
      <c r="D446" s="86" t="s">
        <v>1952</v>
      </c>
      <c r="E446" s="86" t="s">
        <v>758</v>
      </c>
      <c r="F446" s="87">
        <v>45968</v>
      </c>
      <c r="G446" s="87">
        <v>46080</v>
      </c>
      <c r="H446" s="88">
        <f t="shared" si="163"/>
        <v>1.2444444444444445</v>
      </c>
      <c r="I446" s="89" t="s">
        <v>763</v>
      </c>
      <c r="J446" s="90" t="s">
        <v>751</v>
      </c>
      <c r="K446" s="90" t="s">
        <v>752</v>
      </c>
      <c r="L446" s="90" t="s">
        <v>753</v>
      </c>
      <c r="M446" s="91" t="s">
        <v>1059</v>
      </c>
      <c r="N446" s="92" t="s">
        <v>2036</v>
      </c>
      <c r="O446" s="85">
        <v>2910907429</v>
      </c>
      <c r="P446" s="93">
        <v>3000000</v>
      </c>
      <c r="Q446" s="93">
        <v>0</v>
      </c>
      <c r="R446" s="94">
        <v>3000000</v>
      </c>
      <c r="S446" s="95">
        <v>0.12000017920002867</v>
      </c>
      <c r="T446" s="94">
        <v>321428.57142857142</v>
      </c>
      <c r="U446" s="117">
        <v>3000000</v>
      </c>
      <c r="V446" s="117">
        <v>0</v>
      </c>
      <c r="W446" s="94">
        <v>0</v>
      </c>
      <c r="X446" s="94">
        <v>0</v>
      </c>
      <c r="Y446" s="94">
        <v>0</v>
      </c>
      <c r="Z446" s="93">
        <f>_xlfn.XLOOKUP(O446,'[4]2DO TRIMESTRE'!$C:$C,'[4]2DO TRIMESTRE'!$I:$I,0,0)</f>
        <v>3000000</v>
      </c>
      <c r="AA446" s="94">
        <f t="shared" ref="AA446:AA447" si="176">+Z446/(1+$S446)*$S446</f>
        <v>321429</v>
      </c>
      <c r="AB446" s="94">
        <f t="shared" ref="AB446:AB447" si="177">+AA446*40%</f>
        <v>128571.6</v>
      </c>
      <c r="AC446" s="94">
        <f t="shared" ref="AC446:AC447" si="178">+AA446*60%</f>
        <v>192857.4</v>
      </c>
      <c r="AD446" s="93"/>
      <c r="AE446" s="94"/>
      <c r="AF446" s="94"/>
      <c r="AG446" s="94"/>
      <c r="AH446" s="117"/>
      <c r="AI446" s="94"/>
      <c r="AJ446" s="94"/>
      <c r="AK446" s="94"/>
      <c r="AL446" s="93">
        <v>321429</v>
      </c>
      <c r="AM446" s="93">
        <f t="shared" si="147"/>
        <v>321429</v>
      </c>
      <c r="AN446" s="155"/>
      <c r="AO446" s="155"/>
    </row>
    <row r="447" spans="1:41" s="9" customFormat="1" ht="25.15" customHeight="1" x14ac:dyDescent="0.25">
      <c r="A447" s="83">
        <v>442</v>
      </c>
      <c r="B447" s="84">
        <v>2025</v>
      </c>
      <c r="C447" s="85" t="s">
        <v>1990</v>
      </c>
      <c r="D447" s="86" t="s">
        <v>1953</v>
      </c>
      <c r="E447" s="86" t="s">
        <v>758</v>
      </c>
      <c r="F447" s="87">
        <v>46041</v>
      </c>
      <c r="G447" s="87">
        <v>46344</v>
      </c>
      <c r="H447" s="88">
        <f t="shared" si="163"/>
        <v>3.3666666666666667</v>
      </c>
      <c r="I447" s="89" t="s">
        <v>759</v>
      </c>
      <c r="J447" s="90" t="s">
        <v>751</v>
      </c>
      <c r="K447" s="90" t="s">
        <v>752</v>
      </c>
      <c r="L447" s="90" t="s">
        <v>753</v>
      </c>
      <c r="M447" s="91" t="s">
        <v>1059</v>
      </c>
      <c r="N447" s="92" t="s">
        <v>2037</v>
      </c>
      <c r="O447" s="85">
        <v>2910907428</v>
      </c>
      <c r="P447" s="93">
        <v>254400000</v>
      </c>
      <c r="Q447" s="93">
        <v>0</v>
      </c>
      <c r="R447" s="94">
        <v>254400000</v>
      </c>
      <c r="S447" s="95">
        <v>0.12000000070440252</v>
      </c>
      <c r="T447" s="94">
        <v>27257142.857142854</v>
      </c>
      <c r="U447" s="117">
        <v>50880000</v>
      </c>
      <c r="V447" s="117">
        <v>0</v>
      </c>
      <c r="W447" s="94">
        <v>0</v>
      </c>
      <c r="X447" s="94">
        <v>0</v>
      </c>
      <c r="Y447" s="94">
        <v>0</v>
      </c>
      <c r="Z447" s="93">
        <f>_xlfn.XLOOKUP(O447,'[4]2DO TRIMESTRE'!$C:$C,'[4]2DO TRIMESTRE'!$I:$I,0,0)</f>
        <v>50880000</v>
      </c>
      <c r="AA447" s="94">
        <f t="shared" si="176"/>
        <v>5451428.6000000006</v>
      </c>
      <c r="AB447" s="94">
        <f t="shared" si="177"/>
        <v>2180571.4400000004</v>
      </c>
      <c r="AC447" s="94">
        <f t="shared" si="178"/>
        <v>3270857.16</v>
      </c>
      <c r="AD447" s="93"/>
      <c r="AE447" s="94"/>
      <c r="AF447" s="94"/>
      <c r="AG447" s="94"/>
      <c r="AH447" s="117"/>
      <c r="AI447" s="94"/>
      <c r="AJ447" s="94"/>
      <c r="AK447" s="94"/>
      <c r="AL447" s="93">
        <v>5451428.6000000006</v>
      </c>
      <c r="AM447" s="93">
        <f t="shared" si="147"/>
        <v>5451428.6000000006</v>
      </c>
      <c r="AN447" s="155"/>
      <c r="AO447" s="155"/>
    </row>
    <row r="448" spans="1:41" s="9" customFormat="1" ht="25.15" customHeight="1" x14ac:dyDescent="0.25">
      <c r="A448" s="83">
        <v>443</v>
      </c>
      <c r="B448" s="84">
        <v>2025</v>
      </c>
      <c r="C448" s="85" t="s">
        <v>1991</v>
      </c>
      <c r="D448" s="86" t="s">
        <v>1954</v>
      </c>
      <c r="E448" s="86" t="s">
        <v>777</v>
      </c>
      <c r="F448" s="87">
        <v>45967</v>
      </c>
      <c r="G448" s="87">
        <v>46179</v>
      </c>
      <c r="H448" s="88">
        <f t="shared" si="163"/>
        <v>2.3555555555555556</v>
      </c>
      <c r="I448" s="89" t="s">
        <v>763</v>
      </c>
      <c r="J448" s="90" t="s">
        <v>751</v>
      </c>
      <c r="K448" s="90" t="s">
        <v>752</v>
      </c>
      <c r="L448" s="90" t="s">
        <v>753</v>
      </c>
      <c r="M448" s="91" t="s">
        <v>1059</v>
      </c>
      <c r="N448" s="92" t="s">
        <v>2038</v>
      </c>
      <c r="O448" s="85">
        <v>2453018394</v>
      </c>
      <c r="P448" s="93">
        <v>333333400</v>
      </c>
      <c r="Q448" s="93">
        <v>0</v>
      </c>
      <c r="R448" s="94">
        <v>333333400</v>
      </c>
      <c r="S448" s="95">
        <v>0.1199999440000028</v>
      </c>
      <c r="T448" s="94">
        <v>32142857.142857138</v>
      </c>
      <c r="U448" s="117">
        <v>0</v>
      </c>
      <c r="V448" s="117">
        <v>0</v>
      </c>
      <c r="W448" s="94">
        <v>0</v>
      </c>
      <c r="X448" s="94">
        <v>0</v>
      </c>
      <c r="Y448" s="94">
        <v>0</v>
      </c>
      <c r="Z448" s="93">
        <f>_xlfn.XLOOKUP(O448,'[4]2DO TRIMESTRE'!$C:$C,'[4]2DO TRIMESTRE'!$I:$I,0,0)</f>
        <v>0</v>
      </c>
      <c r="AA448" s="94">
        <v>0</v>
      </c>
      <c r="AB448" s="94">
        <v>0</v>
      </c>
      <c r="AC448" s="94">
        <v>0</v>
      </c>
      <c r="AD448" s="93"/>
      <c r="AE448" s="94"/>
      <c r="AF448" s="94"/>
      <c r="AG448" s="94"/>
      <c r="AH448" s="117"/>
      <c r="AI448" s="94"/>
      <c r="AJ448" s="94"/>
      <c r="AK448" s="94"/>
      <c r="AL448" s="93">
        <v>0</v>
      </c>
      <c r="AM448" s="93">
        <f t="shared" si="147"/>
        <v>0</v>
      </c>
      <c r="AN448" s="155"/>
      <c r="AO448" s="155"/>
    </row>
    <row r="449" spans="1:41" s="9" customFormat="1" ht="25.15" customHeight="1" x14ac:dyDescent="0.25">
      <c r="A449" s="83">
        <v>444</v>
      </c>
      <c r="B449" s="84">
        <v>2025</v>
      </c>
      <c r="C449" s="85" t="s">
        <v>1452</v>
      </c>
      <c r="D449" s="86" t="s">
        <v>1955</v>
      </c>
      <c r="E449" s="86" t="s">
        <v>758</v>
      </c>
      <c r="F449" s="87">
        <v>46037</v>
      </c>
      <c r="G449" s="87">
        <v>46159</v>
      </c>
      <c r="H449" s="88">
        <f t="shared" si="163"/>
        <v>1.3555555555555556</v>
      </c>
      <c r="I449" s="89" t="s">
        <v>763</v>
      </c>
      <c r="J449" s="90" t="s">
        <v>751</v>
      </c>
      <c r="K449" s="90" t="s">
        <v>752</v>
      </c>
      <c r="L449" s="90" t="s">
        <v>753</v>
      </c>
      <c r="M449" s="91" t="s">
        <v>754</v>
      </c>
      <c r="N449" s="92" t="s">
        <v>2039</v>
      </c>
      <c r="O449" s="85">
        <v>2910908246</v>
      </c>
      <c r="P449" s="93">
        <v>2500000</v>
      </c>
      <c r="Q449" s="93">
        <v>0</v>
      </c>
      <c r="R449" s="94">
        <v>2500000</v>
      </c>
      <c r="S449" s="95">
        <v>0.1199999440000028</v>
      </c>
      <c r="T449" s="94">
        <v>267857.14285714284</v>
      </c>
      <c r="U449" s="117">
        <v>0</v>
      </c>
      <c r="V449" s="117">
        <v>0</v>
      </c>
      <c r="W449" s="94">
        <v>0</v>
      </c>
      <c r="X449" s="94">
        <v>0</v>
      </c>
      <c r="Y449" s="94">
        <v>0</v>
      </c>
      <c r="Z449" s="93">
        <f>_xlfn.XLOOKUP(O449,'[4]2DO TRIMESTRE'!$C:$C,'[4]2DO TRIMESTRE'!$I:$I,0,0)</f>
        <v>0</v>
      </c>
      <c r="AA449" s="94">
        <v>0</v>
      </c>
      <c r="AB449" s="94">
        <v>0</v>
      </c>
      <c r="AC449" s="94">
        <v>0</v>
      </c>
      <c r="AD449" s="93"/>
      <c r="AE449" s="94"/>
      <c r="AF449" s="94"/>
      <c r="AG449" s="94"/>
      <c r="AH449" s="117"/>
      <c r="AI449" s="94"/>
      <c r="AJ449" s="94"/>
      <c r="AK449" s="94"/>
      <c r="AL449" s="93">
        <v>0</v>
      </c>
      <c r="AM449" s="93">
        <f t="shared" si="147"/>
        <v>0</v>
      </c>
      <c r="AN449" s="155"/>
      <c r="AO449" s="155"/>
    </row>
    <row r="450" spans="1:41" s="9" customFormat="1" ht="25.15" customHeight="1" x14ac:dyDescent="0.25">
      <c r="A450" s="83">
        <v>445</v>
      </c>
      <c r="B450" s="84">
        <v>2025</v>
      </c>
      <c r="C450" s="85" t="s">
        <v>1452</v>
      </c>
      <c r="D450" s="86" t="s">
        <v>1956</v>
      </c>
      <c r="E450" s="86" t="s">
        <v>758</v>
      </c>
      <c r="F450" s="87">
        <v>45870</v>
      </c>
      <c r="G450" s="87">
        <v>46036</v>
      </c>
      <c r="H450" s="88">
        <f t="shared" si="163"/>
        <v>1.8444444444444446</v>
      </c>
      <c r="I450" s="89" t="s">
        <v>759</v>
      </c>
      <c r="J450" s="90" t="s">
        <v>751</v>
      </c>
      <c r="K450" s="90" t="s">
        <v>752</v>
      </c>
      <c r="L450" s="90" t="s">
        <v>753</v>
      </c>
      <c r="M450" s="91" t="s">
        <v>754</v>
      </c>
      <c r="N450" s="92" t="s">
        <v>2040</v>
      </c>
      <c r="O450" s="85">
        <v>2910908245</v>
      </c>
      <c r="P450" s="93">
        <v>9742847</v>
      </c>
      <c r="Q450" s="93">
        <v>0</v>
      </c>
      <c r="R450" s="94">
        <v>9742847</v>
      </c>
      <c r="S450" s="95">
        <v>0.1199999440000028</v>
      </c>
      <c r="T450" s="94">
        <v>1043876.4642857141</v>
      </c>
      <c r="U450" s="117">
        <v>0</v>
      </c>
      <c r="V450" s="117">
        <v>0</v>
      </c>
      <c r="W450" s="94">
        <v>0</v>
      </c>
      <c r="X450" s="94">
        <v>0</v>
      </c>
      <c r="Y450" s="94">
        <v>0</v>
      </c>
      <c r="Z450" s="93">
        <f>_xlfn.XLOOKUP(O450,'[4]2DO TRIMESTRE'!$C:$C,'[4]2DO TRIMESTRE'!$I:$I,0,0)</f>
        <v>0</v>
      </c>
      <c r="AA450" s="94">
        <v>0</v>
      </c>
      <c r="AB450" s="94">
        <v>0</v>
      </c>
      <c r="AC450" s="94">
        <v>0</v>
      </c>
      <c r="AD450" s="93"/>
      <c r="AE450" s="94"/>
      <c r="AF450" s="94"/>
      <c r="AG450" s="94"/>
      <c r="AH450" s="117"/>
      <c r="AI450" s="94"/>
      <c r="AJ450" s="94"/>
      <c r="AK450" s="94"/>
      <c r="AL450" s="93">
        <v>0</v>
      </c>
      <c r="AM450" s="93">
        <f t="shared" si="147"/>
        <v>0</v>
      </c>
      <c r="AN450" s="155"/>
      <c r="AO450" s="155"/>
    </row>
    <row r="451" spans="1:41" s="9" customFormat="1" ht="25.15" customHeight="1" x14ac:dyDescent="0.25">
      <c r="A451" s="83">
        <v>446</v>
      </c>
      <c r="B451" s="84">
        <v>2025</v>
      </c>
      <c r="C451" s="85" t="s">
        <v>1992</v>
      </c>
      <c r="D451" s="86" t="s">
        <v>1957</v>
      </c>
      <c r="E451" s="86" t="s">
        <v>758</v>
      </c>
      <c r="F451" s="87">
        <v>46042</v>
      </c>
      <c r="G451" s="87">
        <v>46345</v>
      </c>
      <c r="H451" s="88">
        <f>+(G451-F451)/90</f>
        <v>3.3666666666666667</v>
      </c>
      <c r="I451" s="89" t="s">
        <v>759</v>
      </c>
      <c r="J451" s="90" t="s">
        <v>751</v>
      </c>
      <c r="K451" s="90" t="s">
        <v>752</v>
      </c>
      <c r="L451" s="90" t="s">
        <v>753</v>
      </c>
      <c r="M451" s="91" t="s">
        <v>1059</v>
      </c>
      <c r="N451" s="92" t="s">
        <v>2035</v>
      </c>
      <c r="O451" s="85">
        <v>2910907436</v>
      </c>
      <c r="P451" s="93">
        <v>515057944</v>
      </c>
      <c r="Q451" s="93">
        <v>0</v>
      </c>
      <c r="R451" s="94">
        <v>515057944</v>
      </c>
      <c r="S451" s="95">
        <v>0.12000000069584404</v>
      </c>
      <c r="T451" s="94">
        <v>55184779.714285709</v>
      </c>
      <c r="U451" s="117">
        <v>80000000</v>
      </c>
      <c r="V451" s="117">
        <v>0</v>
      </c>
      <c r="W451" s="94">
        <v>0</v>
      </c>
      <c r="X451" s="94">
        <v>0</v>
      </c>
      <c r="Y451" s="94">
        <v>0</v>
      </c>
      <c r="Z451" s="93">
        <v>80000000</v>
      </c>
      <c r="AA451" s="94">
        <f>+Z451/(1+$S451)*$S451</f>
        <v>8571428.6158063821</v>
      </c>
      <c r="AB451" s="94">
        <f t="shared" ref="AB451" si="179">+AA451*40%</f>
        <v>3428571.4463225529</v>
      </c>
      <c r="AC451" s="94">
        <f>+AA451*60%</f>
        <v>5142857.1694838293</v>
      </c>
      <c r="AD451" s="93"/>
      <c r="AE451" s="94"/>
      <c r="AF451" s="94"/>
      <c r="AG451" s="94"/>
      <c r="AH451" s="117"/>
      <c r="AI451" s="94"/>
      <c r="AJ451" s="94"/>
      <c r="AK451" s="94"/>
      <c r="AL451" s="93">
        <v>11785714.346733775</v>
      </c>
      <c r="AM451" s="93">
        <f t="shared" si="147"/>
        <v>8571428.6158063821</v>
      </c>
      <c r="AN451" s="155"/>
      <c r="AO451" s="155"/>
    </row>
    <row r="452" spans="1:41" s="9" customFormat="1" ht="25.15" customHeight="1" x14ac:dyDescent="0.25">
      <c r="A452" s="83">
        <v>447</v>
      </c>
      <c r="B452" s="84">
        <v>2025</v>
      </c>
      <c r="C452" s="85" t="s">
        <v>1993</v>
      </c>
      <c r="D452" s="86" t="s">
        <v>1958</v>
      </c>
      <c r="E452" s="86" t="s">
        <v>758</v>
      </c>
      <c r="F452" s="87">
        <v>46022</v>
      </c>
      <c r="G452" s="87">
        <v>46031</v>
      </c>
      <c r="H452" s="88">
        <f t="shared" si="163"/>
        <v>0.1</v>
      </c>
      <c r="I452" s="89" t="s">
        <v>763</v>
      </c>
      <c r="J452" s="90" t="s">
        <v>751</v>
      </c>
      <c r="K452" s="90" t="s">
        <v>752</v>
      </c>
      <c r="L452" s="90" t="s">
        <v>753</v>
      </c>
      <c r="M452" s="91" t="s">
        <v>1059</v>
      </c>
      <c r="N452" s="92" t="s">
        <v>2041</v>
      </c>
      <c r="O452" s="85">
        <v>2910907435</v>
      </c>
      <c r="P452" s="93">
        <v>30000000</v>
      </c>
      <c r="Q452" s="93">
        <v>0</v>
      </c>
      <c r="R452" s="94">
        <v>30000000</v>
      </c>
      <c r="S452" s="95">
        <v>0.1199999440000028</v>
      </c>
      <c r="T452" s="94">
        <v>3214285.7142857141</v>
      </c>
      <c r="U452" s="117">
        <v>0</v>
      </c>
      <c r="V452" s="117">
        <v>0</v>
      </c>
      <c r="W452" s="94">
        <v>0</v>
      </c>
      <c r="X452" s="94">
        <v>0</v>
      </c>
      <c r="Y452" s="94">
        <v>0</v>
      </c>
      <c r="Z452" s="93">
        <f>_xlfn.XLOOKUP(O452,'[4]2DO TRIMESTRE'!$C:$C,'[4]2DO TRIMESTRE'!$I:$I,0,0)</f>
        <v>0</v>
      </c>
      <c r="AA452" s="94">
        <v>0</v>
      </c>
      <c r="AB452" s="94">
        <v>0</v>
      </c>
      <c r="AC452" s="94">
        <v>0</v>
      </c>
      <c r="AD452" s="93"/>
      <c r="AE452" s="94"/>
      <c r="AF452" s="94"/>
      <c r="AG452" s="94"/>
      <c r="AH452" s="117"/>
      <c r="AI452" s="94"/>
      <c r="AJ452" s="94"/>
      <c r="AK452" s="94"/>
      <c r="AL452" s="93">
        <v>0</v>
      </c>
      <c r="AM452" s="93">
        <f t="shared" si="147"/>
        <v>0</v>
      </c>
      <c r="AN452" s="155"/>
      <c r="AO452" s="155"/>
    </row>
    <row r="453" spans="1:41" s="9" customFormat="1" ht="25.15" customHeight="1" x14ac:dyDescent="0.25">
      <c r="A453" s="83">
        <v>449</v>
      </c>
      <c r="B453" s="84">
        <v>2026</v>
      </c>
      <c r="C453" s="85" t="s">
        <v>1994</v>
      </c>
      <c r="D453" s="86" t="s">
        <v>1959</v>
      </c>
      <c r="E453" s="86" t="s">
        <v>758</v>
      </c>
      <c r="F453" s="87">
        <v>46058</v>
      </c>
      <c r="G453" s="87">
        <v>46361</v>
      </c>
      <c r="H453" s="88">
        <f t="shared" si="163"/>
        <v>3.3666666666666667</v>
      </c>
      <c r="I453" s="89" t="s">
        <v>759</v>
      </c>
      <c r="J453" s="90" t="s">
        <v>751</v>
      </c>
      <c r="K453" s="90" t="s">
        <v>752</v>
      </c>
      <c r="L453" s="90" t="s">
        <v>753</v>
      </c>
      <c r="M453" s="91" t="s">
        <v>1059</v>
      </c>
      <c r="N453" s="92" t="s">
        <v>2042</v>
      </c>
      <c r="O453" s="85">
        <v>2910907441</v>
      </c>
      <c r="P453" s="93">
        <v>1960000000</v>
      </c>
      <c r="Q453" s="93">
        <v>0</v>
      </c>
      <c r="R453" s="94">
        <v>1960000000</v>
      </c>
      <c r="S453" s="95">
        <v>0.12</v>
      </c>
      <c r="T453" s="94">
        <v>209999999.99999997</v>
      </c>
      <c r="U453" s="117">
        <v>573000000</v>
      </c>
      <c r="V453" s="117">
        <v>0</v>
      </c>
      <c r="W453" s="94">
        <v>0</v>
      </c>
      <c r="X453" s="94">
        <v>0</v>
      </c>
      <c r="Y453" s="94">
        <v>0</v>
      </c>
      <c r="Z453" s="93">
        <f>_xlfn.XLOOKUP(O453,'[4]2DO TRIMESTRE'!$C:$C,'[4]2DO TRIMESTRE'!$I:$I,0,0)</f>
        <v>573000000</v>
      </c>
      <c r="AA453" s="94">
        <f t="shared" ref="AA453:AA456" si="180">+Z453/(1+$S453)*$S453</f>
        <v>61392857.142857134</v>
      </c>
      <c r="AB453" s="94">
        <f t="shared" ref="AB453:AB456" si="181">+AA453*40%</f>
        <v>24557142.857142854</v>
      </c>
      <c r="AC453" s="94">
        <f t="shared" ref="AC453:AC456" si="182">+AA453*60%</f>
        <v>36835714.285714276</v>
      </c>
      <c r="AD453" s="93"/>
      <c r="AE453" s="94"/>
      <c r="AF453" s="94"/>
      <c r="AG453" s="94"/>
      <c r="AH453" s="117"/>
      <c r="AI453" s="94"/>
      <c r="AJ453" s="94"/>
      <c r="AK453" s="94"/>
      <c r="AL453" s="93">
        <v>61392857.142857134</v>
      </c>
      <c r="AM453" s="93">
        <f t="shared" si="147"/>
        <v>61392857.142857134</v>
      </c>
      <c r="AN453" s="155"/>
      <c r="AO453" s="155"/>
    </row>
    <row r="454" spans="1:41" s="9" customFormat="1" ht="25.15" customHeight="1" x14ac:dyDescent="0.25">
      <c r="A454" s="83">
        <v>450</v>
      </c>
      <c r="B454" s="84">
        <v>2026</v>
      </c>
      <c r="C454" s="85" t="s">
        <v>1503</v>
      </c>
      <c r="D454" s="86" t="s">
        <v>1960</v>
      </c>
      <c r="E454" s="86" t="s">
        <v>758</v>
      </c>
      <c r="F454" s="87">
        <v>46057</v>
      </c>
      <c r="G454" s="87">
        <v>46233</v>
      </c>
      <c r="H454" s="88">
        <f t="shared" si="163"/>
        <v>1.9555555555555555</v>
      </c>
      <c r="I454" s="89" t="s">
        <v>759</v>
      </c>
      <c r="J454" s="90" t="s">
        <v>751</v>
      </c>
      <c r="K454" s="90" t="s">
        <v>752</v>
      </c>
      <c r="L454" s="90" t="s">
        <v>753</v>
      </c>
      <c r="M454" s="91" t="s">
        <v>1059</v>
      </c>
      <c r="N454" s="92" t="s">
        <v>2043</v>
      </c>
      <c r="O454" s="85">
        <v>2910907443</v>
      </c>
      <c r="P454" s="93">
        <v>403000000</v>
      </c>
      <c r="Q454" s="93">
        <v>0</v>
      </c>
      <c r="R454" s="94">
        <v>403000000</v>
      </c>
      <c r="S454" s="95">
        <v>0.11999999866600497</v>
      </c>
      <c r="T454" s="94">
        <v>43178571.428571425</v>
      </c>
      <c r="U454" s="117">
        <v>161200000</v>
      </c>
      <c r="V454" s="117">
        <v>0</v>
      </c>
      <c r="W454" s="94">
        <v>0</v>
      </c>
      <c r="X454" s="94">
        <v>0</v>
      </c>
      <c r="Y454" s="94">
        <v>0</v>
      </c>
      <c r="Z454" s="93">
        <f>_xlfn.XLOOKUP(O454,'[4]2DO TRIMESTRE'!$C:$C,'[4]2DO TRIMESTRE'!$I:$I,0,0)</f>
        <v>161200000</v>
      </c>
      <c r="AA454" s="94">
        <f t="shared" si="180"/>
        <v>17271428.399999999</v>
      </c>
      <c r="AB454" s="94">
        <f t="shared" si="181"/>
        <v>6908571.3599999994</v>
      </c>
      <c r="AC454" s="94">
        <f t="shared" si="182"/>
        <v>10362857.039999999</v>
      </c>
      <c r="AD454" s="93"/>
      <c r="AE454" s="94"/>
      <c r="AF454" s="94"/>
      <c r="AG454" s="94"/>
      <c r="AH454" s="117"/>
      <c r="AI454" s="94"/>
      <c r="AJ454" s="94"/>
      <c r="AK454" s="94"/>
      <c r="AL454" s="93">
        <v>17271428.399999999</v>
      </c>
      <c r="AM454" s="93">
        <f t="shared" si="147"/>
        <v>17271428.399999999</v>
      </c>
      <c r="AN454" s="155"/>
      <c r="AO454" s="155"/>
    </row>
    <row r="455" spans="1:41" s="9" customFormat="1" ht="25.15" customHeight="1" x14ac:dyDescent="0.25">
      <c r="A455" s="83">
        <v>451</v>
      </c>
      <c r="B455" s="84">
        <v>2026</v>
      </c>
      <c r="C455" s="85" t="s">
        <v>1995</v>
      </c>
      <c r="D455" s="86" t="s">
        <v>1961</v>
      </c>
      <c r="E455" s="86" t="s">
        <v>758</v>
      </c>
      <c r="F455" s="87">
        <v>46059</v>
      </c>
      <c r="G455" s="87">
        <v>46387</v>
      </c>
      <c r="H455" s="88">
        <f t="shared" si="163"/>
        <v>3.6444444444444444</v>
      </c>
      <c r="I455" s="89" t="s">
        <v>759</v>
      </c>
      <c r="J455" s="90" t="s">
        <v>751</v>
      </c>
      <c r="K455" s="90" t="s">
        <v>752</v>
      </c>
      <c r="L455" s="90" t="s">
        <v>753</v>
      </c>
      <c r="M455" s="91" t="s">
        <v>1059</v>
      </c>
      <c r="N455" s="92" t="s">
        <v>2044</v>
      </c>
      <c r="O455" s="85">
        <v>2910907448</v>
      </c>
      <c r="P455" s="93">
        <v>1766905000</v>
      </c>
      <c r="Q455" s="93">
        <v>0</v>
      </c>
      <c r="R455" s="94">
        <v>1766905000</v>
      </c>
      <c r="S455" s="95">
        <v>0.12</v>
      </c>
      <c r="T455" s="94">
        <v>189311249.99999997</v>
      </c>
      <c r="U455" s="117">
        <v>600246819</v>
      </c>
      <c r="V455" s="117">
        <v>0</v>
      </c>
      <c r="W455" s="94">
        <v>0</v>
      </c>
      <c r="X455" s="94">
        <v>0</v>
      </c>
      <c r="Y455" s="94">
        <v>0</v>
      </c>
      <c r="Z455" s="93">
        <v>600246819</v>
      </c>
      <c r="AA455" s="94">
        <f t="shared" si="180"/>
        <v>64312159.178571425</v>
      </c>
      <c r="AB455" s="94">
        <f t="shared" si="181"/>
        <v>25724863.671428572</v>
      </c>
      <c r="AC455" s="94">
        <f t="shared" si="182"/>
        <v>38587295.507142857</v>
      </c>
      <c r="AD455" s="93"/>
      <c r="AE455" s="94"/>
      <c r="AF455" s="94"/>
      <c r="AG455" s="94"/>
      <c r="AH455" s="117"/>
      <c r="AI455" s="94"/>
      <c r="AJ455" s="94"/>
      <c r="AK455" s="94"/>
      <c r="AL455" s="93">
        <v>64312159.178571425</v>
      </c>
      <c r="AM455" s="93">
        <f t="shared" si="147"/>
        <v>64312159.178571425</v>
      </c>
      <c r="AN455" s="155"/>
      <c r="AO455" s="155"/>
    </row>
    <row r="456" spans="1:41" s="9" customFormat="1" ht="25.15" customHeight="1" x14ac:dyDescent="0.25">
      <c r="A456" s="83">
        <v>452</v>
      </c>
      <c r="B456" s="84">
        <v>2026</v>
      </c>
      <c r="C456" s="85" t="s">
        <v>1501</v>
      </c>
      <c r="D456" s="86" t="s">
        <v>1962</v>
      </c>
      <c r="E456" s="86" t="s">
        <v>758</v>
      </c>
      <c r="F456" s="87">
        <v>46073</v>
      </c>
      <c r="G456" s="87">
        <v>46193</v>
      </c>
      <c r="H456" s="88">
        <f t="shared" si="163"/>
        <v>1.3333333333333333</v>
      </c>
      <c r="I456" s="89" t="s">
        <v>763</v>
      </c>
      <c r="J456" s="90" t="s">
        <v>751</v>
      </c>
      <c r="K456" s="90" t="s">
        <v>752</v>
      </c>
      <c r="L456" s="90" t="s">
        <v>753</v>
      </c>
      <c r="M456" s="91" t="s">
        <v>1059</v>
      </c>
      <c r="N456" s="92" t="s">
        <v>2045</v>
      </c>
      <c r="O456" s="85">
        <v>2910907449</v>
      </c>
      <c r="P456" s="93">
        <v>3814015969</v>
      </c>
      <c r="Q456" s="93">
        <v>0</v>
      </c>
      <c r="R456" s="94">
        <v>3814015969</v>
      </c>
      <c r="S456" s="95">
        <v>0.11999999996476156</v>
      </c>
      <c r="T456" s="94">
        <v>408644568.10714281</v>
      </c>
      <c r="U456" s="117">
        <v>1811657586</v>
      </c>
      <c r="V456" s="117">
        <v>0</v>
      </c>
      <c r="W456" s="94">
        <v>0</v>
      </c>
      <c r="X456" s="94">
        <v>0</v>
      </c>
      <c r="Y456" s="94">
        <v>0</v>
      </c>
      <c r="Z456" s="93">
        <v>1811657586</v>
      </c>
      <c r="AA456" s="94">
        <f t="shared" si="180"/>
        <v>194106169.87767857</v>
      </c>
      <c r="AB456" s="94">
        <f t="shared" si="181"/>
        <v>77642467.951071426</v>
      </c>
      <c r="AC456" s="94">
        <f t="shared" si="182"/>
        <v>116463701.92660715</v>
      </c>
      <c r="AD456" s="93"/>
      <c r="AE456" s="94"/>
      <c r="AF456" s="94"/>
      <c r="AG456" s="94"/>
      <c r="AH456" s="117"/>
      <c r="AI456" s="94"/>
      <c r="AJ456" s="94"/>
      <c r="AK456" s="94"/>
      <c r="AL456" s="93">
        <v>194106169.87767857</v>
      </c>
      <c r="AM456" s="93">
        <f>W456+AA456+AE456+AI456</f>
        <v>194106169.87767857</v>
      </c>
      <c r="AN456" s="155"/>
      <c r="AO456" s="155"/>
    </row>
    <row r="457" spans="1:41" s="9" customFormat="1" ht="25.15" customHeight="1" x14ac:dyDescent="0.25">
      <c r="A457" s="83">
        <v>453</v>
      </c>
      <c r="B457" s="84">
        <v>2026</v>
      </c>
      <c r="C457" s="85" t="s">
        <v>1996</v>
      </c>
      <c r="D457" s="86" t="s">
        <v>1963</v>
      </c>
      <c r="E457" s="86" t="s">
        <v>758</v>
      </c>
      <c r="F457" s="87">
        <v>46062</v>
      </c>
      <c r="G457" s="87">
        <v>46387</v>
      </c>
      <c r="H457" s="88">
        <f t="shared" si="163"/>
        <v>3.6111111111111112</v>
      </c>
      <c r="I457" s="89" t="s">
        <v>759</v>
      </c>
      <c r="J457" s="90" t="s">
        <v>751</v>
      </c>
      <c r="K457" s="90" t="s">
        <v>752</v>
      </c>
      <c r="L457" s="90" t="s">
        <v>753</v>
      </c>
      <c r="M457" s="91" t="s">
        <v>1059</v>
      </c>
      <c r="N457" s="92" t="s">
        <v>2046</v>
      </c>
      <c r="O457" s="85">
        <v>2910907446</v>
      </c>
      <c r="P457" s="93">
        <v>135000000</v>
      </c>
      <c r="Q457" s="93">
        <v>0</v>
      </c>
      <c r="R457" s="94">
        <v>135000000</v>
      </c>
      <c r="S457" s="95">
        <v>0.1199999440000028</v>
      </c>
      <c r="T457" s="94">
        <v>14464285.714285713</v>
      </c>
      <c r="U457" s="117">
        <v>0</v>
      </c>
      <c r="V457" s="117">
        <v>0</v>
      </c>
      <c r="W457" s="94">
        <v>0</v>
      </c>
      <c r="X457" s="94">
        <v>0</v>
      </c>
      <c r="Y457" s="94">
        <v>0</v>
      </c>
      <c r="Z457" s="93">
        <f>_xlfn.XLOOKUP(O457,'[4]2DO TRIMESTRE'!$C:$C,'[4]2DO TRIMESTRE'!$I:$I,0,0)</f>
        <v>0</v>
      </c>
      <c r="AA457" s="94">
        <v>0</v>
      </c>
      <c r="AB457" s="94">
        <v>0</v>
      </c>
      <c r="AC457" s="94">
        <v>0</v>
      </c>
      <c r="AD457" s="93"/>
      <c r="AE457" s="94"/>
      <c r="AF457" s="94"/>
      <c r="AG457" s="94"/>
      <c r="AH457" s="117"/>
      <c r="AI457" s="94"/>
      <c r="AJ457" s="94"/>
      <c r="AK457" s="94"/>
      <c r="AL457" s="93">
        <v>0</v>
      </c>
      <c r="AM457" s="93">
        <f t="shared" ref="AM457:AM464" si="183">W457+AA457+AE457+AI457</f>
        <v>0</v>
      </c>
      <c r="AN457" s="155"/>
      <c r="AO457" s="155"/>
    </row>
    <row r="458" spans="1:41" s="9" customFormat="1" ht="25.15" customHeight="1" x14ac:dyDescent="0.25">
      <c r="A458" s="83">
        <v>454</v>
      </c>
      <c r="B458" s="84">
        <v>2026</v>
      </c>
      <c r="C458" s="85" t="s">
        <v>1997</v>
      </c>
      <c r="D458" s="86" t="s">
        <v>1964</v>
      </c>
      <c r="E458" s="86" t="s">
        <v>758</v>
      </c>
      <c r="F458" s="87">
        <v>46055</v>
      </c>
      <c r="G458" s="87">
        <v>46387</v>
      </c>
      <c r="H458" s="88">
        <f t="shared" si="163"/>
        <v>3.6888888888888891</v>
      </c>
      <c r="I458" s="89" t="s">
        <v>759</v>
      </c>
      <c r="J458" s="90" t="s">
        <v>751</v>
      </c>
      <c r="K458" s="90" t="s">
        <v>752</v>
      </c>
      <c r="L458" s="90" t="s">
        <v>753</v>
      </c>
      <c r="M458" s="91" t="s">
        <v>1059</v>
      </c>
      <c r="N458" s="92" t="s">
        <v>2047</v>
      </c>
      <c r="O458" s="85">
        <v>2910907444</v>
      </c>
      <c r="P458" s="93">
        <v>2000000000</v>
      </c>
      <c r="Q458" s="93">
        <v>0</v>
      </c>
      <c r="R458" s="94">
        <v>2000000000</v>
      </c>
      <c r="S458" s="95">
        <v>0.11999999982079999</v>
      </c>
      <c r="T458" s="94">
        <v>214285714.28571427</v>
      </c>
      <c r="U458" s="117">
        <v>400000000</v>
      </c>
      <c r="V458" s="117">
        <v>0</v>
      </c>
      <c r="W458" s="94">
        <v>0</v>
      </c>
      <c r="X458" s="94">
        <v>0</v>
      </c>
      <c r="Y458" s="94">
        <v>0</v>
      </c>
      <c r="Z458" s="93">
        <f>_xlfn.XLOOKUP(O458,'[4]2DO TRIMESTRE'!$C:$C,'[4]2DO TRIMESTRE'!$I:$I,0,0)</f>
        <v>400000000</v>
      </c>
      <c r="AA458" s="94">
        <f t="shared" ref="AA458" si="184">+Z458/(1+$S458)*$S458</f>
        <v>42857142.800000004</v>
      </c>
      <c r="AB458" s="94">
        <f t="shared" ref="AB458" si="185">+AA458*40%</f>
        <v>17142857.120000001</v>
      </c>
      <c r="AC458" s="94">
        <f t="shared" ref="AC458" si="186">+AA458*60%</f>
        <v>25714285.680000003</v>
      </c>
      <c r="AD458" s="93"/>
      <c r="AE458" s="94"/>
      <c r="AF458" s="94"/>
      <c r="AG458" s="94"/>
      <c r="AH458" s="117"/>
      <c r="AI458" s="94"/>
      <c r="AJ458" s="94"/>
      <c r="AK458" s="94"/>
      <c r="AL458" s="93">
        <v>42857142.800000004</v>
      </c>
      <c r="AM458" s="93">
        <f>W458+AA458+AE458+AI458</f>
        <v>42857142.800000004</v>
      </c>
      <c r="AN458" s="155"/>
      <c r="AO458" s="155"/>
    </row>
    <row r="459" spans="1:41" s="9" customFormat="1" ht="25.15" customHeight="1" x14ac:dyDescent="0.25">
      <c r="A459" s="83">
        <v>455</v>
      </c>
      <c r="B459" s="84">
        <v>2026</v>
      </c>
      <c r="C459" s="85" t="s">
        <v>1998</v>
      </c>
      <c r="D459" s="86" t="s">
        <v>1965</v>
      </c>
      <c r="E459" s="86" t="s">
        <v>758</v>
      </c>
      <c r="F459" s="87">
        <v>46080</v>
      </c>
      <c r="G459" s="87">
        <v>46212</v>
      </c>
      <c r="H459" s="88">
        <f t="shared" si="163"/>
        <v>1.4666666666666666</v>
      </c>
      <c r="I459" s="89" t="s">
        <v>759</v>
      </c>
      <c r="J459" s="90" t="s">
        <v>751</v>
      </c>
      <c r="K459" s="90" t="s">
        <v>752</v>
      </c>
      <c r="L459" s="90" t="s">
        <v>753</v>
      </c>
      <c r="M459" s="91" t="s">
        <v>1059</v>
      </c>
      <c r="N459" s="92" t="s">
        <v>2048</v>
      </c>
      <c r="O459" s="85">
        <v>2910907445</v>
      </c>
      <c r="P459" s="93">
        <v>500000000</v>
      </c>
      <c r="Q459" s="93">
        <v>0</v>
      </c>
      <c r="R459" s="94">
        <v>500000000</v>
      </c>
      <c r="S459" s="95">
        <v>0.1199999440000028</v>
      </c>
      <c r="T459" s="94">
        <v>53571428.571428567</v>
      </c>
      <c r="U459" s="117">
        <v>0</v>
      </c>
      <c r="V459" s="117">
        <v>0</v>
      </c>
      <c r="W459" s="94">
        <v>0</v>
      </c>
      <c r="X459" s="94">
        <v>0</v>
      </c>
      <c r="Y459" s="94">
        <v>0</v>
      </c>
      <c r="Z459" s="93">
        <f>_xlfn.XLOOKUP(O459,'[4]2DO TRIMESTRE'!$C:$C,'[4]2DO TRIMESTRE'!$I:$I,0,0)</f>
        <v>0</v>
      </c>
      <c r="AA459" s="94">
        <v>0</v>
      </c>
      <c r="AB459" s="94">
        <v>0</v>
      </c>
      <c r="AC459" s="94">
        <v>0</v>
      </c>
      <c r="AD459" s="93"/>
      <c r="AE459" s="94"/>
      <c r="AF459" s="94"/>
      <c r="AG459" s="94"/>
      <c r="AH459" s="117"/>
      <c r="AI459" s="94"/>
      <c r="AJ459" s="94"/>
      <c r="AK459" s="94"/>
      <c r="AL459" s="93">
        <v>0</v>
      </c>
      <c r="AM459" s="93">
        <f t="shared" si="183"/>
        <v>0</v>
      </c>
      <c r="AN459" s="155"/>
      <c r="AO459" s="155"/>
    </row>
    <row r="460" spans="1:41" s="9" customFormat="1" ht="25.15" customHeight="1" x14ac:dyDescent="0.25">
      <c r="A460" s="83">
        <v>456</v>
      </c>
      <c r="B460" s="84">
        <v>2026</v>
      </c>
      <c r="C460" s="85" t="s">
        <v>1452</v>
      </c>
      <c r="D460" s="86" t="s">
        <v>1966</v>
      </c>
      <c r="E460" s="86" t="s">
        <v>758</v>
      </c>
      <c r="F460" s="87">
        <v>46106</v>
      </c>
      <c r="G460" s="87">
        <v>46166</v>
      </c>
      <c r="H460" s="88">
        <f t="shared" si="163"/>
        <v>0.66666666666666663</v>
      </c>
      <c r="I460" s="89" t="s">
        <v>763</v>
      </c>
      <c r="J460" s="90" t="s">
        <v>751</v>
      </c>
      <c r="K460" s="90" t="s">
        <v>752</v>
      </c>
      <c r="L460" s="90" t="s">
        <v>753</v>
      </c>
      <c r="M460" s="91" t="s">
        <v>754</v>
      </c>
      <c r="N460" s="92" t="s">
        <v>2049</v>
      </c>
      <c r="O460" s="85">
        <v>2910908251</v>
      </c>
      <c r="P460" s="93">
        <v>12000000</v>
      </c>
      <c r="Q460" s="93">
        <v>0</v>
      </c>
      <c r="R460" s="94">
        <v>12000000</v>
      </c>
      <c r="S460" s="95">
        <v>0.11999997013333413</v>
      </c>
      <c r="T460" s="94">
        <v>1285714.2857142857</v>
      </c>
      <c r="U460" s="117">
        <v>42857142.800000004</v>
      </c>
      <c r="V460" s="117">
        <v>0</v>
      </c>
      <c r="W460" s="94">
        <v>0</v>
      </c>
      <c r="X460" s="94">
        <v>0</v>
      </c>
      <c r="Y460" s="94">
        <v>0</v>
      </c>
      <c r="Z460" s="93">
        <f>_xlfn.XLOOKUP(O460,'[4]2DO TRIMESTRE'!$C:$C,'[4]2DO TRIMESTRE'!$I:$I,0,0)</f>
        <v>12000000</v>
      </c>
      <c r="AA460" s="94">
        <f t="shared" ref="AA460" si="187">+Z460/(1+$S460)*$S460</f>
        <v>1285714</v>
      </c>
      <c r="AB460" s="94">
        <f t="shared" ref="AB460" si="188">+AA460*40%</f>
        <v>514285.60000000003</v>
      </c>
      <c r="AC460" s="94">
        <f t="shared" ref="AC460" si="189">+AA460*60%</f>
        <v>771428.4</v>
      </c>
      <c r="AD460" s="93"/>
      <c r="AE460" s="94"/>
      <c r="AF460" s="94"/>
      <c r="AG460" s="94"/>
      <c r="AH460" s="117"/>
      <c r="AI460" s="94"/>
      <c r="AJ460" s="94"/>
      <c r="AK460" s="94"/>
      <c r="AL460" s="93">
        <v>1285714</v>
      </c>
      <c r="AM460" s="93">
        <f t="shared" si="183"/>
        <v>1285714</v>
      </c>
      <c r="AN460" s="155"/>
      <c r="AO460" s="155"/>
    </row>
    <row r="461" spans="1:41" s="9" customFormat="1" ht="25.15" customHeight="1" x14ac:dyDescent="0.25">
      <c r="A461" s="83">
        <v>457</v>
      </c>
      <c r="B461" s="84">
        <v>2026</v>
      </c>
      <c r="C461" s="85" t="s">
        <v>1108</v>
      </c>
      <c r="D461" s="86" t="s">
        <v>1967</v>
      </c>
      <c r="E461" s="86" t="s">
        <v>758</v>
      </c>
      <c r="F461" s="87">
        <v>46140</v>
      </c>
      <c r="G461" s="87">
        <v>46326</v>
      </c>
      <c r="H461" s="88">
        <f t="shared" si="163"/>
        <v>2.0666666666666669</v>
      </c>
      <c r="I461" s="89" t="s">
        <v>759</v>
      </c>
      <c r="J461" s="90" t="s">
        <v>751</v>
      </c>
      <c r="K461" s="90" t="s">
        <v>752</v>
      </c>
      <c r="L461" s="90" t="s">
        <v>753</v>
      </c>
      <c r="M461" s="91" t="s">
        <v>1059</v>
      </c>
      <c r="N461" s="92" t="s">
        <v>2050</v>
      </c>
      <c r="O461" s="85">
        <v>2910907450</v>
      </c>
      <c r="P461" s="93">
        <v>27000000</v>
      </c>
      <c r="Q461" s="93">
        <v>0</v>
      </c>
      <c r="R461" s="94">
        <v>27000000</v>
      </c>
      <c r="S461" s="95">
        <v>0.1199999440000028</v>
      </c>
      <c r="T461" s="94">
        <v>2892857.1428571427</v>
      </c>
      <c r="U461" s="117">
        <v>0</v>
      </c>
      <c r="V461" s="117">
        <v>0</v>
      </c>
      <c r="W461" s="94">
        <v>0</v>
      </c>
      <c r="X461" s="94">
        <v>0</v>
      </c>
      <c r="Y461" s="94">
        <v>0</v>
      </c>
      <c r="Z461" s="93">
        <f>_xlfn.XLOOKUP(O461,'[4]2DO TRIMESTRE'!$C:$C,'[4]2DO TRIMESTRE'!$I:$I,0,0)</f>
        <v>0</v>
      </c>
      <c r="AA461" s="94">
        <v>0</v>
      </c>
      <c r="AB461" s="94">
        <v>0</v>
      </c>
      <c r="AC461" s="94">
        <v>0</v>
      </c>
      <c r="AD461" s="93"/>
      <c r="AE461" s="94"/>
      <c r="AF461" s="94"/>
      <c r="AG461" s="94"/>
      <c r="AH461" s="117"/>
      <c r="AI461" s="94"/>
      <c r="AJ461" s="94"/>
      <c r="AK461" s="94"/>
      <c r="AL461" s="93">
        <v>0</v>
      </c>
      <c r="AM461" s="93">
        <f t="shared" si="183"/>
        <v>0</v>
      </c>
      <c r="AN461" s="155"/>
      <c r="AO461" s="155"/>
    </row>
    <row r="462" spans="1:41" s="9" customFormat="1" ht="25.15" customHeight="1" x14ac:dyDescent="0.25">
      <c r="A462" s="83">
        <v>458</v>
      </c>
      <c r="B462" s="84">
        <v>2026</v>
      </c>
      <c r="C462" s="85" t="s">
        <v>1452</v>
      </c>
      <c r="D462" s="86" t="s">
        <v>1968</v>
      </c>
      <c r="E462" s="86" t="s">
        <v>758</v>
      </c>
      <c r="F462" s="87">
        <v>46146</v>
      </c>
      <c r="G462" s="87">
        <v>46329</v>
      </c>
      <c r="H462" s="88">
        <f t="shared" si="163"/>
        <v>2.0333333333333332</v>
      </c>
      <c r="I462" s="89" t="s">
        <v>759</v>
      </c>
      <c r="J462" s="90" t="s">
        <v>751</v>
      </c>
      <c r="K462" s="90" t="s">
        <v>752</v>
      </c>
      <c r="L462" s="90" t="s">
        <v>753</v>
      </c>
      <c r="M462" s="91" t="s">
        <v>754</v>
      </c>
      <c r="N462" s="92" t="s">
        <v>2051</v>
      </c>
      <c r="O462" s="85">
        <v>2910908249</v>
      </c>
      <c r="P462" s="93">
        <v>36978634</v>
      </c>
      <c r="Q462" s="93">
        <v>0</v>
      </c>
      <c r="R462" s="94">
        <v>36978634</v>
      </c>
      <c r="S462" s="95">
        <v>0.1199999440000028</v>
      </c>
      <c r="T462" s="94">
        <v>3961996.4999999995</v>
      </c>
      <c r="U462" s="117">
        <v>0</v>
      </c>
      <c r="V462" s="117">
        <v>0</v>
      </c>
      <c r="W462" s="94">
        <v>0</v>
      </c>
      <c r="X462" s="94">
        <v>0</v>
      </c>
      <c r="Y462" s="94">
        <v>0</v>
      </c>
      <c r="Z462" s="93">
        <f>_xlfn.XLOOKUP(O462,'[4]2DO TRIMESTRE'!$C:$C,'[4]2DO TRIMESTRE'!$I:$I,0,0)</f>
        <v>0</v>
      </c>
      <c r="AA462" s="94">
        <v>0</v>
      </c>
      <c r="AB462" s="94">
        <v>0</v>
      </c>
      <c r="AC462" s="94">
        <v>0</v>
      </c>
      <c r="AD462" s="93"/>
      <c r="AE462" s="94"/>
      <c r="AF462" s="94"/>
      <c r="AG462" s="94"/>
      <c r="AH462" s="117"/>
      <c r="AI462" s="94"/>
      <c r="AJ462" s="94"/>
      <c r="AK462" s="94"/>
      <c r="AL462" s="93">
        <v>0</v>
      </c>
      <c r="AM462" s="93">
        <f t="shared" si="183"/>
        <v>0</v>
      </c>
      <c r="AN462" s="155"/>
      <c r="AO462" s="155"/>
    </row>
    <row r="463" spans="1:41" s="9" customFormat="1" ht="25.15" customHeight="1" x14ac:dyDescent="0.25">
      <c r="A463" s="83">
        <v>459</v>
      </c>
      <c r="B463" s="84">
        <v>2026</v>
      </c>
      <c r="C463" s="85" t="s">
        <v>1995</v>
      </c>
      <c r="D463" s="86" t="s">
        <v>1969</v>
      </c>
      <c r="E463" s="86" t="s">
        <v>758</v>
      </c>
      <c r="F463" s="87">
        <v>46129</v>
      </c>
      <c r="G463" s="87">
        <v>46372</v>
      </c>
      <c r="H463" s="88">
        <f t="shared" si="163"/>
        <v>2.7</v>
      </c>
      <c r="I463" s="89" t="s">
        <v>759</v>
      </c>
      <c r="J463" s="90" t="s">
        <v>751</v>
      </c>
      <c r="K463" s="90" t="s">
        <v>752</v>
      </c>
      <c r="L463" s="90" t="s">
        <v>753</v>
      </c>
      <c r="M463" s="91" t="s">
        <v>754</v>
      </c>
      <c r="N463" s="92" t="s">
        <v>2052</v>
      </c>
      <c r="O463" s="85">
        <v>2910908255</v>
      </c>
      <c r="P463" s="93">
        <v>2407331045.3899999</v>
      </c>
      <c r="Q463" s="93">
        <v>0</v>
      </c>
      <c r="R463" s="94">
        <v>2407331045.3899999</v>
      </c>
      <c r="S463" s="95">
        <v>0.1199999440000028</v>
      </c>
      <c r="T463" s="94">
        <v>257928326.29178569</v>
      </c>
      <c r="U463" s="117">
        <v>0</v>
      </c>
      <c r="V463" s="117">
        <v>0</v>
      </c>
      <c r="W463" s="94">
        <v>0</v>
      </c>
      <c r="X463" s="94">
        <v>0</v>
      </c>
      <c r="Y463" s="94">
        <v>0</v>
      </c>
      <c r="Z463" s="93">
        <f>_xlfn.XLOOKUP(O463,'[4]2DO TRIMESTRE'!$C:$C,'[4]2DO TRIMESTRE'!$I:$I,0,0)</f>
        <v>0</v>
      </c>
      <c r="AA463" s="94">
        <v>0</v>
      </c>
      <c r="AB463" s="94">
        <v>0</v>
      </c>
      <c r="AC463" s="94">
        <v>0</v>
      </c>
      <c r="AD463" s="93"/>
      <c r="AE463" s="94"/>
      <c r="AF463" s="94"/>
      <c r="AG463" s="94"/>
      <c r="AH463" s="117"/>
      <c r="AI463" s="94"/>
      <c r="AJ463" s="94"/>
      <c r="AK463" s="94"/>
      <c r="AL463" s="93">
        <v>0</v>
      </c>
      <c r="AM463" s="93">
        <f t="shared" si="183"/>
        <v>0</v>
      </c>
      <c r="AN463" s="155"/>
      <c r="AO463" s="155"/>
    </row>
    <row r="464" spans="1:41" s="9" customFormat="1" ht="25.15" customHeight="1" x14ac:dyDescent="0.25">
      <c r="A464" s="83">
        <v>461</v>
      </c>
      <c r="B464" s="84">
        <v>2016</v>
      </c>
      <c r="C464" s="85" t="s">
        <v>786</v>
      </c>
      <c r="D464" s="86" t="s">
        <v>304</v>
      </c>
      <c r="E464" s="86" t="s">
        <v>758</v>
      </c>
      <c r="F464" s="87">
        <v>42670</v>
      </c>
      <c r="G464" s="87">
        <v>44926</v>
      </c>
      <c r="H464" s="88">
        <f t="shared" si="163"/>
        <v>25.066666666666666</v>
      </c>
      <c r="I464" s="89" t="s">
        <v>750</v>
      </c>
      <c r="J464" s="90" t="s">
        <v>751</v>
      </c>
      <c r="K464" s="90" t="s">
        <v>752</v>
      </c>
      <c r="L464" s="90" t="s">
        <v>753</v>
      </c>
      <c r="M464" s="91" t="s">
        <v>1059</v>
      </c>
      <c r="N464" s="92" t="s">
        <v>2053</v>
      </c>
      <c r="O464" s="85">
        <v>2910906233</v>
      </c>
      <c r="P464" s="93">
        <v>801237000</v>
      </c>
      <c r="Q464" s="93">
        <v>0</v>
      </c>
      <c r="R464" s="94">
        <v>801237000</v>
      </c>
      <c r="S464" s="95">
        <v>0.11999999932903747</v>
      </c>
      <c r="T464" s="94">
        <v>85846821</v>
      </c>
      <c r="U464" s="117">
        <v>801237000</v>
      </c>
      <c r="V464" s="117"/>
      <c r="W464" s="94"/>
      <c r="X464" s="94"/>
      <c r="Y464" s="94"/>
      <c r="Z464" s="93">
        <v>355960000</v>
      </c>
      <c r="AA464" s="94">
        <f t="shared" ref="AA464" si="190">+Z464/(1+$S464)*$S464</f>
        <v>38138571.238172971</v>
      </c>
      <c r="AB464" s="94">
        <f t="shared" ref="AB464" si="191">+AA464*40%</f>
        <v>15255428.495269189</v>
      </c>
      <c r="AC464" s="94">
        <f t="shared" ref="AC464" si="192">+AA464*60%</f>
        <v>22883142.74290378</v>
      </c>
      <c r="AD464" s="93"/>
      <c r="AE464" s="94"/>
      <c r="AF464" s="94"/>
      <c r="AG464" s="94"/>
      <c r="AH464" s="117"/>
      <c r="AI464" s="94"/>
      <c r="AJ464" s="94"/>
      <c r="AK464" s="94"/>
      <c r="AL464" s="93">
        <v>85846821</v>
      </c>
      <c r="AM464" s="93">
        <f t="shared" si="183"/>
        <v>38138571.238172971</v>
      </c>
      <c r="AN464" s="155"/>
      <c r="AO464" s="155"/>
    </row>
    <row r="465" spans="1:41" s="4" customFormat="1" ht="41.1" customHeight="1" thickBot="1" x14ac:dyDescent="0.3">
      <c r="A465" s="78"/>
      <c r="B465" s="79" t="s">
        <v>1465</v>
      </c>
      <c r="C465" s="80"/>
      <c r="D465" s="80"/>
      <c r="E465" s="80"/>
      <c r="F465" s="80"/>
      <c r="G465" s="80"/>
      <c r="H465" s="80"/>
      <c r="I465" s="79"/>
      <c r="J465" s="79"/>
      <c r="K465" s="79"/>
      <c r="L465" s="79"/>
      <c r="M465" s="81"/>
      <c r="N465" s="79"/>
      <c r="O465" s="80"/>
      <c r="P465" s="80"/>
      <c r="Q465" s="80"/>
      <c r="R465" s="82"/>
      <c r="S465" s="80"/>
      <c r="T465" s="82"/>
      <c r="U465" s="118"/>
      <c r="V465" s="118">
        <f>SUM(V7:V410)</f>
        <v>27578681799.369999</v>
      </c>
      <c r="W465" s="114">
        <f>SUM(W7:W410)</f>
        <v>2874067327.0688772</v>
      </c>
      <c r="X465" s="114">
        <f>SUM(X7:X410)</f>
        <v>1149626930.8275509</v>
      </c>
      <c r="Y465" s="114">
        <f>SUM(Y7:Y410)</f>
        <v>1724440396.2413261</v>
      </c>
      <c r="Z465" s="118">
        <f>SUM(Z7:Z464)</f>
        <v>32165700792.66</v>
      </c>
      <c r="AA465" s="114">
        <f>SUM(AA7:AA464)</f>
        <v>3235994038.6530399</v>
      </c>
      <c r="AB465" s="114">
        <f>SUM(AB7:AB464)</f>
        <v>1294397579.292187</v>
      </c>
      <c r="AC465" s="114">
        <f>SUM(AC7:AC464)</f>
        <v>1941596369.3608527</v>
      </c>
      <c r="AD465" s="118">
        <f t="shared" ref="AD465:AK465" si="193">SUBTOTAL(9,AD7:AD410)</f>
        <v>0</v>
      </c>
      <c r="AE465" s="114">
        <f t="shared" si="193"/>
        <v>0</v>
      </c>
      <c r="AF465" s="114">
        <f t="shared" si="193"/>
        <v>0</v>
      </c>
      <c r="AG465" s="114">
        <f t="shared" si="193"/>
        <v>0</v>
      </c>
      <c r="AH465" s="118">
        <f t="shared" si="193"/>
        <v>0</v>
      </c>
      <c r="AI465" s="114">
        <f t="shared" si="193"/>
        <v>0</v>
      </c>
      <c r="AJ465" s="114">
        <f t="shared" si="193"/>
        <v>0</v>
      </c>
      <c r="AK465" s="114">
        <f t="shared" si="193"/>
        <v>0</v>
      </c>
      <c r="AL465" s="115">
        <f>SUM(AL7:AL464)</f>
        <v>33675929257.620815</v>
      </c>
      <c r="AM465" s="115">
        <f>SUM(AM7:AM464)</f>
        <v>6110061365.7219181</v>
      </c>
      <c r="AN465" s="156"/>
      <c r="AO465" s="156"/>
    </row>
    <row r="466" spans="1:41" ht="18" hidden="1" customHeight="1" thickBot="1" x14ac:dyDescent="0.25">
      <c r="A466" s="157"/>
      <c r="B466" s="158"/>
      <c r="C466" s="159"/>
      <c r="D466" s="159"/>
      <c r="E466" s="159"/>
      <c r="F466" s="159"/>
      <c r="G466" s="159"/>
      <c r="H466" s="159"/>
      <c r="I466" s="158"/>
      <c r="J466" s="158"/>
      <c r="K466" s="158"/>
      <c r="L466" s="158"/>
      <c r="M466" s="160"/>
      <c r="N466" s="158"/>
      <c r="O466" s="159"/>
      <c r="P466" s="159"/>
      <c r="Q466" s="159"/>
      <c r="R466" s="159"/>
      <c r="S466" s="159"/>
      <c r="T466" s="159"/>
      <c r="U466" s="161"/>
      <c r="V466" s="161"/>
      <c r="W466" s="162"/>
      <c r="X466" s="159"/>
      <c r="Y466" s="159"/>
      <c r="Z466" s="159"/>
      <c r="AA466" s="159"/>
      <c r="AB466" s="159"/>
      <c r="AC466" s="159"/>
      <c r="AD466" s="159"/>
      <c r="AE466" s="159"/>
      <c r="AF466" s="159"/>
      <c r="AG466" s="159"/>
      <c r="AH466" s="161"/>
      <c r="AI466" s="162"/>
      <c r="AJ466" s="159"/>
      <c r="AK466" s="159"/>
      <c r="AL466" s="159"/>
      <c r="AM466" s="159"/>
      <c r="AN466" s="163"/>
      <c r="AO466" s="163"/>
    </row>
    <row r="467" spans="1:41" ht="18" hidden="1" customHeight="1" x14ac:dyDescent="0.25">
      <c r="A467" s="157"/>
      <c r="B467" s="158"/>
      <c r="C467" s="159"/>
      <c r="D467" s="159"/>
      <c r="E467" s="159"/>
      <c r="F467" s="159"/>
      <c r="G467" s="159"/>
      <c r="H467" s="159"/>
      <c r="I467" s="158"/>
      <c r="J467" s="158"/>
      <c r="K467" s="158"/>
      <c r="L467" s="158"/>
      <c r="M467" s="160"/>
      <c r="N467" s="158"/>
      <c r="O467" s="159"/>
      <c r="P467" s="159"/>
      <c r="Q467" s="159"/>
      <c r="R467" s="159"/>
      <c r="S467" s="159"/>
      <c r="T467" s="159"/>
      <c r="U467" s="161"/>
      <c r="V467" s="161"/>
      <c r="W467" s="162"/>
      <c r="X467" s="159"/>
      <c r="Y467" s="159"/>
      <c r="Z467" s="159"/>
      <c r="AA467" s="159"/>
      <c r="AB467" s="159"/>
      <c r="AC467" s="159"/>
      <c r="AD467" s="159"/>
      <c r="AE467" s="159"/>
      <c r="AF467" s="159"/>
      <c r="AG467" s="159"/>
      <c r="AH467" s="161"/>
      <c r="AI467" s="162"/>
      <c r="AJ467" s="159"/>
      <c r="AK467" s="159"/>
      <c r="AL467" s="159"/>
      <c r="AM467" s="159"/>
      <c r="AN467" s="163"/>
      <c r="AO467" s="163"/>
    </row>
    <row r="468" spans="1:41" ht="18" hidden="1" customHeight="1" x14ac:dyDescent="0.25">
      <c r="A468" s="157"/>
      <c r="B468" s="158"/>
      <c r="C468" s="159"/>
      <c r="D468" s="159"/>
      <c r="E468" s="159"/>
      <c r="F468" s="159"/>
      <c r="G468" s="159"/>
      <c r="H468" s="159"/>
      <c r="I468" s="158"/>
      <c r="J468" s="158"/>
      <c r="K468" s="158"/>
      <c r="L468" s="158"/>
      <c r="M468" s="160"/>
      <c r="N468" s="158"/>
      <c r="O468" s="159"/>
      <c r="P468" s="159"/>
      <c r="Q468" s="159"/>
      <c r="R468" s="159"/>
      <c r="S468" s="159"/>
      <c r="T468" s="159"/>
      <c r="U468" s="161"/>
      <c r="V468" s="161"/>
      <c r="W468" s="162"/>
      <c r="X468" s="159"/>
      <c r="Y468" s="159"/>
      <c r="Z468" s="159"/>
      <c r="AA468" s="159"/>
      <c r="AB468" s="159"/>
      <c r="AC468" s="159"/>
      <c r="AD468" s="159"/>
      <c r="AE468" s="159"/>
      <c r="AF468" s="159"/>
      <c r="AG468" s="159"/>
      <c r="AH468" s="161"/>
      <c r="AI468" s="162"/>
      <c r="AJ468" s="159"/>
      <c r="AK468" s="159"/>
      <c r="AL468" s="159"/>
      <c r="AM468" s="159"/>
      <c r="AN468" s="163"/>
      <c r="AO468" s="163"/>
    </row>
    <row r="469" spans="1:41" ht="18" hidden="1" customHeight="1" x14ac:dyDescent="0.25">
      <c r="A469" s="157"/>
      <c r="B469" s="158"/>
      <c r="C469" s="159"/>
      <c r="D469" s="159"/>
      <c r="E469" s="159"/>
      <c r="F469" s="159"/>
      <c r="G469" s="159"/>
      <c r="H469" s="159"/>
      <c r="I469" s="158"/>
      <c r="J469" s="158"/>
      <c r="K469" s="158"/>
      <c r="L469" s="158"/>
      <c r="M469" s="160"/>
      <c r="N469" s="158"/>
      <c r="O469" s="159"/>
      <c r="P469" s="159"/>
      <c r="Q469" s="159"/>
      <c r="R469" s="159"/>
      <c r="S469" s="159"/>
      <c r="T469" s="159"/>
      <c r="U469" s="161"/>
      <c r="V469" s="161"/>
      <c r="W469" s="162"/>
      <c r="X469" s="159"/>
      <c r="Y469" s="159"/>
      <c r="Z469" s="159"/>
      <c r="AA469" s="159"/>
      <c r="AB469" s="159"/>
      <c r="AC469" s="159"/>
      <c r="AD469" s="159"/>
      <c r="AE469" s="159"/>
      <c r="AF469" s="159"/>
      <c r="AG469" s="159"/>
      <c r="AH469" s="161"/>
      <c r="AI469" s="162"/>
      <c r="AJ469" s="159"/>
      <c r="AK469" s="159"/>
      <c r="AL469" s="159"/>
      <c r="AM469" s="159"/>
      <c r="AN469" s="163"/>
      <c r="AO469" s="163"/>
    </row>
    <row r="470" spans="1:41" ht="18" hidden="1" customHeight="1" x14ac:dyDescent="0.25">
      <c r="A470" s="157"/>
      <c r="B470" s="158"/>
      <c r="C470" s="159"/>
      <c r="D470" s="159"/>
      <c r="E470" s="159"/>
      <c r="F470" s="159"/>
      <c r="G470" s="159"/>
      <c r="H470" s="159"/>
      <c r="I470" s="158"/>
      <c r="J470" s="158"/>
      <c r="K470" s="158"/>
      <c r="L470" s="158"/>
      <c r="M470" s="160"/>
      <c r="N470" s="158"/>
      <c r="O470" s="159"/>
      <c r="P470" s="159"/>
      <c r="Q470" s="159"/>
      <c r="R470" s="159"/>
      <c r="S470" s="159"/>
      <c r="T470" s="159"/>
      <c r="U470" s="161"/>
      <c r="V470" s="161"/>
      <c r="W470" s="162"/>
      <c r="X470" s="159"/>
      <c r="Y470" s="159"/>
      <c r="Z470" s="159"/>
      <c r="AA470" s="159"/>
      <c r="AB470" s="159"/>
      <c r="AC470" s="159"/>
      <c r="AD470" s="159"/>
      <c r="AE470" s="159"/>
      <c r="AF470" s="159"/>
      <c r="AG470" s="159"/>
      <c r="AH470" s="161"/>
      <c r="AI470" s="162"/>
      <c r="AJ470" s="159"/>
      <c r="AK470" s="159"/>
      <c r="AL470" s="159"/>
      <c r="AM470" s="159"/>
      <c r="AN470" s="163"/>
      <c r="AO470" s="163"/>
    </row>
    <row r="471" spans="1:41" ht="18" hidden="1" customHeight="1" x14ac:dyDescent="0.25">
      <c r="A471" s="157"/>
      <c r="B471" s="158"/>
      <c r="C471" s="159"/>
      <c r="D471" s="159"/>
      <c r="E471" s="159"/>
      <c r="F471" s="159"/>
      <c r="G471" s="159"/>
      <c r="H471" s="159"/>
      <c r="I471" s="158"/>
      <c r="J471" s="158"/>
      <c r="K471" s="158"/>
      <c r="L471" s="158"/>
      <c r="M471" s="160"/>
      <c r="N471" s="158"/>
      <c r="O471" s="159"/>
      <c r="P471" s="159"/>
      <c r="Q471" s="159"/>
      <c r="R471" s="159"/>
      <c r="S471" s="159"/>
      <c r="T471" s="159"/>
      <c r="U471" s="161"/>
      <c r="V471" s="161"/>
      <c r="W471" s="162"/>
      <c r="X471" s="159"/>
      <c r="Y471" s="159"/>
      <c r="Z471" s="159"/>
      <c r="AA471" s="159"/>
      <c r="AB471" s="159"/>
      <c r="AC471" s="159"/>
      <c r="AD471" s="159"/>
      <c r="AE471" s="159"/>
      <c r="AF471" s="159"/>
      <c r="AG471" s="159"/>
      <c r="AH471" s="161"/>
      <c r="AI471" s="162"/>
      <c r="AJ471" s="159"/>
      <c r="AK471" s="159"/>
      <c r="AL471" s="159"/>
      <c r="AM471" s="159"/>
      <c r="AN471" s="163"/>
      <c r="AO471" s="163"/>
    </row>
    <row r="472" spans="1:41" ht="18" hidden="1" customHeight="1" x14ac:dyDescent="0.25">
      <c r="A472" s="157"/>
      <c r="B472" s="158"/>
      <c r="C472" s="159"/>
      <c r="D472" s="159"/>
      <c r="E472" s="159"/>
      <c r="F472" s="159"/>
      <c r="G472" s="159"/>
      <c r="H472" s="159"/>
      <c r="I472" s="158"/>
      <c r="J472" s="158"/>
      <c r="K472" s="158"/>
      <c r="L472" s="158"/>
      <c r="M472" s="160"/>
      <c r="N472" s="158"/>
      <c r="O472" s="159"/>
      <c r="P472" s="159"/>
      <c r="Q472" s="159"/>
      <c r="R472" s="159"/>
      <c r="S472" s="159"/>
      <c r="T472" s="159"/>
      <c r="U472" s="161"/>
      <c r="V472" s="161"/>
      <c r="W472" s="162"/>
      <c r="X472" s="159"/>
      <c r="Y472" s="159"/>
      <c r="Z472" s="159"/>
      <c r="AA472" s="159"/>
      <c r="AB472" s="159"/>
      <c r="AC472" s="159"/>
      <c r="AD472" s="159"/>
      <c r="AE472" s="159"/>
      <c r="AF472" s="159"/>
      <c r="AG472" s="159"/>
      <c r="AH472" s="161"/>
      <c r="AI472" s="162"/>
      <c r="AJ472" s="159"/>
      <c r="AK472" s="159"/>
      <c r="AL472" s="159"/>
      <c r="AM472" s="159"/>
      <c r="AN472" s="163"/>
      <c r="AO472" s="163"/>
    </row>
    <row r="473" spans="1:41" ht="18" hidden="1" customHeight="1" x14ac:dyDescent="0.25">
      <c r="A473" s="157"/>
      <c r="B473" s="158"/>
      <c r="C473" s="159"/>
      <c r="D473" s="159"/>
      <c r="E473" s="159"/>
      <c r="F473" s="159"/>
      <c r="G473" s="159"/>
      <c r="H473" s="159"/>
      <c r="I473" s="158"/>
      <c r="J473" s="158"/>
      <c r="K473" s="158"/>
      <c r="L473" s="158"/>
      <c r="M473" s="160"/>
      <c r="N473" s="158"/>
      <c r="O473" s="159"/>
      <c r="P473" s="159"/>
      <c r="Q473" s="159"/>
      <c r="R473" s="159"/>
      <c r="S473" s="159"/>
      <c r="T473" s="159"/>
      <c r="U473" s="161"/>
      <c r="V473" s="161"/>
      <c r="W473" s="162"/>
      <c r="X473" s="159"/>
      <c r="Y473" s="159"/>
      <c r="Z473" s="159"/>
      <c r="AA473" s="159"/>
      <c r="AB473" s="159"/>
      <c r="AC473" s="159"/>
      <c r="AD473" s="159"/>
      <c r="AE473" s="159"/>
      <c r="AF473" s="159"/>
      <c r="AG473" s="159"/>
      <c r="AH473" s="161"/>
      <c r="AI473" s="162"/>
      <c r="AJ473" s="159"/>
      <c r="AK473" s="159"/>
      <c r="AL473" s="159"/>
      <c r="AM473" s="159"/>
      <c r="AN473" s="163"/>
      <c r="AO473" s="163"/>
    </row>
    <row r="474" spans="1:41" ht="18" hidden="1" customHeight="1" x14ac:dyDescent="0.25">
      <c r="A474" s="157"/>
      <c r="B474" s="158"/>
      <c r="C474" s="159"/>
      <c r="D474" s="159"/>
      <c r="E474" s="159"/>
      <c r="F474" s="159"/>
      <c r="G474" s="159"/>
      <c r="H474" s="159"/>
      <c r="I474" s="158"/>
      <c r="J474" s="158"/>
      <c r="K474" s="158"/>
      <c r="L474" s="158"/>
      <c r="M474" s="160"/>
      <c r="N474" s="158"/>
      <c r="O474" s="159"/>
      <c r="P474" s="159"/>
      <c r="Q474" s="159"/>
      <c r="R474" s="159"/>
      <c r="S474" s="159"/>
      <c r="T474" s="159"/>
      <c r="U474" s="161"/>
      <c r="V474" s="161"/>
      <c r="W474" s="162"/>
      <c r="X474" s="159"/>
      <c r="Y474" s="159"/>
      <c r="Z474" s="159"/>
      <c r="AA474" s="159"/>
      <c r="AB474" s="159"/>
      <c r="AC474" s="159"/>
      <c r="AD474" s="159"/>
      <c r="AE474" s="159"/>
      <c r="AF474" s="159"/>
      <c r="AG474" s="159"/>
      <c r="AH474" s="161"/>
      <c r="AI474" s="162"/>
      <c r="AJ474" s="159"/>
      <c r="AK474" s="159"/>
      <c r="AL474" s="159"/>
      <c r="AM474" s="159"/>
      <c r="AN474" s="163"/>
      <c r="AO474" s="163"/>
    </row>
    <row r="475" spans="1:41" ht="18" hidden="1" customHeight="1" x14ac:dyDescent="0.25">
      <c r="A475" s="157"/>
      <c r="B475" s="158"/>
      <c r="C475" s="159"/>
      <c r="D475" s="159"/>
      <c r="E475" s="159"/>
      <c r="F475" s="159"/>
      <c r="G475" s="159"/>
      <c r="H475" s="159"/>
      <c r="I475" s="158"/>
      <c r="J475" s="158"/>
      <c r="K475" s="158"/>
      <c r="L475" s="158"/>
      <c r="M475" s="160"/>
      <c r="N475" s="158"/>
      <c r="O475" s="159"/>
      <c r="P475" s="159"/>
      <c r="Q475" s="159"/>
      <c r="R475" s="159"/>
      <c r="S475" s="159"/>
      <c r="T475" s="159"/>
      <c r="U475" s="161"/>
      <c r="V475" s="161"/>
      <c r="W475" s="162"/>
      <c r="X475" s="159"/>
      <c r="Y475" s="159"/>
      <c r="Z475" s="159"/>
      <c r="AA475" s="159"/>
      <c r="AB475" s="159"/>
      <c r="AC475" s="159"/>
      <c r="AD475" s="159"/>
      <c r="AE475" s="159"/>
      <c r="AF475" s="159"/>
      <c r="AG475" s="159"/>
      <c r="AH475" s="161"/>
      <c r="AI475" s="162"/>
      <c r="AJ475" s="159"/>
      <c r="AK475" s="159"/>
      <c r="AL475" s="159"/>
      <c r="AM475" s="159"/>
      <c r="AN475" s="163"/>
      <c r="AO475" s="163"/>
    </row>
    <row r="476" spans="1:41" ht="18" hidden="1" customHeight="1" x14ac:dyDescent="0.25">
      <c r="A476" s="157"/>
      <c r="B476" s="158"/>
      <c r="C476" s="159"/>
      <c r="D476" s="159"/>
      <c r="E476" s="159"/>
      <c r="F476" s="159"/>
      <c r="G476" s="159"/>
      <c r="H476" s="159"/>
      <c r="I476" s="158"/>
      <c r="J476" s="158"/>
      <c r="K476" s="158"/>
      <c r="L476" s="158"/>
      <c r="M476" s="160"/>
      <c r="N476" s="158"/>
      <c r="O476" s="159"/>
      <c r="P476" s="159"/>
      <c r="Q476" s="159"/>
      <c r="R476" s="159"/>
      <c r="S476" s="159"/>
      <c r="T476" s="159"/>
      <c r="U476" s="161"/>
      <c r="V476" s="161"/>
      <c r="W476" s="162"/>
      <c r="X476" s="159"/>
      <c r="Y476" s="159"/>
      <c r="Z476" s="159"/>
      <c r="AA476" s="159"/>
      <c r="AB476" s="159"/>
      <c r="AC476" s="159"/>
      <c r="AD476" s="159"/>
      <c r="AE476" s="159"/>
      <c r="AF476" s="159"/>
      <c r="AG476" s="159"/>
      <c r="AH476" s="161"/>
      <c r="AI476" s="162"/>
      <c r="AJ476" s="159"/>
      <c r="AK476" s="159"/>
      <c r="AL476" s="159"/>
      <c r="AM476" s="159"/>
      <c r="AN476" s="163"/>
      <c r="AO476" s="163"/>
    </row>
    <row r="477" spans="1:41" ht="18" hidden="1" customHeight="1" x14ac:dyDescent="0.25">
      <c r="A477" s="157"/>
      <c r="B477" s="158"/>
      <c r="C477" s="159"/>
      <c r="D477" s="159"/>
      <c r="E477" s="159"/>
      <c r="F477" s="159"/>
      <c r="G477" s="159"/>
      <c r="H477" s="159"/>
      <c r="I477" s="158"/>
      <c r="J477" s="158"/>
      <c r="K477" s="158"/>
      <c r="L477" s="158"/>
      <c r="M477" s="160"/>
      <c r="N477" s="158"/>
      <c r="O477" s="159"/>
      <c r="P477" s="159"/>
      <c r="Q477" s="159"/>
      <c r="R477" s="159"/>
      <c r="S477" s="159"/>
      <c r="T477" s="159"/>
      <c r="U477" s="161"/>
      <c r="V477" s="161"/>
      <c r="W477" s="162"/>
      <c r="X477" s="159"/>
      <c r="Y477" s="159"/>
      <c r="Z477" s="159"/>
      <c r="AA477" s="159"/>
      <c r="AB477" s="159"/>
      <c r="AC477" s="159"/>
      <c r="AD477" s="159"/>
      <c r="AE477" s="159"/>
      <c r="AF477" s="159"/>
      <c r="AG477" s="159"/>
      <c r="AH477" s="161"/>
      <c r="AI477" s="162"/>
      <c r="AJ477" s="159"/>
      <c r="AK477" s="159"/>
      <c r="AL477" s="159"/>
      <c r="AM477" s="159"/>
      <c r="AN477" s="163"/>
      <c r="AO477" s="163"/>
    </row>
    <row r="478" spans="1:41" ht="18" hidden="1" customHeight="1" x14ac:dyDescent="0.25">
      <c r="A478" s="157"/>
      <c r="B478" s="158"/>
      <c r="C478" s="159"/>
      <c r="D478" s="159"/>
      <c r="E478" s="159"/>
      <c r="F478" s="159"/>
      <c r="G478" s="159"/>
      <c r="H478" s="159"/>
      <c r="I478" s="158"/>
      <c r="J478" s="158"/>
      <c r="K478" s="158"/>
      <c r="L478" s="158"/>
      <c r="M478" s="160"/>
      <c r="N478" s="158"/>
      <c r="O478" s="159"/>
      <c r="P478" s="159"/>
      <c r="Q478" s="159"/>
      <c r="R478" s="159"/>
      <c r="S478" s="159"/>
      <c r="T478" s="159"/>
      <c r="U478" s="161"/>
      <c r="V478" s="161"/>
      <c r="W478" s="162"/>
      <c r="X478" s="159"/>
      <c r="Y478" s="159"/>
      <c r="Z478" s="159"/>
      <c r="AA478" s="159"/>
      <c r="AB478" s="159"/>
      <c r="AC478" s="159"/>
      <c r="AD478" s="159"/>
      <c r="AE478" s="159"/>
      <c r="AF478" s="159"/>
      <c r="AG478" s="159"/>
      <c r="AH478" s="161"/>
      <c r="AI478" s="162"/>
      <c r="AJ478" s="159"/>
      <c r="AK478" s="159"/>
      <c r="AL478" s="159"/>
      <c r="AM478" s="159"/>
      <c r="AN478" s="163"/>
      <c r="AO478" s="163"/>
    </row>
    <row r="479" spans="1:41" ht="18" hidden="1" customHeight="1" x14ac:dyDescent="0.25">
      <c r="A479" s="157"/>
      <c r="B479" s="158"/>
      <c r="C479" s="159"/>
      <c r="D479" s="159"/>
      <c r="E479" s="159"/>
      <c r="F479" s="159"/>
      <c r="G479" s="159"/>
      <c r="H479" s="159"/>
      <c r="I479" s="158"/>
      <c r="J479" s="158"/>
      <c r="K479" s="158"/>
      <c r="L479" s="158"/>
      <c r="M479" s="160"/>
      <c r="N479" s="158"/>
      <c r="O479" s="159"/>
      <c r="P479" s="159"/>
      <c r="Q479" s="159"/>
      <c r="R479" s="159"/>
      <c r="S479" s="159"/>
      <c r="T479" s="159"/>
      <c r="U479" s="161"/>
      <c r="V479" s="161"/>
      <c r="W479" s="162"/>
      <c r="X479" s="159"/>
      <c r="Y479" s="159"/>
      <c r="Z479" s="159"/>
      <c r="AA479" s="159"/>
      <c r="AB479" s="159"/>
      <c r="AC479" s="159"/>
      <c r="AD479" s="159"/>
      <c r="AE479" s="159"/>
      <c r="AF479" s="159"/>
      <c r="AG479" s="159"/>
      <c r="AH479" s="161"/>
      <c r="AI479" s="162"/>
      <c r="AJ479" s="159"/>
      <c r="AK479" s="159"/>
      <c r="AL479" s="159"/>
      <c r="AM479" s="159"/>
      <c r="AN479" s="163"/>
      <c r="AO479" s="163"/>
    </row>
    <row r="480" spans="1:41" ht="18" hidden="1" customHeight="1" x14ac:dyDescent="0.25">
      <c r="A480" s="157"/>
      <c r="B480" s="158"/>
      <c r="C480" s="159"/>
      <c r="D480" s="159"/>
      <c r="E480" s="159"/>
      <c r="F480" s="159"/>
      <c r="G480" s="159"/>
      <c r="H480" s="159"/>
      <c r="I480" s="158"/>
      <c r="J480" s="158"/>
      <c r="K480" s="158"/>
      <c r="L480" s="158"/>
      <c r="M480" s="160"/>
      <c r="N480" s="158"/>
      <c r="O480" s="159"/>
      <c r="P480" s="159"/>
      <c r="Q480" s="159"/>
      <c r="R480" s="159"/>
      <c r="S480" s="159"/>
      <c r="T480" s="159"/>
      <c r="U480" s="161"/>
      <c r="V480" s="161"/>
      <c r="W480" s="162"/>
      <c r="X480" s="159"/>
      <c r="Y480" s="159"/>
      <c r="Z480" s="159"/>
      <c r="AA480" s="159"/>
      <c r="AB480" s="159"/>
      <c r="AC480" s="159"/>
      <c r="AD480" s="159"/>
      <c r="AE480" s="159"/>
      <c r="AF480" s="159"/>
      <c r="AG480" s="159"/>
      <c r="AH480" s="161"/>
      <c r="AI480" s="162"/>
      <c r="AJ480" s="159"/>
      <c r="AK480" s="159"/>
      <c r="AL480" s="159"/>
      <c r="AM480" s="159"/>
      <c r="AN480" s="163"/>
      <c r="AO480" s="163"/>
    </row>
    <row r="481" spans="1:41" ht="18" hidden="1" customHeight="1" x14ac:dyDescent="0.25">
      <c r="A481" s="157"/>
      <c r="B481" s="158"/>
      <c r="C481" s="159"/>
      <c r="D481" s="159"/>
      <c r="E481" s="159"/>
      <c r="F481" s="159"/>
      <c r="G481" s="159"/>
      <c r="H481" s="159"/>
      <c r="I481" s="158"/>
      <c r="J481" s="158"/>
      <c r="K481" s="158"/>
      <c r="L481" s="158"/>
      <c r="M481" s="160"/>
      <c r="N481" s="158"/>
      <c r="O481" s="159"/>
      <c r="P481" s="159"/>
      <c r="Q481" s="159"/>
      <c r="R481" s="159"/>
      <c r="S481" s="159"/>
      <c r="T481" s="159"/>
      <c r="U481" s="161"/>
      <c r="V481" s="161"/>
      <c r="W481" s="162"/>
      <c r="X481" s="159"/>
      <c r="Y481" s="159"/>
      <c r="Z481" s="159"/>
      <c r="AA481" s="159"/>
      <c r="AB481" s="159"/>
      <c r="AC481" s="159"/>
      <c r="AD481" s="159"/>
      <c r="AE481" s="159"/>
      <c r="AF481" s="159"/>
      <c r="AG481" s="159"/>
      <c r="AH481" s="161"/>
      <c r="AI481" s="162"/>
      <c r="AJ481" s="159"/>
      <c r="AK481" s="159"/>
      <c r="AL481" s="159"/>
      <c r="AM481" s="159"/>
      <c r="AN481" s="163"/>
      <c r="AO481" s="163"/>
    </row>
    <row r="482" spans="1:41" ht="18" hidden="1" customHeight="1" x14ac:dyDescent="0.25">
      <c r="A482" s="157"/>
      <c r="B482" s="158"/>
      <c r="C482" s="159"/>
      <c r="D482" s="159"/>
      <c r="E482" s="159"/>
      <c r="F482" s="159"/>
      <c r="G482" s="159"/>
      <c r="H482" s="159"/>
      <c r="I482" s="158"/>
      <c r="J482" s="158"/>
      <c r="K482" s="158"/>
      <c r="L482" s="158"/>
      <c r="M482" s="160"/>
      <c r="N482" s="158"/>
      <c r="O482" s="159"/>
      <c r="P482" s="159"/>
      <c r="Q482" s="159"/>
      <c r="R482" s="159"/>
      <c r="S482" s="159"/>
      <c r="T482" s="159"/>
      <c r="U482" s="161"/>
      <c r="V482" s="161"/>
      <c r="W482" s="162"/>
      <c r="X482" s="159"/>
      <c r="Y482" s="159"/>
      <c r="Z482" s="159"/>
      <c r="AA482" s="159"/>
      <c r="AB482" s="159"/>
      <c r="AC482" s="159"/>
      <c r="AD482" s="159"/>
      <c r="AE482" s="159"/>
      <c r="AF482" s="159"/>
      <c r="AG482" s="159"/>
      <c r="AH482" s="161"/>
      <c r="AI482" s="162"/>
      <c r="AJ482" s="159"/>
      <c r="AK482" s="159"/>
      <c r="AL482" s="159"/>
      <c r="AM482" s="159"/>
      <c r="AN482" s="163"/>
      <c r="AO482" s="163"/>
    </row>
    <row r="483" spans="1:41" ht="18" hidden="1" customHeight="1" x14ac:dyDescent="0.25">
      <c r="A483" s="157"/>
      <c r="B483" s="158"/>
      <c r="C483" s="159"/>
      <c r="D483" s="159"/>
      <c r="E483" s="159"/>
      <c r="F483" s="159"/>
      <c r="G483" s="159"/>
      <c r="H483" s="159"/>
      <c r="I483" s="158"/>
      <c r="J483" s="158"/>
      <c r="K483" s="158"/>
      <c r="L483" s="158"/>
      <c r="M483" s="160"/>
      <c r="N483" s="158"/>
      <c r="O483" s="159"/>
      <c r="P483" s="159"/>
      <c r="Q483" s="159"/>
      <c r="R483" s="159"/>
      <c r="S483" s="159"/>
      <c r="T483" s="159"/>
      <c r="U483" s="161"/>
      <c r="V483" s="161"/>
      <c r="W483" s="162"/>
      <c r="X483" s="159"/>
      <c r="Y483" s="159"/>
      <c r="Z483" s="159"/>
      <c r="AA483" s="159"/>
      <c r="AB483" s="159"/>
      <c r="AC483" s="159"/>
      <c r="AD483" s="159"/>
      <c r="AE483" s="159"/>
      <c r="AF483" s="159"/>
      <c r="AG483" s="159"/>
      <c r="AH483" s="161"/>
      <c r="AI483" s="162"/>
      <c r="AJ483" s="159"/>
      <c r="AK483" s="159"/>
      <c r="AL483" s="159"/>
      <c r="AM483" s="159"/>
      <c r="AN483" s="163"/>
      <c r="AO483" s="163"/>
    </row>
    <row r="484" spans="1:41" ht="18" hidden="1" customHeight="1" x14ac:dyDescent="0.25">
      <c r="A484" s="157"/>
      <c r="B484" s="158"/>
      <c r="C484" s="159"/>
      <c r="D484" s="159"/>
      <c r="E484" s="159"/>
      <c r="F484" s="159"/>
      <c r="G484" s="159"/>
      <c r="H484" s="159"/>
      <c r="I484" s="158"/>
      <c r="J484" s="158"/>
      <c r="K484" s="158"/>
      <c r="L484" s="158"/>
      <c r="M484" s="160"/>
      <c r="N484" s="158"/>
      <c r="O484" s="159"/>
      <c r="P484" s="159"/>
      <c r="Q484" s="159"/>
      <c r="R484" s="159"/>
      <c r="S484" s="159"/>
      <c r="T484" s="159"/>
      <c r="U484" s="161"/>
      <c r="V484" s="161"/>
      <c r="W484" s="162"/>
      <c r="X484" s="159"/>
      <c r="Y484" s="159"/>
      <c r="Z484" s="159"/>
      <c r="AA484" s="159"/>
      <c r="AB484" s="159"/>
      <c r="AC484" s="159"/>
      <c r="AD484" s="159"/>
      <c r="AE484" s="159"/>
      <c r="AF484" s="159"/>
      <c r="AG484" s="159"/>
      <c r="AH484" s="161"/>
      <c r="AI484" s="162"/>
      <c r="AJ484" s="159"/>
      <c r="AK484" s="159"/>
      <c r="AL484" s="159"/>
      <c r="AM484" s="159"/>
      <c r="AN484" s="163"/>
      <c r="AO484" s="163"/>
    </row>
    <row r="485" spans="1:41" ht="18" hidden="1" customHeight="1" x14ac:dyDescent="0.25">
      <c r="A485" s="157"/>
      <c r="B485" s="158"/>
      <c r="C485" s="159"/>
      <c r="D485" s="159"/>
      <c r="E485" s="159"/>
      <c r="F485" s="159"/>
      <c r="G485" s="159"/>
      <c r="H485" s="159"/>
      <c r="I485" s="158"/>
      <c r="J485" s="158"/>
      <c r="K485" s="158"/>
      <c r="L485" s="158"/>
      <c r="M485" s="160"/>
      <c r="N485" s="158"/>
      <c r="O485" s="159"/>
      <c r="P485" s="159"/>
      <c r="Q485" s="159"/>
      <c r="R485" s="159"/>
      <c r="S485" s="159"/>
      <c r="T485" s="159"/>
      <c r="U485" s="161"/>
      <c r="V485" s="161"/>
      <c r="W485" s="162"/>
      <c r="X485" s="159"/>
      <c r="Y485" s="159"/>
      <c r="Z485" s="159"/>
      <c r="AA485" s="159"/>
      <c r="AB485" s="159"/>
      <c r="AC485" s="159"/>
      <c r="AD485" s="159"/>
      <c r="AE485" s="159"/>
      <c r="AF485" s="159"/>
      <c r="AG485" s="159"/>
      <c r="AH485" s="161"/>
      <c r="AI485" s="162"/>
      <c r="AJ485" s="159"/>
      <c r="AK485" s="159"/>
      <c r="AL485" s="159"/>
      <c r="AM485" s="159"/>
      <c r="AN485" s="163"/>
      <c r="AO485" s="163"/>
    </row>
    <row r="486" spans="1:41" ht="18" hidden="1" customHeight="1" x14ac:dyDescent="0.25">
      <c r="A486" s="157"/>
      <c r="B486" s="158"/>
      <c r="C486" s="159"/>
      <c r="D486" s="159"/>
      <c r="E486" s="159"/>
      <c r="F486" s="159"/>
      <c r="G486" s="159"/>
      <c r="H486" s="159"/>
      <c r="I486" s="158"/>
      <c r="J486" s="158"/>
      <c r="K486" s="158"/>
      <c r="L486" s="158"/>
      <c r="M486" s="160"/>
      <c r="N486" s="158"/>
      <c r="O486" s="159"/>
      <c r="P486" s="159"/>
      <c r="Q486" s="159"/>
      <c r="R486" s="159"/>
      <c r="S486" s="159"/>
      <c r="T486" s="159"/>
      <c r="U486" s="161"/>
      <c r="V486" s="161"/>
      <c r="W486" s="162"/>
      <c r="X486" s="159"/>
      <c r="Y486" s="159"/>
      <c r="Z486" s="159"/>
      <c r="AA486" s="159"/>
      <c r="AB486" s="159"/>
      <c r="AC486" s="159"/>
      <c r="AD486" s="159"/>
      <c r="AE486" s="159"/>
      <c r="AF486" s="159"/>
      <c r="AG486" s="159"/>
      <c r="AH486" s="161"/>
      <c r="AI486" s="162"/>
      <c r="AJ486" s="159"/>
      <c r="AK486" s="159"/>
      <c r="AL486" s="159"/>
      <c r="AM486" s="159"/>
      <c r="AN486" s="163"/>
      <c r="AO486" s="163"/>
    </row>
    <row r="487" spans="1:41" ht="18" hidden="1" customHeight="1" x14ac:dyDescent="0.25">
      <c r="A487" s="157"/>
      <c r="B487" s="158"/>
      <c r="C487" s="159"/>
      <c r="D487" s="159"/>
      <c r="E487" s="159"/>
      <c r="F487" s="159"/>
      <c r="G487" s="159"/>
      <c r="H487" s="159"/>
      <c r="I487" s="158"/>
      <c r="J487" s="158"/>
      <c r="K487" s="158"/>
      <c r="L487" s="158"/>
      <c r="M487" s="160"/>
      <c r="N487" s="158"/>
      <c r="O487" s="159"/>
      <c r="P487" s="159"/>
      <c r="Q487" s="159"/>
      <c r="R487" s="159"/>
      <c r="S487" s="159"/>
      <c r="T487" s="159"/>
      <c r="U487" s="161"/>
      <c r="V487" s="161"/>
      <c r="W487" s="162"/>
      <c r="X487" s="159"/>
      <c r="Y487" s="159"/>
      <c r="Z487" s="159"/>
      <c r="AA487" s="159"/>
      <c r="AB487" s="159"/>
      <c r="AC487" s="159"/>
      <c r="AD487" s="159"/>
      <c r="AE487" s="159"/>
      <c r="AF487" s="159"/>
      <c r="AG487" s="159"/>
      <c r="AH487" s="161"/>
      <c r="AI487" s="162"/>
      <c r="AJ487" s="159"/>
      <c r="AK487" s="159"/>
      <c r="AL487" s="159"/>
      <c r="AM487" s="159"/>
      <c r="AN487" s="163"/>
      <c r="AO487" s="163"/>
    </row>
    <row r="488" spans="1:41" ht="18" hidden="1" customHeight="1" x14ac:dyDescent="0.25">
      <c r="A488" s="157"/>
      <c r="B488" s="158"/>
      <c r="C488" s="159"/>
      <c r="D488" s="159"/>
      <c r="E488" s="159"/>
      <c r="F488" s="159"/>
      <c r="G488" s="159"/>
      <c r="H488" s="159"/>
      <c r="I488" s="158"/>
      <c r="J488" s="158"/>
      <c r="K488" s="158"/>
      <c r="L488" s="158"/>
      <c r="M488" s="160"/>
      <c r="N488" s="158"/>
      <c r="O488" s="159"/>
      <c r="P488" s="159"/>
      <c r="Q488" s="159"/>
      <c r="R488" s="159"/>
      <c r="S488" s="159"/>
      <c r="T488" s="159"/>
      <c r="U488" s="161"/>
      <c r="V488" s="161"/>
      <c r="W488" s="162"/>
      <c r="X488" s="159"/>
      <c r="Y488" s="159"/>
      <c r="Z488" s="159"/>
      <c r="AA488" s="159"/>
      <c r="AB488" s="159"/>
      <c r="AC488" s="159"/>
      <c r="AD488" s="159"/>
      <c r="AE488" s="159"/>
      <c r="AF488" s="159"/>
      <c r="AG488" s="159"/>
      <c r="AH488" s="161"/>
      <c r="AI488" s="162"/>
      <c r="AJ488" s="159"/>
      <c r="AK488" s="159"/>
      <c r="AL488" s="159"/>
      <c r="AM488" s="159"/>
      <c r="AN488" s="163"/>
      <c r="AO488" s="163"/>
    </row>
    <row r="489" spans="1:41" ht="18" hidden="1" customHeight="1" x14ac:dyDescent="0.25">
      <c r="A489" s="157"/>
      <c r="B489" s="158"/>
      <c r="C489" s="159"/>
      <c r="D489" s="159"/>
      <c r="E489" s="159"/>
      <c r="F489" s="159"/>
      <c r="G489" s="159"/>
      <c r="H489" s="159"/>
      <c r="I489" s="158"/>
      <c r="J489" s="158"/>
      <c r="K489" s="158"/>
      <c r="L489" s="158"/>
      <c r="M489" s="160"/>
      <c r="N489" s="158"/>
      <c r="O489" s="159"/>
      <c r="P489" s="159"/>
      <c r="Q489" s="159"/>
      <c r="R489" s="159"/>
      <c r="S489" s="159"/>
      <c r="T489" s="159"/>
      <c r="U489" s="161"/>
      <c r="V489" s="161"/>
      <c r="W489" s="162"/>
      <c r="X489" s="159"/>
      <c r="Y489" s="159"/>
      <c r="Z489" s="159"/>
      <c r="AA489" s="159"/>
      <c r="AB489" s="159"/>
      <c r="AC489" s="159"/>
      <c r="AD489" s="159"/>
      <c r="AE489" s="159"/>
      <c r="AF489" s="159"/>
      <c r="AG489" s="159"/>
      <c r="AH489" s="161"/>
      <c r="AI489" s="162"/>
      <c r="AJ489" s="159"/>
      <c r="AK489" s="159"/>
      <c r="AL489" s="159"/>
      <c r="AM489" s="159"/>
      <c r="AN489" s="163"/>
      <c r="AO489" s="163"/>
    </row>
    <row r="490" spans="1:41" ht="18" hidden="1" customHeight="1" x14ac:dyDescent="0.25">
      <c r="A490" s="157"/>
      <c r="B490" s="158"/>
      <c r="C490" s="159"/>
      <c r="D490" s="159"/>
      <c r="E490" s="159"/>
      <c r="F490" s="159"/>
      <c r="G490" s="159"/>
      <c r="H490" s="159"/>
      <c r="I490" s="158"/>
      <c r="J490" s="158"/>
      <c r="K490" s="158"/>
      <c r="L490" s="158"/>
      <c r="M490" s="160"/>
      <c r="N490" s="158"/>
      <c r="O490" s="159"/>
      <c r="P490" s="159"/>
      <c r="Q490" s="159"/>
      <c r="R490" s="159"/>
      <c r="S490" s="159"/>
      <c r="T490" s="159"/>
      <c r="U490" s="161"/>
      <c r="V490" s="161"/>
      <c r="W490" s="162"/>
      <c r="X490" s="159"/>
      <c r="Y490" s="159"/>
      <c r="Z490" s="159"/>
      <c r="AA490" s="159"/>
      <c r="AB490" s="159"/>
      <c r="AC490" s="159"/>
      <c r="AD490" s="159"/>
      <c r="AE490" s="159"/>
      <c r="AF490" s="159"/>
      <c r="AG490" s="159"/>
      <c r="AH490" s="161"/>
      <c r="AI490" s="162"/>
      <c r="AJ490" s="159"/>
      <c r="AK490" s="159"/>
      <c r="AL490" s="159"/>
      <c r="AM490" s="159"/>
      <c r="AN490" s="163"/>
      <c r="AO490" s="163"/>
    </row>
    <row r="491" spans="1:41" ht="18" hidden="1" customHeight="1" x14ac:dyDescent="0.25">
      <c r="A491" s="157"/>
      <c r="B491" s="158"/>
      <c r="C491" s="159"/>
      <c r="D491" s="159"/>
      <c r="E491" s="159"/>
      <c r="F491" s="159"/>
      <c r="G491" s="159"/>
      <c r="H491" s="159"/>
      <c r="I491" s="158"/>
      <c r="J491" s="158"/>
      <c r="K491" s="158"/>
      <c r="L491" s="158"/>
      <c r="M491" s="160"/>
      <c r="N491" s="158"/>
      <c r="O491" s="159"/>
      <c r="P491" s="159"/>
      <c r="Q491" s="159"/>
      <c r="R491" s="159"/>
      <c r="S491" s="159"/>
      <c r="T491" s="159"/>
      <c r="U491" s="161"/>
      <c r="V491" s="161"/>
      <c r="W491" s="162"/>
      <c r="X491" s="159"/>
      <c r="Y491" s="159"/>
      <c r="Z491" s="159"/>
      <c r="AA491" s="159"/>
      <c r="AB491" s="159"/>
      <c r="AC491" s="159"/>
      <c r="AD491" s="159"/>
      <c r="AE491" s="159"/>
      <c r="AF491" s="159"/>
      <c r="AG491" s="159"/>
      <c r="AH491" s="161"/>
      <c r="AI491" s="162"/>
      <c r="AJ491" s="159"/>
      <c r="AK491" s="159"/>
      <c r="AL491" s="159"/>
      <c r="AM491" s="159"/>
      <c r="AN491" s="163"/>
      <c r="AO491" s="163"/>
    </row>
    <row r="492" spans="1:41" ht="18" hidden="1" customHeight="1" x14ac:dyDescent="0.25">
      <c r="A492" s="157"/>
      <c r="B492" s="158"/>
      <c r="C492" s="159"/>
      <c r="D492" s="159"/>
      <c r="E492" s="159"/>
      <c r="F492" s="159"/>
      <c r="G492" s="159"/>
      <c r="H492" s="159"/>
      <c r="I492" s="158"/>
      <c r="J492" s="158"/>
      <c r="K492" s="158"/>
      <c r="L492" s="158"/>
      <c r="M492" s="160"/>
      <c r="N492" s="158"/>
      <c r="O492" s="159"/>
      <c r="P492" s="159"/>
      <c r="Q492" s="159"/>
      <c r="R492" s="159"/>
      <c r="S492" s="159"/>
      <c r="T492" s="159"/>
      <c r="U492" s="161"/>
      <c r="V492" s="161"/>
      <c r="W492" s="162"/>
      <c r="X492" s="159"/>
      <c r="Y492" s="159"/>
      <c r="Z492" s="159"/>
      <c r="AA492" s="159"/>
      <c r="AB492" s="159"/>
      <c r="AC492" s="159"/>
      <c r="AD492" s="159"/>
      <c r="AE492" s="159"/>
      <c r="AF492" s="159"/>
      <c r="AG492" s="159"/>
      <c r="AH492" s="161"/>
      <c r="AI492" s="162"/>
      <c r="AJ492" s="159"/>
      <c r="AK492" s="159"/>
      <c r="AL492" s="159"/>
      <c r="AM492" s="159"/>
      <c r="AN492" s="163"/>
      <c r="AO492" s="163"/>
    </row>
    <row r="493" spans="1:41" ht="18" hidden="1" customHeight="1" x14ac:dyDescent="0.25">
      <c r="A493" s="157"/>
      <c r="B493" s="158"/>
      <c r="C493" s="159"/>
      <c r="D493" s="159"/>
      <c r="E493" s="159"/>
      <c r="F493" s="159"/>
      <c r="G493" s="159"/>
      <c r="H493" s="159"/>
      <c r="I493" s="158"/>
      <c r="J493" s="158"/>
      <c r="K493" s="158"/>
      <c r="L493" s="158"/>
      <c r="M493" s="160"/>
      <c r="N493" s="158"/>
      <c r="O493" s="159"/>
      <c r="P493" s="159"/>
      <c r="Q493" s="159"/>
      <c r="R493" s="159"/>
      <c r="S493" s="159"/>
      <c r="T493" s="159"/>
      <c r="U493" s="161"/>
      <c r="V493" s="161"/>
      <c r="W493" s="162"/>
      <c r="X493" s="159"/>
      <c r="Y493" s="159"/>
      <c r="Z493" s="159"/>
      <c r="AA493" s="159"/>
      <c r="AB493" s="159"/>
      <c r="AC493" s="159"/>
      <c r="AD493" s="159"/>
      <c r="AE493" s="159"/>
      <c r="AF493" s="159"/>
      <c r="AG493" s="159"/>
      <c r="AH493" s="161"/>
      <c r="AI493" s="162"/>
      <c r="AJ493" s="159"/>
      <c r="AK493" s="159"/>
      <c r="AL493" s="159"/>
      <c r="AM493" s="159"/>
      <c r="AN493" s="163"/>
      <c r="AO493" s="163"/>
    </row>
    <row r="494" spans="1:41" ht="18" hidden="1" customHeight="1" x14ac:dyDescent="0.25">
      <c r="A494" s="157"/>
      <c r="B494" s="158"/>
      <c r="C494" s="159"/>
      <c r="D494" s="159"/>
      <c r="E494" s="159"/>
      <c r="F494" s="159"/>
      <c r="G494" s="159"/>
      <c r="H494" s="159"/>
      <c r="I494" s="158"/>
      <c r="J494" s="158"/>
      <c r="K494" s="158"/>
      <c r="L494" s="158"/>
      <c r="M494" s="160"/>
      <c r="N494" s="158"/>
      <c r="O494" s="159"/>
      <c r="P494" s="159"/>
      <c r="Q494" s="159"/>
      <c r="R494" s="159"/>
      <c r="S494" s="159"/>
      <c r="T494" s="159"/>
      <c r="U494" s="161"/>
      <c r="V494" s="161"/>
      <c r="W494" s="162"/>
      <c r="X494" s="159"/>
      <c r="Y494" s="159"/>
      <c r="Z494" s="159"/>
      <c r="AA494" s="159"/>
      <c r="AB494" s="159"/>
      <c r="AC494" s="159"/>
      <c r="AD494" s="159"/>
      <c r="AE494" s="159"/>
      <c r="AF494" s="159"/>
      <c r="AG494" s="159"/>
      <c r="AH494" s="161"/>
      <c r="AI494" s="162"/>
      <c r="AJ494" s="159"/>
      <c r="AK494" s="159"/>
      <c r="AL494" s="159"/>
      <c r="AM494" s="159"/>
      <c r="AN494" s="163"/>
      <c r="AO494" s="163"/>
    </row>
    <row r="495" spans="1:41" ht="18" hidden="1" customHeight="1" x14ac:dyDescent="0.25">
      <c r="A495" s="157"/>
      <c r="B495" s="158"/>
      <c r="C495" s="159"/>
      <c r="D495" s="159"/>
      <c r="E495" s="159"/>
      <c r="F495" s="159"/>
      <c r="G495" s="159"/>
      <c r="H495" s="159"/>
      <c r="I495" s="158"/>
      <c r="J495" s="158"/>
      <c r="K495" s="158"/>
      <c r="L495" s="158"/>
      <c r="M495" s="160"/>
      <c r="N495" s="158"/>
      <c r="O495" s="159"/>
      <c r="P495" s="159"/>
      <c r="Q495" s="159"/>
      <c r="R495" s="159"/>
      <c r="S495" s="159"/>
      <c r="T495" s="159"/>
      <c r="U495" s="161"/>
      <c r="V495" s="161"/>
      <c r="W495" s="162"/>
      <c r="X495" s="159"/>
      <c r="Y495" s="159"/>
      <c r="Z495" s="159"/>
      <c r="AA495" s="159"/>
      <c r="AB495" s="159"/>
      <c r="AC495" s="159"/>
      <c r="AD495" s="159"/>
      <c r="AE495" s="159"/>
      <c r="AF495" s="159"/>
      <c r="AG495" s="159"/>
      <c r="AH495" s="161"/>
      <c r="AI495" s="162"/>
      <c r="AJ495" s="159"/>
      <c r="AK495" s="159"/>
      <c r="AL495" s="159"/>
      <c r="AM495" s="159"/>
      <c r="AN495" s="163"/>
      <c r="AO495" s="163"/>
    </row>
    <row r="496" spans="1:41" ht="18" hidden="1" customHeight="1" x14ac:dyDescent="0.25">
      <c r="A496" s="157"/>
      <c r="B496" s="158"/>
      <c r="C496" s="159"/>
      <c r="D496" s="159"/>
      <c r="E496" s="159"/>
      <c r="F496" s="159"/>
      <c r="G496" s="159"/>
      <c r="H496" s="159"/>
      <c r="I496" s="158"/>
      <c r="J496" s="158"/>
      <c r="K496" s="158"/>
      <c r="L496" s="158"/>
      <c r="M496" s="160"/>
      <c r="N496" s="158"/>
      <c r="O496" s="159"/>
      <c r="P496" s="159"/>
      <c r="Q496" s="159"/>
      <c r="R496" s="159"/>
      <c r="S496" s="159"/>
      <c r="T496" s="159"/>
      <c r="U496" s="161"/>
      <c r="V496" s="161"/>
      <c r="W496" s="162"/>
      <c r="X496" s="159"/>
      <c r="Y496" s="159"/>
      <c r="Z496" s="159"/>
      <c r="AA496" s="159"/>
      <c r="AB496" s="159"/>
      <c r="AC496" s="159"/>
      <c r="AD496" s="159"/>
      <c r="AE496" s="159"/>
      <c r="AF496" s="159"/>
      <c r="AG496" s="159"/>
      <c r="AH496" s="161"/>
      <c r="AI496" s="162"/>
      <c r="AJ496" s="159"/>
      <c r="AK496" s="159"/>
      <c r="AL496" s="159"/>
      <c r="AM496" s="159"/>
      <c r="AN496" s="163"/>
      <c r="AO496" s="163"/>
    </row>
    <row r="497" spans="1:41" ht="18" hidden="1" customHeight="1" x14ac:dyDescent="0.25">
      <c r="A497" s="157"/>
      <c r="B497" s="158"/>
      <c r="C497" s="159"/>
      <c r="D497" s="159"/>
      <c r="E497" s="159"/>
      <c r="F497" s="159"/>
      <c r="G497" s="159"/>
      <c r="H497" s="159"/>
      <c r="I497" s="158"/>
      <c r="J497" s="158"/>
      <c r="K497" s="158"/>
      <c r="L497" s="158"/>
      <c r="M497" s="160"/>
      <c r="N497" s="158"/>
      <c r="O497" s="159"/>
      <c r="P497" s="159"/>
      <c r="Q497" s="159"/>
      <c r="R497" s="159"/>
      <c r="S497" s="159"/>
      <c r="T497" s="159"/>
      <c r="U497" s="161"/>
      <c r="V497" s="161"/>
      <c r="W497" s="162"/>
      <c r="X497" s="159"/>
      <c r="Y497" s="159"/>
      <c r="Z497" s="159"/>
      <c r="AA497" s="159"/>
      <c r="AB497" s="159"/>
      <c r="AC497" s="159"/>
      <c r="AD497" s="159"/>
      <c r="AE497" s="159"/>
      <c r="AF497" s="159"/>
      <c r="AG497" s="159"/>
      <c r="AH497" s="161"/>
      <c r="AI497" s="162"/>
      <c r="AJ497" s="159"/>
      <c r="AK497" s="159"/>
      <c r="AL497" s="159"/>
      <c r="AM497" s="159"/>
      <c r="AN497" s="163"/>
      <c r="AO497" s="163"/>
    </row>
    <row r="498" spans="1:41" ht="18" hidden="1" customHeight="1" x14ac:dyDescent="0.25">
      <c r="A498" s="157"/>
      <c r="B498" s="158"/>
      <c r="C498" s="159"/>
      <c r="D498" s="159"/>
      <c r="E498" s="159"/>
      <c r="F498" s="159"/>
      <c r="G498" s="159"/>
      <c r="H498" s="159"/>
      <c r="I498" s="158"/>
      <c r="J498" s="158"/>
      <c r="K498" s="158"/>
      <c r="L498" s="158"/>
      <c r="M498" s="160"/>
      <c r="N498" s="158"/>
      <c r="O498" s="159"/>
      <c r="P498" s="159"/>
      <c r="Q498" s="159"/>
      <c r="R498" s="159"/>
      <c r="S498" s="159"/>
      <c r="T498" s="159"/>
      <c r="U498" s="161"/>
      <c r="V498" s="161"/>
      <c r="W498" s="162"/>
      <c r="X498" s="159"/>
      <c r="Y498" s="159"/>
      <c r="Z498" s="159"/>
      <c r="AA498" s="159"/>
      <c r="AB498" s="159"/>
      <c r="AC498" s="159"/>
      <c r="AD498" s="159"/>
      <c r="AE498" s="159"/>
      <c r="AF498" s="159"/>
      <c r="AG498" s="159"/>
      <c r="AH498" s="161"/>
      <c r="AI498" s="162"/>
      <c r="AJ498" s="159"/>
      <c r="AK498" s="159"/>
      <c r="AL498" s="159"/>
      <c r="AM498" s="159"/>
      <c r="AN498" s="163"/>
      <c r="AO498" s="163"/>
    </row>
    <row r="499" spans="1:41" ht="18" hidden="1" customHeight="1" x14ac:dyDescent="0.25">
      <c r="A499" s="157"/>
      <c r="B499" s="158"/>
      <c r="C499" s="159"/>
      <c r="D499" s="159"/>
      <c r="E499" s="159"/>
      <c r="F499" s="159"/>
      <c r="G499" s="159"/>
      <c r="H499" s="159"/>
      <c r="I499" s="158"/>
      <c r="J499" s="158"/>
      <c r="K499" s="158"/>
      <c r="L499" s="158"/>
      <c r="M499" s="160"/>
      <c r="N499" s="158"/>
      <c r="O499" s="159"/>
      <c r="P499" s="159"/>
      <c r="Q499" s="159"/>
      <c r="R499" s="159"/>
      <c r="S499" s="159"/>
      <c r="T499" s="159"/>
      <c r="U499" s="161"/>
      <c r="V499" s="161"/>
      <c r="W499" s="162"/>
      <c r="X499" s="159"/>
      <c r="Y499" s="159"/>
      <c r="Z499" s="159"/>
      <c r="AA499" s="159"/>
      <c r="AB499" s="159"/>
      <c r="AC499" s="159"/>
      <c r="AD499" s="159"/>
      <c r="AE499" s="159"/>
      <c r="AF499" s="159"/>
      <c r="AG499" s="159"/>
      <c r="AH499" s="161"/>
      <c r="AI499" s="162"/>
      <c r="AJ499" s="159"/>
      <c r="AK499" s="159"/>
      <c r="AL499" s="159"/>
      <c r="AM499" s="159"/>
      <c r="AN499" s="163"/>
      <c r="AO499" s="163"/>
    </row>
    <row r="500" spans="1:41" ht="18" hidden="1" customHeight="1" x14ac:dyDescent="0.25">
      <c r="A500" s="157"/>
      <c r="B500" s="158"/>
      <c r="C500" s="159"/>
      <c r="D500" s="159"/>
      <c r="E500" s="159"/>
      <c r="F500" s="159"/>
      <c r="G500" s="159"/>
      <c r="H500" s="159"/>
      <c r="I500" s="158"/>
      <c r="J500" s="158"/>
      <c r="K500" s="158"/>
      <c r="L500" s="158"/>
      <c r="M500" s="160"/>
      <c r="N500" s="158"/>
      <c r="O500" s="159"/>
      <c r="P500" s="159"/>
      <c r="Q500" s="159"/>
      <c r="R500" s="159"/>
      <c r="S500" s="159"/>
      <c r="T500" s="159"/>
      <c r="U500" s="161"/>
      <c r="V500" s="161"/>
      <c r="W500" s="162"/>
      <c r="X500" s="159"/>
      <c r="Y500" s="159"/>
      <c r="Z500" s="159"/>
      <c r="AA500" s="159"/>
      <c r="AB500" s="159"/>
      <c r="AC500" s="159"/>
      <c r="AD500" s="159"/>
      <c r="AE500" s="159"/>
      <c r="AF500" s="159"/>
      <c r="AG500" s="159"/>
      <c r="AH500" s="161"/>
      <c r="AI500" s="162"/>
      <c r="AJ500" s="159"/>
      <c r="AK500" s="159"/>
      <c r="AL500" s="159"/>
      <c r="AM500" s="159"/>
      <c r="AN500" s="163"/>
      <c r="AO500" s="163"/>
    </row>
    <row r="501" spans="1:41" ht="18" hidden="1" customHeight="1" x14ac:dyDescent="0.25">
      <c r="A501" s="157"/>
      <c r="B501" s="158"/>
      <c r="C501" s="159"/>
      <c r="D501" s="159"/>
      <c r="E501" s="159"/>
      <c r="F501" s="159"/>
      <c r="G501" s="159"/>
      <c r="H501" s="159"/>
      <c r="I501" s="158"/>
      <c r="J501" s="158"/>
      <c r="K501" s="158"/>
      <c r="L501" s="158"/>
      <c r="M501" s="160"/>
      <c r="N501" s="158"/>
      <c r="O501" s="159"/>
      <c r="P501" s="159"/>
      <c r="Q501" s="159"/>
      <c r="R501" s="159"/>
      <c r="S501" s="159"/>
      <c r="T501" s="159"/>
      <c r="U501" s="161"/>
      <c r="V501" s="161"/>
      <c r="W501" s="162"/>
      <c r="X501" s="159"/>
      <c r="Y501" s="159"/>
      <c r="Z501" s="159"/>
      <c r="AA501" s="159"/>
      <c r="AB501" s="159"/>
      <c r="AC501" s="159"/>
      <c r="AD501" s="159"/>
      <c r="AE501" s="159"/>
      <c r="AF501" s="159"/>
      <c r="AG501" s="159"/>
      <c r="AH501" s="161"/>
      <c r="AI501" s="162"/>
      <c r="AJ501" s="159"/>
      <c r="AK501" s="159"/>
      <c r="AL501" s="159"/>
      <c r="AM501" s="159"/>
      <c r="AN501" s="163"/>
      <c r="AO501" s="163"/>
    </row>
    <row r="502" spans="1:41" ht="18" hidden="1" customHeight="1" x14ac:dyDescent="0.25">
      <c r="A502" s="157"/>
      <c r="B502" s="158"/>
      <c r="C502" s="159"/>
      <c r="D502" s="159"/>
      <c r="E502" s="159"/>
      <c r="F502" s="159"/>
      <c r="G502" s="159"/>
      <c r="H502" s="159"/>
      <c r="I502" s="158"/>
      <c r="J502" s="158"/>
      <c r="K502" s="158"/>
      <c r="L502" s="158"/>
      <c r="M502" s="160"/>
      <c r="N502" s="158"/>
      <c r="O502" s="159"/>
      <c r="P502" s="159"/>
      <c r="Q502" s="159"/>
      <c r="R502" s="159"/>
      <c r="S502" s="159"/>
      <c r="T502" s="159"/>
      <c r="U502" s="161"/>
      <c r="V502" s="161"/>
      <c r="W502" s="162"/>
      <c r="X502" s="159"/>
      <c r="Y502" s="159"/>
      <c r="Z502" s="159"/>
      <c r="AA502" s="159"/>
      <c r="AB502" s="159"/>
      <c r="AC502" s="159"/>
      <c r="AD502" s="159"/>
      <c r="AE502" s="159"/>
      <c r="AF502" s="159"/>
      <c r="AG502" s="159"/>
      <c r="AH502" s="161"/>
      <c r="AI502" s="162"/>
      <c r="AJ502" s="159"/>
      <c r="AK502" s="159"/>
      <c r="AL502" s="159"/>
      <c r="AM502" s="159"/>
      <c r="AN502" s="163"/>
      <c r="AO502" s="163"/>
    </row>
    <row r="503" spans="1:41" ht="18" hidden="1" customHeight="1" x14ac:dyDescent="0.25">
      <c r="A503" s="157"/>
      <c r="B503" s="158"/>
      <c r="C503" s="159"/>
      <c r="D503" s="159"/>
      <c r="E503" s="159"/>
      <c r="F503" s="159"/>
      <c r="G503" s="159"/>
      <c r="H503" s="159"/>
      <c r="I503" s="158"/>
      <c r="J503" s="158"/>
      <c r="K503" s="158"/>
      <c r="L503" s="158"/>
      <c r="M503" s="160"/>
      <c r="N503" s="158"/>
      <c r="O503" s="159"/>
      <c r="P503" s="159"/>
      <c r="Q503" s="159"/>
      <c r="R503" s="159"/>
      <c r="S503" s="159"/>
      <c r="T503" s="159"/>
      <c r="U503" s="161"/>
      <c r="V503" s="161"/>
      <c r="W503" s="162"/>
      <c r="X503" s="159"/>
      <c r="Y503" s="159"/>
      <c r="Z503" s="159"/>
      <c r="AA503" s="159"/>
      <c r="AB503" s="159"/>
      <c r="AC503" s="159"/>
      <c r="AD503" s="159"/>
      <c r="AE503" s="159"/>
      <c r="AF503" s="159"/>
      <c r="AG503" s="159"/>
      <c r="AH503" s="161"/>
      <c r="AI503" s="162"/>
      <c r="AJ503" s="159"/>
      <c r="AK503" s="159"/>
      <c r="AL503" s="159"/>
      <c r="AM503" s="159"/>
      <c r="AN503" s="163"/>
      <c r="AO503" s="163"/>
    </row>
    <row r="504" spans="1:41" ht="18" hidden="1" customHeight="1" x14ac:dyDescent="0.25">
      <c r="A504" s="157"/>
      <c r="B504" s="158"/>
      <c r="C504" s="159"/>
      <c r="D504" s="159"/>
      <c r="E504" s="159"/>
      <c r="F504" s="159"/>
      <c r="G504" s="159"/>
      <c r="H504" s="159"/>
      <c r="I504" s="158"/>
      <c r="J504" s="158"/>
      <c r="K504" s="158"/>
      <c r="L504" s="158"/>
      <c r="M504" s="160"/>
      <c r="N504" s="158"/>
      <c r="O504" s="159"/>
      <c r="P504" s="159"/>
      <c r="Q504" s="159"/>
      <c r="R504" s="159"/>
      <c r="S504" s="159"/>
      <c r="T504" s="159"/>
      <c r="U504" s="161"/>
      <c r="V504" s="161"/>
      <c r="W504" s="162"/>
      <c r="X504" s="159"/>
      <c r="Y504" s="159"/>
      <c r="Z504" s="159"/>
      <c r="AA504" s="159"/>
      <c r="AB504" s="159"/>
      <c r="AC504" s="159"/>
      <c r="AD504" s="159"/>
      <c r="AE504" s="159"/>
      <c r="AF504" s="159"/>
      <c r="AG504" s="159"/>
      <c r="AH504" s="161"/>
      <c r="AI504" s="162"/>
      <c r="AJ504" s="159"/>
      <c r="AK504" s="159"/>
      <c r="AL504" s="159"/>
      <c r="AM504" s="159"/>
      <c r="AN504" s="163"/>
      <c r="AO504" s="163"/>
    </row>
    <row r="505" spans="1:41" ht="18" hidden="1" customHeight="1" x14ac:dyDescent="0.25">
      <c r="A505" s="157"/>
      <c r="B505" s="158"/>
      <c r="C505" s="159"/>
      <c r="D505" s="159"/>
      <c r="E505" s="159"/>
      <c r="F505" s="159"/>
      <c r="G505" s="159"/>
      <c r="H505" s="159"/>
      <c r="I505" s="158"/>
      <c r="J505" s="158"/>
      <c r="K505" s="158"/>
      <c r="L505" s="158"/>
      <c r="M505" s="160"/>
      <c r="N505" s="158"/>
      <c r="O505" s="159"/>
      <c r="P505" s="159"/>
      <c r="Q505" s="159"/>
      <c r="R505" s="159"/>
      <c r="S505" s="159"/>
      <c r="T505" s="159"/>
      <c r="U505" s="161"/>
      <c r="V505" s="161"/>
      <c r="W505" s="162"/>
      <c r="X505" s="159"/>
      <c r="Y505" s="159"/>
      <c r="Z505" s="159"/>
      <c r="AA505" s="159"/>
      <c r="AB505" s="159"/>
      <c r="AC505" s="159"/>
      <c r="AD505" s="159"/>
      <c r="AE505" s="159"/>
      <c r="AF505" s="159"/>
      <c r="AG505" s="159"/>
      <c r="AH505" s="161"/>
      <c r="AI505" s="162"/>
      <c r="AJ505" s="159"/>
      <c r="AK505" s="159"/>
      <c r="AL505" s="159"/>
      <c r="AM505" s="159"/>
      <c r="AN505" s="163"/>
      <c r="AO505" s="163"/>
    </row>
    <row r="506" spans="1:41" ht="18" hidden="1" customHeight="1" x14ac:dyDescent="0.25">
      <c r="A506" s="157"/>
      <c r="B506" s="158"/>
      <c r="C506" s="159"/>
      <c r="D506" s="159"/>
      <c r="E506" s="159"/>
      <c r="F506" s="159"/>
      <c r="G506" s="159"/>
      <c r="H506" s="159"/>
      <c r="I506" s="158"/>
      <c r="J506" s="158"/>
      <c r="K506" s="158"/>
      <c r="L506" s="158"/>
      <c r="M506" s="160"/>
      <c r="N506" s="158"/>
      <c r="O506" s="159"/>
      <c r="P506" s="159"/>
      <c r="Q506" s="159"/>
      <c r="R506" s="159"/>
      <c r="S506" s="159"/>
      <c r="T506" s="159"/>
      <c r="U506" s="161"/>
      <c r="V506" s="161"/>
      <c r="W506" s="162"/>
      <c r="X506" s="159"/>
      <c r="Y506" s="159"/>
      <c r="Z506" s="159"/>
      <c r="AA506" s="159"/>
      <c r="AB506" s="159"/>
      <c r="AC506" s="159"/>
      <c r="AD506" s="159"/>
      <c r="AE506" s="159"/>
      <c r="AF506" s="159"/>
      <c r="AG506" s="159"/>
      <c r="AH506" s="161"/>
      <c r="AI506" s="162"/>
      <c r="AJ506" s="159"/>
      <c r="AK506" s="159"/>
      <c r="AL506" s="159"/>
      <c r="AM506" s="159"/>
      <c r="AN506" s="163"/>
      <c r="AO506" s="163"/>
    </row>
    <row r="507" spans="1:41" ht="18" hidden="1" customHeight="1" x14ac:dyDescent="0.25">
      <c r="A507" s="157"/>
      <c r="B507" s="158"/>
      <c r="C507" s="159"/>
      <c r="D507" s="159"/>
      <c r="E507" s="159"/>
      <c r="F507" s="159"/>
      <c r="G507" s="159"/>
      <c r="H507" s="159"/>
      <c r="I507" s="158"/>
      <c r="J507" s="158"/>
      <c r="K507" s="158"/>
      <c r="L507" s="158"/>
      <c r="M507" s="160"/>
      <c r="N507" s="158"/>
      <c r="O507" s="159"/>
      <c r="P507" s="159"/>
      <c r="Q507" s="159"/>
      <c r="R507" s="159"/>
      <c r="S507" s="159"/>
      <c r="T507" s="159"/>
      <c r="U507" s="161"/>
      <c r="V507" s="161"/>
      <c r="W507" s="162"/>
      <c r="X507" s="159"/>
      <c r="Y507" s="159"/>
      <c r="Z507" s="159"/>
      <c r="AA507" s="159"/>
      <c r="AB507" s="159"/>
      <c r="AC507" s="159"/>
      <c r="AD507" s="159"/>
      <c r="AE507" s="159"/>
      <c r="AF507" s="159"/>
      <c r="AG507" s="159"/>
      <c r="AH507" s="161"/>
      <c r="AI507" s="162"/>
      <c r="AJ507" s="159"/>
      <c r="AK507" s="159"/>
      <c r="AL507" s="159"/>
      <c r="AM507" s="159"/>
      <c r="AN507" s="163"/>
      <c r="AO507" s="163"/>
    </row>
    <row r="508" spans="1:41" ht="18" hidden="1" customHeight="1" x14ac:dyDescent="0.25">
      <c r="A508" s="157"/>
      <c r="B508" s="158"/>
      <c r="C508" s="159"/>
      <c r="D508" s="159"/>
      <c r="E508" s="159"/>
      <c r="F508" s="159"/>
      <c r="G508" s="159"/>
      <c r="H508" s="159"/>
      <c r="I508" s="158"/>
      <c r="J508" s="158"/>
      <c r="K508" s="158"/>
      <c r="L508" s="158"/>
      <c r="M508" s="160"/>
      <c r="N508" s="158"/>
      <c r="O508" s="159"/>
      <c r="P508" s="159"/>
      <c r="Q508" s="159"/>
      <c r="R508" s="159"/>
      <c r="S508" s="159"/>
      <c r="T508" s="159"/>
      <c r="U508" s="161"/>
      <c r="V508" s="161"/>
      <c r="W508" s="162"/>
      <c r="X508" s="159"/>
      <c r="Y508" s="159"/>
      <c r="Z508" s="159"/>
      <c r="AA508" s="159"/>
      <c r="AB508" s="159"/>
      <c r="AC508" s="159"/>
      <c r="AD508" s="159"/>
      <c r="AE508" s="159"/>
      <c r="AF508" s="159"/>
      <c r="AG508" s="159"/>
      <c r="AH508" s="161"/>
      <c r="AI508" s="162"/>
      <c r="AJ508" s="159"/>
      <c r="AK508" s="159"/>
      <c r="AL508" s="159"/>
      <c r="AM508" s="159"/>
      <c r="AN508" s="163"/>
      <c r="AO508" s="163"/>
    </row>
    <row r="509" spans="1:41" ht="18" hidden="1" customHeight="1" x14ac:dyDescent="0.25">
      <c r="A509" s="157"/>
      <c r="B509" s="158"/>
      <c r="C509" s="159"/>
      <c r="D509" s="159"/>
      <c r="E509" s="159"/>
      <c r="F509" s="159"/>
      <c r="G509" s="159"/>
      <c r="H509" s="159"/>
      <c r="I509" s="158"/>
      <c r="J509" s="158"/>
      <c r="K509" s="158"/>
      <c r="L509" s="158"/>
      <c r="M509" s="160"/>
      <c r="N509" s="158"/>
      <c r="O509" s="159"/>
      <c r="P509" s="159"/>
      <c r="Q509" s="159"/>
      <c r="R509" s="159"/>
      <c r="S509" s="159"/>
      <c r="T509" s="159"/>
      <c r="U509" s="161"/>
      <c r="V509" s="161"/>
      <c r="W509" s="162"/>
      <c r="X509" s="159"/>
      <c r="Y509" s="159"/>
      <c r="Z509" s="159"/>
      <c r="AA509" s="159"/>
      <c r="AB509" s="159"/>
      <c r="AC509" s="159"/>
      <c r="AD509" s="159"/>
      <c r="AE509" s="159"/>
      <c r="AF509" s="159"/>
      <c r="AG509" s="159"/>
      <c r="AH509" s="161"/>
      <c r="AI509" s="162"/>
      <c r="AJ509" s="159"/>
      <c r="AK509" s="159"/>
      <c r="AL509" s="159"/>
      <c r="AM509" s="159"/>
      <c r="AN509" s="163"/>
      <c r="AO509" s="163"/>
    </row>
    <row r="510" spans="1:41" ht="18" hidden="1" customHeight="1" x14ac:dyDescent="0.25">
      <c r="A510" s="157"/>
      <c r="B510" s="158"/>
      <c r="C510" s="159"/>
      <c r="D510" s="159"/>
      <c r="E510" s="159"/>
      <c r="F510" s="159"/>
      <c r="G510" s="159"/>
      <c r="H510" s="159"/>
      <c r="I510" s="158"/>
      <c r="J510" s="158"/>
      <c r="K510" s="158"/>
      <c r="L510" s="158"/>
      <c r="M510" s="160"/>
      <c r="N510" s="158"/>
      <c r="O510" s="159"/>
      <c r="P510" s="159"/>
      <c r="Q510" s="159"/>
      <c r="R510" s="159"/>
      <c r="S510" s="159"/>
      <c r="T510" s="159"/>
      <c r="U510" s="161"/>
      <c r="V510" s="161"/>
      <c r="W510" s="162"/>
      <c r="X510" s="159"/>
      <c r="Y510" s="159"/>
      <c r="Z510" s="159"/>
      <c r="AA510" s="159"/>
      <c r="AB510" s="159"/>
      <c r="AC510" s="159"/>
      <c r="AD510" s="159"/>
      <c r="AE510" s="159"/>
      <c r="AF510" s="159"/>
      <c r="AG510" s="159"/>
      <c r="AH510" s="161"/>
      <c r="AI510" s="162"/>
      <c r="AJ510" s="159"/>
      <c r="AK510" s="159"/>
      <c r="AL510" s="159"/>
      <c r="AM510" s="159"/>
      <c r="AN510" s="163"/>
      <c r="AO510" s="163"/>
    </row>
    <row r="511" spans="1:41" ht="18" hidden="1" customHeight="1" x14ac:dyDescent="0.25">
      <c r="A511" s="157"/>
      <c r="B511" s="158"/>
      <c r="C511" s="159"/>
      <c r="D511" s="159"/>
      <c r="E511" s="159"/>
      <c r="F511" s="159"/>
      <c r="G511" s="159"/>
      <c r="H511" s="159"/>
      <c r="I511" s="158"/>
      <c r="J511" s="158"/>
      <c r="K511" s="158"/>
      <c r="L511" s="158"/>
      <c r="M511" s="160"/>
      <c r="N511" s="158"/>
      <c r="O511" s="159"/>
      <c r="P511" s="159"/>
      <c r="Q511" s="159"/>
      <c r="R511" s="159"/>
      <c r="S511" s="159"/>
      <c r="T511" s="159"/>
      <c r="U511" s="161"/>
      <c r="V511" s="161"/>
      <c r="W511" s="162"/>
      <c r="X511" s="159"/>
      <c r="Y511" s="159"/>
      <c r="Z511" s="159"/>
      <c r="AA511" s="159"/>
      <c r="AB511" s="159"/>
      <c r="AC511" s="159"/>
      <c r="AD511" s="159"/>
      <c r="AE511" s="159"/>
      <c r="AF511" s="159"/>
      <c r="AG511" s="159"/>
      <c r="AH511" s="161"/>
      <c r="AI511" s="162"/>
      <c r="AJ511" s="159"/>
      <c r="AK511" s="159"/>
      <c r="AL511" s="159"/>
      <c r="AM511" s="159"/>
      <c r="AN511" s="163"/>
      <c r="AO511" s="163"/>
    </row>
    <row r="512" spans="1:41" ht="18" hidden="1" customHeight="1" x14ac:dyDescent="0.25">
      <c r="A512" s="157"/>
      <c r="B512" s="158"/>
      <c r="C512" s="159"/>
      <c r="D512" s="159"/>
      <c r="E512" s="159"/>
      <c r="F512" s="159"/>
      <c r="G512" s="159"/>
      <c r="H512" s="159"/>
      <c r="I512" s="158"/>
      <c r="J512" s="158"/>
      <c r="K512" s="158"/>
      <c r="L512" s="158"/>
      <c r="M512" s="160"/>
      <c r="N512" s="158"/>
      <c r="O512" s="159"/>
      <c r="P512" s="159"/>
      <c r="Q512" s="159"/>
      <c r="R512" s="159"/>
      <c r="S512" s="159"/>
      <c r="T512" s="159"/>
      <c r="U512" s="161"/>
      <c r="V512" s="161"/>
      <c r="W512" s="162"/>
      <c r="X512" s="159"/>
      <c r="Y512" s="159"/>
      <c r="Z512" s="159"/>
      <c r="AA512" s="159"/>
      <c r="AB512" s="159"/>
      <c r="AC512" s="159"/>
      <c r="AD512" s="159"/>
      <c r="AE512" s="159"/>
      <c r="AF512" s="159"/>
      <c r="AG512" s="159"/>
      <c r="AH512" s="161"/>
      <c r="AI512" s="162"/>
      <c r="AJ512" s="159"/>
      <c r="AK512" s="159"/>
      <c r="AL512" s="159"/>
      <c r="AM512" s="159"/>
      <c r="AN512" s="163"/>
      <c r="AO512" s="163"/>
    </row>
    <row r="513" spans="1:41" ht="18" hidden="1" customHeight="1" x14ac:dyDescent="0.25">
      <c r="A513" s="157"/>
      <c r="B513" s="158"/>
      <c r="C513" s="159"/>
      <c r="D513" s="159"/>
      <c r="E513" s="159"/>
      <c r="F513" s="159"/>
      <c r="G513" s="159"/>
      <c r="H513" s="159"/>
      <c r="I513" s="158"/>
      <c r="J513" s="158"/>
      <c r="K513" s="158"/>
      <c r="L513" s="158"/>
      <c r="M513" s="160"/>
      <c r="N513" s="158"/>
      <c r="O513" s="159"/>
      <c r="P513" s="159"/>
      <c r="Q513" s="159"/>
      <c r="R513" s="159"/>
      <c r="S513" s="159"/>
      <c r="T513" s="159"/>
      <c r="U513" s="161"/>
      <c r="V513" s="161"/>
      <c r="W513" s="162"/>
      <c r="X513" s="159"/>
      <c r="Y513" s="159"/>
      <c r="Z513" s="159"/>
      <c r="AA513" s="159"/>
      <c r="AB513" s="159"/>
      <c r="AC513" s="159"/>
      <c r="AD513" s="159"/>
      <c r="AE513" s="159"/>
      <c r="AF513" s="159"/>
      <c r="AG513" s="159"/>
      <c r="AH513" s="161"/>
      <c r="AI513" s="162"/>
      <c r="AJ513" s="159"/>
      <c r="AK513" s="159"/>
      <c r="AL513" s="159"/>
      <c r="AM513" s="159"/>
      <c r="AN513" s="163"/>
      <c r="AO513" s="163"/>
    </row>
    <row r="514" spans="1:41" ht="18" hidden="1" customHeight="1" x14ac:dyDescent="0.25">
      <c r="A514" s="157"/>
      <c r="B514" s="158"/>
      <c r="C514" s="159"/>
      <c r="D514" s="159"/>
      <c r="E514" s="159"/>
      <c r="F514" s="159"/>
      <c r="G514" s="159"/>
      <c r="H514" s="159"/>
      <c r="I514" s="158"/>
      <c r="J514" s="158"/>
      <c r="K514" s="158"/>
      <c r="L514" s="158"/>
      <c r="M514" s="160"/>
      <c r="N514" s="158"/>
      <c r="O514" s="159"/>
      <c r="P514" s="159"/>
      <c r="Q514" s="159"/>
      <c r="R514" s="159"/>
      <c r="S514" s="159"/>
      <c r="T514" s="159"/>
      <c r="U514" s="161"/>
      <c r="V514" s="161"/>
      <c r="W514" s="162"/>
      <c r="X514" s="159"/>
      <c r="Y514" s="159"/>
      <c r="Z514" s="159"/>
      <c r="AA514" s="159"/>
      <c r="AB514" s="159"/>
      <c r="AC514" s="159"/>
      <c r="AD514" s="159"/>
      <c r="AE514" s="159"/>
      <c r="AF514" s="159"/>
      <c r="AG514" s="159"/>
      <c r="AH514" s="161"/>
      <c r="AI514" s="162"/>
      <c r="AJ514" s="159"/>
      <c r="AK514" s="159"/>
      <c r="AL514" s="159"/>
      <c r="AM514" s="159"/>
      <c r="AN514" s="163"/>
      <c r="AO514" s="163"/>
    </row>
    <row r="515" spans="1:41" ht="18" hidden="1" customHeight="1" x14ac:dyDescent="0.25">
      <c r="A515" s="157"/>
      <c r="B515" s="158"/>
      <c r="C515" s="159"/>
      <c r="D515" s="159"/>
      <c r="E515" s="159"/>
      <c r="F515" s="159"/>
      <c r="G515" s="159"/>
      <c r="H515" s="159"/>
      <c r="I515" s="158"/>
      <c r="J515" s="158"/>
      <c r="K515" s="158"/>
      <c r="L515" s="158"/>
      <c r="M515" s="160"/>
      <c r="N515" s="158"/>
      <c r="O515" s="159"/>
      <c r="P515" s="159"/>
      <c r="Q515" s="159"/>
      <c r="R515" s="159"/>
      <c r="S515" s="159"/>
      <c r="T515" s="159"/>
      <c r="U515" s="161"/>
      <c r="V515" s="161"/>
      <c r="W515" s="162"/>
      <c r="X515" s="159"/>
      <c r="Y515" s="159"/>
      <c r="Z515" s="159"/>
      <c r="AA515" s="159"/>
      <c r="AB515" s="159"/>
      <c r="AC515" s="159"/>
      <c r="AD515" s="159"/>
      <c r="AE515" s="159"/>
      <c r="AF515" s="159"/>
      <c r="AG515" s="159"/>
      <c r="AH515" s="161"/>
      <c r="AI515" s="162"/>
      <c r="AJ515" s="159"/>
      <c r="AK515" s="159"/>
      <c r="AL515" s="159"/>
      <c r="AM515" s="159"/>
      <c r="AN515" s="163"/>
      <c r="AO515" s="163"/>
    </row>
    <row r="516" spans="1:41" ht="18" hidden="1" customHeight="1" x14ac:dyDescent="0.25">
      <c r="A516" s="157"/>
      <c r="B516" s="158"/>
      <c r="C516" s="159"/>
      <c r="D516" s="159"/>
      <c r="E516" s="159"/>
      <c r="F516" s="159"/>
      <c r="G516" s="159"/>
      <c r="H516" s="159"/>
      <c r="I516" s="158"/>
      <c r="J516" s="158"/>
      <c r="K516" s="158"/>
      <c r="L516" s="158"/>
      <c r="M516" s="160"/>
      <c r="N516" s="158"/>
      <c r="O516" s="159"/>
      <c r="P516" s="159"/>
      <c r="Q516" s="159"/>
      <c r="R516" s="159"/>
      <c r="S516" s="159"/>
      <c r="T516" s="159"/>
      <c r="U516" s="161"/>
      <c r="V516" s="161"/>
      <c r="W516" s="162"/>
      <c r="X516" s="159"/>
      <c r="Y516" s="159"/>
      <c r="Z516" s="159"/>
      <c r="AA516" s="159"/>
      <c r="AB516" s="159"/>
      <c r="AC516" s="159"/>
      <c r="AD516" s="159"/>
      <c r="AE516" s="159"/>
      <c r="AF516" s="159"/>
      <c r="AG516" s="159"/>
      <c r="AH516" s="161"/>
      <c r="AI516" s="162"/>
      <c r="AJ516" s="159"/>
      <c r="AK516" s="159"/>
      <c r="AL516" s="159"/>
      <c r="AM516" s="159"/>
      <c r="AN516" s="163"/>
      <c r="AO516" s="163"/>
    </row>
    <row r="517" spans="1:41" ht="18" hidden="1" customHeight="1" x14ac:dyDescent="0.25">
      <c r="A517" s="157"/>
      <c r="B517" s="158"/>
      <c r="C517" s="159"/>
      <c r="D517" s="159"/>
      <c r="E517" s="159"/>
      <c r="F517" s="159"/>
      <c r="G517" s="159"/>
      <c r="H517" s="159"/>
      <c r="I517" s="158"/>
      <c r="J517" s="158"/>
      <c r="K517" s="158"/>
      <c r="L517" s="158"/>
      <c r="M517" s="160"/>
      <c r="N517" s="158"/>
      <c r="O517" s="159"/>
      <c r="P517" s="159"/>
      <c r="Q517" s="159"/>
      <c r="R517" s="159"/>
      <c r="S517" s="159"/>
      <c r="T517" s="159"/>
      <c r="U517" s="161"/>
      <c r="V517" s="161"/>
      <c r="W517" s="162"/>
      <c r="X517" s="159"/>
      <c r="Y517" s="159"/>
      <c r="Z517" s="159"/>
      <c r="AA517" s="159"/>
      <c r="AB517" s="159"/>
      <c r="AC517" s="159"/>
      <c r="AD517" s="159"/>
      <c r="AE517" s="159"/>
      <c r="AF517" s="159"/>
      <c r="AG517" s="159"/>
      <c r="AH517" s="161"/>
      <c r="AI517" s="162"/>
      <c r="AJ517" s="159"/>
      <c r="AK517" s="159"/>
      <c r="AL517" s="159"/>
      <c r="AM517" s="159"/>
      <c r="AN517" s="163"/>
      <c r="AO517" s="163"/>
    </row>
    <row r="518" spans="1:41" ht="18" hidden="1" customHeight="1" x14ac:dyDescent="0.25">
      <c r="A518" s="157"/>
      <c r="B518" s="158"/>
      <c r="C518" s="159"/>
      <c r="D518" s="159"/>
      <c r="E518" s="159"/>
      <c r="F518" s="159"/>
      <c r="G518" s="159"/>
      <c r="H518" s="159"/>
      <c r="I518" s="158"/>
      <c r="J518" s="158"/>
      <c r="K518" s="158"/>
      <c r="L518" s="158"/>
      <c r="M518" s="160"/>
      <c r="N518" s="158"/>
      <c r="O518" s="159"/>
      <c r="P518" s="159"/>
      <c r="Q518" s="159"/>
      <c r="R518" s="159"/>
      <c r="S518" s="159"/>
      <c r="T518" s="159"/>
      <c r="U518" s="161"/>
      <c r="V518" s="161"/>
      <c r="W518" s="162"/>
      <c r="X518" s="159"/>
      <c r="Y518" s="159"/>
      <c r="Z518" s="159"/>
      <c r="AA518" s="159"/>
      <c r="AB518" s="159"/>
      <c r="AC518" s="159"/>
      <c r="AD518" s="159"/>
      <c r="AE518" s="159"/>
      <c r="AF518" s="159"/>
      <c r="AG518" s="159"/>
      <c r="AH518" s="161"/>
      <c r="AI518" s="162"/>
      <c r="AJ518" s="159"/>
      <c r="AK518" s="159"/>
      <c r="AL518" s="159"/>
      <c r="AM518" s="159"/>
      <c r="AN518" s="163"/>
      <c r="AO518" s="163"/>
    </row>
    <row r="519" spans="1:41" ht="18" hidden="1" customHeight="1" x14ac:dyDescent="0.25">
      <c r="A519" s="157"/>
      <c r="B519" s="158"/>
      <c r="C519" s="159"/>
      <c r="D519" s="159"/>
      <c r="E519" s="159"/>
      <c r="F519" s="159"/>
      <c r="G519" s="159"/>
      <c r="H519" s="159"/>
      <c r="I519" s="158"/>
      <c r="J519" s="158"/>
      <c r="K519" s="158"/>
      <c r="L519" s="158"/>
      <c r="M519" s="160"/>
      <c r="N519" s="158"/>
      <c r="O519" s="159"/>
      <c r="P519" s="159"/>
      <c r="Q519" s="159"/>
      <c r="R519" s="159"/>
      <c r="S519" s="159"/>
      <c r="T519" s="159"/>
      <c r="U519" s="161"/>
      <c r="V519" s="161"/>
      <c r="W519" s="162"/>
      <c r="X519" s="159"/>
      <c r="Y519" s="159"/>
      <c r="Z519" s="159"/>
      <c r="AA519" s="159"/>
      <c r="AB519" s="159"/>
      <c r="AC519" s="159"/>
      <c r="AD519" s="159"/>
      <c r="AE519" s="159"/>
      <c r="AF519" s="159"/>
      <c r="AG519" s="159"/>
      <c r="AH519" s="161"/>
      <c r="AI519" s="162"/>
      <c r="AJ519" s="159"/>
      <c r="AK519" s="159"/>
      <c r="AL519" s="159"/>
      <c r="AM519" s="159"/>
      <c r="AN519" s="163"/>
      <c r="AO519" s="163"/>
    </row>
    <row r="520" spans="1:41" ht="18" hidden="1" customHeight="1" x14ac:dyDescent="0.25">
      <c r="A520" s="157"/>
      <c r="B520" s="158"/>
      <c r="C520" s="159"/>
      <c r="D520" s="159"/>
      <c r="E520" s="159"/>
      <c r="F520" s="159"/>
      <c r="G520" s="159"/>
      <c r="H520" s="159"/>
      <c r="I520" s="158"/>
      <c r="J520" s="158"/>
      <c r="K520" s="158"/>
      <c r="L520" s="158"/>
      <c r="M520" s="160"/>
      <c r="N520" s="158"/>
      <c r="O520" s="159"/>
      <c r="P520" s="159"/>
      <c r="Q520" s="159"/>
      <c r="R520" s="159"/>
      <c r="S520" s="159"/>
      <c r="T520" s="159"/>
      <c r="U520" s="161"/>
      <c r="V520" s="161"/>
      <c r="W520" s="162"/>
      <c r="X520" s="159"/>
      <c r="Y520" s="159"/>
      <c r="Z520" s="159"/>
      <c r="AA520" s="159"/>
      <c r="AB520" s="159"/>
      <c r="AC520" s="159"/>
      <c r="AD520" s="159"/>
      <c r="AE520" s="159"/>
      <c r="AF520" s="159"/>
      <c r="AG520" s="159"/>
      <c r="AH520" s="161"/>
      <c r="AI520" s="162"/>
      <c r="AJ520" s="159"/>
      <c r="AK520" s="159"/>
      <c r="AL520" s="159"/>
      <c r="AM520" s="159"/>
      <c r="AN520" s="163"/>
      <c r="AO520" s="163"/>
    </row>
    <row r="521" spans="1:41" ht="18" hidden="1" customHeight="1" x14ac:dyDescent="0.25">
      <c r="A521" s="157"/>
      <c r="B521" s="158"/>
      <c r="C521" s="159"/>
      <c r="D521" s="159"/>
      <c r="E521" s="159"/>
      <c r="F521" s="159"/>
      <c r="G521" s="159"/>
      <c r="H521" s="159"/>
      <c r="I521" s="158"/>
      <c r="J521" s="158"/>
      <c r="K521" s="158"/>
      <c r="L521" s="158"/>
      <c r="M521" s="160"/>
      <c r="N521" s="158"/>
      <c r="O521" s="159"/>
      <c r="P521" s="159"/>
      <c r="Q521" s="159"/>
      <c r="R521" s="159"/>
      <c r="S521" s="159"/>
      <c r="T521" s="159"/>
      <c r="U521" s="161"/>
      <c r="V521" s="161"/>
      <c r="W521" s="162"/>
      <c r="X521" s="159"/>
      <c r="Y521" s="159"/>
      <c r="Z521" s="159"/>
      <c r="AA521" s="159"/>
      <c r="AB521" s="159"/>
      <c r="AC521" s="159"/>
      <c r="AD521" s="159"/>
      <c r="AE521" s="159"/>
      <c r="AF521" s="159"/>
      <c r="AG521" s="159"/>
      <c r="AH521" s="161"/>
      <c r="AI521" s="162"/>
      <c r="AJ521" s="159"/>
      <c r="AK521" s="159"/>
      <c r="AL521" s="159"/>
      <c r="AM521" s="159"/>
      <c r="AN521" s="163"/>
      <c r="AO521" s="163"/>
    </row>
    <row r="522" spans="1:41" ht="18" hidden="1" customHeight="1" x14ac:dyDescent="0.25">
      <c r="A522" s="157"/>
      <c r="B522" s="158"/>
      <c r="C522" s="159"/>
      <c r="D522" s="159"/>
      <c r="E522" s="159"/>
      <c r="F522" s="159"/>
      <c r="G522" s="159"/>
      <c r="H522" s="159"/>
      <c r="I522" s="158"/>
      <c r="J522" s="158"/>
      <c r="K522" s="158"/>
      <c r="L522" s="158"/>
      <c r="M522" s="160"/>
      <c r="N522" s="158"/>
      <c r="O522" s="159"/>
      <c r="P522" s="159"/>
      <c r="Q522" s="159"/>
      <c r="R522" s="159"/>
      <c r="S522" s="159"/>
      <c r="T522" s="159"/>
      <c r="U522" s="161"/>
      <c r="V522" s="161"/>
      <c r="W522" s="162"/>
      <c r="X522" s="159"/>
      <c r="Y522" s="159"/>
      <c r="Z522" s="159"/>
      <c r="AA522" s="159"/>
      <c r="AB522" s="159"/>
      <c r="AC522" s="159"/>
      <c r="AD522" s="159"/>
      <c r="AE522" s="159"/>
      <c r="AF522" s="159"/>
      <c r="AG522" s="159"/>
      <c r="AH522" s="161"/>
      <c r="AI522" s="162"/>
      <c r="AJ522" s="159"/>
      <c r="AK522" s="159"/>
      <c r="AL522" s="159"/>
      <c r="AM522" s="159"/>
      <c r="AN522" s="163"/>
      <c r="AO522" s="163"/>
    </row>
    <row r="523" spans="1:41" ht="18" hidden="1" customHeight="1" x14ac:dyDescent="0.25">
      <c r="A523" s="157"/>
      <c r="B523" s="158"/>
      <c r="C523" s="159"/>
      <c r="D523" s="159"/>
      <c r="E523" s="159"/>
      <c r="F523" s="159"/>
      <c r="G523" s="159"/>
      <c r="H523" s="159"/>
      <c r="I523" s="158"/>
      <c r="J523" s="158"/>
      <c r="K523" s="158"/>
      <c r="L523" s="158"/>
      <c r="M523" s="160"/>
      <c r="N523" s="158"/>
      <c r="O523" s="159"/>
      <c r="P523" s="159"/>
      <c r="Q523" s="159"/>
      <c r="R523" s="159"/>
      <c r="S523" s="159"/>
      <c r="T523" s="159"/>
      <c r="U523" s="161"/>
      <c r="V523" s="161"/>
      <c r="W523" s="162"/>
      <c r="X523" s="159"/>
      <c r="Y523" s="159"/>
      <c r="Z523" s="159"/>
      <c r="AA523" s="159"/>
      <c r="AB523" s="159"/>
      <c r="AC523" s="159"/>
      <c r="AD523" s="159"/>
      <c r="AE523" s="159"/>
      <c r="AF523" s="159"/>
      <c r="AG523" s="159"/>
      <c r="AH523" s="161"/>
      <c r="AI523" s="162"/>
      <c r="AJ523" s="159"/>
      <c r="AK523" s="159"/>
      <c r="AL523" s="159"/>
      <c r="AM523" s="159"/>
      <c r="AN523" s="163"/>
      <c r="AO523" s="163"/>
    </row>
    <row r="524" spans="1:41" ht="18" hidden="1" customHeight="1" x14ac:dyDescent="0.25">
      <c r="A524" s="157"/>
      <c r="B524" s="158"/>
      <c r="C524" s="159"/>
      <c r="D524" s="159"/>
      <c r="E524" s="159"/>
      <c r="F524" s="159"/>
      <c r="G524" s="159"/>
      <c r="H524" s="159"/>
      <c r="I524" s="158"/>
      <c r="J524" s="158"/>
      <c r="K524" s="158"/>
      <c r="L524" s="158"/>
      <c r="M524" s="160"/>
      <c r="N524" s="158"/>
      <c r="O524" s="159"/>
      <c r="P524" s="159"/>
      <c r="Q524" s="159"/>
      <c r="R524" s="159"/>
      <c r="S524" s="159"/>
      <c r="T524" s="159"/>
      <c r="U524" s="161"/>
      <c r="V524" s="161"/>
      <c r="W524" s="162"/>
      <c r="X524" s="159"/>
      <c r="Y524" s="159"/>
      <c r="Z524" s="159"/>
      <c r="AA524" s="159"/>
      <c r="AB524" s="159"/>
      <c r="AC524" s="159"/>
      <c r="AD524" s="159"/>
      <c r="AE524" s="159"/>
      <c r="AF524" s="159"/>
      <c r="AG524" s="159"/>
      <c r="AH524" s="161"/>
      <c r="AI524" s="162"/>
      <c r="AJ524" s="159"/>
      <c r="AK524" s="159"/>
      <c r="AL524" s="159"/>
      <c r="AM524" s="159"/>
      <c r="AN524" s="163"/>
      <c r="AO524" s="163"/>
    </row>
    <row r="525" spans="1:41" ht="18" hidden="1" customHeight="1" x14ac:dyDescent="0.25">
      <c r="A525" s="157"/>
      <c r="B525" s="158"/>
      <c r="C525" s="159"/>
      <c r="D525" s="159"/>
      <c r="E525" s="159"/>
      <c r="F525" s="159"/>
      <c r="G525" s="159"/>
      <c r="H525" s="159"/>
      <c r="I525" s="158"/>
      <c r="J525" s="158"/>
      <c r="K525" s="158"/>
      <c r="L525" s="158"/>
      <c r="M525" s="160"/>
      <c r="N525" s="158"/>
      <c r="O525" s="159"/>
      <c r="P525" s="159"/>
      <c r="Q525" s="159"/>
      <c r="R525" s="159"/>
      <c r="S525" s="159"/>
      <c r="T525" s="159"/>
      <c r="U525" s="161"/>
      <c r="V525" s="161"/>
      <c r="W525" s="162"/>
      <c r="X525" s="159"/>
      <c r="Y525" s="159"/>
      <c r="Z525" s="159"/>
      <c r="AA525" s="159"/>
      <c r="AB525" s="159"/>
      <c r="AC525" s="159"/>
      <c r="AD525" s="159"/>
      <c r="AE525" s="159"/>
      <c r="AF525" s="159"/>
      <c r="AG525" s="159"/>
      <c r="AH525" s="161"/>
      <c r="AI525" s="162"/>
      <c r="AJ525" s="159"/>
      <c r="AK525" s="159"/>
      <c r="AL525" s="159"/>
      <c r="AM525" s="159"/>
      <c r="AN525" s="163"/>
      <c r="AO525" s="163"/>
    </row>
    <row r="526" spans="1:41" ht="18" hidden="1" customHeight="1" x14ac:dyDescent="0.25">
      <c r="A526" s="157"/>
      <c r="B526" s="158"/>
      <c r="C526" s="159"/>
      <c r="D526" s="159"/>
      <c r="E526" s="159"/>
      <c r="F526" s="159"/>
      <c r="G526" s="159"/>
      <c r="H526" s="159"/>
      <c r="I526" s="158"/>
      <c r="J526" s="158"/>
      <c r="K526" s="158"/>
      <c r="L526" s="158"/>
      <c r="M526" s="160"/>
      <c r="N526" s="158"/>
      <c r="O526" s="159"/>
      <c r="P526" s="159"/>
      <c r="Q526" s="159"/>
      <c r="R526" s="159"/>
      <c r="S526" s="159"/>
      <c r="T526" s="159"/>
      <c r="U526" s="161"/>
      <c r="V526" s="161"/>
      <c r="W526" s="162"/>
      <c r="X526" s="159"/>
      <c r="Y526" s="159"/>
      <c r="Z526" s="159"/>
      <c r="AA526" s="159"/>
      <c r="AB526" s="159"/>
      <c r="AC526" s="159"/>
      <c r="AD526" s="159"/>
      <c r="AE526" s="159"/>
      <c r="AF526" s="159"/>
      <c r="AG526" s="159"/>
      <c r="AH526" s="161"/>
      <c r="AI526" s="162"/>
      <c r="AJ526" s="159"/>
      <c r="AK526" s="159"/>
      <c r="AL526" s="159"/>
      <c r="AM526" s="159"/>
      <c r="AN526" s="163"/>
      <c r="AO526" s="163"/>
    </row>
    <row r="527" spans="1:41" ht="18" hidden="1" customHeight="1" x14ac:dyDescent="0.25">
      <c r="A527" s="157"/>
      <c r="B527" s="158"/>
      <c r="C527" s="159"/>
      <c r="D527" s="159"/>
      <c r="E527" s="159"/>
      <c r="F527" s="159"/>
      <c r="G527" s="159"/>
      <c r="H527" s="159"/>
      <c r="I527" s="158"/>
      <c r="J527" s="158"/>
      <c r="K527" s="158"/>
      <c r="L527" s="158"/>
      <c r="M527" s="160"/>
      <c r="N527" s="158"/>
      <c r="O527" s="159"/>
      <c r="P527" s="159"/>
      <c r="Q527" s="159"/>
      <c r="R527" s="159"/>
      <c r="S527" s="159"/>
      <c r="T527" s="159"/>
      <c r="U527" s="161"/>
      <c r="V527" s="161"/>
      <c r="W527" s="162"/>
      <c r="X527" s="159"/>
      <c r="Y527" s="159"/>
      <c r="Z527" s="159"/>
      <c r="AA527" s="159"/>
      <c r="AB527" s="159"/>
      <c r="AC527" s="159"/>
      <c r="AD527" s="159"/>
      <c r="AE527" s="159"/>
      <c r="AF527" s="159"/>
      <c r="AG527" s="159"/>
      <c r="AH527" s="161"/>
      <c r="AI527" s="162"/>
      <c r="AJ527" s="159"/>
      <c r="AK527" s="159"/>
      <c r="AL527" s="159"/>
      <c r="AM527" s="159"/>
      <c r="AN527" s="163"/>
      <c r="AO527" s="163"/>
    </row>
    <row r="528" spans="1:41" ht="18" hidden="1" customHeight="1" x14ac:dyDescent="0.25">
      <c r="A528" s="157"/>
      <c r="B528" s="158"/>
      <c r="C528" s="159"/>
      <c r="D528" s="159"/>
      <c r="E528" s="159"/>
      <c r="F528" s="159"/>
      <c r="G528" s="159"/>
      <c r="H528" s="159"/>
      <c r="I528" s="158"/>
      <c r="J528" s="158"/>
      <c r="K528" s="158"/>
      <c r="L528" s="158"/>
      <c r="M528" s="160"/>
      <c r="N528" s="158"/>
      <c r="O528" s="159"/>
      <c r="P528" s="159"/>
      <c r="Q528" s="159"/>
      <c r="R528" s="159"/>
      <c r="S528" s="159"/>
      <c r="T528" s="159"/>
      <c r="U528" s="161"/>
      <c r="V528" s="161"/>
      <c r="W528" s="162"/>
      <c r="X528" s="159"/>
      <c r="Y528" s="159"/>
      <c r="Z528" s="159"/>
      <c r="AA528" s="159"/>
      <c r="AB528" s="159"/>
      <c r="AC528" s="159"/>
      <c r="AD528" s="159"/>
      <c r="AE528" s="159"/>
      <c r="AF528" s="159"/>
      <c r="AG528" s="159"/>
      <c r="AH528" s="161"/>
      <c r="AI528" s="162"/>
      <c r="AJ528" s="159"/>
      <c r="AK528" s="159"/>
      <c r="AL528" s="159"/>
      <c r="AM528" s="159"/>
      <c r="AN528" s="163"/>
      <c r="AO528" s="163"/>
    </row>
    <row r="529" spans="1:41" ht="18" hidden="1" customHeight="1" x14ac:dyDescent="0.25">
      <c r="A529" s="157"/>
      <c r="B529" s="158"/>
      <c r="C529" s="159"/>
      <c r="D529" s="159"/>
      <c r="E529" s="159"/>
      <c r="F529" s="159"/>
      <c r="G529" s="159"/>
      <c r="H529" s="159"/>
      <c r="I529" s="158"/>
      <c r="J529" s="158"/>
      <c r="K529" s="158"/>
      <c r="L529" s="158"/>
      <c r="M529" s="160"/>
      <c r="N529" s="158"/>
      <c r="O529" s="159"/>
      <c r="P529" s="159"/>
      <c r="Q529" s="159"/>
      <c r="R529" s="159"/>
      <c r="S529" s="159"/>
      <c r="T529" s="159"/>
      <c r="U529" s="161"/>
      <c r="V529" s="161"/>
      <c r="W529" s="162"/>
      <c r="X529" s="159"/>
      <c r="Y529" s="159"/>
      <c r="Z529" s="159"/>
      <c r="AA529" s="159"/>
      <c r="AB529" s="159"/>
      <c r="AC529" s="159"/>
      <c r="AD529" s="159"/>
      <c r="AE529" s="159"/>
      <c r="AF529" s="159"/>
      <c r="AG529" s="159"/>
      <c r="AH529" s="161"/>
      <c r="AI529" s="162"/>
      <c r="AJ529" s="159"/>
      <c r="AK529" s="159"/>
      <c r="AL529" s="159"/>
      <c r="AM529" s="159"/>
      <c r="AN529" s="163"/>
      <c r="AO529" s="163"/>
    </row>
    <row r="530" spans="1:41" ht="18" hidden="1" customHeight="1" x14ac:dyDescent="0.25">
      <c r="A530" s="157"/>
      <c r="B530" s="158"/>
      <c r="C530" s="159"/>
      <c r="D530" s="159"/>
      <c r="E530" s="159"/>
      <c r="F530" s="159"/>
      <c r="G530" s="159"/>
      <c r="H530" s="159"/>
      <c r="I530" s="158"/>
      <c r="J530" s="158"/>
      <c r="K530" s="158"/>
      <c r="L530" s="158"/>
      <c r="M530" s="160"/>
      <c r="N530" s="158"/>
      <c r="O530" s="159"/>
      <c r="P530" s="159"/>
      <c r="Q530" s="159"/>
      <c r="R530" s="159"/>
      <c r="S530" s="159"/>
      <c r="T530" s="159"/>
      <c r="U530" s="161"/>
      <c r="V530" s="161"/>
      <c r="W530" s="162"/>
      <c r="X530" s="159"/>
      <c r="Y530" s="159"/>
      <c r="Z530" s="159"/>
      <c r="AA530" s="159"/>
      <c r="AB530" s="159"/>
      <c r="AC530" s="159"/>
      <c r="AD530" s="159"/>
      <c r="AE530" s="159"/>
      <c r="AF530" s="159"/>
      <c r="AG530" s="159"/>
      <c r="AH530" s="161"/>
      <c r="AI530" s="162"/>
      <c r="AJ530" s="159"/>
      <c r="AK530" s="159"/>
      <c r="AL530" s="159"/>
      <c r="AM530" s="159"/>
      <c r="AN530" s="163"/>
      <c r="AO530" s="163"/>
    </row>
    <row r="531" spans="1:41" ht="18" hidden="1" customHeight="1" x14ac:dyDescent="0.25">
      <c r="A531" s="157"/>
      <c r="B531" s="158"/>
      <c r="C531" s="159"/>
      <c r="D531" s="159"/>
      <c r="E531" s="159"/>
      <c r="F531" s="159"/>
      <c r="G531" s="159"/>
      <c r="H531" s="159"/>
      <c r="I531" s="158"/>
      <c r="J531" s="158"/>
      <c r="K531" s="158"/>
      <c r="L531" s="158"/>
      <c r="M531" s="160"/>
      <c r="N531" s="158"/>
      <c r="O531" s="159"/>
      <c r="P531" s="159"/>
      <c r="Q531" s="159"/>
      <c r="R531" s="159"/>
      <c r="S531" s="159"/>
      <c r="T531" s="159"/>
      <c r="U531" s="161"/>
      <c r="V531" s="161"/>
      <c r="W531" s="162"/>
      <c r="X531" s="159"/>
      <c r="Y531" s="159"/>
      <c r="Z531" s="159"/>
      <c r="AA531" s="159"/>
      <c r="AB531" s="159"/>
      <c r="AC531" s="159"/>
      <c r="AD531" s="159"/>
      <c r="AE531" s="159"/>
      <c r="AF531" s="159"/>
      <c r="AG531" s="159"/>
      <c r="AH531" s="161"/>
      <c r="AI531" s="162"/>
      <c r="AJ531" s="159"/>
      <c r="AK531" s="159"/>
      <c r="AL531" s="159"/>
      <c r="AM531" s="159"/>
      <c r="AN531" s="163"/>
      <c r="AO531" s="163"/>
    </row>
    <row r="532" spans="1:41" ht="18" hidden="1" customHeight="1" x14ac:dyDescent="0.25">
      <c r="A532" s="157"/>
      <c r="B532" s="158"/>
      <c r="C532" s="159"/>
      <c r="D532" s="159"/>
      <c r="E532" s="159"/>
      <c r="F532" s="159"/>
      <c r="G532" s="159"/>
      <c r="H532" s="159"/>
      <c r="I532" s="158"/>
      <c r="J532" s="158"/>
      <c r="K532" s="158"/>
      <c r="L532" s="158"/>
      <c r="M532" s="160"/>
      <c r="N532" s="158"/>
      <c r="O532" s="159"/>
      <c r="P532" s="159"/>
      <c r="Q532" s="159"/>
      <c r="R532" s="159"/>
      <c r="S532" s="159"/>
      <c r="T532" s="159"/>
      <c r="U532" s="161"/>
      <c r="V532" s="161"/>
      <c r="W532" s="162"/>
      <c r="X532" s="159"/>
      <c r="Y532" s="159"/>
      <c r="Z532" s="159"/>
      <c r="AA532" s="159"/>
      <c r="AB532" s="159"/>
      <c r="AC532" s="159"/>
      <c r="AD532" s="159"/>
      <c r="AE532" s="159"/>
      <c r="AF532" s="159"/>
      <c r="AG532" s="159"/>
      <c r="AH532" s="161"/>
      <c r="AI532" s="162"/>
      <c r="AJ532" s="159"/>
      <c r="AK532" s="159"/>
      <c r="AL532" s="159"/>
      <c r="AM532" s="159"/>
      <c r="AN532" s="163"/>
      <c r="AO532" s="163"/>
    </row>
    <row r="533" spans="1:41" ht="18" hidden="1" customHeight="1" x14ac:dyDescent="0.25">
      <c r="A533" s="157"/>
      <c r="B533" s="158"/>
      <c r="C533" s="159"/>
      <c r="D533" s="159"/>
      <c r="E533" s="159"/>
      <c r="F533" s="159"/>
      <c r="G533" s="159"/>
      <c r="H533" s="159"/>
      <c r="I533" s="158"/>
      <c r="J533" s="158"/>
      <c r="K533" s="158"/>
      <c r="L533" s="158"/>
      <c r="M533" s="160"/>
      <c r="N533" s="158"/>
      <c r="O533" s="159"/>
      <c r="P533" s="159"/>
      <c r="Q533" s="159"/>
      <c r="R533" s="159"/>
      <c r="S533" s="159"/>
      <c r="T533" s="159"/>
      <c r="U533" s="161"/>
      <c r="V533" s="161"/>
      <c r="W533" s="162"/>
      <c r="X533" s="159"/>
      <c r="Y533" s="159"/>
      <c r="Z533" s="159"/>
      <c r="AA533" s="159"/>
      <c r="AB533" s="159"/>
      <c r="AC533" s="159"/>
      <c r="AD533" s="159"/>
      <c r="AE533" s="159"/>
      <c r="AF533" s="159"/>
      <c r="AG533" s="159"/>
      <c r="AH533" s="161"/>
      <c r="AI533" s="162"/>
      <c r="AJ533" s="159"/>
      <c r="AK533" s="159"/>
      <c r="AL533" s="159"/>
      <c r="AM533" s="159"/>
      <c r="AN533" s="163"/>
      <c r="AO533" s="163"/>
    </row>
    <row r="534" spans="1:41" ht="18" hidden="1" customHeight="1" x14ac:dyDescent="0.25">
      <c r="A534" s="157"/>
      <c r="B534" s="158"/>
      <c r="C534" s="159"/>
      <c r="D534" s="159"/>
      <c r="E534" s="159"/>
      <c r="F534" s="159"/>
      <c r="G534" s="159"/>
      <c r="H534" s="159"/>
      <c r="I534" s="158"/>
      <c r="J534" s="158"/>
      <c r="K534" s="158"/>
      <c r="L534" s="158"/>
      <c r="M534" s="160"/>
      <c r="N534" s="158"/>
      <c r="O534" s="159"/>
      <c r="P534" s="159"/>
      <c r="Q534" s="159"/>
      <c r="R534" s="159"/>
      <c r="S534" s="159"/>
      <c r="T534" s="159"/>
      <c r="U534" s="161"/>
      <c r="V534" s="161"/>
      <c r="W534" s="162"/>
      <c r="X534" s="159"/>
      <c r="Y534" s="159"/>
      <c r="Z534" s="159"/>
      <c r="AA534" s="159"/>
      <c r="AB534" s="159"/>
      <c r="AC534" s="159"/>
      <c r="AD534" s="159"/>
      <c r="AE534" s="159"/>
      <c r="AF534" s="159"/>
      <c r="AG534" s="159"/>
      <c r="AH534" s="161"/>
      <c r="AI534" s="162"/>
      <c r="AJ534" s="159"/>
      <c r="AK534" s="159"/>
      <c r="AL534" s="159"/>
      <c r="AM534" s="159"/>
      <c r="AN534" s="163"/>
      <c r="AO534" s="163"/>
    </row>
    <row r="535" spans="1:41" ht="18" hidden="1" customHeight="1" x14ac:dyDescent="0.25">
      <c r="A535" s="157"/>
      <c r="B535" s="158"/>
      <c r="C535" s="159"/>
      <c r="D535" s="159"/>
      <c r="E535" s="159"/>
      <c r="F535" s="159"/>
      <c r="G535" s="159"/>
      <c r="H535" s="159"/>
      <c r="I535" s="158"/>
      <c r="J535" s="158"/>
      <c r="K535" s="158"/>
      <c r="L535" s="158"/>
      <c r="M535" s="160"/>
      <c r="N535" s="158"/>
      <c r="O535" s="159"/>
      <c r="P535" s="159"/>
      <c r="Q535" s="159"/>
      <c r="R535" s="159"/>
      <c r="S535" s="159"/>
      <c r="T535" s="159"/>
      <c r="U535" s="161"/>
      <c r="V535" s="161"/>
      <c r="W535" s="162"/>
      <c r="X535" s="159"/>
      <c r="Y535" s="159"/>
      <c r="Z535" s="159"/>
      <c r="AA535" s="159"/>
      <c r="AB535" s="159"/>
      <c r="AC535" s="159"/>
      <c r="AD535" s="159"/>
      <c r="AE535" s="159"/>
      <c r="AF535" s="159"/>
      <c r="AG535" s="159"/>
      <c r="AH535" s="161"/>
      <c r="AI535" s="162"/>
      <c r="AJ535" s="159"/>
      <c r="AK535" s="159"/>
      <c r="AL535" s="159"/>
      <c r="AM535" s="159"/>
      <c r="AN535" s="163"/>
      <c r="AO535" s="163"/>
    </row>
    <row r="536" spans="1:41" ht="18" hidden="1" customHeight="1" x14ac:dyDescent="0.25">
      <c r="A536" s="157"/>
      <c r="B536" s="158"/>
      <c r="C536" s="159"/>
      <c r="D536" s="159"/>
      <c r="E536" s="159"/>
      <c r="F536" s="159"/>
      <c r="G536" s="159"/>
      <c r="H536" s="159"/>
      <c r="I536" s="158"/>
      <c r="J536" s="158"/>
      <c r="K536" s="158"/>
      <c r="L536" s="158"/>
      <c r="M536" s="160"/>
      <c r="N536" s="158"/>
      <c r="O536" s="159"/>
      <c r="P536" s="159"/>
      <c r="Q536" s="159"/>
      <c r="R536" s="159"/>
      <c r="S536" s="159"/>
      <c r="T536" s="159"/>
      <c r="U536" s="161"/>
      <c r="V536" s="161"/>
      <c r="W536" s="162"/>
      <c r="X536" s="159"/>
      <c r="Y536" s="159"/>
      <c r="Z536" s="159"/>
      <c r="AA536" s="159"/>
      <c r="AB536" s="159"/>
      <c r="AC536" s="159"/>
      <c r="AD536" s="159"/>
      <c r="AE536" s="159"/>
      <c r="AF536" s="159"/>
      <c r="AG536" s="159"/>
      <c r="AH536" s="161"/>
      <c r="AI536" s="162"/>
      <c r="AJ536" s="159"/>
      <c r="AK536" s="159"/>
      <c r="AL536" s="159"/>
      <c r="AM536" s="159"/>
      <c r="AN536" s="163"/>
      <c r="AO536" s="163"/>
    </row>
    <row r="537" spans="1:41" ht="18" hidden="1" customHeight="1" x14ac:dyDescent="0.25">
      <c r="A537" s="157"/>
      <c r="B537" s="158"/>
      <c r="C537" s="159"/>
      <c r="D537" s="159"/>
      <c r="E537" s="159"/>
      <c r="F537" s="159"/>
      <c r="G537" s="159"/>
      <c r="H537" s="159"/>
      <c r="I537" s="158"/>
      <c r="J537" s="158"/>
      <c r="K537" s="158"/>
      <c r="L537" s="158"/>
      <c r="M537" s="160"/>
      <c r="N537" s="158"/>
      <c r="O537" s="159"/>
      <c r="P537" s="159"/>
      <c r="Q537" s="159"/>
      <c r="R537" s="159"/>
      <c r="S537" s="159"/>
      <c r="T537" s="159"/>
      <c r="U537" s="161"/>
      <c r="V537" s="161"/>
      <c r="W537" s="162"/>
      <c r="X537" s="159"/>
      <c r="Y537" s="159"/>
      <c r="Z537" s="159"/>
      <c r="AA537" s="159"/>
      <c r="AB537" s="159"/>
      <c r="AC537" s="159"/>
      <c r="AD537" s="159"/>
      <c r="AE537" s="159"/>
      <c r="AF537" s="159"/>
      <c r="AG537" s="159"/>
      <c r="AH537" s="161"/>
      <c r="AI537" s="162"/>
      <c r="AJ537" s="159"/>
      <c r="AK537" s="159"/>
      <c r="AL537" s="159"/>
      <c r="AM537" s="159"/>
      <c r="AN537" s="163"/>
      <c r="AO537" s="163"/>
    </row>
    <row r="538" spans="1:41" ht="18" hidden="1" customHeight="1" x14ac:dyDescent="0.25">
      <c r="A538" s="157"/>
      <c r="B538" s="158"/>
      <c r="C538" s="159"/>
      <c r="D538" s="159"/>
      <c r="E538" s="159"/>
      <c r="F538" s="159"/>
      <c r="G538" s="159"/>
      <c r="H538" s="159"/>
      <c r="I538" s="158"/>
      <c r="J538" s="158"/>
      <c r="K538" s="158"/>
      <c r="L538" s="158"/>
      <c r="M538" s="160"/>
      <c r="N538" s="158"/>
      <c r="O538" s="159"/>
      <c r="P538" s="159"/>
      <c r="Q538" s="159"/>
      <c r="R538" s="159"/>
      <c r="S538" s="159"/>
      <c r="T538" s="159"/>
      <c r="U538" s="161"/>
      <c r="V538" s="161"/>
      <c r="W538" s="162"/>
      <c r="X538" s="159"/>
      <c r="Y538" s="159"/>
      <c r="Z538" s="159"/>
      <c r="AA538" s="159"/>
      <c r="AB538" s="159"/>
      <c r="AC538" s="159"/>
      <c r="AD538" s="159"/>
      <c r="AE538" s="159"/>
      <c r="AF538" s="159"/>
      <c r="AG538" s="159"/>
      <c r="AH538" s="161"/>
      <c r="AI538" s="162"/>
      <c r="AJ538" s="159"/>
      <c r="AK538" s="159"/>
      <c r="AL538" s="159"/>
      <c r="AM538" s="159"/>
      <c r="AN538" s="163"/>
      <c r="AO538" s="163"/>
    </row>
    <row r="539" spans="1:41" ht="18" hidden="1" customHeight="1" x14ac:dyDescent="0.25">
      <c r="A539" s="157"/>
      <c r="B539" s="158"/>
      <c r="C539" s="159"/>
      <c r="D539" s="159"/>
      <c r="E539" s="159"/>
      <c r="F539" s="159"/>
      <c r="G539" s="159"/>
      <c r="H539" s="159"/>
      <c r="I539" s="158"/>
      <c r="J539" s="158"/>
      <c r="K539" s="158"/>
      <c r="L539" s="158"/>
      <c r="M539" s="160"/>
      <c r="N539" s="158"/>
      <c r="O539" s="159"/>
      <c r="P539" s="159"/>
      <c r="Q539" s="159"/>
      <c r="R539" s="159"/>
      <c r="S539" s="159"/>
      <c r="T539" s="159"/>
      <c r="U539" s="161"/>
      <c r="V539" s="161"/>
      <c r="W539" s="162"/>
      <c r="X539" s="159"/>
      <c r="Y539" s="159"/>
      <c r="Z539" s="159"/>
      <c r="AA539" s="159"/>
      <c r="AB539" s="159"/>
      <c r="AC539" s="159"/>
      <c r="AD539" s="159"/>
      <c r="AE539" s="159"/>
      <c r="AF539" s="159"/>
      <c r="AG539" s="159"/>
      <c r="AH539" s="161"/>
      <c r="AI539" s="162"/>
      <c r="AJ539" s="159"/>
      <c r="AK539" s="159"/>
      <c r="AL539" s="159"/>
      <c r="AM539" s="159"/>
      <c r="AN539" s="163"/>
      <c r="AO539" s="163"/>
    </row>
    <row r="540" spans="1:41" ht="18" hidden="1" customHeight="1" x14ac:dyDescent="0.25">
      <c r="A540" s="157"/>
      <c r="B540" s="158"/>
      <c r="C540" s="159"/>
      <c r="D540" s="159"/>
      <c r="E540" s="159"/>
      <c r="F540" s="159"/>
      <c r="G540" s="159"/>
      <c r="H540" s="159"/>
      <c r="I540" s="158"/>
      <c r="J540" s="158"/>
      <c r="K540" s="158"/>
      <c r="L540" s="158"/>
      <c r="M540" s="160"/>
      <c r="N540" s="158"/>
      <c r="O540" s="159"/>
      <c r="P540" s="159"/>
      <c r="Q540" s="159"/>
      <c r="R540" s="159"/>
      <c r="S540" s="159"/>
      <c r="T540" s="159"/>
      <c r="U540" s="161"/>
      <c r="V540" s="161"/>
      <c r="W540" s="162"/>
      <c r="X540" s="159"/>
      <c r="Y540" s="159"/>
      <c r="Z540" s="159"/>
      <c r="AA540" s="159"/>
      <c r="AB540" s="159"/>
      <c r="AC540" s="159"/>
      <c r="AD540" s="159"/>
      <c r="AE540" s="159"/>
      <c r="AF540" s="159"/>
      <c r="AG540" s="159"/>
      <c r="AH540" s="161"/>
      <c r="AI540" s="162"/>
      <c r="AJ540" s="159"/>
      <c r="AK540" s="159"/>
      <c r="AL540" s="159"/>
      <c r="AM540" s="159"/>
      <c r="AN540" s="163"/>
      <c r="AO540" s="163"/>
    </row>
    <row r="541" spans="1:41" ht="18" hidden="1" customHeight="1" x14ac:dyDescent="0.25">
      <c r="A541" s="157"/>
      <c r="B541" s="158"/>
      <c r="C541" s="159"/>
      <c r="D541" s="159"/>
      <c r="E541" s="159"/>
      <c r="F541" s="159"/>
      <c r="G541" s="159"/>
      <c r="H541" s="159"/>
      <c r="I541" s="158"/>
      <c r="J541" s="158"/>
      <c r="K541" s="158"/>
      <c r="L541" s="158"/>
      <c r="M541" s="160"/>
      <c r="N541" s="158"/>
      <c r="O541" s="159"/>
      <c r="P541" s="159"/>
      <c r="Q541" s="159"/>
      <c r="R541" s="159"/>
      <c r="S541" s="159"/>
      <c r="T541" s="159"/>
      <c r="U541" s="161"/>
      <c r="V541" s="161"/>
      <c r="W541" s="162"/>
      <c r="X541" s="159"/>
      <c r="Y541" s="159"/>
      <c r="Z541" s="159"/>
      <c r="AA541" s="159"/>
      <c r="AB541" s="159"/>
      <c r="AC541" s="159"/>
      <c r="AD541" s="159"/>
      <c r="AE541" s="159"/>
      <c r="AF541" s="159"/>
      <c r="AG541" s="159"/>
      <c r="AH541" s="161"/>
      <c r="AI541" s="162"/>
      <c r="AJ541" s="159"/>
      <c r="AK541" s="159"/>
      <c r="AL541" s="159"/>
      <c r="AM541" s="159"/>
      <c r="AN541" s="163"/>
      <c r="AO541" s="163"/>
    </row>
    <row r="542" spans="1:41" ht="18" hidden="1" customHeight="1" x14ac:dyDescent="0.25">
      <c r="A542" s="157"/>
      <c r="B542" s="158"/>
      <c r="C542" s="159"/>
      <c r="D542" s="159"/>
      <c r="E542" s="159"/>
      <c r="F542" s="159"/>
      <c r="G542" s="159"/>
      <c r="H542" s="159"/>
      <c r="I542" s="158"/>
      <c r="J542" s="158"/>
      <c r="K542" s="158"/>
      <c r="L542" s="158"/>
      <c r="M542" s="160"/>
      <c r="N542" s="158"/>
      <c r="O542" s="159"/>
      <c r="P542" s="159"/>
      <c r="Q542" s="159"/>
      <c r="R542" s="159"/>
      <c r="S542" s="159"/>
      <c r="T542" s="159"/>
      <c r="U542" s="161"/>
      <c r="V542" s="161"/>
      <c r="W542" s="162"/>
      <c r="X542" s="159"/>
      <c r="Y542" s="159"/>
      <c r="Z542" s="159"/>
      <c r="AA542" s="159"/>
      <c r="AB542" s="159"/>
      <c r="AC542" s="159"/>
      <c r="AD542" s="159"/>
      <c r="AE542" s="159"/>
      <c r="AF542" s="159"/>
      <c r="AG542" s="159"/>
      <c r="AH542" s="161"/>
      <c r="AI542" s="162"/>
      <c r="AJ542" s="159"/>
      <c r="AK542" s="159"/>
      <c r="AL542" s="159"/>
      <c r="AM542" s="159"/>
      <c r="AN542" s="163"/>
      <c r="AO542" s="163"/>
    </row>
    <row r="543" spans="1:41" ht="18" hidden="1" customHeight="1" x14ac:dyDescent="0.25">
      <c r="A543" s="157"/>
      <c r="B543" s="158"/>
      <c r="C543" s="159"/>
      <c r="D543" s="159"/>
      <c r="E543" s="159"/>
      <c r="F543" s="159"/>
      <c r="G543" s="159"/>
      <c r="H543" s="159"/>
      <c r="I543" s="158"/>
      <c r="J543" s="158"/>
      <c r="K543" s="158"/>
      <c r="L543" s="158"/>
      <c r="M543" s="160"/>
      <c r="N543" s="158"/>
      <c r="O543" s="159"/>
      <c r="P543" s="159"/>
      <c r="Q543" s="159"/>
      <c r="R543" s="159"/>
      <c r="S543" s="159"/>
      <c r="T543" s="159"/>
      <c r="U543" s="161"/>
      <c r="V543" s="161"/>
      <c r="W543" s="162"/>
      <c r="X543" s="159"/>
      <c r="Y543" s="159"/>
      <c r="Z543" s="159"/>
      <c r="AA543" s="159"/>
      <c r="AB543" s="159"/>
      <c r="AC543" s="159"/>
      <c r="AD543" s="159"/>
      <c r="AE543" s="159"/>
      <c r="AF543" s="159"/>
      <c r="AG543" s="159"/>
      <c r="AH543" s="161"/>
      <c r="AI543" s="162"/>
      <c r="AJ543" s="159"/>
      <c r="AK543" s="159"/>
      <c r="AL543" s="159"/>
      <c r="AM543" s="159"/>
      <c r="AN543" s="163"/>
      <c r="AO543" s="163"/>
    </row>
    <row r="544" spans="1:41" ht="18" hidden="1" customHeight="1" x14ac:dyDescent="0.25">
      <c r="A544" s="157"/>
      <c r="B544" s="158"/>
      <c r="C544" s="159"/>
      <c r="D544" s="159"/>
      <c r="E544" s="159"/>
      <c r="F544" s="159"/>
      <c r="G544" s="159"/>
      <c r="H544" s="159"/>
      <c r="I544" s="158"/>
      <c r="J544" s="158"/>
      <c r="K544" s="158"/>
      <c r="L544" s="158"/>
      <c r="M544" s="160"/>
      <c r="N544" s="158"/>
      <c r="O544" s="159"/>
      <c r="P544" s="159"/>
      <c r="Q544" s="159"/>
      <c r="R544" s="159"/>
      <c r="S544" s="159"/>
      <c r="T544" s="159"/>
      <c r="U544" s="161"/>
      <c r="V544" s="161"/>
      <c r="W544" s="162"/>
      <c r="X544" s="159"/>
      <c r="Y544" s="159"/>
      <c r="Z544" s="159"/>
      <c r="AA544" s="159"/>
      <c r="AB544" s="159"/>
      <c r="AC544" s="159"/>
      <c r="AD544" s="159"/>
      <c r="AE544" s="159"/>
      <c r="AF544" s="159"/>
      <c r="AG544" s="159"/>
      <c r="AH544" s="161"/>
      <c r="AI544" s="162"/>
      <c r="AJ544" s="159"/>
      <c r="AK544" s="159"/>
      <c r="AL544" s="159"/>
      <c r="AM544" s="159"/>
      <c r="AN544" s="163"/>
      <c r="AO544" s="163"/>
    </row>
    <row r="545" spans="1:41" ht="18" hidden="1" customHeight="1" x14ac:dyDescent="0.25">
      <c r="A545" s="157"/>
      <c r="B545" s="158"/>
      <c r="C545" s="159"/>
      <c r="D545" s="159"/>
      <c r="E545" s="159"/>
      <c r="F545" s="159"/>
      <c r="G545" s="159"/>
      <c r="H545" s="159"/>
      <c r="I545" s="158"/>
      <c r="J545" s="158"/>
      <c r="K545" s="158"/>
      <c r="L545" s="158"/>
      <c r="M545" s="160"/>
      <c r="N545" s="158"/>
      <c r="O545" s="159"/>
      <c r="P545" s="159"/>
      <c r="Q545" s="159"/>
      <c r="R545" s="159"/>
      <c r="S545" s="159"/>
      <c r="T545" s="159"/>
      <c r="U545" s="161"/>
      <c r="V545" s="161"/>
      <c r="W545" s="162"/>
      <c r="X545" s="159"/>
      <c r="Y545" s="159"/>
      <c r="Z545" s="159"/>
      <c r="AA545" s="159"/>
      <c r="AB545" s="159"/>
      <c r="AC545" s="159"/>
      <c r="AD545" s="159"/>
      <c r="AE545" s="159"/>
      <c r="AF545" s="159"/>
      <c r="AG545" s="159"/>
      <c r="AH545" s="161"/>
      <c r="AI545" s="162"/>
      <c r="AJ545" s="159"/>
      <c r="AK545" s="159"/>
      <c r="AL545" s="159"/>
      <c r="AM545" s="159"/>
      <c r="AN545" s="163"/>
      <c r="AO545" s="163"/>
    </row>
    <row r="546" spans="1:41" ht="18" hidden="1" customHeight="1" x14ac:dyDescent="0.25">
      <c r="A546" s="157"/>
      <c r="B546" s="158"/>
      <c r="C546" s="159"/>
      <c r="D546" s="159"/>
      <c r="E546" s="159"/>
      <c r="F546" s="159"/>
      <c r="G546" s="159"/>
      <c r="H546" s="159"/>
      <c r="I546" s="158"/>
      <c r="J546" s="158"/>
      <c r="K546" s="158"/>
      <c r="L546" s="158"/>
      <c r="M546" s="160"/>
      <c r="N546" s="158"/>
      <c r="O546" s="159"/>
      <c r="P546" s="159"/>
      <c r="Q546" s="159"/>
      <c r="R546" s="159"/>
      <c r="S546" s="159"/>
      <c r="T546" s="159"/>
      <c r="U546" s="161"/>
      <c r="V546" s="161"/>
      <c r="W546" s="162"/>
      <c r="X546" s="159"/>
      <c r="Y546" s="159"/>
      <c r="Z546" s="159"/>
      <c r="AA546" s="159"/>
      <c r="AB546" s="159"/>
      <c r="AC546" s="159"/>
      <c r="AD546" s="159"/>
      <c r="AE546" s="159"/>
      <c r="AF546" s="159"/>
      <c r="AG546" s="159"/>
      <c r="AH546" s="161"/>
      <c r="AI546" s="162"/>
      <c r="AJ546" s="159"/>
      <c r="AK546" s="159"/>
      <c r="AL546" s="159"/>
      <c r="AM546" s="159"/>
      <c r="AN546" s="163"/>
      <c r="AO546" s="163"/>
    </row>
    <row r="547" spans="1:41" ht="18" hidden="1" customHeight="1" x14ac:dyDescent="0.25">
      <c r="A547" s="157"/>
      <c r="B547" s="158"/>
      <c r="C547" s="159"/>
      <c r="D547" s="159"/>
      <c r="E547" s="159"/>
      <c r="F547" s="159"/>
      <c r="G547" s="159"/>
      <c r="H547" s="159"/>
      <c r="I547" s="158"/>
      <c r="J547" s="158"/>
      <c r="K547" s="158"/>
      <c r="L547" s="158"/>
      <c r="M547" s="160"/>
      <c r="N547" s="158"/>
      <c r="O547" s="159"/>
      <c r="P547" s="159"/>
      <c r="Q547" s="159"/>
      <c r="R547" s="159"/>
      <c r="S547" s="159"/>
      <c r="T547" s="159"/>
      <c r="U547" s="161"/>
      <c r="V547" s="161"/>
      <c r="W547" s="162"/>
      <c r="X547" s="159"/>
      <c r="Y547" s="159"/>
      <c r="Z547" s="159"/>
      <c r="AA547" s="159"/>
      <c r="AB547" s="159"/>
      <c r="AC547" s="159"/>
      <c r="AD547" s="159"/>
      <c r="AE547" s="159"/>
      <c r="AF547" s="159"/>
      <c r="AG547" s="159"/>
      <c r="AH547" s="161"/>
      <c r="AI547" s="162"/>
      <c r="AJ547" s="159"/>
      <c r="AK547" s="159"/>
      <c r="AL547" s="159"/>
      <c r="AM547" s="159"/>
      <c r="AN547" s="163"/>
      <c r="AO547" s="163"/>
    </row>
    <row r="548" spans="1:41" ht="18" hidden="1" customHeight="1" x14ac:dyDescent="0.25">
      <c r="A548" s="157"/>
      <c r="B548" s="158"/>
      <c r="C548" s="159"/>
      <c r="D548" s="159"/>
      <c r="E548" s="159"/>
      <c r="F548" s="159"/>
      <c r="G548" s="159"/>
      <c r="H548" s="159"/>
      <c r="I548" s="158"/>
      <c r="J548" s="158"/>
      <c r="K548" s="158"/>
      <c r="L548" s="158"/>
      <c r="M548" s="160"/>
      <c r="N548" s="158"/>
      <c r="O548" s="159"/>
      <c r="P548" s="159"/>
      <c r="Q548" s="159"/>
      <c r="R548" s="159"/>
      <c r="S548" s="159"/>
      <c r="T548" s="159"/>
      <c r="U548" s="161"/>
      <c r="V548" s="161"/>
      <c r="W548" s="162"/>
      <c r="X548" s="159"/>
      <c r="Y548" s="159"/>
      <c r="Z548" s="159"/>
      <c r="AA548" s="159"/>
      <c r="AB548" s="159"/>
      <c r="AC548" s="159"/>
      <c r="AD548" s="159"/>
      <c r="AE548" s="159"/>
      <c r="AF548" s="159"/>
      <c r="AG548" s="159"/>
      <c r="AH548" s="161"/>
      <c r="AI548" s="162"/>
      <c r="AJ548" s="159"/>
      <c r="AK548" s="159"/>
      <c r="AL548" s="159"/>
      <c r="AM548" s="159"/>
      <c r="AN548" s="163"/>
      <c r="AO548" s="163"/>
    </row>
    <row r="549" spans="1:41" ht="18" hidden="1" customHeight="1" x14ac:dyDescent="0.25">
      <c r="A549" s="157"/>
      <c r="B549" s="158"/>
      <c r="C549" s="159"/>
      <c r="D549" s="159"/>
      <c r="E549" s="159"/>
      <c r="F549" s="159"/>
      <c r="G549" s="159"/>
      <c r="H549" s="159"/>
      <c r="I549" s="158"/>
      <c r="J549" s="158"/>
      <c r="K549" s="158"/>
      <c r="L549" s="158"/>
      <c r="M549" s="160"/>
      <c r="N549" s="158"/>
      <c r="O549" s="159"/>
      <c r="P549" s="159"/>
      <c r="Q549" s="159"/>
      <c r="R549" s="159"/>
      <c r="S549" s="159"/>
      <c r="T549" s="159"/>
      <c r="U549" s="161"/>
      <c r="V549" s="161"/>
      <c r="W549" s="162"/>
      <c r="X549" s="159"/>
      <c r="Y549" s="159"/>
      <c r="Z549" s="159"/>
      <c r="AA549" s="159"/>
      <c r="AB549" s="159"/>
      <c r="AC549" s="159"/>
      <c r="AD549" s="159"/>
      <c r="AE549" s="159"/>
      <c r="AF549" s="159"/>
      <c r="AG549" s="159"/>
      <c r="AH549" s="161"/>
      <c r="AI549" s="162"/>
      <c r="AJ549" s="159"/>
      <c r="AK549" s="159"/>
      <c r="AL549" s="159"/>
      <c r="AM549" s="159"/>
      <c r="AN549" s="163"/>
      <c r="AO549" s="163"/>
    </row>
    <row r="550" spans="1:41" ht="18" hidden="1" customHeight="1" x14ac:dyDescent="0.25">
      <c r="A550" s="157"/>
      <c r="B550" s="158"/>
      <c r="C550" s="159"/>
      <c r="D550" s="159"/>
      <c r="E550" s="159"/>
      <c r="F550" s="159"/>
      <c r="G550" s="159"/>
      <c r="H550" s="159"/>
      <c r="I550" s="158"/>
      <c r="J550" s="158"/>
      <c r="K550" s="158"/>
      <c r="L550" s="158"/>
      <c r="M550" s="160"/>
      <c r="N550" s="158"/>
      <c r="O550" s="159"/>
      <c r="P550" s="159"/>
      <c r="Q550" s="159"/>
      <c r="R550" s="159"/>
      <c r="S550" s="159"/>
      <c r="T550" s="159"/>
      <c r="U550" s="161"/>
      <c r="V550" s="161"/>
      <c r="W550" s="162"/>
      <c r="X550" s="159"/>
      <c r="Y550" s="159"/>
      <c r="Z550" s="159"/>
      <c r="AA550" s="159"/>
      <c r="AB550" s="159"/>
      <c r="AC550" s="159"/>
      <c r="AD550" s="159"/>
      <c r="AE550" s="159"/>
      <c r="AF550" s="159"/>
      <c r="AG550" s="159"/>
      <c r="AH550" s="161"/>
      <c r="AI550" s="162"/>
      <c r="AJ550" s="159"/>
      <c r="AK550" s="159"/>
      <c r="AL550" s="159"/>
      <c r="AM550" s="159"/>
      <c r="AN550" s="163"/>
      <c r="AO550" s="163"/>
    </row>
    <row r="551" spans="1:41" ht="18" hidden="1" customHeight="1" x14ac:dyDescent="0.25">
      <c r="A551" s="157"/>
      <c r="B551" s="158"/>
      <c r="C551" s="159"/>
      <c r="D551" s="159"/>
      <c r="E551" s="159"/>
      <c r="F551" s="159"/>
      <c r="G551" s="159"/>
      <c r="H551" s="159"/>
      <c r="I551" s="158"/>
      <c r="J551" s="158"/>
      <c r="K551" s="158"/>
      <c r="L551" s="158"/>
      <c r="M551" s="160"/>
      <c r="N551" s="158"/>
      <c r="O551" s="159"/>
      <c r="P551" s="159"/>
      <c r="Q551" s="159"/>
      <c r="R551" s="159"/>
      <c r="S551" s="159"/>
      <c r="T551" s="159"/>
      <c r="U551" s="161"/>
      <c r="V551" s="161"/>
      <c r="W551" s="162"/>
      <c r="X551" s="159"/>
      <c r="Y551" s="159"/>
      <c r="Z551" s="159"/>
      <c r="AA551" s="159"/>
      <c r="AB551" s="159"/>
      <c r="AC551" s="159"/>
      <c r="AD551" s="159"/>
      <c r="AE551" s="159"/>
      <c r="AF551" s="159"/>
      <c r="AG551" s="159"/>
      <c r="AH551" s="161"/>
      <c r="AI551" s="162"/>
      <c r="AJ551" s="159"/>
      <c r="AK551" s="159"/>
      <c r="AL551" s="159"/>
      <c r="AM551" s="159"/>
      <c r="AN551" s="163"/>
      <c r="AO551" s="163"/>
    </row>
    <row r="552" spans="1:41" ht="18" hidden="1" customHeight="1" x14ac:dyDescent="0.25">
      <c r="A552" s="157"/>
      <c r="B552" s="158"/>
      <c r="C552" s="159"/>
      <c r="D552" s="159"/>
      <c r="E552" s="159"/>
      <c r="F552" s="159"/>
      <c r="G552" s="159"/>
      <c r="H552" s="159"/>
      <c r="I552" s="158"/>
      <c r="J552" s="158"/>
      <c r="K552" s="158"/>
      <c r="L552" s="158"/>
      <c r="M552" s="160"/>
      <c r="N552" s="158"/>
      <c r="O552" s="159"/>
      <c r="P552" s="159"/>
      <c r="Q552" s="159"/>
      <c r="R552" s="159"/>
      <c r="S552" s="159"/>
      <c r="T552" s="159"/>
      <c r="U552" s="161"/>
      <c r="V552" s="161"/>
      <c r="W552" s="162"/>
      <c r="X552" s="159"/>
      <c r="Y552" s="159"/>
      <c r="Z552" s="159"/>
      <c r="AA552" s="159"/>
      <c r="AB552" s="159"/>
      <c r="AC552" s="159"/>
      <c r="AD552" s="159"/>
      <c r="AE552" s="159"/>
      <c r="AF552" s="159"/>
      <c r="AG552" s="159"/>
      <c r="AH552" s="161"/>
      <c r="AI552" s="162"/>
      <c r="AJ552" s="159"/>
      <c r="AK552" s="159"/>
      <c r="AL552" s="159"/>
      <c r="AM552" s="159"/>
      <c r="AN552" s="163"/>
      <c r="AO552" s="163"/>
    </row>
    <row r="553" spans="1:41" ht="18" hidden="1" customHeight="1" x14ac:dyDescent="0.25">
      <c r="A553" s="157"/>
      <c r="B553" s="158"/>
      <c r="C553" s="159"/>
      <c r="D553" s="159"/>
      <c r="E553" s="159"/>
      <c r="F553" s="159"/>
      <c r="G553" s="159"/>
      <c r="H553" s="159"/>
      <c r="I553" s="158"/>
      <c r="J553" s="158"/>
      <c r="K553" s="158"/>
      <c r="L553" s="158"/>
      <c r="M553" s="160"/>
      <c r="N553" s="158"/>
      <c r="O553" s="159"/>
      <c r="P553" s="159"/>
      <c r="Q553" s="159"/>
      <c r="R553" s="159"/>
      <c r="S553" s="159"/>
      <c r="T553" s="159"/>
      <c r="U553" s="161"/>
      <c r="V553" s="161"/>
      <c r="W553" s="162"/>
      <c r="X553" s="159"/>
      <c r="Y553" s="159"/>
      <c r="Z553" s="159"/>
      <c r="AA553" s="159"/>
      <c r="AB553" s="159"/>
      <c r="AC553" s="159"/>
      <c r="AD553" s="159"/>
      <c r="AE553" s="159"/>
      <c r="AF553" s="159"/>
      <c r="AG553" s="159"/>
      <c r="AH553" s="161"/>
      <c r="AI553" s="162"/>
      <c r="AJ553" s="159"/>
      <c r="AK553" s="159"/>
      <c r="AL553" s="159"/>
      <c r="AM553" s="159"/>
      <c r="AN553" s="163"/>
      <c r="AO553" s="163"/>
    </row>
    <row r="554" spans="1:41" ht="18" hidden="1" customHeight="1" x14ac:dyDescent="0.25">
      <c r="A554" s="157"/>
      <c r="B554" s="158"/>
      <c r="C554" s="159"/>
      <c r="D554" s="159"/>
      <c r="E554" s="159"/>
      <c r="F554" s="159"/>
      <c r="G554" s="159"/>
      <c r="H554" s="159"/>
      <c r="I554" s="158"/>
      <c r="J554" s="158"/>
      <c r="K554" s="158"/>
      <c r="L554" s="158"/>
      <c r="M554" s="160"/>
      <c r="N554" s="158"/>
      <c r="O554" s="159"/>
      <c r="P554" s="159"/>
      <c r="Q554" s="159"/>
      <c r="R554" s="159"/>
      <c r="S554" s="159"/>
      <c r="T554" s="159"/>
      <c r="U554" s="161"/>
      <c r="V554" s="161"/>
      <c r="W554" s="162"/>
      <c r="X554" s="159"/>
      <c r="Y554" s="159"/>
      <c r="Z554" s="159"/>
      <c r="AA554" s="159"/>
      <c r="AB554" s="159"/>
      <c r="AC554" s="159"/>
      <c r="AD554" s="159"/>
      <c r="AE554" s="159"/>
      <c r="AF554" s="159"/>
      <c r="AG554" s="159"/>
      <c r="AH554" s="161"/>
      <c r="AI554" s="162"/>
      <c r="AJ554" s="159"/>
      <c r="AK554" s="159"/>
      <c r="AL554" s="159"/>
      <c r="AM554" s="159"/>
      <c r="AN554" s="163"/>
      <c r="AO554" s="163"/>
    </row>
    <row r="555" spans="1:41" ht="18" hidden="1" customHeight="1" x14ac:dyDescent="0.25">
      <c r="A555" s="157"/>
      <c r="B555" s="158"/>
      <c r="C555" s="159"/>
      <c r="D555" s="159"/>
      <c r="E555" s="159"/>
      <c r="F555" s="159"/>
      <c r="G555" s="159"/>
      <c r="H555" s="159"/>
      <c r="I555" s="158"/>
      <c r="J555" s="158"/>
      <c r="K555" s="158"/>
      <c r="L555" s="158"/>
      <c r="M555" s="160"/>
      <c r="N555" s="158"/>
      <c r="O555" s="159"/>
      <c r="P555" s="159"/>
      <c r="Q555" s="159"/>
      <c r="R555" s="159"/>
      <c r="S555" s="159"/>
      <c r="T555" s="159"/>
      <c r="U555" s="161"/>
      <c r="V555" s="161"/>
      <c r="W555" s="162"/>
      <c r="X555" s="159"/>
      <c r="Y555" s="159"/>
      <c r="Z555" s="159"/>
      <c r="AA555" s="159"/>
      <c r="AB555" s="159"/>
      <c r="AC555" s="159"/>
      <c r="AD555" s="159"/>
      <c r="AE555" s="159"/>
      <c r="AF555" s="159"/>
      <c r="AG555" s="159"/>
      <c r="AH555" s="161"/>
      <c r="AI555" s="162"/>
      <c r="AJ555" s="159"/>
      <c r="AK555" s="159"/>
      <c r="AL555" s="159"/>
      <c r="AM555" s="159"/>
      <c r="AN555" s="163"/>
      <c r="AO555" s="163"/>
    </row>
    <row r="556" spans="1:41" ht="18" hidden="1" customHeight="1" x14ac:dyDescent="0.25">
      <c r="A556" s="157"/>
      <c r="B556" s="158"/>
      <c r="C556" s="159"/>
      <c r="D556" s="159"/>
      <c r="E556" s="159"/>
      <c r="F556" s="159"/>
      <c r="G556" s="159"/>
      <c r="H556" s="159"/>
      <c r="I556" s="158"/>
      <c r="J556" s="158"/>
      <c r="K556" s="158"/>
      <c r="L556" s="158"/>
      <c r="M556" s="160"/>
      <c r="N556" s="158"/>
      <c r="O556" s="159"/>
      <c r="P556" s="159"/>
      <c r="Q556" s="159"/>
      <c r="R556" s="159"/>
      <c r="S556" s="159"/>
      <c r="T556" s="159"/>
      <c r="U556" s="161"/>
      <c r="V556" s="161"/>
      <c r="W556" s="162"/>
      <c r="X556" s="159"/>
      <c r="Y556" s="159"/>
      <c r="Z556" s="159"/>
      <c r="AA556" s="159"/>
      <c r="AB556" s="159"/>
      <c r="AC556" s="159"/>
      <c r="AD556" s="159"/>
      <c r="AE556" s="159"/>
      <c r="AF556" s="159"/>
      <c r="AG556" s="159"/>
      <c r="AH556" s="161"/>
      <c r="AI556" s="162"/>
      <c r="AJ556" s="159"/>
      <c r="AK556" s="159"/>
      <c r="AL556" s="159"/>
      <c r="AM556" s="159"/>
      <c r="AN556" s="163"/>
      <c r="AO556" s="163"/>
    </row>
    <row r="557" spans="1:41" ht="18" hidden="1" customHeight="1" x14ac:dyDescent="0.25">
      <c r="A557" s="157"/>
      <c r="B557" s="158"/>
      <c r="C557" s="159"/>
      <c r="D557" s="159"/>
      <c r="E557" s="159"/>
      <c r="F557" s="159"/>
      <c r="G557" s="159"/>
      <c r="H557" s="159"/>
      <c r="I557" s="158"/>
      <c r="J557" s="158"/>
      <c r="K557" s="158"/>
      <c r="L557" s="158"/>
      <c r="M557" s="160"/>
      <c r="N557" s="158"/>
      <c r="O557" s="159"/>
      <c r="P557" s="159"/>
      <c r="Q557" s="159"/>
      <c r="R557" s="159"/>
      <c r="S557" s="159"/>
      <c r="T557" s="159"/>
      <c r="U557" s="161"/>
      <c r="V557" s="161"/>
      <c r="W557" s="162"/>
      <c r="X557" s="159"/>
      <c r="Y557" s="159"/>
      <c r="Z557" s="159"/>
      <c r="AA557" s="159"/>
      <c r="AB557" s="159"/>
      <c r="AC557" s="159"/>
      <c r="AD557" s="159"/>
      <c r="AE557" s="159"/>
      <c r="AF557" s="159"/>
      <c r="AG557" s="159"/>
      <c r="AH557" s="161"/>
      <c r="AI557" s="162"/>
      <c r="AJ557" s="159"/>
      <c r="AK557" s="159"/>
      <c r="AL557" s="159"/>
      <c r="AM557" s="159"/>
      <c r="AN557" s="163"/>
      <c r="AO557" s="163"/>
    </row>
    <row r="558" spans="1:41" ht="18" hidden="1" customHeight="1" x14ac:dyDescent="0.25">
      <c r="A558" s="157"/>
      <c r="B558" s="158"/>
      <c r="C558" s="159"/>
      <c r="D558" s="159"/>
      <c r="E558" s="159"/>
      <c r="F558" s="159"/>
      <c r="G558" s="159"/>
      <c r="H558" s="159"/>
      <c r="I558" s="158"/>
      <c r="J558" s="158"/>
      <c r="K558" s="158"/>
      <c r="L558" s="158"/>
      <c r="M558" s="160"/>
      <c r="N558" s="158"/>
      <c r="O558" s="159"/>
      <c r="P558" s="159"/>
      <c r="Q558" s="159"/>
      <c r="R558" s="159"/>
      <c r="S558" s="159"/>
      <c r="T558" s="159"/>
      <c r="U558" s="161"/>
      <c r="V558" s="161"/>
      <c r="W558" s="162"/>
      <c r="X558" s="159"/>
      <c r="Y558" s="159"/>
      <c r="Z558" s="159"/>
      <c r="AA558" s="159"/>
      <c r="AB558" s="159"/>
      <c r="AC558" s="159"/>
      <c r="AD558" s="159"/>
      <c r="AE558" s="159"/>
      <c r="AF558" s="159"/>
      <c r="AG558" s="159"/>
      <c r="AH558" s="161"/>
      <c r="AI558" s="162"/>
      <c r="AJ558" s="159"/>
      <c r="AK558" s="159"/>
      <c r="AL558" s="159"/>
      <c r="AM558" s="159"/>
      <c r="AN558" s="163"/>
      <c r="AO558" s="163"/>
    </row>
    <row r="559" spans="1:41" ht="18" hidden="1" customHeight="1" x14ac:dyDescent="0.25">
      <c r="A559" s="157"/>
      <c r="B559" s="158"/>
      <c r="C559" s="159"/>
      <c r="D559" s="159"/>
      <c r="E559" s="159"/>
      <c r="F559" s="159"/>
      <c r="G559" s="159"/>
      <c r="H559" s="159"/>
      <c r="I559" s="158"/>
      <c r="J559" s="158"/>
      <c r="K559" s="158"/>
      <c r="L559" s="158"/>
      <c r="M559" s="160"/>
      <c r="N559" s="158"/>
      <c r="O559" s="159"/>
      <c r="P559" s="159"/>
      <c r="Q559" s="159"/>
      <c r="R559" s="159"/>
      <c r="S559" s="159"/>
      <c r="T559" s="159"/>
      <c r="U559" s="161"/>
      <c r="V559" s="161"/>
      <c r="W559" s="162"/>
      <c r="X559" s="159"/>
      <c r="Y559" s="159"/>
      <c r="Z559" s="159"/>
      <c r="AA559" s="159"/>
      <c r="AB559" s="159"/>
      <c r="AC559" s="159"/>
      <c r="AD559" s="159"/>
      <c r="AE559" s="159"/>
      <c r="AF559" s="159"/>
      <c r="AG559" s="159"/>
      <c r="AH559" s="161"/>
      <c r="AI559" s="162"/>
      <c r="AJ559" s="159"/>
      <c r="AK559" s="159"/>
      <c r="AL559" s="159"/>
      <c r="AM559" s="159"/>
      <c r="AN559" s="163"/>
      <c r="AO559" s="163"/>
    </row>
    <row r="560" spans="1:41" ht="18" hidden="1" customHeight="1" x14ac:dyDescent="0.25">
      <c r="A560" s="157"/>
      <c r="B560" s="158"/>
      <c r="C560" s="159"/>
      <c r="D560" s="159"/>
      <c r="E560" s="159"/>
      <c r="F560" s="159"/>
      <c r="G560" s="159"/>
      <c r="H560" s="159"/>
      <c r="I560" s="158"/>
      <c r="J560" s="158"/>
      <c r="K560" s="158"/>
      <c r="L560" s="158"/>
      <c r="M560" s="160"/>
      <c r="N560" s="158"/>
      <c r="O560" s="159"/>
      <c r="P560" s="159"/>
      <c r="Q560" s="159"/>
      <c r="R560" s="159"/>
      <c r="S560" s="159"/>
      <c r="T560" s="159"/>
      <c r="U560" s="161"/>
      <c r="V560" s="161"/>
      <c r="W560" s="162"/>
      <c r="X560" s="159"/>
      <c r="Y560" s="159"/>
      <c r="Z560" s="159"/>
      <c r="AA560" s="159"/>
      <c r="AB560" s="159"/>
      <c r="AC560" s="159"/>
      <c r="AD560" s="159"/>
      <c r="AE560" s="159"/>
      <c r="AF560" s="159"/>
      <c r="AG560" s="159"/>
      <c r="AH560" s="161"/>
      <c r="AI560" s="162"/>
      <c r="AJ560" s="159"/>
      <c r="AK560" s="159"/>
      <c r="AL560" s="159"/>
      <c r="AM560" s="159"/>
      <c r="AN560" s="163"/>
      <c r="AO560" s="163"/>
    </row>
    <row r="561" spans="1:41" ht="18" hidden="1" customHeight="1" x14ac:dyDescent="0.25">
      <c r="A561" s="157"/>
      <c r="B561" s="158"/>
      <c r="C561" s="159"/>
      <c r="D561" s="159"/>
      <c r="E561" s="159"/>
      <c r="F561" s="159"/>
      <c r="G561" s="159"/>
      <c r="H561" s="159"/>
      <c r="I561" s="158"/>
      <c r="J561" s="158"/>
      <c r="K561" s="158"/>
      <c r="L561" s="158"/>
      <c r="M561" s="160"/>
      <c r="N561" s="158"/>
      <c r="O561" s="159"/>
      <c r="P561" s="159"/>
      <c r="Q561" s="159"/>
      <c r="R561" s="159"/>
      <c r="S561" s="159"/>
      <c r="T561" s="159"/>
      <c r="U561" s="161"/>
      <c r="V561" s="161"/>
      <c r="W561" s="162"/>
      <c r="X561" s="159"/>
      <c r="Y561" s="159"/>
      <c r="Z561" s="159"/>
      <c r="AA561" s="159"/>
      <c r="AB561" s="159"/>
      <c r="AC561" s="159"/>
      <c r="AD561" s="159"/>
      <c r="AE561" s="159"/>
      <c r="AF561" s="159"/>
      <c r="AG561" s="159"/>
      <c r="AH561" s="161"/>
      <c r="AI561" s="162"/>
      <c r="AJ561" s="159"/>
      <c r="AK561" s="159"/>
      <c r="AL561" s="159"/>
      <c r="AM561" s="159"/>
      <c r="AN561" s="163"/>
      <c r="AO561" s="163"/>
    </row>
    <row r="562" spans="1:41" ht="18" hidden="1" customHeight="1" x14ac:dyDescent="0.25">
      <c r="A562" s="157"/>
      <c r="B562" s="158"/>
      <c r="C562" s="159"/>
      <c r="D562" s="159"/>
      <c r="E562" s="159"/>
      <c r="F562" s="159"/>
      <c r="G562" s="159"/>
      <c r="H562" s="159"/>
      <c r="I562" s="158"/>
      <c r="J562" s="158"/>
      <c r="K562" s="158"/>
      <c r="L562" s="158"/>
      <c r="M562" s="160"/>
      <c r="N562" s="158"/>
      <c r="O562" s="159"/>
      <c r="P562" s="159"/>
      <c r="Q562" s="159"/>
      <c r="R562" s="159"/>
      <c r="S562" s="159"/>
      <c r="T562" s="159"/>
      <c r="U562" s="161"/>
      <c r="V562" s="161"/>
      <c r="W562" s="162"/>
      <c r="X562" s="159"/>
      <c r="Y562" s="159"/>
      <c r="Z562" s="159"/>
      <c r="AA562" s="159"/>
      <c r="AB562" s="159"/>
      <c r="AC562" s="159"/>
      <c r="AD562" s="159"/>
      <c r="AE562" s="159"/>
      <c r="AF562" s="159"/>
      <c r="AG562" s="159"/>
      <c r="AH562" s="161"/>
      <c r="AI562" s="162"/>
      <c r="AJ562" s="159"/>
      <c r="AK562" s="159"/>
      <c r="AL562" s="159"/>
      <c r="AM562" s="159"/>
      <c r="AN562" s="163"/>
      <c r="AO562" s="163"/>
    </row>
    <row r="563" spans="1:41" ht="18" hidden="1" customHeight="1" x14ac:dyDescent="0.25">
      <c r="A563" s="157"/>
      <c r="B563" s="158"/>
      <c r="C563" s="159"/>
      <c r="D563" s="159"/>
      <c r="E563" s="159"/>
      <c r="F563" s="159"/>
      <c r="G563" s="159"/>
      <c r="H563" s="159"/>
      <c r="I563" s="158"/>
      <c r="J563" s="158"/>
      <c r="K563" s="158"/>
      <c r="L563" s="158"/>
      <c r="M563" s="160"/>
      <c r="N563" s="158"/>
      <c r="O563" s="159"/>
      <c r="P563" s="159"/>
      <c r="Q563" s="159"/>
      <c r="R563" s="159"/>
      <c r="S563" s="159"/>
      <c r="T563" s="159"/>
      <c r="U563" s="161"/>
      <c r="V563" s="161"/>
      <c r="W563" s="162"/>
      <c r="X563" s="159"/>
      <c r="Y563" s="159"/>
      <c r="Z563" s="159"/>
      <c r="AA563" s="159"/>
      <c r="AB563" s="159"/>
      <c r="AC563" s="159"/>
      <c r="AD563" s="159"/>
      <c r="AE563" s="159"/>
      <c r="AF563" s="159"/>
      <c r="AG563" s="159"/>
      <c r="AH563" s="161"/>
      <c r="AI563" s="162"/>
      <c r="AJ563" s="159"/>
      <c r="AK563" s="159"/>
      <c r="AL563" s="159"/>
      <c r="AM563" s="159"/>
      <c r="AN563" s="163"/>
      <c r="AO563" s="163"/>
    </row>
    <row r="564" spans="1:41" ht="18" hidden="1" customHeight="1" x14ac:dyDescent="0.25">
      <c r="A564" s="157"/>
      <c r="B564" s="158"/>
      <c r="C564" s="159"/>
      <c r="D564" s="159"/>
      <c r="E564" s="159"/>
      <c r="F564" s="159"/>
      <c r="G564" s="159"/>
      <c r="H564" s="159"/>
      <c r="I564" s="158"/>
      <c r="J564" s="158"/>
      <c r="K564" s="158"/>
      <c r="L564" s="158"/>
      <c r="M564" s="160"/>
      <c r="N564" s="158"/>
      <c r="O564" s="159"/>
      <c r="P564" s="159"/>
      <c r="Q564" s="159"/>
      <c r="R564" s="159"/>
      <c r="S564" s="159"/>
      <c r="T564" s="159"/>
      <c r="U564" s="161"/>
      <c r="V564" s="161"/>
      <c r="W564" s="162"/>
      <c r="X564" s="159"/>
      <c r="Y564" s="159"/>
      <c r="Z564" s="159"/>
      <c r="AA564" s="159"/>
      <c r="AB564" s="159"/>
      <c r="AC564" s="159"/>
      <c r="AD564" s="159"/>
      <c r="AE564" s="159"/>
      <c r="AF564" s="159"/>
      <c r="AG564" s="159"/>
      <c r="AH564" s="161"/>
      <c r="AI564" s="162"/>
      <c r="AJ564" s="159"/>
      <c r="AK564" s="159"/>
      <c r="AL564" s="159"/>
      <c r="AM564" s="159"/>
      <c r="AN564" s="163"/>
      <c r="AO564" s="163"/>
    </row>
    <row r="565" spans="1:41" ht="18" hidden="1" customHeight="1" x14ac:dyDescent="0.25">
      <c r="A565" s="157"/>
      <c r="B565" s="158"/>
      <c r="C565" s="159"/>
      <c r="D565" s="159"/>
      <c r="E565" s="159"/>
      <c r="F565" s="159"/>
      <c r="G565" s="159"/>
      <c r="H565" s="159"/>
      <c r="I565" s="158"/>
      <c r="J565" s="158"/>
      <c r="K565" s="158"/>
      <c r="L565" s="158"/>
      <c r="M565" s="160"/>
      <c r="N565" s="158"/>
      <c r="O565" s="159"/>
      <c r="P565" s="159"/>
      <c r="Q565" s="159"/>
      <c r="R565" s="159"/>
      <c r="S565" s="159"/>
      <c r="T565" s="159"/>
      <c r="U565" s="161"/>
      <c r="V565" s="161"/>
      <c r="W565" s="162"/>
      <c r="X565" s="159"/>
      <c r="Y565" s="159"/>
      <c r="Z565" s="159"/>
      <c r="AA565" s="159"/>
      <c r="AB565" s="159"/>
      <c r="AC565" s="159"/>
      <c r="AD565" s="159"/>
      <c r="AE565" s="159"/>
      <c r="AF565" s="159"/>
      <c r="AG565" s="159"/>
      <c r="AH565" s="161"/>
      <c r="AI565" s="162"/>
      <c r="AJ565" s="159"/>
      <c r="AK565" s="159"/>
      <c r="AL565" s="159"/>
      <c r="AM565" s="159"/>
      <c r="AN565" s="163"/>
      <c r="AO565" s="163"/>
    </row>
    <row r="566" spans="1:41" ht="18" hidden="1" customHeight="1" x14ac:dyDescent="0.25">
      <c r="A566" s="157"/>
      <c r="B566" s="158"/>
      <c r="C566" s="159"/>
      <c r="D566" s="159"/>
      <c r="E566" s="159"/>
      <c r="F566" s="159"/>
      <c r="G566" s="159"/>
      <c r="H566" s="159"/>
      <c r="I566" s="158"/>
      <c r="J566" s="158"/>
      <c r="K566" s="158"/>
      <c r="L566" s="158"/>
      <c r="M566" s="160"/>
      <c r="N566" s="158"/>
      <c r="O566" s="159"/>
      <c r="P566" s="159"/>
      <c r="Q566" s="159"/>
      <c r="R566" s="159"/>
      <c r="S566" s="159"/>
      <c r="T566" s="159"/>
      <c r="U566" s="161"/>
      <c r="V566" s="161"/>
      <c r="W566" s="162"/>
      <c r="X566" s="159"/>
      <c r="Y566" s="159"/>
      <c r="Z566" s="159"/>
      <c r="AA566" s="159"/>
      <c r="AB566" s="159"/>
      <c r="AC566" s="159"/>
      <c r="AD566" s="159"/>
      <c r="AE566" s="159"/>
      <c r="AF566" s="159"/>
      <c r="AG566" s="159"/>
      <c r="AH566" s="161"/>
      <c r="AI566" s="162"/>
      <c r="AJ566" s="159"/>
      <c r="AK566" s="159"/>
      <c r="AL566" s="159"/>
      <c r="AM566" s="159"/>
      <c r="AN566" s="163"/>
      <c r="AO566" s="163"/>
    </row>
    <row r="567" spans="1:41" ht="18" hidden="1" customHeight="1" x14ac:dyDescent="0.25">
      <c r="A567" s="157"/>
      <c r="B567" s="158"/>
      <c r="C567" s="159"/>
      <c r="D567" s="159"/>
      <c r="E567" s="159"/>
      <c r="F567" s="159"/>
      <c r="G567" s="159"/>
      <c r="H567" s="159"/>
      <c r="I567" s="158"/>
      <c r="J567" s="158"/>
      <c r="K567" s="158"/>
      <c r="L567" s="158"/>
      <c r="M567" s="160"/>
      <c r="N567" s="158"/>
      <c r="O567" s="159"/>
      <c r="P567" s="159"/>
      <c r="Q567" s="159"/>
      <c r="R567" s="159"/>
      <c r="S567" s="159"/>
      <c r="T567" s="159"/>
      <c r="U567" s="161"/>
      <c r="V567" s="161"/>
      <c r="W567" s="162"/>
      <c r="X567" s="159"/>
      <c r="Y567" s="159"/>
      <c r="Z567" s="159"/>
      <c r="AA567" s="159"/>
      <c r="AB567" s="159"/>
      <c r="AC567" s="159"/>
      <c r="AD567" s="159"/>
      <c r="AE567" s="159"/>
      <c r="AF567" s="159"/>
      <c r="AG567" s="159"/>
      <c r="AH567" s="161"/>
      <c r="AI567" s="162"/>
      <c r="AJ567" s="159"/>
      <c r="AK567" s="159"/>
      <c r="AL567" s="159"/>
      <c r="AM567" s="159"/>
      <c r="AN567" s="163"/>
      <c r="AO567" s="163"/>
    </row>
    <row r="568" spans="1:41" ht="18" hidden="1" customHeight="1" x14ac:dyDescent="0.25">
      <c r="A568" s="157"/>
      <c r="B568" s="158"/>
      <c r="C568" s="159"/>
      <c r="D568" s="159"/>
      <c r="E568" s="159"/>
      <c r="F568" s="159"/>
      <c r="G568" s="159"/>
      <c r="H568" s="159"/>
      <c r="I568" s="158"/>
      <c r="J568" s="158"/>
      <c r="K568" s="158"/>
      <c r="L568" s="158"/>
      <c r="M568" s="160"/>
      <c r="N568" s="158"/>
      <c r="O568" s="159"/>
      <c r="P568" s="159"/>
      <c r="Q568" s="159"/>
      <c r="R568" s="159"/>
      <c r="S568" s="159"/>
      <c r="T568" s="159"/>
      <c r="U568" s="161"/>
      <c r="V568" s="161"/>
      <c r="W568" s="162"/>
      <c r="X568" s="159"/>
      <c r="Y568" s="159"/>
      <c r="Z568" s="159"/>
      <c r="AA568" s="159"/>
      <c r="AB568" s="159"/>
      <c r="AC568" s="159"/>
      <c r="AD568" s="159"/>
      <c r="AE568" s="159"/>
      <c r="AF568" s="159"/>
      <c r="AG568" s="159"/>
      <c r="AH568" s="161"/>
      <c r="AI568" s="162"/>
      <c r="AJ568" s="159"/>
      <c r="AK568" s="159"/>
      <c r="AL568" s="159"/>
      <c r="AM568" s="159"/>
      <c r="AN568" s="163"/>
      <c r="AO568" s="163"/>
    </row>
    <row r="569" spans="1:41" ht="18" hidden="1" customHeight="1" x14ac:dyDescent="0.25">
      <c r="A569" s="157"/>
      <c r="B569" s="158"/>
      <c r="C569" s="159"/>
      <c r="D569" s="159"/>
      <c r="E569" s="159"/>
      <c r="F569" s="159"/>
      <c r="G569" s="159"/>
      <c r="H569" s="159"/>
      <c r="I569" s="158"/>
      <c r="J569" s="158"/>
      <c r="K569" s="158"/>
      <c r="L569" s="158"/>
      <c r="M569" s="160"/>
      <c r="N569" s="158"/>
      <c r="O569" s="159"/>
      <c r="P569" s="159"/>
      <c r="Q569" s="159"/>
      <c r="R569" s="159"/>
      <c r="S569" s="159"/>
      <c r="T569" s="159"/>
      <c r="U569" s="161"/>
      <c r="V569" s="161"/>
      <c r="W569" s="162"/>
      <c r="X569" s="159"/>
      <c r="Y569" s="159"/>
      <c r="Z569" s="159"/>
      <c r="AA569" s="159"/>
      <c r="AB569" s="159"/>
      <c r="AC569" s="159"/>
      <c r="AD569" s="159"/>
      <c r="AE569" s="159"/>
      <c r="AF569" s="159"/>
      <c r="AG569" s="159"/>
      <c r="AH569" s="161"/>
      <c r="AI569" s="162"/>
      <c r="AJ569" s="159"/>
      <c r="AK569" s="159"/>
      <c r="AL569" s="159"/>
      <c r="AM569" s="159"/>
      <c r="AN569" s="163"/>
      <c r="AO569" s="163"/>
    </row>
    <row r="570" spans="1:41" ht="18" hidden="1" customHeight="1" x14ac:dyDescent="0.25">
      <c r="A570" s="157"/>
      <c r="B570" s="158"/>
      <c r="C570" s="159"/>
      <c r="D570" s="159"/>
      <c r="E570" s="159"/>
      <c r="F570" s="159"/>
      <c r="G570" s="159"/>
      <c r="H570" s="159"/>
      <c r="I570" s="158"/>
      <c r="J570" s="158"/>
      <c r="K570" s="158"/>
      <c r="L570" s="158"/>
      <c r="M570" s="160"/>
      <c r="N570" s="158"/>
      <c r="O570" s="159"/>
      <c r="P570" s="159"/>
      <c r="Q570" s="159"/>
      <c r="R570" s="159"/>
      <c r="S570" s="159"/>
      <c r="T570" s="159"/>
      <c r="U570" s="161"/>
      <c r="V570" s="161"/>
      <c r="W570" s="162"/>
      <c r="X570" s="159"/>
      <c r="Y570" s="159"/>
      <c r="Z570" s="159"/>
      <c r="AA570" s="159"/>
      <c r="AB570" s="159"/>
      <c r="AC570" s="159"/>
      <c r="AD570" s="159"/>
      <c r="AE570" s="159"/>
      <c r="AF570" s="159"/>
      <c r="AG570" s="159"/>
      <c r="AH570" s="161"/>
      <c r="AI570" s="162"/>
      <c r="AJ570" s="159"/>
      <c r="AK570" s="159"/>
      <c r="AL570" s="159"/>
      <c r="AM570" s="159"/>
      <c r="AN570" s="163"/>
      <c r="AO570" s="163"/>
    </row>
    <row r="571" spans="1:41" ht="18" hidden="1" customHeight="1" x14ac:dyDescent="0.25">
      <c r="A571" s="157"/>
      <c r="B571" s="158"/>
      <c r="C571" s="159"/>
      <c r="D571" s="159"/>
      <c r="E571" s="159"/>
      <c r="F571" s="159"/>
      <c r="G571" s="159"/>
      <c r="H571" s="159"/>
      <c r="I571" s="158"/>
      <c r="J571" s="158"/>
      <c r="K571" s="158"/>
      <c r="L571" s="158"/>
      <c r="M571" s="160"/>
      <c r="N571" s="158"/>
      <c r="O571" s="159"/>
      <c r="P571" s="159"/>
      <c r="Q571" s="159"/>
      <c r="R571" s="159"/>
      <c r="S571" s="159"/>
      <c r="T571" s="159"/>
      <c r="U571" s="161"/>
      <c r="V571" s="161"/>
      <c r="W571" s="162"/>
      <c r="X571" s="159"/>
      <c r="Y571" s="159"/>
      <c r="Z571" s="159"/>
      <c r="AA571" s="159"/>
      <c r="AB571" s="159"/>
      <c r="AC571" s="159"/>
      <c r="AD571" s="159"/>
      <c r="AE571" s="159"/>
      <c r="AF571" s="159"/>
      <c r="AG571" s="159"/>
      <c r="AH571" s="161"/>
      <c r="AI571" s="162"/>
      <c r="AJ571" s="159"/>
      <c r="AK571" s="159"/>
      <c r="AL571" s="159"/>
      <c r="AM571" s="159"/>
      <c r="AN571" s="163"/>
      <c r="AO571" s="163"/>
    </row>
    <row r="572" spans="1:41" ht="18" hidden="1" customHeight="1" x14ac:dyDescent="0.25">
      <c r="A572" s="157"/>
      <c r="B572" s="158"/>
      <c r="C572" s="159"/>
      <c r="D572" s="159"/>
      <c r="E572" s="159"/>
      <c r="F572" s="159"/>
      <c r="G572" s="159"/>
      <c r="H572" s="159"/>
      <c r="I572" s="158"/>
      <c r="J572" s="158"/>
      <c r="K572" s="158"/>
      <c r="L572" s="158"/>
      <c r="M572" s="160"/>
      <c r="N572" s="158"/>
      <c r="O572" s="159"/>
      <c r="P572" s="159"/>
      <c r="Q572" s="159"/>
      <c r="R572" s="159"/>
      <c r="S572" s="159"/>
      <c r="T572" s="159"/>
      <c r="U572" s="161"/>
      <c r="V572" s="161"/>
      <c r="W572" s="162"/>
      <c r="X572" s="159"/>
      <c r="Y572" s="159"/>
      <c r="Z572" s="159"/>
      <c r="AA572" s="159"/>
      <c r="AB572" s="159"/>
      <c r="AC572" s="159"/>
      <c r="AD572" s="159"/>
      <c r="AE572" s="159"/>
      <c r="AF572" s="159"/>
      <c r="AG572" s="159"/>
      <c r="AH572" s="161"/>
      <c r="AI572" s="162"/>
      <c r="AJ572" s="159"/>
      <c r="AK572" s="159"/>
      <c r="AL572" s="159"/>
      <c r="AM572" s="159"/>
      <c r="AN572" s="163"/>
      <c r="AO572" s="163"/>
    </row>
    <row r="573" spans="1:41" ht="18" hidden="1" customHeight="1" x14ac:dyDescent="0.25">
      <c r="A573" s="157"/>
      <c r="B573" s="158"/>
      <c r="C573" s="159"/>
      <c r="D573" s="159"/>
      <c r="E573" s="159"/>
      <c r="F573" s="159"/>
      <c r="G573" s="159"/>
      <c r="H573" s="159"/>
      <c r="I573" s="158"/>
      <c r="J573" s="158"/>
      <c r="K573" s="158"/>
      <c r="L573" s="158"/>
      <c r="M573" s="160"/>
      <c r="N573" s="158"/>
      <c r="O573" s="159"/>
      <c r="P573" s="159"/>
      <c r="Q573" s="159"/>
      <c r="R573" s="159"/>
      <c r="S573" s="159"/>
      <c r="T573" s="159"/>
      <c r="U573" s="161"/>
      <c r="V573" s="161"/>
      <c r="W573" s="162"/>
      <c r="X573" s="159"/>
      <c r="Y573" s="159"/>
      <c r="Z573" s="159"/>
      <c r="AA573" s="159"/>
      <c r="AB573" s="159"/>
      <c r="AC573" s="159"/>
      <c r="AD573" s="159"/>
      <c r="AE573" s="159"/>
      <c r="AF573" s="159"/>
      <c r="AG573" s="159"/>
      <c r="AH573" s="161"/>
      <c r="AI573" s="162"/>
      <c r="AJ573" s="159"/>
      <c r="AK573" s="159"/>
      <c r="AL573" s="159"/>
      <c r="AM573" s="159"/>
      <c r="AN573" s="163"/>
      <c r="AO573" s="163"/>
    </row>
    <row r="574" spans="1:41" ht="18" hidden="1" customHeight="1" x14ac:dyDescent="0.25">
      <c r="A574" s="157"/>
      <c r="B574" s="158"/>
      <c r="C574" s="159"/>
      <c r="D574" s="159"/>
      <c r="E574" s="159"/>
      <c r="F574" s="159"/>
      <c r="G574" s="159"/>
      <c r="H574" s="159"/>
      <c r="I574" s="158"/>
      <c r="J574" s="158"/>
      <c r="K574" s="158"/>
      <c r="L574" s="158"/>
      <c r="M574" s="160"/>
      <c r="N574" s="158"/>
      <c r="O574" s="159"/>
      <c r="P574" s="159"/>
      <c r="Q574" s="159"/>
      <c r="R574" s="159"/>
      <c r="S574" s="159"/>
      <c r="T574" s="159"/>
      <c r="U574" s="161"/>
      <c r="V574" s="161"/>
      <c r="W574" s="162"/>
      <c r="X574" s="159"/>
      <c r="Y574" s="159"/>
      <c r="Z574" s="159"/>
      <c r="AA574" s="159"/>
      <c r="AB574" s="159"/>
      <c r="AC574" s="159"/>
      <c r="AD574" s="159"/>
      <c r="AE574" s="159"/>
      <c r="AF574" s="159"/>
      <c r="AG574" s="159"/>
      <c r="AH574" s="161"/>
      <c r="AI574" s="162"/>
      <c r="AJ574" s="159"/>
      <c r="AK574" s="159"/>
      <c r="AL574" s="159"/>
      <c r="AM574" s="159"/>
      <c r="AN574" s="163"/>
      <c r="AO574" s="163"/>
    </row>
    <row r="575" spans="1:41" ht="18" hidden="1" customHeight="1" x14ac:dyDescent="0.25">
      <c r="A575" s="157"/>
      <c r="B575" s="158"/>
      <c r="C575" s="159"/>
      <c r="D575" s="159"/>
      <c r="E575" s="159"/>
      <c r="F575" s="159"/>
      <c r="G575" s="159"/>
      <c r="H575" s="159"/>
      <c r="I575" s="158"/>
      <c r="J575" s="158"/>
      <c r="K575" s="158"/>
      <c r="L575" s="158"/>
      <c r="M575" s="160"/>
      <c r="N575" s="158"/>
      <c r="O575" s="159"/>
      <c r="P575" s="159"/>
      <c r="Q575" s="159"/>
      <c r="R575" s="159"/>
      <c r="S575" s="159"/>
      <c r="T575" s="159"/>
      <c r="U575" s="161"/>
      <c r="V575" s="161"/>
      <c r="W575" s="162"/>
      <c r="X575" s="159"/>
      <c r="Y575" s="159"/>
      <c r="Z575" s="159"/>
      <c r="AA575" s="159"/>
      <c r="AB575" s="159"/>
      <c r="AC575" s="159"/>
      <c r="AD575" s="159"/>
      <c r="AE575" s="159"/>
      <c r="AF575" s="159"/>
      <c r="AG575" s="159"/>
      <c r="AH575" s="161"/>
      <c r="AI575" s="162"/>
      <c r="AJ575" s="159"/>
      <c r="AK575" s="159"/>
      <c r="AL575" s="159"/>
      <c r="AM575" s="159"/>
      <c r="AN575" s="163"/>
      <c r="AO575" s="163"/>
    </row>
    <row r="576" spans="1:41" ht="18" hidden="1" customHeight="1" x14ac:dyDescent="0.25">
      <c r="A576" s="157"/>
      <c r="B576" s="158"/>
      <c r="C576" s="159"/>
      <c r="D576" s="159"/>
      <c r="E576" s="159"/>
      <c r="F576" s="159"/>
      <c r="G576" s="159"/>
      <c r="H576" s="159"/>
      <c r="I576" s="158"/>
      <c r="J576" s="158"/>
      <c r="K576" s="158"/>
      <c r="L576" s="158"/>
      <c r="M576" s="160"/>
      <c r="N576" s="158"/>
      <c r="O576" s="159"/>
      <c r="P576" s="159"/>
      <c r="Q576" s="159"/>
      <c r="R576" s="159"/>
      <c r="S576" s="159"/>
      <c r="T576" s="159"/>
      <c r="U576" s="161"/>
      <c r="V576" s="161"/>
      <c r="W576" s="162"/>
      <c r="X576" s="159"/>
      <c r="Y576" s="159"/>
      <c r="Z576" s="159"/>
      <c r="AA576" s="159"/>
      <c r="AB576" s="159"/>
      <c r="AC576" s="159"/>
      <c r="AD576" s="159"/>
      <c r="AE576" s="159"/>
      <c r="AF576" s="159"/>
      <c r="AG576" s="159"/>
      <c r="AH576" s="161"/>
      <c r="AI576" s="162"/>
      <c r="AJ576" s="159"/>
      <c r="AK576" s="159"/>
      <c r="AL576" s="159"/>
      <c r="AM576" s="159"/>
      <c r="AN576" s="163"/>
      <c r="AO576" s="163"/>
    </row>
    <row r="577" spans="1:41" ht="18" hidden="1" customHeight="1" x14ac:dyDescent="0.25">
      <c r="A577" s="157"/>
      <c r="B577" s="158"/>
      <c r="C577" s="159"/>
      <c r="D577" s="159"/>
      <c r="E577" s="159"/>
      <c r="F577" s="159"/>
      <c r="G577" s="159"/>
      <c r="H577" s="159"/>
      <c r="I577" s="158"/>
      <c r="J577" s="158"/>
      <c r="K577" s="158"/>
      <c r="L577" s="158"/>
      <c r="M577" s="160"/>
      <c r="N577" s="158"/>
      <c r="O577" s="159"/>
      <c r="P577" s="159"/>
      <c r="Q577" s="159"/>
      <c r="R577" s="159"/>
      <c r="S577" s="159"/>
      <c r="T577" s="159"/>
      <c r="U577" s="161"/>
      <c r="V577" s="161"/>
      <c r="W577" s="162"/>
      <c r="X577" s="159"/>
      <c r="Y577" s="159"/>
      <c r="Z577" s="159"/>
      <c r="AA577" s="159"/>
      <c r="AB577" s="159"/>
      <c r="AC577" s="159"/>
      <c r="AD577" s="159"/>
      <c r="AE577" s="159"/>
      <c r="AF577" s="159"/>
      <c r="AG577" s="159"/>
      <c r="AH577" s="161"/>
      <c r="AI577" s="162"/>
      <c r="AJ577" s="159"/>
      <c r="AK577" s="159"/>
      <c r="AL577" s="159"/>
      <c r="AM577" s="159"/>
      <c r="AN577" s="163"/>
      <c r="AO577" s="163"/>
    </row>
    <row r="578" spans="1:41" ht="18" hidden="1" customHeight="1" x14ac:dyDescent="0.25">
      <c r="A578" s="157"/>
      <c r="B578" s="158"/>
      <c r="C578" s="159"/>
      <c r="D578" s="159"/>
      <c r="E578" s="159"/>
      <c r="F578" s="159"/>
      <c r="G578" s="159"/>
      <c r="H578" s="159"/>
      <c r="I578" s="158"/>
      <c r="J578" s="158"/>
      <c r="K578" s="158"/>
      <c r="L578" s="158"/>
      <c r="M578" s="160"/>
      <c r="N578" s="158"/>
      <c r="O578" s="159"/>
      <c r="P578" s="159"/>
      <c r="Q578" s="159"/>
      <c r="R578" s="159"/>
      <c r="S578" s="159"/>
      <c r="T578" s="159"/>
      <c r="U578" s="161"/>
      <c r="V578" s="161"/>
      <c r="W578" s="162"/>
      <c r="X578" s="159"/>
      <c r="Y578" s="159"/>
      <c r="Z578" s="159"/>
      <c r="AA578" s="159"/>
      <c r="AB578" s="159"/>
      <c r="AC578" s="159"/>
      <c r="AD578" s="159"/>
      <c r="AE578" s="159"/>
      <c r="AF578" s="159"/>
      <c r="AG578" s="159"/>
      <c r="AH578" s="161"/>
      <c r="AI578" s="162"/>
      <c r="AJ578" s="159"/>
      <c r="AK578" s="159"/>
      <c r="AL578" s="159"/>
      <c r="AM578" s="159"/>
      <c r="AN578" s="163"/>
      <c r="AO578" s="163"/>
    </row>
    <row r="579" spans="1:41" ht="18" hidden="1" customHeight="1" x14ac:dyDescent="0.25">
      <c r="A579" s="157"/>
      <c r="B579" s="158"/>
      <c r="C579" s="159"/>
      <c r="D579" s="159"/>
      <c r="E579" s="159"/>
      <c r="F579" s="159"/>
      <c r="G579" s="159"/>
      <c r="H579" s="159"/>
      <c r="I579" s="158"/>
      <c r="J579" s="158"/>
      <c r="K579" s="158"/>
      <c r="L579" s="158"/>
      <c r="M579" s="160"/>
      <c r="N579" s="158"/>
      <c r="O579" s="159"/>
      <c r="P579" s="159"/>
      <c r="Q579" s="159"/>
      <c r="R579" s="159"/>
      <c r="S579" s="159"/>
      <c r="T579" s="159"/>
      <c r="U579" s="161"/>
      <c r="V579" s="161"/>
      <c r="W579" s="162"/>
      <c r="X579" s="159"/>
      <c r="Y579" s="159"/>
      <c r="Z579" s="159"/>
      <c r="AA579" s="159"/>
      <c r="AB579" s="159"/>
      <c r="AC579" s="159"/>
      <c r="AD579" s="159"/>
      <c r="AE579" s="159"/>
      <c r="AF579" s="159"/>
      <c r="AG579" s="159"/>
      <c r="AH579" s="161"/>
      <c r="AI579" s="162"/>
      <c r="AJ579" s="159"/>
      <c r="AK579" s="159"/>
      <c r="AL579" s="159"/>
      <c r="AM579" s="159"/>
      <c r="AN579" s="163"/>
      <c r="AO579" s="163"/>
    </row>
    <row r="580" spans="1:41" ht="18" hidden="1" customHeight="1" x14ac:dyDescent="0.25">
      <c r="A580" s="157"/>
      <c r="B580" s="158"/>
      <c r="C580" s="159"/>
      <c r="D580" s="159"/>
      <c r="E580" s="159"/>
      <c r="F580" s="159"/>
      <c r="G580" s="159"/>
      <c r="H580" s="159"/>
      <c r="I580" s="158"/>
      <c r="J580" s="158"/>
      <c r="K580" s="158"/>
      <c r="L580" s="158"/>
      <c r="M580" s="160"/>
      <c r="N580" s="158"/>
      <c r="O580" s="159"/>
      <c r="P580" s="159"/>
      <c r="Q580" s="159"/>
      <c r="R580" s="159"/>
      <c r="S580" s="159"/>
      <c r="T580" s="159"/>
      <c r="U580" s="161"/>
      <c r="V580" s="161"/>
      <c r="W580" s="162"/>
      <c r="X580" s="159"/>
      <c r="Y580" s="159"/>
      <c r="Z580" s="159"/>
      <c r="AA580" s="159"/>
      <c r="AB580" s="159"/>
      <c r="AC580" s="159"/>
      <c r="AD580" s="159"/>
      <c r="AE580" s="159"/>
      <c r="AF580" s="159"/>
      <c r="AG580" s="159"/>
      <c r="AH580" s="161"/>
      <c r="AI580" s="162"/>
      <c r="AJ580" s="159"/>
      <c r="AK580" s="159"/>
      <c r="AL580" s="159"/>
      <c r="AM580" s="159"/>
      <c r="AN580" s="163"/>
      <c r="AO580" s="163"/>
    </row>
    <row r="581" spans="1:41" ht="18" hidden="1" customHeight="1" x14ac:dyDescent="0.25">
      <c r="A581" s="157"/>
      <c r="B581" s="158"/>
      <c r="C581" s="159"/>
      <c r="D581" s="159"/>
      <c r="E581" s="159"/>
      <c r="F581" s="159"/>
      <c r="G581" s="159"/>
      <c r="H581" s="159"/>
      <c r="I581" s="158"/>
      <c r="J581" s="158"/>
      <c r="K581" s="158"/>
      <c r="L581" s="158"/>
      <c r="M581" s="160"/>
      <c r="N581" s="158"/>
      <c r="O581" s="159"/>
      <c r="P581" s="159"/>
      <c r="Q581" s="159"/>
      <c r="R581" s="159"/>
      <c r="S581" s="159"/>
      <c r="T581" s="159"/>
      <c r="U581" s="161"/>
      <c r="V581" s="161"/>
      <c r="W581" s="162"/>
      <c r="X581" s="159"/>
      <c r="Y581" s="159"/>
      <c r="Z581" s="159"/>
      <c r="AA581" s="159"/>
      <c r="AB581" s="159"/>
      <c r="AC581" s="159"/>
      <c r="AD581" s="159"/>
      <c r="AE581" s="159"/>
      <c r="AF581" s="159"/>
      <c r="AG581" s="159"/>
      <c r="AH581" s="161"/>
      <c r="AI581" s="162"/>
      <c r="AJ581" s="159"/>
      <c r="AK581" s="159"/>
      <c r="AL581" s="159"/>
      <c r="AM581" s="159"/>
      <c r="AN581" s="163"/>
      <c r="AO581" s="163"/>
    </row>
    <row r="582" spans="1:41" ht="18" hidden="1" customHeight="1" x14ac:dyDescent="0.25">
      <c r="A582" s="157"/>
      <c r="B582" s="158"/>
      <c r="C582" s="159"/>
      <c r="D582" s="159"/>
      <c r="E582" s="159"/>
      <c r="F582" s="159"/>
      <c r="G582" s="159"/>
      <c r="H582" s="159"/>
      <c r="I582" s="158"/>
      <c r="J582" s="158"/>
      <c r="K582" s="158"/>
      <c r="L582" s="158"/>
      <c r="M582" s="160"/>
      <c r="N582" s="158"/>
      <c r="O582" s="159"/>
      <c r="P582" s="159"/>
      <c r="Q582" s="159"/>
      <c r="R582" s="159"/>
      <c r="S582" s="159"/>
      <c r="T582" s="159"/>
      <c r="U582" s="161"/>
      <c r="V582" s="161"/>
      <c r="W582" s="162"/>
      <c r="X582" s="159"/>
      <c r="Y582" s="159"/>
      <c r="Z582" s="159"/>
      <c r="AA582" s="159"/>
      <c r="AB582" s="159"/>
      <c r="AC582" s="159"/>
      <c r="AD582" s="159"/>
      <c r="AE582" s="159"/>
      <c r="AF582" s="159"/>
      <c r="AG582" s="159"/>
      <c r="AH582" s="161"/>
      <c r="AI582" s="162"/>
      <c r="AJ582" s="159"/>
      <c r="AK582" s="159"/>
      <c r="AL582" s="159"/>
      <c r="AM582" s="159"/>
      <c r="AN582" s="163"/>
      <c r="AO582" s="163"/>
    </row>
    <row r="583" spans="1:41" ht="18" hidden="1" customHeight="1" x14ac:dyDescent="0.25">
      <c r="A583" s="157"/>
      <c r="B583" s="158"/>
      <c r="C583" s="159"/>
      <c r="D583" s="159"/>
      <c r="E583" s="159"/>
      <c r="F583" s="159"/>
      <c r="G583" s="159"/>
      <c r="H583" s="159"/>
      <c r="I583" s="158"/>
      <c r="J583" s="158"/>
      <c r="K583" s="158"/>
      <c r="L583" s="158"/>
      <c r="M583" s="160"/>
      <c r="N583" s="158"/>
      <c r="O583" s="159"/>
      <c r="P583" s="159"/>
      <c r="Q583" s="159"/>
      <c r="R583" s="159"/>
      <c r="S583" s="159"/>
      <c r="T583" s="159"/>
      <c r="U583" s="161"/>
      <c r="V583" s="161"/>
      <c r="W583" s="162"/>
      <c r="X583" s="159"/>
      <c r="Y583" s="159"/>
      <c r="Z583" s="159"/>
      <c r="AA583" s="159"/>
      <c r="AB583" s="159"/>
      <c r="AC583" s="159"/>
      <c r="AD583" s="159"/>
      <c r="AE583" s="159"/>
      <c r="AF583" s="159"/>
      <c r="AG583" s="159"/>
      <c r="AH583" s="161"/>
      <c r="AI583" s="162"/>
      <c r="AJ583" s="159"/>
      <c r="AK583" s="159"/>
      <c r="AL583" s="159"/>
      <c r="AM583" s="159"/>
      <c r="AN583" s="163"/>
      <c r="AO583" s="163"/>
    </row>
    <row r="584" spans="1:41" ht="18" hidden="1" customHeight="1" x14ac:dyDescent="0.25">
      <c r="A584" s="157"/>
      <c r="B584" s="158"/>
      <c r="C584" s="159"/>
      <c r="D584" s="159"/>
      <c r="E584" s="159"/>
      <c r="F584" s="159"/>
      <c r="G584" s="159"/>
      <c r="H584" s="159"/>
      <c r="I584" s="158"/>
      <c r="J584" s="158"/>
      <c r="K584" s="158"/>
      <c r="L584" s="158"/>
      <c r="M584" s="160"/>
      <c r="N584" s="158"/>
      <c r="O584" s="159"/>
      <c r="P584" s="159"/>
      <c r="Q584" s="159"/>
      <c r="R584" s="159"/>
      <c r="S584" s="159"/>
      <c r="T584" s="159"/>
      <c r="U584" s="161"/>
      <c r="V584" s="161"/>
      <c r="W584" s="162"/>
      <c r="X584" s="159"/>
      <c r="Y584" s="159"/>
      <c r="Z584" s="159"/>
      <c r="AA584" s="159"/>
      <c r="AB584" s="159"/>
      <c r="AC584" s="159"/>
      <c r="AD584" s="159"/>
      <c r="AE584" s="159"/>
      <c r="AF584" s="159"/>
      <c r="AG584" s="159"/>
      <c r="AH584" s="161"/>
      <c r="AI584" s="162"/>
      <c r="AJ584" s="159"/>
      <c r="AK584" s="159"/>
      <c r="AL584" s="159"/>
      <c r="AM584" s="159"/>
      <c r="AN584" s="163"/>
      <c r="AO584" s="163"/>
    </row>
    <row r="585" spans="1:41" ht="18" hidden="1" customHeight="1" x14ac:dyDescent="0.25">
      <c r="A585" s="157"/>
      <c r="B585" s="158"/>
      <c r="C585" s="159"/>
      <c r="D585" s="159"/>
      <c r="E585" s="159"/>
      <c r="F585" s="159"/>
      <c r="G585" s="159"/>
      <c r="H585" s="159"/>
      <c r="I585" s="158"/>
      <c r="J585" s="158"/>
      <c r="K585" s="158"/>
      <c r="L585" s="158"/>
      <c r="M585" s="160"/>
      <c r="N585" s="158"/>
      <c r="O585" s="159"/>
      <c r="P585" s="159"/>
      <c r="Q585" s="159"/>
      <c r="R585" s="159"/>
      <c r="S585" s="159"/>
      <c r="T585" s="159"/>
      <c r="U585" s="161"/>
      <c r="V585" s="161"/>
      <c r="W585" s="162"/>
      <c r="X585" s="159"/>
      <c r="Y585" s="159"/>
      <c r="Z585" s="159"/>
      <c r="AA585" s="159"/>
      <c r="AB585" s="159"/>
      <c r="AC585" s="159"/>
      <c r="AD585" s="159"/>
      <c r="AE585" s="159"/>
      <c r="AF585" s="159"/>
      <c r="AG585" s="159"/>
      <c r="AH585" s="161"/>
      <c r="AI585" s="162"/>
      <c r="AJ585" s="159"/>
      <c r="AK585" s="159"/>
      <c r="AL585" s="159"/>
      <c r="AM585" s="159"/>
      <c r="AN585" s="163"/>
      <c r="AO585" s="163"/>
    </row>
    <row r="586" spans="1:41" ht="18" hidden="1" customHeight="1" x14ac:dyDescent="0.25">
      <c r="A586" s="157"/>
      <c r="B586" s="158"/>
      <c r="C586" s="159"/>
      <c r="D586" s="159"/>
      <c r="E586" s="159"/>
      <c r="F586" s="159"/>
      <c r="G586" s="159"/>
      <c r="H586" s="159"/>
      <c r="I586" s="158"/>
      <c r="J586" s="158"/>
      <c r="K586" s="158"/>
      <c r="L586" s="158"/>
      <c r="M586" s="160"/>
      <c r="N586" s="158"/>
      <c r="O586" s="159"/>
      <c r="P586" s="159"/>
      <c r="Q586" s="159"/>
      <c r="R586" s="159"/>
      <c r="S586" s="159"/>
      <c r="T586" s="159"/>
      <c r="U586" s="161"/>
      <c r="V586" s="161"/>
      <c r="W586" s="162"/>
      <c r="X586" s="159"/>
      <c r="Y586" s="159"/>
      <c r="Z586" s="159"/>
      <c r="AA586" s="159"/>
      <c r="AB586" s="159"/>
      <c r="AC586" s="159"/>
      <c r="AD586" s="159"/>
      <c r="AE586" s="159"/>
      <c r="AF586" s="159"/>
      <c r="AG586" s="159"/>
      <c r="AH586" s="161"/>
      <c r="AI586" s="162"/>
      <c r="AJ586" s="159"/>
      <c r="AK586" s="159"/>
      <c r="AL586" s="159"/>
      <c r="AM586" s="159"/>
      <c r="AN586" s="163"/>
      <c r="AO586" s="163"/>
    </row>
    <row r="587" spans="1:41" ht="18" hidden="1" customHeight="1" x14ac:dyDescent="0.25">
      <c r="A587" s="157"/>
      <c r="B587" s="158"/>
      <c r="C587" s="159"/>
      <c r="D587" s="159"/>
      <c r="E587" s="159"/>
      <c r="F587" s="159"/>
      <c r="G587" s="159"/>
      <c r="H587" s="159"/>
      <c r="I587" s="158"/>
      <c r="J587" s="158"/>
      <c r="K587" s="158"/>
      <c r="L587" s="158"/>
      <c r="M587" s="160"/>
      <c r="N587" s="158"/>
      <c r="O587" s="159"/>
      <c r="P587" s="159"/>
      <c r="Q587" s="159"/>
      <c r="R587" s="159"/>
      <c r="S587" s="159"/>
      <c r="T587" s="159"/>
      <c r="U587" s="161"/>
      <c r="V587" s="161"/>
      <c r="W587" s="162"/>
      <c r="X587" s="159"/>
      <c r="Y587" s="159"/>
      <c r="Z587" s="159"/>
      <c r="AA587" s="159"/>
      <c r="AB587" s="159"/>
      <c r="AC587" s="159"/>
      <c r="AD587" s="159"/>
      <c r="AE587" s="159"/>
      <c r="AF587" s="159"/>
      <c r="AG587" s="159"/>
      <c r="AH587" s="161"/>
      <c r="AI587" s="162"/>
      <c r="AJ587" s="159"/>
      <c r="AK587" s="159"/>
      <c r="AL587" s="159"/>
      <c r="AM587" s="159"/>
      <c r="AN587" s="163"/>
      <c r="AO587" s="163"/>
    </row>
    <row r="588" spans="1:41" ht="18" hidden="1" customHeight="1" x14ac:dyDescent="0.25">
      <c r="A588" s="157"/>
      <c r="B588" s="158"/>
      <c r="C588" s="159"/>
      <c r="D588" s="159"/>
      <c r="E588" s="159"/>
      <c r="F588" s="159"/>
      <c r="G588" s="159"/>
      <c r="H588" s="159"/>
      <c r="I588" s="158"/>
      <c r="J588" s="158"/>
      <c r="K588" s="158"/>
      <c r="L588" s="158"/>
      <c r="M588" s="160"/>
      <c r="N588" s="158"/>
      <c r="O588" s="159"/>
      <c r="P588" s="159"/>
      <c r="Q588" s="159"/>
      <c r="R588" s="159"/>
      <c r="S588" s="159"/>
      <c r="T588" s="159"/>
      <c r="U588" s="161"/>
      <c r="V588" s="161"/>
      <c r="W588" s="162"/>
      <c r="X588" s="159"/>
      <c r="Y588" s="159"/>
      <c r="Z588" s="159"/>
      <c r="AA588" s="159"/>
      <c r="AB588" s="159"/>
      <c r="AC588" s="159"/>
      <c r="AD588" s="159"/>
      <c r="AE588" s="159"/>
      <c r="AF588" s="159"/>
      <c r="AG588" s="159"/>
      <c r="AH588" s="161"/>
      <c r="AI588" s="162"/>
      <c r="AJ588" s="159"/>
      <c r="AK588" s="159"/>
      <c r="AL588" s="159"/>
      <c r="AM588" s="159"/>
      <c r="AN588" s="163"/>
      <c r="AO588" s="163"/>
    </row>
    <row r="589" spans="1:41" ht="18" hidden="1" customHeight="1" x14ac:dyDescent="0.25">
      <c r="A589" s="157"/>
      <c r="B589" s="158"/>
      <c r="C589" s="159"/>
      <c r="D589" s="159"/>
      <c r="E589" s="159"/>
      <c r="F589" s="159"/>
      <c r="G589" s="159"/>
      <c r="H589" s="159"/>
      <c r="I589" s="158"/>
      <c r="J589" s="158"/>
      <c r="K589" s="158"/>
      <c r="L589" s="158"/>
      <c r="M589" s="160"/>
      <c r="N589" s="158"/>
      <c r="O589" s="159"/>
      <c r="P589" s="159"/>
      <c r="Q589" s="159"/>
      <c r="R589" s="159"/>
      <c r="S589" s="159"/>
      <c r="T589" s="159"/>
      <c r="U589" s="161"/>
      <c r="V589" s="161"/>
      <c r="W589" s="162"/>
      <c r="X589" s="159"/>
      <c r="Y589" s="159"/>
      <c r="Z589" s="159"/>
      <c r="AA589" s="159"/>
      <c r="AB589" s="159"/>
      <c r="AC589" s="159"/>
      <c r="AD589" s="159"/>
      <c r="AE589" s="159"/>
      <c r="AF589" s="159"/>
      <c r="AG589" s="159"/>
      <c r="AH589" s="161"/>
      <c r="AI589" s="162"/>
      <c r="AJ589" s="159"/>
      <c r="AK589" s="159"/>
      <c r="AL589" s="159"/>
      <c r="AM589" s="159"/>
      <c r="AN589" s="163"/>
      <c r="AO589" s="163"/>
    </row>
    <row r="590" spans="1:41" ht="18" hidden="1" customHeight="1" x14ac:dyDescent="0.25">
      <c r="A590" s="157"/>
      <c r="B590" s="158"/>
      <c r="C590" s="159"/>
      <c r="D590" s="159"/>
      <c r="E590" s="159"/>
      <c r="F590" s="159"/>
      <c r="G590" s="159"/>
      <c r="H590" s="159"/>
      <c r="I590" s="158"/>
      <c r="J590" s="158"/>
      <c r="K590" s="158"/>
      <c r="L590" s="158"/>
      <c r="M590" s="160"/>
      <c r="N590" s="158"/>
      <c r="O590" s="159"/>
      <c r="P590" s="159"/>
      <c r="Q590" s="159"/>
      <c r="R590" s="159"/>
      <c r="S590" s="159"/>
      <c r="T590" s="159"/>
      <c r="U590" s="161"/>
      <c r="V590" s="161"/>
      <c r="W590" s="162"/>
      <c r="X590" s="159"/>
      <c r="Y590" s="159"/>
      <c r="Z590" s="159"/>
      <c r="AA590" s="159"/>
      <c r="AB590" s="159"/>
      <c r="AC590" s="159"/>
      <c r="AD590" s="159"/>
      <c r="AE590" s="159"/>
      <c r="AF590" s="159"/>
      <c r="AG590" s="159"/>
      <c r="AH590" s="161"/>
      <c r="AI590" s="162"/>
      <c r="AJ590" s="159"/>
      <c r="AK590" s="159"/>
      <c r="AL590" s="159"/>
      <c r="AM590" s="159"/>
      <c r="AN590" s="163"/>
      <c r="AO590" s="163"/>
    </row>
    <row r="591" spans="1:41" ht="18" hidden="1" customHeight="1" x14ac:dyDescent="0.25">
      <c r="A591" s="157"/>
      <c r="B591" s="158"/>
      <c r="C591" s="159"/>
      <c r="D591" s="159"/>
      <c r="E591" s="159"/>
      <c r="F591" s="159"/>
      <c r="G591" s="159"/>
      <c r="H591" s="159"/>
      <c r="I591" s="158"/>
      <c r="J591" s="158"/>
      <c r="K591" s="158"/>
      <c r="L591" s="158"/>
      <c r="M591" s="160"/>
      <c r="N591" s="158"/>
      <c r="O591" s="159"/>
      <c r="P591" s="159"/>
      <c r="Q591" s="159"/>
      <c r="R591" s="159"/>
      <c r="S591" s="159"/>
      <c r="T591" s="159"/>
      <c r="U591" s="161"/>
      <c r="V591" s="161"/>
      <c r="W591" s="162"/>
      <c r="X591" s="159"/>
      <c r="Y591" s="159"/>
      <c r="Z591" s="159"/>
      <c r="AA591" s="159"/>
      <c r="AB591" s="159"/>
      <c r="AC591" s="159"/>
      <c r="AD591" s="159"/>
      <c r="AE591" s="159"/>
      <c r="AF591" s="159"/>
      <c r="AG591" s="159"/>
      <c r="AH591" s="161"/>
      <c r="AI591" s="162"/>
      <c r="AJ591" s="159"/>
      <c r="AK591" s="159"/>
      <c r="AL591" s="159"/>
      <c r="AM591" s="159"/>
      <c r="AN591" s="163"/>
      <c r="AO591" s="163"/>
    </row>
    <row r="592" spans="1:41" ht="18" hidden="1" customHeight="1" x14ac:dyDescent="0.25">
      <c r="A592" s="157"/>
      <c r="B592" s="158"/>
      <c r="C592" s="159"/>
      <c r="D592" s="159"/>
      <c r="E592" s="159"/>
      <c r="F592" s="159"/>
      <c r="G592" s="159"/>
      <c r="H592" s="159"/>
      <c r="I592" s="158"/>
      <c r="J592" s="158"/>
      <c r="K592" s="158"/>
      <c r="L592" s="158"/>
      <c r="M592" s="160"/>
      <c r="N592" s="158"/>
      <c r="O592" s="159"/>
      <c r="P592" s="159"/>
      <c r="Q592" s="159"/>
      <c r="R592" s="159"/>
      <c r="S592" s="159"/>
      <c r="T592" s="159"/>
      <c r="U592" s="161"/>
      <c r="V592" s="161"/>
      <c r="W592" s="162"/>
      <c r="X592" s="159"/>
      <c r="Y592" s="159"/>
      <c r="Z592" s="159"/>
      <c r="AA592" s="159"/>
      <c r="AB592" s="159"/>
      <c r="AC592" s="159"/>
      <c r="AD592" s="159"/>
      <c r="AE592" s="159"/>
      <c r="AF592" s="159"/>
      <c r="AG592" s="159"/>
      <c r="AH592" s="161"/>
      <c r="AI592" s="162"/>
      <c r="AJ592" s="159"/>
      <c r="AK592" s="159"/>
      <c r="AL592" s="159"/>
      <c r="AM592" s="159"/>
      <c r="AN592" s="163"/>
      <c r="AO592" s="163"/>
    </row>
    <row r="593" spans="1:41" ht="18" hidden="1" customHeight="1" x14ac:dyDescent="0.25">
      <c r="A593" s="157"/>
      <c r="B593" s="158"/>
      <c r="C593" s="159"/>
      <c r="D593" s="159"/>
      <c r="E593" s="159"/>
      <c r="F593" s="159"/>
      <c r="G593" s="159"/>
      <c r="H593" s="159"/>
      <c r="I593" s="158"/>
      <c r="J593" s="158"/>
      <c r="K593" s="158"/>
      <c r="L593" s="158"/>
      <c r="M593" s="160"/>
      <c r="N593" s="158"/>
      <c r="O593" s="159"/>
      <c r="P593" s="159"/>
      <c r="Q593" s="159"/>
      <c r="R593" s="159"/>
      <c r="S593" s="159"/>
      <c r="T593" s="159"/>
      <c r="U593" s="161"/>
      <c r="V593" s="161"/>
      <c r="W593" s="162"/>
      <c r="X593" s="159"/>
      <c r="Y593" s="159"/>
      <c r="Z593" s="159"/>
      <c r="AA593" s="159"/>
      <c r="AB593" s="159"/>
      <c r="AC593" s="159"/>
      <c r="AD593" s="159"/>
      <c r="AE593" s="159"/>
      <c r="AF593" s="159"/>
      <c r="AG593" s="159"/>
      <c r="AH593" s="161"/>
      <c r="AI593" s="162"/>
      <c r="AJ593" s="159"/>
      <c r="AK593" s="159"/>
      <c r="AL593" s="159"/>
      <c r="AM593" s="159"/>
      <c r="AN593" s="163"/>
      <c r="AO593" s="163"/>
    </row>
    <row r="594" spans="1:41" ht="18" hidden="1" customHeight="1" x14ac:dyDescent="0.25">
      <c r="A594" s="157"/>
      <c r="B594" s="158"/>
      <c r="C594" s="159"/>
      <c r="D594" s="159"/>
      <c r="E594" s="159"/>
      <c r="F594" s="159"/>
      <c r="G594" s="159"/>
      <c r="H594" s="159"/>
      <c r="I594" s="158"/>
      <c r="J594" s="158"/>
      <c r="K594" s="158"/>
      <c r="L594" s="158"/>
      <c r="M594" s="160"/>
      <c r="N594" s="158"/>
      <c r="O594" s="159"/>
      <c r="P594" s="159"/>
      <c r="Q594" s="159"/>
      <c r="R594" s="159"/>
      <c r="S594" s="159"/>
      <c r="T594" s="159"/>
      <c r="U594" s="161"/>
      <c r="V594" s="161"/>
      <c r="W594" s="162"/>
      <c r="X594" s="159"/>
      <c r="Y594" s="159"/>
      <c r="Z594" s="159"/>
      <c r="AA594" s="159"/>
      <c r="AB594" s="159"/>
      <c r="AC594" s="159"/>
      <c r="AD594" s="159"/>
      <c r="AE594" s="159"/>
      <c r="AF594" s="159"/>
      <c r="AG594" s="159"/>
      <c r="AH594" s="161"/>
      <c r="AI594" s="162"/>
      <c r="AJ594" s="159"/>
      <c r="AK594" s="159"/>
      <c r="AL594" s="159"/>
      <c r="AM594" s="159"/>
      <c r="AN594" s="163"/>
      <c r="AO594" s="163"/>
    </row>
    <row r="595" spans="1:41" ht="18" hidden="1" customHeight="1" x14ac:dyDescent="0.25">
      <c r="A595" s="157"/>
      <c r="B595" s="158"/>
      <c r="C595" s="159"/>
      <c r="D595" s="159"/>
      <c r="E595" s="159"/>
      <c r="F595" s="159"/>
      <c r="G595" s="159"/>
      <c r="H595" s="159"/>
      <c r="I595" s="158"/>
      <c r="J595" s="158"/>
      <c r="K595" s="158"/>
      <c r="L595" s="158"/>
      <c r="M595" s="160"/>
      <c r="N595" s="158"/>
      <c r="O595" s="159"/>
      <c r="P595" s="159"/>
      <c r="Q595" s="159"/>
      <c r="R595" s="159"/>
      <c r="S595" s="159"/>
      <c r="T595" s="159"/>
      <c r="U595" s="161"/>
      <c r="V595" s="161"/>
      <c r="W595" s="162"/>
      <c r="X595" s="159"/>
      <c r="Y595" s="159"/>
      <c r="Z595" s="159"/>
      <c r="AA595" s="159"/>
      <c r="AB595" s="159"/>
      <c r="AC595" s="159"/>
      <c r="AD595" s="159"/>
      <c r="AE595" s="159"/>
      <c r="AF595" s="159"/>
      <c r="AG595" s="159"/>
      <c r="AH595" s="161"/>
      <c r="AI595" s="162"/>
      <c r="AJ595" s="159"/>
      <c r="AK595" s="159"/>
      <c r="AL595" s="159"/>
      <c r="AM595" s="159"/>
      <c r="AN595" s="163"/>
      <c r="AO595" s="163"/>
    </row>
    <row r="596" spans="1:41" ht="18" hidden="1" customHeight="1" x14ac:dyDescent="0.25">
      <c r="A596" s="157"/>
      <c r="B596" s="158"/>
      <c r="C596" s="159"/>
      <c r="D596" s="159"/>
      <c r="E596" s="159"/>
      <c r="F596" s="159"/>
      <c r="G596" s="159"/>
      <c r="H596" s="159"/>
      <c r="I596" s="158"/>
      <c r="J596" s="158"/>
      <c r="K596" s="158"/>
      <c r="L596" s="158"/>
      <c r="M596" s="160"/>
      <c r="N596" s="158"/>
      <c r="O596" s="159"/>
      <c r="P596" s="159"/>
      <c r="Q596" s="159"/>
      <c r="R596" s="159"/>
      <c r="S596" s="159"/>
      <c r="T596" s="159"/>
      <c r="U596" s="161"/>
      <c r="V596" s="161"/>
      <c r="W596" s="162"/>
      <c r="X596" s="159"/>
      <c r="Y596" s="159"/>
      <c r="Z596" s="159"/>
      <c r="AA596" s="159"/>
      <c r="AB596" s="159"/>
      <c r="AC596" s="159"/>
      <c r="AD596" s="159"/>
      <c r="AE596" s="159"/>
      <c r="AF596" s="159"/>
      <c r="AG596" s="159"/>
      <c r="AH596" s="161"/>
      <c r="AI596" s="162"/>
      <c r="AJ596" s="159"/>
      <c r="AK596" s="159"/>
      <c r="AL596" s="159"/>
      <c r="AM596" s="159"/>
      <c r="AN596" s="163"/>
      <c r="AO596" s="163"/>
    </row>
    <row r="597" spans="1:41" ht="18" hidden="1" customHeight="1" x14ac:dyDescent="0.25">
      <c r="A597" s="157"/>
      <c r="B597" s="158"/>
      <c r="C597" s="159"/>
      <c r="D597" s="159"/>
      <c r="E597" s="159"/>
      <c r="F597" s="159"/>
      <c r="G597" s="159"/>
      <c r="H597" s="159"/>
      <c r="I597" s="158"/>
      <c r="J597" s="158"/>
      <c r="K597" s="158"/>
      <c r="L597" s="158"/>
      <c r="M597" s="160"/>
      <c r="N597" s="158"/>
      <c r="O597" s="159"/>
      <c r="P597" s="159"/>
      <c r="Q597" s="159"/>
      <c r="R597" s="159"/>
      <c r="S597" s="159"/>
      <c r="T597" s="159"/>
      <c r="U597" s="161"/>
      <c r="V597" s="161"/>
      <c r="W597" s="162"/>
      <c r="X597" s="159"/>
      <c r="Y597" s="159"/>
      <c r="Z597" s="159"/>
      <c r="AA597" s="159"/>
      <c r="AB597" s="159"/>
      <c r="AC597" s="159"/>
      <c r="AD597" s="159"/>
      <c r="AE597" s="159"/>
      <c r="AF597" s="159"/>
      <c r="AG597" s="159"/>
      <c r="AH597" s="161"/>
      <c r="AI597" s="162"/>
      <c r="AJ597" s="159"/>
      <c r="AK597" s="159"/>
      <c r="AL597" s="159"/>
      <c r="AM597" s="159"/>
      <c r="AN597" s="163"/>
      <c r="AO597" s="163"/>
    </row>
    <row r="598" spans="1:41" ht="18" hidden="1" customHeight="1" x14ac:dyDescent="0.25">
      <c r="A598" s="157"/>
      <c r="B598" s="158"/>
      <c r="C598" s="159"/>
      <c r="D598" s="159"/>
      <c r="E598" s="159"/>
      <c r="F598" s="159"/>
      <c r="G598" s="159"/>
      <c r="H598" s="159"/>
      <c r="I598" s="158"/>
      <c r="J598" s="158"/>
      <c r="K598" s="158"/>
      <c r="L598" s="158"/>
      <c r="M598" s="160"/>
      <c r="N598" s="158"/>
      <c r="O598" s="159"/>
      <c r="P598" s="159"/>
      <c r="Q598" s="159"/>
      <c r="R598" s="159"/>
      <c r="S598" s="159"/>
      <c r="T598" s="159"/>
      <c r="U598" s="161"/>
      <c r="V598" s="161"/>
      <c r="W598" s="162"/>
      <c r="X598" s="159"/>
      <c r="Y598" s="159"/>
      <c r="Z598" s="159"/>
      <c r="AA598" s="159"/>
      <c r="AB598" s="159"/>
      <c r="AC598" s="159"/>
      <c r="AD598" s="159"/>
      <c r="AE598" s="159"/>
      <c r="AF598" s="159"/>
      <c r="AG598" s="159"/>
      <c r="AH598" s="161"/>
      <c r="AI598" s="162"/>
      <c r="AJ598" s="159"/>
      <c r="AK598" s="159"/>
      <c r="AL598" s="159"/>
      <c r="AM598" s="159"/>
      <c r="AN598" s="163"/>
      <c r="AO598" s="163"/>
    </row>
    <row r="599" spans="1:41" ht="18" hidden="1" customHeight="1" x14ac:dyDescent="0.25">
      <c r="A599" s="157"/>
      <c r="B599" s="158"/>
      <c r="C599" s="159"/>
      <c r="D599" s="159"/>
      <c r="E599" s="159"/>
      <c r="F599" s="159"/>
      <c r="G599" s="159"/>
      <c r="H599" s="159"/>
      <c r="I599" s="158"/>
      <c r="J599" s="158"/>
      <c r="K599" s="158"/>
      <c r="L599" s="158"/>
      <c r="M599" s="160"/>
      <c r="N599" s="158"/>
      <c r="O599" s="159"/>
      <c r="P599" s="159"/>
      <c r="Q599" s="159"/>
      <c r="R599" s="159"/>
      <c r="S599" s="159"/>
      <c r="T599" s="159"/>
      <c r="U599" s="161"/>
      <c r="V599" s="161"/>
      <c r="W599" s="162"/>
      <c r="X599" s="159"/>
      <c r="Y599" s="159"/>
      <c r="Z599" s="159"/>
      <c r="AA599" s="159"/>
      <c r="AB599" s="159"/>
      <c r="AC599" s="159"/>
      <c r="AD599" s="159"/>
      <c r="AE599" s="159"/>
      <c r="AF599" s="159"/>
      <c r="AG599" s="159"/>
      <c r="AH599" s="161"/>
      <c r="AI599" s="162"/>
      <c r="AJ599" s="159"/>
      <c r="AK599" s="159"/>
      <c r="AL599" s="159"/>
      <c r="AM599" s="159"/>
      <c r="AN599" s="163"/>
      <c r="AO599" s="163"/>
    </row>
    <row r="600" spans="1:41" ht="18" hidden="1" customHeight="1" x14ac:dyDescent="0.25">
      <c r="A600" s="157"/>
      <c r="B600" s="158"/>
      <c r="C600" s="159"/>
      <c r="D600" s="159"/>
      <c r="E600" s="159"/>
      <c r="F600" s="159"/>
      <c r="G600" s="159"/>
      <c r="H600" s="159"/>
      <c r="I600" s="158"/>
      <c r="J600" s="158"/>
      <c r="K600" s="158"/>
      <c r="L600" s="158"/>
      <c r="M600" s="160"/>
      <c r="N600" s="158"/>
      <c r="O600" s="159"/>
      <c r="P600" s="159"/>
      <c r="Q600" s="159"/>
      <c r="R600" s="159"/>
      <c r="S600" s="159"/>
      <c r="T600" s="159"/>
      <c r="U600" s="161"/>
      <c r="V600" s="161"/>
      <c r="W600" s="162"/>
      <c r="X600" s="159"/>
      <c r="Y600" s="159"/>
      <c r="Z600" s="159"/>
      <c r="AA600" s="159"/>
      <c r="AB600" s="159"/>
      <c r="AC600" s="159"/>
      <c r="AD600" s="159"/>
      <c r="AE600" s="159"/>
      <c r="AF600" s="159"/>
      <c r="AG600" s="159"/>
      <c r="AH600" s="161"/>
      <c r="AI600" s="162"/>
      <c r="AJ600" s="159"/>
      <c r="AK600" s="159"/>
      <c r="AL600" s="159"/>
      <c r="AM600" s="159"/>
      <c r="AN600" s="163"/>
      <c r="AO600" s="163"/>
    </row>
    <row r="601" spans="1:41" ht="18" hidden="1" customHeight="1" x14ac:dyDescent="0.25">
      <c r="A601" s="157"/>
      <c r="B601" s="158"/>
      <c r="C601" s="159"/>
      <c r="D601" s="159"/>
      <c r="E601" s="159"/>
      <c r="F601" s="159"/>
      <c r="G601" s="159"/>
      <c r="H601" s="159"/>
      <c r="I601" s="158"/>
      <c r="J601" s="158"/>
      <c r="K601" s="158"/>
      <c r="L601" s="158"/>
      <c r="M601" s="160"/>
      <c r="N601" s="158"/>
      <c r="O601" s="159"/>
      <c r="P601" s="159"/>
      <c r="Q601" s="159"/>
      <c r="R601" s="159"/>
      <c r="S601" s="159"/>
      <c r="T601" s="159"/>
      <c r="U601" s="161"/>
      <c r="V601" s="161"/>
      <c r="W601" s="162"/>
      <c r="X601" s="159"/>
      <c r="Y601" s="159"/>
      <c r="Z601" s="159"/>
      <c r="AA601" s="159"/>
      <c r="AB601" s="159"/>
      <c r="AC601" s="159"/>
      <c r="AD601" s="159"/>
      <c r="AE601" s="159"/>
      <c r="AF601" s="159"/>
      <c r="AG601" s="159"/>
      <c r="AH601" s="161"/>
      <c r="AI601" s="162"/>
      <c r="AJ601" s="159"/>
      <c r="AK601" s="159"/>
      <c r="AL601" s="159"/>
      <c r="AM601" s="159"/>
      <c r="AN601" s="163"/>
      <c r="AO601" s="163"/>
    </row>
    <row r="602" spans="1:41" ht="18" hidden="1" customHeight="1" x14ac:dyDescent="0.25">
      <c r="A602" s="157"/>
      <c r="B602" s="158"/>
      <c r="C602" s="159"/>
      <c r="D602" s="159"/>
      <c r="E602" s="159"/>
      <c r="F602" s="159"/>
      <c r="G602" s="159"/>
      <c r="H602" s="159"/>
      <c r="I602" s="158"/>
      <c r="J602" s="158"/>
      <c r="K602" s="158"/>
      <c r="L602" s="158"/>
      <c r="M602" s="160"/>
      <c r="N602" s="158"/>
      <c r="O602" s="159"/>
      <c r="P602" s="159"/>
      <c r="Q602" s="159"/>
      <c r="R602" s="159"/>
      <c r="S602" s="159"/>
      <c r="T602" s="159"/>
      <c r="U602" s="161"/>
      <c r="V602" s="161"/>
      <c r="W602" s="162"/>
      <c r="X602" s="159"/>
      <c r="Y602" s="159"/>
      <c r="Z602" s="159"/>
      <c r="AA602" s="159"/>
      <c r="AB602" s="159"/>
      <c r="AC602" s="159"/>
      <c r="AD602" s="159"/>
      <c r="AE602" s="159"/>
      <c r="AF602" s="159"/>
      <c r="AG602" s="159"/>
      <c r="AH602" s="161"/>
      <c r="AI602" s="162"/>
      <c r="AJ602" s="159"/>
      <c r="AK602" s="159"/>
      <c r="AL602" s="159"/>
      <c r="AM602" s="159"/>
      <c r="AN602" s="163"/>
      <c r="AO602" s="163"/>
    </row>
    <row r="603" spans="1:41" ht="18" hidden="1" customHeight="1" x14ac:dyDescent="0.25">
      <c r="A603" s="157"/>
      <c r="B603" s="158"/>
      <c r="C603" s="159"/>
      <c r="D603" s="159"/>
      <c r="E603" s="159"/>
      <c r="F603" s="159"/>
      <c r="G603" s="159"/>
      <c r="H603" s="159"/>
      <c r="I603" s="158"/>
      <c r="J603" s="158"/>
      <c r="K603" s="158"/>
      <c r="L603" s="158"/>
      <c r="M603" s="160"/>
      <c r="N603" s="158"/>
      <c r="O603" s="159"/>
      <c r="P603" s="159"/>
      <c r="Q603" s="159"/>
      <c r="R603" s="159"/>
      <c r="S603" s="159"/>
      <c r="T603" s="159"/>
      <c r="U603" s="161"/>
      <c r="V603" s="161"/>
      <c r="W603" s="162"/>
      <c r="X603" s="159"/>
      <c r="Y603" s="159"/>
      <c r="Z603" s="159"/>
      <c r="AA603" s="159"/>
      <c r="AB603" s="159"/>
      <c r="AC603" s="159"/>
      <c r="AD603" s="159"/>
      <c r="AE603" s="159"/>
      <c r="AF603" s="159"/>
      <c r="AG603" s="159"/>
      <c r="AH603" s="161"/>
      <c r="AI603" s="162"/>
      <c r="AJ603" s="159"/>
      <c r="AK603" s="159"/>
      <c r="AL603" s="159"/>
      <c r="AM603" s="159"/>
      <c r="AN603" s="163"/>
      <c r="AO603" s="163"/>
    </row>
    <row r="604" spans="1:41" ht="18" hidden="1" customHeight="1" x14ac:dyDescent="0.25">
      <c r="A604" s="157"/>
      <c r="B604" s="158"/>
      <c r="C604" s="159"/>
      <c r="D604" s="159"/>
      <c r="E604" s="159"/>
      <c r="F604" s="159"/>
      <c r="G604" s="159"/>
      <c r="H604" s="159"/>
      <c r="I604" s="158"/>
      <c r="J604" s="158"/>
      <c r="K604" s="158"/>
      <c r="L604" s="158"/>
      <c r="M604" s="160"/>
      <c r="N604" s="158"/>
      <c r="O604" s="159"/>
      <c r="P604" s="159"/>
      <c r="Q604" s="159"/>
      <c r="R604" s="159"/>
      <c r="S604" s="159"/>
      <c r="T604" s="159"/>
      <c r="U604" s="161"/>
      <c r="V604" s="161"/>
      <c r="W604" s="162"/>
      <c r="X604" s="159"/>
      <c r="Y604" s="159"/>
      <c r="Z604" s="159"/>
      <c r="AA604" s="159"/>
      <c r="AB604" s="159"/>
      <c r="AC604" s="159"/>
      <c r="AD604" s="159"/>
      <c r="AE604" s="159"/>
      <c r="AF604" s="159"/>
      <c r="AG604" s="159"/>
      <c r="AH604" s="161"/>
      <c r="AI604" s="162"/>
      <c r="AJ604" s="159"/>
      <c r="AK604" s="159"/>
      <c r="AL604" s="159"/>
      <c r="AM604" s="159"/>
      <c r="AN604" s="163"/>
      <c r="AO604" s="163"/>
    </row>
    <row r="605" spans="1:41" ht="18" hidden="1" customHeight="1" x14ac:dyDescent="0.25">
      <c r="A605" s="157"/>
      <c r="B605" s="158"/>
      <c r="C605" s="159"/>
      <c r="D605" s="159"/>
      <c r="E605" s="159"/>
      <c r="F605" s="159"/>
      <c r="G605" s="159"/>
      <c r="H605" s="159"/>
      <c r="I605" s="158"/>
      <c r="J605" s="158"/>
      <c r="K605" s="158"/>
      <c r="L605" s="158"/>
      <c r="M605" s="160"/>
      <c r="N605" s="158"/>
      <c r="O605" s="159"/>
      <c r="P605" s="159"/>
      <c r="Q605" s="159"/>
      <c r="R605" s="159"/>
      <c r="S605" s="159"/>
      <c r="T605" s="159"/>
      <c r="U605" s="161"/>
      <c r="V605" s="161"/>
      <c r="W605" s="162"/>
      <c r="X605" s="159"/>
      <c r="Y605" s="159"/>
      <c r="Z605" s="159"/>
      <c r="AA605" s="159"/>
      <c r="AB605" s="159"/>
      <c r="AC605" s="159"/>
      <c r="AD605" s="159"/>
      <c r="AE605" s="159"/>
      <c r="AF605" s="159"/>
      <c r="AG605" s="159"/>
      <c r="AH605" s="161"/>
      <c r="AI605" s="162"/>
      <c r="AJ605" s="159"/>
      <c r="AK605" s="159"/>
      <c r="AL605" s="159"/>
      <c r="AM605" s="159"/>
      <c r="AN605" s="163"/>
      <c r="AO605" s="163"/>
    </row>
    <row r="606" spans="1:41" ht="18" hidden="1" customHeight="1" x14ac:dyDescent="0.25">
      <c r="A606" s="157"/>
      <c r="B606" s="158"/>
      <c r="C606" s="159"/>
      <c r="D606" s="159"/>
      <c r="E606" s="159"/>
      <c r="F606" s="159"/>
      <c r="G606" s="159"/>
      <c r="H606" s="159"/>
      <c r="I606" s="158"/>
      <c r="J606" s="158"/>
      <c r="K606" s="158"/>
      <c r="L606" s="158"/>
      <c r="M606" s="160"/>
      <c r="N606" s="158"/>
      <c r="O606" s="159"/>
      <c r="P606" s="159"/>
      <c r="Q606" s="159"/>
      <c r="R606" s="159"/>
      <c r="S606" s="159"/>
      <c r="T606" s="159"/>
      <c r="U606" s="161"/>
      <c r="V606" s="161"/>
      <c r="W606" s="162"/>
      <c r="X606" s="159"/>
      <c r="Y606" s="159"/>
      <c r="Z606" s="159"/>
      <c r="AA606" s="159"/>
      <c r="AB606" s="159"/>
      <c r="AC606" s="159"/>
      <c r="AD606" s="159"/>
      <c r="AE606" s="159"/>
      <c r="AF606" s="159"/>
      <c r="AG606" s="159"/>
      <c r="AH606" s="161"/>
      <c r="AI606" s="162"/>
      <c r="AJ606" s="159"/>
      <c r="AK606" s="159"/>
      <c r="AL606" s="159"/>
      <c r="AM606" s="159"/>
      <c r="AN606" s="163"/>
      <c r="AO606" s="163"/>
    </row>
    <row r="607" spans="1:41" ht="18" hidden="1" customHeight="1" x14ac:dyDescent="0.25">
      <c r="A607" s="157"/>
      <c r="B607" s="158"/>
      <c r="C607" s="159"/>
      <c r="D607" s="159"/>
      <c r="E607" s="159"/>
      <c r="F607" s="159"/>
      <c r="G607" s="159"/>
      <c r="H607" s="159"/>
      <c r="I607" s="158"/>
      <c r="J607" s="158"/>
      <c r="K607" s="158"/>
      <c r="L607" s="158"/>
      <c r="M607" s="160"/>
      <c r="N607" s="158"/>
      <c r="O607" s="159"/>
      <c r="P607" s="159"/>
      <c r="Q607" s="159"/>
      <c r="R607" s="159"/>
      <c r="S607" s="159"/>
      <c r="T607" s="159"/>
      <c r="U607" s="161"/>
      <c r="V607" s="161"/>
      <c r="W607" s="162"/>
      <c r="X607" s="159"/>
      <c r="Y607" s="159"/>
      <c r="Z607" s="159"/>
      <c r="AA607" s="159"/>
      <c r="AB607" s="159"/>
      <c r="AC607" s="159"/>
      <c r="AD607" s="159"/>
      <c r="AE607" s="159"/>
      <c r="AF607" s="159"/>
      <c r="AG607" s="159"/>
      <c r="AH607" s="161"/>
      <c r="AI607" s="162"/>
      <c r="AJ607" s="159"/>
      <c r="AK607" s="159"/>
      <c r="AL607" s="159"/>
      <c r="AM607" s="159"/>
      <c r="AN607" s="163"/>
      <c r="AO607" s="163"/>
    </row>
    <row r="608" spans="1:41" ht="18" hidden="1" customHeight="1" x14ac:dyDescent="0.25">
      <c r="A608" s="157"/>
      <c r="B608" s="158"/>
      <c r="C608" s="159"/>
      <c r="D608" s="159"/>
      <c r="E608" s="159"/>
      <c r="F608" s="159"/>
      <c r="G608" s="159"/>
      <c r="H608" s="159"/>
      <c r="I608" s="158"/>
      <c r="J608" s="158"/>
      <c r="K608" s="158"/>
      <c r="L608" s="158"/>
      <c r="M608" s="160"/>
      <c r="N608" s="158"/>
      <c r="O608" s="159"/>
      <c r="P608" s="159"/>
      <c r="Q608" s="159"/>
      <c r="R608" s="159"/>
      <c r="S608" s="159"/>
      <c r="T608" s="159"/>
      <c r="U608" s="161"/>
      <c r="V608" s="161"/>
      <c r="W608" s="162"/>
      <c r="X608" s="159"/>
      <c r="Y608" s="159"/>
      <c r="Z608" s="159"/>
      <c r="AA608" s="159"/>
      <c r="AB608" s="159"/>
      <c r="AC608" s="159"/>
      <c r="AD608" s="159"/>
      <c r="AE608" s="159"/>
      <c r="AF608" s="159"/>
      <c r="AG608" s="159"/>
      <c r="AH608" s="161"/>
      <c r="AI608" s="162"/>
      <c r="AJ608" s="159"/>
      <c r="AK608" s="159"/>
      <c r="AL608" s="159"/>
      <c r="AM608" s="159"/>
      <c r="AN608" s="163"/>
      <c r="AO608" s="163"/>
    </row>
    <row r="609" spans="1:41" ht="18" hidden="1" customHeight="1" x14ac:dyDescent="0.25">
      <c r="A609" s="157"/>
      <c r="B609" s="158"/>
      <c r="C609" s="159"/>
      <c r="D609" s="159"/>
      <c r="E609" s="159"/>
      <c r="F609" s="159"/>
      <c r="G609" s="159"/>
      <c r="H609" s="159"/>
      <c r="I609" s="158"/>
      <c r="J609" s="158"/>
      <c r="K609" s="158"/>
      <c r="L609" s="158"/>
      <c r="M609" s="160"/>
      <c r="N609" s="158"/>
      <c r="O609" s="159"/>
      <c r="P609" s="159"/>
      <c r="Q609" s="159"/>
      <c r="R609" s="159"/>
      <c r="S609" s="159"/>
      <c r="T609" s="159"/>
      <c r="U609" s="161"/>
      <c r="V609" s="161"/>
      <c r="W609" s="162"/>
      <c r="X609" s="159"/>
      <c r="Y609" s="159"/>
      <c r="Z609" s="159"/>
      <c r="AA609" s="159"/>
      <c r="AB609" s="159"/>
      <c r="AC609" s="159"/>
      <c r="AD609" s="159"/>
      <c r="AE609" s="159"/>
      <c r="AF609" s="159"/>
      <c r="AG609" s="159"/>
      <c r="AH609" s="161"/>
      <c r="AI609" s="162"/>
      <c r="AJ609" s="159"/>
      <c r="AK609" s="159"/>
      <c r="AL609" s="159"/>
      <c r="AM609" s="159"/>
      <c r="AN609" s="163"/>
      <c r="AO609" s="163"/>
    </row>
    <row r="610" spans="1:41" ht="18" hidden="1" customHeight="1" x14ac:dyDescent="0.25">
      <c r="A610" s="157"/>
      <c r="B610" s="158"/>
      <c r="C610" s="159"/>
      <c r="D610" s="159"/>
      <c r="E610" s="159"/>
      <c r="F610" s="159"/>
      <c r="G610" s="159"/>
      <c r="H610" s="159"/>
      <c r="I610" s="158"/>
      <c r="J610" s="158"/>
      <c r="K610" s="158"/>
      <c r="L610" s="158"/>
      <c r="M610" s="160"/>
      <c r="N610" s="158"/>
      <c r="O610" s="159"/>
      <c r="P610" s="159"/>
      <c r="Q610" s="159"/>
      <c r="R610" s="159"/>
      <c r="S610" s="159"/>
      <c r="T610" s="159"/>
      <c r="U610" s="161"/>
      <c r="V610" s="161"/>
      <c r="W610" s="162"/>
      <c r="X610" s="159"/>
      <c r="Y610" s="159"/>
      <c r="Z610" s="159"/>
      <c r="AA610" s="159"/>
      <c r="AB610" s="159"/>
      <c r="AC610" s="159"/>
      <c r="AD610" s="159"/>
      <c r="AE610" s="159"/>
      <c r="AF610" s="159"/>
      <c r="AG610" s="159"/>
      <c r="AH610" s="161"/>
      <c r="AI610" s="162"/>
      <c r="AJ610" s="159"/>
      <c r="AK610" s="159"/>
      <c r="AL610" s="159"/>
      <c r="AM610" s="159"/>
      <c r="AN610" s="163"/>
      <c r="AO610" s="163"/>
    </row>
    <row r="611" spans="1:41" ht="18" hidden="1" customHeight="1" x14ac:dyDescent="0.25">
      <c r="A611" s="157"/>
      <c r="B611" s="158"/>
      <c r="C611" s="159"/>
      <c r="D611" s="159"/>
      <c r="E611" s="159"/>
      <c r="F611" s="159"/>
      <c r="G611" s="159"/>
      <c r="H611" s="159"/>
      <c r="I611" s="158"/>
      <c r="J611" s="158"/>
      <c r="K611" s="158"/>
      <c r="L611" s="158"/>
      <c r="M611" s="160"/>
      <c r="N611" s="158"/>
      <c r="O611" s="159"/>
      <c r="P611" s="159"/>
      <c r="Q611" s="159"/>
      <c r="R611" s="159"/>
      <c r="S611" s="159"/>
      <c r="T611" s="159"/>
      <c r="U611" s="161"/>
      <c r="V611" s="161"/>
      <c r="W611" s="162"/>
      <c r="X611" s="159"/>
      <c r="Y611" s="159"/>
      <c r="Z611" s="159"/>
      <c r="AA611" s="159"/>
      <c r="AB611" s="159"/>
      <c r="AC611" s="159"/>
      <c r="AD611" s="159"/>
      <c r="AE611" s="159"/>
      <c r="AF611" s="159"/>
      <c r="AG611" s="159"/>
      <c r="AH611" s="161"/>
      <c r="AI611" s="162"/>
      <c r="AJ611" s="159"/>
      <c r="AK611" s="159"/>
      <c r="AL611" s="159"/>
      <c r="AM611" s="159"/>
      <c r="AN611" s="163"/>
      <c r="AO611" s="163"/>
    </row>
    <row r="612" spans="1:41" ht="18" hidden="1" customHeight="1" x14ac:dyDescent="0.25">
      <c r="A612" s="157"/>
      <c r="B612" s="158"/>
      <c r="C612" s="159"/>
      <c r="D612" s="159"/>
      <c r="E612" s="159"/>
      <c r="F612" s="159"/>
      <c r="G612" s="159"/>
      <c r="H612" s="159"/>
      <c r="I612" s="158"/>
      <c r="J612" s="158"/>
      <c r="K612" s="158"/>
      <c r="L612" s="158"/>
      <c r="M612" s="160"/>
      <c r="N612" s="158"/>
      <c r="O612" s="159"/>
      <c r="P612" s="159"/>
      <c r="Q612" s="159"/>
      <c r="R612" s="159"/>
      <c r="S612" s="159"/>
      <c r="T612" s="159"/>
      <c r="U612" s="161"/>
      <c r="V612" s="161"/>
      <c r="W612" s="162"/>
      <c r="X612" s="159"/>
      <c r="Y612" s="159"/>
      <c r="Z612" s="159"/>
      <c r="AA612" s="159"/>
      <c r="AB612" s="159"/>
      <c r="AC612" s="159"/>
      <c r="AD612" s="159"/>
      <c r="AE612" s="159"/>
      <c r="AF612" s="159"/>
      <c r="AG612" s="159"/>
      <c r="AH612" s="161"/>
      <c r="AI612" s="162"/>
      <c r="AJ612" s="159"/>
      <c r="AK612" s="159"/>
      <c r="AL612" s="159"/>
      <c r="AM612" s="159"/>
      <c r="AN612" s="163"/>
      <c r="AO612" s="163"/>
    </row>
    <row r="613" spans="1:41" ht="18" hidden="1" customHeight="1" x14ac:dyDescent="0.25">
      <c r="A613" s="157"/>
      <c r="B613" s="158"/>
      <c r="C613" s="159"/>
      <c r="D613" s="159"/>
      <c r="E613" s="159"/>
      <c r="F613" s="159"/>
      <c r="G613" s="159"/>
      <c r="H613" s="159"/>
      <c r="I613" s="158"/>
      <c r="J613" s="158"/>
      <c r="K613" s="158"/>
      <c r="L613" s="158"/>
      <c r="M613" s="160"/>
      <c r="N613" s="158"/>
      <c r="O613" s="159"/>
      <c r="P613" s="159"/>
      <c r="Q613" s="159"/>
      <c r="R613" s="159"/>
      <c r="S613" s="159"/>
      <c r="T613" s="159"/>
      <c r="U613" s="161"/>
      <c r="V613" s="161"/>
      <c r="W613" s="162"/>
      <c r="X613" s="159"/>
      <c r="Y613" s="159"/>
      <c r="Z613" s="159"/>
      <c r="AA613" s="159"/>
      <c r="AB613" s="159"/>
      <c r="AC613" s="159"/>
      <c r="AD613" s="159"/>
      <c r="AE613" s="159"/>
      <c r="AF613" s="159"/>
      <c r="AG613" s="159"/>
      <c r="AH613" s="161"/>
      <c r="AI613" s="162"/>
      <c r="AJ613" s="159"/>
      <c r="AK613" s="159"/>
      <c r="AL613" s="159"/>
      <c r="AM613" s="159"/>
      <c r="AN613" s="163"/>
      <c r="AO613" s="163"/>
    </row>
    <row r="614" spans="1:41" ht="18" hidden="1" customHeight="1" x14ac:dyDescent="0.25">
      <c r="A614" s="157"/>
      <c r="B614" s="158"/>
      <c r="C614" s="159"/>
      <c r="D614" s="159"/>
      <c r="E614" s="159"/>
      <c r="F614" s="159"/>
      <c r="G614" s="159"/>
      <c r="H614" s="159"/>
      <c r="I614" s="158"/>
      <c r="J614" s="158"/>
      <c r="K614" s="158"/>
      <c r="L614" s="158"/>
      <c r="M614" s="160"/>
      <c r="N614" s="158"/>
      <c r="O614" s="159"/>
      <c r="P614" s="159"/>
      <c r="Q614" s="159"/>
      <c r="R614" s="159"/>
      <c r="S614" s="159"/>
      <c r="T614" s="159"/>
      <c r="U614" s="161"/>
      <c r="V614" s="161"/>
      <c r="W614" s="162"/>
      <c r="X614" s="159"/>
      <c r="Y614" s="159"/>
      <c r="Z614" s="159"/>
      <c r="AA614" s="159"/>
      <c r="AB614" s="159"/>
      <c r="AC614" s="159"/>
      <c r="AD614" s="159"/>
      <c r="AE614" s="159"/>
      <c r="AF614" s="159"/>
      <c r="AG614" s="159"/>
      <c r="AH614" s="161"/>
      <c r="AI614" s="162"/>
      <c r="AJ614" s="159"/>
      <c r="AK614" s="159"/>
      <c r="AL614" s="159"/>
      <c r="AM614" s="159"/>
      <c r="AN614" s="163"/>
      <c r="AO614" s="163"/>
    </row>
    <row r="615" spans="1:41" ht="18" hidden="1" customHeight="1" x14ac:dyDescent="0.25">
      <c r="A615" s="157"/>
      <c r="B615" s="158"/>
      <c r="C615" s="159"/>
      <c r="D615" s="159"/>
      <c r="E615" s="159"/>
      <c r="F615" s="159"/>
      <c r="G615" s="159"/>
      <c r="H615" s="159"/>
      <c r="I615" s="158"/>
      <c r="J615" s="158"/>
      <c r="K615" s="158"/>
      <c r="L615" s="158"/>
      <c r="M615" s="160"/>
      <c r="N615" s="158"/>
      <c r="O615" s="159"/>
      <c r="P615" s="159"/>
      <c r="Q615" s="159"/>
      <c r="R615" s="159"/>
      <c r="S615" s="159"/>
      <c r="T615" s="159"/>
      <c r="U615" s="161"/>
      <c r="V615" s="161"/>
      <c r="W615" s="162"/>
      <c r="X615" s="159"/>
      <c r="Y615" s="159"/>
      <c r="Z615" s="159"/>
      <c r="AA615" s="159"/>
      <c r="AB615" s="159"/>
      <c r="AC615" s="159"/>
      <c r="AD615" s="159"/>
      <c r="AE615" s="159"/>
      <c r="AF615" s="159"/>
      <c r="AG615" s="159"/>
      <c r="AH615" s="161"/>
      <c r="AI615" s="162"/>
      <c r="AJ615" s="159"/>
      <c r="AK615" s="159"/>
      <c r="AL615" s="159"/>
      <c r="AM615" s="159"/>
      <c r="AN615" s="163"/>
      <c r="AO615" s="163"/>
    </row>
    <row r="616" spans="1:41" ht="18" hidden="1" customHeight="1" x14ac:dyDescent="0.25">
      <c r="A616" s="157"/>
      <c r="B616" s="158"/>
      <c r="C616" s="159"/>
      <c r="D616" s="159"/>
      <c r="E616" s="159"/>
      <c r="F616" s="159"/>
      <c r="G616" s="159"/>
      <c r="H616" s="159"/>
      <c r="I616" s="158"/>
      <c r="J616" s="158"/>
      <c r="K616" s="158"/>
      <c r="L616" s="158"/>
      <c r="M616" s="160"/>
      <c r="N616" s="158"/>
      <c r="O616" s="159"/>
      <c r="P616" s="159"/>
      <c r="Q616" s="159"/>
      <c r="R616" s="159"/>
      <c r="S616" s="159"/>
      <c r="T616" s="159"/>
      <c r="U616" s="161"/>
      <c r="V616" s="161"/>
      <c r="W616" s="162"/>
      <c r="X616" s="159"/>
      <c r="Y616" s="159"/>
      <c r="Z616" s="159"/>
      <c r="AA616" s="159"/>
      <c r="AB616" s="159"/>
      <c r="AC616" s="159"/>
      <c r="AD616" s="159"/>
      <c r="AE616" s="159"/>
      <c r="AF616" s="159"/>
      <c r="AG616" s="159"/>
      <c r="AH616" s="161"/>
      <c r="AI616" s="162"/>
      <c r="AJ616" s="159"/>
      <c r="AK616" s="159"/>
      <c r="AL616" s="159"/>
      <c r="AM616" s="159"/>
      <c r="AN616" s="163"/>
      <c r="AO616" s="163"/>
    </row>
    <row r="617" spans="1:41" ht="18" hidden="1" customHeight="1" x14ac:dyDescent="0.25">
      <c r="A617" s="157"/>
      <c r="B617" s="158"/>
      <c r="C617" s="159"/>
      <c r="D617" s="159"/>
      <c r="E617" s="159"/>
      <c r="F617" s="159"/>
      <c r="G617" s="159"/>
      <c r="H617" s="159"/>
      <c r="I617" s="158"/>
      <c r="J617" s="158"/>
      <c r="K617" s="158"/>
      <c r="L617" s="158"/>
      <c r="M617" s="160"/>
      <c r="N617" s="158"/>
      <c r="O617" s="159"/>
      <c r="P617" s="159"/>
      <c r="Q617" s="159"/>
      <c r="R617" s="159"/>
      <c r="S617" s="159"/>
      <c r="T617" s="159"/>
      <c r="U617" s="161"/>
      <c r="V617" s="161"/>
      <c r="W617" s="162"/>
      <c r="X617" s="159"/>
      <c r="Y617" s="159"/>
      <c r="Z617" s="159"/>
      <c r="AA617" s="159"/>
      <c r="AB617" s="159"/>
      <c r="AC617" s="159"/>
      <c r="AD617" s="159"/>
      <c r="AE617" s="159"/>
      <c r="AF617" s="159"/>
      <c r="AG617" s="159"/>
      <c r="AH617" s="161"/>
      <c r="AI617" s="162"/>
      <c r="AJ617" s="159"/>
      <c r="AK617" s="159"/>
      <c r="AL617" s="159"/>
      <c r="AM617" s="159"/>
      <c r="AN617" s="163"/>
      <c r="AO617" s="163"/>
    </row>
    <row r="618" spans="1:41" ht="18" hidden="1" customHeight="1" x14ac:dyDescent="0.25">
      <c r="A618" s="157"/>
      <c r="B618" s="158"/>
      <c r="C618" s="159"/>
      <c r="D618" s="159"/>
      <c r="E618" s="159"/>
      <c r="F618" s="159"/>
      <c r="G618" s="159"/>
      <c r="H618" s="159"/>
      <c r="I618" s="158"/>
      <c r="J618" s="158"/>
      <c r="K618" s="158"/>
      <c r="L618" s="158"/>
      <c r="M618" s="160"/>
      <c r="N618" s="158"/>
      <c r="O618" s="159"/>
      <c r="P618" s="159"/>
      <c r="Q618" s="159"/>
      <c r="R618" s="159"/>
      <c r="S618" s="159"/>
      <c r="T618" s="159"/>
      <c r="U618" s="161"/>
      <c r="V618" s="161"/>
      <c r="W618" s="162"/>
      <c r="X618" s="159"/>
      <c r="Y618" s="159"/>
      <c r="Z618" s="159"/>
      <c r="AA618" s="159"/>
      <c r="AB618" s="159"/>
      <c r="AC618" s="159"/>
      <c r="AD618" s="159"/>
      <c r="AE618" s="159"/>
      <c r="AF618" s="159"/>
      <c r="AG618" s="159"/>
      <c r="AH618" s="161"/>
      <c r="AI618" s="162"/>
      <c r="AJ618" s="159"/>
      <c r="AK618" s="159"/>
      <c r="AL618" s="159"/>
      <c r="AM618" s="159"/>
      <c r="AN618" s="163"/>
      <c r="AO618" s="163"/>
    </row>
    <row r="619" spans="1:41" ht="18" hidden="1" customHeight="1" x14ac:dyDescent="0.25">
      <c r="A619" s="157"/>
      <c r="B619" s="158"/>
      <c r="C619" s="159"/>
      <c r="D619" s="159"/>
      <c r="E619" s="159"/>
      <c r="F619" s="159"/>
      <c r="G619" s="159"/>
      <c r="H619" s="159"/>
      <c r="I619" s="158"/>
      <c r="J619" s="158"/>
      <c r="K619" s="158"/>
      <c r="L619" s="158"/>
      <c r="M619" s="160"/>
      <c r="N619" s="158"/>
      <c r="O619" s="159"/>
      <c r="P619" s="159"/>
      <c r="Q619" s="159"/>
      <c r="R619" s="159"/>
      <c r="S619" s="159"/>
      <c r="T619" s="159"/>
      <c r="U619" s="161"/>
      <c r="V619" s="161"/>
      <c r="W619" s="162"/>
      <c r="X619" s="159"/>
      <c r="Y619" s="159"/>
      <c r="Z619" s="159"/>
      <c r="AA619" s="159"/>
      <c r="AB619" s="159"/>
      <c r="AC619" s="159"/>
      <c r="AD619" s="159"/>
      <c r="AE619" s="159"/>
      <c r="AF619" s="159"/>
      <c r="AG619" s="159"/>
      <c r="AH619" s="161"/>
      <c r="AI619" s="162"/>
      <c r="AJ619" s="159"/>
      <c r="AK619" s="159"/>
      <c r="AL619" s="159"/>
      <c r="AM619" s="159"/>
      <c r="AN619" s="163"/>
      <c r="AO619" s="163"/>
    </row>
    <row r="620" spans="1:41" ht="18" hidden="1" customHeight="1" x14ac:dyDescent="0.25">
      <c r="A620" s="157"/>
      <c r="B620" s="158"/>
      <c r="C620" s="159"/>
      <c r="D620" s="159"/>
      <c r="E620" s="159"/>
      <c r="F620" s="159"/>
      <c r="G620" s="159"/>
      <c r="H620" s="159"/>
      <c r="I620" s="158"/>
      <c r="J620" s="158"/>
      <c r="K620" s="158"/>
      <c r="L620" s="158"/>
      <c r="M620" s="160"/>
      <c r="N620" s="158"/>
      <c r="O620" s="159"/>
      <c r="P620" s="159"/>
      <c r="Q620" s="159"/>
      <c r="R620" s="159"/>
      <c r="S620" s="159"/>
      <c r="T620" s="159"/>
      <c r="U620" s="161"/>
      <c r="V620" s="161"/>
      <c r="W620" s="162"/>
      <c r="X620" s="159"/>
      <c r="Y620" s="159"/>
      <c r="Z620" s="159"/>
      <c r="AA620" s="159"/>
      <c r="AB620" s="159"/>
      <c r="AC620" s="159"/>
      <c r="AD620" s="159"/>
      <c r="AE620" s="159"/>
      <c r="AF620" s="159"/>
      <c r="AG620" s="159"/>
      <c r="AH620" s="161"/>
      <c r="AI620" s="162"/>
      <c r="AJ620" s="159"/>
      <c r="AK620" s="159"/>
      <c r="AL620" s="159"/>
      <c r="AM620" s="159"/>
      <c r="AN620" s="163"/>
      <c r="AO620" s="163"/>
    </row>
    <row r="621" spans="1:41" ht="18" hidden="1" customHeight="1" x14ac:dyDescent="0.25">
      <c r="A621" s="157"/>
      <c r="B621" s="158"/>
      <c r="C621" s="159"/>
      <c r="D621" s="159"/>
      <c r="E621" s="159"/>
      <c r="F621" s="159"/>
      <c r="G621" s="159"/>
      <c r="H621" s="159"/>
      <c r="I621" s="158"/>
      <c r="J621" s="158"/>
      <c r="K621" s="158"/>
      <c r="L621" s="158"/>
      <c r="M621" s="160"/>
      <c r="N621" s="158"/>
      <c r="O621" s="159"/>
      <c r="P621" s="159"/>
      <c r="Q621" s="159"/>
      <c r="R621" s="159"/>
      <c r="S621" s="159"/>
      <c r="T621" s="159"/>
      <c r="U621" s="161"/>
      <c r="V621" s="161"/>
      <c r="W621" s="162"/>
      <c r="X621" s="159"/>
      <c r="Y621" s="159"/>
      <c r="Z621" s="159"/>
      <c r="AA621" s="159"/>
      <c r="AB621" s="159"/>
      <c r="AC621" s="159"/>
      <c r="AD621" s="159"/>
      <c r="AE621" s="159"/>
      <c r="AF621" s="159"/>
      <c r="AG621" s="159"/>
      <c r="AH621" s="161"/>
      <c r="AI621" s="162"/>
      <c r="AJ621" s="159"/>
      <c r="AK621" s="159"/>
      <c r="AL621" s="159"/>
      <c r="AM621" s="159"/>
      <c r="AN621" s="163"/>
      <c r="AO621" s="163"/>
    </row>
    <row r="622" spans="1:41" ht="18" hidden="1" customHeight="1" x14ac:dyDescent="0.25">
      <c r="A622" s="157"/>
      <c r="B622" s="158"/>
      <c r="C622" s="159"/>
      <c r="D622" s="159"/>
      <c r="E622" s="159"/>
      <c r="F622" s="159"/>
      <c r="G622" s="159"/>
      <c r="H622" s="159"/>
      <c r="I622" s="158"/>
      <c r="J622" s="158"/>
      <c r="K622" s="158"/>
      <c r="L622" s="158"/>
      <c r="M622" s="160"/>
      <c r="N622" s="158"/>
      <c r="O622" s="159"/>
      <c r="P622" s="159"/>
      <c r="Q622" s="159"/>
      <c r="R622" s="159"/>
      <c r="S622" s="159"/>
      <c r="T622" s="159"/>
      <c r="U622" s="161"/>
      <c r="V622" s="161"/>
      <c r="W622" s="162"/>
      <c r="X622" s="159"/>
      <c r="Y622" s="159"/>
      <c r="Z622" s="159"/>
      <c r="AA622" s="159"/>
      <c r="AB622" s="159"/>
      <c r="AC622" s="159"/>
      <c r="AD622" s="159"/>
      <c r="AE622" s="159"/>
      <c r="AF622" s="159"/>
      <c r="AG622" s="159"/>
      <c r="AH622" s="161"/>
      <c r="AI622" s="162"/>
      <c r="AJ622" s="159"/>
      <c r="AK622" s="159"/>
      <c r="AL622" s="159"/>
      <c r="AM622" s="159"/>
      <c r="AN622" s="163"/>
      <c r="AO622" s="163"/>
    </row>
    <row r="623" spans="1:41" ht="18" hidden="1" customHeight="1" x14ac:dyDescent="0.25">
      <c r="A623" s="157"/>
      <c r="B623" s="158"/>
      <c r="C623" s="159"/>
      <c r="D623" s="159"/>
      <c r="E623" s="159"/>
      <c r="F623" s="159"/>
      <c r="G623" s="159"/>
      <c r="H623" s="159"/>
      <c r="I623" s="158"/>
      <c r="J623" s="158"/>
      <c r="K623" s="158"/>
      <c r="L623" s="158"/>
      <c r="M623" s="160"/>
      <c r="N623" s="158"/>
      <c r="O623" s="159"/>
      <c r="P623" s="159"/>
      <c r="Q623" s="159"/>
      <c r="R623" s="159"/>
      <c r="S623" s="159"/>
      <c r="T623" s="159"/>
      <c r="U623" s="161"/>
      <c r="V623" s="161"/>
      <c r="W623" s="162"/>
      <c r="X623" s="159"/>
      <c r="Y623" s="159"/>
      <c r="Z623" s="159"/>
      <c r="AA623" s="159"/>
      <c r="AB623" s="159"/>
      <c r="AC623" s="159"/>
      <c r="AD623" s="159"/>
      <c r="AE623" s="159"/>
      <c r="AF623" s="159"/>
      <c r="AG623" s="159"/>
      <c r="AH623" s="161"/>
      <c r="AI623" s="162"/>
      <c r="AJ623" s="159"/>
      <c r="AK623" s="159"/>
      <c r="AL623" s="159"/>
      <c r="AM623" s="159"/>
      <c r="AN623" s="163"/>
      <c r="AO623" s="163"/>
    </row>
    <row r="624" spans="1:41" ht="18" hidden="1" customHeight="1" x14ac:dyDescent="0.25">
      <c r="A624" s="157"/>
      <c r="B624" s="158"/>
      <c r="C624" s="159"/>
      <c r="D624" s="159"/>
      <c r="E624" s="159"/>
      <c r="F624" s="159"/>
      <c r="G624" s="159"/>
      <c r="H624" s="159"/>
      <c r="I624" s="158"/>
      <c r="J624" s="158"/>
      <c r="K624" s="158"/>
      <c r="L624" s="158"/>
      <c r="M624" s="160"/>
      <c r="N624" s="158"/>
      <c r="O624" s="159"/>
      <c r="P624" s="159"/>
      <c r="Q624" s="159"/>
      <c r="R624" s="159"/>
      <c r="S624" s="159"/>
      <c r="T624" s="159"/>
      <c r="U624" s="161"/>
      <c r="V624" s="161"/>
      <c r="W624" s="162"/>
      <c r="X624" s="159"/>
      <c r="Y624" s="159"/>
      <c r="Z624" s="159"/>
      <c r="AA624" s="159"/>
      <c r="AB624" s="159"/>
      <c r="AC624" s="159"/>
      <c r="AD624" s="159"/>
      <c r="AE624" s="159"/>
      <c r="AF624" s="159"/>
      <c r="AG624" s="159"/>
      <c r="AH624" s="161"/>
      <c r="AI624" s="162"/>
      <c r="AJ624" s="159"/>
      <c r="AK624" s="159"/>
      <c r="AL624" s="159"/>
      <c r="AM624" s="159"/>
      <c r="AN624" s="163"/>
      <c r="AO624" s="163"/>
    </row>
    <row r="625" spans="1:41" ht="18" hidden="1" customHeight="1" x14ac:dyDescent="0.25">
      <c r="A625" s="157"/>
      <c r="B625" s="158"/>
      <c r="C625" s="159"/>
      <c r="D625" s="159"/>
      <c r="E625" s="159"/>
      <c r="F625" s="159"/>
      <c r="G625" s="159"/>
      <c r="H625" s="159"/>
      <c r="I625" s="158"/>
      <c r="J625" s="158"/>
      <c r="K625" s="158"/>
      <c r="L625" s="158"/>
      <c r="M625" s="160"/>
      <c r="N625" s="158"/>
      <c r="O625" s="159"/>
      <c r="P625" s="159"/>
      <c r="Q625" s="159"/>
      <c r="R625" s="159"/>
      <c r="S625" s="159"/>
      <c r="T625" s="159"/>
      <c r="U625" s="161"/>
      <c r="V625" s="161"/>
      <c r="W625" s="162"/>
      <c r="X625" s="159"/>
      <c r="Y625" s="159"/>
      <c r="Z625" s="159"/>
      <c r="AA625" s="159"/>
      <c r="AB625" s="159"/>
      <c r="AC625" s="159"/>
      <c r="AD625" s="159"/>
      <c r="AE625" s="159"/>
      <c r="AF625" s="159"/>
      <c r="AG625" s="159"/>
      <c r="AH625" s="161"/>
      <c r="AI625" s="162"/>
      <c r="AJ625" s="159"/>
      <c r="AK625" s="159"/>
      <c r="AL625" s="159"/>
      <c r="AM625" s="159"/>
      <c r="AN625" s="163"/>
      <c r="AO625" s="163"/>
    </row>
    <row r="626" spans="1:41" ht="18" hidden="1" customHeight="1" x14ac:dyDescent="0.25">
      <c r="A626" s="157"/>
      <c r="B626" s="158"/>
      <c r="C626" s="159"/>
      <c r="D626" s="159"/>
      <c r="E626" s="159"/>
      <c r="F626" s="159"/>
      <c r="G626" s="159"/>
      <c r="H626" s="159"/>
      <c r="I626" s="158"/>
      <c r="J626" s="158"/>
      <c r="K626" s="158"/>
      <c r="L626" s="158"/>
      <c r="M626" s="160"/>
      <c r="N626" s="158"/>
      <c r="O626" s="159"/>
      <c r="P626" s="159"/>
      <c r="Q626" s="159"/>
      <c r="R626" s="159"/>
      <c r="S626" s="159"/>
      <c r="T626" s="159"/>
      <c r="U626" s="161"/>
      <c r="V626" s="161"/>
      <c r="W626" s="162"/>
      <c r="X626" s="159"/>
      <c r="Y626" s="159"/>
      <c r="Z626" s="159"/>
      <c r="AA626" s="159"/>
      <c r="AB626" s="159"/>
      <c r="AC626" s="159"/>
      <c r="AD626" s="159"/>
      <c r="AE626" s="159"/>
      <c r="AF626" s="159"/>
      <c r="AG626" s="159"/>
      <c r="AH626" s="161"/>
      <c r="AI626" s="162"/>
      <c r="AJ626" s="159"/>
      <c r="AK626" s="159"/>
      <c r="AL626" s="159"/>
      <c r="AM626" s="159"/>
      <c r="AN626" s="163"/>
      <c r="AO626" s="163"/>
    </row>
    <row r="627" spans="1:41" ht="18" hidden="1" customHeight="1" x14ac:dyDescent="0.25">
      <c r="A627" s="157"/>
      <c r="B627" s="158"/>
      <c r="C627" s="159"/>
      <c r="D627" s="159"/>
      <c r="E627" s="159"/>
      <c r="F627" s="159"/>
      <c r="G627" s="159"/>
      <c r="H627" s="159"/>
      <c r="I627" s="158"/>
      <c r="J627" s="158"/>
      <c r="K627" s="158"/>
      <c r="L627" s="158"/>
      <c r="M627" s="160"/>
      <c r="N627" s="158"/>
      <c r="O627" s="159"/>
      <c r="P627" s="159"/>
      <c r="Q627" s="159"/>
      <c r="R627" s="159"/>
      <c r="S627" s="159"/>
      <c r="T627" s="159"/>
      <c r="U627" s="161"/>
      <c r="V627" s="161"/>
      <c r="W627" s="162"/>
      <c r="X627" s="159"/>
      <c r="Y627" s="159"/>
      <c r="Z627" s="159"/>
      <c r="AA627" s="159"/>
      <c r="AB627" s="159"/>
      <c r="AC627" s="159"/>
      <c r="AD627" s="159"/>
      <c r="AE627" s="159"/>
      <c r="AF627" s="159"/>
      <c r="AG627" s="159"/>
      <c r="AH627" s="161"/>
      <c r="AI627" s="162"/>
      <c r="AJ627" s="159"/>
      <c r="AK627" s="159"/>
      <c r="AL627" s="159"/>
      <c r="AM627" s="159"/>
      <c r="AN627" s="163"/>
      <c r="AO627" s="163"/>
    </row>
    <row r="628" spans="1:41" ht="18" hidden="1" customHeight="1" x14ac:dyDescent="0.25">
      <c r="A628" s="157"/>
      <c r="B628" s="158"/>
      <c r="C628" s="159"/>
      <c r="D628" s="159"/>
      <c r="E628" s="159"/>
      <c r="F628" s="159"/>
      <c r="G628" s="159"/>
      <c r="H628" s="159"/>
      <c r="I628" s="158"/>
      <c r="J628" s="158"/>
      <c r="K628" s="158"/>
      <c r="L628" s="158"/>
      <c r="M628" s="160"/>
      <c r="N628" s="158"/>
      <c r="O628" s="159"/>
      <c r="P628" s="159"/>
      <c r="Q628" s="159"/>
      <c r="R628" s="159"/>
      <c r="S628" s="159"/>
      <c r="T628" s="159"/>
      <c r="U628" s="161"/>
      <c r="V628" s="161"/>
      <c r="W628" s="162"/>
      <c r="X628" s="159"/>
      <c r="Y628" s="159"/>
      <c r="Z628" s="159"/>
      <c r="AA628" s="159"/>
      <c r="AB628" s="159"/>
      <c r="AC628" s="159"/>
      <c r="AD628" s="159"/>
      <c r="AE628" s="159"/>
      <c r="AF628" s="159"/>
      <c r="AG628" s="159"/>
      <c r="AH628" s="161"/>
      <c r="AI628" s="162"/>
      <c r="AJ628" s="159"/>
      <c r="AK628" s="159"/>
      <c r="AL628" s="159"/>
      <c r="AM628" s="159"/>
      <c r="AN628" s="163"/>
      <c r="AO628" s="163"/>
    </row>
    <row r="629" spans="1:41" ht="18" hidden="1" customHeight="1" x14ac:dyDescent="0.25">
      <c r="A629" s="157"/>
      <c r="B629" s="158"/>
      <c r="C629" s="159"/>
      <c r="D629" s="159"/>
      <c r="E629" s="159"/>
      <c r="F629" s="159"/>
      <c r="G629" s="159"/>
      <c r="H629" s="159"/>
      <c r="I629" s="158"/>
      <c r="J629" s="158"/>
      <c r="K629" s="158"/>
      <c r="L629" s="158"/>
      <c r="M629" s="160"/>
      <c r="N629" s="158"/>
      <c r="O629" s="159"/>
      <c r="P629" s="159"/>
      <c r="Q629" s="159"/>
      <c r="R629" s="159"/>
      <c r="S629" s="159"/>
      <c r="T629" s="159"/>
      <c r="U629" s="161"/>
      <c r="V629" s="161"/>
      <c r="W629" s="162"/>
      <c r="X629" s="159"/>
      <c r="Y629" s="159"/>
      <c r="Z629" s="159"/>
      <c r="AA629" s="159"/>
      <c r="AB629" s="159"/>
      <c r="AC629" s="159"/>
      <c r="AD629" s="159"/>
      <c r="AE629" s="159"/>
      <c r="AF629" s="159"/>
      <c r="AG629" s="159"/>
      <c r="AH629" s="161"/>
      <c r="AI629" s="162"/>
      <c r="AJ629" s="159"/>
      <c r="AK629" s="159"/>
      <c r="AL629" s="159"/>
      <c r="AM629" s="159"/>
      <c r="AN629" s="163"/>
      <c r="AO629" s="163"/>
    </row>
    <row r="630" spans="1:41" ht="18" hidden="1" customHeight="1" x14ac:dyDescent="0.25">
      <c r="A630" s="157"/>
      <c r="B630" s="158"/>
      <c r="C630" s="159"/>
      <c r="D630" s="159"/>
      <c r="E630" s="159"/>
      <c r="F630" s="159"/>
      <c r="G630" s="159"/>
      <c r="H630" s="159"/>
      <c r="I630" s="158"/>
      <c r="J630" s="158"/>
      <c r="K630" s="158"/>
      <c r="L630" s="158"/>
      <c r="M630" s="160"/>
      <c r="N630" s="158"/>
      <c r="O630" s="159"/>
      <c r="P630" s="159"/>
      <c r="Q630" s="159"/>
      <c r="R630" s="159"/>
      <c r="S630" s="159"/>
      <c r="T630" s="159"/>
      <c r="U630" s="161"/>
      <c r="V630" s="161"/>
      <c r="W630" s="162"/>
      <c r="X630" s="159"/>
      <c r="Y630" s="159"/>
      <c r="Z630" s="159"/>
      <c r="AA630" s="159"/>
      <c r="AB630" s="159"/>
      <c r="AC630" s="159"/>
      <c r="AD630" s="159"/>
      <c r="AE630" s="159"/>
      <c r="AF630" s="159"/>
      <c r="AG630" s="159"/>
      <c r="AH630" s="161"/>
      <c r="AI630" s="162"/>
      <c r="AJ630" s="159"/>
      <c r="AK630" s="159"/>
      <c r="AL630" s="159"/>
      <c r="AM630" s="159"/>
      <c r="AN630" s="163"/>
      <c r="AO630" s="163"/>
    </row>
    <row r="631" spans="1:41" ht="18" hidden="1" customHeight="1" x14ac:dyDescent="0.25">
      <c r="A631" s="157"/>
      <c r="B631" s="158"/>
      <c r="C631" s="159"/>
      <c r="D631" s="159"/>
      <c r="E631" s="159"/>
      <c r="F631" s="159"/>
      <c r="G631" s="159"/>
      <c r="H631" s="159"/>
      <c r="I631" s="158"/>
      <c r="J631" s="158"/>
      <c r="K631" s="158"/>
      <c r="L631" s="158"/>
      <c r="M631" s="160"/>
      <c r="N631" s="158"/>
      <c r="O631" s="159"/>
      <c r="P631" s="159"/>
      <c r="Q631" s="159"/>
      <c r="R631" s="159"/>
      <c r="S631" s="159"/>
      <c r="T631" s="159"/>
      <c r="U631" s="161"/>
      <c r="V631" s="161"/>
      <c r="W631" s="162"/>
      <c r="X631" s="159"/>
      <c r="Y631" s="159"/>
      <c r="Z631" s="159"/>
      <c r="AA631" s="159"/>
      <c r="AB631" s="159"/>
      <c r="AC631" s="159"/>
      <c r="AD631" s="159"/>
      <c r="AE631" s="159"/>
      <c r="AF631" s="159"/>
      <c r="AG631" s="159"/>
      <c r="AH631" s="161"/>
      <c r="AI631" s="162"/>
      <c r="AJ631" s="159"/>
      <c r="AK631" s="159"/>
      <c r="AL631" s="159"/>
      <c r="AM631" s="159"/>
      <c r="AN631" s="163"/>
      <c r="AO631" s="163"/>
    </row>
    <row r="632" spans="1:41" ht="18" hidden="1" customHeight="1" x14ac:dyDescent="0.25">
      <c r="A632" s="157"/>
      <c r="B632" s="158"/>
      <c r="C632" s="159"/>
      <c r="D632" s="159"/>
      <c r="E632" s="159"/>
      <c r="F632" s="159"/>
      <c r="G632" s="159"/>
      <c r="H632" s="159"/>
      <c r="I632" s="158"/>
      <c r="J632" s="158"/>
      <c r="K632" s="158"/>
      <c r="L632" s="158"/>
      <c r="M632" s="160"/>
      <c r="N632" s="158"/>
      <c r="O632" s="159"/>
      <c r="P632" s="159"/>
      <c r="Q632" s="159"/>
      <c r="R632" s="159"/>
      <c r="S632" s="159"/>
      <c r="T632" s="159"/>
      <c r="U632" s="161"/>
      <c r="V632" s="161"/>
      <c r="W632" s="162"/>
      <c r="X632" s="159"/>
      <c r="Y632" s="159"/>
      <c r="Z632" s="159"/>
      <c r="AA632" s="159"/>
      <c r="AB632" s="159"/>
      <c r="AC632" s="159"/>
      <c r="AD632" s="159"/>
      <c r="AE632" s="159"/>
      <c r="AF632" s="159"/>
      <c r="AG632" s="159"/>
      <c r="AH632" s="161"/>
      <c r="AI632" s="162"/>
      <c r="AJ632" s="159"/>
      <c r="AK632" s="159"/>
      <c r="AL632" s="159"/>
      <c r="AM632" s="159"/>
      <c r="AN632" s="163"/>
      <c r="AO632" s="163"/>
    </row>
    <row r="633" spans="1:41" ht="18" hidden="1" customHeight="1" x14ac:dyDescent="0.25">
      <c r="A633" s="157"/>
      <c r="B633" s="158"/>
      <c r="C633" s="159"/>
      <c r="D633" s="159"/>
      <c r="E633" s="159"/>
      <c r="F633" s="159"/>
      <c r="G633" s="159"/>
      <c r="H633" s="159"/>
      <c r="I633" s="158"/>
      <c r="J633" s="158"/>
      <c r="K633" s="158"/>
      <c r="L633" s="158"/>
      <c r="M633" s="160"/>
      <c r="N633" s="158"/>
      <c r="O633" s="159"/>
      <c r="P633" s="159"/>
      <c r="Q633" s="159"/>
      <c r="R633" s="159"/>
      <c r="S633" s="159"/>
      <c r="T633" s="159"/>
      <c r="U633" s="161"/>
      <c r="V633" s="161"/>
      <c r="W633" s="162"/>
      <c r="X633" s="159"/>
      <c r="Y633" s="159"/>
      <c r="Z633" s="159"/>
      <c r="AA633" s="159"/>
      <c r="AB633" s="159"/>
      <c r="AC633" s="159"/>
      <c r="AD633" s="159"/>
      <c r="AE633" s="159"/>
      <c r="AF633" s="159"/>
      <c r="AG633" s="159"/>
      <c r="AH633" s="161"/>
      <c r="AI633" s="162"/>
      <c r="AJ633" s="159"/>
      <c r="AK633" s="159"/>
      <c r="AL633" s="159"/>
      <c r="AM633" s="159"/>
      <c r="AN633" s="163"/>
      <c r="AO633" s="163"/>
    </row>
    <row r="634" spans="1:41" ht="18" hidden="1" customHeight="1" x14ac:dyDescent="0.25">
      <c r="A634" s="157"/>
      <c r="B634" s="158"/>
      <c r="C634" s="159"/>
      <c r="D634" s="159"/>
      <c r="E634" s="159"/>
      <c r="F634" s="159"/>
      <c r="G634" s="159"/>
      <c r="H634" s="159"/>
      <c r="I634" s="158"/>
      <c r="J634" s="158"/>
      <c r="K634" s="158"/>
      <c r="L634" s="158"/>
      <c r="M634" s="160"/>
      <c r="N634" s="158"/>
      <c r="O634" s="159"/>
      <c r="P634" s="159"/>
      <c r="Q634" s="159"/>
      <c r="R634" s="159"/>
      <c r="S634" s="159"/>
      <c r="T634" s="159"/>
      <c r="U634" s="161"/>
      <c r="V634" s="161"/>
      <c r="W634" s="162"/>
      <c r="X634" s="159"/>
      <c r="Y634" s="159"/>
      <c r="Z634" s="159"/>
      <c r="AA634" s="159"/>
      <c r="AB634" s="159"/>
      <c r="AC634" s="159"/>
      <c r="AD634" s="159"/>
      <c r="AE634" s="159"/>
      <c r="AF634" s="159"/>
      <c r="AG634" s="159"/>
      <c r="AH634" s="161"/>
      <c r="AI634" s="162"/>
      <c r="AJ634" s="159"/>
      <c r="AK634" s="159"/>
      <c r="AL634" s="159"/>
      <c r="AM634" s="159"/>
      <c r="AN634" s="163"/>
      <c r="AO634" s="163"/>
    </row>
    <row r="635" spans="1:41" ht="18" hidden="1" customHeight="1" x14ac:dyDescent="0.25">
      <c r="A635" s="157"/>
      <c r="B635" s="158"/>
      <c r="C635" s="159"/>
      <c r="D635" s="159"/>
      <c r="E635" s="159"/>
      <c r="F635" s="159"/>
      <c r="G635" s="159"/>
      <c r="H635" s="159"/>
      <c r="I635" s="158"/>
      <c r="J635" s="158"/>
      <c r="K635" s="158"/>
      <c r="L635" s="158"/>
      <c r="M635" s="160"/>
      <c r="N635" s="158"/>
      <c r="O635" s="159"/>
      <c r="P635" s="159"/>
      <c r="Q635" s="159"/>
      <c r="R635" s="159"/>
      <c r="S635" s="159"/>
      <c r="T635" s="159"/>
      <c r="U635" s="161"/>
      <c r="V635" s="161"/>
      <c r="W635" s="162"/>
      <c r="X635" s="159"/>
      <c r="Y635" s="159"/>
      <c r="Z635" s="159"/>
      <c r="AA635" s="159"/>
      <c r="AB635" s="159"/>
      <c r="AC635" s="159"/>
      <c r="AD635" s="159"/>
      <c r="AE635" s="159"/>
      <c r="AF635" s="159"/>
      <c r="AG635" s="159"/>
      <c r="AH635" s="161"/>
      <c r="AI635" s="162"/>
      <c r="AJ635" s="159"/>
      <c r="AK635" s="159"/>
      <c r="AL635" s="159"/>
      <c r="AM635" s="159"/>
      <c r="AN635" s="163"/>
      <c r="AO635" s="163"/>
    </row>
    <row r="636" spans="1:41" ht="18" hidden="1" customHeight="1" x14ac:dyDescent="0.25">
      <c r="A636" s="157"/>
      <c r="B636" s="158"/>
      <c r="C636" s="159"/>
      <c r="D636" s="159"/>
      <c r="E636" s="159"/>
      <c r="F636" s="159"/>
      <c r="G636" s="159"/>
      <c r="H636" s="159"/>
      <c r="I636" s="158"/>
      <c r="J636" s="158"/>
      <c r="K636" s="158"/>
      <c r="L636" s="158"/>
      <c r="M636" s="160"/>
      <c r="N636" s="158"/>
      <c r="O636" s="159"/>
      <c r="P636" s="159"/>
      <c r="Q636" s="159"/>
      <c r="R636" s="159"/>
      <c r="S636" s="159"/>
      <c r="T636" s="159"/>
      <c r="U636" s="161"/>
      <c r="V636" s="161"/>
      <c r="W636" s="162"/>
      <c r="X636" s="159"/>
      <c r="Y636" s="159"/>
      <c r="Z636" s="159"/>
      <c r="AA636" s="159"/>
      <c r="AB636" s="159"/>
      <c r="AC636" s="159"/>
      <c r="AD636" s="159"/>
      <c r="AE636" s="159"/>
      <c r="AF636" s="159"/>
      <c r="AG636" s="159"/>
      <c r="AH636" s="161"/>
      <c r="AI636" s="162"/>
      <c r="AJ636" s="159"/>
      <c r="AK636" s="159"/>
      <c r="AL636" s="159"/>
      <c r="AM636" s="159"/>
      <c r="AN636" s="163"/>
      <c r="AO636" s="163"/>
    </row>
    <row r="637" spans="1:41" ht="18" hidden="1" customHeight="1" x14ac:dyDescent="0.25">
      <c r="A637" s="157"/>
      <c r="B637" s="158"/>
      <c r="C637" s="159"/>
      <c r="D637" s="159"/>
      <c r="E637" s="159"/>
      <c r="F637" s="159"/>
      <c r="G637" s="159"/>
      <c r="H637" s="159"/>
      <c r="I637" s="158"/>
      <c r="J637" s="158"/>
      <c r="K637" s="158"/>
      <c r="L637" s="158"/>
      <c r="M637" s="160"/>
      <c r="N637" s="158"/>
      <c r="O637" s="159"/>
      <c r="P637" s="159"/>
      <c r="Q637" s="159"/>
      <c r="R637" s="159"/>
      <c r="S637" s="159"/>
      <c r="T637" s="159"/>
      <c r="U637" s="161"/>
      <c r="V637" s="161"/>
      <c r="W637" s="162"/>
      <c r="X637" s="159"/>
      <c r="Y637" s="159"/>
      <c r="Z637" s="159"/>
      <c r="AA637" s="159"/>
      <c r="AB637" s="159"/>
      <c r="AC637" s="159"/>
      <c r="AD637" s="159"/>
      <c r="AE637" s="159"/>
      <c r="AF637" s="159"/>
      <c r="AG637" s="159"/>
      <c r="AH637" s="161"/>
      <c r="AI637" s="162"/>
      <c r="AJ637" s="159"/>
      <c r="AK637" s="159"/>
      <c r="AL637" s="159"/>
      <c r="AM637" s="159"/>
      <c r="AN637" s="163"/>
      <c r="AO637" s="163"/>
    </row>
    <row r="638" spans="1:41" ht="18" hidden="1" customHeight="1" x14ac:dyDescent="0.25">
      <c r="A638" s="157"/>
      <c r="B638" s="158"/>
      <c r="C638" s="159"/>
      <c r="D638" s="159"/>
      <c r="E638" s="159"/>
      <c r="F638" s="159"/>
      <c r="G638" s="159"/>
      <c r="H638" s="159"/>
      <c r="I638" s="158"/>
      <c r="J638" s="158"/>
      <c r="K638" s="158"/>
      <c r="L638" s="158"/>
      <c r="M638" s="160"/>
      <c r="N638" s="158"/>
      <c r="O638" s="159"/>
      <c r="P638" s="159"/>
      <c r="Q638" s="159"/>
      <c r="R638" s="159"/>
      <c r="S638" s="159"/>
      <c r="T638" s="159"/>
      <c r="U638" s="161"/>
      <c r="V638" s="161"/>
      <c r="W638" s="162"/>
      <c r="X638" s="159"/>
      <c r="Y638" s="159"/>
      <c r="Z638" s="159"/>
      <c r="AA638" s="159"/>
      <c r="AB638" s="159"/>
      <c r="AC638" s="159"/>
      <c r="AD638" s="159"/>
      <c r="AE638" s="159"/>
      <c r="AF638" s="159"/>
      <c r="AG638" s="159"/>
      <c r="AH638" s="161"/>
      <c r="AI638" s="162"/>
      <c r="AJ638" s="159"/>
      <c r="AK638" s="159"/>
      <c r="AL638" s="159"/>
      <c r="AM638" s="159"/>
      <c r="AN638" s="163"/>
      <c r="AO638" s="163"/>
    </row>
    <row r="639" spans="1:41" ht="18" hidden="1" customHeight="1" x14ac:dyDescent="0.25">
      <c r="A639" s="157"/>
      <c r="B639" s="158"/>
      <c r="C639" s="159"/>
      <c r="D639" s="159"/>
      <c r="E639" s="159"/>
      <c r="F639" s="159"/>
      <c r="G639" s="159"/>
      <c r="H639" s="159"/>
      <c r="I639" s="158"/>
      <c r="J639" s="158"/>
      <c r="K639" s="158"/>
      <c r="L639" s="158"/>
      <c r="M639" s="160"/>
      <c r="N639" s="158"/>
      <c r="O639" s="159"/>
      <c r="P639" s="159"/>
      <c r="Q639" s="159"/>
      <c r="R639" s="159"/>
      <c r="S639" s="159"/>
      <c r="T639" s="159"/>
      <c r="U639" s="161"/>
      <c r="V639" s="161"/>
      <c r="W639" s="162"/>
      <c r="X639" s="159"/>
      <c r="Y639" s="159"/>
      <c r="Z639" s="159"/>
      <c r="AA639" s="159"/>
      <c r="AB639" s="159"/>
      <c r="AC639" s="159"/>
      <c r="AD639" s="159"/>
      <c r="AE639" s="159"/>
      <c r="AF639" s="159"/>
      <c r="AG639" s="159"/>
      <c r="AH639" s="161"/>
      <c r="AI639" s="162"/>
      <c r="AJ639" s="159"/>
      <c r="AK639" s="159"/>
      <c r="AL639" s="159"/>
      <c r="AM639" s="159"/>
      <c r="AN639" s="163"/>
      <c r="AO639" s="163"/>
    </row>
    <row r="640" spans="1:41" ht="18" hidden="1" customHeight="1" x14ac:dyDescent="0.25">
      <c r="A640" s="157"/>
      <c r="B640" s="158"/>
      <c r="C640" s="159"/>
      <c r="D640" s="159"/>
      <c r="E640" s="159"/>
      <c r="F640" s="159"/>
      <c r="G640" s="159"/>
      <c r="H640" s="159"/>
      <c r="I640" s="158"/>
      <c r="J640" s="158"/>
      <c r="K640" s="158"/>
      <c r="L640" s="158"/>
      <c r="M640" s="160"/>
      <c r="N640" s="158"/>
      <c r="O640" s="159"/>
      <c r="P640" s="159"/>
      <c r="Q640" s="159"/>
      <c r="R640" s="159"/>
      <c r="S640" s="159"/>
      <c r="T640" s="159"/>
      <c r="U640" s="161"/>
      <c r="V640" s="161"/>
      <c r="W640" s="162"/>
      <c r="X640" s="159"/>
      <c r="Y640" s="159"/>
      <c r="Z640" s="159"/>
      <c r="AA640" s="159"/>
      <c r="AB640" s="159"/>
      <c r="AC640" s="159"/>
      <c r="AD640" s="159"/>
      <c r="AE640" s="159"/>
      <c r="AF640" s="159"/>
      <c r="AG640" s="159"/>
      <c r="AH640" s="161"/>
      <c r="AI640" s="162"/>
      <c r="AJ640" s="159"/>
      <c r="AK640" s="159"/>
      <c r="AL640" s="159"/>
      <c r="AM640" s="159"/>
      <c r="AN640" s="163"/>
      <c r="AO640" s="163"/>
    </row>
    <row r="641" spans="1:41" ht="18" hidden="1" customHeight="1" x14ac:dyDescent="0.25">
      <c r="A641" s="157"/>
      <c r="B641" s="158"/>
      <c r="C641" s="159"/>
      <c r="D641" s="159"/>
      <c r="E641" s="159"/>
      <c r="F641" s="159"/>
      <c r="G641" s="159"/>
      <c r="H641" s="159"/>
      <c r="I641" s="158"/>
      <c r="J641" s="158"/>
      <c r="K641" s="158"/>
      <c r="L641" s="158"/>
      <c r="M641" s="160"/>
      <c r="N641" s="158"/>
      <c r="O641" s="159"/>
      <c r="P641" s="159"/>
      <c r="Q641" s="159"/>
      <c r="R641" s="159"/>
      <c r="S641" s="159"/>
      <c r="T641" s="159"/>
      <c r="U641" s="161"/>
      <c r="V641" s="161"/>
      <c r="W641" s="162"/>
      <c r="X641" s="159"/>
      <c r="Y641" s="159"/>
      <c r="Z641" s="159"/>
      <c r="AA641" s="159"/>
      <c r="AB641" s="159"/>
      <c r="AC641" s="159"/>
      <c r="AD641" s="159"/>
      <c r="AE641" s="159"/>
      <c r="AF641" s="159"/>
      <c r="AG641" s="159"/>
      <c r="AH641" s="161"/>
      <c r="AI641" s="162"/>
      <c r="AJ641" s="159"/>
      <c r="AK641" s="159"/>
      <c r="AL641" s="159"/>
      <c r="AM641" s="159"/>
      <c r="AN641" s="163"/>
      <c r="AO641" s="163"/>
    </row>
    <row r="642" spans="1:41" ht="18" hidden="1" customHeight="1" x14ac:dyDescent="0.25">
      <c r="A642" s="157"/>
      <c r="B642" s="158"/>
      <c r="C642" s="159"/>
      <c r="D642" s="159"/>
      <c r="E642" s="159"/>
      <c r="F642" s="159"/>
      <c r="G642" s="159"/>
      <c r="H642" s="159"/>
      <c r="I642" s="158"/>
      <c r="J642" s="158"/>
      <c r="K642" s="158"/>
      <c r="L642" s="158"/>
      <c r="M642" s="160"/>
      <c r="N642" s="158"/>
      <c r="O642" s="159"/>
      <c r="P642" s="159"/>
      <c r="Q642" s="159"/>
      <c r="R642" s="159"/>
      <c r="S642" s="159"/>
      <c r="T642" s="159"/>
      <c r="U642" s="161"/>
      <c r="V642" s="161"/>
      <c r="W642" s="162"/>
      <c r="X642" s="159"/>
      <c r="Y642" s="159"/>
      <c r="Z642" s="159"/>
      <c r="AA642" s="159"/>
      <c r="AB642" s="159"/>
      <c r="AC642" s="159"/>
      <c r="AD642" s="159"/>
      <c r="AE642" s="159"/>
      <c r="AF642" s="159"/>
      <c r="AG642" s="159"/>
      <c r="AH642" s="161"/>
      <c r="AI642" s="162"/>
      <c r="AJ642" s="159"/>
      <c r="AK642" s="159"/>
      <c r="AL642" s="159"/>
      <c r="AM642" s="159"/>
      <c r="AN642" s="163"/>
      <c r="AO642" s="163"/>
    </row>
    <row r="643" spans="1:41" ht="18" hidden="1" customHeight="1" x14ac:dyDescent="0.25">
      <c r="A643" s="157"/>
      <c r="B643" s="158"/>
      <c r="C643" s="159"/>
      <c r="D643" s="159"/>
      <c r="E643" s="159"/>
      <c r="F643" s="159"/>
      <c r="G643" s="159"/>
      <c r="H643" s="159"/>
      <c r="I643" s="158"/>
      <c r="J643" s="158"/>
      <c r="K643" s="158"/>
      <c r="L643" s="158"/>
      <c r="M643" s="160"/>
      <c r="N643" s="158"/>
      <c r="O643" s="159"/>
      <c r="P643" s="159"/>
      <c r="Q643" s="159"/>
      <c r="R643" s="159"/>
      <c r="S643" s="159"/>
      <c r="T643" s="159"/>
      <c r="U643" s="161"/>
      <c r="V643" s="161"/>
      <c r="W643" s="162"/>
      <c r="X643" s="159"/>
      <c r="Y643" s="159"/>
      <c r="Z643" s="159"/>
      <c r="AA643" s="159"/>
      <c r="AB643" s="159"/>
      <c r="AC643" s="159"/>
      <c r="AD643" s="159"/>
      <c r="AE643" s="159"/>
      <c r="AF643" s="159"/>
      <c r="AG643" s="159"/>
      <c r="AH643" s="161"/>
      <c r="AI643" s="162"/>
      <c r="AJ643" s="159"/>
      <c r="AK643" s="159"/>
      <c r="AL643" s="159"/>
      <c r="AM643" s="159"/>
      <c r="AN643" s="163"/>
      <c r="AO643" s="163"/>
    </row>
    <row r="644" spans="1:41" ht="18" hidden="1" customHeight="1" x14ac:dyDescent="0.25">
      <c r="A644" s="157"/>
      <c r="B644" s="158"/>
      <c r="C644" s="159"/>
      <c r="D644" s="159"/>
      <c r="E644" s="159"/>
      <c r="F644" s="159"/>
      <c r="G644" s="159"/>
      <c r="H644" s="159"/>
      <c r="I644" s="158"/>
      <c r="J644" s="158"/>
      <c r="K644" s="158"/>
      <c r="L644" s="158"/>
      <c r="M644" s="160"/>
      <c r="N644" s="158"/>
      <c r="O644" s="159"/>
      <c r="P644" s="159"/>
      <c r="Q644" s="159"/>
      <c r="R644" s="159"/>
      <c r="S644" s="159"/>
      <c r="T644" s="159"/>
      <c r="U644" s="161"/>
      <c r="V644" s="161"/>
      <c r="W644" s="162"/>
      <c r="X644" s="159"/>
      <c r="Y644" s="159"/>
      <c r="Z644" s="159"/>
      <c r="AA644" s="159"/>
      <c r="AB644" s="159"/>
      <c r="AC644" s="159"/>
      <c r="AD644" s="159"/>
      <c r="AE644" s="159"/>
      <c r="AF644" s="159"/>
      <c r="AG644" s="159"/>
      <c r="AH644" s="161"/>
      <c r="AI644" s="162"/>
      <c r="AJ644" s="159"/>
      <c r="AK644" s="159"/>
      <c r="AL644" s="159"/>
      <c r="AM644" s="159"/>
      <c r="AN644" s="163"/>
      <c r="AO644" s="163"/>
    </row>
    <row r="645" spans="1:41" ht="18" hidden="1" customHeight="1" x14ac:dyDescent="0.25">
      <c r="A645" s="157"/>
      <c r="B645" s="158"/>
      <c r="C645" s="159"/>
      <c r="D645" s="159"/>
      <c r="E645" s="159"/>
      <c r="F645" s="159"/>
      <c r="G645" s="159"/>
      <c r="H645" s="159"/>
      <c r="I645" s="158"/>
      <c r="J645" s="158"/>
      <c r="K645" s="158"/>
      <c r="L645" s="158"/>
      <c r="M645" s="160"/>
      <c r="N645" s="158"/>
      <c r="O645" s="159"/>
      <c r="P645" s="159"/>
      <c r="Q645" s="159"/>
      <c r="R645" s="159"/>
      <c r="S645" s="159"/>
      <c r="T645" s="159"/>
      <c r="U645" s="161"/>
      <c r="V645" s="161"/>
      <c r="W645" s="162"/>
      <c r="X645" s="159"/>
      <c r="Y645" s="159"/>
      <c r="Z645" s="159"/>
      <c r="AA645" s="159"/>
      <c r="AB645" s="159"/>
      <c r="AC645" s="159"/>
      <c r="AD645" s="159"/>
      <c r="AE645" s="159"/>
      <c r="AF645" s="159"/>
      <c r="AG645" s="159"/>
      <c r="AH645" s="161"/>
      <c r="AI645" s="162"/>
      <c r="AJ645" s="159"/>
      <c r="AK645" s="159"/>
      <c r="AL645" s="159"/>
      <c r="AM645" s="159"/>
      <c r="AN645" s="163"/>
      <c r="AO645" s="163"/>
    </row>
    <row r="646" spans="1:41" ht="18" hidden="1" customHeight="1" x14ac:dyDescent="0.25">
      <c r="A646" s="157"/>
      <c r="B646" s="158"/>
      <c r="C646" s="159"/>
      <c r="D646" s="159"/>
      <c r="E646" s="159"/>
      <c r="F646" s="159"/>
      <c r="G646" s="159"/>
      <c r="H646" s="159"/>
      <c r="I646" s="158"/>
      <c r="J646" s="158"/>
      <c r="K646" s="158"/>
      <c r="L646" s="158"/>
      <c r="M646" s="160"/>
      <c r="N646" s="158"/>
      <c r="O646" s="159"/>
      <c r="P646" s="159"/>
      <c r="Q646" s="159"/>
      <c r="R646" s="159"/>
      <c r="S646" s="159"/>
      <c r="T646" s="159"/>
      <c r="U646" s="161"/>
      <c r="V646" s="161"/>
      <c r="W646" s="162"/>
      <c r="X646" s="159"/>
      <c r="Y646" s="159"/>
      <c r="Z646" s="159"/>
      <c r="AA646" s="159"/>
      <c r="AB646" s="159"/>
      <c r="AC646" s="159"/>
      <c r="AD646" s="159"/>
      <c r="AE646" s="159"/>
      <c r="AF646" s="159"/>
      <c r="AG646" s="159"/>
      <c r="AH646" s="161"/>
      <c r="AI646" s="162"/>
      <c r="AJ646" s="159"/>
      <c r="AK646" s="159"/>
      <c r="AL646" s="159"/>
      <c r="AM646" s="159"/>
      <c r="AN646" s="163"/>
      <c r="AO646" s="163"/>
    </row>
    <row r="647" spans="1:41" ht="18" hidden="1" customHeight="1" x14ac:dyDescent="0.25">
      <c r="A647" s="157"/>
      <c r="B647" s="158"/>
      <c r="C647" s="159"/>
      <c r="D647" s="159"/>
      <c r="E647" s="159"/>
      <c r="F647" s="159"/>
      <c r="G647" s="159"/>
      <c r="H647" s="159"/>
      <c r="I647" s="158"/>
      <c r="J647" s="158"/>
      <c r="K647" s="158"/>
      <c r="L647" s="158"/>
      <c r="M647" s="160"/>
      <c r="N647" s="158"/>
      <c r="O647" s="159"/>
      <c r="P647" s="159"/>
      <c r="Q647" s="159"/>
      <c r="R647" s="159"/>
      <c r="S647" s="159"/>
      <c r="T647" s="159"/>
      <c r="U647" s="161"/>
      <c r="V647" s="161"/>
      <c r="W647" s="162"/>
      <c r="X647" s="159"/>
      <c r="Y647" s="159"/>
      <c r="Z647" s="159"/>
      <c r="AA647" s="159"/>
      <c r="AB647" s="159"/>
      <c r="AC647" s="159"/>
      <c r="AD647" s="159"/>
      <c r="AE647" s="159"/>
      <c r="AF647" s="159"/>
      <c r="AG647" s="159"/>
      <c r="AH647" s="161"/>
      <c r="AI647" s="162"/>
      <c r="AJ647" s="159"/>
      <c r="AK647" s="159"/>
      <c r="AL647" s="159"/>
      <c r="AM647" s="159"/>
      <c r="AN647" s="163"/>
      <c r="AO647" s="163"/>
    </row>
    <row r="648" spans="1:41" ht="18" hidden="1" customHeight="1" x14ac:dyDescent="0.25">
      <c r="A648" s="157"/>
      <c r="B648" s="158"/>
      <c r="C648" s="159"/>
      <c r="D648" s="159"/>
      <c r="E648" s="159"/>
      <c r="F648" s="159"/>
      <c r="G648" s="159"/>
      <c r="H648" s="159"/>
      <c r="I648" s="158"/>
      <c r="J648" s="158"/>
      <c r="K648" s="158"/>
      <c r="L648" s="158"/>
      <c r="M648" s="160"/>
      <c r="N648" s="158"/>
      <c r="O648" s="159"/>
      <c r="P648" s="159"/>
      <c r="Q648" s="159"/>
      <c r="R648" s="159"/>
      <c r="S648" s="159"/>
      <c r="T648" s="159"/>
      <c r="U648" s="161"/>
      <c r="V648" s="161"/>
      <c r="W648" s="162"/>
      <c r="X648" s="159"/>
      <c r="Y648" s="159"/>
      <c r="Z648" s="159"/>
      <c r="AA648" s="159"/>
      <c r="AB648" s="159"/>
      <c r="AC648" s="159"/>
      <c r="AD648" s="159"/>
      <c r="AE648" s="159"/>
      <c r="AF648" s="159"/>
      <c r="AG648" s="159"/>
      <c r="AH648" s="161"/>
      <c r="AI648" s="162"/>
      <c r="AJ648" s="159"/>
      <c r="AK648" s="159"/>
      <c r="AL648" s="159"/>
      <c r="AM648" s="159"/>
      <c r="AN648" s="163"/>
      <c r="AO648" s="163"/>
    </row>
    <row r="649" spans="1:41" ht="18" hidden="1" customHeight="1" x14ac:dyDescent="0.25">
      <c r="A649" s="157"/>
      <c r="B649" s="158"/>
      <c r="C649" s="159"/>
      <c r="D649" s="159"/>
      <c r="E649" s="159"/>
      <c r="F649" s="159"/>
      <c r="G649" s="159"/>
      <c r="H649" s="159"/>
      <c r="I649" s="158"/>
      <c r="J649" s="158"/>
      <c r="K649" s="158"/>
      <c r="L649" s="158"/>
      <c r="M649" s="160"/>
      <c r="N649" s="158"/>
      <c r="O649" s="159"/>
      <c r="P649" s="159"/>
      <c r="Q649" s="159"/>
      <c r="R649" s="159"/>
      <c r="S649" s="159"/>
      <c r="T649" s="159"/>
      <c r="U649" s="161"/>
      <c r="V649" s="161"/>
      <c r="W649" s="162"/>
      <c r="X649" s="159"/>
      <c r="Y649" s="159"/>
      <c r="Z649" s="159"/>
      <c r="AA649" s="159"/>
      <c r="AB649" s="159"/>
      <c r="AC649" s="159"/>
      <c r="AD649" s="159"/>
      <c r="AE649" s="159"/>
      <c r="AF649" s="159"/>
      <c r="AG649" s="159"/>
      <c r="AH649" s="161"/>
      <c r="AI649" s="162"/>
      <c r="AJ649" s="159"/>
      <c r="AK649" s="159"/>
      <c r="AL649" s="159"/>
      <c r="AM649" s="159"/>
      <c r="AN649" s="163"/>
      <c r="AO649" s="163"/>
    </row>
    <row r="650" spans="1:41" ht="18" hidden="1" customHeight="1" x14ac:dyDescent="0.25">
      <c r="A650" s="157"/>
      <c r="B650" s="158"/>
      <c r="C650" s="159"/>
      <c r="D650" s="159"/>
      <c r="E650" s="159"/>
      <c r="F650" s="159"/>
      <c r="G650" s="159"/>
      <c r="H650" s="159"/>
      <c r="I650" s="158"/>
      <c r="J650" s="158"/>
      <c r="K650" s="158"/>
      <c r="L650" s="158"/>
      <c r="M650" s="160"/>
      <c r="N650" s="158"/>
      <c r="O650" s="159"/>
      <c r="P650" s="159"/>
      <c r="Q650" s="159"/>
      <c r="R650" s="159"/>
      <c r="S650" s="159"/>
      <c r="T650" s="159"/>
      <c r="U650" s="161"/>
      <c r="V650" s="161"/>
      <c r="W650" s="162"/>
      <c r="X650" s="159"/>
      <c r="Y650" s="159"/>
      <c r="Z650" s="159"/>
      <c r="AA650" s="159"/>
      <c r="AB650" s="159"/>
      <c r="AC650" s="159"/>
      <c r="AD650" s="159"/>
      <c r="AE650" s="159"/>
      <c r="AF650" s="159"/>
      <c r="AG650" s="159"/>
      <c r="AH650" s="161"/>
      <c r="AI650" s="162"/>
      <c r="AJ650" s="159"/>
      <c r="AK650" s="159"/>
      <c r="AL650" s="159"/>
      <c r="AM650" s="159"/>
      <c r="AN650" s="163"/>
      <c r="AO650" s="163"/>
    </row>
    <row r="651" spans="1:41" ht="18" hidden="1" customHeight="1" x14ac:dyDescent="0.25">
      <c r="A651" s="157"/>
      <c r="B651" s="158"/>
      <c r="C651" s="159"/>
      <c r="D651" s="159"/>
      <c r="E651" s="159"/>
      <c r="F651" s="159"/>
      <c r="G651" s="159"/>
      <c r="H651" s="159"/>
      <c r="I651" s="158"/>
      <c r="J651" s="158"/>
      <c r="K651" s="158"/>
      <c r="L651" s="158"/>
      <c r="M651" s="160"/>
      <c r="N651" s="158"/>
      <c r="O651" s="159"/>
      <c r="P651" s="159"/>
      <c r="Q651" s="159"/>
      <c r="R651" s="159"/>
      <c r="S651" s="159"/>
      <c r="T651" s="159"/>
      <c r="U651" s="161"/>
      <c r="V651" s="161"/>
      <c r="W651" s="162"/>
      <c r="X651" s="159"/>
      <c r="Y651" s="159"/>
      <c r="Z651" s="159"/>
      <c r="AA651" s="159"/>
      <c r="AB651" s="159"/>
      <c r="AC651" s="159"/>
      <c r="AD651" s="159"/>
      <c r="AE651" s="159"/>
      <c r="AF651" s="159"/>
      <c r="AG651" s="159"/>
      <c r="AH651" s="161"/>
      <c r="AI651" s="162"/>
      <c r="AJ651" s="159"/>
      <c r="AK651" s="159"/>
      <c r="AL651" s="159"/>
      <c r="AM651" s="159"/>
      <c r="AN651" s="163"/>
      <c r="AO651" s="163"/>
    </row>
    <row r="652" spans="1:41" ht="18" hidden="1" customHeight="1" x14ac:dyDescent="0.25">
      <c r="A652" s="157"/>
      <c r="B652" s="158"/>
      <c r="C652" s="159"/>
      <c r="D652" s="159"/>
      <c r="E652" s="159"/>
      <c r="F652" s="159"/>
      <c r="G652" s="159"/>
      <c r="H652" s="159"/>
      <c r="I652" s="158"/>
      <c r="J652" s="158"/>
      <c r="K652" s="158"/>
      <c r="L652" s="158"/>
      <c r="M652" s="160"/>
      <c r="N652" s="158"/>
      <c r="O652" s="159"/>
      <c r="P652" s="159"/>
      <c r="Q652" s="159"/>
      <c r="R652" s="159"/>
      <c r="S652" s="159"/>
      <c r="T652" s="159"/>
      <c r="U652" s="161"/>
      <c r="V652" s="161"/>
      <c r="W652" s="162"/>
      <c r="X652" s="159"/>
      <c r="Y652" s="159"/>
      <c r="Z652" s="159"/>
      <c r="AA652" s="159"/>
      <c r="AB652" s="159"/>
      <c r="AC652" s="159"/>
      <c r="AD652" s="159"/>
      <c r="AE652" s="159"/>
      <c r="AF652" s="159"/>
      <c r="AG652" s="159"/>
      <c r="AH652" s="161"/>
      <c r="AI652" s="162"/>
      <c r="AJ652" s="159"/>
      <c r="AK652" s="159"/>
      <c r="AL652" s="159"/>
      <c r="AM652" s="159"/>
      <c r="AN652" s="163"/>
      <c r="AO652" s="163"/>
    </row>
    <row r="653" spans="1:41" ht="18" hidden="1" customHeight="1" x14ac:dyDescent="0.25">
      <c r="A653" s="157"/>
      <c r="B653" s="158"/>
      <c r="C653" s="159"/>
      <c r="D653" s="159"/>
      <c r="E653" s="159"/>
      <c r="F653" s="159"/>
      <c r="G653" s="159"/>
      <c r="H653" s="159"/>
      <c r="I653" s="158"/>
      <c r="J653" s="158"/>
      <c r="K653" s="158"/>
      <c r="L653" s="158"/>
      <c r="M653" s="160"/>
      <c r="N653" s="158"/>
      <c r="O653" s="159"/>
      <c r="P653" s="159"/>
      <c r="Q653" s="159"/>
      <c r="R653" s="159"/>
      <c r="S653" s="159"/>
      <c r="T653" s="159"/>
      <c r="U653" s="161"/>
      <c r="V653" s="161"/>
      <c r="W653" s="162"/>
      <c r="X653" s="159"/>
      <c r="Y653" s="159"/>
      <c r="Z653" s="159"/>
      <c r="AA653" s="159"/>
      <c r="AB653" s="159"/>
      <c r="AC653" s="159"/>
      <c r="AD653" s="159"/>
      <c r="AE653" s="159"/>
      <c r="AF653" s="159"/>
      <c r="AG653" s="159"/>
      <c r="AH653" s="161"/>
      <c r="AI653" s="162"/>
      <c r="AJ653" s="159"/>
      <c r="AK653" s="159"/>
      <c r="AL653" s="159"/>
      <c r="AM653" s="159"/>
      <c r="AN653" s="163"/>
      <c r="AO653" s="163"/>
    </row>
    <row r="654" spans="1:41" ht="18" hidden="1" customHeight="1" x14ac:dyDescent="0.25">
      <c r="A654" s="157"/>
      <c r="B654" s="158"/>
      <c r="C654" s="159"/>
      <c r="D654" s="159"/>
      <c r="E654" s="159"/>
      <c r="F654" s="159"/>
      <c r="G654" s="159"/>
      <c r="H654" s="159"/>
      <c r="I654" s="158"/>
      <c r="J654" s="158"/>
      <c r="K654" s="158"/>
      <c r="L654" s="158"/>
      <c r="M654" s="160"/>
      <c r="N654" s="158"/>
      <c r="O654" s="159"/>
      <c r="P654" s="159"/>
      <c r="Q654" s="159"/>
      <c r="R654" s="159"/>
      <c r="S654" s="159"/>
      <c r="T654" s="159"/>
      <c r="U654" s="161"/>
      <c r="V654" s="161"/>
      <c r="W654" s="162"/>
      <c r="X654" s="159"/>
      <c r="Y654" s="159"/>
      <c r="Z654" s="159"/>
      <c r="AA654" s="159"/>
      <c r="AB654" s="159"/>
      <c r="AC654" s="159"/>
      <c r="AD654" s="159"/>
      <c r="AE654" s="159"/>
      <c r="AF654" s="159"/>
      <c r="AG654" s="159"/>
      <c r="AH654" s="161"/>
      <c r="AI654" s="162"/>
      <c r="AJ654" s="159"/>
      <c r="AK654" s="159"/>
      <c r="AL654" s="159"/>
      <c r="AM654" s="159"/>
      <c r="AN654" s="163"/>
      <c r="AO654" s="163"/>
    </row>
    <row r="655" spans="1:41" ht="18" hidden="1" customHeight="1" x14ac:dyDescent="0.25">
      <c r="A655" s="157"/>
      <c r="B655" s="158"/>
      <c r="C655" s="159"/>
      <c r="D655" s="159"/>
      <c r="E655" s="159"/>
      <c r="F655" s="159"/>
      <c r="G655" s="159"/>
      <c r="H655" s="159"/>
      <c r="I655" s="158"/>
      <c r="J655" s="158"/>
      <c r="K655" s="158"/>
      <c r="L655" s="158"/>
      <c r="M655" s="160"/>
      <c r="N655" s="158"/>
      <c r="O655" s="159"/>
      <c r="P655" s="159"/>
      <c r="Q655" s="159"/>
      <c r="R655" s="159"/>
      <c r="S655" s="159"/>
      <c r="T655" s="159"/>
      <c r="U655" s="161"/>
      <c r="V655" s="161"/>
      <c r="W655" s="162"/>
      <c r="X655" s="159"/>
      <c r="Y655" s="159"/>
      <c r="Z655" s="159"/>
      <c r="AA655" s="159"/>
      <c r="AB655" s="159"/>
      <c r="AC655" s="159"/>
      <c r="AD655" s="159"/>
      <c r="AE655" s="159"/>
      <c r="AF655" s="159"/>
      <c r="AG655" s="159"/>
      <c r="AH655" s="161"/>
      <c r="AI655" s="162"/>
      <c r="AJ655" s="159"/>
      <c r="AK655" s="159"/>
      <c r="AL655" s="159"/>
      <c r="AM655" s="159"/>
      <c r="AN655" s="163"/>
      <c r="AO655" s="163"/>
    </row>
    <row r="656" spans="1:41" ht="18" hidden="1" customHeight="1" x14ac:dyDescent="0.25">
      <c r="A656" s="157"/>
      <c r="B656" s="158"/>
      <c r="C656" s="159"/>
      <c r="D656" s="159"/>
      <c r="E656" s="159"/>
      <c r="F656" s="159"/>
      <c r="G656" s="159"/>
      <c r="H656" s="159"/>
      <c r="I656" s="158"/>
      <c r="J656" s="158"/>
      <c r="K656" s="158"/>
      <c r="L656" s="158"/>
      <c r="M656" s="160"/>
      <c r="N656" s="158"/>
      <c r="O656" s="159"/>
      <c r="P656" s="159"/>
      <c r="Q656" s="159"/>
      <c r="R656" s="159"/>
      <c r="S656" s="159"/>
      <c r="T656" s="159"/>
      <c r="U656" s="161"/>
      <c r="V656" s="161"/>
      <c r="W656" s="162"/>
      <c r="X656" s="159"/>
      <c r="Y656" s="159"/>
      <c r="Z656" s="159"/>
      <c r="AA656" s="159"/>
      <c r="AB656" s="159"/>
      <c r="AC656" s="159"/>
      <c r="AD656" s="159"/>
      <c r="AE656" s="159"/>
      <c r="AF656" s="159"/>
      <c r="AG656" s="159"/>
      <c r="AH656" s="161"/>
      <c r="AI656" s="162"/>
      <c r="AJ656" s="159"/>
      <c r="AK656" s="159"/>
      <c r="AL656" s="159"/>
      <c r="AM656" s="159"/>
      <c r="AN656" s="163"/>
      <c r="AO656" s="163"/>
    </row>
    <row r="657" spans="1:41" ht="18" hidden="1" customHeight="1" x14ac:dyDescent="0.25">
      <c r="A657" s="157"/>
      <c r="B657" s="158"/>
      <c r="C657" s="159"/>
      <c r="D657" s="159"/>
      <c r="E657" s="159"/>
      <c r="F657" s="159"/>
      <c r="G657" s="159"/>
      <c r="H657" s="159"/>
      <c r="I657" s="158"/>
      <c r="J657" s="158"/>
      <c r="K657" s="158"/>
      <c r="L657" s="158"/>
      <c r="M657" s="160"/>
      <c r="N657" s="158"/>
      <c r="O657" s="159"/>
      <c r="P657" s="159"/>
      <c r="Q657" s="159"/>
      <c r="R657" s="159"/>
      <c r="S657" s="159"/>
      <c r="T657" s="159"/>
      <c r="U657" s="161"/>
      <c r="V657" s="161"/>
      <c r="W657" s="162"/>
      <c r="X657" s="159"/>
      <c r="Y657" s="159"/>
      <c r="Z657" s="159"/>
      <c r="AA657" s="159"/>
      <c r="AB657" s="159"/>
      <c r="AC657" s="159"/>
      <c r="AD657" s="159"/>
      <c r="AE657" s="159"/>
      <c r="AF657" s="159"/>
      <c r="AG657" s="159"/>
      <c r="AH657" s="161"/>
      <c r="AI657" s="162"/>
      <c r="AJ657" s="159"/>
      <c r="AK657" s="159"/>
      <c r="AL657" s="159"/>
      <c r="AM657" s="159"/>
      <c r="AN657" s="163"/>
      <c r="AO657" s="163"/>
    </row>
    <row r="658" spans="1:41" ht="18" hidden="1" customHeight="1" x14ac:dyDescent="0.25">
      <c r="A658" s="157"/>
      <c r="B658" s="158"/>
      <c r="C658" s="159"/>
      <c r="D658" s="159"/>
      <c r="E658" s="159"/>
      <c r="F658" s="159"/>
      <c r="G658" s="159"/>
      <c r="H658" s="159"/>
      <c r="I658" s="158"/>
      <c r="J658" s="158"/>
      <c r="K658" s="158"/>
      <c r="L658" s="158"/>
      <c r="M658" s="160"/>
      <c r="N658" s="158"/>
      <c r="O658" s="159"/>
      <c r="P658" s="159"/>
      <c r="Q658" s="159"/>
      <c r="R658" s="159"/>
      <c r="S658" s="159"/>
      <c r="T658" s="159"/>
      <c r="U658" s="161"/>
      <c r="V658" s="161"/>
      <c r="W658" s="162"/>
      <c r="X658" s="159"/>
      <c r="Y658" s="159"/>
      <c r="Z658" s="159"/>
      <c r="AA658" s="159"/>
      <c r="AB658" s="159"/>
      <c r="AC658" s="159"/>
      <c r="AD658" s="159"/>
      <c r="AE658" s="159"/>
      <c r="AF658" s="159"/>
      <c r="AG658" s="159"/>
      <c r="AH658" s="161"/>
      <c r="AI658" s="162"/>
      <c r="AJ658" s="159"/>
      <c r="AK658" s="159"/>
      <c r="AL658" s="159"/>
      <c r="AM658" s="159"/>
      <c r="AN658" s="163"/>
      <c r="AO658" s="163"/>
    </row>
    <row r="659" spans="1:41" ht="18" hidden="1" customHeight="1" x14ac:dyDescent="0.25">
      <c r="A659" s="157"/>
      <c r="B659" s="158"/>
      <c r="C659" s="159"/>
      <c r="D659" s="159"/>
      <c r="E659" s="159"/>
      <c r="F659" s="159"/>
      <c r="G659" s="159"/>
      <c r="H659" s="159"/>
      <c r="I659" s="158"/>
      <c r="J659" s="158"/>
      <c r="K659" s="158"/>
      <c r="L659" s="158"/>
      <c r="M659" s="160"/>
      <c r="N659" s="158"/>
      <c r="O659" s="159"/>
      <c r="P659" s="159"/>
      <c r="Q659" s="159"/>
      <c r="R659" s="159"/>
      <c r="S659" s="159"/>
      <c r="T659" s="159"/>
      <c r="U659" s="161"/>
      <c r="V659" s="161"/>
      <c r="W659" s="162"/>
      <c r="X659" s="159"/>
      <c r="Y659" s="159"/>
      <c r="Z659" s="159"/>
      <c r="AA659" s="159"/>
      <c r="AB659" s="159"/>
      <c r="AC659" s="159"/>
      <c r="AD659" s="159"/>
      <c r="AE659" s="159"/>
      <c r="AF659" s="159"/>
      <c r="AG659" s="159"/>
      <c r="AH659" s="161"/>
      <c r="AI659" s="162"/>
      <c r="AJ659" s="159"/>
      <c r="AK659" s="159"/>
      <c r="AL659" s="159"/>
      <c r="AM659" s="159"/>
      <c r="AN659" s="163"/>
      <c r="AO659" s="163"/>
    </row>
    <row r="660" spans="1:41" ht="18" hidden="1" customHeight="1" x14ac:dyDescent="0.25">
      <c r="A660" s="157"/>
      <c r="B660" s="158"/>
      <c r="C660" s="159"/>
      <c r="D660" s="159"/>
      <c r="E660" s="159"/>
      <c r="F660" s="159"/>
      <c r="G660" s="159"/>
      <c r="H660" s="159"/>
      <c r="I660" s="158"/>
      <c r="J660" s="158"/>
      <c r="K660" s="158"/>
      <c r="L660" s="158"/>
      <c r="M660" s="160"/>
      <c r="N660" s="158"/>
      <c r="O660" s="159"/>
      <c r="P660" s="159"/>
      <c r="Q660" s="159"/>
      <c r="R660" s="159"/>
      <c r="S660" s="159"/>
      <c r="T660" s="159"/>
      <c r="U660" s="161"/>
      <c r="V660" s="161"/>
      <c r="W660" s="162"/>
      <c r="X660" s="159"/>
      <c r="Y660" s="159"/>
      <c r="Z660" s="159"/>
      <c r="AA660" s="159"/>
      <c r="AB660" s="159"/>
      <c r="AC660" s="159"/>
      <c r="AD660" s="159"/>
      <c r="AE660" s="159"/>
      <c r="AF660" s="159"/>
      <c r="AG660" s="159"/>
      <c r="AH660" s="161"/>
      <c r="AI660" s="162"/>
      <c r="AJ660" s="159"/>
      <c r="AK660" s="159"/>
      <c r="AL660" s="159"/>
      <c r="AM660" s="159"/>
      <c r="AN660" s="163"/>
      <c r="AO660" s="163"/>
    </row>
    <row r="661" spans="1:41" ht="18" hidden="1" customHeight="1" x14ac:dyDescent="0.25">
      <c r="A661" s="157"/>
      <c r="B661" s="158"/>
      <c r="C661" s="159"/>
      <c r="D661" s="159"/>
      <c r="E661" s="159"/>
      <c r="F661" s="159"/>
      <c r="G661" s="159"/>
      <c r="H661" s="159"/>
      <c r="I661" s="158"/>
      <c r="J661" s="158"/>
      <c r="K661" s="158"/>
      <c r="L661" s="158"/>
      <c r="M661" s="160"/>
      <c r="N661" s="158"/>
      <c r="O661" s="159"/>
      <c r="P661" s="159"/>
      <c r="Q661" s="159"/>
      <c r="R661" s="159"/>
      <c r="S661" s="159"/>
      <c r="T661" s="159"/>
      <c r="U661" s="161"/>
      <c r="V661" s="161"/>
      <c r="W661" s="162"/>
      <c r="X661" s="159"/>
      <c r="Y661" s="159"/>
      <c r="Z661" s="159"/>
      <c r="AA661" s="159"/>
      <c r="AB661" s="159"/>
      <c r="AC661" s="159"/>
      <c r="AD661" s="159"/>
      <c r="AE661" s="159"/>
      <c r="AF661" s="159"/>
      <c r="AG661" s="159"/>
      <c r="AH661" s="161"/>
      <c r="AI661" s="162"/>
      <c r="AJ661" s="159"/>
      <c r="AK661" s="159"/>
      <c r="AL661" s="159"/>
      <c r="AM661" s="159"/>
      <c r="AN661" s="163"/>
      <c r="AO661" s="163"/>
    </row>
    <row r="662" spans="1:41" ht="18" hidden="1" customHeight="1" x14ac:dyDescent="0.25">
      <c r="A662" s="157"/>
      <c r="B662" s="158"/>
      <c r="C662" s="159"/>
      <c r="D662" s="159"/>
      <c r="E662" s="159"/>
      <c r="F662" s="159"/>
      <c r="G662" s="159"/>
      <c r="H662" s="159"/>
      <c r="I662" s="158"/>
      <c r="J662" s="158"/>
      <c r="K662" s="158"/>
      <c r="L662" s="158"/>
      <c r="M662" s="160"/>
      <c r="N662" s="158"/>
      <c r="O662" s="159"/>
      <c r="P662" s="159"/>
      <c r="Q662" s="159"/>
      <c r="R662" s="159"/>
      <c r="S662" s="159"/>
      <c r="T662" s="159"/>
      <c r="U662" s="161"/>
      <c r="V662" s="161"/>
      <c r="W662" s="162"/>
      <c r="X662" s="159"/>
      <c r="Y662" s="159"/>
      <c r="Z662" s="159"/>
      <c r="AA662" s="159"/>
      <c r="AB662" s="159"/>
      <c r="AC662" s="159"/>
      <c r="AD662" s="159"/>
      <c r="AE662" s="159"/>
      <c r="AF662" s="159"/>
      <c r="AG662" s="159"/>
      <c r="AH662" s="161"/>
      <c r="AI662" s="162"/>
      <c r="AJ662" s="159"/>
      <c r="AK662" s="159"/>
      <c r="AL662" s="159"/>
      <c r="AM662" s="159"/>
      <c r="AN662" s="163"/>
      <c r="AO662" s="163"/>
    </row>
    <row r="663" spans="1:41" ht="18" hidden="1" customHeight="1" x14ac:dyDescent="0.25">
      <c r="A663" s="157"/>
      <c r="B663" s="158"/>
      <c r="C663" s="159"/>
      <c r="D663" s="159"/>
      <c r="E663" s="159"/>
      <c r="F663" s="159"/>
      <c r="G663" s="159"/>
      <c r="H663" s="159"/>
      <c r="I663" s="158"/>
      <c r="J663" s="158"/>
      <c r="K663" s="158"/>
      <c r="L663" s="158"/>
      <c r="M663" s="160"/>
      <c r="N663" s="158"/>
      <c r="O663" s="159"/>
      <c r="P663" s="159"/>
      <c r="Q663" s="159"/>
      <c r="R663" s="159"/>
      <c r="S663" s="159"/>
      <c r="T663" s="159"/>
      <c r="U663" s="161"/>
      <c r="V663" s="161"/>
      <c r="W663" s="162"/>
      <c r="X663" s="159"/>
      <c r="Y663" s="159"/>
      <c r="Z663" s="159"/>
      <c r="AA663" s="159"/>
      <c r="AB663" s="159"/>
      <c r="AC663" s="159"/>
      <c r="AD663" s="159"/>
      <c r="AE663" s="159"/>
      <c r="AF663" s="159"/>
      <c r="AG663" s="159"/>
      <c r="AH663" s="161"/>
      <c r="AI663" s="162"/>
      <c r="AJ663" s="159"/>
      <c r="AK663" s="159"/>
      <c r="AL663" s="159"/>
      <c r="AM663" s="159"/>
      <c r="AN663" s="163"/>
      <c r="AO663" s="163"/>
    </row>
    <row r="664" spans="1:41" ht="18" hidden="1" customHeight="1" x14ac:dyDescent="0.25">
      <c r="A664" s="157"/>
      <c r="B664" s="158"/>
      <c r="C664" s="159"/>
      <c r="D664" s="159"/>
      <c r="E664" s="159"/>
      <c r="F664" s="159"/>
      <c r="G664" s="159"/>
      <c r="H664" s="159"/>
      <c r="I664" s="158"/>
      <c r="J664" s="158"/>
      <c r="K664" s="158"/>
      <c r="L664" s="158"/>
      <c r="M664" s="160"/>
      <c r="N664" s="158"/>
      <c r="O664" s="159"/>
      <c r="P664" s="159"/>
      <c r="Q664" s="159"/>
      <c r="R664" s="159"/>
      <c r="S664" s="159"/>
      <c r="T664" s="159"/>
      <c r="U664" s="161"/>
      <c r="V664" s="161"/>
      <c r="W664" s="162"/>
      <c r="X664" s="159"/>
      <c r="Y664" s="159"/>
      <c r="Z664" s="159"/>
      <c r="AA664" s="159"/>
      <c r="AB664" s="159"/>
      <c r="AC664" s="159"/>
      <c r="AD664" s="159"/>
      <c r="AE664" s="159"/>
      <c r="AF664" s="159"/>
      <c r="AG664" s="159"/>
      <c r="AH664" s="161"/>
      <c r="AI664" s="162"/>
      <c r="AJ664" s="159"/>
      <c r="AK664" s="159"/>
      <c r="AL664" s="159"/>
      <c r="AM664" s="159"/>
      <c r="AN664" s="163"/>
      <c r="AO664" s="163"/>
    </row>
    <row r="665" spans="1:41" ht="18" hidden="1" customHeight="1" x14ac:dyDescent="0.25">
      <c r="A665" s="157"/>
      <c r="B665" s="158"/>
      <c r="C665" s="159"/>
      <c r="D665" s="159"/>
      <c r="E665" s="159"/>
      <c r="F665" s="159"/>
      <c r="G665" s="159"/>
      <c r="H665" s="159"/>
      <c r="I665" s="158"/>
      <c r="J665" s="158"/>
      <c r="K665" s="158"/>
      <c r="L665" s="158"/>
      <c r="M665" s="160"/>
      <c r="N665" s="158"/>
      <c r="O665" s="159"/>
      <c r="P665" s="159"/>
      <c r="Q665" s="159"/>
      <c r="R665" s="159"/>
      <c r="S665" s="159"/>
      <c r="T665" s="159"/>
      <c r="U665" s="161"/>
      <c r="V665" s="161"/>
      <c r="W665" s="162"/>
      <c r="X665" s="159"/>
      <c r="Y665" s="159"/>
      <c r="Z665" s="159"/>
      <c r="AA665" s="159"/>
      <c r="AB665" s="159"/>
      <c r="AC665" s="159"/>
      <c r="AD665" s="159"/>
      <c r="AE665" s="159"/>
      <c r="AF665" s="159"/>
      <c r="AG665" s="159"/>
      <c r="AH665" s="161"/>
      <c r="AI665" s="162"/>
      <c r="AJ665" s="159"/>
      <c r="AK665" s="159"/>
      <c r="AL665" s="159"/>
      <c r="AM665" s="159"/>
      <c r="AN665" s="163"/>
      <c r="AO665" s="163"/>
    </row>
    <row r="666" spans="1:41" ht="18" hidden="1" customHeight="1" x14ac:dyDescent="0.25">
      <c r="A666" s="157"/>
      <c r="B666" s="158"/>
      <c r="C666" s="159"/>
      <c r="D666" s="159"/>
      <c r="E666" s="159"/>
      <c r="F666" s="159"/>
      <c r="G666" s="159"/>
      <c r="H666" s="159"/>
      <c r="I666" s="158"/>
      <c r="J666" s="158"/>
      <c r="K666" s="158"/>
      <c r="L666" s="158"/>
      <c r="M666" s="160"/>
      <c r="N666" s="158"/>
      <c r="O666" s="159"/>
      <c r="P666" s="159"/>
      <c r="Q666" s="159"/>
      <c r="R666" s="159"/>
      <c r="S666" s="159"/>
      <c r="T666" s="159"/>
      <c r="U666" s="161"/>
      <c r="V666" s="161"/>
      <c r="W666" s="162"/>
      <c r="X666" s="159"/>
      <c r="Y666" s="159"/>
      <c r="Z666" s="159"/>
      <c r="AA666" s="159"/>
      <c r="AB666" s="159"/>
      <c r="AC666" s="159"/>
      <c r="AD666" s="159"/>
      <c r="AE666" s="159"/>
      <c r="AF666" s="159"/>
      <c r="AG666" s="159"/>
      <c r="AH666" s="161"/>
      <c r="AI666" s="162"/>
      <c r="AJ666" s="159"/>
      <c r="AK666" s="159"/>
      <c r="AL666" s="159"/>
      <c r="AM666" s="159"/>
      <c r="AN666" s="163"/>
      <c r="AO666" s="163"/>
    </row>
    <row r="667" spans="1:41" ht="18" hidden="1" customHeight="1" x14ac:dyDescent="0.25">
      <c r="A667" s="157"/>
      <c r="B667" s="158"/>
      <c r="C667" s="159"/>
      <c r="D667" s="159"/>
      <c r="E667" s="159"/>
      <c r="F667" s="159"/>
      <c r="G667" s="159"/>
      <c r="H667" s="159"/>
      <c r="I667" s="158"/>
      <c r="J667" s="158"/>
      <c r="K667" s="158"/>
      <c r="L667" s="158"/>
      <c r="M667" s="160"/>
      <c r="N667" s="158"/>
      <c r="O667" s="159"/>
      <c r="P667" s="159"/>
      <c r="Q667" s="159"/>
      <c r="R667" s="159"/>
      <c r="S667" s="159"/>
      <c r="T667" s="159"/>
      <c r="U667" s="161"/>
      <c r="V667" s="161"/>
      <c r="W667" s="162"/>
      <c r="X667" s="159"/>
      <c r="Y667" s="159"/>
      <c r="Z667" s="159"/>
      <c r="AA667" s="159"/>
      <c r="AB667" s="159"/>
      <c r="AC667" s="159"/>
      <c r="AD667" s="159"/>
      <c r="AE667" s="159"/>
      <c r="AF667" s="159"/>
      <c r="AG667" s="159"/>
      <c r="AH667" s="161"/>
      <c r="AI667" s="162"/>
      <c r="AJ667" s="159"/>
      <c r="AK667" s="159"/>
      <c r="AL667" s="159"/>
      <c r="AM667" s="159"/>
      <c r="AN667" s="163"/>
      <c r="AO667" s="163"/>
    </row>
    <row r="668" spans="1:41" ht="18" hidden="1" customHeight="1" x14ac:dyDescent="0.25">
      <c r="A668" s="157"/>
      <c r="B668" s="158"/>
      <c r="C668" s="159"/>
      <c r="D668" s="159"/>
      <c r="E668" s="159"/>
      <c r="F668" s="159"/>
      <c r="G668" s="159"/>
      <c r="H668" s="159"/>
      <c r="I668" s="158"/>
      <c r="J668" s="158"/>
      <c r="K668" s="158"/>
      <c r="L668" s="158"/>
      <c r="M668" s="160"/>
      <c r="N668" s="158"/>
      <c r="O668" s="159"/>
      <c r="P668" s="159"/>
      <c r="Q668" s="159"/>
      <c r="R668" s="159"/>
      <c r="S668" s="159"/>
      <c r="T668" s="159"/>
      <c r="U668" s="161"/>
      <c r="V668" s="161"/>
      <c r="W668" s="162"/>
      <c r="X668" s="159"/>
      <c r="Y668" s="159"/>
      <c r="Z668" s="159"/>
      <c r="AA668" s="159"/>
      <c r="AB668" s="159"/>
      <c r="AC668" s="159"/>
      <c r="AD668" s="159"/>
      <c r="AE668" s="159"/>
      <c r="AF668" s="159"/>
      <c r="AG668" s="159"/>
      <c r="AH668" s="161"/>
      <c r="AI668" s="162"/>
      <c r="AJ668" s="159"/>
      <c r="AK668" s="159"/>
      <c r="AL668" s="159"/>
      <c r="AM668" s="159"/>
      <c r="AN668" s="163"/>
      <c r="AO668" s="163"/>
    </row>
    <row r="669" spans="1:41" ht="18" hidden="1" customHeight="1" x14ac:dyDescent="0.25">
      <c r="A669" s="157"/>
      <c r="B669" s="158"/>
      <c r="C669" s="159"/>
      <c r="D669" s="159"/>
      <c r="E669" s="159"/>
      <c r="F669" s="159"/>
      <c r="G669" s="159"/>
      <c r="H669" s="159"/>
      <c r="I669" s="158"/>
      <c r="J669" s="158"/>
      <c r="K669" s="158"/>
      <c r="L669" s="158"/>
      <c r="M669" s="160"/>
      <c r="N669" s="158"/>
      <c r="O669" s="159"/>
      <c r="P669" s="159"/>
      <c r="Q669" s="159"/>
      <c r="R669" s="159"/>
      <c r="S669" s="159"/>
      <c r="T669" s="159"/>
      <c r="U669" s="161"/>
      <c r="V669" s="161"/>
      <c r="W669" s="162"/>
      <c r="X669" s="159"/>
      <c r="Y669" s="159"/>
      <c r="Z669" s="159"/>
      <c r="AA669" s="159"/>
      <c r="AB669" s="159"/>
      <c r="AC669" s="159"/>
      <c r="AD669" s="159"/>
      <c r="AE669" s="159"/>
      <c r="AF669" s="159"/>
      <c r="AG669" s="159"/>
      <c r="AH669" s="161"/>
      <c r="AI669" s="162"/>
      <c r="AJ669" s="159"/>
      <c r="AK669" s="159"/>
      <c r="AL669" s="159"/>
      <c r="AM669" s="159"/>
      <c r="AN669" s="163"/>
      <c r="AO669" s="163"/>
    </row>
    <row r="670" spans="1:41" ht="18" hidden="1" customHeight="1" x14ac:dyDescent="0.25">
      <c r="A670" s="157"/>
      <c r="B670" s="158"/>
      <c r="C670" s="159"/>
      <c r="D670" s="159"/>
      <c r="E670" s="159"/>
      <c r="F670" s="159"/>
      <c r="G670" s="159"/>
      <c r="H670" s="159"/>
      <c r="I670" s="158"/>
      <c r="J670" s="158"/>
      <c r="K670" s="158"/>
      <c r="L670" s="158"/>
      <c r="M670" s="160"/>
      <c r="N670" s="158"/>
      <c r="O670" s="159"/>
      <c r="P670" s="159"/>
      <c r="Q670" s="159"/>
      <c r="R670" s="159"/>
      <c r="S670" s="159"/>
      <c r="T670" s="159"/>
      <c r="U670" s="161"/>
      <c r="V670" s="161"/>
      <c r="W670" s="162"/>
      <c r="X670" s="159"/>
      <c r="Y670" s="159"/>
      <c r="Z670" s="159"/>
      <c r="AA670" s="159"/>
      <c r="AB670" s="159"/>
      <c r="AC670" s="159"/>
      <c r="AD670" s="159"/>
      <c r="AE670" s="159"/>
      <c r="AF670" s="159"/>
      <c r="AG670" s="159"/>
      <c r="AH670" s="161"/>
      <c r="AI670" s="162"/>
      <c r="AJ670" s="159"/>
      <c r="AK670" s="159"/>
      <c r="AL670" s="159"/>
      <c r="AM670" s="159"/>
      <c r="AN670" s="163"/>
      <c r="AO670" s="163"/>
    </row>
    <row r="671" spans="1:41" ht="18" hidden="1" customHeight="1" x14ac:dyDescent="0.25">
      <c r="A671" s="157"/>
      <c r="B671" s="158"/>
      <c r="C671" s="159"/>
      <c r="D671" s="159"/>
      <c r="E671" s="159"/>
      <c r="F671" s="159"/>
      <c r="G671" s="159"/>
      <c r="H671" s="159"/>
      <c r="I671" s="158"/>
      <c r="J671" s="158"/>
      <c r="K671" s="158"/>
      <c r="L671" s="158"/>
      <c r="M671" s="160"/>
      <c r="N671" s="158"/>
      <c r="O671" s="159"/>
      <c r="P671" s="159"/>
      <c r="Q671" s="159"/>
      <c r="R671" s="159"/>
      <c r="S671" s="159"/>
      <c r="T671" s="159"/>
      <c r="U671" s="161"/>
      <c r="V671" s="161"/>
      <c r="W671" s="162"/>
      <c r="X671" s="159"/>
      <c r="Y671" s="159"/>
      <c r="Z671" s="159"/>
      <c r="AA671" s="159"/>
      <c r="AB671" s="159"/>
      <c r="AC671" s="159"/>
      <c r="AD671" s="159"/>
      <c r="AE671" s="159"/>
      <c r="AF671" s="159"/>
      <c r="AG671" s="159"/>
      <c r="AH671" s="161"/>
      <c r="AI671" s="162"/>
      <c r="AJ671" s="159"/>
      <c r="AK671" s="159"/>
      <c r="AL671" s="159"/>
      <c r="AM671" s="159"/>
      <c r="AN671" s="163"/>
      <c r="AO671" s="163"/>
    </row>
    <row r="672" spans="1:41" ht="18" hidden="1" customHeight="1" x14ac:dyDescent="0.25">
      <c r="A672" s="157"/>
      <c r="B672" s="158"/>
      <c r="C672" s="159"/>
      <c r="D672" s="159"/>
      <c r="E672" s="159"/>
      <c r="F672" s="159"/>
      <c r="G672" s="159"/>
      <c r="H672" s="159"/>
      <c r="I672" s="158"/>
      <c r="J672" s="158"/>
      <c r="K672" s="158"/>
      <c r="L672" s="158"/>
      <c r="M672" s="160"/>
      <c r="N672" s="158"/>
      <c r="O672" s="159"/>
      <c r="P672" s="159"/>
      <c r="Q672" s="159"/>
      <c r="R672" s="159"/>
      <c r="S672" s="159"/>
      <c r="T672" s="159"/>
      <c r="U672" s="161"/>
      <c r="V672" s="161"/>
      <c r="W672" s="162"/>
      <c r="X672" s="159"/>
      <c r="Y672" s="159"/>
      <c r="Z672" s="159"/>
      <c r="AA672" s="159"/>
      <c r="AB672" s="159"/>
      <c r="AC672" s="159"/>
      <c r="AD672" s="159"/>
      <c r="AE672" s="159"/>
      <c r="AF672" s="159"/>
      <c r="AG672" s="159"/>
      <c r="AH672" s="161"/>
      <c r="AI672" s="162"/>
      <c r="AJ672" s="159"/>
      <c r="AK672" s="159"/>
      <c r="AL672" s="159"/>
      <c r="AM672" s="159"/>
      <c r="AN672" s="163"/>
      <c r="AO672" s="163"/>
    </row>
    <row r="673" spans="1:41" ht="18" hidden="1" customHeight="1" x14ac:dyDescent="0.25">
      <c r="A673" s="157"/>
      <c r="B673" s="158"/>
      <c r="C673" s="159"/>
      <c r="D673" s="159"/>
      <c r="E673" s="159"/>
      <c r="F673" s="159"/>
      <c r="G673" s="159"/>
      <c r="H673" s="159"/>
      <c r="I673" s="158"/>
      <c r="J673" s="158"/>
      <c r="K673" s="158"/>
      <c r="L673" s="158"/>
      <c r="M673" s="160"/>
      <c r="N673" s="158"/>
      <c r="O673" s="159"/>
      <c r="P673" s="159"/>
      <c r="Q673" s="159"/>
      <c r="R673" s="159"/>
      <c r="S673" s="159"/>
      <c r="T673" s="159"/>
      <c r="U673" s="161"/>
      <c r="V673" s="161"/>
      <c r="W673" s="162"/>
      <c r="X673" s="159"/>
      <c r="Y673" s="159"/>
      <c r="Z673" s="159"/>
      <c r="AA673" s="159"/>
      <c r="AB673" s="159"/>
      <c r="AC673" s="159"/>
      <c r="AD673" s="159"/>
      <c r="AE673" s="159"/>
      <c r="AF673" s="159"/>
      <c r="AG673" s="159"/>
      <c r="AH673" s="161"/>
      <c r="AI673" s="162"/>
      <c r="AJ673" s="159"/>
      <c r="AK673" s="159"/>
      <c r="AL673" s="159"/>
      <c r="AM673" s="159"/>
      <c r="AN673" s="163"/>
      <c r="AO673" s="163"/>
    </row>
    <row r="674" spans="1:41" ht="18" hidden="1" customHeight="1" x14ac:dyDescent="0.25">
      <c r="A674" s="157"/>
      <c r="B674" s="158"/>
      <c r="C674" s="159"/>
      <c r="D674" s="159"/>
      <c r="E674" s="159"/>
      <c r="F674" s="159"/>
      <c r="G674" s="159"/>
      <c r="H674" s="159"/>
      <c r="I674" s="158"/>
      <c r="J674" s="158"/>
      <c r="K674" s="158"/>
      <c r="L674" s="158"/>
      <c r="M674" s="160"/>
      <c r="N674" s="158"/>
      <c r="O674" s="159"/>
      <c r="P674" s="159"/>
      <c r="Q674" s="159"/>
      <c r="R674" s="159"/>
      <c r="S674" s="159"/>
      <c r="T674" s="159"/>
      <c r="U674" s="161"/>
      <c r="V674" s="161"/>
      <c r="W674" s="162"/>
      <c r="X674" s="159"/>
      <c r="Y674" s="159"/>
      <c r="Z674" s="159"/>
      <c r="AA674" s="159"/>
      <c r="AB674" s="159"/>
      <c r="AC674" s="159"/>
      <c r="AD674" s="159"/>
      <c r="AE674" s="159"/>
      <c r="AF674" s="159"/>
      <c r="AG674" s="159"/>
      <c r="AH674" s="161"/>
      <c r="AI674" s="162"/>
      <c r="AJ674" s="159"/>
      <c r="AK674" s="159"/>
      <c r="AL674" s="159"/>
      <c r="AM674" s="159"/>
      <c r="AN674" s="163"/>
      <c r="AO674" s="163"/>
    </row>
    <row r="675" spans="1:41" ht="18" hidden="1" customHeight="1" x14ac:dyDescent="0.25">
      <c r="A675" s="157"/>
      <c r="B675" s="158"/>
      <c r="C675" s="159"/>
      <c r="D675" s="159"/>
      <c r="E675" s="159"/>
      <c r="F675" s="159"/>
      <c r="G675" s="159"/>
      <c r="H675" s="159"/>
      <c r="I675" s="158"/>
      <c r="J675" s="158"/>
      <c r="K675" s="158"/>
      <c r="L675" s="158"/>
      <c r="M675" s="160"/>
      <c r="N675" s="158"/>
      <c r="O675" s="159"/>
      <c r="P675" s="159"/>
      <c r="Q675" s="159"/>
      <c r="R675" s="159"/>
      <c r="S675" s="159"/>
      <c r="T675" s="159"/>
      <c r="U675" s="161"/>
      <c r="V675" s="161"/>
      <c r="W675" s="162"/>
      <c r="X675" s="159"/>
      <c r="Y675" s="159"/>
      <c r="Z675" s="159"/>
      <c r="AA675" s="159"/>
      <c r="AB675" s="159"/>
      <c r="AC675" s="159"/>
      <c r="AD675" s="159"/>
      <c r="AE675" s="159"/>
      <c r="AF675" s="159"/>
      <c r="AG675" s="159"/>
      <c r="AH675" s="161"/>
      <c r="AI675" s="162"/>
      <c r="AJ675" s="159"/>
      <c r="AK675" s="159"/>
      <c r="AL675" s="159"/>
      <c r="AM675" s="159"/>
      <c r="AN675" s="163"/>
      <c r="AO675" s="163"/>
    </row>
    <row r="676" spans="1:41" ht="18" hidden="1" customHeight="1" x14ac:dyDescent="0.25">
      <c r="A676" s="157"/>
      <c r="B676" s="158"/>
      <c r="C676" s="159"/>
      <c r="D676" s="159"/>
      <c r="E676" s="159"/>
      <c r="F676" s="159"/>
      <c r="G676" s="159"/>
      <c r="H676" s="159"/>
      <c r="I676" s="158"/>
      <c r="J676" s="158"/>
      <c r="K676" s="158"/>
      <c r="L676" s="158"/>
      <c r="M676" s="160"/>
      <c r="N676" s="158"/>
      <c r="O676" s="159"/>
      <c r="P676" s="159"/>
      <c r="Q676" s="159"/>
      <c r="R676" s="159"/>
      <c r="S676" s="159"/>
      <c r="T676" s="159"/>
      <c r="U676" s="161"/>
      <c r="V676" s="161"/>
      <c r="W676" s="162"/>
      <c r="X676" s="159"/>
      <c r="Y676" s="159"/>
      <c r="Z676" s="159"/>
      <c r="AA676" s="159"/>
      <c r="AB676" s="159"/>
      <c r="AC676" s="159"/>
      <c r="AD676" s="159"/>
      <c r="AE676" s="159"/>
      <c r="AF676" s="159"/>
      <c r="AG676" s="159"/>
      <c r="AH676" s="161"/>
      <c r="AI676" s="162"/>
      <c r="AJ676" s="159"/>
      <c r="AK676" s="159"/>
      <c r="AL676" s="159"/>
      <c r="AM676" s="159"/>
      <c r="AN676" s="163"/>
      <c r="AO676" s="163"/>
    </row>
    <row r="677" spans="1:41" ht="18" hidden="1" customHeight="1" x14ac:dyDescent="0.25">
      <c r="A677" s="157"/>
      <c r="B677" s="158"/>
      <c r="C677" s="159"/>
      <c r="D677" s="159"/>
      <c r="E677" s="159"/>
      <c r="F677" s="159"/>
      <c r="G677" s="159"/>
      <c r="H677" s="159"/>
      <c r="I677" s="158"/>
      <c r="J677" s="158"/>
      <c r="K677" s="158"/>
      <c r="L677" s="158"/>
      <c r="M677" s="160"/>
      <c r="N677" s="158"/>
      <c r="O677" s="159"/>
      <c r="P677" s="159"/>
      <c r="Q677" s="159"/>
      <c r="R677" s="159"/>
      <c r="S677" s="159"/>
      <c r="T677" s="159"/>
      <c r="U677" s="161"/>
      <c r="V677" s="161"/>
      <c r="W677" s="162"/>
      <c r="X677" s="159"/>
      <c r="Y677" s="159"/>
      <c r="Z677" s="159"/>
      <c r="AA677" s="159"/>
      <c r="AB677" s="159"/>
      <c r="AC677" s="159"/>
      <c r="AD677" s="159"/>
      <c r="AE677" s="159"/>
      <c r="AF677" s="159"/>
      <c r="AG677" s="159"/>
      <c r="AH677" s="161"/>
      <c r="AI677" s="162"/>
      <c r="AJ677" s="159"/>
      <c r="AK677" s="159"/>
      <c r="AL677" s="159"/>
      <c r="AM677" s="159"/>
      <c r="AN677" s="163"/>
      <c r="AO677" s="163"/>
    </row>
    <row r="678" spans="1:41" ht="18" hidden="1" customHeight="1" x14ac:dyDescent="0.25">
      <c r="A678" s="157"/>
      <c r="B678" s="158"/>
      <c r="C678" s="159"/>
      <c r="D678" s="159"/>
      <c r="E678" s="159"/>
      <c r="F678" s="159"/>
      <c r="G678" s="159"/>
      <c r="H678" s="159"/>
      <c r="I678" s="158"/>
      <c r="J678" s="158"/>
      <c r="K678" s="158"/>
      <c r="L678" s="158"/>
      <c r="M678" s="160"/>
      <c r="N678" s="158"/>
      <c r="O678" s="159"/>
      <c r="P678" s="159"/>
      <c r="Q678" s="159"/>
      <c r="R678" s="159"/>
      <c r="S678" s="159"/>
      <c r="T678" s="159"/>
      <c r="U678" s="161"/>
      <c r="V678" s="161"/>
      <c r="W678" s="162"/>
      <c r="X678" s="159"/>
      <c r="Y678" s="159"/>
      <c r="Z678" s="159"/>
      <c r="AA678" s="159"/>
      <c r="AB678" s="159"/>
      <c r="AC678" s="159"/>
      <c r="AD678" s="159"/>
      <c r="AE678" s="159"/>
      <c r="AF678" s="159"/>
      <c r="AG678" s="159"/>
      <c r="AH678" s="161"/>
      <c r="AI678" s="162"/>
      <c r="AJ678" s="159"/>
      <c r="AK678" s="159"/>
      <c r="AL678" s="159"/>
      <c r="AM678" s="159"/>
      <c r="AN678" s="163"/>
      <c r="AO678" s="163"/>
    </row>
    <row r="679" spans="1:41" ht="18" hidden="1" customHeight="1" x14ac:dyDescent="0.25">
      <c r="A679" s="157"/>
      <c r="B679" s="158"/>
      <c r="C679" s="159"/>
      <c r="D679" s="159"/>
      <c r="E679" s="159"/>
      <c r="F679" s="159"/>
      <c r="G679" s="159"/>
      <c r="H679" s="159"/>
      <c r="I679" s="158"/>
      <c r="J679" s="158"/>
      <c r="K679" s="158"/>
      <c r="L679" s="158"/>
      <c r="M679" s="160"/>
      <c r="N679" s="158"/>
      <c r="O679" s="159"/>
      <c r="P679" s="159"/>
      <c r="Q679" s="159"/>
      <c r="R679" s="159"/>
      <c r="S679" s="159"/>
      <c r="T679" s="159"/>
      <c r="U679" s="161"/>
      <c r="V679" s="161"/>
      <c r="W679" s="162"/>
      <c r="X679" s="159"/>
      <c r="Y679" s="159"/>
      <c r="Z679" s="159"/>
      <c r="AA679" s="159"/>
      <c r="AB679" s="159"/>
      <c r="AC679" s="159"/>
      <c r="AD679" s="159"/>
      <c r="AE679" s="159"/>
      <c r="AF679" s="159"/>
      <c r="AG679" s="159"/>
      <c r="AH679" s="161"/>
      <c r="AI679" s="162"/>
      <c r="AJ679" s="159"/>
      <c r="AK679" s="159"/>
      <c r="AL679" s="159"/>
      <c r="AM679" s="159"/>
      <c r="AN679" s="163"/>
      <c r="AO679" s="163"/>
    </row>
    <row r="680" spans="1:41" ht="18" hidden="1" customHeight="1" x14ac:dyDescent="0.25">
      <c r="A680" s="157"/>
      <c r="B680" s="158"/>
      <c r="C680" s="159"/>
      <c r="D680" s="159"/>
      <c r="E680" s="159"/>
      <c r="F680" s="159"/>
      <c r="G680" s="159"/>
      <c r="H680" s="159"/>
      <c r="I680" s="158"/>
      <c r="J680" s="158"/>
      <c r="K680" s="158"/>
      <c r="L680" s="158"/>
      <c r="M680" s="160"/>
      <c r="N680" s="158"/>
      <c r="O680" s="159"/>
      <c r="P680" s="159"/>
      <c r="Q680" s="159"/>
      <c r="R680" s="159"/>
      <c r="S680" s="159"/>
      <c r="T680" s="159"/>
      <c r="U680" s="161"/>
      <c r="V680" s="161"/>
      <c r="W680" s="162"/>
      <c r="X680" s="159"/>
      <c r="Y680" s="159"/>
      <c r="Z680" s="159"/>
      <c r="AA680" s="159"/>
      <c r="AB680" s="159"/>
      <c r="AC680" s="159"/>
      <c r="AD680" s="159"/>
      <c r="AE680" s="159"/>
      <c r="AF680" s="159"/>
      <c r="AG680" s="159"/>
      <c r="AH680" s="161"/>
      <c r="AI680" s="162"/>
      <c r="AJ680" s="159"/>
      <c r="AK680" s="159"/>
      <c r="AL680" s="159"/>
      <c r="AM680" s="159"/>
      <c r="AN680" s="163"/>
      <c r="AO680" s="163"/>
    </row>
    <row r="681" spans="1:41" ht="18" hidden="1" customHeight="1" x14ac:dyDescent="0.25">
      <c r="A681" s="157"/>
      <c r="B681" s="158"/>
      <c r="C681" s="159"/>
      <c r="D681" s="159"/>
      <c r="E681" s="159"/>
      <c r="F681" s="159"/>
      <c r="G681" s="159"/>
      <c r="H681" s="159"/>
      <c r="I681" s="158"/>
      <c r="J681" s="158"/>
      <c r="K681" s="158"/>
      <c r="L681" s="158"/>
      <c r="M681" s="160"/>
      <c r="N681" s="158"/>
      <c r="O681" s="159"/>
      <c r="P681" s="159"/>
      <c r="Q681" s="159"/>
      <c r="R681" s="159"/>
      <c r="S681" s="159"/>
      <c r="T681" s="159"/>
      <c r="U681" s="161"/>
      <c r="V681" s="161"/>
      <c r="W681" s="162"/>
      <c r="X681" s="159"/>
      <c r="Y681" s="159"/>
      <c r="Z681" s="159"/>
      <c r="AA681" s="159"/>
      <c r="AB681" s="159"/>
      <c r="AC681" s="159"/>
      <c r="AD681" s="159"/>
      <c r="AE681" s="159"/>
      <c r="AF681" s="159"/>
      <c r="AG681" s="159"/>
      <c r="AH681" s="161"/>
      <c r="AI681" s="162"/>
      <c r="AJ681" s="159"/>
      <c r="AK681" s="159"/>
      <c r="AL681" s="159"/>
      <c r="AM681" s="159"/>
      <c r="AN681" s="163"/>
      <c r="AO681" s="163"/>
    </row>
    <row r="682" spans="1:41" ht="18" hidden="1" customHeight="1" x14ac:dyDescent="0.25">
      <c r="A682" s="157"/>
      <c r="B682" s="158"/>
      <c r="C682" s="159"/>
      <c r="D682" s="159"/>
      <c r="E682" s="159"/>
      <c r="F682" s="159"/>
      <c r="G682" s="159"/>
      <c r="H682" s="159"/>
      <c r="I682" s="158"/>
      <c r="J682" s="158"/>
      <c r="K682" s="158"/>
      <c r="L682" s="158"/>
      <c r="M682" s="160"/>
      <c r="N682" s="158"/>
      <c r="O682" s="159"/>
      <c r="P682" s="159"/>
      <c r="Q682" s="159"/>
      <c r="R682" s="159"/>
      <c r="S682" s="159"/>
      <c r="T682" s="159"/>
      <c r="U682" s="161"/>
      <c r="V682" s="161"/>
      <c r="W682" s="162"/>
      <c r="X682" s="159"/>
      <c r="Y682" s="159"/>
      <c r="Z682" s="159"/>
      <c r="AA682" s="159"/>
      <c r="AB682" s="159"/>
      <c r="AC682" s="159"/>
      <c r="AD682" s="159"/>
      <c r="AE682" s="159"/>
      <c r="AF682" s="159"/>
      <c r="AG682" s="159"/>
      <c r="AH682" s="161"/>
      <c r="AI682" s="162"/>
      <c r="AJ682" s="159"/>
      <c r="AK682" s="159"/>
      <c r="AL682" s="159"/>
      <c r="AM682" s="159"/>
      <c r="AN682" s="163"/>
      <c r="AO682" s="163"/>
    </row>
    <row r="683" spans="1:41" ht="18" hidden="1" customHeight="1" x14ac:dyDescent="0.25">
      <c r="A683" s="157"/>
      <c r="B683" s="158"/>
      <c r="C683" s="159"/>
      <c r="D683" s="159"/>
      <c r="E683" s="159"/>
      <c r="F683" s="159"/>
      <c r="G683" s="159"/>
      <c r="H683" s="159"/>
      <c r="I683" s="158"/>
      <c r="J683" s="158"/>
      <c r="K683" s="158"/>
      <c r="L683" s="158"/>
      <c r="M683" s="160"/>
      <c r="N683" s="158"/>
      <c r="O683" s="159"/>
      <c r="P683" s="159"/>
      <c r="Q683" s="159"/>
      <c r="R683" s="159"/>
      <c r="S683" s="159"/>
      <c r="T683" s="159"/>
      <c r="U683" s="161"/>
      <c r="V683" s="161"/>
      <c r="W683" s="162"/>
      <c r="X683" s="159"/>
      <c r="Y683" s="159"/>
      <c r="Z683" s="159"/>
      <c r="AA683" s="159"/>
      <c r="AB683" s="159"/>
      <c r="AC683" s="159"/>
      <c r="AD683" s="159"/>
      <c r="AE683" s="159"/>
      <c r="AF683" s="159"/>
      <c r="AG683" s="159"/>
      <c r="AH683" s="161"/>
      <c r="AI683" s="162"/>
      <c r="AJ683" s="159"/>
      <c r="AK683" s="159"/>
      <c r="AL683" s="159"/>
      <c r="AM683" s="159"/>
      <c r="AN683" s="163"/>
      <c r="AO683" s="163"/>
    </row>
    <row r="684" spans="1:41" ht="18" hidden="1" customHeight="1" x14ac:dyDescent="0.25">
      <c r="A684" s="157"/>
      <c r="B684" s="158"/>
      <c r="C684" s="159"/>
      <c r="D684" s="159"/>
      <c r="E684" s="159"/>
      <c r="F684" s="159"/>
      <c r="G684" s="159"/>
      <c r="H684" s="159"/>
      <c r="I684" s="158"/>
      <c r="J684" s="158"/>
      <c r="K684" s="158"/>
      <c r="L684" s="158"/>
      <c r="M684" s="160"/>
      <c r="N684" s="158"/>
      <c r="O684" s="159"/>
      <c r="P684" s="159"/>
      <c r="Q684" s="159"/>
      <c r="R684" s="159"/>
      <c r="S684" s="159"/>
      <c r="T684" s="159"/>
      <c r="U684" s="161"/>
      <c r="V684" s="161"/>
      <c r="W684" s="162"/>
      <c r="X684" s="159"/>
      <c r="Y684" s="159"/>
      <c r="Z684" s="159"/>
      <c r="AA684" s="159"/>
      <c r="AB684" s="159"/>
      <c r="AC684" s="159"/>
      <c r="AD684" s="159"/>
      <c r="AE684" s="159"/>
      <c r="AF684" s="159"/>
      <c r="AG684" s="159"/>
      <c r="AH684" s="161"/>
      <c r="AI684" s="162"/>
      <c r="AJ684" s="159"/>
      <c r="AK684" s="159"/>
      <c r="AL684" s="159"/>
      <c r="AM684" s="159"/>
      <c r="AN684" s="163"/>
      <c r="AO684" s="163"/>
    </row>
    <row r="685" spans="1:41" ht="18" hidden="1" customHeight="1" x14ac:dyDescent="0.25">
      <c r="A685" s="157"/>
      <c r="B685" s="158"/>
      <c r="C685" s="159"/>
      <c r="D685" s="159"/>
      <c r="E685" s="159"/>
      <c r="F685" s="159"/>
      <c r="G685" s="159"/>
      <c r="H685" s="159"/>
      <c r="I685" s="158"/>
      <c r="J685" s="158"/>
      <c r="K685" s="158"/>
      <c r="L685" s="158"/>
      <c r="M685" s="160"/>
      <c r="N685" s="158"/>
      <c r="O685" s="159"/>
      <c r="P685" s="159"/>
      <c r="Q685" s="159"/>
      <c r="R685" s="159"/>
      <c r="S685" s="159"/>
      <c r="T685" s="159"/>
      <c r="U685" s="161"/>
      <c r="V685" s="161"/>
      <c r="W685" s="162"/>
      <c r="X685" s="159"/>
      <c r="Y685" s="159"/>
      <c r="Z685" s="159"/>
      <c r="AA685" s="159"/>
      <c r="AB685" s="159"/>
      <c r="AC685" s="159"/>
      <c r="AD685" s="159"/>
      <c r="AE685" s="159"/>
      <c r="AF685" s="159"/>
      <c r="AG685" s="159"/>
      <c r="AH685" s="161"/>
      <c r="AI685" s="162"/>
      <c r="AJ685" s="159"/>
      <c r="AK685" s="159"/>
      <c r="AL685" s="159"/>
      <c r="AM685" s="159"/>
      <c r="AN685" s="163"/>
      <c r="AO685" s="163"/>
    </row>
    <row r="686" spans="1:41" ht="18" hidden="1" customHeight="1" x14ac:dyDescent="0.25">
      <c r="A686" s="157"/>
      <c r="B686" s="158"/>
      <c r="C686" s="159"/>
      <c r="D686" s="159"/>
      <c r="E686" s="159"/>
      <c r="F686" s="159"/>
      <c r="G686" s="159"/>
      <c r="H686" s="159"/>
      <c r="I686" s="158"/>
      <c r="J686" s="158"/>
      <c r="K686" s="158"/>
      <c r="L686" s="158"/>
      <c r="M686" s="160"/>
      <c r="N686" s="158"/>
      <c r="O686" s="159"/>
      <c r="P686" s="159"/>
      <c r="Q686" s="159"/>
      <c r="R686" s="159"/>
      <c r="S686" s="159"/>
      <c r="T686" s="159"/>
      <c r="U686" s="161"/>
      <c r="V686" s="161"/>
      <c r="W686" s="162"/>
      <c r="X686" s="159"/>
      <c r="Y686" s="159"/>
      <c r="Z686" s="159"/>
      <c r="AA686" s="159"/>
      <c r="AB686" s="159"/>
      <c r="AC686" s="159"/>
      <c r="AD686" s="159"/>
      <c r="AE686" s="159"/>
      <c r="AF686" s="159"/>
      <c r="AG686" s="159"/>
      <c r="AH686" s="161"/>
      <c r="AI686" s="162"/>
      <c r="AJ686" s="159"/>
      <c r="AK686" s="159"/>
      <c r="AL686" s="159"/>
      <c r="AM686" s="159"/>
      <c r="AN686" s="163"/>
      <c r="AO686" s="163"/>
    </row>
    <row r="687" spans="1:41" ht="18" hidden="1" customHeight="1" x14ac:dyDescent="0.25">
      <c r="A687" s="157"/>
      <c r="B687" s="158"/>
      <c r="C687" s="159"/>
      <c r="D687" s="159"/>
      <c r="E687" s="159"/>
      <c r="F687" s="159"/>
      <c r="G687" s="159"/>
      <c r="H687" s="159"/>
      <c r="I687" s="158"/>
      <c r="J687" s="158"/>
      <c r="K687" s="158"/>
      <c r="L687" s="158"/>
      <c r="M687" s="160"/>
      <c r="N687" s="158"/>
      <c r="O687" s="159"/>
      <c r="P687" s="159"/>
      <c r="Q687" s="159"/>
      <c r="R687" s="159"/>
      <c r="S687" s="159"/>
      <c r="T687" s="159"/>
      <c r="U687" s="161"/>
      <c r="V687" s="161"/>
      <c r="W687" s="162"/>
      <c r="X687" s="159"/>
      <c r="Y687" s="159"/>
      <c r="Z687" s="159"/>
      <c r="AA687" s="159"/>
      <c r="AB687" s="159"/>
      <c r="AC687" s="159"/>
      <c r="AD687" s="159"/>
      <c r="AE687" s="159"/>
      <c r="AF687" s="159"/>
      <c r="AG687" s="159"/>
      <c r="AH687" s="161"/>
      <c r="AI687" s="162"/>
      <c r="AJ687" s="159"/>
      <c r="AK687" s="159"/>
      <c r="AL687" s="159"/>
      <c r="AM687" s="159"/>
      <c r="AN687" s="163"/>
      <c r="AO687" s="163"/>
    </row>
    <row r="688" spans="1:41" ht="18" hidden="1" customHeight="1" x14ac:dyDescent="0.25">
      <c r="A688" s="157"/>
      <c r="B688" s="158"/>
      <c r="C688" s="159"/>
      <c r="D688" s="159"/>
      <c r="E688" s="159"/>
      <c r="F688" s="159"/>
      <c r="G688" s="159"/>
      <c r="H688" s="159"/>
      <c r="I688" s="158"/>
      <c r="J688" s="158"/>
      <c r="K688" s="158"/>
      <c r="L688" s="158"/>
      <c r="M688" s="160"/>
      <c r="N688" s="158"/>
      <c r="O688" s="159"/>
      <c r="P688" s="159"/>
      <c r="Q688" s="159"/>
      <c r="R688" s="159"/>
      <c r="S688" s="159"/>
      <c r="T688" s="159"/>
      <c r="U688" s="161"/>
      <c r="V688" s="161"/>
      <c r="W688" s="162"/>
      <c r="X688" s="159"/>
      <c r="Y688" s="159"/>
      <c r="Z688" s="159"/>
      <c r="AA688" s="159"/>
      <c r="AB688" s="159"/>
      <c r="AC688" s="159"/>
      <c r="AD688" s="159"/>
      <c r="AE688" s="159"/>
      <c r="AF688" s="159"/>
      <c r="AG688" s="159"/>
      <c r="AH688" s="161"/>
      <c r="AI688" s="162"/>
      <c r="AJ688" s="159"/>
      <c r="AK688" s="159"/>
      <c r="AL688" s="159"/>
      <c r="AM688" s="159"/>
      <c r="AN688" s="163"/>
      <c r="AO688" s="163"/>
    </row>
    <row r="689" spans="1:41" ht="18" hidden="1" customHeight="1" x14ac:dyDescent="0.25">
      <c r="A689" s="157"/>
      <c r="B689" s="158"/>
      <c r="C689" s="159"/>
      <c r="D689" s="159"/>
      <c r="E689" s="159"/>
      <c r="F689" s="159"/>
      <c r="G689" s="159"/>
      <c r="H689" s="159"/>
      <c r="I689" s="158"/>
      <c r="J689" s="158"/>
      <c r="K689" s="158"/>
      <c r="L689" s="158"/>
      <c r="M689" s="160"/>
      <c r="N689" s="158"/>
      <c r="O689" s="159"/>
      <c r="P689" s="159"/>
      <c r="Q689" s="159"/>
      <c r="R689" s="159"/>
      <c r="S689" s="159"/>
      <c r="T689" s="159"/>
      <c r="U689" s="161"/>
      <c r="V689" s="161"/>
      <c r="W689" s="162"/>
      <c r="X689" s="159"/>
      <c r="Y689" s="159"/>
      <c r="Z689" s="159"/>
      <c r="AA689" s="159"/>
      <c r="AB689" s="159"/>
      <c r="AC689" s="159"/>
      <c r="AD689" s="159"/>
      <c r="AE689" s="159"/>
      <c r="AF689" s="159"/>
      <c r="AG689" s="159"/>
      <c r="AH689" s="161"/>
      <c r="AI689" s="162"/>
      <c r="AJ689" s="159"/>
      <c r="AK689" s="159"/>
      <c r="AL689" s="159"/>
      <c r="AM689" s="159"/>
      <c r="AN689" s="163"/>
      <c r="AO689" s="163"/>
    </row>
    <row r="690" spans="1:41" ht="18" hidden="1" customHeight="1" x14ac:dyDescent="0.25">
      <c r="A690" s="157"/>
      <c r="B690" s="158"/>
      <c r="C690" s="159"/>
      <c r="D690" s="159"/>
      <c r="E690" s="159"/>
      <c r="F690" s="159"/>
      <c r="G690" s="159"/>
      <c r="H690" s="159"/>
      <c r="I690" s="158"/>
      <c r="J690" s="158"/>
      <c r="K690" s="158"/>
      <c r="L690" s="158"/>
      <c r="M690" s="160"/>
      <c r="N690" s="158"/>
      <c r="O690" s="159"/>
      <c r="P690" s="159"/>
      <c r="Q690" s="159"/>
      <c r="R690" s="159"/>
      <c r="S690" s="159"/>
      <c r="T690" s="159"/>
      <c r="U690" s="161"/>
      <c r="V690" s="161"/>
      <c r="W690" s="162"/>
      <c r="X690" s="159"/>
      <c r="Y690" s="159"/>
      <c r="Z690" s="159"/>
      <c r="AA690" s="159"/>
      <c r="AB690" s="159"/>
      <c r="AC690" s="159"/>
      <c r="AD690" s="159"/>
      <c r="AE690" s="159"/>
      <c r="AF690" s="159"/>
      <c r="AG690" s="159"/>
      <c r="AH690" s="161"/>
      <c r="AI690" s="162"/>
      <c r="AJ690" s="159"/>
      <c r="AK690" s="159"/>
      <c r="AL690" s="159"/>
      <c r="AM690" s="159"/>
      <c r="AN690" s="163"/>
      <c r="AO690" s="163"/>
    </row>
    <row r="691" spans="1:41" ht="18" hidden="1" customHeight="1" x14ac:dyDescent="0.25">
      <c r="A691" s="157"/>
      <c r="B691" s="158"/>
      <c r="C691" s="159"/>
      <c r="D691" s="159"/>
      <c r="E691" s="159"/>
      <c r="F691" s="159"/>
      <c r="G691" s="159"/>
      <c r="H691" s="159"/>
      <c r="I691" s="158"/>
      <c r="J691" s="158"/>
      <c r="K691" s="158"/>
      <c r="L691" s="158"/>
      <c r="M691" s="160"/>
      <c r="N691" s="158"/>
      <c r="O691" s="159"/>
      <c r="P691" s="159"/>
      <c r="Q691" s="159"/>
      <c r="R691" s="159"/>
      <c r="S691" s="159"/>
      <c r="T691" s="159"/>
      <c r="U691" s="161"/>
      <c r="V691" s="161"/>
      <c r="W691" s="162"/>
      <c r="X691" s="159"/>
      <c r="Y691" s="159"/>
      <c r="Z691" s="159"/>
      <c r="AA691" s="159"/>
      <c r="AB691" s="159"/>
      <c r="AC691" s="159"/>
      <c r="AD691" s="159"/>
      <c r="AE691" s="159"/>
      <c r="AF691" s="159"/>
      <c r="AG691" s="159"/>
      <c r="AH691" s="161"/>
      <c r="AI691" s="162"/>
      <c r="AJ691" s="159"/>
      <c r="AK691" s="159"/>
      <c r="AL691" s="159"/>
      <c r="AM691" s="159"/>
      <c r="AN691" s="163"/>
      <c r="AO691" s="163"/>
    </row>
    <row r="692" spans="1:41" ht="18" hidden="1" customHeight="1" x14ac:dyDescent="0.25">
      <c r="A692" s="157"/>
      <c r="B692" s="158"/>
      <c r="C692" s="159"/>
      <c r="D692" s="159"/>
      <c r="E692" s="159"/>
      <c r="F692" s="159"/>
      <c r="G692" s="159"/>
      <c r="H692" s="159"/>
      <c r="I692" s="158"/>
      <c r="J692" s="158"/>
      <c r="K692" s="158"/>
      <c r="L692" s="158"/>
      <c r="M692" s="160"/>
      <c r="N692" s="158"/>
      <c r="O692" s="159"/>
      <c r="P692" s="159"/>
      <c r="Q692" s="159"/>
      <c r="R692" s="159"/>
      <c r="S692" s="159"/>
      <c r="T692" s="159"/>
      <c r="U692" s="161"/>
      <c r="V692" s="161"/>
      <c r="W692" s="162"/>
      <c r="X692" s="159"/>
      <c r="Y692" s="159"/>
      <c r="Z692" s="159"/>
      <c r="AA692" s="159"/>
      <c r="AB692" s="159"/>
      <c r="AC692" s="159"/>
      <c r="AD692" s="159"/>
      <c r="AE692" s="159"/>
      <c r="AF692" s="159"/>
      <c r="AG692" s="159"/>
      <c r="AH692" s="161"/>
      <c r="AI692" s="162"/>
      <c r="AJ692" s="159"/>
      <c r="AK692" s="159"/>
      <c r="AL692" s="159"/>
      <c r="AM692" s="159"/>
      <c r="AN692" s="163"/>
      <c r="AO692" s="163"/>
    </row>
    <row r="693" spans="1:41" ht="18" hidden="1" customHeight="1" x14ac:dyDescent="0.25">
      <c r="A693" s="157"/>
      <c r="B693" s="158"/>
      <c r="C693" s="159"/>
      <c r="D693" s="159"/>
      <c r="E693" s="159"/>
      <c r="F693" s="159"/>
      <c r="G693" s="159"/>
      <c r="H693" s="159"/>
      <c r="I693" s="158"/>
      <c r="J693" s="158"/>
      <c r="K693" s="158"/>
      <c r="L693" s="158"/>
      <c r="M693" s="160"/>
      <c r="N693" s="158"/>
      <c r="O693" s="159"/>
      <c r="P693" s="159"/>
      <c r="Q693" s="159"/>
      <c r="R693" s="159"/>
      <c r="S693" s="159"/>
      <c r="T693" s="159"/>
      <c r="U693" s="161"/>
      <c r="V693" s="161"/>
      <c r="W693" s="162"/>
      <c r="X693" s="159"/>
      <c r="Y693" s="159"/>
      <c r="Z693" s="159"/>
      <c r="AA693" s="159"/>
      <c r="AB693" s="159"/>
      <c r="AC693" s="159"/>
      <c r="AD693" s="159"/>
      <c r="AE693" s="159"/>
      <c r="AF693" s="159"/>
      <c r="AG693" s="159"/>
      <c r="AH693" s="161"/>
      <c r="AI693" s="162"/>
      <c r="AJ693" s="159"/>
      <c r="AK693" s="159"/>
      <c r="AL693" s="159"/>
      <c r="AM693" s="159"/>
      <c r="AN693" s="163"/>
      <c r="AO693" s="163"/>
    </row>
    <row r="694" spans="1:41" ht="18" hidden="1" customHeight="1" x14ac:dyDescent="0.25">
      <c r="A694" s="157"/>
      <c r="B694" s="158"/>
      <c r="C694" s="159"/>
      <c r="D694" s="159"/>
      <c r="E694" s="159"/>
      <c r="F694" s="159"/>
      <c r="G694" s="159"/>
      <c r="H694" s="159"/>
      <c r="I694" s="158"/>
      <c r="J694" s="158"/>
      <c r="K694" s="158"/>
      <c r="L694" s="158"/>
      <c r="M694" s="160"/>
      <c r="N694" s="158"/>
      <c r="O694" s="159"/>
      <c r="P694" s="159"/>
      <c r="Q694" s="159"/>
      <c r="R694" s="159"/>
      <c r="S694" s="159"/>
      <c r="T694" s="159"/>
      <c r="U694" s="161"/>
      <c r="V694" s="161"/>
      <c r="W694" s="162"/>
      <c r="X694" s="159"/>
      <c r="Y694" s="159"/>
      <c r="Z694" s="159"/>
      <c r="AA694" s="159"/>
      <c r="AB694" s="159"/>
      <c r="AC694" s="159"/>
      <c r="AD694" s="159"/>
      <c r="AE694" s="159"/>
      <c r="AF694" s="159"/>
      <c r="AG694" s="159"/>
      <c r="AH694" s="161"/>
      <c r="AI694" s="162"/>
      <c r="AJ694" s="159"/>
      <c r="AK694" s="159"/>
      <c r="AL694" s="159"/>
      <c r="AM694" s="159"/>
      <c r="AN694" s="163"/>
      <c r="AO694" s="163"/>
    </row>
    <row r="695" spans="1:41" ht="18" hidden="1" customHeight="1" x14ac:dyDescent="0.25">
      <c r="A695" s="157"/>
      <c r="B695" s="158"/>
      <c r="C695" s="159"/>
      <c r="D695" s="159"/>
      <c r="E695" s="159"/>
      <c r="F695" s="159"/>
      <c r="G695" s="159"/>
      <c r="H695" s="159"/>
      <c r="I695" s="158"/>
      <c r="J695" s="158"/>
      <c r="K695" s="158"/>
      <c r="L695" s="158"/>
      <c r="M695" s="160"/>
      <c r="N695" s="158"/>
      <c r="O695" s="159"/>
      <c r="P695" s="159"/>
      <c r="Q695" s="159"/>
      <c r="R695" s="159"/>
      <c r="S695" s="159"/>
      <c r="T695" s="159"/>
      <c r="U695" s="161"/>
      <c r="V695" s="161"/>
      <c r="W695" s="162"/>
      <c r="X695" s="159"/>
      <c r="Y695" s="159"/>
      <c r="Z695" s="159"/>
      <c r="AA695" s="159"/>
      <c r="AB695" s="159"/>
      <c r="AC695" s="159"/>
      <c r="AD695" s="159"/>
      <c r="AE695" s="159"/>
      <c r="AF695" s="159"/>
      <c r="AG695" s="159"/>
      <c r="AH695" s="161"/>
      <c r="AI695" s="162"/>
      <c r="AJ695" s="159"/>
      <c r="AK695" s="159"/>
      <c r="AL695" s="159"/>
      <c r="AM695" s="159"/>
      <c r="AN695" s="163"/>
      <c r="AO695" s="163"/>
    </row>
    <row r="696" spans="1:41" ht="18" hidden="1" customHeight="1" x14ac:dyDescent="0.25">
      <c r="A696" s="157"/>
      <c r="B696" s="158"/>
      <c r="C696" s="159"/>
      <c r="D696" s="159"/>
      <c r="E696" s="159"/>
      <c r="F696" s="159"/>
      <c r="G696" s="159"/>
      <c r="H696" s="159"/>
      <c r="I696" s="158"/>
      <c r="J696" s="158"/>
      <c r="K696" s="158"/>
      <c r="L696" s="158"/>
      <c r="M696" s="160"/>
      <c r="N696" s="158"/>
      <c r="O696" s="159"/>
      <c r="P696" s="159"/>
      <c r="Q696" s="159"/>
      <c r="R696" s="159"/>
      <c r="S696" s="159"/>
      <c r="T696" s="159"/>
      <c r="U696" s="161"/>
      <c r="V696" s="161"/>
      <c r="W696" s="162"/>
      <c r="X696" s="159"/>
      <c r="Y696" s="159"/>
      <c r="Z696" s="159"/>
      <c r="AA696" s="159"/>
      <c r="AB696" s="159"/>
      <c r="AC696" s="159"/>
      <c r="AD696" s="159"/>
      <c r="AE696" s="159"/>
      <c r="AF696" s="159"/>
      <c r="AG696" s="159"/>
      <c r="AH696" s="161"/>
      <c r="AI696" s="162"/>
      <c r="AJ696" s="159"/>
      <c r="AK696" s="159"/>
      <c r="AL696" s="159"/>
      <c r="AM696" s="159"/>
      <c r="AN696" s="163"/>
      <c r="AO696" s="163"/>
    </row>
    <row r="697" spans="1:41" ht="18" hidden="1" customHeight="1" x14ac:dyDescent="0.25">
      <c r="A697" s="157"/>
      <c r="B697" s="158"/>
      <c r="C697" s="159"/>
      <c r="D697" s="159"/>
      <c r="E697" s="159"/>
      <c r="F697" s="159"/>
      <c r="G697" s="159"/>
      <c r="H697" s="159"/>
      <c r="I697" s="158"/>
      <c r="J697" s="158"/>
      <c r="K697" s="158"/>
      <c r="L697" s="158"/>
      <c r="M697" s="160"/>
      <c r="N697" s="158"/>
      <c r="O697" s="159"/>
      <c r="P697" s="159"/>
      <c r="Q697" s="159"/>
      <c r="R697" s="159"/>
      <c r="S697" s="159"/>
      <c r="T697" s="159"/>
      <c r="U697" s="161"/>
      <c r="V697" s="161"/>
      <c r="W697" s="162"/>
      <c r="X697" s="159"/>
      <c r="Y697" s="159"/>
      <c r="Z697" s="159"/>
      <c r="AA697" s="159"/>
      <c r="AB697" s="159"/>
      <c r="AC697" s="159"/>
      <c r="AD697" s="159"/>
      <c r="AE697" s="159"/>
      <c r="AF697" s="159"/>
      <c r="AG697" s="159"/>
      <c r="AH697" s="161"/>
      <c r="AI697" s="162"/>
      <c r="AJ697" s="159"/>
      <c r="AK697" s="159"/>
      <c r="AL697" s="159"/>
      <c r="AM697" s="159"/>
      <c r="AN697" s="163"/>
      <c r="AO697" s="163"/>
    </row>
    <row r="698" spans="1:41" ht="18" hidden="1" customHeight="1" x14ac:dyDescent="0.25">
      <c r="A698" s="157"/>
      <c r="B698" s="158"/>
      <c r="C698" s="159"/>
      <c r="D698" s="159"/>
      <c r="E698" s="159"/>
      <c r="F698" s="159"/>
      <c r="G698" s="159"/>
      <c r="H698" s="159"/>
      <c r="I698" s="158"/>
      <c r="J698" s="158"/>
      <c r="K698" s="158"/>
      <c r="L698" s="158"/>
      <c r="M698" s="160"/>
      <c r="N698" s="158"/>
      <c r="O698" s="159"/>
      <c r="P698" s="159"/>
      <c r="Q698" s="159"/>
      <c r="R698" s="159"/>
      <c r="S698" s="159"/>
      <c r="T698" s="159"/>
      <c r="U698" s="161"/>
      <c r="V698" s="161"/>
      <c r="W698" s="162"/>
      <c r="X698" s="159"/>
      <c r="Y698" s="159"/>
      <c r="Z698" s="159"/>
      <c r="AA698" s="159"/>
      <c r="AB698" s="159"/>
      <c r="AC698" s="159"/>
      <c r="AD698" s="159"/>
      <c r="AE698" s="159"/>
      <c r="AF698" s="159"/>
      <c r="AG698" s="159"/>
      <c r="AH698" s="161"/>
      <c r="AI698" s="162"/>
      <c r="AJ698" s="159"/>
      <c r="AK698" s="159"/>
      <c r="AL698" s="159"/>
      <c r="AM698" s="159"/>
      <c r="AN698" s="163"/>
      <c r="AO698" s="163"/>
    </row>
    <row r="699" spans="1:41" ht="18" hidden="1" customHeight="1" x14ac:dyDescent="0.25">
      <c r="A699" s="157"/>
      <c r="B699" s="158"/>
      <c r="C699" s="159"/>
      <c r="D699" s="159"/>
      <c r="E699" s="159"/>
      <c r="F699" s="159"/>
      <c r="G699" s="159"/>
      <c r="H699" s="159"/>
      <c r="I699" s="158"/>
      <c r="J699" s="158"/>
      <c r="K699" s="158"/>
      <c r="L699" s="158"/>
      <c r="M699" s="160"/>
      <c r="N699" s="158"/>
      <c r="O699" s="159"/>
      <c r="P699" s="159"/>
      <c r="Q699" s="159"/>
      <c r="R699" s="159"/>
      <c r="S699" s="159"/>
      <c r="T699" s="159"/>
      <c r="U699" s="161"/>
      <c r="V699" s="161"/>
      <c r="W699" s="162"/>
      <c r="X699" s="159"/>
      <c r="Y699" s="159"/>
      <c r="Z699" s="159"/>
      <c r="AA699" s="159"/>
      <c r="AB699" s="159"/>
      <c r="AC699" s="159"/>
      <c r="AD699" s="159"/>
      <c r="AE699" s="159"/>
      <c r="AF699" s="159"/>
      <c r="AG699" s="159"/>
      <c r="AH699" s="161"/>
      <c r="AI699" s="162"/>
      <c r="AJ699" s="159"/>
      <c r="AK699" s="159"/>
      <c r="AL699" s="159"/>
      <c r="AM699" s="159"/>
      <c r="AN699" s="163"/>
      <c r="AO699" s="163"/>
    </row>
    <row r="700" spans="1:41" ht="18" hidden="1" customHeight="1" x14ac:dyDescent="0.25">
      <c r="A700" s="157"/>
      <c r="B700" s="158"/>
      <c r="C700" s="159"/>
      <c r="D700" s="159"/>
      <c r="E700" s="159"/>
      <c r="F700" s="159"/>
      <c r="G700" s="159"/>
      <c r="H700" s="159"/>
      <c r="I700" s="158"/>
      <c r="J700" s="158"/>
      <c r="K700" s="158"/>
      <c r="L700" s="158"/>
      <c r="M700" s="160"/>
      <c r="N700" s="158"/>
      <c r="O700" s="159"/>
      <c r="P700" s="159"/>
      <c r="Q700" s="159"/>
      <c r="R700" s="159"/>
      <c r="S700" s="159"/>
      <c r="T700" s="159"/>
      <c r="U700" s="161"/>
      <c r="V700" s="161"/>
      <c r="W700" s="162"/>
      <c r="X700" s="159"/>
      <c r="Y700" s="159"/>
      <c r="Z700" s="159"/>
      <c r="AA700" s="159"/>
      <c r="AB700" s="159"/>
      <c r="AC700" s="159"/>
      <c r="AD700" s="159"/>
      <c r="AE700" s="159"/>
      <c r="AF700" s="159"/>
      <c r="AG700" s="159"/>
      <c r="AH700" s="161"/>
      <c r="AI700" s="162"/>
      <c r="AJ700" s="159"/>
      <c r="AK700" s="159"/>
      <c r="AL700" s="159"/>
      <c r="AM700" s="159"/>
      <c r="AN700" s="163"/>
      <c r="AO700" s="163"/>
    </row>
    <row r="701" spans="1:41" ht="18" hidden="1" customHeight="1" x14ac:dyDescent="0.25">
      <c r="A701" s="157"/>
      <c r="B701" s="158"/>
      <c r="C701" s="159"/>
      <c r="D701" s="159"/>
      <c r="E701" s="159"/>
      <c r="F701" s="159"/>
      <c r="G701" s="159"/>
      <c r="H701" s="159"/>
      <c r="I701" s="158"/>
      <c r="J701" s="158"/>
      <c r="K701" s="158"/>
      <c r="L701" s="158"/>
      <c r="M701" s="160"/>
      <c r="N701" s="158"/>
      <c r="O701" s="159"/>
      <c r="P701" s="159"/>
      <c r="Q701" s="159"/>
      <c r="R701" s="159"/>
      <c r="S701" s="159"/>
      <c r="T701" s="159"/>
      <c r="U701" s="161"/>
      <c r="V701" s="161"/>
      <c r="W701" s="162"/>
      <c r="X701" s="159"/>
      <c r="Y701" s="159"/>
      <c r="Z701" s="159"/>
      <c r="AA701" s="159"/>
      <c r="AB701" s="159"/>
      <c r="AC701" s="159"/>
      <c r="AD701" s="159"/>
      <c r="AE701" s="159"/>
      <c r="AF701" s="159"/>
      <c r="AG701" s="159"/>
      <c r="AH701" s="161"/>
      <c r="AI701" s="162"/>
      <c r="AJ701" s="159"/>
      <c r="AK701" s="159"/>
      <c r="AL701" s="159"/>
      <c r="AM701" s="159"/>
      <c r="AN701" s="163"/>
      <c r="AO701" s="163"/>
    </row>
    <row r="702" spans="1:41" ht="18" hidden="1" customHeight="1" x14ac:dyDescent="0.25">
      <c r="A702" s="157"/>
      <c r="B702" s="158"/>
      <c r="C702" s="159"/>
      <c r="D702" s="159"/>
      <c r="E702" s="159"/>
      <c r="F702" s="159"/>
      <c r="G702" s="159"/>
      <c r="H702" s="159"/>
      <c r="I702" s="158"/>
      <c r="J702" s="158"/>
      <c r="K702" s="158"/>
      <c r="L702" s="158"/>
      <c r="M702" s="160"/>
      <c r="N702" s="158"/>
      <c r="O702" s="159"/>
      <c r="P702" s="159"/>
      <c r="Q702" s="159"/>
      <c r="R702" s="159"/>
      <c r="S702" s="159"/>
      <c r="T702" s="159"/>
      <c r="U702" s="161"/>
      <c r="V702" s="161"/>
      <c r="W702" s="162"/>
      <c r="X702" s="159"/>
      <c r="Y702" s="159"/>
      <c r="Z702" s="159"/>
      <c r="AA702" s="159"/>
      <c r="AB702" s="159"/>
      <c r="AC702" s="159"/>
      <c r="AD702" s="159"/>
      <c r="AE702" s="159"/>
      <c r="AF702" s="159"/>
      <c r="AG702" s="159"/>
      <c r="AH702" s="161"/>
      <c r="AI702" s="162"/>
      <c r="AJ702" s="159"/>
      <c r="AK702" s="159"/>
      <c r="AL702" s="159"/>
      <c r="AM702" s="159"/>
      <c r="AN702" s="163"/>
      <c r="AO702" s="163"/>
    </row>
    <row r="703" spans="1:41" ht="18" hidden="1" customHeight="1" x14ac:dyDescent="0.25">
      <c r="A703" s="157"/>
      <c r="B703" s="158"/>
      <c r="C703" s="159"/>
      <c r="D703" s="159"/>
      <c r="E703" s="159"/>
      <c r="F703" s="159"/>
      <c r="G703" s="159"/>
      <c r="H703" s="159"/>
      <c r="I703" s="158"/>
      <c r="J703" s="158"/>
      <c r="K703" s="158"/>
      <c r="L703" s="158"/>
      <c r="M703" s="160"/>
      <c r="N703" s="158"/>
      <c r="O703" s="159"/>
      <c r="P703" s="159"/>
      <c r="Q703" s="159"/>
      <c r="R703" s="159"/>
      <c r="S703" s="159"/>
      <c r="T703" s="159"/>
      <c r="U703" s="161"/>
      <c r="V703" s="161"/>
      <c r="W703" s="162"/>
      <c r="X703" s="159"/>
      <c r="Y703" s="159"/>
      <c r="Z703" s="159"/>
      <c r="AA703" s="159"/>
      <c r="AB703" s="159"/>
      <c r="AC703" s="159"/>
      <c r="AD703" s="159"/>
      <c r="AE703" s="159"/>
      <c r="AF703" s="159"/>
      <c r="AG703" s="159"/>
      <c r="AH703" s="161"/>
      <c r="AI703" s="162"/>
      <c r="AJ703" s="159"/>
      <c r="AK703" s="159"/>
      <c r="AL703" s="159"/>
      <c r="AM703" s="159"/>
      <c r="AN703" s="163"/>
      <c r="AO703" s="163"/>
    </row>
    <row r="704" spans="1:41" ht="18" hidden="1" customHeight="1" x14ac:dyDescent="0.25">
      <c r="A704" s="157"/>
      <c r="B704" s="158"/>
      <c r="C704" s="159"/>
      <c r="D704" s="159"/>
      <c r="E704" s="159"/>
      <c r="F704" s="159"/>
      <c r="G704" s="159"/>
      <c r="H704" s="159"/>
      <c r="I704" s="158"/>
      <c r="J704" s="158"/>
      <c r="K704" s="158"/>
      <c r="L704" s="158"/>
      <c r="M704" s="160"/>
      <c r="N704" s="158"/>
      <c r="O704" s="159"/>
      <c r="P704" s="159"/>
      <c r="Q704" s="159"/>
      <c r="R704" s="159"/>
      <c r="S704" s="159"/>
      <c r="T704" s="159"/>
      <c r="U704" s="161"/>
      <c r="V704" s="161"/>
      <c r="W704" s="162"/>
      <c r="X704" s="159"/>
      <c r="Y704" s="159"/>
      <c r="Z704" s="159"/>
      <c r="AA704" s="159"/>
      <c r="AB704" s="159"/>
      <c r="AC704" s="159"/>
      <c r="AD704" s="159"/>
      <c r="AE704" s="159"/>
      <c r="AF704" s="159"/>
      <c r="AG704" s="159"/>
      <c r="AH704" s="161"/>
      <c r="AI704" s="162"/>
      <c r="AJ704" s="159"/>
      <c r="AK704" s="159"/>
      <c r="AL704" s="159"/>
      <c r="AM704" s="159"/>
      <c r="AN704" s="163"/>
      <c r="AO704" s="163"/>
    </row>
    <row r="705" spans="1:41" ht="18" hidden="1" customHeight="1" x14ac:dyDescent="0.25">
      <c r="A705" s="157"/>
      <c r="B705" s="158"/>
      <c r="C705" s="159"/>
      <c r="D705" s="159"/>
      <c r="E705" s="159"/>
      <c r="F705" s="159"/>
      <c r="G705" s="159"/>
      <c r="H705" s="159"/>
      <c r="I705" s="158"/>
      <c r="J705" s="158"/>
      <c r="K705" s="158"/>
      <c r="L705" s="158"/>
      <c r="M705" s="160"/>
      <c r="N705" s="158"/>
      <c r="O705" s="159"/>
      <c r="P705" s="159"/>
      <c r="Q705" s="159"/>
      <c r="R705" s="159"/>
      <c r="S705" s="159"/>
      <c r="T705" s="159"/>
      <c r="U705" s="161"/>
      <c r="V705" s="161"/>
      <c r="W705" s="162"/>
      <c r="X705" s="159"/>
      <c r="Y705" s="159"/>
      <c r="Z705" s="159"/>
      <c r="AA705" s="159"/>
      <c r="AB705" s="159"/>
      <c r="AC705" s="159"/>
      <c r="AD705" s="159"/>
      <c r="AE705" s="159"/>
      <c r="AF705" s="159"/>
      <c r="AG705" s="159"/>
      <c r="AH705" s="161"/>
      <c r="AI705" s="162"/>
      <c r="AJ705" s="159"/>
      <c r="AK705" s="159"/>
      <c r="AL705" s="159"/>
      <c r="AM705" s="159"/>
      <c r="AN705" s="163"/>
      <c r="AO705" s="163"/>
    </row>
    <row r="706" spans="1:41" ht="18" hidden="1" customHeight="1" x14ac:dyDescent="0.25">
      <c r="A706" s="157"/>
      <c r="B706" s="158"/>
      <c r="C706" s="159"/>
      <c r="D706" s="159"/>
      <c r="E706" s="159"/>
      <c r="F706" s="159"/>
      <c r="G706" s="159"/>
      <c r="H706" s="159"/>
      <c r="I706" s="158"/>
      <c r="J706" s="158"/>
      <c r="K706" s="158"/>
      <c r="L706" s="158"/>
      <c r="M706" s="160"/>
      <c r="N706" s="158"/>
      <c r="O706" s="159"/>
      <c r="P706" s="159"/>
      <c r="Q706" s="159"/>
      <c r="R706" s="159"/>
      <c r="S706" s="159"/>
      <c r="T706" s="159"/>
      <c r="U706" s="161"/>
      <c r="V706" s="161"/>
      <c r="W706" s="162"/>
      <c r="X706" s="159"/>
      <c r="Y706" s="159"/>
      <c r="Z706" s="159"/>
      <c r="AA706" s="159"/>
      <c r="AB706" s="159"/>
      <c r="AC706" s="159"/>
      <c r="AD706" s="159"/>
      <c r="AE706" s="159"/>
      <c r="AF706" s="159"/>
      <c r="AG706" s="159"/>
      <c r="AH706" s="161"/>
      <c r="AI706" s="162"/>
      <c r="AJ706" s="159"/>
      <c r="AK706" s="159"/>
      <c r="AL706" s="159"/>
      <c r="AM706" s="159"/>
      <c r="AN706" s="163"/>
      <c r="AO706" s="163"/>
    </row>
    <row r="707" spans="1:41" ht="18" hidden="1" customHeight="1" x14ac:dyDescent="0.25">
      <c r="A707" s="157"/>
      <c r="B707" s="158"/>
      <c r="C707" s="159"/>
      <c r="D707" s="159"/>
      <c r="E707" s="159"/>
      <c r="F707" s="159"/>
      <c r="G707" s="159"/>
      <c r="H707" s="159"/>
      <c r="I707" s="158"/>
      <c r="J707" s="158"/>
      <c r="K707" s="158"/>
      <c r="L707" s="158"/>
      <c r="M707" s="160"/>
      <c r="N707" s="158"/>
      <c r="O707" s="159"/>
      <c r="P707" s="159"/>
      <c r="Q707" s="159"/>
      <c r="R707" s="159"/>
      <c r="S707" s="159"/>
      <c r="T707" s="159"/>
      <c r="U707" s="161"/>
      <c r="V707" s="161"/>
      <c r="W707" s="162"/>
      <c r="X707" s="159"/>
      <c r="Y707" s="159"/>
      <c r="Z707" s="159"/>
      <c r="AA707" s="159"/>
      <c r="AB707" s="159"/>
      <c r="AC707" s="159"/>
      <c r="AD707" s="159"/>
      <c r="AE707" s="159"/>
      <c r="AF707" s="159"/>
      <c r="AG707" s="159"/>
      <c r="AH707" s="161"/>
      <c r="AI707" s="162"/>
      <c r="AJ707" s="159"/>
      <c r="AK707" s="159"/>
      <c r="AL707" s="159"/>
      <c r="AM707" s="159"/>
      <c r="AN707" s="163"/>
      <c r="AO707" s="163"/>
    </row>
    <row r="708" spans="1:41" ht="18" hidden="1" customHeight="1" x14ac:dyDescent="0.25">
      <c r="A708" s="157"/>
      <c r="B708" s="158"/>
      <c r="C708" s="159"/>
      <c r="D708" s="159"/>
      <c r="E708" s="159"/>
      <c r="F708" s="159"/>
      <c r="G708" s="159"/>
      <c r="H708" s="159"/>
      <c r="I708" s="158"/>
      <c r="J708" s="158"/>
      <c r="K708" s="158"/>
      <c r="L708" s="158"/>
      <c r="M708" s="160"/>
      <c r="N708" s="158"/>
      <c r="O708" s="159"/>
      <c r="P708" s="159"/>
      <c r="Q708" s="159"/>
      <c r="R708" s="159"/>
      <c r="S708" s="159"/>
      <c r="T708" s="159"/>
      <c r="U708" s="161"/>
      <c r="V708" s="161"/>
      <c r="W708" s="162"/>
      <c r="X708" s="159"/>
      <c r="Y708" s="159"/>
      <c r="Z708" s="159"/>
      <c r="AA708" s="159"/>
      <c r="AB708" s="159"/>
      <c r="AC708" s="159"/>
      <c r="AD708" s="159"/>
      <c r="AE708" s="159"/>
      <c r="AF708" s="159"/>
      <c r="AG708" s="159"/>
      <c r="AH708" s="161"/>
      <c r="AI708" s="162"/>
      <c r="AJ708" s="159"/>
      <c r="AK708" s="159"/>
      <c r="AL708" s="159"/>
      <c r="AM708" s="159"/>
      <c r="AN708" s="163"/>
      <c r="AO708" s="163"/>
    </row>
    <row r="709" spans="1:41" ht="18" hidden="1" customHeight="1" x14ac:dyDescent="0.25">
      <c r="A709" s="157"/>
      <c r="B709" s="158"/>
      <c r="C709" s="159"/>
      <c r="D709" s="159"/>
      <c r="E709" s="159"/>
      <c r="F709" s="159"/>
      <c r="G709" s="159"/>
      <c r="H709" s="159"/>
      <c r="I709" s="158"/>
      <c r="J709" s="158"/>
      <c r="K709" s="158"/>
      <c r="L709" s="158"/>
      <c r="M709" s="160"/>
      <c r="N709" s="158"/>
      <c r="O709" s="159"/>
      <c r="P709" s="159"/>
      <c r="Q709" s="159"/>
      <c r="R709" s="159"/>
      <c r="S709" s="159"/>
      <c r="T709" s="159"/>
      <c r="U709" s="161"/>
      <c r="V709" s="161"/>
      <c r="W709" s="162"/>
      <c r="X709" s="159"/>
      <c r="Y709" s="159"/>
      <c r="Z709" s="159"/>
      <c r="AA709" s="159"/>
      <c r="AB709" s="159"/>
      <c r="AC709" s="159"/>
      <c r="AD709" s="159"/>
      <c r="AE709" s="159"/>
      <c r="AF709" s="159"/>
      <c r="AG709" s="159"/>
      <c r="AH709" s="161"/>
      <c r="AI709" s="162"/>
      <c r="AJ709" s="159"/>
      <c r="AK709" s="159"/>
      <c r="AL709" s="159"/>
      <c r="AM709" s="159"/>
      <c r="AN709" s="163"/>
      <c r="AO709" s="163"/>
    </row>
    <row r="710" spans="1:41" ht="18" hidden="1" customHeight="1" x14ac:dyDescent="0.25">
      <c r="A710" s="157"/>
      <c r="B710" s="158"/>
      <c r="C710" s="159"/>
      <c r="D710" s="159"/>
      <c r="E710" s="159"/>
      <c r="F710" s="159"/>
      <c r="G710" s="159"/>
      <c r="H710" s="159"/>
      <c r="I710" s="158"/>
      <c r="J710" s="158"/>
      <c r="K710" s="158"/>
      <c r="L710" s="158"/>
      <c r="M710" s="160"/>
      <c r="N710" s="158"/>
      <c r="O710" s="159"/>
      <c r="P710" s="159"/>
      <c r="Q710" s="159"/>
      <c r="R710" s="159"/>
      <c r="S710" s="159"/>
      <c r="T710" s="159"/>
      <c r="U710" s="161"/>
      <c r="V710" s="161"/>
      <c r="W710" s="162"/>
      <c r="X710" s="159"/>
      <c r="Y710" s="159"/>
      <c r="Z710" s="159"/>
      <c r="AA710" s="159"/>
      <c r="AB710" s="159"/>
      <c r="AC710" s="159"/>
      <c r="AD710" s="159"/>
      <c r="AE710" s="159"/>
      <c r="AF710" s="159"/>
      <c r="AG710" s="159"/>
      <c r="AH710" s="161"/>
      <c r="AI710" s="162"/>
      <c r="AJ710" s="159"/>
      <c r="AK710" s="159"/>
      <c r="AL710" s="159"/>
      <c r="AM710" s="159"/>
      <c r="AN710" s="163"/>
      <c r="AO710" s="163"/>
    </row>
    <row r="711" spans="1:41" ht="18" hidden="1" customHeight="1" x14ac:dyDescent="0.25">
      <c r="A711" s="157"/>
      <c r="B711" s="158"/>
      <c r="C711" s="159"/>
      <c r="D711" s="159"/>
      <c r="E711" s="159"/>
      <c r="F711" s="159"/>
      <c r="G711" s="159"/>
      <c r="H711" s="159"/>
      <c r="I711" s="158"/>
      <c r="J711" s="158"/>
      <c r="K711" s="158"/>
      <c r="L711" s="158"/>
      <c r="M711" s="160"/>
      <c r="N711" s="158"/>
      <c r="O711" s="159"/>
      <c r="P711" s="159"/>
      <c r="Q711" s="159"/>
      <c r="R711" s="159"/>
      <c r="S711" s="159"/>
      <c r="T711" s="159"/>
      <c r="U711" s="161"/>
      <c r="V711" s="161"/>
      <c r="W711" s="162"/>
      <c r="X711" s="159"/>
      <c r="Y711" s="159"/>
      <c r="Z711" s="159"/>
      <c r="AA711" s="159"/>
      <c r="AB711" s="159"/>
      <c r="AC711" s="159"/>
      <c r="AD711" s="159"/>
      <c r="AE711" s="159"/>
      <c r="AF711" s="159"/>
      <c r="AG711" s="159"/>
      <c r="AH711" s="161"/>
      <c r="AI711" s="162"/>
      <c r="AJ711" s="159"/>
      <c r="AK711" s="159"/>
      <c r="AL711" s="159"/>
      <c r="AM711" s="159"/>
      <c r="AN711" s="163"/>
      <c r="AO711" s="163"/>
    </row>
    <row r="712" spans="1:41" s="124" customFormat="1" hidden="1" x14ac:dyDescent="0.25">
      <c r="A712" s="164"/>
      <c r="B712" s="165"/>
      <c r="C712" s="166"/>
      <c r="D712" s="166"/>
      <c r="E712" s="166"/>
      <c r="F712" s="166"/>
      <c r="G712" s="166"/>
      <c r="H712" s="166"/>
      <c r="I712" s="165"/>
      <c r="J712" s="165"/>
      <c r="K712" s="165"/>
      <c r="L712" s="165"/>
      <c r="M712" s="167"/>
      <c r="N712" s="165"/>
      <c r="O712" s="166"/>
      <c r="P712" s="166"/>
      <c r="Q712" s="166"/>
      <c r="R712" s="166"/>
      <c r="S712" s="166"/>
      <c r="T712" s="166"/>
      <c r="U712" s="168"/>
      <c r="V712" s="168"/>
      <c r="W712" s="169"/>
      <c r="X712" s="166"/>
      <c r="Y712" s="166"/>
      <c r="Z712" s="166"/>
      <c r="AA712" s="166"/>
      <c r="AB712" s="166"/>
      <c r="AC712" s="166"/>
      <c r="AD712" s="166"/>
      <c r="AE712" s="166"/>
      <c r="AF712" s="166"/>
      <c r="AG712" s="166"/>
      <c r="AH712" s="168"/>
      <c r="AI712" s="169"/>
      <c r="AJ712" s="166"/>
      <c r="AK712" s="166"/>
      <c r="AL712" s="166"/>
      <c r="AM712" s="166"/>
      <c r="AN712" s="170"/>
      <c r="AO712" s="170"/>
    </row>
    <row r="713" spans="1:41" s="124" customFormat="1" ht="27.6" customHeight="1" thickBot="1" x14ac:dyDescent="0.3">
      <c r="A713" s="171"/>
      <c r="B713" s="172"/>
      <c r="C713" s="173"/>
      <c r="D713" s="173"/>
      <c r="E713" s="173"/>
      <c r="F713" s="173"/>
      <c r="G713" s="173"/>
      <c r="H713" s="173"/>
      <c r="I713" s="172"/>
      <c r="J713" s="172"/>
      <c r="K713" s="172"/>
      <c r="L713" s="172"/>
      <c r="M713" s="174"/>
      <c r="N713" s="172"/>
      <c r="O713" s="173"/>
      <c r="P713" s="173"/>
      <c r="Q713" s="173"/>
      <c r="R713" s="173"/>
      <c r="S713" s="173"/>
      <c r="T713" s="173"/>
      <c r="U713" s="175"/>
      <c r="V713" s="175"/>
      <c r="W713" s="176"/>
      <c r="X713" s="177"/>
      <c r="Y713" s="178"/>
      <c r="Z713" s="173"/>
      <c r="AA713" s="173"/>
      <c r="AB713" s="173"/>
      <c r="AC713" s="173"/>
      <c r="AD713" s="173"/>
      <c r="AE713" s="173"/>
      <c r="AF713" s="173"/>
      <c r="AG713" s="173"/>
      <c r="AH713" s="175"/>
      <c r="AI713" s="176"/>
      <c r="AJ713" s="177"/>
      <c r="AK713" s="173"/>
      <c r="AL713" s="173"/>
      <c r="AM713" s="175"/>
      <c r="AN713" s="179"/>
      <c r="AO713" s="179"/>
    </row>
    <row r="714" spans="1:41" s="124" customFormat="1" x14ac:dyDescent="0.25">
      <c r="A714" s="120"/>
      <c r="B714" s="121"/>
      <c r="C714" s="120"/>
      <c r="D714" s="120"/>
      <c r="E714" s="120"/>
      <c r="F714" s="120"/>
      <c r="G714" s="120"/>
      <c r="H714" s="120"/>
      <c r="I714" s="121"/>
      <c r="J714" s="121"/>
      <c r="K714" s="121"/>
      <c r="L714" s="121"/>
      <c r="M714" s="122"/>
      <c r="N714" s="121"/>
      <c r="O714" s="120"/>
      <c r="P714" s="120"/>
      <c r="Q714" s="120"/>
      <c r="R714" s="120"/>
      <c r="S714" s="120"/>
      <c r="T714" s="120"/>
      <c r="U714" s="68"/>
      <c r="V714" s="68"/>
      <c r="W714" s="120"/>
      <c r="X714" s="120"/>
      <c r="Y714" s="182"/>
      <c r="Z714" s="120"/>
      <c r="AA714" s="120"/>
      <c r="AB714" s="120"/>
      <c r="AC714" s="182"/>
      <c r="AD714" s="120"/>
      <c r="AE714" s="120"/>
      <c r="AF714" s="120"/>
      <c r="AG714" s="120"/>
      <c r="AH714" s="68"/>
      <c r="AI714" s="120"/>
      <c r="AJ714" s="120"/>
      <c r="AK714" s="120"/>
      <c r="AL714" s="120"/>
      <c r="AM714" s="120"/>
      <c r="AN714" s="120"/>
    </row>
    <row r="715" spans="1:41" s="124" customFormat="1" x14ac:dyDescent="0.25">
      <c r="A715" s="120"/>
      <c r="B715" s="121"/>
      <c r="C715" s="120"/>
      <c r="D715" s="120"/>
      <c r="E715" s="120"/>
      <c r="F715" s="120"/>
      <c r="G715" s="120"/>
      <c r="H715" s="120"/>
      <c r="I715" s="121"/>
      <c r="J715" s="121"/>
      <c r="K715" s="121"/>
      <c r="L715" s="121"/>
      <c r="M715" s="122"/>
      <c r="N715" s="121"/>
      <c r="O715" s="120"/>
      <c r="P715" s="120"/>
      <c r="Q715" s="120"/>
      <c r="R715" s="182"/>
      <c r="S715" s="120"/>
      <c r="T715" s="120"/>
      <c r="U715" s="68"/>
      <c r="V715" s="68"/>
      <c r="W715"/>
      <c r="X715" s="237">
        <f>X465+ILUD!T7</f>
        <v>1195361214.763551</v>
      </c>
      <c r="Y715" s="237">
        <f>Y465+ILUD!U7</f>
        <v>1793041822.1453261</v>
      </c>
      <c r="Z715" s="120"/>
      <c r="AA715" s="237">
        <f>AA465+ILUD!V8</f>
        <v>4326882748.6530399</v>
      </c>
      <c r="AB715" s="237">
        <f>AB465+ILUD!X8</f>
        <v>1346760237.3721869</v>
      </c>
      <c r="AC715" s="237">
        <f>AC465+ILUD!Y8</f>
        <v>2020140356.4808526</v>
      </c>
      <c r="AD715" s="120"/>
      <c r="AE715" s="182"/>
      <c r="AF715" s="120"/>
      <c r="AG715" s="120"/>
      <c r="AH715" s="68"/>
      <c r="AI715"/>
      <c r="AJ715"/>
      <c r="AK715"/>
      <c r="AL715" s="68"/>
      <c r="AM715" s="237">
        <f>AM465+ILUD!AI9</f>
        <v>6355303720.7619181</v>
      </c>
      <c r="AN715" s="120"/>
    </row>
    <row r="716" spans="1:41" s="124" customFormat="1" x14ac:dyDescent="0.25">
      <c r="A716" s="120"/>
      <c r="B716" s="121"/>
      <c r="C716" s="120"/>
      <c r="D716" s="120"/>
      <c r="E716" s="120"/>
      <c r="F716" s="120"/>
      <c r="G716" s="120"/>
      <c r="H716" s="120"/>
      <c r="I716" s="121"/>
      <c r="J716" s="121"/>
      <c r="K716" s="121"/>
      <c r="L716" s="121"/>
      <c r="M716" s="122"/>
      <c r="N716" s="121"/>
      <c r="O716" s="120"/>
      <c r="P716" s="120"/>
      <c r="Q716" s="120"/>
      <c r="R716" s="120"/>
      <c r="S716" s="120"/>
      <c r="T716" s="120"/>
      <c r="U716" s="68"/>
      <c r="V716" s="68"/>
      <c r="W716"/>
      <c r="X716"/>
      <c r="Y716"/>
      <c r="Z716" s="120"/>
      <c r="AA716" s="120"/>
      <c r="AB716" s="120"/>
      <c r="AC716" s="120"/>
      <c r="AD716" s="120"/>
      <c r="AE716" s="120"/>
      <c r="AF716" s="120"/>
      <c r="AG716"/>
      <c r="AH716" s="68"/>
      <c r="AI716"/>
      <c r="AJ716"/>
      <c r="AK716"/>
      <c r="AL716" s="120"/>
      <c r="AM716" s="182"/>
      <c r="AN716" s="120"/>
    </row>
    <row r="717" spans="1:41" s="124" customFormat="1" x14ac:dyDescent="0.25">
      <c r="A717" s="120"/>
      <c r="B717" s="121"/>
      <c r="C717" s="120"/>
      <c r="D717" s="120"/>
      <c r="E717" s="120"/>
      <c r="F717" s="120"/>
      <c r="G717" s="120"/>
      <c r="H717" s="120"/>
      <c r="I717" s="121"/>
      <c r="J717" s="121"/>
      <c r="K717" s="121"/>
      <c r="L717" s="121"/>
      <c r="M717" s="122"/>
      <c r="N717" s="121"/>
      <c r="O717" s="120"/>
      <c r="P717" s="120"/>
      <c r="Q717" s="120"/>
      <c r="R717" s="120"/>
      <c r="S717" s="120"/>
      <c r="T717" s="120"/>
      <c r="U717" s="68"/>
      <c r="V717" s="68"/>
      <c r="W717"/>
      <c r="X717"/>
      <c r="Y717"/>
      <c r="Z717" s="120"/>
      <c r="AA717" s="218"/>
      <c r="AB717" s="218"/>
      <c r="AC717" s="218"/>
      <c r="AD717" s="120"/>
      <c r="AE717" s="120"/>
      <c r="AF717" s="120"/>
      <c r="AG717" s="120"/>
      <c r="AH717" s="68"/>
      <c r="AI717"/>
      <c r="AJ717"/>
      <c r="AK717"/>
      <c r="AL717" s="120"/>
      <c r="AM717" s="182"/>
      <c r="AN717" s="120"/>
    </row>
    <row r="718" spans="1:41" s="124" customFormat="1" x14ac:dyDescent="0.25">
      <c r="A718" s="120"/>
      <c r="B718" s="121"/>
      <c r="C718" s="120"/>
      <c r="D718" s="120"/>
      <c r="E718" s="120"/>
      <c r="F718" s="120"/>
      <c r="G718" s="120"/>
      <c r="H718" s="120"/>
      <c r="I718" s="121"/>
      <c r="J718" s="121"/>
      <c r="K718" s="121"/>
      <c r="L718" s="121"/>
      <c r="M718" s="122"/>
      <c r="N718" s="121"/>
      <c r="O718" s="120"/>
      <c r="P718" s="120"/>
      <c r="Q718" s="182"/>
      <c r="R718" s="120"/>
      <c r="S718" s="120"/>
      <c r="T718" s="120"/>
      <c r="U718" s="68"/>
      <c r="V718" s="68"/>
      <c r="W718"/>
      <c r="X718"/>
      <c r="Y718"/>
      <c r="Z718" s="120"/>
      <c r="AA718" s="182"/>
      <c r="AB718" s="120"/>
      <c r="AC718" s="120"/>
      <c r="AD718" s="120"/>
      <c r="AE718" s="120"/>
      <c r="AF718" s="120"/>
      <c r="AG718" s="120"/>
      <c r="AH718" s="68"/>
      <c r="AI718"/>
      <c r="AJ718"/>
      <c r="AK718"/>
      <c r="AL718" s="120"/>
      <c r="AM718" s="182"/>
      <c r="AN718" s="120"/>
    </row>
    <row r="719" spans="1:41" s="124" customFormat="1" x14ac:dyDescent="0.25">
      <c r="A719" s="120"/>
      <c r="B719" s="121"/>
      <c r="C719" s="120"/>
      <c r="D719" s="120"/>
      <c r="E719" s="120"/>
      <c r="F719" s="120"/>
      <c r="G719" s="120"/>
      <c r="H719" s="120"/>
      <c r="I719" s="121"/>
      <c r="J719" s="121"/>
      <c r="K719" s="121"/>
      <c r="L719" s="121"/>
      <c r="M719" s="122"/>
      <c r="N719" s="121"/>
      <c r="O719" s="120"/>
      <c r="P719" s="120"/>
      <c r="Q719" s="120"/>
      <c r="R719" s="120"/>
      <c r="S719" s="120"/>
      <c r="T719" s="120"/>
      <c r="U719" s="68"/>
      <c r="V719" s="68"/>
      <c r="W719" s="120"/>
      <c r="X719" s="120"/>
      <c r="Y719" s="182"/>
      <c r="Z719" s="120"/>
      <c r="AA719" s="120"/>
      <c r="AB719" s="120"/>
      <c r="AC719" s="68"/>
      <c r="AD719" s="120"/>
      <c r="AE719" s="120"/>
      <c r="AF719" s="120"/>
      <c r="AG719" s="120"/>
      <c r="AH719" s="68"/>
      <c r="AI719" s="120"/>
      <c r="AJ719" s="120"/>
      <c r="AK719" s="120"/>
      <c r="AL719" s="120"/>
      <c r="AM719" s="182"/>
      <c r="AN719" s="120"/>
    </row>
    <row r="720" spans="1:41" s="124" customFormat="1" x14ac:dyDescent="0.25">
      <c r="A720" s="120"/>
      <c r="B720" s="121"/>
      <c r="C720" s="120"/>
      <c r="D720" s="120"/>
      <c r="E720" s="120"/>
      <c r="F720" s="120"/>
      <c r="G720" s="120"/>
      <c r="H720" s="120"/>
      <c r="I720" s="121"/>
      <c r="J720" s="121"/>
      <c r="K720" s="121"/>
      <c r="L720" s="121"/>
      <c r="M720" s="122"/>
      <c r="N720" s="121"/>
      <c r="O720" s="120"/>
      <c r="P720" s="120"/>
      <c r="Q720" s="120"/>
      <c r="R720" s="120"/>
      <c r="S720" s="120"/>
      <c r="T720" s="120"/>
      <c r="U720" s="68"/>
      <c r="V720" s="68"/>
      <c r="W720" s="120"/>
      <c r="X720" s="120"/>
      <c r="Y720" s="218"/>
      <c r="Z720" s="120"/>
      <c r="AA720" s="120"/>
      <c r="AB720" s="120"/>
      <c r="AC720" s="184"/>
      <c r="AD720" s="120"/>
      <c r="AE720" s="120"/>
      <c r="AF720" s="120"/>
      <c r="AG720" s="120"/>
      <c r="AH720" s="68"/>
      <c r="AI720" s="120"/>
      <c r="AJ720" s="120"/>
      <c r="AK720" s="120"/>
      <c r="AL720" s="120"/>
      <c r="AM720" s="182"/>
      <c r="AN720" s="120"/>
    </row>
    <row r="721" spans="1:40" s="124" customFormat="1" x14ac:dyDescent="0.25">
      <c r="A721" s="120"/>
      <c r="B721" s="121"/>
      <c r="C721" s="120"/>
      <c r="D721" s="120"/>
      <c r="E721" s="120"/>
      <c r="F721" s="120"/>
      <c r="G721" s="120"/>
      <c r="H721" s="120"/>
      <c r="I721" s="121"/>
      <c r="J721" s="121"/>
      <c r="K721" s="121"/>
      <c r="L721" s="121"/>
      <c r="M721" s="122"/>
      <c r="N721" s="121"/>
      <c r="O721" s="120"/>
      <c r="P721" s="120"/>
      <c r="Q721" s="120"/>
      <c r="R721" s="120"/>
      <c r="S721" s="120"/>
      <c r="T721" s="120"/>
      <c r="U721" s="68"/>
      <c r="V721" s="68"/>
      <c r="W721" s="120"/>
      <c r="X721" s="120"/>
      <c r="Y721" s="120"/>
      <c r="Z721" s="120"/>
      <c r="AA721" s="120"/>
      <c r="AB721" s="120"/>
      <c r="AC721" s="218"/>
      <c r="AD721" s="120"/>
      <c r="AE721" s="120"/>
      <c r="AF721" s="120"/>
      <c r="AG721" s="120"/>
      <c r="AH721" s="68"/>
      <c r="AI721" s="120"/>
      <c r="AJ721" s="120"/>
      <c r="AK721" s="120"/>
      <c r="AL721" s="120"/>
      <c r="AM721" s="182"/>
      <c r="AN721" s="120"/>
    </row>
    <row r="722" spans="1:40" s="124" customFormat="1" x14ac:dyDescent="0.25">
      <c r="A722" s="120"/>
      <c r="B722" s="121"/>
      <c r="C722" s="120"/>
      <c r="D722" s="120"/>
      <c r="E722" s="120"/>
      <c r="F722" s="120"/>
      <c r="G722" s="120"/>
      <c r="H722" s="120"/>
      <c r="I722" s="121"/>
      <c r="J722" s="121"/>
      <c r="K722" s="121"/>
      <c r="L722" s="121"/>
      <c r="M722" s="122"/>
      <c r="N722" s="121"/>
      <c r="O722" s="120"/>
      <c r="P722" s="120"/>
      <c r="Q722" s="120"/>
      <c r="R722" s="120"/>
      <c r="S722" s="120"/>
      <c r="T722" s="120"/>
      <c r="U722" s="68"/>
      <c r="V722" s="68"/>
      <c r="W722" s="120"/>
      <c r="X722" s="120"/>
      <c r="Y722" s="120"/>
      <c r="Z722" s="120"/>
      <c r="AA722" s="120"/>
      <c r="AB722" s="120"/>
      <c r="AC722" s="120"/>
      <c r="AD722" s="120"/>
      <c r="AE722" s="120"/>
      <c r="AF722" s="120"/>
      <c r="AG722" s="120"/>
      <c r="AH722" s="68"/>
      <c r="AI722" s="120"/>
      <c r="AJ722" s="120"/>
      <c r="AK722" s="120"/>
      <c r="AL722" s="120"/>
      <c r="AM722" s="120"/>
      <c r="AN722" s="120"/>
    </row>
    <row r="723" spans="1:40" s="124" customFormat="1" ht="8.25" customHeight="1" x14ac:dyDescent="0.25">
      <c r="A723" s="120"/>
      <c r="B723" s="121"/>
      <c r="C723" s="120"/>
      <c r="D723" s="120"/>
      <c r="E723" s="120"/>
      <c r="F723" s="120"/>
      <c r="G723" s="120"/>
      <c r="H723" s="120"/>
      <c r="I723" s="121"/>
      <c r="J723" s="121"/>
      <c r="K723" s="121"/>
      <c r="L723" s="121"/>
      <c r="M723" s="122"/>
      <c r="N723" s="121"/>
      <c r="O723" s="120"/>
      <c r="P723" s="120"/>
      <c r="Q723" s="120"/>
      <c r="R723" s="120"/>
      <c r="S723" s="120"/>
      <c r="T723" s="120"/>
      <c r="U723" s="68"/>
      <c r="V723" s="68"/>
      <c r="W723" s="120"/>
      <c r="X723" s="120"/>
      <c r="Y723" s="120"/>
      <c r="Z723" s="120"/>
      <c r="AA723" s="120"/>
      <c r="AB723" s="120"/>
      <c r="AC723" s="120"/>
      <c r="AD723" s="120"/>
      <c r="AE723" s="120"/>
      <c r="AF723" s="120"/>
      <c r="AG723" s="120"/>
      <c r="AH723" s="68"/>
      <c r="AI723" s="120"/>
      <c r="AJ723" s="120"/>
      <c r="AK723" s="120"/>
      <c r="AL723" s="120"/>
      <c r="AM723" s="120"/>
      <c r="AN723" s="120"/>
    </row>
    <row r="724" spans="1:40" s="124" customFormat="1" hidden="1" x14ac:dyDescent="0.25">
      <c r="A724" s="120"/>
      <c r="B724" s="121"/>
      <c r="C724" s="120"/>
      <c r="D724" s="120"/>
      <c r="E724" s="120"/>
      <c r="F724" s="120"/>
      <c r="G724" s="120"/>
      <c r="H724" s="120"/>
      <c r="I724" s="121"/>
      <c r="J724" s="121"/>
      <c r="K724" s="121"/>
      <c r="L724" s="121"/>
      <c r="M724" s="122"/>
      <c r="N724" s="121"/>
      <c r="O724" s="120"/>
      <c r="P724" s="120"/>
      <c r="Q724" s="120"/>
      <c r="R724" s="120"/>
      <c r="S724" s="120"/>
      <c r="T724" s="120"/>
      <c r="U724" s="68"/>
      <c r="V724" s="68"/>
      <c r="W724" s="120"/>
      <c r="X724" s="120"/>
      <c r="Y724" s="120"/>
      <c r="Z724" s="120"/>
      <c r="AA724" s="120"/>
      <c r="AB724" s="120"/>
      <c r="AC724" s="120"/>
      <c r="AD724" s="120"/>
      <c r="AE724" s="120"/>
      <c r="AF724" s="120"/>
      <c r="AG724" s="120"/>
      <c r="AH724" s="68"/>
      <c r="AI724" s="120"/>
      <c r="AJ724" s="120"/>
      <c r="AK724" s="120"/>
      <c r="AL724" s="120"/>
      <c r="AM724" s="120"/>
      <c r="AN724" s="120"/>
    </row>
    <row r="725" spans="1:40" s="124" customFormat="1" x14ac:dyDescent="0.25">
      <c r="A725" s="120"/>
      <c r="B725" s="121"/>
      <c r="C725" s="120"/>
      <c r="D725" s="120"/>
      <c r="E725" s="120"/>
      <c r="F725" s="120"/>
      <c r="G725" s="120"/>
      <c r="H725" s="120"/>
      <c r="I725" s="121"/>
      <c r="J725" s="121"/>
      <c r="K725" s="121"/>
      <c r="L725" s="121"/>
      <c r="M725" s="122"/>
      <c r="N725" s="121"/>
      <c r="O725" s="120"/>
      <c r="P725" s="120"/>
      <c r="Q725" s="120"/>
      <c r="R725" s="120"/>
      <c r="S725" s="120"/>
      <c r="T725" s="120"/>
      <c r="U725" s="68"/>
      <c r="V725" s="68"/>
      <c r="W725" s="120"/>
      <c r="X725" s="120"/>
      <c r="Y725" s="120"/>
      <c r="Z725" s="120"/>
      <c r="AA725" s="120"/>
      <c r="AB725" s="120"/>
      <c r="AC725" s="68"/>
      <c r="AD725" s="120"/>
      <c r="AE725" s="120"/>
      <c r="AF725" s="120"/>
      <c r="AG725" s="120"/>
      <c r="AH725" s="68"/>
      <c r="AI725" s="120"/>
      <c r="AJ725" s="120"/>
      <c r="AK725" s="120"/>
      <c r="AL725" s="120"/>
      <c r="AM725" s="120"/>
      <c r="AN725" s="120"/>
    </row>
    <row r="726" spans="1:40" s="124" customFormat="1" x14ac:dyDescent="0.25">
      <c r="A726" s="120"/>
      <c r="B726" s="121"/>
      <c r="C726" s="120"/>
      <c r="D726" s="120"/>
      <c r="E726" s="120"/>
      <c r="F726" s="120"/>
      <c r="G726" s="120"/>
      <c r="H726" s="120"/>
      <c r="I726" s="121"/>
      <c r="J726" s="121"/>
      <c r="K726" s="121"/>
      <c r="L726" s="121"/>
      <c r="M726" s="122"/>
      <c r="N726" s="121"/>
      <c r="O726" s="120"/>
      <c r="P726" s="120"/>
      <c r="Q726" s="120"/>
      <c r="R726" s="120"/>
      <c r="S726" s="120"/>
      <c r="T726" s="120"/>
      <c r="U726" s="68"/>
      <c r="V726" s="68"/>
      <c r="W726" s="120"/>
      <c r="X726" s="120"/>
      <c r="Y726" s="120"/>
      <c r="Z726" s="120"/>
      <c r="AA726" s="120"/>
      <c r="AB726" s="120"/>
      <c r="AC726" s="120"/>
      <c r="AD726" s="120"/>
      <c r="AE726" s="120"/>
      <c r="AF726" s="120"/>
      <c r="AG726" s="120"/>
      <c r="AH726" s="68"/>
      <c r="AI726" s="120"/>
      <c r="AJ726" s="120"/>
      <c r="AK726" s="120"/>
      <c r="AL726" s="120"/>
      <c r="AM726" s="120"/>
      <c r="AN726" s="120"/>
    </row>
    <row r="727" spans="1:40" s="124" customFormat="1" x14ac:dyDescent="0.25">
      <c r="A727" s="120"/>
      <c r="B727" s="121"/>
      <c r="C727" s="120"/>
      <c r="D727" s="120"/>
      <c r="E727" s="120"/>
      <c r="F727" s="120"/>
      <c r="G727" s="120"/>
      <c r="H727" s="120"/>
      <c r="I727" s="121"/>
      <c r="J727" s="121"/>
      <c r="K727" s="121"/>
      <c r="L727" s="121"/>
      <c r="M727" s="122"/>
      <c r="N727" s="121"/>
      <c r="O727" s="120"/>
      <c r="P727" s="120"/>
      <c r="Q727" s="120"/>
      <c r="R727" s="120"/>
      <c r="S727" s="120"/>
      <c r="T727" s="120"/>
      <c r="U727" s="68"/>
      <c r="V727" s="68"/>
      <c r="W727" s="120"/>
      <c r="X727" s="120"/>
      <c r="Y727" s="120"/>
      <c r="Z727" s="120"/>
      <c r="AA727" s="120"/>
      <c r="AB727" s="120"/>
      <c r="AC727" s="120"/>
      <c r="AD727" s="120"/>
      <c r="AE727" s="120"/>
      <c r="AF727" s="120"/>
      <c r="AG727" s="120"/>
      <c r="AH727" s="68"/>
      <c r="AI727" s="120"/>
      <c r="AJ727" s="120"/>
      <c r="AK727" s="120"/>
      <c r="AL727" s="120"/>
      <c r="AM727" s="120"/>
      <c r="AN727" s="120"/>
    </row>
    <row r="728" spans="1:40" s="124" customFormat="1" x14ac:dyDescent="0.25">
      <c r="A728" s="120"/>
      <c r="B728" s="121"/>
      <c r="C728" s="120"/>
      <c r="D728" s="120"/>
      <c r="E728" s="120"/>
      <c r="F728" s="120"/>
      <c r="G728" s="120"/>
      <c r="H728" s="120"/>
      <c r="I728" s="121"/>
      <c r="J728" s="121"/>
      <c r="K728" s="121"/>
      <c r="L728" s="121"/>
      <c r="M728" s="122"/>
      <c r="N728" s="121"/>
      <c r="O728" s="120"/>
      <c r="P728" s="120"/>
      <c r="Q728" s="120"/>
      <c r="R728" s="120"/>
      <c r="S728" s="120"/>
      <c r="T728" s="120"/>
      <c r="U728" s="68"/>
      <c r="V728" s="68"/>
      <c r="W728" s="120"/>
      <c r="X728" s="120"/>
      <c r="Y728" s="120"/>
      <c r="Z728" s="120"/>
      <c r="AA728" s="120"/>
      <c r="AB728" s="120"/>
      <c r="AC728" s="120"/>
      <c r="AD728" s="120"/>
      <c r="AE728" s="120"/>
      <c r="AF728" s="120"/>
      <c r="AG728" s="120"/>
      <c r="AH728" s="68"/>
      <c r="AI728" s="120"/>
      <c r="AJ728" s="120"/>
      <c r="AK728" s="120"/>
      <c r="AL728" s="120"/>
      <c r="AM728" s="120"/>
      <c r="AN728" s="120"/>
    </row>
    <row r="729" spans="1:40" s="124" customFormat="1" x14ac:dyDescent="0.25">
      <c r="A729" s="120"/>
      <c r="B729" s="121"/>
      <c r="C729" s="120"/>
      <c r="D729" s="120"/>
      <c r="E729" s="120"/>
      <c r="F729" s="120"/>
      <c r="G729" s="120"/>
      <c r="H729" s="120"/>
      <c r="I729" s="121"/>
      <c r="J729" s="121"/>
      <c r="K729" s="121"/>
      <c r="L729" s="121"/>
      <c r="M729" s="122"/>
      <c r="N729" s="121"/>
      <c r="O729" s="120"/>
      <c r="P729" s="120"/>
      <c r="Q729" s="120"/>
      <c r="R729" s="120"/>
      <c r="S729" s="120"/>
      <c r="T729" s="120"/>
      <c r="U729" s="68"/>
      <c r="V729" s="68"/>
      <c r="W729" s="120"/>
      <c r="X729" s="120"/>
      <c r="Y729" s="120"/>
      <c r="Z729" s="120"/>
      <c r="AA729" s="120"/>
      <c r="AB729" s="120"/>
      <c r="AC729" s="120"/>
      <c r="AD729" s="120"/>
      <c r="AE729" s="120"/>
      <c r="AF729" s="120"/>
      <c r="AG729" s="120"/>
      <c r="AH729" s="68"/>
      <c r="AI729" s="120"/>
      <c r="AJ729" s="120"/>
      <c r="AK729" s="120"/>
      <c r="AL729" s="120"/>
      <c r="AM729" s="120"/>
      <c r="AN729" s="120"/>
    </row>
    <row r="730" spans="1:40" s="124" customFormat="1" x14ac:dyDescent="0.25">
      <c r="A730" s="120"/>
      <c r="B730" s="121"/>
      <c r="C730" s="120"/>
      <c r="D730" s="120"/>
      <c r="E730" s="120"/>
      <c r="F730" s="120"/>
      <c r="G730" s="120"/>
      <c r="H730" s="120"/>
      <c r="I730" s="121"/>
      <c r="J730" s="121"/>
      <c r="K730" s="121"/>
      <c r="L730" s="121"/>
      <c r="M730" s="122"/>
      <c r="N730" s="121"/>
      <c r="O730" s="120"/>
      <c r="P730" s="120"/>
      <c r="Q730" s="120"/>
      <c r="R730" s="120"/>
      <c r="S730" s="120"/>
      <c r="T730" s="120"/>
      <c r="U730" s="68"/>
      <c r="V730" s="68"/>
      <c r="W730" s="120"/>
      <c r="X730" s="120"/>
      <c r="Y730" s="120"/>
      <c r="Z730" s="120"/>
      <c r="AA730" s="120"/>
      <c r="AB730" s="120"/>
      <c r="AC730" s="120"/>
      <c r="AD730" s="120"/>
      <c r="AE730" s="120"/>
      <c r="AF730" s="120"/>
      <c r="AG730" s="120"/>
      <c r="AH730" s="68"/>
      <c r="AI730" s="120"/>
      <c r="AJ730" s="120"/>
      <c r="AK730" s="120"/>
      <c r="AL730" s="120"/>
      <c r="AM730" s="120"/>
      <c r="AN730" s="120"/>
    </row>
    <row r="731" spans="1:40" s="124" customFormat="1" x14ac:dyDescent="0.25">
      <c r="A731" s="120"/>
      <c r="B731" s="121"/>
      <c r="C731" s="120"/>
      <c r="D731" s="120"/>
      <c r="E731" s="120"/>
      <c r="F731" s="120"/>
      <c r="G731" s="120"/>
      <c r="H731" s="120"/>
      <c r="I731" s="121"/>
      <c r="J731" s="121"/>
      <c r="K731" s="121"/>
      <c r="L731" s="121"/>
      <c r="M731" s="122"/>
      <c r="N731" s="121"/>
      <c r="O731" s="120"/>
      <c r="P731" s="120"/>
      <c r="Q731" s="120"/>
      <c r="R731" s="120"/>
      <c r="S731" s="120"/>
      <c r="T731" s="120"/>
      <c r="U731" s="68"/>
      <c r="V731" s="68"/>
      <c r="W731" s="120"/>
      <c r="X731" s="120"/>
      <c r="Y731" s="120"/>
      <c r="Z731" s="120"/>
      <c r="AA731" s="120"/>
      <c r="AB731" s="120"/>
      <c r="AC731" s="120"/>
      <c r="AD731" s="120"/>
      <c r="AE731" s="120"/>
      <c r="AF731" s="120"/>
      <c r="AG731" s="120"/>
      <c r="AH731" s="68"/>
      <c r="AI731" s="120"/>
      <c r="AJ731" s="120"/>
      <c r="AK731" s="120"/>
      <c r="AL731" s="120"/>
      <c r="AM731" s="120"/>
      <c r="AN731" s="120"/>
    </row>
    <row r="732" spans="1:40" s="124" customFormat="1" x14ac:dyDescent="0.25">
      <c r="A732" s="120"/>
      <c r="B732" s="121"/>
      <c r="C732" s="120"/>
      <c r="D732" s="120"/>
      <c r="E732" s="120"/>
      <c r="F732" s="120"/>
      <c r="G732" s="120"/>
      <c r="H732" s="120"/>
      <c r="I732" s="121"/>
      <c r="J732" s="121"/>
      <c r="K732" s="121"/>
      <c r="L732" s="121"/>
      <c r="M732" s="122"/>
      <c r="N732" s="121"/>
      <c r="O732" s="120"/>
      <c r="P732" s="120"/>
      <c r="Q732" s="120"/>
      <c r="R732" s="120"/>
      <c r="S732" s="120"/>
      <c r="T732" s="120"/>
      <c r="U732" s="68"/>
      <c r="V732" s="68"/>
      <c r="W732" s="120"/>
      <c r="X732" s="120"/>
      <c r="Y732" s="120"/>
      <c r="Z732" s="120"/>
      <c r="AA732" s="120"/>
      <c r="AB732" s="120"/>
      <c r="AC732" s="120"/>
      <c r="AD732" s="120"/>
      <c r="AE732" s="120"/>
      <c r="AF732" s="120"/>
      <c r="AG732" s="120"/>
      <c r="AH732" s="68"/>
      <c r="AI732" s="120"/>
      <c r="AJ732" s="120"/>
      <c r="AK732" s="120"/>
      <c r="AL732" s="120"/>
      <c r="AM732" s="120"/>
      <c r="AN732" s="120"/>
    </row>
    <row r="733" spans="1:40" s="124" customFormat="1" x14ac:dyDescent="0.25">
      <c r="A733" s="120"/>
      <c r="B733" s="121"/>
      <c r="C733" s="120"/>
      <c r="D733" s="120"/>
      <c r="E733" s="120"/>
      <c r="F733" s="120"/>
      <c r="G733" s="120"/>
      <c r="H733" s="120"/>
      <c r="I733" s="121"/>
      <c r="J733" s="121"/>
      <c r="K733" s="121"/>
      <c r="L733" s="121"/>
      <c r="M733" s="122"/>
      <c r="N733" s="121"/>
      <c r="O733" s="120"/>
      <c r="P733" s="120"/>
      <c r="Q733" s="120"/>
      <c r="R733" s="120"/>
      <c r="S733" s="120"/>
      <c r="T733" s="120"/>
      <c r="U733" s="68"/>
      <c r="V733" s="68"/>
      <c r="W733" s="120"/>
      <c r="X733" s="120"/>
      <c r="Y733" s="120"/>
      <c r="Z733" s="120"/>
      <c r="AA733" s="120"/>
      <c r="AB733" s="120"/>
      <c r="AC733" s="120"/>
      <c r="AD733" s="120"/>
      <c r="AE733" s="120"/>
      <c r="AF733" s="120"/>
      <c r="AG733" s="120"/>
      <c r="AH733" s="68"/>
      <c r="AI733" s="120"/>
      <c r="AJ733" s="120"/>
      <c r="AK733" s="120"/>
      <c r="AL733" s="120"/>
      <c r="AM733" s="120"/>
      <c r="AN733" s="120"/>
    </row>
    <row r="734" spans="1:40" s="124" customFormat="1" x14ac:dyDescent="0.25">
      <c r="A734" s="120"/>
      <c r="B734" s="121"/>
      <c r="C734" s="120"/>
      <c r="D734" s="120"/>
      <c r="E734" s="120"/>
      <c r="F734" s="120"/>
      <c r="G734" s="120"/>
      <c r="H734" s="120"/>
      <c r="I734" s="121"/>
      <c r="J734" s="121"/>
      <c r="K734" s="121"/>
      <c r="L734" s="121"/>
      <c r="M734" s="122"/>
      <c r="N734" s="121"/>
      <c r="O734" s="120"/>
      <c r="P734" s="120"/>
      <c r="Q734" s="120"/>
      <c r="R734" s="120"/>
      <c r="S734" s="120"/>
      <c r="T734" s="120"/>
      <c r="U734" s="68"/>
      <c r="V734" s="68"/>
      <c r="W734" s="120"/>
      <c r="X734" s="120"/>
      <c r="Y734" s="120"/>
      <c r="Z734" s="120"/>
      <c r="AA734" s="120"/>
      <c r="AB734" s="120"/>
      <c r="AC734" s="120"/>
      <c r="AD734" s="120"/>
      <c r="AE734" s="120"/>
      <c r="AF734" s="120"/>
      <c r="AG734" s="120"/>
      <c r="AH734" s="68"/>
      <c r="AI734" s="120"/>
      <c r="AJ734" s="120"/>
      <c r="AK734" s="120"/>
      <c r="AL734" s="120"/>
      <c r="AM734" s="120"/>
      <c r="AN734" s="120"/>
    </row>
    <row r="735" spans="1:40" s="124" customFormat="1" x14ac:dyDescent="0.25">
      <c r="A735" s="120"/>
      <c r="B735" s="121"/>
      <c r="C735" s="120"/>
      <c r="D735" s="120"/>
      <c r="E735" s="120"/>
      <c r="F735" s="120"/>
      <c r="G735" s="120"/>
      <c r="H735" s="120"/>
      <c r="I735" s="121"/>
      <c r="J735" s="121"/>
      <c r="K735" s="121"/>
      <c r="L735" s="121"/>
      <c r="M735" s="122"/>
      <c r="N735" s="121"/>
      <c r="O735" s="120"/>
      <c r="P735" s="120"/>
      <c r="Q735" s="120"/>
      <c r="R735" s="120"/>
      <c r="S735" s="120"/>
      <c r="T735" s="120"/>
      <c r="U735" s="68"/>
      <c r="V735" s="68"/>
      <c r="W735" s="120"/>
      <c r="X735" s="120"/>
      <c r="Y735" s="120"/>
      <c r="Z735" s="120"/>
      <c r="AA735" s="120"/>
      <c r="AB735" s="120"/>
      <c r="AC735" s="120"/>
      <c r="AD735" s="120"/>
      <c r="AE735" s="120"/>
      <c r="AF735" s="120"/>
      <c r="AG735" s="120"/>
      <c r="AH735" s="68"/>
      <c r="AI735" s="120"/>
      <c r="AJ735" s="120"/>
      <c r="AK735" s="120"/>
      <c r="AL735" s="120"/>
      <c r="AM735" s="120"/>
      <c r="AN735" s="120"/>
    </row>
    <row r="736" spans="1:40" s="124" customFormat="1" x14ac:dyDescent="0.25">
      <c r="A736" s="120"/>
      <c r="B736" s="121"/>
      <c r="C736" s="120"/>
      <c r="D736" s="120"/>
      <c r="E736" s="120"/>
      <c r="F736" s="120"/>
      <c r="G736" s="120"/>
      <c r="H736" s="120"/>
      <c r="I736" s="121"/>
      <c r="J736" s="121"/>
      <c r="K736" s="121"/>
      <c r="L736" s="121"/>
      <c r="M736" s="122"/>
      <c r="N736" s="121"/>
      <c r="O736" s="120"/>
      <c r="P736" s="120"/>
      <c r="Q736" s="120"/>
      <c r="R736" s="120"/>
      <c r="S736" s="120"/>
      <c r="T736" s="120"/>
      <c r="U736" s="68"/>
      <c r="V736" s="68"/>
      <c r="W736" s="120"/>
      <c r="X736" s="120"/>
      <c r="Y736" s="120"/>
      <c r="Z736" s="120"/>
      <c r="AA736" s="120"/>
      <c r="AB736" s="120"/>
      <c r="AC736" s="120"/>
      <c r="AD736" s="120"/>
      <c r="AE736" s="120"/>
      <c r="AF736" s="120"/>
      <c r="AG736" s="120"/>
      <c r="AH736" s="68"/>
      <c r="AI736" s="120"/>
      <c r="AJ736" s="120"/>
      <c r="AK736" s="120"/>
      <c r="AL736" s="120"/>
      <c r="AM736" s="120"/>
      <c r="AN736" s="120"/>
    </row>
    <row r="737" spans="1:40" s="124" customFormat="1" x14ac:dyDescent="0.25">
      <c r="A737" s="120"/>
      <c r="B737" s="121"/>
      <c r="C737" s="120"/>
      <c r="D737" s="120"/>
      <c r="E737" s="120"/>
      <c r="F737" s="120"/>
      <c r="G737" s="120"/>
      <c r="H737" s="120"/>
      <c r="I737" s="121"/>
      <c r="J737" s="121"/>
      <c r="K737" s="121"/>
      <c r="L737" s="121"/>
      <c r="M737" s="122"/>
      <c r="N737" s="121"/>
      <c r="O737" s="120"/>
      <c r="P737" s="120"/>
      <c r="Q737" s="120"/>
      <c r="R737" s="120"/>
      <c r="S737" s="120"/>
      <c r="T737" s="120"/>
      <c r="U737" s="68"/>
      <c r="V737" s="68"/>
      <c r="W737" s="120"/>
      <c r="X737" s="120"/>
      <c r="Y737" s="120"/>
      <c r="Z737" s="120"/>
      <c r="AA737" s="120"/>
      <c r="AB737" s="120"/>
      <c r="AC737" s="120"/>
      <c r="AD737" s="120"/>
      <c r="AE737" s="120"/>
      <c r="AF737" s="120"/>
      <c r="AG737" s="120"/>
      <c r="AH737" s="68"/>
      <c r="AI737" s="120"/>
      <c r="AJ737" s="120"/>
      <c r="AK737" s="120"/>
      <c r="AL737" s="120"/>
      <c r="AM737" s="120"/>
      <c r="AN737" s="120"/>
    </row>
    <row r="738" spans="1:40" s="124" customFormat="1" x14ac:dyDescent="0.25">
      <c r="A738" s="120"/>
      <c r="B738" s="121"/>
      <c r="C738" s="120"/>
      <c r="D738" s="120"/>
      <c r="E738" s="120"/>
      <c r="F738" s="120"/>
      <c r="G738" s="120"/>
      <c r="H738" s="120"/>
      <c r="I738" s="121"/>
      <c r="J738" s="121"/>
      <c r="K738" s="121"/>
      <c r="L738" s="121"/>
      <c r="M738" s="122"/>
      <c r="N738" s="121"/>
      <c r="O738" s="120"/>
      <c r="P738" s="120"/>
      <c r="Q738" s="120"/>
      <c r="R738" s="120"/>
      <c r="S738" s="120"/>
      <c r="T738" s="120"/>
      <c r="U738" s="68"/>
      <c r="V738" s="68"/>
      <c r="W738" s="120"/>
      <c r="X738" s="120"/>
      <c r="Y738" s="120"/>
      <c r="Z738" s="120"/>
      <c r="AA738" s="120"/>
      <c r="AB738" s="120"/>
      <c r="AC738" s="120"/>
      <c r="AD738" s="120"/>
      <c r="AE738" s="120"/>
      <c r="AF738" s="120"/>
      <c r="AG738" s="120"/>
      <c r="AH738" s="68"/>
      <c r="AI738" s="120"/>
      <c r="AJ738" s="120"/>
      <c r="AK738" s="120"/>
      <c r="AL738" s="120"/>
      <c r="AM738" s="120"/>
      <c r="AN738" s="120"/>
    </row>
    <row r="739" spans="1:40" s="124" customFormat="1" x14ac:dyDescent="0.25">
      <c r="A739" s="120"/>
      <c r="B739" s="121"/>
      <c r="C739" s="120"/>
      <c r="D739" s="120"/>
      <c r="E739" s="120"/>
      <c r="F739" s="120"/>
      <c r="G739" s="120"/>
      <c r="H739" s="120"/>
      <c r="I739" s="121"/>
      <c r="J739" s="121"/>
      <c r="K739" s="121"/>
      <c r="L739" s="121"/>
      <c r="M739" s="122"/>
      <c r="N739" s="121"/>
      <c r="O739" s="120"/>
      <c r="P739" s="120"/>
      <c r="Q739" s="120"/>
      <c r="R739" s="120"/>
      <c r="S739" s="120"/>
      <c r="T739" s="120"/>
      <c r="U739" s="68"/>
      <c r="V739" s="68"/>
      <c r="W739" s="120"/>
      <c r="X739" s="120"/>
      <c r="Y739" s="120"/>
      <c r="Z739" s="120"/>
      <c r="AA739" s="120"/>
      <c r="AB739" s="120"/>
      <c r="AC739" s="120"/>
      <c r="AD739" s="120"/>
      <c r="AE739" s="120"/>
      <c r="AF739" s="120"/>
      <c r="AG739" s="120"/>
      <c r="AH739" s="68"/>
      <c r="AI739" s="120"/>
      <c r="AJ739" s="120"/>
      <c r="AK739" s="120"/>
      <c r="AL739" s="120"/>
      <c r="AM739" s="120"/>
      <c r="AN739" s="120"/>
    </row>
    <row r="740" spans="1:40" s="124" customFormat="1" x14ac:dyDescent="0.25">
      <c r="A740" s="120"/>
      <c r="B740" s="121"/>
      <c r="C740" s="120"/>
      <c r="D740" s="120"/>
      <c r="E740" s="120"/>
      <c r="F740" s="120"/>
      <c r="G740" s="120"/>
      <c r="H740" s="120"/>
      <c r="I740" s="121"/>
      <c r="J740" s="121"/>
      <c r="K740" s="121"/>
      <c r="L740" s="121"/>
      <c r="M740" s="122"/>
      <c r="N740" s="121"/>
      <c r="O740" s="120"/>
      <c r="P740" s="120"/>
      <c r="Q740" s="120"/>
      <c r="R740" s="120"/>
      <c r="S740" s="120"/>
      <c r="T740" s="120"/>
      <c r="U740" s="68"/>
      <c r="V740" s="68"/>
      <c r="W740" s="120"/>
      <c r="X740" s="120"/>
      <c r="Y740" s="120"/>
      <c r="Z740" s="120"/>
      <c r="AA740" s="120"/>
      <c r="AB740" s="120"/>
      <c r="AC740" s="120"/>
      <c r="AD740" s="120"/>
      <c r="AE740" s="120"/>
      <c r="AF740" s="120"/>
      <c r="AG740" s="120"/>
      <c r="AH740" s="68"/>
      <c r="AI740" s="120"/>
      <c r="AJ740" s="120"/>
      <c r="AK740" s="120"/>
      <c r="AL740" s="120"/>
      <c r="AM740" s="120"/>
      <c r="AN740" s="120"/>
    </row>
    <row r="741" spans="1:40" s="124" customFormat="1" x14ac:dyDescent="0.25">
      <c r="A741" s="120"/>
      <c r="B741" s="121"/>
      <c r="C741" s="120"/>
      <c r="D741" s="120"/>
      <c r="E741" s="120"/>
      <c r="F741" s="120"/>
      <c r="G741" s="120"/>
      <c r="H741" s="120"/>
      <c r="I741" s="121"/>
      <c r="J741" s="121"/>
      <c r="K741" s="121"/>
      <c r="L741" s="121"/>
      <c r="M741" s="122"/>
      <c r="N741" s="121"/>
      <c r="O741" s="120"/>
      <c r="P741" s="120"/>
      <c r="Q741" s="120"/>
      <c r="R741" s="120"/>
      <c r="S741" s="120"/>
      <c r="T741" s="120"/>
      <c r="U741" s="68"/>
      <c r="V741" s="68"/>
      <c r="W741" s="120"/>
      <c r="X741" s="120"/>
      <c r="Y741" s="120"/>
      <c r="Z741" s="120"/>
      <c r="AA741" s="120"/>
      <c r="AB741" s="120"/>
      <c r="AC741" s="120"/>
      <c r="AD741" s="120"/>
      <c r="AE741" s="120"/>
      <c r="AF741" s="120"/>
      <c r="AG741" s="120"/>
      <c r="AH741" s="68"/>
      <c r="AI741" s="120"/>
      <c r="AJ741" s="120"/>
      <c r="AK741" s="120"/>
      <c r="AL741" s="120"/>
      <c r="AM741" s="120"/>
      <c r="AN741" s="120"/>
    </row>
    <row r="742" spans="1:40" s="124" customFormat="1" x14ac:dyDescent="0.25">
      <c r="A742" s="120"/>
      <c r="B742" s="121"/>
      <c r="C742" s="120"/>
      <c r="D742" s="120"/>
      <c r="E742" s="120"/>
      <c r="F742" s="120"/>
      <c r="G742" s="120"/>
      <c r="H742" s="120"/>
      <c r="I742" s="121"/>
      <c r="J742" s="121"/>
      <c r="K742" s="121"/>
      <c r="L742" s="121"/>
      <c r="M742" s="122"/>
      <c r="N742" s="121"/>
      <c r="O742" s="120"/>
      <c r="P742" s="120"/>
      <c r="Q742" s="120"/>
      <c r="R742" s="120"/>
      <c r="S742" s="120"/>
      <c r="T742" s="120"/>
      <c r="U742" s="68"/>
      <c r="V742" s="68"/>
      <c r="W742" s="120"/>
      <c r="X742" s="120"/>
      <c r="Y742" s="120"/>
      <c r="Z742" s="120"/>
      <c r="AA742" s="120"/>
      <c r="AB742" s="120"/>
      <c r="AC742" s="120"/>
      <c r="AD742" s="120"/>
      <c r="AE742" s="120"/>
      <c r="AF742" s="120"/>
      <c r="AG742" s="120"/>
      <c r="AH742" s="68"/>
      <c r="AI742" s="120"/>
      <c r="AJ742" s="120"/>
      <c r="AK742" s="120"/>
      <c r="AL742" s="120"/>
      <c r="AM742" s="120"/>
      <c r="AN742" s="120"/>
    </row>
    <row r="743" spans="1:40" s="124" customFormat="1" x14ac:dyDescent="0.25">
      <c r="A743" s="120"/>
      <c r="B743" s="121"/>
      <c r="C743" s="120"/>
      <c r="D743" s="120"/>
      <c r="E743" s="120"/>
      <c r="F743" s="120"/>
      <c r="G743" s="120"/>
      <c r="H743" s="120"/>
      <c r="I743" s="121"/>
      <c r="J743" s="121"/>
      <c r="K743" s="121"/>
      <c r="L743" s="121"/>
      <c r="M743" s="122"/>
      <c r="N743" s="121"/>
      <c r="O743" s="120"/>
      <c r="P743" s="120"/>
      <c r="Q743" s="120"/>
      <c r="R743" s="120"/>
      <c r="S743" s="120"/>
      <c r="T743" s="120"/>
      <c r="U743" s="68"/>
      <c r="V743" s="68"/>
      <c r="W743" s="120"/>
      <c r="X743" s="120"/>
      <c r="Y743" s="120"/>
      <c r="Z743" s="120"/>
      <c r="AA743" s="120"/>
      <c r="AB743" s="120"/>
      <c r="AC743" s="120"/>
      <c r="AD743" s="120"/>
      <c r="AE743" s="120"/>
      <c r="AF743" s="120"/>
      <c r="AG743" s="120"/>
      <c r="AH743" s="68"/>
      <c r="AI743" s="120"/>
      <c r="AJ743" s="120"/>
      <c r="AK743" s="120"/>
      <c r="AL743" s="120"/>
      <c r="AM743" s="120"/>
      <c r="AN743" s="120"/>
    </row>
    <row r="744" spans="1:40" s="124" customFormat="1" x14ac:dyDescent="0.25">
      <c r="A744" s="120"/>
      <c r="B744" s="121"/>
      <c r="C744" s="120"/>
      <c r="D744" s="120"/>
      <c r="E744" s="120"/>
      <c r="F744" s="120"/>
      <c r="G744" s="120"/>
      <c r="H744" s="120"/>
      <c r="I744" s="121"/>
      <c r="J744" s="121"/>
      <c r="K744" s="121"/>
      <c r="L744" s="121"/>
      <c r="M744" s="122"/>
      <c r="N744" s="121"/>
      <c r="O744" s="120"/>
      <c r="P744" s="120"/>
      <c r="Q744" s="120"/>
      <c r="R744" s="120"/>
      <c r="S744" s="120"/>
      <c r="T744" s="120"/>
      <c r="U744" s="68"/>
      <c r="V744" s="68"/>
      <c r="W744" s="120"/>
      <c r="X744" s="120"/>
      <c r="Y744" s="120"/>
      <c r="Z744" s="120"/>
      <c r="AA744" s="120"/>
      <c r="AB744" s="120"/>
      <c r="AC744" s="120"/>
      <c r="AD744" s="120"/>
      <c r="AE744" s="120"/>
      <c r="AF744" s="120"/>
      <c r="AG744" s="120"/>
      <c r="AH744" s="68"/>
      <c r="AI744" s="120"/>
      <c r="AJ744" s="120"/>
      <c r="AK744" s="120"/>
      <c r="AL744" s="120"/>
      <c r="AM744" s="120"/>
      <c r="AN744" s="120"/>
    </row>
    <row r="745" spans="1:40" s="124" customFormat="1" x14ac:dyDescent="0.25">
      <c r="A745" s="120"/>
      <c r="B745" s="121"/>
      <c r="C745" s="120"/>
      <c r="D745" s="120"/>
      <c r="E745" s="120"/>
      <c r="F745" s="120"/>
      <c r="G745" s="120"/>
      <c r="H745" s="120"/>
      <c r="I745" s="121"/>
      <c r="J745" s="121"/>
      <c r="K745" s="121"/>
      <c r="L745" s="121"/>
      <c r="M745" s="122"/>
      <c r="N745" s="121"/>
      <c r="O745" s="120"/>
      <c r="P745" s="120"/>
      <c r="Q745" s="120"/>
      <c r="R745" s="120"/>
      <c r="S745" s="120"/>
      <c r="T745" s="120"/>
      <c r="U745" s="68"/>
      <c r="V745" s="68"/>
      <c r="W745" s="120"/>
      <c r="X745" s="120"/>
      <c r="Y745" s="120"/>
      <c r="Z745" s="120"/>
      <c r="AA745" s="120"/>
      <c r="AB745" s="120"/>
      <c r="AC745" s="120"/>
      <c r="AD745" s="120"/>
      <c r="AE745" s="120"/>
      <c r="AF745" s="120"/>
      <c r="AG745" s="120"/>
      <c r="AH745" s="68"/>
      <c r="AI745" s="120"/>
      <c r="AJ745" s="120"/>
      <c r="AK745" s="120"/>
      <c r="AL745" s="120"/>
      <c r="AM745" s="120"/>
      <c r="AN745" s="120"/>
    </row>
    <row r="746" spans="1:40" s="124" customFormat="1" x14ac:dyDescent="0.25">
      <c r="A746" s="120"/>
      <c r="B746" s="121"/>
      <c r="C746" s="120"/>
      <c r="D746" s="120"/>
      <c r="E746" s="120"/>
      <c r="F746" s="120"/>
      <c r="G746" s="120"/>
      <c r="H746" s="120"/>
      <c r="I746" s="121"/>
      <c r="J746" s="121"/>
      <c r="K746" s="121"/>
      <c r="L746" s="121"/>
      <c r="M746" s="122"/>
      <c r="N746" s="121"/>
      <c r="O746" s="120"/>
      <c r="P746" s="120"/>
      <c r="Q746" s="120"/>
      <c r="R746" s="120"/>
      <c r="S746" s="120"/>
      <c r="T746" s="120"/>
      <c r="U746" s="68"/>
      <c r="V746" s="68"/>
      <c r="W746" s="120"/>
      <c r="X746" s="120"/>
      <c r="Y746" s="120"/>
      <c r="Z746" s="120"/>
      <c r="AA746" s="120"/>
      <c r="AB746" s="120"/>
      <c r="AC746" s="120"/>
      <c r="AD746" s="120"/>
      <c r="AE746" s="120"/>
      <c r="AF746" s="120"/>
      <c r="AG746" s="120"/>
      <c r="AH746" s="68"/>
      <c r="AI746" s="120"/>
      <c r="AJ746" s="120"/>
      <c r="AK746" s="120"/>
      <c r="AL746" s="120"/>
      <c r="AM746" s="120"/>
      <c r="AN746" s="120"/>
    </row>
    <row r="747" spans="1:40" s="124" customFormat="1" x14ac:dyDescent="0.25">
      <c r="A747" s="120"/>
      <c r="B747" s="121"/>
      <c r="C747" s="120"/>
      <c r="D747" s="120"/>
      <c r="E747" s="120"/>
      <c r="F747" s="120"/>
      <c r="G747" s="120"/>
      <c r="H747" s="120"/>
      <c r="I747" s="121"/>
      <c r="J747" s="121"/>
      <c r="K747" s="121"/>
      <c r="L747" s="121"/>
      <c r="M747" s="122"/>
      <c r="N747" s="121"/>
      <c r="O747" s="120"/>
      <c r="P747" s="120"/>
      <c r="Q747" s="120"/>
      <c r="R747" s="120"/>
      <c r="S747" s="120"/>
      <c r="T747" s="120"/>
      <c r="U747" s="68"/>
      <c r="V747" s="68"/>
      <c r="W747" s="120"/>
      <c r="X747" s="120"/>
      <c r="Y747" s="120"/>
      <c r="Z747" s="120"/>
      <c r="AA747" s="120"/>
      <c r="AB747" s="120"/>
      <c r="AC747" s="120"/>
      <c r="AD747" s="120"/>
      <c r="AE747" s="120"/>
      <c r="AF747" s="120"/>
      <c r="AG747" s="120"/>
      <c r="AH747" s="68"/>
      <c r="AI747" s="120"/>
      <c r="AJ747" s="120"/>
      <c r="AK747" s="120"/>
      <c r="AL747" s="120"/>
      <c r="AM747" s="120"/>
      <c r="AN747" s="120"/>
    </row>
    <row r="748" spans="1:40" s="124" customFormat="1" x14ac:dyDescent="0.25">
      <c r="A748" s="120"/>
      <c r="B748" s="121"/>
      <c r="C748" s="120"/>
      <c r="D748" s="120"/>
      <c r="E748" s="120"/>
      <c r="F748" s="120"/>
      <c r="G748" s="120"/>
      <c r="H748" s="120"/>
      <c r="I748" s="121"/>
      <c r="J748" s="121"/>
      <c r="K748" s="121"/>
      <c r="L748" s="121"/>
      <c r="M748" s="122"/>
      <c r="N748" s="121"/>
      <c r="O748" s="120"/>
      <c r="P748" s="120"/>
      <c r="Q748" s="120"/>
      <c r="R748" s="120"/>
      <c r="S748" s="120"/>
      <c r="T748" s="120"/>
      <c r="U748" s="68"/>
      <c r="V748" s="68"/>
      <c r="W748" s="120"/>
      <c r="X748" s="120"/>
      <c r="Y748" s="120"/>
      <c r="Z748" s="120"/>
      <c r="AA748" s="120"/>
      <c r="AB748" s="120"/>
      <c r="AC748" s="120"/>
      <c r="AD748" s="120"/>
      <c r="AE748" s="120"/>
      <c r="AF748" s="120"/>
      <c r="AG748" s="120"/>
      <c r="AH748" s="68"/>
      <c r="AI748" s="120"/>
      <c r="AJ748" s="120"/>
      <c r="AK748" s="120"/>
      <c r="AL748" s="120"/>
      <c r="AM748" s="120"/>
      <c r="AN748" s="120"/>
    </row>
    <row r="749" spans="1:40" s="124" customFormat="1" x14ac:dyDescent="0.25">
      <c r="A749" s="120"/>
      <c r="B749" s="121"/>
      <c r="C749" s="120"/>
      <c r="D749" s="120"/>
      <c r="E749" s="120"/>
      <c r="F749" s="120"/>
      <c r="G749" s="120"/>
      <c r="H749" s="120"/>
      <c r="I749" s="121"/>
      <c r="J749" s="121"/>
      <c r="K749" s="121"/>
      <c r="L749" s="121"/>
      <c r="M749" s="122"/>
      <c r="N749" s="121"/>
      <c r="O749" s="120"/>
      <c r="P749" s="120"/>
      <c r="Q749" s="120"/>
      <c r="R749" s="120"/>
      <c r="S749" s="120"/>
      <c r="T749" s="120"/>
      <c r="U749" s="68"/>
      <c r="V749" s="68"/>
      <c r="W749" s="120"/>
      <c r="X749" s="120"/>
      <c r="Y749" s="120"/>
      <c r="Z749" s="120"/>
      <c r="AA749" s="120"/>
      <c r="AB749" s="120"/>
      <c r="AC749" s="120"/>
      <c r="AD749" s="120"/>
      <c r="AE749" s="120"/>
      <c r="AF749" s="120"/>
      <c r="AG749" s="120"/>
      <c r="AH749" s="68"/>
      <c r="AI749" s="120"/>
      <c r="AJ749" s="120"/>
      <c r="AK749" s="120"/>
      <c r="AL749" s="120"/>
      <c r="AM749" s="120"/>
      <c r="AN749" s="120"/>
    </row>
    <row r="750" spans="1:40" s="124" customFormat="1" x14ac:dyDescent="0.25">
      <c r="A750" s="120"/>
      <c r="B750" s="121"/>
      <c r="C750" s="120"/>
      <c r="D750" s="120"/>
      <c r="E750" s="120"/>
      <c r="F750" s="120"/>
      <c r="G750" s="120"/>
      <c r="H750" s="120"/>
      <c r="I750" s="121"/>
      <c r="J750" s="121"/>
      <c r="K750" s="121"/>
      <c r="L750" s="121"/>
      <c r="M750" s="122"/>
      <c r="N750" s="121"/>
      <c r="O750" s="120"/>
      <c r="P750" s="120"/>
      <c r="Q750" s="120"/>
      <c r="R750" s="120"/>
      <c r="S750" s="120"/>
      <c r="T750" s="120"/>
      <c r="U750" s="68"/>
      <c r="V750" s="68"/>
      <c r="W750" s="120"/>
      <c r="X750" s="120"/>
      <c r="Y750" s="120"/>
      <c r="Z750" s="120"/>
      <c r="AA750" s="120"/>
      <c r="AB750" s="120"/>
      <c r="AC750" s="120"/>
      <c r="AD750" s="120"/>
      <c r="AE750" s="120"/>
      <c r="AF750" s="120"/>
      <c r="AG750" s="120"/>
      <c r="AH750" s="68"/>
      <c r="AI750" s="120"/>
      <c r="AJ750" s="120"/>
      <c r="AK750" s="120"/>
      <c r="AL750" s="120"/>
      <c r="AM750" s="120"/>
      <c r="AN750" s="120"/>
    </row>
    <row r="751" spans="1:40" s="124" customFormat="1" x14ac:dyDescent="0.25">
      <c r="A751" s="120"/>
      <c r="B751" s="121"/>
      <c r="C751" s="120"/>
      <c r="D751" s="120"/>
      <c r="E751" s="120"/>
      <c r="F751" s="120"/>
      <c r="G751" s="120"/>
      <c r="H751" s="120"/>
      <c r="I751" s="121"/>
      <c r="J751" s="121"/>
      <c r="K751" s="121"/>
      <c r="L751" s="121"/>
      <c r="M751" s="122"/>
      <c r="N751" s="121"/>
      <c r="O751" s="120"/>
      <c r="P751" s="120"/>
      <c r="Q751" s="120"/>
      <c r="R751" s="120"/>
      <c r="S751" s="120"/>
      <c r="T751" s="120"/>
      <c r="U751" s="68"/>
      <c r="V751" s="68"/>
      <c r="W751" s="120"/>
      <c r="X751" s="120"/>
      <c r="Y751" s="120"/>
      <c r="Z751" s="120"/>
      <c r="AA751" s="120"/>
      <c r="AB751" s="120"/>
      <c r="AC751" s="120"/>
      <c r="AD751" s="120"/>
      <c r="AE751" s="120"/>
      <c r="AF751" s="120"/>
      <c r="AG751" s="120"/>
      <c r="AH751" s="68"/>
      <c r="AI751" s="120"/>
      <c r="AJ751" s="120"/>
      <c r="AK751" s="120"/>
      <c r="AL751" s="120"/>
      <c r="AM751" s="120"/>
      <c r="AN751" s="120"/>
    </row>
    <row r="752" spans="1:40" s="124" customFormat="1" x14ac:dyDescent="0.25">
      <c r="A752" s="120"/>
      <c r="B752" s="121"/>
      <c r="C752" s="120"/>
      <c r="D752" s="120"/>
      <c r="E752" s="120"/>
      <c r="F752" s="120"/>
      <c r="G752" s="120"/>
      <c r="H752" s="120"/>
      <c r="I752" s="121"/>
      <c r="J752" s="121"/>
      <c r="K752" s="121"/>
      <c r="L752" s="121"/>
      <c r="M752" s="122"/>
      <c r="N752" s="121"/>
      <c r="O752" s="120"/>
      <c r="P752" s="120"/>
      <c r="Q752" s="120"/>
      <c r="R752" s="120"/>
      <c r="S752" s="120"/>
      <c r="T752" s="120"/>
      <c r="U752" s="68"/>
      <c r="V752" s="68"/>
      <c r="W752" s="120"/>
      <c r="X752" s="120"/>
      <c r="Y752" s="120"/>
      <c r="Z752" s="120"/>
      <c r="AA752" s="120"/>
      <c r="AB752" s="120"/>
      <c r="AC752" s="120"/>
      <c r="AD752" s="120"/>
      <c r="AE752" s="120"/>
      <c r="AF752" s="120"/>
      <c r="AG752" s="120"/>
      <c r="AH752" s="68"/>
      <c r="AI752" s="120"/>
      <c r="AJ752" s="120"/>
      <c r="AK752" s="120"/>
      <c r="AL752" s="120"/>
      <c r="AM752" s="120"/>
      <c r="AN752" s="120"/>
    </row>
    <row r="753" spans="1:40" s="124" customFormat="1" x14ac:dyDescent="0.25">
      <c r="A753" s="120"/>
      <c r="B753" s="121"/>
      <c r="C753" s="120"/>
      <c r="D753" s="120"/>
      <c r="E753" s="120"/>
      <c r="F753" s="120"/>
      <c r="G753" s="120"/>
      <c r="H753" s="120"/>
      <c r="I753" s="121"/>
      <c r="J753" s="121"/>
      <c r="K753" s="121"/>
      <c r="L753" s="121"/>
      <c r="M753" s="122"/>
      <c r="N753" s="121"/>
      <c r="O753" s="120"/>
      <c r="P753" s="120"/>
      <c r="Q753" s="120"/>
      <c r="R753" s="120"/>
      <c r="S753" s="120"/>
      <c r="T753" s="120"/>
      <c r="U753" s="68"/>
      <c r="V753" s="68"/>
      <c r="W753" s="120"/>
      <c r="X753" s="120"/>
      <c r="Y753" s="120"/>
      <c r="Z753" s="120"/>
      <c r="AA753" s="120"/>
      <c r="AB753" s="120"/>
      <c r="AC753" s="120"/>
      <c r="AD753" s="120"/>
      <c r="AE753" s="120"/>
      <c r="AF753" s="120"/>
      <c r="AG753" s="120"/>
      <c r="AH753" s="68"/>
      <c r="AI753" s="120"/>
      <c r="AJ753" s="120"/>
      <c r="AK753" s="120"/>
      <c r="AL753" s="120"/>
      <c r="AM753" s="120"/>
      <c r="AN753" s="120"/>
    </row>
    <row r="754" spans="1:40" s="124" customFormat="1" x14ac:dyDescent="0.25">
      <c r="A754" s="120"/>
      <c r="B754" s="121"/>
      <c r="C754" s="120"/>
      <c r="D754" s="120"/>
      <c r="E754" s="120"/>
      <c r="F754" s="120"/>
      <c r="G754" s="120"/>
      <c r="H754" s="120"/>
      <c r="I754" s="121"/>
      <c r="J754" s="121"/>
      <c r="K754" s="121"/>
      <c r="L754" s="121"/>
      <c r="M754" s="122"/>
      <c r="N754" s="121"/>
      <c r="O754" s="120"/>
      <c r="P754" s="120"/>
      <c r="Q754" s="120"/>
      <c r="R754" s="120"/>
      <c r="S754" s="120"/>
      <c r="T754" s="120"/>
      <c r="U754" s="68"/>
      <c r="V754" s="68"/>
      <c r="W754" s="120"/>
      <c r="X754" s="120"/>
      <c r="Y754" s="120"/>
      <c r="Z754" s="120"/>
      <c r="AA754" s="120"/>
      <c r="AB754" s="120"/>
      <c r="AC754" s="120"/>
      <c r="AD754" s="120"/>
      <c r="AE754" s="120"/>
      <c r="AF754" s="120"/>
      <c r="AG754" s="120"/>
      <c r="AH754" s="68"/>
      <c r="AI754" s="120"/>
      <c r="AJ754" s="120"/>
      <c r="AK754" s="120"/>
      <c r="AL754" s="120"/>
      <c r="AM754" s="120"/>
      <c r="AN754" s="120"/>
    </row>
    <row r="755" spans="1:40" s="124" customFormat="1" x14ac:dyDescent="0.25">
      <c r="A755" s="120"/>
      <c r="B755" s="121"/>
      <c r="C755" s="120"/>
      <c r="D755" s="120"/>
      <c r="E755" s="120"/>
      <c r="F755" s="120"/>
      <c r="G755" s="120"/>
      <c r="H755" s="120"/>
      <c r="I755" s="121"/>
      <c r="J755" s="121"/>
      <c r="K755" s="121"/>
      <c r="L755" s="121"/>
      <c r="M755" s="122"/>
      <c r="N755" s="121"/>
      <c r="O755" s="120"/>
      <c r="P755" s="120"/>
      <c r="Q755" s="120"/>
      <c r="R755" s="120"/>
      <c r="S755" s="120"/>
      <c r="T755" s="120"/>
      <c r="U755" s="68"/>
      <c r="V755" s="68"/>
      <c r="W755" s="120"/>
      <c r="X755" s="120"/>
      <c r="Y755" s="120"/>
      <c r="Z755" s="120"/>
      <c r="AA755" s="120"/>
      <c r="AB755" s="120"/>
      <c r="AC755" s="120"/>
      <c r="AD755" s="120"/>
      <c r="AE755" s="120"/>
      <c r="AF755" s="120"/>
      <c r="AG755" s="120"/>
      <c r="AH755" s="68"/>
      <c r="AI755" s="120"/>
      <c r="AJ755" s="120"/>
      <c r="AK755" s="120"/>
      <c r="AL755" s="120"/>
      <c r="AM755" s="120"/>
      <c r="AN755" s="120"/>
    </row>
    <row r="756" spans="1:40" s="124" customFormat="1" x14ac:dyDescent="0.25">
      <c r="A756" s="120"/>
      <c r="B756" s="121"/>
      <c r="C756" s="120"/>
      <c r="D756" s="120"/>
      <c r="E756" s="120"/>
      <c r="F756" s="120"/>
      <c r="G756" s="120"/>
      <c r="H756" s="120"/>
      <c r="I756" s="121"/>
      <c r="J756" s="121"/>
      <c r="K756" s="121"/>
      <c r="L756" s="121"/>
      <c r="M756" s="122"/>
      <c r="N756" s="121"/>
      <c r="O756" s="120"/>
      <c r="P756" s="120"/>
      <c r="Q756" s="120"/>
      <c r="R756" s="120"/>
      <c r="S756" s="120"/>
      <c r="T756" s="120"/>
      <c r="U756" s="68"/>
      <c r="V756" s="68"/>
      <c r="W756" s="120"/>
      <c r="X756" s="120"/>
      <c r="Y756" s="120"/>
      <c r="Z756" s="120"/>
      <c r="AA756" s="120"/>
      <c r="AB756" s="120"/>
      <c r="AC756" s="120"/>
      <c r="AD756" s="120"/>
      <c r="AE756" s="120"/>
      <c r="AF756" s="120"/>
      <c r="AG756" s="120"/>
      <c r="AH756" s="68"/>
      <c r="AI756" s="120"/>
      <c r="AJ756" s="120"/>
      <c r="AK756" s="120"/>
      <c r="AL756" s="120"/>
      <c r="AM756" s="120"/>
      <c r="AN756" s="120"/>
    </row>
    <row r="757" spans="1:40" s="124" customFormat="1" x14ac:dyDescent="0.25">
      <c r="A757" s="120"/>
      <c r="B757" s="121"/>
      <c r="C757" s="120"/>
      <c r="D757" s="120"/>
      <c r="E757" s="120"/>
      <c r="F757" s="120"/>
      <c r="G757" s="120"/>
      <c r="H757" s="120"/>
      <c r="I757" s="121"/>
      <c r="J757" s="121"/>
      <c r="K757" s="121"/>
      <c r="L757" s="121"/>
      <c r="M757" s="122"/>
      <c r="N757" s="121"/>
      <c r="O757" s="120"/>
      <c r="P757" s="120"/>
      <c r="Q757" s="120"/>
      <c r="R757" s="120"/>
      <c r="S757" s="120"/>
      <c r="T757" s="120"/>
      <c r="U757" s="68"/>
      <c r="V757" s="68"/>
      <c r="W757" s="120"/>
      <c r="X757" s="120"/>
      <c r="Y757" s="120"/>
      <c r="Z757" s="120"/>
      <c r="AA757" s="120"/>
      <c r="AB757" s="120"/>
      <c r="AC757" s="120"/>
      <c r="AD757" s="120"/>
      <c r="AE757" s="120"/>
      <c r="AF757" s="120"/>
      <c r="AG757" s="120"/>
      <c r="AH757" s="68"/>
      <c r="AI757" s="120"/>
      <c r="AJ757" s="120"/>
      <c r="AK757" s="120"/>
      <c r="AL757" s="120"/>
      <c r="AM757" s="120"/>
      <c r="AN757" s="120"/>
    </row>
    <row r="758" spans="1:40" s="124" customFormat="1" x14ac:dyDescent="0.25">
      <c r="A758" s="120"/>
      <c r="B758" s="121"/>
      <c r="C758" s="120"/>
      <c r="D758" s="120"/>
      <c r="E758" s="120"/>
      <c r="F758" s="120"/>
      <c r="G758" s="120"/>
      <c r="H758" s="120"/>
      <c r="I758" s="121"/>
      <c r="J758" s="121"/>
      <c r="K758" s="121"/>
      <c r="L758" s="121"/>
      <c r="M758" s="122"/>
      <c r="N758" s="121"/>
      <c r="O758" s="120"/>
      <c r="P758" s="120"/>
      <c r="Q758" s="120"/>
      <c r="R758" s="120"/>
      <c r="S758" s="120"/>
      <c r="T758" s="120"/>
      <c r="U758" s="68"/>
      <c r="V758" s="68"/>
      <c r="W758" s="120"/>
      <c r="X758" s="120"/>
      <c r="Y758" s="120"/>
      <c r="Z758" s="120"/>
      <c r="AA758" s="120"/>
      <c r="AB758" s="120"/>
      <c r="AC758" s="120"/>
      <c r="AD758" s="120"/>
      <c r="AE758" s="120"/>
      <c r="AF758" s="120"/>
      <c r="AG758" s="120"/>
      <c r="AH758" s="68"/>
      <c r="AI758" s="120"/>
      <c r="AJ758" s="120"/>
      <c r="AK758" s="120"/>
      <c r="AL758" s="120"/>
      <c r="AM758" s="120"/>
      <c r="AN758" s="120"/>
    </row>
    <row r="759" spans="1:40" s="124" customFormat="1" x14ac:dyDescent="0.25">
      <c r="A759" s="120"/>
      <c r="B759" s="121"/>
      <c r="C759" s="120"/>
      <c r="D759" s="120"/>
      <c r="E759" s="120"/>
      <c r="F759" s="120"/>
      <c r="G759" s="120"/>
      <c r="H759" s="120"/>
      <c r="I759" s="121"/>
      <c r="J759" s="121"/>
      <c r="K759" s="121"/>
      <c r="L759" s="121"/>
      <c r="M759" s="122"/>
      <c r="N759" s="121"/>
      <c r="O759" s="120"/>
      <c r="P759" s="120"/>
      <c r="Q759" s="120"/>
      <c r="R759" s="120"/>
      <c r="S759" s="120"/>
      <c r="T759" s="120"/>
      <c r="U759" s="68"/>
      <c r="V759" s="68"/>
      <c r="W759" s="120"/>
      <c r="X759" s="120"/>
      <c r="Y759" s="120"/>
      <c r="Z759" s="120"/>
      <c r="AA759" s="120"/>
      <c r="AB759" s="120"/>
      <c r="AC759" s="120"/>
      <c r="AD759" s="120"/>
      <c r="AE759" s="120"/>
      <c r="AF759" s="120"/>
      <c r="AG759" s="120"/>
      <c r="AH759" s="68"/>
      <c r="AI759" s="120"/>
      <c r="AJ759" s="120"/>
      <c r="AK759" s="120"/>
      <c r="AL759" s="120"/>
      <c r="AM759" s="120"/>
      <c r="AN759" s="120"/>
    </row>
    <row r="760" spans="1:40" x14ac:dyDescent="0.25"/>
    <row r="761" spans="1:40" x14ac:dyDescent="0.25"/>
    <row r="762" spans="1:40" x14ac:dyDescent="0.25"/>
    <row r="763" spans="1:40" x14ac:dyDescent="0.25"/>
    <row r="764" spans="1:40" x14ac:dyDescent="0.25"/>
    <row r="765" spans="1:40" x14ac:dyDescent="0.25"/>
  </sheetData>
  <mergeCells count="13">
    <mergeCell ref="Z5:AC5"/>
    <mergeCell ref="AD5:AG5"/>
    <mergeCell ref="AH5:AK5"/>
    <mergeCell ref="V5:Y5"/>
    <mergeCell ref="B5:D5"/>
    <mergeCell ref="B1:D3"/>
    <mergeCell ref="E1:I1"/>
    <mergeCell ref="J1:L1"/>
    <mergeCell ref="M1:P3"/>
    <mergeCell ref="E2:I2"/>
    <mergeCell ref="J2:L2"/>
    <mergeCell ref="E3:I3"/>
    <mergeCell ref="J3:L3"/>
  </mergeCells>
  <phoneticPr fontId="12" type="noConversion"/>
  <conditionalFormatting sqref="O466:O1048576 O5">
    <cfRule type="duplicateValues" dxfId="1" priority="6"/>
  </conditionalFormatting>
  <pageMargins left="0.70866141732283472" right="0.70866141732283472" top="0.74803149606299213" bottom="0.74803149606299213" header="0.31496062992125984" footer="0.31496062992125984"/>
  <pageSetup paperSize="9" scale="14" fitToHeight="0" orientation="landscape" horizontalDpi="1200" verticalDpi="1200"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D0732C80-E981-46FC-ACD6-2B85FD715A4F}">
          <x14:formula1>
            <xm:f>Conversión!$A$2:$A$6</xm:f>
          </x14:formula1>
          <xm:sqref>I7:I464</xm:sqref>
        </x14:dataValidation>
        <x14:dataValidation type="list" allowBlank="1" showInputMessage="1" showErrorMessage="1" xr:uid="{88A8817B-3196-406E-AC93-FBE0833F5744}">
          <x14:formula1>
            <xm:f>Conversión!$B$2:$B$4</xm:f>
          </x14:formula1>
          <xm:sqref>J7:J464</xm:sqref>
        </x14:dataValidation>
        <x14:dataValidation type="list" allowBlank="1" showInputMessage="1" showErrorMessage="1" xr:uid="{A1923206-883E-4233-91D9-C03A30D46B9B}">
          <x14:formula1>
            <xm:f>Conversión!$D$2:$D$3</xm:f>
          </x14:formula1>
          <xm:sqref>L7:L464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BEA64-7A58-4E21-A2A8-8F183ACC8048}">
  <sheetPr>
    <tabColor theme="5" tint="0.59999389629810485"/>
    <pageSetUpPr fitToPage="1"/>
  </sheetPr>
  <dimension ref="A1:AJ585"/>
  <sheetViews>
    <sheetView zoomScale="90" zoomScaleNormal="90" workbookViewId="0">
      <pane xSplit="2" ySplit="6" topLeftCell="C7" activePane="bottomRight" state="frozen"/>
      <selection pane="topRight" activeCell="C1" sqref="C1"/>
      <selection pane="bottomLeft" activeCell="A3" sqref="A3"/>
      <selection pane="bottomRight" activeCell="E7" sqref="E7"/>
    </sheetView>
  </sheetViews>
  <sheetFormatPr baseColWidth="10" defaultColWidth="11.42578125" defaultRowHeight="15" zeroHeight="1" x14ac:dyDescent="0.25"/>
  <cols>
    <col min="1" max="1" width="6.42578125" style="63" customWidth="1"/>
    <col min="2" max="2" width="11.28515625" style="63" bestFit="1" customWidth="1"/>
    <col min="3" max="3" width="34.28515625" style="63" customWidth="1"/>
    <col min="4" max="4" width="34.42578125" style="63" customWidth="1"/>
    <col min="5" max="5" width="15.42578125" style="64" customWidth="1"/>
    <col min="6" max="6" width="32.5703125" style="63" customWidth="1"/>
    <col min="7" max="7" width="20.42578125" style="63" customWidth="1"/>
    <col min="8" max="8" width="17.42578125" style="63" bestFit="1" customWidth="1"/>
    <col min="9" max="9" width="15.28515625" style="67" customWidth="1"/>
    <col min="10" max="10" width="17.5703125" style="63" customWidth="1"/>
    <col min="11" max="11" width="15.28515625" style="63" bestFit="1" customWidth="1"/>
    <col min="12" max="13" width="19" style="63" customWidth="1"/>
    <col min="14" max="14" width="19" style="64" customWidth="1"/>
    <col min="15" max="15" width="23" style="63" customWidth="1"/>
    <col min="16" max="16" width="21.5703125" style="64" customWidth="1"/>
    <col min="17" max="17" width="22.7109375" style="63" customWidth="1"/>
    <col min="18" max="18" width="25.7109375" style="63" customWidth="1"/>
    <col min="19" max="19" width="22.28515625" style="64" customWidth="1"/>
    <col min="20" max="21" width="17.42578125" style="64" customWidth="1"/>
    <col min="22" max="22" width="17.42578125" style="63" customWidth="1"/>
    <col min="23" max="23" width="22" style="64" customWidth="1"/>
    <col min="24" max="25" width="17.42578125" style="64" customWidth="1"/>
    <col min="26" max="26" width="17.42578125" style="63" hidden="1" customWidth="1"/>
    <col min="27" max="29" width="17.42578125" style="64" hidden="1" customWidth="1"/>
    <col min="30" max="30" width="17.42578125" style="63" hidden="1" customWidth="1"/>
    <col min="31" max="33" width="17.42578125" style="64" hidden="1" customWidth="1"/>
    <col min="34" max="34" width="25.28515625" style="63" bestFit="1" customWidth="1"/>
    <col min="35" max="35" width="25.28515625" style="63" customWidth="1"/>
    <col min="36" max="36" width="42.28515625" style="63" customWidth="1"/>
    <col min="37" max="16384" width="11.42578125" style="5"/>
  </cols>
  <sheetData>
    <row r="1" spans="1:36" ht="27.95" customHeight="1" x14ac:dyDescent="0.25">
      <c r="A1" s="5"/>
      <c r="B1" s="251"/>
      <c r="C1" s="251"/>
      <c r="D1" s="251"/>
      <c r="E1" s="252" t="s">
        <v>1716</v>
      </c>
      <c r="F1" s="252"/>
      <c r="G1" s="252"/>
      <c r="H1" s="252"/>
      <c r="I1" s="252"/>
      <c r="J1" s="253" t="s">
        <v>1717</v>
      </c>
      <c r="K1" s="253"/>
      <c r="L1" s="253"/>
      <c r="M1" s="254"/>
      <c r="N1" s="254"/>
      <c r="O1" s="254"/>
      <c r="P1" s="254"/>
      <c r="S1" s="63"/>
      <c r="T1" s="63"/>
      <c r="U1" s="63"/>
      <c r="W1" s="63"/>
      <c r="X1" s="63"/>
      <c r="Y1" s="63"/>
      <c r="AA1" s="63"/>
      <c r="AB1" s="63"/>
      <c r="AC1" s="63"/>
      <c r="AE1" s="63"/>
      <c r="AF1" s="63"/>
      <c r="AG1" s="63"/>
    </row>
    <row r="2" spans="1:36" ht="27.95" customHeight="1" x14ac:dyDescent="0.25">
      <c r="A2" s="5"/>
      <c r="B2" s="251"/>
      <c r="C2" s="251"/>
      <c r="D2" s="251"/>
      <c r="E2" s="255" t="s">
        <v>1718</v>
      </c>
      <c r="F2" s="255"/>
      <c r="G2" s="255"/>
      <c r="H2" s="255"/>
      <c r="I2" s="255"/>
      <c r="J2" s="253" t="s">
        <v>1719</v>
      </c>
      <c r="K2" s="253"/>
      <c r="L2" s="253"/>
      <c r="M2" s="254"/>
      <c r="N2" s="254"/>
      <c r="O2" s="254"/>
      <c r="P2" s="254"/>
      <c r="S2" s="63"/>
      <c r="T2" s="63"/>
      <c r="U2" s="63"/>
      <c r="W2" s="63"/>
      <c r="X2" s="63"/>
      <c r="Y2" s="63"/>
      <c r="AA2" s="63"/>
      <c r="AB2" s="63"/>
      <c r="AC2" s="63"/>
      <c r="AE2" s="63"/>
      <c r="AF2" s="63"/>
      <c r="AG2" s="63"/>
    </row>
    <row r="3" spans="1:36" ht="31.5" customHeight="1" x14ac:dyDescent="0.25">
      <c r="A3" s="5"/>
      <c r="B3" s="251"/>
      <c r="C3" s="251"/>
      <c r="D3" s="251"/>
      <c r="E3" s="255" t="s">
        <v>1720</v>
      </c>
      <c r="F3" s="255"/>
      <c r="G3" s="255"/>
      <c r="H3" s="255"/>
      <c r="I3" s="255"/>
      <c r="J3" s="253" t="s">
        <v>1721</v>
      </c>
      <c r="K3" s="253"/>
      <c r="L3" s="253"/>
      <c r="M3" s="254"/>
      <c r="N3" s="254"/>
      <c r="O3" s="254"/>
      <c r="P3" s="254"/>
      <c r="S3" s="63"/>
      <c r="T3" s="63"/>
      <c r="U3" s="63"/>
      <c r="W3" s="63"/>
      <c r="X3" s="63"/>
      <c r="Y3" s="63"/>
      <c r="AA3" s="63"/>
      <c r="AB3" s="63"/>
      <c r="AC3" s="63"/>
      <c r="AE3" s="63"/>
      <c r="AF3" s="63"/>
      <c r="AG3" s="63"/>
    </row>
    <row r="4" spans="1:36" ht="15.75" thickBot="1" x14ac:dyDescent="0.3">
      <c r="A4" s="5"/>
      <c r="E4" s="63"/>
      <c r="I4" s="63"/>
      <c r="J4" s="67"/>
      <c r="N4" s="63"/>
      <c r="P4" s="63"/>
      <c r="S4" s="63"/>
      <c r="T4" s="63"/>
      <c r="U4" s="63"/>
      <c r="W4" s="63"/>
      <c r="X4" s="63"/>
      <c r="Y4" s="63"/>
      <c r="AA4" s="63"/>
      <c r="AB4" s="63"/>
      <c r="AC4" s="63"/>
      <c r="AE4" s="63"/>
      <c r="AF4" s="63"/>
      <c r="AG4" s="63"/>
    </row>
    <row r="5" spans="1:36" ht="44.25" customHeight="1" thickBot="1" x14ac:dyDescent="0.3">
      <c r="A5" s="256" t="s">
        <v>2055</v>
      </c>
      <c r="B5" s="257"/>
      <c r="C5" s="257"/>
      <c r="D5" s="257"/>
      <c r="E5" s="257"/>
      <c r="F5" s="257"/>
      <c r="G5" s="201"/>
      <c r="H5" s="201"/>
      <c r="I5" s="202"/>
      <c r="J5" s="201"/>
      <c r="K5" s="201"/>
      <c r="L5" s="201"/>
      <c r="M5" s="201"/>
      <c r="N5" s="201"/>
      <c r="O5" s="201"/>
      <c r="P5" s="201"/>
      <c r="Q5" s="201"/>
      <c r="R5" s="259" t="s">
        <v>713</v>
      </c>
      <c r="S5" s="260"/>
      <c r="T5" s="260"/>
      <c r="U5" s="261"/>
      <c r="V5" s="256" t="s">
        <v>714</v>
      </c>
      <c r="W5" s="257"/>
      <c r="X5" s="257"/>
      <c r="Y5" s="258"/>
      <c r="Z5" s="256" t="s">
        <v>715</v>
      </c>
      <c r="AA5" s="257"/>
      <c r="AB5" s="257"/>
      <c r="AC5" s="258"/>
      <c r="AD5" s="262" t="s">
        <v>716</v>
      </c>
      <c r="AE5" s="263"/>
      <c r="AF5" s="263"/>
      <c r="AG5" s="264"/>
      <c r="AH5" s="201"/>
      <c r="AI5" s="201"/>
      <c r="AJ5" s="203"/>
    </row>
    <row r="6" spans="1:36" s="8" customFormat="1" ht="75" customHeight="1" x14ac:dyDescent="0.25">
      <c r="A6" s="61" t="s">
        <v>717</v>
      </c>
      <c r="B6" s="59" t="s">
        <v>3</v>
      </c>
      <c r="C6" s="59" t="s">
        <v>718</v>
      </c>
      <c r="D6" s="59" t="s">
        <v>719</v>
      </c>
      <c r="E6" s="60" t="s">
        <v>723</v>
      </c>
      <c r="F6" s="60" t="s">
        <v>724</v>
      </c>
      <c r="G6" s="59" t="s">
        <v>726</v>
      </c>
      <c r="H6" s="59" t="s">
        <v>727</v>
      </c>
      <c r="I6" s="57" t="s">
        <v>728</v>
      </c>
      <c r="J6" s="58" t="s">
        <v>729</v>
      </c>
      <c r="K6" s="10" t="s">
        <v>730</v>
      </c>
      <c r="L6" s="10" t="s">
        <v>1466</v>
      </c>
      <c r="M6" s="11" t="s">
        <v>732</v>
      </c>
      <c r="N6" s="12" t="s">
        <v>1467</v>
      </c>
      <c r="O6" s="69" t="s">
        <v>734</v>
      </c>
      <c r="P6" s="13" t="s">
        <v>735</v>
      </c>
      <c r="Q6" s="10" t="s">
        <v>736</v>
      </c>
      <c r="R6" s="10" t="s">
        <v>737</v>
      </c>
      <c r="S6" s="13" t="s">
        <v>738</v>
      </c>
      <c r="T6" s="14" t="s">
        <v>739</v>
      </c>
      <c r="U6" s="15" t="s">
        <v>740</v>
      </c>
      <c r="V6" s="10" t="s">
        <v>741</v>
      </c>
      <c r="W6" s="13" t="s">
        <v>738</v>
      </c>
      <c r="X6" s="14" t="s">
        <v>739</v>
      </c>
      <c r="Y6" s="15" t="s">
        <v>740</v>
      </c>
      <c r="Z6" s="10" t="s">
        <v>742</v>
      </c>
      <c r="AA6" s="13" t="s">
        <v>738</v>
      </c>
      <c r="AB6" s="14" t="s">
        <v>739</v>
      </c>
      <c r="AC6" s="15" t="s">
        <v>740</v>
      </c>
      <c r="AD6" s="10" t="s">
        <v>743</v>
      </c>
      <c r="AE6" s="13" t="s">
        <v>738</v>
      </c>
      <c r="AF6" s="14" t="s">
        <v>739</v>
      </c>
      <c r="AG6" s="15" t="s">
        <v>740</v>
      </c>
      <c r="AH6" s="14" t="s">
        <v>744</v>
      </c>
      <c r="AI6" s="111" t="s">
        <v>745</v>
      </c>
      <c r="AJ6" s="112" t="s">
        <v>1468</v>
      </c>
    </row>
    <row r="7" spans="1:36" s="9" customFormat="1" ht="59.45" customHeight="1" thickBot="1" x14ac:dyDescent="0.3">
      <c r="A7" s="70">
        <v>1</v>
      </c>
      <c r="B7" s="71">
        <v>2</v>
      </c>
      <c r="C7" s="71" t="s">
        <v>1469</v>
      </c>
      <c r="D7" s="72" t="s">
        <v>1629</v>
      </c>
      <c r="E7" s="73">
        <v>4</v>
      </c>
      <c r="F7" s="73" t="s">
        <v>1916</v>
      </c>
      <c r="G7" s="74" t="s">
        <v>1470</v>
      </c>
      <c r="H7" s="74" t="s">
        <v>753</v>
      </c>
      <c r="I7" s="75" t="s">
        <v>1471</v>
      </c>
      <c r="J7" s="76" t="s">
        <v>1472</v>
      </c>
      <c r="K7" s="71">
        <v>2910906401</v>
      </c>
      <c r="L7" s="75">
        <v>6086762486</v>
      </c>
      <c r="M7" s="75">
        <v>0</v>
      </c>
      <c r="N7" s="62">
        <f>+(L7+M7)</f>
        <v>6086762486</v>
      </c>
      <c r="O7" s="77">
        <v>0.12</v>
      </c>
      <c r="P7" s="62">
        <v>730411498</v>
      </c>
      <c r="Q7" s="75">
        <v>5150315931</v>
      </c>
      <c r="R7" s="75">
        <v>952797582</v>
      </c>
      <c r="S7" s="62">
        <f>(+R7*O7)</f>
        <v>114335709.83999999</v>
      </c>
      <c r="T7" s="62">
        <f t="shared" ref="T7" si="0">+S7*40%</f>
        <v>45734283.935999997</v>
      </c>
      <c r="U7" s="62">
        <f t="shared" ref="U7" si="1">+S7*60%</f>
        <v>68601425.903999984</v>
      </c>
      <c r="V7" s="75">
        <v>0</v>
      </c>
      <c r="W7" s="62">
        <f>+V7*O7</f>
        <v>0</v>
      </c>
      <c r="X7" s="62">
        <f t="shared" ref="X7" si="2">+W7*40%</f>
        <v>0</v>
      </c>
      <c r="Y7" s="62">
        <f t="shared" ref="Y7" si="3">+W7*60%</f>
        <v>0</v>
      </c>
      <c r="Z7" s="75">
        <v>0</v>
      </c>
      <c r="AA7" s="62">
        <f>+Z7*$O7</f>
        <v>0</v>
      </c>
      <c r="AB7" s="62">
        <f t="shared" ref="AB7:AB9" si="4">+AA7*40%</f>
        <v>0</v>
      </c>
      <c r="AC7" s="62">
        <f t="shared" ref="AC7" si="5">+AA7*60%</f>
        <v>0</v>
      </c>
      <c r="AD7" s="75">
        <v>0</v>
      </c>
      <c r="AE7" s="62">
        <f>+AD7*$O7</f>
        <v>0</v>
      </c>
      <c r="AF7" s="62">
        <f t="shared" ref="AF7" si="6">+AE7*40%</f>
        <v>0</v>
      </c>
      <c r="AG7" s="62">
        <f t="shared" ref="AG7" si="7">+AE7*60%</f>
        <v>0</v>
      </c>
      <c r="AH7" s="62">
        <v>618037911.44923198</v>
      </c>
      <c r="AI7" s="109">
        <f>S7+W7+AA7+AE7</f>
        <v>114335709.83999999</v>
      </c>
      <c r="AJ7" s="180" t="s">
        <v>1853</v>
      </c>
    </row>
    <row r="8" spans="1:36" s="9" customFormat="1" ht="59.45" customHeight="1" thickBot="1" x14ac:dyDescent="0.3">
      <c r="A8" s="70">
        <v>2</v>
      </c>
      <c r="B8" s="71">
        <v>2025</v>
      </c>
      <c r="C8" s="71" t="s">
        <v>1469</v>
      </c>
      <c r="D8" s="72" t="s">
        <v>1999</v>
      </c>
      <c r="E8" s="73">
        <v>4</v>
      </c>
      <c r="F8" s="73" t="s">
        <v>2000</v>
      </c>
      <c r="G8" s="74" t="s">
        <v>1470</v>
      </c>
      <c r="H8" s="74" t="s">
        <v>753</v>
      </c>
      <c r="I8" s="75" t="s">
        <v>1471</v>
      </c>
      <c r="J8" s="76" t="s">
        <v>1472</v>
      </c>
      <c r="K8" s="71">
        <v>2910906401</v>
      </c>
      <c r="L8" s="75">
        <v>5912107000</v>
      </c>
      <c r="M8" s="75">
        <v>0</v>
      </c>
      <c r="N8" s="62">
        <f>+(L8+M8)</f>
        <v>5912107000</v>
      </c>
      <c r="O8" s="77">
        <v>0.12</v>
      </c>
      <c r="P8" s="62">
        <v>709452840</v>
      </c>
      <c r="Q8" s="75">
        <v>1090888710</v>
      </c>
      <c r="R8" s="75">
        <v>0</v>
      </c>
      <c r="S8" s="62">
        <f>(+R8*O8)</f>
        <v>0</v>
      </c>
      <c r="T8" s="62">
        <f t="shared" ref="T8" si="8">+S8*40%</f>
        <v>0</v>
      </c>
      <c r="U8" s="62">
        <f t="shared" ref="U8" si="9">+S8*60%</f>
        <v>0</v>
      </c>
      <c r="V8" s="75">
        <v>1090888710</v>
      </c>
      <c r="W8" s="62">
        <f>+V8*O8</f>
        <v>130906645.19999999</v>
      </c>
      <c r="X8" s="62">
        <f t="shared" ref="X8" si="10">+W8*40%</f>
        <v>52362658.079999998</v>
      </c>
      <c r="Y8" s="62">
        <f t="shared" ref="Y8" si="11">+W8*60%</f>
        <v>78543987.11999999</v>
      </c>
      <c r="Z8" s="75">
        <v>0</v>
      </c>
      <c r="AA8" s="62">
        <f>+Z8*$O8</f>
        <v>0</v>
      </c>
      <c r="AB8" s="62">
        <f t="shared" ref="AB8" si="12">+AA8*40%</f>
        <v>0</v>
      </c>
      <c r="AC8" s="62">
        <f t="shared" ref="AC8" si="13">+AA8*60%</f>
        <v>0</v>
      </c>
      <c r="AD8" s="75">
        <v>0</v>
      </c>
      <c r="AE8" s="62">
        <f>+AD8*$O8</f>
        <v>0</v>
      </c>
      <c r="AF8" s="62">
        <f t="shared" ref="AF8" si="14">+AE8*40%</f>
        <v>0</v>
      </c>
      <c r="AG8" s="62">
        <f t="shared" ref="AG8" si="15">+AE8*60%</f>
        <v>0</v>
      </c>
      <c r="AH8" s="62">
        <f>S8+W8+AA8+AE8</f>
        <v>130906645.19999999</v>
      </c>
      <c r="AI8" s="109">
        <f>S8+W8+AA8+AE8</f>
        <v>130906645.19999999</v>
      </c>
      <c r="AJ8" s="180" t="s">
        <v>2001</v>
      </c>
    </row>
    <row r="9" spans="1:36" s="4" customFormat="1" ht="24" customHeight="1" thickBot="1" x14ac:dyDescent="0.3">
      <c r="A9" s="16"/>
      <c r="B9" s="17" t="s">
        <v>1465</v>
      </c>
      <c r="C9" s="18"/>
      <c r="D9" s="18"/>
      <c r="E9" s="18"/>
      <c r="F9" s="18"/>
      <c r="G9" s="18"/>
      <c r="H9" s="18"/>
      <c r="I9" s="19"/>
      <c r="J9" s="18"/>
      <c r="K9" s="20"/>
      <c r="L9" s="21"/>
      <c r="M9" s="21"/>
      <c r="N9" s="22"/>
      <c r="O9" s="21"/>
      <c r="P9" s="18"/>
      <c r="Q9" s="21"/>
      <c r="R9" s="236">
        <f>SUM(R7)</f>
        <v>952797582</v>
      </c>
      <c r="S9" s="52">
        <f>SUM(S7)</f>
        <v>114335709.83999999</v>
      </c>
      <c r="T9" s="52">
        <f t="shared" ref="T9" si="16">SUM(T7)</f>
        <v>45734283.935999997</v>
      </c>
      <c r="U9" s="52">
        <f>SUM(U7)</f>
        <v>68601425.903999984</v>
      </c>
      <c r="V9" s="250">
        <f>SUM(V7:V8)</f>
        <v>1090888710</v>
      </c>
      <c r="W9" s="52">
        <f>SUM(W7:W8)</f>
        <v>130906645.19999999</v>
      </c>
      <c r="X9" s="52">
        <f t="shared" ref="X9:Y9" si="17">SUM(X7:X8)</f>
        <v>52362658.079999998</v>
      </c>
      <c r="Y9" s="52">
        <f t="shared" si="17"/>
        <v>78543987.11999999</v>
      </c>
      <c r="Z9" s="50"/>
      <c r="AA9" s="52">
        <f>SUM(AA7:AA7)</f>
        <v>0</v>
      </c>
      <c r="AB9" s="51">
        <f t="shared" si="4"/>
        <v>0</v>
      </c>
      <c r="AC9" s="53">
        <f>+AA9*60%</f>
        <v>0</v>
      </c>
      <c r="AD9" s="52">
        <f>SUM(AD7)</f>
        <v>0</v>
      </c>
      <c r="AE9" s="51">
        <f>SUM(AE7:AE7)</f>
        <v>0</v>
      </c>
      <c r="AF9" s="53">
        <f>SUM(AF7:AF7)</f>
        <v>0</v>
      </c>
      <c r="AG9" s="52">
        <f>SUM(AG7:AG7)</f>
        <v>0</v>
      </c>
      <c r="AH9" s="119"/>
      <c r="AI9" s="23">
        <f>SUM(AI7:AI8)</f>
        <v>245242355.03999996</v>
      </c>
      <c r="AJ9" s="113"/>
    </row>
    <row r="10" spans="1:36" s="124" customFormat="1" ht="18" customHeight="1" x14ac:dyDescent="0.25">
      <c r="A10" s="120"/>
      <c r="B10" s="120"/>
      <c r="C10" s="120"/>
      <c r="D10" s="120"/>
      <c r="E10" s="120"/>
      <c r="F10" s="120"/>
      <c r="G10" s="120"/>
      <c r="H10" s="120"/>
      <c r="I10" s="181"/>
      <c r="J10" s="120"/>
      <c r="K10" s="120"/>
      <c r="L10" s="120"/>
      <c r="M10" s="120"/>
      <c r="N10" s="120"/>
      <c r="O10" s="120"/>
      <c r="P10" s="120"/>
      <c r="Q10" s="120"/>
      <c r="R10" s="120"/>
      <c r="S10" s="182"/>
      <c r="T10" s="120"/>
      <c r="U10" s="68"/>
      <c r="V10" s="120"/>
      <c r="W10" s="120"/>
      <c r="X10" s="120"/>
      <c r="Y10" s="120"/>
      <c r="Z10" s="120"/>
      <c r="AA10" s="120"/>
      <c r="AB10" s="120"/>
      <c r="AC10" s="120"/>
      <c r="AD10" s="120"/>
      <c r="AE10" s="120"/>
      <c r="AF10" s="120"/>
      <c r="AG10" s="120"/>
      <c r="AH10" s="120"/>
      <c r="AI10" s="120"/>
      <c r="AJ10" s="120"/>
    </row>
    <row r="11" spans="1:36" s="124" customFormat="1" ht="18" customHeight="1" x14ac:dyDescent="0.25">
      <c r="A11" s="120"/>
      <c r="B11" s="120"/>
      <c r="C11" s="120"/>
      <c r="D11" s="120"/>
      <c r="E11" s="120"/>
      <c r="F11" s="120"/>
      <c r="G11" s="120"/>
      <c r="H11" s="120"/>
      <c r="I11" s="181"/>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row>
    <row r="12" spans="1:36" s="124" customFormat="1" ht="18" customHeight="1" x14ac:dyDescent="0.25">
      <c r="A12" s="120"/>
      <c r="B12" s="120"/>
      <c r="C12" s="120"/>
      <c r="D12" s="120"/>
      <c r="E12" s="120"/>
      <c r="F12" s="120"/>
      <c r="G12" s="120"/>
      <c r="H12" s="120"/>
      <c r="I12" s="181"/>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row>
    <row r="13" spans="1:36" s="124" customFormat="1" ht="18" customHeight="1" x14ac:dyDescent="0.25">
      <c r="A13" s="120"/>
      <c r="B13" s="120"/>
      <c r="C13" s="120"/>
      <c r="D13" s="120"/>
      <c r="E13" s="120"/>
      <c r="F13" s="120"/>
      <c r="G13" s="120"/>
      <c r="H13" s="120"/>
      <c r="I13" s="181"/>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row>
    <row r="14" spans="1:36" s="124" customFormat="1" ht="18" customHeight="1" x14ac:dyDescent="0.25">
      <c r="A14" s="120"/>
      <c r="B14" s="120"/>
      <c r="C14" s="120"/>
      <c r="D14" s="120"/>
      <c r="E14" s="120"/>
      <c r="F14" s="120"/>
      <c r="G14" s="120"/>
      <c r="H14" s="120"/>
      <c r="I14" s="181"/>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row>
    <row r="15" spans="1:36" s="124" customFormat="1" ht="18" customHeight="1" x14ac:dyDescent="0.25">
      <c r="A15" s="120"/>
      <c r="B15" s="120"/>
      <c r="C15" s="120"/>
      <c r="D15" s="120"/>
      <c r="E15" s="120"/>
      <c r="F15" s="120"/>
      <c r="G15" s="120"/>
      <c r="H15" s="120"/>
      <c r="I15" s="181"/>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row>
    <row r="16" spans="1:36" s="124" customFormat="1" ht="18" customHeight="1" x14ac:dyDescent="0.25">
      <c r="A16" s="120"/>
      <c r="B16" s="120"/>
      <c r="C16" s="120"/>
      <c r="D16" s="120"/>
      <c r="E16" s="120"/>
      <c r="F16" s="120"/>
      <c r="G16" s="120"/>
      <c r="H16" s="120"/>
      <c r="I16" s="181"/>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row>
    <row r="17" spans="1:36" s="124" customFormat="1" ht="18" customHeight="1" x14ac:dyDescent="0.25">
      <c r="A17" s="120"/>
      <c r="B17" s="120"/>
      <c r="C17" s="120"/>
      <c r="D17" s="120"/>
      <c r="E17" s="120"/>
      <c r="F17" s="120"/>
      <c r="G17" s="120"/>
      <c r="H17" s="120"/>
      <c r="I17" s="181"/>
      <c r="J17" s="120"/>
      <c r="K17" s="120"/>
      <c r="L17" s="120"/>
      <c r="M17" s="120"/>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row>
    <row r="18" spans="1:36" s="124" customFormat="1" ht="18" customHeight="1" x14ac:dyDescent="0.25">
      <c r="A18" s="120"/>
      <c r="B18" s="120"/>
      <c r="C18" s="120"/>
      <c r="D18" s="120"/>
      <c r="E18" s="120"/>
      <c r="F18" s="120"/>
      <c r="G18" s="120"/>
      <c r="H18" s="120"/>
      <c r="I18" s="181"/>
      <c r="J18" s="120"/>
      <c r="K18" s="120"/>
      <c r="L18" s="120"/>
      <c r="M18" s="120"/>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row>
    <row r="19" spans="1:36" s="124" customFormat="1" ht="18" customHeight="1" x14ac:dyDescent="0.25">
      <c r="A19" s="120"/>
      <c r="B19" s="120"/>
      <c r="C19" s="120"/>
      <c r="D19" s="120"/>
      <c r="E19" s="120"/>
      <c r="F19" s="120"/>
      <c r="G19" s="120"/>
      <c r="H19" s="120"/>
      <c r="I19" s="181"/>
      <c r="J19" s="120"/>
      <c r="K19" s="120"/>
      <c r="L19" s="120"/>
      <c r="M19" s="120"/>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row>
    <row r="20" spans="1:36" s="124" customFormat="1" ht="18" customHeight="1" x14ac:dyDescent="0.25">
      <c r="A20" s="120"/>
      <c r="B20" s="120"/>
      <c r="C20" s="120"/>
      <c r="D20" s="120"/>
      <c r="E20" s="120"/>
      <c r="F20" s="120"/>
      <c r="G20" s="120"/>
      <c r="H20" s="120"/>
      <c r="I20" s="181"/>
      <c r="J20" s="120"/>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row>
    <row r="21" spans="1:36" s="124" customFormat="1" ht="18" customHeight="1" x14ac:dyDescent="0.25">
      <c r="A21" s="120"/>
      <c r="B21" s="120"/>
      <c r="C21" s="120"/>
      <c r="D21" s="120"/>
      <c r="E21" s="120"/>
      <c r="F21" s="120"/>
      <c r="G21" s="120"/>
      <c r="H21" s="120"/>
      <c r="I21" s="181"/>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row>
    <row r="22" spans="1:36" s="124" customFormat="1" ht="18" customHeight="1" x14ac:dyDescent="0.25">
      <c r="A22" s="120"/>
      <c r="B22" s="120"/>
      <c r="C22" s="120"/>
      <c r="D22" s="120"/>
      <c r="E22" s="120"/>
      <c r="F22" s="120"/>
      <c r="G22" s="120"/>
      <c r="H22" s="120"/>
      <c r="I22" s="181"/>
      <c r="J22" s="120"/>
      <c r="K22" s="120"/>
      <c r="L22" s="120"/>
      <c r="M22" s="120"/>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row>
    <row r="23" spans="1:36" s="124" customFormat="1" ht="18" customHeight="1" x14ac:dyDescent="0.25">
      <c r="A23" s="120"/>
      <c r="B23" s="120"/>
      <c r="C23" s="120"/>
      <c r="D23" s="120"/>
      <c r="E23" s="120"/>
      <c r="F23" s="120"/>
      <c r="G23" s="120"/>
      <c r="H23" s="120"/>
      <c r="I23" s="181"/>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row>
    <row r="24" spans="1:36" s="124" customFormat="1" ht="18" customHeight="1" x14ac:dyDescent="0.25">
      <c r="A24" s="120"/>
      <c r="B24" s="120"/>
      <c r="C24" s="120"/>
      <c r="D24" s="120"/>
      <c r="E24" s="120"/>
      <c r="F24" s="120"/>
      <c r="G24" s="120"/>
      <c r="H24" s="120"/>
      <c r="I24" s="181"/>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row>
    <row r="25" spans="1:36" s="124" customFormat="1" ht="18" customHeight="1" x14ac:dyDescent="0.25">
      <c r="A25" s="120"/>
      <c r="B25" s="120"/>
      <c r="C25" s="120"/>
      <c r="D25" s="120"/>
      <c r="E25" s="120"/>
      <c r="F25" s="120"/>
      <c r="G25" s="120"/>
      <c r="H25" s="120"/>
      <c r="I25" s="181"/>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row>
    <row r="26" spans="1:36" s="124" customFormat="1" ht="18" customHeight="1" x14ac:dyDescent="0.25">
      <c r="A26" s="120"/>
      <c r="B26" s="120"/>
      <c r="C26" s="120"/>
      <c r="D26" s="120"/>
      <c r="E26" s="120"/>
      <c r="F26" s="120"/>
      <c r="G26" s="120"/>
      <c r="H26" s="120"/>
      <c r="I26" s="181"/>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row>
    <row r="27" spans="1:36" s="124" customFormat="1" ht="18" customHeight="1" x14ac:dyDescent="0.25">
      <c r="A27" s="120"/>
      <c r="B27" s="120"/>
      <c r="C27" s="120"/>
      <c r="D27" s="120"/>
      <c r="E27" s="120"/>
      <c r="F27" s="120"/>
      <c r="G27" s="120"/>
      <c r="H27" s="120"/>
      <c r="I27" s="181"/>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row>
    <row r="28" spans="1:36" s="124" customFormat="1" ht="18" customHeight="1" x14ac:dyDescent="0.25">
      <c r="A28" s="120"/>
      <c r="B28" s="120"/>
      <c r="C28" s="120"/>
      <c r="D28" s="120"/>
      <c r="E28" s="120"/>
      <c r="F28" s="120"/>
      <c r="G28" s="120"/>
      <c r="H28" s="120"/>
      <c r="I28" s="181"/>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row>
    <row r="29" spans="1:36" s="124" customFormat="1" ht="18" customHeight="1" x14ac:dyDescent="0.25">
      <c r="A29" s="120"/>
      <c r="B29" s="120"/>
      <c r="C29" s="120"/>
      <c r="D29" s="120"/>
      <c r="E29" s="120"/>
      <c r="F29" s="120"/>
      <c r="G29" s="120"/>
      <c r="H29" s="120"/>
      <c r="I29" s="181"/>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row>
    <row r="30" spans="1:36" s="124" customFormat="1" ht="18" customHeight="1" x14ac:dyDescent="0.25">
      <c r="A30" s="120"/>
      <c r="B30" s="120"/>
      <c r="C30" s="120"/>
      <c r="D30" s="120"/>
      <c r="E30" s="120"/>
      <c r="F30" s="120"/>
      <c r="G30" s="120"/>
      <c r="H30" s="120"/>
      <c r="I30" s="181"/>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row>
    <row r="31" spans="1:36" s="124" customFormat="1" ht="18" customHeight="1" x14ac:dyDescent="0.25">
      <c r="A31" s="120"/>
      <c r="B31" s="120"/>
      <c r="C31" s="120"/>
      <c r="D31" s="120"/>
      <c r="E31" s="120"/>
      <c r="F31" s="120"/>
      <c r="G31" s="120"/>
      <c r="H31" s="120"/>
      <c r="I31" s="181"/>
      <c r="J31" s="120"/>
      <c r="K31" s="120"/>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row>
    <row r="32" spans="1:36" s="124" customFormat="1" ht="18" customHeight="1" x14ac:dyDescent="0.25">
      <c r="A32" s="120"/>
      <c r="B32" s="120"/>
      <c r="C32" s="120"/>
      <c r="D32" s="120"/>
      <c r="E32" s="120"/>
      <c r="F32" s="120"/>
      <c r="G32" s="120"/>
      <c r="H32" s="120"/>
      <c r="I32" s="181"/>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row>
    <row r="33" spans="1:36" s="124" customFormat="1" ht="18" customHeight="1" x14ac:dyDescent="0.25">
      <c r="A33" s="120"/>
      <c r="B33" s="120"/>
      <c r="C33" s="120"/>
      <c r="D33" s="120"/>
      <c r="E33" s="120"/>
      <c r="F33" s="120"/>
      <c r="G33" s="120"/>
      <c r="H33" s="120"/>
      <c r="I33" s="181"/>
      <c r="J33" s="120"/>
      <c r="K33" s="120"/>
      <c r="L33" s="120"/>
      <c r="M33" s="12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row>
    <row r="34" spans="1:36" s="124" customFormat="1" ht="18" customHeight="1" x14ac:dyDescent="0.25">
      <c r="A34" s="120"/>
      <c r="B34" s="120"/>
      <c r="C34" s="120"/>
      <c r="D34" s="120"/>
      <c r="E34" s="120"/>
      <c r="F34" s="120"/>
      <c r="G34" s="120"/>
      <c r="H34" s="120"/>
      <c r="I34" s="181"/>
      <c r="J34" s="120"/>
      <c r="K34" s="120"/>
      <c r="L34" s="120"/>
      <c r="M34" s="120"/>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row>
    <row r="35" spans="1:36" s="124" customFormat="1" ht="18" customHeight="1" x14ac:dyDescent="0.25">
      <c r="A35" s="120"/>
      <c r="B35" s="120"/>
      <c r="C35" s="120"/>
      <c r="D35" s="120"/>
      <c r="E35" s="120"/>
      <c r="F35" s="120"/>
      <c r="G35" s="120"/>
      <c r="H35" s="120"/>
      <c r="I35" s="181"/>
      <c r="J35" s="120"/>
      <c r="K35" s="120"/>
      <c r="L35" s="120"/>
      <c r="M35" s="120"/>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row>
    <row r="36" spans="1:36" s="124" customFormat="1" ht="18" customHeight="1" x14ac:dyDescent="0.25">
      <c r="A36" s="120"/>
      <c r="B36" s="120"/>
      <c r="C36" s="120"/>
      <c r="D36" s="120"/>
      <c r="E36" s="120"/>
      <c r="F36" s="120"/>
      <c r="G36" s="120"/>
      <c r="H36" s="120"/>
      <c r="I36" s="181"/>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row>
    <row r="37" spans="1:36" s="124" customFormat="1" ht="18" customHeight="1" x14ac:dyDescent="0.25">
      <c r="A37" s="120"/>
      <c r="B37" s="120"/>
      <c r="C37" s="120"/>
      <c r="D37" s="120"/>
      <c r="E37" s="120"/>
      <c r="F37" s="120"/>
      <c r="G37" s="120"/>
      <c r="H37" s="120"/>
      <c r="I37" s="181"/>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row>
    <row r="38" spans="1:36" s="124" customFormat="1" ht="18" customHeight="1" x14ac:dyDescent="0.25">
      <c r="A38" s="120"/>
      <c r="B38" s="120"/>
      <c r="C38" s="120"/>
      <c r="D38" s="120"/>
      <c r="E38" s="120"/>
      <c r="F38" s="120"/>
      <c r="G38" s="120"/>
      <c r="H38" s="120"/>
      <c r="I38" s="181"/>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row>
    <row r="39" spans="1:36" s="124" customFormat="1" ht="18" customHeight="1" x14ac:dyDescent="0.25">
      <c r="A39" s="120"/>
      <c r="B39" s="120"/>
      <c r="C39" s="120"/>
      <c r="D39" s="120"/>
      <c r="E39" s="120"/>
      <c r="F39" s="120"/>
      <c r="G39" s="120"/>
      <c r="H39" s="120"/>
      <c r="I39" s="181"/>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row>
    <row r="40" spans="1:36" s="124" customFormat="1" ht="18" customHeight="1" x14ac:dyDescent="0.25">
      <c r="A40" s="120"/>
      <c r="B40" s="120"/>
      <c r="C40" s="120"/>
      <c r="D40" s="120"/>
      <c r="E40" s="120"/>
      <c r="F40" s="120"/>
      <c r="G40" s="120"/>
      <c r="H40" s="120"/>
      <c r="I40" s="181"/>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row>
    <row r="41" spans="1:36" s="124" customFormat="1" ht="18" customHeight="1" x14ac:dyDescent="0.25">
      <c r="A41" s="120"/>
      <c r="B41" s="120"/>
      <c r="C41" s="120"/>
      <c r="D41" s="120"/>
      <c r="E41" s="120"/>
      <c r="F41" s="120"/>
      <c r="G41" s="120"/>
      <c r="H41" s="120"/>
      <c r="I41" s="181"/>
      <c r="J41" s="120"/>
      <c r="K41" s="120"/>
      <c r="L41" s="120"/>
      <c r="M41" s="120"/>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row>
    <row r="42" spans="1:36" s="124" customFormat="1" ht="18" customHeight="1" x14ac:dyDescent="0.25">
      <c r="A42" s="120"/>
      <c r="B42" s="120"/>
      <c r="C42" s="120"/>
      <c r="D42" s="120"/>
      <c r="E42" s="120"/>
      <c r="F42" s="120"/>
      <c r="G42" s="120"/>
      <c r="H42" s="120"/>
      <c r="I42" s="181"/>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row>
    <row r="43" spans="1:36" s="124" customFormat="1" ht="18" customHeight="1" x14ac:dyDescent="0.25">
      <c r="A43" s="120"/>
      <c r="B43" s="120"/>
      <c r="C43" s="120"/>
      <c r="D43" s="120"/>
      <c r="E43" s="120"/>
      <c r="F43" s="120"/>
      <c r="G43" s="120"/>
      <c r="H43" s="120"/>
      <c r="I43" s="181"/>
      <c r="J43" s="120"/>
      <c r="K43" s="120"/>
      <c r="L43" s="120"/>
      <c r="M43" s="120"/>
      <c r="N43" s="120"/>
      <c r="O43" s="120"/>
      <c r="P43" s="120"/>
      <c r="Q43" s="120"/>
      <c r="R43" s="120"/>
      <c r="S43" s="120"/>
      <c r="T43" s="120"/>
      <c r="U43" s="120"/>
      <c r="V43" s="120"/>
      <c r="W43" s="120"/>
      <c r="X43" s="120"/>
      <c r="Y43" s="120"/>
      <c r="Z43" s="120"/>
      <c r="AA43" s="120"/>
      <c r="AB43" s="120"/>
      <c r="AC43" s="120"/>
      <c r="AD43" s="120"/>
      <c r="AE43" s="120"/>
      <c r="AF43" s="120"/>
      <c r="AG43" s="120"/>
      <c r="AH43" s="120"/>
      <c r="AI43" s="120"/>
      <c r="AJ43" s="120"/>
    </row>
    <row r="44" spans="1:36" s="124" customFormat="1" ht="18" customHeight="1" x14ac:dyDescent="0.25">
      <c r="A44" s="120"/>
      <c r="B44" s="120"/>
      <c r="C44" s="120"/>
      <c r="D44" s="120"/>
      <c r="E44" s="120"/>
      <c r="F44" s="120"/>
      <c r="G44" s="120"/>
      <c r="H44" s="120"/>
      <c r="I44" s="181"/>
      <c r="J44" s="120"/>
      <c r="K44" s="120"/>
      <c r="L44" s="120"/>
      <c r="M44" s="120"/>
      <c r="N44" s="120"/>
      <c r="O44" s="120"/>
      <c r="P44" s="120"/>
      <c r="Q44" s="120"/>
      <c r="R44" s="120"/>
      <c r="S44" s="120"/>
      <c r="T44" s="120"/>
      <c r="U44" s="120"/>
      <c r="V44" s="120"/>
      <c r="W44" s="120"/>
      <c r="X44" s="120"/>
      <c r="Y44" s="120"/>
      <c r="Z44" s="120"/>
      <c r="AA44" s="120"/>
      <c r="AB44" s="120"/>
      <c r="AC44" s="120"/>
      <c r="AD44" s="120"/>
      <c r="AE44" s="120"/>
      <c r="AF44" s="120"/>
      <c r="AG44" s="120"/>
      <c r="AH44" s="120"/>
      <c r="AI44" s="120"/>
      <c r="AJ44" s="120"/>
    </row>
    <row r="45" spans="1:36" s="124" customFormat="1" ht="18" customHeight="1" x14ac:dyDescent="0.25">
      <c r="A45" s="120"/>
      <c r="B45" s="120"/>
      <c r="C45" s="120"/>
      <c r="D45" s="120"/>
      <c r="E45" s="120"/>
      <c r="F45" s="120"/>
      <c r="G45" s="120"/>
      <c r="H45" s="120"/>
      <c r="I45" s="181"/>
      <c r="J45" s="120"/>
      <c r="K45" s="120"/>
      <c r="L45" s="120"/>
      <c r="M45" s="120"/>
      <c r="N45" s="120"/>
      <c r="O45" s="120"/>
      <c r="P45" s="120"/>
      <c r="Q45" s="120"/>
      <c r="R45" s="120"/>
      <c r="S45" s="120"/>
      <c r="T45" s="120"/>
      <c r="U45" s="120"/>
      <c r="V45" s="120"/>
      <c r="W45" s="120"/>
      <c r="X45" s="120"/>
      <c r="Y45" s="120"/>
      <c r="Z45" s="120"/>
      <c r="AA45" s="120"/>
      <c r="AB45" s="120"/>
      <c r="AC45" s="120"/>
      <c r="AD45" s="120"/>
      <c r="AE45" s="120"/>
      <c r="AF45" s="120"/>
      <c r="AG45" s="120"/>
      <c r="AH45" s="120"/>
      <c r="AI45" s="120"/>
      <c r="AJ45" s="120"/>
    </row>
    <row r="46" spans="1:36" s="124" customFormat="1" ht="18" customHeight="1" x14ac:dyDescent="0.25">
      <c r="A46" s="120"/>
      <c r="B46" s="120"/>
      <c r="C46" s="120"/>
      <c r="D46" s="120"/>
      <c r="E46" s="120"/>
      <c r="F46" s="120"/>
      <c r="G46" s="120"/>
      <c r="H46" s="120"/>
      <c r="I46" s="181"/>
      <c r="J46" s="120"/>
      <c r="K46" s="120"/>
      <c r="L46" s="120"/>
      <c r="M46" s="120"/>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row>
    <row r="47" spans="1:36" s="124" customFormat="1" ht="18" customHeight="1" x14ac:dyDescent="0.25">
      <c r="A47" s="120"/>
      <c r="B47" s="120"/>
      <c r="C47" s="120"/>
      <c r="D47" s="120"/>
      <c r="E47" s="120"/>
      <c r="F47" s="120"/>
      <c r="G47" s="120"/>
      <c r="H47" s="120"/>
      <c r="I47" s="181"/>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row>
    <row r="48" spans="1:36" s="124" customFormat="1" ht="18" customHeight="1" x14ac:dyDescent="0.25">
      <c r="A48" s="120"/>
      <c r="B48" s="120"/>
      <c r="C48" s="120"/>
      <c r="D48" s="120"/>
      <c r="E48" s="120"/>
      <c r="F48" s="120"/>
      <c r="G48" s="120"/>
      <c r="H48" s="120"/>
      <c r="I48" s="181"/>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0"/>
      <c r="AI48" s="120"/>
      <c r="AJ48" s="120"/>
    </row>
    <row r="49" spans="1:36" s="124" customFormat="1" ht="18" customHeight="1" x14ac:dyDescent="0.25">
      <c r="A49" s="120"/>
      <c r="B49" s="120"/>
      <c r="C49" s="120"/>
      <c r="D49" s="120"/>
      <c r="E49" s="120"/>
      <c r="F49" s="120"/>
      <c r="G49" s="120"/>
      <c r="H49" s="120"/>
      <c r="I49" s="181"/>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row>
    <row r="50" spans="1:36" s="124" customFormat="1" ht="18" customHeight="1" x14ac:dyDescent="0.25">
      <c r="A50" s="120"/>
      <c r="B50" s="120"/>
      <c r="C50" s="120"/>
      <c r="D50" s="120"/>
      <c r="E50" s="120"/>
      <c r="F50" s="120"/>
      <c r="G50" s="120"/>
      <c r="H50" s="120"/>
      <c r="I50" s="181"/>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c r="AI50" s="120"/>
      <c r="AJ50" s="120"/>
    </row>
    <row r="51" spans="1:36" s="124" customFormat="1" ht="18" customHeight="1" x14ac:dyDescent="0.25">
      <c r="A51" s="120"/>
      <c r="B51" s="120"/>
      <c r="C51" s="120"/>
      <c r="D51" s="120"/>
      <c r="E51" s="120"/>
      <c r="F51" s="120"/>
      <c r="G51" s="120"/>
      <c r="H51" s="120"/>
      <c r="I51" s="181"/>
      <c r="J51" s="120"/>
      <c r="K51" s="120"/>
      <c r="L51" s="120"/>
      <c r="M51" s="120"/>
      <c r="N51" s="120"/>
      <c r="O51" s="120"/>
      <c r="P51" s="120"/>
      <c r="Q51" s="120"/>
      <c r="R51" s="120"/>
      <c r="S51" s="120"/>
      <c r="T51" s="120"/>
      <c r="U51" s="120"/>
      <c r="V51" s="120"/>
      <c r="W51" s="120"/>
      <c r="X51" s="120"/>
      <c r="Y51" s="120"/>
      <c r="Z51" s="120"/>
      <c r="AA51" s="120"/>
      <c r="AB51" s="120"/>
      <c r="AC51" s="120"/>
      <c r="AD51" s="120"/>
      <c r="AE51" s="120"/>
      <c r="AF51" s="120"/>
      <c r="AG51" s="120"/>
      <c r="AH51" s="120"/>
      <c r="AI51" s="120"/>
      <c r="AJ51" s="120"/>
    </row>
    <row r="52" spans="1:36" s="124" customFormat="1" ht="18" customHeight="1" x14ac:dyDescent="0.25">
      <c r="A52" s="120"/>
      <c r="B52" s="120"/>
      <c r="C52" s="120"/>
      <c r="D52" s="120"/>
      <c r="E52" s="120"/>
      <c r="F52" s="120"/>
      <c r="G52" s="120"/>
      <c r="H52" s="120"/>
      <c r="I52" s="181"/>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0"/>
      <c r="AG52" s="120"/>
      <c r="AH52" s="120"/>
      <c r="AI52" s="120"/>
      <c r="AJ52" s="120"/>
    </row>
    <row r="53" spans="1:36" s="124" customFormat="1" ht="18" customHeight="1" x14ac:dyDescent="0.25">
      <c r="A53" s="120"/>
      <c r="B53" s="120"/>
      <c r="C53" s="120"/>
      <c r="D53" s="120"/>
      <c r="E53" s="120"/>
      <c r="F53" s="120"/>
      <c r="G53" s="120"/>
      <c r="H53" s="120"/>
      <c r="I53" s="181"/>
      <c r="J53" s="120"/>
      <c r="K53" s="120"/>
      <c r="L53" s="120"/>
      <c r="M53" s="120"/>
      <c r="N53" s="120"/>
      <c r="O53" s="120"/>
      <c r="P53" s="120"/>
      <c r="Q53" s="120"/>
      <c r="R53" s="120"/>
      <c r="S53" s="120"/>
      <c r="T53" s="120"/>
      <c r="U53" s="120"/>
      <c r="V53" s="120"/>
      <c r="W53" s="120"/>
      <c r="X53" s="120"/>
      <c r="Y53" s="120"/>
      <c r="Z53" s="120"/>
      <c r="AA53" s="120"/>
      <c r="AB53" s="120"/>
      <c r="AC53" s="120"/>
      <c r="AD53" s="120"/>
      <c r="AE53" s="120"/>
      <c r="AF53" s="120"/>
      <c r="AG53" s="120"/>
      <c r="AH53" s="120"/>
      <c r="AI53" s="120"/>
      <c r="AJ53" s="120"/>
    </row>
    <row r="54" spans="1:36" s="124" customFormat="1" ht="18" customHeight="1" x14ac:dyDescent="0.25">
      <c r="A54" s="120"/>
      <c r="B54" s="120"/>
      <c r="C54" s="120"/>
      <c r="D54" s="120"/>
      <c r="E54" s="120"/>
      <c r="F54" s="120"/>
      <c r="G54" s="120"/>
      <c r="H54" s="120"/>
      <c r="I54" s="181"/>
      <c r="J54" s="120"/>
      <c r="K54" s="120"/>
      <c r="L54" s="120"/>
      <c r="M54" s="120"/>
      <c r="N54" s="120"/>
      <c r="O54" s="120"/>
      <c r="P54" s="120"/>
      <c r="Q54" s="120"/>
      <c r="R54" s="120"/>
      <c r="S54" s="120"/>
      <c r="T54" s="120"/>
      <c r="U54" s="120"/>
      <c r="V54" s="120"/>
      <c r="W54" s="120"/>
      <c r="X54" s="120"/>
      <c r="Y54" s="120"/>
      <c r="Z54" s="120"/>
      <c r="AA54" s="120"/>
      <c r="AB54" s="120"/>
      <c r="AC54" s="120"/>
      <c r="AD54" s="120"/>
      <c r="AE54" s="120"/>
      <c r="AF54" s="120"/>
      <c r="AG54" s="120"/>
      <c r="AH54" s="120"/>
      <c r="AI54" s="120"/>
      <c r="AJ54" s="120"/>
    </row>
    <row r="55" spans="1:36" s="124" customFormat="1" ht="18" customHeight="1" x14ac:dyDescent="0.25">
      <c r="A55" s="120"/>
      <c r="B55" s="120"/>
      <c r="C55" s="120"/>
      <c r="D55" s="120"/>
      <c r="E55" s="120"/>
      <c r="F55" s="120"/>
      <c r="G55" s="120"/>
      <c r="H55" s="120"/>
      <c r="I55" s="181"/>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row>
    <row r="56" spans="1:36" s="124" customFormat="1" ht="18" customHeight="1" x14ac:dyDescent="0.25">
      <c r="A56" s="120"/>
      <c r="B56" s="120"/>
      <c r="C56" s="120"/>
      <c r="D56" s="120"/>
      <c r="E56" s="120"/>
      <c r="F56" s="120"/>
      <c r="G56" s="120"/>
      <c r="H56" s="120"/>
      <c r="I56" s="181"/>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row>
    <row r="57" spans="1:36" s="124" customFormat="1" ht="18" customHeight="1" x14ac:dyDescent="0.25">
      <c r="A57" s="120"/>
      <c r="B57" s="120"/>
      <c r="C57" s="120"/>
      <c r="D57" s="120"/>
      <c r="E57" s="120"/>
      <c r="F57" s="120"/>
      <c r="G57" s="120"/>
      <c r="H57" s="120"/>
      <c r="I57" s="181"/>
      <c r="J57" s="120"/>
      <c r="K57" s="120"/>
      <c r="L57" s="120"/>
      <c r="M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row>
    <row r="58" spans="1:36" s="124" customFormat="1" ht="18" customHeight="1" x14ac:dyDescent="0.25">
      <c r="A58" s="120"/>
      <c r="B58" s="120"/>
      <c r="C58" s="120"/>
      <c r="D58" s="120"/>
      <c r="E58" s="120"/>
      <c r="F58" s="120"/>
      <c r="G58" s="120"/>
      <c r="H58" s="120"/>
      <c r="I58" s="181"/>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row>
    <row r="59" spans="1:36" s="124" customFormat="1" ht="18" customHeight="1" x14ac:dyDescent="0.25">
      <c r="A59" s="120"/>
      <c r="B59" s="120"/>
      <c r="C59" s="120"/>
      <c r="D59" s="120"/>
      <c r="E59" s="120"/>
      <c r="F59" s="120"/>
      <c r="G59" s="120"/>
      <c r="H59" s="120"/>
      <c r="I59" s="181"/>
      <c r="J59" s="120"/>
      <c r="K59" s="120"/>
      <c r="L59" s="120"/>
      <c r="M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row>
    <row r="60" spans="1:36" s="124" customFormat="1" ht="18" customHeight="1" x14ac:dyDescent="0.25">
      <c r="A60" s="120"/>
      <c r="B60" s="120"/>
      <c r="C60" s="120"/>
      <c r="D60" s="120"/>
      <c r="E60" s="120"/>
      <c r="F60" s="120"/>
      <c r="G60" s="120"/>
      <c r="H60" s="120"/>
      <c r="I60" s="181"/>
      <c r="J60" s="120"/>
      <c r="K60" s="120"/>
      <c r="L60" s="120"/>
      <c r="M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row>
    <row r="61" spans="1:36" s="124" customFormat="1" ht="18" customHeight="1" x14ac:dyDescent="0.25">
      <c r="A61" s="120"/>
      <c r="B61" s="120"/>
      <c r="C61" s="120"/>
      <c r="D61" s="120"/>
      <c r="E61" s="120"/>
      <c r="F61" s="120"/>
      <c r="G61" s="120"/>
      <c r="H61" s="120"/>
      <c r="I61" s="181"/>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row>
    <row r="62" spans="1:36" s="124" customFormat="1" ht="18" customHeight="1" x14ac:dyDescent="0.25">
      <c r="A62" s="120"/>
      <c r="B62" s="120"/>
      <c r="C62" s="120"/>
      <c r="D62" s="120"/>
      <c r="E62" s="120"/>
      <c r="F62" s="120"/>
      <c r="G62" s="120"/>
      <c r="H62" s="120"/>
      <c r="I62" s="181"/>
      <c r="J62" s="120"/>
      <c r="K62" s="120"/>
      <c r="L62" s="120"/>
      <c r="M62" s="120"/>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row>
    <row r="63" spans="1:36" s="124" customFormat="1" ht="18" customHeight="1" x14ac:dyDescent="0.25">
      <c r="A63" s="120"/>
      <c r="B63" s="120"/>
      <c r="C63" s="120"/>
      <c r="D63" s="120"/>
      <c r="E63" s="120"/>
      <c r="F63" s="120"/>
      <c r="G63" s="120"/>
      <c r="H63" s="120"/>
      <c r="I63" s="181"/>
      <c r="J63" s="120"/>
      <c r="K63" s="120"/>
      <c r="L63" s="120"/>
      <c r="M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row>
    <row r="64" spans="1:36" s="124" customFormat="1" ht="18" customHeight="1" x14ac:dyDescent="0.25">
      <c r="A64" s="120"/>
      <c r="B64" s="120"/>
      <c r="C64" s="120"/>
      <c r="D64" s="120"/>
      <c r="E64" s="120"/>
      <c r="F64" s="120"/>
      <c r="G64" s="120"/>
      <c r="H64" s="120"/>
      <c r="I64" s="181"/>
      <c r="J64" s="120"/>
      <c r="K64" s="120"/>
      <c r="L64" s="120"/>
      <c r="M64" s="120"/>
      <c r="N64" s="120"/>
      <c r="O64" s="120"/>
      <c r="P64" s="120"/>
      <c r="Q64" s="120"/>
      <c r="R64" s="120"/>
      <c r="S64" s="120"/>
      <c r="T64" s="120"/>
      <c r="U64" s="120"/>
      <c r="V64" s="120"/>
      <c r="W64" s="120"/>
      <c r="X64" s="120"/>
      <c r="Y64" s="120"/>
      <c r="Z64" s="120"/>
      <c r="AA64" s="120"/>
      <c r="AB64" s="120"/>
      <c r="AC64" s="120"/>
      <c r="AD64" s="120"/>
      <c r="AE64" s="120"/>
      <c r="AF64" s="120"/>
      <c r="AG64" s="120"/>
      <c r="AH64" s="120"/>
      <c r="AI64" s="120"/>
      <c r="AJ64" s="120"/>
    </row>
    <row r="65" spans="1:36" s="124" customFormat="1" ht="18" customHeight="1" x14ac:dyDescent="0.25">
      <c r="A65" s="120"/>
      <c r="B65" s="120"/>
      <c r="C65" s="120"/>
      <c r="D65" s="120"/>
      <c r="E65" s="120"/>
      <c r="F65" s="120"/>
      <c r="G65" s="120"/>
      <c r="H65" s="120"/>
      <c r="I65" s="181"/>
      <c r="J65" s="120"/>
      <c r="K65" s="120"/>
      <c r="L65" s="120"/>
      <c r="M65" s="120"/>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row>
    <row r="66" spans="1:36" s="124" customFormat="1" ht="18" customHeight="1" x14ac:dyDescent="0.25">
      <c r="A66" s="120"/>
      <c r="B66" s="120"/>
      <c r="C66" s="120"/>
      <c r="D66" s="120"/>
      <c r="E66" s="120"/>
      <c r="F66" s="120"/>
      <c r="G66" s="120"/>
      <c r="H66" s="120"/>
      <c r="I66" s="181"/>
      <c r="J66" s="120"/>
      <c r="K66" s="120"/>
      <c r="L66" s="120"/>
      <c r="M66" s="120"/>
      <c r="N66" s="120"/>
      <c r="O66" s="120"/>
      <c r="P66" s="120"/>
      <c r="Q66" s="120"/>
      <c r="R66" s="120"/>
      <c r="S66" s="120"/>
      <c r="T66" s="120"/>
      <c r="U66" s="120"/>
      <c r="V66" s="120"/>
      <c r="W66" s="120"/>
      <c r="X66" s="120"/>
      <c r="Y66" s="120"/>
      <c r="Z66" s="120"/>
      <c r="AA66" s="120"/>
      <c r="AB66" s="120"/>
      <c r="AC66" s="120"/>
      <c r="AD66" s="120"/>
      <c r="AE66" s="120"/>
      <c r="AF66" s="120"/>
      <c r="AG66" s="120"/>
      <c r="AH66" s="120"/>
      <c r="AI66" s="120"/>
      <c r="AJ66" s="120"/>
    </row>
    <row r="67" spans="1:36" s="124" customFormat="1" ht="18" customHeight="1" x14ac:dyDescent="0.25">
      <c r="A67" s="120"/>
      <c r="B67" s="120"/>
      <c r="C67" s="120"/>
      <c r="D67" s="120"/>
      <c r="E67" s="120"/>
      <c r="F67" s="120"/>
      <c r="G67" s="120"/>
      <c r="H67" s="120"/>
      <c r="I67" s="181"/>
      <c r="J67" s="120"/>
      <c r="K67" s="120"/>
      <c r="L67" s="120"/>
      <c r="M67" s="120"/>
      <c r="N67" s="120"/>
      <c r="O67" s="120"/>
      <c r="P67" s="120"/>
      <c r="Q67" s="120"/>
      <c r="R67" s="120"/>
      <c r="S67" s="120"/>
      <c r="T67" s="120"/>
      <c r="U67" s="120"/>
      <c r="V67" s="120"/>
      <c r="W67" s="120"/>
      <c r="X67" s="120"/>
      <c r="Y67" s="120"/>
      <c r="Z67" s="120"/>
      <c r="AA67" s="120"/>
      <c r="AB67" s="120"/>
      <c r="AC67" s="120"/>
      <c r="AD67" s="120"/>
      <c r="AE67" s="120"/>
      <c r="AF67" s="120"/>
      <c r="AG67" s="120"/>
      <c r="AH67" s="120"/>
      <c r="AI67" s="120"/>
      <c r="AJ67" s="120"/>
    </row>
    <row r="68" spans="1:36" s="124" customFormat="1" ht="18" customHeight="1" x14ac:dyDescent="0.25">
      <c r="A68" s="120"/>
      <c r="B68" s="120"/>
      <c r="C68" s="120"/>
      <c r="D68" s="120"/>
      <c r="E68" s="120"/>
      <c r="F68" s="120"/>
      <c r="G68" s="120"/>
      <c r="H68" s="120"/>
      <c r="I68" s="181"/>
      <c r="J68" s="120"/>
      <c r="K68" s="120"/>
      <c r="L68" s="120"/>
      <c r="M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row>
    <row r="69" spans="1:36" s="124" customFormat="1" ht="18" customHeight="1" x14ac:dyDescent="0.25">
      <c r="A69" s="120"/>
      <c r="B69" s="120"/>
      <c r="C69" s="120"/>
      <c r="D69" s="120"/>
      <c r="E69" s="120"/>
      <c r="F69" s="120"/>
      <c r="G69" s="120"/>
      <c r="H69" s="120"/>
      <c r="I69" s="181"/>
      <c r="J69" s="120"/>
      <c r="K69" s="120"/>
      <c r="L69" s="120"/>
      <c r="M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row>
    <row r="70" spans="1:36" s="124" customFormat="1" ht="18" customHeight="1" x14ac:dyDescent="0.25">
      <c r="A70" s="120"/>
      <c r="B70" s="120"/>
      <c r="C70" s="120"/>
      <c r="D70" s="120"/>
      <c r="E70" s="120"/>
      <c r="F70" s="120"/>
      <c r="G70" s="120"/>
      <c r="H70" s="120"/>
      <c r="I70" s="181"/>
      <c r="J70" s="120"/>
      <c r="K70" s="120"/>
      <c r="L70" s="120"/>
      <c r="M70" s="120"/>
      <c r="N70" s="120"/>
      <c r="O70" s="120"/>
      <c r="P70" s="120"/>
      <c r="Q70" s="120"/>
      <c r="R70" s="120"/>
      <c r="S70" s="120"/>
      <c r="T70" s="120"/>
      <c r="U70" s="120"/>
      <c r="V70" s="120"/>
      <c r="W70" s="120"/>
      <c r="X70" s="120"/>
      <c r="Y70" s="120"/>
      <c r="Z70" s="120"/>
      <c r="AA70" s="120"/>
      <c r="AB70" s="120"/>
      <c r="AC70" s="120"/>
      <c r="AD70" s="120"/>
      <c r="AE70" s="120"/>
      <c r="AF70" s="120"/>
      <c r="AG70" s="120"/>
      <c r="AH70" s="120"/>
      <c r="AI70" s="120"/>
      <c r="AJ70" s="120"/>
    </row>
    <row r="71" spans="1:36" s="124" customFormat="1" ht="18" customHeight="1" x14ac:dyDescent="0.25">
      <c r="A71" s="120"/>
      <c r="B71" s="120"/>
      <c r="C71" s="120"/>
      <c r="D71" s="120"/>
      <c r="E71" s="120"/>
      <c r="F71" s="120"/>
      <c r="G71" s="120"/>
      <c r="H71" s="120"/>
      <c r="I71" s="181"/>
      <c r="J71" s="120"/>
      <c r="K71" s="120"/>
      <c r="L71" s="120"/>
      <c r="M71" s="120"/>
      <c r="N71" s="120"/>
      <c r="O71" s="120"/>
      <c r="P71" s="120"/>
      <c r="Q71" s="120"/>
      <c r="R71" s="120"/>
      <c r="S71" s="120"/>
      <c r="T71" s="120"/>
      <c r="U71" s="120"/>
      <c r="V71" s="120"/>
      <c r="W71" s="120"/>
      <c r="X71" s="120"/>
      <c r="Y71" s="120"/>
      <c r="Z71" s="120"/>
      <c r="AA71" s="120"/>
      <c r="AB71" s="120"/>
      <c r="AC71" s="120"/>
      <c r="AD71" s="120"/>
      <c r="AE71" s="120"/>
      <c r="AF71" s="120"/>
      <c r="AG71" s="120"/>
      <c r="AH71" s="120"/>
      <c r="AI71" s="120"/>
      <c r="AJ71" s="120"/>
    </row>
    <row r="72" spans="1:36" s="124" customFormat="1" ht="18" customHeight="1" x14ac:dyDescent="0.25">
      <c r="A72" s="120"/>
      <c r="B72" s="120"/>
      <c r="C72" s="120"/>
      <c r="D72" s="120"/>
      <c r="E72" s="120"/>
      <c r="F72" s="120"/>
      <c r="G72" s="120"/>
      <c r="H72" s="120"/>
      <c r="I72" s="181"/>
      <c r="J72" s="120"/>
      <c r="K72" s="120"/>
      <c r="L72" s="120"/>
      <c r="M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row>
    <row r="73" spans="1:36" s="124" customFormat="1" ht="18" customHeight="1" x14ac:dyDescent="0.25">
      <c r="A73" s="120"/>
      <c r="B73" s="120"/>
      <c r="C73" s="120"/>
      <c r="D73" s="120"/>
      <c r="E73" s="120"/>
      <c r="F73" s="120"/>
      <c r="G73" s="120"/>
      <c r="H73" s="120"/>
      <c r="I73" s="181"/>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row>
    <row r="74" spans="1:36" s="124" customFormat="1" ht="18" customHeight="1" x14ac:dyDescent="0.25">
      <c r="A74" s="120"/>
      <c r="B74" s="120"/>
      <c r="C74" s="120"/>
      <c r="D74" s="120"/>
      <c r="E74" s="120"/>
      <c r="F74" s="120"/>
      <c r="G74" s="120"/>
      <c r="H74" s="120"/>
      <c r="I74" s="181"/>
      <c r="J74" s="120"/>
      <c r="K74" s="120"/>
      <c r="L74" s="120"/>
      <c r="M74" s="120"/>
      <c r="N74" s="120"/>
      <c r="O74" s="120"/>
      <c r="P74" s="120"/>
      <c r="Q74" s="120"/>
      <c r="R74" s="120"/>
      <c r="S74" s="120"/>
      <c r="T74" s="120"/>
      <c r="U74" s="120"/>
      <c r="V74" s="120"/>
      <c r="W74" s="120"/>
      <c r="X74" s="120"/>
      <c r="Y74" s="120"/>
      <c r="Z74" s="120"/>
      <c r="AA74" s="120"/>
      <c r="AB74" s="120"/>
      <c r="AC74" s="120"/>
      <c r="AD74" s="120"/>
      <c r="AE74" s="120"/>
      <c r="AF74" s="120"/>
      <c r="AG74" s="120"/>
      <c r="AH74" s="120"/>
      <c r="AI74" s="120"/>
      <c r="AJ74" s="120"/>
    </row>
    <row r="75" spans="1:36" s="124" customFormat="1" ht="18" customHeight="1" x14ac:dyDescent="0.25">
      <c r="A75" s="120"/>
      <c r="B75" s="120"/>
      <c r="C75" s="120"/>
      <c r="D75" s="120"/>
      <c r="E75" s="120"/>
      <c r="F75" s="120"/>
      <c r="G75" s="120"/>
      <c r="H75" s="120"/>
      <c r="I75" s="181"/>
      <c r="J75" s="120"/>
      <c r="K75" s="120"/>
      <c r="L75" s="120"/>
      <c r="M75" s="120"/>
      <c r="N75" s="120"/>
      <c r="O75" s="120"/>
      <c r="P75" s="120"/>
      <c r="Q75" s="120"/>
      <c r="R75" s="120"/>
      <c r="S75" s="120"/>
      <c r="T75" s="120"/>
      <c r="U75" s="120"/>
      <c r="V75" s="120"/>
      <c r="W75" s="120"/>
      <c r="X75" s="120"/>
      <c r="Y75" s="120"/>
      <c r="Z75" s="120"/>
      <c r="AA75" s="120"/>
      <c r="AB75" s="120"/>
      <c r="AC75" s="120"/>
      <c r="AD75" s="120"/>
      <c r="AE75" s="120"/>
      <c r="AF75" s="120"/>
      <c r="AG75" s="120"/>
      <c r="AH75" s="120"/>
      <c r="AI75" s="120"/>
      <c r="AJ75" s="120"/>
    </row>
    <row r="76" spans="1:36" s="124" customFormat="1" ht="18" customHeight="1" x14ac:dyDescent="0.25">
      <c r="A76" s="120"/>
      <c r="B76" s="120"/>
      <c r="C76" s="120"/>
      <c r="D76" s="120"/>
      <c r="E76" s="120"/>
      <c r="F76" s="120"/>
      <c r="G76" s="120"/>
      <c r="H76" s="120"/>
      <c r="I76" s="181"/>
      <c r="J76" s="120"/>
      <c r="K76" s="120"/>
      <c r="L76" s="120"/>
      <c r="M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row>
    <row r="77" spans="1:36" s="124" customFormat="1" ht="18" customHeight="1" x14ac:dyDescent="0.25">
      <c r="A77" s="120"/>
      <c r="B77" s="120"/>
      <c r="C77" s="120"/>
      <c r="D77" s="120"/>
      <c r="E77" s="120"/>
      <c r="F77" s="120"/>
      <c r="G77" s="120"/>
      <c r="H77" s="120"/>
      <c r="I77" s="181"/>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row>
    <row r="78" spans="1:36" s="124" customFormat="1" ht="18" customHeight="1" x14ac:dyDescent="0.25">
      <c r="A78" s="120"/>
      <c r="B78" s="120"/>
      <c r="C78" s="120"/>
      <c r="D78" s="120"/>
      <c r="E78" s="120"/>
      <c r="F78" s="120"/>
      <c r="G78" s="120"/>
      <c r="H78" s="120"/>
      <c r="I78" s="181"/>
      <c r="J78" s="120"/>
      <c r="K78" s="120"/>
      <c r="L78" s="120"/>
      <c r="M78" s="120"/>
      <c r="N78" s="120"/>
      <c r="O78" s="120"/>
      <c r="P78" s="120"/>
      <c r="Q78" s="120"/>
      <c r="R78" s="120"/>
      <c r="S78" s="120"/>
      <c r="T78" s="120"/>
      <c r="U78" s="120"/>
      <c r="V78" s="120"/>
      <c r="W78" s="120"/>
      <c r="X78" s="120"/>
      <c r="Y78" s="120"/>
      <c r="Z78" s="120"/>
      <c r="AA78" s="120"/>
      <c r="AB78" s="120"/>
      <c r="AC78" s="120"/>
      <c r="AD78" s="120"/>
      <c r="AE78" s="120"/>
      <c r="AF78" s="120"/>
      <c r="AG78" s="120"/>
      <c r="AH78" s="120"/>
      <c r="AI78" s="120"/>
      <c r="AJ78" s="120"/>
    </row>
    <row r="79" spans="1:36" s="124" customFormat="1" ht="18" customHeight="1" x14ac:dyDescent="0.25">
      <c r="A79" s="120"/>
      <c r="B79" s="120"/>
      <c r="C79" s="120"/>
      <c r="D79" s="120"/>
      <c r="E79" s="120"/>
      <c r="F79" s="120"/>
      <c r="G79" s="120"/>
      <c r="H79" s="120"/>
      <c r="I79" s="181"/>
      <c r="J79" s="120"/>
      <c r="K79" s="120"/>
      <c r="L79" s="120"/>
      <c r="M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row>
    <row r="80" spans="1:36" s="124" customFormat="1" ht="18" customHeight="1" x14ac:dyDescent="0.25">
      <c r="A80" s="120"/>
      <c r="B80" s="120"/>
      <c r="C80" s="120"/>
      <c r="D80" s="120"/>
      <c r="E80" s="120"/>
      <c r="F80" s="120"/>
      <c r="G80" s="120"/>
      <c r="H80" s="120"/>
      <c r="I80" s="181"/>
      <c r="J80" s="120"/>
      <c r="K80" s="120"/>
      <c r="L80" s="120"/>
      <c r="M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row>
    <row r="81" spans="1:36" s="124" customFormat="1" ht="18" customHeight="1" x14ac:dyDescent="0.25">
      <c r="A81" s="120"/>
      <c r="B81" s="120"/>
      <c r="C81" s="120"/>
      <c r="D81" s="120"/>
      <c r="E81" s="120"/>
      <c r="F81" s="120"/>
      <c r="G81" s="120"/>
      <c r="H81" s="120"/>
      <c r="I81" s="181"/>
      <c r="J81" s="120"/>
      <c r="K81" s="120"/>
      <c r="L81" s="120"/>
      <c r="M81" s="120"/>
      <c r="N81" s="120"/>
      <c r="O81" s="120"/>
      <c r="P81" s="120"/>
      <c r="Q81" s="120"/>
      <c r="R81" s="120"/>
      <c r="S81" s="120"/>
      <c r="T81" s="120"/>
      <c r="U81" s="120"/>
      <c r="V81" s="120"/>
      <c r="W81" s="120"/>
      <c r="X81" s="120"/>
      <c r="Y81" s="120"/>
      <c r="Z81" s="120"/>
      <c r="AA81" s="120"/>
      <c r="AB81" s="120"/>
      <c r="AC81" s="120"/>
      <c r="AD81" s="120"/>
      <c r="AE81" s="120"/>
      <c r="AF81" s="120"/>
      <c r="AG81" s="120"/>
      <c r="AH81" s="120"/>
      <c r="AI81" s="120"/>
      <c r="AJ81" s="120"/>
    </row>
    <row r="82" spans="1:36" s="124" customFormat="1" ht="18" customHeight="1" x14ac:dyDescent="0.25">
      <c r="A82" s="120"/>
      <c r="B82" s="120"/>
      <c r="C82" s="120"/>
      <c r="D82" s="120"/>
      <c r="E82" s="120"/>
      <c r="F82" s="120"/>
      <c r="G82" s="120"/>
      <c r="H82" s="120"/>
      <c r="I82" s="181"/>
      <c r="J82" s="120"/>
      <c r="K82" s="120"/>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row>
    <row r="83" spans="1:36" s="124" customFormat="1" ht="18" customHeight="1" x14ac:dyDescent="0.25">
      <c r="A83" s="120"/>
      <c r="B83" s="120"/>
      <c r="C83" s="120"/>
      <c r="D83" s="120"/>
      <c r="E83" s="120"/>
      <c r="F83" s="120"/>
      <c r="G83" s="120"/>
      <c r="H83" s="120"/>
      <c r="I83" s="181"/>
      <c r="J83" s="120"/>
      <c r="K83" s="120"/>
      <c r="L83" s="120"/>
      <c r="M83" s="120"/>
      <c r="N83" s="120"/>
      <c r="O83" s="120"/>
      <c r="P83" s="120"/>
      <c r="Q83" s="120"/>
      <c r="R83" s="120"/>
      <c r="S83" s="120"/>
      <c r="T83" s="120"/>
      <c r="U83" s="120"/>
      <c r="V83" s="120"/>
      <c r="W83" s="120"/>
      <c r="X83" s="120"/>
      <c r="Y83" s="120"/>
      <c r="Z83" s="120"/>
      <c r="AA83" s="120"/>
      <c r="AB83" s="120"/>
      <c r="AC83" s="120"/>
      <c r="AD83" s="120"/>
      <c r="AE83" s="120"/>
      <c r="AF83" s="120"/>
      <c r="AG83" s="120"/>
      <c r="AH83" s="120"/>
      <c r="AI83" s="120"/>
      <c r="AJ83" s="120"/>
    </row>
    <row r="84" spans="1:36" s="124" customFormat="1" ht="18" customHeight="1" x14ac:dyDescent="0.25">
      <c r="A84" s="120"/>
      <c r="B84" s="120"/>
      <c r="C84" s="120"/>
      <c r="D84" s="120"/>
      <c r="E84" s="120"/>
      <c r="F84" s="120"/>
      <c r="G84" s="120"/>
      <c r="H84" s="120"/>
      <c r="I84" s="181"/>
      <c r="J84" s="120"/>
      <c r="K84" s="120"/>
      <c r="L84" s="120"/>
      <c r="M84" s="120"/>
      <c r="N84" s="120"/>
      <c r="O84" s="120"/>
      <c r="P84" s="120"/>
      <c r="Q84" s="120"/>
      <c r="R84" s="120"/>
      <c r="S84" s="120"/>
      <c r="T84" s="120"/>
      <c r="U84" s="120"/>
      <c r="V84" s="120"/>
      <c r="W84" s="120"/>
      <c r="X84" s="120"/>
      <c r="Y84" s="120"/>
      <c r="Z84" s="120"/>
      <c r="AA84" s="120"/>
      <c r="AB84" s="120"/>
      <c r="AC84" s="120"/>
      <c r="AD84" s="120"/>
      <c r="AE84" s="120"/>
      <c r="AF84" s="120"/>
      <c r="AG84" s="120"/>
      <c r="AH84" s="120"/>
      <c r="AI84" s="120"/>
      <c r="AJ84" s="120"/>
    </row>
    <row r="85" spans="1:36" s="124" customFormat="1" ht="18" customHeight="1" x14ac:dyDescent="0.25">
      <c r="A85" s="120"/>
      <c r="B85" s="120"/>
      <c r="C85" s="120"/>
      <c r="D85" s="120"/>
      <c r="E85" s="120"/>
      <c r="F85" s="120"/>
      <c r="G85" s="120"/>
      <c r="H85" s="120"/>
      <c r="I85" s="181"/>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0"/>
      <c r="AH85" s="120"/>
      <c r="AI85" s="120"/>
      <c r="AJ85" s="120"/>
    </row>
    <row r="86" spans="1:36" s="124" customFormat="1" ht="18" customHeight="1" x14ac:dyDescent="0.25">
      <c r="A86" s="120"/>
      <c r="B86" s="120"/>
      <c r="C86" s="120"/>
      <c r="D86" s="120"/>
      <c r="E86" s="120"/>
      <c r="F86" s="120"/>
      <c r="G86" s="120"/>
      <c r="H86" s="120"/>
      <c r="I86" s="181"/>
      <c r="J86" s="120"/>
      <c r="K86" s="120"/>
      <c r="L86" s="120"/>
      <c r="M86" s="120"/>
      <c r="N86" s="120"/>
      <c r="O86" s="120"/>
      <c r="P86" s="120"/>
      <c r="Q86" s="120"/>
      <c r="R86" s="120"/>
      <c r="S86" s="120"/>
      <c r="T86" s="120"/>
      <c r="U86" s="120"/>
      <c r="V86" s="120"/>
      <c r="W86" s="120"/>
      <c r="X86" s="120"/>
      <c r="Y86" s="120"/>
      <c r="Z86" s="120"/>
      <c r="AA86" s="120"/>
      <c r="AB86" s="120"/>
      <c r="AC86" s="120"/>
      <c r="AD86" s="120"/>
      <c r="AE86" s="120"/>
      <c r="AF86" s="120"/>
      <c r="AG86" s="120"/>
      <c r="AH86" s="120"/>
      <c r="AI86" s="120"/>
      <c r="AJ86" s="120"/>
    </row>
    <row r="87" spans="1:36" s="124" customFormat="1" ht="18" customHeight="1" x14ac:dyDescent="0.25">
      <c r="A87" s="120"/>
      <c r="B87" s="120"/>
      <c r="C87" s="120"/>
      <c r="D87" s="120"/>
      <c r="E87" s="120"/>
      <c r="F87" s="120"/>
      <c r="G87" s="120"/>
      <c r="H87" s="120"/>
      <c r="I87" s="181"/>
      <c r="J87" s="120"/>
      <c r="K87" s="120"/>
      <c r="L87" s="120"/>
      <c r="M87" s="120"/>
      <c r="N87" s="120"/>
      <c r="O87" s="120"/>
      <c r="P87" s="120"/>
      <c r="Q87" s="120"/>
      <c r="R87" s="120"/>
      <c r="S87" s="120"/>
      <c r="T87" s="120"/>
      <c r="U87" s="120"/>
      <c r="V87" s="120"/>
      <c r="W87" s="120"/>
      <c r="X87" s="120"/>
      <c r="Y87" s="120"/>
      <c r="Z87" s="120"/>
      <c r="AA87" s="120"/>
      <c r="AB87" s="120"/>
      <c r="AC87" s="120"/>
      <c r="AD87" s="120"/>
      <c r="AE87" s="120"/>
      <c r="AF87" s="120"/>
      <c r="AG87" s="120"/>
      <c r="AH87" s="120"/>
      <c r="AI87" s="120"/>
      <c r="AJ87" s="120"/>
    </row>
    <row r="88" spans="1:36" s="124" customFormat="1" ht="18" customHeight="1" x14ac:dyDescent="0.25">
      <c r="A88" s="120"/>
      <c r="B88" s="120"/>
      <c r="C88" s="120"/>
      <c r="D88" s="120"/>
      <c r="E88" s="120"/>
      <c r="F88" s="120"/>
      <c r="G88" s="120"/>
      <c r="H88" s="120"/>
      <c r="I88" s="181"/>
      <c r="J88" s="120"/>
      <c r="K88" s="120"/>
      <c r="L88" s="120"/>
      <c r="M88" s="120"/>
      <c r="N88" s="120"/>
      <c r="O88" s="120"/>
      <c r="P88" s="120"/>
      <c r="Q88" s="120"/>
      <c r="R88" s="120"/>
      <c r="S88" s="120"/>
      <c r="T88" s="120"/>
      <c r="U88" s="120"/>
      <c r="V88" s="120"/>
      <c r="W88" s="120"/>
      <c r="X88" s="120"/>
      <c r="Y88" s="120"/>
      <c r="Z88" s="120"/>
      <c r="AA88" s="120"/>
      <c r="AB88" s="120"/>
      <c r="AC88" s="120"/>
      <c r="AD88" s="120"/>
      <c r="AE88" s="120"/>
      <c r="AF88" s="120"/>
      <c r="AG88" s="120"/>
      <c r="AH88" s="120"/>
      <c r="AI88" s="120"/>
      <c r="AJ88" s="120"/>
    </row>
    <row r="89" spans="1:36" s="124" customFormat="1" ht="18" customHeight="1" x14ac:dyDescent="0.25">
      <c r="A89" s="120"/>
      <c r="B89" s="120"/>
      <c r="C89" s="120"/>
      <c r="D89" s="120"/>
      <c r="E89" s="120"/>
      <c r="F89" s="120"/>
      <c r="G89" s="120"/>
      <c r="H89" s="120"/>
      <c r="I89" s="181"/>
      <c r="J89" s="120"/>
      <c r="K89" s="120"/>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row>
    <row r="90" spans="1:36" s="124" customFormat="1" ht="18" customHeight="1" x14ac:dyDescent="0.25">
      <c r="A90" s="120"/>
      <c r="B90" s="120"/>
      <c r="C90" s="120"/>
      <c r="D90" s="120"/>
      <c r="E90" s="120"/>
      <c r="F90" s="120"/>
      <c r="G90" s="120"/>
      <c r="H90" s="120"/>
      <c r="I90" s="181"/>
      <c r="J90" s="120"/>
      <c r="K90" s="120"/>
      <c r="L90" s="120"/>
      <c r="M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row>
    <row r="91" spans="1:36" s="124" customFormat="1" ht="18" customHeight="1" x14ac:dyDescent="0.25">
      <c r="A91" s="120"/>
      <c r="B91" s="120"/>
      <c r="C91" s="120"/>
      <c r="D91" s="120"/>
      <c r="E91" s="120"/>
      <c r="F91" s="120"/>
      <c r="G91" s="120"/>
      <c r="H91" s="120"/>
      <c r="I91" s="181"/>
      <c r="J91" s="120"/>
      <c r="K91" s="120"/>
      <c r="L91" s="120"/>
      <c r="M91" s="120"/>
      <c r="N91" s="120"/>
      <c r="O91" s="120"/>
      <c r="P91" s="120"/>
      <c r="Q91" s="120"/>
      <c r="R91" s="120"/>
      <c r="S91" s="120"/>
      <c r="T91" s="120"/>
      <c r="U91" s="120"/>
      <c r="V91" s="120"/>
      <c r="W91" s="120"/>
      <c r="X91" s="120"/>
      <c r="Y91" s="120"/>
      <c r="Z91" s="120"/>
      <c r="AA91" s="120"/>
      <c r="AB91" s="120"/>
      <c r="AC91" s="120"/>
      <c r="AD91" s="120"/>
      <c r="AE91" s="120"/>
      <c r="AF91" s="120"/>
      <c r="AG91" s="120"/>
      <c r="AH91" s="120"/>
      <c r="AI91" s="120"/>
      <c r="AJ91" s="120"/>
    </row>
    <row r="92" spans="1:36" s="124" customFormat="1" ht="18" customHeight="1" x14ac:dyDescent="0.25">
      <c r="A92" s="120"/>
      <c r="B92" s="120"/>
      <c r="C92" s="120"/>
      <c r="D92" s="120"/>
      <c r="E92" s="120"/>
      <c r="F92" s="120"/>
      <c r="G92" s="120"/>
      <c r="H92" s="120"/>
      <c r="I92" s="181"/>
      <c r="J92" s="120"/>
      <c r="K92" s="120"/>
      <c r="L92" s="120"/>
      <c r="M92" s="120"/>
      <c r="N92" s="120"/>
      <c r="O92" s="120"/>
      <c r="P92" s="120"/>
      <c r="Q92" s="120"/>
      <c r="R92" s="120"/>
      <c r="S92" s="120"/>
      <c r="T92" s="120"/>
      <c r="U92" s="120"/>
      <c r="V92" s="120"/>
      <c r="W92" s="120"/>
      <c r="X92" s="120"/>
      <c r="Y92" s="120"/>
      <c r="Z92" s="120"/>
      <c r="AA92" s="120"/>
      <c r="AB92" s="120"/>
      <c r="AC92" s="120"/>
      <c r="AD92" s="120"/>
      <c r="AE92" s="120"/>
      <c r="AF92" s="120"/>
      <c r="AG92" s="120"/>
      <c r="AH92" s="120"/>
      <c r="AI92" s="120"/>
      <c r="AJ92" s="120"/>
    </row>
    <row r="93" spans="1:36" s="124" customFormat="1" ht="18" customHeight="1" x14ac:dyDescent="0.25">
      <c r="A93" s="120"/>
      <c r="B93" s="120"/>
      <c r="C93" s="120"/>
      <c r="D93" s="120"/>
      <c r="E93" s="120"/>
      <c r="F93" s="120"/>
      <c r="G93" s="120"/>
      <c r="H93" s="120"/>
      <c r="I93" s="181"/>
      <c r="J93" s="120"/>
      <c r="K93" s="120"/>
      <c r="L93" s="120"/>
      <c r="M93" s="120"/>
      <c r="N93" s="120"/>
      <c r="O93" s="120"/>
      <c r="P93" s="120"/>
      <c r="Q93" s="120"/>
      <c r="R93" s="120"/>
      <c r="S93" s="120"/>
      <c r="T93" s="120"/>
      <c r="U93" s="120"/>
      <c r="V93" s="120"/>
      <c r="W93" s="120"/>
      <c r="X93" s="120"/>
      <c r="Y93" s="120"/>
      <c r="Z93" s="120"/>
      <c r="AA93" s="120"/>
      <c r="AB93" s="120"/>
      <c r="AC93" s="120"/>
      <c r="AD93" s="120"/>
      <c r="AE93" s="120"/>
      <c r="AF93" s="120"/>
      <c r="AG93" s="120"/>
      <c r="AH93" s="120"/>
      <c r="AI93" s="120"/>
      <c r="AJ93" s="120"/>
    </row>
    <row r="94" spans="1:36" s="124" customFormat="1" ht="18" customHeight="1" x14ac:dyDescent="0.25">
      <c r="A94" s="120"/>
      <c r="B94" s="120"/>
      <c r="C94" s="120"/>
      <c r="D94" s="120"/>
      <c r="E94" s="120"/>
      <c r="F94" s="120"/>
      <c r="G94" s="120"/>
      <c r="H94" s="120"/>
      <c r="I94" s="181"/>
      <c r="J94" s="120"/>
      <c r="K94" s="120"/>
      <c r="L94" s="120"/>
      <c r="M94" s="120"/>
      <c r="N94" s="120"/>
      <c r="O94" s="120"/>
      <c r="P94" s="120"/>
      <c r="Q94" s="120"/>
      <c r="R94" s="120"/>
      <c r="S94" s="120"/>
      <c r="T94" s="120"/>
      <c r="U94" s="120"/>
      <c r="V94" s="120"/>
      <c r="W94" s="120"/>
      <c r="X94" s="120"/>
      <c r="Y94" s="120"/>
      <c r="Z94" s="120"/>
      <c r="AA94" s="120"/>
      <c r="AB94" s="120"/>
      <c r="AC94" s="120"/>
      <c r="AD94" s="120"/>
      <c r="AE94" s="120"/>
      <c r="AF94" s="120"/>
      <c r="AG94" s="120"/>
      <c r="AH94" s="120"/>
      <c r="AI94" s="120"/>
      <c r="AJ94" s="120"/>
    </row>
    <row r="95" spans="1:36" s="124" customFormat="1" ht="18" customHeight="1" x14ac:dyDescent="0.25">
      <c r="A95" s="120"/>
      <c r="B95" s="120"/>
      <c r="C95" s="120"/>
      <c r="D95" s="120"/>
      <c r="E95" s="120"/>
      <c r="F95" s="120"/>
      <c r="G95" s="120"/>
      <c r="H95" s="120"/>
      <c r="I95" s="181"/>
      <c r="J95" s="120"/>
      <c r="K95" s="120"/>
      <c r="L95" s="120"/>
      <c r="M95" s="120"/>
      <c r="N95" s="120"/>
      <c r="O95" s="120"/>
      <c r="P95" s="120"/>
      <c r="Q95" s="120"/>
      <c r="R95" s="120"/>
      <c r="S95" s="120"/>
      <c r="T95" s="120"/>
      <c r="U95" s="120"/>
      <c r="V95" s="120"/>
      <c r="W95" s="120"/>
      <c r="X95" s="120"/>
      <c r="Y95" s="120"/>
      <c r="Z95" s="120"/>
      <c r="AA95" s="120"/>
      <c r="AB95" s="120"/>
      <c r="AC95" s="120"/>
      <c r="AD95" s="120"/>
      <c r="AE95" s="120"/>
      <c r="AF95" s="120"/>
      <c r="AG95" s="120"/>
      <c r="AH95" s="120"/>
      <c r="AI95" s="120"/>
      <c r="AJ95" s="120"/>
    </row>
    <row r="96" spans="1:36" s="124" customFormat="1" ht="18" customHeight="1" x14ac:dyDescent="0.25">
      <c r="A96" s="120"/>
      <c r="B96" s="120"/>
      <c r="C96" s="120"/>
      <c r="D96" s="120"/>
      <c r="E96" s="120"/>
      <c r="F96" s="120"/>
      <c r="G96" s="120"/>
      <c r="H96" s="120"/>
      <c r="I96" s="181"/>
      <c r="J96" s="120"/>
      <c r="K96" s="120"/>
      <c r="L96" s="120"/>
      <c r="M96" s="120"/>
      <c r="N96" s="120"/>
      <c r="O96" s="120"/>
      <c r="P96" s="120"/>
      <c r="Q96" s="120"/>
      <c r="R96" s="120"/>
      <c r="S96" s="120"/>
      <c r="T96" s="120"/>
      <c r="U96" s="120"/>
      <c r="V96" s="120"/>
      <c r="W96" s="120"/>
      <c r="X96" s="120"/>
      <c r="Y96" s="120"/>
      <c r="Z96" s="120"/>
      <c r="AA96" s="120"/>
      <c r="AB96" s="120"/>
      <c r="AC96" s="120"/>
      <c r="AD96" s="120"/>
      <c r="AE96" s="120"/>
      <c r="AF96" s="120"/>
      <c r="AG96" s="120"/>
      <c r="AH96" s="120"/>
      <c r="AI96" s="120"/>
      <c r="AJ96" s="120"/>
    </row>
    <row r="97" spans="1:36" s="124" customFormat="1" ht="18" customHeight="1" x14ac:dyDescent="0.25">
      <c r="A97" s="120"/>
      <c r="B97" s="120"/>
      <c r="C97" s="120"/>
      <c r="D97" s="120"/>
      <c r="E97" s="120"/>
      <c r="F97" s="120"/>
      <c r="G97" s="120"/>
      <c r="H97" s="120"/>
      <c r="I97" s="181"/>
      <c r="J97" s="120"/>
      <c r="K97" s="120"/>
      <c r="L97" s="120"/>
      <c r="M97" s="120"/>
      <c r="N97" s="120"/>
      <c r="O97" s="120"/>
      <c r="P97" s="120"/>
      <c r="Q97" s="120"/>
      <c r="R97" s="120"/>
      <c r="S97" s="120"/>
      <c r="T97" s="120"/>
      <c r="U97" s="120"/>
      <c r="V97" s="120"/>
      <c r="W97" s="120"/>
      <c r="X97" s="120"/>
      <c r="Y97" s="120"/>
      <c r="Z97" s="120"/>
      <c r="AA97" s="120"/>
      <c r="AB97" s="120"/>
      <c r="AC97" s="120"/>
      <c r="AD97" s="120"/>
      <c r="AE97" s="120"/>
      <c r="AF97" s="120"/>
      <c r="AG97" s="120"/>
      <c r="AH97" s="120"/>
      <c r="AI97" s="120"/>
      <c r="AJ97" s="120"/>
    </row>
    <row r="98" spans="1:36" s="124" customFormat="1" ht="18" customHeight="1" x14ac:dyDescent="0.25">
      <c r="A98" s="120"/>
      <c r="B98" s="120"/>
      <c r="C98" s="120"/>
      <c r="D98" s="120"/>
      <c r="E98" s="120"/>
      <c r="F98" s="120"/>
      <c r="G98" s="120"/>
      <c r="H98" s="120"/>
      <c r="I98" s="181"/>
      <c r="J98" s="120"/>
      <c r="K98" s="120"/>
      <c r="L98" s="120"/>
      <c r="M98" s="120"/>
      <c r="N98" s="120"/>
      <c r="O98" s="120"/>
      <c r="P98" s="120"/>
      <c r="Q98" s="120"/>
      <c r="R98" s="120"/>
      <c r="S98" s="120"/>
      <c r="T98" s="120"/>
      <c r="U98" s="120"/>
      <c r="V98" s="120"/>
      <c r="W98" s="120"/>
      <c r="X98" s="120"/>
      <c r="Y98" s="120"/>
      <c r="Z98" s="120"/>
      <c r="AA98" s="120"/>
      <c r="AB98" s="120"/>
      <c r="AC98" s="120"/>
      <c r="AD98" s="120"/>
      <c r="AE98" s="120"/>
      <c r="AF98" s="120"/>
      <c r="AG98" s="120"/>
      <c r="AH98" s="120"/>
      <c r="AI98" s="120"/>
      <c r="AJ98" s="120"/>
    </row>
    <row r="99" spans="1:36" s="124" customFormat="1" ht="18" customHeight="1" x14ac:dyDescent="0.25">
      <c r="A99" s="120"/>
      <c r="B99" s="120"/>
      <c r="C99" s="120"/>
      <c r="D99" s="120"/>
      <c r="E99" s="120"/>
      <c r="F99" s="120"/>
      <c r="G99" s="120"/>
      <c r="H99" s="120"/>
      <c r="I99" s="181"/>
      <c r="J99" s="120"/>
      <c r="K99" s="120"/>
      <c r="L99" s="120"/>
      <c r="M99" s="120"/>
      <c r="N99" s="120"/>
      <c r="O99" s="120"/>
      <c r="P99" s="120"/>
      <c r="Q99" s="120"/>
      <c r="R99" s="120"/>
      <c r="S99" s="120"/>
      <c r="T99" s="120"/>
      <c r="U99" s="120"/>
      <c r="V99" s="120"/>
      <c r="W99" s="120"/>
      <c r="X99" s="120"/>
      <c r="Y99" s="120"/>
      <c r="Z99" s="120"/>
      <c r="AA99" s="120"/>
      <c r="AB99" s="120"/>
      <c r="AC99" s="120"/>
      <c r="AD99" s="120"/>
      <c r="AE99" s="120"/>
      <c r="AF99" s="120"/>
      <c r="AG99" s="120"/>
      <c r="AH99" s="120"/>
      <c r="AI99" s="120"/>
      <c r="AJ99" s="120"/>
    </row>
    <row r="100" spans="1:36" s="124" customFormat="1" ht="18" customHeight="1" x14ac:dyDescent="0.25">
      <c r="A100" s="120"/>
      <c r="B100" s="120"/>
      <c r="C100" s="120"/>
      <c r="D100" s="120"/>
      <c r="E100" s="120"/>
      <c r="F100" s="120"/>
      <c r="G100" s="120"/>
      <c r="H100" s="120"/>
      <c r="I100" s="181"/>
      <c r="J100" s="120"/>
      <c r="K100" s="120"/>
      <c r="L100" s="120"/>
      <c r="M100" s="120"/>
      <c r="N100" s="120"/>
      <c r="O100" s="120"/>
      <c r="P100" s="120"/>
      <c r="Q100" s="120"/>
      <c r="R100" s="120"/>
      <c r="S100" s="120"/>
      <c r="T100" s="120"/>
      <c r="U100" s="120"/>
      <c r="V100" s="120"/>
      <c r="W100" s="120"/>
      <c r="X100" s="120"/>
      <c r="Y100" s="120"/>
      <c r="Z100" s="120"/>
      <c r="AA100" s="120"/>
      <c r="AB100" s="120"/>
      <c r="AC100" s="120"/>
      <c r="AD100" s="120"/>
      <c r="AE100" s="120"/>
      <c r="AF100" s="120"/>
      <c r="AG100" s="120"/>
      <c r="AH100" s="120"/>
      <c r="AI100" s="120"/>
      <c r="AJ100" s="120"/>
    </row>
    <row r="101" spans="1:36" s="124" customFormat="1" ht="18" customHeight="1" x14ac:dyDescent="0.25">
      <c r="A101" s="120"/>
      <c r="B101" s="120"/>
      <c r="C101" s="120"/>
      <c r="D101" s="120"/>
      <c r="E101" s="120"/>
      <c r="F101" s="120"/>
      <c r="G101" s="120"/>
      <c r="H101" s="120"/>
      <c r="I101" s="181"/>
      <c r="J101" s="120"/>
      <c r="K101" s="120"/>
      <c r="L101" s="120"/>
      <c r="M101" s="120"/>
      <c r="N101" s="120"/>
      <c r="O101" s="120"/>
      <c r="P101" s="120"/>
      <c r="Q101" s="120"/>
      <c r="R101" s="120"/>
      <c r="S101" s="120"/>
      <c r="T101" s="120"/>
      <c r="U101" s="120"/>
      <c r="V101" s="120"/>
      <c r="W101" s="120"/>
      <c r="X101" s="120"/>
      <c r="Y101" s="120"/>
      <c r="Z101" s="120"/>
      <c r="AA101" s="120"/>
      <c r="AB101" s="120"/>
      <c r="AC101" s="120"/>
      <c r="AD101" s="120"/>
      <c r="AE101" s="120"/>
      <c r="AF101" s="120"/>
      <c r="AG101" s="120"/>
      <c r="AH101" s="120"/>
      <c r="AI101" s="120"/>
      <c r="AJ101" s="120"/>
    </row>
    <row r="102" spans="1:36" s="124" customFormat="1" ht="18" customHeight="1" x14ac:dyDescent="0.25">
      <c r="A102" s="120"/>
      <c r="B102" s="120"/>
      <c r="C102" s="120"/>
      <c r="D102" s="120"/>
      <c r="E102" s="120"/>
      <c r="F102" s="120"/>
      <c r="G102" s="120"/>
      <c r="H102" s="120"/>
      <c r="I102" s="181"/>
      <c r="J102" s="120"/>
      <c r="K102" s="120"/>
      <c r="L102" s="120"/>
      <c r="M102" s="120"/>
      <c r="N102" s="120"/>
      <c r="O102" s="120"/>
      <c r="P102" s="120"/>
      <c r="Q102" s="120"/>
      <c r="R102" s="120"/>
      <c r="S102" s="120"/>
      <c r="T102" s="120"/>
      <c r="U102" s="120"/>
      <c r="V102" s="120"/>
      <c r="W102" s="120"/>
      <c r="X102" s="120"/>
      <c r="Y102" s="120"/>
      <c r="Z102" s="120"/>
      <c r="AA102" s="120"/>
      <c r="AB102" s="120"/>
      <c r="AC102" s="120"/>
      <c r="AD102" s="120"/>
      <c r="AE102" s="120"/>
      <c r="AF102" s="120"/>
      <c r="AG102" s="120"/>
      <c r="AH102" s="120"/>
      <c r="AI102" s="120"/>
      <c r="AJ102" s="120"/>
    </row>
    <row r="103" spans="1:36" s="124" customFormat="1" ht="18" customHeight="1" x14ac:dyDescent="0.25">
      <c r="A103" s="120"/>
      <c r="B103" s="120"/>
      <c r="C103" s="120"/>
      <c r="D103" s="120"/>
      <c r="E103" s="120"/>
      <c r="F103" s="120"/>
      <c r="G103" s="120"/>
      <c r="H103" s="120"/>
      <c r="I103" s="181"/>
      <c r="J103" s="120"/>
      <c r="K103" s="120"/>
      <c r="L103" s="120"/>
      <c r="M103" s="120"/>
      <c r="N103" s="120"/>
      <c r="O103" s="120"/>
      <c r="P103" s="120"/>
      <c r="Q103" s="120"/>
      <c r="R103" s="120"/>
      <c r="S103" s="120"/>
      <c r="T103" s="120"/>
      <c r="U103" s="120"/>
      <c r="V103" s="120"/>
      <c r="W103" s="120"/>
      <c r="X103" s="120"/>
      <c r="Y103" s="120"/>
      <c r="Z103" s="120"/>
      <c r="AA103" s="120"/>
      <c r="AB103" s="120"/>
      <c r="AC103" s="120"/>
      <c r="AD103" s="120"/>
      <c r="AE103" s="120"/>
      <c r="AF103" s="120"/>
      <c r="AG103" s="120"/>
      <c r="AH103" s="120"/>
      <c r="AI103" s="120"/>
      <c r="AJ103" s="120"/>
    </row>
    <row r="104" spans="1:36" s="124" customFormat="1" ht="18" customHeight="1" x14ac:dyDescent="0.25">
      <c r="A104" s="120"/>
      <c r="B104" s="120"/>
      <c r="C104" s="120"/>
      <c r="D104" s="120"/>
      <c r="E104" s="120"/>
      <c r="F104" s="120"/>
      <c r="G104" s="120"/>
      <c r="H104" s="120"/>
      <c r="I104" s="181"/>
      <c r="J104" s="120"/>
      <c r="K104" s="120"/>
      <c r="L104" s="120"/>
      <c r="M104" s="120"/>
      <c r="N104" s="120"/>
      <c r="O104" s="120"/>
      <c r="P104" s="120"/>
      <c r="Q104" s="120"/>
      <c r="R104" s="120"/>
      <c r="S104" s="120"/>
      <c r="T104" s="120"/>
      <c r="U104" s="120"/>
      <c r="V104" s="120"/>
      <c r="W104" s="120"/>
      <c r="X104" s="120"/>
      <c r="Y104" s="120"/>
      <c r="Z104" s="120"/>
      <c r="AA104" s="120"/>
      <c r="AB104" s="120"/>
      <c r="AC104" s="120"/>
      <c r="AD104" s="120"/>
      <c r="AE104" s="120"/>
      <c r="AF104" s="120"/>
      <c r="AG104" s="120"/>
      <c r="AH104" s="120"/>
      <c r="AI104" s="120"/>
      <c r="AJ104" s="120"/>
    </row>
    <row r="105" spans="1:36" s="124" customFormat="1" ht="18" customHeight="1" x14ac:dyDescent="0.25">
      <c r="A105" s="120"/>
      <c r="B105" s="120"/>
      <c r="C105" s="120"/>
      <c r="D105" s="120"/>
      <c r="E105" s="120"/>
      <c r="F105" s="120"/>
      <c r="G105" s="120"/>
      <c r="H105" s="120"/>
      <c r="I105" s="181"/>
      <c r="J105" s="120"/>
      <c r="K105" s="120"/>
      <c r="L105" s="120"/>
      <c r="M105" s="120"/>
      <c r="N105" s="120"/>
      <c r="O105" s="120"/>
      <c r="P105" s="120"/>
      <c r="Q105" s="120"/>
      <c r="R105" s="120"/>
      <c r="S105" s="120"/>
      <c r="T105" s="120"/>
      <c r="U105" s="120"/>
      <c r="V105" s="120"/>
      <c r="W105" s="120"/>
      <c r="X105" s="120"/>
      <c r="Y105" s="120"/>
      <c r="Z105" s="120"/>
      <c r="AA105" s="120"/>
      <c r="AB105" s="120"/>
      <c r="AC105" s="120"/>
      <c r="AD105" s="120"/>
      <c r="AE105" s="120"/>
      <c r="AF105" s="120"/>
      <c r="AG105" s="120"/>
      <c r="AH105" s="120"/>
      <c r="AI105" s="120"/>
      <c r="AJ105" s="120"/>
    </row>
    <row r="106" spans="1:36" s="124" customFormat="1" ht="18" customHeight="1" x14ac:dyDescent="0.25">
      <c r="A106" s="120"/>
      <c r="B106" s="120"/>
      <c r="C106" s="120"/>
      <c r="D106" s="120"/>
      <c r="E106" s="120"/>
      <c r="F106" s="120"/>
      <c r="G106" s="120"/>
      <c r="H106" s="120"/>
      <c r="I106" s="181"/>
      <c r="J106" s="120"/>
      <c r="K106" s="120"/>
      <c r="L106" s="120"/>
      <c r="M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0"/>
      <c r="AJ106" s="120"/>
    </row>
    <row r="107" spans="1:36" s="124" customFormat="1" ht="18" customHeight="1" x14ac:dyDescent="0.25">
      <c r="A107" s="120"/>
      <c r="B107" s="120"/>
      <c r="C107" s="120"/>
      <c r="D107" s="120"/>
      <c r="E107" s="120"/>
      <c r="F107" s="120"/>
      <c r="G107" s="120"/>
      <c r="H107" s="120"/>
      <c r="I107" s="181"/>
      <c r="J107" s="120"/>
      <c r="K107" s="120"/>
      <c r="L107" s="120"/>
      <c r="M107" s="120"/>
      <c r="N107" s="120"/>
      <c r="O107" s="120"/>
      <c r="P107" s="120"/>
      <c r="Q107" s="120"/>
      <c r="R107" s="120"/>
      <c r="S107" s="120"/>
      <c r="T107" s="120"/>
      <c r="U107" s="120"/>
      <c r="V107" s="120"/>
      <c r="W107" s="120"/>
      <c r="X107" s="120"/>
      <c r="Y107" s="120"/>
      <c r="Z107" s="120"/>
      <c r="AA107" s="120"/>
      <c r="AB107" s="120"/>
      <c r="AC107" s="120"/>
      <c r="AD107" s="120"/>
      <c r="AE107" s="120"/>
      <c r="AF107" s="120"/>
      <c r="AG107" s="120"/>
      <c r="AH107" s="120"/>
      <c r="AI107" s="120"/>
      <c r="AJ107" s="120"/>
    </row>
    <row r="108" spans="1:36" s="124" customFormat="1" ht="18" customHeight="1" x14ac:dyDescent="0.25">
      <c r="A108" s="120"/>
      <c r="B108" s="120"/>
      <c r="C108" s="120"/>
      <c r="D108" s="120"/>
      <c r="E108" s="120"/>
      <c r="F108" s="120"/>
      <c r="G108" s="120"/>
      <c r="H108" s="120"/>
      <c r="I108" s="181"/>
      <c r="J108" s="120"/>
      <c r="K108" s="120"/>
      <c r="L108" s="120"/>
      <c r="M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c r="AI108" s="120"/>
      <c r="AJ108" s="120"/>
    </row>
    <row r="109" spans="1:36" s="124" customFormat="1" ht="18" customHeight="1" x14ac:dyDescent="0.25">
      <c r="A109" s="120"/>
      <c r="B109" s="120"/>
      <c r="C109" s="120"/>
      <c r="D109" s="120"/>
      <c r="E109" s="120"/>
      <c r="F109" s="120"/>
      <c r="G109" s="120"/>
      <c r="H109" s="120"/>
      <c r="I109" s="181"/>
      <c r="J109" s="120"/>
      <c r="K109" s="120"/>
      <c r="L109" s="120"/>
      <c r="M109" s="120"/>
      <c r="N109" s="120"/>
      <c r="O109" s="120"/>
      <c r="P109" s="120"/>
      <c r="Q109" s="120"/>
      <c r="R109" s="120"/>
      <c r="S109" s="120"/>
      <c r="T109" s="120"/>
      <c r="U109" s="120"/>
      <c r="V109" s="120"/>
      <c r="W109" s="120"/>
      <c r="X109" s="120"/>
      <c r="Y109" s="120"/>
      <c r="Z109" s="120"/>
      <c r="AA109" s="120"/>
      <c r="AB109" s="120"/>
      <c r="AC109" s="120"/>
      <c r="AD109" s="120"/>
      <c r="AE109" s="120"/>
      <c r="AF109" s="120"/>
      <c r="AG109" s="120"/>
      <c r="AH109" s="120"/>
      <c r="AI109" s="120"/>
      <c r="AJ109" s="120"/>
    </row>
    <row r="110" spans="1:36" s="124" customFormat="1" ht="18" customHeight="1" x14ac:dyDescent="0.25">
      <c r="A110" s="120"/>
      <c r="B110" s="120"/>
      <c r="C110" s="120"/>
      <c r="D110" s="120"/>
      <c r="E110" s="120"/>
      <c r="F110" s="120"/>
      <c r="G110" s="120"/>
      <c r="H110" s="120"/>
      <c r="I110" s="181"/>
      <c r="J110" s="120"/>
      <c r="K110" s="120"/>
      <c r="L110" s="120"/>
      <c r="M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c r="AI110" s="120"/>
      <c r="AJ110" s="120"/>
    </row>
    <row r="111" spans="1:36" s="124" customFormat="1" ht="18" customHeight="1" x14ac:dyDescent="0.25">
      <c r="A111" s="120"/>
      <c r="B111" s="120"/>
      <c r="C111" s="120"/>
      <c r="D111" s="120"/>
      <c r="E111" s="120"/>
      <c r="F111" s="120"/>
      <c r="G111" s="120"/>
      <c r="H111" s="120"/>
      <c r="I111" s="181"/>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20"/>
    </row>
    <row r="112" spans="1:36" s="124" customFormat="1" ht="18" customHeight="1" x14ac:dyDescent="0.25">
      <c r="A112" s="120"/>
      <c r="B112" s="120"/>
      <c r="C112" s="120"/>
      <c r="D112" s="120"/>
      <c r="E112" s="120"/>
      <c r="F112" s="120"/>
      <c r="G112" s="120"/>
      <c r="H112" s="120"/>
      <c r="I112" s="181"/>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row>
    <row r="113" spans="1:36" s="124" customFormat="1" ht="18" customHeight="1" x14ac:dyDescent="0.25">
      <c r="A113" s="120"/>
      <c r="B113" s="120"/>
      <c r="C113" s="120"/>
      <c r="D113" s="120"/>
      <c r="E113" s="120"/>
      <c r="F113" s="120"/>
      <c r="G113" s="120"/>
      <c r="H113" s="120"/>
      <c r="I113" s="181"/>
      <c r="J113" s="120"/>
      <c r="K113" s="120"/>
      <c r="L113" s="120"/>
      <c r="M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row>
    <row r="114" spans="1:36" s="124" customFormat="1" ht="18" customHeight="1" x14ac:dyDescent="0.25">
      <c r="A114" s="120"/>
      <c r="B114" s="120"/>
      <c r="C114" s="120"/>
      <c r="D114" s="120"/>
      <c r="E114" s="120"/>
      <c r="F114" s="120"/>
      <c r="G114" s="120"/>
      <c r="H114" s="120"/>
      <c r="I114" s="181"/>
      <c r="J114" s="120"/>
      <c r="K114" s="120"/>
      <c r="L114" s="120"/>
      <c r="M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row>
    <row r="115" spans="1:36" s="124" customFormat="1" ht="18" customHeight="1" x14ac:dyDescent="0.25">
      <c r="A115" s="120"/>
      <c r="B115" s="120"/>
      <c r="C115" s="120"/>
      <c r="D115" s="120"/>
      <c r="E115" s="120"/>
      <c r="F115" s="120"/>
      <c r="G115" s="120"/>
      <c r="H115" s="120"/>
      <c r="I115" s="181"/>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row>
    <row r="116" spans="1:36" s="124" customFormat="1" ht="18" customHeight="1" x14ac:dyDescent="0.25">
      <c r="A116" s="120"/>
      <c r="B116" s="120"/>
      <c r="C116" s="120"/>
      <c r="D116" s="120"/>
      <c r="E116" s="120"/>
      <c r="F116" s="120"/>
      <c r="G116" s="120"/>
      <c r="H116" s="120"/>
      <c r="I116" s="181"/>
      <c r="J116" s="120"/>
      <c r="K116" s="120"/>
      <c r="L116" s="120"/>
      <c r="M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row>
    <row r="117" spans="1:36" s="124" customFormat="1" ht="18" customHeight="1" x14ac:dyDescent="0.25">
      <c r="A117" s="120"/>
      <c r="B117" s="120"/>
      <c r="C117" s="120"/>
      <c r="D117" s="120"/>
      <c r="E117" s="120"/>
      <c r="F117" s="120"/>
      <c r="G117" s="120"/>
      <c r="H117" s="120"/>
      <c r="I117" s="181"/>
      <c r="J117" s="120"/>
      <c r="K117" s="120"/>
      <c r="L117" s="120"/>
      <c r="M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row>
    <row r="118" spans="1:36" s="124" customFormat="1" ht="18" customHeight="1" x14ac:dyDescent="0.25">
      <c r="A118" s="120"/>
      <c r="B118" s="120"/>
      <c r="C118" s="120"/>
      <c r="D118" s="120"/>
      <c r="E118" s="120"/>
      <c r="F118" s="120"/>
      <c r="G118" s="120"/>
      <c r="H118" s="120"/>
      <c r="I118" s="181"/>
      <c r="J118" s="120"/>
      <c r="K118" s="120"/>
      <c r="L118" s="120"/>
      <c r="M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row>
    <row r="119" spans="1:36" s="124" customFormat="1" ht="18" customHeight="1" x14ac:dyDescent="0.25">
      <c r="A119" s="120"/>
      <c r="B119" s="120"/>
      <c r="C119" s="120"/>
      <c r="D119" s="120"/>
      <c r="E119" s="120"/>
      <c r="F119" s="120"/>
      <c r="G119" s="120"/>
      <c r="H119" s="120"/>
      <c r="I119" s="181"/>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row>
    <row r="120" spans="1:36" s="124" customFormat="1" ht="18" customHeight="1" x14ac:dyDescent="0.25">
      <c r="A120" s="120"/>
      <c r="B120" s="120"/>
      <c r="C120" s="120"/>
      <c r="D120" s="120"/>
      <c r="E120" s="120"/>
      <c r="F120" s="120"/>
      <c r="G120" s="120"/>
      <c r="H120" s="120"/>
      <c r="I120" s="181"/>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row>
    <row r="121" spans="1:36" s="124" customFormat="1" ht="18" customHeight="1" x14ac:dyDescent="0.25">
      <c r="A121" s="120"/>
      <c r="B121" s="120"/>
      <c r="C121" s="120"/>
      <c r="D121" s="120"/>
      <c r="E121" s="120"/>
      <c r="F121" s="120"/>
      <c r="G121" s="120"/>
      <c r="H121" s="120"/>
      <c r="I121" s="181"/>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row>
    <row r="122" spans="1:36" s="124" customFormat="1" ht="18" customHeight="1" x14ac:dyDescent="0.25">
      <c r="A122" s="120"/>
      <c r="B122" s="120"/>
      <c r="C122" s="120"/>
      <c r="D122" s="120"/>
      <c r="E122" s="120"/>
      <c r="F122" s="120"/>
      <c r="G122" s="120"/>
      <c r="H122" s="120"/>
      <c r="I122" s="181"/>
      <c r="J122" s="120"/>
      <c r="K122" s="120"/>
      <c r="L122" s="120"/>
      <c r="M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row>
    <row r="123" spans="1:36" s="124" customFormat="1" ht="18" customHeight="1" x14ac:dyDescent="0.25">
      <c r="A123" s="120"/>
      <c r="B123" s="120"/>
      <c r="C123" s="120"/>
      <c r="D123" s="120"/>
      <c r="E123" s="120"/>
      <c r="F123" s="120"/>
      <c r="G123" s="120"/>
      <c r="H123" s="120"/>
      <c r="I123" s="181"/>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row>
    <row r="124" spans="1:36" s="124" customFormat="1" ht="18" customHeight="1" x14ac:dyDescent="0.25">
      <c r="A124" s="120"/>
      <c r="B124" s="120"/>
      <c r="C124" s="120"/>
      <c r="D124" s="120"/>
      <c r="E124" s="120"/>
      <c r="F124" s="120"/>
      <c r="G124" s="120"/>
      <c r="H124" s="120"/>
      <c r="I124" s="181"/>
      <c r="J124" s="120"/>
      <c r="K124" s="120"/>
      <c r="L124" s="120"/>
      <c r="M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row>
    <row r="125" spans="1:36" s="124" customFormat="1" ht="18" customHeight="1" x14ac:dyDescent="0.25">
      <c r="A125" s="120"/>
      <c r="B125" s="120"/>
      <c r="C125" s="120"/>
      <c r="D125" s="120"/>
      <c r="E125" s="120"/>
      <c r="F125" s="120"/>
      <c r="G125" s="120"/>
      <c r="H125" s="120"/>
      <c r="I125" s="181"/>
      <c r="J125" s="120"/>
      <c r="K125" s="120"/>
      <c r="L125" s="120"/>
      <c r="M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row>
    <row r="126" spans="1:36" s="124" customFormat="1" ht="18" customHeight="1" x14ac:dyDescent="0.25">
      <c r="A126" s="120"/>
      <c r="B126" s="120"/>
      <c r="C126" s="120"/>
      <c r="D126" s="120"/>
      <c r="E126" s="120"/>
      <c r="F126" s="120"/>
      <c r="G126" s="120"/>
      <c r="H126" s="120"/>
      <c r="I126" s="181"/>
      <c r="J126" s="120"/>
      <c r="K126" s="120"/>
      <c r="L126" s="120"/>
      <c r="M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row>
    <row r="127" spans="1:36" s="124" customFormat="1" ht="18" customHeight="1" x14ac:dyDescent="0.25">
      <c r="A127" s="120"/>
      <c r="B127" s="120"/>
      <c r="C127" s="120"/>
      <c r="D127" s="120"/>
      <c r="E127" s="120"/>
      <c r="F127" s="120"/>
      <c r="G127" s="120"/>
      <c r="H127" s="120"/>
      <c r="I127" s="181"/>
      <c r="J127" s="120"/>
      <c r="K127" s="120"/>
      <c r="L127" s="120"/>
      <c r="M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row>
    <row r="128" spans="1:36" s="124" customFormat="1" ht="18" customHeight="1" x14ac:dyDescent="0.25">
      <c r="A128" s="120"/>
      <c r="B128" s="120"/>
      <c r="C128" s="120"/>
      <c r="D128" s="120"/>
      <c r="E128" s="120"/>
      <c r="F128" s="120"/>
      <c r="G128" s="120"/>
      <c r="H128" s="120"/>
      <c r="I128" s="181"/>
      <c r="J128" s="120"/>
      <c r="K128" s="120"/>
      <c r="L128" s="120"/>
      <c r="M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row>
    <row r="129" spans="1:36" s="124" customFormat="1" ht="18" customHeight="1" x14ac:dyDescent="0.25">
      <c r="A129" s="120"/>
      <c r="B129" s="120"/>
      <c r="C129" s="120"/>
      <c r="D129" s="120"/>
      <c r="E129" s="120"/>
      <c r="F129" s="120"/>
      <c r="G129" s="120"/>
      <c r="H129" s="120"/>
      <c r="I129" s="181"/>
      <c r="J129" s="120"/>
      <c r="K129" s="120"/>
      <c r="L129" s="120"/>
      <c r="M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row>
    <row r="130" spans="1:36" s="124" customFormat="1" ht="18" customHeight="1" x14ac:dyDescent="0.25">
      <c r="A130" s="120"/>
      <c r="B130" s="120"/>
      <c r="C130" s="120"/>
      <c r="D130" s="120"/>
      <c r="E130" s="120"/>
      <c r="F130" s="120"/>
      <c r="G130" s="120"/>
      <c r="H130" s="120"/>
      <c r="I130" s="181"/>
      <c r="J130" s="120"/>
      <c r="K130" s="120"/>
      <c r="L130" s="120"/>
      <c r="M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row>
    <row r="131" spans="1:36" s="124" customFormat="1" ht="18" customHeight="1" x14ac:dyDescent="0.25">
      <c r="A131" s="120"/>
      <c r="B131" s="120"/>
      <c r="C131" s="120"/>
      <c r="D131" s="120"/>
      <c r="E131" s="120"/>
      <c r="F131" s="120"/>
      <c r="G131" s="120"/>
      <c r="H131" s="120"/>
      <c r="I131" s="181"/>
      <c r="J131" s="120"/>
      <c r="K131" s="120"/>
      <c r="L131" s="120"/>
      <c r="M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row>
    <row r="132" spans="1:36" s="124" customFormat="1" ht="18" customHeight="1" x14ac:dyDescent="0.25">
      <c r="A132" s="120"/>
      <c r="B132" s="120"/>
      <c r="C132" s="120"/>
      <c r="D132" s="120"/>
      <c r="E132" s="120"/>
      <c r="F132" s="120"/>
      <c r="G132" s="120"/>
      <c r="H132" s="120"/>
      <c r="I132" s="181"/>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row>
    <row r="133" spans="1:36" s="124" customFormat="1" ht="18" customHeight="1" x14ac:dyDescent="0.25">
      <c r="A133" s="120"/>
      <c r="B133" s="120"/>
      <c r="C133" s="120"/>
      <c r="D133" s="120"/>
      <c r="E133" s="120"/>
      <c r="F133" s="120"/>
      <c r="G133" s="120"/>
      <c r="H133" s="120"/>
      <c r="I133" s="181"/>
      <c r="J133" s="120"/>
      <c r="K133" s="120"/>
      <c r="L133" s="120"/>
      <c r="M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row>
    <row r="134" spans="1:36" s="124" customFormat="1" ht="18" customHeight="1" x14ac:dyDescent="0.25">
      <c r="A134" s="120"/>
      <c r="B134" s="120"/>
      <c r="C134" s="120"/>
      <c r="D134" s="120"/>
      <c r="E134" s="120"/>
      <c r="F134" s="120"/>
      <c r="G134" s="120"/>
      <c r="H134" s="120"/>
      <c r="I134" s="181"/>
      <c r="J134" s="120"/>
      <c r="K134" s="120"/>
      <c r="L134" s="120"/>
      <c r="M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row>
    <row r="135" spans="1:36" s="124" customFormat="1" ht="18" customHeight="1" x14ac:dyDescent="0.25">
      <c r="A135" s="120"/>
      <c r="B135" s="120"/>
      <c r="C135" s="120"/>
      <c r="D135" s="120"/>
      <c r="E135" s="120"/>
      <c r="F135" s="120"/>
      <c r="G135" s="120"/>
      <c r="H135" s="120"/>
      <c r="I135" s="181"/>
      <c r="J135" s="120"/>
      <c r="K135" s="120"/>
      <c r="L135" s="120"/>
      <c r="M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c r="AI135" s="120"/>
      <c r="AJ135" s="120"/>
    </row>
    <row r="136" spans="1:36" s="124" customFormat="1" ht="18" customHeight="1" x14ac:dyDescent="0.25">
      <c r="A136" s="120"/>
      <c r="B136" s="120"/>
      <c r="C136" s="120"/>
      <c r="D136" s="120"/>
      <c r="E136" s="120"/>
      <c r="F136" s="120"/>
      <c r="G136" s="120"/>
      <c r="H136" s="120"/>
      <c r="I136" s="181"/>
      <c r="J136" s="120"/>
      <c r="K136" s="120"/>
      <c r="L136" s="120"/>
      <c r="M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c r="AI136" s="120"/>
      <c r="AJ136" s="120"/>
    </row>
    <row r="137" spans="1:36" s="124" customFormat="1" ht="18" customHeight="1" x14ac:dyDescent="0.25">
      <c r="A137" s="120"/>
      <c r="B137" s="120"/>
      <c r="C137" s="120"/>
      <c r="D137" s="120"/>
      <c r="E137" s="120"/>
      <c r="F137" s="120"/>
      <c r="G137" s="120"/>
      <c r="H137" s="120"/>
      <c r="I137" s="181"/>
      <c r="J137" s="120"/>
      <c r="K137" s="120"/>
      <c r="L137" s="120"/>
      <c r="M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row>
    <row r="138" spans="1:36" s="124" customFormat="1" ht="18" customHeight="1" x14ac:dyDescent="0.25">
      <c r="A138" s="120"/>
      <c r="B138" s="120"/>
      <c r="C138" s="120"/>
      <c r="D138" s="120"/>
      <c r="E138" s="120"/>
      <c r="F138" s="120"/>
      <c r="G138" s="120"/>
      <c r="H138" s="120"/>
      <c r="I138" s="181"/>
      <c r="J138" s="120"/>
      <c r="K138" s="120"/>
      <c r="L138" s="120"/>
      <c r="M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c r="AJ138" s="120"/>
    </row>
    <row r="139" spans="1:36" s="124" customFormat="1" ht="18" customHeight="1" x14ac:dyDescent="0.25">
      <c r="A139" s="120"/>
      <c r="B139" s="120"/>
      <c r="C139" s="120"/>
      <c r="D139" s="120"/>
      <c r="E139" s="120"/>
      <c r="F139" s="120"/>
      <c r="G139" s="120"/>
      <c r="H139" s="120"/>
      <c r="I139" s="181"/>
      <c r="J139" s="120"/>
      <c r="K139" s="120"/>
      <c r="L139" s="120"/>
      <c r="M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row>
    <row r="140" spans="1:36" s="124" customFormat="1" ht="18" customHeight="1" x14ac:dyDescent="0.25">
      <c r="A140" s="120"/>
      <c r="B140" s="120"/>
      <c r="C140" s="120"/>
      <c r="D140" s="120"/>
      <c r="E140" s="120"/>
      <c r="F140" s="120"/>
      <c r="G140" s="120"/>
      <c r="H140" s="120"/>
      <c r="I140" s="181"/>
      <c r="J140" s="120"/>
      <c r="K140" s="120"/>
      <c r="L140" s="120"/>
      <c r="M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c r="AI140" s="120"/>
      <c r="AJ140" s="120"/>
    </row>
    <row r="141" spans="1:36" s="124" customFormat="1" ht="18" customHeight="1" x14ac:dyDescent="0.25">
      <c r="A141" s="120"/>
      <c r="B141" s="120"/>
      <c r="C141" s="120"/>
      <c r="D141" s="120"/>
      <c r="E141" s="120"/>
      <c r="F141" s="120"/>
      <c r="G141" s="120"/>
      <c r="H141" s="120"/>
      <c r="I141" s="181"/>
      <c r="J141" s="120"/>
      <c r="K141" s="120"/>
      <c r="L141" s="120"/>
      <c r="M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c r="AI141" s="120"/>
      <c r="AJ141" s="120"/>
    </row>
    <row r="142" spans="1:36" s="124" customFormat="1" ht="18" customHeight="1" x14ac:dyDescent="0.25">
      <c r="A142" s="120"/>
      <c r="B142" s="120"/>
      <c r="C142" s="120"/>
      <c r="D142" s="120"/>
      <c r="E142" s="120"/>
      <c r="F142" s="120"/>
      <c r="G142" s="120"/>
      <c r="H142" s="120"/>
      <c r="I142" s="181"/>
      <c r="J142" s="120"/>
      <c r="K142" s="120"/>
      <c r="L142" s="120"/>
      <c r="M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row>
    <row r="143" spans="1:36" s="124" customFormat="1" ht="18" customHeight="1" x14ac:dyDescent="0.25">
      <c r="A143" s="120"/>
      <c r="B143" s="120"/>
      <c r="C143" s="120"/>
      <c r="D143" s="120"/>
      <c r="E143" s="120"/>
      <c r="F143" s="120"/>
      <c r="G143" s="120"/>
      <c r="H143" s="120"/>
      <c r="I143" s="181"/>
      <c r="J143" s="120"/>
      <c r="K143" s="120"/>
      <c r="L143" s="120"/>
      <c r="M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c r="AJ143" s="120"/>
    </row>
    <row r="144" spans="1:36" s="124" customFormat="1" ht="18" customHeight="1" x14ac:dyDescent="0.25">
      <c r="A144" s="120"/>
      <c r="B144" s="120"/>
      <c r="C144" s="120"/>
      <c r="D144" s="120"/>
      <c r="E144" s="120"/>
      <c r="F144" s="120"/>
      <c r="G144" s="120"/>
      <c r="H144" s="120"/>
      <c r="I144" s="181"/>
      <c r="J144" s="120"/>
      <c r="K144" s="120"/>
      <c r="L144" s="120"/>
      <c r="M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c r="AJ144" s="120"/>
    </row>
    <row r="145" spans="1:36" s="124" customFormat="1" ht="18" customHeight="1" x14ac:dyDescent="0.25">
      <c r="A145" s="120"/>
      <c r="B145" s="120"/>
      <c r="C145" s="120"/>
      <c r="D145" s="120"/>
      <c r="E145" s="120"/>
      <c r="F145" s="120"/>
      <c r="G145" s="120"/>
      <c r="H145" s="120"/>
      <c r="I145" s="181"/>
      <c r="J145" s="120"/>
      <c r="K145" s="120"/>
      <c r="L145" s="120"/>
      <c r="M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row>
    <row r="146" spans="1:36" s="124" customFormat="1" ht="18" customHeight="1" x14ac:dyDescent="0.25">
      <c r="A146" s="120"/>
      <c r="B146" s="120"/>
      <c r="C146" s="120"/>
      <c r="D146" s="120"/>
      <c r="E146" s="120"/>
      <c r="F146" s="120"/>
      <c r="G146" s="120"/>
      <c r="H146" s="120"/>
      <c r="I146" s="181"/>
      <c r="J146" s="120"/>
      <c r="K146" s="120"/>
      <c r="L146" s="120"/>
      <c r="M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c r="AJ146" s="120"/>
    </row>
    <row r="147" spans="1:36" s="124" customFormat="1" ht="18" customHeight="1" x14ac:dyDescent="0.25">
      <c r="A147" s="120"/>
      <c r="B147" s="120"/>
      <c r="C147" s="120"/>
      <c r="D147" s="120"/>
      <c r="E147" s="120"/>
      <c r="F147" s="120"/>
      <c r="G147" s="120"/>
      <c r="H147" s="120"/>
      <c r="I147" s="181"/>
      <c r="J147" s="120"/>
      <c r="K147" s="120"/>
      <c r="L147" s="120"/>
      <c r="M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c r="AJ147" s="120"/>
    </row>
    <row r="148" spans="1:36" s="124" customFormat="1" ht="18" customHeight="1" x14ac:dyDescent="0.25">
      <c r="A148" s="120"/>
      <c r="B148" s="120"/>
      <c r="C148" s="120"/>
      <c r="D148" s="120"/>
      <c r="E148" s="120"/>
      <c r="F148" s="120"/>
      <c r="G148" s="120"/>
      <c r="H148" s="120"/>
      <c r="I148" s="181"/>
      <c r="J148" s="120"/>
      <c r="K148" s="120"/>
      <c r="L148" s="120"/>
      <c r="M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c r="AI148" s="120"/>
      <c r="AJ148" s="120"/>
    </row>
    <row r="149" spans="1:36" s="124" customFormat="1" ht="18" customHeight="1" x14ac:dyDescent="0.25">
      <c r="A149" s="120"/>
      <c r="B149" s="120"/>
      <c r="C149" s="120"/>
      <c r="D149" s="120"/>
      <c r="E149" s="120"/>
      <c r="F149" s="120"/>
      <c r="G149" s="120"/>
      <c r="H149" s="120"/>
      <c r="I149" s="181"/>
      <c r="J149" s="120"/>
      <c r="K149" s="120"/>
      <c r="L149" s="120"/>
      <c r="M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c r="AI149" s="120"/>
      <c r="AJ149" s="120"/>
    </row>
    <row r="150" spans="1:36" s="124" customFormat="1" ht="18" customHeight="1" x14ac:dyDescent="0.25">
      <c r="A150" s="120"/>
      <c r="B150" s="120"/>
      <c r="C150" s="120"/>
      <c r="D150" s="120"/>
      <c r="E150" s="120"/>
      <c r="F150" s="120"/>
      <c r="G150" s="120"/>
      <c r="H150" s="120"/>
      <c r="I150" s="181"/>
      <c r="J150" s="120"/>
      <c r="K150" s="120"/>
      <c r="L150" s="120"/>
      <c r="M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c r="AJ150" s="120"/>
    </row>
    <row r="151" spans="1:36" s="124" customFormat="1" ht="18" customHeight="1" x14ac:dyDescent="0.25">
      <c r="A151" s="120"/>
      <c r="B151" s="120"/>
      <c r="C151" s="120"/>
      <c r="D151" s="120"/>
      <c r="E151" s="120"/>
      <c r="F151" s="120"/>
      <c r="G151" s="120"/>
      <c r="H151" s="120"/>
      <c r="I151" s="181"/>
      <c r="J151" s="120"/>
      <c r="K151" s="120"/>
      <c r="L151" s="120"/>
      <c r="M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c r="AJ151" s="120"/>
    </row>
    <row r="152" spans="1:36" s="124" customFormat="1" ht="18" customHeight="1" x14ac:dyDescent="0.25">
      <c r="A152" s="120"/>
      <c r="B152" s="120"/>
      <c r="C152" s="120"/>
      <c r="D152" s="120"/>
      <c r="E152" s="120"/>
      <c r="F152" s="120"/>
      <c r="G152" s="120"/>
      <c r="H152" s="120"/>
      <c r="I152" s="181"/>
      <c r="J152" s="120"/>
      <c r="K152" s="120"/>
      <c r="L152" s="120"/>
      <c r="M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c r="AJ152" s="120"/>
    </row>
    <row r="153" spans="1:36" s="124" customFormat="1" ht="18" customHeight="1" x14ac:dyDescent="0.25">
      <c r="A153" s="120"/>
      <c r="B153" s="120"/>
      <c r="C153" s="120"/>
      <c r="D153" s="120"/>
      <c r="E153" s="120"/>
      <c r="F153" s="120"/>
      <c r="G153" s="120"/>
      <c r="H153" s="120"/>
      <c r="I153" s="181"/>
      <c r="J153" s="120"/>
      <c r="K153" s="120"/>
      <c r="L153" s="120"/>
      <c r="M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c r="AI153" s="120"/>
      <c r="AJ153" s="120"/>
    </row>
    <row r="154" spans="1:36" s="124" customFormat="1" ht="18" customHeight="1" x14ac:dyDescent="0.25">
      <c r="A154" s="120"/>
      <c r="B154" s="120"/>
      <c r="C154" s="120"/>
      <c r="D154" s="120"/>
      <c r="E154" s="120"/>
      <c r="F154" s="120"/>
      <c r="G154" s="120"/>
      <c r="H154" s="120"/>
      <c r="I154" s="181"/>
      <c r="J154" s="120"/>
      <c r="K154" s="120"/>
      <c r="L154" s="120"/>
      <c r="M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c r="AJ154" s="120"/>
    </row>
    <row r="155" spans="1:36" s="124" customFormat="1" ht="18" customHeight="1" x14ac:dyDescent="0.25">
      <c r="A155" s="120"/>
      <c r="B155" s="120"/>
      <c r="C155" s="120"/>
      <c r="D155" s="120"/>
      <c r="E155" s="120"/>
      <c r="F155" s="120"/>
      <c r="G155" s="120"/>
      <c r="H155" s="120"/>
      <c r="I155" s="181"/>
      <c r="J155" s="120"/>
      <c r="K155" s="120"/>
      <c r="L155" s="120"/>
      <c r="M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c r="AI155" s="120"/>
      <c r="AJ155" s="120"/>
    </row>
    <row r="156" spans="1:36" s="124" customFormat="1" ht="18" customHeight="1" x14ac:dyDescent="0.25">
      <c r="A156" s="120"/>
      <c r="B156" s="120"/>
      <c r="C156" s="120"/>
      <c r="D156" s="120"/>
      <c r="E156" s="120"/>
      <c r="F156" s="120"/>
      <c r="G156" s="120"/>
      <c r="H156" s="120"/>
      <c r="I156" s="181"/>
      <c r="J156" s="120"/>
      <c r="K156" s="120"/>
      <c r="L156" s="120"/>
      <c r="M156" s="120"/>
      <c r="N156" s="120"/>
      <c r="O156" s="120"/>
      <c r="P156" s="120"/>
      <c r="Q156" s="120"/>
      <c r="R156" s="120"/>
      <c r="S156" s="120"/>
      <c r="T156" s="120"/>
      <c r="U156" s="120"/>
      <c r="V156" s="120"/>
      <c r="W156" s="120"/>
      <c r="X156" s="120"/>
      <c r="Y156" s="120"/>
      <c r="Z156" s="120"/>
      <c r="AA156" s="120"/>
      <c r="AB156" s="120"/>
      <c r="AC156" s="120"/>
      <c r="AD156" s="120"/>
      <c r="AE156" s="120"/>
      <c r="AF156" s="120"/>
      <c r="AG156" s="120"/>
      <c r="AH156" s="120"/>
      <c r="AI156" s="120"/>
      <c r="AJ156" s="120"/>
    </row>
    <row r="157" spans="1:36" s="124" customFormat="1" ht="18" customHeight="1" x14ac:dyDescent="0.25">
      <c r="A157" s="120"/>
      <c r="B157" s="120"/>
      <c r="C157" s="120"/>
      <c r="D157" s="120"/>
      <c r="E157" s="120"/>
      <c r="F157" s="120"/>
      <c r="G157" s="120"/>
      <c r="H157" s="120"/>
      <c r="I157" s="181"/>
      <c r="J157" s="120"/>
      <c r="K157" s="120"/>
      <c r="L157" s="120"/>
      <c r="M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c r="AJ157" s="120"/>
    </row>
    <row r="158" spans="1:36" s="124" customFormat="1" ht="18" customHeight="1" x14ac:dyDescent="0.25">
      <c r="A158" s="120"/>
      <c r="B158" s="120"/>
      <c r="C158" s="120"/>
      <c r="D158" s="120"/>
      <c r="E158" s="120"/>
      <c r="F158" s="120"/>
      <c r="G158" s="120"/>
      <c r="H158" s="120"/>
      <c r="I158" s="181"/>
      <c r="J158" s="120"/>
      <c r="K158" s="120"/>
      <c r="L158" s="120"/>
      <c r="M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c r="AI158" s="120"/>
      <c r="AJ158" s="120"/>
    </row>
    <row r="159" spans="1:36" s="124" customFormat="1" ht="18" customHeight="1" x14ac:dyDescent="0.25">
      <c r="A159" s="120"/>
      <c r="B159" s="120"/>
      <c r="C159" s="120"/>
      <c r="D159" s="120"/>
      <c r="E159" s="120"/>
      <c r="F159" s="120"/>
      <c r="G159" s="120"/>
      <c r="H159" s="120"/>
      <c r="I159" s="181"/>
      <c r="J159" s="120"/>
      <c r="K159" s="120"/>
      <c r="L159" s="120"/>
      <c r="M159" s="120"/>
      <c r="N159" s="120"/>
      <c r="O159" s="120"/>
      <c r="P159" s="120"/>
      <c r="Q159" s="120"/>
      <c r="R159" s="120"/>
      <c r="S159" s="120"/>
      <c r="T159" s="120"/>
      <c r="U159" s="120"/>
      <c r="V159" s="120"/>
      <c r="W159" s="120"/>
      <c r="X159" s="120"/>
      <c r="Y159" s="120"/>
      <c r="Z159" s="120"/>
      <c r="AA159" s="120"/>
      <c r="AB159" s="120"/>
      <c r="AC159" s="120"/>
      <c r="AD159" s="120"/>
      <c r="AE159" s="120"/>
      <c r="AF159" s="120"/>
      <c r="AG159" s="120"/>
      <c r="AH159" s="120"/>
      <c r="AI159" s="120"/>
      <c r="AJ159" s="120"/>
    </row>
    <row r="160" spans="1:36" s="124" customFormat="1" ht="18" customHeight="1" x14ac:dyDescent="0.25">
      <c r="A160" s="120"/>
      <c r="B160" s="120"/>
      <c r="C160" s="120"/>
      <c r="D160" s="120"/>
      <c r="E160" s="120"/>
      <c r="F160" s="120"/>
      <c r="G160" s="120"/>
      <c r="H160" s="120"/>
      <c r="I160" s="181"/>
      <c r="J160" s="120"/>
      <c r="K160" s="120"/>
      <c r="L160" s="120"/>
      <c r="M160" s="120"/>
      <c r="N160" s="120"/>
      <c r="O160" s="120"/>
      <c r="P160" s="120"/>
      <c r="Q160" s="120"/>
      <c r="R160" s="120"/>
      <c r="S160" s="120"/>
      <c r="T160" s="120"/>
      <c r="U160" s="120"/>
      <c r="V160" s="120"/>
      <c r="W160" s="120"/>
      <c r="X160" s="120"/>
      <c r="Y160" s="120"/>
      <c r="Z160" s="120"/>
      <c r="AA160" s="120"/>
      <c r="AB160" s="120"/>
      <c r="AC160" s="120"/>
      <c r="AD160" s="120"/>
      <c r="AE160" s="120"/>
      <c r="AF160" s="120"/>
      <c r="AG160" s="120"/>
      <c r="AH160" s="120"/>
      <c r="AI160" s="120"/>
      <c r="AJ160" s="120"/>
    </row>
    <row r="161" spans="1:36" s="124" customFormat="1" ht="18" customHeight="1" x14ac:dyDescent="0.25">
      <c r="A161" s="120"/>
      <c r="B161" s="120"/>
      <c r="C161" s="120"/>
      <c r="D161" s="120"/>
      <c r="E161" s="120"/>
      <c r="F161" s="120"/>
      <c r="G161" s="120"/>
      <c r="H161" s="120"/>
      <c r="I161" s="181"/>
      <c r="J161" s="120"/>
      <c r="K161" s="120"/>
      <c r="L161" s="120"/>
      <c r="M161" s="120"/>
      <c r="N161" s="120"/>
      <c r="O161" s="120"/>
      <c r="P161" s="120"/>
      <c r="Q161" s="120"/>
      <c r="R161" s="120"/>
      <c r="S161" s="120"/>
      <c r="T161" s="120"/>
      <c r="U161" s="120"/>
      <c r="V161" s="120"/>
      <c r="W161" s="120"/>
      <c r="X161" s="120"/>
      <c r="Y161" s="120"/>
      <c r="Z161" s="120"/>
      <c r="AA161" s="120"/>
      <c r="AB161" s="120"/>
      <c r="AC161" s="120"/>
      <c r="AD161" s="120"/>
      <c r="AE161" s="120"/>
      <c r="AF161" s="120"/>
      <c r="AG161" s="120"/>
      <c r="AH161" s="120"/>
      <c r="AI161" s="120"/>
      <c r="AJ161" s="120"/>
    </row>
    <row r="162" spans="1:36" s="124" customFormat="1" ht="18" customHeight="1" x14ac:dyDescent="0.25">
      <c r="A162" s="120"/>
      <c r="B162" s="120"/>
      <c r="C162" s="120"/>
      <c r="D162" s="120"/>
      <c r="E162" s="120"/>
      <c r="F162" s="120"/>
      <c r="G162" s="120"/>
      <c r="H162" s="120"/>
      <c r="I162" s="181"/>
      <c r="J162" s="120"/>
      <c r="K162" s="120"/>
      <c r="L162" s="120"/>
      <c r="M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c r="AI162" s="120"/>
      <c r="AJ162" s="120"/>
    </row>
    <row r="163" spans="1:36" s="124" customFormat="1" ht="18" customHeight="1" x14ac:dyDescent="0.25">
      <c r="A163" s="120"/>
      <c r="B163" s="120"/>
      <c r="C163" s="120"/>
      <c r="D163" s="120"/>
      <c r="E163" s="120"/>
      <c r="F163" s="120"/>
      <c r="G163" s="120"/>
      <c r="H163" s="120"/>
      <c r="I163" s="181"/>
      <c r="J163" s="120"/>
      <c r="K163" s="120"/>
      <c r="L163" s="120"/>
      <c r="M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c r="AI163" s="120"/>
      <c r="AJ163" s="120"/>
    </row>
    <row r="164" spans="1:36" s="124" customFormat="1" ht="18" customHeight="1" x14ac:dyDescent="0.25">
      <c r="A164" s="120"/>
      <c r="B164" s="120"/>
      <c r="C164" s="120"/>
      <c r="D164" s="120"/>
      <c r="E164" s="120"/>
      <c r="F164" s="120"/>
      <c r="G164" s="120"/>
      <c r="H164" s="120"/>
      <c r="I164" s="181"/>
      <c r="J164" s="120"/>
      <c r="K164" s="120"/>
      <c r="L164" s="120"/>
      <c r="M164" s="120"/>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c r="AI164" s="120"/>
      <c r="AJ164" s="120"/>
    </row>
    <row r="165" spans="1:36" s="124" customFormat="1" ht="18" customHeight="1" x14ac:dyDescent="0.25">
      <c r="A165" s="120"/>
      <c r="B165" s="120"/>
      <c r="C165" s="120"/>
      <c r="D165" s="120"/>
      <c r="E165" s="120"/>
      <c r="F165" s="120"/>
      <c r="G165" s="120"/>
      <c r="H165" s="120"/>
      <c r="I165" s="181"/>
      <c r="J165" s="120"/>
      <c r="K165" s="120"/>
      <c r="L165" s="120"/>
      <c r="M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c r="AJ165" s="120"/>
    </row>
    <row r="166" spans="1:36" s="124" customFormat="1" ht="18" customHeight="1" x14ac:dyDescent="0.25">
      <c r="A166" s="120"/>
      <c r="B166" s="120"/>
      <c r="C166" s="120"/>
      <c r="D166" s="120"/>
      <c r="E166" s="120"/>
      <c r="F166" s="120"/>
      <c r="G166" s="120"/>
      <c r="H166" s="120"/>
      <c r="I166" s="181"/>
      <c r="J166" s="120"/>
      <c r="K166" s="120"/>
      <c r="L166" s="120"/>
      <c r="M166" s="120"/>
      <c r="N166" s="120"/>
      <c r="O166" s="120"/>
      <c r="P166" s="120"/>
      <c r="Q166" s="120"/>
      <c r="R166" s="120"/>
      <c r="S166" s="120"/>
      <c r="T166" s="120"/>
      <c r="U166" s="120"/>
      <c r="V166" s="120"/>
      <c r="W166" s="120"/>
      <c r="X166" s="120"/>
      <c r="Y166" s="120"/>
      <c r="Z166" s="120"/>
      <c r="AA166" s="120"/>
      <c r="AB166" s="120"/>
      <c r="AC166" s="120"/>
      <c r="AD166" s="120"/>
      <c r="AE166" s="120"/>
      <c r="AF166" s="120"/>
      <c r="AG166" s="120"/>
      <c r="AH166" s="120"/>
      <c r="AI166" s="120"/>
      <c r="AJ166" s="120"/>
    </row>
    <row r="167" spans="1:36" s="124" customFormat="1" ht="18" customHeight="1" x14ac:dyDescent="0.25">
      <c r="A167" s="120"/>
      <c r="B167" s="120"/>
      <c r="C167" s="120"/>
      <c r="D167" s="120"/>
      <c r="E167" s="120"/>
      <c r="F167" s="120"/>
      <c r="G167" s="120"/>
      <c r="H167" s="120"/>
      <c r="I167" s="181"/>
      <c r="J167" s="120"/>
      <c r="K167" s="120"/>
      <c r="L167" s="120"/>
      <c r="M167" s="120"/>
      <c r="N167" s="120"/>
      <c r="O167" s="120"/>
      <c r="P167" s="120"/>
      <c r="Q167" s="120"/>
      <c r="R167" s="120"/>
      <c r="S167" s="120"/>
      <c r="T167" s="120"/>
      <c r="U167" s="120"/>
      <c r="V167" s="120"/>
      <c r="W167" s="120"/>
      <c r="X167" s="120"/>
      <c r="Y167" s="120"/>
      <c r="Z167" s="120"/>
      <c r="AA167" s="120"/>
      <c r="AB167" s="120"/>
      <c r="AC167" s="120"/>
      <c r="AD167" s="120"/>
      <c r="AE167" s="120"/>
      <c r="AF167" s="120"/>
      <c r="AG167" s="120"/>
      <c r="AH167" s="120"/>
      <c r="AI167" s="120"/>
      <c r="AJ167" s="120"/>
    </row>
    <row r="168" spans="1:36" s="124" customFormat="1" ht="18" customHeight="1" x14ac:dyDescent="0.25">
      <c r="A168" s="120"/>
      <c r="B168" s="120"/>
      <c r="C168" s="120"/>
      <c r="D168" s="120"/>
      <c r="E168" s="120"/>
      <c r="F168" s="120"/>
      <c r="G168" s="120"/>
      <c r="H168" s="120"/>
      <c r="I168" s="181"/>
      <c r="J168" s="120"/>
      <c r="K168" s="120"/>
      <c r="L168" s="120"/>
      <c r="M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c r="AI168" s="120"/>
      <c r="AJ168" s="120"/>
    </row>
    <row r="169" spans="1:36" s="124" customFormat="1" ht="18" customHeight="1" x14ac:dyDescent="0.25">
      <c r="A169" s="120"/>
      <c r="B169" s="120"/>
      <c r="C169" s="120"/>
      <c r="D169" s="120"/>
      <c r="E169" s="120"/>
      <c r="F169" s="120"/>
      <c r="G169" s="120"/>
      <c r="H169" s="120"/>
      <c r="I169" s="181"/>
      <c r="J169" s="120"/>
      <c r="K169" s="120"/>
      <c r="L169" s="120"/>
      <c r="M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0"/>
      <c r="AI169" s="120"/>
      <c r="AJ169" s="120"/>
    </row>
    <row r="170" spans="1:36" s="124" customFormat="1" ht="18" customHeight="1" x14ac:dyDescent="0.25">
      <c r="A170" s="120"/>
      <c r="B170" s="120"/>
      <c r="C170" s="120"/>
      <c r="D170" s="120"/>
      <c r="E170" s="120"/>
      <c r="F170" s="120"/>
      <c r="G170" s="120"/>
      <c r="H170" s="120"/>
      <c r="I170" s="181"/>
      <c r="J170" s="120"/>
      <c r="K170" s="120"/>
      <c r="L170" s="120"/>
      <c r="M170" s="120"/>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c r="AI170" s="120"/>
      <c r="AJ170" s="120"/>
    </row>
    <row r="171" spans="1:36" s="124" customFormat="1" ht="18" customHeight="1" x14ac:dyDescent="0.25">
      <c r="A171" s="120"/>
      <c r="B171" s="120"/>
      <c r="C171" s="120"/>
      <c r="D171" s="120"/>
      <c r="E171" s="120"/>
      <c r="F171" s="120"/>
      <c r="G171" s="120"/>
      <c r="H171" s="120"/>
      <c r="I171" s="181"/>
      <c r="J171" s="120"/>
      <c r="K171" s="120"/>
      <c r="L171" s="120"/>
      <c r="M171" s="120"/>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c r="AI171" s="120"/>
      <c r="AJ171" s="120"/>
    </row>
    <row r="172" spans="1:36" s="124" customFormat="1" ht="18" customHeight="1" x14ac:dyDescent="0.25">
      <c r="A172" s="120"/>
      <c r="B172" s="120"/>
      <c r="C172" s="120"/>
      <c r="D172" s="120"/>
      <c r="E172" s="120"/>
      <c r="F172" s="120"/>
      <c r="G172" s="120"/>
      <c r="H172" s="120"/>
      <c r="I172" s="181"/>
      <c r="J172" s="120"/>
      <c r="K172" s="120"/>
      <c r="L172" s="120"/>
      <c r="M172" s="120"/>
      <c r="N172" s="120"/>
      <c r="O172" s="120"/>
      <c r="P172" s="120"/>
      <c r="Q172" s="120"/>
      <c r="R172" s="120"/>
      <c r="S172" s="120"/>
      <c r="T172" s="120"/>
      <c r="U172" s="120"/>
      <c r="V172" s="120"/>
      <c r="W172" s="120"/>
      <c r="X172" s="120"/>
      <c r="Y172" s="120"/>
      <c r="Z172" s="120"/>
      <c r="AA172" s="120"/>
      <c r="AB172" s="120"/>
      <c r="AC172" s="120"/>
      <c r="AD172" s="120"/>
      <c r="AE172" s="120"/>
      <c r="AF172" s="120"/>
      <c r="AG172" s="120"/>
      <c r="AH172" s="120"/>
      <c r="AI172" s="120"/>
      <c r="AJ172" s="120"/>
    </row>
    <row r="173" spans="1:36" s="124" customFormat="1" ht="18" customHeight="1" x14ac:dyDescent="0.25">
      <c r="A173" s="120"/>
      <c r="B173" s="120"/>
      <c r="C173" s="120"/>
      <c r="D173" s="120"/>
      <c r="E173" s="120"/>
      <c r="F173" s="120"/>
      <c r="G173" s="120"/>
      <c r="H173" s="120"/>
      <c r="I173" s="181"/>
      <c r="J173" s="120"/>
      <c r="K173" s="120"/>
      <c r="L173" s="120"/>
      <c r="M173" s="120"/>
      <c r="N173" s="120"/>
      <c r="O173" s="120"/>
      <c r="P173" s="120"/>
      <c r="Q173" s="120"/>
      <c r="R173" s="120"/>
      <c r="S173" s="120"/>
      <c r="T173" s="120"/>
      <c r="U173" s="120"/>
      <c r="V173" s="120"/>
      <c r="W173" s="120"/>
      <c r="X173" s="120"/>
      <c r="Y173" s="120"/>
      <c r="Z173" s="120"/>
      <c r="AA173" s="120"/>
      <c r="AB173" s="120"/>
      <c r="AC173" s="120"/>
      <c r="AD173" s="120"/>
      <c r="AE173" s="120"/>
      <c r="AF173" s="120"/>
      <c r="AG173" s="120"/>
      <c r="AH173" s="120"/>
      <c r="AI173" s="120"/>
      <c r="AJ173" s="120"/>
    </row>
    <row r="174" spans="1:36" s="124" customFormat="1" ht="18" customHeight="1" x14ac:dyDescent="0.25">
      <c r="A174" s="120"/>
      <c r="B174" s="120"/>
      <c r="C174" s="120"/>
      <c r="D174" s="120"/>
      <c r="E174" s="120"/>
      <c r="F174" s="120"/>
      <c r="G174" s="120"/>
      <c r="H174" s="120"/>
      <c r="I174" s="181"/>
      <c r="J174" s="120"/>
      <c r="K174" s="120"/>
      <c r="L174" s="120"/>
      <c r="M174" s="120"/>
      <c r="N174" s="120"/>
      <c r="O174" s="120"/>
      <c r="P174" s="120"/>
      <c r="Q174" s="120"/>
      <c r="R174" s="120"/>
      <c r="S174" s="120"/>
      <c r="T174" s="120"/>
      <c r="U174" s="120"/>
      <c r="V174" s="120"/>
      <c r="W174" s="120"/>
      <c r="X174" s="120"/>
      <c r="Y174" s="120"/>
      <c r="Z174" s="120"/>
      <c r="AA174" s="120"/>
      <c r="AB174" s="120"/>
      <c r="AC174" s="120"/>
      <c r="AD174" s="120"/>
      <c r="AE174" s="120"/>
      <c r="AF174" s="120"/>
      <c r="AG174" s="120"/>
      <c r="AH174" s="120"/>
      <c r="AI174" s="120"/>
      <c r="AJ174" s="120"/>
    </row>
    <row r="175" spans="1:36" s="124" customFormat="1" ht="18" customHeight="1" x14ac:dyDescent="0.25">
      <c r="A175" s="120"/>
      <c r="B175" s="120"/>
      <c r="C175" s="120"/>
      <c r="D175" s="120"/>
      <c r="E175" s="120"/>
      <c r="F175" s="120"/>
      <c r="G175" s="120"/>
      <c r="H175" s="120"/>
      <c r="I175" s="181"/>
      <c r="J175" s="120"/>
      <c r="K175" s="120"/>
      <c r="L175" s="120"/>
      <c r="M175" s="120"/>
      <c r="N175" s="120"/>
      <c r="O175" s="120"/>
      <c r="P175" s="120"/>
      <c r="Q175" s="120"/>
      <c r="R175" s="120"/>
      <c r="S175" s="120"/>
      <c r="T175" s="120"/>
      <c r="U175" s="120"/>
      <c r="V175" s="120"/>
      <c r="W175" s="120"/>
      <c r="X175" s="120"/>
      <c r="Y175" s="120"/>
      <c r="Z175" s="120"/>
      <c r="AA175" s="120"/>
      <c r="AB175" s="120"/>
      <c r="AC175" s="120"/>
      <c r="AD175" s="120"/>
      <c r="AE175" s="120"/>
      <c r="AF175" s="120"/>
      <c r="AG175" s="120"/>
      <c r="AH175" s="120"/>
      <c r="AI175" s="120"/>
      <c r="AJ175" s="120"/>
    </row>
    <row r="176" spans="1:36" s="124" customFormat="1" ht="18" customHeight="1" x14ac:dyDescent="0.25">
      <c r="A176" s="120"/>
      <c r="B176" s="120"/>
      <c r="C176" s="120"/>
      <c r="D176" s="120"/>
      <c r="E176" s="120"/>
      <c r="F176" s="120"/>
      <c r="G176" s="120"/>
      <c r="H176" s="120"/>
      <c r="I176" s="181"/>
      <c r="J176" s="120"/>
      <c r="K176" s="120"/>
      <c r="L176" s="120"/>
      <c r="M176" s="120"/>
      <c r="N176" s="120"/>
      <c r="O176" s="120"/>
      <c r="P176" s="120"/>
      <c r="Q176" s="120"/>
      <c r="R176" s="120"/>
      <c r="S176" s="120"/>
      <c r="T176" s="120"/>
      <c r="U176" s="120"/>
      <c r="V176" s="120"/>
      <c r="W176" s="120"/>
      <c r="X176" s="120"/>
      <c r="Y176" s="120"/>
      <c r="Z176" s="120"/>
      <c r="AA176" s="120"/>
      <c r="AB176" s="120"/>
      <c r="AC176" s="120"/>
      <c r="AD176" s="120"/>
      <c r="AE176" s="120"/>
      <c r="AF176" s="120"/>
      <c r="AG176" s="120"/>
      <c r="AH176" s="120"/>
      <c r="AI176" s="120"/>
      <c r="AJ176" s="120"/>
    </row>
    <row r="177" spans="1:36" s="124" customFormat="1" ht="18" customHeight="1" x14ac:dyDescent="0.25">
      <c r="A177" s="120"/>
      <c r="B177" s="120"/>
      <c r="C177" s="120"/>
      <c r="D177" s="120"/>
      <c r="E177" s="120"/>
      <c r="F177" s="120"/>
      <c r="G177" s="120"/>
      <c r="H177" s="120"/>
      <c r="I177" s="181"/>
      <c r="J177" s="120"/>
      <c r="K177" s="120"/>
      <c r="L177" s="120"/>
      <c r="M177" s="120"/>
      <c r="N177" s="120"/>
      <c r="O177" s="120"/>
      <c r="P177" s="120"/>
      <c r="Q177" s="120"/>
      <c r="R177" s="120"/>
      <c r="S177" s="120"/>
      <c r="T177" s="120"/>
      <c r="U177" s="120"/>
      <c r="V177" s="120"/>
      <c r="W177" s="120"/>
      <c r="X177" s="120"/>
      <c r="Y177" s="120"/>
      <c r="Z177" s="120"/>
      <c r="AA177" s="120"/>
      <c r="AB177" s="120"/>
      <c r="AC177" s="120"/>
      <c r="AD177" s="120"/>
      <c r="AE177" s="120"/>
      <c r="AF177" s="120"/>
      <c r="AG177" s="120"/>
      <c r="AH177" s="120"/>
      <c r="AI177" s="120"/>
      <c r="AJ177" s="120"/>
    </row>
    <row r="178" spans="1:36" s="124" customFormat="1" ht="18" customHeight="1" x14ac:dyDescent="0.25">
      <c r="A178" s="120"/>
      <c r="B178" s="120"/>
      <c r="C178" s="120"/>
      <c r="D178" s="120"/>
      <c r="E178" s="120"/>
      <c r="F178" s="120"/>
      <c r="G178" s="120"/>
      <c r="H178" s="120"/>
      <c r="I178" s="181"/>
      <c r="J178" s="120"/>
      <c r="K178" s="120"/>
      <c r="L178" s="120"/>
      <c r="M178" s="120"/>
      <c r="N178" s="120"/>
      <c r="O178" s="120"/>
      <c r="P178" s="120"/>
      <c r="Q178" s="120"/>
      <c r="R178" s="120"/>
      <c r="S178" s="120"/>
      <c r="T178" s="120"/>
      <c r="U178" s="120"/>
      <c r="V178" s="120"/>
      <c r="W178" s="120"/>
      <c r="X178" s="120"/>
      <c r="Y178" s="120"/>
      <c r="Z178" s="120"/>
      <c r="AA178" s="120"/>
      <c r="AB178" s="120"/>
      <c r="AC178" s="120"/>
      <c r="AD178" s="120"/>
      <c r="AE178" s="120"/>
      <c r="AF178" s="120"/>
      <c r="AG178" s="120"/>
      <c r="AH178" s="120"/>
      <c r="AI178" s="120"/>
      <c r="AJ178" s="120"/>
    </row>
    <row r="179" spans="1:36" s="124" customFormat="1" ht="18" customHeight="1" x14ac:dyDescent="0.25">
      <c r="A179" s="120"/>
      <c r="B179" s="120"/>
      <c r="C179" s="120"/>
      <c r="D179" s="120"/>
      <c r="E179" s="120"/>
      <c r="F179" s="120"/>
      <c r="G179" s="120"/>
      <c r="H179" s="120"/>
      <c r="I179" s="181"/>
      <c r="J179" s="120"/>
      <c r="K179" s="120"/>
      <c r="L179" s="120"/>
      <c r="M179" s="120"/>
      <c r="N179" s="120"/>
      <c r="O179" s="120"/>
      <c r="P179" s="120"/>
      <c r="Q179" s="120"/>
      <c r="R179" s="120"/>
      <c r="S179" s="120"/>
      <c r="T179" s="120"/>
      <c r="U179" s="120"/>
      <c r="V179" s="120"/>
      <c r="W179" s="120"/>
      <c r="X179" s="120"/>
      <c r="Y179" s="120"/>
      <c r="Z179" s="120"/>
      <c r="AA179" s="120"/>
      <c r="AB179" s="120"/>
      <c r="AC179" s="120"/>
      <c r="AD179" s="120"/>
      <c r="AE179" s="120"/>
      <c r="AF179" s="120"/>
      <c r="AG179" s="120"/>
      <c r="AH179" s="120"/>
      <c r="AI179" s="120"/>
      <c r="AJ179" s="120"/>
    </row>
    <row r="180" spans="1:36" s="124" customFormat="1" ht="18" customHeight="1" x14ac:dyDescent="0.25">
      <c r="A180" s="120"/>
      <c r="B180" s="120"/>
      <c r="C180" s="120"/>
      <c r="D180" s="120"/>
      <c r="E180" s="120"/>
      <c r="F180" s="120"/>
      <c r="G180" s="120"/>
      <c r="H180" s="120"/>
      <c r="I180" s="181"/>
      <c r="J180" s="120"/>
      <c r="K180" s="120"/>
      <c r="L180" s="120"/>
      <c r="M180" s="120"/>
      <c r="N180" s="120"/>
      <c r="O180" s="120"/>
      <c r="P180" s="120"/>
      <c r="Q180" s="120"/>
      <c r="R180" s="120"/>
      <c r="S180" s="120"/>
      <c r="T180" s="120"/>
      <c r="U180" s="120"/>
      <c r="V180" s="120"/>
      <c r="W180" s="120"/>
      <c r="X180" s="120"/>
      <c r="Y180" s="120"/>
      <c r="Z180" s="120"/>
      <c r="AA180" s="120"/>
      <c r="AB180" s="120"/>
      <c r="AC180" s="120"/>
      <c r="AD180" s="120"/>
      <c r="AE180" s="120"/>
      <c r="AF180" s="120"/>
      <c r="AG180" s="120"/>
      <c r="AH180" s="120"/>
      <c r="AI180" s="120"/>
      <c r="AJ180" s="120"/>
    </row>
    <row r="181" spans="1:36" s="124" customFormat="1" ht="18" customHeight="1" x14ac:dyDescent="0.25">
      <c r="A181" s="120"/>
      <c r="B181" s="120"/>
      <c r="C181" s="120"/>
      <c r="D181" s="120"/>
      <c r="E181" s="120"/>
      <c r="F181" s="120"/>
      <c r="G181" s="120"/>
      <c r="H181" s="120"/>
      <c r="I181" s="181"/>
      <c r="J181" s="120"/>
      <c r="K181" s="120"/>
      <c r="L181" s="120"/>
      <c r="M181" s="120"/>
      <c r="N181" s="120"/>
      <c r="O181" s="120"/>
      <c r="P181" s="120"/>
      <c r="Q181" s="120"/>
      <c r="R181" s="120"/>
      <c r="S181" s="120"/>
      <c r="T181" s="120"/>
      <c r="U181" s="120"/>
      <c r="V181" s="120"/>
      <c r="W181" s="120"/>
      <c r="X181" s="120"/>
      <c r="Y181" s="120"/>
      <c r="Z181" s="120"/>
      <c r="AA181" s="120"/>
      <c r="AB181" s="120"/>
      <c r="AC181" s="120"/>
      <c r="AD181" s="120"/>
      <c r="AE181" s="120"/>
      <c r="AF181" s="120"/>
      <c r="AG181" s="120"/>
      <c r="AH181" s="120"/>
      <c r="AI181" s="120"/>
      <c r="AJ181" s="120"/>
    </row>
    <row r="182" spans="1:36" s="124" customFormat="1" ht="18" customHeight="1" x14ac:dyDescent="0.25">
      <c r="A182" s="120"/>
      <c r="B182" s="120"/>
      <c r="C182" s="120"/>
      <c r="D182" s="120"/>
      <c r="E182" s="120"/>
      <c r="F182" s="120"/>
      <c r="G182" s="120"/>
      <c r="H182" s="120"/>
      <c r="I182" s="181"/>
      <c r="J182" s="120"/>
      <c r="K182" s="120"/>
      <c r="L182" s="120"/>
      <c r="M182" s="120"/>
      <c r="N182" s="120"/>
      <c r="O182" s="120"/>
      <c r="P182" s="120"/>
      <c r="Q182" s="120"/>
      <c r="R182" s="120"/>
      <c r="S182" s="120"/>
      <c r="T182" s="120"/>
      <c r="U182" s="120"/>
      <c r="V182" s="120"/>
      <c r="W182" s="120"/>
      <c r="X182" s="120"/>
      <c r="Y182" s="120"/>
      <c r="Z182" s="120"/>
      <c r="AA182" s="120"/>
      <c r="AB182" s="120"/>
      <c r="AC182" s="120"/>
      <c r="AD182" s="120"/>
      <c r="AE182" s="120"/>
      <c r="AF182" s="120"/>
      <c r="AG182" s="120"/>
      <c r="AH182" s="120"/>
      <c r="AI182" s="120"/>
      <c r="AJ182" s="120"/>
    </row>
    <row r="183" spans="1:36" s="124" customFormat="1" ht="18" customHeight="1" x14ac:dyDescent="0.25">
      <c r="A183" s="120"/>
      <c r="B183" s="120"/>
      <c r="C183" s="120"/>
      <c r="D183" s="120"/>
      <c r="E183" s="120"/>
      <c r="F183" s="120"/>
      <c r="G183" s="120"/>
      <c r="H183" s="120"/>
      <c r="I183" s="181"/>
      <c r="J183" s="120"/>
      <c r="K183" s="120"/>
      <c r="L183" s="120"/>
      <c r="M183" s="120"/>
      <c r="N183" s="120"/>
      <c r="O183" s="120"/>
      <c r="P183" s="120"/>
      <c r="Q183" s="120"/>
      <c r="R183" s="120"/>
      <c r="S183" s="120"/>
      <c r="T183" s="120"/>
      <c r="U183" s="120"/>
      <c r="V183" s="120"/>
      <c r="W183" s="120"/>
      <c r="X183" s="120"/>
      <c r="Y183" s="120"/>
      <c r="Z183" s="120"/>
      <c r="AA183" s="120"/>
      <c r="AB183" s="120"/>
      <c r="AC183" s="120"/>
      <c r="AD183" s="120"/>
      <c r="AE183" s="120"/>
      <c r="AF183" s="120"/>
      <c r="AG183" s="120"/>
      <c r="AH183" s="120"/>
      <c r="AI183" s="120"/>
      <c r="AJ183" s="120"/>
    </row>
    <row r="184" spans="1:36" s="124" customFormat="1" ht="18" customHeight="1" x14ac:dyDescent="0.25">
      <c r="A184" s="120"/>
      <c r="B184" s="120"/>
      <c r="C184" s="120"/>
      <c r="D184" s="120"/>
      <c r="E184" s="120"/>
      <c r="F184" s="120"/>
      <c r="G184" s="120"/>
      <c r="H184" s="120"/>
      <c r="I184" s="181"/>
      <c r="J184" s="120"/>
      <c r="K184" s="120"/>
      <c r="L184" s="120"/>
      <c r="M184" s="120"/>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c r="AI184" s="120"/>
      <c r="AJ184" s="120"/>
    </row>
    <row r="185" spans="1:36" s="124" customFormat="1" ht="18" customHeight="1" x14ac:dyDescent="0.25">
      <c r="A185" s="120"/>
      <c r="B185" s="120"/>
      <c r="C185" s="120"/>
      <c r="D185" s="120"/>
      <c r="E185" s="120"/>
      <c r="F185" s="120"/>
      <c r="G185" s="120"/>
      <c r="H185" s="120"/>
      <c r="I185" s="181"/>
      <c r="J185" s="120"/>
      <c r="K185" s="120"/>
      <c r="L185" s="120"/>
      <c r="M185" s="120"/>
      <c r="N185" s="120"/>
      <c r="O185" s="120"/>
      <c r="P185" s="120"/>
      <c r="Q185" s="120"/>
      <c r="R185" s="120"/>
      <c r="S185" s="120"/>
      <c r="T185" s="120"/>
      <c r="U185" s="120"/>
      <c r="V185" s="120"/>
      <c r="W185" s="120"/>
      <c r="X185" s="120"/>
      <c r="Y185" s="120"/>
      <c r="Z185" s="120"/>
      <c r="AA185" s="120"/>
      <c r="AB185" s="120"/>
      <c r="AC185" s="120"/>
      <c r="AD185" s="120"/>
      <c r="AE185" s="120"/>
      <c r="AF185" s="120"/>
      <c r="AG185" s="120"/>
      <c r="AH185" s="120"/>
      <c r="AI185" s="120"/>
      <c r="AJ185" s="120"/>
    </row>
    <row r="186" spans="1:36" s="124" customFormat="1" ht="18" customHeight="1" x14ac:dyDescent="0.25">
      <c r="A186" s="120"/>
      <c r="B186" s="120"/>
      <c r="C186" s="120"/>
      <c r="D186" s="120"/>
      <c r="E186" s="120"/>
      <c r="F186" s="120"/>
      <c r="G186" s="120"/>
      <c r="H186" s="120"/>
      <c r="I186" s="181"/>
      <c r="J186" s="120"/>
      <c r="K186" s="120"/>
      <c r="L186" s="120"/>
      <c r="M186" s="120"/>
      <c r="N186" s="120"/>
      <c r="O186" s="120"/>
      <c r="P186" s="120"/>
      <c r="Q186" s="120"/>
      <c r="R186" s="120"/>
      <c r="S186" s="120"/>
      <c r="T186" s="120"/>
      <c r="U186" s="120"/>
      <c r="V186" s="120"/>
      <c r="W186" s="120"/>
      <c r="X186" s="120"/>
      <c r="Y186" s="120"/>
      <c r="Z186" s="120"/>
      <c r="AA186" s="120"/>
      <c r="AB186" s="120"/>
      <c r="AC186" s="120"/>
      <c r="AD186" s="120"/>
      <c r="AE186" s="120"/>
      <c r="AF186" s="120"/>
      <c r="AG186" s="120"/>
      <c r="AH186" s="120"/>
      <c r="AI186" s="120"/>
      <c r="AJ186" s="120"/>
    </row>
    <row r="187" spans="1:36" s="124" customFormat="1" ht="18" customHeight="1" x14ac:dyDescent="0.25">
      <c r="A187" s="120"/>
      <c r="B187" s="120"/>
      <c r="C187" s="120"/>
      <c r="D187" s="120"/>
      <c r="E187" s="120"/>
      <c r="F187" s="120"/>
      <c r="G187" s="120"/>
      <c r="H187" s="120"/>
      <c r="I187" s="181"/>
      <c r="J187" s="120"/>
      <c r="K187" s="120"/>
      <c r="L187" s="120"/>
      <c r="M187" s="120"/>
      <c r="N187" s="120"/>
      <c r="O187" s="120"/>
      <c r="P187" s="120"/>
      <c r="Q187" s="120"/>
      <c r="R187" s="120"/>
      <c r="S187" s="120"/>
      <c r="T187" s="120"/>
      <c r="U187" s="120"/>
      <c r="V187" s="120"/>
      <c r="W187" s="120"/>
      <c r="X187" s="120"/>
      <c r="Y187" s="120"/>
      <c r="Z187" s="120"/>
      <c r="AA187" s="120"/>
      <c r="AB187" s="120"/>
      <c r="AC187" s="120"/>
      <c r="AD187" s="120"/>
      <c r="AE187" s="120"/>
      <c r="AF187" s="120"/>
      <c r="AG187" s="120"/>
      <c r="AH187" s="120"/>
      <c r="AI187" s="120"/>
      <c r="AJ187" s="120"/>
    </row>
    <row r="188" spans="1:36" s="124" customFormat="1" ht="18" customHeight="1" x14ac:dyDescent="0.25">
      <c r="A188" s="120"/>
      <c r="B188" s="120"/>
      <c r="C188" s="120"/>
      <c r="D188" s="120"/>
      <c r="E188" s="120"/>
      <c r="F188" s="120"/>
      <c r="G188" s="120"/>
      <c r="H188" s="120"/>
      <c r="I188" s="181"/>
      <c r="J188" s="120"/>
      <c r="K188" s="120"/>
      <c r="L188" s="120"/>
      <c r="M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0"/>
      <c r="AJ188" s="120"/>
    </row>
    <row r="189" spans="1:36" s="124" customFormat="1" ht="18" customHeight="1" x14ac:dyDescent="0.25">
      <c r="A189" s="120"/>
      <c r="B189" s="120"/>
      <c r="C189" s="120"/>
      <c r="D189" s="120"/>
      <c r="E189" s="120"/>
      <c r="F189" s="120"/>
      <c r="G189" s="120"/>
      <c r="H189" s="120"/>
      <c r="I189" s="181"/>
      <c r="J189" s="120"/>
      <c r="K189" s="120"/>
      <c r="L189" s="120"/>
      <c r="M189" s="120"/>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c r="AI189" s="120"/>
      <c r="AJ189" s="120"/>
    </row>
    <row r="190" spans="1:36" s="124" customFormat="1" ht="18" customHeight="1" x14ac:dyDescent="0.25">
      <c r="A190" s="120"/>
      <c r="B190" s="120"/>
      <c r="C190" s="120"/>
      <c r="D190" s="120"/>
      <c r="E190" s="120"/>
      <c r="F190" s="120"/>
      <c r="G190" s="120"/>
      <c r="H190" s="120"/>
      <c r="I190" s="181"/>
      <c r="J190" s="120"/>
      <c r="K190" s="120"/>
      <c r="L190" s="120"/>
      <c r="M190" s="120"/>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c r="AI190" s="120"/>
      <c r="AJ190" s="120"/>
    </row>
    <row r="191" spans="1:36" s="124" customFormat="1" ht="18" customHeight="1" x14ac:dyDescent="0.25">
      <c r="A191" s="120"/>
      <c r="B191" s="120"/>
      <c r="C191" s="120"/>
      <c r="D191" s="120"/>
      <c r="E191" s="120"/>
      <c r="F191" s="120"/>
      <c r="G191" s="120"/>
      <c r="H191" s="120"/>
      <c r="I191" s="181"/>
      <c r="J191" s="120"/>
      <c r="K191" s="120"/>
      <c r="L191" s="120"/>
      <c r="M191" s="120"/>
      <c r="N191" s="120"/>
      <c r="O191" s="120"/>
      <c r="P191" s="120"/>
      <c r="Q191" s="120"/>
      <c r="R191" s="120"/>
      <c r="S191" s="120"/>
      <c r="T191" s="120"/>
      <c r="U191" s="120"/>
      <c r="V191" s="120"/>
      <c r="W191" s="120"/>
      <c r="X191" s="120"/>
      <c r="Y191" s="120"/>
      <c r="Z191" s="120"/>
      <c r="AA191" s="120"/>
      <c r="AB191" s="120"/>
      <c r="AC191" s="120"/>
      <c r="AD191" s="120"/>
      <c r="AE191" s="120"/>
      <c r="AF191" s="120"/>
      <c r="AG191" s="120"/>
      <c r="AH191" s="120"/>
      <c r="AI191" s="120"/>
      <c r="AJ191" s="120"/>
    </row>
    <row r="192" spans="1:36" s="124" customFormat="1" ht="18" customHeight="1" x14ac:dyDescent="0.25">
      <c r="A192" s="120"/>
      <c r="B192" s="120"/>
      <c r="C192" s="120"/>
      <c r="D192" s="120"/>
      <c r="E192" s="120"/>
      <c r="F192" s="120"/>
      <c r="G192" s="120"/>
      <c r="H192" s="120"/>
      <c r="I192" s="181"/>
      <c r="J192" s="120"/>
      <c r="K192" s="120"/>
      <c r="L192" s="120"/>
      <c r="M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c r="AI192" s="120"/>
      <c r="AJ192" s="120"/>
    </row>
    <row r="193" spans="1:36" s="124" customFormat="1" ht="18" customHeight="1" x14ac:dyDescent="0.25">
      <c r="A193" s="120"/>
      <c r="B193" s="120"/>
      <c r="C193" s="120"/>
      <c r="D193" s="120"/>
      <c r="E193" s="120"/>
      <c r="F193" s="120"/>
      <c r="G193" s="120"/>
      <c r="H193" s="120"/>
      <c r="I193" s="181"/>
      <c r="J193" s="120"/>
      <c r="K193" s="120"/>
      <c r="L193" s="120"/>
      <c r="M193" s="120"/>
      <c r="N193" s="120"/>
      <c r="O193" s="120"/>
      <c r="P193" s="120"/>
      <c r="Q193" s="120"/>
      <c r="R193" s="120"/>
      <c r="S193" s="120"/>
      <c r="T193" s="120"/>
      <c r="U193" s="120"/>
      <c r="V193" s="120"/>
      <c r="W193" s="120"/>
      <c r="X193" s="120"/>
      <c r="Y193" s="120"/>
      <c r="Z193" s="120"/>
      <c r="AA193" s="120"/>
      <c r="AB193" s="120"/>
      <c r="AC193" s="120"/>
      <c r="AD193" s="120"/>
      <c r="AE193" s="120"/>
      <c r="AF193" s="120"/>
      <c r="AG193" s="120"/>
      <c r="AH193" s="120"/>
      <c r="AI193" s="120"/>
      <c r="AJ193" s="120"/>
    </row>
    <row r="194" spans="1:36" s="124" customFormat="1" ht="18" customHeight="1" x14ac:dyDescent="0.25">
      <c r="A194" s="120"/>
      <c r="B194" s="120"/>
      <c r="C194" s="120"/>
      <c r="D194" s="120"/>
      <c r="E194" s="120"/>
      <c r="F194" s="120"/>
      <c r="G194" s="120"/>
      <c r="H194" s="120"/>
      <c r="I194" s="181"/>
      <c r="J194" s="120"/>
      <c r="K194" s="120"/>
      <c r="L194" s="120"/>
      <c r="M194" s="120"/>
      <c r="N194" s="120"/>
      <c r="O194" s="120"/>
      <c r="P194" s="120"/>
      <c r="Q194" s="120"/>
      <c r="R194" s="120"/>
      <c r="S194" s="120"/>
      <c r="T194" s="120"/>
      <c r="U194" s="120"/>
      <c r="V194" s="120"/>
      <c r="W194" s="120"/>
      <c r="X194" s="120"/>
      <c r="Y194" s="120"/>
      <c r="Z194" s="120"/>
      <c r="AA194" s="120"/>
      <c r="AB194" s="120"/>
      <c r="AC194" s="120"/>
      <c r="AD194" s="120"/>
      <c r="AE194" s="120"/>
      <c r="AF194" s="120"/>
      <c r="AG194" s="120"/>
      <c r="AH194" s="120"/>
      <c r="AI194" s="120"/>
      <c r="AJ194" s="120"/>
    </row>
    <row r="195" spans="1:36" s="124" customFormat="1" ht="18" customHeight="1" x14ac:dyDescent="0.25">
      <c r="A195" s="120"/>
      <c r="B195" s="120"/>
      <c r="C195" s="120"/>
      <c r="D195" s="120"/>
      <c r="E195" s="120"/>
      <c r="F195" s="120"/>
      <c r="G195" s="120"/>
      <c r="H195" s="120"/>
      <c r="I195" s="181"/>
      <c r="J195" s="120"/>
      <c r="K195" s="120"/>
      <c r="L195" s="120"/>
      <c r="M195" s="120"/>
      <c r="N195" s="120"/>
      <c r="O195" s="120"/>
      <c r="P195" s="120"/>
      <c r="Q195" s="120"/>
      <c r="R195" s="120"/>
      <c r="S195" s="120"/>
      <c r="T195" s="120"/>
      <c r="U195" s="120"/>
      <c r="V195" s="120"/>
      <c r="W195" s="120"/>
      <c r="X195" s="120"/>
      <c r="Y195" s="120"/>
      <c r="Z195" s="120"/>
      <c r="AA195" s="120"/>
      <c r="AB195" s="120"/>
      <c r="AC195" s="120"/>
      <c r="AD195" s="120"/>
      <c r="AE195" s="120"/>
      <c r="AF195" s="120"/>
      <c r="AG195" s="120"/>
      <c r="AH195" s="120"/>
      <c r="AI195" s="120"/>
      <c r="AJ195" s="120"/>
    </row>
    <row r="196" spans="1:36" s="124" customFormat="1" ht="18" customHeight="1" x14ac:dyDescent="0.25">
      <c r="A196" s="120"/>
      <c r="B196" s="120"/>
      <c r="C196" s="120"/>
      <c r="D196" s="120"/>
      <c r="E196" s="120"/>
      <c r="F196" s="120"/>
      <c r="G196" s="120"/>
      <c r="H196" s="120"/>
      <c r="I196" s="181"/>
      <c r="J196" s="120"/>
      <c r="K196" s="120"/>
      <c r="L196" s="120"/>
      <c r="M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c r="AJ196" s="120"/>
    </row>
    <row r="197" spans="1:36" s="124" customFormat="1" ht="18" customHeight="1" x14ac:dyDescent="0.25">
      <c r="A197" s="120"/>
      <c r="B197" s="120"/>
      <c r="C197" s="120"/>
      <c r="D197" s="120"/>
      <c r="E197" s="120"/>
      <c r="F197" s="120"/>
      <c r="G197" s="120"/>
      <c r="H197" s="120"/>
      <c r="I197" s="181"/>
      <c r="J197" s="120"/>
      <c r="K197" s="120"/>
      <c r="L197" s="120"/>
      <c r="M197" s="120"/>
      <c r="N197" s="120"/>
      <c r="O197" s="120"/>
      <c r="P197" s="120"/>
      <c r="Q197" s="120"/>
      <c r="R197" s="120"/>
      <c r="S197" s="120"/>
      <c r="T197" s="120"/>
      <c r="U197" s="120"/>
      <c r="V197" s="120"/>
      <c r="W197" s="120"/>
      <c r="X197" s="120"/>
      <c r="Y197" s="120"/>
      <c r="Z197" s="120"/>
      <c r="AA197" s="120"/>
      <c r="AB197" s="120"/>
      <c r="AC197" s="120"/>
      <c r="AD197" s="120"/>
      <c r="AE197" s="120"/>
      <c r="AF197" s="120"/>
      <c r="AG197" s="120"/>
      <c r="AH197" s="120"/>
      <c r="AI197" s="120"/>
      <c r="AJ197" s="120"/>
    </row>
    <row r="198" spans="1:36" s="124" customFormat="1" ht="18" customHeight="1" x14ac:dyDescent="0.25">
      <c r="A198" s="120"/>
      <c r="B198" s="120"/>
      <c r="C198" s="120"/>
      <c r="D198" s="120"/>
      <c r="E198" s="120"/>
      <c r="F198" s="120"/>
      <c r="G198" s="120"/>
      <c r="H198" s="120"/>
      <c r="I198" s="181"/>
      <c r="J198" s="120"/>
      <c r="K198" s="120"/>
      <c r="L198" s="120"/>
      <c r="M198" s="120"/>
      <c r="N198" s="120"/>
      <c r="O198" s="120"/>
      <c r="P198" s="120"/>
      <c r="Q198" s="120"/>
      <c r="R198" s="120"/>
      <c r="S198" s="120"/>
      <c r="T198" s="120"/>
      <c r="U198" s="120"/>
      <c r="V198" s="120"/>
      <c r="W198" s="120"/>
      <c r="X198" s="120"/>
      <c r="Y198" s="120"/>
      <c r="Z198" s="120"/>
      <c r="AA198" s="120"/>
      <c r="AB198" s="120"/>
      <c r="AC198" s="120"/>
      <c r="AD198" s="120"/>
      <c r="AE198" s="120"/>
      <c r="AF198" s="120"/>
      <c r="AG198" s="120"/>
      <c r="AH198" s="120"/>
      <c r="AI198" s="120"/>
      <c r="AJ198" s="120"/>
    </row>
    <row r="199" spans="1:36" s="124" customFormat="1" ht="18" customHeight="1" x14ac:dyDescent="0.25">
      <c r="A199" s="120"/>
      <c r="B199" s="120"/>
      <c r="C199" s="120"/>
      <c r="D199" s="120"/>
      <c r="E199" s="120"/>
      <c r="F199" s="120"/>
      <c r="G199" s="120"/>
      <c r="H199" s="120"/>
      <c r="I199" s="181"/>
      <c r="J199" s="120"/>
      <c r="K199" s="120"/>
      <c r="L199" s="120"/>
      <c r="M199" s="120"/>
      <c r="N199" s="120"/>
      <c r="O199" s="120"/>
      <c r="P199" s="120"/>
      <c r="Q199" s="120"/>
      <c r="R199" s="120"/>
      <c r="S199" s="120"/>
      <c r="T199" s="120"/>
      <c r="U199" s="120"/>
      <c r="V199" s="120"/>
      <c r="W199" s="120"/>
      <c r="X199" s="120"/>
      <c r="Y199" s="120"/>
      <c r="Z199" s="120"/>
      <c r="AA199" s="120"/>
      <c r="AB199" s="120"/>
      <c r="AC199" s="120"/>
      <c r="AD199" s="120"/>
      <c r="AE199" s="120"/>
      <c r="AF199" s="120"/>
      <c r="AG199" s="120"/>
      <c r="AH199" s="120"/>
      <c r="AI199" s="120"/>
      <c r="AJ199" s="120"/>
    </row>
    <row r="200" spans="1:36" s="124" customFormat="1" ht="18" customHeight="1" x14ac:dyDescent="0.25">
      <c r="A200" s="120"/>
      <c r="B200" s="120"/>
      <c r="C200" s="120"/>
      <c r="D200" s="120"/>
      <c r="E200" s="120"/>
      <c r="F200" s="120"/>
      <c r="G200" s="120"/>
      <c r="H200" s="120"/>
      <c r="I200" s="181"/>
      <c r="J200" s="120"/>
      <c r="K200" s="120"/>
      <c r="L200" s="120"/>
      <c r="M200" s="120"/>
      <c r="N200" s="120"/>
      <c r="O200" s="120"/>
      <c r="P200" s="120"/>
      <c r="Q200" s="120"/>
      <c r="R200" s="120"/>
      <c r="S200" s="120"/>
      <c r="T200" s="120"/>
      <c r="U200" s="120"/>
      <c r="V200" s="120"/>
      <c r="W200" s="120"/>
      <c r="X200" s="120"/>
      <c r="Y200" s="120"/>
      <c r="Z200" s="120"/>
      <c r="AA200" s="120"/>
      <c r="AB200" s="120"/>
      <c r="AC200" s="120"/>
      <c r="AD200" s="120"/>
      <c r="AE200" s="120"/>
      <c r="AF200" s="120"/>
      <c r="AG200" s="120"/>
      <c r="AH200" s="120"/>
      <c r="AI200" s="120"/>
      <c r="AJ200" s="120"/>
    </row>
    <row r="201" spans="1:36" s="124" customFormat="1" ht="18" customHeight="1" x14ac:dyDescent="0.25">
      <c r="A201" s="120"/>
      <c r="B201" s="120"/>
      <c r="C201" s="120"/>
      <c r="D201" s="120"/>
      <c r="E201" s="120"/>
      <c r="F201" s="120"/>
      <c r="G201" s="120"/>
      <c r="H201" s="120"/>
      <c r="I201" s="181"/>
      <c r="J201" s="120"/>
      <c r="K201" s="120"/>
      <c r="L201" s="120"/>
      <c r="M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row>
    <row r="202" spans="1:36" s="124" customFormat="1" ht="18" customHeight="1" x14ac:dyDescent="0.25">
      <c r="A202" s="120"/>
      <c r="B202" s="120"/>
      <c r="C202" s="120"/>
      <c r="D202" s="120"/>
      <c r="E202" s="120"/>
      <c r="F202" s="120"/>
      <c r="G202" s="120"/>
      <c r="H202" s="120"/>
      <c r="I202" s="181"/>
      <c r="J202" s="120"/>
      <c r="K202" s="120"/>
      <c r="L202" s="120"/>
      <c r="M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c r="AJ202" s="120"/>
    </row>
    <row r="203" spans="1:36" s="124" customFormat="1" ht="18" customHeight="1" x14ac:dyDescent="0.25">
      <c r="A203" s="120"/>
      <c r="B203" s="120"/>
      <c r="C203" s="120"/>
      <c r="D203" s="120"/>
      <c r="E203" s="120"/>
      <c r="F203" s="120"/>
      <c r="G203" s="120"/>
      <c r="H203" s="120"/>
      <c r="I203" s="181"/>
      <c r="J203" s="120"/>
      <c r="K203" s="120"/>
      <c r="L203" s="120"/>
      <c r="M203" s="120"/>
      <c r="N203" s="120"/>
      <c r="O203" s="120"/>
      <c r="P203" s="120"/>
      <c r="Q203" s="120"/>
      <c r="R203" s="120"/>
      <c r="S203" s="120"/>
      <c r="T203" s="120"/>
      <c r="U203" s="120"/>
      <c r="V203" s="120"/>
      <c r="W203" s="120"/>
      <c r="X203" s="120"/>
      <c r="Y203" s="120"/>
      <c r="Z203" s="120"/>
      <c r="AA203" s="120"/>
      <c r="AB203" s="120"/>
      <c r="AC203" s="120"/>
      <c r="AD203" s="120"/>
      <c r="AE203" s="120"/>
      <c r="AF203" s="120"/>
      <c r="AG203" s="120"/>
      <c r="AH203" s="120"/>
      <c r="AI203" s="120"/>
      <c r="AJ203" s="120"/>
    </row>
    <row r="204" spans="1:36" s="124" customFormat="1" ht="18" customHeight="1" x14ac:dyDescent="0.25">
      <c r="A204" s="120"/>
      <c r="B204" s="120"/>
      <c r="C204" s="120"/>
      <c r="D204" s="120"/>
      <c r="E204" s="120"/>
      <c r="F204" s="120"/>
      <c r="G204" s="120"/>
      <c r="H204" s="120"/>
      <c r="I204" s="181"/>
      <c r="J204" s="120"/>
      <c r="K204" s="120"/>
      <c r="L204" s="120"/>
      <c r="M204" s="120"/>
      <c r="N204" s="120"/>
      <c r="O204" s="120"/>
      <c r="P204" s="120"/>
      <c r="Q204" s="120"/>
      <c r="R204" s="120"/>
      <c r="S204" s="120"/>
      <c r="T204" s="120"/>
      <c r="U204" s="120"/>
      <c r="V204" s="120"/>
      <c r="W204" s="120"/>
      <c r="X204" s="120"/>
      <c r="Y204" s="120"/>
      <c r="Z204" s="120"/>
      <c r="AA204" s="120"/>
      <c r="AB204" s="120"/>
      <c r="AC204" s="120"/>
      <c r="AD204" s="120"/>
      <c r="AE204" s="120"/>
      <c r="AF204" s="120"/>
      <c r="AG204" s="120"/>
      <c r="AH204" s="120"/>
      <c r="AI204" s="120"/>
      <c r="AJ204" s="120"/>
    </row>
    <row r="205" spans="1:36" s="124" customFormat="1" ht="18" customHeight="1" x14ac:dyDescent="0.25">
      <c r="A205" s="120"/>
      <c r="B205" s="120"/>
      <c r="C205" s="120"/>
      <c r="D205" s="120"/>
      <c r="E205" s="120"/>
      <c r="F205" s="120"/>
      <c r="G205" s="120"/>
      <c r="H205" s="120"/>
      <c r="I205" s="181"/>
      <c r="J205" s="120"/>
      <c r="K205" s="120"/>
      <c r="L205" s="120"/>
      <c r="M205" s="120"/>
      <c r="N205" s="120"/>
      <c r="O205" s="120"/>
      <c r="P205" s="120"/>
      <c r="Q205" s="120"/>
      <c r="R205" s="120"/>
      <c r="S205" s="120"/>
      <c r="T205" s="120"/>
      <c r="U205" s="120"/>
      <c r="V205" s="120"/>
      <c r="W205" s="120"/>
      <c r="X205" s="120"/>
      <c r="Y205" s="120"/>
      <c r="Z205" s="120"/>
      <c r="AA205" s="120"/>
      <c r="AB205" s="120"/>
      <c r="AC205" s="120"/>
      <c r="AD205" s="120"/>
      <c r="AE205" s="120"/>
      <c r="AF205" s="120"/>
      <c r="AG205" s="120"/>
      <c r="AH205" s="120"/>
      <c r="AI205" s="120"/>
      <c r="AJ205" s="120"/>
    </row>
    <row r="206" spans="1:36" s="124" customFormat="1" ht="18" customHeight="1" x14ac:dyDescent="0.25">
      <c r="A206" s="120"/>
      <c r="B206" s="120"/>
      <c r="C206" s="120"/>
      <c r="D206" s="120"/>
      <c r="E206" s="120"/>
      <c r="F206" s="120"/>
      <c r="G206" s="120"/>
      <c r="H206" s="120"/>
      <c r="I206" s="181"/>
      <c r="J206" s="120"/>
      <c r="K206" s="120"/>
      <c r="L206" s="120"/>
      <c r="M206" s="120"/>
      <c r="N206" s="120"/>
      <c r="O206" s="120"/>
      <c r="P206" s="120"/>
      <c r="Q206" s="120"/>
      <c r="R206" s="120"/>
      <c r="S206" s="120"/>
      <c r="T206" s="120"/>
      <c r="U206" s="120"/>
      <c r="V206" s="120"/>
      <c r="W206" s="120"/>
      <c r="X206" s="120"/>
      <c r="Y206" s="120"/>
      <c r="Z206" s="120"/>
      <c r="AA206" s="120"/>
      <c r="AB206" s="120"/>
      <c r="AC206" s="120"/>
      <c r="AD206" s="120"/>
      <c r="AE206" s="120"/>
      <c r="AF206" s="120"/>
      <c r="AG206" s="120"/>
      <c r="AH206" s="120"/>
      <c r="AI206" s="120"/>
      <c r="AJ206" s="120"/>
    </row>
    <row r="207" spans="1:36" s="124" customFormat="1" ht="18" customHeight="1" x14ac:dyDescent="0.25">
      <c r="A207" s="120"/>
      <c r="B207" s="120"/>
      <c r="C207" s="120"/>
      <c r="D207" s="120"/>
      <c r="E207" s="120"/>
      <c r="F207" s="120"/>
      <c r="G207" s="120"/>
      <c r="H207" s="120"/>
      <c r="I207" s="181"/>
      <c r="J207" s="120"/>
      <c r="K207" s="120"/>
      <c r="L207" s="120"/>
      <c r="M207" s="120"/>
      <c r="N207" s="120"/>
      <c r="O207" s="120"/>
      <c r="P207" s="120"/>
      <c r="Q207" s="120"/>
      <c r="R207" s="120"/>
      <c r="S207" s="120"/>
      <c r="T207" s="120"/>
      <c r="U207" s="120"/>
      <c r="V207" s="120"/>
      <c r="W207" s="120"/>
      <c r="X207" s="120"/>
      <c r="Y207" s="120"/>
      <c r="Z207" s="120"/>
      <c r="AA207" s="120"/>
      <c r="AB207" s="120"/>
      <c r="AC207" s="120"/>
      <c r="AD207" s="120"/>
      <c r="AE207" s="120"/>
      <c r="AF207" s="120"/>
      <c r="AG207" s="120"/>
      <c r="AH207" s="120"/>
      <c r="AI207" s="120"/>
      <c r="AJ207" s="120"/>
    </row>
    <row r="208" spans="1:36" s="124" customFormat="1" ht="18" customHeight="1" x14ac:dyDescent="0.25">
      <c r="A208" s="120"/>
      <c r="B208" s="120"/>
      <c r="C208" s="120"/>
      <c r="D208" s="120"/>
      <c r="E208" s="120"/>
      <c r="F208" s="120"/>
      <c r="G208" s="120"/>
      <c r="H208" s="120"/>
      <c r="I208" s="181"/>
      <c r="J208" s="120"/>
      <c r="K208" s="120"/>
      <c r="L208" s="120"/>
      <c r="M208" s="120"/>
      <c r="N208" s="120"/>
      <c r="O208" s="120"/>
      <c r="P208" s="120"/>
      <c r="Q208" s="120"/>
      <c r="R208" s="120"/>
      <c r="S208" s="120"/>
      <c r="T208" s="120"/>
      <c r="U208" s="120"/>
      <c r="V208" s="120"/>
      <c r="W208" s="120"/>
      <c r="X208" s="120"/>
      <c r="Y208" s="120"/>
      <c r="Z208" s="120"/>
      <c r="AA208" s="120"/>
      <c r="AB208" s="120"/>
      <c r="AC208" s="120"/>
      <c r="AD208" s="120"/>
      <c r="AE208" s="120"/>
      <c r="AF208" s="120"/>
      <c r="AG208" s="120"/>
      <c r="AH208" s="120"/>
      <c r="AI208" s="120"/>
      <c r="AJ208" s="120"/>
    </row>
    <row r="209" spans="1:36" s="124" customFormat="1" ht="18" customHeight="1" x14ac:dyDescent="0.25">
      <c r="A209" s="120"/>
      <c r="B209" s="120"/>
      <c r="C209" s="120"/>
      <c r="D209" s="120"/>
      <c r="E209" s="120"/>
      <c r="F209" s="120"/>
      <c r="G209" s="120"/>
      <c r="H209" s="120"/>
      <c r="I209" s="181"/>
      <c r="J209" s="120"/>
      <c r="K209" s="120"/>
      <c r="L209" s="120"/>
      <c r="M209" s="120"/>
      <c r="N209" s="120"/>
      <c r="O209" s="120"/>
      <c r="P209" s="120"/>
      <c r="Q209" s="120"/>
      <c r="R209" s="120"/>
      <c r="S209" s="120"/>
      <c r="T209" s="120"/>
      <c r="U209" s="120"/>
      <c r="V209" s="120"/>
      <c r="W209" s="120"/>
      <c r="X209" s="120"/>
      <c r="Y209" s="120"/>
      <c r="Z209" s="120"/>
      <c r="AA209" s="120"/>
      <c r="AB209" s="120"/>
      <c r="AC209" s="120"/>
      <c r="AD209" s="120"/>
      <c r="AE209" s="120"/>
      <c r="AF209" s="120"/>
      <c r="AG209" s="120"/>
      <c r="AH209" s="120"/>
      <c r="AI209" s="120"/>
      <c r="AJ209" s="120"/>
    </row>
    <row r="210" spans="1:36" s="124" customFormat="1" ht="18" customHeight="1" x14ac:dyDescent="0.25">
      <c r="A210" s="120"/>
      <c r="B210" s="120"/>
      <c r="C210" s="120"/>
      <c r="D210" s="120"/>
      <c r="E210" s="120"/>
      <c r="F210" s="120"/>
      <c r="G210" s="120"/>
      <c r="H210" s="120"/>
      <c r="I210" s="181"/>
      <c r="J210" s="120"/>
      <c r="K210" s="120"/>
      <c r="L210" s="120"/>
      <c r="M210" s="120"/>
      <c r="N210" s="120"/>
      <c r="O210" s="120"/>
      <c r="P210" s="120"/>
      <c r="Q210" s="120"/>
      <c r="R210" s="120"/>
      <c r="S210" s="120"/>
      <c r="T210" s="120"/>
      <c r="U210" s="120"/>
      <c r="V210" s="120"/>
      <c r="W210" s="120"/>
      <c r="X210" s="120"/>
      <c r="Y210" s="120"/>
      <c r="Z210" s="120"/>
      <c r="AA210" s="120"/>
      <c r="AB210" s="120"/>
      <c r="AC210" s="120"/>
      <c r="AD210" s="120"/>
      <c r="AE210" s="120"/>
      <c r="AF210" s="120"/>
      <c r="AG210" s="120"/>
      <c r="AH210" s="120"/>
      <c r="AI210" s="120"/>
      <c r="AJ210" s="120"/>
    </row>
    <row r="211" spans="1:36" s="124" customFormat="1" ht="18" customHeight="1" x14ac:dyDescent="0.25">
      <c r="A211" s="120"/>
      <c r="B211" s="120"/>
      <c r="C211" s="120"/>
      <c r="D211" s="120"/>
      <c r="E211" s="120"/>
      <c r="F211" s="120"/>
      <c r="G211" s="120"/>
      <c r="H211" s="120"/>
      <c r="I211" s="181"/>
      <c r="J211" s="120"/>
      <c r="K211" s="120"/>
      <c r="L211" s="120"/>
      <c r="M211" s="120"/>
      <c r="N211" s="120"/>
      <c r="O211" s="120"/>
      <c r="P211" s="120"/>
      <c r="Q211" s="120"/>
      <c r="R211" s="120"/>
      <c r="S211" s="120"/>
      <c r="T211" s="120"/>
      <c r="U211" s="120"/>
      <c r="V211" s="120"/>
      <c r="W211" s="120"/>
      <c r="X211" s="120"/>
      <c r="Y211" s="120"/>
      <c r="Z211" s="120"/>
      <c r="AA211" s="120"/>
      <c r="AB211" s="120"/>
      <c r="AC211" s="120"/>
      <c r="AD211" s="120"/>
      <c r="AE211" s="120"/>
      <c r="AF211" s="120"/>
      <c r="AG211" s="120"/>
      <c r="AH211" s="120"/>
      <c r="AI211" s="120"/>
      <c r="AJ211" s="120"/>
    </row>
    <row r="212" spans="1:36" s="124" customFormat="1" ht="18" customHeight="1" x14ac:dyDescent="0.25">
      <c r="A212" s="120"/>
      <c r="B212" s="120"/>
      <c r="C212" s="120"/>
      <c r="D212" s="120"/>
      <c r="E212" s="120"/>
      <c r="F212" s="120"/>
      <c r="G212" s="120"/>
      <c r="H212" s="120"/>
      <c r="I212" s="181"/>
      <c r="J212" s="120"/>
      <c r="K212" s="120"/>
      <c r="L212" s="120"/>
      <c r="M212" s="120"/>
      <c r="N212" s="120"/>
      <c r="O212" s="120"/>
      <c r="P212" s="120"/>
      <c r="Q212" s="120"/>
      <c r="R212" s="120"/>
      <c r="S212" s="120"/>
      <c r="T212" s="120"/>
      <c r="U212" s="120"/>
      <c r="V212" s="120"/>
      <c r="W212" s="120"/>
      <c r="X212" s="120"/>
      <c r="Y212" s="120"/>
      <c r="Z212" s="120"/>
      <c r="AA212" s="120"/>
      <c r="AB212" s="120"/>
      <c r="AC212" s="120"/>
      <c r="AD212" s="120"/>
      <c r="AE212" s="120"/>
      <c r="AF212" s="120"/>
      <c r="AG212" s="120"/>
      <c r="AH212" s="120"/>
      <c r="AI212" s="120"/>
      <c r="AJ212" s="120"/>
    </row>
    <row r="213" spans="1:36" s="124" customFormat="1" ht="18" customHeight="1" x14ac:dyDescent="0.25">
      <c r="A213" s="120"/>
      <c r="B213" s="120"/>
      <c r="C213" s="120"/>
      <c r="D213" s="120"/>
      <c r="E213" s="120"/>
      <c r="F213" s="120"/>
      <c r="G213" s="120"/>
      <c r="H213" s="120"/>
      <c r="I213" s="181"/>
      <c r="J213" s="120"/>
      <c r="K213" s="120"/>
      <c r="L213" s="120"/>
      <c r="M213" s="120"/>
      <c r="N213" s="120"/>
      <c r="O213" s="120"/>
      <c r="P213" s="120"/>
      <c r="Q213" s="120"/>
      <c r="R213" s="120"/>
      <c r="S213" s="120"/>
      <c r="T213" s="120"/>
      <c r="U213" s="120"/>
      <c r="V213" s="120"/>
      <c r="W213" s="120"/>
      <c r="X213" s="120"/>
      <c r="Y213" s="120"/>
      <c r="Z213" s="120"/>
      <c r="AA213" s="120"/>
      <c r="AB213" s="120"/>
      <c r="AC213" s="120"/>
      <c r="AD213" s="120"/>
      <c r="AE213" s="120"/>
      <c r="AF213" s="120"/>
      <c r="AG213" s="120"/>
      <c r="AH213" s="120"/>
      <c r="AI213" s="120"/>
      <c r="AJ213" s="120"/>
    </row>
    <row r="214" spans="1:36" s="124" customFormat="1" ht="18" customHeight="1" x14ac:dyDescent="0.25">
      <c r="A214" s="120"/>
      <c r="B214" s="120"/>
      <c r="C214" s="120"/>
      <c r="D214" s="120"/>
      <c r="E214" s="120"/>
      <c r="F214" s="120"/>
      <c r="G214" s="120"/>
      <c r="H214" s="120"/>
      <c r="I214" s="181"/>
      <c r="J214" s="120"/>
      <c r="K214" s="120"/>
      <c r="L214" s="120"/>
      <c r="M214" s="120"/>
      <c r="N214" s="120"/>
      <c r="O214" s="120"/>
      <c r="P214" s="120"/>
      <c r="Q214" s="120"/>
      <c r="R214" s="120"/>
      <c r="S214" s="120"/>
      <c r="T214" s="120"/>
      <c r="U214" s="120"/>
      <c r="V214" s="120"/>
      <c r="W214" s="120"/>
      <c r="X214" s="120"/>
      <c r="Y214" s="120"/>
      <c r="Z214" s="120"/>
      <c r="AA214" s="120"/>
      <c r="AB214" s="120"/>
      <c r="AC214" s="120"/>
      <c r="AD214" s="120"/>
      <c r="AE214" s="120"/>
      <c r="AF214" s="120"/>
      <c r="AG214" s="120"/>
      <c r="AH214" s="120"/>
      <c r="AI214" s="120"/>
      <c r="AJ214" s="120"/>
    </row>
    <row r="215" spans="1:36" s="124" customFormat="1" ht="18" customHeight="1" x14ac:dyDescent="0.25">
      <c r="A215" s="120"/>
      <c r="B215" s="120"/>
      <c r="C215" s="120"/>
      <c r="D215" s="120"/>
      <c r="E215" s="120"/>
      <c r="F215" s="120"/>
      <c r="G215" s="120"/>
      <c r="H215" s="120"/>
      <c r="I215" s="181"/>
      <c r="J215" s="120"/>
      <c r="K215" s="120"/>
      <c r="L215" s="120"/>
      <c r="M215" s="120"/>
      <c r="N215" s="120"/>
      <c r="O215" s="120"/>
      <c r="P215" s="120"/>
      <c r="Q215" s="120"/>
      <c r="R215" s="120"/>
      <c r="S215" s="120"/>
      <c r="T215" s="120"/>
      <c r="U215" s="120"/>
      <c r="V215" s="120"/>
      <c r="W215" s="120"/>
      <c r="X215" s="120"/>
      <c r="Y215" s="120"/>
      <c r="Z215" s="120"/>
      <c r="AA215" s="120"/>
      <c r="AB215" s="120"/>
      <c r="AC215" s="120"/>
      <c r="AD215" s="120"/>
      <c r="AE215" s="120"/>
      <c r="AF215" s="120"/>
      <c r="AG215" s="120"/>
      <c r="AH215" s="120"/>
      <c r="AI215" s="120"/>
      <c r="AJ215" s="120"/>
    </row>
    <row r="216" spans="1:36" s="124" customFormat="1" ht="18" customHeight="1" x14ac:dyDescent="0.25">
      <c r="A216" s="120"/>
      <c r="B216" s="120"/>
      <c r="C216" s="120"/>
      <c r="D216" s="120"/>
      <c r="E216" s="120"/>
      <c r="F216" s="120"/>
      <c r="G216" s="120"/>
      <c r="H216" s="120"/>
      <c r="I216" s="181"/>
      <c r="J216" s="120"/>
      <c r="K216" s="120"/>
      <c r="L216" s="120"/>
      <c r="M216" s="120"/>
      <c r="N216" s="120"/>
      <c r="O216" s="120"/>
      <c r="P216" s="120"/>
      <c r="Q216" s="120"/>
      <c r="R216" s="120"/>
      <c r="S216" s="120"/>
      <c r="T216" s="120"/>
      <c r="U216" s="120"/>
      <c r="V216" s="120"/>
      <c r="W216" s="120"/>
      <c r="X216" s="120"/>
      <c r="Y216" s="120"/>
      <c r="Z216" s="120"/>
      <c r="AA216" s="120"/>
      <c r="AB216" s="120"/>
      <c r="AC216" s="120"/>
      <c r="AD216" s="120"/>
      <c r="AE216" s="120"/>
      <c r="AF216" s="120"/>
      <c r="AG216" s="120"/>
      <c r="AH216" s="120"/>
      <c r="AI216" s="120"/>
      <c r="AJ216" s="120"/>
    </row>
    <row r="217" spans="1:36" s="124" customFormat="1" ht="18" customHeight="1" x14ac:dyDescent="0.25">
      <c r="A217" s="120"/>
      <c r="B217" s="120"/>
      <c r="C217" s="120"/>
      <c r="D217" s="120"/>
      <c r="E217" s="120"/>
      <c r="F217" s="120"/>
      <c r="G217" s="120"/>
      <c r="H217" s="120"/>
      <c r="I217" s="181"/>
      <c r="J217" s="120"/>
      <c r="K217" s="120"/>
      <c r="L217" s="120"/>
      <c r="M217" s="120"/>
      <c r="N217" s="120"/>
      <c r="O217" s="120"/>
      <c r="P217" s="120"/>
      <c r="Q217" s="120"/>
      <c r="R217" s="120"/>
      <c r="S217" s="120"/>
      <c r="T217" s="120"/>
      <c r="U217" s="120"/>
      <c r="V217" s="120"/>
      <c r="W217" s="120"/>
      <c r="X217" s="120"/>
      <c r="Y217" s="120"/>
      <c r="Z217" s="120"/>
      <c r="AA217" s="120"/>
      <c r="AB217" s="120"/>
      <c r="AC217" s="120"/>
      <c r="AD217" s="120"/>
      <c r="AE217" s="120"/>
      <c r="AF217" s="120"/>
      <c r="AG217" s="120"/>
      <c r="AH217" s="120"/>
      <c r="AI217" s="120"/>
      <c r="AJ217" s="120"/>
    </row>
    <row r="218" spans="1:36" s="124" customFormat="1" ht="18" customHeight="1" x14ac:dyDescent="0.25">
      <c r="A218" s="120"/>
      <c r="B218" s="120"/>
      <c r="C218" s="120"/>
      <c r="D218" s="120"/>
      <c r="E218" s="120"/>
      <c r="F218" s="120"/>
      <c r="G218" s="120"/>
      <c r="H218" s="120"/>
      <c r="I218" s="181"/>
      <c r="J218" s="120"/>
      <c r="K218" s="120"/>
      <c r="L218" s="120"/>
      <c r="M218" s="120"/>
      <c r="N218" s="120"/>
      <c r="O218" s="120"/>
      <c r="P218" s="120"/>
      <c r="Q218" s="120"/>
      <c r="R218" s="120"/>
      <c r="S218" s="120"/>
      <c r="T218" s="120"/>
      <c r="U218" s="120"/>
      <c r="V218" s="120"/>
      <c r="W218" s="120"/>
      <c r="X218" s="120"/>
      <c r="Y218" s="120"/>
      <c r="Z218" s="120"/>
      <c r="AA218" s="120"/>
      <c r="AB218" s="120"/>
      <c r="AC218" s="120"/>
      <c r="AD218" s="120"/>
      <c r="AE218" s="120"/>
      <c r="AF218" s="120"/>
      <c r="AG218" s="120"/>
      <c r="AH218" s="120"/>
      <c r="AI218" s="120"/>
      <c r="AJ218" s="120"/>
    </row>
    <row r="219" spans="1:36" s="124" customFormat="1" ht="18" customHeight="1" x14ac:dyDescent="0.25">
      <c r="A219" s="120"/>
      <c r="B219" s="120"/>
      <c r="C219" s="120"/>
      <c r="D219" s="120"/>
      <c r="E219" s="120"/>
      <c r="F219" s="120"/>
      <c r="G219" s="120"/>
      <c r="H219" s="120"/>
      <c r="I219" s="181"/>
      <c r="J219" s="120"/>
      <c r="K219" s="120"/>
      <c r="L219" s="120"/>
      <c r="M219" s="120"/>
      <c r="N219" s="120"/>
      <c r="O219" s="120"/>
      <c r="P219" s="120"/>
      <c r="Q219" s="120"/>
      <c r="R219" s="120"/>
      <c r="S219" s="120"/>
      <c r="T219" s="120"/>
      <c r="U219" s="120"/>
      <c r="V219" s="120"/>
      <c r="W219" s="120"/>
      <c r="X219" s="120"/>
      <c r="Y219" s="120"/>
      <c r="Z219" s="120"/>
      <c r="AA219" s="120"/>
      <c r="AB219" s="120"/>
      <c r="AC219" s="120"/>
      <c r="AD219" s="120"/>
      <c r="AE219" s="120"/>
      <c r="AF219" s="120"/>
      <c r="AG219" s="120"/>
      <c r="AH219" s="120"/>
      <c r="AI219" s="120"/>
      <c r="AJ219" s="120"/>
    </row>
    <row r="220" spans="1:36" s="124" customFormat="1" ht="18" customHeight="1" x14ac:dyDescent="0.25">
      <c r="A220" s="120"/>
      <c r="B220" s="120"/>
      <c r="C220" s="120"/>
      <c r="D220" s="120"/>
      <c r="E220" s="120"/>
      <c r="F220" s="120"/>
      <c r="G220" s="120"/>
      <c r="H220" s="120"/>
      <c r="I220" s="181"/>
      <c r="J220" s="120"/>
      <c r="K220" s="120"/>
      <c r="L220" s="120"/>
      <c r="M220" s="120"/>
      <c r="N220" s="120"/>
      <c r="O220" s="120"/>
      <c r="P220" s="120"/>
      <c r="Q220" s="120"/>
      <c r="R220" s="120"/>
      <c r="S220" s="120"/>
      <c r="T220" s="120"/>
      <c r="U220" s="120"/>
      <c r="V220" s="120"/>
      <c r="W220" s="120"/>
      <c r="X220" s="120"/>
      <c r="Y220" s="120"/>
      <c r="Z220" s="120"/>
      <c r="AA220" s="120"/>
      <c r="AB220" s="120"/>
      <c r="AC220" s="120"/>
      <c r="AD220" s="120"/>
      <c r="AE220" s="120"/>
      <c r="AF220" s="120"/>
      <c r="AG220" s="120"/>
      <c r="AH220" s="120"/>
      <c r="AI220" s="120"/>
      <c r="AJ220" s="120"/>
    </row>
    <row r="221" spans="1:36" s="124" customFormat="1" ht="18" customHeight="1" x14ac:dyDescent="0.25">
      <c r="A221" s="120"/>
      <c r="B221" s="120"/>
      <c r="C221" s="120"/>
      <c r="D221" s="120"/>
      <c r="E221" s="120"/>
      <c r="F221" s="120"/>
      <c r="G221" s="120"/>
      <c r="H221" s="120"/>
      <c r="I221" s="181"/>
      <c r="J221" s="120"/>
      <c r="K221" s="120"/>
      <c r="L221" s="120"/>
      <c r="M221" s="120"/>
      <c r="N221" s="120"/>
      <c r="O221" s="120"/>
      <c r="P221" s="120"/>
      <c r="Q221" s="120"/>
      <c r="R221" s="120"/>
      <c r="S221" s="120"/>
      <c r="T221" s="120"/>
      <c r="U221" s="120"/>
      <c r="V221" s="120"/>
      <c r="W221" s="120"/>
      <c r="X221" s="120"/>
      <c r="Y221" s="120"/>
      <c r="Z221" s="120"/>
      <c r="AA221" s="120"/>
      <c r="AB221" s="120"/>
      <c r="AC221" s="120"/>
      <c r="AD221" s="120"/>
      <c r="AE221" s="120"/>
      <c r="AF221" s="120"/>
      <c r="AG221" s="120"/>
      <c r="AH221" s="120"/>
      <c r="AI221" s="120"/>
      <c r="AJ221" s="120"/>
    </row>
    <row r="222" spans="1:36" s="124" customFormat="1" ht="18" customHeight="1" x14ac:dyDescent="0.25">
      <c r="A222" s="120"/>
      <c r="B222" s="120"/>
      <c r="C222" s="120"/>
      <c r="D222" s="120"/>
      <c r="E222" s="120"/>
      <c r="F222" s="120"/>
      <c r="G222" s="120"/>
      <c r="H222" s="120"/>
      <c r="I222" s="181"/>
      <c r="J222" s="120"/>
      <c r="K222" s="120"/>
      <c r="L222" s="120"/>
      <c r="M222" s="120"/>
      <c r="N222" s="120"/>
      <c r="O222" s="120"/>
      <c r="P222" s="120"/>
      <c r="Q222" s="120"/>
      <c r="R222" s="120"/>
      <c r="S222" s="120"/>
      <c r="T222" s="120"/>
      <c r="U222" s="120"/>
      <c r="V222" s="120"/>
      <c r="W222" s="120"/>
      <c r="X222" s="120"/>
      <c r="Y222" s="120"/>
      <c r="Z222" s="120"/>
      <c r="AA222" s="120"/>
      <c r="AB222" s="120"/>
      <c r="AC222" s="120"/>
      <c r="AD222" s="120"/>
      <c r="AE222" s="120"/>
      <c r="AF222" s="120"/>
      <c r="AG222" s="120"/>
      <c r="AH222" s="120"/>
      <c r="AI222" s="120"/>
      <c r="AJ222" s="120"/>
    </row>
    <row r="223" spans="1:36" s="124" customFormat="1" ht="18" customHeight="1" x14ac:dyDescent="0.25">
      <c r="A223" s="120"/>
      <c r="B223" s="120"/>
      <c r="C223" s="120"/>
      <c r="D223" s="120"/>
      <c r="E223" s="120"/>
      <c r="F223" s="120"/>
      <c r="G223" s="120"/>
      <c r="H223" s="120"/>
      <c r="I223" s="181"/>
      <c r="J223" s="120"/>
      <c r="K223" s="120"/>
      <c r="L223" s="120"/>
      <c r="M223" s="120"/>
      <c r="N223" s="120"/>
      <c r="O223" s="120"/>
      <c r="P223" s="120"/>
      <c r="Q223" s="120"/>
      <c r="R223" s="120"/>
      <c r="S223" s="120"/>
      <c r="T223" s="120"/>
      <c r="U223" s="120"/>
      <c r="V223" s="120"/>
      <c r="W223" s="120"/>
      <c r="X223" s="120"/>
      <c r="Y223" s="120"/>
      <c r="Z223" s="120"/>
      <c r="AA223" s="120"/>
      <c r="AB223" s="120"/>
      <c r="AC223" s="120"/>
      <c r="AD223" s="120"/>
      <c r="AE223" s="120"/>
      <c r="AF223" s="120"/>
      <c r="AG223" s="120"/>
      <c r="AH223" s="120"/>
      <c r="AI223" s="120"/>
      <c r="AJ223" s="120"/>
    </row>
    <row r="224" spans="1:36" s="124" customFormat="1" ht="18" customHeight="1" x14ac:dyDescent="0.25">
      <c r="A224" s="120"/>
      <c r="B224" s="120"/>
      <c r="C224" s="120"/>
      <c r="D224" s="120"/>
      <c r="E224" s="120"/>
      <c r="F224" s="120"/>
      <c r="G224" s="120"/>
      <c r="H224" s="120"/>
      <c r="I224" s="181"/>
      <c r="J224" s="120"/>
      <c r="K224" s="120"/>
      <c r="L224" s="120"/>
      <c r="M224" s="120"/>
      <c r="N224" s="120"/>
      <c r="O224" s="120"/>
      <c r="P224" s="120"/>
      <c r="Q224" s="120"/>
      <c r="R224" s="120"/>
      <c r="S224" s="120"/>
      <c r="T224" s="120"/>
      <c r="U224" s="120"/>
      <c r="V224" s="120"/>
      <c r="W224" s="120"/>
      <c r="X224" s="120"/>
      <c r="Y224" s="120"/>
      <c r="Z224" s="120"/>
      <c r="AA224" s="120"/>
      <c r="AB224" s="120"/>
      <c r="AC224" s="120"/>
      <c r="AD224" s="120"/>
      <c r="AE224" s="120"/>
      <c r="AF224" s="120"/>
      <c r="AG224" s="120"/>
      <c r="AH224" s="120"/>
      <c r="AI224" s="120"/>
      <c r="AJ224" s="120"/>
    </row>
    <row r="225" spans="1:36" s="124" customFormat="1" ht="18" customHeight="1" x14ac:dyDescent="0.25">
      <c r="A225" s="120"/>
      <c r="B225" s="120"/>
      <c r="C225" s="120"/>
      <c r="D225" s="120"/>
      <c r="E225" s="120"/>
      <c r="F225" s="120"/>
      <c r="G225" s="120"/>
      <c r="H225" s="120"/>
      <c r="I225" s="181"/>
      <c r="J225" s="120"/>
      <c r="K225" s="120"/>
      <c r="L225" s="120"/>
      <c r="M225" s="120"/>
      <c r="N225" s="120"/>
      <c r="O225" s="120"/>
      <c r="P225" s="120"/>
      <c r="Q225" s="120"/>
      <c r="R225" s="120"/>
      <c r="S225" s="120"/>
      <c r="T225" s="120"/>
      <c r="U225" s="120"/>
      <c r="V225" s="120"/>
      <c r="W225" s="120"/>
      <c r="X225" s="120"/>
      <c r="Y225" s="120"/>
      <c r="Z225" s="120"/>
      <c r="AA225" s="120"/>
      <c r="AB225" s="120"/>
      <c r="AC225" s="120"/>
      <c r="AD225" s="120"/>
      <c r="AE225" s="120"/>
      <c r="AF225" s="120"/>
      <c r="AG225" s="120"/>
      <c r="AH225" s="120"/>
      <c r="AI225" s="120"/>
      <c r="AJ225" s="120"/>
    </row>
    <row r="226" spans="1:36" s="124" customFormat="1" ht="18" customHeight="1" x14ac:dyDescent="0.25">
      <c r="A226" s="120"/>
      <c r="B226" s="120"/>
      <c r="C226" s="120"/>
      <c r="D226" s="120"/>
      <c r="E226" s="120"/>
      <c r="F226" s="120"/>
      <c r="G226" s="120"/>
      <c r="H226" s="120"/>
      <c r="I226" s="181"/>
      <c r="J226" s="120"/>
      <c r="K226" s="120"/>
      <c r="L226" s="120"/>
      <c r="M226" s="120"/>
      <c r="N226" s="120"/>
      <c r="O226" s="120"/>
      <c r="P226" s="120"/>
      <c r="Q226" s="120"/>
      <c r="R226" s="120"/>
      <c r="S226" s="120"/>
      <c r="T226" s="120"/>
      <c r="U226" s="120"/>
      <c r="V226" s="120"/>
      <c r="W226" s="120"/>
      <c r="X226" s="120"/>
      <c r="Y226" s="120"/>
      <c r="Z226" s="120"/>
      <c r="AA226" s="120"/>
      <c r="AB226" s="120"/>
      <c r="AC226" s="120"/>
      <c r="AD226" s="120"/>
      <c r="AE226" s="120"/>
      <c r="AF226" s="120"/>
      <c r="AG226" s="120"/>
      <c r="AH226" s="120"/>
      <c r="AI226" s="120"/>
      <c r="AJ226" s="120"/>
    </row>
    <row r="227" spans="1:36" s="124" customFormat="1" ht="18" customHeight="1" x14ac:dyDescent="0.25">
      <c r="A227" s="120"/>
      <c r="B227" s="120"/>
      <c r="C227" s="120"/>
      <c r="D227" s="120"/>
      <c r="E227" s="120"/>
      <c r="F227" s="120"/>
      <c r="G227" s="120"/>
      <c r="H227" s="120"/>
      <c r="I227" s="181"/>
      <c r="J227" s="120"/>
      <c r="K227" s="120"/>
      <c r="L227" s="120"/>
      <c r="M227" s="120"/>
      <c r="N227" s="120"/>
      <c r="O227" s="120"/>
      <c r="P227" s="120"/>
      <c r="Q227" s="120"/>
      <c r="R227" s="120"/>
      <c r="S227" s="120"/>
      <c r="T227" s="120"/>
      <c r="U227" s="120"/>
      <c r="V227" s="120"/>
      <c r="W227" s="120"/>
      <c r="X227" s="120"/>
      <c r="Y227" s="120"/>
      <c r="Z227" s="120"/>
      <c r="AA227" s="120"/>
      <c r="AB227" s="120"/>
      <c r="AC227" s="120"/>
      <c r="AD227" s="120"/>
      <c r="AE227" s="120"/>
      <c r="AF227" s="120"/>
      <c r="AG227" s="120"/>
      <c r="AH227" s="120"/>
      <c r="AI227" s="120"/>
      <c r="AJ227" s="120"/>
    </row>
    <row r="228" spans="1:36" s="124" customFormat="1" ht="18" customHeight="1" x14ac:dyDescent="0.25">
      <c r="A228" s="120"/>
      <c r="B228" s="120"/>
      <c r="C228" s="120"/>
      <c r="D228" s="120"/>
      <c r="E228" s="120"/>
      <c r="F228" s="120"/>
      <c r="G228" s="120"/>
      <c r="H228" s="120"/>
      <c r="I228" s="181"/>
      <c r="J228" s="120"/>
      <c r="K228" s="120"/>
      <c r="L228" s="120"/>
      <c r="M228" s="120"/>
      <c r="N228" s="120"/>
      <c r="O228" s="120"/>
      <c r="P228" s="120"/>
      <c r="Q228" s="120"/>
      <c r="R228" s="120"/>
      <c r="S228" s="120"/>
      <c r="T228" s="120"/>
      <c r="U228" s="120"/>
      <c r="V228" s="120"/>
      <c r="W228" s="120"/>
      <c r="X228" s="120"/>
      <c r="Y228" s="120"/>
      <c r="Z228" s="120"/>
      <c r="AA228" s="120"/>
      <c r="AB228" s="120"/>
      <c r="AC228" s="120"/>
      <c r="AD228" s="120"/>
      <c r="AE228" s="120"/>
      <c r="AF228" s="120"/>
      <c r="AG228" s="120"/>
      <c r="AH228" s="120"/>
      <c r="AI228" s="120"/>
      <c r="AJ228" s="120"/>
    </row>
    <row r="229" spans="1:36" s="124" customFormat="1" ht="18" customHeight="1" x14ac:dyDescent="0.25">
      <c r="A229" s="120"/>
      <c r="B229" s="120"/>
      <c r="C229" s="120"/>
      <c r="D229" s="120"/>
      <c r="E229" s="120"/>
      <c r="F229" s="120"/>
      <c r="G229" s="120"/>
      <c r="H229" s="120"/>
      <c r="I229" s="181"/>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c r="AG229" s="120"/>
      <c r="AH229" s="120"/>
      <c r="AI229" s="120"/>
      <c r="AJ229" s="120"/>
    </row>
    <row r="230" spans="1:36" s="124" customFormat="1" ht="18" customHeight="1" x14ac:dyDescent="0.25">
      <c r="A230" s="120"/>
      <c r="B230" s="120"/>
      <c r="C230" s="120"/>
      <c r="D230" s="120"/>
      <c r="E230" s="120"/>
      <c r="F230" s="120"/>
      <c r="G230" s="120"/>
      <c r="H230" s="120"/>
      <c r="I230" s="181"/>
      <c r="J230" s="120"/>
      <c r="K230" s="120"/>
      <c r="L230" s="120"/>
      <c r="M230" s="120"/>
      <c r="N230" s="120"/>
      <c r="O230" s="120"/>
      <c r="P230" s="120"/>
      <c r="Q230" s="120"/>
      <c r="R230" s="120"/>
      <c r="S230" s="120"/>
      <c r="T230" s="120"/>
      <c r="U230" s="120"/>
      <c r="V230" s="120"/>
      <c r="W230" s="120"/>
      <c r="X230" s="120"/>
      <c r="Y230" s="120"/>
      <c r="Z230" s="120"/>
      <c r="AA230" s="120"/>
      <c r="AB230" s="120"/>
      <c r="AC230" s="120"/>
      <c r="AD230" s="120"/>
      <c r="AE230" s="120"/>
      <c r="AF230" s="120"/>
      <c r="AG230" s="120"/>
      <c r="AH230" s="120"/>
      <c r="AI230" s="120"/>
      <c r="AJ230" s="120"/>
    </row>
    <row r="231" spans="1:36" s="124" customFormat="1" ht="18" customHeight="1" x14ac:dyDescent="0.25">
      <c r="A231" s="120"/>
      <c r="B231" s="120"/>
      <c r="C231" s="120"/>
      <c r="D231" s="120"/>
      <c r="E231" s="120"/>
      <c r="F231" s="120"/>
      <c r="G231" s="120"/>
      <c r="H231" s="120"/>
      <c r="I231" s="181"/>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c r="AG231" s="120"/>
      <c r="AH231" s="120"/>
      <c r="AI231" s="120"/>
      <c r="AJ231" s="120"/>
    </row>
    <row r="232" spans="1:36" s="124" customFormat="1" ht="18" customHeight="1" x14ac:dyDescent="0.25">
      <c r="A232" s="120"/>
      <c r="B232" s="120"/>
      <c r="C232" s="120"/>
      <c r="D232" s="120"/>
      <c r="E232" s="120"/>
      <c r="F232" s="120"/>
      <c r="G232" s="120"/>
      <c r="H232" s="120"/>
      <c r="I232" s="181"/>
      <c r="J232" s="120"/>
      <c r="K232" s="120"/>
      <c r="L232" s="120"/>
      <c r="M232" s="120"/>
      <c r="N232" s="120"/>
      <c r="O232" s="120"/>
      <c r="P232" s="120"/>
      <c r="Q232" s="120"/>
      <c r="R232" s="120"/>
      <c r="S232" s="120"/>
      <c r="T232" s="120"/>
      <c r="U232" s="120"/>
      <c r="V232" s="120"/>
      <c r="W232" s="120"/>
      <c r="X232" s="120"/>
      <c r="Y232" s="120"/>
      <c r="Z232" s="120"/>
      <c r="AA232" s="120"/>
      <c r="AB232" s="120"/>
      <c r="AC232" s="120"/>
      <c r="AD232" s="120"/>
      <c r="AE232" s="120"/>
      <c r="AF232" s="120"/>
      <c r="AG232" s="120"/>
      <c r="AH232" s="120"/>
      <c r="AI232" s="120"/>
      <c r="AJ232" s="120"/>
    </row>
    <row r="233" spans="1:36" s="124" customFormat="1" ht="18" customHeight="1" x14ac:dyDescent="0.25">
      <c r="A233" s="120"/>
      <c r="B233" s="120"/>
      <c r="C233" s="120"/>
      <c r="D233" s="120"/>
      <c r="E233" s="120"/>
      <c r="F233" s="120"/>
      <c r="G233" s="120"/>
      <c r="H233" s="120"/>
      <c r="I233" s="181"/>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c r="AG233" s="120"/>
      <c r="AH233" s="120"/>
      <c r="AI233" s="120"/>
      <c r="AJ233" s="120"/>
    </row>
    <row r="234" spans="1:36" s="124" customFormat="1" ht="18" customHeight="1" x14ac:dyDescent="0.25">
      <c r="A234" s="120"/>
      <c r="B234" s="120"/>
      <c r="C234" s="120"/>
      <c r="D234" s="120"/>
      <c r="E234" s="120"/>
      <c r="F234" s="120"/>
      <c r="G234" s="120"/>
      <c r="H234" s="120"/>
      <c r="I234" s="181"/>
      <c r="J234" s="120"/>
      <c r="K234" s="120"/>
      <c r="L234" s="120"/>
      <c r="M234" s="120"/>
      <c r="N234" s="120"/>
      <c r="O234" s="120"/>
      <c r="P234" s="120"/>
      <c r="Q234" s="120"/>
      <c r="R234" s="120"/>
      <c r="S234" s="120"/>
      <c r="T234" s="120"/>
      <c r="U234" s="120"/>
      <c r="V234" s="120"/>
      <c r="W234" s="120"/>
      <c r="X234" s="120"/>
      <c r="Y234" s="120"/>
      <c r="Z234" s="120"/>
      <c r="AA234" s="120"/>
      <c r="AB234" s="120"/>
      <c r="AC234" s="120"/>
      <c r="AD234" s="120"/>
      <c r="AE234" s="120"/>
      <c r="AF234" s="120"/>
      <c r="AG234" s="120"/>
      <c r="AH234" s="120"/>
      <c r="AI234" s="120"/>
      <c r="AJ234" s="120"/>
    </row>
    <row r="235" spans="1:36" s="124" customFormat="1" ht="18" customHeight="1" x14ac:dyDescent="0.25">
      <c r="A235" s="120"/>
      <c r="B235" s="120"/>
      <c r="C235" s="120"/>
      <c r="D235" s="120"/>
      <c r="E235" s="120"/>
      <c r="F235" s="120"/>
      <c r="G235" s="120"/>
      <c r="H235" s="120"/>
      <c r="I235" s="181"/>
      <c r="J235" s="120"/>
      <c r="K235" s="120"/>
      <c r="L235" s="120"/>
      <c r="M235" s="120"/>
      <c r="N235" s="120"/>
      <c r="O235" s="120"/>
      <c r="P235" s="120"/>
      <c r="Q235" s="120"/>
      <c r="R235" s="120"/>
      <c r="S235" s="120"/>
      <c r="T235" s="120"/>
      <c r="U235" s="120"/>
      <c r="V235" s="120"/>
      <c r="W235" s="120"/>
      <c r="X235" s="120"/>
      <c r="Y235" s="120"/>
      <c r="Z235" s="120"/>
      <c r="AA235" s="120"/>
      <c r="AB235" s="120"/>
      <c r="AC235" s="120"/>
      <c r="AD235" s="120"/>
      <c r="AE235" s="120"/>
      <c r="AF235" s="120"/>
      <c r="AG235" s="120"/>
      <c r="AH235" s="120"/>
      <c r="AI235" s="120"/>
      <c r="AJ235" s="120"/>
    </row>
    <row r="236" spans="1:36" s="124" customFormat="1" ht="18" customHeight="1" x14ac:dyDescent="0.25">
      <c r="A236" s="120"/>
      <c r="B236" s="120"/>
      <c r="C236" s="120"/>
      <c r="D236" s="120"/>
      <c r="E236" s="120"/>
      <c r="F236" s="120"/>
      <c r="G236" s="120"/>
      <c r="H236" s="120"/>
      <c r="I236" s="181"/>
      <c r="J236" s="120"/>
      <c r="K236" s="120"/>
      <c r="L236" s="120"/>
      <c r="M236" s="120"/>
      <c r="N236" s="120"/>
      <c r="O236" s="120"/>
      <c r="P236" s="120"/>
      <c r="Q236" s="120"/>
      <c r="R236" s="120"/>
      <c r="S236" s="120"/>
      <c r="T236" s="120"/>
      <c r="U236" s="120"/>
      <c r="V236" s="120"/>
      <c r="W236" s="120"/>
      <c r="X236" s="120"/>
      <c r="Y236" s="120"/>
      <c r="Z236" s="120"/>
      <c r="AA236" s="120"/>
      <c r="AB236" s="120"/>
      <c r="AC236" s="120"/>
      <c r="AD236" s="120"/>
      <c r="AE236" s="120"/>
      <c r="AF236" s="120"/>
      <c r="AG236" s="120"/>
      <c r="AH236" s="120"/>
      <c r="AI236" s="120"/>
      <c r="AJ236" s="120"/>
    </row>
    <row r="237" spans="1:36" s="124" customFormat="1" ht="18" customHeight="1" x14ac:dyDescent="0.25">
      <c r="A237" s="120"/>
      <c r="B237" s="120"/>
      <c r="C237" s="120"/>
      <c r="D237" s="120"/>
      <c r="E237" s="120"/>
      <c r="F237" s="120"/>
      <c r="G237" s="120"/>
      <c r="H237" s="120"/>
      <c r="I237" s="181"/>
      <c r="J237" s="120"/>
      <c r="K237" s="120"/>
      <c r="L237" s="120"/>
      <c r="M237" s="120"/>
      <c r="N237" s="120"/>
      <c r="O237" s="120"/>
      <c r="P237" s="120"/>
      <c r="Q237" s="120"/>
      <c r="R237" s="120"/>
      <c r="S237" s="120"/>
      <c r="T237" s="120"/>
      <c r="U237" s="120"/>
      <c r="V237" s="120"/>
      <c r="W237" s="120"/>
      <c r="X237" s="120"/>
      <c r="Y237" s="120"/>
      <c r="Z237" s="120"/>
      <c r="AA237" s="120"/>
      <c r="AB237" s="120"/>
      <c r="AC237" s="120"/>
      <c r="AD237" s="120"/>
      <c r="AE237" s="120"/>
      <c r="AF237" s="120"/>
      <c r="AG237" s="120"/>
      <c r="AH237" s="120"/>
      <c r="AI237" s="120"/>
      <c r="AJ237" s="120"/>
    </row>
    <row r="238" spans="1:36" s="124" customFormat="1" ht="18" customHeight="1" x14ac:dyDescent="0.25">
      <c r="A238" s="120"/>
      <c r="B238" s="120"/>
      <c r="C238" s="120"/>
      <c r="D238" s="120"/>
      <c r="E238" s="120"/>
      <c r="F238" s="120"/>
      <c r="G238" s="120"/>
      <c r="H238" s="120"/>
      <c r="I238" s="181"/>
      <c r="J238" s="120"/>
      <c r="K238" s="120"/>
      <c r="L238" s="120"/>
      <c r="M238" s="120"/>
      <c r="N238" s="120"/>
      <c r="O238" s="120"/>
      <c r="P238" s="120"/>
      <c r="Q238" s="120"/>
      <c r="R238" s="120"/>
      <c r="S238" s="120"/>
      <c r="T238" s="120"/>
      <c r="U238" s="120"/>
      <c r="V238" s="120"/>
      <c r="W238" s="120"/>
      <c r="X238" s="120"/>
      <c r="Y238" s="120"/>
      <c r="Z238" s="120"/>
      <c r="AA238" s="120"/>
      <c r="AB238" s="120"/>
      <c r="AC238" s="120"/>
      <c r="AD238" s="120"/>
      <c r="AE238" s="120"/>
      <c r="AF238" s="120"/>
      <c r="AG238" s="120"/>
      <c r="AH238" s="120"/>
      <c r="AI238" s="120"/>
      <c r="AJ238" s="120"/>
    </row>
    <row r="239" spans="1:36" s="124" customFormat="1" ht="18" customHeight="1" x14ac:dyDescent="0.25">
      <c r="A239" s="120"/>
      <c r="B239" s="120"/>
      <c r="C239" s="120"/>
      <c r="D239" s="120"/>
      <c r="E239" s="120"/>
      <c r="F239" s="120"/>
      <c r="G239" s="120"/>
      <c r="H239" s="120"/>
      <c r="I239" s="181"/>
      <c r="J239" s="120"/>
      <c r="K239" s="120"/>
      <c r="L239" s="120"/>
      <c r="M239" s="120"/>
      <c r="N239" s="120"/>
      <c r="O239" s="120"/>
      <c r="P239" s="120"/>
      <c r="Q239" s="120"/>
      <c r="R239" s="120"/>
      <c r="S239" s="120"/>
      <c r="T239" s="120"/>
      <c r="U239" s="120"/>
      <c r="V239" s="120"/>
      <c r="W239" s="120"/>
      <c r="X239" s="120"/>
      <c r="Y239" s="120"/>
      <c r="Z239" s="120"/>
      <c r="AA239" s="120"/>
      <c r="AB239" s="120"/>
      <c r="AC239" s="120"/>
      <c r="AD239" s="120"/>
      <c r="AE239" s="120"/>
      <c r="AF239" s="120"/>
      <c r="AG239" s="120"/>
      <c r="AH239" s="120"/>
      <c r="AI239" s="120"/>
      <c r="AJ239" s="120"/>
    </row>
    <row r="240" spans="1:36" s="124" customFormat="1" ht="18" customHeight="1" x14ac:dyDescent="0.25">
      <c r="A240" s="120"/>
      <c r="B240" s="120"/>
      <c r="C240" s="120"/>
      <c r="D240" s="120"/>
      <c r="E240" s="120"/>
      <c r="F240" s="120"/>
      <c r="G240" s="120"/>
      <c r="H240" s="120"/>
      <c r="I240" s="181"/>
      <c r="J240" s="120"/>
      <c r="K240" s="120"/>
      <c r="L240" s="120"/>
      <c r="M240" s="120"/>
      <c r="N240" s="120"/>
      <c r="O240" s="120"/>
      <c r="P240" s="120"/>
      <c r="Q240" s="120"/>
      <c r="R240" s="120"/>
      <c r="S240" s="120"/>
      <c r="T240" s="120"/>
      <c r="U240" s="120"/>
      <c r="V240" s="120"/>
      <c r="W240" s="120"/>
      <c r="X240" s="120"/>
      <c r="Y240" s="120"/>
      <c r="Z240" s="120"/>
      <c r="AA240" s="120"/>
      <c r="AB240" s="120"/>
      <c r="AC240" s="120"/>
      <c r="AD240" s="120"/>
      <c r="AE240" s="120"/>
      <c r="AF240" s="120"/>
      <c r="AG240" s="120"/>
      <c r="AH240" s="120"/>
      <c r="AI240" s="120"/>
      <c r="AJ240" s="120"/>
    </row>
    <row r="241" spans="1:36" s="124" customFormat="1" ht="18" customHeight="1" x14ac:dyDescent="0.25">
      <c r="A241" s="120"/>
      <c r="B241" s="120"/>
      <c r="C241" s="120"/>
      <c r="D241" s="120"/>
      <c r="E241" s="120"/>
      <c r="F241" s="120"/>
      <c r="G241" s="120"/>
      <c r="H241" s="120"/>
      <c r="I241" s="181"/>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c r="AG241" s="120"/>
      <c r="AH241" s="120"/>
      <c r="AI241" s="120"/>
      <c r="AJ241" s="120"/>
    </row>
    <row r="242" spans="1:36" s="124" customFormat="1" ht="18" customHeight="1" x14ac:dyDescent="0.25">
      <c r="A242" s="120"/>
      <c r="B242" s="120"/>
      <c r="C242" s="120"/>
      <c r="D242" s="120"/>
      <c r="E242" s="120"/>
      <c r="F242" s="120"/>
      <c r="G242" s="120"/>
      <c r="H242" s="120"/>
      <c r="I242" s="181"/>
      <c r="J242" s="120"/>
      <c r="K242" s="120"/>
      <c r="L242" s="120"/>
      <c r="M242" s="120"/>
      <c r="N242" s="120"/>
      <c r="O242" s="120"/>
      <c r="P242" s="120"/>
      <c r="Q242" s="120"/>
      <c r="R242" s="120"/>
      <c r="S242" s="120"/>
      <c r="T242" s="120"/>
      <c r="U242" s="120"/>
      <c r="V242" s="120"/>
      <c r="W242" s="120"/>
      <c r="X242" s="120"/>
      <c r="Y242" s="120"/>
      <c r="Z242" s="120"/>
      <c r="AA242" s="120"/>
      <c r="AB242" s="120"/>
      <c r="AC242" s="120"/>
      <c r="AD242" s="120"/>
      <c r="AE242" s="120"/>
      <c r="AF242" s="120"/>
      <c r="AG242" s="120"/>
      <c r="AH242" s="120"/>
      <c r="AI242" s="120"/>
      <c r="AJ242" s="120"/>
    </row>
    <row r="243" spans="1:36" s="124" customFormat="1" ht="18" customHeight="1" x14ac:dyDescent="0.25">
      <c r="A243" s="120"/>
      <c r="B243" s="120"/>
      <c r="C243" s="120"/>
      <c r="D243" s="120"/>
      <c r="E243" s="120"/>
      <c r="F243" s="120"/>
      <c r="G243" s="120"/>
      <c r="H243" s="120"/>
      <c r="I243" s="181"/>
      <c r="J243" s="120"/>
      <c r="K243" s="120"/>
      <c r="L243" s="120"/>
      <c r="M243" s="120"/>
      <c r="N243" s="120"/>
      <c r="O243" s="120"/>
      <c r="P243" s="120"/>
      <c r="Q243" s="120"/>
      <c r="R243" s="120"/>
      <c r="S243" s="120"/>
      <c r="T243" s="120"/>
      <c r="U243" s="120"/>
      <c r="V243" s="120"/>
      <c r="W243" s="120"/>
      <c r="X243" s="120"/>
      <c r="Y243" s="120"/>
      <c r="Z243" s="120"/>
      <c r="AA243" s="120"/>
      <c r="AB243" s="120"/>
      <c r="AC243" s="120"/>
      <c r="AD243" s="120"/>
      <c r="AE243" s="120"/>
      <c r="AF243" s="120"/>
      <c r="AG243" s="120"/>
      <c r="AH243" s="120"/>
      <c r="AI243" s="120"/>
      <c r="AJ243" s="120"/>
    </row>
    <row r="244" spans="1:36" s="124" customFormat="1" ht="18" customHeight="1" x14ac:dyDescent="0.25">
      <c r="A244" s="120"/>
      <c r="B244" s="120"/>
      <c r="C244" s="120"/>
      <c r="D244" s="120"/>
      <c r="E244" s="120"/>
      <c r="F244" s="120"/>
      <c r="G244" s="120"/>
      <c r="H244" s="120"/>
      <c r="I244" s="181"/>
      <c r="J244" s="120"/>
      <c r="K244" s="120"/>
      <c r="L244" s="120"/>
      <c r="M244" s="120"/>
      <c r="N244" s="120"/>
      <c r="O244" s="120"/>
      <c r="P244" s="120"/>
      <c r="Q244" s="120"/>
      <c r="R244" s="120"/>
      <c r="S244" s="120"/>
      <c r="T244" s="120"/>
      <c r="U244" s="120"/>
      <c r="V244" s="120"/>
      <c r="W244" s="120"/>
      <c r="X244" s="120"/>
      <c r="Y244" s="120"/>
      <c r="Z244" s="120"/>
      <c r="AA244" s="120"/>
      <c r="AB244" s="120"/>
      <c r="AC244" s="120"/>
      <c r="AD244" s="120"/>
      <c r="AE244" s="120"/>
      <c r="AF244" s="120"/>
      <c r="AG244" s="120"/>
      <c r="AH244" s="120"/>
      <c r="AI244" s="120"/>
      <c r="AJ244" s="120"/>
    </row>
    <row r="245" spans="1:36" s="124" customFormat="1" ht="18" customHeight="1" x14ac:dyDescent="0.25">
      <c r="A245" s="120"/>
      <c r="B245" s="120"/>
      <c r="C245" s="120"/>
      <c r="D245" s="120"/>
      <c r="E245" s="120"/>
      <c r="F245" s="120"/>
      <c r="G245" s="120"/>
      <c r="H245" s="120"/>
      <c r="I245" s="181"/>
      <c r="J245" s="120"/>
      <c r="K245" s="120"/>
      <c r="L245" s="120"/>
      <c r="M245" s="120"/>
      <c r="N245" s="120"/>
      <c r="O245" s="120"/>
      <c r="P245" s="120"/>
      <c r="Q245" s="120"/>
      <c r="R245" s="120"/>
      <c r="S245" s="120"/>
      <c r="T245" s="120"/>
      <c r="U245" s="120"/>
      <c r="V245" s="120"/>
      <c r="W245" s="120"/>
      <c r="X245" s="120"/>
      <c r="Y245" s="120"/>
      <c r="Z245" s="120"/>
      <c r="AA245" s="120"/>
      <c r="AB245" s="120"/>
      <c r="AC245" s="120"/>
      <c r="AD245" s="120"/>
      <c r="AE245" s="120"/>
      <c r="AF245" s="120"/>
      <c r="AG245" s="120"/>
      <c r="AH245" s="120"/>
      <c r="AI245" s="120"/>
      <c r="AJ245" s="120"/>
    </row>
    <row r="246" spans="1:36" s="124" customFormat="1" ht="18" customHeight="1" x14ac:dyDescent="0.25">
      <c r="A246" s="120"/>
      <c r="B246" s="120"/>
      <c r="C246" s="120"/>
      <c r="D246" s="120"/>
      <c r="E246" s="120"/>
      <c r="F246" s="120"/>
      <c r="G246" s="120"/>
      <c r="H246" s="120"/>
      <c r="I246" s="181"/>
      <c r="J246" s="120"/>
      <c r="K246" s="120"/>
      <c r="L246" s="120"/>
      <c r="M246" s="120"/>
      <c r="N246" s="120"/>
      <c r="O246" s="120"/>
      <c r="P246" s="120"/>
      <c r="Q246" s="120"/>
      <c r="R246" s="120"/>
      <c r="S246" s="120"/>
      <c r="T246" s="120"/>
      <c r="U246" s="120"/>
      <c r="V246" s="120"/>
      <c r="W246" s="120"/>
      <c r="X246" s="120"/>
      <c r="Y246" s="120"/>
      <c r="Z246" s="120"/>
      <c r="AA246" s="120"/>
      <c r="AB246" s="120"/>
      <c r="AC246" s="120"/>
      <c r="AD246" s="120"/>
      <c r="AE246" s="120"/>
      <c r="AF246" s="120"/>
      <c r="AG246" s="120"/>
      <c r="AH246" s="120"/>
      <c r="AI246" s="120"/>
      <c r="AJ246" s="120"/>
    </row>
    <row r="247" spans="1:36" s="124" customFormat="1" ht="18" customHeight="1" x14ac:dyDescent="0.25">
      <c r="A247" s="120"/>
      <c r="B247" s="120"/>
      <c r="C247" s="120"/>
      <c r="D247" s="120"/>
      <c r="E247" s="120"/>
      <c r="F247" s="120"/>
      <c r="G247" s="120"/>
      <c r="H247" s="120"/>
      <c r="I247" s="181"/>
      <c r="J247" s="120"/>
      <c r="K247" s="120"/>
      <c r="L247" s="120"/>
      <c r="M247" s="120"/>
      <c r="N247" s="120"/>
      <c r="O247" s="120"/>
      <c r="P247" s="120"/>
      <c r="Q247" s="120"/>
      <c r="R247" s="120"/>
      <c r="S247" s="120"/>
      <c r="T247" s="120"/>
      <c r="U247" s="120"/>
      <c r="V247" s="120"/>
      <c r="W247" s="120"/>
      <c r="X247" s="120"/>
      <c r="Y247" s="120"/>
      <c r="Z247" s="120"/>
      <c r="AA247" s="120"/>
      <c r="AB247" s="120"/>
      <c r="AC247" s="120"/>
      <c r="AD247" s="120"/>
      <c r="AE247" s="120"/>
      <c r="AF247" s="120"/>
      <c r="AG247" s="120"/>
      <c r="AH247" s="120"/>
      <c r="AI247" s="120"/>
      <c r="AJ247" s="120"/>
    </row>
    <row r="248" spans="1:36" s="124" customFormat="1" ht="18" customHeight="1" x14ac:dyDescent="0.25">
      <c r="A248" s="120"/>
      <c r="B248" s="120"/>
      <c r="C248" s="120"/>
      <c r="D248" s="120"/>
      <c r="E248" s="120"/>
      <c r="F248" s="120"/>
      <c r="G248" s="120"/>
      <c r="H248" s="120"/>
      <c r="I248" s="181"/>
      <c r="J248" s="120"/>
      <c r="K248" s="120"/>
      <c r="L248" s="120"/>
      <c r="M248" s="120"/>
      <c r="N248" s="120"/>
      <c r="O248" s="120"/>
      <c r="P248" s="120"/>
      <c r="Q248" s="120"/>
      <c r="R248" s="120"/>
      <c r="S248" s="120"/>
      <c r="T248" s="120"/>
      <c r="U248" s="120"/>
      <c r="V248" s="120"/>
      <c r="W248" s="120"/>
      <c r="X248" s="120"/>
      <c r="Y248" s="120"/>
      <c r="Z248" s="120"/>
      <c r="AA248" s="120"/>
      <c r="AB248" s="120"/>
      <c r="AC248" s="120"/>
      <c r="AD248" s="120"/>
      <c r="AE248" s="120"/>
      <c r="AF248" s="120"/>
      <c r="AG248" s="120"/>
      <c r="AH248" s="120"/>
      <c r="AI248" s="120"/>
      <c r="AJ248" s="120"/>
    </row>
    <row r="249" spans="1:36" s="124" customFormat="1" ht="18" customHeight="1" x14ac:dyDescent="0.25">
      <c r="A249" s="120"/>
      <c r="B249" s="120"/>
      <c r="C249" s="120"/>
      <c r="D249" s="120"/>
      <c r="E249" s="120"/>
      <c r="F249" s="120"/>
      <c r="G249" s="120"/>
      <c r="H249" s="120"/>
      <c r="I249" s="181"/>
      <c r="J249" s="120"/>
      <c r="K249" s="120"/>
      <c r="L249" s="120"/>
      <c r="M249" s="120"/>
      <c r="N249" s="120"/>
      <c r="O249" s="120"/>
      <c r="P249" s="120"/>
      <c r="Q249" s="120"/>
      <c r="R249" s="120"/>
      <c r="S249" s="120"/>
      <c r="T249" s="120"/>
      <c r="U249" s="120"/>
      <c r="V249" s="120"/>
      <c r="W249" s="120"/>
      <c r="X249" s="120"/>
      <c r="Y249" s="120"/>
      <c r="Z249" s="120"/>
      <c r="AA249" s="120"/>
      <c r="AB249" s="120"/>
      <c r="AC249" s="120"/>
      <c r="AD249" s="120"/>
      <c r="AE249" s="120"/>
      <c r="AF249" s="120"/>
      <c r="AG249" s="120"/>
      <c r="AH249" s="120"/>
      <c r="AI249" s="120"/>
      <c r="AJ249" s="120"/>
    </row>
    <row r="250" spans="1:36" s="124" customFormat="1" ht="18" customHeight="1" x14ac:dyDescent="0.25">
      <c r="A250" s="120"/>
      <c r="B250" s="120"/>
      <c r="C250" s="120"/>
      <c r="D250" s="120"/>
      <c r="E250" s="120"/>
      <c r="F250" s="120"/>
      <c r="G250" s="120"/>
      <c r="H250" s="120"/>
      <c r="I250" s="181"/>
      <c r="J250" s="120"/>
      <c r="K250" s="120"/>
      <c r="L250" s="120"/>
      <c r="M250" s="120"/>
      <c r="N250" s="120"/>
      <c r="O250" s="120"/>
      <c r="P250" s="120"/>
      <c r="Q250" s="120"/>
      <c r="R250" s="120"/>
      <c r="S250" s="120"/>
      <c r="T250" s="120"/>
      <c r="U250" s="120"/>
      <c r="V250" s="120"/>
      <c r="W250" s="120"/>
      <c r="X250" s="120"/>
      <c r="Y250" s="120"/>
      <c r="Z250" s="120"/>
      <c r="AA250" s="120"/>
      <c r="AB250" s="120"/>
      <c r="AC250" s="120"/>
      <c r="AD250" s="120"/>
      <c r="AE250" s="120"/>
      <c r="AF250" s="120"/>
      <c r="AG250" s="120"/>
      <c r="AH250" s="120"/>
      <c r="AI250" s="120"/>
      <c r="AJ250" s="120"/>
    </row>
    <row r="251" spans="1:36" s="124" customFormat="1" ht="18" customHeight="1" x14ac:dyDescent="0.25">
      <c r="A251" s="120"/>
      <c r="B251" s="120"/>
      <c r="C251" s="120"/>
      <c r="D251" s="120"/>
      <c r="E251" s="120"/>
      <c r="F251" s="120"/>
      <c r="G251" s="120"/>
      <c r="H251" s="120"/>
      <c r="I251" s="181"/>
      <c r="J251" s="120"/>
      <c r="K251" s="120"/>
      <c r="L251" s="120"/>
      <c r="M251" s="120"/>
      <c r="N251" s="120"/>
      <c r="O251" s="120"/>
      <c r="P251" s="120"/>
      <c r="Q251" s="120"/>
      <c r="R251" s="120"/>
      <c r="S251" s="120"/>
      <c r="T251" s="120"/>
      <c r="U251" s="120"/>
      <c r="V251" s="120"/>
      <c r="W251" s="120"/>
      <c r="X251" s="120"/>
      <c r="Y251" s="120"/>
      <c r="Z251" s="120"/>
      <c r="AA251" s="120"/>
      <c r="AB251" s="120"/>
      <c r="AC251" s="120"/>
      <c r="AD251" s="120"/>
      <c r="AE251" s="120"/>
      <c r="AF251" s="120"/>
      <c r="AG251" s="120"/>
      <c r="AH251" s="120"/>
      <c r="AI251" s="120"/>
      <c r="AJ251" s="120"/>
    </row>
    <row r="252" spans="1:36" s="124" customFormat="1" ht="18" customHeight="1" x14ac:dyDescent="0.25">
      <c r="A252" s="120"/>
      <c r="B252" s="120"/>
      <c r="C252" s="120"/>
      <c r="D252" s="120"/>
      <c r="E252" s="120"/>
      <c r="F252" s="120"/>
      <c r="G252" s="120"/>
      <c r="H252" s="120"/>
      <c r="I252" s="181"/>
      <c r="J252" s="120"/>
      <c r="K252" s="120"/>
      <c r="L252" s="120"/>
      <c r="M252" s="120"/>
      <c r="N252" s="120"/>
      <c r="O252" s="120"/>
      <c r="P252" s="120"/>
      <c r="Q252" s="120"/>
      <c r="R252" s="120"/>
      <c r="S252" s="120"/>
      <c r="T252" s="120"/>
      <c r="U252" s="120"/>
      <c r="V252" s="120"/>
      <c r="W252" s="120"/>
      <c r="X252" s="120"/>
      <c r="Y252" s="120"/>
      <c r="Z252" s="120"/>
      <c r="AA252" s="120"/>
      <c r="AB252" s="120"/>
      <c r="AC252" s="120"/>
      <c r="AD252" s="120"/>
      <c r="AE252" s="120"/>
      <c r="AF252" s="120"/>
      <c r="AG252" s="120"/>
      <c r="AH252" s="120"/>
      <c r="AI252" s="120"/>
      <c r="AJ252" s="120"/>
    </row>
    <row r="253" spans="1:36" s="124" customFormat="1" ht="18" customHeight="1" x14ac:dyDescent="0.25">
      <c r="A253" s="120"/>
      <c r="B253" s="120"/>
      <c r="C253" s="120"/>
      <c r="D253" s="120"/>
      <c r="E253" s="120"/>
      <c r="F253" s="120"/>
      <c r="G253" s="120"/>
      <c r="H253" s="120"/>
      <c r="I253" s="181"/>
      <c r="J253" s="120"/>
      <c r="K253" s="120"/>
      <c r="L253" s="120"/>
      <c r="M253" s="120"/>
      <c r="N253" s="120"/>
      <c r="O253" s="120"/>
      <c r="P253" s="120"/>
      <c r="Q253" s="120"/>
      <c r="R253" s="120"/>
      <c r="S253" s="120"/>
      <c r="T253" s="120"/>
      <c r="U253" s="120"/>
      <c r="V253" s="120"/>
      <c r="W253" s="120"/>
      <c r="X253" s="120"/>
      <c r="Y253" s="120"/>
      <c r="Z253" s="120"/>
      <c r="AA253" s="120"/>
      <c r="AB253" s="120"/>
      <c r="AC253" s="120"/>
      <c r="AD253" s="120"/>
      <c r="AE253" s="120"/>
      <c r="AF253" s="120"/>
      <c r="AG253" s="120"/>
      <c r="AH253" s="120"/>
      <c r="AI253" s="120"/>
      <c r="AJ253" s="120"/>
    </row>
    <row r="254" spans="1:36" s="124" customFormat="1" ht="18" customHeight="1" x14ac:dyDescent="0.25">
      <c r="A254" s="120"/>
      <c r="B254" s="120"/>
      <c r="C254" s="120"/>
      <c r="D254" s="120"/>
      <c r="E254" s="120"/>
      <c r="F254" s="120"/>
      <c r="G254" s="120"/>
      <c r="H254" s="120"/>
      <c r="I254" s="181"/>
      <c r="J254" s="120"/>
      <c r="K254" s="120"/>
      <c r="L254" s="120"/>
      <c r="M254" s="120"/>
      <c r="N254" s="120"/>
      <c r="O254" s="120"/>
      <c r="P254" s="120"/>
      <c r="Q254" s="120"/>
      <c r="R254" s="120"/>
      <c r="S254" s="120"/>
      <c r="T254" s="120"/>
      <c r="U254" s="120"/>
      <c r="V254" s="120"/>
      <c r="W254" s="120"/>
      <c r="X254" s="120"/>
      <c r="Y254" s="120"/>
      <c r="Z254" s="120"/>
      <c r="AA254" s="120"/>
      <c r="AB254" s="120"/>
      <c r="AC254" s="120"/>
      <c r="AD254" s="120"/>
      <c r="AE254" s="120"/>
      <c r="AF254" s="120"/>
      <c r="AG254" s="120"/>
      <c r="AH254" s="120"/>
      <c r="AI254" s="120"/>
      <c r="AJ254" s="120"/>
    </row>
    <row r="255" spans="1:36" s="124" customFormat="1" ht="18" customHeight="1" x14ac:dyDescent="0.25">
      <c r="A255" s="120"/>
      <c r="B255" s="120"/>
      <c r="C255" s="120"/>
      <c r="D255" s="120"/>
      <c r="E255" s="120"/>
      <c r="F255" s="120"/>
      <c r="G255" s="120"/>
      <c r="H255" s="120"/>
      <c r="I255" s="181"/>
      <c r="J255" s="120"/>
      <c r="K255" s="120"/>
      <c r="L255" s="120"/>
      <c r="M255" s="120"/>
      <c r="N255" s="120"/>
      <c r="O255" s="120"/>
      <c r="P255" s="120"/>
      <c r="Q255" s="120"/>
      <c r="R255" s="120"/>
      <c r="S255" s="120"/>
      <c r="T255" s="120"/>
      <c r="U255" s="120"/>
      <c r="V255" s="120"/>
      <c r="W255" s="120"/>
      <c r="X255" s="120"/>
      <c r="Y255" s="120"/>
      <c r="Z255" s="120"/>
      <c r="AA255" s="120"/>
      <c r="AB255" s="120"/>
      <c r="AC255" s="120"/>
      <c r="AD255" s="120"/>
      <c r="AE255" s="120"/>
      <c r="AF255" s="120"/>
      <c r="AG255" s="120"/>
      <c r="AH255" s="120"/>
      <c r="AI255" s="120"/>
      <c r="AJ255" s="120"/>
    </row>
    <row r="256" spans="1:36" s="124" customFormat="1" ht="18" customHeight="1" x14ac:dyDescent="0.25">
      <c r="A256" s="120"/>
      <c r="B256" s="120"/>
      <c r="C256" s="120"/>
      <c r="D256" s="120"/>
      <c r="E256" s="120"/>
      <c r="F256" s="120"/>
      <c r="G256" s="120"/>
      <c r="H256" s="120"/>
      <c r="I256" s="181"/>
      <c r="J256" s="120"/>
      <c r="K256" s="120"/>
      <c r="L256" s="120"/>
      <c r="M256" s="120"/>
      <c r="N256" s="120"/>
      <c r="O256" s="120"/>
      <c r="P256" s="120"/>
      <c r="Q256" s="120"/>
      <c r="R256" s="120"/>
      <c r="S256" s="120"/>
      <c r="T256" s="120"/>
      <c r="U256" s="120"/>
      <c r="V256" s="120"/>
      <c r="W256" s="120"/>
      <c r="X256" s="120"/>
      <c r="Y256" s="120"/>
      <c r="Z256" s="120"/>
      <c r="AA256" s="120"/>
      <c r="AB256" s="120"/>
      <c r="AC256" s="120"/>
      <c r="AD256" s="120"/>
      <c r="AE256" s="120"/>
      <c r="AF256" s="120"/>
      <c r="AG256" s="120"/>
      <c r="AH256" s="120"/>
      <c r="AI256" s="120"/>
      <c r="AJ256" s="120"/>
    </row>
    <row r="257" spans="1:36" s="124" customFormat="1" x14ac:dyDescent="0.25">
      <c r="A257" s="120"/>
      <c r="B257" s="120"/>
      <c r="C257" s="120"/>
      <c r="D257" s="120"/>
      <c r="E257" s="120"/>
      <c r="F257" s="120"/>
      <c r="G257" s="120"/>
      <c r="H257" s="120"/>
      <c r="I257" s="181"/>
      <c r="J257" s="120"/>
      <c r="K257" s="120"/>
      <c r="L257" s="120"/>
      <c r="M257" s="120"/>
      <c r="N257" s="120"/>
      <c r="O257" s="120"/>
      <c r="P257" s="183"/>
      <c r="Q257" s="120"/>
      <c r="R257" s="182"/>
      <c r="S257" s="68"/>
      <c r="T257" s="68"/>
      <c r="U257" s="68"/>
      <c r="V257" s="120"/>
      <c r="W257" s="120"/>
      <c r="X257" s="120"/>
      <c r="Y257" s="120"/>
      <c r="Z257" s="120"/>
      <c r="AA257" s="68"/>
      <c r="AB257" s="68"/>
      <c r="AC257" s="68"/>
      <c r="AD257" s="120"/>
      <c r="AE257" s="120"/>
      <c r="AF257" s="120"/>
      <c r="AG257" s="120"/>
      <c r="AH257" s="120"/>
      <c r="AI257" s="120"/>
      <c r="AJ257" s="120"/>
    </row>
    <row r="258" spans="1:36" s="124" customFormat="1" x14ac:dyDescent="0.25">
      <c r="A258" s="120"/>
      <c r="B258" s="120"/>
      <c r="C258" s="120"/>
      <c r="D258" s="120"/>
      <c r="E258" s="120"/>
      <c r="F258" s="120"/>
      <c r="G258" s="120"/>
      <c r="H258" s="120"/>
      <c r="I258" s="181"/>
      <c r="J258" s="120"/>
      <c r="K258" s="120"/>
      <c r="L258" s="182"/>
      <c r="M258" s="182"/>
      <c r="N258" s="120"/>
      <c r="O258" s="120"/>
      <c r="P258" s="120"/>
      <c r="Q258" s="120"/>
      <c r="R258" s="120"/>
      <c r="S258" s="68"/>
      <c r="T258" s="68"/>
      <c r="U258" s="68"/>
      <c r="V258" s="120"/>
      <c r="W258" s="120"/>
      <c r="X258" s="120"/>
      <c r="Y258" s="120"/>
      <c r="Z258" s="120"/>
      <c r="AA258" s="184"/>
      <c r="AB258" s="184"/>
      <c r="AC258" s="184"/>
      <c r="AD258" s="120"/>
      <c r="AE258" s="120"/>
      <c r="AF258" s="120"/>
      <c r="AG258" s="120"/>
      <c r="AH258" s="120"/>
      <c r="AI258" s="182"/>
      <c r="AJ258" s="120"/>
    </row>
    <row r="259" spans="1:36" s="124" customFormat="1" x14ac:dyDescent="0.25">
      <c r="A259" s="120"/>
      <c r="B259" s="120"/>
      <c r="C259" s="120"/>
      <c r="D259" s="120"/>
      <c r="E259" s="120"/>
      <c r="F259" s="120"/>
      <c r="G259" s="120"/>
      <c r="H259" s="120"/>
      <c r="I259" s="181"/>
      <c r="J259" s="120"/>
      <c r="K259" s="120"/>
      <c r="L259" s="120"/>
      <c r="M259" s="120"/>
      <c r="N259" s="120"/>
      <c r="O259" s="120"/>
      <c r="P259" s="120"/>
      <c r="Q259" s="120"/>
      <c r="R259" s="120"/>
      <c r="S259" s="68"/>
      <c r="T259" s="68"/>
      <c r="U259" s="68"/>
      <c r="V259" s="120"/>
      <c r="W259" s="120"/>
      <c r="X259" s="120"/>
      <c r="Y259" s="120"/>
      <c r="Z259" s="120"/>
      <c r="AA259" s="184"/>
      <c r="AB259" s="184"/>
      <c r="AC259" s="184"/>
      <c r="AD259" s="120"/>
      <c r="AE259" s="120"/>
      <c r="AF259" s="120"/>
      <c r="AG259" s="120"/>
      <c r="AH259" s="120"/>
      <c r="AI259" s="120"/>
      <c r="AJ259" s="120"/>
    </row>
    <row r="260" spans="1:36" s="124" customFormat="1" x14ac:dyDescent="0.25">
      <c r="A260" s="120"/>
      <c r="B260" s="120"/>
      <c r="C260" s="120"/>
      <c r="D260" s="120"/>
      <c r="E260" s="120"/>
      <c r="F260" s="120"/>
      <c r="G260" s="120"/>
      <c r="H260" s="120"/>
      <c r="I260" s="181"/>
      <c r="J260" s="120"/>
      <c r="K260" s="120"/>
      <c r="L260" s="120"/>
      <c r="M260" s="120"/>
      <c r="N260" s="120"/>
      <c r="O260" s="120"/>
      <c r="P260" s="120"/>
      <c r="Q260" s="120"/>
      <c r="R260" s="120"/>
      <c r="S260" s="120"/>
      <c r="T260" s="120"/>
      <c r="U260" s="120"/>
      <c r="V260" s="120"/>
      <c r="W260" s="120"/>
      <c r="X260" s="120"/>
      <c r="Y260" s="120"/>
      <c r="Z260" s="120"/>
      <c r="AA260" s="120"/>
      <c r="AB260" s="120"/>
      <c r="AC260" s="120"/>
      <c r="AD260" s="120"/>
      <c r="AE260" s="120"/>
      <c r="AF260" s="120"/>
      <c r="AG260" s="120"/>
      <c r="AH260" s="120"/>
      <c r="AI260" s="182"/>
      <c r="AJ260" s="120"/>
    </row>
    <row r="261" spans="1:36" s="124" customFormat="1" x14ac:dyDescent="0.25">
      <c r="A261" s="120"/>
      <c r="B261" s="120"/>
      <c r="C261" s="120"/>
      <c r="D261" s="120"/>
      <c r="E261" s="120"/>
      <c r="F261" s="120"/>
      <c r="G261" s="120"/>
      <c r="H261" s="120"/>
      <c r="I261" s="181"/>
      <c r="J261" s="120"/>
      <c r="K261" s="120"/>
      <c r="L261" s="120"/>
      <c r="M261" s="120"/>
      <c r="N261" s="120"/>
      <c r="O261" s="120"/>
      <c r="P261" s="120"/>
      <c r="Q261" s="120"/>
      <c r="R261" s="120"/>
      <c r="S261" s="120"/>
      <c r="T261" s="120"/>
      <c r="U261" s="120"/>
      <c r="V261" s="120"/>
      <c r="W261" s="120"/>
      <c r="X261" s="120"/>
      <c r="Y261" s="120"/>
      <c r="Z261" s="120"/>
      <c r="AA261" s="120"/>
      <c r="AB261" s="120"/>
      <c r="AC261" s="120"/>
      <c r="AD261" s="120"/>
      <c r="AE261" s="120"/>
      <c r="AF261" s="120"/>
      <c r="AG261" s="120"/>
      <c r="AH261" s="120"/>
      <c r="AI261" s="182"/>
      <c r="AJ261" s="120"/>
    </row>
    <row r="262" spans="1:36" s="124" customFormat="1" x14ac:dyDescent="0.25">
      <c r="A262" s="120"/>
      <c r="B262" s="120"/>
      <c r="C262" s="120"/>
      <c r="D262" s="120"/>
      <c r="E262" s="120"/>
      <c r="F262" s="120"/>
      <c r="G262" s="120"/>
      <c r="H262" s="120"/>
      <c r="I262" s="181"/>
      <c r="J262" s="120"/>
      <c r="K262" s="120"/>
      <c r="L262" s="120"/>
      <c r="M262" s="120"/>
      <c r="N262" s="120"/>
      <c r="O262" s="120"/>
      <c r="P262" s="120"/>
      <c r="Q262" s="120"/>
      <c r="R262" s="120"/>
      <c r="S262" s="120"/>
      <c r="T262" s="120"/>
      <c r="U262" s="120"/>
      <c r="V262" s="120"/>
      <c r="W262" s="120"/>
      <c r="X262" s="120"/>
      <c r="Y262" s="120"/>
      <c r="Z262" s="120"/>
      <c r="AA262" s="120"/>
      <c r="AB262" s="120"/>
      <c r="AC262" s="120"/>
      <c r="AD262" s="120"/>
      <c r="AE262" s="120"/>
      <c r="AF262" s="120"/>
      <c r="AG262" s="120"/>
      <c r="AH262" s="120"/>
      <c r="AI262" s="120"/>
      <c r="AJ262" s="120"/>
    </row>
    <row r="263" spans="1:36" s="124" customFormat="1" x14ac:dyDescent="0.25">
      <c r="A263" s="120"/>
      <c r="B263" s="120"/>
      <c r="C263" s="120"/>
      <c r="D263" s="120"/>
      <c r="E263" s="120"/>
      <c r="F263" s="120"/>
      <c r="G263" s="120"/>
      <c r="H263" s="120"/>
      <c r="I263" s="181"/>
      <c r="J263" s="120"/>
      <c r="K263" s="120"/>
      <c r="L263" s="120"/>
      <c r="M263" s="120"/>
      <c r="N263" s="120"/>
      <c r="O263" s="120"/>
      <c r="P263" s="120"/>
      <c r="Q263" s="120"/>
      <c r="R263" s="120"/>
      <c r="S263" s="120"/>
      <c r="T263" s="120"/>
      <c r="U263" s="120"/>
      <c r="V263" s="120"/>
      <c r="W263" s="120"/>
      <c r="X263" s="120"/>
      <c r="Y263" s="120"/>
      <c r="Z263" s="120"/>
      <c r="AA263" s="120"/>
      <c r="AB263" s="120"/>
      <c r="AC263" s="120"/>
      <c r="AD263" s="120"/>
      <c r="AE263" s="120"/>
      <c r="AF263" s="120"/>
      <c r="AG263" s="120"/>
      <c r="AH263" s="120"/>
      <c r="AI263" s="120"/>
      <c r="AJ263" s="120"/>
    </row>
    <row r="264" spans="1:36" s="124" customFormat="1" x14ac:dyDescent="0.25">
      <c r="A264" s="120"/>
      <c r="B264" s="120"/>
      <c r="C264" s="120"/>
      <c r="D264" s="120"/>
      <c r="E264" s="120"/>
      <c r="F264" s="120"/>
      <c r="G264" s="120"/>
      <c r="H264" s="120"/>
      <c r="I264" s="181"/>
      <c r="J264" s="120"/>
      <c r="K264" s="120"/>
      <c r="L264" s="120"/>
      <c r="M264" s="120"/>
      <c r="N264" s="120"/>
      <c r="O264" s="120"/>
      <c r="P264" s="120"/>
      <c r="Q264" s="120"/>
      <c r="R264" s="120"/>
      <c r="S264" s="120"/>
      <c r="T264" s="120"/>
      <c r="U264" s="120"/>
      <c r="V264" s="120"/>
      <c r="W264" s="120"/>
      <c r="X264" s="120"/>
      <c r="Y264" s="120"/>
      <c r="Z264" s="120"/>
      <c r="AA264" s="120"/>
      <c r="AB264" s="120"/>
      <c r="AC264" s="120"/>
      <c r="AD264" s="120"/>
      <c r="AE264" s="120"/>
      <c r="AF264" s="120"/>
      <c r="AG264" s="120"/>
      <c r="AH264" s="120"/>
      <c r="AI264" s="120"/>
      <c r="AJ264" s="120"/>
    </row>
    <row r="265" spans="1:36" s="124" customFormat="1" x14ac:dyDescent="0.25">
      <c r="A265" s="120"/>
      <c r="B265" s="120"/>
      <c r="C265" s="120"/>
      <c r="D265" s="120"/>
      <c r="E265" s="120"/>
      <c r="F265" s="120"/>
      <c r="G265" s="120"/>
      <c r="H265" s="120"/>
      <c r="I265" s="181"/>
      <c r="J265" s="120"/>
      <c r="K265" s="120"/>
      <c r="L265" s="120"/>
      <c r="M265" s="120"/>
      <c r="N265" s="120"/>
      <c r="O265" s="120"/>
      <c r="P265" s="120"/>
      <c r="Q265" s="120"/>
      <c r="R265" s="120"/>
      <c r="S265" s="120"/>
      <c r="T265" s="120"/>
      <c r="U265" s="120"/>
      <c r="V265" s="120"/>
      <c r="W265" s="120"/>
      <c r="X265" s="120"/>
      <c r="Y265" s="120"/>
      <c r="Z265" s="120"/>
      <c r="AA265" s="120"/>
      <c r="AB265" s="120"/>
      <c r="AC265" s="120"/>
      <c r="AD265" s="120"/>
      <c r="AE265" s="120"/>
      <c r="AF265" s="120"/>
      <c r="AG265" s="120"/>
      <c r="AH265" s="120"/>
      <c r="AI265" s="120"/>
      <c r="AJ265" s="120"/>
    </row>
    <row r="266" spans="1:36" s="124" customFormat="1" x14ac:dyDescent="0.25">
      <c r="A266" s="120"/>
      <c r="B266" s="120"/>
      <c r="C266" s="120"/>
      <c r="D266" s="120"/>
      <c r="E266" s="120"/>
      <c r="F266" s="120"/>
      <c r="G266" s="120"/>
      <c r="H266" s="120"/>
      <c r="I266" s="181"/>
      <c r="J266" s="120"/>
      <c r="K266" s="120"/>
      <c r="L266" s="120"/>
      <c r="M266" s="120"/>
      <c r="N266" s="120"/>
      <c r="O266" s="120"/>
      <c r="P266" s="120"/>
      <c r="Q266" s="120"/>
      <c r="R266" s="120"/>
      <c r="S266" s="120"/>
      <c r="T266" s="120"/>
      <c r="U266" s="120"/>
      <c r="V266" s="120"/>
      <c r="W266" s="120"/>
      <c r="X266" s="120"/>
      <c r="Y266" s="120"/>
      <c r="Z266" s="120"/>
      <c r="AA266" s="120"/>
      <c r="AB266" s="120"/>
      <c r="AC266" s="120"/>
      <c r="AD266" s="120"/>
      <c r="AE266" s="120"/>
      <c r="AF266" s="120"/>
      <c r="AG266" s="120"/>
      <c r="AH266" s="120"/>
      <c r="AI266" s="120"/>
      <c r="AJ266" s="120"/>
    </row>
    <row r="267" spans="1:36" s="124" customFormat="1" x14ac:dyDescent="0.25">
      <c r="A267" s="120"/>
      <c r="B267" s="120"/>
      <c r="C267" s="120"/>
      <c r="D267" s="120"/>
      <c r="E267" s="120"/>
      <c r="F267" s="120"/>
      <c r="G267" s="120"/>
      <c r="H267" s="120"/>
      <c r="I267" s="181"/>
      <c r="J267" s="120"/>
      <c r="K267" s="120"/>
      <c r="L267" s="120"/>
      <c r="M267" s="120"/>
      <c r="N267" s="120"/>
      <c r="O267" s="120"/>
      <c r="P267" s="120"/>
      <c r="Q267" s="120"/>
      <c r="R267" s="120"/>
      <c r="S267" s="120"/>
      <c r="T267" s="120"/>
      <c r="U267" s="120"/>
      <c r="V267" s="120"/>
      <c r="W267" s="120"/>
      <c r="X267" s="120"/>
      <c r="Y267" s="120"/>
      <c r="Z267" s="120"/>
      <c r="AA267" s="120"/>
      <c r="AB267" s="120"/>
      <c r="AC267" s="120"/>
      <c r="AD267" s="120"/>
      <c r="AE267" s="120"/>
      <c r="AF267" s="120"/>
      <c r="AG267" s="120"/>
      <c r="AH267" s="120"/>
      <c r="AI267" s="120"/>
      <c r="AJ267" s="120"/>
    </row>
    <row r="268" spans="1:36" s="124" customFormat="1" x14ac:dyDescent="0.25">
      <c r="A268" s="120"/>
      <c r="B268" s="120"/>
      <c r="C268" s="120"/>
      <c r="D268" s="120"/>
      <c r="E268" s="120"/>
      <c r="F268" s="120"/>
      <c r="G268" s="120"/>
      <c r="H268" s="120"/>
      <c r="I268" s="181"/>
      <c r="J268" s="120"/>
      <c r="K268" s="120"/>
      <c r="L268" s="120"/>
      <c r="M268" s="120"/>
      <c r="N268" s="120"/>
      <c r="O268" s="120"/>
      <c r="P268" s="120"/>
      <c r="Q268" s="120"/>
      <c r="R268" s="120"/>
      <c r="S268" s="120"/>
      <c r="T268" s="120"/>
      <c r="U268" s="120"/>
      <c r="V268" s="120"/>
      <c r="W268" s="120"/>
      <c r="X268" s="120"/>
      <c r="Y268" s="120"/>
      <c r="Z268" s="120"/>
      <c r="AA268" s="120"/>
      <c r="AB268" s="120"/>
      <c r="AC268" s="120"/>
      <c r="AD268" s="120"/>
      <c r="AE268" s="120"/>
      <c r="AF268" s="120"/>
      <c r="AG268" s="120"/>
      <c r="AH268" s="120"/>
      <c r="AI268" s="120"/>
      <c r="AJ268" s="120"/>
    </row>
    <row r="269" spans="1:36" s="124" customFormat="1" x14ac:dyDescent="0.25">
      <c r="A269" s="120"/>
      <c r="B269" s="120"/>
      <c r="C269" s="120"/>
      <c r="D269" s="120"/>
      <c r="E269" s="120"/>
      <c r="F269" s="120"/>
      <c r="G269" s="120"/>
      <c r="H269" s="120"/>
      <c r="I269" s="181"/>
      <c r="J269" s="120"/>
      <c r="K269" s="120"/>
      <c r="L269" s="120"/>
      <c r="M269" s="120"/>
      <c r="N269" s="120"/>
      <c r="O269" s="120"/>
      <c r="P269" s="120"/>
      <c r="Q269" s="120"/>
      <c r="R269" s="120"/>
      <c r="S269" s="120"/>
      <c r="T269" s="120"/>
      <c r="U269" s="120"/>
      <c r="V269" s="120"/>
      <c r="W269" s="120"/>
      <c r="X269" s="120"/>
      <c r="Y269" s="120"/>
      <c r="Z269" s="120"/>
      <c r="AA269" s="120"/>
      <c r="AB269" s="120"/>
      <c r="AC269" s="120"/>
      <c r="AD269" s="120"/>
      <c r="AE269" s="120"/>
      <c r="AF269" s="120"/>
      <c r="AG269" s="120"/>
      <c r="AH269" s="120"/>
      <c r="AI269" s="120"/>
      <c r="AJ269" s="120"/>
    </row>
    <row r="270" spans="1:36" s="124" customFormat="1" x14ac:dyDescent="0.25">
      <c r="A270" s="120"/>
      <c r="B270" s="120"/>
      <c r="C270" s="120"/>
      <c r="D270" s="120"/>
      <c r="E270" s="120"/>
      <c r="F270" s="120"/>
      <c r="G270" s="120"/>
      <c r="H270" s="120"/>
      <c r="I270" s="181"/>
      <c r="J270" s="120"/>
      <c r="K270" s="120"/>
      <c r="L270" s="120"/>
      <c r="M270" s="120"/>
      <c r="N270" s="120"/>
      <c r="O270" s="120"/>
      <c r="P270" s="120"/>
      <c r="Q270" s="120"/>
      <c r="R270" s="120"/>
      <c r="S270" s="120"/>
      <c r="T270" s="120"/>
      <c r="U270" s="120"/>
      <c r="V270" s="120"/>
      <c r="W270" s="120"/>
      <c r="X270" s="120"/>
      <c r="Y270" s="120"/>
      <c r="Z270" s="120"/>
      <c r="AA270" s="120"/>
      <c r="AB270" s="120"/>
      <c r="AC270" s="120"/>
      <c r="AD270" s="120"/>
      <c r="AE270" s="120"/>
      <c r="AF270" s="120"/>
      <c r="AG270" s="120"/>
      <c r="AH270" s="120"/>
      <c r="AI270" s="120"/>
      <c r="AJ270" s="120"/>
    </row>
    <row r="271" spans="1:36" s="124" customFormat="1" x14ac:dyDescent="0.25">
      <c r="A271" s="120"/>
      <c r="B271" s="120"/>
      <c r="C271" s="120"/>
      <c r="D271" s="120"/>
      <c r="E271" s="120"/>
      <c r="F271" s="120"/>
      <c r="G271" s="120"/>
      <c r="H271" s="120"/>
      <c r="I271" s="181"/>
      <c r="J271" s="120"/>
      <c r="K271" s="120"/>
      <c r="L271" s="120"/>
      <c r="M271" s="120"/>
      <c r="N271" s="120"/>
      <c r="O271" s="120"/>
      <c r="P271" s="120"/>
      <c r="Q271" s="120"/>
      <c r="R271" s="120"/>
      <c r="S271" s="120"/>
      <c r="T271" s="120"/>
      <c r="U271" s="120"/>
      <c r="V271" s="120"/>
      <c r="W271" s="120"/>
      <c r="X271" s="120"/>
      <c r="Y271" s="120"/>
      <c r="Z271" s="120"/>
      <c r="AA271" s="120"/>
      <c r="AB271" s="120"/>
      <c r="AC271" s="120"/>
      <c r="AD271" s="120"/>
      <c r="AE271" s="120"/>
      <c r="AF271" s="120"/>
      <c r="AG271" s="120"/>
      <c r="AH271" s="120"/>
      <c r="AI271" s="120"/>
      <c r="AJ271" s="120"/>
    </row>
    <row r="272" spans="1:36" s="124" customFormat="1" x14ac:dyDescent="0.25">
      <c r="A272" s="120"/>
      <c r="B272" s="120"/>
      <c r="C272" s="120"/>
      <c r="D272" s="120"/>
      <c r="E272" s="120"/>
      <c r="F272" s="120"/>
      <c r="G272" s="120"/>
      <c r="H272" s="120"/>
      <c r="I272" s="181"/>
      <c r="J272" s="120"/>
      <c r="K272" s="120"/>
      <c r="L272" s="120"/>
      <c r="M272" s="120"/>
      <c r="N272" s="120"/>
      <c r="O272" s="120"/>
      <c r="P272" s="120"/>
      <c r="Q272" s="120"/>
      <c r="R272" s="120"/>
      <c r="S272" s="120"/>
      <c r="T272" s="120"/>
      <c r="U272" s="120"/>
      <c r="V272" s="120"/>
      <c r="W272" s="120"/>
      <c r="X272" s="120"/>
      <c r="Y272" s="120"/>
      <c r="Z272" s="120"/>
      <c r="AA272" s="120"/>
      <c r="AB272" s="120"/>
      <c r="AC272" s="120"/>
      <c r="AD272" s="120"/>
      <c r="AE272" s="120"/>
      <c r="AF272" s="120"/>
      <c r="AG272" s="120"/>
      <c r="AH272" s="120"/>
      <c r="AI272" s="120"/>
      <c r="AJ272" s="120"/>
    </row>
    <row r="273" spans="1:36" s="124" customFormat="1" x14ac:dyDescent="0.25">
      <c r="A273" s="120"/>
      <c r="B273" s="120"/>
      <c r="C273" s="120"/>
      <c r="D273" s="120"/>
      <c r="E273" s="120"/>
      <c r="F273" s="120"/>
      <c r="G273" s="120"/>
      <c r="H273" s="120"/>
      <c r="I273" s="181"/>
      <c r="J273" s="120"/>
      <c r="K273" s="120"/>
      <c r="L273" s="120"/>
      <c r="M273" s="120"/>
      <c r="N273" s="120"/>
      <c r="O273" s="120"/>
      <c r="P273" s="120"/>
      <c r="Q273" s="120"/>
      <c r="R273" s="120"/>
      <c r="S273" s="120"/>
      <c r="T273" s="120"/>
      <c r="U273" s="120"/>
      <c r="V273" s="120"/>
      <c r="W273" s="120"/>
      <c r="X273" s="120"/>
      <c r="Y273" s="120"/>
      <c r="Z273" s="120"/>
      <c r="AA273" s="120"/>
      <c r="AB273" s="120"/>
      <c r="AC273" s="120"/>
      <c r="AD273" s="120"/>
      <c r="AE273" s="120"/>
      <c r="AF273" s="120"/>
      <c r="AG273" s="120"/>
      <c r="AH273" s="120"/>
      <c r="AI273" s="120"/>
      <c r="AJ273" s="120"/>
    </row>
    <row r="274" spans="1:36" s="124" customFormat="1" x14ac:dyDescent="0.25">
      <c r="A274" s="120"/>
      <c r="B274" s="120"/>
      <c r="C274" s="120"/>
      <c r="D274" s="120"/>
      <c r="E274" s="120"/>
      <c r="F274" s="120"/>
      <c r="G274" s="120"/>
      <c r="H274" s="120"/>
      <c r="I274" s="181"/>
      <c r="J274" s="120"/>
      <c r="K274" s="120"/>
      <c r="L274" s="120"/>
      <c r="M274" s="120"/>
      <c r="N274" s="120"/>
      <c r="O274" s="120"/>
      <c r="P274" s="120"/>
      <c r="Q274" s="120"/>
      <c r="R274" s="120"/>
      <c r="S274" s="120"/>
      <c r="T274" s="120"/>
      <c r="U274" s="120"/>
      <c r="V274" s="120"/>
      <c r="W274" s="120"/>
      <c r="X274" s="120"/>
      <c r="Y274" s="120"/>
      <c r="Z274" s="120"/>
      <c r="AA274" s="120"/>
      <c r="AB274" s="120"/>
      <c r="AC274" s="120"/>
      <c r="AD274" s="120"/>
      <c r="AE274" s="120"/>
      <c r="AF274" s="120"/>
      <c r="AG274" s="120"/>
      <c r="AH274" s="120"/>
      <c r="AI274" s="120"/>
      <c r="AJ274" s="120"/>
    </row>
    <row r="275" spans="1:36" s="124" customFormat="1" x14ac:dyDescent="0.25">
      <c r="A275" s="120"/>
      <c r="B275" s="120"/>
      <c r="C275" s="120"/>
      <c r="D275" s="120"/>
      <c r="E275" s="120"/>
      <c r="F275" s="120"/>
      <c r="G275" s="120"/>
      <c r="H275" s="120"/>
      <c r="I275" s="181"/>
      <c r="J275" s="120"/>
      <c r="K275" s="120"/>
      <c r="L275" s="120"/>
      <c r="M275" s="120"/>
      <c r="N275" s="120"/>
      <c r="O275" s="120"/>
      <c r="P275" s="120"/>
      <c r="Q275" s="120"/>
      <c r="R275" s="120"/>
      <c r="S275" s="120"/>
      <c r="T275" s="120"/>
      <c r="U275" s="120"/>
      <c r="V275" s="120"/>
      <c r="W275" s="120"/>
      <c r="X275" s="120"/>
      <c r="Y275" s="120"/>
      <c r="Z275" s="120"/>
      <c r="AA275" s="120"/>
      <c r="AB275" s="120"/>
      <c r="AC275" s="120"/>
      <c r="AD275" s="120"/>
      <c r="AE275" s="120"/>
      <c r="AF275" s="120"/>
      <c r="AG275" s="120"/>
      <c r="AH275" s="120"/>
      <c r="AI275" s="120"/>
      <c r="AJ275" s="120"/>
    </row>
    <row r="276" spans="1:36" s="124" customFormat="1" x14ac:dyDescent="0.25">
      <c r="A276" s="120"/>
      <c r="B276" s="120"/>
      <c r="C276" s="120"/>
      <c r="D276" s="120"/>
      <c r="E276" s="120"/>
      <c r="F276" s="120"/>
      <c r="G276" s="120"/>
      <c r="H276" s="120"/>
      <c r="I276" s="181"/>
      <c r="J276" s="120"/>
      <c r="K276" s="120"/>
      <c r="L276" s="120"/>
      <c r="M276" s="120"/>
      <c r="N276" s="120"/>
      <c r="O276" s="120"/>
      <c r="P276" s="120"/>
      <c r="Q276" s="120"/>
      <c r="R276" s="120"/>
      <c r="S276" s="120"/>
      <c r="T276" s="120"/>
      <c r="U276" s="120"/>
      <c r="V276" s="120"/>
      <c r="W276" s="120"/>
      <c r="X276" s="120"/>
      <c r="Y276" s="120"/>
      <c r="Z276" s="120"/>
      <c r="AA276" s="120"/>
      <c r="AB276" s="120"/>
      <c r="AC276" s="120"/>
      <c r="AD276" s="120"/>
      <c r="AE276" s="120"/>
      <c r="AF276" s="120"/>
      <c r="AG276" s="120"/>
      <c r="AH276" s="120"/>
      <c r="AI276" s="120"/>
      <c r="AJ276" s="120"/>
    </row>
    <row r="277" spans="1:36" s="124" customFormat="1" x14ac:dyDescent="0.25">
      <c r="A277" s="120"/>
      <c r="B277" s="120"/>
      <c r="C277" s="120"/>
      <c r="D277" s="120"/>
      <c r="E277" s="120"/>
      <c r="F277" s="120"/>
      <c r="G277" s="120"/>
      <c r="H277" s="120"/>
      <c r="I277" s="181"/>
      <c r="J277" s="120"/>
      <c r="K277" s="120"/>
      <c r="L277" s="120"/>
      <c r="M277" s="120"/>
      <c r="N277" s="120"/>
      <c r="O277" s="120"/>
      <c r="P277" s="120"/>
      <c r="Q277" s="120"/>
      <c r="R277" s="120"/>
      <c r="S277" s="120"/>
      <c r="T277" s="120"/>
      <c r="U277" s="120"/>
      <c r="V277" s="120"/>
      <c r="W277" s="120"/>
      <c r="X277" s="120"/>
      <c r="Y277" s="120"/>
      <c r="Z277" s="120"/>
      <c r="AA277" s="120"/>
      <c r="AB277" s="120"/>
      <c r="AC277" s="120"/>
      <c r="AD277" s="120"/>
      <c r="AE277" s="120"/>
      <c r="AF277" s="120"/>
      <c r="AG277" s="120"/>
      <c r="AH277" s="120"/>
      <c r="AI277" s="120"/>
      <c r="AJ277" s="120"/>
    </row>
    <row r="278" spans="1:36" s="124" customFormat="1" x14ac:dyDescent="0.25">
      <c r="A278" s="120"/>
      <c r="B278" s="120"/>
      <c r="C278" s="120"/>
      <c r="D278" s="120"/>
      <c r="E278" s="120"/>
      <c r="F278" s="120"/>
      <c r="G278" s="120"/>
      <c r="H278" s="120"/>
      <c r="I278" s="181"/>
      <c r="J278" s="120"/>
      <c r="K278" s="120"/>
      <c r="L278" s="120"/>
      <c r="M278" s="120"/>
      <c r="N278" s="120"/>
      <c r="O278" s="120"/>
      <c r="P278" s="120"/>
      <c r="Q278" s="120"/>
      <c r="R278" s="120"/>
      <c r="S278" s="120"/>
      <c r="T278" s="120"/>
      <c r="U278" s="120"/>
      <c r="V278" s="120"/>
      <c r="W278" s="120"/>
      <c r="X278" s="120"/>
      <c r="Y278" s="120"/>
      <c r="Z278" s="120"/>
      <c r="AA278" s="120"/>
      <c r="AB278" s="120"/>
      <c r="AC278" s="120"/>
      <c r="AD278" s="120"/>
      <c r="AE278" s="120"/>
      <c r="AF278" s="120"/>
      <c r="AG278" s="120"/>
      <c r="AH278" s="120"/>
      <c r="AI278" s="120"/>
      <c r="AJ278" s="120"/>
    </row>
    <row r="279" spans="1:36" s="124" customFormat="1" x14ac:dyDescent="0.25">
      <c r="A279" s="120"/>
      <c r="B279" s="120"/>
      <c r="C279" s="120"/>
      <c r="D279" s="120"/>
      <c r="E279" s="120"/>
      <c r="F279" s="120"/>
      <c r="G279" s="120"/>
      <c r="H279" s="120"/>
      <c r="I279" s="181"/>
      <c r="J279" s="120"/>
      <c r="K279" s="120"/>
      <c r="L279" s="120"/>
      <c r="M279" s="120"/>
      <c r="N279" s="120"/>
      <c r="O279" s="120"/>
      <c r="P279" s="120"/>
      <c r="Q279" s="120"/>
      <c r="R279" s="120"/>
      <c r="S279" s="120"/>
      <c r="T279" s="120"/>
      <c r="U279" s="120"/>
      <c r="V279" s="120"/>
      <c r="W279" s="120"/>
      <c r="X279" s="120"/>
      <c r="Y279" s="120"/>
      <c r="Z279" s="120"/>
      <c r="AA279" s="120"/>
      <c r="AB279" s="120"/>
      <c r="AC279" s="120"/>
      <c r="AD279" s="120"/>
      <c r="AE279" s="120"/>
      <c r="AF279" s="120"/>
      <c r="AG279" s="120"/>
      <c r="AH279" s="120"/>
      <c r="AI279" s="120"/>
      <c r="AJ279" s="120"/>
    </row>
    <row r="280" spans="1:36" s="124" customFormat="1" x14ac:dyDescent="0.25">
      <c r="A280" s="120"/>
      <c r="B280" s="120"/>
      <c r="C280" s="120"/>
      <c r="D280" s="120"/>
      <c r="E280" s="120"/>
      <c r="F280" s="120"/>
      <c r="G280" s="120"/>
      <c r="H280" s="120"/>
      <c r="I280" s="181"/>
      <c r="J280" s="120"/>
      <c r="K280" s="120"/>
      <c r="L280" s="120"/>
      <c r="M280" s="120"/>
      <c r="N280" s="120"/>
      <c r="O280" s="120"/>
      <c r="P280" s="120"/>
      <c r="Q280" s="120"/>
      <c r="R280" s="120"/>
      <c r="S280" s="120"/>
      <c r="T280" s="120"/>
      <c r="U280" s="120"/>
      <c r="V280" s="120"/>
      <c r="W280" s="120"/>
      <c r="X280" s="120"/>
      <c r="Y280" s="120"/>
      <c r="Z280" s="120"/>
      <c r="AA280" s="120"/>
      <c r="AB280" s="120"/>
      <c r="AC280" s="120"/>
      <c r="AD280" s="120"/>
      <c r="AE280" s="120"/>
      <c r="AF280" s="120"/>
      <c r="AG280" s="120"/>
      <c r="AH280" s="120"/>
      <c r="AI280" s="120"/>
      <c r="AJ280" s="120"/>
    </row>
    <row r="281" spans="1:36" s="124" customFormat="1" x14ac:dyDescent="0.25">
      <c r="A281" s="120"/>
      <c r="B281" s="120"/>
      <c r="C281" s="120"/>
      <c r="D281" s="120"/>
      <c r="E281" s="120"/>
      <c r="F281" s="120"/>
      <c r="G281" s="120"/>
      <c r="H281" s="120"/>
      <c r="I281" s="181"/>
      <c r="J281" s="120"/>
      <c r="K281" s="120"/>
      <c r="L281" s="120"/>
      <c r="M281" s="120"/>
      <c r="N281" s="120"/>
      <c r="O281" s="120"/>
      <c r="P281" s="120"/>
      <c r="Q281" s="120"/>
      <c r="R281" s="120"/>
      <c r="S281" s="120"/>
      <c r="T281" s="120"/>
      <c r="U281" s="120"/>
      <c r="V281" s="120"/>
      <c r="W281" s="120"/>
      <c r="X281" s="120"/>
      <c r="Y281" s="120"/>
      <c r="Z281" s="120"/>
      <c r="AA281" s="120"/>
      <c r="AB281" s="120"/>
      <c r="AC281" s="120"/>
      <c r="AD281" s="120"/>
      <c r="AE281" s="120"/>
      <c r="AF281" s="120"/>
      <c r="AG281" s="120"/>
      <c r="AH281" s="120"/>
      <c r="AI281" s="120"/>
      <c r="AJ281" s="120"/>
    </row>
    <row r="282" spans="1:36" s="124" customFormat="1" x14ac:dyDescent="0.25">
      <c r="A282" s="120"/>
      <c r="B282" s="120"/>
      <c r="C282" s="120"/>
      <c r="D282" s="120"/>
      <c r="E282" s="120"/>
      <c r="F282" s="120"/>
      <c r="G282" s="120"/>
      <c r="H282" s="120"/>
      <c r="I282" s="181"/>
      <c r="J282" s="120"/>
      <c r="K282" s="120"/>
      <c r="L282" s="120"/>
      <c r="M282" s="120"/>
      <c r="N282" s="120"/>
      <c r="O282" s="120"/>
      <c r="P282" s="120"/>
      <c r="Q282" s="120"/>
      <c r="R282" s="120"/>
      <c r="S282" s="120"/>
      <c r="T282" s="120"/>
      <c r="U282" s="120"/>
      <c r="V282" s="120"/>
      <c r="W282" s="120"/>
      <c r="X282" s="120"/>
      <c r="Y282" s="120"/>
      <c r="Z282" s="120"/>
      <c r="AA282" s="120"/>
      <c r="AB282" s="120"/>
      <c r="AC282" s="120"/>
      <c r="AD282" s="120"/>
      <c r="AE282" s="120"/>
      <c r="AF282" s="120"/>
      <c r="AG282" s="120"/>
      <c r="AH282" s="120"/>
      <c r="AI282" s="120"/>
      <c r="AJ282" s="120"/>
    </row>
    <row r="283" spans="1:36" s="124" customFormat="1" x14ac:dyDescent="0.25">
      <c r="A283" s="120"/>
      <c r="B283" s="120"/>
      <c r="C283" s="120"/>
      <c r="D283" s="120"/>
      <c r="E283" s="120"/>
      <c r="F283" s="120"/>
      <c r="G283" s="120"/>
      <c r="H283" s="120"/>
      <c r="I283" s="181"/>
      <c r="J283" s="120"/>
      <c r="K283" s="120"/>
      <c r="L283" s="120"/>
      <c r="M283" s="120"/>
      <c r="N283" s="120"/>
      <c r="O283" s="120"/>
      <c r="P283" s="120"/>
      <c r="Q283" s="120"/>
      <c r="R283" s="120"/>
      <c r="S283" s="120"/>
      <c r="T283" s="120"/>
      <c r="U283" s="120"/>
      <c r="V283" s="120"/>
      <c r="W283" s="120"/>
      <c r="X283" s="120"/>
      <c r="Y283" s="120"/>
      <c r="Z283" s="120"/>
      <c r="AA283" s="120"/>
      <c r="AB283" s="120"/>
      <c r="AC283" s="120"/>
      <c r="AD283" s="120"/>
      <c r="AE283" s="120"/>
      <c r="AF283" s="120"/>
      <c r="AG283" s="120"/>
      <c r="AH283" s="120"/>
      <c r="AI283" s="120"/>
      <c r="AJ283" s="120"/>
    </row>
    <row r="284" spans="1:36" s="124" customFormat="1" x14ac:dyDescent="0.25">
      <c r="A284" s="120"/>
      <c r="B284" s="120"/>
      <c r="C284" s="120"/>
      <c r="D284" s="120"/>
      <c r="E284" s="120"/>
      <c r="F284" s="120"/>
      <c r="G284" s="120"/>
      <c r="H284" s="120"/>
      <c r="I284" s="181"/>
      <c r="J284" s="120"/>
      <c r="K284" s="120"/>
      <c r="L284" s="120"/>
      <c r="M284" s="120"/>
      <c r="N284" s="120"/>
      <c r="O284" s="120"/>
      <c r="P284" s="120"/>
      <c r="Q284" s="120"/>
      <c r="R284" s="120"/>
      <c r="S284" s="120"/>
      <c r="T284" s="120"/>
      <c r="U284" s="120"/>
      <c r="V284" s="120"/>
      <c r="W284" s="120"/>
      <c r="X284" s="120"/>
      <c r="Y284" s="120"/>
      <c r="Z284" s="120"/>
      <c r="AA284" s="120"/>
      <c r="AB284" s="120"/>
      <c r="AC284" s="120"/>
      <c r="AD284" s="120"/>
      <c r="AE284" s="120"/>
      <c r="AF284" s="120"/>
      <c r="AG284" s="120"/>
      <c r="AH284" s="120"/>
      <c r="AI284" s="120"/>
      <c r="AJ284" s="120"/>
    </row>
    <row r="285" spans="1:36" s="124" customFormat="1" x14ac:dyDescent="0.25">
      <c r="A285" s="120"/>
      <c r="B285" s="120"/>
      <c r="C285" s="120"/>
      <c r="D285" s="120"/>
      <c r="E285" s="120"/>
      <c r="F285" s="120"/>
      <c r="G285" s="120"/>
      <c r="H285" s="120"/>
      <c r="I285" s="181"/>
      <c r="J285" s="120"/>
      <c r="K285" s="120"/>
      <c r="L285" s="120"/>
      <c r="M285" s="120"/>
      <c r="N285" s="120"/>
      <c r="O285" s="120"/>
      <c r="P285" s="120"/>
      <c r="Q285" s="120"/>
      <c r="R285" s="120"/>
      <c r="S285" s="120"/>
      <c r="T285" s="120"/>
      <c r="U285" s="120"/>
      <c r="V285" s="120"/>
      <c r="W285" s="120"/>
      <c r="X285" s="120"/>
      <c r="Y285" s="120"/>
      <c r="Z285" s="120"/>
      <c r="AA285" s="120"/>
      <c r="AB285" s="120"/>
      <c r="AC285" s="120"/>
      <c r="AD285" s="120"/>
      <c r="AE285" s="120"/>
      <c r="AF285" s="120"/>
      <c r="AG285" s="120"/>
      <c r="AH285" s="120"/>
      <c r="AI285" s="120"/>
      <c r="AJ285" s="120"/>
    </row>
    <row r="286" spans="1:36" s="124" customFormat="1" x14ac:dyDescent="0.25">
      <c r="A286" s="120"/>
      <c r="B286" s="120"/>
      <c r="C286" s="120"/>
      <c r="D286" s="120"/>
      <c r="E286" s="120"/>
      <c r="F286" s="120"/>
      <c r="G286" s="120"/>
      <c r="H286" s="120"/>
      <c r="I286" s="181"/>
      <c r="J286" s="120"/>
      <c r="K286" s="120"/>
      <c r="L286" s="120"/>
      <c r="M286" s="120"/>
      <c r="N286" s="120"/>
      <c r="O286" s="120"/>
      <c r="P286" s="120"/>
      <c r="Q286" s="120"/>
      <c r="R286" s="120"/>
      <c r="S286" s="120"/>
      <c r="T286" s="120"/>
      <c r="U286" s="120"/>
      <c r="V286" s="120"/>
      <c r="W286" s="120"/>
      <c r="X286" s="120"/>
      <c r="Y286" s="120"/>
      <c r="Z286" s="120"/>
      <c r="AA286" s="120"/>
      <c r="AB286" s="120"/>
      <c r="AC286" s="120"/>
      <c r="AD286" s="120"/>
      <c r="AE286" s="120"/>
      <c r="AF286" s="120"/>
      <c r="AG286" s="120"/>
      <c r="AH286" s="120"/>
      <c r="AI286" s="120"/>
      <c r="AJ286" s="120"/>
    </row>
    <row r="287" spans="1:36" s="124" customFormat="1" x14ac:dyDescent="0.25">
      <c r="A287" s="120"/>
      <c r="B287" s="120"/>
      <c r="C287" s="120"/>
      <c r="D287" s="120"/>
      <c r="E287" s="120"/>
      <c r="F287" s="120"/>
      <c r="G287" s="120"/>
      <c r="H287" s="120"/>
      <c r="I287" s="181"/>
      <c r="J287" s="120"/>
      <c r="K287" s="120"/>
      <c r="L287" s="120"/>
      <c r="M287" s="120"/>
      <c r="N287" s="120"/>
      <c r="O287" s="120"/>
      <c r="P287" s="120"/>
      <c r="Q287" s="120"/>
      <c r="R287" s="120"/>
      <c r="S287" s="120"/>
      <c r="T287" s="120"/>
      <c r="U287" s="120"/>
      <c r="V287" s="120"/>
      <c r="W287" s="120"/>
      <c r="X287" s="120"/>
      <c r="Y287" s="120"/>
      <c r="Z287" s="120"/>
      <c r="AA287" s="120"/>
      <c r="AB287" s="120"/>
      <c r="AC287" s="120"/>
      <c r="AD287" s="120"/>
      <c r="AE287" s="120"/>
      <c r="AF287" s="120"/>
      <c r="AG287" s="120"/>
      <c r="AH287" s="120"/>
      <c r="AI287" s="120"/>
      <c r="AJ287" s="120"/>
    </row>
    <row r="288" spans="1:36" s="124" customFormat="1" x14ac:dyDescent="0.25">
      <c r="A288" s="120"/>
      <c r="B288" s="120"/>
      <c r="C288" s="120"/>
      <c r="D288" s="120"/>
      <c r="E288" s="120"/>
      <c r="F288" s="120"/>
      <c r="G288" s="120"/>
      <c r="H288" s="120"/>
      <c r="I288" s="181"/>
      <c r="J288" s="120"/>
      <c r="K288" s="120"/>
      <c r="L288" s="120"/>
      <c r="M288" s="120"/>
      <c r="N288" s="120"/>
      <c r="O288" s="120"/>
      <c r="P288" s="120"/>
      <c r="Q288" s="120"/>
      <c r="R288" s="120"/>
      <c r="S288" s="120"/>
      <c r="T288" s="120"/>
      <c r="U288" s="120"/>
      <c r="V288" s="120"/>
      <c r="W288" s="120"/>
      <c r="X288" s="120"/>
      <c r="Y288" s="120"/>
      <c r="Z288" s="120"/>
      <c r="AA288" s="120"/>
      <c r="AB288" s="120"/>
      <c r="AC288" s="120"/>
      <c r="AD288" s="120"/>
      <c r="AE288" s="120"/>
      <c r="AF288" s="120"/>
      <c r="AG288" s="120"/>
      <c r="AH288" s="120"/>
      <c r="AI288" s="120"/>
      <c r="AJ288" s="120"/>
    </row>
    <row r="289" spans="1:36" s="124" customFormat="1" x14ac:dyDescent="0.25">
      <c r="A289" s="120"/>
      <c r="B289" s="120"/>
      <c r="C289" s="120"/>
      <c r="D289" s="120"/>
      <c r="E289" s="120"/>
      <c r="F289" s="120"/>
      <c r="G289" s="120"/>
      <c r="H289" s="120"/>
      <c r="I289" s="181"/>
      <c r="J289" s="120"/>
      <c r="K289" s="120"/>
      <c r="L289" s="120"/>
      <c r="M289" s="120"/>
      <c r="N289" s="120"/>
      <c r="O289" s="120"/>
      <c r="P289" s="120"/>
      <c r="Q289" s="120"/>
      <c r="R289" s="120"/>
      <c r="S289" s="120"/>
      <c r="T289" s="120"/>
      <c r="U289" s="120"/>
      <c r="V289" s="120"/>
      <c r="W289" s="120"/>
      <c r="X289" s="120"/>
      <c r="Y289" s="120"/>
      <c r="Z289" s="120"/>
      <c r="AA289" s="120"/>
      <c r="AB289" s="120"/>
      <c r="AC289" s="120"/>
      <c r="AD289" s="120"/>
      <c r="AE289" s="120"/>
      <c r="AF289" s="120"/>
      <c r="AG289" s="120"/>
      <c r="AH289" s="120"/>
      <c r="AI289" s="120"/>
      <c r="AJ289" s="120"/>
    </row>
    <row r="290" spans="1:36" s="124" customFormat="1" x14ac:dyDescent="0.25">
      <c r="A290" s="120"/>
      <c r="B290" s="120"/>
      <c r="C290" s="120"/>
      <c r="D290" s="120"/>
      <c r="E290" s="120"/>
      <c r="F290" s="120"/>
      <c r="G290" s="120"/>
      <c r="H290" s="120"/>
      <c r="I290" s="181"/>
      <c r="J290" s="120"/>
      <c r="K290" s="120"/>
      <c r="L290" s="120"/>
      <c r="M290" s="120"/>
      <c r="N290" s="120"/>
      <c r="O290" s="120"/>
      <c r="P290" s="120"/>
      <c r="Q290" s="120"/>
      <c r="R290" s="120"/>
      <c r="S290" s="120"/>
      <c r="T290" s="120"/>
      <c r="U290" s="120"/>
      <c r="V290" s="120"/>
      <c r="W290" s="120"/>
      <c r="X290" s="120"/>
      <c r="Y290" s="120"/>
      <c r="Z290" s="120"/>
      <c r="AA290" s="120"/>
      <c r="AB290" s="120"/>
      <c r="AC290" s="120"/>
      <c r="AD290" s="120"/>
      <c r="AE290" s="120"/>
      <c r="AF290" s="120"/>
      <c r="AG290" s="120"/>
      <c r="AH290" s="120"/>
      <c r="AI290" s="120"/>
      <c r="AJ290" s="120"/>
    </row>
    <row r="291" spans="1:36" s="124" customFormat="1" x14ac:dyDescent="0.25">
      <c r="A291" s="120"/>
      <c r="B291" s="120"/>
      <c r="C291" s="120"/>
      <c r="D291" s="120"/>
      <c r="E291" s="120"/>
      <c r="F291" s="120"/>
      <c r="G291" s="120"/>
      <c r="H291" s="120"/>
      <c r="I291" s="181"/>
      <c r="J291" s="120"/>
      <c r="K291" s="120"/>
      <c r="L291" s="120"/>
      <c r="M291" s="120"/>
      <c r="N291" s="120"/>
      <c r="O291" s="120"/>
      <c r="P291" s="120"/>
      <c r="Q291" s="120"/>
      <c r="R291" s="120"/>
      <c r="S291" s="120"/>
      <c r="T291" s="120"/>
      <c r="U291" s="120"/>
      <c r="V291" s="120"/>
      <c r="W291" s="120"/>
      <c r="X291" s="120"/>
      <c r="Y291" s="120"/>
      <c r="Z291" s="120"/>
      <c r="AA291" s="120"/>
      <c r="AB291" s="120"/>
      <c r="AC291" s="120"/>
      <c r="AD291" s="120"/>
      <c r="AE291" s="120"/>
      <c r="AF291" s="120"/>
      <c r="AG291" s="120"/>
      <c r="AH291" s="120"/>
      <c r="AI291" s="120"/>
      <c r="AJ291" s="120"/>
    </row>
    <row r="292" spans="1:36" s="124" customFormat="1" x14ac:dyDescent="0.25">
      <c r="A292" s="120"/>
      <c r="B292" s="120"/>
      <c r="C292" s="120"/>
      <c r="D292" s="120"/>
      <c r="E292" s="120"/>
      <c r="F292" s="120"/>
      <c r="G292" s="120"/>
      <c r="H292" s="120"/>
      <c r="I292" s="181"/>
      <c r="J292" s="120"/>
      <c r="K292" s="120"/>
      <c r="L292" s="120"/>
      <c r="M292" s="120"/>
      <c r="N292" s="120"/>
      <c r="O292" s="120"/>
      <c r="P292" s="120"/>
      <c r="Q292" s="120"/>
      <c r="R292" s="120"/>
      <c r="S292" s="120"/>
      <c r="T292" s="120"/>
      <c r="U292" s="120"/>
      <c r="V292" s="120"/>
      <c r="W292" s="120"/>
      <c r="X292" s="120"/>
      <c r="Y292" s="120"/>
      <c r="Z292" s="120"/>
      <c r="AA292" s="120"/>
      <c r="AB292" s="120"/>
      <c r="AC292" s="120"/>
      <c r="AD292" s="120"/>
      <c r="AE292" s="120"/>
      <c r="AF292" s="120"/>
      <c r="AG292" s="120"/>
      <c r="AH292" s="120"/>
      <c r="AI292" s="120"/>
      <c r="AJ292" s="120"/>
    </row>
    <row r="293" spans="1:36" s="124" customFormat="1" x14ac:dyDescent="0.25">
      <c r="A293" s="120"/>
      <c r="B293" s="120"/>
      <c r="C293" s="120"/>
      <c r="D293" s="120"/>
      <c r="E293" s="120"/>
      <c r="F293" s="120"/>
      <c r="G293" s="120"/>
      <c r="H293" s="120"/>
      <c r="I293" s="181"/>
      <c r="J293" s="120"/>
      <c r="K293" s="120"/>
      <c r="L293" s="120"/>
      <c r="M293" s="120"/>
      <c r="N293" s="120"/>
      <c r="O293" s="120"/>
      <c r="P293" s="120"/>
      <c r="Q293" s="120"/>
      <c r="R293" s="120"/>
      <c r="S293" s="120"/>
      <c r="T293" s="120"/>
      <c r="U293" s="120"/>
      <c r="V293" s="120"/>
      <c r="W293" s="120"/>
      <c r="X293" s="120"/>
      <c r="Y293" s="120"/>
      <c r="Z293" s="120"/>
      <c r="AA293" s="120"/>
      <c r="AB293" s="120"/>
      <c r="AC293" s="120"/>
      <c r="AD293" s="120"/>
      <c r="AE293" s="120"/>
      <c r="AF293" s="120"/>
      <c r="AG293" s="120"/>
      <c r="AH293" s="120"/>
      <c r="AI293" s="120"/>
      <c r="AJ293" s="120"/>
    </row>
    <row r="294" spans="1:36" s="124" customFormat="1" x14ac:dyDescent="0.25">
      <c r="A294" s="120"/>
      <c r="B294" s="120"/>
      <c r="C294" s="120"/>
      <c r="D294" s="120"/>
      <c r="E294" s="120"/>
      <c r="F294" s="120"/>
      <c r="G294" s="120"/>
      <c r="H294" s="120"/>
      <c r="I294" s="181"/>
      <c r="J294" s="120"/>
      <c r="K294" s="120"/>
      <c r="L294" s="120"/>
      <c r="M294" s="120"/>
      <c r="N294" s="120"/>
      <c r="O294" s="120"/>
      <c r="P294" s="120"/>
      <c r="Q294" s="120"/>
      <c r="R294" s="120"/>
      <c r="S294" s="120"/>
      <c r="T294" s="120"/>
      <c r="U294" s="120"/>
      <c r="V294" s="120"/>
      <c r="W294" s="120"/>
      <c r="X294" s="120"/>
      <c r="Y294" s="120"/>
      <c r="Z294" s="120"/>
      <c r="AA294" s="120"/>
      <c r="AB294" s="120"/>
      <c r="AC294" s="120"/>
      <c r="AD294" s="120"/>
      <c r="AE294" s="120"/>
      <c r="AF294" s="120"/>
      <c r="AG294" s="120"/>
      <c r="AH294" s="120"/>
      <c r="AI294" s="120"/>
      <c r="AJ294" s="120"/>
    </row>
    <row r="295" spans="1:36" s="124" customFormat="1" x14ac:dyDescent="0.25">
      <c r="A295" s="120"/>
      <c r="B295" s="120"/>
      <c r="C295" s="120"/>
      <c r="D295" s="120"/>
      <c r="E295" s="120"/>
      <c r="F295" s="120"/>
      <c r="G295" s="120"/>
      <c r="H295" s="120"/>
      <c r="I295" s="181"/>
      <c r="J295" s="120"/>
      <c r="K295" s="120"/>
      <c r="L295" s="120"/>
      <c r="M295" s="120"/>
      <c r="N295" s="120"/>
      <c r="O295" s="120"/>
      <c r="P295" s="120"/>
      <c r="Q295" s="120"/>
      <c r="R295" s="120"/>
      <c r="S295" s="120"/>
      <c r="T295" s="120"/>
      <c r="U295" s="120"/>
      <c r="V295" s="120"/>
      <c r="W295" s="120"/>
      <c r="X295" s="120"/>
      <c r="Y295" s="120"/>
      <c r="Z295" s="120"/>
      <c r="AA295" s="120"/>
      <c r="AB295" s="120"/>
      <c r="AC295" s="120"/>
      <c r="AD295" s="120"/>
      <c r="AE295" s="120"/>
      <c r="AF295" s="120"/>
      <c r="AG295" s="120"/>
      <c r="AH295" s="120"/>
      <c r="AI295" s="120"/>
      <c r="AJ295" s="120"/>
    </row>
    <row r="296" spans="1:36" s="124" customFormat="1" x14ac:dyDescent="0.25">
      <c r="A296" s="120"/>
      <c r="B296" s="120"/>
      <c r="C296" s="120"/>
      <c r="D296" s="120"/>
      <c r="E296" s="120"/>
      <c r="F296" s="120"/>
      <c r="G296" s="120"/>
      <c r="H296" s="120"/>
      <c r="I296" s="181"/>
      <c r="J296" s="120"/>
      <c r="K296" s="120"/>
      <c r="L296" s="120"/>
      <c r="M296" s="120"/>
      <c r="N296" s="120"/>
      <c r="O296" s="120"/>
      <c r="P296" s="120"/>
      <c r="Q296" s="120"/>
      <c r="R296" s="120"/>
      <c r="S296" s="120"/>
      <c r="T296" s="120"/>
      <c r="U296" s="120"/>
      <c r="V296" s="120"/>
      <c r="W296" s="120"/>
      <c r="X296" s="120"/>
      <c r="Y296" s="120"/>
      <c r="Z296" s="120"/>
      <c r="AA296" s="120"/>
      <c r="AB296" s="120"/>
      <c r="AC296" s="120"/>
      <c r="AD296" s="120"/>
      <c r="AE296" s="120"/>
      <c r="AF296" s="120"/>
      <c r="AG296" s="120"/>
      <c r="AH296" s="120"/>
      <c r="AI296" s="120"/>
      <c r="AJ296" s="120"/>
    </row>
    <row r="297" spans="1:36" s="124" customFormat="1" x14ac:dyDescent="0.25">
      <c r="A297" s="120"/>
      <c r="B297" s="120"/>
      <c r="C297" s="120"/>
      <c r="D297" s="120"/>
      <c r="E297" s="120"/>
      <c r="F297" s="120"/>
      <c r="G297" s="120"/>
      <c r="H297" s="120"/>
      <c r="I297" s="181"/>
      <c r="J297" s="120"/>
      <c r="K297" s="120"/>
      <c r="L297" s="120"/>
      <c r="M297" s="120"/>
      <c r="N297" s="120"/>
      <c r="O297" s="120"/>
      <c r="P297" s="120"/>
      <c r="Q297" s="120"/>
      <c r="R297" s="120"/>
      <c r="S297" s="120"/>
      <c r="T297" s="120"/>
      <c r="U297" s="120"/>
      <c r="V297" s="120"/>
      <c r="W297" s="120"/>
      <c r="X297" s="120"/>
      <c r="Y297" s="120"/>
      <c r="Z297" s="120"/>
      <c r="AA297" s="120"/>
      <c r="AB297" s="120"/>
      <c r="AC297" s="120"/>
      <c r="AD297" s="120"/>
      <c r="AE297" s="120"/>
      <c r="AF297" s="120"/>
      <c r="AG297" s="120"/>
      <c r="AH297" s="120"/>
      <c r="AI297" s="120"/>
      <c r="AJ297" s="120"/>
    </row>
    <row r="298" spans="1:36" s="124" customFormat="1" x14ac:dyDescent="0.25">
      <c r="A298" s="120"/>
      <c r="B298" s="120"/>
      <c r="C298" s="120"/>
      <c r="D298" s="120"/>
      <c r="E298" s="120"/>
      <c r="F298" s="120"/>
      <c r="G298" s="120"/>
      <c r="H298" s="120"/>
      <c r="I298" s="181"/>
      <c r="J298" s="120"/>
      <c r="K298" s="120"/>
      <c r="L298" s="120"/>
      <c r="M298" s="120"/>
      <c r="N298" s="120"/>
      <c r="O298" s="120"/>
      <c r="P298" s="120"/>
      <c r="Q298" s="120"/>
      <c r="R298" s="120"/>
      <c r="S298" s="120"/>
      <c r="T298" s="120"/>
      <c r="U298" s="120"/>
      <c r="V298" s="120"/>
      <c r="W298" s="120"/>
      <c r="X298" s="120"/>
      <c r="Y298" s="120"/>
      <c r="Z298" s="120"/>
      <c r="AA298" s="120"/>
      <c r="AB298" s="120"/>
      <c r="AC298" s="120"/>
      <c r="AD298" s="120"/>
      <c r="AE298" s="120"/>
      <c r="AF298" s="120"/>
      <c r="AG298" s="120"/>
      <c r="AH298" s="120"/>
      <c r="AI298" s="120"/>
      <c r="AJ298" s="120"/>
    </row>
    <row r="299" spans="1:36" s="124" customFormat="1" x14ac:dyDescent="0.25">
      <c r="A299" s="120"/>
      <c r="B299" s="120"/>
      <c r="C299" s="120"/>
      <c r="D299" s="120"/>
      <c r="E299" s="120"/>
      <c r="F299" s="120"/>
      <c r="G299" s="120"/>
      <c r="H299" s="120"/>
      <c r="I299" s="181"/>
      <c r="J299" s="120"/>
      <c r="K299" s="120"/>
      <c r="L299" s="120"/>
      <c r="M299" s="120"/>
      <c r="N299" s="120"/>
      <c r="O299" s="120"/>
      <c r="P299" s="120"/>
      <c r="Q299" s="120"/>
      <c r="R299" s="120"/>
      <c r="S299" s="120"/>
      <c r="T299" s="120"/>
      <c r="U299" s="120"/>
      <c r="V299" s="120"/>
      <c r="W299" s="120"/>
      <c r="X299" s="120"/>
      <c r="Y299" s="120"/>
      <c r="Z299" s="120"/>
      <c r="AA299" s="120"/>
      <c r="AB299" s="120"/>
      <c r="AC299" s="120"/>
      <c r="AD299" s="120"/>
      <c r="AE299" s="120"/>
      <c r="AF299" s="120"/>
      <c r="AG299" s="120"/>
      <c r="AH299" s="120"/>
      <c r="AI299" s="120"/>
      <c r="AJ299" s="120"/>
    </row>
    <row r="300" spans="1:36" s="124" customFormat="1" x14ac:dyDescent="0.25">
      <c r="A300" s="120"/>
      <c r="B300" s="120"/>
      <c r="C300" s="120"/>
      <c r="D300" s="120"/>
      <c r="E300" s="120"/>
      <c r="F300" s="120"/>
      <c r="G300" s="120"/>
      <c r="H300" s="120"/>
      <c r="I300" s="181"/>
      <c r="J300" s="120"/>
      <c r="K300" s="120"/>
      <c r="L300" s="120"/>
      <c r="M300" s="120"/>
      <c r="N300" s="120"/>
      <c r="O300" s="120"/>
      <c r="P300" s="120"/>
      <c r="Q300" s="120"/>
      <c r="R300" s="120"/>
      <c r="S300" s="120"/>
      <c r="T300" s="120"/>
      <c r="U300" s="120"/>
      <c r="V300" s="120"/>
      <c r="W300" s="120"/>
      <c r="X300" s="120"/>
      <c r="Y300" s="120"/>
      <c r="Z300" s="120"/>
      <c r="AA300" s="120"/>
      <c r="AB300" s="120"/>
      <c r="AC300" s="120"/>
      <c r="AD300" s="120"/>
      <c r="AE300" s="120"/>
      <c r="AF300" s="120"/>
      <c r="AG300" s="120"/>
      <c r="AH300" s="120"/>
      <c r="AI300" s="120"/>
      <c r="AJ300" s="120"/>
    </row>
    <row r="301" spans="1:36" s="124" customFormat="1" x14ac:dyDescent="0.25">
      <c r="A301" s="120"/>
      <c r="B301" s="120"/>
      <c r="C301" s="120"/>
      <c r="D301" s="120"/>
      <c r="E301" s="120"/>
      <c r="F301" s="120"/>
      <c r="G301" s="120"/>
      <c r="H301" s="120"/>
      <c r="I301" s="181"/>
      <c r="J301" s="120"/>
      <c r="K301" s="120"/>
      <c r="L301" s="120"/>
      <c r="M301" s="120"/>
      <c r="N301" s="120"/>
      <c r="O301" s="120"/>
      <c r="P301" s="120"/>
      <c r="Q301" s="120"/>
      <c r="R301" s="120"/>
      <c r="S301" s="120"/>
      <c r="T301" s="120"/>
      <c r="U301" s="120"/>
      <c r="V301" s="120"/>
      <c r="W301" s="120"/>
      <c r="X301" s="120"/>
      <c r="Y301" s="120"/>
      <c r="Z301" s="120"/>
      <c r="AA301" s="120"/>
      <c r="AB301" s="120"/>
      <c r="AC301" s="120"/>
      <c r="AD301" s="120"/>
      <c r="AE301" s="120"/>
      <c r="AF301" s="120"/>
      <c r="AG301" s="120"/>
      <c r="AH301" s="120"/>
      <c r="AI301" s="120"/>
      <c r="AJ301" s="120"/>
    </row>
    <row r="302" spans="1:36" s="124" customFormat="1" x14ac:dyDescent="0.25">
      <c r="A302" s="120"/>
      <c r="B302" s="120"/>
      <c r="C302" s="120"/>
      <c r="D302" s="120"/>
      <c r="E302" s="120"/>
      <c r="F302" s="120"/>
      <c r="G302" s="120"/>
      <c r="H302" s="120"/>
      <c r="I302" s="181"/>
      <c r="J302" s="120"/>
      <c r="K302" s="120"/>
      <c r="L302" s="120"/>
      <c r="M302" s="120"/>
      <c r="N302" s="120"/>
      <c r="O302" s="120"/>
      <c r="P302" s="120"/>
      <c r="Q302" s="120"/>
      <c r="R302" s="120"/>
      <c r="S302" s="120"/>
      <c r="T302" s="120"/>
      <c r="U302" s="120"/>
      <c r="V302" s="120"/>
      <c r="W302" s="120"/>
      <c r="X302" s="120"/>
      <c r="Y302" s="120"/>
      <c r="Z302" s="120"/>
      <c r="AA302" s="120"/>
      <c r="AB302" s="120"/>
      <c r="AC302" s="120"/>
      <c r="AD302" s="120"/>
      <c r="AE302" s="120"/>
      <c r="AF302" s="120"/>
      <c r="AG302" s="120"/>
      <c r="AH302" s="120"/>
      <c r="AI302" s="120"/>
      <c r="AJ302" s="120"/>
    </row>
    <row r="303" spans="1:36" s="124" customFormat="1" x14ac:dyDescent="0.25">
      <c r="A303" s="120"/>
      <c r="B303" s="120"/>
      <c r="C303" s="120"/>
      <c r="D303" s="120"/>
      <c r="E303" s="120"/>
      <c r="F303" s="120"/>
      <c r="G303" s="120"/>
      <c r="H303" s="120"/>
      <c r="I303" s="181"/>
      <c r="J303" s="120"/>
      <c r="K303" s="120"/>
      <c r="L303" s="120"/>
      <c r="M303" s="120"/>
      <c r="N303" s="120"/>
      <c r="O303" s="120"/>
      <c r="P303" s="120"/>
      <c r="Q303" s="120"/>
      <c r="R303" s="120"/>
      <c r="S303" s="120"/>
      <c r="T303" s="120"/>
      <c r="U303" s="120"/>
      <c r="V303" s="120"/>
      <c r="W303" s="120"/>
      <c r="X303" s="120"/>
      <c r="Y303" s="120"/>
      <c r="Z303" s="120"/>
      <c r="AA303" s="120"/>
      <c r="AB303" s="120"/>
      <c r="AC303" s="120"/>
      <c r="AD303" s="120"/>
      <c r="AE303" s="120"/>
      <c r="AF303" s="120"/>
      <c r="AG303" s="120"/>
      <c r="AH303" s="120"/>
      <c r="AI303" s="120"/>
      <c r="AJ303" s="120"/>
    </row>
    <row r="304" spans="1:36" s="124" customFormat="1" x14ac:dyDescent="0.25">
      <c r="A304" s="120"/>
      <c r="B304" s="120"/>
      <c r="C304" s="120"/>
      <c r="D304" s="120"/>
      <c r="E304" s="120"/>
      <c r="F304" s="120"/>
      <c r="G304" s="120"/>
      <c r="H304" s="120"/>
      <c r="I304" s="181"/>
      <c r="J304" s="120"/>
      <c r="K304" s="120"/>
      <c r="L304" s="120"/>
      <c r="M304" s="120"/>
      <c r="N304" s="120"/>
      <c r="O304" s="120"/>
      <c r="P304" s="120"/>
      <c r="Q304" s="120"/>
      <c r="R304" s="120"/>
      <c r="S304" s="120"/>
      <c r="T304" s="120"/>
      <c r="U304" s="120"/>
      <c r="V304" s="120"/>
      <c r="W304" s="120"/>
      <c r="X304" s="120"/>
      <c r="Y304" s="120"/>
      <c r="Z304" s="120"/>
      <c r="AA304" s="120"/>
      <c r="AB304" s="120"/>
      <c r="AC304" s="120"/>
      <c r="AD304" s="120"/>
      <c r="AE304" s="120"/>
      <c r="AF304" s="120"/>
      <c r="AG304" s="120"/>
      <c r="AH304" s="120"/>
      <c r="AI304" s="120"/>
      <c r="AJ304" s="120"/>
    </row>
    <row r="305" spans="1:36" s="124" customFormat="1" x14ac:dyDescent="0.25">
      <c r="A305" s="120"/>
      <c r="B305" s="120"/>
      <c r="C305" s="120"/>
      <c r="D305" s="120"/>
      <c r="E305" s="120"/>
      <c r="F305" s="120"/>
      <c r="G305" s="120"/>
      <c r="H305" s="120"/>
      <c r="I305" s="181"/>
      <c r="J305" s="120"/>
      <c r="K305" s="120"/>
      <c r="L305" s="120"/>
      <c r="M305" s="120"/>
      <c r="N305" s="120"/>
      <c r="O305" s="120"/>
      <c r="P305" s="120"/>
      <c r="Q305" s="120"/>
      <c r="R305" s="120"/>
      <c r="S305" s="120"/>
      <c r="T305" s="120"/>
      <c r="U305" s="120"/>
      <c r="V305" s="120"/>
      <c r="W305" s="120"/>
      <c r="X305" s="120"/>
      <c r="Y305" s="120"/>
      <c r="Z305" s="120"/>
      <c r="AA305" s="120"/>
      <c r="AB305" s="120"/>
      <c r="AC305" s="120"/>
      <c r="AD305" s="120"/>
      <c r="AE305" s="120"/>
      <c r="AF305" s="120"/>
      <c r="AG305" s="120"/>
      <c r="AH305" s="120"/>
      <c r="AI305" s="120"/>
      <c r="AJ305" s="120"/>
    </row>
    <row r="306" spans="1:36" s="124" customFormat="1" x14ac:dyDescent="0.25">
      <c r="A306" s="120"/>
      <c r="B306" s="120"/>
      <c r="C306" s="120"/>
      <c r="D306" s="120"/>
      <c r="E306" s="120"/>
      <c r="F306" s="120"/>
      <c r="G306" s="120"/>
      <c r="H306" s="120"/>
      <c r="I306" s="181"/>
      <c r="J306" s="120"/>
      <c r="K306" s="120"/>
      <c r="L306" s="120"/>
      <c r="M306" s="120"/>
      <c r="N306" s="120"/>
      <c r="O306" s="120"/>
      <c r="P306" s="120"/>
      <c r="Q306" s="120"/>
      <c r="R306" s="120"/>
      <c r="S306" s="120"/>
      <c r="T306" s="120"/>
      <c r="U306" s="120"/>
      <c r="V306" s="120"/>
      <c r="W306" s="120"/>
      <c r="X306" s="120"/>
      <c r="Y306" s="120"/>
      <c r="Z306" s="120"/>
      <c r="AA306" s="120"/>
      <c r="AB306" s="120"/>
      <c r="AC306" s="120"/>
      <c r="AD306" s="120"/>
      <c r="AE306" s="120"/>
      <c r="AF306" s="120"/>
      <c r="AG306" s="120"/>
      <c r="AH306" s="120"/>
      <c r="AI306" s="120"/>
      <c r="AJ306" s="120"/>
    </row>
    <row r="307" spans="1:36" s="124" customFormat="1" x14ac:dyDescent="0.25">
      <c r="A307" s="120"/>
      <c r="B307" s="120"/>
      <c r="C307" s="120"/>
      <c r="D307" s="120"/>
      <c r="E307" s="120"/>
      <c r="F307" s="120"/>
      <c r="G307" s="120"/>
      <c r="H307" s="120"/>
      <c r="I307" s="181"/>
      <c r="J307" s="120"/>
      <c r="K307" s="120"/>
      <c r="L307" s="120"/>
      <c r="M307" s="120"/>
      <c r="N307" s="120"/>
      <c r="O307" s="120"/>
      <c r="P307" s="120"/>
      <c r="Q307" s="120"/>
      <c r="R307" s="120"/>
      <c r="S307" s="120"/>
      <c r="T307" s="120"/>
      <c r="U307" s="120"/>
      <c r="V307" s="120"/>
      <c r="W307" s="120"/>
      <c r="X307" s="120"/>
      <c r="Y307" s="120"/>
      <c r="Z307" s="120"/>
      <c r="AA307" s="120"/>
      <c r="AB307" s="120"/>
      <c r="AC307" s="120"/>
      <c r="AD307" s="120"/>
      <c r="AE307" s="120"/>
      <c r="AF307" s="120"/>
      <c r="AG307" s="120"/>
      <c r="AH307" s="120"/>
      <c r="AI307" s="120"/>
      <c r="AJ307" s="120"/>
    </row>
    <row r="308" spans="1:36" s="124" customFormat="1" x14ac:dyDescent="0.25">
      <c r="A308" s="120"/>
      <c r="B308" s="120"/>
      <c r="C308" s="120"/>
      <c r="D308" s="120"/>
      <c r="E308" s="120"/>
      <c r="F308" s="120"/>
      <c r="G308" s="120"/>
      <c r="H308" s="120"/>
      <c r="I308" s="181"/>
      <c r="J308" s="120"/>
      <c r="K308" s="120"/>
      <c r="L308" s="120"/>
      <c r="M308" s="120"/>
      <c r="N308" s="120"/>
      <c r="O308" s="120"/>
      <c r="P308" s="120"/>
      <c r="Q308" s="120"/>
      <c r="R308" s="120"/>
      <c r="S308" s="120"/>
      <c r="T308" s="120"/>
      <c r="U308" s="120"/>
      <c r="V308" s="120"/>
      <c r="W308" s="120"/>
      <c r="X308" s="120"/>
      <c r="Y308" s="120"/>
      <c r="Z308" s="120"/>
      <c r="AA308" s="120"/>
      <c r="AB308" s="120"/>
      <c r="AC308" s="120"/>
      <c r="AD308" s="120"/>
      <c r="AE308" s="120"/>
      <c r="AF308" s="120"/>
      <c r="AG308" s="120"/>
      <c r="AH308" s="120"/>
      <c r="AI308" s="120"/>
      <c r="AJ308" s="120"/>
    </row>
    <row r="309" spans="1:36" s="124" customFormat="1" x14ac:dyDescent="0.25">
      <c r="A309" s="120"/>
      <c r="B309" s="120"/>
      <c r="C309" s="120"/>
      <c r="D309" s="120"/>
      <c r="E309" s="120"/>
      <c r="F309" s="120"/>
      <c r="G309" s="120"/>
      <c r="H309" s="120"/>
      <c r="I309" s="181"/>
      <c r="J309" s="120"/>
      <c r="K309" s="120"/>
      <c r="L309" s="120"/>
      <c r="M309" s="120"/>
      <c r="N309" s="120"/>
      <c r="O309" s="120"/>
      <c r="P309" s="120"/>
      <c r="Q309" s="120"/>
      <c r="R309" s="120"/>
      <c r="S309" s="120"/>
      <c r="T309" s="120"/>
      <c r="U309" s="120"/>
      <c r="V309" s="120"/>
      <c r="W309" s="120"/>
      <c r="X309" s="120"/>
      <c r="Y309" s="120"/>
      <c r="Z309" s="120"/>
      <c r="AA309" s="120"/>
      <c r="AB309" s="120"/>
      <c r="AC309" s="120"/>
      <c r="AD309" s="120"/>
      <c r="AE309" s="120"/>
      <c r="AF309" s="120"/>
      <c r="AG309" s="120"/>
      <c r="AH309" s="120"/>
      <c r="AI309" s="120"/>
      <c r="AJ309" s="120"/>
    </row>
    <row r="310" spans="1:36" s="124" customFormat="1" x14ac:dyDescent="0.25">
      <c r="A310" s="120"/>
      <c r="B310" s="120"/>
      <c r="C310" s="120"/>
      <c r="D310" s="120"/>
      <c r="E310" s="120"/>
      <c r="F310" s="120"/>
      <c r="G310" s="120"/>
      <c r="H310" s="120"/>
      <c r="I310" s="181"/>
      <c r="J310" s="120"/>
      <c r="K310" s="120"/>
      <c r="L310" s="120"/>
      <c r="M310" s="120"/>
      <c r="N310" s="120"/>
      <c r="O310" s="120"/>
      <c r="P310" s="120"/>
      <c r="Q310" s="120"/>
      <c r="R310" s="120"/>
      <c r="S310" s="120"/>
      <c r="T310" s="120"/>
      <c r="U310" s="120"/>
      <c r="V310" s="120"/>
      <c r="W310" s="120"/>
      <c r="X310" s="120"/>
      <c r="Y310" s="120"/>
      <c r="Z310" s="120"/>
      <c r="AA310" s="120"/>
      <c r="AB310" s="120"/>
      <c r="AC310" s="120"/>
      <c r="AD310" s="120"/>
      <c r="AE310" s="120"/>
      <c r="AF310" s="120"/>
      <c r="AG310" s="120"/>
      <c r="AH310" s="120"/>
      <c r="AI310" s="120"/>
      <c r="AJ310" s="120"/>
    </row>
    <row r="311" spans="1:36" s="124" customFormat="1" x14ac:dyDescent="0.25">
      <c r="A311" s="120"/>
      <c r="B311" s="120"/>
      <c r="C311" s="120"/>
      <c r="D311" s="120"/>
      <c r="E311" s="120"/>
      <c r="F311" s="120"/>
      <c r="G311" s="120"/>
      <c r="H311" s="120"/>
      <c r="I311" s="181"/>
      <c r="J311" s="120"/>
      <c r="K311" s="120"/>
      <c r="L311" s="120"/>
      <c r="M311" s="120"/>
      <c r="N311" s="120"/>
      <c r="O311" s="120"/>
      <c r="P311" s="120"/>
      <c r="Q311" s="120"/>
      <c r="R311" s="120"/>
      <c r="S311" s="120"/>
      <c r="T311" s="120"/>
      <c r="U311" s="120"/>
      <c r="V311" s="120"/>
      <c r="W311" s="120"/>
      <c r="X311" s="120"/>
      <c r="Y311" s="120"/>
      <c r="Z311" s="120"/>
      <c r="AA311" s="120"/>
      <c r="AB311" s="120"/>
      <c r="AC311" s="120"/>
      <c r="AD311" s="120"/>
      <c r="AE311" s="120"/>
      <c r="AF311" s="120"/>
      <c r="AG311" s="120"/>
      <c r="AH311" s="120"/>
      <c r="AI311" s="120"/>
      <c r="AJ311" s="120"/>
    </row>
    <row r="312" spans="1:36" s="124" customFormat="1" x14ac:dyDescent="0.25">
      <c r="A312" s="120"/>
      <c r="B312" s="120"/>
      <c r="C312" s="120"/>
      <c r="D312" s="120"/>
      <c r="E312" s="120"/>
      <c r="F312" s="120"/>
      <c r="G312" s="120"/>
      <c r="H312" s="120"/>
      <c r="I312" s="181"/>
      <c r="J312" s="120"/>
      <c r="K312" s="120"/>
      <c r="L312" s="120"/>
      <c r="M312" s="120"/>
      <c r="N312" s="120"/>
      <c r="O312" s="120"/>
      <c r="P312" s="120"/>
      <c r="Q312" s="120"/>
      <c r="R312" s="120"/>
      <c r="S312" s="120"/>
      <c r="T312" s="120"/>
      <c r="U312" s="120"/>
      <c r="V312" s="120"/>
      <c r="W312" s="120"/>
      <c r="X312" s="120"/>
      <c r="Y312" s="120"/>
      <c r="Z312" s="120"/>
      <c r="AA312" s="120"/>
      <c r="AB312" s="120"/>
      <c r="AC312" s="120"/>
      <c r="AD312" s="120"/>
      <c r="AE312" s="120"/>
      <c r="AF312" s="120"/>
      <c r="AG312" s="120"/>
      <c r="AH312" s="120"/>
      <c r="AI312" s="120"/>
      <c r="AJ312" s="120"/>
    </row>
    <row r="313" spans="1:36" s="124" customFormat="1" x14ac:dyDescent="0.25">
      <c r="A313" s="120"/>
      <c r="B313" s="120"/>
      <c r="C313" s="120"/>
      <c r="D313" s="120"/>
      <c r="E313" s="120"/>
      <c r="F313" s="120"/>
      <c r="G313" s="120"/>
      <c r="H313" s="120"/>
      <c r="I313" s="181"/>
      <c r="J313" s="120"/>
      <c r="K313" s="120"/>
      <c r="L313" s="120"/>
      <c r="M313" s="120"/>
      <c r="N313" s="120"/>
      <c r="O313" s="120"/>
      <c r="P313" s="120"/>
      <c r="Q313" s="120"/>
      <c r="R313" s="120"/>
      <c r="S313" s="120"/>
      <c r="T313" s="120"/>
      <c r="U313" s="120"/>
      <c r="V313" s="120"/>
      <c r="W313" s="120"/>
      <c r="X313" s="120"/>
      <c r="Y313" s="120"/>
      <c r="Z313" s="120"/>
      <c r="AA313" s="120"/>
      <c r="AB313" s="120"/>
      <c r="AC313" s="120"/>
      <c r="AD313" s="120"/>
      <c r="AE313" s="120"/>
      <c r="AF313" s="120"/>
      <c r="AG313" s="120"/>
      <c r="AH313" s="120"/>
      <c r="AI313" s="120"/>
      <c r="AJ313" s="120"/>
    </row>
    <row r="314" spans="1:36" s="124" customFormat="1" x14ac:dyDescent="0.25">
      <c r="A314" s="120"/>
      <c r="B314" s="120"/>
      <c r="C314" s="120"/>
      <c r="D314" s="120"/>
      <c r="E314" s="120"/>
      <c r="F314" s="120"/>
      <c r="G314" s="120"/>
      <c r="H314" s="120"/>
      <c r="I314" s="181"/>
      <c r="J314" s="120"/>
      <c r="K314" s="120"/>
      <c r="L314" s="120"/>
      <c r="M314" s="120"/>
      <c r="N314" s="120"/>
      <c r="O314" s="120"/>
      <c r="P314" s="120"/>
      <c r="Q314" s="120"/>
      <c r="R314" s="120"/>
      <c r="S314" s="120"/>
      <c r="T314" s="120"/>
      <c r="U314" s="120"/>
      <c r="V314" s="120"/>
      <c r="W314" s="120"/>
      <c r="X314" s="120"/>
      <c r="Y314" s="120"/>
      <c r="Z314" s="120"/>
      <c r="AA314" s="120"/>
      <c r="AB314" s="120"/>
      <c r="AC314" s="120"/>
      <c r="AD314" s="120"/>
      <c r="AE314" s="120"/>
      <c r="AF314" s="120"/>
      <c r="AG314" s="120"/>
      <c r="AH314" s="120"/>
      <c r="AI314" s="120"/>
      <c r="AJ314" s="120"/>
    </row>
    <row r="315" spans="1:36" s="124" customFormat="1" x14ac:dyDescent="0.25">
      <c r="A315" s="120"/>
      <c r="B315" s="120"/>
      <c r="C315" s="120"/>
      <c r="D315" s="120"/>
      <c r="E315" s="120"/>
      <c r="F315" s="120"/>
      <c r="G315" s="120"/>
      <c r="H315" s="120"/>
      <c r="I315" s="181"/>
      <c r="J315" s="120"/>
      <c r="K315" s="120"/>
      <c r="L315" s="120"/>
      <c r="M315" s="120"/>
      <c r="N315" s="120"/>
      <c r="O315" s="120"/>
      <c r="P315" s="120"/>
      <c r="Q315" s="120"/>
      <c r="R315" s="120"/>
      <c r="S315" s="120"/>
      <c r="T315" s="120"/>
      <c r="U315" s="120"/>
      <c r="V315" s="120"/>
      <c r="W315" s="120"/>
      <c r="X315" s="120"/>
      <c r="Y315" s="120"/>
      <c r="Z315" s="120"/>
      <c r="AA315" s="120"/>
      <c r="AB315" s="120"/>
      <c r="AC315" s="120"/>
      <c r="AD315" s="120"/>
      <c r="AE315" s="120"/>
      <c r="AF315" s="120"/>
      <c r="AG315" s="120"/>
      <c r="AH315" s="120"/>
      <c r="AI315" s="120"/>
      <c r="AJ315" s="120"/>
    </row>
    <row r="316" spans="1:36" s="124" customFormat="1" x14ac:dyDescent="0.25">
      <c r="A316" s="120"/>
      <c r="B316" s="120"/>
      <c r="C316" s="120"/>
      <c r="D316" s="120"/>
      <c r="E316" s="120"/>
      <c r="F316" s="120"/>
      <c r="G316" s="120"/>
      <c r="H316" s="120"/>
      <c r="I316" s="181"/>
      <c r="J316" s="120"/>
      <c r="K316" s="120"/>
      <c r="L316" s="120"/>
      <c r="M316" s="120"/>
      <c r="N316" s="120"/>
      <c r="O316" s="120"/>
      <c r="P316" s="120"/>
      <c r="Q316" s="120"/>
      <c r="R316" s="120"/>
      <c r="S316" s="120"/>
      <c r="T316" s="120"/>
      <c r="U316" s="120"/>
      <c r="V316" s="120"/>
      <c r="W316" s="120"/>
      <c r="X316" s="120"/>
      <c r="Y316" s="120"/>
      <c r="Z316" s="120"/>
      <c r="AA316" s="120"/>
      <c r="AB316" s="120"/>
      <c r="AC316" s="120"/>
      <c r="AD316" s="120"/>
      <c r="AE316" s="120"/>
      <c r="AF316" s="120"/>
      <c r="AG316" s="120"/>
      <c r="AH316" s="120"/>
      <c r="AI316" s="120"/>
      <c r="AJ316" s="120"/>
    </row>
    <row r="317" spans="1:36" s="124" customFormat="1" x14ac:dyDescent="0.25">
      <c r="A317" s="120"/>
      <c r="B317" s="120"/>
      <c r="C317" s="120"/>
      <c r="D317" s="120"/>
      <c r="E317" s="120"/>
      <c r="F317" s="120"/>
      <c r="G317" s="120"/>
      <c r="H317" s="120"/>
      <c r="I317" s="181"/>
      <c r="J317" s="120"/>
      <c r="K317" s="120"/>
      <c r="L317" s="120"/>
      <c r="M317" s="120"/>
      <c r="N317" s="120"/>
      <c r="O317" s="120"/>
      <c r="P317" s="120"/>
      <c r="Q317" s="120"/>
      <c r="R317" s="120"/>
      <c r="S317" s="120"/>
      <c r="T317" s="120"/>
      <c r="U317" s="120"/>
      <c r="V317" s="120"/>
      <c r="W317" s="120"/>
      <c r="X317" s="120"/>
      <c r="Y317" s="120"/>
      <c r="Z317" s="120"/>
      <c r="AA317" s="120"/>
      <c r="AB317" s="120"/>
      <c r="AC317" s="120"/>
      <c r="AD317" s="120"/>
      <c r="AE317" s="120"/>
      <c r="AF317" s="120"/>
      <c r="AG317" s="120"/>
      <c r="AH317" s="120"/>
      <c r="AI317" s="120"/>
      <c r="AJ317" s="120"/>
    </row>
    <row r="318" spans="1:36" s="124" customFormat="1" x14ac:dyDescent="0.25">
      <c r="A318" s="120"/>
      <c r="B318" s="120"/>
      <c r="C318" s="120"/>
      <c r="D318" s="120"/>
      <c r="E318" s="120"/>
      <c r="F318" s="120"/>
      <c r="G318" s="120"/>
      <c r="H318" s="120"/>
      <c r="I318" s="181"/>
      <c r="J318" s="120"/>
      <c r="K318" s="120"/>
      <c r="L318" s="120"/>
      <c r="M318" s="120"/>
      <c r="N318" s="120"/>
      <c r="O318" s="120"/>
      <c r="P318" s="120"/>
      <c r="Q318" s="120"/>
      <c r="R318" s="120"/>
      <c r="S318" s="120"/>
      <c r="T318" s="120"/>
      <c r="U318" s="120"/>
      <c r="V318" s="120"/>
      <c r="W318" s="120"/>
      <c r="X318" s="120"/>
      <c r="Y318" s="120"/>
      <c r="Z318" s="120"/>
      <c r="AA318" s="120"/>
      <c r="AB318" s="120"/>
      <c r="AC318" s="120"/>
      <c r="AD318" s="120"/>
      <c r="AE318" s="120"/>
      <c r="AF318" s="120"/>
      <c r="AG318" s="120"/>
      <c r="AH318" s="120"/>
      <c r="AI318" s="120"/>
      <c r="AJ318" s="120"/>
    </row>
    <row r="319" spans="1:36" s="124" customFormat="1" x14ac:dyDescent="0.25">
      <c r="A319" s="120"/>
      <c r="B319" s="120"/>
      <c r="C319" s="120"/>
      <c r="D319" s="120"/>
      <c r="E319" s="120"/>
      <c r="F319" s="120"/>
      <c r="G319" s="120"/>
      <c r="H319" s="120"/>
      <c r="I319" s="181"/>
      <c r="J319" s="120"/>
      <c r="K319" s="120"/>
      <c r="L319" s="120"/>
      <c r="M319" s="120"/>
      <c r="N319" s="120"/>
      <c r="O319" s="120"/>
      <c r="P319" s="120"/>
      <c r="Q319" s="120"/>
      <c r="R319" s="120"/>
      <c r="S319" s="120"/>
      <c r="T319" s="120"/>
      <c r="U319" s="120"/>
      <c r="V319" s="120"/>
      <c r="W319" s="120"/>
      <c r="X319" s="120"/>
      <c r="Y319" s="120"/>
      <c r="Z319" s="120"/>
      <c r="AA319" s="120"/>
      <c r="AB319" s="120"/>
      <c r="AC319" s="120"/>
      <c r="AD319" s="120"/>
      <c r="AE319" s="120"/>
      <c r="AF319" s="120"/>
      <c r="AG319" s="120"/>
      <c r="AH319" s="120"/>
      <c r="AI319" s="120"/>
      <c r="AJ319" s="120"/>
    </row>
    <row r="320" spans="1:36" s="124" customFormat="1" x14ac:dyDescent="0.25">
      <c r="A320" s="120"/>
      <c r="B320" s="120"/>
      <c r="C320" s="120"/>
      <c r="D320" s="120"/>
      <c r="E320" s="120"/>
      <c r="F320" s="120"/>
      <c r="G320" s="120"/>
      <c r="H320" s="120"/>
      <c r="I320" s="181"/>
      <c r="J320" s="120"/>
      <c r="K320" s="120"/>
      <c r="L320" s="120"/>
      <c r="M320" s="120"/>
      <c r="N320" s="120"/>
      <c r="O320" s="120"/>
      <c r="P320" s="120"/>
      <c r="Q320" s="120"/>
      <c r="R320" s="120"/>
      <c r="S320" s="120"/>
      <c r="T320" s="120"/>
      <c r="U320" s="120"/>
      <c r="V320" s="120"/>
      <c r="W320" s="120"/>
      <c r="X320" s="120"/>
      <c r="Y320" s="120"/>
      <c r="Z320" s="120"/>
      <c r="AA320" s="120"/>
      <c r="AB320" s="120"/>
      <c r="AC320" s="120"/>
      <c r="AD320" s="120"/>
      <c r="AE320" s="120"/>
      <c r="AF320" s="120"/>
      <c r="AG320" s="120"/>
      <c r="AH320" s="120"/>
      <c r="AI320" s="120"/>
      <c r="AJ320" s="120"/>
    </row>
    <row r="321" spans="1:36" s="124" customFormat="1" x14ac:dyDescent="0.25">
      <c r="A321" s="120"/>
      <c r="B321" s="120"/>
      <c r="C321" s="120"/>
      <c r="D321" s="120"/>
      <c r="E321" s="120"/>
      <c r="F321" s="120"/>
      <c r="G321" s="120"/>
      <c r="H321" s="120"/>
      <c r="I321" s="181"/>
      <c r="J321" s="120"/>
      <c r="K321" s="120"/>
      <c r="L321" s="120"/>
      <c r="M321" s="120"/>
      <c r="N321" s="120"/>
      <c r="O321" s="120"/>
      <c r="P321" s="120"/>
      <c r="Q321" s="120"/>
      <c r="R321" s="120"/>
      <c r="S321" s="120"/>
      <c r="T321" s="120"/>
      <c r="U321" s="120"/>
      <c r="V321" s="120"/>
      <c r="W321" s="120"/>
      <c r="X321" s="120"/>
      <c r="Y321" s="120"/>
      <c r="Z321" s="120"/>
      <c r="AA321" s="120"/>
      <c r="AB321" s="120"/>
      <c r="AC321" s="120"/>
      <c r="AD321" s="120"/>
      <c r="AE321" s="120"/>
      <c r="AF321" s="120"/>
      <c r="AG321" s="120"/>
      <c r="AH321" s="120"/>
      <c r="AI321" s="120"/>
      <c r="AJ321" s="120"/>
    </row>
    <row r="322" spans="1:36" s="124" customFormat="1" x14ac:dyDescent="0.25">
      <c r="A322" s="120"/>
      <c r="B322" s="120"/>
      <c r="C322" s="120"/>
      <c r="D322" s="120"/>
      <c r="E322" s="120"/>
      <c r="F322" s="120"/>
      <c r="G322" s="120"/>
      <c r="H322" s="120"/>
      <c r="I322" s="181"/>
      <c r="J322" s="120"/>
      <c r="K322" s="120"/>
      <c r="L322" s="120"/>
      <c r="M322" s="120"/>
      <c r="N322" s="120"/>
      <c r="O322" s="120"/>
      <c r="P322" s="120"/>
      <c r="Q322" s="120"/>
      <c r="R322" s="120"/>
      <c r="S322" s="120"/>
      <c r="T322" s="120"/>
      <c r="U322" s="120"/>
      <c r="V322" s="120"/>
      <c r="W322" s="120"/>
      <c r="X322" s="120"/>
      <c r="Y322" s="120"/>
      <c r="Z322" s="120"/>
      <c r="AA322" s="120"/>
      <c r="AB322" s="120"/>
      <c r="AC322" s="120"/>
      <c r="AD322" s="120"/>
      <c r="AE322" s="120"/>
      <c r="AF322" s="120"/>
      <c r="AG322" s="120"/>
      <c r="AH322" s="120"/>
      <c r="AI322" s="120"/>
      <c r="AJ322" s="120"/>
    </row>
    <row r="323" spans="1:36" s="124" customFormat="1" x14ac:dyDescent="0.25">
      <c r="A323" s="120"/>
      <c r="B323" s="120"/>
      <c r="C323" s="120"/>
      <c r="D323" s="120"/>
      <c r="E323" s="120"/>
      <c r="F323" s="120"/>
      <c r="G323" s="120"/>
      <c r="H323" s="120"/>
      <c r="I323" s="181"/>
      <c r="J323" s="120"/>
      <c r="K323" s="120"/>
      <c r="L323" s="120"/>
      <c r="M323" s="120"/>
      <c r="N323" s="120"/>
      <c r="O323" s="120"/>
      <c r="P323" s="120"/>
      <c r="Q323" s="120"/>
      <c r="R323" s="120"/>
      <c r="S323" s="120"/>
      <c r="T323" s="120"/>
      <c r="U323" s="120"/>
      <c r="V323" s="120"/>
      <c r="W323" s="120"/>
      <c r="X323" s="120"/>
      <c r="Y323" s="120"/>
      <c r="Z323" s="120"/>
      <c r="AA323" s="120"/>
      <c r="AB323" s="120"/>
      <c r="AC323" s="120"/>
      <c r="AD323" s="120"/>
      <c r="AE323" s="120"/>
      <c r="AF323" s="120"/>
      <c r="AG323" s="120"/>
      <c r="AH323" s="120"/>
      <c r="AI323" s="120"/>
      <c r="AJ323" s="120"/>
    </row>
    <row r="324" spans="1:36" s="124" customFormat="1" x14ac:dyDescent="0.25">
      <c r="A324" s="120"/>
      <c r="B324" s="120"/>
      <c r="C324" s="120"/>
      <c r="D324" s="120"/>
      <c r="E324" s="120"/>
      <c r="F324" s="120"/>
      <c r="G324" s="120"/>
      <c r="H324" s="120"/>
      <c r="I324" s="181"/>
      <c r="J324" s="120"/>
      <c r="K324" s="120"/>
      <c r="L324" s="120"/>
      <c r="M324" s="120"/>
      <c r="N324" s="120"/>
      <c r="O324" s="120"/>
      <c r="P324" s="120"/>
      <c r="Q324" s="120"/>
      <c r="R324" s="120"/>
      <c r="S324" s="120"/>
      <c r="T324" s="120"/>
      <c r="U324" s="120"/>
      <c r="V324" s="120"/>
      <c r="W324" s="120"/>
      <c r="X324" s="120"/>
      <c r="Y324" s="120"/>
      <c r="Z324" s="120"/>
      <c r="AA324" s="120"/>
      <c r="AB324" s="120"/>
      <c r="AC324" s="120"/>
      <c r="AD324" s="120"/>
      <c r="AE324" s="120"/>
      <c r="AF324" s="120"/>
      <c r="AG324" s="120"/>
      <c r="AH324" s="120"/>
      <c r="AI324" s="120"/>
      <c r="AJ324" s="120"/>
    </row>
    <row r="325" spans="1:36" s="124" customFormat="1" x14ac:dyDescent="0.25">
      <c r="A325" s="120"/>
      <c r="B325" s="120"/>
      <c r="C325" s="120"/>
      <c r="D325" s="120"/>
      <c r="E325" s="120"/>
      <c r="F325" s="120"/>
      <c r="G325" s="120"/>
      <c r="H325" s="120"/>
      <c r="I325" s="181"/>
      <c r="J325" s="120"/>
      <c r="K325" s="120"/>
      <c r="L325" s="120"/>
      <c r="M325" s="120"/>
      <c r="N325" s="120"/>
      <c r="O325" s="120"/>
      <c r="P325" s="120"/>
      <c r="Q325" s="120"/>
      <c r="R325" s="120"/>
      <c r="S325" s="120"/>
      <c r="T325" s="120"/>
      <c r="U325" s="120"/>
      <c r="V325" s="120"/>
      <c r="W325" s="120"/>
      <c r="X325" s="120"/>
      <c r="Y325" s="120"/>
      <c r="Z325" s="120"/>
      <c r="AA325" s="120"/>
      <c r="AB325" s="120"/>
      <c r="AC325" s="120"/>
      <c r="AD325" s="120"/>
      <c r="AE325" s="120"/>
      <c r="AF325" s="120"/>
      <c r="AG325" s="120"/>
      <c r="AH325" s="120"/>
      <c r="AI325" s="120"/>
      <c r="AJ325" s="120"/>
    </row>
    <row r="326" spans="1:36" s="124" customFormat="1" x14ac:dyDescent="0.25">
      <c r="A326" s="120"/>
      <c r="B326" s="120"/>
      <c r="C326" s="120"/>
      <c r="D326" s="120"/>
      <c r="E326" s="120"/>
      <c r="F326" s="120"/>
      <c r="G326" s="120"/>
      <c r="H326" s="120"/>
      <c r="I326" s="181"/>
      <c r="J326" s="120"/>
      <c r="K326" s="120"/>
      <c r="L326" s="120"/>
      <c r="M326" s="120"/>
      <c r="N326" s="120"/>
      <c r="O326" s="120"/>
      <c r="P326" s="120"/>
      <c r="Q326" s="120"/>
      <c r="R326" s="120"/>
      <c r="S326" s="120"/>
      <c r="T326" s="120"/>
      <c r="U326" s="120"/>
      <c r="V326" s="120"/>
      <c r="W326" s="120"/>
      <c r="X326" s="120"/>
      <c r="Y326" s="120"/>
      <c r="Z326" s="120"/>
      <c r="AA326" s="120"/>
      <c r="AB326" s="120"/>
      <c r="AC326" s="120"/>
      <c r="AD326" s="120"/>
      <c r="AE326" s="120"/>
      <c r="AF326" s="120"/>
      <c r="AG326" s="120"/>
      <c r="AH326" s="120"/>
      <c r="AI326" s="120"/>
      <c r="AJ326" s="120"/>
    </row>
    <row r="327" spans="1:36" s="124" customFormat="1" x14ac:dyDescent="0.25">
      <c r="A327" s="120"/>
      <c r="B327" s="120"/>
      <c r="C327" s="120"/>
      <c r="D327" s="120"/>
      <c r="E327" s="120"/>
      <c r="F327" s="120"/>
      <c r="G327" s="120"/>
      <c r="H327" s="120"/>
      <c r="I327" s="181"/>
      <c r="J327" s="120"/>
      <c r="K327" s="120"/>
      <c r="L327" s="120"/>
      <c r="M327" s="120"/>
      <c r="N327" s="120"/>
      <c r="O327" s="120"/>
      <c r="P327" s="120"/>
      <c r="Q327" s="120"/>
      <c r="R327" s="120"/>
      <c r="S327" s="120"/>
      <c r="T327" s="120"/>
      <c r="U327" s="120"/>
      <c r="V327" s="120"/>
      <c r="W327" s="120"/>
      <c r="X327" s="120"/>
      <c r="Y327" s="120"/>
      <c r="Z327" s="120"/>
      <c r="AA327" s="120"/>
      <c r="AB327" s="120"/>
      <c r="AC327" s="120"/>
      <c r="AD327" s="120"/>
      <c r="AE327" s="120"/>
      <c r="AF327" s="120"/>
      <c r="AG327" s="120"/>
      <c r="AH327" s="120"/>
      <c r="AI327" s="120"/>
      <c r="AJ327" s="120"/>
    </row>
    <row r="328" spans="1:36" s="124" customFormat="1" x14ac:dyDescent="0.25">
      <c r="A328" s="120"/>
      <c r="B328" s="120"/>
      <c r="C328" s="120"/>
      <c r="D328" s="120"/>
      <c r="E328" s="120"/>
      <c r="F328" s="120"/>
      <c r="G328" s="120"/>
      <c r="H328" s="120"/>
      <c r="I328" s="181"/>
      <c r="J328" s="120"/>
      <c r="K328" s="120"/>
      <c r="L328" s="120"/>
      <c r="M328" s="120"/>
      <c r="N328" s="120"/>
      <c r="O328" s="120"/>
      <c r="P328" s="120"/>
      <c r="Q328" s="120"/>
      <c r="R328" s="120"/>
      <c r="S328" s="120"/>
      <c r="T328" s="120"/>
      <c r="U328" s="120"/>
      <c r="V328" s="120"/>
      <c r="W328" s="120"/>
      <c r="X328" s="120"/>
      <c r="Y328" s="120"/>
      <c r="Z328" s="120"/>
      <c r="AA328" s="120"/>
      <c r="AB328" s="120"/>
      <c r="AC328" s="120"/>
      <c r="AD328" s="120"/>
      <c r="AE328" s="120"/>
      <c r="AF328" s="120"/>
      <c r="AG328" s="120"/>
      <c r="AH328" s="120"/>
      <c r="AI328" s="120"/>
      <c r="AJ328" s="120"/>
    </row>
    <row r="329" spans="1:36" s="124" customFormat="1" x14ac:dyDescent="0.25">
      <c r="A329" s="120"/>
      <c r="B329" s="120"/>
      <c r="C329" s="120"/>
      <c r="D329" s="120"/>
      <c r="E329" s="120"/>
      <c r="F329" s="120"/>
      <c r="G329" s="120"/>
      <c r="H329" s="120"/>
      <c r="I329" s="181"/>
      <c r="J329" s="120"/>
      <c r="K329" s="120"/>
      <c r="L329" s="120"/>
      <c r="M329" s="120"/>
      <c r="N329" s="120"/>
      <c r="O329" s="120"/>
      <c r="P329" s="120"/>
      <c r="Q329" s="120"/>
      <c r="R329" s="120"/>
      <c r="S329" s="120"/>
      <c r="T329" s="120"/>
      <c r="U329" s="120"/>
      <c r="V329" s="120"/>
      <c r="W329" s="120"/>
      <c r="X329" s="120"/>
      <c r="Y329" s="120"/>
      <c r="Z329" s="120"/>
      <c r="AA329" s="120"/>
      <c r="AB329" s="120"/>
      <c r="AC329" s="120"/>
      <c r="AD329" s="120"/>
      <c r="AE329" s="120"/>
      <c r="AF329" s="120"/>
      <c r="AG329" s="120"/>
      <c r="AH329" s="120"/>
      <c r="AI329" s="120"/>
      <c r="AJ329" s="120"/>
    </row>
    <row r="330" spans="1:36" s="124" customFormat="1" x14ac:dyDescent="0.25">
      <c r="A330" s="120"/>
      <c r="B330" s="120"/>
      <c r="C330" s="120"/>
      <c r="D330" s="120"/>
      <c r="E330" s="120"/>
      <c r="F330" s="120"/>
      <c r="G330" s="120"/>
      <c r="H330" s="120"/>
      <c r="I330" s="181"/>
      <c r="J330" s="120"/>
      <c r="K330" s="120"/>
      <c r="L330" s="120"/>
      <c r="M330" s="120"/>
      <c r="N330" s="120"/>
      <c r="O330" s="120"/>
      <c r="P330" s="120"/>
      <c r="Q330" s="120"/>
      <c r="R330" s="120"/>
      <c r="S330" s="120"/>
      <c r="T330" s="120"/>
      <c r="U330" s="120"/>
      <c r="V330" s="120"/>
      <c r="W330" s="120"/>
      <c r="X330" s="120"/>
      <c r="Y330" s="120"/>
      <c r="Z330" s="120"/>
      <c r="AA330" s="120"/>
      <c r="AB330" s="120"/>
      <c r="AC330" s="120"/>
      <c r="AD330" s="120"/>
      <c r="AE330" s="120"/>
      <c r="AF330" s="120"/>
      <c r="AG330" s="120"/>
      <c r="AH330" s="120"/>
      <c r="AI330" s="120"/>
      <c r="AJ330" s="120"/>
    </row>
    <row r="331" spans="1:36" s="124" customFormat="1" x14ac:dyDescent="0.25">
      <c r="A331" s="120"/>
      <c r="B331" s="120"/>
      <c r="C331" s="120"/>
      <c r="D331" s="120"/>
      <c r="E331" s="120"/>
      <c r="F331" s="120"/>
      <c r="G331" s="120"/>
      <c r="H331" s="120"/>
      <c r="I331" s="181"/>
      <c r="J331" s="120"/>
      <c r="K331" s="120"/>
      <c r="L331" s="120"/>
      <c r="M331" s="120"/>
      <c r="N331" s="120"/>
      <c r="O331" s="120"/>
      <c r="P331" s="120"/>
      <c r="Q331" s="120"/>
      <c r="R331" s="120"/>
      <c r="S331" s="120"/>
      <c r="T331" s="120"/>
      <c r="U331" s="120"/>
      <c r="V331" s="120"/>
      <c r="W331" s="120"/>
      <c r="X331" s="120"/>
      <c r="Y331" s="120"/>
      <c r="Z331" s="120"/>
      <c r="AA331" s="120"/>
      <c r="AB331" s="120"/>
      <c r="AC331" s="120"/>
      <c r="AD331" s="120"/>
      <c r="AE331" s="120"/>
      <c r="AF331" s="120"/>
      <c r="AG331" s="120"/>
      <c r="AH331" s="120"/>
      <c r="AI331" s="120"/>
      <c r="AJ331" s="120"/>
    </row>
    <row r="332" spans="1:36" s="124" customFormat="1" x14ac:dyDescent="0.25">
      <c r="A332" s="120"/>
      <c r="B332" s="120"/>
      <c r="C332" s="120"/>
      <c r="D332" s="120"/>
      <c r="E332" s="120"/>
      <c r="F332" s="120"/>
      <c r="G332" s="120"/>
      <c r="H332" s="120"/>
      <c r="I332" s="181"/>
      <c r="J332" s="120"/>
      <c r="K332" s="120"/>
      <c r="L332" s="120"/>
      <c r="M332" s="120"/>
      <c r="N332" s="120"/>
      <c r="O332" s="120"/>
      <c r="P332" s="120"/>
      <c r="Q332" s="120"/>
      <c r="R332" s="120"/>
      <c r="S332" s="120"/>
      <c r="T332" s="120"/>
      <c r="U332" s="120"/>
      <c r="V332" s="120"/>
      <c r="W332" s="120"/>
      <c r="X332" s="120"/>
      <c r="Y332" s="120"/>
      <c r="Z332" s="120"/>
      <c r="AA332" s="120"/>
      <c r="AB332" s="120"/>
      <c r="AC332" s="120"/>
      <c r="AD332" s="120"/>
      <c r="AE332" s="120"/>
      <c r="AF332" s="120"/>
      <c r="AG332" s="120"/>
      <c r="AH332" s="120"/>
      <c r="AI332" s="120"/>
      <c r="AJ332" s="120"/>
    </row>
    <row r="333" spans="1:36" s="124" customFormat="1" x14ac:dyDescent="0.25">
      <c r="A333" s="120"/>
      <c r="B333" s="120"/>
      <c r="C333" s="120"/>
      <c r="D333" s="120"/>
      <c r="E333" s="120"/>
      <c r="F333" s="120"/>
      <c r="G333" s="120"/>
      <c r="H333" s="120"/>
      <c r="I333" s="181"/>
      <c r="J333" s="120"/>
      <c r="K333" s="120"/>
      <c r="L333" s="120"/>
      <c r="M333" s="120"/>
      <c r="N333" s="120"/>
      <c r="O333" s="120"/>
      <c r="P333" s="120"/>
      <c r="Q333" s="120"/>
      <c r="R333" s="120"/>
      <c r="S333" s="120"/>
      <c r="T333" s="120"/>
      <c r="U333" s="120"/>
      <c r="V333" s="120"/>
      <c r="W333" s="120"/>
      <c r="X333" s="120"/>
      <c r="Y333" s="120"/>
      <c r="Z333" s="120"/>
      <c r="AA333" s="120"/>
      <c r="AB333" s="120"/>
      <c r="AC333" s="120"/>
      <c r="AD333" s="120"/>
      <c r="AE333" s="120"/>
      <c r="AF333" s="120"/>
      <c r="AG333" s="120"/>
      <c r="AH333" s="120"/>
      <c r="AI333" s="120"/>
      <c r="AJ333" s="120"/>
    </row>
    <row r="334" spans="1:36" s="124" customFormat="1" x14ac:dyDescent="0.25">
      <c r="A334" s="120"/>
      <c r="B334" s="120"/>
      <c r="C334" s="120"/>
      <c r="D334" s="120"/>
      <c r="E334" s="120"/>
      <c r="F334" s="120"/>
      <c r="G334" s="120"/>
      <c r="H334" s="120"/>
      <c r="I334" s="181"/>
      <c r="J334" s="120"/>
      <c r="K334" s="120"/>
      <c r="L334" s="120"/>
      <c r="M334" s="120"/>
      <c r="N334" s="120"/>
      <c r="O334" s="120"/>
      <c r="P334" s="120"/>
      <c r="Q334" s="120"/>
      <c r="R334" s="120"/>
      <c r="S334" s="120"/>
      <c r="T334" s="120"/>
      <c r="U334" s="120"/>
      <c r="V334" s="120"/>
      <c r="W334" s="120"/>
      <c r="X334" s="120"/>
      <c r="Y334" s="120"/>
      <c r="Z334" s="120"/>
      <c r="AA334" s="120"/>
      <c r="AB334" s="120"/>
      <c r="AC334" s="120"/>
      <c r="AD334" s="120"/>
      <c r="AE334" s="120"/>
      <c r="AF334" s="120"/>
      <c r="AG334" s="120"/>
      <c r="AH334" s="120"/>
      <c r="AI334" s="120"/>
      <c r="AJ334" s="120"/>
    </row>
    <row r="335" spans="1:36" s="124" customFormat="1" x14ac:dyDescent="0.25">
      <c r="A335" s="120"/>
      <c r="B335" s="120"/>
      <c r="C335" s="120"/>
      <c r="D335" s="120"/>
      <c r="E335" s="120"/>
      <c r="F335" s="120"/>
      <c r="G335" s="120"/>
      <c r="H335" s="120"/>
      <c r="I335" s="181"/>
      <c r="J335" s="120"/>
      <c r="K335" s="120"/>
      <c r="L335" s="120"/>
      <c r="M335" s="120"/>
      <c r="N335" s="120"/>
      <c r="O335" s="120"/>
      <c r="P335" s="120"/>
      <c r="Q335" s="120"/>
      <c r="R335" s="120"/>
      <c r="S335" s="120"/>
      <c r="T335" s="120"/>
      <c r="U335" s="120"/>
      <c r="V335" s="120"/>
      <c r="W335" s="120"/>
      <c r="X335" s="120"/>
      <c r="Y335" s="120"/>
      <c r="Z335" s="120"/>
      <c r="AA335" s="120"/>
      <c r="AB335" s="120"/>
      <c r="AC335" s="120"/>
      <c r="AD335" s="120"/>
      <c r="AE335" s="120"/>
      <c r="AF335" s="120"/>
      <c r="AG335" s="120"/>
      <c r="AH335" s="120"/>
      <c r="AI335" s="120"/>
      <c r="AJ335" s="120"/>
    </row>
    <row r="336" spans="1:36" s="124" customFormat="1" x14ac:dyDescent="0.25">
      <c r="A336" s="120"/>
      <c r="B336" s="120"/>
      <c r="C336" s="120"/>
      <c r="D336" s="120"/>
      <c r="E336" s="120"/>
      <c r="F336" s="120"/>
      <c r="G336" s="120"/>
      <c r="H336" s="120"/>
      <c r="I336" s="181"/>
      <c r="J336" s="120"/>
      <c r="K336" s="120"/>
      <c r="L336" s="120"/>
      <c r="M336" s="120"/>
      <c r="N336" s="120"/>
      <c r="O336" s="120"/>
      <c r="P336" s="120"/>
      <c r="Q336" s="120"/>
      <c r="R336" s="120"/>
      <c r="S336" s="120"/>
      <c r="T336" s="120"/>
      <c r="U336" s="120"/>
      <c r="V336" s="120"/>
      <c r="W336" s="120"/>
      <c r="X336" s="120"/>
      <c r="Y336" s="120"/>
      <c r="Z336" s="120"/>
      <c r="AA336" s="120"/>
      <c r="AB336" s="120"/>
      <c r="AC336" s="120"/>
      <c r="AD336" s="120"/>
      <c r="AE336" s="120"/>
      <c r="AF336" s="120"/>
      <c r="AG336" s="120"/>
      <c r="AH336" s="120"/>
      <c r="AI336" s="120"/>
      <c r="AJ336" s="120"/>
    </row>
    <row r="337" spans="1:36" s="124" customFormat="1" x14ac:dyDescent="0.25">
      <c r="A337" s="120"/>
      <c r="B337" s="120"/>
      <c r="C337" s="120"/>
      <c r="D337" s="120"/>
      <c r="E337" s="120"/>
      <c r="F337" s="120"/>
      <c r="G337" s="120"/>
      <c r="H337" s="120"/>
      <c r="I337" s="181"/>
      <c r="J337" s="120"/>
      <c r="K337" s="120"/>
      <c r="L337" s="120"/>
      <c r="M337" s="120"/>
      <c r="N337" s="120"/>
      <c r="O337" s="120"/>
      <c r="P337" s="120"/>
      <c r="Q337" s="120"/>
      <c r="R337" s="120"/>
      <c r="S337" s="120"/>
      <c r="T337" s="120"/>
      <c r="U337" s="120"/>
      <c r="V337" s="120"/>
      <c r="W337" s="120"/>
      <c r="X337" s="120"/>
      <c r="Y337" s="120"/>
      <c r="Z337" s="120"/>
      <c r="AA337" s="120"/>
      <c r="AB337" s="120"/>
      <c r="AC337" s="120"/>
      <c r="AD337" s="120"/>
      <c r="AE337" s="120"/>
      <c r="AF337" s="120"/>
      <c r="AG337" s="120"/>
      <c r="AH337" s="120"/>
      <c r="AI337" s="120"/>
      <c r="AJ337" s="120"/>
    </row>
    <row r="338" spans="1:36" s="124" customFormat="1" x14ac:dyDescent="0.25">
      <c r="A338" s="120"/>
      <c r="B338" s="120"/>
      <c r="C338" s="120"/>
      <c r="D338" s="120"/>
      <c r="E338" s="120"/>
      <c r="F338" s="120"/>
      <c r="G338" s="120"/>
      <c r="H338" s="120"/>
      <c r="I338" s="181"/>
      <c r="J338" s="120"/>
      <c r="K338" s="120"/>
      <c r="L338" s="120"/>
      <c r="M338" s="120"/>
      <c r="N338" s="120"/>
      <c r="O338" s="120"/>
      <c r="P338" s="120"/>
      <c r="Q338" s="120"/>
      <c r="R338" s="120"/>
      <c r="S338" s="120"/>
      <c r="T338" s="120"/>
      <c r="U338" s="120"/>
      <c r="V338" s="120"/>
      <c r="W338" s="120"/>
      <c r="X338" s="120"/>
      <c r="Y338" s="120"/>
      <c r="Z338" s="120"/>
      <c r="AA338" s="120"/>
      <c r="AB338" s="120"/>
      <c r="AC338" s="120"/>
      <c r="AD338" s="120"/>
      <c r="AE338" s="120"/>
      <c r="AF338" s="120"/>
      <c r="AG338" s="120"/>
      <c r="AH338" s="120"/>
      <c r="AI338" s="120"/>
      <c r="AJ338" s="120"/>
    </row>
    <row r="339" spans="1:36" s="124" customFormat="1" x14ac:dyDescent="0.25">
      <c r="A339" s="120"/>
      <c r="B339" s="120"/>
      <c r="C339" s="120"/>
      <c r="D339" s="120"/>
      <c r="E339" s="120"/>
      <c r="F339" s="120"/>
      <c r="G339" s="120"/>
      <c r="H339" s="120"/>
      <c r="I339" s="181"/>
      <c r="J339" s="120"/>
      <c r="K339" s="120"/>
      <c r="L339" s="120"/>
      <c r="M339" s="120"/>
      <c r="N339" s="120"/>
      <c r="O339" s="120"/>
      <c r="P339" s="120"/>
      <c r="Q339" s="120"/>
      <c r="R339" s="120"/>
      <c r="S339" s="120"/>
      <c r="T339" s="120"/>
      <c r="U339" s="120"/>
      <c r="V339" s="120"/>
      <c r="W339" s="120"/>
      <c r="X339" s="120"/>
      <c r="Y339" s="120"/>
      <c r="Z339" s="120"/>
      <c r="AA339" s="120"/>
      <c r="AB339" s="120"/>
      <c r="AC339" s="120"/>
      <c r="AD339" s="120"/>
      <c r="AE339" s="120"/>
      <c r="AF339" s="120"/>
      <c r="AG339" s="120"/>
      <c r="AH339" s="120"/>
      <c r="AI339" s="120"/>
      <c r="AJ339" s="120"/>
    </row>
    <row r="340" spans="1:36" s="124" customFormat="1" x14ac:dyDescent="0.25">
      <c r="A340" s="120"/>
      <c r="B340" s="120"/>
      <c r="C340" s="120"/>
      <c r="D340" s="120"/>
      <c r="E340" s="120"/>
      <c r="F340" s="120"/>
      <c r="G340" s="120"/>
      <c r="H340" s="120"/>
      <c r="I340" s="181"/>
      <c r="J340" s="120"/>
      <c r="K340" s="120"/>
      <c r="L340" s="120"/>
      <c r="M340" s="120"/>
      <c r="N340" s="120"/>
      <c r="O340" s="120"/>
      <c r="P340" s="120"/>
      <c r="Q340" s="120"/>
      <c r="R340" s="120"/>
      <c r="S340" s="120"/>
      <c r="T340" s="120"/>
      <c r="U340" s="120"/>
      <c r="V340" s="120"/>
      <c r="W340" s="120"/>
      <c r="X340" s="120"/>
      <c r="Y340" s="120"/>
      <c r="Z340" s="120"/>
      <c r="AA340" s="120"/>
      <c r="AB340" s="120"/>
      <c r="AC340" s="120"/>
      <c r="AD340" s="120"/>
      <c r="AE340" s="120"/>
      <c r="AF340" s="120"/>
      <c r="AG340" s="120"/>
      <c r="AH340" s="120"/>
      <c r="AI340" s="120"/>
      <c r="AJ340" s="120"/>
    </row>
    <row r="341" spans="1:36" s="124" customFormat="1" x14ac:dyDescent="0.25">
      <c r="A341" s="120"/>
      <c r="B341" s="120"/>
      <c r="C341" s="120"/>
      <c r="D341" s="120"/>
      <c r="E341" s="120"/>
      <c r="F341" s="120"/>
      <c r="G341" s="120"/>
      <c r="H341" s="120"/>
      <c r="I341" s="181"/>
      <c r="J341" s="120"/>
      <c r="K341" s="120"/>
      <c r="L341" s="120"/>
      <c r="M341" s="120"/>
      <c r="N341" s="120"/>
      <c r="O341" s="120"/>
      <c r="P341" s="120"/>
      <c r="Q341" s="120"/>
      <c r="R341" s="120"/>
      <c r="S341" s="120"/>
      <c r="T341" s="120"/>
      <c r="U341" s="120"/>
      <c r="V341" s="120"/>
      <c r="W341" s="120"/>
      <c r="X341" s="120"/>
      <c r="Y341" s="120"/>
      <c r="Z341" s="120"/>
      <c r="AA341" s="120"/>
      <c r="AB341" s="120"/>
      <c r="AC341" s="120"/>
      <c r="AD341" s="120"/>
      <c r="AE341" s="120"/>
      <c r="AF341" s="120"/>
      <c r="AG341" s="120"/>
      <c r="AH341" s="120"/>
      <c r="AI341" s="120"/>
      <c r="AJ341" s="120"/>
    </row>
    <row r="342" spans="1:36" s="124" customFormat="1" x14ac:dyDescent="0.25">
      <c r="A342" s="120"/>
      <c r="B342" s="120"/>
      <c r="C342" s="120"/>
      <c r="D342" s="120"/>
      <c r="E342" s="120"/>
      <c r="F342" s="120"/>
      <c r="G342" s="120"/>
      <c r="H342" s="120"/>
      <c r="I342" s="181"/>
      <c r="J342" s="120"/>
      <c r="K342" s="120"/>
      <c r="L342" s="120"/>
      <c r="M342" s="120"/>
      <c r="N342" s="120"/>
      <c r="O342" s="120"/>
      <c r="P342" s="120"/>
      <c r="Q342" s="120"/>
      <c r="R342" s="120"/>
      <c r="S342" s="120"/>
      <c r="T342" s="120"/>
      <c r="U342" s="120"/>
      <c r="V342" s="120"/>
      <c r="W342" s="120"/>
      <c r="X342" s="120"/>
      <c r="Y342" s="120"/>
      <c r="Z342" s="120"/>
      <c r="AA342" s="120"/>
      <c r="AB342" s="120"/>
      <c r="AC342" s="120"/>
      <c r="AD342" s="120"/>
      <c r="AE342" s="120"/>
      <c r="AF342" s="120"/>
      <c r="AG342" s="120"/>
      <c r="AH342" s="120"/>
      <c r="AI342" s="120"/>
      <c r="AJ342" s="120"/>
    </row>
    <row r="343" spans="1:36" s="124" customFormat="1" x14ac:dyDescent="0.25">
      <c r="A343" s="120"/>
      <c r="B343" s="120"/>
      <c r="C343" s="120"/>
      <c r="D343" s="120"/>
      <c r="E343" s="120"/>
      <c r="F343" s="120"/>
      <c r="G343" s="120"/>
      <c r="H343" s="120"/>
      <c r="I343" s="181"/>
      <c r="J343" s="120"/>
      <c r="K343" s="120"/>
      <c r="L343" s="120"/>
      <c r="M343" s="120"/>
      <c r="N343" s="120"/>
      <c r="O343" s="120"/>
      <c r="P343" s="120"/>
      <c r="Q343" s="120"/>
      <c r="R343" s="120"/>
      <c r="S343" s="120"/>
      <c r="T343" s="120"/>
      <c r="U343" s="120"/>
      <c r="V343" s="120"/>
      <c r="W343" s="120"/>
      <c r="X343" s="120"/>
      <c r="Y343" s="120"/>
      <c r="Z343" s="120"/>
      <c r="AA343" s="120"/>
      <c r="AB343" s="120"/>
      <c r="AC343" s="120"/>
      <c r="AD343" s="120"/>
      <c r="AE343" s="120"/>
      <c r="AF343" s="120"/>
      <c r="AG343" s="120"/>
      <c r="AH343" s="120"/>
      <c r="AI343" s="120"/>
      <c r="AJ343" s="120"/>
    </row>
    <row r="344" spans="1:36" s="124" customFormat="1" x14ac:dyDescent="0.25">
      <c r="A344" s="120"/>
      <c r="B344" s="120"/>
      <c r="C344" s="120"/>
      <c r="D344" s="120"/>
      <c r="E344" s="120"/>
      <c r="F344" s="120"/>
      <c r="G344" s="120"/>
      <c r="H344" s="120"/>
      <c r="I344" s="181"/>
      <c r="J344" s="120"/>
      <c r="K344" s="120"/>
      <c r="L344" s="120"/>
      <c r="M344" s="120"/>
      <c r="N344" s="120"/>
      <c r="O344" s="120"/>
      <c r="P344" s="120"/>
      <c r="Q344" s="120"/>
      <c r="R344" s="120"/>
      <c r="S344" s="120"/>
      <c r="T344" s="120"/>
      <c r="U344" s="120"/>
      <c r="V344" s="120"/>
      <c r="W344" s="120"/>
      <c r="X344" s="120"/>
      <c r="Y344" s="120"/>
      <c r="Z344" s="120"/>
      <c r="AA344" s="120"/>
      <c r="AB344" s="120"/>
      <c r="AC344" s="120"/>
      <c r="AD344" s="120"/>
      <c r="AE344" s="120"/>
      <c r="AF344" s="120"/>
      <c r="AG344" s="120"/>
      <c r="AH344" s="120"/>
      <c r="AI344" s="120"/>
      <c r="AJ344" s="120"/>
    </row>
    <row r="345" spans="1:36" s="124" customFormat="1" x14ac:dyDescent="0.25">
      <c r="A345" s="120"/>
      <c r="B345" s="120"/>
      <c r="C345" s="120"/>
      <c r="D345" s="120"/>
      <c r="E345" s="120"/>
      <c r="F345" s="120"/>
      <c r="G345" s="120"/>
      <c r="H345" s="120"/>
      <c r="I345" s="181"/>
      <c r="J345" s="120"/>
      <c r="K345" s="120"/>
      <c r="L345" s="120"/>
      <c r="M345" s="120"/>
      <c r="N345" s="120"/>
      <c r="O345" s="120"/>
      <c r="P345" s="120"/>
      <c r="Q345" s="120"/>
      <c r="R345" s="120"/>
      <c r="S345" s="120"/>
      <c r="T345" s="120"/>
      <c r="U345" s="120"/>
      <c r="V345" s="120"/>
      <c r="W345" s="120"/>
      <c r="X345" s="120"/>
      <c r="Y345" s="120"/>
      <c r="Z345" s="120"/>
      <c r="AA345" s="120"/>
      <c r="AB345" s="120"/>
      <c r="AC345" s="120"/>
      <c r="AD345" s="120"/>
      <c r="AE345" s="120"/>
      <c r="AF345" s="120"/>
      <c r="AG345" s="120"/>
      <c r="AH345" s="120"/>
      <c r="AI345" s="120"/>
      <c r="AJ345" s="120"/>
    </row>
    <row r="346" spans="1:36" s="124" customFormat="1" x14ac:dyDescent="0.25">
      <c r="A346" s="120"/>
      <c r="B346" s="120"/>
      <c r="C346" s="120"/>
      <c r="D346" s="120"/>
      <c r="E346" s="120"/>
      <c r="F346" s="120"/>
      <c r="G346" s="120"/>
      <c r="H346" s="120"/>
      <c r="I346" s="181"/>
      <c r="J346" s="120"/>
      <c r="K346" s="120"/>
      <c r="L346" s="120"/>
      <c r="M346" s="120"/>
      <c r="N346" s="120"/>
      <c r="O346" s="120"/>
      <c r="P346" s="120"/>
      <c r="Q346" s="120"/>
      <c r="R346" s="120"/>
      <c r="S346" s="120"/>
      <c r="T346" s="120"/>
      <c r="U346" s="120"/>
      <c r="V346" s="120"/>
      <c r="W346" s="120"/>
      <c r="X346" s="120"/>
      <c r="Y346" s="120"/>
      <c r="Z346" s="120"/>
      <c r="AA346" s="120"/>
      <c r="AB346" s="120"/>
      <c r="AC346" s="120"/>
      <c r="AD346" s="120"/>
      <c r="AE346" s="120"/>
      <c r="AF346" s="120"/>
      <c r="AG346" s="120"/>
      <c r="AH346" s="120"/>
      <c r="AI346" s="120"/>
      <c r="AJ346" s="120"/>
    </row>
    <row r="347" spans="1:36" s="124" customFormat="1" x14ac:dyDescent="0.25">
      <c r="A347" s="120"/>
      <c r="B347" s="120"/>
      <c r="C347" s="120"/>
      <c r="D347" s="120"/>
      <c r="E347" s="120"/>
      <c r="F347" s="120"/>
      <c r="G347" s="120"/>
      <c r="H347" s="120"/>
      <c r="I347" s="181"/>
      <c r="J347" s="120"/>
      <c r="K347" s="120"/>
      <c r="L347" s="120"/>
      <c r="M347" s="120"/>
      <c r="N347" s="120"/>
      <c r="O347" s="120"/>
      <c r="P347" s="120"/>
      <c r="Q347" s="120"/>
      <c r="R347" s="120"/>
      <c r="S347" s="120"/>
      <c r="T347" s="120"/>
      <c r="U347" s="120"/>
      <c r="V347" s="120"/>
      <c r="W347" s="120"/>
      <c r="X347" s="120"/>
      <c r="Y347" s="120"/>
      <c r="Z347" s="120"/>
      <c r="AA347" s="120"/>
      <c r="AB347" s="120"/>
      <c r="AC347" s="120"/>
      <c r="AD347" s="120"/>
      <c r="AE347" s="120"/>
      <c r="AF347" s="120"/>
      <c r="AG347" s="120"/>
      <c r="AH347" s="120"/>
      <c r="AI347" s="120"/>
      <c r="AJ347" s="120"/>
    </row>
    <row r="348" spans="1:36" s="124" customFormat="1" x14ac:dyDescent="0.25">
      <c r="A348" s="120"/>
      <c r="B348" s="120"/>
      <c r="C348" s="120"/>
      <c r="D348" s="120"/>
      <c r="E348" s="120"/>
      <c r="F348" s="120"/>
      <c r="G348" s="120"/>
      <c r="H348" s="120"/>
      <c r="I348" s="181"/>
      <c r="J348" s="120"/>
      <c r="K348" s="120"/>
      <c r="L348" s="120"/>
      <c r="M348" s="120"/>
      <c r="N348" s="120"/>
      <c r="O348" s="120"/>
      <c r="P348" s="120"/>
      <c r="Q348" s="120"/>
      <c r="R348" s="120"/>
      <c r="S348" s="120"/>
      <c r="T348" s="120"/>
      <c r="U348" s="120"/>
      <c r="V348" s="120"/>
      <c r="W348" s="120"/>
      <c r="X348" s="120"/>
      <c r="Y348" s="120"/>
      <c r="Z348" s="120"/>
      <c r="AA348" s="120"/>
      <c r="AB348" s="120"/>
      <c r="AC348" s="120"/>
      <c r="AD348" s="120"/>
      <c r="AE348" s="120"/>
      <c r="AF348" s="120"/>
      <c r="AG348" s="120"/>
      <c r="AH348" s="120"/>
      <c r="AI348" s="120"/>
      <c r="AJ348" s="120"/>
    </row>
    <row r="349" spans="1:36" s="124" customFormat="1" x14ac:dyDescent="0.25">
      <c r="A349" s="120"/>
      <c r="B349" s="120"/>
      <c r="C349" s="120"/>
      <c r="D349" s="120"/>
      <c r="E349" s="120"/>
      <c r="F349" s="120"/>
      <c r="G349" s="120"/>
      <c r="H349" s="120"/>
      <c r="I349" s="181"/>
      <c r="J349" s="120"/>
      <c r="K349" s="120"/>
      <c r="L349" s="120"/>
      <c r="M349" s="120"/>
      <c r="N349" s="120"/>
      <c r="O349" s="120"/>
      <c r="P349" s="120"/>
      <c r="Q349" s="120"/>
      <c r="R349" s="120"/>
      <c r="S349" s="120"/>
      <c r="T349" s="120"/>
      <c r="U349" s="120"/>
      <c r="V349" s="120"/>
      <c r="W349" s="120"/>
      <c r="X349" s="120"/>
      <c r="Y349" s="120"/>
      <c r="Z349" s="120"/>
      <c r="AA349" s="120"/>
      <c r="AB349" s="120"/>
      <c r="AC349" s="120"/>
      <c r="AD349" s="120"/>
      <c r="AE349" s="120"/>
      <c r="AF349" s="120"/>
      <c r="AG349" s="120"/>
      <c r="AH349" s="120"/>
      <c r="AI349" s="120"/>
      <c r="AJ349" s="120"/>
    </row>
    <row r="350" spans="1:36" s="124" customFormat="1" x14ac:dyDescent="0.25">
      <c r="A350" s="120"/>
      <c r="B350" s="120"/>
      <c r="C350" s="120"/>
      <c r="D350" s="120"/>
      <c r="E350" s="120"/>
      <c r="F350" s="120"/>
      <c r="G350" s="120"/>
      <c r="H350" s="120"/>
      <c r="I350" s="181"/>
      <c r="J350" s="120"/>
      <c r="K350" s="120"/>
      <c r="L350" s="120"/>
      <c r="M350" s="120"/>
      <c r="N350" s="120"/>
      <c r="O350" s="120"/>
      <c r="P350" s="120"/>
      <c r="Q350" s="120"/>
      <c r="R350" s="120"/>
      <c r="S350" s="120"/>
      <c r="T350" s="120"/>
      <c r="U350" s="120"/>
      <c r="V350" s="120"/>
      <c r="W350" s="120"/>
      <c r="X350" s="120"/>
      <c r="Y350" s="120"/>
      <c r="Z350" s="120"/>
      <c r="AA350" s="120"/>
      <c r="AB350" s="120"/>
      <c r="AC350" s="120"/>
      <c r="AD350" s="120"/>
      <c r="AE350" s="120"/>
      <c r="AF350" s="120"/>
      <c r="AG350" s="120"/>
      <c r="AH350" s="120"/>
      <c r="AI350" s="120"/>
      <c r="AJ350" s="120"/>
    </row>
    <row r="351" spans="1:36" s="124" customFormat="1" x14ac:dyDescent="0.25">
      <c r="A351" s="120"/>
      <c r="B351" s="120"/>
      <c r="C351" s="120"/>
      <c r="D351" s="120"/>
      <c r="E351" s="120"/>
      <c r="F351" s="120"/>
      <c r="G351" s="120"/>
      <c r="H351" s="120"/>
      <c r="I351" s="181"/>
      <c r="J351" s="120"/>
      <c r="K351" s="120"/>
      <c r="L351" s="120"/>
      <c r="M351" s="120"/>
      <c r="N351" s="120"/>
      <c r="O351" s="120"/>
      <c r="P351" s="120"/>
      <c r="Q351" s="120"/>
      <c r="R351" s="120"/>
      <c r="S351" s="120"/>
      <c r="T351" s="120"/>
      <c r="U351" s="120"/>
      <c r="V351" s="120"/>
      <c r="W351" s="120"/>
      <c r="X351" s="120"/>
      <c r="Y351" s="120"/>
      <c r="Z351" s="120"/>
      <c r="AA351" s="120"/>
      <c r="AB351" s="120"/>
      <c r="AC351" s="120"/>
      <c r="AD351" s="120"/>
      <c r="AE351" s="120"/>
      <c r="AF351" s="120"/>
      <c r="AG351" s="120"/>
      <c r="AH351" s="120"/>
      <c r="AI351" s="120"/>
      <c r="AJ351" s="120"/>
    </row>
    <row r="352" spans="1:36" s="124" customFormat="1" x14ac:dyDescent="0.25">
      <c r="A352" s="120"/>
      <c r="B352" s="120"/>
      <c r="C352" s="120"/>
      <c r="D352" s="120"/>
      <c r="E352" s="120"/>
      <c r="F352" s="120"/>
      <c r="G352" s="120"/>
      <c r="H352" s="120"/>
      <c r="I352" s="181"/>
      <c r="J352" s="120"/>
      <c r="K352" s="120"/>
      <c r="L352" s="120"/>
      <c r="M352" s="120"/>
      <c r="N352" s="120"/>
      <c r="O352" s="120"/>
      <c r="P352" s="120"/>
      <c r="Q352" s="120"/>
      <c r="R352" s="120"/>
      <c r="S352" s="120"/>
      <c r="T352" s="120"/>
      <c r="U352" s="120"/>
      <c r="V352" s="120"/>
      <c r="W352" s="120"/>
      <c r="X352" s="120"/>
      <c r="Y352" s="120"/>
      <c r="Z352" s="120"/>
      <c r="AA352" s="120"/>
      <c r="AB352" s="120"/>
      <c r="AC352" s="120"/>
      <c r="AD352" s="120"/>
      <c r="AE352" s="120"/>
      <c r="AF352" s="120"/>
      <c r="AG352" s="120"/>
      <c r="AH352" s="120"/>
      <c r="AI352" s="120"/>
      <c r="AJ352" s="120"/>
    </row>
    <row r="353" spans="1:36" s="124" customFormat="1" x14ac:dyDescent="0.25">
      <c r="A353" s="120"/>
      <c r="B353" s="120"/>
      <c r="C353" s="120"/>
      <c r="D353" s="120"/>
      <c r="E353" s="120"/>
      <c r="F353" s="120"/>
      <c r="G353" s="120"/>
      <c r="H353" s="120"/>
      <c r="I353" s="181"/>
      <c r="J353" s="120"/>
      <c r="K353" s="120"/>
      <c r="L353" s="120"/>
      <c r="M353" s="120"/>
      <c r="N353" s="120"/>
      <c r="O353" s="120"/>
      <c r="P353" s="120"/>
      <c r="Q353" s="120"/>
      <c r="R353" s="120"/>
      <c r="S353" s="120"/>
      <c r="T353" s="120"/>
      <c r="U353" s="120"/>
      <c r="V353" s="120"/>
      <c r="W353" s="120"/>
      <c r="X353" s="120"/>
      <c r="Y353" s="120"/>
      <c r="Z353" s="120"/>
      <c r="AA353" s="120"/>
      <c r="AB353" s="120"/>
      <c r="AC353" s="120"/>
      <c r="AD353" s="120"/>
      <c r="AE353" s="120"/>
      <c r="AF353" s="120"/>
      <c r="AG353" s="120"/>
      <c r="AH353" s="120"/>
      <c r="AI353" s="120"/>
      <c r="AJ353" s="120"/>
    </row>
    <row r="354" spans="1:36" s="124" customFormat="1" x14ac:dyDescent="0.25">
      <c r="A354" s="120"/>
      <c r="B354" s="120"/>
      <c r="C354" s="120"/>
      <c r="D354" s="120"/>
      <c r="E354" s="120"/>
      <c r="F354" s="120"/>
      <c r="G354" s="120"/>
      <c r="H354" s="120"/>
      <c r="I354" s="181"/>
      <c r="J354" s="120"/>
      <c r="K354" s="120"/>
      <c r="L354" s="120"/>
      <c r="M354" s="120"/>
      <c r="N354" s="120"/>
      <c r="O354" s="120"/>
      <c r="P354" s="120"/>
      <c r="Q354" s="120"/>
      <c r="R354" s="120"/>
      <c r="S354" s="120"/>
      <c r="T354" s="120"/>
      <c r="U354" s="120"/>
      <c r="V354" s="120"/>
      <c r="W354" s="120"/>
      <c r="X354" s="120"/>
      <c r="Y354" s="120"/>
      <c r="Z354" s="120"/>
      <c r="AA354" s="120"/>
      <c r="AB354" s="120"/>
      <c r="AC354" s="120"/>
      <c r="AD354" s="120"/>
      <c r="AE354" s="120"/>
      <c r="AF354" s="120"/>
      <c r="AG354" s="120"/>
      <c r="AH354" s="120"/>
      <c r="AI354" s="120"/>
      <c r="AJ354" s="120"/>
    </row>
    <row r="355" spans="1:36" s="124" customFormat="1" x14ac:dyDescent="0.25">
      <c r="A355" s="120"/>
      <c r="B355" s="120"/>
      <c r="C355" s="120"/>
      <c r="D355" s="120"/>
      <c r="E355" s="120"/>
      <c r="F355" s="120"/>
      <c r="G355" s="120"/>
      <c r="H355" s="120"/>
      <c r="I355" s="181"/>
      <c r="J355" s="120"/>
      <c r="K355" s="120"/>
      <c r="L355" s="120"/>
      <c r="M355" s="120"/>
      <c r="N355" s="120"/>
      <c r="O355" s="120"/>
      <c r="P355" s="120"/>
      <c r="Q355" s="120"/>
      <c r="R355" s="120"/>
      <c r="S355" s="120"/>
      <c r="T355" s="120"/>
      <c r="U355" s="120"/>
      <c r="V355" s="120"/>
      <c r="W355" s="120"/>
      <c r="X355" s="120"/>
      <c r="Y355" s="120"/>
      <c r="Z355" s="120"/>
      <c r="AA355" s="120"/>
      <c r="AB355" s="120"/>
      <c r="AC355" s="120"/>
      <c r="AD355" s="120"/>
      <c r="AE355" s="120"/>
      <c r="AF355" s="120"/>
      <c r="AG355" s="120"/>
      <c r="AH355" s="120"/>
      <c r="AI355" s="120"/>
      <c r="AJ355" s="120"/>
    </row>
    <row r="356" spans="1:36" s="124" customFormat="1" x14ac:dyDescent="0.25">
      <c r="A356" s="120"/>
      <c r="B356" s="120"/>
      <c r="C356" s="120"/>
      <c r="D356" s="120"/>
      <c r="E356" s="120"/>
      <c r="F356" s="120"/>
      <c r="G356" s="120"/>
      <c r="H356" s="120"/>
      <c r="I356" s="181"/>
      <c r="J356" s="120"/>
      <c r="K356" s="120"/>
      <c r="L356" s="120"/>
      <c r="M356" s="120"/>
      <c r="N356" s="120"/>
      <c r="O356" s="120"/>
      <c r="P356" s="120"/>
      <c r="Q356" s="120"/>
      <c r="R356" s="120"/>
      <c r="S356" s="120"/>
      <c r="T356" s="120"/>
      <c r="U356" s="120"/>
      <c r="V356" s="120"/>
      <c r="W356" s="120"/>
      <c r="X356" s="120"/>
      <c r="Y356" s="120"/>
      <c r="Z356" s="120"/>
      <c r="AA356" s="120"/>
      <c r="AB356" s="120"/>
      <c r="AC356" s="120"/>
      <c r="AD356" s="120"/>
      <c r="AE356" s="120"/>
      <c r="AF356" s="120"/>
      <c r="AG356" s="120"/>
      <c r="AH356" s="120"/>
      <c r="AI356" s="120"/>
      <c r="AJ356" s="120"/>
    </row>
    <row r="357" spans="1:36" s="124" customFormat="1" x14ac:dyDescent="0.25">
      <c r="A357" s="120"/>
      <c r="B357" s="120"/>
      <c r="C357" s="120"/>
      <c r="D357" s="120"/>
      <c r="E357" s="120"/>
      <c r="F357" s="120"/>
      <c r="G357" s="120"/>
      <c r="H357" s="120"/>
      <c r="I357" s="181"/>
      <c r="J357" s="120"/>
      <c r="K357" s="120"/>
      <c r="L357" s="120"/>
      <c r="M357" s="120"/>
      <c r="N357" s="120"/>
      <c r="O357" s="120"/>
      <c r="P357" s="120"/>
      <c r="Q357" s="120"/>
      <c r="R357" s="120"/>
      <c r="S357" s="120"/>
      <c r="T357" s="120"/>
      <c r="U357" s="120"/>
      <c r="V357" s="120"/>
      <c r="W357" s="120"/>
      <c r="X357" s="120"/>
      <c r="Y357" s="120"/>
      <c r="Z357" s="120"/>
      <c r="AA357" s="120"/>
      <c r="AB357" s="120"/>
      <c r="AC357" s="120"/>
      <c r="AD357" s="120"/>
      <c r="AE357" s="120"/>
      <c r="AF357" s="120"/>
      <c r="AG357" s="120"/>
      <c r="AH357" s="120"/>
      <c r="AI357" s="120"/>
      <c r="AJ357" s="120"/>
    </row>
    <row r="358" spans="1:36" s="124" customFormat="1" x14ac:dyDescent="0.25">
      <c r="A358" s="120"/>
      <c r="B358" s="120"/>
      <c r="C358" s="120"/>
      <c r="D358" s="120"/>
      <c r="E358" s="120"/>
      <c r="F358" s="120"/>
      <c r="G358" s="120"/>
      <c r="H358" s="120"/>
      <c r="I358" s="181"/>
      <c r="J358" s="120"/>
      <c r="K358" s="120"/>
      <c r="L358" s="120"/>
      <c r="M358" s="120"/>
      <c r="N358" s="120"/>
      <c r="O358" s="120"/>
      <c r="P358" s="120"/>
      <c r="Q358" s="120"/>
      <c r="R358" s="120"/>
      <c r="S358" s="120"/>
      <c r="T358" s="120"/>
      <c r="U358" s="120"/>
      <c r="V358" s="120"/>
      <c r="W358" s="120"/>
      <c r="X358" s="120"/>
      <c r="Y358" s="120"/>
      <c r="Z358" s="120"/>
      <c r="AA358" s="120"/>
      <c r="AB358" s="120"/>
      <c r="AC358" s="120"/>
      <c r="AD358" s="120"/>
      <c r="AE358" s="120"/>
      <c r="AF358" s="120"/>
      <c r="AG358" s="120"/>
      <c r="AH358" s="120"/>
      <c r="AI358" s="120"/>
      <c r="AJ358" s="120"/>
    </row>
    <row r="359" spans="1:36" s="124" customFormat="1" x14ac:dyDescent="0.25">
      <c r="A359" s="120"/>
      <c r="B359" s="120"/>
      <c r="C359" s="120"/>
      <c r="D359" s="120"/>
      <c r="E359" s="120"/>
      <c r="F359" s="120"/>
      <c r="G359" s="120"/>
      <c r="H359" s="120"/>
      <c r="I359" s="181"/>
      <c r="J359" s="120"/>
      <c r="K359" s="120"/>
      <c r="L359" s="120"/>
      <c r="M359" s="120"/>
      <c r="N359" s="120"/>
      <c r="O359" s="120"/>
      <c r="P359" s="120"/>
      <c r="Q359" s="120"/>
      <c r="R359" s="120"/>
      <c r="S359" s="120"/>
      <c r="T359" s="120"/>
      <c r="U359" s="120"/>
      <c r="V359" s="120"/>
      <c r="W359" s="120"/>
      <c r="X359" s="120"/>
      <c r="Y359" s="120"/>
      <c r="Z359" s="120"/>
      <c r="AA359" s="120"/>
      <c r="AB359" s="120"/>
      <c r="AC359" s="120"/>
      <c r="AD359" s="120"/>
      <c r="AE359" s="120"/>
      <c r="AF359" s="120"/>
      <c r="AG359" s="120"/>
      <c r="AH359" s="120"/>
      <c r="AI359" s="120"/>
      <c r="AJ359" s="120"/>
    </row>
    <row r="360" spans="1:36" s="124" customFormat="1" x14ac:dyDescent="0.25">
      <c r="A360" s="120"/>
      <c r="B360" s="120"/>
      <c r="C360" s="120"/>
      <c r="D360" s="120"/>
      <c r="E360" s="120"/>
      <c r="F360" s="120"/>
      <c r="G360" s="120"/>
      <c r="H360" s="120"/>
      <c r="I360" s="181"/>
      <c r="J360" s="120"/>
      <c r="K360" s="120"/>
      <c r="L360" s="120"/>
      <c r="M360" s="120"/>
      <c r="N360" s="120"/>
      <c r="O360" s="120"/>
      <c r="P360" s="120"/>
      <c r="Q360" s="120"/>
      <c r="R360" s="120"/>
      <c r="S360" s="120"/>
      <c r="T360" s="120"/>
      <c r="U360" s="120"/>
      <c r="V360" s="120"/>
      <c r="W360" s="120"/>
      <c r="X360" s="120"/>
      <c r="Y360" s="120"/>
      <c r="Z360" s="120"/>
      <c r="AA360" s="120"/>
      <c r="AB360" s="120"/>
      <c r="AC360" s="120"/>
      <c r="AD360" s="120"/>
      <c r="AE360" s="120"/>
      <c r="AF360" s="120"/>
      <c r="AG360" s="120"/>
      <c r="AH360" s="120"/>
      <c r="AI360" s="120"/>
      <c r="AJ360" s="120"/>
    </row>
    <row r="361" spans="1:36" s="124" customFormat="1" x14ac:dyDescent="0.25">
      <c r="A361" s="120"/>
      <c r="B361" s="120"/>
      <c r="C361" s="120"/>
      <c r="D361" s="120"/>
      <c r="E361" s="120"/>
      <c r="F361" s="120"/>
      <c r="G361" s="120"/>
      <c r="H361" s="120"/>
      <c r="I361" s="181"/>
      <c r="J361" s="120"/>
      <c r="K361" s="120"/>
      <c r="L361" s="120"/>
      <c r="M361" s="120"/>
      <c r="N361" s="120"/>
      <c r="O361" s="120"/>
      <c r="P361" s="120"/>
      <c r="Q361" s="120"/>
      <c r="R361" s="120"/>
      <c r="S361" s="120"/>
      <c r="T361" s="120"/>
      <c r="U361" s="120"/>
      <c r="V361" s="120"/>
      <c r="W361" s="120"/>
      <c r="X361" s="120"/>
      <c r="Y361" s="120"/>
      <c r="Z361" s="120"/>
      <c r="AA361" s="120"/>
      <c r="AB361" s="120"/>
      <c r="AC361" s="120"/>
      <c r="AD361" s="120"/>
      <c r="AE361" s="120"/>
      <c r="AF361" s="120"/>
      <c r="AG361" s="120"/>
      <c r="AH361" s="120"/>
      <c r="AI361" s="120"/>
      <c r="AJ361" s="120"/>
    </row>
    <row r="362" spans="1:36" s="124" customFormat="1" x14ac:dyDescent="0.25">
      <c r="A362" s="120"/>
      <c r="B362" s="120"/>
      <c r="C362" s="120"/>
      <c r="D362" s="120"/>
      <c r="E362" s="120"/>
      <c r="F362" s="120"/>
      <c r="G362" s="120"/>
      <c r="H362" s="120"/>
      <c r="I362" s="181"/>
      <c r="J362" s="120"/>
      <c r="K362" s="120"/>
      <c r="L362" s="120"/>
      <c r="M362" s="120"/>
      <c r="N362" s="120"/>
      <c r="O362" s="120"/>
      <c r="P362" s="120"/>
      <c r="Q362" s="120"/>
      <c r="R362" s="120"/>
      <c r="S362" s="120"/>
      <c r="T362" s="120"/>
      <c r="U362" s="120"/>
      <c r="V362" s="120"/>
      <c r="W362" s="120"/>
      <c r="X362" s="120"/>
      <c r="Y362" s="120"/>
      <c r="Z362" s="120"/>
      <c r="AA362" s="120"/>
      <c r="AB362" s="120"/>
      <c r="AC362" s="120"/>
      <c r="AD362" s="120"/>
      <c r="AE362" s="120"/>
      <c r="AF362" s="120"/>
      <c r="AG362" s="120"/>
      <c r="AH362" s="120"/>
      <c r="AI362" s="120"/>
      <c r="AJ362" s="120"/>
    </row>
    <row r="363" spans="1:36" s="124" customFormat="1" x14ac:dyDescent="0.25">
      <c r="A363" s="120"/>
      <c r="B363" s="120"/>
      <c r="C363" s="120"/>
      <c r="D363" s="120"/>
      <c r="E363" s="120"/>
      <c r="F363" s="120"/>
      <c r="G363" s="120"/>
      <c r="H363" s="120"/>
      <c r="I363" s="181"/>
      <c r="J363" s="120"/>
      <c r="K363" s="120"/>
      <c r="L363" s="120"/>
      <c r="M363" s="120"/>
      <c r="N363" s="120"/>
      <c r="O363" s="120"/>
      <c r="P363" s="120"/>
      <c r="Q363" s="120"/>
      <c r="R363" s="120"/>
      <c r="S363" s="120"/>
      <c r="T363" s="120"/>
      <c r="U363" s="120"/>
      <c r="V363" s="120"/>
      <c r="W363" s="120"/>
      <c r="X363" s="120"/>
      <c r="Y363" s="120"/>
      <c r="Z363" s="120"/>
      <c r="AA363" s="120"/>
      <c r="AB363" s="120"/>
      <c r="AC363" s="120"/>
      <c r="AD363" s="120"/>
      <c r="AE363" s="120"/>
      <c r="AF363" s="120"/>
      <c r="AG363" s="120"/>
      <c r="AH363" s="120"/>
      <c r="AI363" s="120"/>
      <c r="AJ363" s="120"/>
    </row>
    <row r="364" spans="1:36" s="124" customFormat="1" x14ac:dyDescent="0.25">
      <c r="A364" s="120"/>
      <c r="B364" s="120"/>
      <c r="C364" s="120"/>
      <c r="D364" s="120"/>
      <c r="E364" s="120"/>
      <c r="F364" s="120"/>
      <c r="G364" s="120"/>
      <c r="H364" s="120"/>
      <c r="I364" s="181"/>
      <c r="J364" s="120"/>
      <c r="K364" s="120"/>
      <c r="L364" s="120"/>
      <c r="M364" s="120"/>
      <c r="N364" s="120"/>
      <c r="O364" s="120"/>
      <c r="P364" s="120"/>
      <c r="Q364" s="120"/>
      <c r="R364" s="120"/>
      <c r="S364" s="120"/>
      <c r="T364" s="120"/>
      <c r="U364" s="120"/>
      <c r="V364" s="120"/>
      <c r="W364" s="120"/>
      <c r="X364" s="120"/>
      <c r="Y364" s="120"/>
      <c r="Z364" s="120"/>
      <c r="AA364" s="120"/>
      <c r="AB364" s="120"/>
      <c r="AC364" s="120"/>
      <c r="AD364" s="120"/>
      <c r="AE364" s="120"/>
      <c r="AF364" s="120"/>
      <c r="AG364" s="120"/>
      <c r="AH364" s="120"/>
      <c r="AI364" s="120"/>
      <c r="AJ364" s="120"/>
    </row>
    <row r="365" spans="1:36" s="124" customFormat="1" x14ac:dyDescent="0.25">
      <c r="A365" s="120"/>
      <c r="B365" s="120"/>
      <c r="C365" s="120"/>
      <c r="D365" s="120"/>
      <c r="E365" s="120"/>
      <c r="F365" s="120"/>
      <c r="G365" s="120"/>
      <c r="H365" s="120"/>
      <c r="I365" s="181"/>
      <c r="J365" s="120"/>
      <c r="K365" s="120"/>
      <c r="L365" s="120"/>
      <c r="M365" s="120"/>
      <c r="N365" s="120"/>
      <c r="O365" s="120"/>
      <c r="P365" s="120"/>
      <c r="Q365" s="120"/>
      <c r="R365" s="120"/>
      <c r="S365" s="120"/>
      <c r="T365" s="120"/>
      <c r="U365" s="120"/>
      <c r="V365" s="120"/>
      <c r="W365" s="120"/>
      <c r="X365" s="120"/>
      <c r="Y365" s="120"/>
      <c r="Z365" s="120"/>
      <c r="AA365" s="120"/>
      <c r="AB365" s="120"/>
      <c r="AC365" s="120"/>
      <c r="AD365" s="120"/>
      <c r="AE365" s="120"/>
      <c r="AF365" s="120"/>
      <c r="AG365" s="120"/>
      <c r="AH365" s="120"/>
      <c r="AI365" s="120"/>
      <c r="AJ365" s="120"/>
    </row>
    <row r="366" spans="1:36" s="124" customFormat="1" x14ac:dyDescent="0.25">
      <c r="A366" s="120"/>
      <c r="B366" s="120"/>
      <c r="C366" s="120"/>
      <c r="D366" s="120"/>
      <c r="E366" s="120"/>
      <c r="F366" s="120"/>
      <c r="G366" s="120"/>
      <c r="H366" s="120"/>
      <c r="I366" s="181"/>
      <c r="J366" s="120"/>
      <c r="K366" s="120"/>
      <c r="L366" s="120"/>
      <c r="M366" s="120"/>
      <c r="N366" s="120"/>
      <c r="O366" s="120"/>
      <c r="P366" s="120"/>
      <c r="Q366" s="120"/>
      <c r="R366" s="120"/>
      <c r="S366" s="120"/>
      <c r="T366" s="120"/>
      <c r="U366" s="120"/>
      <c r="V366" s="120"/>
      <c r="W366" s="120"/>
      <c r="X366" s="120"/>
      <c r="Y366" s="120"/>
      <c r="Z366" s="120"/>
      <c r="AA366" s="120"/>
      <c r="AB366" s="120"/>
      <c r="AC366" s="120"/>
      <c r="AD366" s="120"/>
      <c r="AE366" s="120"/>
      <c r="AF366" s="120"/>
      <c r="AG366" s="120"/>
      <c r="AH366" s="120"/>
      <c r="AI366" s="120"/>
      <c r="AJ366" s="120"/>
    </row>
    <row r="367" spans="1:36" s="124" customFormat="1" x14ac:dyDescent="0.25">
      <c r="A367" s="120"/>
      <c r="B367" s="120"/>
      <c r="C367" s="120"/>
      <c r="D367" s="120"/>
      <c r="E367" s="120"/>
      <c r="F367" s="120"/>
      <c r="G367" s="120"/>
      <c r="H367" s="120"/>
      <c r="I367" s="181"/>
      <c r="J367" s="120"/>
      <c r="K367" s="120"/>
      <c r="L367" s="120"/>
      <c r="M367" s="120"/>
      <c r="N367" s="120"/>
      <c r="O367" s="120"/>
      <c r="P367" s="120"/>
      <c r="Q367" s="120"/>
      <c r="R367" s="120"/>
      <c r="S367" s="120"/>
      <c r="T367" s="120"/>
      <c r="U367" s="120"/>
      <c r="V367" s="120"/>
      <c r="W367" s="120"/>
      <c r="X367" s="120"/>
      <c r="Y367" s="120"/>
      <c r="Z367" s="120"/>
      <c r="AA367" s="120"/>
      <c r="AB367" s="120"/>
      <c r="AC367" s="120"/>
      <c r="AD367" s="120"/>
      <c r="AE367" s="120"/>
      <c r="AF367" s="120"/>
      <c r="AG367" s="120"/>
      <c r="AH367" s="120"/>
      <c r="AI367" s="120"/>
      <c r="AJ367" s="120"/>
    </row>
    <row r="368" spans="1:36" s="124" customFormat="1" x14ac:dyDescent="0.25">
      <c r="A368" s="120"/>
      <c r="B368" s="120"/>
      <c r="C368" s="120"/>
      <c r="D368" s="120"/>
      <c r="E368" s="120"/>
      <c r="F368" s="120"/>
      <c r="G368" s="120"/>
      <c r="H368" s="120"/>
      <c r="I368" s="181"/>
      <c r="J368" s="120"/>
      <c r="K368" s="120"/>
      <c r="L368" s="120"/>
      <c r="M368" s="120"/>
      <c r="N368" s="120"/>
      <c r="O368" s="120"/>
      <c r="P368" s="120"/>
      <c r="Q368" s="120"/>
      <c r="R368" s="120"/>
      <c r="S368" s="120"/>
      <c r="T368" s="120"/>
      <c r="U368" s="120"/>
      <c r="V368" s="120"/>
      <c r="W368" s="120"/>
      <c r="X368" s="120"/>
      <c r="Y368" s="120"/>
      <c r="Z368" s="120"/>
      <c r="AA368" s="120"/>
      <c r="AB368" s="120"/>
      <c r="AC368" s="120"/>
      <c r="AD368" s="120"/>
      <c r="AE368" s="120"/>
      <c r="AF368" s="120"/>
      <c r="AG368" s="120"/>
      <c r="AH368" s="120"/>
      <c r="AI368" s="120"/>
      <c r="AJ368" s="120"/>
    </row>
    <row r="369" spans="1:36" s="124" customFormat="1" x14ac:dyDescent="0.25">
      <c r="A369" s="120"/>
      <c r="B369" s="120"/>
      <c r="C369" s="120"/>
      <c r="D369" s="120"/>
      <c r="E369" s="120"/>
      <c r="F369" s="120"/>
      <c r="G369" s="120"/>
      <c r="H369" s="120"/>
      <c r="I369" s="181"/>
      <c r="J369" s="120"/>
      <c r="K369" s="120"/>
      <c r="L369" s="120"/>
      <c r="M369" s="120"/>
      <c r="N369" s="120"/>
      <c r="O369" s="120"/>
      <c r="P369" s="120"/>
      <c r="Q369" s="120"/>
      <c r="R369" s="120"/>
      <c r="S369" s="120"/>
      <c r="T369" s="120"/>
      <c r="U369" s="120"/>
      <c r="V369" s="120"/>
      <c r="W369" s="120"/>
      <c r="X369" s="120"/>
      <c r="Y369" s="120"/>
      <c r="Z369" s="120"/>
      <c r="AA369" s="120"/>
      <c r="AB369" s="120"/>
      <c r="AC369" s="120"/>
      <c r="AD369" s="120"/>
      <c r="AE369" s="120"/>
      <c r="AF369" s="120"/>
      <c r="AG369" s="120"/>
      <c r="AH369" s="120"/>
      <c r="AI369" s="120"/>
      <c r="AJ369" s="120"/>
    </row>
    <row r="370" spans="1:36" s="124" customFormat="1" x14ac:dyDescent="0.25">
      <c r="A370" s="120"/>
      <c r="B370" s="120"/>
      <c r="C370" s="120"/>
      <c r="D370" s="120"/>
      <c r="E370" s="120"/>
      <c r="F370" s="120"/>
      <c r="G370" s="120"/>
      <c r="H370" s="120"/>
      <c r="I370" s="181"/>
      <c r="J370" s="120"/>
      <c r="K370" s="120"/>
      <c r="L370" s="120"/>
      <c r="M370" s="120"/>
      <c r="N370" s="120"/>
      <c r="O370" s="120"/>
      <c r="P370" s="120"/>
      <c r="Q370" s="120"/>
      <c r="R370" s="120"/>
      <c r="S370" s="120"/>
      <c r="T370" s="120"/>
      <c r="U370" s="120"/>
      <c r="V370" s="120"/>
      <c r="W370" s="120"/>
      <c r="X370" s="120"/>
      <c r="Y370" s="120"/>
      <c r="Z370" s="120"/>
      <c r="AA370" s="120"/>
      <c r="AB370" s="120"/>
      <c r="AC370" s="120"/>
      <c r="AD370" s="120"/>
      <c r="AE370" s="120"/>
      <c r="AF370" s="120"/>
      <c r="AG370" s="120"/>
      <c r="AH370" s="120"/>
      <c r="AI370" s="120"/>
      <c r="AJ370" s="120"/>
    </row>
    <row r="371" spans="1:36" s="124" customFormat="1" x14ac:dyDescent="0.25">
      <c r="A371" s="120"/>
      <c r="B371" s="120"/>
      <c r="C371" s="120"/>
      <c r="D371" s="120"/>
      <c r="E371" s="120"/>
      <c r="F371" s="120"/>
      <c r="G371" s="120"/>
      <c r="H371" s="120"/>
      <c r="I371" s="181"/>
      <c r="J371" s="120"/>
      <c r="K371" s="120"/>
      <c r="L371" s="120"/>
      <c r="M371" s="120"/>
      <c r="N371" s="120"/>
      <c r="O371" s="120"/>
      <c r="P371" s="120"/>
      <c r="Q371" s="120"/>
      <c r="R371" s="120"/>
      <c r="S371" s="120"/>
      <c r="T371" s="120"/>
      <c r="U371" s="120"/>
      <c r="V371" s="120"/>
      <c r="W371" s="120"/>
      <c r="X371" s="120"/>
      <c r="Y371" s="120"/>
      <c r="Z371" s="120"/>
      <c r="AA371" s="120"/>
      <c r="AB371" s="120"/>
      <c r="AC371" s="120"/>
      <c r="AD371" s="120"/>
      <c r="AE371" s="120"/>
      <c r="AF371" s="120"/>
      <c r="AG371" s="120"/>
      <c r="AH371" s="120"/>
      <c r="AI371" s="120"/>
      <c r="AJ371" s="120"/>
    </row>
    <row r="372" spans="1:36" s="124" customFormat="1" x14ac:dyDescent="0.25">
      <c r="A372" s="120"/>
      <c r="B372" s="120"/>
      <c r="C372" s="120"/>
      <c r="D372" s="120"/>
      <c r="E372" s="120"/>
      <c r="F372" s="120"/>
      <c r="G372" s="120"/>
      <c r="H372" s="120"/>
      <c r="I372" s="181"/>
      <c r="J372" s="120"/>
      <c r="K372" s="120"/>
      <c r="L372" s="120"/>
      <c r="M372" s="120"/>
      <c r="N372" s="120"/>
      <c r="O372" s="120"/>
      <c r="P372" s="120"/>
      <c r="Q372" s="120"/>
      <c r="R372" s="120"/>
      <c r="S372" s="120"/>
      <c r="T372" s="120"/>
      <c r="U372" s="120"/>
      <c r="V372" s="120"/>
      <c r="W372" s="120"/>
      <c r="X372" s="120"/>
      <c r="Y372" s="120"/>
      <c r="Z372" s="120"/>
      <c r="AA372" s="120"/>
      <c r="AB372" s="120"/>
      <c r="AC372" s="120"/>
      <c r="AD372" s="120"/>
      <c r="AE372" s="120"/>
      <c r="AF372" s="120"/>
      <c r="AG372" s="120"/>
      <c r="AH372" s="120"/>
      <c r="AI372" s="120"/>
      <c r="AJ372" s="120"/>
    </row>
    <row r="373" spans="1:36" s="124" customFormat="1" x14ac:dyDescent="0.25">
      <c r="A373" s="120"/>
      <c r="B373" s="120"/>
      <c r="C373" s="120"/>
      <c r="D373" s="120"/>
      <c r="E373" s="120"/>
      <c r="F373" s="120"/>
      <c r="G373" s="120"/>
      <c r="H373" s="120"/>
      <c r="I373" s="181"/>
      <c r="J373" s="120"/>
      <c r="K373" s="120"/>
      <c r="L373" s="120"/>
      <c r="M373" s="120"/>
      <c r="N373" s="120"/>
      <c r="O373" s="120"/>
      <c r="P373" s="120"/>
      <c r="Q373" s="120"/>
      <c r="R373" s="120"/>
      <c r="S373" s="120"/>
      <c r="T373" s="120"/>
      <c r="U373" s="120"/>
      <c r="V373" s="120"/>
      <c r="W373" s="120"/>
      <c r="X373" s="120"/>
      <c r="Y373" s="120"/>
      <c r="Z373" s="120"/>
      <c r="AA373" s="120"/>
      <c r="AB373" s="120"/>
      <c r="AC373" s="120"/>
      <c r="AD373" s="120"/>
      <c r="AE373" s="120"/>
      <c r="AF373" s="120"/>
      <c r="AG373" s="120"/>
      <c r="AH373" s="120"/>
      <c r="AI373" s="120"/>
      <c r="AJ373" s="120"/>
    </row>
    <row r="374" spans="1:36" s="124" customFormat="1" x14ac:dyDescent="0.25">
      <c r="A374" s="120"/>
      <c r="B374" s="120"/>
      <c r="C374" s="120"/>
      <c r="D374" s="120"/>
      <c r="E374" s="120"/>
      <c r="F374" s="120"/>
      <c r="G374" s="120"/>
      <c r="H374" s="120"/>
      <c r="I374" s="181"/>
      <c r="J374" s="120"/>
      <c r="K374" s="120"/>
      <c r="L374" s="120"/>
      <c r="M374" s="120"/>
      <c r="N374" s="120"/>
      <c r="O374" s="120"/>
      <c r="P374" s="120"/>
      <c r="Q374" s="120"/>
      <c r="R374" s="120"/>
      <c r="S374" s="120"/>
      <c r="T374" s="120"/>
      <c r="U374" s="120"/>
      <c r="V374" s="120"/>
      <c r="W374" s="120"/>
      <c r="X374" s="120"/>
      <c r="Y374" s="120"/>
      <c r="Z374" s="120"/>
      <c r="AA374" s="120"/>
      <c r="AB374" s="120"/>
      <c r="AC374" s="120"/>
      <c r="AD374" s="120"/>
      <c r="AE374" s="120"/>
      <c r="AF374" s="120"/>
      <c r="AG374" s="120"/>
      <c r="AH374" s="120"/>
      <c r="AI374" s="120"/>
      <c r="AJ374" s="120"/>
    </row>
    <row r="375" spans="1:36" s="124" customFormat="1" x14ac:dyDescent="0.25">
      <c r="A375" s="120"/>
      <c r="B375" s="120"/>
      <c r="C375" s="120"/>
      <c r="D375" s="120"/>
      <c r="E375" s="120"/>
      <c r="F375" s="120"/>
      <c r="G375" s="120"/>
      <c r="H375" s="120"/>
      <c r="I375" s="181"/>
      <c r="J375" s="120"/>
      <c r="K375" s="120"/>
      <c r="L375" s="120"/>
      <c r="M375" s="120"/>
      <c r="N375" s="120"/>
      <c r="O375" s="120"/>
      <c r="P375" s="120"/>
      <c r="Q375" s="120"/>
      <c r="R375" s="120"/>
      <c r="S375" s="120"/>
      <c r="T375" s="120"/>
      <c r="U375" s="120"/>
      <c r="V375" s="120"/>
      <c r="W375" s="120"/>
      <c r="X375" s="120"/>
      <c r="Y375" s="120"/>
      <c r="Z375" s="120"/>
      <c r="AA375" s="120"/>
      <c r="AB375" s="120"/>
      <c r="AC375" s="120"/>
      <c r="AD375" s="120"/>
      <c r="AE375" s="120"/>
      <c r="AF375" s="120"/>
      <c r="AG375" s="120"/>
      <c r="AH375" s="120"/>
      <c r="AI375" s="120"/>
      <c r="AJ375" s="120"/>
    </row>
    <row r="376" spans="1:36" s="124" customFormat="1" x14ac:dyDescent="0.25">
      <c r="A376" s="120"/>
      <c r="B376" s="120"/>
      <c r="C376" s="120"/>
      <c r="D376" s="120"/>
      <c r="E376" s="120"/>
      <c r="F376" s="120"/>
      <c r="G376" s="120"/>
      <c r="H376" s="120"/>
      <c r="I376" s="181"/>
      <c r="J376" s="120"/>
      <c r="K376" s="120"/>
      <c r="L376" s="120"/>
      <c r="M376" s="120"/>
      <c r="N376" s="120"/>
      <c r="O376" s="120"/>
      <c r="P376" s="120"/>
      <c r="Q376" s="120"/>
      <c r="R376" s="120"/>
      <c r="S376" s="120"/>
      <c r="T376" s="120"/>
      <c r="U376" s="120"/>
      <c r="V376" s="120"/>
      <c r="W376" s="120"/>
      <c r="X376" s="120"/>
      <c r="Y376" s="120"/>
      <c r="Z376" s="120"/>
      <c r="AA376" s="120"/>
      <c r="AB376" s="120"/>
      <c r="AC376" s="120"/>
      <c r="AD376" s="120"/>
      <c r="AE376" s="120"/>
      <c r="AF376" s="120"/>
      <c r="AG376" s="120"/>
      <c r="AH376" s="120"/>
      <c r="AI376" s="120"/>
      <c r="AJ376" s="120"/>
    </row>
    <row r="377" spans="1:36" s="124" customFormat="1" x14ac:dyDescent="0.25">
      <c r="A377" s="120"/>
      <c r="B377" s="120"/>
      <c r="C377" s="120"/>
      <c r="D377" s="120"/>
      <c r="E377" s="120"/>
      <c r="F377" s="120"/>
      <c r="G377" s="120"/>
      <c r="H377" s="120"/>
      <c r="I377" s="181"/>
      <c r="J377" s="120"/>
      <c r="K377" s="120"/>
      <c r="L377" s="120"/>
      <c r="M377" s="120"/>
      <c r="N377" s="120"/>
      <c r="O377" s="120"/>
      <c r="P377" s="120"/>
      <c r="Q377" s="120"/>
      <c r="R377" s="120"/>
      <c r="S377" s="120"/>
      <c r="T377" s="120"/>
      <c r="U377" s="120"/>
      <c r="V377" s="120"/>
      <c r="W377" s="120"/>
      <c r="X377" s="120"/>
      <c r="Y377" s="120"/>
      <c r="Z377" s="120"/>
      <c r="AA377" s="120"/>
      <c r="AB377" s="120"/>
      <c r="AC377" s="120"/>
      <c r="AD377" s="120"/>
      <c r="AE377" s="120"/>
      <c r="AF377" s="120"/>
      <c r="AG377" s="120"/>
      <c r="AH377" s="120"/>
      <c r="AI377" s="120"/>
      <c r="AJ377" s="120"/>
    </row>
    <row r="378" spans="1:36" s="124" customFormat="1" x14ac:dyDescent="0.25">
      <c r="A378" s="120"/>
      <c r="B378" s="120"/>
      <c r="C378" s="120"/>
      <c r="D378" s="120"/>
      <c r="E378" s="120"/>
      <c r="F378" s="120"/>
      <c r="G378" s="120"/>
      <c r="H378" s="120"/>
      <c r="I378" s="181"/>
      <c r="J378" s="120"/>
      <c r="K378" s="120"/>
      <c r="L378" s="120"/>
      <c r="M378" s="120"/>
      <c r="N378" s="120"/>
      <c r="O378" s="120"/>
      <c r="P378" s="120"/>
      <c r="Q378" s="120"/>
      <c r="R378" s="120"/>
      <c r="S378" s="120"/>
      <c r="T378" s="120"/>
      <c r="U378" s="120"/>
      <c r="V378" s="120"/>
      <c r="W378" s="120"/>
      <c r="X378" s="120"/>
      <c r="Y378" s="120"/>
      <c r="Z378" s="120"/>
      <c r="AA378" s="120"/>
      <c r="AB378" s="120"/>
      <c r="AC378" s="120"/>
      <c r="AD378" s="120"/>
      <c r="AE378" s="120"/>
      <c r="AF378" s="120"/>
      <c r="AG378" s="120"/>
      <c r="AH378" s="120"/>
      <c r="AI378" s="120"/>
      <c r="AJ378" s="120"/>
    </row>
    <row r="379" spans="1:36" s="124" customFormat="1" x14ac:dyDescent="0.25">
      <c r="A379" s="120"/>
      <c r="B379" s="120"/>
      <c r="C379" s="120"/>
      <c r="D379" s="120"/>
      <c r="E379" s="120"/>
      <c r="F379" s="120"/>
      <c r="G379" s="120"/>
      <c r="H379" s="120"/>
      <c r="I379" s="181"/>
      <c r="J379" s="120"/>
      <c r="K379" s="120"/>
      <c r="L379" s="120"/>
      <c r="M379" s="120"/>
      <c r="N379" s="120"/>
      <c r="O379" s="120"/>
      <c r="P379" s="120"/>
      <c r="Q379" s="120"/>
      <c r="R379" s="120"/>
      <c r="S379" s="120"/>
      <c r="T379" s="120"/>
      <c r="U379" s="120"/>
      <c r="V379" s="120"/>
      <c r="W379" s="120"/>
      <c r="X379" s="120"/>
      <c r="Y379" s="120"/>
      <c r="Z379" s="120"/>
      <c r="AA379" s="120"/>
      <c r="AB379" s="120"/>
      <c r="AC379" s="120"/>
      <c r="AD379" s="120"/>
      <c r="AE379" s="120"/>
      <c r="AF379" s="120"/>
      <c r="AG379" s="120"/>
      <c r="AH379" s="120"/>
      <c r="AI379" s="120"/>
      <c r="AJ379" s="120"/>
    </row>
    <row r="380" spans="1:36" s="124" customFormat="1" x14ac:dyDescent="0.25">
      <c r="A380" s="120"/>
      <c r="B380" s="120"/>
      <c r="C380" s="120"/>
      <c r="D380" s="120"/>
      <c r="E380" s="120"/>
      <c r="F380" s="120"/>
      <c r="G380" s="120"/>
      <c r="H380" s="120"/>
      <c r="I380" s="181"/>
      <c r="J380" s="120"/>
      <c r="K380" s="120"/>
      <c r="L380" s="120"/>
      <c r="M380" s="120"/>
      <c r="N380" s="120"/>
      <c r="O380" s="120"/>
      <c r="P380" s="120"/>
      <c r="Q380" s="120"/>
      <c r="R380" s="120"/>
      <c r="S380" s="120"/>
      <c r="T380" s="120"/>
      <c r="U380" s="120"/>
      <c r="V380" s="120"/>
      <c r="W380" s="120"/>
      <c r="X380" s="120"/>
      <c r="Y380" s="120"/>
      <c r="Z380" s="120"/>
      <c r="AA380" s="120"/>
      <c r="AB380" s="120"/>
      <c r="AC380" s="120"/>
      <c r="AD380" s="120"/>
      <c r="AE380" s="120"/>
      <c r="AF380" s="120"/>
      <c r="AG380" s="120"/>
      <c r="AH380" s="120"/>
      <c r="AI380" s="120"/>
      <c r="AJ380" s="120"/>
    </row>
    <row r="381" spans="1:36" s="124" customFormat="1" x14ac:dyDescent="0.25">
      <c r="A381" s="120"/>
      <c r="B381" s="120"/>
      <c r="C381" s="120"/>
      <c r="D381" s="120"/>
      <c r="E381" s="120"/>
      <c r="F381" s="120"/>
      <c r="G381" s="120"/>
      <c r="H381" s="120"/>
      <c r="I381" s="181"/>
      <c r="J381" s="120"/>
      <c r="K381" s="120"/>
      <c r="L381" s="120"/>
      <c r="M381" s="120"/>
      <c r="N381" s="120"/>
      <c r="O381" s="120"/>
      <c r="P381" s="120"/>
      <c r="Q381" s="120"/>
      <c r="R381" s="120"/>
      <c r="S381" s="120"/>
      <c r="T381" s="120"/>
      <c r="U381" s="120"/>
      <c r="V381" s="120"/>
      <c r="W381" s="120"/>
      <c r="X381" s="120"/>
      <c r="Y381" s="120"/>
      <c r="Z381" s="120"/>
      <c r="AA381" s="120"/>
      <c r="AB381" s="120"/>
      <c r="AC381" s="120"/>
      <c r="AD381" s="120"/>
      <c r="AE381" s="120"/>
      <c r="AF381" s="120"/>
      <c r="AG381" s="120"/>
      <c r="AH381" s="120"/>
      <c r="AI381" s="120"/>
      <c r="AJ381" s="120"/>
    </row>
    <row r="382" spans="1:36" s="124" customFormat="1" x14ac:dyDescent="0.25">
      <c r="A382" s="120"/>
      <c r="B382" s="120"/>
      <c r="C382" s="120"/>
      <c r="D382" s="120"/>
      <c r="E382" s="120"/>
      <c r="F382" s="120"/>
      <c r="G382" s="120"/>
      <c r="H382" s="120"/>
      <c r="I382" s="181"/>
      <c r="J382" s="120"/>
      <c r="K382" s="120"/>
      <c r="L382" s="120"/>
      <c r="M382" s="120"/>
      <c r="N382" s="120"/>
      <c r="O382" s="120"/>
      <c r="P382" s="120"/>
      <c r="Q382" s="120"/>
      <c r="R382" s="120"/>
      <c r="S382" s="120"/>
      <c r="T382" s="120"/>
      <c r="U382" s="120"/>
      <c r="V382" s="120"/>
      <c r="W382" s="120"/>
      <c r="X382" s="120"/>
      <c r="Y382" s="120"/>
      <c r="Z382" s="120"/>
      <c r="AA382" s="120"/>
      <c r="AB382" s="120"/>
      <c r="AC382" s="120"/>
      <c r="AD382" s="120"/>
      <c r="AE382" s="120"/>
      <c r="AF382" s="120"/>
      <c r="AG382" s="120"/>
      <c r="AH382" s="120"/>
      <c r="AI382" s="120"/>
      <c r="AJ382" s="120"/>
    </row>
    <row r="383" spans="1:36" s="124" customFormat="1" x14ac:dyDescent="0.25">
      <c r="A383" s="120"/>
      <c r="B383" s="120"/>
      <c r="C383" s="120"/>
      <c r="D383" s="120"/>
      <c r="E383" s="120"/>
      <c r="F383" s="120"/>
      <c r="G383" s="120"/>
      <c r="H383" s="120"/>
      <c r="I383" s="181"/>
      <c r="J383" s="120"/>
      <c r="K383" s="120"/>
      <c r="L383" s="120"/>
      <c r="M383" s="120"/>
      <c r="N383" s="120"/>
      <c r="O383" s="120"/>
      <c r="P383" s="120"/>
      <c r="Q383" s="120"/>
      <c r="R383" s="120"/>
      <c r="S383" s="120"/>
      <c r="T383" s="120"/>
      <c r="U383" s="120"/>
      <c r="V383" s="120"/>
      <c r="W383" s="120"/>
      <c r="X383" s="120"/>
      <c r="Y383" s="120"/>
      <c r="Z383" s="120"/>
      <c r="AA383" s="120"/>
      <c r="AB383" s="120"/>
      <c r="AC383" s="120"/>
      <c r="AD383" s="120"/>
      <c r="AE383" s="120"/>
      <c r="AF383" s="120"/>
      <c r="AG383" s="120"/>
      <c r="AH383" s="120"/>
      <c r="AI383" s="120"/>
      <c r="AJ383" s="120"/>
    </row>
    <row r="384" spans="1:36" s="124" customFormat="1" x14ac:dyDescent="0.25">
      <c r="A384" s="120"/>
      <c r="B384" s="120"/>
      <c r="C384" s="120"/>
      <c r="D384" s="120"/>
      <c r="E384" s="120"/>
      <c r="F384" s="120"/>
      <c r="G384" s="120"/>
      <c r="H384" s="120"/>
      <c r="I384" s="181"/>
      <c r="J384" s="120"/>
      <c r="K384" s="120"/>
      <c r="L384" s="120"/>
      <c r="M384" s="120"/>
      <c r="N384" s="120"/>
      <c r="O384" s="120"/>
      <c r="P384" s="120"/>
      <c r="Q384" s="120"/>
      <c r="R384" s="120"/>
      <c r="S384" s="120"/>
      <c r="T384" s="120"/>
      <c r="U384" s="120"/>
      <c r="V384" s="120"/>
      <c r="W384" s="120"/>
      <c r="X384" s="120"/>
      <c r="Y384" s="120"/>
      <c r="Z384" s="120"/>
      <c r="AA384" s="120"/>
      <c r="AB384" s="120"/>
      <c r="AC384" s="120"/>
      <c r="AD384" s="120"/>
      <c r="AE384" s="120"/>
      <c r="AF384" s="120"/>
      <c r="AG384" s="120"/>
      <c r="AH384" s="120"/>
      <c r="AI384" s="120"/>
      <c r="AJ384" s="120"/>
    </row>
    <row r="385" spans="1:36" s="124" customFormat="1" x14ac:dyDescent="0.25">
      <c r="A385" s="120"/>
      <c r="B385" s="120"/>
      <c r="C385" s="120"/>
      <c r="D385" s="120"/>
      <c r="E385" s="120"/>
      <c r="F385" s="120"/>
      <c r="G385" s="120"/>
      <c r="H385" s="120"/>
      <c r="I385" s="181"/>
      <c r="J385" s="120"/>
      <c r="K385" s="120"/>
      <c r="L385" s="120"/>
      <c r="M385" s="120"/>
      <c r="N385" s="120"/>
      <c r="O385" s="120"/>
      <c r="P385" s="120"/>
      <c r="Q385" s="120"/>
      <c r="R385" s="120"/>
      <c r="S385" s="120"/>
      <c r="T385" s="120"/>
      <c r="U385" s="120"/>
      <c r="V385" s="120"/>
      <c r="W385" s="120"/>
      <c r="X385" s="120"/>
      <c r="Y385" s="120"/>
      <c r="Z385" s="120"/>
      <c r="AA385" s="120"/>
      <c r="AB385" s="120"/>
      <c r="AC385" s="120"/>
      <c r="AD385" s="120"/>
      <c r="AE385" s="120"/>
      <c r="AF385" s="120"/>
      <c r="AG385" s="120"/>
      <c r="AH385" s="120"/>
      <c r="AI385" s="120"/>
      <c r="AJ385" s="120"/>
    </row>
    <row r="386" spans="1:36" s="124" customFormat="1" x14ac:dyDescent="0.25">
      <c r="A386" s="120"/>
      <c r="B386" s="120"/>
      <c r="C386" s="120"/>
      <c r="D386" s="120"/>
      <c r="E386" s="120"/>
      <c r="F386" s="120"/>
      <c r="G386" s="120"/>
      <c r="H386" s="120"/>
      <c r="I386" s="181"/>
      <c r="J386" s="120"/>
      <c r="K386" s="120"/>
      <c r="L386" s="120"/>
      <c r="M386" s="120"/>
      <c r="N386" s="120"/>
      <c r="O386" s="120"/>
      <c r="P386" s="120"/>
      <c r="Q386" s="120"/>
      <c r="R386" s="120"/>
      <c r="S386" s="120"/>
      <c r="T386" s="120"/>
      <c r="U386" s="120"/>
      <c r="V386" s="120"/>
      <c r="W386" s="120"/>
      <c r="X386" s="120"/>
      <c r="Y386" s="120"/>
      <c r="Z386" s="120"/>
      <c r="AA386" s="120"/>
      <c r="AB386" s="120"/>
      <c r="AC386" s="120"/>
      <c r="AD386" s="120"/>
      <c r="AE386" s="120"/>
      <c r="AF386" s="120"/>
      <c r="AG386" s="120"/>
      <c r="AH386" s="120"/>
      <c r="AI386" s="120"/>
      <c r="AJ386" s="120"/>
    </row>
    <row r="387" spans="1:36" s="124" customFormat="1" x14ac:dyDescent="0.25">
      <c r="A387" s="120"/>
      <c r="B387" s="120"/>
      <c r="C387" s="120"/>
      <c r="D387" s="120"/>
      <c r="E387" s="120"/>
      <c r="F387" s="120"/>
      <c r="G387" s="120"/>
      <c r="H387" s="120"/>
      <c r="I387" s="181"/>
      <c r="J387" s="120"/>
      <c r="K387" s="120"/>
      <c r="L387" s="120"/>
      <c r="M387" s="120"/>
      <c r="N387" s="120"/>
      <c r="O387" s="120"/>
      <c r="P387" s="120"/>
      <c r="Q387" s="120"/>
      <c r="R387" s="120"/>
      <c r="S387" s="120"/>
      <c r="T387" s="120"/>
      <c r="U387" s="120"/>
      <c r="V387" s="120"/>
      <c r="W387" s="120"/>
      <c r="X387" s="120"/>
      <c r="Y387" s="120"/>
      <c r="Z387" s="120"/>
      <c r="AA387" s="120"/>
      <c r="AB387" s="120"/>
      <c r="AC387" s="120"/>
      <c r="AD387" s="120"/>
      <c r="AE387" s="120"/>
      <c r="AF387" s="120"/>
      <c r="AG387" s="120"/>
      <c r="AH387" s="120"/>
      <c r="AI387" s="120"/>
      <c r="AJ387" s="120"/>
    </row>
    <row r="388" spans="1:36" s="124" customFormat="1" x14ac:dyDescent="0.25">
      <c r="A388" s="120"/>
      <c r="B388" s="120"/>
      <c r="C388" s="120"/>
      <c r="D388" s="120"/>
      <c r="E388" s="120"/>
      <c r="F388" s="120"/>
      <c r="G388" s="120"/>
      <c r="H388" s="120"/>
      <c r="I388" s="181"/>
      <c r="J388" s="120"/>
      <c r="K388" s="120"/>
      <c r="L388" s="120"/>
      <c r="M388" s="120"/>
      <c r="N388" s="120"/>
      <c r="O388" s="120"/>
      <c r="P388" s="120"/>
      <c r="Q388" s="120"/>
      <c r="R388" s="120"/>
      <c r="S388" s="120"/>
      <c r="T388" s="120"/>
      <c r="U388" s="120"/>
      <c r="V388" s="120"/>
      <c r="W388" s="120"/>
      <c r="X388" s="120"/>
      <c r="Y388" s="120"/>
      <c r="Z388" s="120"/>
      <c r="AA388" s="120"/>
      <c r="AB388" s="120"/>
      <c r="AC388" s="120"/>
      <c r="AD388" s="120"/>
      <c r="AE388" s="120"/>
      <c r="AF388" s="120"/>
      <c r="AG388" s="120"/>
      <c r="AH388" s="120"/>
      <c r="AI388" s="120"/>
      <c r="AJ388" s="120"/>
    </row>
    <row r="389" spans="1:36" s="124" customFormat="1" x14ac:dyDescent="0.25">
      <c r="A389" s="120"/>
      <c r="B389" s="120"/>
      <c r="C389" s="120"/>
      <c r="D389" s="120"/>
      <c r="E389" s="120"/>
      <c r="F389" s="120"/>
      <c r="G389" s="120"/>
      <c r="H389" s="120"/>
      <c r="I389" s="181"/>
      <c r="J389" s="120"/>
      <c r="K389" s="120"/>
      <c r="L389" s="120"/>
      <c r="M389" s="120"/>
      <c r="N389" s="120"/>
      <c r="O389" s="120"/>
      <c r="P389" s="120"/>
      <c r="Q389" s="120"/>
      <c r="R389" s="120"/>
      <c r="S389" s="120"/>
      <c r="T389" s="120"/>
      <c r="U389" s="120"/>
      <c r="V389" s="120"/>
      <c r="W389" s="120"/>
      <c r="X389" s="120"/>
      <c r="Y389" s="120"/>
      <c r="Z389" s="120"/>
      <c r="AA389" s="120"/>
      <c r="AB389" s="120"/>
      <c r="AC389" s="120"/>
      <c r="AD389" s="120"/>
      <c r="AE389" s="120"/>
      <c r="AF389" s="120"/>
      <c r="AG389" s="120"/>
      <c r="AH389" s="120"/>
      <c r="AI389" s="120"/>
      <c r="AJ389" s="120"/>
    </row>
    <row r="390" spans="1:36" s="124" customFormat="1" x14ac:dyDescent="0.25">
      <c r="A390" s="120"/>
      <c r="B390" s="120"/>
      <c r="C390" s="120"/>
      <c r="D390" s="120"/>
      <c r="E390" s="120"/>
      <c r="F390" s="120"/>
      <c r="G390" s="120"/>
      <c r="H390" s="120"/>
      <c r="I390" s="181"/>
      <c r="J390" s="120"/>
      <c r="K390" s="120"/>
      <c r="L390" s="120"/>
      <c r="M390" s="120"/>
      <c r="N390" s="120"/>
      <c r="O390" s="120"/>
      <c r="P390" s="120"/>
      <c r="Q390" s="120"/>
      <c r="R390" s="120"/>
      <c r="S390" s="120"/>
      <c r="T390" s="120"/>
      <c r="U390" s="120"/>
      <c r="V390" s="120"/>
      <c r="W390" s="120"/>
      <c r="X390" s="120"/>
      <c r="Y390" s="120"/>
      <c r="Z390" s="120"/>
      <c r="AA390" s="120"/>
      <c r="AB390" s="120"/>
      <c r="AC390" s="120"/>
      <c r="AD390" s="120"/>
      <c r="AE390" s="120"/>
      <c r="AF390" s="120"/>
      <c r="AG390" s="120"/>
      <c r="AH390" s="120"/>
      <c r="AI390" s="120"/>
      <c r="AJ390" s="120"/>
    </row>
    <row r="391" spans="1:36" s="124" customFormat="1" x14ac:dyDescent="0.25">
      <c r="A391" s="120"/>
      <c r="B391" s="120"/>
      <c r="C391" s="120"/>
      <c r="D391" s="120"/>
      <c r="E391" s="120"/>
      <c r="F391" s="120"/>
      <c r="G391" s="120"/>
      <c r="H391" s="120"/>
      <c r="I391" s="181"/>
      <c r="J391" s="120"/>
      <c r="K391" s="120"/>
      <c r="L391" s="120"/>
      <c r="M391" s="120"/>
      <c r="N391" s="120"/>
      <c r="O391" s="120"/>
      <c r="P391" s="120"/>
      <c r="Q391" s="120"/>
      <c r="R391" s="120"/>
      <c r="S391" s="120"/>
      <c r="T391" s="120"/>
      <c r="U391" s="120"/>
      <c r="V391" s="120"/>
      <c r="W391" s="120"/>
      <c r="X391" s="120"/>
      <c r="Y391" s="120"/>
      <c r="Z391" s="120"/>
      <c r="AA391" s="120"/>
      <c r="AB391" s="120"/>
      <c r="AC391" s="120"/>
      <c r="AD391" s="120"/>
      <c r="AE391" s="120"/>
      <c r="AF391" s="120"/>
      <c r="AG391" s="120"/>
      <c r="AH391" s="120"/>
      <c r="AI391" s="120"/>
      <c r="AJ391" s="120"/>
    </row>
    <row r="392" spans="1:36" s="124" customFormat="1" x14ac:dyDescent="0.25">
      <c r="A392" s="120"/>
      <c r="B392" s="120"/>
      <c r="C392" s="120"/>
      <c r="D392" s="120"/>
      <c r="E392" s="120"/>
      <c r="F392" s="120"/>
      <c r="G392" s="120"/>
      <c r="H392" s="120"/>
      <c r="I392" s="181"/>
      <c r="J392" s="120"/>
      <c r="K392" s="120"/>
      <c r="L392" s="120"/>
      <c r="M392" s="120"/>
      <c r="N392" s="120"/>
      <c r="O392" s="120"/>
      <c r="P392" s="120"/>
      <c r="Q392" s="120"/>
      <c r="R392" s="120"/>
      <c r="S392" s="120"/>
      <c r="T392" s="120"/>
      <c r="U392" s="120"/>
      <c r="V392" s="120"/>
      <c r="W392" s="120"/>
      <c r="X392" s="120"/>
      <c r="Y392" s="120"/>
      <c r="Z392" s="120"/>
      <c r="AA392" s="120"/>
      <c r="AB392" s="120"/>
      <c r="AC392" s="120"/>
      <c r="AD392" s="120"/>
      <c r="AE392" s="120"/>
      <c r="AF392" s="120"/>
      <c r="AG392" s="120"/>
      <c r="AH392" s="120"/>
      <c r="AI392" s="120"/>
      <c r="AJ392" s="120"/>
    </row>
    <row r="393" spans="1:36" s="124" customFormat="1" x14ac:dyDescent="0.25">
      <c r="A393" s="120"/>
      <c r="B393" s="120"/>
      <c r="C393" s="120"/>
      <c r="D393" s="120"/>
      <c r="E393" s="120"/>
      <c r="F393" s="120"/>
      <c r="G393" s="120"/>
      <c r="H393" s="120"/>
      <c r="I393" s="181"/>
      <c r="J393" s="120"/>
      <c r="K393" s="120"/>
      <c r="L393" s="120"/>
      <c r="M393" s="120"/>
      <c r="N393" s="120"/>
      <c r="O393" s="120"/>
      <c r="P393" s="120"/>
      <c r="Q393" s="120"/>
      <c r="R393" s="120"/>
      <c r="S393" s="120"/>
      <c r="T393" s="120"/>
      <c r="U393" s="120"/>
      <c r="V393" s="120"/>
      <c r="W393" s="120"/>
      <c r="X393" s="120"/>
      <c r="Y393" s="120"/>
      <c r="Z393" s="120"/>
      <c r="AA393" s="120"/>
      <c r="AB393" s="120"/>
      <c r="AC393" s="120"/>
      <c r="AD393" s="120"/>
      <c r="AE393" s="120"/>
      <c r="AF393" s="120"/>
      <c r="AG393" s="120"/>
      <c r="AH393" s="120"/>
      <c r="AI393" s="120"/>
      <c r="AJ393" s="120"/>
    </row>
    <row r="394" spans="1:36" s="124" customFormat="1" x14ac:dyDescent="0.25">
      <c r="A394" s="120"/>
      <c r="B394" s="120"/>
      <c r="C394" s="120"/>
      <c r="D394" s="120"/>
      <c r="E394" s="120"/>
      <c r="F394" s="120"/>
      <c r="G394" s="120"/>
      <c r="H394" s="120"/>
      <c r="I394" s="181"/>
      <c r="J394" s="120"/>
      <c r="K394" s="120"/>
      <c r="L394" s="120"/>
      <c r="M394" s="120"/>
      <c r="N394" s="120"/>
      <c r="O394" s="120"/>
      <c r="P394" s="120"/>
      <c r="Q394" s="120"/>
      <c r="R394" s="120"/>
      <c r="S394" s="120"/>
      <c r="T394" s="120"/>
      <c r="U394" s="120"/>
      <c r="V394" s="120"/>
      <c r="W394" s="120"/>
      <c r="X394" s="120"/>
      <c r="Y394" s="120"/>
      <c r="Z394" s="120"/>
      <c r="AA394" s="120"/>
      <c r="AB394" s="120"/>
      <c r="AC394" s="120"/>
      <c r="AD394" s="120"/>
      <c r="AE394" s="120"/>
      <c r="AF394" s="120"/>
      <c r="AG394" s="120"/>
      <c r="AH394" s="120"/>
      <c r="AI394" s="120"/>
      <c r="AJ394" s="120"/>
    </row>
    <row r="395" spans="1:36" s="124" customFormat="1" x14ac:dyDescent="0.25">
      <c r="A395" s="120"/>
      <c r="B395" s="120"/>
      <c r="C395" s="120"/>
      <c r="D395" s="120"/>
      <c r="E395" s="120"/>
      <c r="F395" s="120"/>
      <c r="G395" s="120"/>
      <c r="H395" s="120"/>
      <c r="I395" s="181"/>
      <c r="J395" s="120"/>
      <c r="K395" s="120"/>
      <c r="L395" s="120"/>
      <c r="M395" s="120"/>
      <c r="N395" s="120"/>
      <c r="O395" s="120"/>
      <c r="P395" s="120"/>
      <c r="Q395" s="120"/>
      <c r="R395" s="120"/>
      <c r="S395" s="120"/>
      <c r="T395" s="120"/>
      <c r="U395" s="120"/>
      <c r="V395" s="120"/>
      <c r="W395" s="120"/>
      <c r="X395" s="120"/>
      <c r="Y395" s="120"/>
      <c r="Z395" s="120"/>
      <c r="AA395" s="120"/>
      <c r="AB395" s="120"/>
      <c r="AC395" s="120"/>
      <c r="AD395" s="120"/>
      <c r="AE395" s="120"/>
      <c r="AF395" s="120"/>
      <c r="AG395" s="120"/>
      <c r="AH395" s="120"/>
      <c r="AI395" s="120"/>
      <c r="AJ395" s="120"/>
    </row>
    <row r="396" spans="1:36" s="124" customFormat="1" x14ac:dyDescent="0.25">
      <c r="A396" s="120"/>
      <c r="B396" s="120"/>
      <c r="C396" s="120"/>
      <c r="D396" s="120"/>
      <c r="E396" s="120"/>
      <c r="F396" s="120"/>
      <c r="G396" s="120"/>
      <c r="H396" s="120"/>
      <c r="I396" s="181"/>
      <c r="J396" s="120"/>
      <c r="K396" s="120"/>
      <c r="L396" s="120"/>
      <c r="M396" s="120"/>
      <c r="N396" s="120"/>
      <c r="O396" s="120"/>
      <c r="P396" s="120"/>
      <c r="Q396" s="120"/>
      <c r="R396" s="120"/>
      <c r="S396" s="120"/>
      <c r="T396" s="120"/>
      <c r="U396" s="120"/>
      <c r="V396" s="120"/>
      <c r="W396" s="120"/>
      <c r="X396" s="120"/>
      <c r="Y396" s="120"/>
      <c r="Z396" s="120"/>
      <c r="AA396" s="120"/>
      <c r="AB396" s="120"/>
      <c r="AC396" s="120"/>
      <c r="AD396" s="120"/>
      <c r="AE396" s="120"/>
      <c r="AF396" s="120"/>
      <c r="AG396" s="120"/>
      <c r="AH396" s="120"/>
      <c r="AI396" s="120"/>
      <c r="AJ396" s="120"/>
    </row>
    <row r="397" spans="1:36" s="124" customFormat="1" x14ac:dyDescent="0.25">
      <c r="A397" s="120"/>
      <c r="B397" s="120"/>
      <c r="C397" s="120"/>
      <c r="D397" s="120"/>
      <c r="E397" s="120"/>
      <c r="F397" s="120"/>
      <c r="G397" s="120"/>
      <c r="H397" s="120"/>
      <c r="I397" s="181"/>
      <c r="J397" s="120"/>
      <c r="K397" s="120"/>
      <c r="L397" s="120"/>
      <c r="M397" s="120"/>
      <c r="N397" s="120"/>
      <c r="O397" s="120"/>
      <c r="P397" s="120"/>
      <c r="Q397" s="120"/>
      <c r="R397" s="120"/>
      <c r="S397" s="120"/>
      <c r="T397" s="120"/>
      <c r="U397" s="120"/>
      <c r="V397" s="120"/>
      <c r="W397" s="120"/>
      <c r="X397" s="120"/>
      <c r="Y397" s="120"/>
      <c r="Z397" s="120"/>
      <c r="AA397" s="120"/>
      <c r="AB397" s="120"/>
      <c r="AC397" s="120"/>
      <c r="AD397" s="120"/>
      <c r="AE397" s="120"/>
      <c r="AF397" s="120"/>
      <c r="AG397" s="120"/>
      <c r="AH397" s="120"/>
      <c r="AI397" s="120"/>
      <c r="AJ397" s="120"/>
    </row>
    <row r="398" spans="1:36" s="124" customFormat="1" x14ac:dyDescent="0.25">
      <c r="A398" s="120"/>
      <c r="B398" s="120"/>
      <c r="C398" s="120"/>
      <c r="D398" s="120"/>
      <c r="E398" s="120"/>
      <c r="F398" s="120"/>
      <c r="G398" s="120"/>
      <c r="H398" s="120"/>
      <c r="I398" s="181"/>
      <c r="J398" s="120"/>
      <c r="K398" s="120"/>
      <c r="L398" s="120"/>
      <c r="M398" s="120"/>
      <c r="N398" s="120"/>
      <c r="O398" s="120"/>
      <c r="P398" s="120"/>
      <c r="Q398" s="120"/>
      <c r="R398" s="120"/>
      <c r="S398" s="120"/>
      <c r="T398" s="120"/>
      <c r="U398" s="120"/>
      <c r="V398" s="120"/>
      <c r="W398" s="120"/>
      <c r="X398" s="120"/>
      <c r="Y398" s="120"/>
      <c r="Z398" s="120"/>
      <c r="AA398" s="120"/>
      <c r="AB398" s="120"/>
      <c r="AC398" s="120"/>
      <c r="AD398" s="120"/>
      <c r="AE398" s="120"/>
      <c r="AF398" s="120"/>
      <c r="AG398" s="120"/>
      <c r="AH398" s="120"/>
      <c r="AI398" s="120"/>
      <c r="AJ398" s="120"/>
    </row>
    <row r="399" spans="1:36" s="124" customFormat="1" x14ac:dyDescent="0.25">
      <c r="A399" s="120"/>
      <c r="B399" s="120"/>
      <c r="C399" s="120"/>
      <c r="D399" s="120"/>
      <c r="E399" s="120"/>
      <c r="F399" s="120"/>
      <c r="G399" s="120"/>
      <c r="H399" s="120"/>
      <c r="I399" s="181"/>
      <c r="J399" s="120"/>
      <c r="K399" s="120"/>
      <c r="L399" s="120"/>
      <c r="M399" s="120"/>
      <c r="N399" s="120"/>
      <c r="O399" s="120"/>
      <c r="P399" s="120"/>
      <c r="Q399" s="120"/>
      <c r="R399" s="120"/>
      <c r="S399" s="120"/>
      <c r="T399" s="120"/>
      <c r="U399" s="120"/>
      <c r="V399" s="120"/>
      <c r="W399" s="120"/>
      <c r="X399" s="120"/>
      <c r="Y399" s="120"/>
      <c r="Z399" s="120"/>
      <c r="AA399" s="120"/>
      <c r="AB399" s="120"/>
      <c r="AC399" s="120"/>
      <c r="AD399" s="120"/>
      <c r="AE399" s="120"/>
      <c r="AF399" s="120"/>
      <c r="AG399" s="120"/>
      <c r="AH399" s="120"/>
      <c r="AI399" s="120"/>
      <c r="AJ399" s="120"/>
    </row>
    <row r="400" spans="1:36" s="124" customFormat="1" x14ac:dyDescent="0.25">
      <c r="A400" s="120"/>
      <c r="B400" s="120"/>
      <c r="C400" s="120"/>
      <c r="D400" s="120"/>
      <c r="E400" s="120"/>
      <c r="F400" s="120"/>
      <c r="G400" s="120"/>
      <c r="H400" s="120"/>
      <c r="I400" s="181"/>
      <c r="J400" s="120"/>
      <c r="K400" s="120"/>
      <c r="L400" s="120"/>
      <c r="M400" s="120"/>
      <c r="N400" s="120"/>
      <c r="O400" s="120"/>
      <c r="P400" s="120"/>
      <c r="Q400" s="120"/>
      <c r="R400" s="120"/>
      <c r="S400" s="120"/>
      <c r="T400" s="120"/>
      <c r="U400" s="120"/>
      <c r="V400" s="120"/>
      <c r="W400" s="120"/>
      <c r="X400" s="120"/>
      <c r="Y400" s="120"/>
      <c r="Z400" s="120"/>
      <c r="AA400" s="120"/>
      <c r="AB400" s="120"/>
      <c r="AC400" s="120"/>
      <c r="AD400" s="120"/>
      <c r="AE400" s="120"/>
      <c r="AF400" s="120"/>
      <c r="AG400" s="120"/>
      <c r="AH400" s="120"/>
      <c r="AI400" s="120"/>
      <c r="AJ400" s="120"/>
    </row>
    <row r="401" spans="1:36" s="124" customFormat="1" x14ac:dyDescent="0.25">
      <c r="A401" s="120"/>
      <c r="B401" s="120"/>
      <c r="C401" s="120"/>
      <c r="D401" s="120"/>
      <c r="E401" s="120"/>
      <c r="F401" s="120"/>
      <c r="G401" s="120"/>
      <c r="H401" s="120"/>
      <c r="I401" s="181"/>
      <c r="J401" s="120"/>
      <c r="K401" s="120"/>
      <c r="L401" s="120"/>
      <c r="M401" s="120"/>
      <c r="N401" s="120"/>
      <c r="O401" s="120"/>
      <c r="P401" s="120"/>
      <c r="Q401" s="120"/>
      <c r="R401" s="120"/>
      <c r="S401" s="120"/>
      <c r="T401" s="120"/>
      <c r="U401" s="120"/>
      <c r="V401" s="120"/>
      <c r="W401" s="120"/>
      <c r="X401" s="120"/>
      <c r="Y401" s="120"/>
      <c r="Z401" s="120"/>
      <c r="AA401" s="120"/>
      <c r="AB401" s="120"/>
      <c r="AC401" s="120"/>
      <c r="AD401" s="120"/>
      <c r="AE401" s="120"/>
      <c r="AF401" s="120"/>
      <c r="AG401" s="120"/>
      <c r="AH401" s="120"/>
      <c r="AI401" s="120"/>
      <c r="AJ401" s="120"/>
    </row>
    <row r="402" spans="1:36" s="124" customFormat="1" x14ac:dyDescent="0.25">
      <c r="A402" s="120"/>
      <c r="B402" s="120"/>
      <c r="C402" s="120"/>
      <c r="D402" s="120"/>
      <c r="E402" s="120"/>
      <c r="F402" s="120"/>
      <c r="G402" s="120"/>
      <c r="H402" s="120"/>
      <c r="I402" s="181"/>
      <c r="J402" s="120"/>
      <c r="K402" s="120"/>
      <c r="L402" s="120"/>
      <c r="M402" s="120"/>
      <c r="N402" s="120"/>
      <c r="O402" s="120"/>
      <c r="P402" s="120"/>
      <c r="Q402" s="120"/>
      <c r="R402" s="120"/>
      <c r="S402" s="120"/>
      <c r="T402" s="120"/>
      <c r="U402" s="120"/>
      <c r="V402" s="120"/>
      <c r="W402" s="120"/>
      <c r="X402" s="120"/>
      <c r="Y402" s="120"/>
      <c r="Z402" s="120"/>
      <c r="AA402" s="120"/>
      <c r="AB402" s="120"/>
      <c r="AC402" s="120"/>
      <c r="AD402" s="120"/>
      <c r="AE402" s="120"/>
      <c r="AF402" s="120"/>
      <c r="AG402" s="120"/>
      <c r="AH402" s="120"/>
      <c r="AI402" s="120"/>
      <c r="AJ402" s="120"/>
    </row>
    <row r="403" spans="1:36" s="124" customFormat="1" x14ac:dyDescent="0.25">
      <c r="A403" s="120"/>
      <c r="B403" s="120"/>
      <c r="C403" s="120"/>
      <c r="D403" s="120"/>
      <c r="E403" s="120"/>
      <c r="F403" s="120"/>
      <c r="G403" s="120"/>
      <c r="H403" s="120"/>
      <c r="I403" s="181"/>
      <c r="J403" s="120"/>
      <c r="K403" s="120"/>
      <c r="L403" s="120"/>
      <c r="M403" s="120"/>
      <c r="N403" s="120"/>
      <c r="O403" s="120"/>
      <c r="P403" s="120"/>
      <c r="Q403" s="120"/>
      <c r="R403" s="120"/>
      <c r="S403" s="120"/>
      <c r="T403" s="120"/>
      <c r="U403" s="120"/>
      <c r="V403" s="120"/>
      <c r="W403" s="120"/>
      <c r="X403" s="120"/>
      <c r="Y403" s="120"/>
      <c r="Z403" s="120"/>
      <c r="AA403" s="120"/>
      <c r="AB403" s="120"/>
      <c r="AC403" s="120"/>
      <c r="AD403" s="120"/>
      <c r="AE403" s="120"/>
      <c r="AF403" s="120"/>
      <c r="AG403" s="120"/>
      <c r="AH403" s="120"/>
      <c r="AI403" s="120"/>
      <c r="AJ403" s="120"/>
    </row>
    <row r="404" spans="1:36" s="124" customFormat="1" x14ac:dyDescent="0.25">
      <c r="A404" s="120"/>
      <c r="B404" s="120"/>
      <c r="C404" s="120"/>
      <c r="D404" s="120"/>
      <c r="E404" s="120"/>
      <c r="F404" s="120"/>
      <c r="G404" s="120"/>
      <c r="H404" s="120"/>
      <c r="I404" s="181"/>
      <c r="J404" s="120"/>
      <c r="K404" s="120"/>
      <c r="L404" s="120"/>
      <c r="M404" s="120"/>
      <c r="N404" s="120"/>
      <c r="O404" s="120"/>
      <c r="P404" s="120"/>
      <c r="Q404" s="120"/>
      <c r="R404" s="120"/>
      <c r="S404" s="120"/>
      <c r="T404" s="120"/>
      <c r="U404" s="120"/>
      <c r="V404" s="120"/>
      <c r="W404" s="120"/>
      <c r="X404" s="120"/>
      <c r="Y404" s="120"/>
      <c r="Z404" s="120"/>
      <c r="AA404" s="120"/>
      <c r="AB404" s="120"/>
      <c r="AC404" s="120"/>
      <c r="AD404" s="120"/>
      <c r="AE404" s="120"/>
      <c r="AF404" s="120"/>
      <c r="AG404" s="120"/>
      <c r="AH404" s="120"/>
      <c r="AI404" s="120"/>
      <c r="AJ404" s="120"/>
    </row>
    <row r="405" spans="1:36" s="124" customFormat="1" x14ac:dyDescent="0.25">
      <c r="A405" s="120"/>
      <c r="B405" s="120"/>
      <c r="C405" s="120"/>
      <c r="D405" s="120"/>
      <c r="E405" s="120"/>
      <c r="F405" s="120"/>
      <c r="G405" s="120"/>
      <c r="H405" s="120"/>
      <c r="I405" s="181"/>
      <c r="J405" s="120"/>
      <c r="K405" s="120"/>
      <c r="L405" s="120"/>
      <c r="M405" s="120"/>
      <c r="N405" s="120"/>
      <c r="O405" s="120"/>
      <c r="P405" s="120"/>
      <c r="Q405" s="120"/>
      <c r="R405" s="120"/>
      <c r="S405" s="120"/>
      <c r="T405" s="120"/>
      <c r="U405" s="120"/>
      <c r="V405" s="120"/>
      <c r="W405" s="120"/>
      <c r="X405" s="120"/>
      <c r="Y405" s="120"/>
      <c r="Z405" s="120"/>
      <c r="AA405" s="120"/>
      <c r="AB405" s="120"/>
      <c r="AC405" s="120"/>
      <c r="AD405" s="120"/>
      <c r="AE405" s="120"/>
      <c r="AF405" s="120"/>
      <c r="AG405" s="120"/>
      <c r="AH405" s="120"/>
      <c r="AI405" s="120"/>
      <c r="AJ405" s="120"/>
    </row>
    <row r="406" spans="1:36" s="124" customFormat="1" x14ac:dyDescent="0.25">
      <c r="A406" s="120"/>
      <c r="B406" s="120"/>
      <c r="C406" s="120"/>
      <c r="D406" s="120"/>
      <c r="E406" s="120"/>
      <c r="F406" s="120"/>
      <c r="G406" s="120"/>
      <c r="H406" s="120"/>
      <c r="I406" s="181"/>
      <c r="J406" s="120"/>
      <c r="K406" s="120"/>
      <c r="L406" s="120"/>
      <c r="M406" s="120"/>
      <c r="N406" s="120"/>
      <c r="O406" s="120"/>
      <c r="P406" s="120"/>
      <c r="Q406" s="120"/>
      <c r="R406" s="120"/>
      <c r="S406" s="120"/>
      <c r="T406" s="120"/>
      <c r="U406" s="120"/>
      <c r="V406" s="120"/>
      <c r="W406" s="120"/>
      <c r="X406" s="120"/>
      <c r="Y406" s="120"/>
      <c r="Z406" s="120"/>
      <c r="AA406" s="120"/>
      <c r="AB406" s="120"/>
      <c r="AC406" s="120"/>
      <c r="AD406" s="120"/>
      <c r="AE406" s="120"/>
      <c r="AF406" s="120"/>
      <c r="AG406" s="120"/>
      <c r="AH406" s="120"/>
      <c r="AI406" s="120"/>
      <c r="AJ406" s="120"/>
    </row>
    <row r="407" spans="1:36" s="124" customFormat="1" x14ac:dyDescent="0.25">
      <c r="A407" s="120"/>
      <c r="B407" s="120"/>
      <c r="C407" s="120"/>
      <c r="D407" s="120"/>
      <c r="E407" s="120"/>
      <c r="F407" s="120"/>
      <c r="G407" s="120"/>
      <c r="H407" s="120"/>
      <c r="I407" s="181"/>
      <c r="J407" s="120"/>
      <c r="K407" s="120"/>
      <c r="L407" s="120"/>
      <c r="M407" s="120"/>
      <c r="N407" s="120"/>
      <c r="O407" s="120"/>
      <c r="P407" s="120"/>
      <c r="Q407" s="120"/>
      <c r="R407" s="120"/>
      <c r="S407" s="120"/>
      <c r="T407" s="120"/>
      <c r="U407" s="120"/>
      <c r="V407" s="120"/>
      <c r="W407" s="120"/>
      <c r="X407" s="120"/>
      <c r="Y407" s="120"/>
      <c r="Z407" s="120"/>
      <c r="AA407" s="120"/>
      <c r="AB407" s="120"/>
      <c r="AC407" s="120"/>
      <c r="AD407" s="120"/>
      <c r="AE407" s="120"/>
      <c r="AF407" s="120"/>
      <c r="AG407" s="120"/>
      <c r="AH407" s="120"/>
      <c r="AI407" s="120"/>
      <c r="AJ407" s="120"/>
    </row>
    <row r="408" spans="1:36" s="124" customFormat="1" x14ac:dyDescent="0.25">
      <c r="A408" s="120"/>
      <c r="B408" s="120"/>
      <c r="C408" s="120"/>
      <c r="D408" s="120"/>
      <c r="E408" s="120"/>
      <c r="F408" s="120"/>
      <c r="G408" s="120"/>
      <c r="H408" s="120"/>
      <c r="I408" s="181"/>
      <c r="J408" s="120"/>
      <c r="K408" s="120"/>
      <c r="L408" s="120"/>
      <c r="M408" s="120"/>
      <c r="N408" s="120"/>
      <c r="O408" s="120"/>
      <c r="P408" s="120"/>
      <c r="Q408" s="120"/>
      <c r="R408" s="120"/>
      <c r="S408" s="120"/>
      <c r="T408" s="120"/>
      <c r="U408" s="120"/>
      <c r="V408" s="120"/>
      <c r="W408" s="120"/>
      <c r="X408" s="120"/>
      <c r="Y408" s="120"/>
      <c r="Z408" s="120"/>
      <c r="AA408" s="120"/>
      <c r="AB408" s="120"/>
      <c r="AC408" s="120"/>
      <c r="AD408" s="120"/>
      <c r="AE408" s="120"/>
      <c r="AF408" s="120"/>
      <c r="AG408" s="120"/>
      <c r="AH408" s="120"/>
      <c r="AI408" s="120"/>
      <c r="AJ408" s="120"/>
    </row>
    <row r="409" spans="1:36" s="124" customFormat="1" x14ac:dyDescent="0.25">
      <c r="A409" s="120"/>
      <c r="B409" s="120"/>
      <c r="C409" s="120"/>
      <c r="D409" s="120"/>
      <c r="E409" s="120"/>
      <c r="F409" s="120"/>
      <c r="G409" s="120"/>
      <c r="H409" s="120"/>
      <c r="I409" s="181"/>
      <c r="J409" s="120"/>
      <c r="K409" s="120"/>
      <c r="L409" s="120"/>
      <c r="M409" s="120"/>
      <c r="N409" s="120"/>
      <c r="O409" s="120"/>
      <c r="P409" s="120"/>
      <c r="Q409" s="120"/>
      <c r="R409" s="120"/>
      <c r="S409" s="120"/>
      <c r="T409" s="120"/>
      <c r="U409" s="120"/>
      <c r="V409" s="120"/>
      <c r="W409" s="120"/>
      <c r="X409" s="120"/>
      <c r="Y409" s="120"/>
      <c r="Z409" s="120"/>
      <c r="AA409" s="120"/>
      <c r="AB409" s="120"/>
      <c r="AC409" s="120"/>
      <c r="AD409" s="120"/>
      <c r="AE409" s="120"/>
      <c r="AF409" s="120"/>
      <c r="AG409" s="120"/>
      <c r="AH409" s="120"/>
      <c r="AI409" s="120"/>
      <c r="AJ409" s="120"/>
    </row>
    <row r="410" spans="1:36" s="124" customFormat="1" x14ac:dyDescent="0.25">
      <c r="A410" s="120"/>
      <c r="B410" s="120"/>
      <c r="C410" s="120"/>
      <c r="D410" s="120"/>
      <c r="E410" s="120"/>
      <c r="F410" s="120"/>
      <c r="G410" s="120"/>
      <c r="H410" s="120"/>
      <c r="I410" s="181"/>
      <c r="J410" s="120"/>
      <c r="K410" s="120"/>
      <c r="L410" s="120"/>
      <c r="M410" s="120"/>
      <c r="N410" s="120"/>
      <c r="O410" s="120"/>
      <c r="P410" s="120"/>
      <c r="Q410" s="120"/>
      <c r="R410" s="120"/>
      <c r="S410" s="120"/>
      <c r="T410" s="120"/>
      <c r="U410" s="120"/>
      <c r="V410" s="120"/>
      <c r="W410" s="120"/>
      <c r="X410" s="120"/>
      <c r="Y410" s="120"/>
      <c r="Z410" s="120"/>
      <c r="AA410" s="120"/>
      <c r="AB410" s="120"/>
      <c r="AC410" s="120"/>
      <c r="AD410" s="120"/>
      <c r="AE410" s="120"/>
      <c r="AF410" s="120"/>
      <c r="AG410" s="120"/>
      <c r="AH410" s="120"/>
      <c r="AI410" s="120"/>
      <c r="AJ410" s="120"/>
    </row>
    <row r="411" spans="1:36" s="124" customFormat="1" x14ac:dyDescent="0.25">
      <c r="A411" s="120"/>
      <c r="B411" s="120"/>
      <c r="C411" s="120"/>
      <c r="D411" s="120"/>
      <c r="E411" s="120"/>
      <c r="F411" s="120"/>
      <c r="G411" s="120"/>
      <c r="H411" s="120"/>
      <c r="I411" s="181"/>
      <c r="J411" s="120"/>
      <c r="K411" s="120"/>
      <c r="L411" s="120"/>
      <c r="M411" s="120"/>
      <c r="N411" s="120"/>
      <c r="O411" s="120"/>
      <c r="P411" s="120"/>
      <c r="Q411" s="120"/>
      <c r="R411" s="120"/>
      <c r="S411" s="120"/>
      <c r="T411" s="120"/>
      <c r="U411" s="120"/>
      <c r="V411" s="120"/>
      <c r="W411" s="120"/>
      <c r="X411" s="120"/>
      <c r="Y411" s="120"/>
      <c r="Z411" s="120"/>
      <c r="AA411" s="120"/>
      <c r="AB411" s="120"/>
      <c r="AC411" s="120"/>
      <c r="AD411" s="120"/>
      <c r="AE411" s="120"/>
      <c r="AF411" s="120"/>
      <c r="AG411" s="120"/>
      <c r="AH411" s="120"/>
      <c r="AI411" s="120"/>
      <c r="AJ411" s="120"/>
    </row>
    <row r="412" spans="1:36" s="124" customFormat="1" x14ac:dyDescent="0.25">
      <c r="A412" s="120"/>
      <c r="B412" s="120"/>
      <c r="C412" s="120"/>
      <c r="D412" s="120"/>
      <c r="E412" s="120"/>
      <c r="F412" s="120"/>
      <c r="G412" s="120"/>
      <c r="H412" s="120"/>
      <c r="I412" s="181"/>
      <c r="J412" s="120"/>
      <c r="K412" s="120"/>
      <c r="L412" s="120"/>
      <c r="M412" s="120"/>
      <c r="N412" s="120"/>
      <c r="O412" s="120"/>
      <c r="P412" s="120"/>
      <c r="Q412" s="120"/>
      <c r="R412" s="120"/>
      <c r="S412" s="120"/>
      <c r="T412" s="120"/>
      <c r="U412" s="120"/>
      <c r="V412" s="120"/>
      <c r="W412" s="120"/>
      <c r="X412" s="120"/>
      <c r="Y412" s="120"/>
      <c r="Z412" s="120"/>
      <c r="AA412" s="120"/>
      <c r="AB412" s="120"/>
      <c r="AC412" s="120"/>
      <c r="AD412" s="120"/>
      <c r="AE412" s="120"/>
      <c r="AF412" s="120"/>
      <c r="AG412" s="120"/>
      <c r="AH412" s="120"/>
      <c r="AI412" s="120"/>
      <c r="AJ412" s="120"/>
    </row>
    <row r="413" spans="1:36" s="124" customFormat="1" x14ac:dyDescent="0.25">
      <c r="A413" s="120"/>
      <c r="B413" s="120"/>
      <c r="C413" s="120"/>
      <c r="D413" s="120"/>
      <c r="E413" s="120"/>
      <c r="F413" s="120"/>
      <c r="G413" s="120"/>
      <c r="H413" s="120"/>
      <c r="I413" s="181"/>
      <c r="J413" s="120"/>
      <c r="K413" s="120"/>
      <c r="L413" s="120"/>
      <c r="M413" s="120"/>
      <c r="N413" s="120"/>
      <c r="O413" s="120"/>
      <c r="P413" s="120"/>
      <c r="Q413" s="120"/>
      <c r="R413" s="120"/>
      <c r="S413" s="120"/>
      <c r="T413" s="120"/>
      <c r="U413" s="120"/>
      <c r="V413" s="120"/>
      <c r="W413" s="120"/>
      <c r="X413" s="120"/>
      <c r="Y413" s="120"/>
      <c r="Z413" s="120"/>
      <c r="AA413" s="120"/>
      <c r="AB413" s="120"/>
      <c r="AC413" s="120"/>
      <c r="AD413" s="120"/>
      <c r="AE413" s="120"/>
      <c r="AF413" s="120"/>
      <c r="AG413" s="120"/>
      <c r="AH413" s="120"/>
      <c r="AI413" s="120"/>
      <c r="AJ413" s="120"/>
    </row>
    <row r="414" spans="1:36" s="124" customFormat="1" x14ac:dyDescent="0.25">
      <c r="A414" s="120"/>
      <c r="B414" s="120"/>
      <c r="C414" s="120"/>
      <c r="D414" s="120"/>
      <c r="E414" s="120"/>
      <c r="F414" s="120"/>
      <c r="G414" s="120"/>
      <c r="H414" s="120"/>
      <c r="I414" s="181"/>
      <c r="J414" s="120"/>
      <c r="K414" s="120"/>
      <c r="L414" s="120"/>
      <c r="M414" s="120"/>
      <c r="N414" s="120"/>
      <c r="O414" s="120"/>
      <c r="P414" s="120"/>
      <c r="Q414" s="120"/>
      <c r="R414" s="120"/>
      <c r="S414" s="120"/>
      <c r="T414" s="120"/>
      <c r="U414" s="120"/>
      <c r="V414" s="120"/>
      <c r="W414" s="120"/>
      <c r="X414" s="120"/>
      <c r="Y414" s="120"/>
      <c r="Z414" s="120"/>
      <c r="AA414" s="120"/>
      <c r="AB414" s="120"/>
      <c r="AC414" s="120"/>
      <c r="AD414" s="120"/>
      <c r="AE414" s="120"/>
      <c r="AF414" s="120"/>
      <c r="AG414" s="120"/>
      <c r="AH414" s="120"/>
      <c r="AI414" s="120"/>
      <c r="AJ414" s="120"/>
    </row>
    <row r="415" spans="1:36" s="124" customFormat="1" x14ac:dyDescent="0.25">
      <c r="A415" s="120"/>
      <c r="B415" s="120"/>
      <c r="C415" s="120"/>
      <c r="D415" s="120"/>
      <c r="E415" s="120"/>
      <c r="F415" s="120"/>
      <c r="G415" s="120"/>
      <c r="H415" s="120"/>
      <c r="I415" s="181"/>
      <c r="J415" s="120"/>
      <c r="K415" s="120"/>
      <c r="L415" s="120"/>
      <c r="M415" s="120"/>
      <c r="N415" s="120"/>
      <c r="O415" s="120"/>
      <c r="P415" s="120"/>
      <c r="Q415" s="120"/>
      <c r="R415" s="120"/>
      <c r="S415" s="120"/>
      <c r="T415" s="120"/>
      <c r="U415" s="120"/>
      <c r="V415" s="120"/>
      <c r="W415" s="120"/>
      <c r="X415" s="120"/>
      <c r="Y415" s="120"/>
      <c r="Z415" s="120"/>
      <c r="AA415" s="120"/>
      <c r="AB415" s="120"/>
      <c r="AC415" s="120"/>
      <c r="AD415" s="120"/>
      <c r="AE415" s="120"/>
      <c r="AF415" s="120"/>
      <c r="AG415" s="120"/>
      <c r="AH415" s="120"/>
      <c r="AI415" s="120"/>
      <c r="AJ415" s="120"/>
    </row>
    <row r="416" spans="1:36" s="124" customFormat="1" x14ac:dyDescent="0.25">
      <c r="A416" s="120"/>
      <c r="B416" s="120"/>
      <c r="C416" s="120"/>
      <c r="D416" s="120"/>
      <c r="E416" s="120"/>
      <c r="F416" s="120"/>
      <c r="G416" s="120"/>
      <c r="H416" s="120"/>
      <c r="I416" s="181"/>
      <c r="J416" s="120"/>
      <c r="K416" s="120"/>
      <c r="L416" s="120"/>
      <c r="M416" s="120"/>
      <c r="N416" s="120"/>
      <c r="O416" s="120"/>
      <c r="P416" s="120"/>
      <c r="Q416" s="120"/>
      <c r="R416" s="120"/>
      <c r="S416" s="120"/>
      <c r="T416" s="120"/>
      <c r="U416" s="120"/>
      <c r="V416" s="120"/>
      <c r="W416" s="120"/>
      <c r="X416" s="120"/>
      <c r="Y416" s="120"/>
      <c r="Z416" s="120"/>
      <c r="AA416" s="120"/>
      <c r="AB416" s="120"/>
      <c r="AC416" s="120"/>
      <c r="AD416" s="120"/>
      <c r="AE416" s="120"/>
      <c r="AF416" s="120"/>
      <c r="AG416" s="120"/>
      <c r="AH416" s="120"/>
      <c r="AI416" s="120"/>
      <c r="AJ416" s="120"/>
    </row>
    <row r="417" spans="1:36" s="124" customFormat="1" x14ac:dyDescent="0.25">
      <c r="A417" s="120"/>
      <c r="B417" s="120"/>
      <c r="C417" s="120"/>
      <c r="D417" s="120"/>
      <c r="E417" s="120"/>
      <c r="F417" s="120"/>
      <c r="G417" s="120"/>
      <c r="H417" s="120"/>
      <c r="I417" s="181"/>
      <c r="J417" s="120"/>
      <c r="K417" s="120"/>
      <c r="L417" s="120"/>
      <c r="M417" s="120"/>
      <c r="N417" s="120"/>
      <c r="O417" s="120"/>
      <c r="P417" s="120"/>
      <c r="Q417" s="120"/>
      <c r="R417" s="120"/>
      <c r="S417" s="120"/>
      <c r="T417" s="120"/>
      <c r="U417" s="120"/>
      <c r="V417" s="120"/>
      <c r="W417" s="120"/>
      <c r="X417" s="120"/>
      <c r="Y417" s="120"/>
      <c r="Z417" s="120"/>
      <c r="AA417" s="120"/>
      <c r="AB417" s="120"/>
      <c r="AC417" s="120"/>
      <c r="AD417" s="120"/>
      <c r="AE417" s="120"/>
      <c r="AF417" s="120"/>
      <c r="AG417" s="120"/>
      <c r="AH417" s="120"/>
      <c r="AI417" s="120"/>
      <c r="AJ417" s="120"/>
    </row>
    <row r="418" spans="1:36" s="124" customFormat="1" x14ac:dyDescent="0.25">
      <c r="A418" s="120"/>
      <c r="B418" s="120"/>
      <c r="C418" s="120"/>
      <c r="D418" s="120"/>
      <c r="E418" s="120"/>
      <c r="F418" s="120"/>
      <c r="G418" s="120"/>
      <c r="H418" s="120"/>
      <c r="I418" s="181"/>
      <c r="J418" s="120"/>
      <c r="K418" s="120"/>
      <c r="L418" s="120"/>
      <c r="M418" s="120"/>
      <c r="N418" s="120"/>
      <c r="O418" s="120"/>
      <c r="P418" s="120"/>
      <c r="Q418" s="120"/>
      <c r="R418" s="120"/>
      <c r="S418" s="120"/>
      <c r="T418" s="120"/>
      <c r="U418" s="120"/>
      <c r="V418" s="120"/>
      <c r="W418" s="120"/>
      <c r="X418" s="120"/>
      <c r="Y418" s="120"/>
      <c r="Z418" s="120"/>
      <c r="AA418" s="120"/>
      <c r="AB418" s="120"/>
      <c r="AC418" s="120"/>
      <c r="AD418" s="120"/>
      <c r="AE418" s="120"/>
      <c r="AF418" s="120"/>
      <c r="AG418" s="120"/>
      <c r="AH418" s="120"/>
      <c r="AI418" s="120"/>
      <c r="AJ418" s="120"/>
    </row>
    <row r="419" spans="1:36" s="124" customFormat="1" x14ac:dyDescent="0.25">
      <c r="A419" s="120"/>
      <c r="B419" s="120"/>
      <c r="C419" s="120"/>
      <c r="D419" s="120"/>
      <c r="E419" s="120"/>
      <c r="F419" s="120"/>
      <c r="G419" s="120"/>
      <c r="H419" s="120"/>
      <c r="I419" s="181"/>
      <c r="J419" s="120"/>
      <c r="K419" s="120"/>
      <c r="L419" s="120"/>
      <c r="M419" s="120"/>
      <c r="N419" s="120"/>
      <c r="O419" s="120"/>
      <c r="P419" s="120"/>
      <c r="Q419" s="120"/>
      <c r="R419" s="120"/>
      <c r="S419" s="120"/>
      <c r="T419" s="120"/>
      <c r="U419" s="120"/>
      <c r="V419" s="120"/>
      <c r="W419" s="120"/>
      <c r="X419" s="120"/>
      <c r="Y419" s="120"/>
      <c r="Z419" s="120"/>
      <c r="AA419" s="120"/>
      <c r="AB419" s="120"/>
      <c r="AC419" s="120"/>
      <c r="AD419" s="120"/>
      <c r="AE419" s="120"/>
      <c r="AF419" s="120"/>
      <c r="AG419" s="120"/>
      <c r="AH419" s="120"/>
      <c r="AI419" s="120"/>
      <c r="AJ419" s="120"/>
    </row>
    <row r="420" spans="1:36" s="124" customFormat="1" x14ac:dyDescent="0.25">
      <c r="A420" s="120"/>
      <c r="B420" s="120"/>
      <c r="C420" s="120"/>
      <c r="D420" s="120"/>
      <c r="E420" s="120"/>
      <c r="F420" s="120"/>
      <c r="G420" s="120"/>
      <c r="H420" s="120"/>
      <c r="I420" s="181"/>
      <c r="J420" s="120"/>
      <c r="K420" s="120"/>
      <c r="L420" s="120"/>
      <c r="M420" s="120"/>
      <c r="N420" s="120"/>
      <c r="O420" s="120"/>
      <c r="P420" s="120"/>
      <c r="Q420" s="120"/>
      <c r="R420" s="120"/>
      <c r="S420" s="120"/>
      <c r="T420" s="120"/>
      <c r="U420" s="120"/>
      <c r="V420" s="120"/>
      <c r="W420" s="120"/>
      <c r="X420" s="120"/>
      <c r="Y420" s="120"/>
      <c r="Z420" s="120"/>
      <c r="AA420" s="120"/>
      <c r="AB420" s="120"/>
      <c r="AC420" s="120"/>
      <c r="AD420" s="120"/>
      <c r="AE420" s="120"/>
      <c r="AF420" s="120"/>
      <c r="AG420" s="120"/>
      <c r="AH420" s="120"/>
      <c r="AI420" s="120"/>
      <c r="AJ420" s="120"/>
    </row>
    <row r="421" spans="1:36" s="124" customFormat="1" x14ac:dyDescent="0.25">
      <c r="A421" s="120"/>
      <c r="B421" s="120"/>
      <c r="C421" s="120"/>
      <c r="D421" s="120"/>
      <c r="E421" s="120"/>
      <c r="F421" s="120"/>
      <c r="G421" s="120"/>
      <c r="H421" s="120"/>
      <c r="I421" s="181"/>
      <c r="J421" s="120"/>
      <c r="K421" s="120"/>
      <c r="L421" s="120"/>
      <c r="M421" s="120"/>
      <c r="N421" s="120"/>
      <c r="O421" s="120"/>
      <c r="P421" s="120"/>
      <c r="Q421" s="120"/>
      <c r="R421" s="120"/>
      <c r="S421" s="120"/>
      <c r="T421" s="120"/>
      <c r="U421" s="120"/>
      <c r="V421" s="120"/>
      <c r="W421" s="120"/>
      <c r="X421" s="120"/>
      <c r="Y421" s="120"/>
      <c r="Z421" s="120"/>
      <c r="AA421" s="120"/>
      <c r="AB421" s="120"/>
      <c r="AC421" s="120"/>
      <c r="AD421" s="120"/>
      <c r="AE421" s="120"/>
      <c r="AF421" s="120"/>
      <c r="AG421" s="120"/>
      <c r="AH421" s="120"/>
      <c r="AI421" s="120"/>
      <c r="AJ421" s="120"/>
    </row>
    <row r="422" spans="1:36" s="124" customFormat="1" x14ac:dyDescent="0.25">
      <c r="A422" s="120"/>
      <c r="B422" s="120"/>
      <c r="C422" s="120"/>
      <c r="D422" s="120"/>
      <c r="E422" s="120"/>
      <c r="F422" s="120"/>
      <c r="G422" s="120"/>
      <c r="H422" s="120"/>
      <c r="I422" s="181"/>
      <c r="J422" s="120"/>
      <c r="K422" s="120"/>
      <c r="L422" s="120"/>
      <c r="M422" s="120"/>
      <c r="N422" s="120"/>
      <c r="O422" s="120"/>
      <c r="P422" s="120"/>
      <c r="Q422" s="120"/>
      <c r="R422" s="120"/>
      <c r="S422" s="120"/>
      <c r="T422" s="120"/>
      <c r="U422" s="120"/>
      <c r="V422" s="120"/>
      <c r="W422" s="120"/>
      <c r="X422" s="120"/>
      <c r="Y422" s="120"/>
      <c r="Z422" s="120"/>
      <c r="AA422" s="120"/>
      <c r="AB422" s="120"/>
      <c r="AC422" s="120"/>
      <c r="AD422" s="120"/>
      <c r="AE422" s="120"/>
      <c r="AF422" s="120"/>
      <c r="AG422" s="120"/>
      <c r="AH422" s="120"/>
      <c r="AI422" s="120"/>
      <c r="AJ422" s="120"/>
    </row>
    <row r="423" spans="1:36" s="124" customFormat="1" x14ac:dyDescent="0.25">
      <c r="A423" s="120"/>
      <c r="B423" s="120"/>
      <c r="C423" s="120"/>
      <c r="D423" s="120"/>
      <c r="E423" s="120"/>
      <c r="F423" s="120"/>
      <c r="G423" s="120"/>
      <c r="H423" s="120"/>
      <c r="I423" s="181"/>
      <c r="J423" s="120"/>
      <c r="K423" s="120"/>
      <c r="L423" s="120"/>
      <c r="M423" s="120"/>
      <c r="N423" s="120"/>
      <c r="O423" s="120"/>
      <c r="P423" s="120"/>
      <c r="Q423" s="120"/>
      <c r="R423" s="120"/>
      <c r="S423" s="120"/>
      <c r="T423" s="120"/>
      <c r="U423" s="120"/>
      <c r="V423" s="120"/>
      <c r="W423" s="120"/>
      <c r="X423" s="120"/>
      <c r="Y423" s="120"/>
      <c r="Z423" s="120"/>
      <c r="AA423" s="120"/>
      <c r="AB423" s="120"/>
      <c r="AC423" s="120"/>
      <c r="AD423" s="120"/>
      <c r="AE423" s="120"/>
      <c r="AF423" s="120"/>
      <c r="AG423" s="120"/>
      <c r="AH423" s="120"/>
      <c r="AI423" s="120"/>
      <c r="AJ423" s="120"/>
    </row>
    <row r="424" spans="1:36" s="124" customFormat="1" x14ac:dyDescent="0.25">
      <c r="A424" s="120"/>
      <c r="B424" s="120"/>
      <c r="C424" s="120"/>
      <c r="D424" s="120"/>
      <c r="E424" s="120"/>
      <c r="F424" s="120"/>
      <c r="G424" s="120"/>
      <c r="H424" s="120"/>
      <c r="I424" s="181"/>
      <c r="J424" s="120"/>
      <c r="K424" s="120"/>
      <c r="L424" s="120"/>
      <c r="M424" s="120"/>
      <c r="N424" s="120"/>
      <c r="O424" s="120"/>
      <c r="P424" s="120"/>
      <c r="Q424" s="120"/>
      <c r="R424" s="120"/>
      <c r="S424" s="120"/>
      <c r="T424" s="120"/>
      <c r="U424" s="120"/>
      <c r="V424" s="120"/>
      <c r="W424" s="120"/>
      <c r="X424" s="120"/>
      <c r="Y424" s="120"/>
      <c r="Z424" s="120"/>
      <c r="AA424" s="120"/>
      <c r="AB424" s="120"/>
      <c r="AC424" s="120"/>
      <c r="AD424" s="120"/>
      <c r="AE424" s="120"/>
      <c r="AF424" s="120"/>
      <c r="AG424" s="120"/>
      <c r="AH424" s="120"/>
      <c r="AI424" s="120"/>
      <c r="AJ424" s="120"/>
    </row>
    <row r="425" spans="1:36" s="124" customFormat="1" x14ac:dyDescent="0.25">
      <c r="A425" s="120"/>
      <c r="B425" s="120"/>
      <c r="C425" s="120"/>
      <c r="D425" s="120"/>
      <c r="E425" s="120"/>
      <c r="F425" s="120"/>
      <c r="G425" s="120"/>
      <c r="H425" s="120"/>
      <c r="I425" s="181"/>
      <c r="J425" s="120"/>
      <c r="K425" s="120"/>
      <c r="L425" s="120"/>
      <c r="M425" s="120"/>
      <c r="N425" s="120"/>
      <c r="O425" s="120"/>
      <c r="P425" s="120"/>
      <c r="Q425" s="120"/>
      <c r="R425" s="120"/>
      <c r="S425" s="120"/>
      <c r="T425" s="120"/>
      <c r="U425" s="120"/>
      <c r="V425" s="120"/>
      <c r="W425" s="120"/>
      <c r="X425" s="120"/>
      <c r="Y425" s="120"/>
      <c r="Z425" s="120"/>
      <c r="AA425" s="120"/>
      <c r="AB425" s="120"/>
      <c r="AC425" s="120"/>
      <c r="AD425" s="120"/>
      <c r="AE425" s="120"/>
      <c r="AF425" s="120"/>
      <c r="AG425" s="120"/>
      <c r="AH425" s="120"/>
      <c r="AI425" s="120"/>
      <c r="AJ425" s="120"/>
    </row>
    <row r="426" spans="1:36" s="124" customFormat="1" x14ac:dyDescent="0.25">
      <c r="A426" s="120"/>
      <c r="B426" s="120"/>
      <c r="C426" s="120"/>
      <c r="D426" s="120"/>
      <c r="E426" s="120"/>
      <c r="F426" s="120"/>
      <c r="G426" s="120"/>
      <c r="H426" s="120"/>
      <c r="I426" s="181"/>
      <c r="J426" s="120"/>
      <c r="K426" s="120"/>
      <c r="L426" s="120"/>
      <c r="M426" s="120"/>
      <c r="N426" s="120"/>
      <c r="O426" s="120"/>
      <c r="P426" s="120"/>
      <c r="Q426" s="120"/>
      <c r="R426" s="120"/>
      <c r="S426" s="120"/>
      <c r="T426" s="120"/>
      <c r="U426" s="120"/>
      <c r="V426" s="120"/>
      <c r="W426" s="120"/>
      <c r="X426" s="120"/>
      <c r="Y426" s="120"/>
      <c r="Z426" s="120"/>
      <c r="AA426" s="120"/>
      <c r="AB426" s="120"/>
      <c r="AC426" s="120"/>
      <c r="AD426" s="120"/>
      <c r="AE426" s="120"/>
      <c r="AF426" s="120"/>
      <c r="AG426" s="120"/>
      <c r="AH426" s="120"/>
      <c r="AI426" s="120"/>
      <c r="AJ426" s="120"/>
    </row>
    <row r="427" spans="1:36" s="124" customFormat="1" x14ac:dyDescent="0.25">
      <c r="A427" s="120"/>
      <c r="B427" s="120"/>
      <c r="C427" s="120"/>
      <c r="D427" s="120"/>
      <c r="E427" s="120"/>
      <c r="F427" s="120"/>
      <c r="G427" s="120"/>
      <c r="H427" s="120"/>
      <c r="I427" s="181"/>
      <c r="J427" s="120"/>
      <c r="K427" s="120"/>
      <c r="L427" s="120"/>
      <c r="M427" s="120"/>
      <c r="N427" s="120"/>
      <c r="O427" s="120"/>
      <c r="P427" s="120"/>
      <c r="Q427" s="120"/>
      <c r="R427" s="120"/>
      <c r="S427" s="120"/>
      <c r="T427" s="120"/>
      <c r="U427" s="120"/>
      <c r="V427" s="120"/>
      <c r="W427" s="120"/>
      <c r="X427" s="120"/>
      <c r="Y427" s="120"/>
      <c r="Z427" s="120"/>
      <c r="AA427" s="120"/>
      <c r="AB427" s="120"/>
      <c r="AC427" s="120"/>
      <c r="AD427" s="120"/>
      <c r="AE427" s="120"/>
      <c r="AF427" s="120"/>
      <c r="AG427" s="120"/>
      <c r="AH427" s="120"/>
      <c r="AI427" s="120"/>
      <c r="AJ427" s="120"/>
    </row>
    <row r="428" spans="1:36" s="124" customFormat="1" x14ac:dyDescent="0.25">
      <c r="A428" s="120"/>
      <c r="B428" s="120"/>
      <c r="C428" s="120"/>
      <c r="D428" s="120"/>
      <c r="E428" s="120"/>
      <c r="F428" s="120"/>
      <c r="G428" s="120"/>
      <c r="H428" s="120"/>
      <c r="I428" s="181"/>
      <c r="J428" s="120"/>
      <c r="K428" s="120"/>
      <c r="L428" s="120"/>
      <c r="M428" s="120"/>
      <c r="N428" s="120"/>
      <c r="O428" s="120"/>
      <c r="P428" s="120"/>
      <c r="Q428" s="120"/>
      <c r="R428" s="120"/>
      <c r="S428" s="120"/>
      <c r="T428" s="120"/>
      <c r="U428" s="120"/>
      <c r="V428" s="120"/>
      <c r="W428" s="120"/>
      <c r="X428" s="120"/>
      <c r="Y428" s="120"/>
      <c r="Z428" s="120"/>
      <c r="AA428" s="120"/>
      <c r="AB428" s="120"/>
      <c r="AC428" s="120"/>
      <c r="AD428" s="120"/>
      <c r="AE428" s="120"/>
      <c r="AF428" s="120"/>
      <c r="AG428" s="120"/>
      <c r="AH428" s="120"/>
      <c r="AI428" s="120"/>
      <c r="AJ428" s="120"/>
    </row>
    <row r="429" spans="1:36" s="124" customFormat="1" x14ac:dyDescent="0.25">
      <c r="A429" s="120"/>
      <c r="B429" s="120"/>
      <c r="C429" s="120"/>
      <c r="D429" s="120"/>
      <c r="E429" s="120"/>
      <c r="F429" s="120"/>
      <c r="G429" s="120"/>
      <c r="H429" s="120"/>
      <c r="I429" s="181"/>
      <c r="J429" s="120"/>
      <c r="K429" s="120"/>
      <c r="L429" s="120"/>
      <c r="M429" s="120"/>
      <c r="N429" s="120"/>
      <c r="O429" s="120"/>
      <c r="P429" s="120"/>
      <c r="Q429" s="120"/>
      <c r="R429" s="120"/>
      <c r="S429" s="120"/>
      <c r="T429" s="120"/>
      <c r="U429" s="120"/>
      <c r="V429" s="120"/>
      <c r="W429" s="120"/>
      <c r="X429" s="120"/>
      <c r="Y429" s="120"/>
      <c r="Z429" s="120"/>
      <c r="AA429" s="120"/>
      <c r="AB429" s="120"/>
      <c r="AC429" s="120"/>
      <c r="AD429" s="120"/>
      <c r="AE429" s="120"/>
      <c r="AF429" s="120"/>
      <c r="AG429" s="120"/>
      <c r="AH429" s="120"/>
      <c r="AI429" s="120"/>
      <c r="AJ429" s="120"/>
    </row>
    <row r="430" spans="1:36" s="124" customFormat="1" x14ac:dyDescent="0.25">
      <c r="A430" s="120"/>
      <c r="B430" s="120"/>
      <c r="C430" s="120"/>
      <c r="D430" s="120"/>
      <c r="E430" s="120"/>
      <c r="F430" s="120"/>
      <c r="G430" s="120"/>
      <c r="H430" s="120"/>
      <c r="I430" s="181"/>
      <c r="J430" s="120"/>
      <c r="K430" s="120"/>
      <c r="L430" s="120"/>
      <c r="M430" s="120"/>
      <c r="N430" s="120"/>
      <c r="O430" s="120"/>
      <c r="P430" s="120"/>
      <c r="Q430" s="120"/>
      <c r="R430" s="120"/>
      <c r="S430" s="120"/>
      <c r="T430" s="120"/>
      <c r="U430" s="120"/>
      <c r="V430" s="120"/>
      <c r="W430" s="120"/>
      <c r="X430" s="120"/>
      <c r="Y430" s="120"/>
      <c r="Z430" s="120"/>
      <c r="AA430" s="120"/>
      <c r="AB430" s="120"/>
      <c r="AC430" s="120"/>
      <c r="AD430" s="120"/>
      <c r="AE430" s="120"/>
      <c r="AF430" s="120"/>
      <c r="AG430" s="120"/>
      <c r="AH430" s="120"/>
      <c r="AI430" s="120"/>
      <c r="AJ430" s="120"/>
    </row>
    <row r="431" spans="1:36" s="124" customFormat="1" x14ac:dyDescent="0.25">
      <c r="A431" s="120"/>
      <c r="B431" s="120"/>
      <c r="C431" s="120"/>
      <c r="D431" s="120"/>
      <c r="E431" s="120"/>
      <c r="F431" s="120"/>
      <c r="G431" s="120"/>
      <c r="H431" s="120"/>
      <c r="I431" s="181"/>
      <c r="J431" s="120"/>
      <c r="K431" s="120"/>
      <c r="L431" s="120"/>
      <c r="M431" s="120"/>
      <c r="N431" s="120"/>
      <c r="O431" s="120"/>
      <c r="P431" s="120"/>
      <c r="Q431" s="120"/>
      <c r="R431" s="120"/>
      <c r="S431" s="120"/>
      <c r="T431" s="120"/>
      <c r="U431" s="120"/>
      <c r="V431" s="120"/>
      <c r="W431" s="120"/>
      <c r="X431" s="120"/>
      <c r="Y431" s="120"/>
      <c r="Z431" s="120"/>
      <c r="AA431" s="120"/>
      <c r="AB431" s="120"/>
      <c r="AC431" s="120"/>
      <c r="AD431" s="120"/>
      <c r="AE431" s="120"/>
      <c r="AF431" s="120"/>
      <c r="AG431" s="120"/>
      <c r="AH431" s="120"/>
      <c r="AI431" s="120"/>
      <c r="AJ431" s="120"/>
    </row>
    <row r="432" spans="1:36" s="124" customFormat="1" x14ac:dyDescent="0.25">
      <c r="A432" s="120"/>
      <c r="B432" s="120"/>
      <c r="C432" s="120"/>
      <c r="D432" s="120"/>
      <c r="E432" s="120"/>
      <c r="F432" s="120"/>
      <c r="G432" s="120"/>
      <c r="H432" s="120"/>
      <c r="I432" s="181"/>
      <c r="J432" s="120"/>
      <c r="K432" s="120"/>
      <c r="L432" s="120"/>
      <c r="M432" s="120"/>
      <c r="N432" s="120"/>
      <c r="O432" s="120"/>
      <c r="P432" s="120"/>
      <c r="Q432" s="120"/>
      <c r="R432" s="120"/>
      <c r="S432" s="120"/>
      <c r="T432" s="120"/>
      <c r="U432" s="120"/>
      <c r="V432" s="120"/>
      <c r="W432" s="120"/>
      <c r="X432" s="120"/>
      <c r="Y432" s="120"/>
      <c r="Z432" s="120"/>
      <c r="AA432" s="120"/>
      <c r="AB432" s="120"/>
      <c r="AC432" s="120"/>
      <c r="AD432" s="120"/>
      <c r="AE432" s="120"/>
      <c r="AF432" s="120"/>
      <c r="AG432" s="120"/>
      <c r="AH432" s="120"/>
      <c r="AI432" s="120"/>
      <c r="AJ432" s="120"/>
    </row>
    <row r="433" spans="1:36" s="124" customFormat="1" x14ac:dyDescent="0.25">
      <c r="A433" s="120"/>
      <c r="B433" s="120"/>
      <c r="C433" s="120"/>
      <c r="D433" s="120"/>
      <c r="E433" s="120"/>
      <c r="F433" s="120"/>
      <c r="G433" s="120"/>
      <c r="H433" s="120"/>
      <c r="I433" s="181"/>
      <c r="J433" s="120"/>
      <c r="K433" s="120"/>
      <c r="L433" s="120"/>
      <c r="M433" s="120"/>
      <c r="N433" s="120"/>
      <c r="O433" s="120"/>
      <c r="P433" s="120"/>
      <c r="Q433" s="120"/>
      <c r="R433" s="120"/>
      <c r="S433" s="120"/>
      <c r="T433" s="120"/>
      <c r="U433" s="120"/>
      <c r="V433" s="120"/>
      <c r="W433" s="120"/>
      <c r="X433" s="120"/>
      <c r="Y433" s="120"/>
      <c r="Z433" s="120"/>
      <c r="AA433" s="120"/>
      <c r="AB433" s="120"/>
      <c r="AC433" s="120"/>
      <c r="AD433" s="120"/>
      <c r="AE433" s="120"/>
      <c r="AF433" s="120"/>
      <c r="AG433" s="120"/>
      <c r="AH433" s="120"/>
      <c r="AI433" s="120"/>
      <c r="AJ433" s="120"/>
    </row>
    <row r="434" spans="1:36" s="124" customFormat="1" x14ac:dyDescent="0.25">
      <c r="A434" s="120"/>
      <c r="B434" s="120"/>
      <c r="C434" s="120"/>
      <c r="D434" s="120"/>
      <c r="E434" s="120"/>
      <c r="F434" s="120"/>
      <c r="G434" s="120"/>
      <c r="H434" s="120"/>
      <c r="I434" s="181"/>
      <c r="J434" s="120"/>
      <c r="K434" s="120"/>
      <c r="L434" s="120"/>
      <c r="M434" s="120"/>
      <c r="N434" s="120"/>
      <c r="O434" s="120"/>
      <c r="P434" s="120"/>
      <c r="Q434" s="120"/>
      <c r="R434" s="120"/>
      <c r="S434" s="120"/>
      <c r="T434" s="120"/>
      <c r="U434" s="120"/>
      <c r="V434" s="120"/>
      <c r="W434" s="120"/>
      <c r="X434" s="120"/>
      <c r="Y434" s="120"/>
      <c r="Z434" s="120"/>
      <c r="AA434" s="120"/>
      <c r="AB434" s="120"/>
      <c r="AC434" s="120"/>
      <c r="AD434" s="120"/>
      <c r="AE434" s="120"/>
      <c r="AF434" s="120"/>
      <c r="AG434" s="120"/>
      <c r="AH434" s="120"/>
      <c r="AI434" s="120"/>
      <c r="AJ434" s="120"/>
    </row>
    <row r="435" spans="1:36" s="124" customFormat="1" x14ac:dyDescent="0.25">
      <c r="A435" s="120"/>
      <c r="B435" s="120"/>
      <c r="C435" s="120"/>
      <c r="D435" s="120"/>
      <c r="E435" s="120"/>
      <c r="F435" s="120"/>
      <c r="G435" s="120"/>
      <c r="H435" s="120"/>
      <c r="I435" s="181"/>
      <c r="J435" s="120"/>
      <c r="K435" s="120"/>
      <c r="L435" s="120"/>
      <c r="M435" s="120"/>
      <c r="N435" s="120"/>
      <c r="O435" s="120"/>
      <c r="P435" s="120"/>
      <c r="Q435" s="120"/>
      <c r="R435" s="120"/>
      <c r="S435" s="120"/>
      <c r="T435" s="120"/>
      <c r="U435" s="120"/>
      <c r="V435" s="120"/>
      <c r="W435" s="120"/>
      <c r="X435" s="120"/>
      <c r="Y435" s="120"/>
      <c r="Z435" s="120"/>
      <c r="AA435" s="120"/>
      <c r="AB435" s="120"/>
      <c r="AC435" s="120"/>
      <c r="AD435" s="120"/>
      <c r="AE435" s="120"/>
      <c r="AF435" s="120"/>
      <c r="AG435" s="120"/>
      <c r="AH435" s="120"/>
      <c r="AI435" s="120"/>
      <c r="AJ435" s="120"/>
    </row>
    <row r="436" spans="1:36" s="124" customFormat="1" x14ac:dyDescent="0.25">
      <c r="A436" s="120"/>
      <c r="B436" s="120"/>
      <c r="C436" s="120"/>
      <c r="D436" s="120"/>
      <c r="E436" s="120"/>
      <c r="F436" s="120"/>
      <c r="G436" s="120"/>
      <c r="H436" s="120"/>
      <c r="I436" s="181"/>
      <c r="J436" s="120"/>
      <c r="K436" s="120"/>
      <c r="L436" s="120"/>
      <c r="M436" s="120"/>
      <c r="N436" s="120"/>
      <c r="O436" s="120"/>
      <c r="P436" s="120"/>
      <c r="Q436" s="120"/>
      <c r="R436" s="120"/>
      <c r="S436" s="120"/>
      <c r="T436" s="120"/>
      <c r="U436" s="120"/>
      <c r="V436" s="120"/>
      <c r="W436" s="120"/>
      <c r="X436" s="120"/>
      <c r="Y436" s="120"/>
      <c r="Z436" s="120"/>
      <c r="AA436" s="120"/>
      <c r="AB436" s="120"/>
      <c r="AC436" s="120"/>
      <c r="AD436" s="120"/>
      <c r="AE436" s="120"/>
      <c r="AF436" s="120"/>
      <c r="AG436" s="120"/>
      <c r="AH436" s="120"/>
      <c r="AI436" s="120"/>
      <c r="AJ436" s="120"/>
    </row>
    <row r="437" spans="1:36" s="124" customFormat="1" x14ac:dyDescent="0.25">
      <c r="A437" s="120"/>
      <c r="B437" s="120"/>
      <c r="C437" s="120"/>
      <c r="D437" s="120"/>
      <c r="E437" s="120"/>
      <c r="F437" s="120"/>
      <c r="G437" s="120"/>
      <c r="H437" s="120"/>
      <c r="I437" s="181"/>
      <c r="J437" s="120"/>
      <c r="K437" s="120"/>
      <c r="L437" s="120"/>
      <c r="M437" s="120"/>
      <c r="N437" s="120"/>
      <c r="O437" s="120"/>
      <c r="P437" s="120"/>
      <c r="Q437" s="120"/>
      <c r="R437" s="120"/>
      <c r="S437" s="120"/>
      <c r="T437" s="120"/>
      <c r="U437" s="120"/>
      <c r="V437" s="120"/>
      <c r="W437" s="120"/>
      <c r="X437" s="120"/>
      <c r="Y437" s="120"/>
      <c r="Z437" s="120"/>
      <c r="AA437" s="120"/>
      <c r="AB437" s="120"/>
      <c r="AC437" s="120"/>
      <c r="AD437" s="120"/>
      <c r="AE437" s="120"/>
      <c r="AF437" s="120"/>
      <c r="AG437" s="120"/>
      <c r="AH437" s="120"/>
      <c r="AI437" s="120"/>
      <c r="AJ437" s="120"/>
    </row>
    <row r="438" spans="1:36" s="124" customFormat="1" x14ac:dyDescent="0.25">
      <c r="A438" s="120"/>
      <c r="B438" s="120"/>
      <c r="C438" s="120"/>
      <c r="D438" s="120"/>
      <c r="E438" s="120"/>
      <c r="F438" s="120"/>
      <c r="G438" s="120"/>
      <c r="H438" s="120"/>
      <c r="I438" s="181"/>
      <c r="J438" s="120"/>
      <c r="K438" s="120"/>
      <c r="L438" s="120"/>
      <c r="M438" s="120"/>
      <c r="N438" s="120"/>
      <c r="O438" s="120"/>
      <c r="P438" s="120"/>
      <c r="Q438" s="120"/>
      <c r="R438" s="120"/>
      <c r="S438" s="120"/>
      <c r="T438" s="120"/>
      <c r="U438" s="120"/>
      <c r="V438" s="120"/>
      <c r="W438" s="120"/>
      <c r="X438" s="120"/>
      <c r="Y438" s="120"/>
      <c r="Z438" s="120"/>
      <c r="AA438" s="120"/>
      <c r="AB438" s="120"/>
      <c r="AC438" s="120"/>
      <c r="AD438" s="120"/>
      <c r="AE438" s="120"/>
      <c r="AF438" s="120"/>
      <c r="AG438" s="120"/>
      <c r="AH438" s="120"/>
      <c r="AI438" s="120"/>
      <c r="AJ438" s="120"/>
    </row>
    <row r="439" spans="1:36" s="124" customFormat="1" x14ac:dyDescent="0.25">
      <c r="A439" s="120"/>
      <c r="B439" s="120"/>
      <c r="C439" s="120"/>
      <c r="D439" s="120"/>
      <c r="E439" s="120"/>
      <c r="F439" s="120"/>
      <c r="G439" s="120"/>
      <c r="H439" s="120"/>
      <c r="I439" s="181"/>
      <c r="J439" s="120"/>
      <c r="K439" s="120"/>
      <c r="L439" s="120"/>
      <c r="M439" s="120"/>
      <c r="N439" s="120"/>
      <c r="O439" s="120"/>
      <c r="P439" s="120"/>
      <c r="Q439" s="120"/>
      <c r="R439" s="120"/>
      <c r="S439" s="120"/>
      <c r="T439" s="120"/>
      <c r="U439" s="120"/>
      <c r="V439" s="120"/>
      <c r="W439" s="120"/>
      <c r="X439" s="120"/>
      <c r="Y439" s="120"/>
      <c r="Z439" s="120"/>
      <c r="AA439" s="120"/>
      <c r="AB439" s="120"/>
      <c r="AC439" s="120"/>
      <c r="AD439" s="120"/>
      <c r="AE439" s="120"/>
      <c r="AF439" s="120"/>
      <c r="AG439" s="120"/>
      <c r="AH439" s="120"/>
      <c r="AI439" s="120"/>
      <c r="AJ439" s="120"/>
    </row>
    <row r="440" spans="1:36" s="124" customFormat="1" x14ac:dyDescent="0.25">
      <c r="A440" s="120"/>
      <c r="B440" s="120"/>
      <c r="C440" s="120"/>
      <c r="D440" s="120"/>
      <c r="E440" s="120"/>
      <c r="F440" s="120"/>
      <c r="G440" s="120"/>
      <c r="H440" s="120"/>
      <c r="I440" s="181"/>
      <c r="J440" s="120"/>
      <c r="K440" s="120"/>
      <c r="L440" s="120"/>
      <c r="M440" s="120"/>
      <c r="N440" s="120"/>
      <c r="O440" s="120"/>
      <c r="P440" s="120"/>
      <c r="Q440" s="120"/>
      <c r="R440" s="120"/>
      <c r="S440" s="120"/>
      <c r="T440" s="120"/>
      <c r="U440" s="120"/>
      <c r="V440" s="120"/>
      <c r="W440" s="120"/>
      <c r="X440" s="120"/>
      <c r="Y440" s="120"/>
      <c r="Z440" s="120"/>
      <c r="AA440" s="120"/>
      <c r="AB440" s="120"/>
      <c r="AC440" s="120"/>
      <c r="AD440" s="120"/>
      <c r="AE440" s="120"/>
      <c r="AF440" s="120"/>
      <c r="AG440" s="120"/>
      <c r="AH440" s="120"/>
      <c r="AI440" s="120"/>
      <c r="AJ440" s="120"/>
    </row>
    <row r="441" spans="1:36" s="124" customFormat="1" x14ac:dyDescent="0.25">
      <c r="A441" s="120"/>
      <c r="B441" s="120"/>
      <c r="C441" s="120"/>
      <c r="D441" s="120"/>
      <c r="E441" s="120"/>
      <c r="F441" s="120"/>
      <c r="G441" s="120"/>
      <c r="H441" s="120"/>
      <c r="I441" s="181"/>
      <c r="J441" s="120"/>
      <c r="K441" s="120"/>
      <c r="L441" s="120"/>
      <c r="M441" s="120"/>
      <c r="N441" s="120"/>
      <c r="O441" s="120"/>
      <c r="P441" s="120"/>
      <c r="Q441" s="120"/>
      <c r="R441" s="120"/>
      <c r="S441" s="120"/>
      <c r="T441" s="120"/>
      <c r="U441" s="120"/>
      <c r="V441" s="120"/>
      <c r="W441" s="120"/>
      <c r="X441" s="120"/>
      <c r="Y441" s="120"/>
      <c r="Z441" s="120"/>
      <c r="AA441" s="120"/>
      <c r="AB441" s="120"/>
      <c r="AC441" s="120"/>
      <c r="AD441" s="120"/>
      <c r="AE441" s="120"/>
      <c r="AF441" s="120"/>
      <c r="AG441" s="120"/>
      <c r="AH441" s="120"/>
      <c r="AI441" s="120"/>
      <c r="AJ441" s="120"/>
    </row>
    <row r="442" spans="1:36" s="124" customFormat="1" x14ac:dyDescent="0.25">
      <c r="A442" s="120"/>
      <c r="B442" s="120"/>
      <c r="C442" s="120"/>
      <c r="D442" s="120"/>
      <c r="E442" s="120"/>
      <c r="F442" s="120"/>
      <c r="G442" s="120"/>
      <c r="H442" s="120"/>
      <c r="I442" s="181"/>
      <c r="J442" s="120"/>
      <c r="K442" s="120"/>
      <c r="L442" s="120"/>
      <c r="M442" s="120"/>
      <c r="N442" s="120"/>
      <c r="O442" s="120"/>
      <c r="P442" s="120"/>
      <c r="Q442" s="120"/>
      <c r="R442" s="120"/>
      <c r="S442" s="120"/>
      <c r="T442" s="120"/>
      <c r="U442" s="120"/>
      <c r="V442" s="120"/>
      <c r="W442" s="120"/>
      <c r="X442" s="120"/>
      <c r="Y442" s="120"/>
      <c r="Z442" s="120"/>
      <c r="AA442" s="120"/>
      <c r="AB442" s="120"/>
      <c r="AC442" s="120"/>
      <c r="AD442" s="120"/>
      <c r="AE442" s="120"/>
      <c r="AF442" s="120"/>
      <c r="AG442" s="120"/>
      <c r="AH442" s="120"/>
      <c r="AI442" s="120"/>
      <c r="AJ442" s="120"/>
    </row>
    <row r="443" spans="1:36" s="124" customFormat="1" x14ac:dyDescent="0.25">
      <c r="A443" s="120"/>
      <c r="B443" s="120"/>
      <c r="C443" s="120"/>
      <c r="D443" s="120"/>
      <c r="E443" s="120"/>
      <c r="F443" s="120"/>
      <c r="G443" s="120"/>
      <c r="H443" s="120"/>
      <c r="I443" s="181"/>
      <c r="J443" s="120"/>
      <c r="K443" s="120"/>
      <c r="L443" s="120"/>
      <c r="M443" s="120"/>
      <c r="N443" s="120"/>
      <c r="O443" s="120"/>
      <c r="P443" s="120"/>
      <c r="Q443" s="120"/>
      <c r="R443" s="120"/>
      <c r="S443" s="120"/>
      <c r="T443" s="120"/>
      <c r="U443" s="120"/>
      <c r="V443" s="120"/>
      <c r="W443" s="120"/>
      <c r="X443" s="120"/>
      <c r="Y443" s="120"/>
      <c r="Z443" s="120"/>
      <c r="AA443" s="120"/>
      <c r="AB443" s="120"/>
      <c r="AC443" s="120"/>
      <c r="AD443" s="120"/>
      <c r="AE443" s="120"/>
      <c r="AF443" s="120"/>
      <c r="AG443" s="120"/>
      <c r="AH443" s="120"/>
      <c r="AI443" s="120"/>
      <c r="AJ443" s="120"/>
    </row>
    <row r="444" spans="1:36" s="124" customFormat="1" x14ac:dyDescent="0.25">
      <c r="A444" s="120"/>
      <c r="B444" s="120"/>
      <c r="C444" s="120"/>
      <c r="D444" s="120"/>
      <c r="E444" s="120"/>
      <c r="F444" s="120"/>
      <c r="G444" s="120"/>
      <c r="H444" s="120"/>
      <c r="I444" s="181"/>
      <c r="J444" s="120"/>
      <c r="K444" s="120"/>
      <c r="L444" s="120"/>
      <c r="M444" s="120"/>
      <c r="N444" s="120"/>
      <c r="O444" s="120"/>
      <c r="P444" s="120"/>
      <c r="Q444" s="120"/>
      <c r="R444" s="120"/>
      <c r="S444" s="120"/>
      <c r="T444" s="120"/>
      <c r="U444" s="120"/>
      <c r="V444" s="120"/>
      <c r="W444" s="120"/>
      <c r="X444" s="120"/>
      <c r="Y444" s="120"/>
      <c r="Z444" s="120"/>
      <c r="AA444" s="120"/>
      <c r="AB444" s="120"/>
      <c r="AC444" s="120"/>
      <c r="AD444" s="120"/>
      <c r="AE444" s="120"/>
      <c r="AF444" s="120"/>
      <c r="AG444" s="120"/>
      <c r="AH444" s="120"/>
      <c r="AI444" s="120"/>
      <c r="AJ444" s="120"/>
    </row>
    <row r="445" spans="1:36" s="124" customFormat="1" x14ac:dyDescent="0.25">
      <c r="A445" s="120"/>
      <c r="B445" s="120"/>
      <c r="C445" s="120"/>
      <c r="D445" s="120"/>
      <c r="E445" s="120"/>
      <c r="F445" s="120"/>
      <c r="G445" s="120"/>
      <c r="H445" s="120"/>
      <c r="I445" s="181"/>
      <c r="J445" s="120"/>
      <c r="K445" s="120"/>
      <c r="L445" s="120"/>
      <c r="M445" s="120"/>
      <c r="N445" s="120"/>
      <c r="O445" s="120"/>
      <c r="P445" s="120"/>
      <c r="Q445" s="120"/>
      <c r="R445" s="120"/>
      <c r="S445" s="120"/>
      <c r="T445" s="120"/>
      <c r="U445" s="120"/>
      <c r="V445" s="120"/>
      <c r="W445" s="120"/>
      <c r="X445" s="120"/>
      <c r="Y445" s="120"/>
      <c r="Z445" s="120"/>
      <c r="AA445" s="120"/>
      <c r="AB445" s="120"/>
      <c r="AC445" s="120"/>
      <c r="AD445" s="120"/>
      <c r="AE445" s="120"/>
      <c r="AF445" s="120"/>
      <c r="AG445" s="120"/>
      <c r="AH445" s="120"/>
      <c r="AI445" s="120"/>
      <c r="AJ445" s="120"/>
    </row>
    <row r="446" spans="1:36" s="124" customFormat="1" x14ac:dyDescent="0.25">
      <c r="A446" s="120"/>
      <c r="B446" s="120"/>
      <c r="C446" s="120"/>
      <c r="D446" s="120"/>
      <c r="E446" s="120"/>
      <c r="F446" s="120"/>
      <c r="G446" s="120"/>
      <c r="H446" s="120"/>
      <c r="I446" s="181"/>
      <c r="J446" s="120"/>
      <c r="K446" s="120"/>
      <c r="L446" s="120"/>
      <c r="M446" s="120"/>
      <c r="N446" s="120"/>
      <c r="O446" s="120"/>
      <c r="P446" s="120"/>
      <c r="Q446" s="120"/>
      <c r="R446" s="120"/>
      <c r="S446" s="120"/>
      <c r="T446" s="120"/>
      <c r="U446" s="120"/>
      <c r="V446" s="120"/>
      <c r="W446" s="120"/>
      <c r="X446" s="120"/>
      <c r="Y446" s="120"/>
      <c r="Z446" s="120"/>
      <c r="AA446" s="120"/>
      <c r="AB446" s="120"/>
      <c r="AC446" s="120"/>
      <c r="AD446" s="120"/>
      <c r="AE446" s="120"/>
      <c r="AF446" s="120"/>
      <c r="AG446" s="120"/>
      <c r="AH446" s="120"/>
      <c r="AI446" s="120"/>
      <c r="AJ446" s="120"/>
    </row>
    <row r="447" spans="1:36" s="124" customFormat="1" x14ac:dyDescent="0.25">
      <c r="A447" s="120"/>
      <c r="B447" s="120"/>
      <c r="C447" s="120"/>
      <c r="D447" s="120"/>
      <c r="E447" s="120"/>
      <c r="F447" s="120"/>
      <c r="G447" s="120"/>
      <c r="H447" s="120"/>
      <c r="I447" s="181"/>
      <c r="J447" s="120"/>
      <c r="K447" s="120"/>
      <c r="L447" s="120"/>
      <c r="M447" s="120"/>
      <c r="N447" s="120"/>
      <c r="O447" s="120"/>
      <c r="P447" s="120"/>
      <c r="Q447" s="120"/>
      <c r="R447" s="120"/>
      <c r="S447" s="120"/>
      <c r="T447" s="120"/>
      <c r="U447" s="120"/>
      <c r="V447" s="120"/>
      <c r="W447" s="120"/>
      <c r="X447" s="120"/>
      <c r="Y447" s="120"/>
      <c r="Z447" s="120"/>
      <c r="AA447" s="120"/>
      <c r="AB447" s="120"/>
      <c r="AC447" s="120"/>
      <c r="AD447" s="120"/>
      <c r="AE447" s="120"/>
      <c r="AF447" s="120"/>
      <c r="AG447" s="120"/>
      <c r="AH447" s="120"/>
      <c r="AI447" s="120"/>
      <c r="AJ447" s="120"/>
    </row>
    <row r="448" spans="1:36" s="124" customFormat="1" x14ac:dyDescent="0.25">
      <c r="A448" s="120"/>
      <c r="B448" s="120"/>
      <c r="C448" s="120"/>
      <c r="D448" s="120"/>
      <c r="E448" s="120"/>
      <c r="F448" s="120"/>
      <c r="G448" s="120"/>
      <c r="H448" s="120"/>
      <c r="I448" s="181"/>
      <c r="J448" s="120"/>
      <c r="K448" s="120"/>
      <c r="L448" s="120"/>
      <c r="M448" s="120"/>
      <c r="N448" s="120"/>
      <c r="O448" s="120"/>
      <c r="P448" s="120"/>
      <c r="Q448" s="120"/>
      <c r="R448" s="120"/>
      <c r="S448" s="120"/>
      <c r="T448" s="120"/>
      <c r="U448" s="120"/>
      <c r="V448" s="120"/>
      <c r="W448" s="120"/>
      <c r="X448" s="120"/>
      <c r="Y448" s="120"/>
      <c r="Z448" s="120"/>
      <c r="AA448" s="120"/>
      <c r="AB448" s="120"/>
      <c r="AC448" s="120"/>
      <c r="AD448" s="120"/>
      <c r="AE448" s="120"/>
      <c r="AF448" s="120"/>
      <c r="AG448" s="120"/>
      <c r="AH448" s="120"/>
      <c r="AI448" s="120"/>
      <c r="AJ448" s="120"/>
    </row>
    <row r="449" spans="1:36" s="124" customFormat="1" x14ac:dyDescent="0.25">
      <c r="A449" s="120"/>
      <c r="B449" s="120"/>
      <c r="C449" s="120"/>
      <c r="D449" s="120"/>
      <c r="E449" s="120"/>
      <c r="F449" s="120"/>
      <c r="G449" s="120"/>
      <c r="H449" s="120"/>
      <c r="I449" s="181"/>
      <c r="J449" s="120"/>
      <c r="K449" s="120"/>
      <c r="L449" s="120"/>
      <c r="M449" s="120"/>
      <c r="N449" s="120"/>
      <c r="O449" s="120"/>
      <c r="P449" s="120"/>
      <c r="Q449" s="120"/>
      <c r="R449" s="120"/>
      <c r="S449" s="120"/>
      <c r="T449" s="120"/>
      <c r="U449" s="120"/>
      <c r="V449" s="120"/>
      <c r="W449" s="120"/>
      <c r="X449" s="120"/>
      <c r="Y449" s="120"/>
      <c r="Z449" s="120"/>
      <c r="AA449" s="120"/>
      <c r="AB449" s="120"/>
      <c r="AC449" s="120"/>
      <c r="AD449" s="120"/>
      <c r="AE449" s="120"/>
      <c r="AF449" s="120"/>
      <c r="AG449" s="120"/>
      <c r="AH449" s="120"/>
      <c r="AI449" s="120"/>
      <c r="AJ449" s="120"/>
    </row>
    <row r="450" spans="1:36" s="124" customFormat="1" x14ac:dyDescent="0.25">
      <c r="A450" s="120"/>
      <c r="B450" s="120"/>
      <c r="C450" s="120"/>
      <c r="D450" s="120"/>
      <c r="E450" s="120"/>
      <c r="F450" s="120"/>
      <c r="G450" s="120"/>
      <c r="H450" s="120"/>
      <c r="I450" s="181"/>
      <c r="J450" s="120"/>
      <c r="K450" s="120"/>
      <c r="L450" s="120"/>
      <c r="M450" s="120"/>
      <c r="N450" s="120"/>
      <c r="O450" s="120"/>
      <c r="P450" s="120"/>
      <c r="Q450" s="120"/>
      <c r="R450" s="120"/>
      <c r="S450" s="120"/>
      <c r="T450" s="120"/>
      <c r="U450" s="120"/>
      <c r="V450" s="120"/>
      <c r="W450" s="120"/>
      <c r="X450" s="120"/>
      <c r="Y450" s="120"/>
      <c r="Z450" s="120"/>
      <c r="AA450" s="120"/>
      <c r="AB450" s="120"/>
      <c r="AC450" s="120"/>
      <c r="AD450" s="120"/>
      <c r="AE450" s="120"/>
      <c r="AF450" s="120"/>
      <c r="AG450" s="120"/>
      <c r="AH450" s="120"/>
      <c r="AI450" s="120"/>
      <c r="AJ450" s="120"/>
    </row>
    <row r="451" spans="1:36" s="124" customFormat="1" x14ac:dyDescent="0.25">
      <c r="A451" s="120"/>
      <c r="B451" s="120"/>
      <c r="C451" s="120"/>
      <c r="D451" s="120"/>
      <c r="E451" s="120"/>
      <c r="F451" s="120"/>
      <c r="G451" s="120"/>
      <c r="H451" s="120"/>
      <c r="I451" s="181"/>
      <c r="J451" s="120"/>
      <c r="K451" s="120"/>
      <c r="L451" s="120"/>
      <c r="M451" s="120"/>
      <c r="N451" s="120"/>
      <c r="O451" s="120"/>
      <c r="P451" s="120"/>
      <c r="Q451" s="120"/>
      <c r="R451" s="120"/>
      <c r="S451" s="120"/>
      <c r="T451" s="120"/>
      <c r="U451" s="120"/>
      <c r="V451" s="120"/>
      <c r="W451" s="120"/>
      <c r="X451" s="120"/>
      <c r="Y451" s="120"/>
      <c r="Z451" s="120"/>
      <c r="AA451" s="120"/>
      <c r="AB451" s="120"/>
      <c r="AC451" s="120"/>
      <c r="AD451" s="120"/>
      <c r="AE451" s="120"/>
      <c r="AF451" s="120"/>
      <c r="AG451" s="120"/>
      <c r="AH451" s="120"/>
      <c r="AI451" s="120"/>
      <c r="AJ451" s="120"/>
    </row>
    <row r="452" spans="1:36" s="124" customFormat="1" x14ac:dyDescent="0.25">
      <c r="A452" s="120"/>
      <c r="B452" s="120"/>
      <c r="C452" s="120"/>
      <c r="D452" s="120"/>
      <c r="E452" s="120"/>
      <c r="F452" s="120"/>
      <c r="G452" s="120"/>
      <c r="H452" s="120"/>
      <c r="I452" s="181"/>
      <c r="J452" s="120"/>
      <c r="K452" s="120"/>
      <c r="L452" s="120"/>
      <c r="M452" s="120"/>
      <c r="N452" s="120"/>
      <c r="O452" s="120"/>
      <c r="P452" s="120"/>
      <c r="Q452" s="120"/>
      <c r="R452" s="120"/>
      <c r="S452" s="120"/>
      <c r="T452" s="120"/>
      <c r="U452" s="120"/>
      <c r="V452" s="120"/>
      <c r="W452" s="120"/>
      <c r="X452" s="120"/>
      <c r="Y452" s="120"/>
      <c r="Z452" s="120"/>
      <c r="AA452" s="120"/>
      <c r="AB452" s="120"/>
      <c r="AC452" s="120"/>
      <c r="AD452" s="120"/>
      <c r="AE452" s="120"/>
      <c r="AF452" s="120"/>
      <c r="AG452" s="120"/>
      <c r="AH452" s="120"/>
      <c r="AI452" s="120"/>
      <c r="AJ452" s="120"/>
    </row>
    <row r="453" spans="1:36" s="124" customFormat="1" x14ac:dyDescent="0.25">
      <c r="A453" s="120"/>
      <c r="B453" s="120"/>
      <c r="C453" s="120"/>
      <c r="D453" s="120"/>
      <c r="E453" s="120"/>
      <c r="F453" s="120"/>
      <c r="G453" s="120"/>
      <c r="H453" s="120"/>
      <c r="I453" s="181"/>
      <c r="J453" s="120"/>
      <c r="K453" s="120"/>
      <c r="L453" s="120"/>
      <c r="M453" s="120"/>
      <c r="N453" s="120"/>
      <c r="O453" s="120"/>
      <c r="P453" s="120"/>
      <c r="Q453" s="120"/>
      <c r="R453" s="120"/>
      <c r="S453" s="120"/>
      <c r="T453" s="120"/>
      <c r="U453" s="120"/>
      <c r="V453" s="120"/>
      <c r="W453" s="120"/>
      <c r="X453" s="120"/>
      <c r="Y453" s="120"/>
      <c r="Z453" s="120"/>
      <c r="AA453" s="120"/>
      <c r="AB453" s="120"/>
      <c r="AC453" s="120"/>
      <c r="AD453" s="120"/>
      <c r="AE453" s="120"/>
      <c r="AF453" s="120"/>
      <c r="AG453" s="120"/>
      <c r="AH453" s="120"/>
      <c r="AI453" s="120"/>
      <c r="AJ453" s="120"/>
    </row>
    <row r="454" spans="1:36" s="124" customFormat="1" x14ac:dyDescent="0.25">
      <c r="A454" s="120"/>
      <c r="B454" s="120"/>
      <c r="C454" s="120"/>
      <c r="D454" s="120"/>
      <c r="E454" s="120"/>
      <c r="F454" s="120"/>
      <c r="G454" s="120"/>
      <c r="H454" s="120"/>
      <c r="I454" s="181"/>
      <c r="J454" s="120"/>
      <c r="K454" s="120"/>
      <c r="L454" s="120"/>
      <c r="M454" s="120"/>
      <c r="N454" s="120"/>
      <c r="O454" s="120"/>
      <c r="P454" s="120"/>
      <c r="Q454" s="120"/>
      <c r="R454" s="120"/>
      <c r="S454" s="120"/>
      <c r="T454" s="120"/>
      <c r="U454" s="120"/>
      <c r="V454" s="120"/>
      <c r="W454" s="120"/>
      <c r="X454" s="120"/>
      <c r="Y454" s="120"/>
      <c r="Z454" s="120"/>
      <c r="AA454" s="120"/>
      <c r="AB454" s="120"/>
      <c r="AC454" s="120"/>
      <c r="AD454" s="120"/>
      <c r="AE454" s="120"/>
      <c r="AF454" s="120"/>
      <c r="AG454" s="120"/>
      <c r="AH454" s="120"/>
      <c r="AI454" s="120"/>
      <c r="AJ454" s="120"/>
    </row>
    <row r="455" spans="1:36" s="124" customFormat="1" x14ac:dyDescent="0.25">
      <c r="A455" s="120"/>
      <c r="B455" s="120"/>
      <c r="C455" s="120"/>
      <c r="D455" s="120"/>
      <c r="E455" s="120"/>
      <c r="F455" s="120"/>
      <c r="G455" s="120"/>
      <c r="H455" s="120"/>
      <c r="I455" s="181"/>
      <c r="J455" s="120"/>
      <c r="K455" s="120"/>
      <c r="L455" s="120"/>
      <c r="M455" s="120"/>
      <c r="N455" s="120"/>
      <c r="O455" s="120"/>
      <c r="P455" s="120"/>
      <c r="Q455" s="120"/>
      <c r="R455" s="120"/>
      <c r="S455" s="120"/>
      <c r="T455" s="120"/>
      <c r="U455" s="120"/>
      <c r="V455" s="120"/>
      <c r="W455" s="120"/>
      <c r="X455" s="120"/>
      <c r="Y455" s="120"/>
      <c r="Z455" s="120"/>
      <c r="AA455" s="120"/>
      <c r="AB455" s="120"/>
      <c r="AC455" s="120"/>
      <c r="AD455" s="120"/>
      <c r="AE455" s="120"/>
      <c r="AF455" s="120"/>
      <c r="AG455" s="120"/>
      <c r="AH455" s="120"/>
      <c r="AI455" s="120"/>
      <c r="AJ455" s="120"/>
    </row>
    <row r="456" spans="1:36" s="124" customFormat="1" x14ac:dyDescent="0.25">
      <c r="A456" s="120"/>
      <c r="B456" s="120"/>
      <c r="C456" s="120"/>
      <c r="D456" s="120"/>
      <c r="E456" s="120"/>
      <c r="F456" s="120"/>
      <c r="G456" s="120"/>
      <c r="H456" s="120"/>
      <c r="I456" s="181"/>
      <c r="J456" s="120"/>
      <c r="K456" s="120"/>
      <c r="L456" s="120"/>
      <c r="M456" s="120"/>
      <c r="N456" s="120"/>
      <c r="O456" s="120"/>
      <c r="P456" s="120"/>
      <c r="Q456" s="120"/>
      <c r="R456" s="120"/>
      <c r="S456" s="120"/>
      <c r="T456" s="120"/>
      <c r="U456" s="120"/>
      <c r="V456" s="120"/>
      <c r="W456" s="120"/>
      <c r="X456" s="120"/>
      <c r="Y456" s="120"/>
      <c r="Z456" s="120"/>
      <c r="AA456" s="120"/>
      <c r="AB456" s="120"/>
      <c r="AC456" s="120"/>
      <c r="AD456" s="120"/>
      <c r="AE456" s="120"/>
      <c r="AF456" s="120"/>
      <c r="AG456" s="120"/>
      <c r="AH456" s="120"/>
      <c r="AI456" s="120"/>
      <c r="AJ456" s="120"/>
    </row>
    <row r="457" spans="1:36" s="124" customFormat="1" x14ac:dyDescent="0.25">
      <c r="A457" s="120"/>
      <c r="B457" s="120"/>
      <c r="C457" s="120"/>
      <c r="D457" s="120"/>
      <c r="E457" s="120"/>
      <c r="F457" s="120"/>
      <c r="G457" s="120"/>
      <c r="H457" s="120"/>
      <c r="I457" s="181"/>
      <c r="J457" s="120"/>
      <c r="K457" s="120"/>
      <c r="L457" s="120"/>
      <c r="M457" s="120"/>
      <c r="N457" s="120"/>
      <c r="O457" s="120"/>
      <c r="P457" s="120"/>
      <c r="Q457" s="120"/>
      <c r="R457" s="120"/>
      <c r="S457" s="120"/>
      <c r="T457" s="120"/>
      <c r="U457" s="120"/>
      <c r="V457" s="120"/>
      <c r="W457" s="120"/>
      <c r="X457" s="120"/>
      <c r="Y457" s="120"/>
      <c r="Z457" s="120"/>
      <c r="AA457" s="120"/>
      <c r="AB457" s="120"/>
      <c r="AC457" s="120"/>
      <c r="AD457" s="120"/>
      <c r="AE457" s="120"/>
      <c r="AF457" s="120"/>
      <c r="AG457" s="120"/>
      <c r="AH457" s="120"/>
      <c r="AI457" s="120"/>
      <c r="AJ457" s="120"/>
    </row>
    <row r="458" spans="1:36" s="124" customFormat="1" x14ac:dyDescent="0.25">
      <c r="A458" s="120"/>
      <c r="B458" s="120"/>
      <c r="C458" s="120"/>
      <c r="D458" s="120"/>
      <c r="E458" s="120"/>
      <c r="F458" s="120"/>
      <c r="G458" s="120"/>
      <c r="H458" s="120"/>
      <c r="I458" s="181"/>
      <c r="J458" s="120"/>
      <c r="K458" s="120"/>
      <c r="L458" s="120"/>
      <c r="M458" s="120"/>
      <c r="N458" s="120"/>
      <c r="O458" s="120"/>
      <c r="P458" s="120"/>
      <c r="Q458" s="120"/>
      <c r="R458" s="120"/>
      <c r="S458" s="120"/>
      <c r="T458" s="120"/>
      <c r="U458" s="120"/>
      <c r="V458" s="120"/>
      <c r="W458" s="120"/>
      <c r="X458" s="120"/>
      <c r="Y458" s="120"/>
      <c r="Z458" s="120"/>
      <c r="AA458" s="120"/>
      <c r="AB458" s="120"/>
      <c r="AC458" s="120"/>
      <c r="AD458" s="120"/>
      <c r="AE458" s="120"/>
      <c r="AF458" s="120"/>
      <c r="AG458" s="120"/>
      <c r="AH458" s="120"/>
      <c r="AI458" s="120"/>
      <c r="AJ458" s="120"/>
    </row>
    <row r="459" spans="1:36" s="124" customFormat="1" x14ac:dyDescent="0.25">
      <c r="A459" s="120"/>
      <c r="B459" s="120"/>
      <c r="C459" s="120"/>
      <c r="D459" s="120"/>
      <c r="E459" s="120"/>
      <c r="F459" s="120"/>
      <c r="G459" s="120"/>
      <c r="H459" s="120"/>
      <c r="I459" s="181"/>
      <c r="J459" s="120"/>
      <c r="K459" s="120"/>
      <c r="L459" s="120"/>
      <c r="M459" s="120"/>
      <c r="N459" s="120"/>
      <c r="O459" s="120"/>
      <c r="P459" s="120"/>
      <c r="Q459" s="120"/>
      <c r="R459" s="120"/>
      <c r="S459" s="120"/>
      <c r="T459" s="120"/>
      <c r="U459" s="120"/>
      <c r="V459" s="120"/>
      <c r="W459" s="120"/>
      <c r="X459" s="120"/>
      <c r="Y459" s="120"/>
      <c r="Z459" s="120"/>
      <c r="AA459" s="120"/>
      <c r="AB459" s="120"/>
      <c r="AC459" s="120"/>
      <c r="AD459" s="120"/>
      <c r="AE459" s="120"/>
      <c r="AF459" s="120"/>
      <c r="AG459" s="120"/>
      <c r="AH459" s="120"/>
      <c r="AI459" s="120"/>
      <c r="AJ459" s="120"/>
    </row>
    <row r="460" spans="1:36" s="124" customFormat="1" x14ac:dyDescent="0.25">
      <c r="A460" s="120"/>
      <c r="B460" s="120"/>
      <c r="C460" s="120"/>
      <c r="D460" s="120"/>
      <c r="E460" s="120"/>
      <c r="F460" s="120"/>
      <c r="G460" s="120"/>
      <c r="H460" s="120"/>
      <c r="I460" s="181"/>
      <c r="J460" s="120"/>
      <c r="K460" s="120"/>
      <c r="L460" s="120"/>
      <c r="M460" s="120"/>
      <c r="N460" s="120"/>
      <c r="O460" s="120"/>
      <c r="P460" s="120"/>
      <c r="Q460" s="120"/>
      <c r="R460" s="120"/>
      <c r="S460" s="120"/>
      <c r="T460" s="120"/>
      <c r="U460" s="120"/>
      <c r="V460" s="120"/>
      <c r="W460" s="120"/>
      <c r="X460" s="120"/>
      <c r="Y460" s="120"/>
      <c r="Z460" s="120"/>
      <c r="AA460" s="120"/>
      <c r="AB460" s="120"/>
      <c r="AC460" s="120"/>
      <c r="AD460" s="120"/>
      <c r="AE460" s="120"/>
      <c r="AF460" s="120"/>
      <c r="AG460" s="120"/>
      <c r="AH460" s="120"/>
      <c r="AI460" s="120"/>
      <c r="AJ460" s="120"/>
    </row>
    <row r="461" spans="1:36" s="124" customFormat="1" x14ac:dyDescent="0.25">
      <c r="A461" s="120"/>
      <c r="B461" s="120"/>
      <c r="C461" s="120"/>
      <c r="D461" s="120"/>
      <c r="E461" s="120"/>
      <c r="F461" s="120"/>
      <c r="G461" s="120"/>
      <c r="H461" s="120"/>
      <c r="I461" s="181"/>
      <c r="J461" s="120"/>
      <c r="K461" s="120"/>
      <c r="L461" s="120"/>
      <c r="M461" s="120"/>
      <c r="N461" s="120"/>
      <c r="O461" s="120"/>
      <c r="P461" s="120"/>
      <c r="Q461" s="120"/>
      <c r="R461" s="120"/>
      <c r="S461" s="120"/>
      <c r="T461" s="120"/>
      <c r="U461" s="120"/>
      <c r="V461" s="120"/>
      <c r="W461" s="120"/>
      <c r="X461" s="120"/>
      <c r="Y461" s="120"/>
      <c r="Z461" s="120"/>
      <c r="AA461" s="120"/>
      <c r="AB461" s="120"/>
      <c r="AC461" s="120"/>
      <c r="AD461" s="120"/>
      <c r="AE461" s="120"/>
      <c r="AF461" s="120"/>
      <c r="AG461" s="120"/>
      <c r="AH461" s="120"/>
      <c r="AI461" s="120"/>
      <c r="AJ461" s="120"/>
    </row>
    <row r="462" spans="1:36" s="124" customFormat="1" x14ac:dyDescent="0.25">
      <c r="A462" s="120"/>
      <c r="B462" s="120"/>
      <c r="C462" s="120"/>
      <c r="D462" s="120"/>
      <c r="E462" s="120"/>
      <c r="F462" s="120"/>
      <c r="G462" s="120"/>
      <c r="H462" s="120"/>
      <c r="I462" s="181"/>
      <c r="J462" s="120"/>
      <c r="K462" s="120"/>
      <c r="L462" s="120"/>
      <c r="M462" s="120"/>
      <c r="N462" s="120"/>
      <c r="O462" s="120"/>
      <c r="P462" s="120"/>
      <c r="Q462" s="120"/>
      <c r="R462" s="120"/>
      <c r="S462" s="120"/>
      <c r="T462" s="120"/>
      <c r="U462" s="120"/>
      <c r="V462" s="120"/>
      <c r="W462" s="120"/>
      <c r="X462" s="120"/>
      <c r="Y462" s="120"/>
      <c r="Z462" s="120"/>
      <c r="AA462" s="120"/>
      <c r="AB462" s="120"/>
      <c r="AC462" s="120"/>
      <c r="AD462" s="120"/>
      <c r="AE462" s="120"/>
      <c r="AF462" s="120"/>
      <c r="AG462" s="120"/>
      <c r="AH462" s="120"/>
      <c r="AI462" s="120"/>
      <c r="AJ462" s="120"/>
    </row>
    <row r="463" spans="1:36" s="124" customFormat="1" x14ac:dyDescent="0.25">
      <c r="A463" s="120"/>
      <c r="B463" s="120"/>
      <c r="C463" s="120"/>
      <c r="D463" s="120"/>
      <c r="E463" s="120"/>
      <c r="F463" s="120"/>
      <c r="G463" s="120"/>
      <c r="H463" s="120"/>
      <c r="I463" s="181"/>
      <c r="J463" s="120"/>
      <c r="K463" s="120"/>
      <c r="L463" s="120"/>
      <c r="M463" s="120"/>
      <c r="N463" s="120"/>
      <c r="O463" s="120"/>
      <c r="P463" s="120"/>
      <c r="Q463" s="120"/>
      <c r="R463" s="120"/>
      <c r="S463" s="120"/>
      <c r="T463" s="120"/>
      <c r="U463" s="120"/>
      <c r="V463" s="120"/>
      <c r="W463" s="120"/>
      <c r="X463" s="120"/>
      <c r="Y463" s="120"/>
      <c r="Z463" s="120"/>
      <c r="AA463" s="120"/>
      <c r="AB463" s="120"/>
      <c r="AC463" s="120"/>
      <c r="AD463" s="120"/>
      <c r="AE463" s="120"/>
      <c r="AF463" s="120"/>
      <c r="AG463" s="120"/>
      <c r="AH463" s="120"/>
      <c r="AI463" s="120"/>
      <c r="AJ463" s="120"/>
    </row>
    <row r="464" spans="1:36" s="124" customFormat="1" x14ac:dyDescent="0.25">
      <c r="A464" s="120"/>
      <c r="B464" s="120"/>
      <c r="C464" s="120"/>
      <c r="D464" s="120"/>
      <c r="E464" s="120"/>
      <c r="F464" s="120"/>
      <c r="G464" s="120"/>
      <c r="H464" s="120"/>
      <c r="I464" s="181"/>
      <c r="J464" s="120"/>
      <c r="K464" s="120"/>
      <c r="L464" s="120"/>
      <c r="M464" s="120"/>
      <c r="N464" s="120"/>
      <c r="O464" s="120"/>
      <c r="P464" s="120"/>
      <c r="Q464" s="120"/>
      <c r="R464" s="120"/>
      <c r="S464" s="120"/>
      <c r="T464" s="120"/>
      <c r="U464" s="120"/>
      <c r="V464" s="120"/>
      <c r="W464" s="120"/>
      <c r="X464" s="120"/>
      <c r="Y464" s="120"/>
      <c r="Z464" s="120"/>
      <c r="AA464" s="120"/>
      <c r="AB464" s="120"/>
      <c r="AC464" s="120"/>
      <c r="AD464" s="120"/>
      <c r="AE464" s="120"/>
      <c r="AF464" s="120"/>
      <c r="AG464" s="120"/>
      <c r="AH464" s="120"/>
      <c r="AI464" s="120"/>
      <c r="AJ464" s="120"/>
    </row>
    <row r="465" spans="1:36" s="124" customFormat="1" x14ac:dyDescent="0.25">
      <c r="A465" s="120"/>
      <c r="B465" s="120"/>
      <c r="C465" s="120"/>
      <c r="D465" s="120"/>
      <c r="E465" s="120"/>
      <c r="F465" s="120"/>
      <c r="G465" s="120"/>
      <c r="H465" s="120"/>
      <c r="I465" s="181"/>
      <c r="J465" s="120"/>
      <c r="K465" s="120"/>
      <c r="L465" s="120"/>
      <c r="M465" s="120"/>
      <c r="N465" s="120"/>
      <c r="O465" s="120"/>
      <c r="P465" s="120"/>
      <c r="Q465" s="120"/>
      <c r="R465" s="120"/>
      <c r="S465" s="120"/>
      <c r="T465" s="120"/>
      <c r="U465" s="120"/>
      <c r="V465" s="120"/>
      <c r="W465" s="120"/>
      <c r="X465" s="120"/>
      <c r="Y465" s="120"/>
      <c r="Z465" s="120"/>
      <c r="AA465" s="120"/>
      <c r="AB465" s="120"/>
      <c r="AC465" s="120"/>
      <c r="AD465" s="120"/>
      <c r="AE465" s="120"/>
      <c r="AF465" s="120"/>
      <c r="AG465" s="120"/>
      <c r="AH465" s="120"/>
      <c r="AI465" s="120"/>
      <c r="AJ465" s="120"/>
    </row>
    <row r="466" spans="1:36" s="124" customFormat="1" x14ac:dyDescent="0.25">
      <c r="A466" s="120"/>
      <c r="B466" s="120"/>
      <c r="C466" s="120"/>
      <c r="D466" s="120"/>
      <c r="E466" s="120"/>
      <c r="F466" s="120"/>
      <c r="G466" s="120"/>
      <c r="H466" s="120"/>
      <c r="I466" s="181"/>
      <c r="J466" s="120"/>
      <c r="K466" s="120"/>
      <c r="L466" s="120"/>
      <c r="M466" s="120"/>
      <c r="N466" s="120"/>
      <c r="O466" s="120"/>
      <c r="P466" s="120"/>
      <c r="Q466" s="120"/>
      <c r="R466" s="120"/>
      <c r="S466" s="120"/>
      <c r="T466" s="120"/>
      <c r="U466" s="120"/>
      <c r="V466" s="120"/>
      <c r="W466" s="120"/>
      <c r="X466" s="120"/>
      <c r="Y466" s="120"/>
      <c r="Z466" s="120"/>
      <c r="AA466" s="120"/>
      <c r="AB466" s="120"/>
      <c r="AC466" s="120"/>
      <c r="AD466" s="120"/>
      <c r="AE466" s="120"/>
      <c r="AF466" s="120"/>
      <c r="AG466" s="120"/>
      <c r="AH466" s="120"/>
      <c r="AI466" s="120"/>
      <c r="AJ466" s="120"/>
    </row>
    <row r="467" spans="1:36" s="124" customFormat="1" x14ac:dyDescent="0.25">
      <c r="A467" s="120"/>
      <c r="B467" s="120"/>
      <c r="C467" s="120"/>
      <c r="D467" s="120"/>
      <c r="E467" s="120"/>
      <c r="F467" s="120"/>
      <c r="G467" s="120"/>
      <c r="H467" s="120"/>
      <c r="I467" s="181"/>
      <c r="J467" s="120"/>
      <c r="K467" s="120"/>
      <c r="L467" s="120"/>
      <c r="M467" s="120"/>
      <c r="N467" s="120"/>
      <c r="O467" s="120"/>
      <c r="P467" s="120"/>
      <c r="Q467" s="120"/>
      <c r="R467" s="120"/>
      <c r="S467" s="120"/>
      <c r="T467" s="120"/>
      <c r="U467" s="120"/>
      <c r="V467" s="120"/>
      <c r="W467" s="120"/>
      <c r="X467" s="120"/>
      <c r="Y467" s="120"/>
      <c r="Z467" s="120"/>
      <c r="AA467" s="120"/>
      <c r="AB467" s="120"/>
      <c r="AC467" s="120"/>
      <c r="AD467" s="120"/>
      <c r="AE467" s="120"/>
      <c r="AF467" s="120"/>
      <c r="AG467" s="120"/>
      <c r="AH467" s="120"/>
      <c r="AI467" s="120"/>
      <c r="AJ467" s="120"/>
    </row>
    <row r="468" spans="1:36" s="124" customFormat="1" x14ac:dyDescent="0.25">
      <c r="A468" s="120"/>
      <c r="B468" s="120"/>
      <c r="C468" s="120"/>
      <c r="D468" s="120"/>
      <c r="E468" s="120"/>
      <c r="F468" s="120"/>
      <c r="G468" s="120"/>
      <c r="H468" s="120"/>
      <c r="I468" s="181"/>
      <c r="J468" s="120"/>
      <c r="K468" s="120"/>
      <c r="L468" s="120"/>
      <c r="M468" s="120"/>
      <c r="N468" s="120"/>
      <c r="O468" s="120"/>
      <c r="P468" s="120"/>
      <c r="Q468" s="120"/>
      <c r="R468" s="120"/>
      <c r="S468" s="120"/>
      <c r="T468" s="120"/>
      <c r="U468" s="120"/>
      <c r="V468" s="120"/>
      <c r="W468" s="120"/>
      <c r="X468" s="120"/>
      <c r="Y468" s="120"/>
      <c r="Z468" s="120"/>
      <c r="AA468" s="120"/>
      <c r="AB468" s="120"/>
      <c r="AC468" s="120"/>
      <c r="AD468" s="120"/>
      <c r="AE468" s="120"/>
      <c r="AF468" s="120"/>
      <c r="AG468" s="120"/>
      <c r="AH468" s="120"/>
      <c r="AI468" s="120"/>
      <c r="AJ468" s="120"/>
    </row>
    <row r="469" spans="1:36" s="124" customFormat="1" x14ac:dyDescent="0.25">
      <c r="A469" s="120"/>
      <c r="B469" s="120"/>
      <c r="C469" s="120"/>
      <c r="D469" s="120"/>
      <c r="E469" s="120"/>
      <c r="F469" s="120"/>
      <c r="G469" s="120"/>
      <c r="H469" s="120"/>
      <c r="I469" s="181"/>
      <c r="J469" s="120"/>
      <c r="K469" s="120"/>
      <c r="L469" s="120"/>
      <c r="M469" s="120"/>
      <c r="N469" s="120"/>
      <c r="O469" s="120"/>
      <c r="P469" s="120"/>
      <c r="Q469" s="120"/>
      <c r="R469" s="120"/>
      <c r="S469" s="120"/>
      <c r="T469" s="120"/>
      <c r="U469" s="120"/>
      <c r="V469" s="120"/>
      <c r="W469" s="120"/>
      <c r="X469" s="120"/>
      <c r="Y469" s="120"/>
      <c r="Z469" s="120"/>
      <c r="AA469" s="120"/>
      <c r="AB469" s="120"/>
      <c r="AC469" s="120"/>
      <c r="AD469" s="120"/>
      <c r="AE469" s="120"/>
      <c r="AF469" s="120"/>
      <c r="AG469" s="120"/>
      <c r="AH469" s="120"/>
      <c r="AI469" s="120"/>
      <c r="AJ469" s="120"/>
    </row>
    <row r="470" spans="1:36" s="124" customFormat="1" x14ac:dyDescent="0.25">
      <c r="A470" s="120"/>
      <c r="B470" s="120"/>
      <c r="C470" s="120"/>
      <c r="D470" s="120"/>
      <c r="E470" s="120"/>
      <c r="F470" s="120"/>
      <c r="G470" s="120"/>
      <c r="H470" s="120"/>
      <c r="I470" s="181"/>
      <c r="J470" s="120"/>
      <c r="K470" s="120"/>
      <c r="L470" s="120"/>
      <c r="M470" s="120"/>
      <c r="N470" s="120"/>
      <c r="O470" s="120"/>
      <c r="P470" s="120"/>
      <c r="Q470" s="120"/>
      <c r="R470" s="120"/>
      <c r="S470" s="120"/>
      <c r="T470" s="120"/>
      <c r="U470" s="120"/>
      <c r="V470" s="120"/>
      <c r="W470" s="120"/>
      <c r="X470" s="120"/>
      <c r="Y470" s="120"/>
      <c r="Z470" s="120"/>
      <c r="AA470" s="120"/>
      <c r="AB470" s="120"/>
      <c r="AC470" s="120"/>
      <c r="AD470" s="120"/>
      <c r="AE470" s="120"/>
      <c r="AF470" s="120"/>
      <c r="AG470" s="120"/>
      <c r="AH470" s="120"/>
      <c r="AI470" s="120"/>
      <c r="AJ470" s="120"/>
    </row>
    <row r="471" spans="1:36" s="124" customFormat="1" x14ac:dyDescent="0.25">
      <c r="A471" s="120"/>
      <c r="B471" s="120"/>
      <c r="C471" s="120"/>
      <c r="D471" s="120"/>
      <c r="E471" s="120"/>
      <c r="F471" s="120"/>
      <c r="G471" s="120"/>
      <c r="H471" s="120"/>
      <c r="I471" s="181"/>
      <c r="J471" s="120"/>
      <c r="K471" s="120"/>
      <c r="L471" s="120"/>
      <c r="M471" s="120"/>
      <c r="N471" s="120"/>
      <c r="O471" s="120"/>
      <c r="P471" s="120"/>
      <c r="Q471" s="120"/>
      <c r="R471" s="120"/>
      <c r="S471" s="120"/>
      <c r="T471" s="120"/>
      <c r="U471" s="120"/>
      <c r="V471" s="120"/>
      <c r="W471" s="120"/>
      <c r="X471" s="120"/>
      <c r="Y471" s="120"/>
      <c r="Z471" s="120"/>
      <c r="AA471" s="120"/>
      <c r="AB471" s="120"/>
      <c r="AC471" s="120"/>
      <c r="AD471" s="120"/>
      <c r="AE471" s="120"/>
      <c r="AF471" s="120"/>
      <c r="AG471" s="120"/>
      <c r="AH471" s="120"/>
      <c r="AI471" s="120"/>
      <c r="AJ471" s="120"/>
    </row>
    <row r="472" spans="1:36" s="124" customFormat="1" x14ac:dyDescent="0.25">
      <c r="A472" s="120"/>
      <c r="B472" s="120"/>
      <c r="C472" s="120"/>
      <c r="D472" s="120"/>
      <c r="E472" s="120"/>
      <c r="F472" s="120"/>
      <c r="G472" s="120"/>
      <c r="H472" s="120"/>
      <c r="I472" s="181"/>
      <c r="J472" s="120"/>
      <c r="K472" s="120"/>
      <c r="L472" s="120"/>
      <c r="M472" s="120"/>
      <c r="N472" s="120"/>
      <c r="O472" s="120"/>
      <c r="P472" s="120"/>
      <c r="Q472" s="120"/>
      <c r="R472" s="120"/>
      <c r="S472" s="120"/>
      <c r="T472" s="120"/>
      <c r="U472" s="120"/>
      <c r="V472" s="120"/>
      <c r="W472" s="120"/>
      <c r="X472" s="120"/>
      <c r="Y472" s="120"/>
      <c r="Z472" s="120"/>
      <c r="AA472" s="120"/>
      <c r="AB472" s="120"/>
      <c r="AC472" s="120"/>
      <c r="AD472" s="120"/>
      <c r="AE472" s="120"/>
      <c r="AF472" s="120"/>
      <c r="AG472" s="120"/>
      <c r="AH472" s="120"/>
      <c r="AI472" s="120"/>
      <c r="AJ472" s="120"/>
    </row>
    <row r="473" spans="1:36" s="124" customFormat="1" x14ac:dyDescent="0.25">
      <c r="A473" s="120"/>
      <c r="B473" s="120"/>
      <c r="C473" s="120"/>
      <c r="D473" s="120"/>
      <c r="E473" s="120"/>
      <c r="F473" s="120"/>
      <c r="G473" s="120"/>
      <c r="H473" s="120"/>
      <c r="I473" s="181"/>
      <c r="J473" s="120"/>
      <c r="K473" s="120"/>
      <c r="L473" s="120"/>
      <c r="M473" s="120"/>
      <c r="N473" s="120"/>
      <c r="O473" s="120"/>
      <c r="P473" s="120"/>
      <c r="Q473" s="120"/>
      <c r="R473" s="120"/>
      <c r="S473" s="120"/>
      <c r="T473" s="120"/>
      <c r="U473" s="120"/>
      <c r="V473" s="120"/>
      <c r="W473" s="120"/>
      <c r="X473" s="120"/>
      <c r="Y473" s="120"/>
      <c r="Z473" s="120"/>
      <c r="AA473" s="120"/>
      <c r="AB473" s="120"/>
      <c r="AC473" s="120"/>
      <c r="AD473" s="120"/>
      <c r="AE473" s="120"/>
      <c r="AF473" s="120"/>
      <c r="AG473" s="120"/>
      <c r="AH473" s="120"/>
      <c r="AI473" s="120"/>
      <c r="AJ473" s="120"/>
    </row>
    <row r="474" spans="1:36" s="124" customFormat="1" x14ac:dyDescent="0.25">
      <c r="A474" s="120"/>
      <c r="B474" s="120"/>
      <c r="C474" s="120"/>
      <c r="D474" s="120"/>
      <c r="E474" s="120"/>
      <c r="F474" s="120"/>
      <c r="G474" s="120"/>
      <c r="H474" s="120"/>
      <c r="I474" s="181"/>
      <c r="J474" s="120"/>
      <c r="K474" s="120"/>
      <c r="L474" s="120"/>
      <c r="M474" s="120"/>
      <c r="N474" s="120"/>
      <c r="O474" s="120"/>
      <c r="P474" s="120"/>
      <c r="Q474" s="120"/>
      <c r="R474" s="120"/>
      <c r="S474" s="120"/>
      <c r="T474" s="120"/>
      <c r="U474" s="120"/>
      <c r="V474" s="120"/>
      <c r="W474" s="120"/>
      <c r="X474" s="120"/>
      <c r="Y474" s="120"/>
      <c r="Z474" s="120"/>
      <c r="AA474" s="120"/>
      <c r="AB474" s="120"/>
      <c r="AC474" s="120"/>
      <c r="AD474" s="120"/>
      <c r="AE474" s="120"/>
      <c r="AF474" s="120"/>
      <c r="AG474" s="120"/>
      <c r="AH474" s="120"/>
      <c r="AI474" s="120"/>
      <c r="AJ474" s="120"/>
    </row>
    <row r="475" spans="1:36" s="124" customFormat="1" x14ac:dyDescent="0.25">
      <c r="A475" s="120"/>
      <c r="B475" s="120"/>
      <c r="C475" s="120"/>
      <c r="D475" s="120"/>
      <c r="E475" s="120"/>
      <c r="F475" s="120"/>
      <c r="G475" s="120"/>
      <c r="H475" s="120"/>
      <c r="I475" s="181"/>
      <c r="J475" s="120"/>
      <c r="K475" s="120"/>
      <c r="L475" s="120"/>
      <c r="M475" s="120"/>
      <c r="N475" s="120"/>
      <c r="O475" s="120"/>
      <c r="P475" s="120"/>
      <c r="Q475" s="120"/>
      <c r="R475" s="120"/>
      <c r="S475" s="120"/>
      <c r="T475" s="120"/>
      <c r="U475" s="120"/>
      <c r="V475" s="120"/>
      <c r="W475" s="120"/>
      <c r="X475" s="120"/>
      <c r="Y475" s="120"/>
      <c r="Z475" s="120"/>
      <c r="AA475" s="120"/>
      <c r="AB475" s="120"/>
      <c r="AC475" s="120"/>
      <c r="AD475" s="120"/>
      <c r="AE475" s="120"/>
      <c r="AF475" s="120"/>
      <c r="AG475" s="120"/>
      <c r="AH475" s="120"/>
      <c r="AI475" s="120"/>
      <c r="AJ475" s="120"/>
    </row>
    <row r="476" spans="1:36" s="124" customFormat="1" x14ac:dyDescent="0.25">
      <c r="A476" s="120"/>
      <c r="B476" s="120"/>
      <c r="C476" s="120"/>
      <c r="D476" s="120"/>
      <c r="E476" s="120"/>
      <c r="F476" s="120"/>
      <c r="G476" s="120"/>
      <c r="H476" s="120"/>
      <c r="I476" s="181"/>
      <c r="J476" s="120"/>
      <c r="K476" s="120"/>
      <c r="L476" s="120"/>
      <c r="M476" s="120"/>
      <c r="N476" s="120"/>
      <c r="O476" s="120"/>
      <c r="P476" s="120"/>
      <c r="Q476" s="120"/>
      <c r="R476" s="120"/>
      <c r="S476" s="120"/>
      <c r="T476" s="120"/>
      <c r="U476" s="120"/>
      <c r="V476" s="120"/>
      <c r="W476" s="120"/>
      <c r="X476" s="120"/>
      <c r="Y476" s="120"/>
      <c r="Z476" s="120"/>
      <c r="AA476" s="120"/>
      <c r="AB476" s="120"/>
      <c r="AC476" s="120"/>
      <c r="AD476" s="120"/>
      <c r="AE476" s="120"/>
      <c r="AF476" s="120"/>
      <c r="AG476" s="120"/>
      <c r="AH476" s="120"/>
      <c r="AI476" s="120"/>
      <c r="AJ476" s="120"/>
    </row>
    <row r="477" spans="1:36" s="124" customFormat="1" x14ac:dyDescent="0.25">
      <c r="A477" s="120"/>
      <c r="B477" s="120"/>
      <c r="C477" s="120"/>
      <c r="D477" s="120"/>
      <c r="E477" s="120"/>
      <c r="F477" s="120"/>
      <c r="G477" s="120"/>
      <c r="H477" s="120"/>
      <c r="I477" s="181"/>
      <c r="J477" s="120"/>
      <c r="K477" s="120"/>
      <c r="L477" s="120"/>
      <c r="M477" s="120"/>
      <c r="N477" s="120"/>
      <c r="O477" s="120"/>
      <c r="P477" s="120"/>
      <c r="Q477" s="120"/>
      <c r="R477" s="120"/>
      <c r="S477" s="120"/>
      <c r="T477" s="120"/>
      <c r="U477" s="120"/>
      <c r="V477" s="120"/>
      <c r="W477" s="120"/>
      <c r="X477" s="120"/>
      <c r="Y477" s="120"/>
      <c r="Z477" s="120"/>
      <c r="AA477" s="120"/>
      <c r="AB477" s="120"/>
      <c r="AC477" s="120"/>
      <c r="AD477" s="120"/>
      <c r="AE477" s="120"/>
      <c r="AF477" s="120"/>
      <c r="AG477" s="120"/>
      <c r="AH477" s="120"/>
      <c r="AI477" s="120"/>
      <c r="AJ477" s="120"/>
    </row>
    <row r="478" spans="1:36" s="124" customFormat="1" x14ac:dyDescent="0.25">
      <c r="A478" s="120"/>
      <c r="B478" s="120"/>
      <c r="C478" s="120"/>
      <c r="D478" s="120"/>
      <c r="E478" s="120"/>
      <c r="F478" s="120"/>
      <c r="G478" s="120"/>
      <c r="H478" s="120"/>
      <c r="I478" s="181"/>
      <c r="J478" s="120"/>
      <c r="K478" s="120"/>
      <c r="L478" s="120"/>
      <c r="M478" s="120"/>
      <c r="N478" s="120"/>
      <c r="O478" s="120"/>
      <c r="P478" s="120"/>
      <c r="Q478" s="120"/>
      <c r="R478" s="120"/>
      <c r="S478" s="120"/>
      <c r="T478" s="120"/>
      <c r="U478" s="120"/>
      <c r="V478" s="120"/>
      <c r="W478" s="120"/>
      <c r="X478" s="120"/>
      <c r="Y478" s="120"/>
      <c r="Z478" s="120"/>
      <c r="AA478" s="120"/>
      <c r="AB478" s="120"/>
      <c r="AC478" s="120"/>
      <c r="AD478" s="120"/>
      <c r="AE478" s="120"/>
      <c r="AF478" s="120"/>
      <c r="AG478" s="120"/>
      <c r="AH478" s="120"/>
      <c r="AI478" s="120"/>
      <c r="AJ478" s="120"/>
    </row>
    <row r="479" spans="1:36" s="124" customFormat="1" x14ac:dyDescent="0.25">
      <c r="A479" s="120"/>
      <c r="B479" s="120"/>
      <c r="C479" s="120"/>
      <c r="D479" s="120"/>
      <c r="E479" s="120"/>
      <c r="F479" s="120"/>
      <c r="G479" s="120"/>
      <c r="H479" s="120"/>
      <c r="I479" s="181"/>
      <c r="J479" s="120"/>
      <c r="K479" s="120"/>
      <c r="L479" s="120"/>
      <c r="M479" s="120"/>
      <c r="N479" s="120"/>
      <c r="O479" s="120"/>
      <c r="P479" s="120"/>
      <c r="Q479" s="120"/>
      <c r="R479" s="120"/>
      <c r="S479" s="120"/>
      <c r="T479" s="120"/>
      <c r="U479" s="120"/>
      <c r="V479" s="120"/>
      <c r="W479" s="120"/>
      <c r="X479" s="120"/>
      <c r="Y479" s="120"/>
      <c r="Z479" s="120"/>
      <c r="AA479" s="120"/>
      <c r="AB479" s="120"/>
      <c r="AC479" s="120"/>
      <c r="AD479" s="120"/>
      <c r="AE479" s="120"/>
      <c r="AF479" s="120"/>
      <c r="AG479" s="120"/>
      <c r="AH479" s="120"/>
      <c r="AI479" s="120"/>
      <c r="AJ479" s="120"/>
    </row>
    <row r="480" spans="1:36" s="124" customFormat="1" x14ac:dyDescent="0.25">
      <c r="A480" s="120"/>
      <c r="B480" s="120"/>
      <c r="C480" s="120"/>
      <c r="D480" s="120"/>
      <c r="E480" s="120"/>
      <c r="F480" s="120"/>
      <c r="G480" s="120"/>
      <c r="H480" s="120"/>
      <c r="I480" s="181"/>
      <c r="J480" s="120"/>
      <c r="K480" s="120"/>
      <c r="L480" s="120"/>
      <c r="M480" s="120"/>
      <c r="N480" s="120"/>
      <c r="O480" s="120"/>
      <c r="P480" s="120"/>
      <c r="Q480" s="120"/>
      <c r="R480" s="120"/>
      <c r="S480" s="120"/>
      <c r="T480" s="120"/>
      <c r="U480" s="120"/>
      <c r="V480" s="120"/>
      <c r="W480" s="120"/>
      <c r="X480" s="120"/>
      <c r="Y480" s="120"/>
      <c r="Z480" s="120"/>
      <c r="AA480" s="120"/>
      <c r="AB480" s="120"/>
      <c r="AC480" s="120"/>
      <c r="AD480" s="120"/>
      <c r="AE480" s="120"/>
      <c r="AF480" s="120"/>
      <c r="AG480" s="120"/>
      <c r="AH480" s="120"/>
      <c r="AI480" s="120"/>
      <c r="AJ480" s="120"/>
    </row>
    <row r="481" spans="1:36" s="124" customFormat="1" x14ac:dyDescent="0.25">
      <c r="A481" s="120"/>
      <c r="B481" s="120"/>
      <c r="C481" s="120"/>
      <c r="D481" s="120"/>
      <c r="E481" s="120"/>
      <c r="F481" s="120"/>
      <c r="G481" s="120"/>
      <c r="H481" s="120"/>
      <c r="I481" s="181"/>
      <c r="J481" s="120"/>
      <c r="K481" s="120"/>
      <c r="L481" s="120"/>
      <c r="M481" s="120"/>
      <c r="N481" s="120"/>
      <c r="O481" s="120"/>
      <c r="P481" s="120"/>
      <c r="Q481" s="120"/>
      <c r="R481" s="120"/>
      <c r="S481" s="120"/>
      <c r="T481" s="120"/>
      <c r="U481" s="120"/>
      <c r="V481" s="120"/>
      <c r="W481" s="120"/>
      <c r="X481" s="120"/>
      <c r="Y481" s="120"/>
      <c r="Z481" s="120"/>
      <c r="AA481" s="120"/>
      <c r="AB481" s="120"/>
      <c r="AC481" s="120"/>
      <c r="AD481" s="120"/>
      <c r="AE481" s="120"/>
      <c r="AF481" s="120"/>
      <c r="AG481" s="120"/>
      <c r="AH481" s="120"/>
      <c r="AI481" s="120"/>
      <c r="AJ481" s="120"/>
    </row>
    <row r="482" spans="1:36" s="124" customFormat="1" x14ac:dyDescent="0.25">
      <c r="A482" s="120"/>
      <c r="B482" s="120"/>
      <c r="C482" s="120"/>
      <c r="D482" s="120"/>
      <c r="E482" s="120"/>
      <c r="F482" s="120"/>
      <c r="G482" s="120"/>
      <c r="H482" s="120"/>
      <c r="I482" s="181"/>
      <c r="J482" s="120"/>
      <c r="K482" s="120"/>
      <c r="L482" s="120"/>
      <c r="M482" s="120"/>
      <c r="N482" s="120"/>
      <c r="O482" s="120"/>
      <c r="P482" s="120"/>
      <c r="Q482" s="120"/>
      <c r="R482" s="120"/>
      <c r="S482" s="120"/>
      <c r="T482" s="120"/>
      <c r="U482" s="120"/>
      <c r="V482" s="120"/>
      <c r="W482" s="120"/>
      <c r="X482" s="120"/>
      <c r="Y482" s="120"/>
      <c r="Z482" s="120"/>
      <c r="AA482" s="120"/>
      <c r="AB482" s="120"/>
      <c r="AC482" s="120"/>
      <c r="AD482" s="120"/>
      <c r="AE482" s="120"/>
      <c r="AF482" s="120"/>
      <c r="AG482" s="120"/>
      <c r="AH482" s="120"/>
      <c r="AI482" s="120"/>
      <c r="AJ482" s="120"/>
    </row>
    <row r="483" spans="1:36" s="124" customFormat="1" x14ac:dyDescent="0.25">
      <c r="A483" s="120"/>
      <c r="B483" s="120"/>
      <c r="C483" s="120"/>
      <c r="D483" s="120"/>
      <c r="E483" s="120"/>
      <c r="F483" s="120"/>
      <c r="G483" s="120"/>
      <c r="H483" s="120"/>
      <c r="I483" s="181"/>
      <c r="J483" s="120"/>
      <c r="K483" s="120"/>
      <c r="L483" s="120"/>
      <c r="M483" s="120"/>
      <c r="N483" s="120"/>
      <c r="O483" s="120"/>
      <c r="P483" s="120"/>
      <c r="Q483" s="120"/>
      <c r="R483" s="120"/>
      <c r="S483" s="120"/>
      <c r="T483" s="120"/>
      <c r="U483" s="120"/>
      <c r="V483" s="120"/>
      <c r="W483" s="120"/>
      <c r="X483" s="120"/>
      <c r="Y483" s="120"/>
      <c r="Z483" s="120"/>
      <c r="AA483" s="120"/>
      <c r="AB483" s="120"/>
      <c r="AC483" s="120"/>
      <c r="AD483" s="120"/>
      <c r="AE483" s="120"/>
      <c r="AF483" s="120"/>
      <c r="AG483" s="120"/>
      <c r="AH483" s="120"/>
      <c r="AI483" s="120"/>
      <c r="AJ483" s="120"/>
    </row>
    <row r="484" spans="1:36" s="124" customFormat="1" x14ac:dyDescent="0.25">
      <c r="A484" s="120"/>
      <c r="B484" s="120"/>
      <c r="C484" s="120"/>
      <c r="D484" s="120"/>
      <c r="E484" s="120"/>
      <c r="F484" s="120"/>
      <c r="G484" s="120"/>
      <c r="H484" s="120"/>
      <c r="I484" s="181"/>
      <c r="J484" s="120"/>
      <c r="K484" s="120"/>
      <c r="L484" s="120"/>
      <c r="M484" s="120"/>
      <c r="N484" s="120"/>
      <c r="O484" s="120"/>
      <c r="P484" s="120"/>
      <c r="Q484" s="120"/>
      <c r="R484" s="120"/>
      <c r="S484" s="120"/>
      <c r="T484" s="120"/>
      <c r="U484" s="120"/>
      <c r="V484" s="120"/>
      <c r="W484" s="120"/>
      <c r="X484" s="120"/>
      <c r="Y484" s="120"/>
      <c r="Z484" s="120"/>
      <c r="AA484" s="120"/>
      <c r="AB484" s="120"/>
      <c r="AC484" s="120"/>
      <c r="AD484" s="120"/>
      <c r="AE484" s="120"/>
      <c r="AF484" s="120"/>
      <c r="AG484" s="120"/>
      <c r="AH484" s="120"/>
      <c r="AI484" s="120"/>
      <c r="AJ484" s="120"/>
    </row>
    <row r="485" spans="1:36" s="124" customFormat="1" x14ac:dyDescent="0.25">
      <c r="A485" s="120"/>
      <c r="B485" s="120"/>
      <c r="C485" s="120"/>
      <c r="D485" s="120"/>
      <c r="E485" s="120"/>
      <c r="F485" s="120"/>
      <c r="G485" s="120"/>
      <c r="H485" s="120"/>
      <c r="I485" s="181"/>
      <c r="J485" s="120"/>
      <c r="K485" s="120"/>
      <c r="L485" s="120"/>
      <c r="M485" s="120"/>
      <c r="N485" s="120"/>
      <c r="O485" s="120"/>
      <c r="P485" s="120"/>
      <c r="Q485" s="120"/>
      <c r="R485" s="120"/>
      <c r="S485" s="120"/>
      <c r="T485" s="120"/>
      <c r="U485" s="120"/>
      <c r="V485" s="120"/>
      <c r="W485" s="120"/>
      <c r="X485" s="120"/>
      <c r="Y485" s="120"/>
      <c r="Z485" s="120"/>
      <c r="AA485" s="120"/>
      <c r="AB485" s="120"/>
      <c r="AC485" s="120"/>
      <c r="AD485" s="120"/>
      <c r="AE485" s="120"/>
      <c r="AF485" s="120"/>
      <c r="AG485" s="120"/>
      <c r="AH485" s="120"/>
      <c r="AI485" s="120"/>
      <c r="AJ485" s="120"/>
    </row>
    <row r="486" spans="1:36" s="124" customFormat="1" x14ac:dyDescent="0.25">
      <c r="A486" s="120"/>
      <c r="B486" s="120"/>
      <c r="C486" s="120"/>
      <c r="D486" s="120"/>
      <c r="E486" s="120"/>
      <c r="F486" s="120"/>
      <c r="G486" s="120"/>
      <c r="H486" s="120"/>
      <c r="I486" s="181"/>
      <c r="J486" s="120"/>
      <c r="K486" s="120"/>
      <c r="L486" s="120"/>
      <c r="M486" s="120"/>
      <c r="N486" s="120"/>
      <c r="O486" s="120"/>
      <c r="P486" s="120"/>
      <c r="Q486" s="120"/>
      <c r="R486" s="120"/>
      <c r="S486" s="120"/>
      <c r="T486" s="120"/>
      <c r="U486" s="120"/>
      <c r="V486" s="120"/>
      <c r="W486" s="120"/>
      <c r="X486" s="120"/>
      <c r="Y486" s="120"/>
      <c r="Z486" s="120"/>
      <c r="AA486" s="120"/>
      <c r="AB486" s="120"/>
      <c r="AC486" s="120"/>
      <c r="AD486" s="120"/>
      <c r="AE486" s="120"/>
      <c r="AF486" s="120"/>
      <c r="AG486" s="120"/>
      <c r="AH486" s="120"/>
      <c r="AI486" s="120"/>
      <c r="AJ486" s="120"/>
    </row>
    <row r="487" spans="1:36" s="124" customFormat="1" x14ac:dyDescent="0.25">
      <c r="A487" s="120"/>
      <c r="B487" s="120"/>
      <c r="C487" s="120"/>
      <c r="D487" s="120"/>
      <c r="E487" s="120"/>
      <c r="F487" s="120"/>
      <c r="G487" s="120"/>
      <c r="H487" s="120"/>
      <c r="I487" s="181"/>
      <c r="J487" s="120"/>
      <c r="K487" s="120"/>
      <c r="L487" s="120"/>
      <c r="M487" s="120"/>
      <c r="N487" s="120"/>
      <c r="O487" s="120"/>
      <c r="P487" s="120"/>
      <c r="Q487" s="120"/>
      <c r="R487" s="120"/>
      <c r="S487" s="120"/>
      <c r="T487" s="120"/>
      <c r="U487" s="120"/>
      <c r="V487" s="120"/>
      <c r="W487" s="120"/>
      <c r="X487" s="120"/>
      <c r="Y487" s="120"/>
      <c r="Z487" s="120"/>
      <c r="AA487" s="120"/>
      <c r="AB487" s="120"/>
      <c r="AC487" s="120"/>
      <c r="AD487" s="120"/>
      <c r="AE487" s="120"/>
      <c r="AF487" s="120"/>
      <c r="AG487" s="120"/>
      <c r="AH487" s="120"/>
      <c r="AI487" s="120"/>
      <c r="AJ487" s="120"/>
    </row>
    <row r="488" spans="1:36" s="124" customFormat="1" x14ac:dyDescent="0.25">
      <c r="A488" s="120"/>
      <c r="B488" s="120"/>
      <c r="C488" s="120"/>
      <c r="D488" s="120"/>
      <c r="E488" s="120"/>
      <c r="F488" s="120"/>
      <c r="G488" s="120"/>
      <c r="H488" s="120"/>
      <c r="I488" s="181"/>
      <c r="J488" s="120"/>
      <c r="K488" s="120"/>
      <c r="L488" s="120"/>
      <c r="M488" s="120"/>
      <c r="N488" s="120"/>
      <c r="O488" s="120"/>
      <c r="P488" s="120"/>
      <c r="Q488" s="120"/>
      <c r="R488" s="120"/>
      <c r="S488" s="120"/>
      <c r="T488" s="120"/>
      <c r="U488" s="120"/>
      <c r="V488" s="120"/>
      <c r="W488" s="120"/>
      <c r="X488" s="120"/>
      <c r="Y488" s="120"/>
      <c r="Z488" s="120"/>
      <c r="AA488" s="120"/>
      <c r="AB488" s="120"/>
      <c r="AC488" s="120"/>
      <c r="AD488" s="120"/>
      <c r="AE488" s="120"/>
      <c r="AF488" s="120"/>
      <c r="AG488" s="120"/>
      <c r="AH488" s="120"/>
      <c r="AI488" s="120"/>
      <c r="AJ488" s="120"/>
    </row>
    <row r="489" spans="1:36" s="124" customFormat="1" x14ac:dyDescent="0.25">
      <c r="A489" s="120"/>
      <c r="B489" s="120"/>
      <c r="C489" s="120"/>
      <c r="D489" s="120"/>
      <c r="E489" s="120"/>
      <c r="F489" s="120"/>
      <c r="G489" s="120"/>
      <c r="H489" s="120"/>
      <c r="I489" s="181"/>
      <c r="J489" s="120"/>
      <c r="K489" s="120"/>
      <c r="L489" s="120"/>
      <c r="M489" s="120"/>
      <c r="N489" s="120"/>
      <c r="O489" s="120"/>
      <c r="P489" s="120"/>
      <c r="Q489" s="120"/>
      <c r="R489" s="120"/>
      <c r="S489" s="120"/>
      <c r="T489" s="120"/>
      <c r="U489" s="120"/>
      <c r="V489" s="120"/>
      <c r="W489" s="120"/>
      <c r="X489" s="120"/>
      <c r="Y489" s="120"/>
      <c r="Z489" s="120"/>
      <c r="AA489" s="120"/>
      <c r="AB489" s="120"/>
      <c r="AC489" s="120"/>
      <c r="AD489" s="120"/>
      <c r="AE489" s="120"/>
      <c r="AF489" s="120"/>
      <c r="AG489" s="120"/>
      <c r="AH489" s="120"/>
      <c r="AI489" s="120"/>
      <c r="AJ489" s="120"/>
    </row>
    <row r="490" spans="1:36" s="124" customFormat="1" x14ac:dyDescent="0.25">
      <c r="A490" s="120"/>
      <c r="B490" s="120"/>
      <c r="C490" s="120"/>
      <c r="D490" s="120"/>
      <c r="E490" s="120"/>
      <c r="F490" s="120"/>
      <c r="G490" s="120"/>
      <c r="H490" s="120"/>
      <c r="I490" s="181"/>
      <c r="J490" s="120"/>
      <c r="K490" s="120"/>
      <c r="L490" s="120"/>
      <c r="M490" s="120"/>
      <c r="N490" s="120"/>
      <c r="O490" s="120"/>
      <c r="P490" s="120"/>
      <c r="Q490" s="120"/>
      <c r="R490" s="120"/>
      <c r="S490" s="120"/>
      <c r="T490" s="120"/>
      <c r="U490" s="120"/>
      <c r="V490" s="120"/>
      <c r="W490" s="120"/>
      <c r="X490" s="120"/>
      <c r="Y490" s="120"/>
      <c r="Z490" s="120"/>
      <c r="AA490" s="120"/>
      <c r="AB490" s="120"/>
      <c r="AC490" s="120"/>
      <c r="AD490" s="120"/>
      <c r="AE490" s="120"/>
      <c r="AF490" s="120"/>
      <c r="AG490" s="120"/>
      <c r="AH490" s="120"/>
      <c r="AI490" s="120"/>
      <c r="AJ490" s="120"/>
    </row>
    <row r="491" spans="1:36" s="124" customFormat="1" x14ac:dyDescent="0.25">
      <c r="A491" s="120"/>
      <c r="B491" s="120"/>
      <c r="C491" s="120"/>
      <c r="D491" s="120"/>
      <c r="E491" s="120"/>
      <c r="F491" s="120"/>
      <c r="G491" s="120"/>
      <c r="H491" s="120"/>
      <c r="I491" s="181"/>
      <c r="J491" s="120"/>
      <c r="K491" s="120"/>
      <c r="L491" s="120"/>
      <c r="M491" s="120"/>
      <c r="N491" s="120"/>
      <c r="O491" s="120"/>
      <c r="P491" s="120"/>
      <c r="Q491" s="120"/>
      <c r="R491" s="120"/>
      <c r="S491" s="120"/>
      <c r="T491" s="120"/>
      <c r="U491" s="120"/>
      <c r="V491" s="120"/>
      <c r="W491" s="120"/>
      <c r="X491" s="120"/>
      <c r="Y491" s="120"/>
      <c r="Z491" s="120"/>
      <c r="AA491" s="120"/>
      <c r="AB491" s="120"/>
      <c r="AC491" s="120"/>
      <c r="AD491" s="120"/>
      <c r="AE491" s="120"/>
      <c r="AF491" s="120"/>
      <c r="AG491" s="120"/>
      <c r="AH491" s="120"/>
      <c r="AI491" s="120"/>
      <c r="AJ491" s="120"/>
    </row>
    <row r="492" spans="1:36" s="124" customFormat="1" x14ac:dyDescent="0.25">
      <c r="A492" s="120"/>
      <c r="B492" s="120"/>
      <c r="C492" s="120"/>
      <c r="D492" s="120"/>
      <c r="E492" s="120"/>
      <c r="F492" s="120"/>
      <c r="G492" s="120"/>
      <c r="H492" s="120"/>
      <c r="I492" s="181"/>
      <c r="J492" s="120"/>
      <c r="K492" s="120"/>
      <c r="L492" s="120"/>
      <c r="M492" s="120"/>
      <c r="N492" s="120"/>
      <c r="O492" s="120"/>
      <c r="P492" s="120"/>
      <c r="Q492" s="120"/>
      <c r="R492" s="120"/>
      <c r="S492" s="120"/>
      <c r="T492" s="120"/>
      <c r="U492" s="120"/>
      <c r="V492" s="120"/>
      <c r="W492" s="120"/>
      <c r="X492" s="120"/>
      <c r="Y492" s="120"/>
      <c r="Z492" s="120"/>
      <c r="AA492" s="120"/>
      <c r="AB492" s="120"/>
      <c r="AC492" s="120"/>
      <c r="AD492" s="120"/>
      <c r="AE492" s="120"/>
      <c r="AF492" s="120"/>
      <c r="AG492" s="120"/>
      <c r="AH492" s="120"/>
      <c r="AI492" s="120"/>
      <c r="AJ492" s="120"/>
    </row>
    <row r="493" spans="1:36" s="124" customFormat="1" x14ac:dyDescent="0.25">
      <c r="A493" s="120"/>
      <c r="B493" s="120"/>
      <c r="C493" s="120"/>
      <c r="D493" s="120"/>
      <c r="E493" s="120"/>
      <c r="F493" s="120"/>
      <c r="G493" s="120"/>
      <c r="H493" s="120"/>
      <c r="I493" s="181"/>
      <c r="J493" s="120"/>
      <c r="K493" s="120"/>
      <c r="L493" s="120"/>
      <c r="M493" s="120"/>
      <c r="N493" s="120"/>
      <c r="O493" s="120"/>
      <c r="P493" s="120"/>
      <c r="Q493" s="120"/>
      <c r="R493" s="120"/>
      <c r="S493" s="120"/>
      <c r="T493" s="120"/>
      <c r="U493" s="120"/>
      <c r="V493" s="120"/>
      <c r="W493" s="120"/>
      <c r="X493" s="120"/>
      <c r="Y493" s="120"/>
      <c r="Z493" s="120"/>
      <c r="AA493" s="120"/>
      <c r="AB493" s="120"/>
      <c r="AC493" s="120"/>
      <c r="AD493" s="120"/>
      <c r="AE493" s="120"/>
      <c r="AF493" s="120"/>
      <c r="AG493" s="120"/>
      <c r="AH493" s="120"/>
      <c r="AI493" s="120"/>
      <c r="AJ493" s="120"/>
    </row>
    <row r="494" spans="1:36" s="124" customFormat="1" x14ac:dyDescent="0.25">
      <c r="A494" s="120"/>
      <c r="B494" s="120"/>
      <c r="C494" s="120"/>
      <c r="D494" s="120"/>
      <c r="E494" s="120"/>
      <c r="F494" s="120"/>
      <c r="G494" s="120"/>
      <c r="H494" s="120"/>
      <c r="I494" s="181"/>
      <c r="J494" s="120"/>
      <c r="K494" s="120"/>
      <c r="L494" s="120"/>
      <c r="M494" s="120"/>
      <c r="N494" s="120"/>
      <c r="O494" s="120"/>
      <c r="P494" s="120"/>
      <c r="Q494" s="120"/>
      <c r="R494" s="120"/>
      <c r="S494" s="120"/>
      <c r="T494" s="120"/>
      <c r="U494" s="120"/>
      <c r="V494" s="120"/>
      <c r="W494" s="120"/>
      <c r="X494" s="120"/>
      <c r="Y494" s="120"/>
      <c r="Z494" s="120"/>
      <c r="AA494" s="120"/>
      <c r="AB494" s="120"/>
      <c r="AC494" s="120"/>
      <c r="AD494" s="120"/>
      <c r="AE494" s="120"/>
      <c r="AF494" s="120"/>
      <c r="AG494" s="120"/>
      <c r="AH494" s="120"/>
      <c r="AI494" s="120"/>
      <c r="AJ494" s="120"/>
    </row>
    <row r="495" spans="1:36" s="124" customFormat="1" x14ac:dyDescent="0.25">
      <c r="A495" s="120"/>
      <c r="B495" s="120"/>
      <c r="C495" s="120"/>
      <c r="D495" s="120"/>
      <c r="E495" s="120"/>
      <c r="F495" s="120"/>
      <c r="G495" s="120"/>
      <c r="H495" s="120"/>
      <c r="I495" s="181"/>
      <c r="J495" s="120"/>
      <c r="K495" s="120"/>
      <c r="L495" s="120"/>
      <c r="M495" s="120"/>
      <c r="N495" s="120"/>
      <c r="O495" s="120"/>
      <c r="P495" s="120"/>
      <c r="Q495" s="120"/>
      <c r="R495" s="120"/>
      <c r="S495" s="120"/>
      <c r="T495" s="120"/>
      <c r="U495" s="120"/>
      <c r="V495" s="120"/>
      <c r="W495" s="120"/>
      <c r="X495" s="120"/>
      <c r="Y495" s="120"/>
      <c r="Z495" s="120"/>
      <c r="AA495" s="120"/>
      <c r="AB495" s="120"/>
      <c r="AC495" s="120"/>
      <c r="AD495" s="120"/>
      <c r="AE495" s="120"/>
      <c r="AF495" s="120"/>
      <c r="AG495" s="120"/>
      <c r="AH495" s="120"/>
      <c r="AI495" s="120"/>
      <c r="AJ495" s="120"/>
    </row>
    <row r="496" spans="1:36" s="124" customFormat="1" x14ac:dyDescent="0.25">
      <c r="A496" s="120"/>
      <c r="B496" s="120"/>
      <c r="C496" s="120"/>
      <c r="D496" s="120"/>
      <c r="E496" s="120"/>
      <c r="F496" s="120"/>
      <c r="G496" s="120"/>
      <c r="H496" s="120"/>
      <c r="I496" s="181"/>
      <c r="J496" s="120"/>
      <c r="K496" s="120"/>
      <c r="L496" s="120"/>
      <c r="M496" s="120"/>
      <c r="N496" s="120"/>
      <c r="O496" s="120"/>
      <c r="P496" s="120"/>
      <c r="Q496" s="120"/>
      <c r="R496" s="120"/>
      <c r="S496" s="120"/>
      <c r="T496" s="120"/>
      <c r="U496" s="120"/>
      <c r="V496" s="120"/>
      <c r="W496" s="120"/>
      <c r="X496" s="120"/>
      <c r="Y496" s="120"/>
      <c r="Z496" s="120"/>
      <c r="AA496" s="120"/>
      <c r="AB496" s="120"/>
      <c r="AC496" s="120"/>
      <c r="AD496" s="120"/>
      <c r="AE496" s="120"/>
      <c r="AF496" s="120"/>
      <c r="AG496" s="120"/>
      <c r="AH496" s="120"/>
      <c r="AI496" s="120"/>
      <c r="AJ496" s="120"/>
    </row>
    <row r="497" spans="1:36" s="124" customFormat="1" x14ac:dyDescent="0.25">
      <c r="A497" s="120"/>
      <c r="B497" s="120"/>
      <c r="C497" s="120"/>
      <c r="D497" s="120"/>
      <c r="E497" s="120"/>
      <c r="F497" s="120"/>
      <c r="G497" s="120"/>
      <c r="H497" s="120"/>
      <c r="I497" s="181"/>
      <c r="J497" s="120"/>
      <c r="K497" s="120"/>
      <c r="L497" s="120"/>
      <c r="M497" s="120"/>
      <c r="N497" s="120"/>
      <c r="O497" s="120"/>
      <c r="P497" s="120"/>
      <c r="Q497" s="120"/>
      <c r="R497" s="120"/>
      <c r="S497" s="120"/>
      <c r="T497" s="120"/>
      <c r="U497" s="120"/>
      <c r="V497" s="120"/>
      <c r="W497" s="120"/>
      <c r="X497" s="120"/>
      <c r="Y497" s="120"/>
      <c r="Z497" s="120"/>
      <c r="AA497" s="120"/>
      <c r="AB497" s="120"/>
      <c r="AC497" s="120"/>
      <c r="AD497" s="120"/>
      <c r="AE497" s="120"/>
      <c r="AF497" s="120"/>
      <c r="AG497" s="120"/>
      <c r="AH497" s="120"/>
      <c r="AI497" s="120"/>
      <c r="AJ497" s="120"/>
    </row>
    <row r="498" spans="1:36" s="124" customFormat="1" x14ac:dyDescent="0.25">
      <c r="A498" s="120"/>
      <c r="B498" s="120"/>
      <c r="C498" s="120"/>
      <c r="D498" s="120"/>
      <c r="E498" s="120"/>
      <c r="F498" s="120"/>
      <c r="G498" s="120"/>
      <c r="H498" s="120"/>
      <c r="I498" s="181"/>
      <c r="J498" s="120"/>
      <c r="K498" s="120"/>
      <c r="L498" s="120"/>
      <c r="M498" s="120"/>
      <c r="N498" s="120"/>
      <c r="O498" s="120"/>
      <c r="P498" s="120"/>
      <c r="Q498" s="120"/>
      <c r="R498" s="120"/>
      <c r="S498" s="120"/>
      <c r="T498" s="120"/>
      <c r="U498" s="120"/>
      <c r="V498" s="120"/>
      <c r="W498" s="120"/>
      <c r="X498" s="120"/>
      <c r="Y498" s="120"/>
      <c r="Z498" s="120"/>
      <c r="AA498" s="120"/>
      <c r="AB498" s="120"/>
      <c r="AC498" s="120"/>
      <c r="AD498" s="120"/>
      <c r="AE498" s="120"/>
      <c r="AF498" s="120"/>
      <c r="AG498" s="120"/>
      <c r="AH498" s="120"/>
      <c r="AI498" s="120"/>
      <c r="AJ498" s="120"/>
    </row>
    <row r="499" spans="1:36" s="124" customFormat="1" x14ac:dyDescent="0.25">
      <c r="A499" s="120"/>
      <c r="B499" s="120"/>
      <c r="C499" s="120"/>
      <c r="D499" s="120"/>
      <c r="E499" s="120"/>
      <c r="F499" s="120"/>
      <c r="G499" s="120"/>
      <c r="H499" s="120"/>
      <c r="I499" s="181"/>
      <c r="J499" s="120"/>
      <c r="K499" s="120"/>
      <c r="L499" s="120"/>
      <c r="M499" s="120"/>
      <c r="N499" s="120"/>
      <c r="O499" s="120"/>
      <c r="P499" s="120"/>
      <c r="Q499" s="120"/>
      <c r="R499" s="120"/>
      <c r="S499" s="120"/>
      <c r="T499" s="120"/>
      <c r="U499" s="120"/>
      <c r="V499" s="120"/>
      <c r="W499" s="120"/>
      <c r="X499" s="120"/>
      <c r="Y499" s="120"/>
      <c r="Z499" s="120"/>
      <c r="AA499" s="120"/>
      <c r="AB499" s="120"/>
      <c r="AC499" s="120"/>
      <c r="AD499" s="120"/>
      <c r="AE499" s="120"/>
      <c r="AF499" s="120"/>
      <c r="AG499" s="120"/>
      <c r="AH499" s="120"/>
      <c r="AI499" s="120"/>
      <c r="AJ499" s="120"/>
    </row>
    <row r="500" spans="1:36" s="124" customFormat="1" x14ac:dyDescent="0.25">
      <c r="A500" s="120"/>
      <c r="B500" s="120"/>
      <c r="C500" s="120"/>
      <c r="D500" s="120"/>
      <c r="E500" s="120"/>
      <c r="F500" s="120"/>
      <c r="G500" s="120"/>
      <c r="H500" s="120"/>
      <c r="I500" s="181"/>
      <c r="J500" s="120"/>
      <c r="K500" s="120"/>
      <c r="L500" s="120"/>
      <c r="M500" s="120"/>
      <c r="N500" s="120"/>
      <c r="O500" s="120"/>
      <c r="P500" s="120"/>
      <c r="Q500" s="120"/>
      <c r="R500" s="120"/>
      <c r="S500" s="120"/>
      <c r="T500" s="120"/>
      <c r="U500" s="120"/>
      <c r="V500" s="120"/>
      <c r="W500" s="120"/>
      <c r="X500" s="120"/>
      <c r="Y500" s="120"/>
      <c r="Z500" s="120"/>
      <c r="AA500" s="120"/>
      <c r="AB500" s="120"/>
      <c r="AC500" s="120"/>
      <c r="AD500" s="120"/>
      <c r="AE500" s="120"/>
      <c r="AF500" s="120"/>
      <c r="AG500" s="120"/>
      <c r="AH500" s="120"/>
      <c r="AI500" s="120"/>
      <c r="AJ500" s="120"/>
    </row>
    <row r="501" spans="1:36" s="124" customFormat="1" x14ac:dyDescent="0.25">
      <c r="A501" s="120"/>
      <c r="B501" s="120"/>
      <c r="C501" s="120"/>
      <c r="D501" s="120"/>
      <c r="E501" s="120"/>
      <c r="F501" s="120"/>
      <c r="G501" s="120"/>
      <c r="H501" s="120"/>
      <c r="I501" s="181"/>
      <c r="J501" s="120"/>
      <c r="K501" s="120"/>
      <c r="L501" s="120"/>
      <c r="M501" s="120"/>
      <c r="N501" s="120"/>
      <c r="O501" s="120"/>
      <c r="P501" s="120"/>
      <c r="Q501" s="120"/>
      <c r="R501" s="120"/>
      <c r="S501" s="120"/>
      <c r="T501" s="120"/>
      <c r="U501" s="120"/>
      <c r="V501" s="120"/>
      <c r="W501" s="120"/>
      <c r="X501" s="120"/>
      <c r="Y501" s="120"/>
      <c r="Z501" s="120"/>
      <c r="AA501" s="120"/>
      <c r="AB501" s="120"/>
      <c r="AC501" s="120"/>
      <c r="AD501" s="120"/>
      <c r="AE501" s="120"/>
      <c r="AF501" s="120"/>
      <c r="AG501" s="120"/>
      <c r="AH501" s="120"/>
      <c r="AI501" s="120"/>
      <c r="AJ501" s="120"/>
    </row>
    <row r="502" spans="1:36" s="124" customFormat="1" x14ac:dyDescent="0.25">
      <c r="A502" s="120"/>
      <c r="B502" s="120"/>
      <c r="C502" s="120"/>
      <c r="D502" s="120"/>
      <c r="E502" s="120"/>
      <c r="F502" s="120"/>
      <c r="G502" s="120"/>
      <c r="H502" s="120"/>
      <c r="I502" s="181"/>
      <c r="J502" s="120"/>
      <c r="K502" s="120"/>
      <c r="L502" s="120"/>
      <c r="M502" s="120"/>
      <c r="N502" s="120"/>
      <c r="O502" s="120"/>
      <c r="P502" s="120"/>
      <c r="Q502" s="120"/>
      <c r="R502" s="120"/>
      <c r="S502" s="120"/>
      <c r="T502" s="120"/>
      <c r="U502" s="120"/>
      <c r="V502" s="120"/>
      <c r="W502" s="120"/>
      <c r="X502" s="120"/>
      <c r="Y502" s="120"/>
      <c r="Z502" s="120"/>
      <c r="AA502" s="120"/>
      <c r="AB502" s="120"/>
      <c r="AC502" s="120"/>
      <c r="AD502" s="120"/>
      <c r="AE502" s="120"/>
      <c r="AF502" s="120"/>
      <c r="AG502" s="120"/>
      <c r="AH502" s="120"/>
      <c r="AI502" s="120"/>
      <c r="AJ502" s="120"/>
    </row>
    <row r="503" spans="1:36" s="124" customFormat="1" x14ac:dyDescent="0.25">
      <c r="A503" s="120"/>
      <c r="B503" s="120"/>
      <c r="C503" s="120"/>
      <c r="D503" s="120"/>
      <c r="E503" s="120"/>
      <c r="F503" s="120"/>
      <c r="G503" s="120"/>
      <c r="H503" s="120"/>
      <c r="I503" s="181"/>
      <c r="J503" s="120"/>
      <c r="K503" s="120"/>
      <c r="L503" s="120"/>
      <c r="M503" s="120"/>
      <c r="N503" s="120"/>
      <c r="O503" s="120"/>
      <c r="P503" s="120"/>
      <c r="Q503" s="120"/>
      <c r="R503" s="120"/>
      <c r="S503" s="120"/>
      <c r="T503" s="120"/>
      <c r="U503" s="120"/>
      <c r="V503" s="120"/>
      <c r="W503" s="120"/>
      <c r="X503" s="120"/>
      <c r="Y503" s="120"/>
      <c r="Z503" s="120"/>
      <c r="AA503" s="120"/>
      <c r="AB503" s="120"/>
      <c r="AC503" s="120"/>
      <c r="AD503" s="120"/>
      <c r="AE503" s="120"/>
      <c r="AF503" s="120"/>
      <c r="AG503" s="120"/>
      <c r="AH503" s="120"/>
      <c r="AI503" s="120"/>
      <c r="AJ503" s="120"/>
    </row>
    <row r="504" spans="1:36" s="124" customFormat="1" x14ac:dyDescent="0.25">
      <c r="A504" s="120"/>
      <c r="B504" s="120"/>
      <c r="C504" s="120"/>
      <c r="D504" s="120"/>
      <c r="E504" s="120"/>
      <c r="F504" s="120"/>
      <c r="G504" s="120"/>
      <c r="H504" s="120"/>
      <c r="I504" s="181"/>
      <c r="J504" s="120"/>
      <c r="K504" s="120"/>
      <c r="L504" s="120"/>
      <c r="M504" s="120"/>
      <c r="N504" s="120"/>
      <c r="O504" s="120"/>
      <c r="P504" s="120"/>
      <c r="Q504" s="120"/>
      <c r="R504" s="120"/>
      <c r="S504" s="120"/>
      <c r="T504" s="120"/>
      <c r="U504" s="120"/>
      <c r="V504" s="120"/>
      <c r="W504" s="120"/>
      <c r="X504" s="120"/>
      <c r="Y504" s="120"/>
      <c r="Z504" s="120"/>
      <c r="AA504" s="120"/>
      <c r="AB504" s="120"/>
      <c r="AC504" s="120"/>
      <c r="AD504" s="120"/>
      <c r="AE504" s="120"/>
      <c r="AF504" s="120"/>
      <c r="AG504" s="120"/>
      <c r="AH504" s="120"/>
      <c r="AI504" s="120"/>
      <c r="AJ504" s="120"/>
    </row>
    <row r="505" spans="1:36" s="124" customFormat="1" x14ac:dyDescent="0.25">
      <c r="A505" s="120"/>
      <c r="B505" s="120"/>
      <c r="C505" s="120"/>
      <c r="D505" s="120"/>
      <c r="E505" s="120"/>
      <c r="F505" s="120"/>
      <c r="G505" s="120"/>
      <c r="H505" s="120"/>
      <c r="I505" s="181"/>
      <c r="J505" s="120"/>
      <c r="K505" s="120"/>
      <c r="L505" s="120"/>
      <c r="M505" s="120"/>
      <c r="N505" s="120"/>
      <c r="O505" s="120"/>
      <c r="P505" s="120"/>
      <c r="Q505" s="120"/>
      <c r="R505" s="120"/>
      <c r="S505" s="120"/>
      <c r="T505" s="120"/>
      <c r="U505" s="120"/>
      <c r="V505" s="120"/>
      <c r="W505" s="120"/>
      <c r="X505" s="120"/>
      <c r="Y505" s="120"/>
      <c r="Z505" s="120"/>
      <c r="AA505" s="120"/>
      <c r="AB505" s="120"/>
      <c r="AC505" s="120"/>
      <c r="AD505" s="120"/>
      <c r="AE505" s="120"/>
      <c r="AF505" s="120"/>
      <c r="AG505" s="120"/>
      <c r="AH505" s="120"/>
      <c r="AI505" s="120"/>
      <c r="AJ505" s="120"/>
    </row>
    <row r="506" spans="1:36" s="124" customFormat="1" x14ac:dyDescent="0.25">
      <c r="A506" s="120"/>
      <c r="B506" s="120"/>
      <c r="C506" s="120"/>
      <c r="D506" s="120"/>
      <c r="E506" s="120"/>
      <c r="F506" s="120"/>
      <c r="G506" s="120"/>
      <c r="H506" s="120"/>
      <c r="I506" s="181"/>
      <c r="J506" s="120"/>
      <c r="K506" s="120"/>
      <c r="L506" s="120"/>
      <c r="M506" s="120"/>
      <c r="N506" s="120"/>
      <c r="O506" s="120"/>
      <c r="P506" s="120"/>
      <c r="Q506" s="120"/>
      <c r="R506" s="120"/>
      <c r="S506" s="120"/>
      <c r="T506" s="120"/>
      <c r="U506" s="120"/>
      <c r="V506" s="120"/>
      <c r="W506" s="120"/>
      <c r="X506" s="120"/>
      <c r="Y506" s="120"/>
      <c r="Z506" s="120"/>
      <c r="AA506" s="120"/>
      <c r="AB506" s="120"/>
      <c r="AC506" s="120"/>
      <c r="AD506" s="120"/>
      <c r="AE506" s="120"/>
      <c r="AF506" s="120"/>
      <c r="AG506" s="120"/>
      <c r="AH506" s="120"/>
      <c r="AI506" s="120"/>
      <c r="AJ506" s="120"/>
    </row>
    <row r="507" spans="1:36" s="124" customFormat="1" x14ac:dyDescent="0.25">
      <c r="A507" s="120"/>
      <c r="B507" s="120"/>
      <c r="C507" s="120"/>
      <c r="D507" s="120"/>
      <c r="E507" s="120"/>
      <c r="F507" s="120"/>
      <c r="G507" s="120"/>
      <c r="H507" s="120"/>
      <c r="I507" s="181"/>
      <c r="J507" s="120"/>
      <c r="K507" s="120"/>
      <c r="L507" s="120"/>
      <c r="M507" s="120"/>
      <c r="N507" s="120"/>
      <c r="O507" s="120"/>
      <c r="P507" s="120"/>
      <c r="Q507" s="120"/>
      <c r="R507" s="120"/>
      <c r="S507" s="120"/>
      <c r="T507" s="120"/>
      <c r="U507" s="120"/>
      <c r="V507" s="120"/>
      <c r="W507" s="120"/>
      <c r="X507" s="120"/>
      <c r="Y507" s="120"/>
      <c r="Z507" s="120"/>
      <c r="AA507" s="120"/>
      <c r="AB507" s="120"/>
      <c r="AC507" s="120"/>
      <c r="AD507" s="120"/>
      <c r="AE507" s="120"/>
      <c r="AF507" s="120"/>
      <c r="AG507" s="120"/>
      <c r="AH507" s="120"/>
      <c r="AI507" s="120"/>
      <c r="AJ507" s="120"/>
    </row>
    <row r="508" spans="1:36" s="124" customFormat="1" x14ac:dyDescent="0.25">
      <c r="A508" s="120"/>
      <c r="B508" s="120"/>
      <c r="C508" s="120"/>
      <c r="D508" s="120"/>
      <c r="E508" s="120"/>
      <c r="F508" s="120"/>
      <c r="G508" s="120"/>
      <c r="H508" s="120"/>
      <c r="I508" s="181"/>
      <c r="J508" s="120"/>
      <c r="K508" s="120"/>
      <c r="L508" s="120"/>
      <c r="M508" s="120"/>
      <c r="N508" s="120"/>
      <c r="O508" s="120"/>
      <c r="P508" s="120"/>
      <c r="Q508" s="120"/>
      <c r="R508" s="120"/>
      <c r="S508" s="120"/>
      <c r="T508" s="120"/>
      <c r="U508" s="120"/>
      <c r="V508" s="120"/>
      <c r="W508" s="120"/>
      <c r="X508" s="120"/>
      <c r="Y508" s="120"/>
      <c r="Z508" s="120"/>
      <c r="AA508" s="120"/>
      <c r="AB508" s="120"/>
      <c r="AC508" s="120"/>
      <c r="AD508" s="120"/>
      <c r="AE508" s="120"/>
      <c r="AF508" s="120"/>
      <c r="AG508" s="120"/>
      <c r="AH508" s="120"/>
      <c r="AI508" s="120"/>
      <c r="AJ508" s="120"/>
    </row>
    <row r="509" spans="1:36" s="124" customFormat="1" x14ac:dyDescent="0.25">
      <c r="A509" s="120"/>
      <c r="B509" s="120"/>
      <c r="C509" s="120"/>
      <c r="D509" s="120"/>
      <c r="E509" s="120"/>
      <c r="F509" s="120"/>
      <c r="G509" s="120"/>
      <c r="H509" s="120"/>
      <c r="I509" s="181"/>
      <c r="J509" s="120"/>
      <c r="K509" s="120"/>
      <c r="L509" s="120"/>
      <c r="M509" s="120"/>
      <c r="N509" s="120"/>
      <c r="O509" s="120"/>
      <c r="P509" s="120"/>
      <c r="Q509" s="120"/>
      <c r="R509" s="120"/>
      <c r="S509" s="120"/>
      <c r="T509" s="120"/>
      <c r="U509" s="120"/>
      <c r="V509" s="120"/>
      <c r="W509" s="120"/>
      <c r="X509" s="120"/>
      <c r="Y509" s="120"/>
      <c r="Z509" s="120"/>
      <c r="AA509" s="120"/>
      <c r="AB509" s="120"/>
      <c r="AC509" s="120"/>
      <c r="AD509" s="120"/>
      <c r="AE509" s="120"/>
      <c r="AF509" s="120"/>
      <c r="AG509" s="120"/>
      <c r="AH509" s="120"/>
      <c r="AI509" s="120"/>
      <c r="AJ509" s="120"/>
    </row>
    <row r="510" spans="1:36" s="124" customFormat="1" x14ac:dyDescent="0.25">
      <c r="A510" s="120"/>
      <c r="B510" s="120"/>
      <c r="C510" s="120"/>
      <c r="D510" s="120"/>
      <c r="E510" s="120"/>
      <c r="F510" s="120"/>
      <c r="G510" s="120"/>
      <c r="H510" s="120"/>
      <c r="I510" s="181"/>
      <c r="J510" s="120"/>
      <c r="K510" s="120"/>
      <c r="L510" s="120"/>
      <c r="M510" s="120"/>
      <c r="N510" s="120"/>
      <c r="O510" s="120"/>
      <c r="P510" s="120"/>
      <c r="Q510" s="120"/>
      <c r="R510" s="120"/>
      <c r="S510" s="120"/>
      <c r="T510" s="120"/>
      <c r="U510" s="120"/>
      <c r="V510" s="120"/>
      <c r="W510" s="120"/>
      <c r="X510" s="120"/>
      <c r="Y510" s="120"/>
      <c r="Z510" s="120"/>
      <c r="AA510" s="120"/>
      <c r="AB510" s="120"/>
      <c r="AC510" s="120"/>
      <c r="AD510" s="120"/>
      <c r="AE510" s="120"/>
      <c r="AF510" s="120"/>
      <c r="AG510" s="120"/>
      <c r="AH510" s="120"/>
      <c r="AI510" s="120"/>
      <c r="AJ510" s="120"/>
    </row>
    <row r="511" spans="1:36" s="124" customFormat="1" x14ac:dyDescent="0.25">
      <c r="A511" s="120"/>
      <c r="B511" s="120"/>
      <c r="C511" s="120"/>
      <c r="D511" s="120"/>
      <c r="E511" s="120"/>
      <c r="F511" s="120"/>
      <c r="G511" s="120"/>
      <c r="H511" s="120"/>
      <c r="I511" s="181"/>
      <c r="J511" s="120"/>
      <c r="K511" s="120"/>
      <c r="L511" s="120"/>
      <c r="M511" s="120"/>
      <c r="N511" s="120"/>
      <c r="O511" s="120"/>
      <c r="P511" s="120"/>
      <c r="Q511" s="120"/>
      <c r="R511" s="120"/>
      <c r="S511" s="120"/>
      <c r="T511" s="120"/>
      <c r="U511" s="120"/>
      <c r="V511" s="120"/>
      <c r="W511" s="120"/>
      <c r="X511" s="120"/>
      <c r="Y511" s="120"/>
      <c r="Z511" s="120"/>
      <c r="AA511" s="120"/>
      <c r="AB511" s="120"/>
      <c r="AC511" s="120"/>
      <c r="AD511" s="120"/>
      <c r="AE511" s="120"/>
      <c r="AF511" s="120"/>
      <c r="AG511" s="120"/>
      <c r="AH511" s="120"/>
      <c r="AI511" s="120"/>
      <c r="AJ511" s="120"/>
    </row>
    <row r="512" spans="1:36" s="124" customFormat="1" x14ac:dyDescent="0.25">
      <c r="A512" s="120"/>
      <c r="B512" s="120"/>
      <c r="C512" s="120"/>
      <c r="D512" s="120"/>
      <c r="E512" s="120"/>
      <c r="F512" s="120"/>
      <c r="G512" s="120"/>
      <c r="H512" s="120"/>
      <c r="I512" s="181"/>
      <c r="J512" s="120"/>
      <c r="K512" s="120"/>
      <c r="L512" s="120"/>
      <c r="M512" s="120"/>
      <c r="N512" s="120"/>
      <c r="O512" s="120"/>
      <c r="P512" s="120"/>
      <c r="Q512" s="120"/>
      <c r="R512" s="120"/>
      <c r="S512" s="120"/>
      <c r="T512" s="120"/>
      <c r="U512" s="120"/>
      <c r="V512" s="120"/>
      <c r="W512" s="120"/>
      <c r="X512" s="120"/>
      <c r="Y512" s="120"/>
      <c r="Z512" s="120"/>
      <c r="AA512" s="120"/>
      <c r="AB512" s="120"/>
      <c r="AC512" s="120"/>
      <c r="AD512" s="120"/>
      <c r="AE512" s="120"/>
      <c r="AF512" s="120"/>
      <c r="AG512" s="120"/>
      <c r="AH512" s="120"/>
      <c r="AI512" s="120"/>
      <c r="AJ512" s="120"/>
    </row>
    <row r="513" spans="1:36" s="124" customFormat="1" x14ac:dyDescent="0.25">
      <c r="A513" s="120"/>
      <c r="B513" s="120"/>
      <c r="C513" s="120"/>
      <c r="D513" s="120"/>
      <c r="E513" s="120"/>
      <c r="F513" s="120"/>
      <c r="G513" s="120"/>
      <c r="H513" s="120"/>
      <c r="I513" s="181"/>
      <c r="J513" s="120"/>
      <c r="K513" s="120"/>
      <c r="L513" s="120"/>
      <c r="M513" s="120"/>
      <c r="N513" s="120"/>
      <c r="O513" s="120"/>
      <c r="P513" s="120"/>
      <c r="Q513" s="120"/>
      <c r="R513" s="120"/>
      <c r="S513" s="120"/>
      <c r="T513" s="120"/>
      <c r="U513" s="120"/>
      <c r="V513" s="120"/>
      <c r="W513" s="120"/>
      <c r="X513" s="120"/>
      <c r="Y513" s="120"/>
      <c r="Z513" s="120"/>
      <c r="AA513" s="120"/>
      <c r="AB513" s="120"/>
      <c r="AC513" s="120"/>
      <c r="AD513" s="120"/>
      <c r="AE513" s="120"/>
      <c r="AF513" s="120"/>
      <c r="AG513" s="120"/>
      <c r="AH513" s="120"/>
      <c r="AI513" s="120"/>
      <c r="AJ513" s="120"/>
    </row>
    <row r="514" spans="1:36" s="124" customFormat="1" x14ac:dyDescent="0.25">
      <c r="A514" s="120"/>
      <c r="B514" s="120"/>
      <c r="C514" s="120"/>
      <c r="D514" s="120"/>
      <c r="E514" s="120"/>
      <c r="F514" s="120"/>
      <c r="G514" s="120"/>
      <c r="H514" s="120"/>
      <c r="I514" s="181"/>
      <c r="J514" s="120"/>
      <c r="K514" s="120"/>
      <c r="L514" s="120"/>
      <c r="M514" s="120"/>
      <c r="N514" s="120"/>
      <c r="O514" s="120"/>
      <c r="P514" s="120"/>
      <c r="Q514" s="120"/>
      <c r="R514" s="120"/>
      <c r="S514" s="120"/>
      <c r="T514" s="120"/>
      <c r="U514" s="120"/>
      <c r="V514" s="120"/>
      <c r="W514" s="120"/>
      <c r="X514" s="120"/>
      <c r="Y514" s="120"/>
      <c r="Z514" s="120"/>
      <c r="AA514" s="120"/>
      <c r="AB514" s="120"/>
      <c r="AC514" s="120"/>
      <c r="AD514" s="120"/>
      <c r="AE514" s="120"/>
      <c r="AF514" s="120"/>
      <c r="AG514" s="120"/>
      <c r="AH514" s="120"/>
      <c r="AI514" s="120"/>
      <c r="AJ514" s="120"/>
    </row>
    <row r="515" spans="1:36" s="124" customFormat="1" x14ac:dyDescent="0.25">
      <c r="A515" s="120"/>
      <c r="B515" s="120"/>
      <c r="C515" s="120"/>
      <c r="D515" s="120"/>
      <c r="E515" s="120"/>
      <c r="F515" s="120"/>
      <c r="G515" s="120"/>
      <c r="H515" s="120"/>
      <c r="I515" s="181"/>
      <c r="J515" s="120"/>
      <c r="K515" s="120"/>
      <c r="L515" s="120"/>
      <c r="M515" s="120"/>
      <c r="N515" s="120"/>
      <c r="O515" s="120"/>
      <c r="P515" s="120"/>
      <c r="Q515" s="120"/>
      <c r="R515" s="120"/>
      <c r="S515" s="120"/>
      <c r="T515" s="120"/>
      <c r="U515" s="120"/>
      <c r="V515" s="120"/>
      <c r="W515" s="120"/>
      <c r="X515" s="120"/>
      <c r="Y515" s="120"/>
      <c r="Z515" s="120"/>
      <c r="AA515" s="120"/>
      <c r="AB515" s="120"/>
      <c r="AC515" s="120"/>
      <c r="AD515" s="120"/>
      <c r="AE515" s="120"/>
      <c r="AF515" s="120"/>
      <c r="AG515" s="120"/>
      <c r="AH515" s="120"/>
      <c r="AI515" s="120"/>
      <c r="AJ515" s="120"/>
    </row>
    <row r="516" spans="1:36" s="124" customFormat="1" x14ac:dyDescent="0.25">
      <c r="A516" s="120"/>
      <c r="B516" s="120"/>
      <c r="C516" s="120"/>
      <c r="D516" s="120"/>
      <c r="E516" s="120"/>
      <c r="F516" s="120"/>
      <c r="G516" s="120"/>
      <c r="H516" s="120"/>
      <c r="I516" s="181"/>
      <c r="J516" s="120"/>
      <c r="K516" s="120"/>
      <c r="L516" s="120"/>
      <c r="M516" s="120"/>
      <c r="N516" s="120"/>
      <c r="O516" s="120"/>
      <c r="P516" s="120"/>
      <c r="Q516" s="120"/>
      <c r="R516" s="120"/>
      <c r="S516" s="120"/>
      <c r="T516" s="120"/>
      <c r="U516" s="120"/>
      <c r="V516" s="120"/>
      <c r="W516" s="120"/>
      <c r="X516" s="120"/>
      <c r="Y516" s="120"/>
      <c r="Z516" s="120"/>
      <c r="AA516" s="120"/>
      <c r="AB516" s="120"/>
      <c r="AC516" s="120"/>
      <c r="AD516" s="120"/>
      <c r="AE516" s="120"/>
      <c r="AF516" s="120"/>
      <c r="AG516" s="120"/>
      <c r="AH516" s="120"/>
      <c r="AI516" s="120"/>
      <c r="AJ516" s="120"/>
    </row>
    <row r="517" spans="1:36" s="124" customFormat="1" x14ac:dyDescent="0.25">
      <c r="A517" s="120"/>
      <c r="B517" s="120"/>
      <c r="C517" s="120"/>
      <c r="D517" s="120"/>
      <c r="E517" s="120"/>
      <c r="F517" s="120"/>
      <c r="G517" s="120"/>
      <c r="H517" s="120"/>
      <c r="I517" s="181"/>
      <c r="J517" s="120"/>
      <c r="K517" s="120"/>
      <c r="L517" s="120"/>
      <c r="M517" s="120"/>
      <c r="N517" s="120"/>
      <c r="O517" s="120"/>
      <c r="P517" s="120"/>
      <c r="Q517" s="120"/>
      <c r="R517" s="120"/>
      <c r="S517" s="120"/>
      <c r="T517" s="120"/>
      <c r="U517" s="120"/>
      <c r="V517" s="120"/>
      <c r="W517" s="120"/>
      <c r="X517" s="120"/>
      <c r="Y517" s="120"/>
      <c r="Z517" s="120"/>
      <c r="AA517" s="120"/>
      <c r="AB517" s="120"/>
      <c r="AC517" s="120"/>
      <c r="AD517" s="120"/>
      <c r="AE517" s="120"/>
      <c r="AF517" s="120"/>
      <c r="AG517" s="120"/>
      <c r="AH517" s="120"/>
      <c r="AI517" s="120"/>
      <c r="AJ517" s="120"/>
    </row>
    <row r="518" spans="1:36" s="124" customFormat="1" x14ac:dyDescent="0.25">
      <c r="A518" s="120"/>
      <c r="B518" s="120"/>
      <c r="C518" s="120"/>
      <c r="D518" s="120"/>
      <c r="E518" s="120"/>
      <c r="F518" s="120"/>
      <c r="G518" s="120"/>
      <c r="H518" s="120"/>
      <c r="I518" s="181"/>
      <c r="J518" s="120"/>
      <c r="K518" s="120"/>
      <c r="L518" s="120"/>
      <c r="M518" s="120"/>
      <c r="N518" s="120"/>
      <c r="O518" s="120"/>
      <c r="P518" s="120"/>
      <c r="Q518" s="120"/>
      <c r="R518" s="120"/>
      <c r="S518" s="120"/>
      <c r="T518" s="120"/>
      <c r="U518" s="120"/>
      <c r="V518" s="120"/>
      <c r="W518" s="120"/>
      <c r="X518" s="120"/>
      <c r="Y518" s="120"/>
      <c r="Z518" s="120"/>
      <c r="AA518" s="120"/>
      <c r="AB518" s="120"/>
      <c r="AC518" s="120"/>
      <c r="AD518" s="120"/>
      <c r="AE518" s="120"/>
      <c r="AF518" s="120"/>
      <c r="AG518" s="120"/>
      <c r="AH518" s="120"/>
      <c r="AI518" s="120"/>
      <c r="AJ518" s="120"/>
    </row>
    <row r="519" spans="1:36" s="124" customFormat="1" x14ac:dyDescent="0.25">
      <c r="A519" s="120"/>
      <c r="B519" s="120"/>
      <c r="C519" s="120"/>
      <c r="D519" s="120"/>
      <c r="E519" s="120"/>
      <c r="F519" s="120"/>
      <c r="G519" s="120"/>
      <c r="H519" s="120"/>
      <c r="I519" s="181"/>
      <c r="J519" s="120"/>
      <c r="K519" s="120"/>
      <c r="L519" s="120"/>
      <c r="M519" s="120"/>
      <c r="N519" s="120"/>
      <c r="O519" s="120"/>
      <c r="P519" s="120"/>
      <c r="Q519" s="120"/>
      <c r="R519" s="120"/>
      <c r="S519" s="120"/>
      <c r="T519" s="120"/>
      <c r="U519" s="120"/>
      <c r="V519" s="120"/>
      <c r="W519" s="120"/>
      <c r="X519" s="120"/>
      <c r="Y519" s="120"/>
      <c r="Z519" s="120"/>
      <c r="AA519" s="120"/>
      <c r="AB519" s="120"/>
      <c r="AC519" s="120"/>
      <c r="AD519" s="120"/>
      <c r="AE519" s="120"/>
      <c r="AF519" s="120"/>
      <c r="AG519" s="120"/>
      <c r="AH519" s="120"/>
      <c r="AI519" s="120"/>
      <c r="AJ519" s="120"/>
    </row>
    <row r="520" spans="1:36" s="124" customFormat="1" x14ac:dyDescent="0.25">
      <c r="A520" s="120"/>
      <c r="B520" s="120"/>
      <c r="C520" s="120"/>
      <c r="D520" s="120"/>
      <c r="E520" s="120"/>
      <c r="F520" s="120"/>
      <c r="G520" s="120"/>
      <c r="H520" s="120"/>
      <c r="I520" s="181"/>
      <c r="J520" s="120"/>
      <c r="K520" s="120"/>
      <c r="L520" s="120"/>
      <c r="M520" s="120"/>
      <c r="N520" s="120"/>
      <c r="O520" s="120"/>
      <c r="P520" s="120"/>
      <c r="Q520" s="120"/>
      <c r="R520" s="120"/>
      <c r="S520" s="120"/>
      <c r="T520" s="120"/>
      <c r="U520" s="120"/>
      <c r="V520" s="120"/>
      <c r="W520" s="120"/>
      <c r="X520" s="120"/>
      <c r="Y520" s="120"/>
      <c r="Z520" s="120"/>
      <c r="AA520" s="120"/>
      <c r="AB520" s="120"/>
      <c r="AC520" s="120"/>
      <c r="AD520" s="120"/>
      <c r="AE520" s="120"/>
      <c r="AF520" s="120"/>
      <c r="AG520" s="120"/>
      <c r="AH520" s="120"/>
      <c r="AI520" s="120"/>
      <c r="AJ520" s="120"/>
    </row>
    <row r="521" spans="1:36" s="124" customFormat="1" x14ac:dyDescent="0.25">
      <c r="A521" s="120"/>
      <c r="B521" s="120"/>
      <c r="C521" s="120"/>
      <c r="D521" s="120"/>
      <c r="E521" s="120"/>
      <c r="F521" s="120"/>
      <c r="G521" s="120"/>
      <c r="H521" s="120"/>
      <c r="I521" s="181"/>
      <c r="J521" s="120"/>
      <c r="K521" s="120"/>
      <c r="L521" s="120"/>
      <c r="M521" s="120"/>
      <c r="N521" s="120"/>
      <c r="O521" s="120"/>
      <c r="P521" s="120"/>
      <c r="Q521" s="120"/>
      <c r="R521" s="120"/>
      <c r="S521" s="120"/>
      <c r="T521" s="120"/>
      <c r="U521" s="120"/>
      <c r="V521" s="120"/>
      <c r="W521" s="120"/>
      <c r="X521" s="120"/>
      <c r="Y521" s="120"/>
      <c r="Z521" s="120"/>
      <c r="AA521" s="120"/>
      <c r="AB521" s="120"/>
      <c r="AC521" s="120"/>
      <c r="AD521" s="120"/>
      <c r="AE521" s="120"/>
      <c r="AF521" s="120"/>
      <c r="AG521" s="120"/>
      <c r="AH521" s="120"/>
      <c r="AI521" s="120"/>
      <c r="AJ521" s="120"/>
    </row>
    <row r="522" spans="1:36" s="124" customFormat="1" x14ac:dyDescent="0.25">
      <c r="A522" s="120"/>
      <c r="B522" s="120"/>
      <c r="C522" s="120"/>
      <c r="D522" s="120"/>
      <c r="E522" s="120"/>
      <c r="F522" s="120"/>
      <c r="G522" s="120"/>
      <c r="H522" s="120"/>
      <c r="I522" s="181"/>
      <c r="J522" s="120"/>
      <c r="K522" s="120"/>
      <c r="L522" s="120"/>
      <c r="M522" s="120"/>
      <c r="N522" s="120"/>
      <c r="O522" s="120"/>
      <c r="P522" s="120"/>
      <c r="Q522" s="120"/>
      <c r="R522" s="120"/>
      <c r="S522" s="120"/>
      <c r="T522" s="120"/>
      <c r="U522" s="120"/>
      <c r="V522" s="120"/>
      <c r="W522" s="120"/>
      <c r="X522" s="120"/>
      <c r="Y522" s="120"/>
      <c r="Z522" s="120"/>
      <c r="AA522" s="120"/>
      <c r="AB522" s="120"/>
      <c r="AC522" s="120"/>
      <c r="AD522" s="120"/>
      <c r="AE522" s="120"/>
      <c r="AF522" s="120"/>
      <c r="AG522" s="120"/>
      <c r="AH522" s="120"/>
      <c r="AI522" s="120"/>
      <c r="AJ522" s="120"/>
    </row>
    <row r="523" spans="1:36" s="124" customFormat="1" x14ac:dyDescent="0.25">
      <c r="A523" s="120"/>
      <c r="B523" s="120"/>
      <c r="C523" s="120"/>
      <c r="D523" s="120"/>
      <c r="E523" s="120"/>
      <c r="F523" s="120"/>
      <c r="G523" s="120"/>
      <c r="H523" s="120"/>
      <c r="I523" s="181"/>
      <c r="J523" s="120"/>
      <c r="K523" s="120"/>
      <c r="L523" s="120"/>
      <c r="M523" s="120"/>
      <c r="N523" s="120"/>
      <c r="O523" s="120"/>
      <c r="P523" s="120"/>
      <c r="Q523" s="120"/>
      <c r="R523" s="120"/>
      <c r="S523" s="120"/>
      <c r="T523" s="120"/>
      <c r="U523" s="120"/>
      <c r="V523" s="120"/>
      <c r="W523" s="120"/>
      <c r="X523" s="120"/>
      <c r="Y523" s="120"/>
      <c r="Z523" s="120"/>
      <c r="AA523" s="120"/>
      <c r="AB523" s="120"/>
      <c r="AC523" s="120"/>
      <c r="AD523" s="120"/>
      <c r="AE523" s="120"/>
      <c r="AF523" s="120"/>
      <c r="AG523" s="120"/>
      <c r="AH523" s="120"/>
      <c r="AI523" s="120"/>
      <c r="AJ523" s="120"/>
    </row>
    <row r="524" spans="1:36" s="124" customFormat="1" x14ac:dyDescent="0.25">
      <c r="A524" s="120"/>
      <c r="B524" s="120"/>
      <c r="C524" s="120"/>
      <c r="D524" s="120"/>
      <c r="E524" s="120"/>
      <c r="F524" s="120"/>
      <c r="G524" s="120"/>
      <c r="H524" s="120"/>
      <c r="I524" s="181"/>
      <c r="J524" s="120"/>
      <c r="K524" s="120"/>
      <c r="L524" s="120"/>
      <c r="M524" s="120"/>
      <c r="N524" s="120"/>
      <c r="O524" s="120"/>
      <c r="P524" s="120"/>
      <c r="Q524" s="120"/>
      <c r="R524" s="120"/>
      <c r="S524" s="120"/>
      <c r="T524" s="120"/>
      <c r="U524" s="120"/>
      <c r="V524" s="120"/>
      <c r="W524" s="120"/>
      <c r="X524" s="120"/>
      <c r="Y524" s="120"/>
      <c r="Z524" s="120"/>
      <c r="AA524" s="120"/>
      <c r="AB524" s="120"/>
      <c r="AC524" s="120"/>
      <c r="AD524" s="120"/>
      <c r="AE524" s="120"/>
      <c r="AF524" s="120"/>
      <c r="AG524" s="120"/>
      <c r="AH524" s="120"/>
      <c r="AI524" s="120"/>
      <c r="AJ524" s="120"/>
    </row>
    <row r="525" spans="1:36" s="124" customFormat="1" x14ac:dyDescent="0.25">
      <c r="A525" s="120"/>
      <c r="B525" s="120"/>
      <c r="C525" s="120"/>
      <c r="D525" s="120"/>
      <c r="E525" s="120"/>
      <c r="F525" s="120"/>
      <c r="G525" s="120"/>
      <c r="H525" s="120"/>
      <c r="I525" s="181"/>
      <c r="J525" s="120"/>
      <c r="K525" s="120"/>
      <c r="L525" s="120"/>
      <c r="M525" s="120"/>
      <c r="N525" s="120"/>
      <c r="O525" s="120"/>
      <c r="P525" s="120"/>
      <c r="Q525" s="120"/>
      <c r="R525" s="120"/>
      <c r="S525" s="120"/>
      <c r="T525" s="120"/>
      <c r="U525" s="120"/>
      <c r="V525" s="120"/>
      <c r="W525" s="120"/>
      <c r="X525" s="120"/>
      <c r="Y525" s="120"/>
      <c r="Z525" s="120"/>
      <c r="AA525" s="120"/>
      <c r="AB525" s="120"/>
      <c r="AC525" s="120"/>
      <c r="AD525" s="120"/>
      <c r="AE525" s="120"/>
      <c r="AF525" s="120"/>
      <c r="AG525" s="120"/>
      <c r="AH525" s="120"/>
      <c r="AI525" s="120"/>
      <c r="AJ525" s="120"/>
    </row>
    <row r="526" spans="1:36" s="124" customFormat="1" x14ac:dyDescent="0.25">
      <c r="A526" s="120"/>
      <c r="B526" s="120"/>
      <c r="C526" s="120"/>
      <c r="D526" s="120"/>
      <c r="E526" s="120"/>
      <c r="F526" s="120"/>
      <c r="G526" s="120"/>
      <c r="H526" s="120"/>
      <c r="I526" s="181"/>
      <c r="J526" s="120"/>
      <c r="K526" s="120"/>
      <c r="L526" s="120"/>
      <c r="M526" s="120"/>
      <c r="N526" s="120"/>
      <c r="O526" s="120"/>
      <c r="P526" s="120"/>
      <c r="Q526" s="120"/>
      <c r="R526" s="120"/>
      <c r="S526" s="120"/>
      <c r="T526" s="120"/>
      <c r="U526" s="120"/>
      <c r="V526" s="120"/>
      <c r="W526" s="120"/>
      <c r="X526" s="120"/>
      <c r="Y526" s="120"/>
      <c r="Z526" s="120"/>
      <c r="AA526" s="120"/>
      <c r="AB526" s="120"/>
      <c r="AC526" s="120"/>
      <c r="AD526" s="120"/>
      <c r="AE526" s="120"/>
      <c r="AF526" s="120"/>
      <c r="AG526" s="120"/>
      <c r="AH526" s="120"/>
      <c r="AI526" s="120"/>
      <c r="AJ526" s="120"/>
    </row>
    <row r="527" spans="1:36" s="124" customFormat="1" x14ac:dyDescent="0.25">
      <c r="A527" s="120"/>
      <c r="B527" s="120"/>
      <c r="C527" s="120"/>
      <c r="D527" s="120"/>
      <c r="E527" s="120"/>
      <c r="F527" s="120"/>
      <c r="G527" s="120"/>
      <c r="H527" s="120"/>
      <c r="I527" s="181"/>
      <c r="J527" s="120"/>
      <c r="K527" s="120"/>
      <c r="L527" s="120"/>
      <c r="M527" s="120"/>
      <c r="N527" s="120"/>
      <c r="O527" s="120"/>
      <c r="P527" s="120"/>
      <c r="Q527" s="120"/>
      <c r="R527" s="120"/>
      <c r="S527" s="120"/>
      <c r="T527" s="120"/>
      <c r="U527" s="120"/>
      <c r="V527" s="120"/>
      <c r="W527" s="120"/>
      <c r="X527" s="120"/>
      <c r="Y527" s="120"/>
      <c r="Z527" s="120"/>
      <c r="AA527" s="120"/>
      <c r="AB527" s="120"/>
      <c r="AC527" s="120"/>
      <c r="AD527" s="120"/>
      <c r="AE527" s="120"/>
      <c r="AF527" s="120"/>
      <c r="AG527" s="120"/>
      <c r="AH527" s="120"/>
      <c r="AI527" s="120"/>
      <c r="AJ527" s="120"/>
    </row>
    <row r="528" spans="1:36" s="124" customFormat="1" x14ac:dyDescent="0.25">
      <c r="A528" s="120"/>
      <c r="B528" s="120"/>
      <c r="C528" s="120"/>
      <c r="D528" s="120"/>
      <c r="E528" s="120"/>
      <c r="F528" s="120"/>
      <c r="G528" s="120"/>
      <c r="H528" s="120"/>
      <c r="I528" s="181"/>
      <c r="J528" s="120"/>
      <c r="K528" s="120"/>
      <c r="L528" s="120"/>
      <c r="M528" s="120"/>
      <c r="N528" s="120"/>
      <c r="O528" s="120"/>
      <c r="P528" s="120"/>
      <c r="Q528" s="120"/>
      <c r="R528" s="120"/>
      <c r="S528" s="120"/>
      <c r="T528" s="120"/>
      <c r="U528" s="120"/>
      <c r="V528" s="120"/>
      <c r="W528" s="120"/>
      <c r="X528" s="120"/>
      <c r="Y528" s="120"/>
      <c r="Z528" s="120"/>
      <c r="AA528" s="120"/>
      <c r="AB528" s="120"/>
      <c r="AC528" s="120"/>
      <c r="AD528" s="120"/>
      <c r="AE528" s="120"/>
      <c r="AF528" s="120"/>
      <c r="AG528" s="120"/>
      <c r="AH528" s="120"/>
      <c r="AI528" s="120"/>
      <c r="AJ528" s="120"/>
    </row>
    <row r="529" spans="1:36" s="124" customFormat="1" x14ac:dyDescent="0.25">
      <c r="A529" s="120"/>
      <c r="B529" s="120"/>
      <c r="C529" s="120"/>
      <c r="D529" s="120"/>
      <c r="E529" s="120"/>
      <c r="F529" s="120"/>
      <c r="G529" s="120"/>
      <c r="H529" s="120"/>
      <c r="I529" s="181"/>
      <c r="J529" s="120"/>
      <c r="K529" s="120"/>
      <c r="L529" s="120"/>
      <c r="M529" s="120"/>
      <c r="N529" s="120"/>
      <c r="O529" s="120"/>
      <c r="P529" s="120"/>
      <c r="Q529" s="120"/>
      <c r="R529" s="120"/>
      <c r="S529" s="120"/>
      <c r="T529" s="120"/>
      <c r="U529" s="120"/>
      <c r="V529" s="120"/>
      <c r="W529" s="120"/>
      <c r="X529" s="120"/>
      <c r="Y529" s="120"/>
      <c r="Z529" s="120"/>
      <c r="AA529" s="120"/>
      <c r="AB529" s="120"/>
      <c r="AC529" s="120"/>
      <c r="AD529" s="120"/>
      <c r="AE529" s="120"/>
      <c r="AF529" s="120"/>
      <c r="AG529" s="120"/>
      <c r="AH529" s="120"/>
      <c r="AI529" s="120"/>
      <c r="AJ529" s="120"/>
    </row>
    <row r="530" spans="1:36" s="124" customFormat="1" x14ac:dyDescent="0.25">
      <c r="A530" s="120"/>
      <c r="B530" s="120"/>
      <c r="C530" s="120"/>
      <c r="D530" s="120"/>
      <c r="E530" s="120"/>
      <c r="F530" s="120"/>
      <c r="G530" s="120"/>
      <c r="H530" s="120"/>
      <c r="I530" s="181"/>
      <c r="J530" s="120"/>
      <c r="K530" s="120"/>
      <c r="L530" s="120"/>
      <c r="M530" s="120"/>
      <c r="N530" s="120"/>
      <c r="O530" s="120"/>
      <c r="P530" s="120"/>
      <c r="Q530" s="120"/>
      <c r="R530" s="120"/>
      <c r="S530" s="120"/>
      <c r="T530" s="120"/>
      <c r="U530" s="120"/>
      <c r="V530" s="120"/>
      <c r="W530" s="120"/>
      <c r="X530" s="120"/>
      <c r="Y530" s="120"/>
      <c r="Z530" s="120"/>
      <c r="AA530" s="120"/>
      <c r="AB530" s="120"/>
      <c r="AC530" s="120"/>
      <c r="AD530" s="120"/>
      <c r="AE530" s="120"/>
      <c r="AF530" s="120"/>
      <c r="AG530" s="120"/>
      <c r="AH530" s="120"/>
      <c r="AI530" s="120"/>
      <c r="AJ530" s="120"/>
    </row>
    <row r="531" spans="1:36" s="124" customFormat="1" x14ac:dyDescent="0.25">
      <c r="A531" s="120"/>
      <c r="B531" s="120"/>
      <c r="C531" s="120"/>
      <c r="D531" s="120"/>
      <c r="E531" s="120"/>
      <c r="F531" s="120"/>
      <c r="G531" s="120"/>
      <c r="H531" s="120"/>
      <c r="I531" s="181"/>
      <c r="J531" s="120"/>
      <c r="K531" s="120"/>
      <c r="L531" s="120"/>
      <c r="M531" s="120"/>
      <c r="N531" s="120"/>
      <c r="O531" s="120"/>
      <c r="P531" s="120"/>
      <c r="Q531" s="120"/>
      <c r="R531" s="120"/>
      <c r="S531" s="120"/>
      <c r="T531" s="120"/>
      <c r="U531" s="120"/>
      <c r="V531" s="120"/>
      <c r="W531" s="120"/>
      <c r="X531" s="120"/>
      <c r="Y531" s="120"/>
      <c r="Z531" s="120"/>
      <c r="AA531" s="120"/>
      <c r="AB531" s="120"/>
      <c r="AC531" s="120"/>
      <c r="AD531" s="120"/>
      <c r="AE531" s="120"/>
      <c r="AF531" s="120"/>
      <c r="AG531" s="120"/>
      <c r="AH531" s="120"/>
      <c r="AI531" s="120"/>
      <c r="AJ531" s="120"/>
    </row>
    <row r="532" spans="1:36" s="124" customFormat="1" x14ac:dyDescent="0.25">
      <c r="A532" s="120"/>
      <c r="B532" s="120"/>
      <c r="C532" s="120"/>
      <c r="D532" s="120"/>
      <c r="E532" s="120"/>
      <c r="F532" s="120"/>
      <c r="G532" s="120"/>
      <c r="H532" s="120"/>
      <c r="I532" s="181"/>
      <c r="J532" s="120"/>
      <c r="K532" s="120"/>
      <c r="L532" s="120"/>
      <c r="M532" s="120"/>
      <c r="N532" s="120"/>
      <c r="O532" s="120"/>
      <c r="P532" s="120"/>
      <c r="Q532" s="120"/>
      <c r="R532" s="120"/>
      <c r="S532" s="120"/>
      <c r="T532" s="120"/>
      <c r="U532" s="120"/>
      <c r="V532" s="120"/>
      <c r="W532" s="120"/>
      <c r="X532" s="120"/>
      <c r="Y532" s="120"/>
      <c r="Z532" s="120"/>
      <c r="AA532" s="120"/>
      <c r="AB532" s="120"/>
      <c r="AC532" s="120"/>
      <c r="AD532" s="120"/>
      <c r="AE532" s="120"/>
      <c r="AF532" s="120"/>
      <c r="AG532" s="120"/>
      <c r="AH532" s="120"/>
      <c r="AI532" s="120"/>
      <c r="AJ532" s="120"/>
    </row>
    <row r="533" spans="1:36" s="124" customFormat="1" x14ac:dyDescent="0.25">
      <c r="A533" s="120"/>
      <c r="B533" s="120"/>
      <c r="C533" s="120"/>
      <c r="D533" s="120"/>
      <c r="E533" s="120"/>
      <c r="F533" s="120"/>
      <c r="G533" s="120"/>
      <c r="H533" s="120"/>
      <c r="I533" s="181"/>
      <c r="J533" s="120"/>
      <c r="K533" s="120"/>
      <c r="L533" s="120"/>
      <c r="M533" s="120"/>
      <c r="N533" s="120"/>
      <c r="O533" s="120"/>
      <c r="P533" s="120"/>
      <c r="Q533" s="120"/>
      <c r="R533" s="120"/>
      <c r="S533" s="120"/>
      <c r="T533" s="120"/>
      <c r="U533" s="120"/>
      <c r="V533" s="120"/>
      <c r="W533" s="120"/>
      <c r="X533" s="120"/>
      <c r="Y533" s="120"/>
      <c r="Z533" s="120"/>
      <c r="AA533" s="120"/>
      <c r="AB533" s="120"/>
      <c r="AC533" s="120"/>
      <c r="AD533" s="120"/>
      <c r="AE533" s="120"/>
      <c r="AF533" s="120"/>
      <c r="AG533" s="120"/>
      <c r="AH533" s="120"/>
      <c r="AI533" s="120"/>
      <c r="AJ533" s="120"/>
    </row>
    <row r="534" spans="1:36" s="124" customFormat="1" x14ac:dyDescent="0.25">
      <c r="A534" s="120"/>
      <c r="B534" s="120"/>
      <c r="C534" s="120"/>
      <c r="D534" s="120"/>
      <c r="E534" s="120"/>
      <c r="F534" s="120"/>
      <c r="G534" s="120"/>
      <c r="H534" s="120"/>
      <c r="I534" s="181"/>
      <c r="J534" s="120"/>
      <c r="K534" s="120"/>
      <c r="L534" s="120"/>
      <c r="M534" s="120"/>
      <c r="N534" s="120"/>
      <c r="O534" s="120"/>
      <c r="P534" s="120"/>
      <c r="Q534" s="120"/>
      <c r="R534" s="120"/>
      <c r="S534" s="120"/>
      <c r="T534" s="120"/>
      <c r="U534" s="120"/>
      <c r="V534" s="120"/>
      <c r="W534" s="120"/>
      <c r="X534" s="120"/>
      <c r="Y534" s="120"/>
      <c r="Z534" s="120"/>
      <c r="AA534" s="120"/>
      <c r="AB534" s="120"/>
      <c r="AC534" s="120"/>
      <c r="AD534" s="120"/>
      <c r="AE534" s="120"/>
      <c r="AF534" s="120"/>
      <c r="AG534" s="120"/>
      <c r="AH534" s="120"/>
      <c r="AI534" s="120"/>
      <c r="AJ534" s="120"/>
    </row>
    <row r="535" spans="1:36" s="124" customFormat="1" x14ac:dyDescent="0.25">
      <c r="A535" s="120"/>
      <c r="B535" s="120"/>
      <c r="C535" s="120"/>
      <c r="D535" s="120"/>
      <c r="E535" s="120"/>
      <c r="F535" s="120"/>
      <c r="G535" s="120"/>
      <c r="H535" s="120"/>
      <c r="I535" s="181"/>
      <c r="J535" s="120"/>
      <c r="K535" s="120"/>
      <c r="L535" s="120"/>
      <c r="M535" s="120"/>
      <c r="N535" s="120"/>
      <c r="O535" s="120"/>
      <c r="P535" s="120"/>
      <c r="Q535" s="120"/>
      <c r="R535" s="120"/>
      <c r="S535" s="120"/>
      <c r="T535" s="120"/>
      <c r="U535" s="120"/>
      <c r="V535" s="120"/>
      <c r="W535" s="120"/>
      <c r="X535" s="120"/>
      <c r="Y535" s="120"/>
      <c r="Z535" s="120"/>
      <c r="AA535" s="120"/>
      <c r="AB535" s="120"/>
      <c r="AC535" s="120"/>
      <c r="AD535" s="120"/>
      <c r="AE535" s="120"/>
      <c r="AF535" s="120"/>
      <c r="AG535" s="120"/>
      <c r="AH535" s="120"/>
      <c r="AI535" s="120"/>
      <c r="AJ535" s="120"/>
    </row>
    <row r="536" spans="1:36" s="124" customFormat="1" x14ac:dyDescent="0.25">
      <c r="A536" s="120"/>
      <c r="B536" s="120"/>
      <c r="C536" s="120"/>
      <c r="D536" s="120"/>
      <c r="E536" s="120"/>
      <c r="F536" s="120"/>
      <c r="G536" s="120"/>
      <c r="H536" s="120"/>
      <c r="I536" s="181"/>
      <c r="J536" s="120"/>
      <c r="K536" s="120"/>
      <c r="L536" s="120"/>
      <c r="M536" s="120"/>
      <c r="N536" s="120"/>
      <c r="O536" s="120"/>
      <c r="P536" s="120"/>
      <c r="Q536" s="120"/>
      <c r="R536" s="120"/>
      <c r="S536" s="120"/>
      <c r="T536" s="120"/>
      <c r="U536" s="120"/>
      <c r="V536" s="120"/>
      <c r="W536" s="120"/>
      <c r="X536" s="120"/>
      <c r="Y536" s="120"/>
      <c r="Z536" s="120"/>
      <c r="AA536" s="120"/>
      <c r="AB536" s="120"/>
      <c r="AC536" s="120"/>
      <c r="AD536" s="120"/>
      <c r="AE536" s="120"/>
      <c r="AF536" s="120"/>
      <c r="AG536" s="120"/>
      <c r="AH536" s="120"/>
      <c r="AI536" s="120"/>
      <c r="AJ536" s="120"/>
    </row>
    <row r="537" spans="1:36" s="124" customFormat="1" x14ac:dyDescent="0.25">
      <c r="A537" s="120"/>
      <c r="B537" s="120"/>
      <c r="C537" s="120"/>
      <c r="D537" s="120"/>
      <c r="E537" s="120"/>
      <c r="F537" s="120"/>
      <c r="G537" s="120"/>
      <c r="H537" s="120"/>
      <c r="I537" s="181"/>
      <c r="J537" s="120"/>
      <c r="K537" s="120"/>
      <c r="L537" s="120"/>
      <c r="M537" s="120"/>
      <c r="N537" s="120"/>
      <c r="O537" s="120"/>
      <c r="P537" s="120"/>
      <c r="Q537" s="120"/>
      <c r="R537" s="120"/>
      <c r="S537" s="120"/>
      <c r="T537" s="120"/>
      <c r="U537" s="120"/>
      <c r="V537" s="120"/>
      <c r="W537" s="120"/>
      <c r="X537" s="120"/>
      <c r="Y537" s="120"/>
      <c r="Z537" s="120"/>
      <c r="AA537" s="120"/>
      <c r="AB537" s="120"/>
      <c r="AC537" s="120"/>
      <c r="AD537" s="120"/>
      <c r="AE537" s="120"/>
      <c r="AF537" s="120"/>
      <c r="AG537" s="120"/>
      <c r="AH537" s="120"/>
      <c r="AI537" s="120"/>
      <c r="AJ537" s="120"/>
    </row>
    <row r="538" spans="1:36" s="124" customFormat="1" x14ac:dyDescent="0.25">
      <c r="A538" s="120"/>
      <c r="B538" s="120"/>
      <c r="C538" s="120"/>
      <c r="D538" s="120"/>
      <c r="E538" s="120"/>
      <c r="F538" s="120"/>
      <c r="G538" s="120"/>
      <c r="H538" s="120"/>
      <c r="I538" s="181"/>
      <c r="J538" s="120"/>
      <c r="K538" s="120"/>
      <c r="L538" s="120"/>
      <c r="M538" s="120"/>
      <c r="N538" s="120"/>
      <c r="O538" s="120"/>
      <c r="P538" s="120"/>
      <c r="Q538" s="120"/>
      <c r="R538" s="120"/>
      <c r="S538" s="120"/>
      <c r="T538" s="120"/>
      <c r="U538" s="120"/>
      <c r="V538" s="120"/>
      <c r="W538" s="120"/>
      <c r="X538" s="120"/>
      <c r="Y538" s="120"/>
      <c r="Z538" s="120"/>
      <c r="AA538" s="120"/>
      <c r="AB538" s="120"/>
      <c r="AC538" s="120"/>
      <c r="AD538" s="120"/>
      <c r="AE538" s="120"/>
      <c r="AF538" s="120"/>
      <c r="AG538" s="120"/>
      <c r="AH538" s="120"/>
      <c r="AI538" s="120"/>
      <c r="AJ538" s="120"/>
    </row>
    <row r="539" spans="1:36" s="124" customFormat="1" x14ac:dyDescent="0.25">
      <c r="A539" s="120"/>
      <c r="B539" s="120"/>
      <c r="C539" s="120"/>
      <c r="D539" s="120"/>
      <c r="E539" s="120"/>
      <c r="F539" s="120"/>
      <c r="G539" s="120"/>
      <c r="H539" s="120"/>
      <c r="I539" s="181"/>
      <c r="J539" s="120"/>
      <c r="K539" s="120"/>
      <c r="L539" s="120"/>
      <c r="M539" s="120"/>
      <c r="N539" s="120"/>
      <c r="O539" s="120"/>
      <c r="P539" s="120"/>
      <c r="Q539" s="120"/>
      <c r="R539" s="120"/>
      <c r="S539" s="120"/>
      <c r="T539" s="120"/>
      <c r="U539" s="120"/>
      <c r="V539" s="120"/>
      <c r="W539" s="120"/>
      <c r="X539" s="120"/>
      <c r="Y539" s="120"/>
      <c r="Z539" s="120"/>
      <c r="AA539" s="120"/>
      <c r="AB539" s="120"/>
      <c r="AC539" s="120"/>
      <c r="AD539" s="120"/>
      <c r="AE539" s="120"/>
      <c r="AF539" s="120"/>
      <c r="AG539" s="120"/>
      <c r="AH539" s="120"/>
      <c r="AI539" s="120"/>
      <c r="AJ539" s="120"/>
    </row>
    <row r="540" spans="1:36" s="124" customFormat="1" x14ac:dyDescent="0.25">
      <c r="A540" s="120"/>
      <c r="B540" s="120"/>
      <c r="C540" s="120"/>
      <c r="D540" s="120"/>
      <c r="E540" s="120"/>
      <c r="F540" s="120"/>
      <c r="G540" s="120"/>
      <c r="H540" s="120"/>
      <c r="I540" s="181"/>
      <c r="J540" s="120"/>
      <c r="K540" s="120"/>
      <c r="L540" s="120"/>
      <c r="M540" s="120"/>
      <c r="N540" s="120"/>
      <c r="O540" s="120"/>
      <c r="P540" s="120"/>
      <c r="Q540" s="120"/>
      <c r="R540" s="120"/>
      <c r="S540" s="120"/>
      <c r="T540" s="120"/>
      <c r="U540" s="120"/>
      <c r="V540" s="120"/>
      <c r="W540" s="120"/>
      <c r="X540" s="120"/>
      <c r="Y540" s="120"/>
      <c r="Z540" s="120"/>
      <c r="AA540" s="120"/>
      <c r="AB540" s="120"/>
      <c r="AC540" s="120"/>
      <c r="AD540" s="120"/>
      <c r="AE540" s="120"/>
      <c r="AF540" s="120"/>
      <c r="AG540" s="120"/>
      <c r="AH540" s="120"/>
      <c r="AI540" s="120"/>
      <c r="AJ540" s="120"/>
    </row>
    <row r="541" spans="1:36" s="124" customFormat="1" x14ac:dyDescent="0.25">
      <c r="A541" s="120"/>
      <c r="B541" s="120"/>
      <c r="C541" s="120"/>
      <c r="D541" s="120"/>
      <c r="E541" s="120"/>
      <c r="F541" s="120"/>
      <c r="G541" s="120"/>
      <c r="H541" s="120"/>
      <c r="I541" s="181"/>
      <c r="J541" s="120"/>
      <c r="K541" s="120"/>
      <c r="L541" s="120"/>
      <c r="M541" s="120"/>
      <c r="N541" s="120"/>
      <c r="O541" s="120"/>
      <c r="P541" s="120"/>
      <c r="Q541" s="120"/>
      <c r="R541" s="120"/>
      <c r="S541" s="120"/>
      <c r="T541" s="120"/>
      <c r="U541" s="120"/>
      <c r="V541" s="120"/>
      <c r="W541" s="120"/>
      <c r="X541" s="120"/>
      <c r="Y541" s="120"/>
      <c r="Z541" s="120"/>
      <c r="AA541" s="120"/>
      <c r="AB541" s="120"/>
      <c r="AC541" s="120"/>
      <c r="AD541" s="120"/>
      <c r="AE541" s="120"/>
      <c r="AF541" s="120"/>
      <c r="AG541" s="120"/>
      <c r="AH541" s="120"/>
      <c r="AI541" s="120"/>
      <c r="AJ541" s="120"/>
    </row>
    <row r="542" spans="1:36" s="124" customFormat="1" x14ac:dyDescent="0.25">
      <c r="A542" s="120"/>
      <c r="B542" s="120"/>
      <c r="C542" s="120"/>
      <c r="D542" s="120"/>
      <c r="E542" s="120"/>
      <c r="F542" s="120"/>
      <c r="G542" s="120"/>
      <c r="H542" s="120"/>
      <c r="I542" s="181"/>
      <c r="J542" s="120"/>
      <c r="K542" s="120"/>
      <c r="L542" s="120"/>
      <c r="M542" s="120"/>
      <c r="N542" s="120"/>
      <c r="O542" s="120"/>
      <c r="P542" s="120"/>
      <c r="Q542" s="120"/>
      <c r="R542" s="120"/>
      <c r="S542" s="120"/>
      <c r="T542" s="120"/>
      <c r="U542" s="120"/>
      <c r="V542" s="120"/>
      <c r="W542" s="120"/>
      <c r="X542" s="120"/>
      <c r="Y542" s="120"/>
      <c r="Z542" s="120"/>
      <c r="AA542" s="120"/>
      <c r="AB542" s="120"/>
      <c r="AC542" s="120"/>
      <c r="AD542" s="120"/>
      <c r="AE542" s="120"/>
      <c r="AF542" s="120"/>
      <c r="AG542" s="120"/>
      <c r="AH542" s="120"/>
      <c r="AI542" s="120"/>
      <c r="AJ542" s="120"/>
    </row>
    <row r="543" spans="1:36" s="124" customFormat="1" x14ac:dyDescent="0.25">
      <c r="A543" s="120"/>
      <c r="B543" s="120"/>
      <c r="C543" s="120"/>
      <c r="D543" s="120"/>
      <c r="E543" s="120"/>
      <c r="F543" s="120"/>
      <c r="G543" s="120"/>
      <c r="H543" s="120"/>
      <c r="I543" s="181"/>
      <c r="J543" s="120"/>
      <c r="K543" s="120"/>
      <c r="L543" s="120"/>
      <c r="M543" s="120"/>
      <c r="N543" s="120"/>
      <c r="O543" s="120"/>
      <c r="P543" s="120"/>
      <c r="Q543" s="120"/>
      <c r="R543" s="120"/>
      <c r="S543" s="120"/>
      <c r="T543" s="120"/>
      <c r="U543" s="120"/>
      <c r="V543" s="120"/>
      <c r="W543" s="120"/>
      <c r="X543" s="120"/>
      <c r="Y543" s="120"/>
      <c r="Z543" s="120"/>
      <c r="AA543" s="120"/>
      <c r="AB543" s="120"/>
      <c r="AC543" s="120"/>
      <c r="AD543" s="120"/>
      <c r="AE543" s="120"/>
      <c r="AF543" s="120"/>
      <c r="AG543" s="120"/>
      <c r="AH543" s="120"/>
      <c r="AI543" s="120"/>
      <c r="AJ543" s="120"/>
    </row>
    <row r="544" spans="1:36" s="124" customFormat="1" x14ac:dyDescent="0.25">
      <c r="A544" s="120"/>
      <c r="B544" s="120"/>
      <c r="C544" s="120"/>
      <c r="D544" s="120"/>
      <c r="E544" s="120"/>
      <c r="F544" s="120"/>
      <c r="G544" s="120"/>
      <c r="H544" s="120"/>
      <c r="I544" s="181"/>
      <c r="J544" s="120"/>
      <c r="K544" s="120"/>
      <c r="L544" s="120"/>
      <c r="M544" s="120"/>
      <c r="N544" s="120"/>
      <c r="O544" s="120"/>
      <c r="P544" s="120"/>
      <c r="Q544" s="120"/>
      <c r="R544" s="120"/>
      <c r="S544" s="120"/>
      <c r="T544" s="120"/>
      <c r="U544" s="120"/>
      <c r="V544" s="120"/>
      <c r="W544" s="120"/>
      <c r="X544" s="120"/>
      <c r="Y544" s="120"/>
      <c r="Z544" s="120"/>
      <c r="AA544" s="120"/>
      <c r="AB544" s="120"/>
      <c r="AC544" s="120"/>
      <c r="AD544" s="120"/>
      <c r="AE544" s="120"/>
      <c r="AF544" s="120"/>
      <c r="AG544" s="120"/>
      <c r="AH544" s="120"/>
      <c r="AI544" s="120"/>
      <c r="AJ544" s="120"/>
    </row>
    <row r="545" spans="1:36" s="124" customFormat="1" x14ac:dyDescent="0.25">
      <c r="A545" s="120"/>
      <c r="B545" s="120"/>
      <c r="C545" s="120"/>
      <c r="D545" s="120"/>
      <c r="E545" s="120"/>
      <c r="F545" s="120"/>
      <c r="G545" s="120"/>
      <c r="H545" s="120"/>
      <c r="I545" s="181"/>
      <c r="J545" s="120"/>
      <c r="K545" s="120"/>
      <c r="L545" s="120"/>
      <c r="M545" s="120"/>
      <c r="N545" s="120"/>
      <c r="O545" s="120"/>
      <c r="P545" s="120"/>
      <c r="Q545" s="120"/>
      <c r="R545" s="120"/>
      <c r="S545" s="120"/>
      <c r="T545" s="120"/>
      <c r="U545" s="120"/>
      <c r="V545" s="120"/>
      <c r="W545" s="120"/>
      <c r="X545" s="120"/>
      <c r="Y545" s="120"/>
      <c r="Z545" s="120"/>
      <c r="AA545" s="120"/>
      <c r="AB545" s="120"/>
      <c r="AC545" s="120"/>
      <c r="AD545" s="120"/>
      <c r="AE545" s="120"/>
      <c r="AF545" s="120"/>
      <c r="AG545" s="120"/>
      <c r="AH545" s="120"/>
      <c r="AI545" s="120"/>
      <c r="AJ545" s="120"/>
    </row>
    <row r="546" spans="1:36" s="124" customFormat="1" x14ac:dyDescent="0.25">
      <c r="A546" s="120"/>
      <c r="B546" s="120"/>
      <c r="C546" s="120"/>
      <c r="D546" s="120"/>
      <c r="E546" s="120"/>
      <c r="F546" s="120"/>
      <c r="G546" s="120"/>
      <c r="H546" s="120"/>
      <c r="I546" s="181"/>
      <c r="J546" s="120"/>
      <c r="K546" s="120"/>
      <c r="L546" s="120"/>
      <c r="M546" s="120"/>
      <c r="N546" s="120"/>
      <c r="O546" s="120"/>
      <c r="P546" s="120"/>
      <c r="Q546" s="120"/>
      <c r="R546" s="120"/>
      <c r="S546" s="120"/>
      <c r="T546" s="120"/>
      <c r="U546" s="120"/>
      <c r="V546" s="120"/>
      <c r="W546" s="120"/>
      <c r="X546" s="120"/>
      <c r="Y546" s="120"/>
      <c r="Z546" s="120"/>
      <c r="AA546" s="120"/>
      <c r="AB546" s="120"/>
      <c r="AC546" s="120"/>
      <c r="AD546" s="120"/>
      <c r="AE546" s="120"/>
      <c r="AF546" s="120"/>
      <c r="AG546" s="120"/>
      <c r="AH546" s="120"/>
      <c r="AI546" s="120"/>
      <c r="AJ546" s="120"/>
    </row>
    <row r="547" spans="1:36" s="124" customFormat="1" x14ac:dyDescent="0.25">
      <c r="A547" s="120"/>
      <c r="B547" s="120"/>
      <c r="C547" s="120"/>
      <c r="D547" s="120"/>
      <c r="E547" s="120"/>
      <c r="F547" s="120"/>
      <c r="G547" s="120"/>
      <c r="H547" s="120"/>
      <c r="I547" s="181"/>
      <c r="J547" s="120"/>
      <c r="K547" s="120"/>
      <c r="L547" s="120"/>
      <c r="M547" s="120"/>
      <c r="N547" s="120"/>
      <c r="O547" s="120"/>
      <c r="P547" s="120"/>
      <c r="Q547" s="120"/>
      <c r="R547" s="120"/>
      <c r="S547" s="120"/>
      <c r="T547" s="120"/>
      <c r="U547" s="120"/>
      <c r="V547" s="120"/>
      <c r="W547" s="120"/>
      <c r="X547" s="120"/>
      <c r="Y547" s="120"/>
      <c r="Z547" s="120"/>
      <c r="AA547" s="120"/>
      <c r="AB547" s="120"/>
      <c r="AC547" s="120"/>
      <c r="AD547" s="120"/>
      <c r="AE547" s="120"/>
      <c r="AF547" s="120"/>
      <c r="AG547" s="120"/>
      <c r="AH547" s="120"/>
      <c r="AI547" s="120"/>
      <c r="AJ547" s="120"/>
    </row>
    <row r="548" spans="1:36" s="124" customFormat="1" x14ac:dyDescent="0.25">
      <c r="A548" s="120"/>
      <c r="B548" s="120"/>
      <c r="C548" s="120"/>
      <c r="D548" s="120"/>
      <c r="E548" s="120"/>
      <c r="F548" s="120"/>
      <c r="G548" s="120"/>
      <c r="H548" s="120"/>
      <c r="I548" s="181"/>
      <c r="J548" s="120"/>
      <c r="K548" s="120"/>
      <c r="L548" s="120"/>
      <c r="M548" s="120"/>
      <c r="N548" s="120"/>
      <c r="O548" s="120"/>
      <c r="P548" s="120"/>
      <c r="Q548" s="120"/>
      <c r="R548" s="120"/>
      <c r="S548" s="120"/>
      <c r="T548" s="120"/>
      <c r="U548" s="120"/>
      <c r="V548" s="120"/>
      <c r="W548" s="120"/>
      <c r="X548" s="120"/>
      <c r="Y548" s="120"/>
      <c r="Z548" s="120"/>
      <c r="AA548" s="120"/>
      <c r="AB548" s="120"/>
      <c r="AC548" s="120"/>
      <c r="AD548" s="120"/>
      <c r="AE548" s="120"/>
      <c r="AF548" s="120"/>
      <c r="AG548" s="120"/>
      <c r="AH548" s="120"/>
      <c r="AI548" s="120"/>
      <c r="AJ548" s="120"/>
    </row>
    <row r="549" spans="1:36" s="124" customFormat="1" x14ac:dyDescent="0.25">
      <c r="A549" s="120"/>
      <c r="B549" s="120"/>
      <c r="C549" s="120"/>
      <c r="D549" s="120"/>
      <c r="E549" s="120"/>
      <c r="F549" s="120"/>
      <c r="G549" s="120"/>
      <c r="H549" s="120"/>
      <c r="I549" s="181"/>
      <c r="J549" s="120"/>
      <c r="K549" s="120"/>
      <c r="L549" s="120"/>
      <c r="M549" s="120"/>
      <c r="N549" s="120"/>
      <c r="O549" s="120"/>
      <c r="P549" s="120"/>
      <c r="Q549" s="120"/>
      <c r="R549" s="120"/>
      <c r="S549" s="120"/>
      <c r="T549" s="120"/>
      <c r="U549" s="120"/>
      <c r="V549" s="120"/>
      <c r="W549" s="120"/>
      <c r="X549" s="120"/>
      <c r="Y549" s="120"/>
      <c r="Z549" s="120"/>
      <c r="AA549" s="120"/>
      <c r="AB549" s="120"/>
      <c r="AC549" s="120"/>
      <c r="AD549" s="120"/>
      <c r="AE549" s="120"/>
      <c r="AF549" s="120"/>
      <c r="AG549" s="120"/>
      <c r="AH549" s="120"/>
      <c r="AI549" s="120"/>
      <c r="AJ549" s="120"/>
    </row>
    <row r="550" spans="1:36" s="124" customFormat="1" x14ac:dyDescent="0.25">
      <c r="A550" s="120"/>
      <c r="B550" s="120"/>
      <c r="C550" s="120"/>
      <c r="D550" s="120"/>
      <c r="E550" s="120"/>
      <c r="F550" s="120"/>
      <c r="G550" s="120"/>
      <c r="H550" s="120"/>
      <c r="I550" s="181"/>
      <c r="J550" s="120"/>
      <c r="K550" s="120"/>
      <c r="L550" s="120"/>
      <c r="M550" s="120"/>
      <c r="N550" s="120"/>
      <c r="O550" s="120"/>
      <c r="P550" s="120"/>
      <c r="Q550" s="120"/>
      <c r="R550" s="120"/>
      <c r="S550" s="120"/>
      <c r="T550" s="120"/>
      <c r="U550" s="120"/>
      <c r="V550" s="120"/>
      <c r="W550" s="120"/>
      <c r="X550" s="120"/>
      <c r="Y550" s="120"/>
      <c r="Z550" s="120"/>
      <c r="AA550" s="120"/>
      <c r="AB550" s="120"/>
      <c r="AC550" s="120"/>
      <c r="AD550" s="120"/>
      <c r="AE550" s="120"/>
      <c r="AF550" s="120"/>
      <c r="AG550" s="120"/>
      <c r="AH550" s="120"/>
      <c r="AI550" s="120"/>
      <c r="AJ550" s="120"/>
    </row>
    <row r="551" spans="1:36" s="124" customFormat="1" x14ac:dyDescent="0.25">
      <c r="A551" s="120"/>
      <c r="B551" s="120"/>
      <c r="C551" s="120"/>
      <c r="D551" s="120"/>
      <c r="E551" s="120"/>
      <c r="F551" s="120"/>
      <c r="G551" s="120"/>
      <c r="H551" s="120"/>
      <c r="I551" s="181"/>
      <c r="J551" s="120"/>
      <c r="K551" s="120"/>
      <c r="L551" s="120"/>
      <c r="M551" s="120"/>
      <c r="N551" s="120"/>
      <c r="O551" s="120"/>
      <c r="P551" s="120"/>
      <c r="Q551" s="120"/>
      <c r="R551" s="120"/>
      <c r="S551" s="120"/>
      <c r="T551" s="120"/>
      <c r="U551" s="120"/>
      <c r="V551" s="120"/>
      <c r="W551" s="120"/>
      <c r="X551" s="120"/>
      <c r="Y551" s="120"/>
      <c r="Z551" s="120"/>
      <c r="AA551" s="120"/>
      <c r="AB551" s="120"/>
      <c r="AC551" s="120"/>
      <c r="AD551" s="120"/>
      <c r="AE551" s="120"/>
      <c r="AF551" s="120"/>
      <c r="AG551" s="120"/>
      <c r="AH551" s="120"/>
      <c r="AI551" s="120"/>
      <c r="AJ551" s="120"/>
    </row>
    <row r="552" spans="1:36" s="124" customFormat="1" x14ac:dyDescent="0.25">
      <c r="A552" s="120"/>
      <c r="B552" s="120"/>
      <c r="C552" s="120"/>
      <c r="D552" s="120"/>
      <c r="E552" s="120"/>
      <c r="F552" s="120"/>
      <c r="G552" s="120"/>
      <c r="H552" s="120"/>
      <c r="I552" s="181"/>
      <c r="J552" s="120"/>
      <c r="K552" s="120"/>
      <c r="L552" s="120"/>
      <c r="M552" s="120"/>
      <c r="N552" s="120"/>
      <c r="O552" s="120"/>
      <c r="P552" s="120"/>
      <c r="Q552" s="120"/>
      <c r="R552" s="120"/>
      <c r="S552" s="120"/>
      <c r="T552" s="120"/>
      <c r="U552" s="120"/>
      <c r="V552" s="120"/>
      <c r="W552" s="120"/>
      <c r="X552" s="120"/>
      <c r="Y552" s="120"/>
      <c r="Z552" s="120"/>
      <c r="AA552" s="120"/>
      <c r="AB552" s="120"/>
      <c r="AC552" s="120"/>
      <c r="AD552" s="120"/>
      <c r="AE552" s="120"/>
      <c r="AF552" s="120"/>
      <c r="AG552" s="120"/>
      <c r="AH552" s="120"/>
      <c r="AI552" s="120"/>
      <c r="AJ552" s="120"/>
    </row>
    <row r="553" spans="1:36" s="124" customFormat="1" x14ac:dyDescent="0.25">
      <c r="A553" s="120"/>
      <c r="B553" s="120"/>
      <c r="C553" s="120"/>
      <c r="D553" s="120"/>
      <c r="E553" s="120"/>
      <c r="F553" s="120"/>
      <c r="G553" s="120"/>
      <c r="H553" s="120"/>
      <c r="I553" s="181"/>
      <c r="J553" s="120"/>
      <c r="K553" s="120"/>
      <c r="L553" s="120"/>
      <c r="M553" s="120"/>
      <c r="N553" s="120"/>
      <c r="O553" s="120"/>
      <c r="P553" s="120"/>
      <c r="Q553" s="120"/>
      <c r="R553" s="120"/>
      <c r="S553" s="120"/>
      <c r="T553" s="120"/>
      <c r="U553" s="120"/>
      <c r="V553" s="120"/>
      <c r="W553" s="120"/>
      <c r="X553" s="120"/>
      <c r="Y553" s="120"/>
      <c r="Z553" s="120"/>
      <c r="AA553" s="120"/>
      <c r="AB553" s="120"/>
      <c r="AC553" s="120"/>
      <c r="AD553" s="120"/>
      <c r="AE553" s="120"/>
      <c r="AF553" s="120"/>
      <c r="AG553" s="120"/>
      <c r="AH553" s="120"/>
      <c r="AI553" s="120"/>
      <c r="AJ553" s="120"/>
    </row>
    <row r="554" spans="1:36" s="124" customFormat="1" x14ac:dyDescent="0.25">
      <c r="A554" s="120"/>
      <c r="B554" s="120"/>
      <c r="C554" s="120"/>
      <c r="D554" s="120"/>
      <c r="E554" s="120"/>
      <c r="F554" s="120"/>
      <c r="G554" s="120"/>
      <c r="H554" s="120"/>
      <c r="I554" s="181"/>
      <c r="J554" s="120"/>
      <c r="K554" s="120"/>
      <c r="L554" s="120"/>
      <c r="M554" s="120"/>
      <c r="N554" s="120"/>
      <c r="O554" s="120"/>
      <c r="P554" s="120"/>
      <c r="Q554" s="120"/>
      <c r="R554" s="120"/>
      <c r="S554" s="120"/>
      <c r="T554" s="120"/>
      <c r="U554" s="120"/>
      <c r="V554" s="120"/>
      <c r="W554" s="120"/>
      <c r="X554" s="120"/>
      <c r="Y554" s="120"/>
      <c r="Z554" s="120"/>
      <c r="AA554" s="120"/>
      <c r="AB554" s="120"/>
      <c r="AC554" s="120"/>
      <c r="AD554" s="120"/>
      <c r="AE554" s="120"/>
      <c r="AF554" s="120"/>
      <c r="AG554" s="120"/>
      <c r="AH554" s="120"/>
      <c r="AI554" s="120"/>
      <c r="AJ554" s="120"/>
    </row>
    <row r="555" spans="1:36" s="124" customFormat="1" x14ac:dyDescent="0.25">
      <c r="A555" s="120"/>
      <c r="B555" s="120"/>
      <c r="C555" s="120"/>
      <c r="D555" s="120"/>
      <c r="E555" s="120"/>
      <c r="F555" s="120"/>
      <c r="G555" s="120"/>
      <c r="H555" s="120"/>
      <c r="I555" s="181"/>
      <c r="J555" s="120"/>
      <c r="K555" s="120"/>
      <c r="L555" s="120"/>
      <c r="M555" s="120"/>
      <c r="N555" s="120"/>
      <c r="O555" s="120"/>
      <c r="P555" s="120"/>
      <c r="Q555" s="120"/>
      <c r="R555" s="120"/>
      <c r="S555" s="120"/>
      <c r="T555" s="120"/>
      <c r="U555" s="120"/>
      <c r="V555" s="120"/>
      <c r="W555" s="120"/>
      <c r="X555" s="120"/>
      <c r="Y555" s="120"/>
      <c r="Z555" s="120"/>
      <c r="AA555" s="120"/>
      <c r="AB555" s="120"/>
      <c r="AC555" s="120"/>
      <c r="AD555" s="120"/>
      <c r="AE555" s="120"/>
      <c r="AF555" s="120"/>
      <c r="AG555" s="120"/>
      <c r="AH555" s="120"/>
      <c r="AI555" s="120"/>
      <c r="AJ555" s="120"/>
    </row>
    <row r="556" spans="1:36" s="124" customFormat="1" x14ac:dyDescent="0.25">
      <c r="A556" s="120"/>
      <c r="B556" s="120"/>
      <c r="C556" s="120"/>
      <c r="D556" s="120"/>
      <c r="E556" s="120"/>
      <c r="F556" s="120"/>
      <c r="G556" s="120"/>
      <c r="H556" s="120"/>
      <c r="I556" s="181"/>
      <c r="J556" s="120"/>
      <c r="K556" s="120"/>
      <c r="L556" s="120"/>
      <c r="M556" s="120"/>
      <c r="N556" s="120"/>
      <c r="O556" s="120"/>
      <c r="P556" s="120"/>
      <c r="Q556" s="120"/>
      <c r="R556" s="120"/>
      <c r="S556" s="120"/>
      <c r="T556" s="120"/>
      <c r="U556" s="120"/>
      <c r="V556" s="120"/>
      <c r="W556" s="120"/>
      <c r="X556" s="120"/>
      <c r="Y556" s="120"/>
      <c r="Z556" s="120"/>
      <c r="AA556" s="120"/>
      <c r="AB556" s="120"/>
      <c r="AC556" s="120"/>
      <c r="AD556" s="120"/>
      <c r="AE556" s="120"/>
      <c r="AF556" s="120"/>
      <c r="AG556" s="120"/>
      <c r="AH556" s="120"/>
      <c r="AI556" s="120"/>
      <c r="AJ556" s="120"/>
    </row>
    <row r="557" spans="1:36" s="124" customFormat="1" x14ac:dyDescent="0.25">
      <c r="A557" s="120"/>
      <c r="B557" s="120"/>
      <c r="C557" s="120"/>
      <c r="D557" s="120"/>
      <c r="E557" s="120"/>
      <c r="F557" s="120"/>
      <c r="G557" s="120"/>
      <c r="H557" s="120"/>
      <c r="I557" s="181"/>
      <c r="J557" s="120"/>
      <c r="K557" s="120"/>
      <c r="L557" s="120"/>
      <c r="M557" s="120"/>
      <c r="N557" s="120"/>
      <c r="O557" s="120"/>
      <c r="P557" s="120"/>
      <c r="Q557" s="120"/>
      <c r="R557" s="120"/>
      <c r="S557" s="120"/>
      <c r="T557" s="120"/>
      <c r="U557" s="120"/>
      <c r="V557" s="120"/>
      <c r="W557" s="120"/>
      <c r="X557" s="120"/>
      <c r="Y557" s="120"/>
      <c r="Z557" s="120"/>
      <c r="AA557" s="120"/>
      <c r="AB557" s="120"/>
      <c r="AC557" s="120"/>
      <c r="AD557" s="120"/>
      <c r="AE557" s="120"/>
      <c r="AF557" s="120"/>
      <c r="AG557" s="120"/>
      <c r="AH557" s="120"/>
      <c r="AI557" s="120"/>
      <c r="AJ557" s="120"/>
    </row>
    <row r="558" spans="1:36" s="124" customFormat="1" x14ac:dyDescent="0.25">
      <c r="A558" s="120"/>
      <c r="B558" s="120"/>
      <c r="C558" s="120"/>
      <c r="D558" s="120"/>
      <c r="E558" s="120"/>
      <c r="F558" s="120"/>
      <c r="G558" s="120"/>
      <c r="H558" s="120"/>
      <c r="I558" s="181"/>
      <c r="J558" s="120"/>
      <c r="K558" s="120"/>
      <c r="L558" s="120"/>
      <c r="M558" s="120"/>
      <c r="N558" s="120"/>
      <c r="O558" s="120"/>
      <c r="P558" s="120"/>
      <c r="Q558" s="120"/>
      <c r="R558" s="120"/>
      <c r="S558" s="120"/>
      <c r="T558" s="120"/>
      <c r="U558" s="120"/>
      <c r="V558" s="120"/>
      <c r="W558" s="120"/>
      <c r="X558" s="120"/>
      <c r="Y558" s="120"/>
      <c r="Z558" s="120"/>
      <c r="AA558" s="120"/>
      <c r="AB558" s="120"/>
      <c r="AC558" s="120"/>
      <c r="AD558" s="120"/>
      <c r="AE558" s="120"/>
      <c r="AF558" s="120"/>
      <c r="AG558" s="120"/>
      <c r="AH558" s="120"/>
      <c r="AI558" s="120"/>
      <c r="AJ558" s="120"/>
    </row>
    <row r="559" spans="1:36" s="124" customFormat="1" x14ac:dyDescent="0.25">
      <c r="A559" s="120"/>
      <c r="B559" s="120"/>
      <c r="C559" s="120"/>
      <c r="D559" s="120"/>
      <c r="E559" s="120"/>
      <c r="F559" s="120"/>
      <c r="G559" s="120"/>
      <c r="H559" s="120"/>
      <c r="I559" s="181"/>
      <c r="J559" s="120"/>
      <c r="K559" s="120"/>
      <c r="L559" s="120"/>
      <c r="M559" s="120"/>
      <c r="N559" s="120"/>
      <c r="O559" s="120"/>
      <c r="P559" s="120"/>
      <c r="Q559" s="120"/>
      <c r="R559" s="120"/>
      <c r="S559" s="120"/>
      <c r="T559" s="120"/>
      <c r="U559" s="120"/>
      <c r="V559" s="120"/>
      <c r="W559" s="120"/>
      <c r="X559" s="120"/>
      <c r="Y559" s="120"/>
      <c r="Z559" s="120"/>
      <c r="AA559" s="120"/>
      <c r="AB559" s="120"/>
      <c r="AC559" s="120"/>
      <c r="AD559" s="120"/>
      <c r="AE559" s="120"/>
      <c r="AF559" s="120"/>
      <c r="AG559" s="120"/>
      <c r="AH559" s="120"/>
      <c r="AI559" s="120"/>
      <c r="AJ559" s="120"/>
    </row>
    <row r="560" spans="1:36" s="124" customFormat="1" x14ac:dyDescent="0.25">
      <c r="A560" s="120"/>
      <c r="B560" s="120"/>
      <c r="C560" s="120"/>
      <c r="D560" s="120"/>
      <c r="E560" s="120"/>
      <c r="F560" s="120"/>
      <c r="G560" s="120"/>
      <c r="H560" s="120"/>
      <c r="I560" s="181"/>
      <c r="J560" s="120"/>
      <c r="K560" s="120"/>
      <c r="L560" s="120"/>
      <c r="M560" s="120"/>
      <c r="N560" s="120"/>
      <c r="O560" s="120"/>
      <c r="P560" s="120"/>
      <c r="Q560" s="120"/>
      <c r="R560" s="120"/>
      <c r="S560" s="120"/>
      <c r="T560" s="120"/>
      <c r="U560" s="120"/>
      <c r="V560" s="120"/>
      <c r="W560" s="120"/>
      <c r="X560" s="120"/>
      <c r="Y560" s="120"/>
      <c r="Z560" s="120"/>
      <c r="AA560" s="120"/>
      <c r="AB560" s="120"/>
      <c r="AC560" s="120"/>
      <c r="AD560" s="120"/>
      <c r="AE560" s="120"/>
      <c r="AF560" s="120"/>
      <c r="AG560" s="120"/>
      <c r="AH560" s="120"/>
      <c r="AI560" s="120"/>
      <c r="AJ560" s="120"/>
    </row>
    <row r="561" spans="1:36" s="124" customFormat="1" x14ac:dyDescent="0.25">
      <c r="A561" s="120"/>
      <c r="B561" s="120"/>
      <c r="C561" s="120"/>
      <c r="D561" s="120"/>
      <c r="E561" s="120"/>
      <c r="F561" s="120"/>
      <c r="G561" s="120"/>
      <c r="H561" s="120"/>
      <c r="I561" s="181"/>
      <c r="J561" s="120"/>
      <c r="K561" s="120"/>
      <c r="L561" s="120"/>
      <c r="M561" s="120"/>
      <c r="N561" s="120"/>
      <c r="O561" s="120"/>
      <c r="P561" s="120"/>
      <c r="Q561" s="120"/>
      <c r="R561" s="120"/>
      <c r="S561" s="120"/>
      <c r="T561" s="120"/>
      <c r="U561" s="120"/>
      <c r="V561" s="120"/>
      <c r="W561" s="120"/>
      <c r="X561" s="120"/>
      <c r="Y561" s="120"/>
      <c r="Z561" s="120"/>
      <c r="AA561" s="120"/>
      <c r="AB561" s="120"/>
      <c r="AC561" s="120"/>
      <c r="AD561" s="120"/>
      <c r="AE561" s="120"/>
      <c r="AF561" s="120"/>
      <c r="AG561" s="120"/>
      <c r="AH561" s="120"/>
      <c r="AI561" s="120"/>
      <c r="AJ561" s="120"/>
    </row>
    <row r="562" spans="1:36" s="124" customFormat="1" x14ac:dyDescent="0.25">
      <c r="A562" s="120"/>
      <c r="B562" s="120"/>
      <c r="C562" s="120"/>
      <c r="D562" s="120"/>
      <c r="E562" s="120"/>
      <c r="F562" s="120"/>
      <c r="G562" s="120"/>
      <c r="H562" s="120"/>
      <c r="I562" s="181"/>
      <c r="J562" s="120"/>
      <c r="K562" s="120"/>
      <c r="L562" s="120"/>
      <c r="M562" s="120"/>
      <c r="N562" s="120"/>
      <c r="O562" s="120"/>
      <c r="P562" s="120"/>
      <c r="Q562" s="120"/>
      <c r="R562" s="120"/>
      <c r="S562" s="120"/>
      <c r="T562" s="120"/>
      <c r="U562" s="120"/>
      <c r="V562" s="120"/>
      <c r="W562" s="120"/>
      <c r="X562" s="120"/>
      <c r="Y562" s="120"/>
      <c r="Z562" s="120"/>
      <c r="AA562" s="120"/>
      <c r="AB562" s="120"/>
      <c r="AC562" s="120"/>
      <c r="AD562" s="120"/>
      <c r="AE562" s="120"/>
      <c r="AF562" s="120"/>
      <c r="AG562" s="120"/>
      <c r="AH562" s="120"/>
      <c r="AI562" s="120"/>
      <c r="AJ562" s="120"/>
    </row>
    <row r="563" spans="1:36" s="124" customFormat="1" x14ac:dyDescent="0.25">
      <c r="A563" s="120"/>
      <c r="B563" s="120"/>
      <c r="C563" s="120"/>
      <c r="D563" s="120"/>
      <c r="E563" s="120"/>
      <c r="F563" s="120"/>
      <c r="G563" s="120"/>
      <c r="H563" s="120"/>
      <c r="I563" s="181"/>
      <c r="J563" s="120"/>
      <c r="K563" s="120"/>
      <c r="L563" s="120"/>
      <c r="M563" s="120"/>
      <c r="N563" s="120"/>
      <c r="O563" s="120"/>
      <c r="P563" s="120"/>
      <c r="Q563" s="120"/>
      <c r="R563" s="120"/>
      <c r="S563" s="120"/>
      <c r="T563" s="120"/>
      <c r="U563" s="120"/>
      <c r="V563" s="120"/>
      <c r="W563" s="120"/>
      <c r="X563" s="120"/>
      <c r="Y563" s="120"/>
      <c r="Z563" s="120"/>
      <c r="AA563" s="120"/>
      <c r="AB563" s="120"/>
      <c r="AC563" s="120"/>
      <c r="AD563" s="120"/>
      <c r="AE563" s="120"/>
      <c r="AF563" s="120"/>
      <c r="AG563" s="120"/>
      <c r="AH563" s="120"/>
      <c r="AI563" s="120"/>
      <c r="AJ563" s="120"/>
    </row>
    <row r="564" spans="1:36" s="124" customFormat="1" x14ac:dyDescent="0.25">
      <c r="A564" s="120"/>
      <c r="B564" s="120"/>
      <c r="C564" s="120"/>
      <c r="D564" s="120"/>
      <c r="E564" s="120"/>
      <c r="F564" s="120"/>
      <c r="G564" s="120"/>
      <c r="H564" s="120"/>
      <c r="I564" s="181"/>
      <c r="J564" s="120"/>
      <c r="K564" s="120"/>
      <c r="L564" s="120"/>
      <c r="M564" s="120"/>
      <c r="N564" s="120"/>
      <c r="O564" s="120"/>
      <c r="P564" s="120"/>
      <c r="Q564" s="120"/>
      <c r="R564" s="120"/>
      <c r="S564" s="120"/>
      <c r="T564" s="120"/>
      <c r="U564" s="120"/>
      <c r="V564" s="120"/>
      <c r="W564" s="120"/>
      <c r="X564" s="120"/>
      <c r="Y564" s="120"/>
      <c r="Z564" s="120"/>
      <c r="AA564" s="120"/>
      <c r="AB564" s="120"/>
      <c r="AC564" s="120"/>
      <c r="AD564" s="120"/>
      <c r="AE564" s="120"/>
      <c r="AF564" s="120"/>
      <c r="AG564" s="120"/>
      <c r="AH564" s="120"/>
      <c r="AI564" s="120"/>
      <c r="AJ564" s="120"/>
    </row>
    <row r="565" spans="1:36" s="124" customFormat="1" x14ac:dyDescent="0.25">
      <c r="A565" s="120"/>
      <c r="B565" s="120"/>
      <c r="C565" s="120"/>
      <c r="D565" s="120"/>
      <c r="E565" s="120"/>
      <c r="F565" s="120"/>
      <c r="G565" s="120"/>
      <c r="H565" s="120"/>
      <c r="I565" s="181"/>
      <c r="J565" s="120"/>
      <c r="K565" s="120"/>
      <c r="L565" s="120"/>
      <c r="M565" s="120"/>
      <c r="N565" s="120"/>
      <c r="O565" s="120"/>
      <c r="P565" s="120"/>
      <c r="Q565" s="120"/>
      <c r="R565" s="120"/>
      <c r="S565" s="120"/>
      <c r="T565" s="120"/>
      <c r="U565" s="120"/>
      <c r="V565" s="120"/>
      <c r="W565" s="120"/>
      <c r="X565" s="120"/>
      <c r="Y565" s="120"/>
      <c r="Z565" s="120"/>
      <c r="AA565" s="120"/>
      <c r="AB565" s="120"/>
      <c r="AC565" s="120"/>
      <c r="AD565" s="120"/>
      <c r="AE565" s="120"/>
      <c r="AF565" s="120"/>
      <c r="AG565" s="120"/>
      <c r="AH565" s="120"/>
      <c r="AI565" s="120"/>
      <c r="AJ565" s="120"/>
    </row>
    <row r="566" spans="1:36" s="124" customFormat="1" x14ac:dyDescent="0.25">
      <c r="A566" s="120"/>
      <c r="B566" s="120"/>
      <c r="C566" s="120"/>
      <c r="D566" s="120"/>
      <c r="E566" s="120"/>
      <c r="F566" s="120"/>
      <c r="G566" s="120"/>
      <c r="H566" s="120"/>
      <c r="I566" s="181"/>
      <c r="J566" s="120"/>
      <c r="K566" s="120"/>
      <c r="L566" s="120"/>
      <c r="M566" s="120"/>
      <c r="N566" s="120"/>
      <c r="O566" s="120"/>
      <c r="P566" s="120"/>
      <c r="Q566" s="120"/>
      <c r="R566" s="120"/>
      <c r="S566" s="120"/>
      <c r="T566" s="120"/>
      <c r="U566" s="120"/>
      <c r="V566" s="120"/>
      <c r="W566" s="120"/>
      <c r="X566" s="120"/>
      <c r="Y566" s="120"/>
      <c r="Z566" s="120"/>
      <c r="AA566" s="120"/>
      <c r="AB566" s="120"/>
      <c r="AC566" s="120"/>
      <c r="AD566" s="120"/>
      <c r="AE566" s="120"/>
      <c r="AF566" s="120"/>
      <c r="AG566" s="120"/>
      <c r="AH566" s="120"/>
      <c r="AI566" s="120"/>
      <c r="AJ566" s="120"/>
    </row>
    <row r="567" spans="1:36" s="124" customFormat="1" x14ac:dyDescent="0.25">
      <c r="A567" s="120"/>
      <c r="B567" s="120"/>
      <c r="C567" s="120"/>
      <c r="D567" s="120"/>
      <c r="E567" s="120"/>
      <c r="F567" s="120"/>
      <c r="G567" s="120"/>
      <c r="H567" s="120"/>
      <c r="I567" s="181"/>
      <c r="J567" s="120"/>
      <c r="K567" s="120"/>
      <c r="L567" s="120"/>
      <c r="M567" s="120"/>
      <c r="N567" s="120"/>
      <c r="O567" s="120"/>
      <c r="P567" s="120"/>
      <c r="Q567" s="120"/>
      <c r="R567" s="120"/>
      <c r="S567" s="120"/>
      <c r="T567" s="120"/>
      <c r="U567" s="120"/>
      <c r="V567" s="120"/>
      <c r="W567" s="120"/>
      <c r="X567" s="120"/>
      <c r="Y567" s="120"/>
      <c r="Z567" s="120"/>
      <c r="AA567" s="120"/>
      <c r="AB567" s="120"/>
      <c r="AC567" s="120"/>
      <c r="AD567" s="120"/>
      <c r="AE567" s="120"/>
      <c r="AF567" s="120"/>
      <c r="AG567" s="120"/>
      <c r="AH567" s="120"/>
      <c r="AI567" s="120"/>
      <c r="AJ567" s="120"/>
    </row>
    <row r="568" spans="1:36" s="124" customFormat="1" x14ac:dyDescent="0.25">
      <c r="A568" s="120"/>
      <c r="B568" s="120"/>
      <c r="C568" s="120"/>
      <c r="D568" s="120"/>
      <c r="E568" s="120"/>
      <c r="F568" s="120"/>
      <c r="G568" s="120"/>
      <c r="H568" s="120"/>
      <c r="I568" s="181"/>
      <c r="J568" s="120"/>
      <c r="K568" s="120"/>
      <c r="L568" s="120"/>
      <c r="M568" s="120"/>
      <c r="N568" s="120"/>
      <c r="O568" s="120"/>
      <c r="P568" s="120"/>
      <c r="Q568" s="120"/>
      <c r="R568" s="120"/>
      <c r="S568" s="120"/>
      <c r="T568" s="120"/>
      <c r="U568" s="120"/>
      <c r="V568" s="120"/>
      <c r="W568" s="120"/>
      <c r="X568" s="120"/>
      <c r="Y568" s="120"/>
      <c r="Z568" s="120"/>
      <c r="AA568" s="120"/>
      <c r="AB568" s="120"/>
      <c r="AC568" s="120"/>
      <c r="AD568" s="120"/>
      <c r="AE568" s="120"/>
      <c r="AF568" s="120"/>
      <c r="AG568" s="120"/>
      <c r="AH568" s="120"/>
      <c r="AI568" s="120"/>
      <c r="AJ568" s="120"/>
    </row>
    <row r="569" spans="1:36" s="124" customFormat="1" x14ac:dyDescent="0.25">
      <c r="A569" s="120"/>
      <c r="B569" s="120"/>
      <c r="C569" s="120"/>
      <c r="D569" s="120"/>
      <c r="E569" s="120"/>
      <c r="F569" s="120"/>
      <c r="G569" s="120"/>
      <c r="H569" s="120"/>
      <c r="I569" s="181"/>
      <c r="J569" s="120"/>
      <c r="K569" s="120"/>
      <c r="L569" s="120"/>
      <c r="M569" s="120"/>
      <c r="N569" s="120"/>
      <c r="O569" s="120"/>
      <c r="P569" s="120"/>
      <c r="Q569" s="120"/>
      <c r="R569" s="120"/>
      <c r="S569" s="120"/>
      <c r="T569" s="120"/>
      <c r="U569" s="120"/>
      <c r="V569" s="120"/>
      <c r="W569" s="120"/>
      <c r="X569" s="120"/>
      <c r="Y569" s="120"/>
      <c r="Z569" s="120"/>
      <c r="AA569" s="120"/>
      <c r="AB569" s="120"/>
      <c r="AC569" s="120"/>
      <c r="AD569" s="120"/>
      <c r="AE569" s="120"/>
      <c r="AF569" s="120"/>
      <c r="AG569" s="120"/>
      <c r="AH569" s="120"/>
      <c r="AI569" s="120"/>
      <c r="AJ569" s="120"/>
    </row>
    <row r="570" spans="1:36" s="124" customFormat="1" x14ac:dyDescent="0.25">
      <c r="A570" s="120"/>
      <c r="B570" s="120"/>
      <c r="C570" s="120"/>
      <c r="D570" s="120"/>
      <c r="E570" s="120"/>
      <c r="F570" s="120"/>
      <c r="G570" s="120"/>
      <c r="H570" s="120"/>
      <c r="I570" s="181"/>
      <c r="J570" s="120"/>
      <c r="K570" s="120"/>
      <c r="L570" s="120"/>
      <c r="M570" s="120"/>
      <c r="N570" s="120"/>
      <c r="O570" s="120"/>
      <c r="P570" s="120"/>
      <c r="Q570" s="120"/>
      <c r="R570" s="120"/>
      <c r="S570" s="120"/>
      <c r="T570" s="120"/>
      <c r="U570" s="120"/>
      <c r="V570" s="120"/>
      <c r="W570" s="120"/>
      <c r="X570" s="120"/>
      <c r="Y570" s="120"/>
      <c r="Z570" s="120"/>
      <c r="AA570" s="120"/>
      <c r="AB570" s="120"/>
      <c r="AC570" s="120"/>
      <c r="AD570" s="120"/>
      <c r="AE570" s="120"/>
      <c r="AF570" s="120"/>
      <c r="AG570" s="120"/>
      <c r="AH570" s="120"/>
      <c r="AI570" s="120"/>
      <c r="AJ570" s="120"/>
    </row>
    <row r="571" spans="1:36" s="124" customFormat="1" x14ac:dyDescent="0.25">
      <c r="A571" s="120"/>
      <c r="B571" s="120"/>
      <c r="C571" s="120"/>
      <c r="D571" s="120"/>
      <c r="E571" s="120"/>
      <c r="F571" s="120"/>
      <c r="G571" s="120"/>
      <c r="H571" s="120"/>
      <c r="I571" s="181"/>
      <c r="J571" s="120"/>
      <c r="K571" s="120"/>
      <c r="L571" s="120"/>
      <c r="M571" s="120"/>
      <c r="N571" s="120"/>
      <c r="O571" s="120"/>
      <c r="P571" s="120"/>
      <c r="Q571" s="120"/>
      <c r="R571" s="120"/>
      <c r="S571" s="120"/>
      <c r="T571" s="120"/>
      <c r="U571" s="120"/>
      <c r="V571" s="120"/>
      <c r="W571" s="120"/>
      <c r="X571" s="120"/>
      <c r="Y571" s="120"/>
      <c r="Z571" s="120"/>
      <c r="AA571" s="120"/>
      <c r="AB571" s="120"/>
      <c r="AC571" s="120"/>
      <c r="AD571" s="120"/>
      <c r="AE571" s="120"/>
      <c r="AF571" s="120"/>
      <c r="AG571" s="120"/>
      <c r="AH571" s="120"/>
      <c r="AI571" s="120"/>
      <c r="AJ571" s="120"/>
    </row>
    <row r="572" spans="1:36" s="124" customFormat="1" x14ac:dyDescent="0.25">
      <c r="A572" s="120"/>
      <c r="B572" s="120"/>
      <c r="C572" s="120"/>
      <c r="D572" s="120"/>
      <c r="E572" s="120"/>
      <c r="F572" s="120"/>
      <c r="G572" s="120"/>
      <c r="H572" s="120"/>
      <c r="I572" s="181"/>
      <c r="J572" s="120"/>
      <c r="K572" s="120"/>
      <c r="L572" s="120"/>
      <c r="M572" s="120"/>
      <c r="N572" s="120"/>
      <c r="O572" s="120"/>
      <c r="P572" s="120"/>
      <c r="Q572" s="120"/>
      <c r="R572" s="120"/>
      <c r="S572" s="120"/>
      <c r="T572" s="120"/>
      <c r="U572" s="120"/>
      <c r="V572" s="120"/>
      <c r="W572" s="120"/>
      <c r="X572" s="120"/>
      <c r="Y572" s="120"/>
      <c r="Z572" s="120"/>
      <c r="AA572" s="120"/>
      <c r="AB572" s="120"/>
      <c r="AC572" s="120"/>
      <c r="AD572" s="120"/>
      <c r="AE572" s="120"/>
      <c r="AF572" s="120"/>
      <c r="AG572" s="120"/>
      <c r="AH572" s="120"/>
      <c r="AI572" s="120"/>
      <c r="AJ572" s="120"/>
    </row>
    <row r="573" spans="1:36" s="124" customFormat="1" x14ac:dyDescent="0.25">
      <c r="A573" s="120"/>
      <c r="B573" s="120"/>
      <c r="C573" s="120"/>
      <c r="D573" s="120"/>
      <c r="E573" s="120"/>
      <c r="F573" s="120"/>
      <c r="G573" s="120"/>
      <c r="H573" s="120"/>
      <c r="I573" s="181"/>
      <c r="J573" s="120"/>
      <c r="K573" s="120"/>
      <c r="L573" s="120"/>
      <c r="M573" s="120"/>
      <c r="N573" s="120"/>
      <c r="O573" s="120"/>
      <c r="P573" s="120"/>
      <c r="Q573" s="120"/>
      <c r="R573" s="120"/>
      <c r="S573" s="120"/>
      <c r="T573" s="120"/>
      <c r="U573" s="120"/>
      <c r="V573" s="120"/>
      <c r="W573" s="120"/>
      <c r="X573" s="120"/>
      <c r="Y573" s="120"/>
      <c r="Z573" s="120"/>
      <c r="AA573" s="120"/>
      <c r="AB573" s="120"/>
      <c r="AC573" s="120"/>
      <c r="AD573" s="120"/>
      <c r="AE573" s="120"/>
      <c r="AF573" s="120"/>
      <c r="AG573" s="120"/>
      <c r="AH573" s="120"/>
      <c r="AI573" s="120"/>
      <c r="AJ573" s="120"/>
    </row>
    <row r="574" spans="1:36" s="124" customFormat="1" x14ac:dyDescent="0.25">
      <c r="A574" s="120"/>
      <c r="B574" s="120"/>
      <c r="C574" s="120"/>
      <c r="D574" s="120"/>
      <c r="E574" s="120"/>
      <c r="F574" s="120"/>
      <c r="G574" s="120"/>
      <c r="H574" s="120"/>
      <c r="I574" s="181"/>
      <c r="J574" s="120"/>
      <c r="K574" s="120"/>
      <c r="L574" s="120"/>
      <c r="M574" s="120"/>
      <c r="N574" s="120"/>
      <c r="O574" s="120"/>
      <c r="P574" s="120"/>
      <c r="Q574" s="120"/>
      <c r="R574" s="120"/>
      <c r="S574" s="120"/>
      <c r="T574" s="120"/>
      <c r="U574" s="120"/>
      <c r="V574" s="120"/>
      <c r="W574" s="120"/>
      <c r="X574" s="120"/>
      <c r="Y574" s="120"/>
      <c r="Z574" s="120"/>
      <c r="AA574" s="120"/>
      <c r="AB574" s="120"/>
      <c r="AC574" s="120"/>
      <c r="AD574" s="120"/>
      <c r="AE574" s="120"/>
      <c r="AF574" s="120"/>
      <c r="AG574" s="120"/>
      <c r="AH574" s="120"/>
      <c r="AI574" s="120"/>
      <c r="AJ574" s="120"/>
    </row>
    <row r="575" spans="1:36" s="124" customFormat="1" x14ac:dyDescent="0.25">
      <c r="A575" s="120"/>
      <c r="B575" s="120"/>
      <c r="C575" s="120"/>
      <c r="D575" s="120"/>
      <c r="E575" s="120"/>
      <c r="F575" s="120"/>
      <c r="G575" s="120"/>
      <c r="H575" s="120"/>
      <c r="I575" s="181"/>
      <c r="J575" s="120"/>
      <c r="K575" s="120"/>
      <c r="L575" s="120"/>
      <c r="M575" s="120"/>
      <c r="N575" s="120"/>
      <c r="O575" s="120"/>
      <c r="P575" s="120"/>
      <c r="Q575" s="120"/>
      <c r="R575" s="120"/>
      <c r="S575" s="120"/>
      <c r="T575" s="120"/>
      <c r="U575" s="120"/>
      <c r="V575" s="120"/>
      <c r="W575" s="120"/>
      <c r="X575" s="120"/>
      <c r="Y575" s="120"/>
      <c r="Z575" s="120"/>
      <c r="AA575" s="120"/>
      <c r="AB575" s="120"/>
      <c r="AC575" s="120"/>
      <c r="AD575" s="120"/>
      <c r="AE575" s="120"/>
      <c r="AF575" s="120"/>
      <c r="AG575" s="120"/>
      <c r="AH575" s="120"/>
      <c r="AI575" s="120"/>
      <c r="AJ575" s="120"/>
    </row>
    <row r="576" spans="1:36" s="124" customFormat="1" x14ac:dyDescent="0.25">
      <c r="A576" s="120"/>
      <c r="B576" s="120"/>
      <c r="C576" s="120"/>
      <c r="D576" s="120"/>
      <c r="E576" s="120"/>
      <c r="F576" s="120"/>
      <c r="G576" s="120"/>
      <c r="H576" s="120"/>
      <c r="I576" s="181"/>
      <c r="J576" s="120"/>
      <c r="K576" s="120"/>
      <c r="L576" s="120"/>
      <c r="M576" s="120"/>
      <c r="N576" s="120"/>
      <c r="O576" s="120"/>
      <c r="P576" s="120"/>
      <c r="Q576" s="120"/>
      <c r="R576" s="120"/>
      <c r="S576" s="120"/>
      <c r="T576" s="120"/>
      <c r="U576" s="120"/>
      <c r="V576" s="120"/>
      <c r="W576" s="120"/>
      <c r="X576" s="120"/>
      <c r="Y576" s="120"/>
      <c r="Z576" s="120"/>
      <c r="AA576" s="120"/>
      <c r="AB576" s="120"/>
      <c r="AC576" s="120"/>
      <c r="AD576" s="120"/>
      <c r="AE576" s="120"/>
      <c r="AF576" s="120"/>
      <c r="AG576" s="120"/>
      <c r="AH576" s="120"/>
      <c r="AI576" s="120"/>
      <c r="AJ576" s="120"/>
    </row>
    <row r="577" spans="1:36" s="124" customFormat="1" x14ac:dyDescent="0.25">
      <c r="A577" s="120"/>
      <c r="B577" s="120"/>
      <c r="C577" s="120"/>
      <c r="D577" s="120"/>
      <c r="E577" s="120"/>
      <c r="F577" s="120"/>
      <c r="G577" s="120"/>
      <c r="H577" s="120"/>
      <c r="I577" s="181"/>
      <c r="J577" s="120"/>
      <c r="K577" s="120"/>
      <c r="L577" s="120"/>
      <c r="M577" s="120"/>
      <c r="N577" s="120"/>
      <c r="O577" s="120"/>
      <c r="P577" s="120"/>
      <c r="Q577" s="120"/>
      <c r="R577" s="120"/>
      <c r="S577" s="120"/>
      <c r="T577" s="120"/>
      <c r="U577" s="120"/>
      <c r="V577" s="120"/>
      <c r="W577" s="120"/>
      <c r="X577" s="120"/>
      <c r="Y577" s="120"/>
      <c r="Z577" s="120"/>
      <c r="AA577" s="120"/>
      <c r="AB577" s="120"/>
      <c r="AC577" s="120"/>
      <c r="AD577" s="120"/>
      <c r="AE577" s="120"/>
      <c r="AF577" s="120"/>
      <c r="AG577" s="120"/>
      <c r="AH577" s="120"/>
      <c r="AI577" s="120"/>
      <c r="AJ577" s="120"/>
    </row>
    <row r="578" spans="1:36" s="124" customFormat="1" x14ac:dyDescent="0.25">
      <c r="A578" s="120"/>
      <c r="B578" s="120"/>
      <c r="C578" s="120"/>
      <c r="D578" s="120"/>
      <c r="E578" s="120"/>
      <c r="F578" s="120"/>
      <c r="G578" s="120"/>
      <c r="H578" s="120"/>
      <c r="I578" s="181"/>
      <c r="J578" s="120"/>
      <c r="K578" s="120"/>
      <c r="L578" s="120"/>
      <c r="M578" s="120"/>
      <c r="N578" s="120"/>
      <c r="O578" s="120"/>
      <c r="P578" s="120"/>
      <c r="Q578" s="120"/>
      <c r="R578" s="120"/>
      <c r="S578" s="120"/>
      <c r="T578" s="120"/>
      <c r="U578" s="120"/>
      <c r="V578" s="120"/>
      <c r="W578" s="120"/>
      <c r="X578" s="120"/>
      <c r="Y578" s="120"/>
      <c r="Z578" s="120"/>
      <c r="AA578" s="120"/>
      <c r="AB578" s="120"/>
      <c r="AC578" s="120"/>
      <c r="AD578" s="120"/>
      <c r="AE578" s="120"/>
      <c r="AF578" s="120"/>
      <c r="AG578" s="120"/>
      <c r="AH578" s="120"/>
      <c r="AI578" s="120"/>
      <c r="AJ578" s="120"/>
    </row>
    <row r="579" spans="1:36" s="124" customFormat="1" x14ac:dyDescent="0.25">
      <c r="A579" s="120"/>
      <c r="B579" s="120"/>
      <c r="C579" s="120"/>
      <c r="D579" s="120"/>
      <c r="E579" s="120"/>
      <c r="F579" s="120"/>
      <c r="G579" s="120"/>
      <c r="H579" s="120"/>
      <c r="I579" s="181"/>
      <c r="J579" s="120"/>
      <c r="K579" s="120"/>
      <c r="L579" s="120"/>
      <c r="M579" s="120"/>
      <c r="N579" s="120"/>
      <c r="O579" s="120"/>
      <c r="P579" s="120"/>
      <c r="Q579" s="120"/>
      <c r="R579" s="120"/>
      <c r="S579" s="120"/>
      <c r="T579" s="120"/>
      <c r="U579" s="120"/>
      <c r="V579" s="120"/>
      <c r="W579" s="120"/>
      <c r="X579" s="120"/>
      <c r="Y579" s="120"/>
      <c r="Z579" s="120"/>
      <c r="AA579" s="120"/>
      <c r="AB579" s="120"/>
      <c r="AC579" s="120"/>
      <c r="AD579" s="120"/>
      <c r="AE579" s="120"/>
      <c r="AF579" s="120"/>
      <c r="AG579" s="120"/>
      <c r="AH579" s="120"/>
      <c r="AI579" s="120"/>
      <c r="AJ579" s="120"/>
    </row>
    <row r="580" spans="1:36" s="124" customFormat="1" x14ac:dyDescent="0.25">
      <c r="A580" s="120"/>
      <c r="B580" s="120"/>
      <c r="C580" s="120"/>
      <c r="D580" s="120"/>
      <c r="E580" s="120"/>
      <c r="F580" s="120"/>
      <c r="G580" s="120"/>
      <c r="H580" s="120"/>
      <c r="I580" s="181"/>
      <c r="J580" s="120"/>
      <c r="K580" s="120"/>
      <c r="L580" s="120"/>
      <c r="M580" s="120"/>
      <c r="N580" s="120"/>
      <c r="O580" s="120"/>
      <c r="P580" s="120"/>
      <c r="Q580" s="120"/>
      <c r="R580" s="120"/>
      <c r="S580" s="120"/>
      <c r="T580" s="120"/>
      <c r="U580" s="120"/>
      <c r="V580" s="120"/>
      <c r="W580" s="120"/>
      <c r="X580" s="120"/>
      <c r="Y580" s="120"/>
      <c r="Z580" s="120"/>
      <c r="AA580" s="120"/>
      <c r="AB580" s="120"/>
      <c r="AC580" s="120"/>
      <c r="AD580" s="120"/>
      <c r="AE580" s="120"/>
      <c r="AF580" s="120"/>
      <c r="AG580" s="120"/>
      <c r="AH580" s="120"/>
      <c r="AI580" s="120"/>
      <c r="AJ580" s="120"/>
    </row>
    <row r="581" spans="1:36" s="124" customFormat="1" x14ac:dyDescent="0.25">
      <c r="A581" s="120"/>
      <c r="B581" s="120"/>
      <c r="C581" s="120"/>
      <c r="D581" s="120"/>
      <c r="E581" s="120"/>
      <c r="F581" s="120"/>
      <c r="G581" s="120"/>
      <c r="H581" s="120"/>
      <c r="I581" s="181"/>
      <c r="J581" s="120"/>
      <c r="K581" s="120"/>
      <c r="L581" s="120"/>
      <c r="M581" s="120"/>
      <c r="N581" s="120"/>
      <c r="O581" s="120"/>
      <c r="P581" s="120"/>
      <c r="Q581" s="120"/>
      <c r="R581" s="120"/>
      <c r="S581" s="120"/>
      <c r="T581" s="120"/>
      <c r="U581" s="120"/>
      <c r="V581" s="120"/>
      <c r="W581" s="120"/>
      <c r="X581" s="120"/>
      <c r="Y581" s="120"/>
      <c r="Z581" s="120"/>
      <c r="AA581" s="120"/>
      <c r="AB581" s="120"/>
      <c r="AC581" s="120"/>
      <c r="AD581" s="120"/>
      <c r="AE581" s="120"/>
      <c r="AF581" s="120"/>
      <c r="AG581" s="120"/>
      <c r="AH581" s="120"/>
      <c r="AI581" s="120"/>
      <c r="AJ581" s="120"/>
    </row>
    <row r="582" spans="1:36" s="124" customFormat="1" x14ac:dyDescent="0.25">
      <c r="A582" s="120"/>
      <c r="B582" s="120"/>
      <c r="C582" s="120"/>
      <c r="D582" s="120"/>
      <c r="E582" s="120"/>
      <c r="F582" s="120"/>
      <c r="G582" s="120"/>
      <c r="H582" s="120"/>
      <c r="I582" s="181"/>
      <c r="J582" s="120"/>
      <c r="K582" s="120"/>
      <c r="L582" s="120"/>
      <c r="M582" s="120"/>
      <c r="N582" s="120"/>
      <c r="O582" s="120"/>
      <c r="P582" s="120"/>
      <c r="Q582" s="120"/>
      <c r="R582" s="120"/>
      <c r="S582" s="120"/>
      <c r="T582" s="120"/>
      <c r="U582" s="120"/>
      <c r="V582" s="120"/>
      <c r="W582" s="120"/>
      <c r="X582" s="120"/>
      <c r="Y582" s="120"/>
      <c r="Z582" s="120"/>
      <c r="AA582" s="120"/>
      <c r="AB582" s="120"/>
      <c r="AC582" s="120"/>
      <c r="AD582" s="120"/>
      <c r="AE582" s="120"/>
      <c r="AF582" s="120"/>
      <c r="AG582" s="120"/>
      <c r="AH582" s="120"/>
      <c r="AI582" s="120"/>
      <c r="AJ582" s="120"/>
    </row>
    <row r="583" spans="1:36" s="124" customFormat="1" x14ac:dyDescent="0.25">
      <c r="A583" s="120"/>
      <c r="B583" s="120"/>
      <c r="C583" s="120"/>
      <c r="D583" s="120"/>
      <c r="E583" s="120"/>
      <c r="F583" s="120"/>
      <c r="G583" s="120"/>
      <c r="H583" s="120"/>
      <c r="I583" s="181"/>
      <c r="J583" s="120"/>
      <c r="K583" s="120"/>
      <c r="L583" s="120"/>
      <c r="M583" s="120"/>
      <c r="N583" s="120"/>
      <c r="O583" s="120"/>
      <c r="P583" s="120"/>
      <c r="Q583" s="120"/>
      <c r="R583" s="120"/>
      <c r="S583" s="120"/>
      <c r="T583" s="120"/>
      <c r="U583" s="120"/>
      <c r="V583" s="120"/>
      <c r="W583" s="120"/>
      <c r="X583" s="120"/>
      <c r="Y583" s="120"/>
      <c r="Z583" s="120"/>
      <c r="AA583" s="120"/>
      <c r="AB583" s="120"/>
      <c r="AC583" s="120"/>
      <c r="AD583" s="120"/>
      <c r="AE583" s="120"/>
      <c r="AF583" s="120"/>
      <c r="AG583" s="120"/>
      <c r="AH583" s="120"/>
      <c r="AI583" s="120"/>
      <c r="AJ583" s="120"/>
    </row>
    <row r="584" spans="1:36" s="124" customFormat="1" x14ac:dyDescent="0.25">
      <c r="A584" s="120"/>
      <c r="B584" s="120"/>
      <c r="C584" s="120"/>
      <c r="D584" s="120"/>
      <c r="E584" s="120"/>
      <c r="F584" s="120"/>
      <c r="G584" s="120"/>
      <c r="H584" s="120"/>
      <c r="I584" s="181"/>
      <c r="J584" s="120"/>
      <c r="K584" s="120"/>
      <c r="L584" s="120"/>
      <c r="M584" s="120"/>
      <c r="N584" s="120"/>
      <c r="O584" s="120"/>
      <c r="P584" s="120"/>
      <c r="Q584" s="120"/>
      <c r="R584" s="120"/>
      <c r="S584" s="120"/>
      <c r="T584" s="120"/>
      <c r="U584" s="120"/>
      <c r="V584" s="120"/>
      <c r="W584" s="120"/>
      <c r="X584" s="120"/>
      <c r="Y584" s="120"/>
      <c r="Z584" s="120"/>
      <c r="AA584" s="120"/>
      <c r="AB584" s="120"/>
      <c r="AC584" s="120"/>
      <c r="AD584" s="120"/>
      <c r="AE584" s="120"/>
      <c r="AF584" s="120"/>
      <c r="AG584" s="120"/>
      <c r="AH584" s="120"/>
      <c r="AI584" s="120"/>
      <c r="AJ584" s="120"/>
    </row>
    <row r="585" spans="1:36" s="124" customFormat="1" x14ac:dyDescent="0.25">
      <c r="A585" s="120"/>
      <c r="B585" s="120"/>
      <c r="C585" s="120"/>
      <c r="D585" s="120"/>
      <c r="E585" s="120"/>
      <c r="F585" s="120"/>
      <c r="G585" s="120"/>
      <c r="H585" s="120"/>
      <c r="I585" s="181"/>
      <c r="J585" s="120"/>
      <c r="K585" s="120"/>
      <c r="L585" s="120"/>
      <c r="M585" s="120"/>
      <c r="N585" s="120"/>
      <c r="O585" s="120"/>
      <c r="P585" s="120"/>
      <c r="Q585" s="120"/>
      <c r="R585" s="120"/>
      <c r="S585" s="120"/>
      <c r="T585" s="120"/>
      <c r="U585" s="120"/>
      <c r="V585" s="120"/>
      <c r="W585" s="120"/>
      <c r="X585" s="120"/>
      <c r="Y585" s="120"/>
      <c r="Z585" s="120"/>
      <c r="AA585" s="120"/>
      <c r="AB585" s="120"/>
      <c r="AC585" s="120"/>
      <c r="AD585" s="120"/>
      <c r="AE585" s="120"/>
      <c r="AF585" s="120"/>
      <c r="AG585" s="120"/>
      <c r="AH585" s="120"/>
      <c r="AI585" s="120"/>
      <c r="AJ585" s="120"/>
    </row>
  </sheetData>
  <mergeCells count="13">
    <mergeCell ref="V5:Y5"/>
    <mergeCell ref="Z5:AC5"/>
    <mergeCell ref="AD5:AG5"/>
    <mergeCell ref="R5:U5"/>
    <mergeCell ref="A5:F5"/>
    <mergeCell ref="B1:D3"/>
    <mergeCell ref="E1:I1"/>
    <mergeCell ref="J1:L1"/>
    <mergeCell ref="M1:P3"/>
    <mergeCell ref="E2:I2"/>
    <mergeCell ref="J2:L2"/>
    <mergeCell ref="E3:I3"/>
    <mergeCell ref="J3:L3"/>
  </mergeCells>
  <conditionalFormatting sqref="K10:K1048576 K5:K6">
    <cfRule type="duplicateValues" dxfId="0" priority="1"/>
  </conditionalFormatting>
  <pageMargins left="0.70866141732283472" right="0.70866141732283472" top="0.74803149606299213" bottom="0.74803149606299213" header="0.31496062992125984" footer="0.31496062992125984"/>
  <pageSetup paperSize="9" scale="22" fitToHeight="0" orientation="landscape"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DDBD-E6CC-4836-9A6C-911377F1C7CF}">
  <dimension ref="A1:G6"/>
  <sheetViews>
    <sheetView workbookViewId="0">
      <selection activeCell="D8" sqref="D8"/>
    </sheetView>
  </sheetViews>
  <sheetFormatPr baseColWidth="10" defaultColWidth="11.42578125" defaultRowHeight="15" x14ac:dyDescent="0.25"/>
  <cols>
    <col min="1" max="1" width="28.28515625" customWidth="1"/>
    <col min="2" max="2" width="24.28515625" customWidth="1"/>
    <col min="3" max="3" width="19.7109375" customWidth="1"/>
    <col min="4" max="4" width="22.28515625" customWidth="1"/>
  </cols>
  <sheetData>
    <row r="1" spans="1:7" x14ac:dyDescent="0.25">
      <c r="A1" s="7" t="s">
        <v>1473</v>
      </c>
      <c r="B1" s="7" t="s">
        <v>1474</v>
      </c>
      <c r="C1" s="7" t="s">
        <v>1475</v>
      </c>
      <c r="D1" s="7" t="s">
        <v>1476</v>
      </c>
      <c r="E1" s="7"/>
      <c r="F1" s="7"/>
      <c r="G1" s="7"/>
    </row>
    <row r="2" spans="1:7" x14ac:dyDescent="0.25">
      <c r="A2" t="s">
        <v>1077</v>
      </c>
      <c r="B2" t="s">
        <v>1178</v>
      </c>
      <c r="C2" t="s">
        <v>1477</v>
      </c>
      <c r="D2" t="s">
        <v>753</v>
      </c>
    </row>
    <row r="3" spans="1:7" x14ac:dyDescent="0.25">
      <c r="A3" t="s">
        <v>759</v>
      </c>
      <c r="B3" t="s">
        <v>1478</v>
      </c>
      <c r="C3" t="s">
        <v>759</v>
      </c>
      <c r="D3" t="s">
        <v>834</v>
      </c>
    </row>
    <row r="4" spans="1:7" x14ac:dyDescent="0.25">
      <c r="A4" t="s">
        <v>763</v>
      </c>
      <c r="B4" t="s">
        <v>751</v>
      </c>
      <c r="C4" t="s">
        <v>763</v>
      </c>
    </row>
    <row r="5" spans="1:7" x14ac:dyDescent="0.25">
      <c r="A5" t="s">
        <v>750</v>
      </c>
      <c r="C5" t="s">
        <v>750</v>
      </c>
    </row>
    <row r="6" spans="1:7" x14ac:dyDescent="0.25">
      <c r="A6" t="s">
        <v>767</v>
      </c>
      <c r="C6" t="s">
        <v>767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F930CA487F50C438583AD61A9852856" ma:contentTypeVersion="15" ma:contentTypeDescription="Crear nuevo documento." ma:contentTypeScope="" ma:versionID="a2c2809047b7a6b8ef346c93a639bdd5">
  <xsd:schema xmlns:xsd="http://www.w3.org/2001/XMLSchema" xmlns:xs="http://www.w3.org/2001/XMLSchema" xmlns:p="http://schemas.microsoft.com/office/2006/metadata/properties" xmlns:ns2="d301e8ae-b029-4d1e-92c6-0fc55aee19e2" xmlns:ns3="e14b7d2a-3304-4cbf-8687-1eb649caeed7" targetNamespace="http://schemas.microsoft.com/office/2006/metadata/properties" ma:root="true" ma:fieldsID="2d9780ae91954876936098c11ee46e62" ns2:_="" ns3:_="">
    <xsd:import namespace="d301e8ae-b029-4d1e-92c6-0fc55aee19e2"/>
    <xsd:import namespace="e14b7d2a-3304-4cbf-8687-1eb649caeed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01e8ae-b029-4d1e-92c6-0fc55aee19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4b7d2a-3304-4cbf-8687-1eb649caeed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9fa99b55-7f02-43ae-a1ca-4aa95357a964}" ma:internalName="TaxCatchAll" ma:showField="CatchAllData" ma:web="e14b7d2a-3304-4cbf-8687-1eb649caeed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301e8ae-b029-4d1e-92c6-0fc55aee19e2">
      <Terms xmlns="http://schemas.microsoft.com/office/infopath/2007/PartnerControls"/>
    </lcf76f155ced4ddcb4097134ff3c332f>
    <TaxCatchAll xmlns="e14b7d2a-3304-4cbf-8687-1eb649caeed7" xsi:nil="true"/>
  </documentManagement>
</p:properties>
</file>

<file path=customXml/itemProps1.xml><?xml version="1.0" encoding="utf-8"?>
<ds:datastoreItem xmlns:ds="http://schemas.openxmlformats.org/officeDocument/2006/customXml" ds:itemID="{E6638CFB-21DF-4534-B4C5-AA8A874A00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01e8ae-b029-4d1e-92c6-0fc55aee19e2"/>
    <ds:schemaRef ds:uri="e14b7d2a-3304-4cbf-8687-1eb649caee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A49972-2890-4005-9A43-0E4D6C0BA45A}">
  <ds:schemaRefs>
    <ds:schemaRef ds:uri="http://schemas.microsoft.com/sharepoint/v3/contenttype/forms"/>
  </ds:schemaRefs>
</ds:datastoreItem>
</file>

<file path=customXml/itemProps3.xml><?xml version="1.0" encoding="utf-8"?>
<ds:datastoreItem xmlns:ds="http://schemas.openxmlformats.org/officeDocument/2006/customXml" ds:itemID="{021A69D3-FA8A-44D2-AC96-F1DDB55A9224}">
  <ds:schemaRefs>
    <ds:schemaRef ds:uri="http://schemas.microsoft.com/office/2006/metadata/properties"/>
    <ds:schemaRef ds:uri="http://schemas.microsoft.com/office/infopath/2007/PartnerControls"/>
    <ds:schemaRef ds:uri="d301e8ae-b029-4d1e-92c6-0fc55aee19e2"/>
    <ds:schemaRef ds:uri="e14b7d2a-3304-4cbf-8687-1eb649caee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LIQUIDACION</vt:lpstr>
      <vt:lpstr>Proyectos Extensión</vt:lpstr>
      <vt:lpstr>ILUD</vt:lpstr>
      <vt:lpstr>Conversión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Petro - Contabilidad - IDEXUD</dc:creator>
  <cp:keywords/>
  <dc:description/>
  <cp:lastModifiedBy>CONTABILIDAD OFICINA DE EXTENSION</cp:lastModifiedBy>
  <cp:revision/>
  <cp:lastPrinted>2026-07-02T17:06:34Z</cp:lastPrinted>
  <dcterms:created xsi:type="dcterms:W3CDTF">2024-04-01T16:11:18Z</dcterms:created>
  <dcterms:modified xsi:type="dcterms:W3CDTF">2026-07-02T17:07:05Z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0x0101007F930CA487F50C438583AD61A9852856</vt:lpwstr>
  </property>
  <property fmtid="{D5CDD505-2E9C-101B-9397-08002B2CF9AE}" pid="3" name="MediaServiceImageTags">
    <vt:lpwstr/>
  </property>
</Properties>
</file>