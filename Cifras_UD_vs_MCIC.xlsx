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udiantes" sheetId="2" state="visible" r:id="rId2"/>
    <sheet xmlns:r="http://schemas.openxmlformats.org/officeDocument/2006/relationships" name="Docentes" sheetId="3" state="visible" r:id="rId3"/>
    <sheet xmlns:r="http://schemas.openxmlformats.org/officeDocument/2006/relationships" name="Investigación" sheetId="4" state="visible" r:id="rId4"/>
    <sheet xmlns:r="http://schemas.openxmlformats.org/officeDocument/2006/relationships" name="Graduados" sheetId="5" state="visible" r:id="rId5"/>
    <sheet xmlns:r="http://schemas.openxmlformats.org/officeDocument/2006/relationships" name="Internacionalización" sheetId="6" state="visible" r:id="rId6"/>
    <sheet xmlns:r="http://schemas.openxmlformats.org/officeDocument/2006/relationships" name="Bienestar" sheetId="7" state="visible" r:id="rId7"/>
    <sheet xmlns:r="http://schemas.openxmlformats.org/officeDocument/2006/relationships" name="Infraestructura" sheetId="8" state="visible" r:id="rId8"/>
    <sheet xmlns:r="http://schemas.openxmlformats.org/officeDocument/2006/relationships" name="Fuentes y no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7F7F7F"/>
      <sz val="10"/>
    </font>
    <font>
      <name val="Arial"/>
      <b val="1"/>
      <color rgb="00C00000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7F7F7F"/>
      <sz val="9"/>
    </font>
    <font>
      <name val="Arial"/>
      <color rgb="00008000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10" fillId="0" borderId="1" pivotButton="0" quotePrefix="0" xfId="0"/>
    <xf numFmtId="3" fontId="10" fillId="3" borderId="1" pivotButton="0" quotePrefix="0" xfId="0"/>
    <xf numFmtId="10" fontId="7" fillId="0" borderId="1" pivotButton="0" quotePrefix="0" xfId="0"/>
    <xf numFmtId="164" fontId="7" fillId="0" borderId="1" pivotButton="0" quotePrefix="0" xfId="0"/>
    <xf numFmtId="0" fontId="11" fillId="0" borderId="1" pivotButton="0" quotePrefix="0" xfId="0"/>
    <xf numFmtId="0" fontId="10" fillId="0" borderId="1" pivotButton="0" quotePrefix="0" xfId="0"/>
    <xf numFmtId="164" fontId="10" fillId="0" borderId="1" pivotButton="0" quotePrefix="0" xfId="0"/>
    <xf numFmtId="164" fontId="10" fillId="3" borderId="1" pivotButton="0" quotePrefix="0" xfId="0"/>
    <xf numFmtId="166" fontId="7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10" fontId="10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0" fontId="8" fillId="3" borderId="1" pivotButton="0" quotePrefix="0" xfId="0"/>
    <xf numFmtId="0" fontId="8" fillId="0" borderId="1" pivotButton="0" quotePrefix="0" xfId="0"/>
    <xf numFmtId="0" fontId="5" fillId="4" borderId="1" applyAlignment="1" pivotButton="0" quotePrefix="0" xfId="0">
      <alignment vertical="top" wrapText="1"/>
    </xf>
    <xf numFmtId="3" fontId="6" fillId="4" borderId="1" pivotButton="0" quotePrefix="0" xfId="0"/>
    <xf numFmtId="165" fontId="6" fillId="0" borderId="1" pivotButton="0" quotePrefix="0" xfId="0"/>
    <xf numFmtId="165" fontId="7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 de calidad: UD vs. MCIC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'Resumen'!B34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'Resumen'!$A$35:$A$37</f>
            </numRef>
          </cat>
          <val>
            <numRef>
              <f>'Resumen'!$B$35:$B$37</f>
            </numRef>
          </val>
        </ser>
        <ser>
          <idx val="1"/>
          <order val="1"/>
          <tx>
            <strRef>
              <f>'Resumen'!C34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'Resumen'!$A$35:$A$37</f>
            </numRef>
          </cat>
          <val>
            <numRef>
              <f>'Resumen'!$C$35:$C$37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de la MCIC dentro de la 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'Resumen'!B39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'Resumen'!$A$40:$A$45</f>
            </numRef>
          </cat>
          <val>
            <numRef>
              <f>'Resumen'!$B$40:$B$45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 2026-1: estudiantes activos por énfasis y modalidad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'Estudiantes'!B15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'Estudiantes'!$A$16:$A$19</f>
            </numRef>
          </cat>
          <val>
            <numRef>
              <f>'Estudiantes'!$B$16:$B$19</f>
            </numRef>
          </val>
        </ser>
        <ser>
          <idx val="1"/>
          <order val="1"/>
          <tx>
            <strRef>
              <f>'Estudiantes'!C15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'Estudiantes'!$A$16:$A$19</f>
            </numRef>
          </cat>
          <val>
            <numRef>
              <f>'Estudiantes'!$C$16:$C$19</f>
            </numRef>
          </val>
        </ser>
        <ser>
          <idx val="2"/>
          <order val="2"/>
          <tx>
            <strRef>
              <f>'Estudiantes'!D15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'Estudiantes'!$A$16:$A$19</f>
            </numRef>
          </cat>
          <val>
            <numRef>
              <f>'Estudiantes'!$D$16:$D$19</f>
            </numRef>
          </val>
        </ser>
        <ser>
          <idx val="3"/>
          <order val="3"/>
          <tx>
            <strRef>
              <f>'Estudiantes'!E15</f>
            </strRef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solidFill>
                <a:srgbClr val="F4B183"/>
              </a:solidFill>
              <a:prstDash val="solid"/>
            </a:ln>
          </spPr>
          <cat>
            <numRef>
              <f>'Estudiantes'!$A$16:$A$19</f>
            </numRef>
          </cat>
          <val>
            <numRef>
              <f>'Estudiantes'!$E$16:$E$19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Estudiantes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 por modalidad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'Estudiantes'!$A$23:$A$24</f>
            </numRef>
          </cat>
          <val>
            <numRef>
              <f>'Estudiantes'!$B$23:$B$24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MCIC: matrícula total por periodo (Cuadro 02)</a:t>
            </a:r>
          </a:p>
        </rich>
      </tx>
    </title>
    <plotArea>
      <lineChart>
        <grouping val="standard"/>
        <ser>
          <idx val="0"/>
          <order val="0"/>
          <tx>
            <strRef>
              <f>'Estudiantes'!E34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'Estudiantes'!$A$35:$A$46</f>
            </numRef>
          </cat>
          <val>
            <numRef>
              <f>'Estudiantes'!$E$35:$E$46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Estudiantes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MCIC: profesores por periodo y dedicación (Cuadro 06)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'Docentes'!B56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'Docentes'!$A$57:$A$63</f>
            </numRef>
          </cat>
          <val>
            <numRef>
              <f>'Docentes'!$B$57:$B$63</f>
            </numRef>
          </val>
        </ser>
        <ser>
          <idx val="1"/>
          <order val="1"/>
          <tx>
            <strRef>
              <f>'Docentes'!C56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8FAADC"/>
              </a:solidFill>
              <a:prstDash val="solid"/>
            </a:ln>
          </spPr>
          <cat>
            <numRef>
              <f>'Docentes'!$A$57:$A$63</f>
            </numRef>
          </cat>
          <val>
            <numRef>
              <f>'Docentes'!$C$57:$C$63</f>
            </numRef>
          </val>
        </ser>
        <ser>
          <idx val="2"/>
          <order val="2"/>
          <tx>
            <strRef>
              <f>'Docentes'!D56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'Docentes'!$A$57:$A$63</f>
            </numRef>
          </cat>
          <val>
            <numRef>
              <f>'Docentes'!$D$57:$D$63</f>
            </numRef>
          </val>
        </ser>
        <ser>
          <idx val="3"/>
          <order val="3"/>
          <tx>
            <strRef>
              <f>'Docentes'!E56</f>
            </strRef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solidFill>
                <a:srgbClr val="F4B183"/>
              </a:solidFill>
              <a:prstDash val="solid"/>
            </a:ln>
          </spPr>
          <cat>
            <numRef>
              <f>'Docentes'!$A$57:$A$63</f>
            </numRef>
          </cat>
          <val>
            <numRef>
              <f>'Docentes'!$E$57:$E$63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Categoría MinCiencias: UD (planta) vs. MCIC (núcleo)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'Docentes'!B68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'Docentes'!$A$69:$A$72</f>
            </numRef>
          </cat>
          <val>
            <numRef>
              <f>'Docentes'!$B$69:$B$72</f>
            </numRef>
          </val>
        </ser>
        <ser>
          <idx val="1"/>
          <order val="1"/>
          <tx>
            <strRef>
              <f>'Docentes'!C68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'Docentes'!$A$69:$A$72</f>
            </numRef>
          </cat>
          <val>
            <numRef>
              <f>'Docentes'!$C$69:$C$72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de docentes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Grupos por categoría: UD vs. Ingeniería vs. MCIC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'Investigación'!B5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'Investigación'!$A$6:$A$11</f>
            </numRef>
          </cat>
          <val>
            <numRef>
              <f>'Investigación'!$B$6:$B$11</f>
            </numRef>
          </val>
        </ser>
        <ser>
          <idx val="1"/>
          <order val="1"/>
          <tx>
            <strRef>
              <f>'Investigación'!C5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'Investigación'!$A$6:$A$11</f>
            </numRef>
          </cat>
          <val>
            <numRef>
              <f>'Investigación'!$C$6:$C$11</f>
            </numRef>
          </val>
        </ser>
        <ser>
          <idx val="2"/>
          <order val="2"/>
          <tx>
            <strRef>
              <f>'Investigación'!D5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'Investigación'!$A$6:$A$11</f>
            </numRef>
          </cat>
          <val>
            <numRef>
              <f>'Investigación'!$D$6:$D$11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MCIC: trabajos de grado por etapa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'Investigación'!B42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'Investigación'!$A$43:$A$50</f>
            </numRef>
          </cat>
          <val>
            <numRef>
              <f>'Investigación'!$B$43:$B$50</f>
            </numRef>
          </val>
        </ser>
        <ser>
          <idx val="1"/>
          <order val="1"/>
          <tx>
            <strRef>
              <f>'Investigación'!C42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'Investigación'!$A$43:$A$50</f>
            </numRef>
          </cat>
          <val>
            <numRef>
              <f>'Investigación'!$C$43:$C$50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MCIC: graduados por año (estimado)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'Graduados'!B12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'Graduados'!$A$13:$A$17</f>
            </numRef>
          </cat>
          <val>
            <numRef>
              <f>'Graduados'!$B$13:$B$17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MCIC: graduados por periodo (Cuadro 04)</a:t>
            </a:r>
          </a:p>
        </rich>
      </tx>
    </title>
    <plotArea>
      <lineChart>
        <grouping val="standard"/>
        <ser>
          <idx val="0"/>
          <order val="0"/>
          <tx>
            <strRef>
              <f>'Graduados'!C37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'Graduados'!$A$38:$A$49</f>
            </numRef>
          </cat>
          <val>
            <numRef>
              <f>'Graduados'!$C$38:$C$49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Movilidad MCIC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'Internacionalización'!C25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'Internacionalización'!$A$26:$A$33</f>
            </numRef>
          </cat>
          <val>
            <numRef>
              <f>'Internacionalización'!$C$26:$C$33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MCIC: actividades de bienestar por semestre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'Bienestar'!A18</f>
            </strRef>
          </tx>
          <spPr>
            <a:ln xmlns:a="http://schemas.openxmlformats.org/drawingml/2006/main">
              <a:prstDash val="solid"/>
            </a:ln>
          </spPr>
          <cat>
            <numRef>
              <f>'Bienestar'!$B$17:$F$17</f>
            </numRef>
          </cat>
          <val>
            <numRef>
              <f>'Bienestar'!$B$18:$F$18</f>
            </numRef>
          </val>
        </ser>
        <ser>
          <idx val="1"/>
          <order val="1"/>
          <tx>
            <strRef>
              <f>'Bienestar'!A19</f>
            </strRef>
          </tx>
          <spPr>
            <a:ln xmlns:a="http://schemas.openxmlformats.org/drawingml/2006/main">
              <a:prstDash val="solid"/>
            </a:ln>
          </spPr>
          <cat>
            <numRef>
              <f>'Bienestar'!$B$17:$F$17</f>
            </numRef>
          </cat>
          <val>
            <numRef>
              <f>'Bienestar'!$B$19:$F$19</f>
            </numRef>
          </val>
        </ser>
        <ser>
          <idx val="2"/>
          <order val="2"/>
          <tx>
            <strRef>
              <f>'Bienestar'!A20</f>
            </strRef>
          </tx>
          <spPr>
            <a:ln xmlns:a="http://schemas.openxmlformats.org/drawingml/2006/main">
              <a:prstDash val="solid"/>
            </a:ln>
          </spPr>
          <cat>
            <numRef>
              <f>'Bienestar'!$B$17:$F$17</f>
            </numRef>
          </cat>
          <val>
            <numRef>
              <f>'Bienestar'!$B$20:$F$20</f>
            </numRef>
          </val>
        </ser>
        <ser>
          <idx val="3"/>
          <order val="3"/>
          <tx>
            <strRef>
              <f>'Bienestar'!A21</f>
            </strRef>
          </tx>
          <spPr>
            <a:ln xmlns:a="http://schemas.openxmlformats.org/drawingml/2006/main">
              <a:prstDash val="solid"/>
            </a:ln>
          </spPr>
          <cat>
            <numRef>
              <f>'Bienestar'!$B$17:$F$17</f>
            </numRef>
          </cat>
          <val>
            <numRef>
              <f>'Bienestar'!$B$21:$F$21</f>
            </numRef>
          </val>
        </ser>
        <ser>
          <idx val="4"/>
          <order val="4"/>
          <tx>
            <strRef>
              <f>'Bienestar'!A22</f>
            </strRef>
          </tx>
          <spPr>
            <a:ln xmlns:a="http://schemas.openxmlformats.org/drawingml/2006/main">
              <a:prstDash val="solid"/>
            </a:ln>
          </spPr>
          <cat>
            <numRef>
              <f>'Bienestar'!$B$17:$F$17</f>
            </numRef>
          </cat>
          <val>
            <numRef>
              <f>'Bienestar'!$B$22:$F$22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UD: servicios de Desarrollo Humano por semestre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'Bienestar'!B5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solidFill>
                <a:srgbClr val="BFBFBF"/>
              </a:solidFill>
              <a:prstDash val="solid"/>
            </a:ln>
          </spPr>
          <cat>
            <numRef>
              <f>'Bienestar'!$A$6:$A$10</f>
            </numRef>
          </cat>
          <val>
            <numRef>
              <f>'Bienestar'!$B$6:$B$10</f>
            </numRef>
          </val>
        </ser>
        <ser>
          <idx val="1"/>
          <order val="1"/>
          <tx>
            <strRef>
              <f>'Bienestar'!C5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'Bienestar'!$A$6:$A$10</f>
            </numRef>
          </cat>
          <val>
            <numRef>
              <f>'Bienestar'!$C$6:$C$10</f>
            </numRef>
          </val>
        </ser>
        <ser>
          <idx val="2"/>
          <order val="2"/>
          <tx>
            <strRef>
              <f>'Bienestar'!D5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'Bienestar'!$A$6:$A$10</f>
            </numRef>
          </cat>
          <val>
            <numRef>
              <f>'Bienestar'!$D$6:$D$10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UAL por facultad (Ingeniería = facultad de la MCIC)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'Infraestructura'!B5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'Infraestructura'!$A$6:$A$12</f>
            </numRef>
          </cat>
          <val>
            <numRef>
              <f>'Infraestructura'!$B$6:$B$12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Fuente</author>
  </authors>
  <commentList>
    <comment ref="D11" authorId="0" shapeId="0">
      <text>
        <t>La presentación dice 1.989; el desglose por nivel suma 1.990.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52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20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35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55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20" customWidth="1" min="3" max="3"/>
    <col width="30" customWidth="1" min="4" max="4"/>
    <col width="14" customWidth="1" min="5" max="5"/>
    <col width="16" customWidth="1" min="6" max="6"/>
    <col width="13" customWidth="1" min="7" max="7"/>
    <col width="13" customWidth="1" min="8" max="8"/>
    <col width="20" customWidth="1" min="9" max="9"/>
  </cols>
  <sheetData>
    <row r="1">
      <c r="A1" s="1" t="inlineStr">
        <is>
          <t>Universidad Distrital vs. Maestría en Ciencias de la Información y las Comunicaciones (MCIC)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Cifras generales de la U (presentación institucional, visita CNA 23-25 sep 2026) y la porción que corresponde a la MCIC (SNIES 17528 y 116070)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Azul = dato de la fuente · Negro = fórmula · Verde = vínculo a otra hoja · Amarillo = indicador clave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Dimensión</t>
        </is>
      </c>
      <c r="B5" s="5" t="inlineStr">
        <is>
          <t>Indicador</t>
        </is>
      </c>
      <c r="C5" s="5" t="inlineStr">
        <is>
          <t>Universidad Distrital</t>
        </is>
      </c>
      <c r="D5" s="5" t="inlineStr">
        <is>
          <t>Referencia intermedia</t>
        </is>
      </c>
      <c r="E5" s="5" t="inlineStr">
        <is>
          <t>Valor ref.</t>
        </is>
      </c>
      <c r="F5" s="5" t="inlineStr">
        <is>
          <t>MCIC</t>
        </is>
      </c>
      <c r="G5" s="5" t="inlineStr">
        <is>
          <t>% MCIC / UD</t>
        </is>
      </c>
      <c r="H5" s="5" t="inlineStr">
        <is>
          <t>% MCIC / ref.</t>
        </is>
      </c>
      <c r="I5" s="5" t="inlineStr">
        <is>
          <t>Hoja de detalle</t>
        </is>
      </c>
    </row>
    <row r="6">
      <c r="A6" s="6" t="inlineStr">
        <is>
          <t>Estudiantes</t>
        </is>
      </c>
      <c r="B6" s="6" t="inlineStr">
        <is>
          <t>Estudiantes matriculados 2026-1</t>
        </is>
      </c>
      <c r="C6" s="7">
        <f>'Estudiantes'!$B$6</f>
        <v/>
      </c>
      <c r="D6" s="6" t="inlineStr">
        <is>
          <t>Maestría UD</t>
        </is>
      </c>
      <c r="E6" s="7">
        <f>'Estudiantes'!$B$10</f>
        <v/>
      </c>
      <c r="F6" s="8">
        <f>'Estudiantes'!$F$20</f>
        <v/>
      </c>
      <c r="G6" s="9">
        <f>IF(C6&gt;0,F6/C6,"")</f>
        <v/>
      </c>
      <c r="H6" s="10">
        <f>IF(E6&gt;0,F6/E6,"")</f>
        <v/>
      </c>
      <c r="I6" s="6" t="inlineStr">
        <is>
          <t>Estudiantes</t>
        </is>
      </c>
    </row>
    <row r="7">
      <c r="A7" s="6" t="inlineStr">
        <is>
          <t>Estudiantes</t>
        </is>
      </c>
      <c r="B7" s="6" t="inlineStr">
        <is>
          <t xml:space="preserve">  · Modalidad Investigación / Profundización</t>
        </is>
      </c>
      <c r="C7" s="11" t="n"/>
      <c r="D7" s="11" t="n"/>
      <c r="E7" s="11" t="n"/>
      <c r="F7" s="12">
        <f>'Estudiantes'!$B$23&amp;" / "&amp;'Estudiantes'!$B$24</f>
        <v/>
      </c>
      <c r="G7" s="11" t="n"/>
      <c r="H7" s="11" t="n"/>
      <c r="I7" s="6" t="inlineStr">
        <is>
          <t>Estudiantes</t>
        </is>
      </c>
    </row>
    <row r="8">
      <c r="A8" s="6" t="inlineStr">
        <is>
          <t>Docentes</t>
        </is>
      </c>
      <c r="B8" s="6" t="inlineStr">
        <is>
          <t>Docentes (núcleo del programa)</t>
        </is>
      </c>
      <c r="C8" s="7">
        <f>'Docentes'!$D$11</f>
        <v/>
      </c>
      <c r="D8" s="6" t="inlineStr">
        <is>
          <t>Planta UD</t>
        </is>
      </c>
      <c r="E8" s="7">
        <f>'Docentes'!$B$10</f>
        <v/>
      </c>
      <c r="F8" s="8">
        <f>'Docentes'!$B$33</f>
        <v/>
      </c>
      <c r="G8" s="9">
        <f>IF(C8&gt;0,F8/C8,"")</f>
        <v/>
      </c>
      <c r="H8" s="10">
        <f>IF(E8&gt;0,F8/E8,"")</f>
        <v/>
      </c>
      <c r="I8" s="6" t="inlineStr">
        <is>
          <t>Docentes</t>
        </is>
      </c>
    </row>
    <row r="9">
      <c r="A9" s="6" t="inlineStr">
        <is>
          <t>Docentes</t>
        </is>
      </c>
      <c r="B9" s="6" t="inlineStr">
        <is>
          <t>Docentes que dirigen o codirigen trabajos de grado</t>
        </is>
      </c>
      <c r="C9" s="7">
        <f>'Docentes'!$D$11</f>
        <v/>
      </c>
      <c r="D9" s="11" t="n"/>
      <c r="E9" s="11" t="n"/>
      <c r="F9" s="8">
        <f>'Docentes'!$B$49</f>
        <v/>
      </c>
      <c r="G9" s="9">
        <f>IF(C9&gt;0,F9/C9,"")</f>
        <v/>
      </c>
      <c r="H9" s="11" t="n"/>
      <c r="I9" s="6" t="inlineStr">
        <is>
          <t>Docentes</t>
        </is>
      </c>
    </row>
    <row r="10">
      <c r="A10" s="6" t="inlineStr">
        <is>
          <t>Docentes</t>
        </is>
      </c>
      <c r="B10" s="6" t="inlineStr">
        <is>
          <t>Docentes con doctorado</t>
        </is>
      </c>
      <c r="C10" s="7">
        <f>'Docentes'!$D$6</f>
        <v/>
      </c>
      <c r="D10" s="11" t="n"/>
      <c r="E10" s="11" t="n"/>
      <c r="F10" s="8">
        <f>'Docentes'!$B$34</f>
        <v/>
      </c>
      <c r="G10" s="9">
        <f>IF(C10&gt;0,F10/C10,"")</f>
        <v/>
      </c>
      <c r="H10" s="11" t="n"/>
      <c r="I10" s="6" t="inlineStr">
        <is>
          <t>Docentes</t>
        </is>
      </c>
    </row>
    <row r="11">
      <c r="A11" s="6" t="inlineStr">
        <is>
          <t>Docentes</t>
        </is>
      </c>
      <c r="B11" s="6" t="inlineStr">
        <is>
          <t>% docentes con doctorado</t>
        </is>
      </c>
      <c r="C11" s="13">
        <f>'Docentes'!$D$12</f>
        <v/>
      </c>
      <c r="D11" s="11" t="n"/>
      <c r="E11" s="11" t="n"/>
      <c r="F11" s="14">
        <f>'Docentes'!$B$35</f>
        <v/>
      </c>
      <c r="G11" s="11" t="n"/>
      <c r="H11" s="11" t="n"/>
      <c r="I11" s="6" t="inlineStr">
        <is>
          <t>Docentes</t>
        </is>
      </c>
    </row>
    <row r="12">
      <c r="A12" s="6" t="inlineStr">
        <is>
          <t>Docentes</t>
        </is>
      </c>
      <c r="B12" s="6" t="inlineStr">
        <is>
          <t>% reconocidos como investigador (MinCiencias)</t>
        </is>
      </c>
      <c r="C12" s="13">
        <f>'Docentes'!$C$42</f>
        <v/>
      </c>
      <c r="D12" s="11" t="n"/>
      <c r="E12" s="11" t="n"/>
      <c r="F12" s="14">
        <f>'Docentes'!$B$42</f>
        <v/>
      </c>
      <c r="G12" s="11" t="n"/>
      <c r="H12" s="11" t="n"/>
      <c r="I12" s="6" t="inlineStr">
        <is>
          <t>Docentes</t>
        </is>
      </c>
    </row>
    <row r="13">
      <c r="A13" s="6" t="inlineStr">
        <is>
          <t>Docentes</t>
        </is>
      </c>
      <c r="B13" s="6" t="inlineStr">
        <is>
          <t>Estudiantes por docente</t>
        </is>
      </c>
      <c r="C13" s="15">
        <f>'Estudiantes'!$B$6/'Docentes'!$D$11</f>
        <v/>
      </c>
      <c r="D13" s="6" t="inlineStr">
        <is>
          <t>Por docente que dirige/codirige</t>
        </is>
      </c>
      <c r="E13" s="15">
        <f>'Estudiantes'!$F$20/'Docentes'!$B$49</f>
        <v/>
      </c>
      <c r="F13" s="15">
        <f>'Estudiantes'!$F$20/'Docentes'!$B$33</f>
        <v/>
      </c>
      <c r="G13" s="11" t="n"/>
      <c r="H13" s="11" t="n"/>
      <c r="I13" s="6" t="inlineStr">
        <is>
          <t>Docentes</t>
        </is>
      </c>
    </row>
    <row r="14">
      <c r="A14" s="6" t="inlineStr">
        <is>
          <t>Investigación</t>
        </is>
      </c>
      <c r="B14" s="6" t="inlineStr">
        <is>
          <t>Grupos de investigación</t>
        </is>
      </c>
      <c r="C14" s="7">
        <f>'Investigación'!$B$12</f>
        <v/>
      </c>
      <c r="D14" s="6" t="inlineStr">
        <is>
          <t>Facultad de Ingeniería</t>
        </is>
      </c>
      <c r="E14" s="7">
        <f>'Investigación'!$C$12</f>
        <v/>
      </c>
      <c r="F14" s="8">
        <f>'Investigación'!$D$12</f>
        <v/>
      </c>
      <c r="G14" s="9">
        <f>IF(C14&gt;0,F14/C14,"")</f>
        <v/>
      </c>
      <c r="H14" s="11" t="n"/>
      <c r="I14" s="6" t="inlineStr">
        <is>
          <t>Investigación</t>
        </is>
      </c>
    </row>
    <row r="15">
      <c r="A15" s="6" t="inlineStr">
        <is>
          <t>Investigación</t>
        </is>
      </c>
      <c r="B15" s="6" t="inlineStr">
        <is>
          <t>Grupos en categoría A1 o A</t>
        </is>
      </c>
      <c r="C15" s="7">
        <f>'Investigación'!$B$13</f>
        <v/>
      </c>
      <c r="D15" s="6" t="inlineStr">
        <is>
          <t>Facultad de Ingeniería</t>
        </is>
      </c>
      <c r="E15" s="7">
        <f>'Investigación'!$C$13</f>
        <v/>
      </c>
      <c r="F15" s="8">
        <f>'Investigación'!$D$13</f>
        <v/>
      </c>
      <c r="G15" s="9">
        <f>IF(C15&gt;0,F15/C15,"")</f>
        <v/>
      </c>
      <c r="H15" s="11" t="n"/>
      <c r="I15" s="6" t="inlineStr">
        <is>
          <t>Investigación</t>
        </is>
      </c>
    </row>
    <row r="16">
      <c r="A16" s="6" t="inlineStr">
        <is>
          <t>Investigación</t>
        </is>
      </c>
      <c r="B16" s="6" t="inlineStr">
        <is>
          <t>% grupos A1 + A</t>
        </is>
      </c>
      <c r="C16" s="13">
        <f>'Investigación'!$B$14</f>
        <v/>
      </c>
      <c r="D16" s="6" t="inlineStr">
        <is>
          <t>Facultad de Ingeniería</t>
        </is>
      </c>
      <c r="E16" s="13">
        <f>'Investigación'!$C$14</f>
        <v/>
      </c>
      <c r="F16" s="14">
        <f>'Investigación'!$D$14</f>
        <v/>
      </c>
      <c r="G16" s="11" t="n"/>
      <c r="H16" s="11" t="n"/>
      <c r="I16" s="6" t="inlineStr">
        <is>
          <t>Investigación</t>
        </is>
      </c>
    </row>
    <row r="17">
      <c r="A17" s="6" t="inlineStr">
        <is>
          <t>Graduados</t>
        </is>
      </c>
      <c r="B17" s="6" t="inlineStr">
        <is>
          <t>Graduados últimos 5 años</t>
        </is>
      </c>
      <c r="C17" s="7">
        <f>'Graduados'!$B$6</f>
        <v/>
      </c>
      <c r="D17" s="6" t="inlineStr">
        <is>
          <t>Posgrado UD</t>
        </is>
      </c>
      <c r="E17" s="7">
        <f>'Graduados'!$B$8</f>
        <v/>
      </c>
      <c r="F17" s="8">
        <f>'Graduados'!$B$18</f>
        <v/>
      </c>
      <c r="G17" s="9">
        <f>IF(C17&gt;0,F17/C17,"")</f>
        <v/>
      </c>
      <c r="H17" s="10">
        <f>IF(E17&gt;0,F17/E17,"")</f>
        <v/>
      </c>
      <c r="I17" s="6" t="inlineStr">
        <is>
          <t>Graduados</t>
        </is>
      </c>
    </row>
    <row r="18">
      <c r="A18" s="6" t="inlineStr">
        <is>
          <t>Graduados</t>
        </is>
      </c>
      <c r="B18" s="6" t="inlineStr">
        <is>
          <t>Graduados históricos</t>
        </is>
      </c>
      <c r="C18" s="7">
        <f>'Graduados'!$B$9</f>
        <v/>
      </c>
      <c r="D18" s="11" t="n"/>
      <c r="E18" s="11" t="n"/>
      <c r="F18" s="8">
        <f>'Graduados'!$C$31</f>
        <v/>
      </c>
      <c r="G18" s="9">
        <f>IF(C18&gt;0,F18/C18,"")</f>
        <v/>
      </c>
      <c r="H18" s="11" t="n"/>
      <c r="I18" s="6" t="inlineStr">
        <is>
          <t>Graduados</t>
        </is>
      </c>
    </row>
    <row r="19">
      <c r="A19" s="6" t="inlineStr">
        <is>
          <t>Internacionalización</t>
        </is>
      </c>
      <c r="B19" s="6" t="inlineStr">
        <is>
          <t>Convenios vigentes</t>
        </is>
      </c>
      <c r="C19" s="7">
        <f>'Internacionalización'!$B$7</f>
        <v/>
      </c>
      <c r="D19" s="6" t="inlineStr">
        <is>
          <t>Relacionados con Ingeniería</t>
        </is>
      </c>
      <c r="E19" s="7">
        <f>'Internacionalización'!$B$10</f>
        <v/>
      </c>
      <c r="F19" s="8">
        <f>'Internacionalización'!$B$11</f>
        <v/>
      </c>
      <c r="G19" s="9">
        <f>IF(C19&gt;0,F19/C19,"")</f>
        <v/>
      </c>
      <c r="H19" s="10">
        <f>IF(E19&gt;0,F19/E19,"")</f>
        <v/>
      </c>
      <c r="I19" s="6" t="inlineStr">
        <is>
          <t>Internacionalización</t>
        </is>
      </c>
    </row>
    <row r="20">
      <c r="A20" s="6" t="inlineStr">
        <is>
          <t>Internacionalización</t>
        </is>
      </c>
      <c r="B20" s="6" t="inlineStr">
        <is>
          <t>Estudiantes en movilidad saliente</t>
        </is>
      </c>
      <c r="C20" s="7">
        <f>'Internacionalización'!$B$34</f>
        <v/>
      </c>
      <c r="D20" s="11" t="n"/>
      <c r="E20" s="11" t="n"/>
      <c r="F20" s="8">
        <f>'Internacionalización'!$C$34</f>
        <v/>
      </c>
      <c r="G20" s="9">
        <f>IF(C20&gt;0,F20/C20,"")</f>
        <v/>
      </c>
      <c r="H20" s="11" t="n"/>
      <c r="I20" s="6" t="inlineStr">
        <is>
          <t>Internacionalización</t>
        </is>
      </c>
    </row>
    <row r="21">
      <c r="A21" s="6" t="inlineStr">
        <is>
          <t>Internacionalización</t>
        </is>
      </c>
      <c r="B21" s="6" t="inlineStr">
        <is>
          <t>Docentes en movilidad saliente</t>
        </is>
      </c>
      <c r="C21" s="7">
        <f>'Internacionalización'!$B$35</f>
        <v/>
      </c>
      <c r="D21" s="11" t="n"/>
      <c r="E21" s="11" t="n"/>
      <c r="F21" s="8">
        <f>'Internacionalización'!$C$35</f>
        <v/>
      </c>
      <c r="G21" s="9">
        <f>IF(C21&gt;0,F21/C21,"")</f>
        <v/>
      </c>
      <c r="H21" s="11" t="n"/>
      <c r="I21" s="6" t="inlineStr">
        <is>
          <t>Internacionalización</t>
        </is>
      </c>
    </row>
    <row r="22">
      <c r="A22" s="6" t="inlineStr">
        <is>
          <t>Internacionalización</t>
        </is>
      </c>
      <c r="B22" s="6" t="inlineStr">
        <is>
          <t>Docentes visitantes</t>
        </is>
      </c>
      <c r="C22" s="7">
        <f>'Internacionalización'!$B$36</f>
        <v/>
      </c>
      <c r="D22" s="11" t="n"/>
      <c r="E22" s="11" t="n"/>
      <c r="F22" s="8">
        <f>'Internacionalización'!$C$36</f>
        <v/>
      </c>
      <c r="G22" s="9">
        <f>IF(C22&gt;0,F22/C22,"")</f>
        <v/>
      </c>
      <c r="H22" s="11" t="n"/>
      <c r="I22" s="6" t="inlineStr">
        <is>
          <t>Internacionalización</t>
        </is>
      </c>
    </row>
    <row r="23">
      <c r="A23" s="6" t="inlineStr">
        <is>
          <t>Infraestructura</t>
        </is>
      </c>
      <c r="B23" s="6" t="inlineStr">
        <is>
          <t>Laboratorios (UAL) / espacios relacionados</t>
        </is>
      </c>
      <c r="C23" s="7">
        <f>'Infraestructura'!$B$13</f>
        <v/>
      </c>
      <c r="D23" s="6" t="inlineStr">
        <is>
          <t>UAL Facultad de Ingeniería</t>
        </is>
      </c>
      <c r="E23" s="7">
        <f>'Infraestructura'!$B$8</f>
        <v/>
      </c>
      <c r="F23" s="8">
        <f>'Infraestructura'!$B$23</f>
        <v/>
      </c>
      <c r="G23" s="11" t="n"/>
      <c r="H23" s="11" t="n"/>
      <c r="I23" s="6" t="inlineStr">
        <is>
          <t>Infraestructura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16" t="inlineStr">
        <is>
          <t>Lectura rápida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17" t="inlineStr">
        <is>
          <t>• La MCIC tiene cerca del 0,5 % de los estudiantes de la U, pero alrededor del 14 % de los estudiantes de maestría.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17" t="inlineStr">
        <is>
          <t>• De los 1.989 docentes de la U, 11 conforman el núcleo que la MCIC reporta al CNA (0,6 %); 10 tienen doctorado (91 % vs. 26 % en la U).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17" t="inlineStr">
        <is>
          <t>• La base de docentes que realmente sostiene el programa es más amplia: los que hoy dirigen o codirigen trabajos de grado y los integrantes de los 19 grupos del directorio.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17" t="inlineStr">
        <is>
          <t>• El 47 % de los grupos que soportan la MCIC está en A1 o A, frente al 20 % en la U y el 22 % en Ingeniería.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17" t="inlineStr">
        <is>
          <t>• Internacionalización y bienestar son los puntos más débiles en comparación: solo 3 convenios aplican expresamente al posgrado y el uso de bienestar registrado es muy bajo.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17" t="inlineStr">
        <is>
          <t>• No hay en Data/ cifras de presupuesto propio de la MCIC; el presupuesto de la presentación es institucional ($668.317 millones en 2026).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16" t="inlineStr">
        <is>
          <t>Indicadores relativos (para el gráfico)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5" t="inlineStr">
        <is>
          <t>Indicador</t>
        </is>
      </c>
      <c r="B34" s="5" t="inlineStr">
        <is>
          <t>UD</t>
        </is>
      </c>
      <c r="C34" s="5" t="inlineStr">
        <is>
          <t>MCIC</t>
        </is>
      </c>
      <c r="D34" s="2" t="n"/>
      <c r="E34" s="2" t="n"/>
      <c r="F34" s="2" t="n"/>
      <c r="G34" s="2" t="n"/>
      <c r="H34" s="2" t="n"/>
      <c r="I34" s="2" t="n"/>
    </row>
    <row r="35">
      <c r="A35" s="6" t="inlineStr">
        <is>
          <t>% docentes con doctorado</t>
        </is>
      </c>
      <c r="B35" s="13">
        <f>'Docentes'!$D$12</f>
        <v/>
      </c>
      <c r="C35" s="13">
        <f>'Docentes'!$B$35</f>
        <v/>
      </c>
      <c r="D35" s="2" t="n"/>
      <c r="E35" s="2" t="n"/>
      <c r="F35" s="2" t="n"/>
      <c r="G35" s="2" t="n"/>
      <c r="H35" s="2" t="n"/>
      <c r="I35" s="2" t="n"/>
    </row>
    <row r="36">
      <c r="A36" s="6" t="inlineStr">
        <is>
          <t>% docentes reconocidos como investigador</t>
        </is>
      </c>
      <c r="B36" s="13">
        <f>'Docentes'!$C$42</f>
        <v/>
      </c>
      <c r="C36" s="13">
        <f>'Docentes'!$B$42</f>
        <v/>
      </c>
      <c r="D36" s="2" t="n"/>
      <c r="E36" s="2" t="n"/>
      <c r="F36" s="2" t="n"/>
      <c r="G36" s="2" t="n"/>
      <c r="H36" s="2" t="n"/>
      <c r="I36" s="2" t="n"/>
    </row>
    <row r="37">
      <c r="A37" s="6" t="inlineStr">
        <is>
          <t>% grupos A1 + A</t>
        </is>
      </c>
      <c r="B37" s="13">
        <f>'Investigación'!$B$14</f>
        <v/>
      </c>
      <c r="C37" s="13">
        <f>'Investigación'!$D$14</f>
        <v/>
      </c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5" t="inlineStr">
        <is>
          <t>Participación de la MCIC en la U</t>
        </is>
      </c>
      <c r="B39" s="5" t="inlineStr">
        <is>
          <t>%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6" t="inlineStr">
        <is>
          <t>Estudiantes (sobre total UD)</t>
        </is>
      </c>
      <c r="B40" s="18">
        <f>'Estudiantes'!$B$28</f>
        <v/>
      </c>
      <c r="C40" s="2" t="n"/>
      <c r="D40" s="2" t="n"/>
      <c r="E40" s="2" t="n"/>
      <c r="F40" s="2" t="n"/>
      <c r="G40" s="2" t="n"/>
      <c r="H40" s="2" t="n"/>
      <c r="I40" s="2" t="n"/>
    </row>
    <row r="41">
      <c r="A41" s="6" t="inlineStr">
        <is>
          <t>Estudiantes (sobre maestría UD)</t>
        </is>
      </c>
      <c r="B41" s="18">
        <f>'Estudiantes'!$B$30</f>
        <v/>
      </c>
      <c r="C41" s="2" t="n"/>
      <c r="D41" s="2" t="n"/>
      <c r="E41" s="2" t="n"/>
      <c r="F41" s="2" t="n"/>
      <c r="G41" s="2" t="n"/>
      <c r="H41" s="2" t="n"/>
      <c r="I41" s="2" t="n"/>
    </row>
    <row r="42">
      <c r="A42" s="6" t="inlineStr">
        <is>
          <t>Graduados 5 años (sobre posgrado UD)</t>
        </is>
      </c>
      <c r="B42" s="18">
        <f>'Graduados'!$B$19</f>
        <v/>
      </c>
      <c r="C42" s="2" t="n"/>
      <c r="D42" s="2" t="n"/>
      <c r="E42" s="2" t="n"/>
      <c r="F42" s="2" t="n"/>
      <c r="G42" s="2" t="n"/>
      <c r="H42" s="2" t="n"/>
      <c r="I42" s="2" t="n"/>
    </row>
    <row r="43">
      <c r="A43" s="6" t="inlineStr">
        <is>
          <t>Convenios aplicables</t>
        </is>
      </c>
      <c r="B43" s="18">
        <f>'Internacionalización'!$B$12</f>
        <v/>
      </c>
      <c r="C43" s="2" t="n"/>
      <c r="D43" s="2" t="n"/>
      <c r="E43" s="2" t="n"/>
      <c r="F43" s="2" t="n"/>
      <c r="G43" s="2" t="n"/>
      <c r="H43" s="2" t="n"/>
      <c r="I43" s="2" t="n"/>
    </row>
    <row r="44">
      <c r="A44" s="6" t="inlineStr">
        <is>
          <t>Docentes núcleo (sobre total UD)</t>
        </is>
      </c>
      <c r="B44" s="18">
        <f>'Docentes'!$B$52</f>
        <v/>
      </c>
      <c r="C44" s="2" t="n"/>
      <c r="D44" s="2" t="n"/>
      <c r="E44" s="2" t="n"/>
      <c r="F44" s="2" t="n"/>
      <c r="G44" s="2" t="n"/>
      <c r="H44" s="2" t="n"/>
      <c r="I44" s="2" t="n"/>
    </row>
    <row r="45">
      <c r="A45" s="6" t="inlineStr">
        <is>
          <t>Docentes que dirigen/codirigen (sobre total UD)</t>
        </is>
      </c>
      <c r="B45" s="18">
        <f>'Docentes'!$B$53</f>
        <v/>
      </c>
      <c r="C45" s="2" t="n"/>
      <c r="D45" s="2" t="n"/>
      <c r="E45" s="2" t="n"/>
      <c r="F45" s="2" t="n"/>
      <c r="G45" s="2" t="n"/>
      <c r="H45" s="2" t="n"/>
      <c r="I45" s="2" t="n"/>
    </row>
  </sheetData>
  <mergeCells count="6">
    <mergeCell ref="A29:I29"/>
    <mergeCell ref="A28:I28"/>
    <mergeCell ref="A27:I27"/>
    <mergeCell ref="A31:I31"/>
    <mergeCell ref="A26:I26"/>
    <mergeCell ref="A30:I3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Estudiantes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UD 2026-1 (presentación institucional) vs. MCIC 2026-1 (estudiantes activos por énfasis)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6" t="inlineStr">
        <is>
          <t>A. Universidad Distrital — Población estudiantil 2026-1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Concepto</t>
        </is>
      </c>
      <c r="B5" s="5" t="inlineStr">
        <is>
          <t>Estudiantes</t>
        </is>
      </c>
      <c r="C5" s="5" t="inlineStr">
        <is>
          <t>Fuente</t>
        </is>
      </c>
      <c r="D5" s="2" t="n"/>
      <c r="E5" s="2" t="n"/>
      <c r="F5" s="2" t="n"/>
      <c r="G5" s="2" t="n"/>
    </row>
    <row r="6">
      <c r="A6" s="6" t="inlineStr">
        <is>
          <t>Total estudiantes UD</t>
        </is>
      </c>
      <c r="B6" s="19" t="n">
        <v>28549</v>
      </c>
      <c r="C6" s="6" t="inlineStr">
        <is>
          <t>Presentación institucional 23-sep-2026 (PRES_INST_23_SEPTIEMBRE_2026 VF.pdf), diap. 4</t>
        </is>
      </c>
      <c r="D6" s="2" t="n"/>
      <c r="E6" s="2" t="n"/>
      <c r="F6" s="2" t="n"/>
      <c r="G6" s="2" t="n"/>
    </row>
    <row r="7">
      <c r="A7" s="6" t="inlineStr">
        <is>
          <t>Pregrado</t>
        </is>
      </c>
      <c r="B7" s="19" t="n">
        <v>26523</v>
      </c>
      <c r="C7" s="6" t="inlineStr">
        <is>
          <t>Presentación institucional 23-sep-2026 (PRES_INST_23_SEPTIEMBRE_2026 VF.pdf), diap. 4</t>
        </is>
      </c>
      <c r="D7" s="2" t="n"/>
      <c r="E7" s="2" t="n"/>
      <c r="F7" s="2" t="n"/>
      <c r="G7" s="2" t="n"/>
    </row>
    <row r="8">
      <c r="A8" s="6" t="inlineStr">
        <is>
          <t>Posgrado</t>
        </is>
      </c>
      <c r="B8" s="19" t="n">
        <v>2026</v>
      </c>
      <c r="C8" s="6" t="inlineStr">
        <is>
          <t>Presentación institucional 23-sep-2026 (PRES_INST_23_SEPTIEMBRE_2026 VF.pdf), diap. 4</t>
        </is>
      </c>
      <c r="D8" s="2" t="n"/>
      <c r="E8" s="2" t="n"/>
      <c r="F8" s="2" t="n"/>
      <c r="G8" s="2" t="n"/>
    </row>
    <row r="9">
      <c r="A9" s="6" t="inlineStr">
        <is>
          <t xml:space="preserve">  Doctorado</t>
        </is>
      </c>
      <c r="B9" s="19" t="n">
        <v>290</v>
      </c>
      <c r="C9" s="6" t="inlineStr">
        <is>
          <t>Presentación institucional 23-sep-2026 (PRES_INST_23_SEPTIEMBRE_2026 VF.pdf), diap. 4</t>
        </is>
      </c>
      <c r="D9" s="2" t="n"/>
      <c r="E9" s="2" t="n"/>
      <c r="F9" s="2" t="n"/>
      <c r="G9" s="2" t="n"/>
    </row>
    <row r="10">
      <c r="A10" s="6" t="inlineStr">
        <is>
          <t xml:space="preserve">  Maestría</t>
        </is>
      </c>
      <c r="B10" s="19" t="n">
        <v>1147</v>
      </c>
      <c r="C10" s="6" t="inlineStr">
        <is>
          <t>Presentación institucional 23-sep-2026 (PRES_INST_23_SEPTIEMBRE_2026 VF.pdf), diap. 4</t>
        </is>
      </c>
      <c r="D10" s="2" t="n"/>
      <c r="E10" s="2" t="n"/>
      <c r="F10" s="2" t="n"/>
      <c r="G10" s="2" t="n"/>
    </row>
    <row r="11">
      <c r="A11" s="6" t="inlineStr">
        <is>
          <t xml:space="preserve">  Especialización</t>
        </is>
      </c>
      <c r="B11" s="19" t="n">
        <v>589</v>
      </c>
      <c r="C11" s="6" t="inlineStr">
        <is>
          <t>Presentación institucional 23-sep-2026 (PRES_INST_23_SEPTIEMBRE_2026 VF.pdf), diap. 4</t>
        </is>
      </c>
      <c r="D11" s="2" t="n"/>
      <c r="E11" s="2" t="n"/>
      <c r="F11" s="2" t="n"/>
      <c r="G11" s="2" t="n"/>
    </row>
    <row r="12">
      <c r="A12" s="6" t="inlineStr">
        <is>
          <t>Facultad de Ingeniería (pre + posgrado)</t>
        </is>
      </c>
      <c r="B12" s="19" t="n">
        <v>6093</v>
      </c>
      <c r="C12" s="6" t="inlineStr">
        <is>
          <t>Presentación institucional 23-sep-2026 (PRES_INST_23_SEPTIEMBRE_2026 VF.pdf), diap. 4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16" t="inlineStr">
        <is>
          <t>B. MCIC — Estudiantes activos 2026-1 por modalidad y énfasis</t>
        </is>
      </c>
      <c r="B14" s="2" t="n"/>
      <c r="C14" s="2" t="n"/>
      <c r="D14" s="2" t="n"/>
      <c r="E14" s="2" t="n"/>
      <c r="F14" s="2" t="n"/>
      <c r="G14" s="2" t="n"/>
    </row>
    <row r="15">
      <c r="A15" s="5" t="inlineStr">
        <is>
          <t>Plan / modalidad</t>
        </is>
      </c>
      <c r="B15" s="5" t="inlineStr">
        <is>
          <t>Geomática</t>
        </is>
      </c>
      <c r="C15" s="5" t="inlineStr">
        <is>
          <t>Ingeniería De Software</t>
        </is>
      </c>
      <c r="D15" s="5" t="inlineStr">
        <is>
          <t>Teleinformática</t>
        </is>
      </c>
      <c r="E15" s="5" t="inlineStr">
        <is>
          <t>Inteligencia Artificial</t>
        </is>
      </c>
      <c r="F15" s="5" t="inlineStr">
        <is>
          <t>Total</t>
        </is>
      </c>
      <c r="G15" s="2" t="n"/>
    </row>
    <row r="16">
      <c r="A16" s="6" t="inlineStr">
        <is>
          <t>MCIC. Énfasis en Investigación</t>
        </is>
      </c>
      <c r="B16" s="19" t="n">
        <v>7</v>
      </c>
      <c r="C16" s="19" t="n">
        <v>8</v>
      </c>
      <c r="D16" s="19" t="n">
        <v>10</v>
      </c>
      <c r="E16" s="19" t="n">
        <v>0</v>
      </c>
      <c r="F16" s="20">
        <f>SUM(B16:E16)</f>
        <v/>
      </c>
      <c r="G16" s="2" t="n"/>
    </row>
    <row r="17">
      <c r="A17" s="6" t="inlineStr">
        <is>
          <t>MCIC. Énfasis en Profundización</t>
        </is>
      </c>
      <c r="B17" s="19" t="n">
        <v>3</v>
      </c>
      <c r="C17" s="19" t="n">
        <v>12</v>
      </c>
      <c r="D17" s="19" t="n">
        <v>6</v>
      </c>
      <c r="E17" s="19" t="n">
        <v>0</v>
      </c>
      <c r="F17" s="20">
        <f>SUM(B17:E17)</f>
        <v/>
      </c>
      <c r="G17" s="2" t="n"/>
    </row>
    <row r="18">
      <c r="A18" s="6" t="inlineStr">
        <is>
          <t>MCIC. Investigación</t>
        </is>
      </c>
      <c r="B18" s="19" t="n">
        <v>9</v>
      </c>
      <c r="C18" s="19" t="n">
        <v>18</v>
      </c>
      <c r="D18" s="19" t="n">
        <v>12</v>
      </c>
      <c r="E18" s="19" t="n">
        <v>15</v>
      </c>
      <c r="F18" s="20">
        <f>SUM(B18:E18)</f>
        <v/>
      </c>
      <c r="G18" s="2" t="n"/>
    </row>
    <row r="19">
      <c r="A19" s="6" t="inlineStr">
        <is>
          <t>MCIC. Profundización</t>
        </is>
      </c>
      <c r="B19" s="19" t="n">
        <v>27</v>
      </c>
      <c r="C19" s="19" t="n">
        <v>12</v>
      </c>
      <c r="D19" s="19" t="n">
        <v>6</v>
      </c>
      <c r="E19" s="19" t="n">
        <v>11</v>
      </c>
      <c r="F19" s="20">
        <f>SUM(B19:E19)</f>
        <v/>
      </c>
      <c r="G19" s="2" t="n"/>
    </row>
    <row r="20">
      <c r="A20" s="21" t="inlineStr">
        <is>
          <t>Total MCIC</t>
        </is>
      </c>
      <c r="B20" s="20">
        <f>SUM(B16:B19)</f>
        <v/>
      </c>
      <c r="C20" s="20">
        <f>SUM(C16:C19)</f>
        <v/>
      </c>
      <c r="D20" s="20">
        <f>SUM(D16:D19)</f>
        <v/>
      </c>
      <c r="E20" s="20">
        <f>SUM(E16:E19)</f>
        <v/>
      </c>
      <c r="F20" s="20">
        <f>SUM(F16:F19)</f>
        <v/>
      </c>
      <c r="G20" s="2" t="n"/>
    </row>
    <row r="21">
      <c r="A21" s="4" t="inlineStr">
        <is>
          <t>Fuente: Data/Bronze/Maestria CIC/Énfasis estudiantes - Consolidado.xlsx (actualizado 2026-1). Coincide con los 'Matriculados' de Cóndor (Data/Bronze/Estados).</t>
        </is>
      </c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6" t="inlineStr">
        <is>
          <t>Modalidad Investigación (SNIES 17528)</t>
        </is>
      </c>
      <c r="B23" s="20">
        <f>F16+F18</f>
        <v/>
      </c>
      <c r="C23" s="2" t="n"/>
      <c r="D23" s="2" t="n"/>
      <c r="E23" s="2" t="n"/>
      <c r="F23" s="2" t="n"/>
      <c r="G23" s="2" t="n"/>
    </row>
    <row r="24">
      <c r="A24" s="6" t="inlineStr">
        <is>
          <t>Modalidad Profundización (SNIES 116070)</t>
        </is>
      </c>
      <c r="B24" s="20">
        <f>F17+F19</f>
        <v/>
      </c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16" t="inlineStr">
        <is>
          <t>C. Participación de la MCIC en la población de la U</t>
        </is>
      </c>
      <c r="B26" s="2" t="n"/>
      <c r="C26" s="2" t="n"/>
      <c r="D26" s="2" t="n"/>
      <c r="E26" s="2" t="n"/>
      <c r="F26" s="2" t="n"/>
      <c r="G26" s="2" t="n"/>
    </row>
    <row r="27">
      <c r="A27" s="5" t="inlineStr">
        <is>
          <t>Indicador</t>
        </is>
      </c>
      <c r="B27" s="5" t="inlineStr">
        <is>
          <t>Valor</t>
        </is>
      </c>
      <c r="C27" s="5" t="inlineStr">
        <is>
          <t>Cómo se calcula</t>
        </is>
      </c>
      <c r="D27" s="2" t="n"/>
      <c r="E27" s="2" t="n"/>
      <c r="F27" s="2" t="n"/>
      <c r="G27" s="2" t="n"/>
    </row>
    <row r="28">
      <c r="A28" s="6" t="inlineStr">
        <is>
          <t>MCIC / total estudiantes UD</t>
        </is>
      </c>
      <c r="B28" s="10">
        <f>F20/$B$6</f>
        <v/>
      </c>
      <c r="C28" s="6" t="inlineStr">
        <is>
          <t>MCIC (F20) ÷ total estudiantes UD</t>
        </is>
      </c>
      <c r="D28" s="2" t="n"/>
      <c r="E28" s="2" t="n"/>
      <c r="F28" s="2" t="n"/>
      <c r="G28" s="2" t="n"/>
    </row>
    <row r="29">
      <c r="A29" s="6" t="inlineStr">
        <is>
          <t>MCIC / estudiantes de posgrado UD</t>
        </is>
      </c>
      <c r="B29" s="10">
        <f>F20/$B$8</f>
        <v/>
      </c>
      <c r="C29" s="6" t="inlineStr">
        <is>
          <t>MCIC (F20) ÷ estudiantes de posgrado UD</t>
        </is>
      </c>
      <c r="D29" s="2" t="n"/>
      <c r="E29" s="2" t="n"/>
      <c r="F29" s="2" t="n"/>
      <c r="G29" s="2" t="n"/>
    </row>
    <row r="30">
      <c r="A30" s="6" t="inlineStr">
        <is>
          <t>MCIC / estudiantes de maestría UD</t>
        </is>
      </c>
      <c r="B30" s="10">
        <f>F20/$B$10</f>
        <v/>
      </c>
      <c r="C30" s="6" t="inlineStr">
        <is>
          <t>MCIC (F20) ÷ estudiantes de maestría UD</t>
        </is>
      </c>
      <c r="D30" s="2" t="n"/>
      <c r="E30" s="2" t="n"/>
      <c r="F30" s="2" t="n"/>
      <c r="G30" s="2" t="n"/>
    </row>
    <row r="31">
      <c r="A31" s="6" t="inlineStr">
        <is>
          <t>MCIC / estudiantes Facultad de Ingeniería</t>
        </is>
      </c>
      <c r="B31" s="10">
        <f>F20/$B$12</f>
        <v/>
      </c>
      <c r="C31" s="6" t="inlineStr">
        <is>
          <t>MCIC (F20) ÷ estudiantes Facultad de Ingeniería</t>
        </is>
      </c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16" t="inlineStr">
        <is>
          <t>D. MCIC — Histórico Cuadro Maestro CNA No. 02 (programa completo)</t>
        </is>
      </c>
      <c r="B33" s="2" t="n"/>
      <c r="C33" s="2" t="n"/>
      <c r="D33" s="2" t="n"/>
      <c r="E33" s="2" t="n"/>
      <c r="F33" s="2" t="n"/>
      <c r="G33" s="2" t="n"/>
    </row>
    <row r="34">
      <c r="A34" s="5" t="inlineStr">
        <is>
          <t>Periodo</t>
        </is>
      </c>
      <c r="B34" s="5" t="inlineStr">
        <is>
          <t>Inscritos</t>
        </is>
      </c>
      <c r="C34" s="5" t="inlineStr">
        <is>
          <t>Admitidos</t>
        </is>
      </c>
      <c r="D34" s="5" t="inlineStr">
        <is>
          <t>Tasa selectividad</t>
        </is>
      </c>
      <c r="E34" s="5" t="inlineStr">
        <is>
          <t>Matriculados (total)</t>
        </is>
      </c>
      <c r="F34" s="5" t="inlineStr">
        <is>
          <t>Matriculados 1er curso</t>
        </is>
      </c>
      <c r="G34" s="5" t="inlineStr">
        <is>
          <t>Graduados</t>
        </is>
      </c>
    </row>
    <row r="35">
      <c r="A35" s="6" t="inlineStr">
        <is>
          <t>2019-I</t>
        </is>
      </c>
      <c r="B35" s="19" t="n">
        <v>44</v>
      </c>
      <c r="C35" s="19" t="n">
        <v>42</v>
      </c>
      <c r="D35" s="10">
        <f>IF(AND(ISNUMBER(B35),B35&gt;0),C35/B35,"")</f>
        <v/>
      </c>
      <c r="E35" s="19" t="n">
        <v>266</v>
      </c>
      <c r="F35" s="19" t="n">
        <v>42</v>
      </c>
      <c r="G35" s="19" t="n">
        <v>7</v>
      </c>
    </row>
    <row r="36">
      <c r="A36" s="6" t="inlineStr">
        <is>
          <t>2019-II</t>
        </is>
      </c>
      <c r="B36" s="19" t="n">
        <v>31</v>
      </c>
      <c r="C36" s="19" t="n">
        <v>31</v>
      </c>
      <c r="D36" s="10">
        <f>IF(AND(ISNUMBER(B36),B36&gt;0),C36/B36,"")</f>
        <v/>
      </c>
      <c r="E36" s="19" t="n">
        <v>275</v>
      </c>
      <c r="F36" s="19" t="n">
        <v>31</v>
      </c>
      <c r="G36" s="19" t="n">
        <v>5</v>
      </c>
    </row>
    <row r="37">
      <c r="A37" s="6" t="inlineStr">
        <is>
          <t>2020-I</t>
        </is>
      </c>
      <c r="B37" s="19" t="n">
        <v>29</v>
      </c>
      <c r="C37" s="19" t="n">
        <v>28</v>
      </c>
      <c r="D37" s="10">
        <f>IF(AND(ISNUMBER(B37),B37&gt;0),C37/B37,"")</f>
        <v/>
      </c>
      <c r="E37" s="19" t="n">
        <v>285</v>
      </c>
      <c r="F37" s="19" t="n">
        <v>28</v>
      </c>
      <c r="G37" s="19" t="n">
        <v>5</v>
      </c>
    </row>
    <row r="38">
      <c r="A38" s="6" t="inlineStr">
        <is>
          <t>2020-II</t>
        </is>
      </c>
      <c r="B38" s="19" t="n">
        <v>64</v>
      </c>
      <c r="C38" s="19" t="n">
        <v>42</v>
      </c>
      <c r="D38" s="10">
        <f>IF(AND(ISNUMBER(B38),B38&gt;0),C38/B38,"")</f>
        <v/>
      </c>
      <c r="E38" s="19" t="n">
        <v>334</v>
      </c>
      <c r="F38" s="19" t="n">
        <v>41</v>
      </c>
      <c r="G38" s="19" t="n">
        <v>16</v>
      </c>
    </row>
    <row r="39">
      <c r="A39" s="6" t="inlineStr">
        <is>
          <t>2021-I</t>
        </is>
      </c>
      <c r="B39" s="19" t="n">
        <v>31</v>
      </c>
      <c r="C39" s="19" t="n">
        <v>31</v>
      </c>
      <c r="D39" s="10">
        <f>IF(AND(ISNUMBER(B39),B39&gt;0),C39/B39,"")</f>
        <v/>
      </c>
      <c r="E39" s="19" t="n">
        <v>328</v>
      </c>
      <c r="F39" s="19" t="n">
        <v>31</v>
      </c>
      <c r="G39" s="19" t="n">
        <v>14</v>
      </c>
    </row>
    <row r="40">
      <c r="A40" s="6" t="inlineStr">
        <is>
          <t>2021-II</t>
        </is>
      </c>
      <c r="B40" s="19" t="n">
        <v>19</v>
      </c>
      <c r="C40" s="19" t="n">
        <v>19</v>
      </c>
      <c r="D40" s="10">
        <f>IF(AND(ISNUMBER(B40),B40&gt;0),C40/B40,"")</f>
        <v/>
      </c>
      <c r="E40" s="19" t="n">
        <v>308</v>
      </c>
      <c r="F40" s="19" t="n">
        <v>18</v>
      </c>
      <c r="G40" s="19" t="n">
        <v>23</v>
      </c>
    </row>
    <row r="41">
      <c r="A41" s="6" t="inlineStr">
        <is>
          <t>2022-I</t>
        </is>
      </c>
      <c r="B41" s="19" t="n">
        <v>25</v>
      </c>
      <c r="C41" s="19" t="n">
        <v>25</v>
      </c>
      <c r="D41" s="10">
        <f>IF(AND(ISNUMBER(B41),B41&gt;0),C41/B41,"")</f>
        <v/>
      </c>
      <c r="E41" s="19" t="n">
        <v>283</v>
      </c>
      <c r="F41" s="19" t="n">
        <v>25</v>
      </c>
      <c r="G41" s="19" t="n">
        <v>19</v>
      </c>
    </row>
    <row r="42">
      <c r="A42" s="6" t="inlineStr">
        <is>
          <t>2022-II</t>
        </is>
      </c>
      <c r="B42" s="19" t="n"/>
      <c r="C42" s="19" t="n"/>
      <c r="D42" s="10">
        <f>IF(AND(ISNUMBER(B42),B42&gt;0),C42/B42,"")</f>
        <v/>
      </c>
      <c r="E42" s="19" t="n">
        <v>250</v>
      </c>
      <c r="F42" s="19" t="n"/>
      <c r="G42" s="19" t="n">
        <v>16</v>
      </c>
    </row>
    <row r="43">
      <c r="A43" s="6" t="inlineStr">
        <is>
          <t>2023-I</t>
        </is>
      </c>
      <c r="B43" s="19" t="n"/>
      <c r="C43" s="19" t="n"/>
      <c r="D43" s="10">
        <f>IF(AND(ISNUMBER(B43),B43&gt;0),C43/B43,"")</f>
        <v/>
      </c>
      <c r="E43" s="19" t="n">
        <v>216</v>
      </c>
      <c r="F43" s="19" t="n"/>
      <c r="G43" s="19" t="n">
        <v>24</v>
      </c>
    </row>
    <row r="44">
      <c r="A44" s="6" t="inlineStr">
        <is>
          <t>2023-II</t>
        </is>
      </c>
      <c r="B44" s="19" t="n"/>
      <c r="C44" s="19" t="n"/>
      <c r="D44" s="10">
        <f>IF(AND(ISNUMBER(B44),B44&gt;0),C44/B44,"")</f>
        <v/>
      </c>
      <c r="E44" s="19" t="n">
        <v>164</v>
      </c>
      <c r="F44" s="19" t="n"/>
      <c r="G44" s="19" t="n">
        <v>15</v>
      </c>
    </row>
    <row r="45">
      <c r="A45" s="6" t="inlineStr">
        <is>
          <t>2024-I</t>
        </is>
      </c>
      <c r="B45" s="19" t="n">
        <v>10</v>
      </c>
      <c r="C45" s="19" t="n">
        <v>10</v>
      </c>
      <c r="D45" s="10">
        <f>IF(AND(ISNUMBER(B45),B45&gt;0),C45/B45,"")</f>
        <v/>
      </c>
      <c r="E45" s="19" t="n">
        <v>155</v>
      </c>
      <c r="F45" s="19" t="n">
        <v>10</v>
      </c>
      <c r="G45" s="19" t="n">
        <v>13</v>
      </c>
    </row>
    <row r="46">
      <c r="A46" s="6" t="inlineStr">
        <is>
          <t>2024-II</t>
        </is>
      </c>
      <c r="B46" s="19" t="n">
        <v>5</v>
      </c>
      <c r="C46" s="19" t="n">
        <v>5</v>
      </c>
      <c r="D46" s="10">
        <f>IF(AND(ISNUMBER(B46),B46&gt;0),C46/B46,"")</f>
        <v/>
      </c>
      <c r="E46" s="19" t="n">
        <v>132</v>
      </c>
      <c r="F46" s="19" t="n">
        <v>5</v>
      </c>
      <c r="G46" s="19" t="n">
        <v>15</v>
      </c>
    </row>
    <row r="47">
      <c r="A47" s="4" t="inlineStr">
        <is>
          <t>Fuente: SNIES17528-Cuadros maestros.xlsx, hoja 'Estudiantes'. 2022-II y 2023 sin dato de inscritos/admitidos en el cuadro.</t>
        </is>
      </c>
      <c r="B47" s="2" t="n"/>
      <c r="C47" s="2" t="n"/>
      <c r="D47" s="2" t="n"/>
      <c r="E47" s="2" t="n"/>
      <c r="F47" s="2" t="n"/>
      <c r="G47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0" customWidth="1" min="3" max="3"/>
    <col width="26" customWidth="1" min="4" max="4"/>
    <col width="22" customWidth="1" min="5" max="5"/>
    <col width="16" customWidth="1" min="6" max="6"/>
    <col width="18" customWidth="1" min="7" max="7"/>
    <col width="16" customWidth="1" min="8" max="8"/>
    <col width="34" customWidth="1" min="9" max="9"/>
    <col width="12" customWidth="1" min="10" max="10"/>
    <col width="9" customWidth="1" min="11" max="11"/>
    <col width="9" customWidth="1" min="12" max="12"/>
    <col width="11" customWidth="1" min="13" max="13"/>
    <col width="9" customWidth="1" min="14" max="14"/>
  </cols>
  <sheetData>
    <row r="1">
      <c r="A1" s="1" t="inlineStr">
        <is>
          <t>Docentes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UD 2026-1: 1.989 docentes. ¿Cuántos corresponden a la MCIC? (Cuadros Maestros CNA No. 05 y 06, bases de trabajos de grado)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6" t="inlineStr">
        <is>
          <t>A. Universidad Distrital — Planta docente 2026-1 por nivel de formación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5" t="inlineStr">
        <is>
          <t>Nivel de formación</t>
        </is>
      </c>
      <c r="B5" s="5" t="inlineStr">
        <is>
          <t>Planta</t>
        </is>
      </c>
      <c r="C5" s="5" t="inlineStr">
        <is>
          <t>Vinculación especial</t>
        </is>
      </c>
      <c r="D5" s="5" t="inlineStr">
        <is>
          <t>Total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6" t="inlineStr">
        <is>
          <t>Doctorado</t>
        </is>
      </c>
      <c r="B6" s="19" t="n">
        <v>343</v>
      </c>
      <c r="C6" s="19" t="n">
        <v>175</v>
      </c>
      <c r="D6" s="20">
        <f>B6+C6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6" t="inlineStr">
        <is>
          <t>Maestría</t>
        </is>
      </c>
      <c r="B7" s="19" t="n">
        <v>255</v>
      </c>
      <c r="C7" s="19" t="n">
        <v>925</v>
      </c>
      <c r="D7" s="20">
        <f>B7+C7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6" t="inlineStr">
        <is>
          <t>Especialización</t>
        </is>
      </c>
      <c r="B8" s="19" t="n">
        <v>21</v>
      </c>
      <c r="C8" s="19" t="n">
        <v>135</v>
      </c>
      <c r="D8" s="20">
        <f>B8+C8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Pregrado</t>
        </is>
      </c>
      <c r="B9" s="19" t="n">
        <v>7</v>
      </c>
      <c r="C9" s="19" t="n">
        <v>129</v>
      </c>
      <c r="D9" s="20">
        <f>B9+C9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2" t="inlineStr">
        <is>
          <t>Total (suma)</t>
        </is>
      </c>
      <c r="B10" s="20">
        <f>SUM(B6:B9)</f>
        <v/>
      </c>
      <c r="C10" s="20">
        <f>SUM(C6:C9)</f>
        <v/>
      </c>
      <c r="D10" s="20">
        <f>SUM(D6:D9)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Total reportado en la presentación</t>
        </is>
      </c>
      <c r="B11" s="2" t="n"/>
      <c r="C11" s="2" t="n"/>
      <c r="D11" s="19" t="n">
        <v>1989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" t="inlineStr">
        <is>
          <t>% docentes con doctorado (UD)</t>
        </is>
      </c>
      <c r="B12" s="2" t="n"/>
      <c r="C12" s="2" t="n"/>
      <c r="D12" s="10">
        <f>$D$6/$D$10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6" t="inlineStr">
        <is>
          <t>% docentes de vinculación especial (UD)</t>
        </is>
      </c>
      <c r="B13" s="2" t="n"/>
      <c r="C13" s="2" t="n"/>
      <c r="D13" s="10">
        <f>C10/D10</f>
        <v/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4" t="inlineStr">
        <is>
          <t>Fuente: Presentación institucional 23-sep-2026 (PRES_INST_23_SEPTIEMBRE_2026 VF.pdf), diap. 5.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6" t="inlineStr">
        <is>
          <t>B. MCIC — Profesores del núcleo (Cuadro Maestro CNA No. 05, igual en ambas modalidades)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5" t="inlineStr">
        <is>
          <t>Profesor</t>
        </is>
      </c>
      <c r="B17" s="5" t="inlineStr">
        <is>
          <t>Nivel máx. formación</t>
        </is>
      </c>
      <c r="C17" s="5" t="inlineStr">
        <is>
          <t>Título</t>
        </is>
      </c>
      <c r="D17" s="5" t="inlineStr">
        <is>
          <t>Escalafón</t>
        </is>
      </c>
      <c r="E17" s="5" t="inlineStr">
        <is>
          <t>Grupo de investigación</t>
        </is>
      </c>
      <c r="F17" s="5" t="inlineStr">
        <is>
          <t>Categoría MinCiencias</t>
        </is>
      </c>
      <c r="G17" s="5" t="inlineStr">
        <is>
          <t>Tipo de contrato</t>
        </is>
      </c>
      <c r="H17" s="5" t="inlineStr">
        <is>
          <t>Dedicación</t>
        </is>
      </c>
      <c r="I17" s="5" t="inlineStr">
        <is>
          <t>Asignatura(s)</t>
        </is>
      </c>
      <c r="J17" s="5" t="inlineStr">
        <is>
          <t>Horas/periodo</t>
        </is>
      </c>
      <c r="K17" s="5" t="inlineStr">
        <is>
          <t>Art. nal.</t>
        </is>
      </c>
      <c r="L17" s="5" t="inlineStr">
        <is>
          <t>Art. int.</t>
        </is>
      </c>
      <c r="M17" s="5" t="inlineStr">
        <is>
          <t>Libros/cap.</t>
        </is>
      </c>
      <c r="N17" s="5" t="inlineStr">
        <is>
          <t>Patentes</t>
        </is>
      </c>
    </row>
    <row r="18">
      <c r="A18" s="6" t="inlineStr">
        <is>
          <t>Perdomo Charry Cesar Andrey</t>
        </is>
      </c>
      <c r="B18" s="6" t="inlineStr">
        <is>
          <t>Doctorado</t>
        </is>
      </c>
      <c r="C18" s="6" t="inlineStr">
        <is>
          <t>Doctorado en Ingeniería</t>
        </is>
      </c>
      <c r="D18" s="6" t="inlineStr">
        <is>
          <t>PROFESOR TITULAR COMPLETO</t>
        </is>
      </c>
      <c r="E18" s="6" t="inlineStr">
        <is>
          <t>LASER</t>
        </is>
      </c>
      <c r="F18" s="6" t="inlineStr">
        <is>
          <t>Senior</t>
        </is>
      </c>
      <c r="G18" s="6" t="inlineStr">
        <is>
          <t>fijo menos 11 meses al año</t>
        </is>
      </c>
      <c r="H18" s="6" t="inlineStr">
        <is>
          <t>Hora Cátedra</t>
        </is>
      </c>
      <c r="I18" s="6" t="inlineStr">
        <is>
          <t>SEMINARIO DE INVESTIGACIÓN</t>
        </is>
      </c>
      <c r="J18" s="19" t="n">
        <v>64</v>
      </c>
      <c r="K18" s="19" t="n">
        <v>0</v>
      </c>
      <c r="L18" s="19" t="n">
        <v>0</v>
      </c>
      <c r="M18" s="19" t="n">
        <v>1</v>
      </c>
      <c r="N18" s="19" t="n">
        <v>29</v>
      </c>
    </row>
    <row r="19">
      <c r="A19" s="23" t="inlineStr">
        <is>
          <t>Gomez Vargas Ernesto</t>
        </is>
      </c>
      <c r="B19" s="23" t="inlineStr">
        <is>
          <t>Doctorado</t>
        </is>
      </c>
      <c r="C19" s="23" t="inlineStr">
        <is>
          <t>Doctorado en Ingeniería</t>
        </is>
      </c>
      <c r="D19" s="23" t="inlineStr">
        <is>
          <t>PROFESOR TITULAR COMPLETO</t>
        </is>
      </c>
      <c r="E19" s="23" t="inlineStr">
        <is>
          <t>LASER</t>
        </is>
      </c>
      <c r="F19" s="23" t="inlineStr">
        <is>
          <t>Asociado</t>
        </is>
      </c>
      <c r="G19" s="23" t="inlineStr">
        <is>
          <t>fijo menos 11 meses al año</t>
        </is>
      </c>
      <c r="H19" s="23" t="inlineStr">
        <is>
          <t>Hora Cátedra</t>
        </is>
      </c>
      <c r="I19" s="23" t="inlineStr">
        <is>
          <t>SEMINARIO DE INVESTIGACIÓN</t>
        </is>
      </c>
      <c r="J19" s="24" t="n">
        <v>64</v>
      </c>
      <c r="K19" s="24" t="n">
        <v>0</v>
      </c>
      <c r="L19" s="24" t="n">
        <v>0</v>
      </c>
      <c r="M19" s="24" t="n">
        <v>4</v>
      </c>
      <c r="N19" s="24" t="n">
        <v>9</v>
      </c>
    </row>
    <row r="20">
      <c r="A20" s="6" t="inlineStr">
        <is>
          <t>Ortiz Davila Alvaro Enrique</t>
        </is>
      </c>
      <c r="B20" s="6" t="inlineStr">
        <is>
          <t>Doctorado</t>
        </is>
      </c>
      <c r="C20" s="6" t="inlineStr">
        <is>
          <t>Doctorado en Ingeniería</t>
        </is>
      </c>
      <c r="D20" s="6" t="inlineStr">
        <is>
          <t>PROFESOR ASOCIADO COMPLETO</t>
        </is>
      </c>
      <c r="E20" s="6" t="inlineStr">
        <is>
          <t>NIDE</t>
        </is>
      </c>
      <c r="F20" s="6" t="inlineStr">
        <is>
          <t>Asociado</t>
        </is>
      </c>
      <c r="G20" s="6" t="inlineStr">
        <is>
          <t>indefinido</t>
        </is>
      </c>
      <c r="H20" s="6" t="inlineStr">
        <is>
          <t>Tiempo completo</t>
        </is>
      </c>
      <c r="I20" s="6" t="inlineStr">
        <is>
          <t>BASES DE DATOS / BASES DE DATOS ESPECIALES / INGENIERIA DE SOTFWARE II</t>
        </is>
      </c>
      <c r="J20" s="19" t="n">
        <v>192</v>
      </c>
      <c r="K20" s="19" t="n">
        <v>4</v>
      </c>
      <c r="L20" s="19" t="n">
        <v>0</v>
      </c>
      <c r="M20" s="19" t="n">
        <v>3</v>
      </c>
      <c r="N20" s="19" t="n">
        <v>13</v>
      </c>
    </row>
    <row r="21">
      <c r="A21" s="23" t="inlineStr">
        <is>
          <t>Valero Medina Jose Antonio</t>
        </is>
      </c>
      <c r="B21" s="23" t="inlineStr">
        <is>
          <t>Doctorado</t>
        </is>
      </c>
      <c r="C21" s="23" t="inlineStr">
        <is>
          <t>Doctorado en Ingeniería</t>
        </is>
      </c>
      <c r="D21" s="23" t="inlineStr">
        <is>
          <t>PROFESOR TITULAR COMPLETO</t>
        </is>
      </c>
      <c r="E21" s="23" t="inlineStr">
        <is>
          <t>NIDE</t>
        </is>
      </c>
      <c r="F21" s="23" t="inlineStr">
        <is>
          <t>Junior</t>
        </is>
      </c>
      <c r="G21" s="23" t="inlineStr">
        <is>
          <t>indefinido</t>
        </is>
      </c>
      <c r="H21" s="23" t="inlineStr">
        <is>
          <t>Tiempo completo</t>
        </is>
      </c>
      <c r="I21" s="23" t="inlineStr">
        <is>
          <t>SEMINARIO DE INVESTIGACIÓN</t>
        </is>
      </c>
      <c r="J21" s="24" t="n">
        <v>64</v>
      </c>
      <c r="K21" s="24" t="n">
        <v>10</v>
      </c>
      <c r="L21" s="24" t="n">
        <v>0</v>
      </c>
      <c r="M21" s="24" t="n">
        <v>1</v>
      </c>
      <c r="N21" s="24" t="n">
        <v>1</v>
      </c>
    </row>
    <row r="22">
      <c r="A22" s="6" t="inlineStr">
        <is>
          <t>Diosa Henry Alberto</t>
        </is>
      </c>
      <c r="B22" s="6" t="inlineStr">
        <is>
          <t>Doctorado</t>
        </is>
      </c>
      <c r="C22" s="6" t="inlineStr">
        <is>
          <t>Doctorado en Ingeniería</t>
        </is>
      </c>
      <c r="D22" s="6" t="inlineStr">
        <is>
          <t>PROFESOR ASOCIADO COMPLETO</t>
        </is>
      </c>
      <c r="E22" s="6" t="inlineStr">
        <is>
          <t>ARQUISOFT</t>
        </is>
      </c>
      <c r="F22" s="6" t="inlineStr">
        <is>
          <t>Junior</t>
        </is>
      </c>
      <c r="G22" s="6" t="inlineStr">
        <is>
          <t>indefinido</t>
        </is>
      </c>
      <c r="H22" s="6" t="inlineStr">
        <is>
          <t>Tiempo completo</t>
        </is>
      </c>
      <c r="I22" s="6" t="inlineStr">
        <is>
          <t>PATRONES Y ARQUITECTURA DE SOFTWARE</t>
        </is>
      </c>
      <c r="J22" s="19" t="n">
        <v>64</v>
      </c>
      <c r="K22" s="19" t="n">
        <v>6</v>
      </c>
      <c r="L22" s="19" t="n">
        <v>0</v>
      </c>
      <c r="M22" s="19" t="n">
        <v>0</v>
      </c>
      <c r="N22" s="19" t="n">
        <v>0</v>
      </c>
    </row>
    <row r="23">
      <c r="A23" s="23" t="inlineStr">
        <is>
          <t>Rodriguez Rodriguez Jorge Enrique</t>
        </is>
      </c>
      <c r="B23" s="23" t="inlineStr">
        <is>
          <t>Doctorado</t>
        </is>
      </c>
      <c r="C23" s="23" t="inlineStr">
        <is>
          <t>Doctorado en Ingeniería</t>
        </is>
      </c>
      <c r="D23" s="23" t="inlineStr">
        <is>
          <t>PROFESOR TITULAR COMPLETO</t>
        </is>
      </c>
      <c r="E23" s="23" t="inlineStr">
        <is>
          <t>SIN GRUPO DE LA FACULTAD DE INGENIERÍA</t>
        </is>
      </c>
      <c r="F23" s="23" t="inlineStr">
        <is>
          <t>Junior</t>
        </is>
      </c>
      <c r="G23" s="23" t="inlineStr">
        <is>
          <t>fijo menos 11 meses al año</t>
        </is>
      </c>
      <c r="H23" s="23" t="inlineStr">
        <is>
          <t>Hora Cátedra</t>
        </is>
      </c>
      <c r="I23" s="23" t="inlineStr">
        <is>
          <t>ANÁLISIS DE DATOS</t>
        </is>
      </c>
      <c r="J23" s="24" t="n">
        <v>64</v>
      </c>
      <c r="K23" s="24" t="n">
        <v>0</v>
      </c>
      <c r="L23" s="24" t="n">
        <v>0</v>
      </c>
      <c r="M23" s="24" t="n">
        <v>0</v>
      </c>
      <c r="N23" s="24" t="n">
        <v>2</v>
      </c>
    </row>
    <row r="24">
      <c r="A24" s="6" t="inlineStr">
        <is>
          <t>Lopez Chavez Hans Igor</t>
        </is>
      </c>
      <c r="B24" s="6" t="inlineStr">
        <is>
          <t>Maestría</t>
        </is>
      </c>
      <c r="C24" s="6" t="inlineStr">
        <is>
          <t>Maestria en Ciencias de la Informacion y Comunicaciones</t>
        </is>
      </c>
      <c r="D24" s="6" t="inlineStr">
        <is>
          <t>PROFESOR TITULAR COMPLETO</t>
        </is>
      </c>
      <c r="E24" s="6" t="inlineStr">
        <is>
          <t>IDEAS</t>
        </is>
      </c>
      <c r="F24" s="6" t="inlineStr">
        <is>
          <t>Junior</t>
        </is>
      </c>
      <c r="G24" s="6" t="inlineStr">
        <is>
          <t>fijo menos 11 meses al año</t>
        </is>
      </c>
      <c r="H24" s="6" t="inlineStr">
        <is>
          <t>Hora Cátedra</t>
        </is>
      </c>
      <c r="I24" s="6" t="inlineStr">
        <is>
          <t>HERRAMIENTAS MATEMÁTICAS PARA EL MANEJO DE LA INFORMACIÓN</t>
        </is>
      </c>
      <c r="J24" s="19" t="n">
        <v>64</v>
      </c>
      <c r="K24" s="19" t="n">
        <v>0</v>
      </c>
      <c r="L24" s="19" t="n">
        <v>0</v>
      </c>
      <c r="M24" s="19" t="n">
        <v>0</v>
      </c>
      <c r="N24" s="19" t="n">
        <v>4</v>
      </c>
    </row>
    <row r="25">
      <c r="A25" s="23" t="inlineStr">
        <is>
          <t>Castillo Mendez Luis Eduardo</t>
        </is>
      </c>
      <c r="B25" s="23" t="inlineStr">
        <is>
          <t>Doctorado</t>
        </is>
      </c>
      <c r="C25" s="23" t="inlineStr">
        <is>
          <t>Doctorado en Ciencias -Estadistica</t>
        </is>
      </c>
      <c r="D25" s="23" t="inlineStr">
        <is>
          <t>PROFESOR TITULAR COMPLETO</t>
        </is>
      </c>
      <c r="E25" s="23" t="inlineStr">
        <is>
          <t>GEFEM</t>
        </is>
      </c>
      <c r="F25" s="23" t="inlineStr">
        <is>
          <t>Sin categoría</t>
        </is>
      </c>
      <c r="G25" s="23" t="inlineStr">
        <is>
          <t>fijo menos 11 meses al año</t>
        </is>
      </c>
      <c r="H25" s="23" t="inlineStr">
        <is>
          <t>Hora Cátedra</t>
        </is>
      </c>
      <c r="I25" s="23" t="inlineStr">
        <is>
          <t>INFORMATICA / ESTADISTICA ESPACIAL</t>
        </is>
      </c>
      <c r="J25" s="24" t="n">
        <v>128</v>
      </c>
      <c r="K25" s="24" t="n">
        <v>0</v>
      </c>
      <c r="L25" s="24" t="n">
        <v>0</v>
      </c>
      <c r="M25" s="24" t="n">
        <v>0</v>
      </c>
      <c r="N25" s="24" t="n">
        <v>1</v>
      </c>
    </row>
    <row r="26">
      <c r="A26" s="6" t="inlineStr">
        <is>
          <t>Salcedo Parra Octavio Jose</t>
        </is>
      </c>
      <c r="B26" s="6" t="inlineStr">
        <is>
          <t>Doctorado</t>
        </is>
      </c>
      <c r="C26" s="6" t="inlineStr">
        <is>
          <t>Doctorado en Ingeniería Informática</t>
        </is>
      </c>
      <c r="D26" s="6" t="inlineStr">
        <is>
          <t>PROFESOR TITULAR COMPLETO</t>
        </is>
      </c>
      <c r="E26" s="6" t="inlineStr">
        <is>
          <t>INTERNET INTELIGENTE</t>
        </is>
      </c>
      <c r="F26" s="6" t="inlineStr">
        <is>
          <t>Senior</t>
        </is>
      </c>
      <c r="G26" s="6" t="inlineStr">
        <is>
          <t>indefinido</t>
        </is>
      </c>
      <c r="H26" s="6" t="inlineStr">
        <is>
          <t>Tiempo completo</t>
        </is>
      </c>
      <c r="I26" s="6" t="inlineStr">
        <is>
          <t>REDES</t>
        </is>
      </c>
      <c r="J26" s="19" t="n">
        <v>64</v>
      </c>
      <c r="K26" s="19" t="n">
        <v>6</v>
      </c>
      <c r="L26" s="19" t="n">
        <v>6</v>
      </c>
      <c r="M26" s="19" t="n">
        <v>3</v>
      </c>
      <c r="N26" s="19" t="n">
        <v>54</v>
      </c>
    </row>
    <row r="27">
      <c r="A27" s="23" t="inlineStr">
        <is>
          <t>Jutinico Alarcon Andres Leonardo</t>
        </is>
      </c>
      <c r="B27" s="23" t="inlineStr">
        <is>
          <t>Doctorado</t>
        </is>
      </c>
      <c r="C27" s="23" t="inlineStr">
        <is>
          <t xml:space="preserve">Doutorado em Engenharia Mecânica </t>
        </is>
      </c>
      <c r="D27" s="23" t="inlineStr">
        <is>
          <t>PROFESOR ASOCIADO COMPLETO</t>
        </is>
      </c>
      <c r="E27" s="23" t="inlineStr">
        <is>
          <t>LASER</t>
        </is>
      </c>
      <c r="F27" s="23" t="inlineStr">
        <is>
          <t>Junior</t>
        </is>
      </c>
      <c r="G27" s="23" t="inlineStr">
        <is>
          <t>Sin dato</t>
        </is>
      </c>
      <c r="H27" s="23" t="inlineStr">
        <is>
          <t>Sin dato</t>
        </is>
      </c>
      <c r="I27" s="23" t="inlineStr">
        <is>
          <t>ROBÓTICA</t>
        </is>
      </c>
      <c r="J27" s="24" t="n">
        <v>64</v>
      </c>
      <c r="K27" s="24" t="n">
        <v>0</v>
      </c>
      <c r="L27" s="24" t="n">
        <v>0</v>
      </c>
      <c r="M27" s="24" t="n">
        <v>0</v>
      </c>
      <c r="N27" s="24" t="n">
        <v>0</v>
      </c>
    </row>
    <row r="28">
      <c r="A28" s="6" t="inlineStr">
        <is>
          <t>Alzate Monroy Marco Aurelio</t>
        </is>
      </c>
      <c r="B28" s="6" t="inlineStr">
        <is>
          <t>Doctorado</t>
        </is>
      </c>
      <c r="C28" s="6" t="inlineStr">
        <is>
          <t>Doctorado en Ingeniería</t>
        </is>
      </c>
      <c r="D28" s="6" t="inlineStr">
        <is>
          <t>TITULAR XXII</t>
        </is>
      </c>
      <c r="E28" s="6" t="inlineStr">
        <is>
          <t>IDEAS</t>
        </is>
      </c>
      <c r="F28" s="6" t="inlineStr">
        <is>
          <t>Sin categoría</t>
        </is>
      </c>
      <c r="G28" s="6" t="inlineStr">
        <is>
          <t>indefinido</t>
        </is>
      </c>
      <c r="H28" s="6" t="inlineStr">
        <is>
          <t>Tiempo completo</t>
        </is>
      </c>
      <c r="I28" s="6" t="inlineStr">
        <is>
          <t>PROCESOS ESTOCÁSTICOS</t>
        </is>
      </c>
      <c r="J28" s="19" t="n">
        <v>64</v>
      </c>
      <c r="K28" s="19" t="n">
        <v>12</v>
      </c>
      <c r="L28" s="19" t="n">
        <v>0</v>
      </c>
      <c r="M28" s="19" t="n">
        <v>0</v>
      </c>
      <c r="N28" s="19" t="n">
        <v>2</v>
      </c>
    </row>
    <row r="29">
      <c r="A29" s="4" t="inlineStr">
        <is>
          <t>Fuente: SNIES17528 y SNIES116070-Cuadros maestros.xlsx, hoja 'Profesores Listado_Detallad'. Jutinico: el cuadro no trae tipo de contrato ni dedicación.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C. MCIC — Resumen del núcleo docente (fórmulas sobre la tabla B)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5" t="inlineStr">
        <is>
          <t>Indicador</t>
        </is>
      </c>
      <c r="B32" s="5" t="inlineStr">
        <is>
          <t>MCIC</t>
        </is>
      </c>
      <c r="C32" s="5" t="inlineStr">
        <is>
          <t>UD</t>
        </is>
      </c>
      <c r="D32" s="5" t="inlineStr">
        <is>
          <t>Comentario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6" t="inlineStr">
        <is>
          <t>Profesores del núcleo (Cuadro 05)</t>
        </is>
      </c>
      <c r="B33" s="20">
        <f>COUNTA(A18:A28)</f>
        <v/>
      </c>
      <c r="C33" s="20">
        <f>$D$11</f>
        <v/>
      </c>
      <c r="D33" s="6" t="inlineStr">
        <is>
          <t>Profesores que el programa reporta al CNA como su planta docente.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Con doctorado</t>
        </is>
      </c>
      <c r="B34" s="20">
        <f>COUNTIF(B18:B28,"Doctorado")</f>
        <v/>
      </c>
      <c r="C34" s="20">
        <f>$D$6</f>
        <v/>
      </c>
      <c r="D34" s="6" t="inlineStr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6" t="inlineStr">
        <is>
          <t>% con doctorado</t>
        </is>
      </c>
      <c r="B35" s="10">
        <f>B34/B33</f>
        <v/>
      </c>
      <c r="C35" s="10">
        <f>C34/C33</f>
        <v/>
      </c>
      <c r="D35" s="6" t="inlineStr">
        <is>
          <t>Indicador clave de calidad docente.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6" t="inlineStr">
        <is>
          <t>Tiempo completo (término indefinido)</t>
        </is>
      </c>
      <c r="B36" s="20">
        <f>COUNTIF(H18:H28,"Tiempo completo")</f>
        <v/>
      </c>
      <c r="C36" s="2" t="n"/>
      <c r="D36" s="6" t="inlineStr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6" t="inlineStr">
        <is>
          <t>Hora cátedra</t>
        </is>
      </c>
      <c r="B37" s="20">
        <f>COUNTIF(H18:H28,"Hora Cátedra")</f>
        <v/>
      </c>
      <c r="C37" s="2" t="n"/>
      <c r="D37" s="6" t="inlineStr">
        <is>
          <t>Son profesores titulares de planta que dictan en la maestría como carga de hora cátedra.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6" t="inlineStr">
        <is>
          <t>Investigador Sénior</t>
        </is>
      </c>
      <c r="B38" s="20">
        <f>COUNTIF(F18:F28,"Senior")</f>
        <v/>
      </c>
      <c r="C38" s="19" t="n">
        <v>52</v>
      </c>
      <c r="D38" s="6" t="inlineStr">
        <is>
          <t>UD: docentes de planta (Conv. 957).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6" t="inlineStr">
        <is>
          <t>Investigador Asociado</t>
        </is>
      </c>
      <c r="B39" s="20">
        <f>COUNTIF(F18:F28,"Asociado")</f>
        <v/>
      </c>
      <c r="C39" s="19" t="n">
        <v>69</v>
      </c>
      <c r="D39" s="6" t="inlineStr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6" t="inlineStr">
        <is>
          <t>Investigador Júnior</t>
        </is>
      </c>
      <c r="B40" s="20">
        <f>COUNTIF(F18:F28,"Junior")</f>
        <v/>
      </c>
      <c r="C40" s="19" t="n">
        <v>122</v>
      </c>
      <c r="D40" s="6" t="inlineStr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6" t="inlineStr">
        <is>
          <t>Sin categoría / no reconocido</t>
        </is>
      </c>
      <c r="B41" s="20">
        <f>COUNTIF(F18:F28,"Sin categoría")</f>
        <v/>
      </c>
      <c r="C41" s="19" t="n">
        <v>373</v>
      </c>
      <c r="D41" s="6" t="inlineStr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6" t="inlineStr">
        <is>
          <t>% reconocidos como investigador</t>
        </is>
      </c>
      <c r="B42" s="10">
        <f>SUM(B38:B40)/B33</f>
        <v/>
      </c>
      <c r="C42" s="10">
        <f>SUM(C38:C40)/SUM(C38:C41)</f>
        <v/>
      </c>
      <c r="D42" s="6" t="inlineStr">
        <is>
          <t>UD: 243 de 616 docentes de planta.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6" t="inlineStr">
        <is>
          <t>Artículos (nal. + int.) últimos años</t>
        </is>
      </c>
      <c r="B43" s="20">
        <f>SUM(K18:K28)+SUM(L18:L28)</f>
        <v/>
      </c>
      <c r="C43" s="2" t="n"/>
      <c r="D43" s="6" t="inlineStr">
        <is>
          <t>Producción declarada en el Cuadro 05.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16" t="inlineStr">
        <is>
          <t>D. MCIC — Docentes vinculados por trabajos de grado (más allá del núcleo)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5" t="inlineStr">
        <is>
          <t>Indicador</t>
        </is>
      </c>
      <c r="B46" s="5" t="inlineStr">
        <is>
          <t>MCIC</t>
        </is>
      </c>
      <c r="C46" s="5" t="inlineStr"/>
      <c r="D46" s="5" t="inlineStr">
        <is>
          <t>Fuente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6" t="inlineStr">
        <is>
          <t>Docentes que dirigen trabajos de grado actualmente</t>
        </is>
      </c>
      <c r="B47" s="19" t="n">
        <v>30</v>
      </c>
      <c r="C47" s="2" t="n"/>
      <c r="D47" s="6" t="inlineStr">
        <is>
          <t>MCIC - Base de datos Profundizacion.xlsx, hoja 'Listado Docente'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6" t="inlineStr">
        <is>
          <t>Docentes que codirigen actualmente</t>
        </is>
      </c>
      <c r="B48" s="19" t="n">
        <v>13</v>
      </c>
      <c r="C48" s="2" t="n"/>
      <c r="D48" s="6" t="inlineStr">
        <is>
          <t>Ídem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6" t="inlineStr">
        <is>
          <t>Docentes distintos que dirigen o codirigen</t>
        </is>
      </c>
      <c r="B49" s="19" t="n">
        <v>38</v>
      </c>
      <c r="C49" s="2" t="n"/>
      <c r="D49" s="6" t="inlineStr">
        <is>
          <t>Ídem (unión sin duplicados)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6" t="inlineStr">
        <is>
          <t>Docentes integrantes de grupos del directorio MCIC (disponibles para dirigir)</t>
        </is>
      </c>
      <c r="B50" s="19" t="n">
        <v>72</v>
      </c>
      <c r="C50" s="2" t="n"/>
      <c r="D50" s="6" t="inlineStr">
        <is>
          <t>Directorio Grupos de Inv MCIC.xlsx (nombres únicos en las 19 hojas)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6" t="inlineStr">
        <is>
          <t>Profesores que figuran en las bases de trabajos de grado (director/revisor/jurado, histórico)</t>
        </is>
      </c>
      <c r="B51" s="19" t="n">
        <v>214</v>
      </c>
      <c r="C51" s="2" t="n"/>
      <c r="D51" s="6" t="inlineStr">
        <is>
          <t>PII_Interno/Docentes_Estudiantes_Egresados_Activos- Docentes.xlsx, hoja 'Resumen'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6" t="inlineStr">
        <is>
          <t>% del total de docentes UD que integra el núcleo MCIC</t>
        </is>
      </c>
      <c r="B52" s="9">
        <f>$B$33/$D$11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6" t="inlineStr">
        <is>
          <t>% del total de docentes UD que dirige/codirige en la MCIC</t>
        </is>
      </c>
      <c r="B53" s="9">
        <f>$B$49/$D$11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16" t="inlineStr">
        <is>
          <t>E. MCIC — Evolución de profesores (Cuadro Maestro CNA No. 06)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5" t="inlineStr">
        <is>
          <t>Periodo</t>
        </is>
      </c>
      <c r="B56" s="5" t="inlineStr">
        <is>
          <t>TC Doctorado</t>
        </is>
      </c>
      <c r="C56" s="5" t="inlineStr">
        <is>
          <t>TC Maestría</t>
        </is>
      </c>
      <c r="D56" s="5" t="inlineStr">
        <is>
          <t>HC Doctorado</t>
        </is>
      </c>
      <c r="E56" s="5" t="inlineStr">
        <is>
          <t>HC Maestría</t>
        </is>
      </c>
      <c r="F56" s="5" t="inlineStr">
        <is>
          <t>Total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6" t="inlineStr">
        <is>
          <t>2022-I</t>
        </is>
      </c>
      <c r="B57" s="19" t="n">
        <v>6</v>
      </c>
      <c r="C57" s="19" t="n">
        <v>0</v>
      </c>
      <c r="D57" s="19" t="n">
        <v>10</v>
      </c>
      <c r="E57" s="19" t="n">
        <v>3</v>
      </c>
      <c r="F57" s="20">
        <f>SUM(B57:E57)</f>
        <v/>
      </c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6" t="inlineStr">
        <is>
          <t>2022-II</t>
        </is>
      </c>
      <c r="B58" s="19" t="n">
        <v>6</v>
      </c>
      <c r="C58" s="19" t="n">
        <v>0</v>
      </c>
      <c r="D58" s="19" t="n">
        <v>2</v>
      </c>
      <c r="E58" s="19" t="n">
        <v>1</v>
      </c>
      <c r="F58" s="20">
        <f>SUM(B58:E58)</f>
        <v/>
      </c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6" t="inlineStr">
        <is>
          <t>2023-I</t>
        </is>
      </c>
      <c r="B59" s="19" t="n">
        <v>3</v>
      </c>
      <c r="C59" s="19" t="n">
        <v>0</v>
      </c>
      <c r="D59" s="19" t="n">
        <v>0</v>
      </c>
      <c r="E59" s="19" t="n">
        <v>0</v>
      </c>
      <c r="F59" s="20">
        <f>SUM(B59:E59)</f>
        <v/>
      </c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6" t="inlineStr">
        <is>
          <t>2023-II</t>
        </is>
      </c>
      <c r="B60" s="19" t="n">
        <v>2</v>
      </c>
      <c r="C60" s="19" t="n">
        <v>0</v>
      </c>
      <c r="D60" s="19" t="n">
        <v>0</v>
      </c>
      <c r="E60" s="19" t="n">
        <v>0</v>
      </c>
      <c r="F60" s="20">
        <f>SUM(B60:E60)</f>
        <v/>
      </c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6" t="inlineStr">
        <is>
          <t>2024-I</t>
        </is>
      </c>
      <c r="B61" s="19" t="n">
        <v>3</v>
      </c>
      <c r="C61" s="19" t="n">
        <v>0</v>
      </c>
      <c r="D61" s="19" t="n">
        <v>2</v>
      </c>
      <c r="E61" s="19" t="n">
        <v>0</v>
      </c>
      <c r="F61" s="20">
        <f>SUM(B61:E61)</f>
        <v/>
      </c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6" t="inlineStr">
        <is>
          <t>2024-II</t>
        </is>
      </c>
      <c r="B62" s="19" t="n">
        <v>4</v>
      </c>
      <c r="C62" s="19" t="n">
        <v>0</v>
      </c>
      <c r="D62" s="19" t="n">
        <v>6</v>
      </c>
      <c r="E62" s="19" t="n">
        <v>1</v>
      </c>
      <c r="F62" s="20">
        <f>SUM(B62:E62)</f>
        <v/>
      </c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6" t="inlineStr">
        <is>
          <t>2025-I</t>
        </is>
      </c>
      <c r="B63" s="19" t="n">
        <v>5</v>
      </c>
      <c r="C63" s="19" t="n">
        <v>1</v>
      </c>
      <c r="D63" s="19" t="n">
        <v>5</v>
      </c>
      <c r="E63" s="19" t="n">
        <v>3</v>
      </c>
      <c r="F63" s="20">
        <f>SUM(B63:E63)</f>
        <v/>
      </c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4" t="inlineStr">
        <is>
          <t>TC = tiempo completo término indefinido; HC = hora cátedra término fijo &lt; 11 meses. Fuente: hoja 'Profesores- Resume Contra Form'.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16" t="inlineStr">
        <is>
          <t>F. Distribución por categoría de investigador (% del grupo)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5" t="inlineStr">
        <is>
          <t>Categoría</t>
        </is>
      </c>
      <c r="B68" s="5" t="inlineStr">
        <is>
          <t>UD planta (%)</t>
        </is>
      </c>
      <c r="C68" s="5" t="inlineStr">
        <is>
          <t>MCIC núcleo (%)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6" t="inlineStr">
        <is>
          <t>Sénior</t>
        </is>
      </c>
      <c r="B69" s="10">
        <f>C38/SUM(C$38:C$41)</f>
        <v/>
      </c>
      <c r="C69" s="10">
        <f>B38/B$33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6" t="inlineStr">
        <is>
          <t>Asociado</t>
        </is>
      </c>
      <c r="B70" s="10">
        <f>C39/SUM(C$38:C$41)</f>
        <v/>
      </c>
      <c r="C70" s="10">
        <f>B39/B$33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6" t="inlineStr">
        <is>
          <t>Júnior</t>
        </is>
      </c>
      <c r="B71" s="10">
        <f>C40/SUM(C$38:C$41)</f>
        <v/>
      </c>
      <c r="C71" s="10">
        <f>B40/B$33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6" t="inlineStr">
        <is>
          <t>Sin categoría</t>
        </is>
      </c>
      <c r="B72" s="10">
        <f>C41/SUM(C$38:C$41)</f>
        <v/>
      </c>
      <c r="C72" s="10">
        <f>B41/B$33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Investigación</t>
        </is>
      </c>
      <c r="B1" s="2" t="n"/>
      <c r="C1" s="2" t="n"/>
      <c r="D1" s="2" t="n"/>
      <c r="E1" s="2" t="n"/>
    </row>
    <row r="2">
      <c r="A2" s="3" t="inlineStr">
        <is>
          <t>Grupos UD (Convocatoria 957) vs. grupos que soportan la MCIC (Directorio de grupos MCIC)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6" t="inlineStr">
        <is>
          <t>A. Grupos de investigación por categoría</t>
        </is>
      </c>
      <c r="B4" s="2" t="n"/>
      <c r="C4" s="2" t="n"/>
      <c r="D4" s="2" t="n"/>
      <c r="E4" s="2" t="n"/>
    </row>
    <row r="5">
      <c r="A5" s="5" t="inlineStr">
        <is>
          <t>Categoría</t>
        </is>
      </c>
      <c r="B5" s="5" t="inlineStr">
        <is>
          <t>UD</t>
        </is>
      </c>
      <c r="C5" s="5" t="inlineStr">
        <is>
          <t>Facultad de Ingeniería</t>
        </is>
      </c>
      <c r="D5" s="5" t="inlineStr">
        <is>
          <t>MCIC</t>
        </is>
      </c>
      <c r="E5" s="2" t="n"/>
    </row>
    <row r="6">
      <c r="A6" s="6" t="inlineStr">
        <is>
          <t>A1</t>
        </is>
      </c>
      <c r="B6" s="19" t="n">
        <v>9</v>
      </c>
      <c r="C6" s="19" t="n">
        <v>1</v>
      </c>
      <c r="D6" s="20">
        <f>COUNTIF($C$20:$C$38,"A1")</f>
        <v/>
      </c>
      <c r="E6" s="2" t="n"/>
    </row>
    <row r="7">
      <c r="A7" s="6" t="inlineStr">
        <is>
          <t>A</t>
        </is>
      </c>
      <c r="B7" s="19" t="n">
        <v>29</v>
      </c>
      <c r="C7" s="19" t="n">
        <v>7</v>
      </c>
      <c r="D7" s="20">
        <f>COUNTIF($C$20:$C$38,"A")</f>
        <v/>
      </c>
      <c r="E7" s="2" t="n"/>
    </row>
    <row r="8">
      <c r="A8" s="6" t="inlineStr">
        <is>
          <t>B</t>
        </is>
      </c>
      <c r="B8" s="19" t="n">
        <v>22</v>
      </c>
      <c r="C8" s="19" t="n">
        <v>7</v>
      </c>
      <c r="D8" s="20">
        <f>COUNTIF($C$20:$C$38,"B")</f>
        <v/>
      </c>
      <c r="E8" s="2" t="n"/>
    </row>
    <row r="9">
      <c r="A9" s="6" t="inlineStr">
        <is>
          <t>C</t>
        </is>
      </c>
      <c r="B9" s="19" t="n">
        <v>48</v>
      </c>
      <c r="C9" s="19" t="n">
        <v>8</v>
      </c>
      <c r="D9" s="20">
        <f>COUNTIF($C$20:$C$38,"C")</f>
        <v/>
      </c>
      <c r="E9" s="2" t="n"/>
    </row>
    <row r="10">
      <c r="A10" s="6" t="inlineStr">
        <is>
          <t>Reconocido</t>
        </is>
      </c>
      <c r="B10" s="19" t="n">
        <v>10</v>
      </c>
      <c r="C10" s="19" t="n">
        <v>0</v>
      </c>
      <c r="D10" s="20">
        <f>COUNTIF($C$20:$C$38,"Reconocido")</f>
        <v/>
      </c>
      <c r="E10" s="2" t="n"/>
    </row>
    <row r="11">
      <c r="A11" s="6" t="inlineStr">
        <is>
          <t>No reconocido</t>
        </is>
      </c>
      <c r="B11" s="19" t="n">
        <v>70</v>
      </c>
      <c r="C11" s="19" t="n">
        <v>13</v>
      </c>
      <c r="D11" s="20">
        <f>COUNTIF($C$20:$C$38,"No reconocido")</f>
        <v/>
      </c>
      <c r="E11" s="2" t="n"/>
    </row>
    <row r="12">
      <c r="A12" s="22" t="inlineStr">
        <is>
          <t>Total</t>
        </is>
      </c>
      <c r="B12" s="20">
        <f>SUM(B6:B11)</f>
        <v/>
      </c>
      <c r="C12" s="20">
        <f>SUM(C6:C11)</f>
        <v/>
      </c>
      <c r="D12" s="20">
        <f>SUM(D6:D11)</f>
        <v/>
      </c>
      <c r="E12" s="2" t="n"/>
    </row>
    <row r="13">
      <c r="A13" s="6" t="inlineStr">
        <is>
          <t>A1 + A (alta categoría)</t>
        </is>
      </c>
      <c r="B13" s="20">
        <f>B6+B7</f>
        <v/>
      </c>
      <c r="C13" s="20">
        <f>C6+C7</f>
        <v/>
      </c>
      <c r="D13" s="20">
        <f>D6+D7</f>
        <v/>
      </c>
      <c r="E13" s="2" t="n"/>
    </row>
    <row r="14">
      <c r="A14" s="6" t="inlineStr">
        <is>
          <t>% A1 + A sobre total</t>
        </is>
      </c>
      <c r="B14" s="10">
        <f>B13/B12</f>
        <v/>
      </c>
      <c r="C14" s="10">
        <f>C13/C12</f>
        <v/>
      </c>
      <c r="D14" s="10">
        <f>D13/D12</f>
        <v/>
      </c>
      <c r="E14" s="2" t="n"/>
    </row>
    <row r="15">
      <c r="A15" s="4" t="inlineStr">
        <is>
          <t>UD y Ingeniería: Presentación institucional 23-sep-2026 (PRES_INST_23_SEPTIEMBRE_2026 VF.pdf), diap. 35 (se usan las barras por facultad: 70 no reconocidos; la cifra resumen de la diapositiva dice 68).</t>
        </is>
      </c>
      <c r="B15" s="2" t="n"/>
      <c r="C15" s="2" t="n"/>
      <c r="D15" s="2" t="n"/>
      <c r="E15" s="2" t="n"/>
    </row>
    <row r="16">
      <c r="A16" s="4" t="inlineStr">
        <is>
          <t>MCIC: Directorio Grupos de Inv MCIC.xlsx (19 grupos, clasificación registrada en cada hoja).</t>
        </is>
      </c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16" t="inlineStr">
        <is>
          <t>B. MCIC — Grupos que soportan la maestría</t>
        </is>
      </c>
      <c r="B18" s="2" t="n"/>
      <c r="C18" s="2" t="n"/>
      <c r="D18" s="2" t="n"/>
      <c r="E18" s="2" t="n"/>
    </row>
    <row r="19">
      <c r="A19" s="5" t="inlineStr">
        <is>
          <t>Sigla</t>
        </is>
      </c>
      <c r="B19" s="5" t="inlineStr">
        <is>
          <t>Nombre</t>
        </is>
      </c>
      <c r="C19" s="5" t="inlineStr">
        <is>
          <t>Categoría</t>
        </is>
      </c>
      <c r="D19" s="5" t="inlineStr">
        <is>
          <t>Líder</t>
        </is>
      </c>
      <c r="E19" s="5" t="inlineStr">
        <is>
          <t>Docentes integrantes</t>
        </is>
      </c>
    </row>
    <row r="20">
      <c r="A20" s="6" t="inlineStr">
        <is>
          <t>GCEM</t>
        </is>
      </c>
      <c r="B20" s="6" t="inlineStr">
        <is>
          <t>Grupo de Compatibilidad e Interferencia Electromagnética</t>
        </is>
      </c>
      <c r="C20" s="6" t="inlineStr">
        <is>
          <t>A1</t>
        </is>
      </c>
      <c r="D20" s="6" t="inlineStr">
        <is>
          <t>Edwin Rivas Trujillo</t>
        </is>
      </c>
      <c r="E20" s="19" t="n">
        <v>4</v>
      </c>
    </row>
    <row r="21">
      <c r="A21" s="6" t="inlineStr">
        <is>
          <t>GICOECOL</t>
        </is>
      </c>
      <c r="B21" s="6" t="inlineStr">
        <is>
          <t xml:space="preserve">Comercio Electronico en Colombia </t>
        </is>
      </c>
      <c r="C21" s="6" t="inlineStr">
        <is>
          <t>A1</t>
        </is>
      </c>
      <c r="D21" s="6" t="inlineStr">
        <is>
          <t>José Ignacio Rodríguez Molano</t>
        </is>
      </c>
      <c r="E21" s="19" t="n">
        <v>2</v>
      </c>
    </row>
    <row r="22">
      <c r="A22" s="6" t="inlineStr">
        <is>
          <t>GICOGE</t>
        </is>
      </c>
      <c r="B22" s="6" t="inlineStr">
        <is>
          <t>Grupo Informática Comunicaciones y Gestión del conocimiento</t>
        </is>
      </c>
      <c r="C22" s="6" t="inlineStr">
        <is>
          <t>A1</t>
        </is>
      </c>
      <c r="D22" s="6" t="inlineStr">
        <is>
          <t>José Nelson Pérez Castillo</t>
        </is>
      </c>
      <c r="E22" s="19" t="n">
        <v>8</v>
      </c>
    </row>
    <row r="23">
      <c r="A23" s="6" t="inlineStr">
        <is>
          <t>GIIRA</t>
        </is>
      </c>
      <c r="B23" s="6" t="inlineStr">
        <is>
          <t>Grupo de Investigación en Interconexión de Redes Académicas</t>
        </is>
      </c>
      <c r="C23" s="6" t="inlineStr">
        <is>
          <t>A1</t>
        </is>
      </c>
      <c r="D23" s="6" t="inlineStr">
        <is>
          <t>Carlos Enrique Montenegro Marín</t>
        </is>
      </c>
      <c r="E23" s="19" t="n">
        <v>6</v>
      </c>
    </row>
    <row r="24">
      <c r="A24" s="6" t="inlineStr">
        <is>
          <t>LIFAE</t>
        </is>
      </c>
      <c r="B24" s="6" t="inlineStr">
        <is>
          <t>Laboratorio de Investigación en Fuentes Alternativas de Energía</t>
        </is>
      </c>
      <c r="C24" s="6" t="inlineStr">
        <is>
          <t>A1</t>
        </is>
      </c>
      <c r="D24" s="6" t="inlineStr">
        <is>
          <t>Nelson Díaz Aldana</t>
        </is>
      </c>
      <c r="E24" s="19" t="n">
        <v>3</v>
      </c>
    </row>
    <row r="25">
      <c r="A25" s="6" t="inlineStr">
        <is>
          <t>ITI</t>
        </is>
      </c>
      <c r="B25" s="6" t="inlineStr">
        <is>
          <t>ITI: Innovación en Tecnologías de Información</t>
        </is>
      </c>
      <c r="C25" s="6" t="inlineStr">
        <is>
          <t>A</t>
        </is>
      </c>
      <c r="D25" s="6" t="inlineStr">
        <is>
          <t>Hector Florez</t>
        </is>
      </c>
      <c r="E25" s="19" t="n">
        <v>1</v>
      </c>
    </row>
    <row r="26">
      <c r="A26" s="6" t="inlineStr">
        <is>
          <t>LAMIC</t>
        </is>
      </c>
      <c r="B26" s="6" t="inlineStr">
        <is>
          <t>Laboratorio de Automática e Inteligencia Computacional</t>
        </is>
      </c>
      <c r="C26" s="6" t="inlineStr">
        <is>
          <t>A</t>
        </is>
      </c>
      <c r="D26" s="6" t="inlineStr">
        <is>
          <t>Andrés Eduardo Gaona Barrera</t>
        </is>
      </c>
      <c r="E26" s="19" t="n">
        <v>4</v>
      </c>
    </row>
    <row r="27">
      <c r="A27" s="6" t="inlineStr">
        <is>
          <t>LIDER</t>
        </is>
      </c>
      <c r="B27" s="6" t="inlineStr">
        <is>
          <t>Laboratorio de Investigación y Desarrollo en Electrónica y Redes</t>
        </is>
      </c>
      <c r="C27" s="6" t="inlineStr">
        <is>
          <t>A</t>
        </is>
      </c>
      <c r="D27" s="6" t="inlineStr">
        <is>
          <t>Roberto Ferro Escobar</t>
        </is>
      </c>
      <c r="E27" s="19" t="n">
        <v>3</v>
      </c>
    </row>
    <row r="28">
      <c r="A28" s="6" t="inlineStr">
        <is>
          <t>NIDE</t>
        </is>
      </c>
      <c r="B28" s="6" t="inlineStr">
        <is>
          <t>Núcleo de Investigación en Datos Espaciales</t>
        </is>
      </c>
      <c r="C28" s="6" t="inlineStr">
        <is>
          <t>A</t>
        </is>
      </c>
      <c r="D28" s="6" t="inlineStr">
        <is>
          <t>Luz Ángela Rocha Salamanca</t>
        </is>
      </c>
      <c r="E28" s="19" t="n">
        <v>13</v>
      </c>
    </row>
    <row r="29">
      <c r="A29" s="6" t="inlineStr">
        <is>
          <t>GITUD</t>
        </is>
      </c>
      <c r="B29" s="6" t="inlineStr">
        <is>
          <t>Grupo de investigación en Telecomunicaciones de la Universidad Distrital</t>
        </is>
      </c>
      <c r="C29" s="6" t="inlineStr">
        <is>
          <t>B</t>
        </is>
      </c>
      <c r="D29" s="6" t="inlineStr">
        <is>
          <t>Elvis Eduardo Gaona García</t>
        </is>
      </c>
      <c r="E29" s="19" t="n">
        <v>6</v>
      </c>
    </row>
    <row r="30">
      <c r="A30" s="6" t="inlineStr">
        <is>
          <t>GRECO</t>
        </is>
      </c>
      <c r="B30" s="6" t="inlineStr">
        <is>
          <t xml:space="preserve">Grupo de Radiación Electromagnética y Comunicaciones Ópticas </t>
        </is>
      </c>
      <c r="C30" s="6" t="inlineStr">
        <is>
          <t>B</t>
        </is>
      </c>
      <c r="D30" s="6" t="inlineStr">
        <is>
          <t>Carlos Arturo Suárez Fajardo</t>
        </is>
      </c>
      <c r="E30" s="19" t="n">
        <v>3</v>
      </c>
    </row>
    <row r="31">
      <c r="A31" s="6" t="inlineStr">
        <is>
          <t>INTECSE</t>
        </is>
      </c>
      <c r="B31" s="6" t="inlineStr">
        <is>
          <t>Interoperabilidad Tecnología y Semántica</t>
        </is>
      </c>
      <c r="C31" s="6" t="inlineStr">
        <is>
          <t>B</t>
        </is>
      </c>
      <c r="D31" s="6" t="inlineStr">
        <is>
          <t>Julio Barón Velandia</t>
        </is>
      </c>
      <c r="E31" s="19" t="n">
        <v>2</v>
      </c>
    </row>
    <row r="32">
      <c r="A32" s="6" t="inlineStr">
        <is>
          <t>Internet Inteligente</t>
        </is>
      </c>
      <c r="B32" s="6" t="inlineStr">
        <is>
          <t>Internet Inteligente</t>
        </is>
      </c>
      <c r="C32" s="6" t="inlineStr">
        <is>
          <t>B</t>
        </is>
      </c>
      <c r="D32" s="6" t="inlineStr">
        <is>
          <t>Octavio Salcedo Parra</t>
        </is>
      </c>
      <c r="E32" s="19" t="n">
        <v>4</v>
      </c>
    </row>
    <row r="33">
      <c r="A33" s="6" t="inlineStr">
        <is>
          <t>LASER</t>
        </is>
      </c>
      <c r="B33" s="6" t="inlineStr">
        <is>
          <t>Laboratorio de Automatización, Sistemas Embebidos y Robótica</t>
        </is>
      </c>
      <c r="C33" s="6" t="inlineStr">
        <is>
          <t>B</t>
        </is>
      </c>
      <c r="D33" s="6" t="inlineStr">
        <is>
          <t>Ernesto Gómez Vargas</t>
        </is>
      </c>
      <c r="E33" s="19" t="n">
        <v>6</v>
      </c>
    </row>
    <row r="34">
      <c r="A34" s="6" t="inlineStr">
        <is>
          <t>Arquisoft</t>
        </is>
      </c>
      <c r="B34" s="6" t="inlineStr">
        <is>
          <t>Arquitecturas de Software</t>
        </is>
      </c>
      <c r="C34" s="6" t="inlineStr">
        <is>
          <t>C</t>
        </is>
      </c>
      <c r="D34" s="6" t="inlineStr">
        <is>
          <t>Henry Alberto Diosa</t>
        </is>
      </c>
      <c r="E34" s="19" t="n">
        <v>1</v>
      </c>
    </row>
    <row r="35">
      <c r="A35" s="6" t="inlineStr">
        <is>
          <t>GEFEM</t>
        </is>
      </c>
      <c r="B35" s="6" t="inlineStr">
        <is>
          <t>Grupo de Estudio en temas de la Física, de la Estadística y de la Matemática</t>
        </is>
      </c>
      <c r="C35" s="6" t="inlineStr">
        <is>
          <t>C</t>
        </is>
      </c>
      <c r="D35" s="6" t="inlineStr">
        <is>
          <t>Luis Eduardo Castillo Méndez</t>
        </is>
      </c>
      <c r="E35" s="19" t="n">
        <v>4</v>
      </c>
    </row>
    <row r="36">
      <c r="A36" s="6" t="inlineStr">
        <is>
          <t>GESDATOS</t>
        </is>
      </c>
      <c r="B36" s="6" t="inlineStr">
        <is>
          <t>Gestión de datos</t>
        </is>
      </c>
      <c r="C36" s="6" t="inlineStr">
        <is>
          <t>C</t>
        </is>
      </c>
      <c r="D36" s="6" t="inlineStr">
        <is>
          <t>Sonia Ordoñez Salinas</t>
        </is>
      </c>
      <c r="E36" s="19" t="n">
        <v>1</v>
      </c>
    </row>
    <row r="37">
      <c r="A37" s="6" t="inlineStr">
        <is>
          <t>GESETIC</t>
        </is>
      </c>
      <c r="B37" s="6" t="inlineStr">
        <is>
          <t>Grupo de Investigación en Gestión de Sistemas Energéticos con Base en Tecnologías de Información y Comunicación</t>
        </is>
      </c>
      <c r="C37" s="6" t="inlineStr">
        <is>
          <t>C</t>
        </is>
      </c>
      <c r="D37" s="6" t="inlineStr">
        <is>
          <t>Alvaro Espinel Ortega</t>
        </is>
      </c>
      <c r="E37" s="19" t="n">
        <v>4</v>
      </c>
    </row>
    <row r="38">
      <c r="A38" s="6" t="inlineStr">
        <is>
          <t>GITEM++</t>
        </is>
      </c>
      <c r="B38" s="6" t="inlineStr">
        <is>
          <t>Grupo de Investigación de Telemedicina</t>
        </is>
      </c>
      <c r="C38" s="6" t="inlineStr">
        <is>
          <t>C</t>
        </is>
      </c>
      <c r="D38" s="6" t="inlineStr">
        <is>
          <t>Lilia Edith Aparicio Pico</t>
        </is>
      </c>
      <c r="E38" s="19" t="n">
        <v>5</v>
      </c>
    </row>
    <row r="39">
      <c r="A39" s="4" t="inlineStr">
        <is>
          <t>Docentes integrantes = filas del directorio (incluye docentes marcados 'pendiente'); un docente puede estar en más de un grupo.</t>
        </is>
      </c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16" t="inlineStr">
        <is>
          <t>C. MCIC — Procesos de trabajo de grado por etapa y modalidad</t>
        </is>
      </c>
      <c r="B41" s="2" t="n"/>
      <c r="C41" s="2" t="n"/>
      <c r="D41" s="2" t="n"/>
      <c r="E41" s="2" t="n"/>
    </row>
    <row r="42">
      <c r="A42" s="5" t="inlineStr">
        <is>
          <t>Etapa</t>
        </is>
      </c>
      <c r="B42" s="5" t="inlineStr">
        <is>
          <t>Investigación</t>
        </is>
      </c>
      <c r="C42" s="5" t="inlineStr">
        <is>
          <t>Profundización</t>
        </is>
      </c>
      <c r="D42" s="5" t="inlineStr">
        <is>
          <t>Total</t>
        </is>
      </c>
      <c r="E42" s="2" t="n"/>
    </row>
    <row r="43">
      <c r="A43" s="6" t="inlineStr">
        <is>
          <t>Anteproyecto radicado</t>
        </is>
      </c>
      <c r="B43" s="19" t="n">
        <v>2</v>
      </c>
      <c r="C43" s="19" t="n">
        <v>2</v>
      </c>
      <c r="D43" s="20">
        <f>B43+C43</f>
        <v/>
      </c>
      <c r="E43" s="2" t="n"/>
    </row>
    <row r="44">
      <c r="A44" s="6" t="inlineStr">
        <is>
          <t>Anteproyecto radicado, pendiente asignación de jurados</t>
        </is>
      </c>
      <c r="B44" s="19" t="n">
        <v>158</v>
      </c>
      <c r="C44" s="19" t="n">
        <v>109</v>
      </c>
      <c r="D44" s="20">
        <f>B44+C44</f>
        <v/>
      </c>
      <c r="E44" s="2" t="n"/>
    </row>
    <row r="45">
      <c r="A45" s="6" t="inlineStr">
        <is>
          <t>Sustentado</t>
        </is>
      </c>
      <c r="B45" s="19" t="n">
        <v>92</v>
      </c>
      <c r="C45" s="19" t="n">
        <v>41</v>
      </c>
      <c r="D45" s="20">
        <f>B45+C45</f>
        <v/>
      </c>
      <c r="E45" s="2" t="n"/>
    </row>
    <row r="46">
      <c r="A46" s="6" t="inlineStr">
        <is>
          <t>Jurados solicitados</t>
        </is>
      </c>
      <c r="B46" s="19" t="n">
        <v>5</v>
      </c>
      <c r="C46" s="19" t="n">
        <v>6</v>
      </c>
      <c r="D46" s="20">
        <f>B46+C46</f>
        <v/>
      </c>
      <c r="E46" s="2" t="n"/>
    </row>
    <row r="47">
      <c r="A47" s="6" t="inlineStr">
        <is>
          <t>Jurados solicitados, pendiente sustentación</t>
        </is>
      </c>
      <c r="B47" s="19" t="n">
        <v>40</v>
      </c>
      <c r="C47" s="19" t="n">
        <v>12</v>
      </c>
      <c r="D47" s="20">
        <f>B47+C47</f>
        <v/>
      </c>
      <c r="E47" s="2" t="n"/>
    </row>
    <row r="48">
      <c r="A48" s="6" t="inlineStr">
        <is>
          <t>Sustentado (Meritorio)</t>
        </is>
      </c>
      <c r="B48" s="19" t="n">
        <v>20</v>
      </c>
      <c r="C48" s="19" t="n">
        <v>6</v>
      </c>
      <c r="D48" s="20">
        <f>B48+C48</f>
        <v/>
      </c>
      <c r="E48" s="2" t="n"/>
    </row>
    <row r="49">
      <c r="A49" s="6" t="inlineStr">
        <is>
          <t>Sustentado (Aprobado)</t>
        </is>
      </c>
      <c r="B49" s="19" t="n">
        <v>55</v>
      </c>
      <c r="C49" s="19" t="n">
        <v>42</v>
      </c>
      <c r="D49" s="20">
        <f>B49+C49</f>
        <v/>
      </c>
      <c r="E49" s="2" t="n"/>
    </row>
    <row r="50">
      <c r="A50" s="6" t="inlineStr">
        <is>
          <t>Sustentado (Laureado)</t>
        </is>
      </c>
      <c r="B50" s="19" t="n">
        <v>2</v>
      </c>
      <c r="C50" s="19" t="n">
        <v>0</v>
      </c>
      <c r="D50" s="20">
        <f>B50+C50</f>
        <v/>
      </c>
      <c r="E50" s="2" t="n"/>
    </row>
    <row r="51">
      <c r="A51" s="22" t="inlineStr">
        <is>
          <t>Total procesos</t>
        </is>
      </c>
      <c r="B51" s="20">
        <f>SUM(B43:B50)</f>
        <v/>
      </c>
      <c r="C51" s="20">
        <f>SUM(C43:C50)</f>
        <v/>
      </c>
      <c r="D51" s="20">
        <f>SUM(D43:D50)</f>
        <v/>
      </c>
      <c r="E51" s="2" t="n"/>
    </row>
    <row r="52">
      <c r="A52" s="6" t="inlineStr">
        <is>
          <t>Sustentados (todas las variantes)</t>
        </is>
      </c>
      <c r="B52" s="2" t="n"/>
      <c r="C52" s="2" t="n"/>
      <c r="D52" s="20">
        <f>SUMPRODUCT((LEFT(A43:A50,10)="Sustentado")*D43:D50)</f>
        <v/>
      </c>
      <c r="E52" s="2" t="n"/>
    </row>
    <row r="53">
      <c r="A53" s="4" t="inlineStr">
        <is>
          <t>Fuente: Data/Gold (consolidado de MCIC - Base de datos INVESTIGACION, Profundizacion y V2).</t>
        </is>
      </c>
      <c r="B53" s="2" t="n"/>
      <c r="C53" s="2" t="n"/>
      <c r="D53" s="2" t="n"/>
      <c r="E53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62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Graduados</t>
        </is>
      </c>
      <c r="B1" s="2" t="n"/>
      <c r="C1" s="2" t="n"/>
      <c r="D1" s="2" t="n"/>
      <c r="E1" s="2" t="n"/>
    </row>
    <row r="2">
      <c r="A2" s="3" t="inlineStr">
        <is>
          <t>UD: graduados últimos 5 años e histórico vs. MCIC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6" t="inlineStr">
        <is>
          <t>A. Universidad Distrital</t>
        </is>
      </c>
      <c r="B4" s="2" t="n"/>
      <c r="C4" s="2" t="n"/>
      <c r="D4" s="2" t="n"/>
      <c r="E4" s="2" t="n"/>
    </row>
    <row r="5">
      <c r="A5" s="5" t="inlineStr">
        <is>
          <t>Concepto</t>
        </is>
      </c>
      <c r="B5" s="5" t="inlineStr">
        <is>
          <t>Graduados</t>
        </is>
      </c>
      <c r="C5" s="5" t="inlineStr">
        <is>
          <t>Fuente</t>
        </is>
      </c>
      <c r="D5" s="2" t="n"/>
      <c r="E5" s="2" t="n"/>
    </row>
    <row r="6">
      <c r="A6" s="6" t="inlineStr">
        <is>
          <t>Graduados últimos 5 años (total)</t>
        </is>
      </c>
      <c r="B6" s="19" t="n">
        <v>21994</v>
      </c>
      <c r="C6" s="6" t="inlineStr">
        <is>
          <t>Presentación institucional 23-sep-2026 (PRES_INST_23_SEPTIEMBRE_2026 VF.pdf), diap. 4</t>
        </is>
      </c>
      <c r="D6" s="2" t="n"/>
      <c r="E6" s="2" t="n"/>
    </row>
    <row r="7">
      <c r="A7" s="6" t="inlineStr">
        <is>
          <t xml:space="preserve">  Pregrado</t>
        </is>
      </c>
      <c r="B7" s="19" t="n">
        <v>17297</v>
      </c>
      <c r="C7" s="6" t="inlineStr">
        <is>
          <t>Presentación institucional 23-sep-2026 (PRES_INST_23_SEPTIEMBRE_2026 VF.pdf), diap. 4</t>
        </is>
      </c>
      <c r="D7" s="2" t="n"/>
      <c r="E7" s="2" t="n"/>
    </row>
    <row r="8">
      <c r="A8" s="6" t="inlineStr">
        <is>
          <t xml:space="preserve">  Posgrado</t>
        </is>
      </c>
      <c r="B8" s="19" t="n">
        <v>4697</v>
      </c>
      <c r="C8" s="6" t="inlineStr">
        <is>
          <t>Presentación institucional 23-sep-2026 (PRES_INST_23_SEPTIEMBRE_2026 VF.pdf), diap. 4</t>
        </is>
      </c>
      <c r="D8" s="2" t="n"/>
      <c r="E8" s="2" t="n"/>
    </row>
    <row r="9">
      <c r="A9" s="6" t="inlineStr">
        <is>
          <t>Total graduados históricos</t>
        </is>
      </c>
      <c r="B9" s="19" t="n">
        <v>115975</v>
      </c>
      <c r="C9" s="6" t="inlineStr">
        <is>
          <t>Presentación institucional 23-sep-2026 (PRES_INST_23_SEPTIEMBRE_2026 VF.pdf), diap. 4</t>
        </is>
      </c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16" t="inlineStr">
        <is>
          <t>B. MCIC — Graduados por año (2022-2026, año estimado)</t>
        </is>
      </c>
      <c r="B11" s="2" t="n"/>
      <c r="C11" s="2" t="n"/>
      <c r="D11" s="2" t="n"/>
      <c r="E11" s="2" t="n"/>
    </row>
    <row r="12">
      <c r="A12" s="5" t="inlineStr">
        <is>
          <t>Año</t>
        </is>
      </c>
      <c r="B12" s="5" t="inlineStr">
        <is>
          <t>Graduados MCIC</t>
        </is>
      </c>
      <c r="C12" s="2" t="n"/>
      <c r="D12" s="2" t="n"/>
      <c r="E12" s="2" t="n"/>
    </row>
    <row r="13">
      <c r="A13" s="6" t="inlineStr">
        <is>
          <t>2022</t>
        </is>
      </c>
      <c r="B13" s="19" t="n">
        <v>35</v>
      </c>
      <c r="C13" s="2" t="n"/>
      <c r="D13" s="2" t="n"/>
      <c r="E13" s="2" t="n"/>
    </row>
    <row r="14">
      <c r="A14" s="6" t="inlineStr">
        <is>
          <t>2023</t>
        </is>
      </c>
      <c r="B14" s="19" t="n">
        <v>39</v>
      </c>
      <c r="C14" s="2" t="n"/>
      <c r="D14" s="2" t="n"/>
      <c r="E14" s="2" t="n"/>
    </row>
    <row r="15">
      <c r="A15" s="6" t="inlineStr">
        <is>
          <t>2024</t>
        </is>
      </c>
      <c r="B15" s="19" t="n">
        <v>28</v>
      </c>
      <c r="C15" s="2" t="n"/>
      <c r="D15" s="2" t="n"/>
      <c r="E15" s="2" t="n"/>
    </row>
    <row r="16">
      <c r="A16" s="6" t="inlineStr">
        <is>
          <t>2025</t>
        </is>
      </c>
      <c r="B16" s="19" t="n">
        <v>36</v>
      </c>
      <c r="C16" s="2" t="n"/>
      <c r="D16" s="2" t="n"/>
      <c r="E16" s="2" t="n"/>
    </row>
    <row r="17">
      <c r="A17" s="6" t="inlineStr">
        <is>
          <t>2026</t>
        </is>
      </c>
      <c r="B17" s="19" t="n">
        <v>15</v>
      </c>
      <c r="C17" s="2" t="n"/>
      <c r="D17" s="2" t="n"/>
      <c r="E17" s="2" t="n"/>
    </row>
    <row r="18">
      <c r="A18" s="22" t="inlineStr">
        <is>
          <t>Total 2022-2026</t>
        </is>
      </c>
      <c r="B18" s="20">
        <f>SUM(B13:B17)</f>
        <v/>
      </c>
      <c r="C18" s="2" t="n"/>
      <c r="D18" s="2" t="n"/>
      <c r="E18" s="2" t="n"/>
    </row>
    <row r="19">
      <c r="A19" s="6" t="inlineStr">
        <is>
          <t>% de los graduados de posgrado UD (5 años)</t>
        </is>
      </c>
      <c r="B19" s="10">
        <f>$B$18/$B$8</f>
        <v/>
      </c>
      <c r="C19" s="2" t="n"/>
      <c r="D19" s="2" t="n"/>
      <c r="E19" s="2" t="n"/>
    </row>
    <row r="20">
      <c r="A20" s="4" t="inlineStr">
        <is>
          <t>Año estimado con la última matrícula (Cóndor no guarda fecha de grado); validado 100 % contra actas 2022-2023. 2026 es parcial.</t>
        </is>
      </c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16" t="inlineStr">
        <is>
          <t>C. MCIC — Graduados históricos por código de proyecto curricular</t>
        </is>
      </c>
      <c r="B22" s="2" t="n"/>
      <c r="C22" s="2" t="n"/>
      <c r="D22" s="2" t="n"/>
      <c r="E22" s="2" t="n"/>
    </row>
    <row r="23">
      <c r="A23" s="5" t="inlineStr">
        <is>
          <t>Código</t>
        </is>
      </c>
      <c r="B23" s="5" t="inlineStr">
        <is>
          <t>Proyecto curricular</t>
        </is>
      </c>
      <c r="C23" s="5" t="inlineStr">
        <is>
          <t>Graduados</t>
        </is>
      </c>
      <c r="D23" s="5" t="inlineStr">
        <is>
          <t>Matriculados hoy</t>
        </is>
      </c>
      <c r="E23" s="5" t="inlineStr">
        <is>
          <t>Incluir en MCIC</t>
        </is>
      </c>
    </row>
    <row r="24">
      <c r="A24" s="6" t="inlineStr">
        <is>
          <t>195</t>
        </is>
      </c>
      <c r="B24" s="6" t="inlineStr">
        <is>
          <t>MAE. EN CIENCIAS DE LA INF. Y LAS COMUNICACIONES ENFASIS EN TELEINF.</t>
        </is>
      </c>
      <c r="C24" s="19" t="n">
        <v>167</v>
      </c>
      <c r="D24" s="19" t="n">
        <v>14</v>
      </c>
      <c r="E24" s="6" t="inlineStr">
        <is>
          <t>Sí</t>
        </is>
      </c>
    </row>
    <row r="25">
      <c r="A25" s="6" t="inlineStr">
        <is>
          <t>295</t>
        </is>
      </c>
      <c r="B25" s="6" t="inlineStr">
        <is>
          <t>MAE. EN CIENCIAS DE LA INF. Y LAS COMUNICACIONES ENFASIS EN SIS. INFOR</t>
        </is>
      </c>
      <c r="C25" s="19" t="n">
        <v>109</v>
      </c>
      <c r="D25" s="19" t="n">
        <v>0</v>
      </c>
      <c r="E25" s="6" t="inlineStr">
        <is>
          <t>Sí</t>
        </is>
      </c>
    </row>
    <row r="26">
      <c r="A26" s="6" t="inlineStr">
        <is>
          <t>395</t>
        </is>
      </c>
      <c r="B26" s="6" t="inlineStr">
        <is>
          <t>MAE. EN CIENCIAS DE LA INF. Y LAS COMUNICACIONES ENFASIS EN GEOMATICA</t>
        </is>
      </c>
      <c r="C26" s="19" t="n">
        <v>88</v>
      </c>
      <c r="D26" s="19" t="n">
        <v>9</v>
      </c>
      <c r="E26" s="6" t="inlineStr">
        <is>
          <t>Sí</t>
        </is>
      </c>
    </row>
    <row r="27">
      <c r="A27" s="6" t="inlineStr">
        <is>
          <t>495</t>
        </is>
      </c>
      <c r="B27" s="6" t="inlineStr">
        <is>
          <t>MAE. EN CIENCIAS DE LA INF. Y LAS COMUNICACIONES ENFASIS EN ING. SOFT</t>
        </is>
      </c>
      <c r="C27" s="19" t="n">
        <v>78</v>
      </c>
      <c r="D27" s="19" t="n">
        <v>26</v>
      </c>
      <c r="E27" s="6" t="inlineStr">
        <is>
          <t>Sí</t>
        </is>
      </c>
    </row>
    <row r="28">
      <c r="A28" s="6" t="inlineStr">
        <is>
          <t>595</t>
        </is>
      </c>
      <c r="B28" s="6" t="inlineStr">
        <is>
          <t>MAESTRÍA EN CIENCIAS DE LA INFORMACIÓN Y LAS COMUNICACIONES</t>
        </is>
      </c>
      <c r="C28" s="19" t="n">
        <v>4</v>
      </c>
      <c r="D28" s="19" t="n">
        <v>49</v>
      </c>
      <c r="E28" s="6" t="inlineStr">
        <is>
          <t>Sí</t>
        </is>
      </c>
    </row>
    <row r="29">
      <c r="A29" s="6" t="inlineStr">
        <is>
          <t>695</t>
        </is>
      </c>
      <c r="B29" s="6" t="inlineStr">
        <is>
          <t>MAESTRÍA EN CIENCIAS DE LA INFORMACIÓN Y LAS COMUNICACIONES</t>
        </is>
      </c>
      <c r="C29" s="19" t="n">
        <v>10</v>
      </c>
      <c r="D29" s="19" t="n">
        <v>58</v>
      </c>
      <c r="E29" s="6" t="inlineStr">
        <is>
          <t>Sí</t>
        </is>
      </c>
    </row>
    <row r="30">
      <c r="A30" s="6" t="inlineStr">
        <is>
          <t>95</t>
        </is>
      </c>
      <c r="B30" s="6" t="inlineStr">
        <is>
          <t>MAESTRIA EN TELEINFORMATICA</t>
        </is>
      </c>
      <c r="C30" s="19" t="n">
        <v>121</v>
      </c>
      <c r="D30" s="19" t="n">
        <v>0</v>
      </c>
      <c r="E30" s="6" t="inlineStr">
        <is>
          <t>No (antecesor)</t>
        </is>
      </c>
    </row>
    <row r="31">
      <c r="A31" s="22" t="inlineStr">
        <is>
          <t>Total MCIC (sin Maestría en Teleinformática)</t>
        </is>
      </c>
      <c r="B31" s="2" t="n"/>
      <c r="C31" s="20">
        <f>SUMIF(E24:E30,"Sí",C24:C30)</f>
        <v/>
      </c>
      <c r="D31" s="20">
        <f>SUMIF(E24:E30,"Sí",D24:D30)</f>
        <v/>
      </c>
      <c r="E31" s="2" t="n"/>
    </row>
    <row r="32">
      <c r="A32" s="6" t="inlineStr">
        <is>
          <t>Incluyendo Maestría en Teleinformática (cód. 95)</t>
        </is>
      </c>
      <c r="B32" s="2" t="n"/>
      <c r="C32" s="20">
        <f>SUM(C24:C30)</f>
        <v/>
      </c>
      <c r="D32" s="2" t="n"/>
      <c r="E32" s="2" t="n"/>
    </row>
    <row r="33">
      <c r="A33" s="6" t="inlineStr">
        <is>
          <t>% de los graduados históricos UD</t>
        </is>
      </c>
      <c r="B33" s="2" t="n"/>
      <c r="C33" s="9">
        <f>$C$31/$B$9</f>
        <v/>
      </c>
      <c r="D33" s="2" t="n"/>
      <c r="E33" s="2" t="n"/>
    </row>
    <row r="34">
      <c r="A34" s="4" t="inlineStr">
        <is>
          <t>Fuente: Data/Bronze/Estados/Listado_de_estudiantes_por_estado_*.csv (Cóndor). 'Matriculados hoy' no incluye estudiantes en vacaciones.</t>
        </is>
      </c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16" t="inlineStr">
        <is>
          <t>D. MCIC — Cuadro Maestro CNA No. 04 (graduación por periodo)</t>
        </is>
      </c>
      <c r="B36" s="2" t="n"/>
      <c r="C36" s="2" t="n"/>
      <c r="D36" s="2" t="n"/>
      <c r="E36" s="2" t="n"/>
    </row>
    <row r="37">
      <c r="A37" s="5" t="inlineStr">
        <is>
          <t>Periodo</t>
        </is>
      </c>
      <c r="B37" s="5" t="inlineStr">
        <is>
          <t>Matrícula total</t>
        </is>
      </c>
      <c r="C37" s="5" t="inlineStr">
        <is>
          <t>Graduados</t>
        </is>
      </c>
      <c r="D37" s="2" t="n"/>
      <c r="E37" s="2" t="n"/>
    </row>
    <row r="38">
      <c r="A38" s="6" t="inlineStr">
        <is>
          <t>2019-I</t>
        </is>
      </c>
      <c r="B38" s="19" t="n">
        <v>266</v>
      </c>
      <c r="C38" s="19" t="n">
        <v>7</v>
      </c>
      <c r="D38" s="2" t="n"/>
      <c r="E38" s="2" t="n"/>
    </row>
    <row r="39">
      <c r="A39" s="6" t="inlineStr">
        <is>
          <t>2019-II</t>
        </is>
      </c>
      <c r="B39" s="19" t="n">
        <v>275</v>
      </c>
      <c r="C39" s="19" t="n">
        <v>5</v>
      </c>
      <c r="D39" s="2" t="n"/>
      <c r="E39" s="2" t="n"/>
    </row>
    <row r="40">
      <c r="A40" s="6" t="inlineStr">
        <is>
          <t>2020-I</t>
        </is>
      </c>
      <c r="B40" s="19" t="n">
        <v>285</v>
      </c>
      <c r="C40" s="19" t="n">
        <v>5</v>
      </c>
      <c r="D40" s="2" t="n"/>
      <c r="E40" s="2" t="n"/>
    </row>
    <row r="41">
      <c r="A41" s="6" t="inlineStr">
        <is>
          <t>2020-II</t>
        </is>
      </c>
      <c r="B41" s="19" t="n">
        <v>334</v>
      </c>
      <c r="C41" s="19" t="n">
        <v>16</v>
      </c>
      <c r="D41" s="2" t="n"/>
      <c r="E41" s="2" t="n"/>
    </row>
    <row r="42">
      <c r="A42" s="6" t="inlineStr">
        <is>
          <t>2021-I</t>
        </is>
      </c>
      <c r="B42" s="19" t="n">
        <v>328</v>
      </c>
      <c r="C42" s="19" t="n">
        <v>14</v>
      </c>
      <c r="D42" s="2" t="n"/>
      <c r="E42" s="2" t="n"/>
    </row>
    <row r="43">
      <c r="A43" s="6" t="inlineStr">
        <is>
          <t>2021-II</t>
        </is>
      </c>
      <c r="B43" s="19" t="n">
        <v>308</v>
      </c>
      <c r="C43" s="19" t="n">
        <v>23</v>
      </c>
      <c r="D43" s="2" t="n"/>
      <c r="E43" s="2" t="n"/>
    </row>
    <row r="44">
      <c r="A44" s="6" t="inlineStr">
        <is>
          <t>2022-I</t>
        </is>
      </c>
      <c r="B44" s="19" t="n">
        <v>283</v>
      </c>
      <c r="C44" s="19" t="n">
        <v>19</v>
      </c>
      <c r="D44" s="2" t="n"/>
      <c r="E44" s="2" t="n"/>
    </row>
    <row r="45">
      <c r="A45" s="6" t="inlineStr">
        <is>
          <t>2022-II</t>
        </is>
      </c>
      <c r="B45" s="19" t="n">
        <v>250</v>
      </c>
      <c r="C45" s="19" t="n">
        <v>16</v>
      </c>
      <c r="D45" s="2" t="n"/>
      <c r="E45" s="2" t="n"/>
    </row>
    <row r="46">
      <c r="A46" s="6" t="inlineStr">
        <is>
          <t>2023-I</t>
        </is>
      </c>
      <c r="B46" s="19" t="n">
        <v>216</v>
      </c>
      <c r="C46" s="19" t="n">
        <v>24</v>
      </c>
      <c r="D46" s="2" t="n"/>
      <c r="E46" s="2" t="n"/>
    </row>
    <row r="47">
      <c r="A47" s="6" t="inlineStr">
        <is>
          <t>2023-II</t>
        </is>
      </c>
      <c r="B47" s="19" t="n">
        <v>164</v>
      </c>
      <c r="C47" s="19" t="n">
        <v>15</v>
      </c>
      <c r="D47" s="2" t="n"/>
      <c r="E47" s="2" t="n"/>
    </row>
    <row r="48">
      <c r="A48" s="6" t="inlineStr">
        <is>
          <t>2024-I</t>
        </is>
      </c>
      <c r="B48" s="19" t="n">
        <v>155</v>
      </c>
      <c r="C48" s="19" t="n">
        <v>13</v>
      </c>
      <c r="D48" s="2" t="n"/>
      <c r="E48" s="2" t="n"/>
    </row>
    <row r="49">
      <c r="A49" s="6" t="inlineStr">
        <is>
          <t>2024-II</t>
        </is>
      </c>
      <c r="B49" s="19" t="n">
        <v>132</v>
      </c>
      <c r="C49" s="19" t="n">
        <v>15</v>
      </c>
      <c r="D49" s="2" t="n"/>
      <c r="E49" s="2" t="n"/>
    </row>
    <row r="50">
      <c r="A50" s="22" t="inlineStr">
        <is>
          <t>Total 2019-2024</t>
        </is>
      </c>
      <c r="B50" s="2" t="n"/>
      <c r="C50" s="20">
        <f>SUM(C38:C49)</f>
        <v/>
      </c>
      <c r="D50" s="2" t="n"/>
      <c r="E5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26" customWidth="1" min="3" max="3"/>
    <col width="20" customWidth="1" min="4" max="4"/>
    <col width="22" customWidth="1" min="5" max="5"/>
    <col width="16" customWidth="1" min="6" max="6"/>
  </cols>
  <sheetData>
    <row r="1">
      <c r="A1" s="1" t="inlineStr">
        <is>
          <t>Internacionalización y convenios</t>
        </is>
      </c>
      <c r="B1" s="2" t="n"/>
      <c r="C1" s="2" t="n"/>
      <c r="D1" s="2" t="n"/>
      <c r="E1" s="2" t="n"/>
      <c r="F1" s="2" t="n"/>
    </row>
    <row r="2">
      <c r="A2" s="3" t="inlineStr">
        <is>
          <t>UD (URELINTER) vs. MCIC (Cuadros Maestros CNA No. 07 y 09, cruce de convenios)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6" t="inlineStr">
        <is>
          <t>A. Convenios</t>
        </is>
      </c>
      <c r="B4" s="2" t="n"/>
      <c r="C4" s="2" t="n"/>
      <c r="D4" s="2" t="n"/>
      <c r="E4" s="2" t="n"/>
      <c r="F4" s="2" t="n"/>
    </row>
    <row r="5">
      <c r="A5" s="5" t="inlineStr">
        <is>
          <t>Concepto</t>
        </is>
      </c>
      <c r="B5" s="5" t="inlineStr">
        <is>
          <t>Cantidad</t>
        </is>
      </c>
      <c r="C5" s="5" t="inlineStr">
        <is>
          <t>Fuente</t>
        </is>
      </c>
      <c r="D5" s="2" t="n"/>
      <c r="E5" s="2" t="n"/>
      <c r="F5" s="2" t="n"/>
    </row>
    <row r="6">
      <c r="A6" s="6" t="inlineStr">
        <is>
          <t>Convenios suscritos UD 2026 (presentación)</t>
        </is>
      </c>
      <c r="B6" s="19" t="n">
        <v>386</v>
      </c>
      <c r="C6" s="6" t="inlineStr">
        <is>
          <t>Presentación institucional 23-sep-2026 (PRES_INST_23_SEPTIEMBRE_2026 VF.pdf), diap. 51</t>
        </is>
      </c>
      <c r="D6" s="2" t="n"/>
      <c r="E6" s="2" t="n"/>
      <c r="F6" s="2" t="n"/>
    </row>
    <row r="7">
      <c r="A7" s="6" t="inlineStr">
        <is>
          <t>Convenios vigentes en el listado URELINTER</t>
        </is>
      </c>
      <c r="B7" s="19" t="n">
        <v>388</v>
      </c>
      <c r="C7" s="6" t="inlineStr">
        <is>
          <t>Convenios vigentes URELINTER.xlsx</t>
        </is>
      </c>
      <c r="D7" s="2" t="n"/>
      <c r="E7" s="2" t="n"/>
      <c r="F7" s="2" t="n"/>
    </row>
    <row r="8">
      <c r="A8" s="6" t="inlineStr">
        <is>
          <t xml:space="preserve">  Nacionales</t>
        </is>
      </c>
      <c r="B8" s="19" t="n">
        <v>167</v>
      </c>
      <c r="C8" s="6" t="inlineStr">
        <is>
          <t>Ídem</t>
        </is>
      </c>
      <c r="D8" s="2" t="n"/>
      <c r="E8" s="2" t="n"/>
      <c r="F8" s="2" t="n"/>
    </row>
    <row r="9">
      <c r="A9" s="6" t="inlineStr">
        <is>
          <t xml:space="preserve">  Internacionales</t>
        </is>
      </c>
      <c r="B9" s="19" t="n">
        <v>221</v>
      </c>
      <c r="C9" s="6" t="inlineStr">
        <is>
          <t>Ídem</t>
        </is>
      </c>
      <c r="D9" s="2" t="n"/>
      <c r="E9" s="2" t="n"/>
      <c r="F9" s="2" t="n"/>
    </row>
    <row r="10">
      <c r="A10" s="6" t="inlineStr">
        <is>
          <t>Relacionados con Ingeniería / áreas de la MCIC (búsqueda por palabras clave)</t>
        </is>
      </c>
      <c r="B10" s="19" t="n">
        <v>7</v>
      </c>
      <c r="C10" s="6" t="inlineStr">
        <is>
          <t>Data/Silver/convenios.json</t>
        </is>
      </c>
      <c r="D10" s="2" t="n"/>
      <c r="E10" s="2" t="n"/>
      <c r="F10" s="2" t="n"/>
    </row>
    <row r="11">
      <c r="A11" s="6" t="inlineStr">
        <is>
          <t>Aplicables a la MCIC (posgrado, objeto no restringido)</t>
        </is>
      </c>
      <c r="B11" s="19" t="n">
        <v>3</v>
      </c>
      <c r="C11" s="6" t="inlineStr">
        <is>
          <t>Ídem</t>
        </is>
      </c>
      <c r="D11" s="2" t="n"/>
      <c r="E11" s="2" t="n"/>
      <c r="F11" s="2" t="n"/>
    </row>
    <row r="12">
      <c r="A12" s="6" t="inlineStr">
        <is>
          <t>% de convenios UD aplicables a la MCIC</t>
        </is>
      </c>
      <c r="B12" s="10">
        <f>$B$11/$B$7</f>
        <v/>
      </c>
      <c r="C12" s="2" t="n"/>
      <c r="D12" s="2" t="n"/>
      <c r="E12" s="2" t="n"/>
      <c r="F12" s="2" t="n"/>
    </row>
    <row r="13">
      <c r="A13" s="4" t="inlineStr">
        <is>
          <t>Ningún convenio de URELINTER menciona por nombre a la MCIC; la aplicabilidad se infiere del objeto del convenio.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5" t="inlineStr">
        <is>
          <t>Código</t>
        </is>
      </c>
      <c r="B15" s="5" t="inlineStr">
        <is>
          <t>Institución</t>
        </is>
      </c>
      <c r="C15" s="5" t="inlineStr">
        <is>
          <t>País / categoría</t>
        </is>
      </c>
      <c r="D15" s="5" t="inlineStr">
        <is>
          <t>Tipo</t>
        </is>
      </c>
      <c r="E15" s="5" t="inlineStr">
        <is>
          <t>Estado</t>
        </is>
      </c>
      <c r="F15" s="5" t="inlineStr">
        <is>
          <t>¿Aplica a MCIC?</t>
        </is>
      </c>
    </row>
    <row r="16">
      <c r="A16" s="6" t="inlineStr">
        <is>
          <t>C-2012-12</t>
        </is>
      </c>
      <c r="B16" s="6" t="inlineStr">
        <is>
          <t>Comisión Interamericana de Telecomunicaciones de la OEA- CITEL</t>
        </is>
      </c>
      <c r="C16" s="6" t="inlineStr">
        <is>
          <t>Estados Unidos</t>
        </is>
      </c>
      <c r="D16" s="6" t="inlineStr">
        <is>
          <t>Convenio Marco</t>
        </is>
      </c>
      <c r="E16" s="6" t="inlineStr">
        <is>
          <t>Vigencia indefinida</t>
        </is>
      </c>
      <c r="F16" s="6" t="inlineStr">
        <is>
          <t>Sí</t>
        </is>
      </c>
    </row>
    <row r="17">
      <c r="A17" s="6" t="inlineStr">
        <is>
          <t>C-2012-36</t>
        </is>
      </c>
      <c r="B17" s="6" t="inlineStr">
        <is>
          <t>Universidad de Caldas</t>
        </is>
      </c>
      <c r="C17" s="6" t="inlineStr">
        <is>
          <t>Colombia IES</t>
        </is>
      </c>
      <c r="D17" s="6" t="inlineStr">
        <is>
          <t>Convenio Específico</t>
        </is>
      </c>
      <c r="E17" s="6" t="inlineStr">
        <is>
          <t>Renovación Automática</t>
        </is>
      </c>
      <c r="F17" s="6" t="inlineStr">
        <is>
          <t>No</t>
        </is>
      </c>
    </row>
    <row r="18">
      <c r="A18" s="6" t="inlineStr">
        <is>
          <t>C-2016-10</t>
        </is>
      </c>
      <c r="B18" s="6" t="inlineStr">
        <is>
          <t>New Net S.A.</t>
        </is>
      </c>
      <c r="C18" s="6" t="inlineStr">
        <is>
          <t>Colombia Otros Organismos</t>
        </is>
      </c>
      <c r="D18" s="6" t="inlineStr">
        <is>
          <t>Convenio Específico</t>
        </is>
      </c>
      <c r="E18" s="6" t="inlineStr">
        <is>
          <t>Renovación Automática</t>
        </is>
      </c>
      <c r="F18" s="6" t="inlineStr">
        <is>
          <t>No</t>
        </is>
      </c>
    </row>
    <row r="19">
      <c r="A19" s="6" t="inlineStr">
        <is>
          <t>C-2019-28</t>
        </is>
      </c>
      <c r="B19" s="6" t="inlineStr">
        <is>
          <t>Universidad de Valparaiso</t>
        </is>
      </c>
      <c r="C19" s="6" t="inlineStr">
        <is>
          <t>Chile</t>
        </is>
      </c>
      <c r="D19" s="6" t="inlineStr">
        <is>
          <t>Convenio Específico</t>
        </is>
      </c>
      <c r="E19" s="6" t="inlineStr">
        <is>
          <t>Renovación Automática</t>
        </is>
      </c>
      <c r="F19" s="6" t="inlineStr">
        <is>
          <t>Sí</t>
        </is>
      </c>
    </row>
    <row r="20">
      <c r="A20" s="6" t="inlineStr">
        <is>
          <t>C-2022-29</t>
        </is>
      </c>
      <c r="B20" s="6" t="inlineStr">
        <is>
          <t>Universidad Popular Autónoma del Estado de Puebla UPAEP</t>
        </is>
      </c>
      <c r="C20" s="6" t="inlineStr">
        <is>
          <t>México</t>
        </is>
      </c>
      <c r="D20" s="6" t="inlineStr">
        <is>
          <t>Convenio Específico</t>
        </is>
      </c>
      <c r="E20" s="6" t="inlineStr">
        <is>
          <t>Vigente</t>
        </is>
      </c>
      <c r="F20" s="6" t="inlineStr">
        <is>
          <t>Sí</t>
        </is>
      </c>
    </row>
    <row r="21">
      <c r="A21" s="6" t="inlineStr">
        <is>
          <t>C-2023-19</t>
        </is>
      </c>
      <c r="B21" s="6" t="inlineStr">
        <is>
          <t>Fundación UNIR</t>
        </is>
      </c>
      <c r="C21" s="6" t="inlineStr">
        <is>
          <t>Colombia IES</t>
        </is>
      </c>
      <c r="D21" s="6" t="inlineStr">
        <is>
          <t>Convenio Específico</t>
        </is>
      </c>
      <c r="E21" s="6" t="inlineStr">
        <is>
          <t>Vigente</t>
        </is>
      </c>
      <c r="F21" s="6" t="inlineStr">
        <is>
          <t>No</t>
        </is>
      </c>
    </row>
    <row r="22">
      <c r="A22" s="6" t="inlineStr">
        <is>
          <t>C-2025-46</t>
        </is>
      </c>
      <c r="B22" s="6" t="inlineStr">
        <is>
          <t>IMT Ataltique</t>
        </is>
      </c>
      <c r="C22" s="6" t="inlineStr">
        <is>
          <t>Francia</t>
        </is>
      </c>
      <c r="D22" s="6" t="inlineStr">
        <is>
          <t>Convenio Específico</t>
        </is>
      </c>
      <c r="E22" s="6" t="inlineStr">
        <is>
          <t>Vigente</t>
        </is>
      </c>
      <c r="F22" s="6" t="inlineStr">
        <is>
          <t>No</t>
        </is>
      </c>
    </row>
    <row r="23">
      <c r="A23" s="2" t="n"/>
      <c r="B23" s="2" t="n"/>
      <c r="C23" s="2" t="n"/>
      <c r="D23" s="2" t="n"/>
      <c r="E23" s="2" t="n"/>
      <c r="F23" s="2" t="n"/>
    </row>
    <row r="24">
      <c r="A24" s="16" t="inlineStr">
        <is>
          <t>B. Movilidad académica</t>
        </is>
      </c>
      <c r="B24" s="2" t="n"/>
      <c r="C24" s="2" t="n"/>
      <c r="D24" s="2" t="n"/>
      <c r="E24" s="2" t="n"/>
      <c r="F24" s="2" t="n"/>
    </row>
    <row r="25">
      <c r="A25" s="5" t="inlineStr">
        <is>
          <t>Tipo de movilidad</t>
        </is>
      </c>
      <c r="B25" s="5" t="inlineStr">
        <is>
          <t>UD 2021-2026</t>
        </is>
      </c>
      <c r="C25" s="5" t="inlineStr">
        <is>
          <t>MCIC 2019-2025</t>
        </is>
      </c>
      <c r="D25" s="5" t="inlineStr">
        <is>
          <t>% MCIC / UD</t>
        </is>
      </c>
      <c r="E25" s="2" t="n"/>
      <c r="F25" s="2" t="n"/>
    </row>
    <row r="26">
      <c r="A26" s="6" t="inlineStr">
        <is>
          <t>Estudiantes salientes – nacional</t>
        </is>
      </c>
      <c r="B26" s="19" t="n">
        <v>45</v>
      </c>
      <c r="C26" s="19" t="n">
        <v>17</v>
      </c>
      <c r="D26" s="10">
        <f>IF(B26&gt;0,C26/B26,"")</f>
        <v/>
      </c>
      <c r="E26" s="2" t="n"/>
      <c r="F26" s="2" t="n"/>
    </row>
    <row r="27">
      <c r="A27" s="6" t="inlineStr">
        <is>
          <t>Estudiantes salientes – internacional</t>
        </is>
      </c>
      <c r="B27" s="19" t="n">
        <v>274</v>
      </c>
      <c r="C27" s="19" t="n">
        <v>18</v>
      </c>
      <c r="D27" s="10">
        <f>IF(B27&gt;0,C27/B27,"")</f>
        <v/>
      </c>
      <c r="E27" s="2" t="n"/>
      <c r="F27" s="2" t="n"/>
    </row>
    <row r="28">
      <c r="A28" s="6" t="inlineStr">
        <is>
          <t>Estudiantes entrantes – nacional</t>
        </is>
      </c>
      <c r="B28" s="19" t="n">
        <v>30</v>
      </c>
      <c r="C28" s="19" t="n">
        <v>0</v>
      </c>
      <c r="D28" s="10">
        <f>IF(B28&gt;0,C28/B28,"")</f>
        <v/>
      </c>
      <c r="E28" s="2" t="n"/>
      <c r="F28" s="2" t="n"/>
    </row>
    <row r="29">
      <c r="A29" s="6" t="inlineStr">
        <is>
          <t>Estudiantes entrantes – internacional</t>
        </is>
      </c>
      <c r="B29" s="19" t="n">
        <v>132</v>
      </c>
      <c r="C29" s="19" t="n">
        <v>0</v>
      </c>
      <c r="D29" s="10">
        <f>IF(B29&gt;0,C29/B29,"")</f>
        <v/>
      </c>
      <c r="E29" s="2" t="n"/>
      <c r="F29" s="2" t="n"/>
    </row>
    <row r="30">
      <c r="A30" s="6" t="inlineStr">
        <is>
          <t>Docentes salientes – nacional</t>
        </is>
      </c>
      <c r="B30" s="19" t="n">
        <v>9</v>
      </c>
      <c r="C30" s="19" t="n">
        <v>11</v>
      </c>
      <c r="D30" s="10">
        <f>IF(B30&gt;0,C30/B30,"")</f>
        <v/>
      </c>
      <c r="E30" s="2" t="n"/>
      <c r="F30" s="2" t="n"/>
    </row>
    <row r="31">
      <c r="A31" s="6" t="inlineStr">
        <is>
          <t>Docentes salientes – internacional</t>
        </is>
      </c>
      <c r="B31" s="19" t="n">
        <v>50</v>
      </c>
      <c r="C31" s="19" t="n">
        <v>19</v>
      </c>
      <c r="D31" s="10">
        <f>IF(B31&gt;0,C31/B31,"")</f>
        <v/>
      </c>
      <c r="E31" s="2" t="n"/>
      <c r="F31" s="2" t="n"/>
    </row>
    <row r="32">
      <c r="A32" s="6" t="inlineStr">
        <is>
          <t>Docentes visitantes – nacional</t>
        </is>
      </c>
      <c r="B32" s="19" t="n">
        <v>48</v>
      </c>
      <c r="C32" s="19" t="n">
        <v>6</v>
      </c>
      <c r="D32" s="10">
        <f>IF(B32&gt;0,C32/B32,"")</f>
        <v/>
      </c>
      <c r="E32" s="2" t="n"/>
      <c r="F32" s="2" t="n"/>
    </row>
    <row r="33">
      <c r="A33" s="6" t="inlineStr">
        <is>
          <t>Docentes visitantes – internacional</t>
        </is>
      </c>
      <c r="B33" s="19" t="n">
        <v>326</v>
      </c>
      <c r="C33" s="19" t="n">
        <v>9</v>
      </c>
      <c r="D33" s="10">
        <f>IF(B33&gt;0,C33/B33,"")</f>
        <v/>
      </c>
      <c r="E33" s="2" t="n"/>
      <c r="F33" s="2" t="n"/>
    </row>
    <row r="34">
      <c r="A34" s="22" t="inlineStr">
        <is>
          <t>Total estudiantes salientes</t>
        </is>
      </c>
      <c r="B34" s="20">
        <f>B26+B27</f>
        <v/>
      </c>
      <c r="C34" s="20">
        <f>C26+C27</f>
        <v/>
      </c>
      <c r="D34" s="10">
        <f>IF(B34&gt;0,C34/B34,"")</f>
        <v/>
      </c>
      <c r="E34" s="2" t="n"/>
      <c r="F34" s="2" t="n"/>
    </row>
    <row r="35">
      <c r="A35" s="22" t="inlineStr">
        <is>
          <t>Total docentes salientes</t>
        </is>
      </c>
      <c r="B35" s="20">
        <f>B30+B31</f>
        <v/>
      </c>
      <c r="C35" s="20">
        <f>C30+C31</f>
        <v/>
      </c>
      <c r="D35" s="10">
        <f>IF(B35&gt;0,C35/B35,"")</f>
        <v/>
      </c>
      <c r="E35" s="2" t="n"/>
      <c r="F35" s="2" t="n"/>
    </row>
    <row r="36">
      <c r="A36" s="22" t="inlineStr">
        <is>
          <t>Total docentes visitantes</t>
        </is>
      </c>
      <c r="B36" s="20">
        <f>B32+B33</f>
        <v/>
      </c>
      <c r="C36" s="20">
        <f>C32+C33</f>
        <v/>
      </c>
      <c r="D36" s="10">
        <f>IF(B36&gt;0,C36/B36,"")</f>
        <v/>
      </c>
      <c r="E36" s="2" t="n"/>
      <c r="F36" s="2" t="n"/>
    </row>
    <row r="37">
      <c r="A37" s="4" t="inlineStr">
        <is>
          <t>UD: Presentación institucional 23-sep-2026 (PRES_INST_23_SEPTIEMBRE_2026 VF.pdf), diap. 53 (datos a 30-jun-2026). MCIC: Cuadros maestros, hojas 'Estudiante Movilidad' (ambas modalidades, sin registros de docentes) y 'Profesores Movilidad'.</t>
        </is>
      </c>
      <c r="B37" s="2" t="n"/>
      <c r="C37" s="2" t="n"/>
      <c r="D37" s="2" t="n"/>
      <c r="E37" s="2" t="n"/>
      <c r="F37" s="2" t="n"/>
    </row>
    <row r="38">
      <c r="A38" s="4" t="inlineStr">
        <is>
          <t>Los periodos no coinciden (UD 2021-2026; MCIC 2019-2025): el % es orientativo.</t>
        </is>
      </c>
      <c r="B38" s="2" t="n"/>
      <c r="C38" s="2" t="n"/>
      <c r="D38" s="2" t="n"/>
      <c r="E38" s="2" t="n"/>
      <c r="F38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Bienestar universitario</t>
        </is>
      </c>
      <c r="B1" s="2" t="n"/>
      <c r="C1" s="2" t="n"/>
      <c r="D1" s="2" t="n"/>
      <c r="E1" s="2" t="n"/>
      <c r="F1" s="2" t="n"/>
    </row>
    <row r="2">
      <c r="A2" s="3" t="inlineStr">
        <is>
          <t>UD (atenciones por semestre) vs. MCIC (Cuadro Maestro CNA, Estadísticas de Bienestar)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6" t="inlineStr">
        <is>
          <t>A. Universidad Distrital — Desarrollo Humano (servicios por semestre)</t>
        </is>
      </c>
      <c r="B4" s="2" t="n"/>
      <c r="C4" s="2" t="n"/>
      <c r="D4" s="2" t="n"/>
      <c r="E4" s="2" t="n"/>
      <c r="F4" s="2" t="n"/>
    </row>
    <row r="5">
      <c r="A5" s="5" t="inlineStr">
        <is>
          <t>Servicio</t>
        </is>
      </c>
      <c r="B5" s="5" t="inlineStr">
        <is>
          <t>2025-1</t>
        </is>
      </c>
      <c r="C5" s="5" t="inlineStr">
        <is>
          <t>2025-3</t>
        </is>
      </c>
      <c r="D5" s="5" t="inlineStr">
        <is>
          <t>2026-1</t>
        </is>
      </c>
      <c r="E5" s="2" t="n"/>
      <c r="F5" s="2" t="n"/>
    </row>
    <row r="6">
      <c r="A6" s="6" t="inlineStr">
        <is>
          <t>Enfermería</t>
        </is>
      </c>
      <c r="B6" s="19" t="n">
        <v>5733</v>
      </c>
      <c r="C6" s="19" t="n">
        <v>4260</v>
      </c>
      <c r="D6" s="19" t="n">
        <v>6545</v>
      </c>
      <c r="E6" s="2" t="n"/>
      <c r="F6" s="2" t="n"/>
    </row>
    <row r="7">
      <c r="A7" s="6" t="inlineStr">
        <is>
          <t>Medicina</t>
        </is>
      </c>
      <c r="B7" s="19" t="n">
        <v>6214</v>
      </c>
      <c r="C7" s="19" t="n">
        <v>3449</v>
      </c>
      <c r="D7" s="19" t="n">
        <v>5029</v>
      </c>
      <c r="E7" s="2" t="n"/>
      <c r="F7" s="2" t="n"/>
    </row>
    <row r="8">
      <c r="A8" s="6" t="inlineStr">
        <is>
          <t>Psicología</t>
        </is>
      </c>
      <c r="B8" s="19" t="n">
        <v>1975</v>
      </c>
      <c r="C8" s="19" t="n">
        <v>1663</v>
      </c>
      <c r="D8" s="19" t="n">
        <v>1728</v>
      </c>
      <c r="E8" s="2" t="n"/>
      <c r="F8" s="2" t="n"/>
    </row>
    <row r="9">
      <c r="A9" s="6" t="inlineStr">
        <is>
          <t>Odontología</t>
        </is>
      </c>
      <c r="B9" s="19" t="n">
        <v>3264</v>
      </c>
      <c r="C9" s="19" t="n">
        <v>1914</v>
      </c>
      <c r="D9" s="19" t="n">
        <v>2463</v>
      </c>
      <c r="E9" s="2" t="n"/>
      <c r="F9" s="2" t="n"/>
    </row>
    <row r="10">
      <c r="A10" s="6" t="inlineStr">
        <is>
          <t>Fisioterapia</t>
        </is>
      </c>
      <c r="B10" s="19" t="n">
        <v>2412</v>
      </c>
      <c r="C10" s="19" t="n">
        <v>1839</v>
      </c>
      <c r="D10" s="19" t="n">
        <v>3277</v>
      </c>
      <c r="E10" s="2" t="n"/>
      <c r="F10" s="2" t="n"/>
    </row>
    <row r="11">
      <c r="A11" s="22" t="inlineStr">
        <is>
          <t>Total servicios</t>
        </is>
      </c>
      <c r="B11" s="20">
        <f>SUM(B6:B10)</f>
        <v/>
      </c>
      <c r="C11" s="20">
        <f>SUM(C6:C10)</f>
        <v/>
      </c>
      <c r="D11" s="20">
        <f>SUM(D6:D10)</f>
        <v/>
      </c>
      <c r="E11" s="2" t="n"/>
      <c r="F11" s="2" t="n"/>
    </row>
    <row r="12">
      <c r="A12" s="6" t="inlineStr">
        <is>
          <t>Presupuesto Bienestar 2026 (COP)</t>
        </is>
      </c>
      <c r="B12" s="2" t="n"/>
      <c r="C12" s="2" t="n"/>
      <c r="D12" s="25" t="n">
        <v>12999871529</v>
      </c>
      <c r="E12" s="2" t="n"/>
      <c r="F12" s="2" t="n"/>
    </row>
    <row r="13">
      <c r="A13" s="6" t="inlineStr">
        <is>
          <t>Presupuesto de bienestar por estudiante UD 2026 (COP)</t>
        </is>
      </c>
      <c r="B13" s="2" t="n"/>
      <c r="C13" s="2" t="n"/>
      <c r="D13" s="26">
        <f>$D$12/'Estudiantes'!$B$6</f>
        <v/>
      </c>
      <c r="E13" s="2" t="n"/>
      <c r="F13" s="2" t="n"/>
    </row>
    <row r="14">
      <c r="A14" s="4" t="inlineStr">
        <is>
          <t>Fuente: Presentación institucional 23-sep-2026 (PRES_INST_23_SEPTIEMBRE_2026 VF.pdf), diap. 56-57.</t>
        </is>
      </c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16" t="inlineStr">
        <is>
          <t>B. MCIC — Actividades de bienestar registradas para estudiantes del programa</t>
        </is>
      </c>
      <c r="B16" s="2" t="n"/>
      <c r="C16" s="2" t="n"/>
      <c r="D16" s="2" t="n"/>
      <c r="E16" s="2" t="n"/>
      <c r="F16" s="2" t="n"/>
    </row>
    <row r="17">
      <c r="A17" s="5" t="inlineStr">
        <is>
          <t>Servicio</t>
        </is>
      </c>
      <c r="B17" s="5" t="inlineStr">
        <is>
          <t>2022-3</t>
        </is>
      </c>
      <c r="C17" s="5" t="inlineStr">
        <is>
          <t>2023-1</t>
        </is>
      </c>
      <c r="D17" s="5" t="inlineStr">
        <is>
          <t>2023-3</t>
        </is>
      </c>
      <c r="E17" s="5" t="inlineStr">
        <is>
          <t>2024-1</t>
        </is>
      </c>
      <c r="F17" s="5" t="inlineStr">
        <is>
          <t>2024-3</t>
        </is>
      </c>
    </row>
    <row r="18">
      <c r="A18" s="6" t="inlineStr">
        <is>
          <t>Servicios Medicina</t>
        </is>
      </c>
      <c r="B18" s="19" t="n">
        <v>0</v>
      </c>
      <c r="C18" s="19" t="n">
        <v>1</v>
      </c>
      <c r="D18" s="19" t="n">
        <v>1</v>
      </c>
      <c r="E18" s="19" t="n">
        <v>0</v>
      </c>
      <c r="F18" s="19" t="n">
        <v>1</v>
      </c>
    </row>
    <row r="19">
      <c r="A19" s="6" t="inlineStr">
        <is>
          <t>Servicios Enfermeria</t>
        </is>
      </c>
      <c r="B19" s="19" t="n">
        <v>2</v>
      </c>
      <c r="C19" s="19" t="n">
        <v>3</v>
      </c>
      <c r="D19" s="19" t="n">
        <v>2</v>
      </c>
      <c r="E19" s="19" t="n">
        <v>0</v>
      </c>
      <c r="F19" s="19" t="n">
        <v>2</v>
      </c>
    </row>
    <row r="20">
      <c r="A20" s="6" t="inlineStr">
        <is>
          <t>Servicios Fisioterapia</t>
        </is>
      </c>
      <c r="B20" s="19" t="n">
        <v>0</v>
      </c>
      <c r="C20" s="19" t="n">
        <v>0</v>
      </c>
      <c r="D20" s="19" t="n">
        <v>1</v>
      </c>
      <c r="E20" s="19" t="n">
        <v>0</v>
      </c>
      <c r="F20" s="19" t="n">
        <v>1</v>
      </c>
    </row>
    <row r="21">
      <c r="A21" s="6" t="inlineStr">
        <is>
          <t>Servicios Psicologia</t>
        </is>
      </c>
      <c r="B21" s="19" t="n">
        <v>0</v>
      </c>
      <c r="C21" s="19" t="n">
        <v>2</v>
      </c>
      <c r="D21" s="19" t="n">
        <v>0</v>
      </c>
      <c r="E21" s="19" t="n">
        <v>0</v>
      </c>
      <c r="F21" s="19" t="n">
        <v>0</v>
      </c>
    </row>
    <row r="22">
      <c r="A22" s="6" t="inlineStr">
        <is>
          <t>Acompañamientos Icetex</t>
        </is>
      </c>
      <c r="B22" s="19" t="n">
        <v>0</v>
      </c>
      <c r="C22" s="19" t="n">
        <v>0</v>
      </c>
      <c r="D22" s="19" t="n">
        <v>2</v>
      </c>
      <c r="E22" s="19" t="n">
        <v>0</v>
      </c>
      <c r="F22" s="19" t="n">
        <v>2</v>
      </c>
    </row>
    <row r="23">
      <c r="A23" s="22" t="inlineStr">
        <is>
          <t>Total actividades</t>
        </is>
      </c>
      <c r="B23" s="20">
        <f>SUM(B18:B22)</f>
        <v/>
      </c>
      <c r="C23" s="20">
        <f>SUM(C18:C22)</f>
        <v/>
      </c>
      <c r="D23" s="20">
        <f>SUM(D18:D22)</f>
        <v/>
      </c>
      <c r="E23" s="20">
        <f>SUM(E18:E22)</f>
        <v/>
      </c>
      <c r="F23" s="20">
        <f>SUM(F18:F22)</f>
        <v/>
      </c>
    </row>
    <row r="24">
      <c r="A24" s="22" t="inlineStr">
        <is>
          <t>Total 2022-3 a 2024-3</t>
        </is>
      </c>
      <c r="B24" s="20">
        <f>SUM(B23:F23)</f>
        <v/>
      </c>
      <c r="C24" s="2" t="n"/>
      <c r="D24" s="2" t="n"/>
      <c r="E24" s="2" t="n"/>
      <c r="F24" s="2" t="n"/>
    </row>
    <row r="25">
      <c r="A25" s="4" t="inlineStr">
        <is>
          <t>Fuente: SNIES17528-Cuadros maestros.xlsx, hoja 'Estadisticas Bienestar'. Se omiten servicios con 0 en todos los semestres (apoyo alimentario, deportes, talleres, etc.).</t>
        </is>
      </c>
      <c r="B25" s="2" t="n"/>
      <c r="C25" s="2" t="n"/>
      <c r="D25" s="2" t="n"/>
      <c r="E25" s="2" t="n"/>
      <c r="F25" s="2" t="n"/>
    </row>
    <row r="26">
      <c r="A26" s="4" t="inlineStr">
        <is>
          <t>Lectura: el uso registrado de bienestar por estudiantes de la MCIC es muy bajo frente al de la U; conviene explicar por qué (estudiantes de posgrado que trabajan, horarios nocturnos/sábados).</t>
        </is>
      </c>
      <c r="B26" s="2" t="n"/>
      <c r="C26" s="2" t="n"/>
      <c r="D26" s="2" t="n"/>
      <c r="E26" s="2" t="n"/>
      <c r="F26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52" customWidth="1" min="3" max="3"/>
  </cols>
  <sheetData>
    <row r="1">
      <c r="A1" s="1" t="inlineStr">
        <is>
          <t>Infraestructura, laboratorios y recursos compartidos</t>
        </is>
      </c>
      <c r="B1" s="2" t="n"/>
      <c r="C1" s="2" t="n"/>
    </row>
    <row r="2">
      <c r="A2" s="3" t="inlineStr">
        <is>
          <t>UAL de la UD por facultad vs. espacios que usa la MCIC</t>
        </is>
      </c>
      <c r="B2" s="2" t="n"/>
      <c r="C2" s="2" t="n"/>
    </row>
    <row r="3">
      <c r="A3" s="2" t="n"/>
      <c r="B3" s="2" t="n"/>
      <c r="C3" s="2" t="n"/>
    </row>
    <row r="4">
      <c r="A4" s="16" t="inlineStr">
        <is>
          <t>A. Unidades Académicas de Laboratorio (UAL) por facultad — UD</t>
        </is>
      </c>
      <c r="B4" s="2" t="n"/>
      <c r="C4" s="2" t="n"/>
    </row>
    <row r="5">
      <c r="A5" s="5" t="inlineStr">
        <is>
          <t>Facultad</t>
        </is>
      </c>
      <c r="B5" s="5" t="inlineStr">
        <is>
          <t>UAL</t>
        </is>
      </c>
      <c r="C5" s="5" t="inlineStr">
        <is>
          <t>% del total</t>
        </is>
      </c>
    </row>
    <row r="6">
      <c r="A6" s="6" t="inlineStr">
        <is>
          <t>Artes (ASAB)</t>
        </is>
      </c>
      <c r="B6" s="19" t="n">
        <v>108</v>
      </c>
      <c r="C6" s="10">
        <f>B6/$B$13</f>
        <v/>
      </c>
    </row>
    <row r="7">
      <c r="A7" s="6" t="inlineStr">
        <is>
          <t>Tecnológica</t>
        </is>
      </c>
      <c r="B7" s="19" t="n">
        <v>98</v>
      </c>
      <c r="C7" s="10">
        <f>B7/$B$13</f>
        <v/>
      </c>
    </row>
    <row r="8">
      <c r="A8" s="6" t="inlineStr">
        <is>
          <t>Ingeniería</t>
        </is>
      </c>
      <c r="B8" s="19" t="n">
        <v>56</v>
      </c>
      <c r="C8" s="10">
        <f>B8/$B$13</f>
        <v/>
      </c>
    </row>
    <row r="9">
      <c r="A9" s="6" t="inlineStr">
        <is>
          <t>Matemáticas</t>
        </is>
      </c>
      <c r="B9" s="19" t="n">
        <v>56</v>
      </c>
      <c r="C9" s="10">
        <f>B9/$B$13</f>
        <v/>
      </c>
    </row>
    <row r="10">
      <c r="A10" s="6" t="inlineStr">
        <is>
          <t>Medio Ambiente</t>
        </is>
      </c>
      <c r="B10" s="19" t="n">
        <v>51</v>
      </c>
      <c r="C10" s="10">
        <f>B10/$B$13</f>
        <v/>
      </c>
    </row>
    <row r="11">
      <c r="A11" s="6" t="inlineStr">
        <is>
          <t>Ciencias y Educación</t>
        </is>
      </c>
      <c r="B11" s="19" t="n">
        <v>44</v>
      </c>
      <c r="C11" s="10">
        <f>B11/$B$13</f>
        <v/>
      </c>
    </row>
    <row r="12">
      <c r="A12" s="6" t="inlineStr">
        <is>
          <t>Salud</t>
        </is>
      </c>
      <c r="B12" s="19" t="n">
        <v>13</v>
      </c>
      <c r="C12" s="10">
        <f>B12/$B$13</f>
        <v/>
      </c>
    </row>
    <row r="13">
      <c r="A13" s="22" t="inlineStr">
        <is>
          <t>Total UAL</t>
        </is>
      </c>
      <c r="B13" s="20">
        <f>SUM(B6:B12)</f>
        <v/>
      </c>
      <c r="C13" s="2" t="n"/>
    </row>
    <row r="14">
      <c r="A14" s="4" t="inlineStr">
        <is>
          <t>Fuente: Presentación institucional 23-sep-2026 (PRES_INST_23_SEPTIEMBRE_2026 VF.pdf), diap. 25 (Resolución 633 de 2022).</t>
        </is>
      </c>
      <c r="B14" s="2" t="n"/>
      <c r="C14" s="2" t="n"/>
    </row>
    <row r="15">
      <c r="A15" s="2" t="n"/>
      <c r="B15" s="2" t="n"/>
      <c r="C15" s="2" t="n"/>
    </row>
    <row r="16">
      <c r="A16" s="16" t="inlineStr">
        <is>
          <t>B. Espacios de la Facultad de Ingeniería en el nuevo edificio de laboratorios (usados por la MCIC)</t>
        </is>
      </c>
      <c r="B16" s="2" t="n"/>
      <c r="C16" s="2" t="n"/>
    </row>
    <row r="17">
      <c r="A17" s="5" t="inlineStr">
        <is>
          <t>Espacio</t>
        </is>
      </c>
      <c r="B17" s="5" t="inlineStr">
        <is>
          <t>Cantidad</t>
        </is>
      </c>
      <c r="C17" s="5" t="inlineStr">
        <is>
          <t>Relación con la MCIC</t>
        </is>
      </c>
    </row>
    <row r="18">
      <c r="A18" s="6" t="inlineStr">
        <is>
          <t>Salas de informática</t>
        </is>
      </c>
      <c r="B18" s="19" t="n">
        <v>12</v>
      </c>
      <c r="C18" s="6" t="inlineStr">
        <is>
          <t>Asignaturas de software, IA, redes y geomática</t>
        </is>
      </c>
    </row>
    <row r="19">
      <c r="A19" s="6" t="inlineStr">
        <is>
          <t>Laboratorio de Realidad Aumentada (GIIRA + Multimedia Interactiva)</t>
        </is>
      </c>
      <c r="B19" s="19" t="n">
        <v>1</v>
      </c>
      <c r="C19" s="6" t="inlineStr">
        <is>
          <t>Grupo GIIRA (A1) del directorio MCIC</t>
        </is>
      </c>
    </row>
    <row r="20">
      <c r="A20" s="6" t="inlineStr">
        <is>
          <t>Centro de Análisis NIDE</t>
        </is>
      </c>
      <c r="B20" s="19" t="n">
        <v>2</v>
      </c>
      <c r="C20" s="6" t="inlineStr">
        <is>
          <t>Grupo NIDE (A), énfasis Geomática</t>
        </is>
      </c>
    </row>
    <row r="21">
      <c r="A21" s="6" t="inlineStr">
        <is>
          <t>Laboratorios de Eléctrica y Electrónica</t>
        </is>
      </c>
      <c r="B21" s="19" t="n">
        <v>12</v>
      </c>
      <c r="C21" s="6" t="inlineStr">
        <is>
          <t>Énfasis Teleinformática (grupos LASER, GITUD, GRECO)</t>
        </is>
      </c>
    </row>
    <row r="22">
      <c r="A22" s="6" t="inlineStr">
        <is>
          <t>Laboratorios del Doctorado en Ingeniería</t>
        </is>
      </c>
      <c r="B22" s="19" t="n">
        <v>2</v>
      </c>
      <c r="C22" s="6" t="inlineStr">
        <is>
          <t>Compartidos con el doctorado</t>
        </is>
      </c>
    </row>
    <row r="23">
      <c r="A23" s="22" t="inlineStr">
        <is>
          <t>Espacios relacionados con la MCIC</t>
        </is>
      </c>
      <c r="B23" s="20">
        <f>SUM(B18:B22)</f>
        <v/>
      </c>
      <c r="C23" s="2" t="n"/>
    </row>
    <row r="24">
      <c r="A24" s="4" t="inlineStr">
        <is>
          <t>Fuente: Data/Bronze/PresLabIng-20261-esuarez-01-p36-48.pdf (Dotación Edificio Nuevo de Laboratorios, 2026-1).</t>
        </is>
      </c>
      <c r="B24" s="2" t="n"/>
      <c r="C24" s="2" t="n"/>
    </row>
    <row r="25">
      <c r="A25" s="2" t="n"/>
      <c r="B25" s="2" t="n"/>
      <c r="C25" s="2" t="n"/>
    </row>
    <row r="26">
      <c r="A26" s="16" t="inlineStr">
        <is>
          <t>C. Recursos institucionales que la MCIC usa en común (no se asignan por programa)</t>
        </is>
      </c>
      <c r="B26" s="2" t="n"/>
      <c r="C26" s="2" t="n"/>
    </row>
    <row r="27">
      <c r="A27" s="5" t="inlineStr">
        <is>
          <t>Recurso</t>
        </is>
      </c>
      <c r="B27" s="5" t="inlineStr">
        <is>
          <t>UD</t>
        </is>
      </c>
      <c r="C27" s="5" t="inlineStr">
        <is>
          <t>Comentario</t>
        </is>
      </c>
    </row>
    <row r="28">
      <c r="A28" s="6" t="inlineStr">
        <is>
          <t>Área construida total (m²)</t>
        </is>
      </c>
      <c r="B28" s="27" t="n">
        <v>138189.4</v>
      </c>
      <c r="C28" s="6" t="inlineStr">
        <is>
          <t>No hay distribución de m² por programa.</t>
        </is>
      </c>
    </row>
    <row r="29">
      <c r="A29" s="6" t="inlineStr">
        <is>
          <t>Bases de datos bibliográficas suscritas</t>
        </is>
      </c>
      <c r="B29" s="19" t="n">
        <v>56</v>
      </c>
      <c r="C29" s="6" t="inlineStr">
        <is>
          <t>Acceso para todos los programas (IEEE, Scopus, etc.).</t>
        </is>
      </c>
    </row>
    <row r="30">
      <c r="A30" s="6" t="inlineStr">
        <is>
          <t>Libros</t>
        </is>
      </c>
      <c r="B30" s="19" t="n">
        <v>250000</v>
      </c>
      <c r="C30" s="6" t="inlineStr">
        <is>
          <t>Colección institucional.</t>
        </is>
      </c>
    </row>
    <row r="31">
      <c r="A31" s="6" t="inlineStr">
        <is>
          <t>Documentos en el repositorio RIUD</t>
        </is>
      </c>
      <c r="B31" s="19" t="n">
        <v>93000</v>
      </c>
      <c r="C31" s="6" t="inlineStr">
        <is>
          <t>Incluye los trabajos de grado de la MCIC.</t>
        </is>
      </c>
    </row>
    <row r="32">
      <c r="A32" s="6" t="inlineStr">
        <is>
          <t>Puestos de lectura</t>
        </is>
      </c>
      <c r="B32" s="19" t="n">
        <v>1426</v>
      </c>
      <c r="C32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Fuentes, supuestos y alertas</t>
        </is>
      </c>
      <c r="B1" s="2" t="n"/>
    </row>
    <row r="2">
      <c r="A2" s="3" t="inlineStr">
        <is>
          <t>Qué se usó para cada cifra y qué inconsistencias hay que tener presentes</t>
        </is>
      </c>
      <c r="B2" s="2" t="n"/>
    </row>
    <row r="3">
      <c r="A3" s="2" t="n"/>
      <c r="B3" s="2" t="n"/>
    </row>
    <row r="4">
      <c r="A4" s="5" t="inlineStr">
        <is>
          <t>Tema</t>
        </is>
      </c>
      <c r="B4" s="5" t="inlineStr">
        <is>
          <t>Nota</t>
        </is>
      </c>
    </row>
    <row r="5" ht="45" customHeight="1">
      <c r="A5" s="22" t="inlineStr">
        <is>
          <t>Fuente UD</t>
        </is>
      </c>
      <c r="B5" s="6" t="inlineStr">
        <is>
          <t>Presentación institucional 23-sep-2026 (PRES_INST_23_SEPTIEMBRE_2026 VF.pdf). Todas las cifras institucionales se transcribieron de las diapositivas (en azul en cada hoja).</t>
        </is>
      </c>
    </row>
    <row r="6" ht="45" customHeight="1">
      <c r="A6" s="22" t="inlineStr">
        <is>
          <t>Fuente MCIC</t>
        </is>
      </c>
      <c r="B6" s="6" t="inlineStr">
        <is>
          <t>Carpeta Data/: Cuadros Maestros CNA (SNIES 17528 y 116070), Énfasis estudiantes - Consolidado.xlsx, Estados de Cóndor, Directorio Grupos de Inv MCIC.xlsx, bases de trabajos de grado, Convenios URELINTER y Data/Gold.</t>
        </is>
      </c>
    </row>
    <row r="7" ht="45" customHeight="1">
      <c r="A7" s="22" t="inlineStr">
        <is>
          <t>Docentes MCIC</t>
        </is>
      </c>
      <c r="B7" s="6" t="inlineStr">
        <is>
          <t>Se usa el Cuadro Maestro No. 05 (11 profesores) como núcleo. Es el dato que el CNA ya tiene; el Cuadro 06 reporta 14 para 2025-I (6 TC + 8 HC). La base de trabajos de grado registra 214 profesores históricos (director/revisor/jurado).</t>
        </is>
      </c>
    </row>
    <row r="8" ht="45" customHeight="1">
      <c r="A8" s="22" t="inlineStr">
        <is>
          <t>Docentes UD</t>
        </is>
      </c>
      <c r="B8" s="6" t="inlineStr">
        <is>
          <t>La presentación dice 1.989 docentes, pero el desglose planta (626) + vinculación especial (1.364) suma 1.990. Las diapositivas de investigación hablan de 616 de planta y 1.317 de vinculación especial.</t>
        </is>
      </c>
    </row>
    <row r="9" ht="45" customHeight="1">
      <c r="A9" s="22" t="inlineStr">
        <is>
          <t>Estudiantes MCIC</t>
        </is>
      </c>
      <c r="B9" s="6" t="inlineStr">
        <is>
          <t>156 activos 2026-1 (énfasis) = matriculados en Cóndor. El resumen PII_Interno reporta 146 activos (corte distinto).</t>
        </is>
      </c>
    </row>
    <row r="10" ht="45" customHeight="1">
      <c r="A10" s="22" t="inlineStr">
        <is>
          <t>Grupos MCIC</t>
        </is>
      </c>
      <c r="B10" s="6" t="inlineStr">
        <is>
          <t>Se usa la clasificación del Directorio Grupos de Inv MCIC.xlsx (19 grupos). El Cuadro Maestro No. 08 (16 grupos) y Data/Gold traen algunas categorías distintas (p. ej. Internet Inteligente A1 vs. B; GICOECOL A1 vs. B); conviene verificar en GrupLAC antes de la visita.</t>
        </is>
      </c>
    </row>
    <row r="11" ht="45" customHeight="1">
      <c r="A11" s="22" t="inlineStr">
        <is>
          <t>Grupos UD</t>
        </is>
      </c>
      <c r="B11" s="6" t="inlineStr">
        <is>
          <t>La diapositiva 35 dice 68 grupos no reconocidos, pero las barras por facultad suman 70 (que es lo que cuadra con 188).</t>
        </is>
      </c>
    </row>
    <row r="12" ht="45" customHeight="1">
      <c r="A12" s="22" t="inlineStr">
        <is>
          <t>Graduados MCIC</t>
        </is>
      </c>
      <c r="B12" s="6" t="inlineStr">
        <is>
          <t>El año de grado 2022-2026 es estimado (última matrícula). 2026 es parcial. El total histórico excluye la Maestría en Teleinformática (código 95), antecesora del programa.</t>
        </is>
      </c>
    </row>
    <row r="13" ht="45" customHeight="1">
      <c r="A13" s="22" t="inlineStr">
        <is>
          <t>Movilidad</t>
        </is>
      </c>
      <c r="B13" s="6" t="inlineStr">
        <is>
          <t>UD 2021-2026 vs. MCIC 2019-2025 (Cuadros 07 y 09). Los periodos no coinciden. Se excluyeron 2 registros de docentes que estaban en la hoja de movilidad estudiantil.</t>
        </is>
      </c>
    </row>
    <row r="14" ht="45" customHeight="1">
      <c r="A14" s="22" t="inlineStr">
        <is>
          <t>Bienestar</t>
        </is>
      </c>
      <c r="B14" s="6" t="inlineStr">
        <is>
          <t>El Cuadro Maestro de bienestar llega hasta 2024-3; la U reporta 2025-1 a 2026-1. Comparar tendencias, no valores absolutos.</t>
        </is>
      </c>
    </row>
    <row r="15" ht="45" customHeight="1">
      <c r="A15" s="22" t="inlineStr">
        <is>
          <t>Presupuesto</t>
        </is>
      </c>
      <c r="B15" s="6" t="inlineStr">
        <is>
          <t>No se encontró presupuesto propio de la MCIC en Data/. La presentación solo trae el presupuesto institucional (2026: $668.317 millones; inversión ejecutada 25,6 % a agosto).</t>
        </is>
      </c>
    </row>
    <row r="16" ht="45" customHeight="1">
      <c r="A16" s="22" t="inlineStr">
        <is>
          <t>Plan de mejoramiento</t>
        </is>
      </c>
      <c r="B16" s="6" t="inlineStr">
        <is>
          <t>UD: 64 % de avance del PMI 2022-2025. MCIC: plan 2026-2027 con 12 factores (10 oportunidades de mejora y 2 fortalezas).</t>
        </is>
      </c>
    </row>
    <row r="17" ht="45" customHeight="1">
      <c r="A17" s="22" t="inlineStr">
        <is>
          <t>Acreditación</t>
        </is>
      </c>
      <c r="B17" s="6" t="inlineStr">
        <is>
          <t>UD: acreditación institucional renovada en 2021 por 8 años. MCIC: acreditación de alta calidad Res. 024858 del 30-dic-2022, por 4 años (vence dic-2026); registros calificados Res. 16163/2023 (Investigación) y 9925/2023 (Profundización).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2026-09-23T16:34:43Z</dcterms:created>
  <dcterms:modified xmlns:dcterms="http://purl.org/dc/terms/" xmlns:xsi="http://www.w3.org/2001/XMLSchema-instance" xsi:type="dcterms:W3CDTF">2026-09-23T16:34:44Z</dcterms:modified>
</cp:coreProperties>
</file>