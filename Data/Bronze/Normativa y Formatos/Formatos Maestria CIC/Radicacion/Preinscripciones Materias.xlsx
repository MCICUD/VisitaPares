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tiana\Desktop\MCIC\MAESTRIA 2020\Formatos\"/>
    </mc:Choice>
  </mc:AlternateContent>
  <bookViews>
    <workbookView xWindow="0" yWindow="0" windowWidth="20460" windowHeight="7680" tabRatio="950"/>
  </bookViews>
  <sheets>
    <sheet name="Preinscripción" sheetId="1" r:id="rId1"/>
  </sheets>
  <calcPr calcId="152511"/>
</workbook>
</file>

<file path=xl/calcChain.xml><?xml version="1.0" encoding="utf-8"?>
<calcChain xmlns="http://schemas.openxmlformats.org/spreadsheetml/2006/main">
  <c r="BO24" i="1" l="1"/>
  <c r="AJ31" i="1"/>
  <c r="AJ35" i="1" s="1"/>
  <c r="AJ32" i="1"/>
  <c r="AJ33" i="1"/>
  <c r="AJ34" i="1"/>
  <c r="AJ30" i="1"/>
  <c r="X31" i="1"/>
  <c r="X32" i="1"/>
  <c r="X33" i="1"/>
  <c r="X34" i="1"/>
  <c r="X30" i="1"/>
  <c r="V23" i="1"/>
  <c r="V24" i="1"/>
  <c r="V25" i="1"/>
  <c r="V26" i="1"/>
  <c r="V22" i="1"/>
  <c r="Z45" i="1" l="1"/>
  <c r="Z46" i="1" s="1"/>
  <c r="AL46" i="1" s="1"/>
  <c r="BO20" i="1"/>
  <c r="BO17" i="1"/>
  <c r="BO21" i="1"/>
  <c r="BO19" i="1"/>
  <c r="BO18" i="1"/>
  <c r="BO14" i="1"/>
  <c r="BO13" i="1"/>
  <c r="BO12" i="1"/>
  <c r="BO11" i="1"/>
  <c r="BO10" i="1"/>
  <c r="J46" i="1"/>
  <c r="J45" i="1"/>
  <c r="AL44" i="1"/>
  <c r="A39" i="1"/>
  <c r="AK38" i="1"/>
  <c r="BE34" i="1"/>
  <c r="BO32" i="1" s="1"/>
  <c r="BE39" i="1" s="1"/>
  <c r="BO28" i="1"/>
  <c r="M37" i="1"/>
  <c r="T28" i="1"/>
  <c r="F9" i="1"/>
  <c r="BE41" i="1" l="1"/>
  <c r="J44" i="1"/>
  <c r="BF41" i="1"/>
  <c r="BF40" i="1"/>
  <c r="BE40" i="1"/>
  <c r="AB38" i="1"/>
  <c r="BG41" i="1"/>
  <c r="AL45" i="1"/>
</calcChain>
</file>

<file path=xl/comments1.xml><?xml version="1.0" encoding="utf-8"?>
<comments xmlns="http://schemas.openxmlformats.org/spreadsheetml/2006/main">
  <authors>
    <author/>
  </authors>
  <commentList>
    <comment ref="T20" authorId="0" shapeId="0">
      <text>
        <r>
          <rPr>
            <b/>
            <sz val="8"/>
            <color rgb="FF000000"/>
            <rFont val="Tahoma"/>
            <family val="2"/>
            <charset val="1"/>
          </rPr>
          <t>Maestría:</t>
        </r>
        <r>
          <rPr>
            <sz val="8"/>
            <color rgb="FF000000"/>
            <rFont val="Tahoma"/>
            <family val="2"/>
            <charset val="1"/>
          </rPr>
          <t>Debe elegir el Pensum el cual esta cursando.</t>
        </r>
      </text>
    </comment>
    <comment ref="T28" authorId="0" shapeId="0">
      <text>
        <r>
          <rPr>
            <b/>
            <sz val="8"/>
            <color rgb="FF000000"/>
            <rFont val="Tahoma"/>
            <family val="2"/>
            <charset val="1"/>
          </rPr>
          <t>Maestría:</t>
        </r>
        <r>
          <rPr>
            <sz val="8"/>
            <color rgb="FF000000"/>
            <rFont val="Tahoma"/>
            <family val="2"/>
            <charset val="1"/>
          </rPr>
          <t>Debe elegir el Pensum el cual esta cursando.</t>
        </r>
      </text>
    </comment>
  </commentList>
</comments>
</file>

<file path=xl/sharedStrings.xml><?xml version="1.0" encoding="utf-8"?>
<sst xmlns="http://schemas.openxmlformats.org/spreadsheetml/2006/main" count="144" uniqueCount="120">
  <si>
    <t>Universidad Distrital Francisco José de Caldas</t>
  </si>
  <si>
    <t>Facultad de Ingeniería</t>
  </si>
  <si>
    <t>Maestría en Ciencias de la Información y las Comunicaciones</t>
  </si>
  <si>
    <t>FORMATO PREINSCRIPCIÓN DE MATERIAS</t>
  </si>
  <si>
    <t>Teleinformática</t>
  </si>
  <si>
    <t>Investigación</t>
  </si>
  <si>
    <t>Periodo Académico</t>
  </si>
  <si>
    <t>I</t>
  </si>
  <si>
    <t>II</t>
  </si>
  <si>
    <t>III</t>
  </si>
  <si>
    <t>Sistemas de Información</t>
  </si>
  <si>
    <t>Profundización</t>
  </si>
  <si>
    <t>Geomática</t>
  </si>
  <si>
    <t>No.</t>
  </si>
  <si>
    <t>ASIGNATURA</t>
  </si>
  <si>
    <t>CODIGO</t>
  </si>
  <si>
    <t>CREDITOS</t>
  </si>
  <si>
    <t>Fecha</t>
  </si>
  <si>
    <t>Enfasis</t>
  </si>
  <si>
    <t>Ingeniería de Software</t>
  </si>
  <si>
    <t>Seminario de investigación</t>
  </si>
  <si>
    <t>Codigo</t>
  </si>
  <si>
    <t>Herramientas matemáticas para el manejo de la información</t>
  </si>
  <si>
    <t>BUSQUEDA MATERIAS VISTAS</t>
  </si>
  <si>
    <t>Grupo</t>
  </si>
  <si>
    <t>Modalidad</t>
  </si>
  <si>
    <t>Informática</t>
  </si>
  <si>
    <t>Datos Personales</t>
  </si>
  <si>
    <t>C.C.</t>
  </si>
  <si>
    <t>Tesis I</t>
  </si>
  <si>
    <t>Primer Apellido</t>
  </si>
  <si>
    <t>Segundo Apellido</t>
  </si>
  <si>
    <t>Nombre(s)</t>
  </si>
  <si>
    <t>Numero de Identificación</t>
  </si>
  <si>
    <t>C.E.</t>
  </si>
  <si>
    <t>Tesis II (Plan Nuevo)</t>
  </si>
  <si>
    <t>T.I.</t>
  </si>
  <si>
    <t>Tesis II (Plan Antiguo)</t>
  </si>
  <si>
    <t>Direccion a donde se le pueda enviar información</t>
  </si>
  <si>
    <t>Telefono Residencia</t>
  </si>
  <si>
    <t>Tipo de Documento</t>
  </si>
  <si>
    <t>Defensa de tesis II (Plan Antiguo)</t>
  </si>
  <si>
    <t>Redes</t>
  </si>
  <si>
    <t>Correo Electronico</t>
  </si>
  <si>
    <t>Celular</t>
  </si>
  <si>
    <t>Telefono Oficina</t>
  </si>
  <si>
    <t>A que EPS esta Afiliado</t>
  </si>
  <si>
    <t>Pensum Antiguo</t>
  </si>
  <si>
    <t>Procesos estocásticos</t>
  </si>
  <si>
    <t>BUSQUEDA MATERIAS A CURSAR</t>
  </si>
  <si>
    <t>Pensum Nuevo</t>
  </si>
  <si>
    <t>Comunicaciones</t>
  </si>
  <si>
    <t>Redes móviles celulares</t>
  </si>
  <si>
    <t>Notas del Semestre Anterior</t>
  </si>
  <si>
    <t>Aplicaciones sobre internet/ la Nube</t>
  </si>
  <si>
    <t>Asignatura</t>
  </si>
  <si>
    <t>Nota</t>
  </si>
  <si>
    <t>Observaciones</t>
  </si>
  <si>
    <t>Modelamiento y simulación de redes</t>
  </si>
  <si>
    <t>Sin Descuentos</t>
  </si>
  <si>
    <t>-</t>
  </si>
  <si>
    <t>Bases de datos espaciales</t>
  </si>
  <si>
    <t>Big data</t>
  </si>
  <si>
    <t>Egresado UD</t>
  </si>
  <si>
    <t>Fotocopia de Acta de Grado</t>
  </si>
  <si>
    <t>Análisis espacial</t>
  </si>
  <si>
    <t>Monitoria UD</t>
  </si>
  <si>
    <t>Certificación de Monitoria</t>
  </si>
  <si>
    <t>Métodos avanzados en análisis de imágenes</t>
  </si>
  <si>
    <t>COSTO</t>
  </si>
  <si>
    <t>Mejor ECAES</t>
  </si>
  <si>
    <t>Certificación Mejor ECAES</t>
  </si>
  <si>
    <t>Servicios geográficos web</t>
  </si>
  <si>
    <t>Becado</t>
  </si>
  <si>
    <t>Certificación Beca</t>
  </si>
  <si>
    <t>Sistemas de posicionamiento geodésico</t>
  </si>
  <si>
    <t>SALARIO MLV</t>
  </si>
  <si>
    <t>Profesor UD</t>
  </si>
  <si>
    <t>Certificación Oficina de Docencia</t>
  </si>
  <si>
    <t>Ingeniería de software I</t>
  </si>
  <si>
    <t>Asignaturas a cursar</t>
  </si>
  <si>
    <t>Beneficiario</t>
  </si>
  <si>
    <t>Certificación Recursos Humanos</t>
  </si>
  <si>
    <t>Ingeniería de software II</t>
  </si>
  <si>
    <t>BUSQUEDA DESCUENTO</t>
  </si>
  <si>
    <t>Creditos</t>
  </si>
  <si>
    <t>Tendencias en ingeniería de software</t>
  </si>
  <si>
    <t>SI</t>
  </si>
  <si>
    <t>Patrones y arquitectura de software</t>
  </si>
  <si>
    <t>NO</t>
  </si>
  <si>
    <t>VALOR FINAL</t>
  </si>
  <si>
    <t>Mineria de datos</t>
  </si>
  <si>
    <t>Descuento VOTO</t>
  </si>
  <si>
    <t>TOTAL DE CREDITOS</t>
  </si>
  <si>
    <t>Matemáticas avanzadas y geoprocesamiento</t>
  </si>
  <si>
    <t>Descuentos y Financiacion</t>
  </si>
  <si>
    <t>FINANCIAMIENTO</t>
  </si>
  <si>
    <t>Valor de la Matricula</t>
  </si>
  <si>
    <t>Anexos</t>
  </si>
  <si>
    <t>INTERES</t>
  </si>
  <si>
    <t>Certificado Electoral</t>
  </si>
  <si>
    <t>Contado</t>
  </si>
  <si>
    <t>CUOTAS</t>
  </si>
  <si>
    <t>Este valor es aproximado.</t>
  </si>
  <si>
    <t>Reintegro</t>
  </si>
  <si>
    <t>Crédito ICETEX</t>
  </si>
  <si>
    <t>RECIBOS</t>
  </si>
  <si>
    <t>Valor Ordinario</t>
  </si>
  <si>
    <t>Fecha Ordinaria</t>
  </si>
  <si>
    <t>Fecha Extra Ordinaria</t>
  </si>
  <si>
    <t>Primera Cuota</t>
  </si>
  <si>
    <t>Segunda Cuota</t>
  </si>
  <si>
    <t>Tercera Couta</t>
  </si>
  <si>
    <t>Estudiante</t>
  </si>
  <si>
    <t>Inteligencia computacional</t>
  </si>
  <si>
    <t>x</t>
  </si>
  <si>
    <t>Bases de Datos</t>
  </si>
  <si>
    <t>Fechas tentativas</t>
  </si>
  <si>
    <t>Blockchain</t>
  </si>
  <si>
    <t>Redes opticas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</si>
</sst>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 &quot;* #,##0.00_);_(&quot;$ &quot;* \(#,##0.00\);_(&quot;$ &quot;* \-??_);_(@_)"/>
    <numFmt numFmtId="165" formatCode="_ &quot;$ &quot;* #,##0.00_ ;_ &quot;$ &quot;* \-#,##0.00_ ;_ &quot;$ &quot;* \-??_ ;_ @_ "/>
    <numFmt numFmtId="166" formatCode="&quot;$ &quot;#,##0"/>
    <numFmt numFmtId="167" formatCode="d&quot; de &quot;mmmm&quot; de &quot;yyyy;@"/>
  </numFmts>
  <fonts count="29" x14ac:knownFonts="1">
    <font>
      <sz val="11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b/>
      <sz val="16"/>
      <name val="Tahoma"/>
      <family val="2"/>
      <charset val="1"/>
    </font>
    <font>
      <b/>
      <sz val="14"/>
      <name val="Tahoma"/>
      <family val="2"/>
      <charset val="1"/>
    </font>
    <font>
      <b/>
      <sz val="11"/>
      <color rgb="FF000000"/>
      <name val="Calibri"/>
      <family val="2"/>
      <charset val="1"/>
    </font>
    <font>
      <b/>
      <sz val="12"/>
      <name val="Tahoma"/>
      <family val="2"/>
      <charset val="1"/>
    </font>
    <font>
      <b/>
      <sz val="10"/>
      <name val="Arial"/>
      <family val="2"/>
      <charset val="1"/>
    </font>
    <font>
      <sz val="8"/>
      <name val="Arial"/>
      <family val="2"/>
      <charset val="1"/>
    </font>
    <font>
      <b/>
      <i/>
      <sz val="10"/>
      <name val="Tahoma"/>
      <family val="2"/>
      <charset val="1"/>
    </font>
    <font>
      <i/>
      <sz val="8"/>
      <name val="Arial"/>
      <family val="2"/>
      <charset val="1"/>
    </font>
    <font>
      <sz val="10"/>
      <name val="Arial"/>
      <family val="2"/>
      <charset val="1"/>
    </font>
    <font>
      <b/>
      <sz val="11"/>
      <name val="Arial"/>
      <family val="2"/>
      <charset val="1"/>
    </font>
    <font>
      <sz val="10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sz val="10"/>
      <name val="Tahoma"/>
      <family val="2"/>
      <charset val="1"/>
    </font>
    <font>
      <i/>
      <sz val="9"/>
      <name val="Tahoma"/>
      <family val="2"/>
      <charset val="1"/>
    </font>
    <font>
      <sz val="9"/>
      <name val="Tahoma"/>
      <family val="2"/>
      <charset val="1"/>
    </font>
    <font>
      <sz val="9"/>
      <name val="Arial"/>
      <family val="2"/>
      <charset val="1"/>
    </font>
    <font>
      <u/>
      <sz val="10"/>
      <color rgb="FF0000FF"/>
      <name val="Arial"/>
      <family val="2"/>
      <charset val="1"/>
    </font>
    <font>
      <u/>
      <sz val="10"/>
      <color rgb="FF0000FF"/>
      <name val="Tahoma"/>
      <family val="2"/>
      <charset val="1"/>
    </font>
    <font>
      <sz val="8"/>
      <color rgb="FF000000"/>
      <name val="Arial"/>
      <family val="2"/>
      <charset val="1"/>
    </font>
    <font>
      <b/>
      <sz val="10"/>
      <name val="Tahoma"/>
      <family val="2"/>
      <charset val="1"/>
    </font>
    <font>
      <sz val="8"/>
      <name val="Tahoma"/>
      <family val="2"/>
      <charset val="1"/>
    </font>
    <font>
      <sz val="9"/>
      <color rgb="FF000000"/>
      <name val="Calibri"/>
      <family val="2"/>
      <charset val="1"/>
    </font>
    <font>
      <b/>
      <sz val="9"/>
      <name val="Tahoma"/>
      <family val="2"/>
      <charset val="1"/>
    </font>
    <font>
      <b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sz val="11"/>
      <color rgb="FF000000"/>
      <name val="Calibri"/>
      <family val="2"/>
      <charset val="1"/>
    </font>
    <font>
      <sz val="10"/>
      <color rgb="FFFF0000"/>
      <name val="Tahoma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AC090"/>
        <bgColor rgb="FFC4BD97"/>
      </patternFill>
    </fill>
    <fill>
      <patternFill patternType="solid">
        <fgColor rgb="FFCCFFFF"/>
        <bgColor rgb="FFCCFFFF"/>
      </patternFill>
    </fill>
    <fill>
      <patternFill patternType="solid">
        <fgColor rgb="FFC4BD97"/>
        <bgColor rgb="FFB3A2C7"/>
      </patternFill>
    </fill>
    <fill>
      <patternFill patternType="solid">
        <fgColor rgb="FFB3A2C7"/>
        <bgColor rgb="FF9999FF"/>
      </patternFill>
    </fill>
    <fill>
      <patternFill patternType="solid">
        <fgColor rgb="FF0070C0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E46C0A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FFFFCC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double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164" fontId="27" fillId="0" borderId="0" applyBorder="0" applyProtection="0"/>
    <xf numFmtId="9" fontId="27" fillId="0" borderId="0" applyBorder="0" applyProtection="0"/>
    <xf numFmtId="0" fontId="18" fillId="0" borderId="0" applyBorder="0" applyProtection="0"/>
  </cellStyleXfs>
  <cellXfs count="158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 applyProtection="1"/>
    <xf numFmtId="0" fontId="2" fillId="0" borderId="0" xfId="0" applyFont="1" applyAlignment="1" applyProtection="1"/>
    <xf numFmtId="0" fontId="3" fillId="0" borderId="0" xfId="0" applyFont="1" applyAlignment="1" applyProtection="1"/>
    <xf numFmtId="0" fontId="4" fillId="0" borderId="0" xfId="0" applyFont="1" applyBorder="1" applyAlignment="1" applyProtection="1"/>
    <xf numFmtId="0" fontId="5" fillId="0" borderId="0" xfId="0" applyFont="1" applyAlignment="1" applyProtection="1"/>
    <xf numFmtId="0" fontId="6" fillId="0" borderId="0" xfId="0" applyFont="1" applyAlignment="1" applyProtection="1"/>
    <xf numFmtId="0" fontId="7" fillId="0" borderId="1" xfId="0" applyFont="1" applyBorder="1" applyProtection="1"/>
    <xf numFmtId="0" fontId="7" fillId="0" borderId="0" xfId="0" applyFont="1" applyBorder="1" applyAlignment="1" applyProtection="1">
      <alignment horizontal="center"/>
    </xf>
    <xf numFmtId="0" fontId="7" fillId="0" borderId="1" xfId="0" applyFont="1" applyBorder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0" fontId="6" fillId="0" borderId="4" xfId="0" applyFont="1" applyBorder="1" applyAlignment="1" applyProtection="1">
      <alignment horizontal="center"/>
    </xf>
    <xf numFmtId="0" fontId="7" fillId="0" borderId="6" xfId="0" applyFont="1" applyBorder="1" applyProtection="1"/>
    <xf numFmtId="0" fontId="7" fillId="0" borderId="7" xfId="0" applyFont="1" applyBorder="1" applyAlignment="1" applyProtection="1">
      <alignment horizontal="center"/>
    </xf>
    <xf numFmtId="0" fontId="9" fillId="0" borderId="0" xfId="0" applyFont="1" applyBorder="1" applyAlignment="1" applyProtection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7" fillId="0" borderId="7" xfId="0" applyFont="1" applyBorder="1" applyProtection="1"/>
    <xf numFmtId="0" fontId="7" fillId="0" borderId="1" xfId="0" applyFont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2" borderId="8" xfId="0" applyFont="1" applyFill="1" applyBorder="1" applyAlignment="1" applyProtection="1">
      <alignment horizontal="center" vertical="center"/>
    </xf>
    <xf numFmtId="0" fontId="1" fillId="0" borderId="8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4" fillId="0" borderId="1" xfId="0" applyFont="1" applyBorder="1" applyProtection="1"/>
    <xf numFmtId="0" fontId="14" fillId="0" borderId="0" xfId="0" applyFont="1" applyBorder="1" applyAlignment="1" applyProtection="1">
      <alignment horizontal="center"/>
    </xf>
    <xf numFmtId="0" fontId="7" fillId="4" borderId="8" xfId="0" applyFont="1" applyFill="1" applyBorder="1" applyAlignment="1" applyProtection="1">
      <alignment horizontal="center" vertical="center"/>
    </xf>
    <xf numFmtId="0" fontId="14" fillId="0" borderId="6" xfId="0" applyFont="1" applyBorder="1" applyProtection="1"/>
    <xf numFmtId="0" fontId="14" fillId="0" borderId="7" xfId="0" applyFont="1" applyBorder="1" applyProtection="1"/>
    <xf numFmtId="0" fontId="7" fillId="5" borderId="8" xfId="0" applyFont="1" applyFill="1" applyBorder="1" applyAlignment="1" applyProtection="1">
      <alignment horizontal="center" vertical="center"/>
    </xf>
    <xf numFmtId="0" fontId="17" fillId="0" borderId="8" xfId="0" applyFont="1" applyBorder="1" applyAlignment="1" applyProtection="1">
      <alignment vertical="center"/>
    </xf>
    <xf numFmtId="0" fontId="14" fillId="0" borderId="8" xfId="0" applyFont="1" applyBorder="1" applyAlignment="1" applyProtection="1">
      <alignment horizontal="center" vertical="center"/>
    </xf>
    <xf numFmtId="0" fontId="1" fillId="0" borderId="8" xfId="0" applyFont="1" applyBorder="1" applyAlignment="1">
      <alignment horizontal="center"/>
    </xf>
    <xf numFmtId="0" fontId="7" fillId="6" borderId="8" xfId="0" applyFont="1" applyFill="1" applyBorder="1" applyAlignment="1" applyProtection="1">
      <alignment horizontal="center" vertical="center"/>
    </xf>
    <xf numFmtId="0" fontId="20" fillId="6" borderId="8" xfId="0" applyFont="1" applyFill="1" applyBorder="1" applyAlignment="1" applyProtection="1">
      <alignment horizontal="center" vertical="center"/>
    </xf>
    <xf numFmtId="0" fontId="14" fillId="0" borderId="8" xfId="2" applyNumberFormat="1" applyFont="1" applyBorder="1" applyAlignment="1" applyProtection="1">
      <alignment horizontal="center"/>
    </xf>
    <xf numFmtId="0" fontId="20" fillId="7" borderId="8" xfId="0" applyFont="1" applyFill="1" applyBorder="1" applyAlignment="1" applyProtection="1">
      <alignment horizontal="center" vertical="center"/>
    </xf>
    <xf numFmtId="0" fontId="22" fillId="0" borderId="8" xfId="0" applyFont="1" applyBorder="1" applyProtection="1"/>
    <xf numFmtId="0" fontId="0" fillId="0" borderId="8" xfId="0" applyFont="1" applyBorder="1"/>
    <xf numFmtId="4" fontId="0" fillId="0" borderId="8" xfId="0" applyNumberFormat="1" applyBorder="1"/>
    <xf numFmtId="0" fontId="23" fillId="0" borderId="8" xfId="0" applyFont="1" applyBorder="1"/>
    <xf numFmtId="3" fontId="14" fillId="0" borderId="8" xfId="0" applyNumberFormat="1" applyFont="1" applyBorder="1" applyAlignment="1" applyProtection="1">
      <alignment horizontal="center"/>
    </xf>
    <xf numFmtId="0" fontId="7" fillId="8" borderId="8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/>
    </xf>
    <xf numFmtId="0" fontId="14" fillId="0" borderId="1" xfId="0" applyFont="1" applyBorder="1" applyAlignment="1" applyProtection="1">
      <alignment horizontal="center"/>
    </xf>
    <xf numFmtId="0" fontId="0" fillId="0" borderId="6" xfId="0" applyBorder="1" applyAlignment="1">
      <alignment horizontal="center"/>
    </xf>
    <xf numFmtId="0" fontId="14" fillId="0" borderId="7" xfId="0" applyFont="1" applyBorder="1" applyAlignment="1" applyProtection="1">
      <alignment horizontal="center"/>
    </xf>
    <xf numFmtId="0" fontId="0" fillId="0" borderId="7" xfId="0" applyBorder="1" applyAlignment="1">
      <alignment horizontal="center"/>
    </xf>
    <xf numFmtId="0" fontId="20" fillId="9" borderId="8" xfId="0" applyFon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14" fillId="0" borderId="0" xfId="0" applyFont="1" applyAlignment="1" applyProtection="1"/>
    <xf numFmtId="0" fontId="14" fillId="0" borderId="0" xfId="0" applyFont="1" applyProtection="1"/>
    <xf numFmtId="0" fontId="0" fillId="0" borderId="0" xfId="0" applyBorder="1" applyAlignment="1">
      <alignment horizontal="center" vertical="center"/>
    </xf>
    <xf numFmtId="0" fontId="0" fillId="10" borderId="0" xfId="0" applyFill="1"/>
    <xf numFmtId="0" fontId="2" fillId="0" borderId="0" xfId="0" applyFont="1" applyBorder="1" applyAlignment="1" applyProtection="1"/>
    <xf numFmtId="0" fontId="3" fillId="0" borderId="0" xfId="0" applyFont="1" applyBorder="1" applyAlignment="1" applyProtection="1"/>
    <xf numFmtId="0" fontId="5" fillId="0" borderId="0" xfId="0" applyFont="1" applyBorder="1" applyAlignment="1" applyProtection="1"/>
    <xf numFmtId="0" fontId="14" fillId="0" borderId="10" xfId="0" applyFont="1" applyBorder="1" applyAlignment="1" applyProtection="1">
      <alignment horizontal="center"/>
    </xf>
    <xf numFmtId="0" fontId="14" fillId="0" borderId="56" xfId="0" applyFont="1" applyBorder="1" applyAlignment="1" applyProtection="1">
      <alignment horizontal="center"/>
    </xf>
    <xf numFmtId="0" fontId="16" fillId="0" borderId="51" xfId="0" applyFont="1" applyBorder="1" applyAlignment="1" applyProtection="1">
      <alignment horizontal="center"/>
    </xf>
    <xf numFmtId="166" fontId="16" fillId="0" borderId="1" xfId="0" applyNumberFormat="1" applyFont="1" applyBorder="1" applyAlignment="1" applyProtection="1">
      <alignment horizontal="center"/>
    </xf>
    <xf numFmtId="167" fontId="22" fillId="0" borderId="1" xfId="0" applyNumberFormat="1" applyFont="1" applyBorder="1" applyAlignment="1" applyProtection="1">
      <alignment horizontal="center"/>
    </xf>
    <xf numFmtId="167" fontId="22" fillId="0" borderId="52" xfId="0" applyNumberFormat="1" applyFont="1" applyBorder="1" applyAlignment="1" applyProtection="1">
      <alignment horizontal="center"/>
    </xf>
    <xf numFmtId="0" fontId="28" fillId="0" borderId="53" xfId="0" applyFont="1" applyBorder="1" applyAlignment="1" applyProtection="1">
      <alignment horizontal="center"/>
    </xf>
    <xf numFmtId="0" fontId="14" fillId="0" borderId="0" xfId="0" applyFont="1" applyBorder="1" applyAlignment="1" applyProtection="1">
      <alignment horizontal="center"/>
    </xf>
    <xf numFmtId="0" fontId="14" fillId="0" borderId="54" xfId="0" applyFont="1" applyBorder="1" applyAlignment="1" applyProtection="1">
      <alignment horizontal="center"/>
    </xf>
    <xf numFmtId="0" fontId="14" fillId="0" borderId="55" xfId="0" applyFont="1" applyBorder="1" applyAlignment="1" applyProtection="1">
      <alignment horizontal="center"/>
    </xf>
    <xf numFmtId="0" fontId="24" fillId="0" borderId="31" xfId="0" applyFont="1" applyBorder="1" applyAlignment="1" applyProtection="1">
      <alignment horizontal="center"/>
    </xf>
    <xf numFmtId="0" fontId="24" fillId="0" borderId="32" xfId="0" applyFont="1" applyBorder="1" applyAlignment="1" applyProtection="1">
      <alignment horizontal="center"/>
    </xf>
    <xf numFmtId="0" fontId="24" fillId="0" borderId="33" xfId="0" applyFont="1" applyBorder="1" applyAlignment="1" applyProtection="1">
      <alignment horizontal="center"/>
    </xf>
    <xf numFmtId="0" fontId="16" fillId="0" borderId="34" xfId="0" applyFont="1" applyBorder="1" applyAlignment="1" applyProtection="1">
      <alignment horizontal="center"/>
    </xf>
    <xf numFmtId="166" fontId="16" fillId="0" borderId="8" xfId="0" applyNumberFormat="1" applyFont="1" applyBorder="1" applyAlignment="1" applyProtection="1">
      <alignment horizontal="center"/>
    </xf>
    <xf numFmtId="167" fontId="22" fillId="0" borderId="8" xfId="0" applyNumberFormat="1" applyFont="1" applyBorder="1" applyAlignment="1" applyProtection="1">
      <alignment horizontal="center"/>
    </xf>
    <xf numFmtId="167" fontId="22" fillId="0" borderId="35" xfId="0" applyNumberFormat="1" applyFont="1" applyBorder="1" applyAlignment="1" applyProtection="1">
      <alignment horizontal="center"/>
    </xf>
    <xf numFmtId="0" fontId="14" fillId="0" borderId="40" xfId="0" applyFont="1" applyBorder="1" applyAlignment="1" applyProtection="1">
      <alignment horizontal="center"/>
    </xf>
    <xf numFmtId="0" fontId="14" fillId="3" borderId="41" xfId="0" applyFont="1" applyFill="1" applyBorder="1" applyAlignment="1" applyProtection="1">
      <alignment horizontal="center"/>
    </xf>
    <xf numFmtId="166" fontId="14" fillId="0" borderId="5" xfId="0" applyNumberFormat="1" applyFont="1" applyBorder="1" applyAlignment="1" applyProtection="1">
      <alignment horizontal="center"/>
    </xf>
    <xf numFmtId="0" fontId="14" fillId="0" borderId="47" xfId="0" applyFont="1" applyBorder="1" applyAlignment="1" applyProtection="1">
      <alignment horizontal="center"/>
    </xf>
    <xf numFmtId="0" fontId="14" fillId="0" borderId="48" xfId="0" applyFont="1" applyBorder="1" applyAlignment="1" applyProtection="1">
      <alignment horizontal="center"/>
    </xf>
    <xf numFmtId="0" fontId="14" fillId="3" borderId="49" xfId="0" applyFont="1" applyFill="1" applyBorder="1" applyAlignment="1" applyProtection="1">
      <alignment horizontal="center"/>
      <protection locked="0"/>
    </xf>
    <xf numFmtId="0" fontId="14" fillId="0" borderId="5" xfId="0" applyFont="1" applyBorder="1" applyAlignment="1" applyProtection="1">
      <alignment horizontal="center"/>
    </xf>
    <xf numFmtId="0" fontId="14" fillId="0" borderId="50" xfId="0" applyFont="1" applyBorder="1" applyAlignment="1" applyProtection="1">
      <alignment horizontal="center"/>
    </xf>
    <xf numFmtId="0" fontId="14" fillId="3" borderId="41" xfId="0" applyFont="1" applyFill="1" applyBorder="1" applyAlignment="1" applyProtection="1">
      <alignment horizontal="center"/>
      <protection locked="0"/>
    </xf>
    <xf numFmtId="0" fontId="14" fillId="0" borderId="42" xfId="0" applyFont="1" applyBorder="1" applyAlignment="1" applyProtection="1">
      <alignment horizontal="center"/>
    </xf>
    <xf numFmtId="166" fontId="14" fillId="0" borderId="43" xfId="0" applyNumberFormat="1" applyFont="1" applyBorder="1" applyAlignment="1" applyProtection="1">
      <alignment horizontal="center"/>
    </xf>
    <xf numFmtId="0" fontId="22" fillId="0" borderId="44" xfId="0" applyFont="1" applyBorder="1" applyAlignment="1" applyProtection="1">
      <alignment horizontal="center"/>
      <protection locked="0"/>
    </xf>
    <xf numFmtId="0" fontId="28" fillId="0" borderId="45" xfId="0" applyFont="1" applyBorder="1" applyAlignment="1" applyProtection="1">
      <alignment horizontal="center"/>
    </xf>
    <xf numFmtId="0" fontId="14" fillId="0" borderId="46" xfId="0" applyFont="1" applyBorder="1" applyAlignment="1" applyProtection="1">
      <alignment horizontal="center"/>
      <protection locked="0"/>
    </xf>
    <xf numFmtId="0" fontId="14" fillId="0" borderId="30" xfId="0" applyFont="1" applyBorder="1" applyAlignment="1" applyProtection="1">
      <alignment horizontal="center"/>
    </xf>
    <xf numFmtId="0" fontId="21" fillId="0" borderId="4" xfId="0" applyFont="1" applyBorder="1" applyAlignment="1" applyProtection="1">
      <alignment horizontal="right"/>
    </xf>
    <xf numFmtId="0" fontId="14" fillId="0" borderId="4" xfId="0" applyFont="1" applyBorder="1" applyAlignment="1" applyProtection="1">
      <alignment horizontal="center"/>
    </xf>
    <xf numFmtId="0" fontId="8" fillId="0" borderId="11" xfId="0" applyFont="1" applyBorder="1" applyAlignment="1" applyProtection="1">
      <alignment horizontal="center"/>
    </xf>
    <xf numFmtId="0" fontId="8" fillId="0" borderId="12" xfId="0" applyFont="1" applyBorder="1" applyAlignment="1" applyProtection="1">
      <alignment horizontal="center"/>
    </xf>
    <xf numFmtId="0" fontId="16" fillId="3" borderId="38" xfId="0" applyFont="1" applyFill="1" applyBorder="1" applyAlignment="1" applyProtection="1">
      <alignment horizontal="center"/>
      <protection locked="0"/>
    </xf>
    <xf numFmtId="9" fontId="16" fillId="0" borderId="39" xfId="0" applyNumberFormat="1" applyFont="1" applyBorder="1" applyAlignment="1" applyProtection="1">
      <alignment horizontal="center"/>
    </xf>
    <xf numFmtId="0" fontId="8" fillId="0" borderId="9" xfId="0" applyFont="1" applyBorder="1" applyAlignment="1" applyProtection="1">
      <alignment horizontal="center"/>
    </xf>
    <xf numFmtId="0" fontId="14" fillId="0" borderId="12" xfId="0" applyFont="1" applyBorder="1" applyAlignment="1" applyProtection="1">
      <alignment horizontal="center"/>
    </xf>
    <xf numFmtId="0" fontId="22" fillId="3" borderId="34" xfId="0" applyFont="1" applyFill="1" applyBorder="1" applyAlignment="1" applyProtection="1">
      <alignment horizontal="center"/>
      <protection locked="0"/>
    </xf>
    <xf numFmtId="0" fontId="16" fillId="0" borderId="8" xfId="0" applyFont="1" applyBorder="1" applyAlignment="1" applyProtection="1">
      <alignment horizontal="center"/>
    </xf>
    <xf numFmtId="0" fontId="14" fillId="0" borderId="8" xfId="0" applyFont="1" applyBorder="1" applyAlignment="1" applyProtection="1">
      <alignment horizontal="center"/>
      <protection locked="0"/>
    </xf>
    <xf numFmtId="0" fontId="14" fillId="0" borderId="8" xfId="0" applyFont="1" applyBorder="1" applyAlignment="1" applyProtection="1">
      <alignment horizontal="center"/>
    </xf>
    <xf numFmtId="0" fontId="14" fillId="0" borderId="35" xfId="0" applyFont="1" applyBorder="1" applyAlignment="1" applyProtection="1">
      <alignment horizontal="center"/>
      <protection locked="0"/>
    </xf>
    <xf numFmtId="0" fontId="14" fillId="0" borderId="1" xfId="0" applyFont="1" applyBorder="1" applyAlignment="1" applyProtection="1">
      <alignment horizontal="center"/>
      <protection locked="0"/>
    </xf>
    <xf numFmtId="0" fontId="14" fillId="0" borderId="37" xfId="0" applyFont="1" applyBorder="1" applyAlignment="1" applyProtection="1">
      <alignment horizontal="center"/>
      <protection locked="0"/>
    </xf>
    <xf numFmtId="165" fontId="14" fillId="0" borderId="35" xfId="1" applyNumberFormat="1" applyFont="1" applyBorder="1" applyAlignment="1" applyProtection="1">
      <alignment horizontal="center"/>
      <protection locked="0"/>
    </xf>
    <xf numFmtId="0" fontId="0" fillId="0" borderId="8" xfId="0" applyFont="1" applyBorder="1" applyAlignment="1">
      <alignment horizontal="center" vertical="center" wrapText="1"/>
    </xf>
    <xf numFmtId="0" fontId="21" fillId="0" borderId="31" xfId="0" applyFont="1" applyBorder="1" applyAlignment="1" applyProtection="1">
      <alignment horizontal="center"/>
    </xf>
    <xf numFmtId="0" fontId="21" fillId="0" borderId="32" xfId="0" applyFont="1" applyBorder="1" applyAlignment="1" applyProtection="1">
      <alignment horizontal="center"/>
    </xf>
    <xf numFmtId="0" fontId="21" fillId="0" borderId="33" xfId="0" applyFont="1" applyBorder="1" applyAlignment="1" applyProtection="1">
      <alignment horizontal="center"/>
    </xf>
    <xf numFmtId="0" fontId="14" fillId="3" borderId="36" xfId="0" applyFont="1" applyFill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</xf>
    <xf numFmtId="0" fontId="14" fillId="3" borderId="8" xfId="0" applyFont="1" applyFill="1" applyBorder="1" applyAlignment="1" applyProtection="1">
      <alignment horizontal="center"/>
      <protection locked="0"/>
    </xf>
    <xf numFmtId="0" fontId="12" fillId="0" borderId="8" xfId="0" applyFont="1" applyBorder="1" applyAlignment="1">
      <alignment horizontal="center" vertical="center" wrapText="1"/>
    </xf>
    <xf numFmtId="0" fontId="18" fillId="0" borderId="27" xfId="3" applyBorder="1" applyProtection="1">
      <protection locked="0"/>
    </xf>
    <xf numFmtId="0" fontId="18" fillId="3" borderId="27" xfId="3" applyFont="1" applyFill="1" applyBorder="1" applyAlignment="1" applyProtection="1">
      <alignment horizontal="center"/>
      <protection locked="0"/>
    </xf>
    <xf numFmtId="0" fontId="19" fillId="3" borderId="28" xfId="3" applyFont="1" applyFill="1" applyBorder="1" applyAlignment="1" applyProtection="1">
      <alignment horizontal="center"/>
      <protection locked="0"/>
    </xf>
    <xf numFmtId="0" fontId="14" fillId="3" borderId="28" xfId="0" applyFont="1" applyFill="1" applyBorder="1" applyAlignment="1" applyProtection="1">
      <alignment horizontal="center"/>
      <protection locked="0"/>
    </xf>
    <xf numFmtId="0" fontId="14" fillId="3" borderId="29" xfId="0" applyFont="1" applyFill="1" applyBorder="1" applyAlignment="1" applyProtection="1">
      <alignment horizontal="center"/>
      <protection locked="0"/>
    </xf>
    <xf numFmtId="0" fontId="15" fillId="0" borderId="21" xfId="0" applyFont="1" applyBorder="1" applyAlignment="1" applyProtection="1">
      <alignment horizontal="left"/>
    </xf>
    <xf numFmtId="0" fontId="15" fillId="0" borderId="22" xfId="0" applyFont="1" applyBorder="1" applyAlignment="1" applyProtection="1">
      <alignment horizontal="left"/>
    </xf>
    <xf numFmtId="0" fontId="15" fillId="0" borderId="23" xfId="0" applyFont="1" applyBorder="1" applyAlignment="1" applyProtection="1">
      <alignment horizontal="left"/>
    </xf>
    <xf numFmtId="0" fontId="14" fillId="3" borderId="24" xfId="0" applyFont="1" applyFill="1" applyBorder="1" applyAlignment="1" applyProtection="1">
      <alignment horizontal="center"/>
      <protection locked="0"/>
    </xf>
    <xf numFmtId="0" fontId="14" fillId="3" borderId="7" xfId="0" applyFont="1" applyFill="1" applyBorder="1" applyAlignment="1" applyProtection="1">
      <alignment horizontal="center"/>
      <protection locked="0"/>
    </xf>
    <xf numFmtId="0" fontId="14" fillId="3" borderId="25" xfId="0" applyFont="1" applyFill="1" applyBorder="1" applyAlignment="1" applyProtection="1">
      <alignment horizontal="center"/>
      <protection locked="0"/>
    </xf>
    <xf numFmtId="0" fontId="15" fillId="0" borderId="1" xfId="0" applyFont="1" applyBorder="1" applyAlignment="1" applyProtection="1">
      <alignment horizontal="left"/>
    </xf>
    <xf numFmtId="0" fontId="15" fillId="0" borderId="26" xfId="0" applyFont="1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0" fontId="13" fillId="0" borderId="14" xfId="0" applyFont="1" applyBorder="1" applyAlignment="1" applyProtection="1">
      <alignment horizontal="center"/>
    </xf>
    <xf numFmtId="0" fontId="4" fillId="3" borderId="4" xfId="0" applyFont="1" applyFill="1" applyBorder="1" applyAlignment="1" applyProtection="1">
      <alignment horizontal="center"/>
    </xf>
    <xf numFmtId="0" fontId="0" fillId="0" borderId="15" xfId="0" applyBorder="1" applyAlignment="1" applyProtection="1">
      <alignment horizontal="center"/>
    </xf>
    <xf numFmtId="0" fontId="15" fillId="0" borderId="16" xfId="0" applyFont="1" applyBorder="1" applyAlignment="1" applyProtection="1">
      <alignment horizontal="left"/>
    </xf>
    <xf numFmtId="0" fontId="15" fillId="0" borderId="17" xfId="0" applyFont="1" applyBorder="1" applyAlignment="1" applyProtection="1">
      <alignment horizontal="left"/>
    </xf>
    <xf numFmtId="0" fontId="15" fillId="0" borderId="18" xfId="0" applyFont="1" applyBorder="1" applyAlignment="1" applyProtection="1">
      <alignment horizontal="left"/>
    </xf>
    <xf numFmtId="0" fontId="16" fillId="3" borderId="19" xfId="0" applyFont="1" applyFill="1" applyBorder="1" applyAlignment="1" applyProtection="1">
      <alignment horizontal="center"/>
      <protection locked="0"/>
    </xf>
    <xf numFmtId="0" fontId="16" fillId="3" borderId="6" xfId="0" applyFont="1" applyFill="1" applyBorder="1" applyAlignment="1" applyProtection="1">
      <alignment horizontal="center"/>
      <protection locked="0"/>
    </xf>
    <xf numFmtId="3" fontId="16" fillId="3" borderId="20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22" fontId="10" fillId="0" borderId="9" xfId="0" applyNumberFormat="1" applyFont="1" applyBorder="1" applyAlignment="1" applyProtection="1">
      <alignment horizontal="center"/>
    </xf>
    <xf numFmtId="0" fontId="6" fillId="0" borderId="10" xfId="0" applyFont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</xf>
    <xf numFmtId="0" fontId="6" fillId="0" borderId="12" xfId="0" applyFont="1" applyBorder="1" applyAlignment="1" applyProtection="1">
      <alignment horizontal="center"/>
    </xf>
    <xf numFmtId="0" fontId="10" fillId="3" borderId="13" xfId="0" applyFont="1" applyFill="1" applyBorder="1" applyAlignment="1" applyProtection="1">
      <alignment horizontal="center"/>
      <protection locked="0"/>
    </xf>
    <xf numFmtId="0" fontId="11" fillId="3" borderId="4" xfId="0" applyFont="1" applyFill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</xf>
    <xf numFmtId="0" fontId="6" fillId="0" borderId="5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0" fillId="11" borderId="0" xfId="0" applyFill="1"/>
    <xf numFmtId="0" fontId="0" fillId="12" borderId="0" xfId="0" applyFill="1"/>
    <xf numFmtId="0" fontId="0" fillId="11" borderId="0" xfId="0" applyFill="1" applyAlignment="1">
      <alignment horizontal="center"/>
    </xf>
    <xf numFmtId="0" fontId="0" fillId="11" borderId="0" xfId="0" applyFill="1" applyBorder="1"/>
    <xf numFmtId="0" fontId="1" fillId="11" borderId="0" xfId="0" applyFont="1" applyFill="1" applyAlignment="1">
      <alignment horizontal="center"/>
    </xf>
    <xf numFmtId="0" fontId="0" fillId="11" borderId="0" xfId="0" applyFill="1" applyAlignment="1">
      <alignment horizontal="center" vertical="center"/>
    </xf>
  </cellXfs>
  <cellStyles count="4">
    <cellStyle name="Hipervínculo" xfId="3" builtinId="8"/>
    <cellStyle name="Moneda" xfId="1" builtinId="4"/>
    <cellStyle name="Normal" xfId="0" builtinId="0"/>
    <cellStyle name="Porcentaje" xfId="2" builtinId="5"/>
  </cellStyles>
  <dxfs count="12">
    <dxf>
      <font>
        <sz val="11"/>
        <color rgb="FF000000"/>
        <name val="Calibri"/>
      </font>
      <fill>
        <patternFill>
          <bgColor rgb="FFFF0000"/>
        </patternFill>
      </fill>
    </dxf>
    <dxf>
      <font>
        <sz val="11"/>
        <color rgb="FF000000"/>
        <name val="Calibri"/>
      </font>
      <fill>
        <patternFill>
          <bgColor rgb="FFFF0000"/>
        </patternFill>
      </fill>
    </dxf>
    <dxf>
      <font>
        <sz val="11"/>
        <color rgb="FF000000"/>
        <name val="Calibri"/>
      </font>
      <fill>
        <patternFill>
          <bgColor rgb="FFFF0000"/>
        </patternFill>
      </fill>
    </dxf>
    <dxf>
      <font>
        <sz val="11"/>
        <color rgb="FF000000"/>
        <name val="Calibri"/>
      </font>
      <fill>
        <patternFill>
          <bgColor rgb="FFFF0000"/>
        </patternFill>
      </fill>
    </dxf>
    <dxf>
      <font>
        <sz val="11"/>
        <color rgb="FF000000"/>
        <name val="Calibri"/>
      </font>
      <fill>
        <patternFill>
          <bgColor rgb="FFFF0000"/>
        </patternFill>
      </fill>
    </dxf>
    <dxf>
      <font>
        <sz val="11"/>
        <color rgb="FF000000"/>
        <name val="Calibri"/>
      </font>
      <fill>
        <patternFill>
          <bgColor rgb="FFFF0000"/>
        </patternFill>
      </fill>
    </dxf>
    <dxf>
      <font>
        <sz val="11"/>
        <color rgb="FF000000"/>
        <name val="Calibri"/>
      </font>
      <fill>
        <patternFill>
          <bgColor rgb="FFFF0000"/>
        </patternFill>
      </fill>
    </dxf>
    <dxf>
      <font>
        <sz val="11"/>
        <color rgb="FF000000"/>
        <name val="Calibri"/>
      </font>
      <fill>
        <patternFill>
          <bgColor rgb="FFFF0000"/>
        </patternFill>
      </fill>
    </dxf>
    <dxf>
      <font>
        <sz val="11"/>
        <color rgb="FF000000"/>
        <name val="Calibri"/>
      </font>
      <fill>
        <patternFill>
          <bgColor rgb="FFFF0000"/>
        </patternFill>
      </fill>
    </dxf>
    <dxf>
      <font>
        <sz val="11"/>
        <color rgb="FF000000"/>
        <name val="Calibri"/>
      </font>
      <fill>
        <patternFill>
          <bgColor rgb="FFFF0000"/>
        </patternFill>
      </fill>
    </dxf>
    <dxf>
      <font>
        <sz val="11"/>
        <color rgb="FF000000"/>
        <name val="Calibri"/>
      </font>
      <fill>
        <patternFill>
          <bgColor rgb="FFFF0000"/>
        </patternFill>
      </fill>
    </dxf>
    <dxf>
      <font>
        <sz val="11"/>
        <color rgb="FF000000"/>
        <name val="Calibri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3A2C7"/>
      <rgbColor rgb="FFFAC090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91995</xdr:colOff>
      <xdr:row>0</xdr:row>
      <xdr:rowOff>9525</xdr:rowOff>
    </xdr:from>
    <xdr:to>
      <xdr:col>8</xdr:col>
      <xdr:colOff>138990</xdr:colOff>
      <xdr:row>5</xdr:row>
      <xdr:rowOff>52725</xdr:rowOff>
    </xdr:to>
    <xdr:pic>
      <xdr:nvPicPr>
        <xdr:cNvPr id="2" name="3 Imagen"/>
        <xdr:cNvPicPr/>
      </xdr:nvPicPr>
      <xdr:blipFill>
        <a:blip xmlns:r="http://schemas.openxmlformats.org/officeDocument/2006/relationships" r:embed="rId1"/>
        <a:stretch/>
      </xdr:blipFill>
      <xdr:spPr>
        <a:xfrm>
          <a:off x="244395" y="9525"/>
          <a:ext cx="1113795" cy="110047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53</xdr:col>
      <xdr:colOff>0</xdr:colOff>
      <xdr:row>49</xdr:row>
      <xdr:rowOff>47625</xdr:rowOff>
    </xdr:to>
    <xdr:sp macro="" textlink="">
      <xdr:nvSpPr>
        <xdr:cNvPr id="1028" name="shapetype_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53</xdr:col>
      <xdr:colOff>0</xdr:colOff>
      <xdr:row>49</xdr:row>
      <xdr:rowOff>47625</xdr:rowOff>
    </xdr:to>
    <xdr:sp macro="" textlink="">
      <xdr:nvSpPr>
        <xdr:cNvPr id="1026" name="shapetype_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39</xdr:col>
      <xdr:colOff>70229</xdr:colOff>
      <xdr:row>1</xdr:row>
      <xdr:rowOff>76200</xdr:rowOff>
    </xdr:from>
    <xdr:to>
      <xdr:col>52</xdr:col>
      <xdr:colOff>7068</xdr:colOff>
      <xdr:row>5</xdr:row>
      <xdr:rowOff>19050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3829" y="266700"/>
          <a:ext cx="1918039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V343"/>
  <sheetViews>
    <sheetView tabSelected="1" zoomScaleNormal="100" workbookViewId="0">
      <selection sqref="A1:AZ1"/>
    </sheetView>
  </sheetViews>
  <sheetFormatPr baseColWidth="10" defaultColWidth="9.140625" defaultRowHeight="15" x14ac:dyDescent="0.25"/>
  <cols>
    <col min="1" max="52" width="2.28515625"/>
    <col min="53" max="53" width="9.140625" style="1" customWidth="1"/>
    <col min="54" max="55" width="9.140625" style="1" hidden="1" customWidth="1"/>
    <col min="56" max="56" width="9.140625" hidden="1" customWidth="1"/>
    <col min="57" max="57" width="18" hidden="1" customWidth="1"/>
    <col min="58" max="58" width="9.140625" style="2" hidden="1" customWidth="1"/>
    <col min="59" max="59" width="23.5703125" style="2" hidden="1" customWidth="1"/>
    <col min="60" max="60" width="9.140625" hidden="1" customWidth="1"/>
    <col min="61" max="61" width="9.140625" style="2" hidden="1" customWidth="1"/>
    <col min="62" max="62" width="42.5703125" style="2" hidden="1" customWidth="1"/>
    <col min="63" max="63" width="9.140625" style="3" hidden="1" customWidth="1"/>
    <col min="64" max="64" width="9.140625" style="4" hidden="1" customWidth="1"/>
    <col min="65" max="65" width="9.140625" style="2" hidden="1" customWidth="1"/>
    <col min="66" max="66" width="9.140625" hidden="1" customWidth="1"/>
    <col min="67" max="67" width="12.140625" hidden="1" customWidth="1"/>
    <col min="68" max="68" width="9.140625" hidden="1" customWidth="1"/>
    <col min="69" max="69" width="9.140625" style="152" customWidth="1"/>
    <col min="70" max="126" width="9.140625" style="152"/>
  </cols>
  <sheetData>
    <row r="1" spans="1:67" x14ac:dyDescent="0.25">
      <c r="A1" s="130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/>
      <c r="BB1"/>
      <c r="BC1"/>
      <c r="BF1"/>
      <c r="BG1"/>
      <c r="BI1"/>
      <c r="BJ1"/>
      <c r="BK1"/>
      <c r="BL1"/>
      <c r="BM1"/>
    </row>
    <row r="2" spans="1:67" ht="19.5" x14ac:dyDescent="0.25">
      <c r="A2" s="5"/>
      <c r="B2" s="5"/>
      <c r="C2" s="5"/>
      <c r="D2" s="5"/>
      <c r="F2" s="6"/>
      <c r="G2" s="6"/>
      <c r="H2" s="6"/>
      <c r="I2" s="150" t="s">
        <v>0</v>
      </c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58"/>
      <c r="AO2" s="58"/>
      <c r="AP2" s="58"/>
      <c r="AQ2" s="58"/>
      <c r="AR2" s="6"/>
      <c r="AS2" s="6"/>
      <c r="AT2" s="6"/>
      <c r="AU2" s="6"/>
      <c r="AV2" s="6"/>
      <c r="AW2" s="6"/>
      <c r="AX2" s="6"/>
      <c r="AY2" s="6"/>
      <c r="AZ2" s="6"/>
      <c r="BA2"/>
      <c r="BB2"/>
      <c r="BC2"/>
      <c r="BF2"/>
      <c r="BG2"/>
      <c r="BI2"/>
      <c r="BJ2"/>
      <c r="BK2"/>
      <c r="BL2"/>
      <c r="BM2"/>
    </row>
    <row r="3" spans="1:67" ht="18" x14ac:dyDescent="0.25">
      <c r="A3" s="5"/>
      <c r="B3" s="5"/>
      <c r="C3" s="5"/>
      <c r="D3" s="5"/>
      <c r="F3" s="7"/>
      <c r="G3" s="7"/>
      <c r="H3" s="7"/>
      <c r="I3" s="150" t="s">
        <v>1</v>
      </c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59"/>
      <c r="AO3" s="59"/>
      <c r="AP3" s="59"/>
      <c r="AQ3" s="59"/>
      <c r="AR3" s="7"/>
      <c r="AS3" s="7"/>
      <c r="AT3" s="7"/>
      <c r="AU3" s="7"/>
      <c r="AV3" s="7"/>
      <c r="AW3" s="7"/>
      <c r="AX3" s="7"/>
      <c r="AY3" s="7"/>
      <c r="AZ3" s="7"/>
      <c r="BA3" s="8"/>
      <c r="BB3"/>
      <c r="BC3"/>
      <c r="BF3"/>
      <c r="BG3"/>
      <c r="BI3"/>
      <c r="BJ3"/>
      <c r="BK3"/>
      <c r="BL3"/>
      <c r="BM3"/>
    </row>
    <row r="4" spans="1:67" ht="15.75" x14ac:dyDescent="0.25">
      <c r="A4" s="5"/>
      <c r="B4" s="5"/>
      <c r="C4" s="5"/>
      <c r="D4" s="5"/>
      <c r="F4" s="9"/>
      <c r="G4" s="9"/>
      <c r="H4" s="9"/>
      <c r="I4" s="151" t="s">
        <v>2</v>
      </c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60"/>
      <c r="AO4" s="60"/>
      <c r="AP4" s="60"/>
      <c r="AQ4" s="60"/>
      <c r="AR4" s="9"/>
      <c r="AS4" s="9"/>
      <c r="AT4" s="9"/>
      <c r="AU4" s="9"/>
      <c r="AV4" s="9"/>
      <c r="AW4" s="9"/>
      <c r="AX4" s="9"/>
      <c r="AY4" s="9"/>
      <c r="AZ4" s="9"/>
      <c r="BA4"/>
      <c r="BB4"/>
      <c r="BC4"/>
      <c r="BF4"/>
      <c r="BG4"/>
      <c r="BI4"/>
      <c r="BJ4"/>
      <c r="BK4"/>
      <c r="BL4"/>
      <c r="BM4"/>
    </row>
    <row r="5" spans="1:67" x14ac:dyDescent="0.25">
      <c r="B5" s="10"/>
      <c r="C5" s="10"/>
      <c r="D5" s="10"/>
      <c r="F5" s="10"/>
      <c r="G5" s="10"/>
      <c r="H5" s="10"/>
      <c r="I5" s="140" t="s">
        <v>3</v>
      </c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0"/>
      <c r="AS5" s="10"/>
      <c r="AT5" s="10"/>
      <c r="AU5" s="10"/>
      <c r="AV5" s="10"/>
      <c r="AW5" s="10"/>
      <c r="AX5" s="10"/>
      <c r="AY5" s="10"/>
      <c r="AZ5" s="10"/>
      <c r="BA5"/>
      <c r="BB5"/>
      <c r="BC5"/>
      <c r="BF5"/>
      <c r="BG5"/>
      <c r="BI5"/>
      <c r="BJ5"/>
      <c r="BK5"/>
      <c r="BL5"/>
      <c r="BM5"/>
    </row>
    <row r="6" spans="1:67" x14ac:dyDescent="0.25">
      <c r="A6" s="140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/>
      <c r="BB6"/>
      <c r="BC6"/>
      <c r="BE6" s="11" t="s">
        <v>4</v>
      </c>
      <c r="BF6" s="12"/>
      <c r="BG6" s="13" t="s">
        <v>5</v>
      </c>
      <c r="BI6"/>
      <c r="BJ6"/>
      <c r="BK6"/>
      <c r="BL6"/>
      <c r="BM6"/>
    </row>
    <row r="7" spans="1:67" x14ac:dyDescent="0.25">
      <c r="A7" s="14"/>
      <c r="B7" s="114" t="s">
        <v>6</v>
      </c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40"/>
      <c r="S7" s="140"/>
      <c r="T7" s="140"/>
      <c r="U7" s="140"/>
      <c r="V7" s="140"/>
      <c r="W7" s="140"/>
      <c r="X7" s="114">
        <v>2020</v>
      </c>
      <c r="Y7" s="114"/>
      <c r="Z7" s="114"/>
      <c r="AA7" s="114"/>
      <c r="AB7" s="114"/>
      <c r="AC7" s="114"/>
      <c r="AD7" s="148"/>
      <c r="AE7" s="148"/>
      <c r="AF7" s="148"/>
      <c r="AG7" s="15" t="s">
        <v>7</v>
      </c>
      <c r="AH7" s="15" t="s">
        <v>115</v>
      </c>
      <c r="AI7" s="14"/>
      <c r="AJ7" s="15" t="s">
        <v>8</v>
      </c>
      <c r="AK7" s="15"/>
      <c r="AL7" s="14"/>
      <c r="AM7" s="15" t="s">
        <v>9</v>
      </c>
      <c r="AN7" s="15"/>
      <c r="AO7" s="149"/>
      <c r="AP7" s="149"/>
      <c r="AQ7" s="149"/>
      <c r="AR7" s="149"/>
      <c r="AS7" s="149"/>
      <c r="AT7" s="149"/>
      <c r="AU7" s="149"/>
      <c r="AV7" s="149"/>
      <c r="AW7" s="149"/>
      <c r="AX7" s="149"/>
      <c r="AY7" s="149"/>
      <c r="AZ7" s="149"/>
      <c r="BA7"/>
      <c r="BB7"/>
      <c r="BC7"/>
      <c r="BE7" s="16" t="s">
        <v>10</v>
      </c>
      <c r="BF7" s="12"/>
      <c r="BG7" s="17" t="s">
        <v>11</v>
      </c>
      <c r="BI7"/>
      <c r="BJ7"/>
      <c r="BK7"/>
      <c r="BL7"/>
      <c r="BM7"/>
    </row>
    <row r="8" spans="1:67" x14ac:dyDescent="0.25">
      <c r="A8" s="140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/>
      <c r="BB8"/>
      <c r="BC8"/>
      <c r="BE8" s="16" t="s">
        <v>12</v>
      </c>
      <c r="BF8" s="18"/>
      <c r="BG8" s="18"/>
      <c r="BI8" s="19" t="s">
        <v>13</v>
      </c>
      <c r="BJ8" s="19" t="s">
        <v>14</v>
      </c>
      <c r="BK8" s="20" t="s">
        <v>15</v>
      </c>
      <c r="BL8" s="19" t="s">
        <v>16</v>
      </c>
      <c r="BM8"/>
    </row>
    <row r="9" spans="1:67" x14ac:dyDescent="0.25">
      <c r="A9" s="141"/>
      <c r="B9" s="141" t="s">
        <v>17</v>
      </c>
      <c r="C9" s="141"/>
      <c r="D9" s="141"/>
      <c r="E9" s="141"/>
      <c r="F9" s="142">
        <f ca="1">NOW()</f>
        <v>43920.539998726854</v>
      </c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3"/>
      <c r="S9" s="143"/>
      <c r="T9" s="143"/>
      <c r="U9" s="143"/>
      <c r="V9" s="143"/>
      <c r="W9" s="143"/>
      <c r="X9" s="144" t="s">
        <v>18</v>
      </c>
      <c r="Y9" s="144"/>
      <c r="Z9" s="144"/>
      <c r="AA9" s="144"/>
      <c r="AB9" s="144"/>
      <c r="AC9" s="144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/>
      <c r="BB9"/>
      <c r="BC9"/>
      <c r="BE9" s="21" t="s">
        <v>19</v>
      </c>
      <c r="BF9" s="12"/>
      <c r="BG9" s="22">
        <v>1</v>
      </c>
      <c r="BI9" s="23">
        <v>1</v>
      </c>
      <c r="BJ9" s="24" t="s">
        <v>20</v>
      </c>
      <c r="BK9" s="25">
        <v>19501007</v>
      </c>
      <c r="BL9" s="23">
        <v>4</v>
      </c>
      <c r="BM9"/>
    </row>
    <row r="10" spans="1:67" ht="13.9" customHeight="1" x14ac:dyDescent="0.25">
      <c r="A10" s="141"/>
      <c r="B10" s="141" t="s">
        <v>21</v>
      </c>
      <c r="C10" s="141"/>
      <c r="D10" s="141"/>
      <c r="E10" s="141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3"/>
      <c r="S10" s="143"/>
      <c r="T10" s="143"/>
      <c r="U10" s="143"/>
      <c r="V10" s="143"/>
      <c r="W10" s="143"/>
      <c r="X10" s="147" t="s">
        <v>19</v>
      </c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0"/>
      <c r="AX10" s="140"/>
      <c r="AY10" s="140"/>
      <c r="AZ10" s="140"/>
      <c r="BA10"/>
      <c r="BB10"/>
      <c r="BC10"/>
      <c r="BF10"/>
      <c r="BG10" s="26">
        <v>2</v>
      </c>
      <c r="BI10" s="23">
        <v>2</v>
      </c>
      <c r="BJ10" s="24" t="s">
        <v>22</v>
      </c>
      <c r="BK10" s="25">
        <v>19501004</v>
      </c>
      <c r="BL10" s="23">
        <v>4</v>
      </c>
      <c r="BM10"/>
      <c r="BN10" s="116" t="s">
        <v>23</v>
      </c>
      <c r="BO10" s="27">
        <f>MATCH(A22,$BJ$9:$BJ$39,0)</f>
        <v>2</v>
      </c>
    </row>
    <row r="11" spans="1:67" x14ac:dyDescent="0.25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1" t="s">
        <v>24</v>
      </c>
      <c r="Y11" s="131"/>
      <c r="Z11" s="131"/>
      <c r="AA11" s="131"/>
      <c r="AB11" s="132"/>
      <c r="AC11" s="132"/>
      <c r="AD11" s="133"/>
      <c r="AE11" s="133"/>
      <c r="AF11" s="133"/>
      <c r="AG11" s="131" t="s">
        <v>25</v>
      </c>
      <c r="AH11" s="131"/>
      <c r="AI11" s="131"/>
      <c r="AJ11" s="131"/>
      <c r="AK11" s="131"/>
      <c r="AL11" s="131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0"/>
      <c r="AX11" s="130"/>
      <c r="AY11" s="130"/>
      <c r="AZ11" s="130"/>
      <c r="BA11"/>
      <c r="BB11"/>
      <c r="BC11"/>
      <c r="BF11"/>
      <c r="BG11"/>
      <c r="BI11" s="23">
        <v>3</v>
      </c>
      <c r="BJ11" s="24" t="s">
        <v>26</v>
      </c>
      <c r="BK11" s="25">
        <v>19501005</v>
      </c>
      <c r="BL11" s="23">
        <v>4</v>
      </c>
      <c r="BM11"/>
      <c r="BN11" s="116"/>
      <c r="BO11" s="27">
        <f>MATCH(A23,$BJ$9:$BJ$39,0)</f>
        <v>30</v>
      </c>
    </row>
    <row r="12" spans="1:67" x14ac:dyDescent="0.25">
      <c r="A12" s="95" t="s">
        <v>27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/>
      <c r="BB12"/>
      <c r="BC12"/>
      <c r="BE12" s="28" t="s">
        <v>28</v>
      </c>
      <c r="BF12" s="29"/>
      <c r="BG12" s="29"/>
      <c r="BI12" s="23">
        <v>4</v>
      </c>
      <c r="BJ12" s="30" t="s">
        <v>29</v>
      </c>
      <c r="BK12" s="25">
        <v>19502005</v>
      </c>
      <c r="BL12" s="23">
        <v>4</v>
      </c>
      <c r="BM12"/>
      <c r="BN12" s="116"/>
      <c r="BO12" s="27">
        <f>MATCH(A24,$BJ$9:$BJ$39,0)</f>
        <v>30</v>
      </c>
    </row>
    <row r="13" spans="1:67" x14ac:dyDescent="0.25">
      <c r="A13" s="134" t="s">
        <v>30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5" t="s">
        <v>31</v>
      </c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 t="s">
        <v>32</v>
      </c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6" t="s">
        <v>33</v>
      </c>
      <c r="AR13" s="136"/>
      <c r="AS13" s="136"/>
      <c r="AT13" s="136"/>
      <c r="AU13" s="136"/>
      <c r="AV13" s="136"/>
      <c r="AW13" s="136"/>
      <c r="AX13" s="136"/>
      <c r="AY13" s="136"/>
      <c r="AZ13" s="136"/>
      <c r="BA13"/>
      <c r="BB13"/>
      <c r="BC13"/>
      <c r="BE13" s="31" t="s">
        <v>34</v>
      </c>
      <c r="BF13" s="29"/>
      <c r="BG13" s="29"/>
      <c r="BI13" s="23">
        <v>5</v>
      </c>
      <c r="BJ13" s="30" t="s">
        <v>35</v>
      </c>
      <c r="BK13" s="25"/>
      <c r="BL13" s="23">
        <v>8</v>
      </c>
      <c r="BM13"/>
      <c r="BN13" s="116"/>
      <c r="BO13" s="27">
        <f>MATCH(A25,$BJ$9:$BJ$39,0)</f>
        <v>30</v>
      </c>
    </row>
    <row r="14" spans="1:67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/>
      <c r="BB14"/>
      <c r="BC14"/>
      <c r="BE14" s="32" t="s">
        <v>36</v>
      </c>
      <c r="BF14" s="29"/>
      <c r="BG14" s="29"/>
      <c r="BI14" s="23">
        <v>6</v>
      </c>
      <c r="BJ14" s="33" t="s">
        <v>37</v>
      </c>
      <c r="BK14" s="34">
        <v>19503104</v>
      </c>
      <c r="BL14" s="35">
        <v>7</v>
      </c>
      <c r="BM14"/>
      <c r="BN14" s="116"/>
      <c r="BO14" s="27">
        <f>MATCH(A26,$BJ$9:$BJ$39,0)</f>
        <v>30</v>
      </c>
    </row>
    <row r="15" spans="1:67" x14ac:dyDescent="0.25">
      <c r="A15" s="122" t="s">
        <v>38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3" t="s">
        <v>39</v>
      </c>
      <c r="AH15" s="123"/>
      <c r="AI15" s="123"/>
      <c r="AJ15" s="123"/>
      <c r="AK15" s="123"/>
      <c r="AL15" s="123"/>
      <c r="AM15" s="123"/>
      <c r="AN15" s="123"/>
      <c r="AO15" s="123"/>
      <c r="AP15" s="123"/>
      <c r="AQ15" s="124" t="s">
        <v>40</v>
      </c>
      <c r="AR15" s="124"/>
      <c r="AS15" s="124"/>
      <c r="AT15" s="124"/>
      <c r="AU15" s="124"/>
      <c r="AV15" s="124"/>
      <c r="AW15" s="124"/>
      <c r="AX15" s="124"/>
      <c r="AY15" s="124"/>
      <c r="AZ15" s="124"/>
      <c r="BA15"/>
      <c r="BB15"/>
      <c r="BC15"/>
      <c r="BF15"/>
      <c r="BG15"/>
      <c r="BI15" s="23">
        <v>7</v>
      </c>
      <c r="BJ15" s="33" t="s">
        <v>41</v>
      </c>
      <c r="BK15" s="36">
        <v>19504004</v>
      </c>
      <c r="BL15" s="23">
        <v>10</v>
      </c>
      <c r="BM15"/>
    </row>
    <row r="16" spans="1:67" x14ac:dyDescent="0.25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7" t="s">
        <v>28</v>
      </c>
      <c r="AR16" s="127"/>
      <c r="AS16" s="127"/>
      <c r="AT16" s="127"/>
      <c r="AU16" s="127"/>
      <c r="AV16" s="127"/>
      <c r="AW16" s="127"/>
      <c r="AX16" s="127"/>
      <c r="AY16" s="127"/>
      <c r="AZ16" s="127"/>
      <c r="BA16"/>
      <c r="BB16"/>
      <c r="BC16"/>
      <c r="BF16"/>
      <c r="BG16"/>
      <c r="BI16" s="23">
        <v>8</v>
      </c>
      <c r="BJ16" s="37" t="s">
        <v>42</v>
      </c>
      <c r="BK16" s="25">
        <v>19502001</v>
      </c>
      <c r="BL16" s="23">
        <v>4</v>
      </c>
      <c r="BM16"/>
    </row>
    <row r="17" spans="1:67" ht="13.9" customHeight="1" x14ac:dyDescent="0.25">
      <c r="A17" s="122" t="s">
        <v>43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8" t="s">
        <v>44</v>
      </c>
      <c r="U17" s="128"/>
      <c r="V17" s="128"/>
      <c r="W17" s="128"/>
      <c r="X17" s="128"/>
      <c r="Y17" s="128"/>
      <c r="Z17" s="128"/>
      <c r="AA17" s="128"/>
      <c r="AB17" s="128"/>
      <c r="AC17" s="128"/>
      <c r="AD17" s="128" t="s">
        <v>45</v>
      </c>
      <c r="AE17" s="128"/>
      <c r="AF17" s="128"/>
      <c r="AG17" s="128"/>
      <c r="AH17" s="128"/>
      <c r="AI17" s="128"/>
      <c r="AJ17" s="128"/>
      <c r="AK17" s="128"/>
      <c r="AL17" s="128"/>
      <c r="AM17" s="128"/>
      <c r="AN17" s="129" t="s">
        <v>46</v>
      </c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/>
      <c r="BB17"/>
      <c r="BC17"/>
      <c r="BE17" s="28" t="s">
        <v>47</v>
      </c>
      <c r="BF17" s="29"/>
      <c r="BG17" s="29"/>
      <c r="BI17" s="23">
        <v>9</v>
      </c>
      <c r="BJ17" s="37" t="s">
        <v>48</v>
      </c>
      <c r="BK17" s="25">
        <v>19502002</v>
      </c>
      <c r="BL17" s="23">
        <v>4</v>
      </c>
      <c r="BM17"/>
      <c r="BN17" s="116" t="s">
        <v>49</v>
      </c>
      <c r="BO17" s="27">
        <f>MATCH(A30,$BJ$9:$BJ$39,0)</f>
        <v>1</v>
      </c>
    </row>
    <row r="18" spans="1:67" x14ac:dyDescent="0.25">
      <c r="A18" s="117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/>
      <c r="BB18"/>
      <c r="BC18"/>
      <c r="BE18" s="32" t="s">
        <v>50</v>
      </c>
      <c r="BF18" s="29"/>
      <c r="BG18" s="29"/>
      <c r="BI18" s="23">
        <v>10</v>
      </c>
      <c r="BJ18" s="37" t="s">
        <v>51</v>
      </c>
      <c r="BK18" s="25">
        <v>19501009</v>
      </c>
      <c r="BL18" s="23">
        <v>4</v>
      </c>
      <c r="BM18"/>
      <c r="BN18" s="116"/>
      <c r="BO18" s="27">
        <f>MATCH(A31,$BJ$9:$BJ$39,0)</f>
        <v>30</v>
      </c>
    </row>
    <row r="19" spans="1:67" x14ac:dyDescent="0.25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/>
      <c r="BB19"/>
      <c r="BC19"/>
      <c r="BF19"/>
      <c r="BG19"/>
      <c r="BI19" s="23">
        <v>11</v>
      </c>
      <c r="BJ19" s="38" t="s">
        <v>52</v>
      </c>
      <c r="BK19" s="25">
        <v>19503002</v>
      </c>
      <c r="BL19" s="23">
        <v>4</v>
      </c>
      <c r="BM19"/>
      <c r="BN19" s="116"/>
      <c r="BO19" s="27">
        <f>MATCH(A32,$BJ$9:$BJ$39,0)</f>
        <v>30</v>
      </c>
    </row>
    <row r="20" spans="1:67" x14ac:dyDescent="0.25">
      <c r="A20" s="114" t="s">
        <v>53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 t="s">
        <v>50</v>
      </c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/>
      <c r="BB20"/>
      <c r="BC20"/>
      <c r="BF20"/>
      <c r="BG20"/>
      <c r="BI20" s="23">
        <v>12</v>
      </c>
      <c r="BJ20" s="38" t="s">
        <v>54</v>
      </c>
      <c r="BK20" s="25">
        <v>19503001</v>
      </c>
      <c r="BL20" s="23">
        <v>4</v>
      </c>
      <c r="BM20"/>
      <c r="BN20" s="116"/>
      <c r="BO20" s="27">
        <f>MATCH(A33,$BJ$9:$BJ$39,0)</f>
        <v>30</v>
      </c>
    </row>
    <row r="21" spans="1:67" ht="20.100000000000001" customHeight="1" x14ac:dyDescent="0.25">
      <c r="A21" s="110" t="s">
        <v>55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1" t="s">
        <v>21</v>
      </c>
      <c r="W21" s="111"/>
      <c r="X21" s="111"/>
      <c r="Y21" s="111"/>
      <c r="Z21" s="111"/>
      <c r="AA21" s="111"/>
      <c r="AB21" s="111"/>
      <c r="AC21" s="111"/>
      <c r="AD21" s="111"/>
      <c r="AE21" s="111"/>
      <c r="AF21" s="111" t="s">
        <v>24</v>
      </c>
      <c r="AG21" s="111"/>
      <c r="AH21" s="111"/>
      <c r="AI21" s="111"/>
      <c r="AJ21" s="111" t="s">
        <v>56</v>
      </c>
      <c r="AK21" s="111"/>
      <c r="AL21" s="111"/>
      <c r="AM21" s="111"/>
      <c r="AN21" s="111"/>
      <c r="AO21" s="112" t="s">
        <v>57</v>
      </c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/>
      <c r="BB21"/>
      <c r="BC21"/>
      <c r="BF21"/>
      <c r="BG21"/>
      <c r="BI21" s="23">
        <v>13</v>
      </c>
      <c r="BJ21" s="38" t="s">
        <v>58</v>
      </c>
      <c r="BK21" s="25">
        <v>19502003</v>
      </c>
      <c r="BL21" s="23">
        <v>4</v>
      </c>
      <c r="BM21"/>
      <c r="BN21" s="116"/>
      <c r="BO21" s="27">
        <f>MATCH(A34,$BJ$9:$BJ$39,0)</f>
        <v>30</v>
      </c>
    </row>
    <row r="22" spans="1:67" x14ac:dyDescent="0.25">
      <c r="A22" s="101" t="s">
        <v>22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4">
        <f>VLOOKUP(A22,$BJ$9:$BL$38,2,FALSE)</f>
        <v>19501004</v>
      </c>
      <c r="W22" s="104"/>
      <c r="X22" s="104"/>
      <c r="Y22" s="104"/>
      <c r="Z22" s="104"/>
      <c r="AA22" s="104"/>
      <c r="AB22" s="104"/>
      <c r="AC22" s="104"/>
      <c r="AD22" s="104"/>
      <c r="AE22" s="104"/>
      <c r="AF22" s="115"/>
      <c r="AG22" s="115"/>
      <c r="AH22" s="115"/>
      <c r="AI22" s="115"/>
      <c r="AJ22" s="115"/>
      <c r="AK22" s="115"/>
      <c r="AL22" s="115"/>
      <c r="AM22" s="115"/>
      <c r="AN22" s="11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/>
      <c r="BB22"/>
      <c r="BC22"/>
      <c r="BD22" s="27">
        <v>1</v>
      </c>
      <c r="BE22" s="28" t="s">
        <v>59</v>
      </c>
      <c r="BF22" s="39">
        <v>0</v>
      </c>
      <c r="BG22" s="39" t="s">
        <v>60</v>
      </c>
      <c r="BI22" s="23">
        <v>14</v>
      </c>
      <c r="BJ22" s="40" t="s">
        <v>61</v>
      </c>
      <c r="BK22" s="25">
        <v>39501004</v>
      </c>
      <c r="BL22" s="23">
        <v>4</v>
      </c>
      <c r="BM22"/>
    </row>
    <row r="23" spans="1:67" x14ac:dyDescent="0.25">
      <c r="A23" s="101" t="s">
        <v>60</v>
      </c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4" t="str">
        <f t="shared" ref="V23:V26" si="0">VLOOKUP(A23,$BJ$9:$BL$38,2,FALSE)</f>
        <v>-</v>
      </c>
      <c r="W23" s="104"/>
      <c r="X23" s="104"/>
      <c r="Y23" s="104"/>
      <c r="Z23" s="104"/>
      <c r="AA23" s="104"/>
      <c r="AB23" s="104"/>
      <c r="AC23" s="104"/>
      <c r="AD23" s="104"/>
      <c r="AE23" s="104"/>
      <c r="AF23" s="115"/>
      <c r="AG23" s="115"/>
      <c r="AH23" s="115"/>
      <c r="AI23" s="115"/>
      <c r="AJ23" s="115"/>
      <c r="AK23" s="115"/>
      <c r="AL23" s="115"/>
      <c r="AM23" s="115"/>
      <c r="AN23" s="11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/>
      <c r="BB23"/>
      <c r="BC23"/>
      <c r="BD23" s="27">
        <v>2</v>
      </c>
      <c r="BE23" s="31" t="s">
        <v>63</v>
      </c>
      <c r="BF23" s="39">
        <v>0.3</v>
      </c>
      <c r="BG23" s="41" t="s">
        <v>64</v>
      </c>
      <c r="BI23" s="23">
        <v>15</v>
      </c>
      <c r="BJ23" s="40" t="s">
        <v>65</v>
      </c>
      <c r="BK23" s="25">
        <v>39502005</v>
      </c>
      <c r="BL23" s="23">
        <v>4</v>
      </c>
      <c r="BM23"/>
    </row>
    <row r="24" spans="1:67" x14ac:dyDescent="0.25">
      <c r="A24" s="101" t="s">
        <v>60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4" t="str">
        <f t="shared" si="0"/>
        <v>-</v>
      </c>
      <c r="W24" s="104"/>
      <c r="X24" s="104"/>
      <c r="Y24" s="104"/>
      <c r="Z24" s="104"/>
      <c r="AA24" s="104"/>
      <c r="AB24" s="104"/>
      <c r="AC24" s="104"/>
      <c r="AD24" s="104"/>
      <c r="AE24" s="104"/>
      <c r="AF24" s="115"/>
      <c r="AG24" s="115"/>
      <c r="AH24" s="115"/>
      <c r="AI24" s="115"/>
      <c r="AJ24" s="115"/>
      <c r="AK24" s="115"/>
      <c r="AL24" s="115"/>
      <c r="AM24" s="115"/>
      <c r="AN24" s="11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/>
      <c r="BB24"/>
      <c r="BC24"/>
      <c r="BD24" s="27">
        <v>3</v>
      </c>
      <c r="BE24" s="31" t="s">
        <v>66</v>
      </c>
      <c r="BF24" s="39">
        <v>0.5</v>
      </c>
      <c r="BG24" s="41" t="s">
        <v>67</v>
      </c>
      <c r="BI24" s="23">
        <v>16</v>
      </c>
      <c r="BJ24" s="40" t="s">
        <v>68</v>
      </c>
      <c r="BK24" s="25">
        <v>39502006</v>
      </c>
      <c r="BL24" s="23">
        <v>4</v>
      </c>
      <c r="BM24"/>
      <c r="BN24" s="42" t="s">
        <v>69</v>
      </c>
      <c r="BO24" s="43">
        <f>AJ35*BO26*0.55</f>
        <v>1931166.6</v>
      </c>
    </row>
    <row r="25" spans="1:67" x14ac:dyDescent="0.25">
      <c r="A25" s="101" t="s">
        <v>60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4" t="str">
        <f t="shared" si="0"/>
        <v>-</v>
      </c>
      <c r="W25" s="104"/>
      <c r="X25" s="104"/>
      <c r="Y25" s="104"/>
      <c r="Z25" s="104"/>
      <c r="AA25" s="104"/>
      <c r="AB25" s="104"/>
      <c r="AC25" s="104"/>
      <c r="AD25" s="104"/>
      <c r="AE25" s="104"/>
      <c r="AF25" s="115"/>
      <c r="AG25" s="115"/>
      <c r="AH25" s="115"/>
      <c r="AI25" s="115"/>
      <c r="AJ25" s="115"/>
      <c r="AK25" s="115"/>
      <c r="AL25" s="115"/>
      <c r="AM25" s="115"/>
      <c r="AN25" s="11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/>
      <c r="BB25"/>
      <c r="BC25"/>
      <c r="BD25" s="27">
        <v>4</v>
      </c>
      <c r="BE25" s="31" t="s">
        <v>70</v>
      </c>
      <c r="BF25" s="39">
        <v>1</v>
      </c>
      <c r="BG25" s="41" t="s">
        <v>71</v>
      </c>
      <c r="BI25" s="23">
        <v>17</v>
      </c>
      <c r="BJ25" s="40" t="s">
        <v>72</v>
      </c>
      <c r="BK25" s="25">
        <v>39502007</v>
      </c>
      <c r="BL25" s="23">
        <v>4</v>
      </c>
      <c r="BM25"/>
    </row>
    <row r="26" spans="1:67" x14ac:dyDescent="0.25">
      <c r="A26" s="101" t="s">
        <v>60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4" t="str">
        <f t="shared" si="0"/>
        <v>-</v>
      </c>
      <c r="W26" s="104"/>
      <c r="X26" s="104"/>
      <c r="Y26" s="104"/>
      <c r="Z26" s="104"/>
      <c r="AA26" s="104"/>
      <c r="AB26" s="104"/>
      <c r="AC26" s="104"/>
      <c r="AD26" s="104"/>
      <c r="AE26" s="104"/>
      <c r="AF26" s="113"/>
      <c r="AG26" s="113"/>
      <c r="AH26" s="113"/>
      <c r="AI26" s="113"/>
      <c r="AJ26" s="113"/>
      <c r="AK26" s="113"/>
      <c r="AL26" s="113"/>
      <c r="AM26" s="113"/>
      <c r="AN26" s="113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/>
      <c r="BB26"/>
      <c r="BC26"/>
      <c r="BD26" s="27">
        <v>5</v>
      </c>
      <c r="BE26" s="31" t="s">
        <v>73</v>
      </c>
      <c r="BF26" s="39">
        <v>1</v>
      </c>
      <c r="BG26" s="41" t="s">
        <v>74</v>
      </c>
      <c r="BI26" s="23">
        <v>18</v>
      </c>
      <c r="BJ26" s="40" t="s">
        <v>75</v>
      </c>
      <c r="BK26" s="25">
        <v>39503002</v>
      </c>
      <c r="BL26" s="23">
        <v>4</v>
      </c>
      <c r="BM26"/>
      <c r="BN26" s="44" t="s">
        <v>76</v>
      </c>
      <c r="BO26" s="45">
        <v>877803</v>
      </c>
    </row>
    <row r="27" spans="1:67" x14ac:dyDescent="0.25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/>
      <c r="BB27"/>
      <c r="BC27"/>
      <c r="BD27" s="27">
        <v>6</v>
      </c>
      <c r="BE27" s="31" t="s">
        <v>77</v>
      </c>
      <c r="BF27" s="39">
        <v>1</v>
      </c>
      <c r="BG27" s="41" t="s">
        <v>78</v>
      </c>
      <c r="BI27" s="23">
        <v>19</v>
      </c>
      <c r="BJ27" s="46" t="s">
        <v>79</v>
      </c>
      <c r="BK27" s="25">
        <v>49501001</v>
      </c>
      <c r="BL27" s="23">
        <v>4</v>
      </c>
      <c r="BM27"/>
    </row>
    <row r="28" spans="1:67" ht="16.5" customHeight="1" x14ac:dyDescent="0.25">
      <c r="A28" s="114" t="s">
        <v>80</v>
      </c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 t="str">
        <f>T20</f>
        <v>Pensum Nuevo</v>
      </c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/>
      <c r="BB28"/>
      <c r="BC28"/>
      <c r="BD28" s="27">
        <v>7</v>
      </c>
      <c r="BE28" s="32" t="s">
        <v>81</v>
      </c>
      <c r="BF28" s="39">
        <v>1</v>
      </c>
      <c r="BG28" s="41" t="s">
        <v>82</v>
      </c>
      <c r="BI28" s="23">
        <v>20</v>
      </c>
      <c r="BJ28" s="46" t="s">
        <v>83</v>
      </c>
      <c r="BK28" s="25">
        <v>49502001</v>
      </c>
      <c r="BL28" s="23">
        <v>4</v>
      </c>
      <c r="BM28"/>
      <c r="BN28" s="109" t="s">
        <v>84</v>
      </c>
      <c r="BO28" s="109">
        <f>MATCH($A$37,BE22:BE28,0)</f>
        <v>1</v>
      </c>
    </row>
    <row r="29" spans="1:67" x14ac:dyDescent="0.25">
      <c r="A29" s="110" t="s">
        <v>55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1" t="s">
        <v>21</v>
      </c>
      <c r="Y29" s="111"/>
      <c r="Z29" s="111"/>
      <c r="AA29" s="111"/>
      <c r="AB29" s="111"/>
      <c r="AC29" s="111"/>
      <c r="AD29" s="111"/>
      <c r="AE29" s="111"/>
      <c r="AF29" s="111" t="s">
        <v>24</v>
      </c>
      <c r="AG29" s="111"/>
      <c r="AH29" s="111"/>
      <c r="AI29" s="111"/>
      <c r="AJ29" s="111" t="s">
        <v>85</v>
      </c>
      <c r="AK29" s="111"/>
      <c r="AL29" s="111"/>
      <c r="AM29" s="111"/>
      <c r="AN29" s="111"/>
      <c r="AO29" s="112" t="s">
        <v>57</v>
      </c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/>
      <c r="BB29"/>
      <c r="BC29"/>
      <c r="BF29"/>
      <c r="BG29"/>
      <c r="BI29" s="23">
        <v>21</v>
      </c>
      <c r="BJ29" s="46" t="s">
        <v>116</v>
      </c>
      <c r="BK29" s="25">
        <v>49502002</v>
      </c>
      <c r="BL29" s="23">
        <v>4</v>
      </c>
      <c r="BM29"/>
      <c r="BN29" s="109"/>
      <c r="BO29" s="109"/>
    </row>
    <row r="30" spans="1:67" x14ac:dyDescent="0.25">
      <c r="A30" s="101" t="s">
        <v>20</v>
      </c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2">
        <f>VLOOKUP(A30,$BJ$9:$BL$38,2,FALSE)</f>
        <v>19501007</v>
      </c>
      <c r="Y30" s="102"/>
      <c r="Z30" s="102"/>
      <c r="AA30" s="102"/>
      <c r="AB30" s="102"/>
      <c r="AC30" s="102"/>
      <c r="AD30" s="102"/>
      <c r="AE30" s="102"/>
      <c r="AF30" s="103"/>
      <c r="AG30" s="103"/>
      <c r="AH30" s="103"/>
      <c r="AI30" s="103"/>
      <c r="AJ30" s="104">
        <f>VLOOKUP(A30,$BJ$9:$BL$38,3,FALSE)</f>
        <v>4</v>
      </c>
      <c r="AK30" s="104"/>
      <c r="AL30" s="104"/>
      <c r="AM30" s="104"/>
      <c r="AN30" s="104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/>
      <c r="BB30"/>
      <c r="BC30"/>
      <c r="BF30"/>
      <c r="BG30" s="47">
        <v>1</v>
      </c>
      <c r="BI30" s="23">
        <v>22</v>
      </c>
      <c r="BJ30" s="46" t="s">
        <v>86</v>
      </c>
      <c r="BK30" s="25">
        <v>49502003</v>
      </c>
      <c r="BL30" s="23">
        <v>4</v>
      </c>
      <c r="BM30"/>
    </row>
    <row r="31" spans="1:67" x14ac:dyDescent="0.25">
      <c r="A31" s="101" t="s">
        <v>60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2" t="str">
        <f t="shared" ref="X31:X34" si="1">VLOOKUP(A31,$BJ$9:$BL$38,2,FALSE)</f>
        <v>-</v>
      </c>
      <c r="Y31" s="102"/>
      <c r="Z31" s="102"/>
      <c r="AA31" s="102"/>
      <c r="AB31" s="102"/>
      <c r="AC31" s="102"/>
      <c r="AD31" s="102"/>
      <c r="AE31" s="102"/>
      <c r="AF31" s="103"/>
      <c r="AG31" s="103"/>
      <c r="AH31" s="103"/>
      <c r="AI31" s="103"/>
      <c r="AJ31" s="104" t="str">
        <f t="shared" ref="AJ31:AJ34" si="2">VLOOKUP(A31,$BJ$9:$BL$38,3,FALSE)</f>
        <v>-</v>
      </c>
      <c r="AK31" s="104"/>
      <c r="AL31" s="104"/>
      <c r="AM31" s="104"/>
      <c r="AN31" s="104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/>
      <c r="BB31"/>
      <c r="BC31"/>
      <c r="BE31" s="48" t="s">
        <v>87</v>
      </c>
      <c r="BF31"/>
      <c r="BG31" s="49">
        <v>2</v>
      </c>
      <c r="BI31" s="23">
        <v>23</v>
      </c>
      <c r="BJ31" s="46" t="s">
        <v>88</v>
      </c>
      <c r="BK31" s="25">
        <v>49503001</v>
      </c>
      <c r="BL31" s="23">
        <v>4</v>
      </c>
      <c r="BM31"/>
    </row>
    <row r="32" spans="1:67" x14ac:dyDescent="0.25">
      <c r="A32" s="101" t="s">
        <v>60</v>
      </c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2" t="str">
        <f t="shared" si="1"/>
        <v>-</v>
      </c>
      <c r="Y32" s="102"/>
      <c r="Z32" s="102"/>
      <c r="AA32" s="102"/>
      <c r="AB32" s="102"/>
      <c r="AC32" s="102"/>
      <c r="AD32" s="102"/>
      <c r="AE32" s="102"/>
      <c r="AF32" s="103"/>
      <c r="AG32" s="103"/>
      <c r="AH32" s="103"/>
      <c r="AI32" s="103"/>
      <c r="AJ32" s="104" t="str">
        <f t="shared" si="2"/>
        <v>-</v>
      </c>
      <c r="AK32" s="104"/>
      <c r="AL32" s="104"/>
      <c r="AM32" s="104"/>
      <c r="AN32" s="104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/>
      <c r="BB32"/>
      <c r="BC32"/>
      <c r="BE32" s="50" t="s">
        <v>89</v>
      </c>
      <c r="BF32"/>
      <c r="BG32" s="51">
        <v>3</v>
      </c>
      <c r="BI32" s="23">
        <v>24</v>
      </c>
      <c r="BJ32" s="52" t="s">
        <v>62</v>
      </c>
      <c r="BK32" s="36">
        <v>49502005</v>
      </c>
      <c r="BL32" s="23">
        <v>4</v>
      </c>
      <c r="BM32"/>
      <c r="BN32" s="42" t="s">
        <v>90</v>
      </c>
      <c r="BO32" s="53">
        <f>BO24-(BO24*(BE34+M37))</f>
        <v>1738049.94</v>
      </c>
    </row>
    <row r="33" spans="1:64" x14ac:dyDescent="0.25">
      <c r="A33" s="101" t="s">
        <v>60</v>
      </c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2" t="str">
        <f t="shared" si="1"/>
        <v>-</v>
      </c>
      <c r="Y33" s="102"/>
      <c r="Z33" s="102"/>
      <c r="AA33" s="102"/>
      <c r="AB33" s="102"/>
      <c r="AC33" s="102"/>
      <c r="AD33" s="102"/>
      <c r="AE33" s="102"/>
      <c r="AF33" s="103"/>
      <c r="AG33" s="103"/>
      <c r="AH33" s="103"/>
      <c r="AI33" s="103"/>
      <c r="AJ33" s="104" t="str">
        <f t="shared" si="2"/>
        <v>-</v>
      </c>
      <c r="AK33" s="104"/>
      <c r="AL33" s="104"/>
      <c r="AM33" s="104"/>
      <c r="AN33" s="104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/>
      <c r="BB33"/>
      <c r="BC33"/>
      <c r="BF33"/>
      <c r="BG33"/>
      <c r="BI33" s="23">
        <v>25</v>
      </c>
      <c r="BJ33" s="52" t="s">
        <v>91</v>
      </c>
      <c r="BK33" s="36">
        <v>49503005</v>
      </c>
      <c r="BL33" s="23">
        <v>4</v>
      </c>
    </row>
    <row r="34" spans="1:64" x14ac:dyDescent="0.25">
      <c r="A34" s="101" t="s">
        <v>60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2" t="str">
        <f t="shared" si="1"/>
        <v>-</v>
      </c>
      <c r="Y34" s="102"/>
      <c r="Z34" s="102"/>
      <c r="AA34" s="102"/>
      <c r="AB34" s="102"/>
      <c r="AC34" s="102"/>
      <c r="AD34" s="102"/>
      <c r="AE34" s="102"/>
      <c r="AF34" s="106"/>
      <c r="AG34" s="106"/>
      <c r="AH34" s="106"/>
      <c r="AI34" s="106"/>
      <c r="AJ34" s="104" t="str">
        <f t="shared" si="2"/>
        <v>-</v>
      </c>
      <c r="AK34" s="104"/>
      <c r="AL34" s="104"/>
      <c r="AM34" s="104"/>
      <c r="AN34" s="104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/>
      <c r="BB34"/>
      <c r="BC34"/>
      <c r="BD34" s="27" t="s">
        <v>92</v>
      </c>
      <c r="BE34" s="27">
        <f>IF(M38="SI",0.1,0)</f>
        <v>0.1</v>
      </c>
      <c r="BF34"/>
      <c r="BG34"/>
      <c r="BI34" s="23">
        <v>26</v>
      </c>
      <c r="BJ34" s="52" t="s">
        <v>119</v>
      </c>
      <c r="BK34" s="36">
        <v>19502009</v>
      </c>
      <c r="BL34" s="23">
        <v>4</v>
      </c>
    </row>
    <row r="35" spans="1:64" x14ac:dyDescent="0.25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3" t="s">
        <v>93</v>
      </c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4">
        <f>SUM(AJ30:AN34)</f>
        <v>4</v>
      </c>
      <c r="AK35" s="94"/>
      <c r="AL35" s="94"/>
      <c r="AM35" s="94"/>
      <c r="AN35" s="94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/>
      <c r="BB35"/>
      <c r="BC35"/>
      <c r="BF35"/>
      <c r="BG35"/>
      <c r="BI35" s="23">
        <v>27</v>
      </c>
      <c r="BJ35" s="52" t="s">
        <v>94</v>
      </c>
      <c r="BK35" s="36">
        <v>39502008</v>
      </c>
      <c r="BL35" s="23">
        <v>4</v>
      </c>
    </row>
    <row r="36" spans="1:64" x14ac:dyDescent="0.25">
      <c r="A36" s="95" t="s">
        <v>95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/>
      <c r="BB36"/>
      <c r="BC36"/>
      <c r="BD36" t="s">
        <v>96</v>
      </c>
      <c r="BF36"/>
      <c r="BG36"/>
      <c r="BI36" s="23">
        <v>28</v>
      </c>
      <c r="BJ36" s="52" t="s">
        <v>118</v>
      </c>
      <c r="BK36" s="36">
        <v>19503026</v>
      </c>
      <c r="BL36" s="23">
        <v>4</v>
      </c>
    </row>
    <row r="37" spans="1:64" x14ac:dyDescent="0.25">
      <c r="A37" s="97" t="s">
        <v>59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8">
        <f>LOOKUP($BO$28,BD22:BD28,BF22:BF28)</f>
        <v>0</v>
      </c>
      <c r="N37" s="98"/>
      <c r="O37" s="98"/>
      <c r="P37" s="98"/>
      <c r="Q37" s="54"/>
      <c r="R37" s="99" t="s">
        <v>97</v>
      </c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61"/>
      <c r="AF37" s="61"/>
      <c r="AG37" s="61"/>
      <c r="AH37" s="61"/>
      <c r="AI37" s="61"/>
      <c r="AJ37" s="61"/>
      <c r="AK37" s="95" t="s">
        <v>98</v>
      </c>
      <c r="AL37" s="95"/>
      <c r="AM37" s="95"/>
      <c r="AN37" s="95"/>
      <c r="AO37" s="95"/>
      <c r="AP37" s="95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/>
      <c r="BB37"/>
      <c r="BC37"/>
      <c r="BD37" s="42" t="s">
        <v>99</v>
      </c>
      <c r="BE37" s="27">
        <v>1.6368000000000001E-2</v>
      </c>
      <c r="BF37"/>
      <c r="BG37"/>
      <c r="BI37" s="23">
        <v>29</v>
      </c>
      <c r="BJ37" s="52" t="s">
        <v>114</v>
      </c>
      <c r="BK37" s="36">
        <v>49502005</v>
      </c>
      <c r="BL37" s="23">
        <v>4</v>
      </c>
    </row>
    <row r="38" spans="1:64" x14ac:dyDescent="0.25">
      <c r="A38" s="78" t="s">
        <v>100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86" t="s">
        <v>87</v>
      </c>
      <c r="N38" s="86"/>
      <c r="O38" s="86"/>
      <c r="P38" s="86"/>
      <c r="Q38" s="54"/>
      <c r="R38" s="87" t="s">
        <v>101</v>
      </c>
      <c r="S38" s="87"/>
      <c r="T38" s="87"/>
      <c r="U38" s="87"/>
      <c r="V38" s="87"/>
      <c r="W38" s="87"/>
      <c r="X38" s="87"/>
      <c r="Y38" s="87"/>
      <c r="Z38" s="87"/>
      <c r="AA38" s="87"/>
      <c r="AB38" s="88">
        <f>BO32+5500</f>
        <v>1743549.94</v>
      </c>
      <c r="AC38" s="88"/>
      <c r="AD38" s="88"/>
      <c r="AE38" s="88"/>
      <c r="AF38" s="88"/>
      <c r="AG38" s="88"/>
      <c r="AH38" s="88"/>
      <c r="AI38" s="88"/>
      <c r="AJ38" s="55"/>
      <c r="AK38" s="89" t="str">
        <f>IF(M38="SI","Certificado Electoral","")</f>
        <v>Certificado Electoral</v>
      </c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/>
      <c r="BB38"/>
      <c r="BC38"/>
      <c r="BD38" t="s">
        <v>102</v>
      </c>
      <c r="BF38"/>
      <c r="BG38"/>
      <c r="BI38" s="23">
        <v>30</v>
      </c>
      <c r="BJ38" s="52" t="s">
        <v>60</v>
      </c>
      <c r="BK38" s="36" t="s">
        <v>60</v>
      </c>
      <c r="BL38" s="23" t="s">
        <v>60</v>
      </c>
    </row>
    <row r="39" spans="1:64" x14ac:dyDescent="0.25">
      <c r="A39" s="78" t="str">
        <f>IF(M39&gt;1,IF(AB38&lt;CB26,"No Valido",IF(M39&gt;2,IF(AB38&lt;CB27,"No Valido","Numero de Cuotas"),"Numero de Cuotas")),"Numero de Cuotas")</f>
        <v>Numero de Cuotas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86">
        <v>3</v>
      </c>
      <c r="N39" s="86"/>
      <c r="O39" s="86"/>
      <c r="P39" s="86"/>
      <c r="Q39" s="90" t="s">
        <v>103</v>
      </c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/>
      <c r="BB39"/>
      <c r="BC39"/>
      <c r="BD39" s="27">
        <v>1</v>
      </c>
      <c r="BE39" s="53">
        <f>BO32+5500</f>
        <v>1743549.94</v>
      </c>
      <c r="BF39" s="27">
        <v>0</v>
      </c>
      <c r="BG39" s="27">
        <v>0</v>
      </c>
      <c r="BI39" s="23">
        <v>31</v>
      </c>
      <c r="BJ39" s="52"/>
      <c r="BK39" s="36"/>
      <c r="BL39" s="23"/>
    </row>
    <row r="40" spans="1:64" x14ac:dyDescent="0.25">
      <c r="A40" s="78" t="s">
        <v>104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9"/>
      <c r="N40" s="79"/>
      <c r="O40" s="79"/>
      <c r="P40" s="79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/>
      <c r="BB40"/>
      <c r="BC40"/>
      <c r="BD40" s="27">
        <v>2</v>
      </c>
      <c r="BE40" s="53">
        <f>(BO32*0.6)+5500</f>
        <v>1048329.9639999999</v>
      </c>
      <c r="BF40" s="53">
        <f>BO32*0.4*(1+BE37)</f>
        <v>706599.33656716801</v>
      </c>
      <c r="BG40" s="27">
        <v>0</v>
      </c>
      <c r="BI40" s="56"/>
      <c r="BJ40"/>
      <c r="BK40"/>
      <c r="BL40"/>
    </row>
    <row r="41" spans="1:64" x14ac:dyDescent="0.25">
      <c r="A41" s="82" t="s">
        <v>105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3"/>
      <c r="N41" s="83"/>
      <c r="O41" s="83"/>
      <c r="P41" s="83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/>
      <c r="BB41"/>
      <c r="BC41"/>
      <c r="BD41" s="27">
        <v>3</v>
      </c>
      <c r="BE41" s="53">
        <f>(BO32*0.4)+5500</f>
        <v>700719.97600000002</v>
      </c>
      <c r="BF41" s="53">
        <f>BO32*0.3*(1+BE37)</f>
        <v>529949.50242537598</v>
      </c>
      <c r="BG41" s="53">
        <f>BO32*0.3*(1+(BE37*2))</f>
        <v>538484.02285075199</v>
      </c>
      <c r="BI41" s="56"/>
      <c r="BJ41"/>
      <c r="BK41"/>
      <c r="BL41"/>
    </row>
    <row r="42" spans="1:64" x14ac:dyDescent="0.25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/>
      <c r="BB42"/>
      <c r="BC42"/>
      <c r="BF42"/>
      <c r="BG42"/>
      <c r="BI42" s="56"/>
      <c r="BJ42"/>
      <c r="BK42"/>
      <c r="BL42"/>
    </row>
    <row r="43" spans="1:64" x14ac:dyDescent="0.25">
      <c r="A43" s="71" t="s">
        <v>106</v>
      </c>
      <c r="B43" s="71"/>
      <c r="C43" s="71"/>
      <c r="D43" s="71"/>
      <c r="E43" s="71"/>
      <c r="F43" s="71"/>
      <c r="G43" s="71"/>
      <c r="H43" s="71"/>
      <c r="I43" s="71"/>
      <c r="J43" s="72" t="s">
        <v>107</v>
      </c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 t="s">
        <v>108</v>
      </c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3" t="s">
        <v>109</v>
      </c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/>
      <c r="BB43"/>
      <c r="BC43"/>
      <c r="BF43"/>
      <c r="BG43"/>
      <c r="BI43"/>
      <c r="BJ43"/>
      <c r="BK43"/>
      <c r="BL43"/>
    </row>
    <row r="44" spans="1:64" x14ac:dyDescent="0.25">
      <c r="A44" s="74" t="s">
        <v>110</v>
      </c>
      <c r="B44" s="74"/>
      <c r="C44" s="74"/>
      <c r="D44" s="74"/>
      <c r="E44" s="74"/>
      <c r="F44" s="74"/>
      <c r="G44" s="74"/>
      <c r="H44" s="74"/>
      <c r="I44" s="74"/>
      <c r="J44" s="75">
        <f>LOOKUP(M39,BD39:BD41,BE39:BE41)</f>
        <v>700719.97600000002</v>
      </c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6">
        <v>43996</v>
      </c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7">
        <f>Z44+7</f>
        <v>44003</v>
      </c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/>
      <c r="BB44"/>
      <c r="BC44"/>
      <c r="BF44"/>
      <c r="BG44"/>
      <c r="BI44"/>
      <c r="BJ44"/>
      <c r="BK44"/>
      <c r="BL44"/>
    </row>
    <row r="45" spans="1:64" x14ac:dyDescent="0.25">
      <c r="A45" s="74" t="s">
        <v>111</v>
      </c>
      <c r="B45" s="74"/>
      <c r="C45" s="74"/>
      <c r="D45" s="74"/>
      <c r="E45" s="74"/>
      <c r="F45" s="74"/>
      <c r="G45" s="74"/>
      <c r="H45" s="74"/>
      <c r="I45" s="74"/>
      <c r="J45" s="75">
        <f>LOOKUP(M39,BD39:BD41,BF39:BF41)</f>
        <v>529949.50242537598</v>
      </c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6">
        <f>Z44+34</f>
        <v>44030</v>
      </c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7">
        <f>Z45+7</f>
        <v>44037</v>
      </c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/>
      <c r="BB45"/>
      <c r="BC45"/>
      <c r="BF45"/>
      <c r="BG45"/>
      <c r="BI45"/>
      <c r="BJ45"/>
      <c r="BK45"/>
      <c r="BL45"/>
    </row>
    <row r="46" spans="1:64" x14ac:dyDescent="0.25">
      <c r="A46" s="63" t="s">
        <v>112</v>
      </c>
      <c r="B46" s="63"/>
      <c r="C46" s="63"/>
      <c r="D46" s="63"/>
      <c r="E46" s="63"/>
      <c r="F46" s="63"/>
      <c r="G46" s="63"/>
      <c r="H46" s="63"/>
      <c r="I46" s="63"/>
      <c r="J46" s="64">
        <f>LOOKUP(M39,BD39:BD41,BG39:BG41)</f>
        <v>538484.02285075199</v>
      </c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5">
        <f>Z45+31</f>
        <v>44061</v>
      </c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6">
        <f>Z46+7</f>
        <v>44068</v>
      </c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/>
      <c r="BB46"/>
      <c r="BC46"/>
      <c r="BF46"/>
      <c r="BG46"/>
      <c r="BI46"/>
      <c r="BJ46"/>
      <c r="BK46"/>
      <c r="BL46"/>
    </row>
    <row r="47" spans="1:64" x14ac:dyDescent="0.25">
      <c r="A47" s="67" t="s">
        <v>117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/>
      <c r="BB47"/>
      <c r="BC47"/>
      <c r="BF47"/>
      <c r="BG47"/>
      <c r="BI47"/>
      <c r="BJ47"/>
      <c r="BK47"/>
      <c r="BL47"/>
    </row>
    <row r="48" spans="1:64" x14ac:dyDescent="0.2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/>
      <c r="BB48"/>
      <c r="BC48"/>
      <c r="BF48"/>
      <c r="BG48"/>
      <c r="BI48"/>
      <c r="BJ48"/>
      <c r="BK48"/>
      <c r="BL48"/>
    </row>
    <row r="49" spans="1:65" x14ac:dyDescent="0.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/>
      <c r="BB49"/>
      <c r="BC49"/>
      <c r="BF49"/>
      <c r="BG49"/>
      <c r="BI49"/>
      <c r="BJ49"/>
      <c r="BK49"/>
      <c r="BL49"/>
    </row>
    <row r="50" spans="1:65" x14ac:dyDescent="0.2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/>
      <c r="BB50"/>
      <c r="BC50"/>
      <c r="BF50"/>
      <c r="BG50"/>
      <c r="BI50"/>
      <c r="BJ50"/>
      <c r="BK50"/>
      <c r="BL50"/>
    </row>
    <row r="51" spans="1:65" x14ac:dyDescent="0.2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70" t="s">
        <v>113</v>
      </c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/>
      <c r="BB51"/>
      <c r="BC51"/>
      <c r="BF51"/>
      <c r="BG51"/>
      <c r="BI51"/>
      <c r="BJ51"/>
      <c r="BK51"/>
      <c r="BL51"/>
    </row>
    <row r="52" spans="1:65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/>
      <c r="BB52"/>
      <c r="BC52"/>
      <c r="BF52"/>
      <c r="BG52"/>
      <c r="BI52"/>
      <c r="BJ52"/>
      <c r="BK52"/>
      <c r="BL52"/>
    </row>
    <row r="53" spans="1:65" x14ac:dyDescent="0.25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/>
      <c r="BB53"/>
      <c r="BC53"/>
      <c r="BF53"/>
      <c r="BG53"/>
      <c r="BI53"/>
      <c r="BJ53"/>
      <c r="BK53"/>
      <c r="BL53"/>
    </row>
    <row r="54" spans="1:65" x14ac:dyDescent="0.25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/>
      <c r="BB54"/>
      <c r="BC54"/>
      <c r="BF54"/>
      <c r="BG54"/>
      <c r="BI54"/>
      <c r="BJ54"/>
      <c r="BK54"/>
      <c r="BL54"/>
    </row>
    <row r="55" spans="1:65" s="152" customFormat="1" x14ac:dyDescent="0.25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153"/>
      <c r="AV55" s="153"/>
      <c r="AW55" s="153"/>
      <c r="AX55" s="153"/>
      <c r="AY55" s="153"/>
      <c r="AZ55" s="153"/>
      <c r="BM55" s="154"/>
    </row>
    <row r="56" spans="1:65" s="152" customFormat="1" x14ac:dyDescent="0.25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153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3"/>
      <c r="BM56" s="154"/>
    </row>
    <row r="57" spans="1:65" s="152" customFormat="1" x14ac:dyDescent="0.25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  <c r="AY57" s="153"/>
      <c r="AZ57" s="153"/>
      <c r="BM57" s="154"/>
    </row>
    <row r="58" spans="1:65" s="152" customFormat="1" x14ac:dyDescent="0.25">
      <c r="A58" s="153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3"/>
      <c r="BM58" s="154"/>
    </row>
    <row r="59" spans="1:65" s="152" customFormat="1" x14ac:dyDescent="0.25">
      <c r="A59" s="153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M59" s="154"/>
    </row>
    <row r="60" spans="1:65" s="152" customFormat="1" x14ac:dyDescent="0.25">
      <c r="A60" s="153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M60" s="154"/>
    </row>
    <row r="61" spans="1:65" s="152" customFormat="1" x14ac:dyDescent="0.25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M61" s="154"/>
    </row>
    <row r="62" spans="1:65" s="152" customFormat="1" x14ac:dyDescent="0.25">
      <c r="A62" s="153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M62" s="154"/>
    </row>
    <row r="63" spans="1:65" s="152" customFormat="1" x14ac:dyDescent="0.25">
      <c r="A63" s="153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  <c r="AC63" s="153"/>
      <c r="AD63" s="153"/>
      <c r="AE63" s="153"/>
      <c r="AF63" s="153"/>
      <c r="AG63" s="153"/>
      <c r="AH63" s="153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M63" s="154"/>
    </row>
    <row r="64" spans="1:65" s="152" customFormat="1" x14ac:dyDescent="0.25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3"/>
      <c r="AJ64" s="153"/>
      <c r="AK64" s="153"/>
      <c r="AL64" s="153"/>
      <c r="AM64" s="153"/>
      <c r="AN64" s="153"/>
      <c r="AO64" s="153"/>
      <c r="AP64" s="153"/>
      <c r="AQ64" s="153"/>
      <c r="AR64" s="153"/>
      <c r="AS64" s="153"/>
      <c r="AT64" s="153"/>
      <c r="AU64" s="153"/>
      <c r="AV64" s="153"/>
      <c r="AW64" s="153"/>
      <c r="AX64" s="153"/>
      <c r="AY64" s="153"/>
      <c r="AZ64" s="153"/>
      <c r="BM64" s="154"/>
    </row>
    <row r="65" spans="1:65" s="152" customFormat="1" x14ac:dyDescent="0.25">
      <c r="A65" s="153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  <c r="AJ65" s="153"/>
      <c r="AK65" s="153"/>
      <c r="AL65" s="153"/>
      <c r="AM65" s="153"/>
      <c r="AN65" s="153"/>
      <c r="AO65" s="153"/>
      <c r="AP65" s="153"/>
      <c r="AQ65" s="153"/>
      <c r="AR65" s="153"/>
      <c r="AS65" s="153"/>
      <c r="AT65" s="153"/>
      <c r="AU65" s="153"/>
      <c r="AV65" s="153"/>
      <c r="AW65" s="153"/>
      <c r="AX65" s="153"/>
      <c r="AY65" s="153"/>
      <c r="AZ65" s="153"/>
      <c r="BA65" s="155"/>
      <c r="BB65" s="155"/>
      <c r="BC65" s="155"/>
      <c r="BF65" s="154"/>
      <c r="BG65" s="154"/>
      <c r="BI65" s="154"/>
      <c r="BJ65" s="154"/>
      <c r="BK65" s="156"/>
      <c r="BL65" s="157"/>
      <c r="BM65" s="154"/>
    </row>
    <row r="66" spans="1:65" s="152" customFormat="1" x14ac:dyDescent="0.25">
      <c r="A66" s="153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5"/>
      <c r="BB66" s="155"/>
      <c r="BC66" s="155"/>
      <c r="BF66" s="154"/>
      <c r="BG66" s="154"/>
      <c r="BI66" s="154"/>
      <c r="BJ66" s="154"/>
      <c r="BK66" s="156"/>
      <c r="BL66" s="157"/>
      <c r="BM66" s="154"/>
    </row>
    <row r="67" spans="1:65" s="152" customFormat="1" x14ac:dyDescent="0.25">
      <c r="A67" s="153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  <c r="AC67" s="153"/>
      <c r="AD67" s="153"/>
      <c r="AE67" s="153"/>
      <c r="AF67" s="153"/>
      <c r="AG67" s="153"/>
      <c r="AH67" s="153"/>
      <c r="AI67" s="153"/>
      <c r="AJ67" s="153"/>
      <c r="AK67" s="153"/>
      <c r="AL67" s="153"/>
      <c r="AM67" s="153"/>
      <c r="AN67" s="153"/>
      <c r="AO67" s="153"/>
      <c r="AP67" s="153"/>
      <c r="AQ67" s="153"/>
      <c r="AR67" s="153"/>
      <c r="AS67" s="153"/>
      <c r="AT67" s="153"/>
      <c r="AU67" s="153"/>
      <c r="AV67" s="153"/>
      <c r="AW67" s="153"/>
      <c r="AX67" s="153"/>
      <c r="AY67" s="153"/>
      <c r="AZ67" s="153"/>
      <c r="BA67" s="155"/>
      <c r="BB67" s="155"/>
      <c r="BC67" s="155"/>
      <c r="BF67" s="154"/>
      <c r="BG67" s="154"/>
      <c r="BI67" s="154"/>
      <c r="BJ67" s="154"/>
      <c r="BK67" s="156"/>
      <c r="BL67" s="157"/>
      <c r="BM67" s="154"/>
    </row>
    <row r="68" spans="1:65" s="152" customFormat="1" x14ac:dyDescent="0.25">
      <c r="A68" s="153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153"/>
      <c r="AI68" s="153"/>
      <c r="AJ68" s="153"/>
      <c r="AK68" s="153"/>
      <c r="AL68" s="153"/>
      <c r="AM68" s="153"/>
      <c r="AN68" s="153"/>
      <c r="AO68" s="153"/>
      <c r="AP68" s="153"/>
      <c r="AQ68" s="153"/>
      <c r="AR68" s="153"/>
      <c r="AS68" s="153"/>
      <c r="AT68" s="153"/>
      <c r="AU68" s="153"/>
      <c r="AV68" s="153"/>
      <c r="AW68" s="153"/>
      <c r="AX68" s="153"/>
      <c r="AY68" s="153"/>
      <c r="AZ68" s="153"/>
      <c r="BA68" s="155"/>
      <c r="BB68" s="155"/>
      <c r="BC68" s="155"/>
      <c r="BF68" s="154"/>
      <c r="BG68" s="154"/>
      <c r="BI68" s="154"/>
      <c r="BJ68" s="154"/>
      <c r="BK68" s="156"/>
      <c r="BL68" s="157"/>
      <c r="BM68" s="154"/>
    </row>
    <row r="69" spans="1:65" s="152" customFormat="1" x14ac:dyDescent="0.25">
      <c r="A69" s="153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  <c r="AC69" s="153"/>
      <c r="AD69" s="153"/>
      <c r="AE69" s="153"/>
      <c r="AF69" s="153"/>
      <c r="AG69" s="153"/>
      <c r="AH69" s="153"/>
      <c r="AI69" s="153"/>
      <c r="AJ69" s="153"/>
      <c r="AK69" s="153"/>
      <c r="AL69" s="153"/>
      <c r="AM69" s="153"/>
      <c r="AN69" s="153"/>
      <c r="AO69" s="153"/>
      <c r="AP69" s="153"/>
      <c r="AQ69" s="153"/>
      <c r="AR69" s="153"/>
      <c r="AS69" s="153"/>
      <c r="AT69" s="153"/>
      <c r="AU69" s="153"/>
      <c r="AV69" s="153"/>
      <c r="AW69" s="153"/>
      <c r="AX69" s="153"/>
      <c r="AY69" s="153"/>
      <c r="AZ69" s="153"/>
      <c r="BA69" s="155"/>
      <c r="BB69" s="155"/>
      <c r="BC69" s="155"/>
      <c r="BF69" s="154"/>
      <c r="BG69" s="154"/>
      <c r="BI69" s="154"/>
      <c r="BJ69" s="154"/>
      <c r="BK69" s="156"/>
      <c r="BL69" s="157"/>
      <c r="BM69" s="154"/>
    </row>
    <row r="70" spans="1:65" s="152" customFormat="1" x14ac:dyDescent="0.25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  <c r="AC70" s="153"/>
      <c r="AD70" s="153"/>
      <c r="AE70" s="153"/>
      <c r="AF70" s="153"/>
      <c r="AG70" s="153"/>
      <c r="AH70" s="153"/>
      <c r="AI70" s="153"/>
      <c r="AJ70" s="153"/>
      <c r="AK70" s="153"/>
      <c r="AL70" s="153"/>
      <c r="AM70" s="153"/>
      <c r="AN70" s="153"/>
      <c r="AO70" s="153"/>
      <c r="AP70" s="153"/>
      <c r="AQ70" s="153"/>
      <c r="AR70" s="153"/>
      <c r="AS70" s="153"/>
      <c r="AT70" s="153"/>
      <c r="AU70" s="153"/>
      <c r="AV70" s="153"/>
      <c r="AW70" s="153"/>
      <c r="AX70" s="153"/>
      <c r="AY70" s="153"/>
      <c r="AZ70" s="153"/>
      <c r="BA70" s="155"/>
      <c r="BB70" s="155"/>
      <c r="BC70" s="155"/>
      <c r="BF70" s="154"/>
      <c r="BG70" s="154"/>
      <c r="BI70" s="154"/>
      <c r="BJ70" s="154"/>
      <c r="BK70" s="156"/>
      <c r="BL70" s="157"/>
      <c r="BM70" s="154"/>
    </row>
    <row r="71" spans="1:65" s="152" customFormat="1" x14ac:dyDescent="0.25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S71" s="153"/>
      <c r="AT71" s="153"/>
      <c r="AU71" s="153"/>
      <c r="AV71" s="153"/>
      <c r="AW71" s="153"/>
      <c r="AX71" s="153"/>
      <c r="AY71" s="153"/>
      <c r="AZ71" s="153"/>
      <c r="BA71" s="155"/>
      <c r="BB71" s="155"/>
      <c r="BC71" s="155"/>
      <c r="BF71" s="154"/>
      <c r="BG71" s="154"/>
      <c r="BI71" s="154"/>
      <c r="BJ71" s="154"/>
      <c r="BK71" s="156"/>
      <c r="BL71" s="157"/>
      <c r="BM71" s="154"/>
    </row>
    <row r="72" spans="1:65" s="152" customFormat="1" x14ac:dyDescent="0.25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  <c r="AJ72" s="153"/>
      <c r="AK72" s="153"/>
      <c r="AL72" s="153"/>
      <c r="AM72" s="153"/>
      <c r="AN72" s="153"/>
      <c r="AO72" s="153"/>
      <c r="AP72" s="153"/>
      <c r="AQ72" s="153"/>
      <c r="AR72" s="153"/>
      <c r="AS72" s="153"/>
      <c r="AT72" s="153"/>
      <c r="AU72" s="153"/>
      <c r="AV72" s="153"/>
      <c r="AW72" s="153"/>
      <c r="AX72" s="153"/>
      <c r="AY72" s="153"/>
      <c r="AZ72" s="153"/>
      <c r="BA72" s="155"/>
      <c r="BB72" s="155"/>
      <c r="BC72" s="155"/>
      <c r="BF72" s="154"/>
      <c r="BG72" s="154"/>
      <c r="BI72" s="154"/>
      <c r="BJ72" s="154"/>
      <c r="BK72" s="156"/>
      <c r="BL72" s="157"/>
      <c r="BM72" s="154"/>
    </row>
    <row r="73" spans="1:65" s="152" customFormat="1" x14ac:dyDescent="0.25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  <c r="AJ73" s="153"/>
      <c r="AK73" s="153"/>
      <c r="AL73" s="153"/>
      <c r="AM73" s="153"/>
      <c r="AN73" s="153"/>
      <c r="AO73" s="153"/>
      <c r="AP73" s="153"/>
      <c r="AQ73" s="153"/>
      <c r="AR73" s="153"/>
      <c r="AS73" s="153"/>
      <c r="AT73" s="153"/>
      <c r="AU73" s="153"/>
      <c r="AV73" s="153"/>
      <c r="AW73" s="153"/>
      <c r="AX73" s="153"/>
      <c r="AY73" s="153"/>
      <c r="AZ73" s="153"/>
      <c r="BA73" s="155"/>
      <c r="BB73" s="155"/>
      <c r="BC73" s="155"/>
      <c r="BF73" s="154"/>
      <c r="BG73" s="154"/>
      <c r="BI73" s="154"/>
      <c r="BJ73" s="154"/>
      <c r="BK73" s="156"/>
      <c r="BL73" s="157"/>
      <c r="BM73" s="154"/>
    </row>
    <row r="74" spans="1:65" s="152" customFormat="1" x14ac:dyDescent="0.25">
      <c r="A74" s="153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3"/>
      <c r="AI74" s="153"/>
      <c r="AJ74" s="153"/>
      <c r="AK74" s="153"/>
      <c r="AL74" s="153"/>
      <c r="AM74" s="153"/>
      <c r="AN74" s="153"/>
      <c r="AO74" s="153"/>
      <c r="AP74" s="153"/>
      <c r="AQ74" s="153"/>
      <c r="AR74" s="153"/>
      <c r="AS74" s="153"/>
      <c r="AT74" s="153"/>
      <c r="AU74" s="153"/>
      <c r="AV74" s="153"/>
      <c r="AW74" s="153"/>
      <c r="AX74" s="153"/>
      <c r="AY74" s="153"/>
      <c r="AZ74" s="153"/>
      <c r="BA74" s="155"/>
      <c r="BB74" s="155"/>
      <c r="BC74" s="155"/>
      <c r="BF74" s="154"/>
      <c r="BG74" s="154"/>
      <c r="BI74" s="154"/>
      <c r="BJ74" s="154"/>
      <c r="BK74" s="156"/>
      <c r="BL74" s="157"/>
      <c r="BM74" s="154"/>
    </row>
    <row r="75" spans="1:65" s="152" customFormat="1" x14ac:dyDescent="0.25">
      <c r="A75" s="153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  <c r="AR75" s="153"/>
      <c r="AS75" s="153"/>
      <c r="AT75" s="153"/>
      <c r="AU75" s="153"/>
      <c r="AV75" s="153"/>
      <c r="AW75" s="153"/>
      <c r="AX75" s="153"/>
      <c r="AY75" s="153"/>
      <c r="AZ75" s="153"/>
      <c r="BA75" s="155"/>
      <c r="BB75" s="155"/>
      <c r="BC75" s="155"/>
      <c r="BF75" s="154"/>
      <c r="BG75" s="154"/>
      <c r="BI75" s="154"/>
      <c r="BJ75" s="154"/>
      <c r="BK75" s="156"/>
      <c r="BL75" s="157"/>
      <c r="BM75" s="154"/>
    </row>
    <row r="76" spans="1:65" s="152" customFormat="1" x14ac:dyDescent="0.25">
      <c r="BA76" s="155"/>
      <c r="BB76" s="155"/>
      <c r="BC76" s="155"/>
      <c r="BF76" s="154"/>
      <c r="BG76" s="154"/>
      <c r="BI76" s="154"/>
      <c r="BJ76" s="154"/>
      <c r="BK76" s="156"/>
      <c r="BL76" s="157"/>
      <c r="BM76" s="154"/>
    </row>
    <row r="77" spans="1:65" s="152" customFormat="1" x14ac:dyDescent="0.25">
      <c r="BA77" s="155"/>
      <c r="BB77" s="155"/>
      <c r="BC77" s="155"/>
      <c r="BF77" s="154"/>
      <c r="BG77" s="154"/>
      <c r="BI77" s="154"/>
      <c r="BJ77" s="154"/>
      <c r="BK77" s="156"/>
      <c r="BL77" s="157"/>
      <c r="BM77" s="154"/>
    </row>
    <row r="78" spans="1:65" s="152" customFormat="1" x14ac:dyDescent="0.25">
      <c r="BA78" s="155"/>
      <c r="BB78" s="155"/>
      <c r="BC78" s="155"/>
      <c r="BF78" s="154"/>
      <c r="BG78" s="154"/>
      <c r="BI78" s="154"/>
      <c r="BJ78" s="154"/>
      <c r="BK78" s="156"/>
      <c r="BL78" s="157"/>
      <c r="BM78" s="154"/>
    </row>
    <row r="79" spans="1:65" s="152" customFormat="1" x14ac:dyDescent="0.25">
      <c r="BA79" s="155"/>
      <c r="BB79" s="155"/>
      <c r="BC79" s="155"/>
      <c r="BF79" s="154"/>
      <c r="BG79" s="154"/>
      <c r="BI79" s="154"/>
      <c r="BJ79" s="154"/>
      <c r="BK79" s="156"/>
      <c r="BL79" s="157"/>
      <c r="BM79" s="154"/>
    </row>
    <row r="80" spans="1:65" s="152" customFormat="1" x14ac:dyDescent="0.25">
      <c r="BA80" s="155"/>
      <c r="BB80" s="155"/>
      <c r="BC80" s="155"/>
      <c r="BF80" s="154"/>
      <c r="BG80" s="154"/>
      <c r="BI80" s="154"/>
      <c r="BJ80" s="154"/>
      <c r="BK80" s="156"/>
      <c r="BL80" s="157"/>
      <c r="BM80" s="154"/>
    </row>
    <row r="81" spans="53:65" s="152" customFormat="1" x14ac:dyDescent="0.25">
      <c r="BA81" s="155"/>
      <c r="BB81" s="155"/>
      <c r="BC81" s="155"/>
      <c r="BF81" s="154"/>
      <c r="BG81" s="154"/>
      <c r="BI81" s="154"/>
      <c r="BJ81" s="154"/>
      <c r="BK81" s="156"/>
      <c r="BL81" s="157"/>
      <c r="BM81" s="154"/>
    </row>
    <row r="82" spans="53:65" s="152" customFormat="1" x14ac:dyDescent="0.25">
      <c r="BA82" s="155"/>
      <c r="BB82" s="155"/>
      <c r="BC82" s="155"/>
      <c r="BF82" s="154"/>
      <c r="BG82" s="154"/>
      <c r="BI82" s="154"/>
      <c r="BJ82" s="154"/>
      <c r="BK82" s="156"/>
      <c r="BL82" s="157"/>
      <c r="BM82" s="154"/>
    </row>
    <row r="83" spans="53:65" s="152" customFormat="1" x14ac:dyDescent="0.25">
      <c r="BA83" s="155"/>
      <c r="BB83" s="155"/>
      <c r="BC83" s="155"/>
      <c r="BF83" s="154"/>
      <c r="BG83" s="154"/>
      <c r="BI83" s="154"/>
      <c r="BJ83" s="154"/>
      <c r="BK83" s="156"/>
      <c r="BL83" s="157"/>
      <c r="BM83" s="154"/>
    </row>
    <row r="84" spans="53:65" s="152" customFormat="1" x14ac:dyDescent="0.25">
      <c r="BA84" s="155"/>
      <c r="BB84" s="155"/>
      <c r="BC84" s="155"/>
      <c r="BF84" s="154"/>
      <c r="BG84" s="154"/>
      <c r="BI84" s="154"/>
      <c r="BJ84" s="154"/>
      <c r="BK84" s="156"/>
      <c r="BL84" s="157"/>
      <c r="BM84" s="154"/>
    </row>
    <row r="85" spans="53:65" s="152" customFormat="1" x14ac:dyDescent="0.25">
      <c r="BA85" s="155"/>
      <c r="BB85" s="155"/>
      <c r="BC85" s="155"/>
      <c r="BF85" s="154"/>
      <c r="BG85" s="154"/>
      <c r="BI85" s="154"/>
      <c r="BJ85" s="154"/>
      <c r="BK85" s="156"/>
      <c r="BL85" s="157"/>
      <c r="BM85" s="154"/>
    </row>
    <row r="86" spans="53:65" s="152" customFormat="1" x14ac:dyDescent="0.25">
      <c r="BA86" s="155"/>
      <c r="BB86" s="155"/>
      <c r="BC86" s="155"/>
      <c r="BF86" s="154"/>
      <c r="BG86" s="154"/>
      <c r="BI86" s="154"/>
      <c r="BJ86" s="154"/>
      <c r="BK86" s="156"/>
      <c r="BL86" s="157"/>
      <c r="BM86" s="154"/>
    </row>
    <row r="87" spans="53:65" s="152" customFormat="1" x14ac:dyDescent="0.25">
      <c r="BA87" s="155"/>
      <c r="BB87" s="155"/>
      <c r="BC87" s="155"/>
      <c r="BF87" s="154"/>
      <c r="BG87" s="154"/>
      <c r="BI87" s="154"/>
      <c r="BJ87" s="154"/>
      <c r="BK87" s="156"/>
      <c r="BL87" s="157"/>
      <c r="BM87" s="154"/>
    </row>
    <row r="88" spans="53:65" s="152" customFormat="1" x14ac:dyDescent="0.25">
      <c r="BA88" s="155"/>
      <c r="BB88" s="155"/>
      <c r="BC88" s="155"/>
      <c r="BF88" s="154"/>
      <c r="BG88" s="154"/>
      <c r="BI88" s="154"/>
      <c r="BJ88" s="154"/>
      <c r="BK88" s="156"/>
      <c r="BL88" s="157"/>
      <c r="BM88" s="154"/>
    </row>
    <row r="89" spans="53:65" s="152" customFormat="1" x14ac:dyDescent="0.25">
      <c r="BA89" s="155"/>
      <c r="BB89" s="155"/>
      <c r="BC89" s="155"/>
      <c r="BF89" s="154"/>
      <c r="BG89" s="154"/>
      <c r="BI89" s="154"/>
      <c r="BJ89" s="154"/>
      <c r="BK89" s="156"/>
      <c r="BL89" s="157"/>
      <c r="BM89" s="154"/>
    </row>
    <row r="90" spans="53:65" s="152" customFormat="1" x14ac:dyDescent="0.25">
      <c r="BA90" s="155"/>
      <c r="BB90" s="155"/>
      <c r="BC90" s="155"/>
      <c r="BF90" s="154"/>
      <c r="BG90" s="154"/>
      <c r="BI90" s="154"/>
      <c r="BJ90" s="154"/>
      <c r="BK90" s="156"/>
      <c r="BL90" s="157"/>
      <c r="BM90" s="154"/>
    </row>
    <row r="91" spans="53:65" s="152" customFormat="1" x14ac:dyDescent="0.25">
      <c r="BA91" s="155"/>
      <c r="BB91" s="155"/>
      <c r="BC91" s="155"/>
      <c r="BF91" s="154"/>
      <c r="BG91" s="154"/>
      <c r="BI91" s="154"/>
      <c r="BJ91" s="154"/>
      <c r="BK91" s="156"/>
      <c r="BL91" s="157"/>
      <c r="BM91" s="154"/>
    </row>
    <row r="92" spans="53:65" s="152" customFormat="1" x14ac:dyDescent="0.25">
      <c r="BA92" s="155"/>
      <c r="BB92" s="155"/>
      <c r="BC92" s="155"/>
      <c r="BF92" s="154"/>
      <c r="BG92" s="154"/>
      <c r="BI92" s="154"/>
      <c r="BJ92" s="154"/>
      <c r="BK92" s="156"/>
      <c r="BL92" s="157"/>
      <c r="BM92" s="154"/>
    </row>
    <row r="93" spans="53:65" s="152" customFormat="1" x14ac:dyDescent="0.25">
      <c r="BA93" s="155"/>
      <c r="BB93" s="155"/>
      <c r="BC93" s="155"/>
      <c r="BF93" s="154"/>
      <c r="BG93" s="154"/>
      <c r="BI93" s="154"/>
      <c r="BJ93" s="154"/>
      <c r="BK93" s="156"/>
      <c r="BL93" s="157"/>
      <c r="BM93" s="154"/>
    </row>
    <row r="94" spans="53:65" s="152" customFormat="1" x14ac:dyDescent="0.25">
      <c r="BA94" s="155"/>
      <c r="BB94" s="155"/>
      <c r="BC94" s="155"/>
      <c r="BF94" s="154"/>
      <c r="BG94" s="154"/>
      <c r="BI94" s="154"/>
      <c r="BJ94" s="154"/>
      <c r="BK94" s="156"/>
      <c r="BL94" s="157"/>
      <c r="BM94" s="154"/>
    </row>
    <row r="95" spans="53:65" s="152" customFormat="1" x14ac:dyDescent="0.25">
      <c r="BA95" s="155"/>
      <c r="BB95" s="155"/>
      <c r="BC95" s="155"/>
      <c r="BF95" s="154"/>
      <c r="BG95" s="154"/>
      <c r="BI95" s="154"/>
      <c r="BJ95" s="154"/>
      <c r="BK95" s="156"/>
      <c r="BL95" s="157"/>
      <c r="BM95" s="154"/>
    </row>
    <row r="96" spans="53:65" s="152" customFormat="1" x14ac:dyDescent="0.25">
      <c r="BA96" s="155"/>
      <c r="BB96" s="155"/>
      <c r="BC96" s="155"/>
      <c r="BF96" s="154"/>
      <c r="BG96" s="154"/>
      <c r="BI96" s="154"/>
      <c r="BJ96" s="154"/>
      <c r="BK96" s="156"/>
      <c r="BL96" s="157"/>
      <c r="BM96" s="154"/>
    </row>
    <row r="97" spans="53:65" s="152" customFormat="1" x14ac:dyDescent="0.25">
      <c r="BA97" s="155"/>
      <c r="BB97" s="155"/>
      <c r="BC97" s="155"/>
      <c r="BF97" s="154"/>
      <c r="BG97" s="154"/>
      <c r="BI97" s="154"/>
      <c r="BJ97" s="154"/>
      <c r="BK97" s="156"/>
      <c r="BL97" s="157"/>
      <c r="BM97" s="154"/>
    </row>
    <row r="98" spans="53:65" s="152" customFormat="1" x14ac:dyDescent="0.25">
      <c r="BA98" s="155"/>
      <c r="BB98" s="155"/>
      <c r="BC98" s="155"/>
      <c r="BF98" s="154"/>
      <c r="BG98" s="154"/>
      <c r="BI98" s="154"/>
      <c r="BJ98" s="154"/>
      <c r="BK98" s="156"/>
      <c r="BL98" s="157"/>
      <c r="BM98" s="154"/>
    </row>
    <row r="99" spans="53:65" s="152" customFormat="1" x14ac:dyDescent="0.25">
      <c r="BA99" s="155"/>
      <c r="BB99" s="155"/>
      <c r="BC99" s="155"/>
      <c r="BF99" s="154"/>
      <c r="BG99" s="154"/>
      <c r="BI99" s="154"/>
      <c r="BJ99" s="154"/>
      <c r="BK99" s="156"/>
      <c r="BL99" s="157"/>
      <c r="BM99" s="154"/>
    </row>
    <row r="100" spans="53:65" s="152" customFormat="1" x14ac:dyDescent="0.25">
      <c r="BA100" s="155"/>
      <c r="BB100" s="155"/>
      <c r="BC100" s="155"/>
      <c r="BF100" s="154"/>
      <c r="BG100" s="154"/>
      <c r="BI100" s="154"/>
      <c r="BJ100" s="154"/>
      <c r="BK100" s="156"/>
      <c r="BL100" s="157"/>
      <c r="BM100" s="154"/>
    </row>
    <row r="101" spans="53:65" s="152" customFormat="1" x14ac:dyDescent="0.25">
      <c r="BA101" s="155"/>
      <c r="BB101" s="155"/>
      <c r="BC101" s="155"/>
      <c r="BF101" s="154"/>
      <c r="BG101" s="154"/>
      <c r="BI101" s="154"/>
      <c r="BJ101" s="154"/>
      <c r="BK101" s="156"/>
      <c r="BL101" s="157"/>
      <c r="BM101" s="154"/>
    </row>
    <row r="102" spans="53:65" s="152" customFormat="1" x14ac:dyDescent="0.25">
      <c r="BA102" s="155"/>
      <c r="BB102" s="155"/>
      <c r="BC102" s="155"/>
      <c r="BF102" s="154"/>
      <c r="BG102" s="154"/>
      <c r="BI102" s="154"/>
      <c r="BJ102" s="154"/>
      <c r="BK102" s="156"/>
      <c r="BL102" s="157"/>
      <c r="BM102" s="154"/>
    </row>
    <row r="103" spans="53:65" s="152" customFormat="1" x14ac:dyDescent="0.25">
      <c r="BA103" s="155"/>
      <c r="BB103" s="155"/>
      <c r="BC103" s="155"/>
      <c r="BF103" s="154"/>
      <c r="BG103" s="154"/>
      <c r="BI103" s="154"/>
      <c r="BJ103" s="154"/>
      <c r="BK103" s="156"/>
      <c r="BL103" s="157"/>
      <c r="BM103" s="154"/>
    </row>
    <row r="104" spans="53:65" s="152" customFormat="1" x14ac:dyDescent="0.25">
      <c r="BA104" s="155"/>
      <c r="BB104" s="155"/>
      <c r="BC104" s="155"/>
      <c r="BF104" s="154"/>
      <c r="BG104" s="154"/>
      <c r="BI104" s="154"/>
      <c r="BJ104" s="154"/>
      <c r="BK104" s="156"/>
      <c r="BL104" s="157"/>
      <c r="BM104" s="154"/>
    </row>
    <row r="105" spans="53:65" s="152" customFormat="1" x14ac:dyDescent="0.25">
      <c r="BA105" s="155"/>
      <c r="BB105" s="155"/>
      <c r="BC105" s="155"/>
      <c r="BF105" s="154"/>
      <c r="BG105" s="154"/>
      <c r="BI105" s="154"/>
      <c r="BJ105" s="154"/>
      <c r="BK105" s="156"/>
      <c r="BL105" s="157"/>
      <c r="BM105" s="154"/>
    </row>
    <row r="106" spans="53:65" s="152" customFormat="1" x14ac:dyDescent="0.25">
      <c r="BA106" s="155"/>
      <c r="BB106" s="155"/>
      <c r="BC106" s="155"/>
      <c r="BF106" s="154"/>
      <c r="BG106" s="154"/>
      <c r="BI106" s="154"/>
      <c r="BJ106" s="154"/>
      <c r="BK106" s="156"/>
      <c r="BL106" s="157"/>
      <c r="BM106" s="154"/>
    </row>
    <row r="107" spans="53:65" s="152" customFormat="1" x14ac:dyDescent="0.25">
      <c r="BA107" s="155"/>
      <c r="BB107" s="155"/>
      <c r="BC107" s="155"/>
      <c r="BF107" s="154"/>
      <c r="BG107" s="154"/>
      <c r="BI107" s="154"/>
      <c r="BJ107" s="154"/>
      <c r="BK107" s="156"/>
      <c r="BL107" s="157"/>
      <c r="BM107" s="154"/>
    </row>
    <row r="108" spans="53:65" s="152" customFormat="1" x14ac:dyDescent="0.25">
      <c r="BA108" s="155"/>
      <c r="BB108" s="155"/>
      <c r="BC108" s="155"/>
      <c r="BF108" s="154"/>
      <c r="BG108" s="154"/>
      <c r="BI108" s="154"/>
      <c r="BJ108" s="154"/>
      <c r="BK108" s="156"/>
      <c r="BL108" s="157"/>
      <c r="BM108" s="154"/>
    </row>
    <row r="109" spans="53:65" s="152" customFormat="1" x14ac:dyDescent="0.25">
      <c r="BA109" s="155"/>
      <c r="BB109" s="155"/>
      <c r="BC109" s="155"/>
      <c r="BF109" s="154"/>
      <c r="BG109" s="154"/>
      <c r="BI109" s="154"/>
      <c r="BJ109" s="154"/>
      <c r="BK109" s="156"/>
      <c r="BL109" s="157"/>
      <c r="BM109" s="154"/>
    </row>
    <row r="110" spans="53:65" s="152" customFormat="1" x14ac:dyDescent="0.25">
      <c r="BA110" s="155"/>
      <c r="BB110" s="155"/>
      <c r="BC110" s="155"/>
      <c r="BF110" s="154"/>
      <c r="BG110" s="154"/>
      <c r="BI110" s="154"/>
      <c r="BJ110" s="154"/>
      <c r="BK110" s="156"/>
      <c r="BL110" s="157"/>
      <c r="BM110" s="154"/>
    </row>
    <row r="111" spans="53:65" s="152" customFormat="1" x14ac:dyDescent="0.25">
      <c r="BA111" s="155"/>
      <c r="BB111" s="155"/>
      <c r="BC111" s="155"/>
      <c r="BF111" s="154"/>
      <c r="BG111" s="154"/>
      <c r="BI111" s="154"/>
      <c r="BJ111" s="154"/>
      <c r="BK111" s="156"/>
      <c r="BL111" s="157"/>
      <c r="BM111" s="154"/>
    </row>
    <row r="112" spans="53:65" s="152" customFormat="1" x14ac:dyDescent="0.25">
      <c r="BA112" s="155"/>
      <c r="BB112" s="155"/>
      <c r="BC112" s="155"/>
      <c r="BF112" s="154"/>
      <c r="BG112" s="154"/>
      <c r="BI112" s="154"/>
      <c r="BJ112" s="154"/>
      <c r="BK112" s="156"/>
      <c r="BL112" s="157"/>
      <c r="BM112" s="154"/>
    </row>
    <row r="113" spans="53:65" s="152" customFormat="1" x14ac:dyDescent="0.25">
      <c r="BA113" s="155"/>
      <c r="BB113" s="155"/>
      <c r="BC113" s="155"/>
      <c r="BF113" s="154"/>
      <c r="BG113" s="154"/>
      <c r="BI113" s="154"/>
      <c r="BJ113" s="154"/>
      <c r="BK113" s="156"/>
      <c r="BL113" s="157"/>
      <c r="BM113" s="154"/>
    </row>
    <row r="114" spans="53:65" s="152" customFormat="1" x14ac:dyDescent="0.25">
      <c r="BA114" s="155"/>
      <c r="BB114" s="155"/>
      <c r="BC114" s="155"/>
      <c r="BF114" s="154"/>
      <c r="BG114" s="154"/>
      <c r="BI114" s="154"/>
      <c r="BJ114" s="154"/>
      <c r="BK114" s="156"/>
      <c r="BL114" s="157"/>
      <c r="BM114" s="154"/>
    </row>
    <row r="115" spans="53:65" s="152" customFormat="1" x14ac:dyDescent="0.25">
      <c r="BA115" s="155"/>
      <c r="BB115" s="155"/>
      <c r="BC115" s="155"/>
      <c r="BF115" s="154"/>
      <c r="BG115" s="154"/>
      <c r="BI115" s="154"/>
      <c r="BJ115" s="154"/>
      <c r="BK115" s="156"/>
      <c r="BL115" s="157"/>
      <c r="BM115" s="154"/>
    </row>
    <row r="116" spans="53:65" s="152" customFormat="1" x14ac:dyDescent="0.25">
      <c r="BA116" s="155"/>
      <c r="BB116" s="155"/>
      <c r="BC116" s="155"/>
      <c r="BF116" s="154"/>
      <c r="BG116" s="154"/>
      <c r="BI116" s="154"/>
      <c r="BJ116" s="154"/>
      <c r="BK116" s="156"/>
      <c r="BL116" s="157"/>
      <c r="BM116" s="154"/>
    </row>
    <row r="117" spans="53:65" s="152" customFormat="1" x14ac:dyDescent="0.25">
      <c r="BA117" s="155"/>
      <c r="BB117" s="155"/>
      <c r="BC117" s="155"/>
      <c r="BF117" s="154"/>
      <c r="BG117" s="154"/>
      <c r="BI117" s="154"/>
      <c r="BJ117" s="154"/>
      <c r="BK117" s="156"/>
      <c r="BL117" s="157"/>
      <c r="BM117" s="154"/>
    </row>
    <row r="118" spans="53:65" s="152" customFormat="1" x14ac:dyDescent="0.25">
      <c r="BA118" s="155"/>
      <c r="BB118" s="155"/>
      <c r="BC118" s="155"/>
      <c r="BF118" s="154"/>
      <c r="BG118" s="154"/>
      <c r="BI118" s="154"/>
      <c r="BJ118" s="154"/>
      <c r="BK118" s="156"/>
      <c r="BL118" s="157"/>
      <c r="BM118" s="154"/>
    </row>
    <row r="119" spans="53:65" s="152" customFormat="1" x14ac:dyDescent="0.25">
      <c r="BA119" s="155"/>
      <c r="BB119" s="155"/>
      <c r="BC119" s="155"/>
      <c r="BF119" s="154"/>
      <c r="BG119" s="154"/>
      <c r="BI119" s="154"/>
      <c r="BJ119" s="154"/>
      <c r="BK119" s="156"/>
      <c r="BL119" s="157"/>
      <c r="BM119" s="154"/>
    </row>
    <row r="120" spans="53:65" s="152" customFormat="1" x14ac:dyDescent="0.25">
      <c r="BA120" s="155"/>
      <c r="BB120" s="155"/>
      <c r="BC120" s="155"/>
      <c r="BF120" s="154"/>
      <c r="BG120" s="154"/>
      <c r="BI120" s="154"/>
      <c r="BJ120" s="154"/>
      <c r="BK120" s="156"/>
      <c r="BL120" s="157"/>
      <c r="BM120" s="154"/>
    </row>
    <row r="121" spans="53:65" s="152" customFormat="1" x14ac:dyDescent="0.25">
      <c r="BA121" s="155"/>
      <c r="BB121" s="155"/>
      <c r="BC121" s="155"/>
      <c r="BF121" s="154"/>
      <c r="BG121" s="154"/>
      <c r="BI121" s="154"/>
      <c r="BJ121" s="154"/>
      <c r="BK121" s="156"/>
      <c r="BL121" s="157"/>
      <c r="BM121" s="154"/>
    </row>
    <row r="122" spans="53:65" s="152" customFormat="1" x14ac:dyDescent="0.25">
      <c r="BA122" s="155"/>
      <c r="BB122" s="155"/>
      <c r="BC122" s="155"/>
      <c r="BF122" s="154"/>
      <c r="BG122" s="154"/>
      <c r="BI122" s="154"/>
      <c r="BJ122" s="154"/>
      <c r="BK122" s="156"/>
      <c r="BL122" s="157"/>
      <c r="BM122" s="154"/>
    </row>
    <row r="123" spans="53:65" s="152" customFormat="1" x14ac:dyDescent="0.25">
      <c r="BA123" s="155"/>
      <c r="BB123" s="155"/>
      <c r="BC123" s="155"/>
      <c r="BF123" s="154"/>
      <c r="BG123" s="154"/>
      <c r="BI123" s="154"/>
      <c r="BJ123" s="154"/>
      <c r="BK123" s="156"/>
      <c r="BL123" s="157"/>
      <c r="BM123" s="154"/>
    </row>
    <row r="124" spans="53:65" s="152" customFormat="1" x14ac:dyDescent="0.25">
      <c r="BA124" s="155"/>
      <c r="BB124" s="155"/>
      <c r="BC124" s="155"/>
      <c r="BF124" s="154"/>
      <c r="BG124" s="154"/>
      <c r="BI124" s="154"/>
      <c r="BJ124" s="154"/>
      <c r="BK124" s="156"/>
      <c r="BL124" s="157"/>
      <c r="BM124" s="154"/>
    </row>
    <row r="125" spans="53:65" s="152" customFormat="1" x14ac:dyDescent="0.25">
      <c r="BA125" s="155"/>
      <c r="BB125" s="155"/>
      <c r="BC125" s="155"/>
      <c r="BF125" s="154"/>
      <c r="BG125" s="154"/>
      <c r="BI125" s="154"/>
      <c r="BJ125" s="154"/>
      <c r="BK125" s="156"/>
      <c r="BL125" s="157"/>
      <c r="BM125" s="154"/>
    </row>
    <row r="126" spans="53:65" s="152" customFormat="1" x14ac:dyDescent="0.25">
      <c r="BA126" s="155"/>
      <c r="BB126" s="155"/>
      <c r="BC126" s="155"/>
      <c r="BF126" s="154"/>
      <c r="BG126" s="154"/>
      <c r="BI126" s="154"/>
      <c r="BJ126" s="154"/>
      <c r="BK126" s="156"/>
      <c r="BL126" s="157"/>
      <c r="BM126" s="154"/>
    </row>
    <row r="127" spans="53:65" s="152" customFormat="1" x14ac:dyDescent="0.25">
      <c r="BA127" s="155"/>
      <c r="BB127" s="155"/>
      <c r="BC127" s="155"/>
      <c r="BF127" s="154"/>
      <c r="BG127" s="154"/>
      <c r="BI127" s="154"/>
      <c r="BJ127" s="154"/>
      <c r="BK127" s="156"/>
      <c r="BL127" s="157"/>
      <c r="BM127" s="154"/>
    </row>
    <row r="128" spans="53:65" s="152" customFormat="1" x14ac:dyDescent="0.25">
      <c r="BA128" s="155"/>
      <c r="BB128" s="155"/>
      <c r="BC128" s="155"/>
      <c r="BF128" s="154"/>
      <c r="BG128" s="154"/>
      <c r="BI128" s="154"/>
      <c r="BJ128" s="154"/>
      <c r="BK128" s="156"/>
      <c r="BL128" s="157"/>
      <c r="BM128" s="154"/>
    </row>
    <row r="129" spans="53:65" s="152" customFormat="1" x14ac:dyDescent="0.25">
      <c r="BA129" s="155"/>
      <c r="BB129" s="155"/>
      <c r="BC129" s="155"/>
      <c r="BF129" s="154"/>
      <c r="BG129" s="154"/>
      <c r="BI129" s="154"/>
      <c r="BJ129" s="154"/>
      <c r="BK129" s="156"/>
      <c r="BL129" s="157"/>
      <c r="BM129" s="154"/>
    </row>
    <row r="130" spans="53:65" s="152" customFormat="1" x14ac:dyDescent="0.25">
      <c r="BA130" s="155"/>
      <c r="BB130" s="155"/>
      <c r="BC130" s="155"/>
      <c r="BF130" s="154"/>
      <c r="BG130" s="154"/>
      <c r="BI130" s="154"/>
      <c r="BJ130" s="154"/>
      <c r="BK130" s="156"/>
      <c r="BL130" s="157"/>
      <c r="BM130" s="154"/>
    </row>
    <row r="131" spans="53:65" s="152" customFormat="1" x14ac:dyDescent="0.25">
      <c r="BA131" s="155"/>
      <c r="BB131" s="155"/>
      <c r="BC131" s="155"/>
      <c r="BF131" s="154"/>
      <c r="BG131" s="154"/>
      <c r="BI131" s="154"/>
      <c r="BJ131" s="154"/>
      <c r="BK131" s="156"/>
      <c r="BL131" s="157"/>
      <c r="BM131" s="154"/>
    </row>
    <row r="132" spans="53:65" s="152" customFormat="1" x14ac:dyDescent="0.25">
      <c r="BA132" s="155"/>
      <c r="BB132" s="155"/>
      <c r="BC132" s="155"/>
      <c r="BF132" s="154"/>
      <c r="BG132" s="154"/>
      <c r="BI132" s="154"/>
      <c r="BJ132" s="154"/>
      <c r="BK132" s="156"/>
      <c r="BL132" s="157"/>
      <c r="BM132" s="154"/>
    </row>
    <row r="133" spans="53:65" s="152" customFormat="1" x14ac:dyDescent="0.25">
      <c r="BA133" s="155"/>
      <c r="BB133" s="155"/>
      <c r="BC133" s="155"/>
      <c r="BF133" s="154"/>
      <c r="BG133" s="154"/>
      <c r="BI133" s="154"/>
      <c r="BJ133" s="154"/>
      <c r="BK133" s="156"/>
      <c r="BL133" s="157"/>
      <c r="BM133" s="154"/>
    </row>
    <row r="134" spans="53:65" s="152" customFormat="1" x14ac:dyDescent="0.25">
      <c r="BA134" s="155"/>
      <c r="BB134" s="155"/>
      <c r="BC134" s="155"/>
      <c r="BF134" s="154"/>
      <c r="BG134" s="154"/>
      <c r="BI134" s="154"/>
      <c r="BJ134" s="154"/>
      <c r="BK134" s="156"/>
      <c r="BL134" s="157"/>
      <c r="BM134" s="154"/>
    </row>
    <row r="135" spans="53:65" s="152" customFormat="1" x14ac:dyDescent="0.25">
      <c r="BA135" s="155"/>
      <c r="BB135" s="155"/>
      <c r="BC135" s="155"/>
      <c r="BF135" s="154"/>
      <c r="BG135" s="154"/>
      <c r="BI135" s="154"/>
      <c r="BJ135" s="154"/>
      <c r="BK135" s="156"/>
      <c r="BL135" s="157"/>
      <c r="BM135" s="154"/>
    </row>
    <row r="136" spans="53:65" s="152" customFormat="1" x14ac:dyDescent="0.25">
      <c r="BA136" s="155"/>
      <c r="BB136" s="155"/>
      <c r="BC136" s="155"/>
      <c r="BF136" s="154"/>
      <c r="BG136" s="154"/>
      <c r="BI136" s="154"/>
      <c r="BJ136" s="154"/>
      <c r="BK136" s="156"/>
      <c r="BL136" s="157"/>
      <c r="BM136" s="154"/>
    </row>
    <row r="137" spans="53:65" s="152" customFormat="1" x14ac:dyDescent="0.25">
      <c r="BA137" s="155"/>
      <c r="BB137" s="155"/>
      <c r="BC137" s="155"/>
      <c r="BF137" s="154"/>
      <c r="BG137" s="154"/>
      <c r="BI137" s="154"/>
      <c r="BJ137" s="154"/>
      <c r="BK137" s="156"/>
      <c r="BL137" s="157"/>
      <c r="BM137" s="154"/>
    </row>
    <row r="138" spans="53:65" s="152" customFormat="1" x14ac:dyDescent="0.25">
      <c r="BA138" s="155"/>
      <c r="BB138" s="155"/>
      <c r="BC138" s="155"/>
      <c r="BF138" s="154"/>
      <c r="BG138" s="154"/>
      <c r="BI138" s="154"/>
      <c r="BJ138" s="154"/>
      <c r="BK138" s="156"/>
      <c r="BL138" s="157"/>
      <c r="BM138" s="154"/>
    </row>
    <row r="139" spans="53:65" s="152" customFormat="1" x14ac:dyDescent="0.25">
      <c r="BA139" s="155"/>
      <c r="BB139" s="155"/>
      <c r="BC139" s="155"/>
      <c r="BF139" s="154"/>
      <c r="BG139" s="154"/>
      <c r="BI139" s="154"/>
      <c r="BJ139" s="154"/>
      <c r="BK139" s="156"/>
      <c r="BL139" s="157"/>
      <c r="BM139" s="154"/>
    </row>
    <row r="140" spans="53:65" s="152" customFormat="1" x14ac:dyDescent="0.25">
      <c r="BA140" s="155"/>
      <c r="BB140" s="155"/>
      <c r="BC140" s="155"/>
      <c r="BF140" s="154"/>
      <c r="BG140" s="154"/>
      <c r="BI140" s="154"/>
      <c r="BJ140" s="154"/>
      <c r="BK140" s="156"/>
      <c r="BL140" s="157"/>
      <c r="BM140" s="154"/>
    </row>
    <row r="141" spans="53:65" s="152" customFormat="1" x14ac:dyDescent="0.25">
      <c r="BA141" s="155"/>
      <c r="BB141" s="155"/>
      <c r="BC141" s="155"/>
      <c r="BF141" s="154"/>
      <c r="BG141" s="154"/>
      <c r="BI141" s="154"/>
      <c r="BJ141" s="154"/>
      <c r="BK141" s="156"/>
      <c r="BL141" s="157"/>
      <c r="BM141" s="154"/>
    </row>
    <row r="142" spans="53:65" s="152" customFormat="1" x14ac:dyDescent="0.25">
      <c r="BA142" s="155"/>
      <c r="BB142" s="155"/>
      <c r="BC142" s="155"/>
      <c r="BF142" s="154"/>
      <c r="BG142" s="154"/>
      <c r="BI142" s="154"/>
      <c r="BJ142" s="154"/>
      <c r="BK142" s="156"/>
      <c r="BL142" s="157"/>
      <c r="BM142" s="154"/>
    </row>
    <row r="143" spans="53:65" s="152" customFormat="1" x14ac:dyDescent="0.25">
      <c r="BA143" s="155"/>
      <c r="BB143" s="155"/>
      <c r="BC143" s="155"/>
      <c r="BF143" s="154"/>
      <c r="BG143" s="154"/>
      <c r="BI143" s="154"/>
      <c r="BJ143" s="154"/>
      <c r="BK143" s="156"/>
      <c r="BL143" s="157"/>
      <c r="BM143" s="154"/>
    </row>
    <row r="144" spans="53:65" s="152" customFormat="1" x14ac:dyDescent="0.25">
      <c r="BA144" s="155"/>
      <c r="BB144" s="155"/>
      <c r="BC144" s="155"/>
      <c r="BF144" s="154"/>
      <c r="BG144" s="154"/>
      <c r="BI144" s="154"/>
      <c r="BJ144" s="154"/>
      <c r="BK144" s="156"/>
      <c r="BL144" s="157"/>
      <c r="BM144" s="154"/>
    </row>
    <row r="145" spans="53:65" s="152" customFormat="1" x14ac:dyDescent="0.25">
      <c r="BA145" s="155"/>
      <c r="BB145" s="155"/>
      <c r="BC145" s="155"/>
      <c r="BF145" s="154"/>
      <c r="BG145" s="154"/>
      <c r="BI145" s="154"/>
      <c r="BJ145" s="154"/>
      <c r="BK145" s="156"/>
      <c r="BL145" s="157"/>
      <c r="BM145" s="154"/>
    </row>
    <row r="146" spans="53:65" s="152" customFormat="1" x14ac:dyDescent="0.25">
      <c r="BA146" s="155"/>
      <c r="BB146" s="155"/>
      <c r="BC146" s="155"/>
      <c r="BF146" s="154"/>
      <c r="BG146" s="154"/>
      <c r="BI146" s="154"/>
      <c r="BJ146" s="154"/>
      <c r="BK146" s="156"/>
      <c r="BL146" s="157"/>
      <c r="BM146" s="154"/>
    </row>
    <row r="147" spans="53:65" s="152" customFormat="1" x14ac:dyDescent="0.25">
      <c r="BA147" s="155"/>
      <c r="BB147" s="155"/>
      <c r="BC147" s="155"/>
      <c r="BF147" s="154"/>
      <c r="BG147" s="154"/>
      <c r="BI147" s="154"/>
      <c r="BJ147" s="154"/>
      <c r="BK147" s="156"/>
      <c r="BL147" s="157"/>
      <c r="BM147" s="154"/>
    </row>
    <row r="148" spans="53:65" s="152" customFormat="1" x14ac:dyDescent="0.25">
      <c r="BA148" s="155"/>
      <c r="BB148" s="155"/>
      <c r="BC148" s="155"/>
      <c r="BF148" s="154"/>
      <c r="BG148" s="154"/>
      <c r="BI148" s="154"/>
      <c r="BJ148" s="154"/>
      <c r="BK148" s="156"/>
      <c r="BL148" s="157"/>
      <c r="BM148" s="154"/>
    </row>
    <row r="149" spans="53:65" s="152" customFormat="1" x14ac:dyDescent="0.25">
      <c r="BA149" s="155"/>
      <c r="BB149" s="155"/>
      <c r="BC149" s="155"/>
      <c r="BF149" s="154"/>
      <c r="BG149" s="154"/>
      <c r="BI149" s="154"/>
      <c r="BJ149" s="154"/>
      <c r="BK149" s="156"/>
      <c r="BL149" s="157"/>
      <c r="BM149" s="154"/>
    </row>
    <row r="150" spans="53:65" s="152" customFormat="1" x14ac:dyDescent="0.25">
      <c r="BA150" s="155"/>
      <c r="BB150" s="155"/>
      <c r="BC150" s="155"/>
      <c r="BF150" s="154"/>
      <c r="BG150" s="154"/>
      <c r="BI150" s="154"/>
      <c r="BJ150" s="154"/>
      <c r="BK150" s="156"/>
      <c r="BL150" s="157"/>
      <c r="BM150" s="154"/>
    </row>
    <row r="151" spans="53:65" s="152" customFormat="1" x14ac:dyDescent="0.25">
      <c r="BA151" s="155"/>
      <c r="BB151" s="155"/>
      <c r="BC151" s="155"/>
      <c r="BF151" s="154"/>
      <c r="BG151" s="154"/>
      <c r="BI151" s="154"/>
      <c r="BJ151" s="154"/>
      <c r="BK151" s="156"/>
      <c r="BL151" s="157"/>
      <c r="BM151" s="154"/>
    </row>
    <row r="152" spans="53:65" s="152" customFormat="1" x14ac:dyDescent="0.25">
      <c r="BA152" s="155"/>
      <c r="BB152" s="155"/>
      <c r="BC152" s="155"/>
      <c r="BF152" s="154"/>
      <c r="BG152" s="154"/>
      <c r="BI152" s="154"/>
      <c r="BJ152" s="154"/>
      <c r="BK152" s="156"/>
      <c r="BL152" s="157"/>
      <c r="BM152" s="154"/>
    </row>
    <row r="153" spans="53:65" s="152" customFormat="1" x14ac:dyDescent="0.25">
      <c r="BA153" s="155"/>
      <c r="BB153" s="155"/>
      <c r="BC153" s="155"/>
      <c r="BF153" s="154"/>
      <c r="BG153" s="154"/>
      <c r="BI153" s="154"/>
      <c r="BJ153" s="154"/>
      <c r="BK153" s="156"/>
      <c r="BL153" s="157"/>
      <c r="BM153" s="154"/>
    </row>
    <row r="154" spans="53:65" s="152" customFormat="1" x14ac:dyDescent="0.25">
      <c r="BA154" s="155"/>
      <c r="BB154" s="155"/>
      <c r="BC154" s="155"/>
      <c r="BF154" s="154"/>
      <c r="BG154" s="154"/>
      <c r="BI154" s="154"/>
      <c r="BJ154" s="154"/>
      <c r="BK154" s="156"/>
      <c r="BL154" s="157"/>
      <c r="BM154" s="154"/>
    </row>
    <row r="155" spans="53:65" s="152" customFormat="1" x14ac:dyDescent="0.25">
      <c r="BA155" s="155"/>
      <c r="BB155" s="155"/>
      <c r="BC155" s="155"/>
      <c r="BF155" s="154"/>
      <c r="BG155" s="154"/>
      <c r="BI155" s="154"/>
      <c r="BJ155" s="154"/>
      <c r="BK155" s="156"/>
      <c r="BL155" s="157"/>
      <c r="BM155" s="154"/>
    </row>
    <row r="156" spans="53:65" s="152" customFormat="1" x14ac:dyDescent="0.25">
      <c r="BA156" s="155"/>
      <c r="BB156" s="155"/>
      <c r="BC156" s="155"/>
      <c r="BF156" s="154"/>
      <c r="BG156" s="154"/>
      <c r="BI156" s="154"/>
      <c r="BJ156" s="154"/>
      <c r="BK156" s="156"/>
      <c r="BL156" s="157"/>
      <c r="BM156" s="154"/>
    </row>
    <row r="157" spans="53:65" s="152" customFormat="1" x14ac:dyDescent="0.25">
      <c r="BA157" s="155"/>
      <c r="BB157" s="155"/>
      <c r="BC157" s="155"/>
      <c r="BF157" s="154"/>
      <c r="BG157" s="154"/>
      <c r="BI157" s="154"/>
      <c r="BJ157" s="154"/>
      <c r="BK157" s="156"/>
      <c r="BL157" s="157"/>
      <c r="BM157" s="154"/>
    </row>
    <row r="158" spans="53:65" s="152" customFormat="1" x14ac:dyDescent="0.25">
      <c r="BA158" s="155"/>
      <c r="BB158" s="155"/>
      <c r="BC158" s="155"/>
      <c r="BF158" s="154"/>
      <c r="BG158" s="154"/>
      <c r="BI158" s="154"/>
      <c r="BJ158" s="154"/>
      <c r="BK158" s="156"/>
      <c r="BL158" s="157"/>
      <c r="BM158" s="154"/>
    </row>
    <row r="159" spans="53:65" s="152" customFormat="1" x14ac:dyDescent="0.25">
      <c r="BA159" s="155"/>
      <c r="BB159" s="155"/>
      <c r="BC159" s="155"/>
      <c r="BF159" s="154"/>
      <c r="BG159" s="154"/>
      <c r="BI159" s="154"/>
      <c r="BJ159" s="154"/>
      <c r="BK159" s="156"/>
      <c r="BL159" s="157"/>
      <c r="BM159" s="154"/>
    </row>
    <row r="160" spans="53:65" s="152" customFormat="1" x14ac:dyDescent="0.25">
      <c r="BA160" s="155"/>
      <c r="BB160" s="155"/>
      <c r="BC160" s="155"/>
      <c r="BF160" s="154"/>
      <c r="BG160" s="154"/>
      <c r="BI160" s="154"/>
      <c r="BJ160" s="154"/>
      <c r="BK160" s="156"/>
      <c r="BL160" s="157"/>
      <c r="BM160" s="154"/>
    </row>
    <row r="161" spans="53:65" s="152" customFormat="1" x14ac:dyDescent="0.25">
      <c r="BA161" s="155"/>
      <c r="BB161" s="155"/>
      <c r="BC161" s="155"/>
      <c r="BF161" s="154"/>
      <c r="BG161" s="154"/>
      <c r="BI161" s="154"/>
      <c r="BJ161" s="154"/>
      <c r="BK161" s="156"/>
      <c r="BL161" s="157"/>
      <c r="BM161" s="154"/>
    </row>
    <row r="162" spans="53:65" s="152" customFormat="1" x14ac:dyDescent="0.25">
      <c r="BA162" s="155"/>
      <c r="BB162" s="155"/>
      <c r="BC162" s="155"/>
      <c r="BF162" s="154"/>
      <c r="BG162" s="154"/>
      <c r="BI162" s="154"/>
      <c r="BJ162" s="154"/>
      <c r="BK162" s="156"/>
      <c r="BL162" s="157"/>
      <c r="BM162" s="154"/>
    </row>
    <row r="163" spans="53:65" s="152" customFormat="1" x14ac:dyDescent="0.25">
      <c r="BA163" s="155"/>
      <c r="BB163" s="155"/>
      <c r="BC163" s="155"/>
      <c r="BF163" s="154"/>
      <c r="BG163" s="154"/>
      <c r="BI163" s="154"/>
      <c r="BJ163" s="154"/>
      <c r="BK163" s="156"/>
      <c r="BL163" s="157"/>
      <c r="BM163" s="154"/>
    </row>
    <row r="164" spans="53:65" s="152" customFormat="1" x14ac:dyDescent="0.25">
      <c r="BA164" s="155"/>
      <c r="BB164" s="155"/>
      <c r="BC164" s="155"/>
      <c r="BF164" s="154"/>
      <c r="BG164" s="154"/>
      <c r="BI164" s="154"/>
      <c r="BJ164" s="154"/>
      <c r="BK164" s="156"/>
      <c r="BL164" s="157"/>
      <c r="BM164" s="154"/>
    </row>
    <row r="165" spans="53:65" s="152" customFormat="1" x14ac:dyDescent="0.25">
      <c r="BA165" s="155"/>
      <c r="BB165" s="155"/>
      <c r="BC165" s="155"/>
      <c r="BF165" s="154"/>
      <c r="BG165" s="154"/>
      <c r="BI165" s="154"/>
      <c r="BJ165" s="154"/>
      <c r="BK165" s="156"/>
      <c r="BL165" s="157"/>
      <c r="BM165" s="154"/>
    </row>
    <row r="166" spans="53:65" s="152" customFormat="1" x14ac:dyDescent="0.25">
      <c r="BA166" s="155"/>
      <c r="BB166" s="155"/>
      <c r="BC166" s="155"/>
      <c r="BF166" s="154"/>
      <c r="BG166" s="154"/>
      <c r="BI166" s="154"/>
      <c r="BJ166" s="154"/>
      <c r="BK166" s="156"/>
      <c r="BL166" s="157"/>
      <c r="BM166" s="154"/>
    </row>
    <row r="167" spans="53:65" s="152" customFormat="1" x14ac:dyDescent="0.25">
      <c r="BA167" s="155"/>
      <c r="BB167" s="155"/>
      <c r="BC167" s="155"/>
      <c r="BF167" s="154"/>
      <c r="BG167" s="154"/>
      <c r="BI167" s="154"/>
      <c r="BJ167" s="154"/>
      <c r="BK167" s="156"/>
      <c r="BL167" s="157"/>
      <c r="BM167" s="154"/>
    </row>
    <row r="168" spans="53:65" s="152" customFormat="1" x14ac:dyDescent="0.25">
      <c r="BA168" s="155"/>
      <c r="BB168" s="155"/>
      <c r="BC168" s="155"/>
      <c r="BF168" s="154"/>
      <c r="BG168" s="154"/>
      <c r="BI168" s="154"/>
      <c r="BJ168" s="154"/>
      <c r="BK168" s="156"/>
      <c r="BL168" s="157"/>
      <c r="BM168" s="154"/>
    </row>
    <row r="169" spans="53:65" s="152" customFormat="1" x14ac:dyDescent="0.25">
      <c r="BA169" s="155"/>
      <c r="BB169" s="155"/>
      <c r="BC169" s="155"/>
      <c r="BF169" s="154"/>
      <c r="BG169" s="154"/>
      <c r="BI169" s="154"/>
      <c r="BJ169" s="154"/>
      <c r="BK169" s="156"/>
      <c r="BL169" s="157"/>
      <c r="BM169" s="154"/>
    </row>
    <row r="170" spans="53:65" s="152" customFormat="1" x14ac:dyDescent="0.25">
      <c r="BA170" s="155"/>
      <c r="BB170" s="155"/>
      <c r="BC170" s="155"/>
      <c r="BF170" s="154"/>
      <c r="BG170" s="154"/>
      <c r="BI170" s="154"/>
      <c r="BJ170" s="154"/>
      <c r="BK170" s="156"/>
      <c r="BL170" s="157"/>
      <c r="BM170" s="154"/>
    </row>
    <row r="171" spans="53:65" s="152" customFormat="1" x14ac:dyDescent="0.25">
      <c r="BA171" s="155"/>
      <c r="BB171" s="155"/>
      <c r="BC171" s="155"/>
      <c r="BF171" s="154"/>
      <c r="BG171" s="154"/>
      <c r="BI171" s="154"/>
      <c r="BJ171" s="154"/>
      <c r="BK171" s="156"/>
      <c r="BL171" s="157"/>
      <c r="BM171" s="154"/>
    </row>
    <row r="172" spans="53:65" s="152" customFormat="1" x14ac:dyDescent="0.25">
      <c r="BA172" s="155"/>
      <c r="BB172" s="155"/>
      <c r="BC172" s="155"/>
      <c r="BF172" s="154"/>
      <c r="BG172" s="154"/>
      <c r="BI172" s="154"/>
      <c r="BJ172" s="154"/>
      <c r="BK172" s="156"/>
      <c r="BL172" s="157"/>
      <c r="BM172" s="154"/>
    </row>
    <row r="173" spans="53:65" s="152" customFormat="1" x14ac:dyDescent="0.25">
      <c r="BA173" s="155"/>
      <c r="BB173" s="155"/>
      <c r="BC173" s="155"/>
      <c r="BF173" s="154"/>
      <c r="BG173" s="154"/>
      <c r="BI173" s="154"/>
      <c r="BJ173" s="154"/>
      <c r="BK173" s="156"/>
      <c r="BL173" s="157"/>
      <c r="BM173" s="154"/>
    </row>
    <row r="174" spans="53:65" s="152" customFormat="1" x14ac:dyDescent="0.25">
      <c r="BA174" s="155"/>
      <c r="BB174" s="155"/>
      <c r="BC174" s="155"/>
      <c r="BF174" s="154"/>
      <c r="BG174" s="154"/>
      <c r="BI174" s="154"/>
      <c r="BJ174" s="154"/>
      <c r="BK174" s="156"/>
      <c r="BL174" s="157"/>
      <c r="BM174" s="154"/>
    </row>
    <row r="175" spans="53:65" s="152" customFormat="1" x14ac:dyDescent="0.25">
      <c r="BA175" s="155"/>
      <c r="BB175" s="155"/>
      <c r="BC175" s="155"/>
      <c r="BF175" s="154"/>
      <c r="BG175" s="154"/>
      <c r="BI175" s="154"/>
      <c r="BJ175" s="154"/>
      <c r="BK175" s="156"/>
      <c r="BL175" s="157"/>
      <c r="BM175" s="154"/>
    </row>
    <row r="176" spans="53:65" s="152" customFormat="1" x14ac:dyDescent="0.25">
      <c r="BA176" s="155"/>
      <c r="BB176" s="155"/>
      <c r="BC176" s="155"/>
      <c r="BF176" s="154"/>
      <c r="BG176" s="154"/>
      <c r="BI176" s="154"/>
      <c r="BJ176" s="154"/>
      <c r="BK176" s="156"/>
      <c r="BL176" s="157"/>
      <c r="BM176" s="154"/>
    </row>
    <row r="177" spans="53:65" s="152" customFormat="1" x14ac:dyDescent="0.25">
      <c r="BA177" s="155"/>
      <c r="BB177" s="155"/>
      <c r="BC177" s="155"/>
      <c r="BF177" s="154"/>
      <c r="BG177" s="154"/>
      <c r="BI177" s="154"/>
      <c r="BJ177" s="154"/>
      <c r="BK177" s="156"/>
      <c r="BL177" s="157"/>
      <c r="BM177" s="154"/>
    </row>
    <row r="178" spans="53:65" s="152" customFormat="1" x14ac:dyDescent="0.25">
      <c r="BA178" s="155"/>
      <c r="BB178" s="155"/>
      <c r="BC178" s="155"/>
      <c r="BF178" s="154"/>
      <c r="BG178" s="154"/>
      <c r="BI178" s="154"/>
      <c r="BJ178" s="154"/>
      <c r="BK178" s="156"/>
      <c r="BL178" s="157"/>
      <c r="BM178" s="154"/>
    </row>
    <row r="179" spans="53:65" s="152" customFormat="1" x14ac:dyDescent="0.25">
      <c r="BA179" s="155"/>
      <c r="BB179" s="155"/>
      <c r="BC179" s="155"/>
      <c r="BF179" s="154"/>
      <c r="BG179" s="154"/>
      <c r="BI179" s="154"/>
      <c r="BJ179" s="154"/>
      <c r="BK179" s="156"/>
      <c r="BL179" s="157"/>
      <c r="BM179" s="154"/>
    </row>
    <row r="180" spans="53:65" s="152" customFormat="1" x14ac:dyDescent="0.25">
      <c r="BA180" s="155"/>
      <c r="BB180" s="155"/>
      <c r="BC180" s="155"/>
      <c r="BF180" s="154"/>
      <c r="BG180" s="154"/>
      <c r="BI180" s="154"/>
      <c r="BJ180" s="154"/>
      <c r="BK180" s="156"/>
      <c r="BL180" s="157"/>
      <c r="BM180" s="154"/>
    </row>
    <row r="181" spans="53:65" s="152" customFormat="1" x14ac:dyDescent="0.25">
      <c r="BA181" s="155"/>
      <c r="BB181" s="155"/>
      <c r="BC181" s="155"/>
      <c r="BF181" s="154"/>
      <c r="BG181" s="154"/>
      <c r="BI181" s="154"/>
      <c r="BJ181" s="154"/>
      <c r="BK181" s="156"/>
      <c r="BL181" s="157"/>
      <c r="BM181" s="154"/>
    </row>
    <row r="182" spans="53:65" s="152" customFormat="1" x14ac:dyDescent="0.25">
      <c r="BA182" s="155"/>
      <c r="BB182" s="155"/>
      <c r="BC182" s="155"/>
      <c r="BF182" s="154"/>
      <c r="BG182" s="154"/>
      <c r="BI182" s="154"/>
      <c r="BJ182" s="154"/>
      <c r="BK182" s="156"/>
      <c r="BL182" s="157"/>
      <c r="BM182" s="154"/>
    </row>
    <row r="183" spans="53:65" s="152" customFormat="1" x14ac:dyDescent="0.25">
      <c r="BA183" s="155"/>
      <c r="BB183" s="155"/>
      <c r="BC183" s="155"/>
      <c r="BF183" s="154"/>
      <c r="BG183" s="154"/>
      <c r="BI183" s="154"/>
      <c r="BJ183" s="154"/>
      <c r="BK183" s="156"/>
      <c r="BL183" s="157"/>
      <c r="BM183" s="154"/>
    </row>
    <row r="184" spans="53:65" s="152" customFormat="1" x14ac:dyDescent="0.25">
      <c r="BA184" s="155"/>
      <c r="BB184" s="155"/>
      <c r="BC184" s="155"/>
      <c r="BF184" s="154"/>
      <c r="BG184" s="154"/>
      <c r="BI184" s="154"/>
      <c r="BJ184" s="154"/>
      <c r="BK184" s="156"/>
      <c r="BL184" s="157"/>
      <c r="BM184" s="154"/>
    </row>
    <row r="185" spans="53:65" s="152" customFormat="1" x14ac:dyDescent="0.25">
      <c r="BA185" s="155"/>
      <c r="BB185" s="155"/>
      <c r="BC185" s="155"/>
      <c r="BF185" s="154"/>
      <c r="BG185" s="154"/>
      <c r="BI185" s="154"/>
      <c r="BJ185" s="154"/>
      <c r="BK185" s="156"/>
      <c r="BL185" s="157"/>
      <c r="BM185" s="154"/>
    </row>
    <row r="186" spans="53:65" s="152" customFormat="1" x14ac:dyDescent="0.25">
      <c r="BA186" s="155"/>
      <c r="BB186" s="155"/>
      <c r="BC186" s="155"/>
      <c r="BF186" s="154"/>
      <c r="BG186" s="154"/>
      <c r="BI186" s="154"/>
      <c r="BJ186" s="154"/>
      <c r="BK186" s="156"/>
      <c r="BL186" s="157"/>
      <c r="BM186" s="154"/>
    </row>
    <row r="187" spans="53:65" s="152" customFormat="1" x14ac:dyDescent="0.25">
      <c r="BA187" s="155"/>
      <c r="BB187" s="155"/>
      <c r="BC187" s="155"/>
      <c r="BF187" s="154"/>
      <c r="BG187" s="154"/>
      <c r="BI187" s="154"/>
      <c r="BJ187" s="154"/>
      <c r="BK187" s="156"/>
      <c r="BL187" s="157"/>
      <c r="BM187" s="154"/>
    </row>
    <row r="188" spans="53:65" s="152" customFormat="1" x14ac:dyDescent="0.25">
      <c r="BA188" s="155"/>
      <c r="BB188" s="155"/>
      <c r="BC188" s="155"/>
      <c r="BF188" s="154"/>
      <c r="BG188" s="154"/>
      <c r="BI188" s="154"/>
      <c r="BJ188" s="154"/>
      <c r="BK188" s="156"/>
      <c r="BL188" s="157"/>
      <c r="BM188" s="154"/>
    </row>
    <row r="189" spans="53:65" s="152" customFormat="1" x14ac:dyDescent="0.25">
      <c r="BA189" s="155"/>
      <c r="BB189" s="155"/>
      <c r="BC189" s="155"/>
      <c r="BF189" s="154"/>
      <c r="BG189" s="154"/>
      <c r="BI189" s="154"/>
      <c r="BJ189" s="154"/>
      <c r="BK189" s="156"/>
      <c r="BL189" s="157"/>
      <c r="BM189" s="154"/>
    </row>
    <row r="190" spans="53:65" s="152" customFormat="1" x14ac:dyDescent="0.25">
      <c r="BA190" s="155"/>
      <c r="BB190" s="155"/>
      <c r="BC190" s="155"/>
      <c r="BF190" s="154"/>
      <c r="BG190" s="154"/>
      <c r="BI190" s="154"/>
      <c r="BJ190" s="154"/>
      <c r="BK190" s="156"/>
      <c r="BL190" s="157"/>
      <c r="BM190" s="154"/>
    </row>
    <row r="191" spans="53:65" s="152" customFormat="1" x14ac:dyDescent="0.25">
      <c r="BA191" s="155"/>
      <c r="BB191" s="155"/>
      <c r="BC191" s="155"/>
      <c r="BF191" s="154"/>
      <c r="BG191" s="154"/>
      <c r="BI191" s="154"/>
      <c r="BJ191" s="154"/>
      <c r="BK191" s="156"/>
      <c r="BL191" s="157"/>
      <c r="BM191" s="154"/>
    </row>
    <row r="192" spans="53:65" s="152" customFormat="1" x14ac:dyDescent="0.25">
      <c r="BA192" s="155"/>
      <c r="BB192" s="155"/>
      <c r="BC192" s="155"/>
      <c r="BF192" s="154"/>
      <c r="BG192" s="154"/>
      <c r="BI192" s="154"/>
      <c r="BJ192" s="154"/>
      <c r="BK192" s="156"/>
      <c r="BL192" s="157"/>
      <c r="BM192" s="154"/>
    </row>
    <row r="193" spans="53:65" s="152" customFormat="1" x14ac:dyDescent="0.25">
      <c r="BA193" s="155"/>
      <c r="BB193" s="155"/>
      <c r="BC193" s="155"/>
      <c r="BF193" s="154"/>
      <c r="BG193" s="154"/>
      <c r="BI193" s="154"/>
      <c r="BJ193" s="154"/>
      <c r="BK193" s="156"/>
      <c r="BL193" s="157"/>
      <c r="BM193" s="154"/>
    </row>
    <row r="194" spans="53:65" s="152" customFormat="1" x14ac:dyDescent="0.25">
      <c r="BA194" s="155"/>
      <c r="BB194" s="155"/>
      <c r="BC194" s="155"/>
      <c r="BF194" s="154"/>
      <c r="BG194" s="154"/>
      <c r="BI194" s="154"/>
      <c r="BJ194" s="154"/>
      <c r="BK194" s="156"/>
      <c r="BL194" s="157"/>
      <c r="BM194" s="154"/>
    </row>
    <row r="195" spans="53:65" s="152" customFormat="1" x14ac:dyDescent="0.25">
      <c r="BA195" s="155"/>
      <c r="BB195" s="155"/>
      <c r="BC195" s="155"/>
      <c r="BF195" s="154"/>
      <c r="BG195" s="154"/>
      <c r="BI195" s="154"/>
      <c r="BJ195" s="154"/>
      <c r="BK195" s="156"/>
      <c r="BL195" s="157"/>
      <c r="BM195" s="154"/>
    </row>
    <row r="196" spans="53:65" s="152" customFormat="1" x14ac:dyDescent="0.25">
      <c r="BA196" s="155"/>
      <c r="BB196" s="155"/>
      <c r="BC196" s="155"/>
      <c r="BF196" s="154"/>
      <c r="BG196" s="154"/>
      <c r="BI196" s="154"/>
      <c r="BJ196" s="154"/>
      <c r="BK196" s="156"/>
      <c r="BL196" s="157"/>
      <c r="BM196" s="154"/>
    </row>
    <row r="197" spans="53:65" s="152" customFormat="1" x14ac:dyDescent="0.25">
      <c r="BA197" s="155"/>
      <c r="BB197" s="155"/>
      <c r="BC197" s="155"/>
      <c r="BF197" s="154"/>
      <c r="BG197" s="154"/>
      <c r="BI197" s="154"/>
      <c r="BJ197" s="154"/>
      <c r="BK197" s="156"/>
      <c r="BL197" s="157"/>
      <c r="BM197" s="154"/>
    </row>
    <row r="198" spans="53:65" s="152" customFormat="1" x14ac:dyDescent="0.25">
      <c r="BA198" s="155"/>
      <c r="BB198" s="155"/>
      <c r="BC198" s="155"/>
      <c r="BF198" s="154"/>
      <c r="BG198" s="154"/>
      <c r="BI198" s="154"/>
      <c r="BJ198" s="154"/>
      <c r="BK198" s="156"/>
      <c r="BL198" s="157"/>
      <c r="BM198" s="154"/>
    </row>
    <row r="199" spans="53:65" s="152" customFormat="1" x14ac:dyDescent="0.25">
      <c r="BA199" s="155"/>
      <c r="BB199" s="155"/>
      <c r="BC199" s="155"/>
      <c r="BF199" s="154"/>
      <c r="BG199" s="154"/>
      <c r="BI199" s="154"/>
      <c r="BJ199" s="154"/>
      <c r="BK199" s="156"/>
      <c r="BL199" s="157"/>
      <c r="BM199" s="154"/>
    </row>
    <row r="200" spans="53:65" s="152" customFormat="1" x14ac:dyDescent="0.25">
      <c r="BA200" s="155"/>
      <c r="BB200" s="155"/>
      <c r="BC200" s="155"/>
      <c r="BF200" s="154"/>
      <c r="BG200" s="154"/>
      <c r="BI200" s="154"/>
      <c r="BJ200" s="154"/>
      <c r="BK200" s="156"/>
      <c r="BL200" s="157"/>
      <c r="BM200" s="154"/>
    </row>
    <row r="201" spans="53:65" s="152" customFormat="1" x14ac:dyDescent="0.25">
      <c r="BA201" s="155"/>
      <c r="BB201" s="155"/>
      <c r="BC201" s="155"/>
      <c r="BF201" s="154"/>
      <c r="BG201" s="154"/>
      <c r="BI201" s="154"/>
      <c r="BJ201" s="154"/>
      <c r="BK201" s="156"/>
      <c r="BL201" s="157"/>
      <c r="BM201" s="154"/>
    </row>
    <row r="202" spans="53:65" s="152" customFormat="1" x14ac:dyDescent="0.25">
      <c r="BA202" s="155"/>
      <c r="BB202" s="155"/>
      <c r="BC202" s="155"/>
      <c r="BF202" s="154"/>
      <c r="BG202" s="154"/>
      <c r="BI202" s="154"/>
      <c r="BJ202" s="154"/>
      <c r="BK202" s="156"/>
      <c r="BL202" s="157"/>
      <c r="BM202" s="154"/>
    </row>
    <row r="203" spans="53:65" s="152" customFormat="1" x14ac:dyDescent="0.25">
      <c r="BA203" s="155"/>
      <c r="BB203" s="155"/>
      <c r="BC203" s="155"/>
      <c r="BF203" s="154"/>
      <c r="BG203" s="154"/>
      <c r="BI203" s="154"/>
      <c r="BJ203" s="154"/>
      <c r="BK203" s="156"/>
      <c r="BL203" s="157"/>
      <c r="BM203" s="154"/>
    </row>
    <row r="204" spans="53:65" s="152" customFormat="1" x14ac:dyDescent="0.25">
      <c r="BA204" s="155"/>
      <c r="BB204" s="155"/>
      <c r="BC204" s="155"/>
      <c r="BF204" s="154"/>
      <c r="BG204" s="154"/>
      <c r="BI204" s="154"/>
      <c r="BJ204" s="154"/>
      <c r="BK204" s="156"/>
      <c r="BL204" s="157"/>
      <c r="BM204" s="154"/>
    </row>
    <row r="205" spans="53:65" s="152" customFormat="1" x14ac:dyDescent="0.25">
      <c r="BA205" s="155"/>
      <c r="BB205" s="155"/>
      <c r="BC205" s="155"/>
      <c r="BF205" s="154"/>
      <c r="BG205" s="154"/>
      <c r="BI205" s="154"/>
      <c r="BJ205" s="154"/>
      <c r="BK205" s="156"/>
      <c r="BL205" s="157"/>
      <c r="BM205" s="154"/>
    </row>
    <row r="206" spans="53:65" s="152" customFormat="1" x14ac:dyDescent="0.25">
      <c r="BA206" s="155"/>
      <c r="BB206" s="155"/>
      <c r="BC206" s="155"/>
      <c r="BF206" s="154"/>
      <c r="BG206" s="154"/>
      <c r="BI206" s="154"/>
      <c r="BJ206" s="154"/>
      <c r="BK206" s="156"/>
      <c r="BL206" s="157"/>
      <c r="BM206" s="154"/>
    </row>
    <row r="207" spans="53:65" s="152" customFormat="1" x14ac:dyDescent="0.25">
      <c r="BA207" s="155"/>
      <c r="BB207" s="155"/>
      <c r="BC207" s="155"/>
      <c r="BF207" s="154"/>
      <c r="BG207" s="154"/>
      <c r="BI207" s="154"/>
      <c r="BJ207" s="154"/>
      <c r="BK207" s="156"/>
      <c r="BL207" s="157"/>
      <c r="BM207" s="154"/>
    </row>
    <row r="208" spans="53:65" s="152" customFormat="1" x14ac:dyDescent="0.25">
      <c r="BA208" s="155"/>
      <c r="BB208" s="155"/>
      <c r="BC208" s="155"/>
      <c r="BF208" s="154"/>
      <c r="BG208" s="154"/>
      <c r="BI208" s="154"/>
      <c r="BJ208" s="154"/>
      <c r="BK208" s="156"/>
      <c r="BL208" s="157"/>
      <c r="BM208" s="154"/>
    </row>
    <row r="209" spans="53:65" s="152" customFormat="1" x14ac:dyDescent="0.25">
      <c r="BA209" s="155"/>
      <c r="BB209" s="155"/>
      <c r="BC209" s="155"/>
      <c r="BF209" s="154"/>
      <c r="BG209" s="154"/>
      <c r="BI209" s="154"/>
      <c r="BJ209" s="154"/>
      <c r="BK209" s="156"/>
      <c r="BL209" s="157"/>
      <c r="BM209" s="154"/>
    </row>
    <row r="210" spans="53:65" s="152" customFormat="1" x14ac:dyDescent="0.25">
      <c r="BA210" s="155"/>
      <c r="BB210" s="155"/>
      <c r="BC210" s="155"/>
      <c r="BF210" s="154"/>
      <c r="BG210" s="154"/>
      <c r="BI210" s="154"/>
      <c r="BJ210" s="154"/>
      <c r="BK210" s="156"/>
      <c r="BL210" s="157"/>
      <c r="BM210" s="154"/>
    </row>
    <row r="211" spans="53:65" s="152" customFormat="1" x14ac:dyDescent="0.25">
      <c r="BA211" s="155"/>
      <c r="BB211" s="155"/>
      <c r="BC211" s="155"/>
      <c r="BF211" s="154"/>
      <c r="BG211" s="154"/>
      <c r="BI211" s="154"/>
      <c r="BJ211" s="154"/>
      <c r="BK211" s="156"/>
      <c r="BL211" s="157"/>
      <c r="BM211" s="154"/>
    </row>
    <row r="212" spans="53:65" s="152" customFormat="1" x14ac:dyDescent="0.25">
      <c r="BA212" s="155"/>
      <c r="BB212" s="155"/>
      <c r="BC212" s="155"/>
      <c r="BF212" s="154"/>
      <c r="BG212" s="154"/>
      <c r="BI212" s="154"/>
      <c r="BJ212" s="154"/>
      <c r="BK212" s="156"/>
      <c r="BL212" s="157"/>
      <c r="BM212" s="154"/>
    </row>
    <row r="213" spans="53:65" s="152" customFormat="1" x14ac:dyDescent="0.25">
      <c r="BA213" s="155"/>
      <c r="BB213" s="155"/>
      <c r="BC213" s="155"/>
      <c r="BF213" s="154"/>
      <c r="BG213" s="154"/>
      <c r="BI213" s="154"/>
      <c r="BJ213" s="154"/>
      <c r="BK213" s="156"/>
      <c r="BL213" s="157"/>
      <c r="BM213" s="154"/>
    </row>
    <row r="214" spans="53:65" s="152" customFormat="1" x14ac:dyDescent="0.25">
      <c r="BA214" s="155"/>
      <c r="BB214" s="155"/>
      <c r="BC214" s="155"/>
      <c r="BF214" s="154"/>
      <c r="BG214" s="154"/>
      <c r="BI214" s="154"/>
      <c r="BJ214" s="154"/>
      <c r="BK214" s="156"/>
      <c r="BL214" s="157"/>
      <c r="BM214" s="154"/>
    </row>
    <row r="215" spans="53:65" s="152" customFormat="1" x14ac:dyDescent="0.25">
      <c r="BA215" s="155"/>
      <c r="BB215" s="155"/>
      <c r="BC215" s="155"/>
      <c r="BF215" s="154"/>
      <c r="BG215" s="154"/>
      <c r="BI215" s="154"/>
      <c r="BJ215" s="154"/>
      <c r="BK215" s="156"/>
      <c r="BL215" s="157"/>
      <c r="BM215" s="154"/>
    </row>
    <row r="216" spans="53:65" s="152" customFormat="1" x14ac:dyDescent="0.25">
      <c r="BA216" s="155"/>
      <c r="BB216" s="155"/>
      <c r="BC216" s="155"/>
      <c r="BF216" s="154"/>
      <c r="BG216" s="154"/>
      <c r="BI216" s="154"/>
      <c r="BJ216" s="154"/>
      <c r="BK216" s="156"/>
      <c r="BL216" s="157"/>
      <c r="BM216" s="154"/>
    </row>
    <row r="217" spans="53:65" s="152" customFormat="1" x14ac:dyDescent="0.25">
      <c r="BA217" s="155"/>
      <c r="BB217" s="155"/>
      <c r="BC217" s="155"/>
      <c r="BF217" s="154"/>
      <c r="BG217" s="154"/>
      <c r="BI217" s="154"/>
      <c r="BJ217" s="154"/>
      <c r="BK217" s="156"/>
      <c r="BL217" s="157"/>
      <c r="BM217" s="154"/>
    </row>
    <row r="218" spans="53:65" s="152" customFormat="1" x14ac:dyDescent="0.25">
      <c r="BA218" s="155"/>
      <c r="BB218" s="155"/>
      <c r="BC218" s="155"/>
      <c r="BF218" s="154"/>
      <c r="BG218" s="154"/>
      <c r="BI218" s="154"/>
      <c r="BJ218" s="154"/>
      <c r="BK218" s="156"/>
      <c r="BL218" s="157"/>
      <c r="BM218" s="154"/>
    </row>
    <row r="219" spans="53:65" s="152" customFormat="1" x14ac:dyDescent="0.25">
      <c r="BA219" s="155"/>
      <c r="BB219" s="155"/>
      <c r="BC219" s="155"/>
      <c r="BF219" s="154"/>
      <c r="BG219" s="154"/>
      <c r="BI219" s="154"/>
      <c r="BJ219" s="154"/>
      <c r="BK219" s="156"/>
      <c r="BL219" s="157"/>
      <c r="BM219" s="154"/>
    </row>
    <row r="220" spans="53:65" s="152" customFormat="1" x14ac:dyDescent="0.25">
      <c r="BA220" s="155"/>
      <c r="BB220" s="155"/>
      <c r="BC220" s="155"/>
      <c r="BF220" s="154"/>
      <c r="BG220" s="154"/>
      <c r="BI220" s="154"/>
      <c r="BJ220" s="154"/>
      <c r="BK220" s="156"/>
      <c r="BL220" s="157"/>
      <c r="BM220" s="154"/>
    </row>
    <row r="221" spans="53:65" s="152" customFormat="1" x14ac:dyDescent="0.25">
      <c r="BA221" s="155"/>
      <c r="BB221" s="155"/>
      <c r="BC221" s="155"/>
      <c r="BF221" s="154"/>
      <c r="BG221" s="154"/>
      <c r="BI221" s="154"/>
      <c r="BJ221" s="154"/>
      <c r="BK221" s="156"/>
      <c r="BL221" s="157"/>
      <c r="BM221" s="154"/>
    </row>
    <row r="222" spans="53:65" s="152" customFormat="1" x14ac:dyDescent="0.25">
      <c r="BA222" s="155"/>
      <c r="BB222" s="155"/>
      <c r="BC222" s="155"/>
      <c r="BF222" s="154"/>
      <c r="BG222" s="154"/>
      <c r="BI222" s="154"/>
      <c r="BJ222" s="154"/>
      <c r="BK222" s="156"/>
      <c r="BL222" s="157"/>
      <c r="BM222" s="154"/>
    </row>
    <row r="223" spans="53:65" s="152" customFormat="1" x14ac:dyDescent="0.25">
      <c r="BA223" s="155"/>
      <c r="BB223" s="155"/>
      <c r="BC223" s="155"/>
      <c r="BF223" s="154"/>
      <c r="BG223" s="154"/>
      <c r="BI223" s="154"/>
      <c r="BJ223" s="154"/>
      <c r="BK223" s="156"/>
      <c r="BL223" s="157"/>
      <c r="BM223" s="154"/>
    </row>
    <row r="224" spans="53:65" s="152" customFormat="1" x14ac:dyDescent="0.25">
      <c r="BA224" s="155"/>
      <c r="BB224" s="155"/>
      <c r="BC224" s="155"/>
      <c r="BF224" s="154"/>
      <c r="BG224" s="154"/>
      <c r="BI224" s="154"/>
      <c r="BJ224" s="154"/>
      <c r="BK224" s="156"/>
      <c r="BL224" s="157"/>
      <c r="BM224" s="154"/>
    </row>
    <row r="225" spans="53:65" s="152" customFormat="1" x14ac:dyDescent="0.25">
      <c r="BA225" s="155"/>
      <c r="BB225" s="155"/>
      <c r="BC225" s="155"/>
      <c r="BF225" s="154"/>
      <c r="BG225" s="154"/>
      <c r="BI225" s="154"/>
      <c r="BJ225" s="154"/>
      <c r="BK225" s="156"/>
      <c r="BL225" s="157"/>
      <c r="BM225" s="154"/>
    </row>
    <row r="226" spans="53:65" s="152" customFormat="1" x14ac:dyDescent="0.25">
      <c r="BA226" s="155"/>
      <c r="BB226" s="155"/>
      <c r="BC226" s="155"/>
      <c r="BF226" s="154"/>
      <c r="BG226" s="154"/>
      <c r="BI226" s="154"/>
      <c r="BJ226" s="154"/>
      <c r="BK226" s="156"/>
      <c r="BL226" s="157"/>
      <c r="BM226" s="154"/>
    </row>
    <row r="227" spans="53:65" s="152" customFormat="1" x14ac:dyDescent="0.25">
      <c r="BA227" s="155"/>
      <c r="BB227" s="155"/>
      <c r="BC227" s="155"/>
      <c r="BF227" s="154"/>
      <c r="BG227" s="154"/>
      <c r="BI227" s="154"/>
      <c r="BJ227" s="154"/>
      <c r="BK227" s="156"/>
      <c r="BL227" s="157"/>
      <c r="BM227" s="154"/>
    </row>
    <row r="228" spans="53:65" s="152" customFormat="1" x14ac:dyDescent="0.25">
      <c r="BA228" s="155"/>
      <c r="BB228" s="155"/>
      <c r="BC228" s="155"/>
      <c r="BF228" s="154"/>
      <c r="BG228" s="154"/>
      <c r="BI228" s="154"/>
      <c r="BJ228" s="154"/>
      <c r="BK228" s="156"/>
      <c r="BL228" s="157"/>
      <c r="BM228" s="154"/>
    </row>
    <row r="229" spans="53:65" s="152" customFormat="1" x14ac:dyDescent="0.25">
      <c r="BA229" s="155"/>
      <c r="BB229" s="155"/>
      <c r="BC229" s="155"/>
      <c r="BF229" s="154"/>
      <c r="BG229" s="154"/>
      <c r="BI229" s="154"/>
      <c r="BJ229" s="154"/>
      <c r="BK229" s="156"/>
      <c r="BL229" s="157"/>
      <c r="BM229" s="154"/>
    </row>
    <row r="230" spans="53:65" s="152" customFormat="1" x14ac:dyDescent="0.25">
      <c r="BA230" s="155"/>
      <c r="BB230" s="155"/>
      <c r="BC230" s="155"/>
      <c r="BF230" s="154"/>
      <c r="BG230" s="154"/>
      <c r="BI230" s="154"/>
      <c r="BJ230" s="154"/>
      <c r="BK230" s="156"/>
      <c r="BL230" s="157"/>
      <c r="BM230" s="154"/>
    </row>
    <row r="231" spans="53:65" s="152" customFormat="1" x14ac:dyDescent="0.25">
      <c r="BA231" s="155"/>
      <c r="BB231" s="155"/>
      <c r="BC231" s="155"/>
      <c r="BF231" s="154"/>
      <c r="BG231" s="154"/>
      <c r="BI231" s="154"/>
      <c r="BJ231" s="154"/>
      <c r="BK231" s="156"/>
      <c r="BL231" s="157"/>
      <c r="BM231" s="154"/>
    </row>
    <row r="232" spans="53:65" s="152" customFormat="1" x14ac:dyDescent="0.25">
      <c r="BA232" s="155"/>
      <c r="BB232" s="155"/>
      <c r="BC232" s="155"/>
      <c r="BF232" s="154"/>
      <c r="BG232" s="154"/>
      <c r="BI232" s="154"/>
      <c r="BJ232" s="154"/>
      <c r="BK232" s="156"/>
      <c r="BL232" s="157"/>
      <c r="BM232" s="154"/>
    </row>
    <row r="233" spans="53:65" s="152" customFormat="1" x14ac:dyDescent="0.25">
      <c r="BA233" s="155"/>
      <c r="BB233" s="155"/>
      <c r="BC233" s="155"/>
      <c r="BF233" s="154"/>
      <c r="BG233" s="154"/>
      <c r="BI233" s="154"/>
      <c r="BJ233" s="154"/>
      <c r="BK233" s="156"/>
      <c r="BL233" s="157"/>
      <c r="BM233" s="154"/>
    </row>
    <row r="234" spans="53:65" s="152" customFormat="1" x14ac:dyDescent="0.25">
      <c r="BA234" s="155"/>
      <c r="BB234" s="155"/>
      <c r="BC234" s="155"/>
      <c r="BF234" s="154"/>
      <c r="BG234" s="154"/>
      <c r="BI234" s="154"/>
      <c r="BJ234" s="154"/>
      <c r="BK234" s="156"/>
      <c r="BL234" s="157"/>
      <c r="BM234" s="154"/>
    </row>
    <row r="235" spans="53:65" s="152" customFormat="1" x14ac:dyDescent="0.25">
      <c r="BA235" s="155"/>
      <c r="BB235" s="155"/>
      <c r="BC235" s="155"/>
      <c r="BF235" s="154"/>
      <c r="BG235" s="154"/>
      <c r="BI235" s="154"/>
      <c r="BJ235" s="154"/>
      <c r="BK235" s="156"/>
      <c r="BL235" s="157"/>
      <c r="BM235" s="154"/>
    </row>
    <row r="236" spans="53:65" s="152" customFormat="1" x14ac:dyDescent="0.25">
      <c r="BA236" s="155"/>
      <c r="BB236" s="155"/>
      <c r="BC236" s="155"/>
      <c r="BF236" s="154"/>
      <c r="BG236" s="154"/>
      <c r="BI236" s="154"/>
      <c r="BJ236" s="154"/>
      <c r="BK236" s="156"/>
      <c r="BL236" s="157"/>
      <c r="BM236" s="154"/>
    </row>
    <row r="237" spans="53:65" s="152" customFormat="1" x14ac:dyDescent="0.25">
      <c r="BA237" s="155"/>
      <c r="BB237" s="155"/>
      <c r="BC237" s="155"/>
      <c r="BF237" s="154"/>
      <c r="BG237" s="154"/>
      <c r="BI237" s="154"/>
      <c r="BJ237" s="154"/>
      <c r="BK237" s="156"/>
      <c r="BL237" s="157"/>
      <c r="BM237" s="154"/>
    </row>
    <row r="238" spans="53:65" s="152" customFormat="1" x14ac:dyDescent="0.25">
      <c r="BA238" s="155"/>
      <c r="BB238" s="155"/>
      <c r="BC238" s="155"/>
      <c r="BF238" s="154"/>
      <c r="BG238" s="154"/>
      <c r="BI238" s="154"/>
      <c r="BJ238" s="154"/>
      <c r="BK238" s="156"/>
      <c r="BL238" s="157"/>
      <c r="BM238" s="154"/>
    </row>
    <row r="239" spans="53:65" s="152" customFormat="1" x14ac:dyDescent="0.25">
      <c r="BA239" s="155"/>
      <c r="BB239" s="155"/>
      <c r="BC239" s="155"/>
      <c r="BF239" s="154"/>
      <c r="BG239" s="154"/>
      <c r="BI239" s="154"/>
      <c r="BJ239" s="154"/>
      <c r="BK239" s="156"/>
      <c r="BL239" s="157"/>
      <c r="BM239" s="154"/>
    </row>
    <row r="240" spans="53:65" s="152" customFormat="1" x14ac:dyDescent="0.25">
      <c r="BA240" s="155"/>
      <c r="BB240" s="155"/>
      <c r="BC240" s="155"/>
      <c r="BF240" s="154"/>
      <c r="BG240" s="154"/>
      <c r="BI240" s="154"/>
      <c r="BJ240" s="154"/>
      <c r="BK240" s="156"/>
      <c r="BL240" s="157"/>
      <c r="BM240" s="154"/>
    </row>
    <row r="241" spans="53:65" s="152" customFormat="1" x14ac:dyDescent="0.25">
      <c r="BA241" s="155"/>
      <c r="BB241" s="155"/>
      <c r="BC241" s="155"/>
      <c r="BF241" s="154"/>
      <c r="BG241" s="154"/>
      <c r="BI241" s="154"/>
      <c r="BJ241" s="154"/>
      <c r="BK241" s="156"/>
      <c r="BL241" s="157"/>
      <c r="BM241" s="154"/>
    </row>
    <row r="242" spans="53:65" s="152" customFormat="1" x14ac:dyDescent="0.25">
      <c r="BA242" s="155"/>
      <c r="BB242" s="155"/>
      <c r="BC242" s="155"/>
      <c r="BF242" s="154"/>
      <c r="BG242" s="154"/>
      <c r="BI242" s="154"/>
      <c r="BJ242" s="154"/>
      <c r="BK242" s="156"/>
      <c r="BL242" s="157"/>
      <c r="BM242" s="154"/>
    </row>
    <row r="243" spans="53:65" s="152" customFormat="1" x14ac:dyDescent="0.25">
      <c r="BA243" s="155"/>
      <c r="BB243" s="155"/>
      <c r="BC243" s="155"/>
      <c r="BF243" s="154"/>
      <c r="BG243" s="154"/>
      <c r="BI243" s="154"/>
      <c r="BJ243" s="154"/>
      <c r="BK243" s="156"/>
      <c r="BL243" s="157"/>
      <c r="BM243" s="154"/>
    </row>
    <row r="244" spans="53:65" s="152" customFormat="1" x14ac:dyDescent="0.25">
      <c r="BA244" s="155"/>
      <c r="BB244" s="155"/>
      <c r="BC244" s="155"/>
      <c r="BF244" s="154"/>
      <c r="BG244" s="154"/>
      <c r="BI244" s="154"/>
      <c r="BJ244" s="154"/>
      <c r="BK244" s="156"/>
      <c r="BL244" s="157"/>
      <c r="BM244" s="154"/>
    </row>
    <row r="245" spans="53:65" s="152" customFormat="1" x14ac:dyDescent="0.25">
      <c r="BA245" s="155"/>
      <c r="BB245" s="155"/>
      <c r="BC245" s="155"/>
      <c r="BF245" s="154"/>
      <c r="BG245" s="154"/>
      <c r="BI245" s="154"/>
      <c r="BJ245" s="154"/>
      <c r="BK245" s="156"/>
      <c r="BL245" s="157"/>
      <c r="BM245" s="154"/>
    </row>
    <row r="246" spans="53:65" s="152" customFormat="1" x14ac:dyDescent="0.25">
      <c r="BA246" s="155"/>
      <c r="BB246" s="155"/>
      <c r="BC246" s="155"/>
      <c r="BF246" s="154"/>
      <c r="BG246" s="154"/>
      <c r="BI246" s="154"/>
      <c r="BJ246" s="154"/>
      <c r="BK246" s="156"/>
      <c r="BL246" s="157"/>
      <c r="BM246" s="154"/>
    </row>
    <row r="247" spans="53:65" s="152" customFormat="1" x14ac:dyDescent="0.25">
      <c r="BA247" s="155"/>
      <c r="BB247" s="155"/>
      <c r="BC247" s="155"/>
      <c r="BF247" s="154"/>
      <c r="BG247" s="154"/>
      <c r="BI247" s="154"/>
      <c r="BJ247" s="154"/>
      <c r="BK247" s="156"/>
      <c r="BL247" s="157"/>
      <c r="BM247" s="154"/>
    </row>
    <row r="248" spans="53:65" s="152" customFormat="1" x14ac:dyDescent="0.25">
      <c r="BA248" s="155"/>
      <c r="BB248" s="155"/>
      <c r="BC248" s="155"/>
      <c r="BF248" s="154"/>
      <c r="BG248" s="154"/>
      <c r="BI248" s="154"/>
      <c r="BJ248" s="154"/>
      <c r="BK248" s="156"/>
      <c r="BL248" s="157"/>
      <c r="BM248" s="154"/>
    </row>
    <row r="249" spans="53:65" s="152" customFormat="1" x14ac:dyDescent="0.25">
      <c r="BA249" s="155"/>
      <c r="BB249" s="155"/>
      <c r="BC249" s="155"/>
      <c r="BF249" s="154"/>
      <c r="BG249" s="154"/>
      <c r="BI249" s="154"/>
      <c r="BJ249" s="154"/>
      <c r="BK249" s="156"/>
      <c r="BL249" s="157"/>
      <c r="BM249" s="154"/>
    </row>
    <row r="250" spans="53:65" s="152" customFormat="1" x14ac:dyDescent="0.25">
      <c r="BA250" s="155"/>
      <c r="BB250" s="155"/>
      <c r="BC250" s="155"/>
      <c r="BF250" s="154"/>
      <c r="BG250" s="154"/>
      <c r="BI250" s="154"/>
      <c r="BJ250" s="154"/>
      <c r="BK250" s="156"/>
      <c r="BL250" s="157"/>
      <c r="BM250" s="154"/>
    </row>
    <row r="251" spans="53:65" s="152" customFormat="1" x14ac:dyDescent="0.25">
      <c r="BA251" s="155"/>
      <c r="BB251" s="155"/>
      <c r="BC251" s="155"/>
      <c r="BF251" s="154"/>
      <c r="BG251" s="154"/>
      <c r="BI251" s="154"/>
      <c r="BJ251" s="154"/>
      <c r="BK251" s="156"/>
      <c r="BL251" s="157"/>
      <c r="BM251" s="154"/>
    </row>
    <row r="252" spans="53:65" s="152" customFormat="1" x14ac:dyDescent="0.25">
      <c r="BA252" s="155"/>
      <c r="BB252" s="155"/>
      <c r="BC252" s="155"/>
      <c r="BF252" s="154"/>
      <c r="BG252" s="154"/>
      <c r="BI252" s="154"/>
      <c r="BJ252" s="154"/>
      <c r="BK252" s="156"/>
      <c r="BL252" s="157"/>
      <c r="BM252" s="154"/>
    </row>
    <row r="253" spans="53:65" s="152" customFormat="1" x14ac:dyDescent="0.25">
      <c r="BA253" s="155"/>
      <c r="BB253" s="155"/>
      <c r="BC253" s="155"/>
      <c r="BF253" s="154"/>
      <c r="BG253" s="154"/>
      <c r="BI253" s="154"/>
      <c r="BJ253" s="154"/>
      <c r="BK253" s="156"/>
      <c r="BL253" s="157"/>
      <c r="BM253" s="154"/>
    </row>
    <row r="254" spans="53:65" s="152" customFormat="1" x14ac:dyDescent="0.25">
      <c r="BA254" s="155"/>
      <c r="BB254" s="155"/>
      <c r="BC254" s="155"/>
      <c r="BF254" s="154"/>
      <c r="BG254" s="154"/>
      <c r="BI254" s="154"/>
      <c r="BJ254" s="154"/>
      <c r="BK254" s="156"/>
      <c r="BL254" s="157"/>
      <c r="BM254" s="154"/>
    </row>
    <row r="255" spans="53:65" s="152" customFormat="1" x14ac:dyDescent="0.25">
      <c r="BA255" s="155"/>
      <c r="BB255" s="155"/>
      <c r="BC255" s="155"/>
      <c r="BF255" s="154"/>
      <c r="BG255" s="154"/>
      <c r="BI255" s="154"/>
      <c r="BJ255" s="154"/>
      <c r="BK255" s="156"/>
      <c r="BL255" s="157"/>
      <c r="BM255" s="154"/>
    </row>
    <row r="256" spans="53:65" s="152" customFormat="1" x14ac:dyDescent="0.25">
      <c r="BA256" s="155"/>
      <c r="BB256" s="155"/>
      <c r="BC256" s="155"/>
      <c r="BF256" s="154"/>
      <c r="BG256" s="154"/>
      <c r="BI256" s="154"/>
      <c r="BJ256" s="154"/>
      <c r="BK256" s="156"/>
      <c r="BL256" s="157"/>
      <c r="BM256" s="154"/>
    </row>
    <row r="257" spans="53:65" s="152" customFormat="1" x14ac:dyDescent="0.25">
      <c r="BA257" s="155"/>
      <c r="BB257" s="155"/>
      <c r="BC257" s="155"/>
      <c r="BF257" s="154"/>
      <c r="BG257" s="154"/>
      <c r="BI257" s="154"/>
      <c r="BJ257" s="154"/>
      <c r="BK257" s="156"/>
      <c r="BL257" s="157"/>
      <c r="BM257" s="154"/>
    </row>
    <row r="258" spans="53:65" s="152" customFormat="1" x14ac:dyDescent="0.25">
      <c r="BA258" s="155"/>
      <c r="BB258" s="155"/>
      <c r="BC258" s="155"/>
      <c r="BF258" s="154"/>
      <c r="BG258" s="154"/>
      <c r="BI258" s="154"/>
      <c r="BJ258" s="154"/>
      <c r="BK258" s="156"/>
      <c r="BL258" s="157"/>
      <c r="BM258" s="154"/>
    </row>
    <row r="259" spans="53:65" s="152" customFormat="1" x14ac:dyDescent="0.25">
      <c r="BA259" s="155"/>
      <c r="BB259" s="155"/>
      <c r="BC259" s="155"/>
      <c r="BF259" s="154"/>
      <c r="BG259" s="154"/>
      <c r="BI259" s="154"/>
      <c r="BJ259" s="154"/>
      <c r="BK259" s="156"/>
      <c r="BL259" s="157"/>
      <c r="BM259" s="154"/>
    </row>
    <row r="260" spans="53:65" s="152" customFormat="1" x14ac:dyDescent="0.25">
      <c r="BA260" s="155"/>
      <c r="BB260" s="155"/>
      <c r="BC260" s="155"/>
      <c r="BF260" s="154"/>
      <c r="BG260" s="154"/>
      <c r="BI260" s="154"/>
      <c r="BJ260" s="154"/>
      <c r="BK260" s="156"/>
      <c r="BL260" s="157"/>
      <c r="BM260" s="154"/>
    </row>
    <row r="261" spans="53:65" s="152" customFormat="1" x14ac:dyDescent="0.25">
      <c r="BA261" s="155"/>
      <c r="BB261" s="155"/>
      <c r="BC261" s="155"/>
      <c r="BF261" s="154"/>
      <c r="BG261" s="154"/>
      <c r="BI261" s="154"/>
      <c r="BJ261" s="154"/>
      <c r="BK261" s="156"/>
      <c r="BL261" s="157"/>
      <c r="BM261" s="154"/>
    </row>
    <row r="262" spans="53:65" s="152" customFormat="1" x14ac:dyDescent="0.25">
      <c r="BA262" s="155"/>
      <c r="BB262" s="155"/>
      <c r="BC262" s="155"/>
      <c r="BF262" s="154"/>
      <c r="BG262" s="154"/>
      <c r="BI262" s="154"/>
      <c r="BJ262" s="154"/>
      <c r="BK262" s="156"/>
      <c r="BL262" s="157"/>
      <c r="BM262" s="154"/>
    </row>
    <row r="263" spans="53:65" s="152" customFormat="1" x14ac:dyDescent="0.25">
      <c r="BA263" s="155"/>
      <c r="BB263" s="155"/>
      <c r="BC263" s="155"/>
      <c r="BF263" s="154"/>
      <c r="BG263" s="154"/>
      <c r="BI263" s="154"/>
      <c r="BJ263" s="154"/>
      <c r="BK263" s="156"/>
      <c r="BL263" s="157"/>
      <c r="BM263" s="154"/>
    </row>
    <row r="264" spans="53:65" s="152" customFormat="1" x14ac:dyDescent="0.25">
      <c r="BA264" s="155"/>
      <c r="BB264" s="155"/>
      <c r="BC264" s="155"/>
      <c r="BF264" s="154"/>
      <c r="BG264" s="154"/>
      <c r="BI264" s="154"/>
      <c r="BJ264" s="154"/>
      <c r="BK264" s="156"/>
      <c r="BL264" s="157"/>
      <c r="BM264" s="154"/>
    </row>
    <row r="265" spans="53:65" s="152" customFormat="1" x14ac:dyDescent="0.25">
      <c r="BA265" s="155"/>
      <c r="BB265" s="155"/>
      <c r="BC265" s="155"/>
      <c r="BF265" s="154"/>
      <c r="BG265" s="154"/>
      <c r="BI265" s="154"/>
      <c r="BJ265" s="154"/>
      <c r="BK265" s="156"/>
      <c r="BL265" s="157"/>
      <c r="BM265" s="154"/>
    </row>
    <row r="266" spans="53:65" s="152" customFormat="1" x14ac:dyDescent="0.25">
      <c r="BA266" s="155"/>
      <c r="BB266" s="155"/>
      <c r="BC266" s="155"/>
      <c r="BF266" s="154"/>
      <c r="BG266" s="154"/>
      <c r="BI266" s="154"/>
      <c r="BJ266" s="154"/>
      <c r="BK266" s="156"/>
      <c r="BL266" s="157"/>
      <c r="BM266" s="154"/>
    </row>
    <row r="267" spans="53:65" s="152" customFormat="1" x14ac:dyDescent="0.25">
      <c r="BA267" s="155"/>
      <c r="BB267" s="155"/>
      <c r="BC267" s="155"/>
      <c r="BF267" s="154"/>
      <c r="BG267" s="154"/>
      <c r="BI267" s="154"/>
      <c r="BJ267" s="154"/>
      <c r="BK267" s="156"/>
      <c r="BL267" s="157"/>
      <c r="BM267" s="154"/>
    </row>
    <row r="268" spans="53:65" s="152" customFormat="1" x14ac:dyDescent="0.25">
      <c r="BA268" s="155"/>
      <c r="BB268" s="155"/>
      <c r="BC268" s="155"/>
      <c r="BF268" s="154"/>
      <c r="BG268" s="154"/>
      <c r="BI268" s="154"/>
      <c r="BJ268" s="154"/>
      <c r="BK268" s="156"/>
      <c r="BL268" s="157"/>
      <c r="BM268" s="154"/>
    </row>
    <row r="269" spans="53:65" s="152" customFormat="1" x14ac:dyDescent="0.25">
      <c r="BA269" s="155"/>
      <c r="BB269" s="155"/>
      <c r="BC269" s="155"/>
      <c r="BF269" s="154"/>
      <c r="BG269" s="154"/>
      <c r="BI269" s="154"/>
      <c r="BJ269" s="154"/>
      <c r="BK269" s="156"/>
      <c r="BL269" s="157"/>
      <c r="BM269" s="154"/>
    </row>
    <row r="270" spans="53:65" s="152" customFormat="1" x14ac:dyDescent="0.25">
      <c r="BA270" s="155"/>
      <c r="BB270" s="155"/>
      <c r="BC270" s="155"/>
      <c r="BF270" s="154"/>
      <c r="BG270" s="154"/>
      <c r="BI270" s="154"/>
      <c r="BJ270" s="154"/>
      <c r="BK270" s="156"/>
      <c r="BL270" s="157"/>
      <c r="BM270" s="154"/>
    </row>
    <row r="271" spans="53:65" s="152" customFormat="1" x14ac:dyDescent="0.25">
      <c r="BA271" s="155"/>
      <c r="BB271" s="155"/>
      <c r="BC271" s="155"/>
      <c r="BF271" s="154"/>
      <c r="BG271" s="154"/>
      <c r="BI271" s="154"/>
      <c r="BJ271" s="154"/>
      <c r="BK271" s="156"/>
      <c r="BL271" s="157"/>
      <c r="BM271" s="154"/>
    </row>
    <row r="272" spans="53:65" s="152" customFormat="1" x14ac:dyDescent="0.25">
      <c r="BA272" s="155"/>
      <c r="BB272" s="155"/>
      <c r="BC272" s="155"/>
      <c r="BF272" s="154"/>
      <c r="BG272" s="154"/>
      <c r="BI272" s="154"/>
      <c r="BJ272" s="154"/>
      <c r="BK272" s="156"/>
      <c r="BL272" s="157"/>
      <c r="BM272" s="154"/>
    </row>
    <row r="273" spans="53:65" s="152" customFormat="1" x14ac:dyDescent="0.25">
      <c r="BA273" s="155"/>
      <c r="BB273" s="155"/>
      <c r="BC273" s="155"/>
      <c r="BF273" s="154"/>
      <c r="BG273" s="154"/>
      <c r="BI273" s="154"/>
      <c r="BJ273" s="154"/>
      <c r="BK273" s="156"/>
      <c r="BL273" s="157"/>
      <c r="BM273" s="154"/>
    </row>
    <row r="274" spans="53:65" s="152" customFormat="1" x14ac:dyDescent="0.25">
      <c r="BA274" s="155"/>
      <c r="BB274" s="155"/>
      <c r="BC274" s="155"/>
      <c r="BF274" s="154"/>
      <c r="BG274" s="154"/>
      <c r="BI274" s="154"/>
      <c r="BJ274" s="154"/>
      <c r="BK274" s="156"/>
      <c r="BL274" s="157"/>
      <c r="BM274" s="154"/>
    </row>
    <row r="275" spans="53:65" s="152" customFormat="1" x14ac:dyDescent="0.25">
      <c r="BA275" s="155"/>
      <c r="BB275" s="155"/>
      <c r="BC275" s="155"/>
      <c r="BF275" s="154"/>
      <c r="BG275" s="154"/>
      <c r="BI275" s="154"/>
      <c r="BJ275" s="154"/>
      <c r="BK275" s="156"/>
      <c r="BL275" s="157"/>
      <c r="BM275" s="154"/>
    </row>
    <row r="276" spans="53:65" s="152" customFormat="1" x14ac:dyDescent="0.25">
      <c r="BA276" s="155"/>
      <c r="BB276" s="155"/>
      <c r="BC276" s="155"/>
      <c r="BF276" s="154"/>
      <c r="BG276" s="154"/>
      <c r="BI276" s="154"/>
      <c r="BJ276" s="154"/>
      <c r="BK276" s="156"/>
      <c r="BL276" s="157"/>
      <c r="BM276" s="154"/>
    </row>
    <row r="277" spans="53:65" s="152" customFormat="1" x14ac:dyDescent="0.25">
      <c r="BA277" s="155"/>
      <c r="BB277" s="155"/>
      <c r="BC277" s="155"/>
      <c r="BF277" s="154"/>
      <c r="BG277" s="154"/>
      <c r="BI277" s="154"/>
      <c r="BJ277" s="154"/>
      <c r="BK277" s="156"/>
      <c r="BL277" s="157"/>
      <c r="BM277" s="154"/>
    </row>
    <row r="278" spans="53:65" s="152" customFormat="1" x14ac:dyDescent="0.25">
      <c r="BA278" s="155"/>
      <c r="BB278" s="155"/>
      <c r="BC278" s="155"/>
      <c r="BF278" s="154"/>
      <c r="BG278" s="154"/>
      <c r="BI278" s="154"/>
      <c r="BJ278" s="154"/>
      <c r="BK278" s="156"/>
      <c r="BL278" s="157"/>
      <c r="BM278" s="154"/>
    </row>
    <row r="279" spans="53:65" s="152" customFormat="1" x14ac:dyDescent="0.25">
      <c r="BA279" s="155"/>
      <c r="BB279" s="155"/>
      <c r="BC279" s="155"/>
      <c r="BF279" s="154"/>
      <c r="BG279" s="154"/>
      <c r="BI279" s="154"/>
      <c r="BJ279" s="154"/>
      <c r="BK279" s="156"/>
      <c r="BL279" s="157"/>
      <c r="BM279" s="154"/>
    </row>
    <row r="280" spans="53:65" s="152" customFormat="1" x14ac:dyDescent="0.25">
      <c r="BA280" s="155"/>
      <c r="BB280" s="155"/>
      <c r="BC280" s="155"/>
      <c r="BF280" s="154"/>
      <c r="BG280" s="154"/>
      <c r="BI280" s="154"/>
      <c r="BJ280" s="154"/>
      <c r="BK280" s="156"/>
      <c r="BL280" s="157"/>
      <c r="BM280" s="154"/>
    </row>
    <row r="281" spans="53:65" s="152" customFormat="1" x14ac:dyDescent="0.25">
      <c r="BA281" s="155"/>
      <c r="BB281" s="155"/>
      <c r="BC281" s="155"/>
      <c r="BF281" s="154"/>
      <c r="BG281" s="154"/>
      <c r="BI281" s="154"/>
      <c r="BJ281" s="154"/>
      <c r="BK281" s="156"/>
      <c r="BL281" s="157"/>
      <c r="BM281" s="154"/>
    </row>
    <row r="282" spans="53:65" s="152" customFormat="1" x14ac:dyDescent="0.25">
      <c r="BA282" s="155"/>
      <c r="BB282" s="155"/>
      <c r="BC282" s="155"/>
      <c r="BF282" s="154"/>
      <c r="BG282" s="154"/>
      <c r="BI282" s="154"/>
      <c r="BJ282" s="154"/>
      <c r="BK282" s="156"/>
      <c r="BL282" s="157"/>
      <c r="BM282" s="154"/>
    </row>
    <row r="283" spans="53:65" s="152" customFormat="1" x14ac:dyDescent="0.25">
      <c r="BA283" s="155"/>
      <c r="BB283" s="155"/>
      <c r="BC283" s="155"/>
      <c r="BF283" s="154"/>
      <c r="BG283" s="154"/>
      <c r="BI283" s="154"/>
      <c r="BJ283" s="154"/>
      <c r="BK283" s="156"/>
      <c r="BL283" s="157"/>
      <c r="BM283" s="154"/>
    </row>
    <row r="284" spans="53:65" s="152" customFormat="1" x14ac:dyDescent="0.25">
      <c r="BA284" s="155"/>
      <c r="BB284" s="155"/>
      <c r="BC284" s="155"/>
      <c r="BF284" s="154"/>
      <c r="BG284" s="154"/>
      <c r="BI284" s="154"/>
      <c r="BJ284" s="154"/>
      <c r="BK284" s="156"/>
      <c r="BL284" s="157"/>
      <c r="BM284" s="154"/>
    </row>
    <row r="285" spans="53:65" s="152" customFormat="1" x14ac:dyDescent="0.25">
      <c r="BA285" s="155"/>
      <c r="BB285" s="155"/>
      <c r="BC285" s="155"/>
      <c r="BF285" s="154"/>
      <c r="BG285" s="154"/>
      <c r="BI285" s="154"/>
      <c r="BJ285" s="154"/>
      <c r="BK285" s="156"/>
      <c r="BL285" s="157"/>
      <c r="BM285" s="154"/>
    </row>
    <row r="286" spans="53:65" s="152" customFormat="1" x14ac:dyDescent="0.25">
      <c r="BA286" s="155"/>
      <c r="BB286" s="155"/>
      <c r="BC286" s="155"/>
      <c r="BF286" s="154"/>
      <c r="BG286" s="154"/>
      <c r="BI286" s="154"/>
      <c r="BJ286" s="154"/>
      <c r="BK286" s="156"/>
      <c r="BL286" s="157"/>
      <c r="BM286" s="154"/>
    </row>
    <row r="287" spans="53:65" s="152" customFormat="1" x14ac:dyDescent="0.25">
      <c r="BA287" s="155"/>
      <c r="BB287" s="155"/>
      <c r="BC287" s="155"/>
      <c r="BF287" s="154"/>
      <c r="BG287" s="154"/>
      <c r="BI287" s="154"/>
      <c r="BJ287" s="154"/>
      <c r="BK287" s="156"/>
      <c r="BL287" s="157"/>
      <c r="BM287" s="154"/>
    </row>
    <row r="288" spans="53:65" s="152" customFormat="1" x14ac:dyDescent="0.25">
      <c r="BA288" s="155"/>
      <c r="BB288" s="155"/>
      <c r="BC288" s="155"/>
      <c r="BF288" s="154"/>
      <c r="BG288" s="154"/>
      <c r="BI288" s="154"/>
      <c r="BJ288" s="154"/>
      <c r="BK288" s="156"/>
      <c r="BL288" s="157"/>
      <c r="BM288" s="154"/>
    </row>
    <row r="289" spans="53:65" s="152" customFormat="1" x14ac:dyDescent="0.25">
      <c r="BA289" s="155"/>
      <c r="BB289" s="155"/>
      <c r="BC289" s="155"/>
      <c r="BF289" s="154"/>
      <c r="BG289" s="154"/>
      <c r="BI289" s="154"/>
      <c r="BJ289" s="154"/>
      <c r="BK289" s="156"/>
      <c r="BL289" s="157"/>
      <c r="BM289" s="154"/>
    </row>
    <row r="290" spans="53:65" s="152" customFormat="1" x14ac:dyDescent="0.25">
      <c r="BA290" s="155"/>
      <c r="BB290" s="155"/>
      <c r="BC290" s="155"/>
      <c r="BF290" s="154"/>
      <c r="BG290" s="154"/>
      <c r="BI290" s="154"/>
      <c r="BJ290" s="154"/>
      <c r="BK290" s="156"/>
      <c r="BL290" s="157"/>
      <c r="BM290" s="154"/>
    </row>
    <row r="291" spans="53:65" s="152" customFormat="1" x14ac:dyDescent="0.25">
      <c r="BA291" s="155"/>
      <c r="BB291" s="155"/>
      <c r="BC291" s="155"/>
      <c r="BF291" s="154"/>
      <c r="BG291" s="154"/>
      <c r="BI291" s="154"/>
      <c r="BJ291" s="154"/>
      <c r="BK291" s="156"/>
      <c r="BL291" s="157"/>
      <c r="BM291" s="154"/>
    </row>
    <row r="292" spans="53:65" s="152" customFormat="1" x14ac:dyDescent="0.25">
      <c r="BA292" s="155"/>
      <c r="BB292" s="155"/>
      <c r="BC292" s="155"/>
      <c r="BF292" s="154"/>
      <c r="BG292" s="154"/>
      <c r="BI292" s="154"/>
      <c r="BJ292" s="154"/>
      <c r="BK292" s="156"/>
      <c r="BL292" s="157"/>
      <c r="BM292" s="154"/>
    </row>
    <row r="293" spans="53:65" s="152" customFormat="1" x14ac:dyDescent="0.25">
      <c r="BA293" s="155"/>
      <c r="BB293" s="155"/>
      <c r="BC293" s="155"/>
      <c r="BF293" s="154"/>
      <c r="BG293" s="154"/>
      <c r="BI293" s="154"/>
      <c r="BJ293" s="154"/>
      <c r="BK293" s="156"/>
      <c r="BL293" s="157"/>
      <c r="BM293" s="154"/>
    </row>
    <row r="294" spans="53:65" s="152" customFormat="1" x14ac:dyDescent="0.25">
      <c r="BA294" s="155"/>
      <c r="BB294" s="155"/>
      <c r="BC294" s="155"/>
      <c r="BF294" s="154"/>
      <c r="BG294" s="154"/>
      <c r="BI294" s="154"/>
      <c r="BJ294" s="154"/>
      <c r="BK294" s="156"/>
      <c r="BL294" s="157"/>
      <c r="BM294" s="154"/>
    </row>
    <row r="295" spans="53:65" s="152" customFormat="1" x14ac:dyDescent="0.25">
      <c r="BA295" s="155"/>
      <c r="BB295" s="155"/>
      <c r="BC295" s="155"/>
      <c r="BF295" s="154"/>
      <c r="BG295" s="154"/>
      <c r="BI295" s="154"/>
      <c r="BJ295" s="154"/>
      <c r="BK295" s="156"/>
      <c r="BL295" s="157"/>
      <c r="BM295" s="154"/>
    </row>
    <row r="296" spans="53:65" s="152" customFormat="1" x14ac:dyDescent="0.25">
      <c r="BA296" s="155"/>
      <c r="BB296" s="155"/>
      <c r="BC296" s="155"/>
      <c r="BF296" s="154"/>
      <c r="BG296" s="154"/>
      <c r="BI296" s="154"/>
      <c r="BJ296" s="154"/>
      <c r="BK296" s="156"/>
      <c r="BL296" s="157"/>
      <c r="BM296" s="154"/>
    </row>
    <row r="297" spans="53:65" s="152" customFormat="1" x14ac:dyDescent="0.25">
      <c r="BA297" s="155"/>
      <c r="BB297" s="155"/>
      <c r="BC297" s="155"/>
      <c r="BF297" s="154"/>
      <c r="BG297" s="154"/>
      <c r="BI297" s="154"/>
      <c r="BJ297" s="154"/>
      <c r="BK297" s="156"/>
      <c r="BL297" s="157"/>
      <c r="BM297" s="154"/>
    </row>
    <row r="298" spans="53:65" s="152" customFormat="1" x14ac:dyDescent="0.25">
      <c r="BA298" s="155"/>
      <c r="BB298" s="155"/>
      <c r="BC298" s="155"/>
      <c r="BF298" s="154"/>
      <c r="BG298" s="154"/>
      <c r="BI298" s="154"/>
      <c r="BJ298" s="154"/>
      <c r="BK298" s="156"/>
      <c r="BL298" s="157"/>
      <c r="BM298" s="154"/>
    </row>
    <row r="299" spans="53:65" s="152" customFormat="1" x14ac:dyDescent="0.25">
      <c r="BA299" s="155"/>
      <c r="BB299" s="155"/>
      <c r="BC299" s="155"/>
      <c r="BF299" s="154"/>
      <c r="BG299" s="154"/>
      <c r="BI299" s="154"/>
      <c r="BJ299" s="154"/>
      <c r="BK299" s="156"/>
      <c r="BL299" s="157"/>
      <c r="BM299" s="154"/>
    </row>
    <row r="300" spans="53:65" s="152" customFormat="1" x14ac:dyDescent="0.25">
      <c r="BA300" s="155"/>
      <c r="BB300" s="155"/>
      <c r="BC300" s="155"/>
      <c r="BF300" s="154"/>
      <c r="BG300" s="154"/>
      <c r="BI300" s="154"/>
      <c r="BJ300" s="154"/>
      <c r="BK300" s="156"/>
      <c r="BL300" s="157"/>
      <c r="BM300" s="154"/>
    </row>
    <row r="301" spans="53:65" s="152" customFormat="1" x14ac:dyDescent="0.25">
      <c r="BA301" s="155"/>
      <c r="BB301" s="155"/>
      <c r="BC301" s="155"/>
      <c r="BF301" s="154"/>
      <c r="BG301" s="154"/>
      <c r="BI301" s="154"/>
      <c r="BJ301" s="154"/>
      <c r="BK301" s="156"/>
      <c r="BL301" s="157"/>
      <c r="BM301" s="154"/>
    </row>
    <row r="302" spans="53:65" s="152" customFormat="1" x14ac:dyDescent="0.25">
      <c r="BA302" s="155"/>
      <c r="BB302" s="155"/>
      <c r="BC302" s="155"/>
      <c r="BF302" s="154"/>
      <c r="BG302" s="154"/>
      <c r="BI302" s="154"/>
      <c r="BJ302" s="154"/>
      <c r="BK302" s="156"/>
      <c r="BL302" s="157"/>
      <c r="BM302" s="154"/>
    </row>
    <row r="303" spans="53:65" s="152" customFormat="1" x14ac:dyDescent="0.25">
      <c r="BA303" s="155"/>
      <c r="BB303" s="155"/>
      <c r="BC303" s="155"/>
      <c r="BF303" s="154"/>
      <c r="BG303" s="154"/>
      <c r="BI303" s="154"/>
      <c r="BJ303" s="154"/>
      <c r="BK303" s="156"/>
      <c r="BL303" s="157"/>
      <c r="BM303" s="154"/>
    </row>
    <row r="304" spans="53:65" s="152" customFormat="1" x14ac:dyDescent="0.25">
      <c r="BA304" s="155"/>
      <c r="BB304" s="155"/>
      <c r="BC304" s="155"/>
      <c r="BF304" s="154"/>
      <c r="BG304" s="154"/>
      <c r="BI304" s="154"/>
      <c r="BJ304" s="154"/>
      <c r="BK304" s="156"/>
      <c r="BL304" s="157"/>
      <c r="BM304" s="154"/>
    </row>
    <row r="305" spans="53:65" s="152" customFormat="1" x14ac:dyDescent="0.25">
      <c r="BA305" s="155"/>
      <c r="BB305" s="155"/>
      <c r="BC305" s="155"/>
      <c r="BF305" s="154"/>
      <c r="BG305" s="154"/>
      <c r="BI305" s="154"/>
      <c r="BJ305" s="154"/>
      <c r="BK305" s="156"/>
      <c r="BL305" s="157"/>
      <c r="BM305" s="154"/>
    </row>
    <row r="306" spans="53:65" s="152" customFormat="1" x14ac:dyDescent="0.25">
      <c r="BA306" s="155"/>
      <c r="BB306" s="155"/>
      <c r="BC306" s="155"/>
      <c r="BF306" s="154"/>
      <c r="BG306" s="154"/>
      <c r="BI306" s="154"/>
      <c r="BJ306" s="154"/>
      <c r="BK306" s="156"/>
      <c r="BL306" s="157"/>
      <c r="BM306" s="154"/>
    </row>
    <row r="307" spans="53:65" s="152" customFormat="1" x14ac:dyDescent="0.25">
      <c r="BA307" s="155"/>
      <c r="BB307" s="155"/>
      <c r="BC307" s="155"/>
      <c r="BF307" s="154"/>
      <c r="BG307" s="154"/>
      <c r="BI307" s="154"/>
      <c r="BJ307" s="154"/>
      <c r="BK307" s="156"/>
      <c r="BL307" s="157"/>
      <c r="BM307" s="154"/>
    </row>
    <row r="308" spans="53:65" s="152" customFormat="1" x14ac:dyDescent="0.25">
      <c r="BA308" s="155"/>
      <c r="BB308" s="155"/>
      <c r="BC308" s="155"/>
      <c r="BF308" s="154"/>
      <c r="BG308" s="154"/>
      <c r="BI308" s="154"/>
      <c r="BJ308" s="154"/>
      <c r="BK308" s="156"/>
      <c r="BL308" s="157"/>
      <c r="BM308" s="154"/>
    </row>
    <row r="309" spans="53:65" s="152" customFormat="1" x14ac:dyDescent="0.25">
      <c r="BA309" s="155"/>
      <c r="BB309" s="155"/>
      <c r="BC309" s="155"/>
      <c r="BF309" s="154"/>
      <c r="BG309" s="154"/>
      <c r="BI309" s="154"/>
      <c r="BJ309" s="154"/>
      <c r="BK309" s="156"/>
      <c r="BL309" s="157"/>
      <c r="BM309" s="154"/>
    </row>
    <row r="310" spans="53:65" s="152" customFormat="1" x14ac:dyDescent="0.25">
      <c r="BA310" s="155"/>
      <c r="BB310" s="155"/>
      <c r="BC310" s="155"/>
      <c r="BF310" s="154"/>
      <c r="BG310" s="154"/>
      <c r="BI310" s="154"/>
      <c r="BJ310" s="154"/>
      <c r="BK310" s="156"/>
      <c r="BL310" s="157"/>
      <c r="BM310" s="154"/>
    </row>
    <row r="311" spans="53:65" s="152" customFormat="1" x14ac:dyDescent="0.25">
      <c r="BA311" s="155"/>
      <c r="BB311" s="155"/>
      <c r="BC311" s="155"/>
      <c r="BF311" s="154"/>
      <c r="BG311" s="154"/>
      <c r="BI311" s="154"/>
      <c r="BJ311" s="154"/>
      <c r="BK311" s="156"/>
      <c r="BL311" s="157"/>
      <c r="BM311" s="154"/>
    </row>
    <row r="312" spans="53:65" s="152" customFormat="1" x14ac:dyDescent="0.25">
      <c r="BA312" s="155"/>
      <c r="BB312" s="155"/>
      <c r="BC312" s="155"/>
      <c r="BF312" s="154"/>
      <c r="BG312" s="154"/>
      <c r="BI312" s="154"/>
      <c r="BJ312" s="154"/>
      <c r="BK312" s="156"/>
      <c r="BL312" s="157"/>
      <c r="BM312" s="154"/>
    </row>
    <row r="313" spans="53:65" s="152" customFormat="1" x14ac:dyDescent="0.25">
      <c r="BA313" s="155"/>
      <c r="BB313" s="155"/>
      <c r="BC313" s="155"/>
      <c r="BF313" s="154"/>
      <c r="BG313" s="154"/>
      <c r="BI313" s="154"/>
      <c r="BJ313" s="154"/>
      <c r="BK313" s="156"/>
      <c r="BL313" s="157"/>
      <c r="BM313" s="154"/>
    </row>
    <row r="314" spans="53:65" s="152" customFormat="1" x14ac:dyDescent="0.25">
      <c r="BA314" s="155"/>
      <c r="BB314" s="155"/>
      <c r="BC314" s="155"/>
      <c r="BF314" s="154"/>
      <c r="BG314" s="154"/>
      <c r="BI314" s="154"/>
      <c r="BJ314" s="154"/>
      <c r="BK314" s="156"/>
      <c r="BL314" s="157"/>
      <c r="BM314" s="154"/>
    </row>
    <row r="315" spans="53:65" s="152" customFormat="1" x14ac:dyDescent="0.25">
      <c r="BA315" s="155"/>
      <c r="BB315" s="155"/>
      <c r="BC315" s="155"/>
      <c r="BF315" s="154"/>
      <c r="BG315" s="154"/>
      <c r="BI315" s="154"/>
      <c r="BJ315" s="154"/>
      <c r="BK315" s="156"/>
      <c r="BL315" s="157"/>
      <c r="BM315" s="154"/>
    </row>
    <row r="316" spans="53:65" s="152" customFormat="1" x14ac:dyDescent="0.25">
      <c r="BA316" s="155"/>
      <c r="BB316" s="155"/>
      <c r="BC316" s="155"/>
      <c r="BF316" s="154"/>
      <c r="BG316" s="154"/>
      <c r="BI316" s="154"/>
      <c r="BJ316" s="154"/>
      <c r="BK316" s="156"/>
      <c r="BL316" s="157"/>
      <c r="BM316" s="154"/>
    </row>
    <row r="317" spans="53:65" s="152" customFormat="1" x14ac:dyDescent="0.25">
      <c r="BA317" s="155"/>
      <c r="BB317" s="155"/>
      <c r="BC317" s="155"/>
      <c r="BF317" s="154"/>
      <c r="BG317" s="154"/>
      <c r="BI317" s="154"/>
      <c r="BJ317" s="154"/>
      <c r="BK317" s="156"/>
      <c r="BL317" s="157"/>
      <c r="BM317" s="154"/>
    </row>
    <row r="318" spans="53:65" s="152" customFormat="1" x14ac:dyDescent="0.25">
      <c r="BA318" s="155"/>
      <c r="BB318" s="155"/>
      <c r="BC318" s="155"/>
      <c r="BF318" s="154"/>
      <c r="BG318" s="154"/>
      <c r="BI318" s="154"/>
      <c r="BJ318" s="154"/>
      <c r="BK318" s="156"/>
      <c r="BL318" s="157"/>
      <c r="BM318" s="154"/>
    </row>
    <row r="319" spans="53:65" s="152" customFormat="1" x14ac:dyDescent="0.25">
      <c r="BA319" s="155"/>
      <c r="BB319" s="155"/>
      <c r="BC319" s="155"/>
      <c r="BF319" s="154"/>
      <c r="BG319" s="154"/>
      <c r="BI319" s="154"/>
      <c r="BJ319" s="154"/>
      <c r="BK319" s="156"/>
      <c r="BL319" s="157"/>
      <c r="BM319" s="154"/>
    </row>
    <row r="320" spans="53:65" s="152" customFormat="1" x14ac:dyDescent="0.25">
      <c r="BA320" s="155"/>
      <c r="BB320" s="155"/>
      <c r="BC320" s="155"/>
      <c r="BF320" s="154"/>
      <c r="BG320" s="154"/>
      <c r="BI320" s="154"/>
      <c r="BJ320" s="154"/>
      <c r="BK320" s="156"/>
      <c r="BL320" s="157"/>
      <c r="BM320" s="154"/>
    </row>
    <row r="321" spans="53:65" s="152" customFormat="1" x14ac:dyDescent="0.25">
      <c r="BA321" s="155"/>
      <c r="BB321" s="155"/>
      <c r="BC321" s="155"/>
      <c r="BF321" s="154"/>
      <c r="BG321" s="154"/>
      <c r="BI321" s="154"/>
      <c r="BJ321" s="154"/>
      <c r="BK321" s="156"/>
      <c r="BL321" s="157"/>
      <c r="BM321" s="154"/>
    </row>
    <row r="322" spans="53:65" s="152" customFormat="1" x14ac:dyDescent="0.25">
      <c r="BA322" s="155"/>
      <c r="BB322" s="155"/>
      <c r="BC322" s="155"/>
      <c r="BF322" s="154"/>
      <c r="BG322" s="154"/>
      <c r="BI322" s="154"/>
      <c r="BJ322" s="154"/>
      <c r="BK322" s="156"/>
      <c r="BL322" s="157"/>
      <c r="BM322" s="154"/>
    </row>
    <row r="323" spans="53:65" s="152" customFormat="1" x14ac:dyDescent="0.25">
      <c r="BA323" s="155"/>
      <c r="BB323" s="155"/>
      <c r="BC323" s="155"/>
      <c r="BF323" s="154"/>
      <c r="BG323" s="154"/>
      <c r="BI323" s="154"/>
      <c r="BJ323" s="154"/>
      <c r="BK323" s="156"/>
      <c r="BL323" s="157"/>
      <c r="BM323" s="154"/>
    </row>
    <row r="324" spans="53:65" s="152" customFormat="1" x14ac:dyDescent="0.25">
      <c r="BA324" s="155"/>
      <c r="BB324" s="155"/>
      <c r="BC324" s="155"/>
      <c r="BF324" s="154"/>
      <c r="BG324" s="154"/>
      <c r="BI324" s="154"/>
      <c r="BJ324" s="154"/>
      <c r="BK324" s="156"/>
      <c r="BL324" s="157"/>
      <c r="BM324" s="154"/>
    </row>
    <row r="325" spans="53:65" s="152" customFormat="1" x14ac:dyDescent="0.25">
      <c r="BA325" s="155"/>
      <c r="BB325" s="155"/>
      <c r="BC325" s="155"/>
      <c r="BF325" s="154"/>
      <c r="BG325" s="154"/>
      <c r="BI325" s="154"/>
      <c r="BJ325" s="154"/>
      <c r="BK325" s="156"/>
      <c r="BL325" s="157"/>
      <c r="BM325" s="154"/>
    </row>
    <row r="326" spans="53:65" s="152" customFormat="1" x14ac:dyDescent="0.25">
      <c r="BA326" s="155"/>
      <c r="BB326" s="155"/>
      <c r="BC326" s="155"/>
      <c r="BF326" s="154"/>
      <c r="BG326" s="154"/>
      <c r="BI326" s="154"/>
      <c r="BJ326" s="154"/>
      <c r="BK326" s="156"/>
      <c r="BL326" s="157"/>
      <c r="BM326" s="154"/>
    </row>
    <row r="327" spans="53:65" s="152" customFormat="1" x14ac:dyDescent="0.25">
      <c r="BA327" s="155"/>
      <c r="BB327" s="155"/>
      <c r="BC327" s="155"/>
      <c r="BF327" s="154"/>
      <c r="BG327" s="154"/>
      <c r="BI327" s="154"/>
      <c r="BJ327" s="154"/>
      <c r="BK327" s="156"/>
      <c r="BL327" s="157"/>
      <c r="BM327" s="154"/>
    </row>
    <row r="328" spans="53:65" s="152" customFormat="1" x14ac:dyDescent="0.25">
      <c r="BA328" s="155"/>
      <c r="BB328" s="155"/>
      <c r="BC328" s="155"/>
      <c r="BF328" s="154"/>
      <c r="BG328" s="154"/>
      <c r="BI328" s="154"/>
      <c r="BJ328" s="154"/>
      <c r="BK328" s="156"/>
      <c r="BL328" s="157"/>
      <c r="BM328" s="154"/>
    </row>
    <row r="329" spans="53:65" s="152" customFormat="1" x14ac:dyDescent="0.25">
      <c r="BA329" s="155"/>
      <c r="BB329" s="155"/>
      <c r="BC329" s="155"/>
      <c r="BF329" s="154"/>
      <c r="BG329" s="154"/>
      <c r="BI329" s="154"/>
      <c r="BJ329" s="154"/>
      <c r="BK329" s="156"/>
      <c r="BL329" s="157"/>
      <c r="BM329" s="154"/>
    </row>
    <row r="330" spans="53:65" s="152" customFormat="1" x14ac:dyDescent="0.25">
      <c r="BA330" s="155"/>
      <c r="BB330" s="155"/>
      <c r="BC330" s="155"/>
      <c r="BF330" s="154"/>
      <c r="BG330" s="154"/>
      <c r="BI330" s="154"/>
      <c r="BJ330" s="154"/>
      <c r="BK330" s="156"/>
      <c r="BL330" s="157"/>
      <c r="BM330" s="154"/>
    </row>
    <row r="331" spans="53:65" s="152" customFormat="1" x14ac:dyDescent="0.25">
      <c r="BA331" s="155"/>
      <c r="BB331" s="155"/>
      <c r="BC331" s="155"/>
      <c r="BF331" s="154"/>
      <c r="BG331" s="154"/>
      <c r="BI331" s="154"/>
      <c r="BJ331" s="154"/>
      <c r="BK331" s="156"/>
      <c r="BL331" s="157"/>
      <c r="BM331" s="154"/>
    </row>
    <row r="332" spans="53:65" s="152" customFormat="1" x14ac:dyDescent="0.25">
      <c r="BA332" s="155"/>
      <c r="BB332" s="155"/>
      <c r="BC332" s="155"/>
      <c r="BF332" s="154"/>
      <c r="BG332" s="154"/>
      <c r="BI332" s="154"/>
      <c r="BJ332" s="154"/>
      <c r="BK332" s="156"/>
      <c r="BL332" s="157"/>
      <c r="BM332" s="154"/>
    </row>
    <row r="333" spans="53:65" s="152" customFormat="1" x14ac:dyDescent="0.25">
      <c r="BA333" s="155"/>
      <c r="BB333" s="155"/>
      <c r="BC333" s="155"/>
      <c r="BF333" s="154"/>
      <c r="BG333" s="154"/>
      <c r="BI333" s="154"/>
      <c r="BJ333" s="154"/>
      <c r="BK333" s="156"/>
      <c r="BL333" s="157"/>
      <c r="BM333" s="154"/>
    </row>
    <row r="334" spans="53:65" s="152" customFormat="1" x14ac:dyDescent="0.25">
      <c r="BA334" s="155"/>
      <c r="BB334" s="155"/>
      <c r="BC334" s="155"/>
      <c r="BF334" s="154"/>
      <c r="BG334" s="154"/>
      <c r="BI334" s="154"/>
      <c r="BJ334" s="154"/>
      <c r="BK334" s="156"/>
      <c r="BL334" s="157"/>
      <c r="BM334" s="154"/>
    </row>
    <row r="335" spans="53:65" s="152" customFormat="1" x14ac:dyDescent="0.25">
      <c r="BA335" s="155"/>
      <c r="BB335" s="155"/>
      <c r="BC335" s="155"/>
      <c r="BF335" s="154"/>
      <c r="BG335" s="154"/>
      <c r="BI335" s="154"/>
      <c r="BJ335" s="154"/>
      <c r="BK335" s="156"/>
      <c r="BL335" s="157"/>
      <c r="BM335" s="154"/>
    </row>
    <row r="336" spans="53:65" s="152" customFormat="1" x14ac:dyDescent="0.25">
      <c r="BA336" s="155"/>
      <c r="BB336" s="155"/>
      <c r="BC336" s="155"/>
      <c r="BF336" s="154"/>
      <c r="BG336" s="154"/>
      <c r="BI336" s="154"/>
      <c r="BJ336" s="154"/>
      <c r="BK336" s="156"/>
      <c r="BL336" s="157"/>
      <c r="BM336" s="154"/>
    </row>
    <row r="337" spans="53:65" s="152" customFormat="1" x14ac:dyDescent="0.25">
      <c r="BA337" s="155"/>
      <c r="BB337" s="155"/>
      <c r="BC337" s="155"/>
      <c r="BF337" s="154"/>
      <c r="BG337" s="154"/>
      <c r="BI337" s="154"/>
      <c r="BJ337" s="154"/>
      <c r="BK337" s="156"/>
      <c r="BL337" s="157"/>
      <c r="BM337" s="154"/>
    </row>
    <row r="338" spans="53:65" s="152" customFormat="1" x14ac:dyDescent="0.25">
      <c r="BA338" s="155"/>
      <c r="BB338" s="155"/>
      <c r="BC338" s="155"/>
      <c r="BF338" s="154"/>
      <c r="BG338" s="154"/>
      <c r="BI338" s="154"/>
      <c r="BJ338" s="154"/>
      <c r="BK338" s="156"/>
      <c r="BL338" s="157"/>
      <c r="BM338" s="154"/>
    </row>
    <row r="339" spans="53:65" s="152" customFormat="1" x14ac:dyDescent="0.25">
      <c r="BA339" s="155"/>
      <c r="BB339" s="155"/>
      <c r="BC339" s="155"/>
      <c r="BF339" s="154"/>
      <c r="BG339" s="154"/>
      <c r="BI339" s="154"/>
      <c r="BJ339" s="154"/>
      <c r="BK339" s="156"/>
      <c r="BL339" s="157"/>
      <c r="BM339" s="154"/>
    </row>
    <row r="340" spans="53:65" s="152" customFormat="1" x14ac:dyDescent="0.25">
      <c r="BA340" s="155"/>
      <c r="BB340" s="155"/>
      <c r="BC340" s="155"/>
      <c r="BF340" s="154"/>
      <c r="BG340" s="154"/>
      <c r="BI340" s="154"/>
      <c r="BJ340" s="154"/>
      <c r="BK340" s="156"/>
      <c r="BL340" s="157"/>
      <c r="BM340" s="154"/>
    </row>
    <row r="341" spans="53:65" s="152" customFormat="1" x14ac:dyDescent="0.25">
      <c r="BA341" s="155"/>
      <c r="BB341" s="155"/>
      <c r="BC341" s="155"/>
      <c r="BF341" s="154"/>
      <c r="BG341" s="154"/>
      <c r="BI341" s="154"/>
      <c r="BJ341" s="154"/>
      <c r="BK341" s="156"/>
      <c r="BL341" s="157"/>
      <c r="BM341" s="154"/>
    </row>
    <row r="342" spans="53:65" s="152" customFormat="1" x14ac:dyDescent="0.25">
      <c r="BA342" s="155"/>
      <c r="BB342" s="155"/>
      <c r="BC342" s="155"/>
      <c r="BF342" s="154"/>
      <c r="BG342" s="154"/>
      <c r="BI342" s="154"/>
      <c r="BJ342" s="154"/>
      <c r="BK342" s="156"/>
      <c r="BL342" s="157"/>
      <c r="BM342" s="154"/>
    </row>
    <row r="343" spans="53:65" s="152" customFormat="1" x14ac:dyDescent="0.25">
      <c r="BA343" s="155"/>
      <c r="BB343" s="155"/>
      <c r="BC343" s="155"/>
      <c r="BF343" s="154"/>
      <c r="BG343" s="154"/>
      <c r="BI343" s="154"/>
      <c r="BJ343" s="154"/>
      <c r="BK343" s="156"/>
      <c r="BL343" s="157"/>
      <c r="BM343" s="154"/>
    </row>
  </sheetData>
  <mergeCells count="176">
    <mergeCell ref="A1:AZ1"/>
    <mergeCell ref="I5:AQ5"/>
    <mergeCell ref="A6:AZ6"/>
    <mergeCell ref="B7:Q7"/>
    <mergeCell ref="R7:W7"/>
    <mergeCell ref="X7:AC7"/>
    <mergeCell ref="AD7:AF7"/>
    <mergeCell ref="AO7:AZ7"/>
    <mergeCell ref="I2:AM2"/>
    <mergeCell ref="I3:AM3"/>
    <mergeCell ref="I4:AM4"/>
    <mergeCell ref="A8:AZ8"/>
    <mergeCell ref="A9:A10"/>
    <mergeCell ref="B9:E9"/>
    <mergeCell ref="F9:Q9"/>
    <mergeCell ref="R9:W10"/>
    <mergeCell ref="X9:AC9"/>
    <mergeCell ref="AD9:AZ9"/>
    <mergeCell ref="B10:E10"/>
    <mergeCell ref="F10:Q10"/>
    <mergeCell ref="X10:AV10"/>
    <mergeCell ref="AW10:AZ10"/>
    <mergeCell ref="BN10:BN14"/>
    <mergeCell ref="A11:W11"/>
    <mergeCell ref="X11:AA11"/>
    <mergeCell ref="AB11:AC11"/>
    <mergeCell ref="AD11:AF11"/>
    <mergeCell ref="AG11:AL11"/>
    <mergeCell ref="AM11:AV11"/>
    <mergeCell ref="AW11:AZ11"/>
    <mergeCell ref="A12:S12"/>
    <mergeCell ref="T12:AZ12"/>
    <mergeCell ref="A13:K13"/>
    <mergeCell ref="L13:V13"/>
    <mergeCell ref="W13:AP13"/>
    <mergeCell ref="AQ13:AZ13"/>
    <mergeCell ref="A14:K14"/>
    <mergeCell ref="L14:V14"/>
    <mergeCell ref="W14:AP14"/>
    <mergeCell ref="AQ14:AZ14"/>
    <mergeCell ref="A15:AF15"/>
    <mergeCell ref="AG15:AP15"/>
    <mergeCell ref="AQ15:AZ15"/>
    <mergeCell ref="A16:AF16"/>
    <mergeCell ref="AG16:AP16"/>
    <mergeCell ref="AQ16:AZ16"/>
    <mergeCell ref="A17:S17"/>
    <mergeCell ref="T17:AC17"/>
    <mergeCell ref="AD17:AM17"/>
    <mergeCell ref="AN17:AZ17"/>
    <mergeCell ref="BN17:BN21"/>
    <mergeCell ref="A18:S18"/>
    <mergeCell ref="T18:AC18"/>
    <mergeCell ref="AD18:AM18"/>
    <mergeCell ref="AN18:AZ18"/>
    <mergeCell ref="A19:AZ19"/>
    <mergeCell ref="A20:S20"/>
    <mergeCell ref="T20:AZ20"/>
    <mergeCell ref="A21:U21"/>
    <mergeCell ref="V21:AE21"/>
    <mergeCell ref="AF21:AI21"/>
    <mergeCell ref="AJ21:AN21"/>
    <mergeCell ref="AO21:AZ21"/>
    <mergeCell ref="A22:U22"/>
    <mergeCell ref="V22:AE22"/>
    <mergeCell ref="AF22:AI22"/>
    <mergeCell ref="AJ22:AN22"/>
    <mergeCell ref="AO22:AZ22"/>
    <mergeCell ref="A23:U23"/>
    <mergeCell ref="V23:AE23"/>
    <mergeCell ref="AF23:AI23"/>
    <mergeCell ref="AJ23:AN23"/>
    <mergeCell ref="AO23:AZ23"/>
    <mergeCell ref="A24:U24"/>
    <mergeCell ref="V24:AE24"/>
    <mergeCell ref="AF24:AI24"/>
    <mergeCell ref="AJ24:AN24"/>
    <mergeCell ref="AO24:AZ24"/>
    <mergeCell ref="A25:U25"/>
    <mergeCell ref="V25:AE25"/>
    <mergeCell ref="AF25:AI25"/>
    <mergeCell ref="AJ25:AN25"/>
    <mergeCell ref="AO25:AZ25"/>
    <mergeCell ref="A26:U26"/>
    <mergeCell ref="V26:AE26"/>
    <mergeCell ref="AF26:AI26"/>
    <mergeCell ref="AJ26:AN26"/>
    <mergeCell ref="AO26:AZ26"/>
    <mergeCell ref="A27:AZ27"/>
    <mergeCell ref="A28:S28"/>
    <mergeCell ref="T28:AZ28"/>
    <mergeCell ref="BN28:BN29"/>
    <mergeCell ref="BO28:BO29"/>
    <mergeCell ref="A29:W29"/>
    <mergeCell ref="X29:AE29"/>
    <mergeCell ref="AF29:AI29"/>
    <mergeCell ref="AJ29:AN29"/>
    <mergeCell ref="AO29:AZ29"/>
    <mergeCell ref="A30:W30"/>
    <mergeCell ref="X30:AE30"/>
    <mergeCell ref="AF30:AI30"/>
    <mergeCell ref="AJ30:AN30"/>
    <mergeCell ref="AO30:AZ30"/>
    <mergeCell ref="A31:W31"/>
    <mergeCell ref="X31:AE31"/>
    <mergeCell ref="AF31:AI31"/>
    <mergeCell ref="AJ31:AN31"/>
    <mergeCell ref="AO31:AZ31"/>
    <mergeCell ref="A32:W32"/>
    <mergeCell ref="X32:AE32"/>
    <mergeCell ref="AF32:AI32"/>
    <mergeCell ref="AJ32:AN32"/>
    <mergeCell ref="AO32:AZ32"/>
    <mergeCell ref="A33:W33"/>
    <mergeCell ref="X33:AE33"/>
    <mergeCell ref="AF33:AI33"/>
    <mergeCell ref="AJ33:AN33"/>
    <mergeCell ref="AO33:AZ33"/>
    <mergeCell ref="A34:W34"/>
    <mergeCell ref="X34:AE34"/>
    <mergeCell ref="AF34:AI34"/>
    <mergeCell ref="AJ34:AN34"/>
    <mergeCell ref="AO34:AZ34"/>
    <mergeCell ref="A35:U35"/>
    <mergeCell ref="V35:AI35"/>
    <mergeCell ref="AJ35:AN35"/>
    <mergeCell ref="AO35:AZ35"/>
    <mergeCell ref="A36:O36"/>
    <mergeCell ref="P36:AZ36"/>
    <mergeCell ref="A37:L37"/>
    <mergeCell ref="M37:P37"/>
    <mergeCell ref="R37:AD37"/>
    <mergeCell ref="AE37:AJ37"/>
    <mergeCell ref="AK37:AP37"/>
    <mergeCell ref="AQ37:AZ37"/>
    <mergeCell ref="A38:L38"/>
    <mergeCell ref="M38:P38"/>
    <mergeCell ref="R38:AA38"/>
    <mergeCell ref="AB38:AI38"/>
    <mergeCell ref="AK38:AZ38"/>
    <mergeCell ref="A39:L39"/>
    <mergeCell ref="M39:P39"/>
    <mergeCell ref="Q39:AJ39"/>
    <mergeCell ref="AK39:AZ39"/>
    <mergeCell ref="A40:L40"/>
    <mergeCell ref="M40:P40"/>
    <mergeCell ref="Q40:AJ40"/>
    <mergeCell ref="AK40:AZ40"/>
    <mergeCell ref="A41:L41"/>
    <mergeCell ref="M41:P41"/>
    <mergeCell ref="Q41:AJ41"/>
    <mergeCell ref="AK41:AZ41"/>
    <mergeCell ref="A42:AZ42"/>
    <mergeCell ref="A43:I43"/>
    <mergeCell ref="J43:Y43"/>
    <mergeCell ref="Z43:AK43"/>
    <mergeCell ref="AL43:AZ43"/>
    <mergeCell ref="A44:I44"/>
    <mergeCell ref="J44:Y44"/>
    <mergeCell ref="Z44:AK44"/>
    <mergeCell ref="AL44:AZ44"/>
    <mergeCell ref="A45:I45"/>
    <mergeCell ref="J45:Y45"/>
    <mergeCell ref="Z45:AK45"/>
    <mergeCell ref="AL45:AZ45"/>
    <mergeCell ref="A52:AZ52"/>
    <mergeCell ref="A53:AZ53"/>
    <mergeCell ref="A46:I46"/>
    <mergeCell ref="J46:Y46"/>
    <mergeCell ref="Z46:AK46"/>
    <mergeCell ref="AL46:AZ46"/>
    <mergeCell ref="A47:AZ47"/>
    <mergeCell ref="AI48:AI51"/>
    <mergeCell ref="AJ48:AZ50"/>
    <mergeCell ref="AJ51:AZ51"/>
    <mergeCell ref="A48:AH51"/>
  </mergeCells>
  <conditionalFormatting sqref="A30:W34">
    <cfRule type="expression" dxfId="11" priority="2">
      <formula>ISERROR($X$30)=1</formula>
    </cfRule>
  </conditionalFormatting>
  <conditionalFormatting sqref="A30:W34">
    <cfRule type="expression" dxfId="10" priority="3">
      <formula>ISERROR($X$31)=1</formula>
    </cfRule>
  </conditionalFormatting>
  <conditionalFormatting sqref="A32">
    <cfRule type="expression" dxfId="9" priority="4">
      <formula>ISERROR($X$32)=1</formula>
    </cfRule>
  </conditionalFormatting>
  <conditionalFormatting sqref="A33">
    <cfRule type="expression" dxfId="8" priority="5">
      <formula>ISERROR($X$33)=1</formula>
    </cfRule>
  </conditionalFormatting>
  <conditionalFormatting sqref="A34">
    <cfRule type="expression" dxfId="7" priority="6">
      <formula>ISERROR($X$34)=1</formula>
    </cfRule>
  </conditionalFormatting>
  <conditionalFormatting sqref="A30:A31">
    <cfRule type="expression" dxfId="6" priority="7">
      <formula>ISERROR($X$30)=1</formula>
    </cfRule>
  </conditionalFormatting>
  <conditionalFormatting sqref="A32">
    <cfRule type="expression" dxfId="5" priority="8">
      <formula>ISERROR($X$30)=1</formula>
    </cfRule>
  </conditionalFormatting>
  <conditionalFormatting sqref="A32">
    <cfRule type="expression" dxfId="4" priority="9">
      <formula>ISERROR($X$31)=1</formula>
    </cfRule>
  </conditionalFormatting>
  <conditionalFormatting sqref="A33">
    <cfRule type="expression" dxfId="3" priority="10">
      <formula>ISERROR($X$30)=1</formula>
    </cfRule>
  </conditionalFormatting>
  <conditionalFormatting sqref="A33">
    <cfRule type="expression" dxfId="2" priority="11">
      <formula>ISERROR($X$31)=1</formula>
    </cfRule>
  </conditionalFormatting>
  <conditionalFormatting sqref="A34">
    <cfRule type="expression" dxfId="1" priority="12">
      <formula>ISERROR($X$30)=1</formula>
    </cfRule>
  </conditionalFormatting>
  <conditionalFormatting sqref="A34">
    <cfRule type="expression" dxfId="0" priority="13">
      <formula>ISERROR($X$31)=1</formula>
    </cfRule>
  </conditionalFormatting>
  <dataValidations count="12">
    <dataValidation type="list" allowBlank="1" showInputMessage="1" showErrorMessage="1" sqref="M38:P38">
      <formula1>$BE$31:$BE$32</formula1>
      <formula2>0</formula2>
    </dataValidation>
    <dataValidation type="list" allowBlank="1" showInputMessage="1" showErrorMessage="1" sqref="A37:L37">
      <formula1>$BE$22:$BE$28</formula1>
      <formula2>0</formula2>
    </dataValidation>
    <dataValidation type="list" allowBlank="1" showInputMessage="1" showErrorMessage="1" sqref="M39:P39">
      <formula1>$BG$30:$BG$32</formula1>
      <formula2>0</formula2>
    </dataValidation>
    <dataValidation type="list" allowBlank="1" showInputMessage="1" showErrorMessage="1" sqref="T20:AZ20">
      <formula1>$BE$17:$BE$18</formula1>
      <formula2>0</formula2>
    </dataValidation>
    <dataValidation type="list" allowBlank="1" showInputMessage="1" showErrorMessage="1" sqref="X10:AV10">
      <formula1>$BE$6:$BE$9</formula1>
      <formula2>0</formula2>
    </dataValidation>
    <dataValidation type="list" allowBlank="1" showInputMessage="1" showErrorMessage="1" sqref="AQ16:AZ16">
      <formula1>$BE$12:$BE$14</formula1>
      <formula2>0</formula2>
    </dataValidation>
    <dataValidation type="textLength" allowBlank="1" showInputMessage="1" showErrorMessage="1" sqref="A14:K14">
      <formula1>1</formula1>
      <formula2>15</formula2>
    </dataValidation>
    <dataValidation type="list" allowBlank="1" showInputMessage="1" showErrorMessage="1" sqref="A34:W34">
      <formula1>$BJ$9:$BJ$38</formula1>
    </dataValidation>
    <dataValidation type="list" allowBlank="1" showInputMessage="1" showErrorMessage="1" sqref="AB11:AC11">
      <formula1>$BG$9:$BG$10</formula1>
      <formula2>0</formula2>
    </dataValidation>
    <dataValidation type="list" allowBlank="1" showInputMessage="1" showErrorMessage="1" sqref="AM11:AV11">
      <formula1>$BG$6:$BG$7</formula1>
      <formula2>0</formula2>
    </dataValidation>
    <dataValidation type="list" allowBlank="1" showInputMessage="1" showErrorMessage="1" sqref="A30:W33">
      <formula1>$BJ$9:$BJ$38</formula1>
    </dataValidation>
    <dataValidation type="list" allowBlank="1" showInputMessage="1" showErrorMessage="1" sqref="A22:U26">
      <formula1>$BJ$9:$BJ$38</formula1>
    </dataValidation>
  </dataValidations>
  <pageMargins left="0.7" right="0.7" top="0.75" bottom="0.75" header="0.51180555555555496" footer="0.51180555555555496"/>
  <pageSetup scale="65" firstPageNumber="0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1763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Preinscripción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</dc:creator>
  <cp:lastModifiedBy>Tatiana</cp:lastModifiedBy>
  <cp:revision>3</cp:revision>
  <cp:lastPrinted>2019-07-26T12:44:53Z</cp:lastPrinted>
  <dcterms:created xsi:type="dcterms:W3CDTF">2016-06-28T15:09:57Z</dcterms:created>
  <dcterms:modified xsi:type="dcterms:W3CDTF">2020-03-30T17:59:05Z</dcterms:modified>
  <dc:language>es-CO</dc:language>
</cp:coreProperties>
</file>