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SI\Documents\U DISTRITAL\MCIC VIRUS\MCIC\2023\"/>
    </mc:Choice>
  </mc:AlternateContent>
  <xr:revisionPtr revIDLastSave="0" documentId="8_{FE20707D-27DF-4639-B0C0-86CD5AFF7C3B}" xr6:coauthVersionLast="47" xr6:coauthVersionMax="47" xr10:uidLastSave="{00000000-0000-0000-0000-000000000000}"/>
  <bookViews>
    <workbookView xWindow="0" yWindow="0" windowWidth="19200" windowHeight="7840" firstSheet="4" activeTab="4" xr2:uid="{EF196369-FE2B-4876-8183-216BE310E3A6}"/>
  </bookViews>
  <sheets>
    <sheet name="195" sheetId="1" r:id="rId1"/>
    <sheet name="295" sheetId="2" r:id="rId2"/>
    <sheet name="395" sheetId="3" r:id="rId3"/>
    <sheet name="495" sheetId="4" r:id="rId4"/>
    <sheet name="Hoja5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4" l="1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L42" i="4" s="1"/>
  <c r="K2" i="4"/>
  <c r="L2" i="4" s="1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2" i="3"/>
  <c r="L2" i="3" s="1"/>
  <c r="K3" i="2"/>
  <c r="K4" i="2"/>
  <c r="K5" i="2"/>
  <c r="K6" i="2"/>
  <c r="K7" i="2"/>
  <c r="K8" i="2"/>
  <c r="K9" i="2"/>
  <c r="K10" i="2"/>
  <c r="K11" i="2"/>
  <c r="K12" i="2"/>
  <c r="K13" i="2"/>
  <c r="L6" i="2" s="1"/>
  <c r="K2" i="2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2" i="1"/>
  <c r="L2" i="1" s="1"/>
  <c r="B2" i="5" s="1"/>
  <c r="L40" i="1" l="1"/>
  <c r="L33" i="1"/>
  <c r="L26" i="1"/>
  <c r="L16" i="1"/>
  <c r="L7" i="1"/>
  <c r="L8" i="2"/>
  <c r="L2" i="2"/>
  <c r="L3" i="2"/>
  <c r="L47" i="3"/>
  <c r="L44" i="3"/>
  <c r="L40" i="3"/>
  <c r="L23" i="3"/>
  <c r="L8" i="3"/>
  <c r="L35" i="4"/>
  <c r="L25" i="4"/>
  <c r="L15" i="4"/>
  <c r="B4" i="5" l="1"/>
  <c r="B3" i="5"/>
  <c r="B5" i="5"/>
  <c r="B6" i="5"/>
</calcChain>
</file>

<file path=xl/sharedStrings.xml><?xml version="1.0" encoding="utf-8"?>
<sst xmlns="http://schemas.openxmlformats.org/spreadsheetml/2006/main" count="662" uniqueCount="545">
  <si>
    <t>CÓD. ESTUDIANTE</t>
  </si>
  <si>
    <t>NOMBRE</t>
  </si>
  <si>
    <t>DOCUMENTO</t>
  </si>
  <si>
    <t>FECHA GRADO</t>
  </si>
  <si>
    <t>ACTA</t>
  </si>
  <si>
    <t>LIBRO</t>
  </si>
  <si>
    <t>FOLIO</t>
  </si>
  <si>
    <t>REGISTRO</t>
  </si>
  <si>
    <t>EMAIL</t>
  </si>
  <si>
    <t>PROMEDIO</t>
  </si>
  <si>
    <t>EMPRESA</t>
  </si>
  <si>
    <t>DIR. EMPRESA</t>
  </si>
  <si>
    <t>MU?OZ NU?EZ YENY KATHERINE</t>
  </si>
  <si>
    <t>F.I. 26496</t>
  </si>
  <si>
    <t>yekamunu@gmail.com</t>
  </si>
  <si>
    <t>4.35</t>
  </si>
  <si>
    <t>GONZALEZ PRIETO FREDY ALEXANDER</t>
  </si>
  <si>
    <t>F.I. 26494</t>
  </si>
  <si>
    <t>fredyagonzalez@hotmail.com</t>
  </si>
  <si>
    <t>4.64</t>
  </si>
  <si>
    <t>AVILA SANCHEZ JAIME ANTONIO</t>
  </si>
  <si>
    <t>F.I. 26298</t>
  </si>
  <si>
    <t>jaimejaas@gmail.com</t>
  </si>
  <si>
    <t>4.3</t>
  </si>
  <si>
    <t>BERMUDEZ BUCURU BRAYAN ANDRES</t>
  </si>
  <si>
    <t>F.I. 26299</t>
  </si>
  <si>
    <t>babermudezb@udistrital.edu.co</t>
  </si>
  <si>
    <t>4.63</t>
  </si>
  <si>
    <t>LOPEZ GARCIA ANDRES CAMILO</t>
  </si>
  <si>
    <t>F.I. 26300</t>
  </si>
  <si>
    <t>anclopezg@correo.udistrital.edu.co</t>
  </si>
  <si>
    <t>4.62</t>
  </si>
  <si>
    <t>ROBAYO MENDEZ GUSTAVO ALEJANDRO</t>
  </si>
  <si>
    <t>F.I 25851</t>
  </si>
  <si>
    <t>tavoalejo@gmail.com</t>
  </si>
  <si>
    <t>4.39</t>
  </si>
  <si>
    <t>LUIS ALFREDO NARVAEZ JARAMILLO</t>
  </si>
  <si>
    <t>F.I 25848</t>
  </si>
  <si>
    <t>lnarvaezj@hotmail.com</t>
  </si>
  <si>
    <t>4.42</t>
  </si>
  <si>
    <t>CASTILLO CRUZ JUAN DIEGO</t>
  </si>
  <si>
    <t>F.I 25845</t>
  </si>
  <si>
    <t>judcastilloc@correo.udistrital.edu.co</t>
  </si>
  <si>
    <t>4.59</t>
  </si>
  <si>
    <t>NUVAN HURTADO JAIRO ANTONIO</t>
  </si>
  <si>
    <t>F.I 25529</t>
  </si>
  <si>
    <t>januvan@hotmail.com</t>
  </si>
  <si>
    <t>4.13</t>
  </si>
  <si>
    <t>RODRIGUEZ COSSIO HANS</t>
  </si>
  <si>
    <t>F.I 25531</t>
  </si>
  <si>
    <t>hansrodriguez@gmail.com</t>
  </si>
  <si>
    <t>4.08</t>
  </si>
  <si>
    <t>DE LEON ARTURO VERBEL</t>
  </si>
  <si>
    <t>F.I 25534</t>
  </si>
  <si>
    <t>arturo.verbel@gmail.com</t>
  </si>
  <si>
    <t>4.48</t>
  </si>
  <si>
    <t>RODRIGUEZ RODRIGUEZ GUSTAVO ALONSO</t>
  </si>
  <si>
    <t>F.I 25338</t>
  </si>
  <si>
    <t>garcaj@hotmail.com</t>
  </si>
  <si>
    <t>3.83</t>
  </si>
  <si>
    <t>CASTA?EDA MOSCOSO EDWARD LENIN</t>
  </si>
  <si>
    <t>F.I 25337</t>
  </si>
  <si>
    <t>boogiedca@gmail.com</t>
  </si>
  <si>
    <t>3.69</t>
  </si>
  <si>
    <t>ARIAS FORERO JUAN DAVID</t>
  </si>
  <si>
    <t>F.I 25336</t>
  </si>
  <si>
    <t>jdariasforero2008@gmail.com</t>
  </si>
  <si>
    <t>4.66</t>
  </si>
  <si>
    <t>AGUDELO CRISTANCHO NELSON GIOVANNI</t>
  </si>
  <si>
    <t>F.I 25095</t>
  </si>
  <si>
    <t>nelsongiovani@gmail.com</t>
  </si>
  <si>
    <t>4.27</t>
  </si>
  <si>
    <t>DAVILA ROJAS MIGUEL ANGEL</t>
  </si>
  <si>
    <t>F.I 25099</t>
  </si>
  <si>
    <t>miadavilar@correo.udistrital.edu.co</t>
  </si>
  <si>
    <t>4.4</t>
  </si>
  <si>
    <t>BARRETO SANCHEZ FABIAN DAVID</t>
  </si>
  <si>
    <t>F.I 25096</t>
  </si>
  <si>
    <t>fabibeto11@hotmail.com</t>
  </si>
  <si>
    <t>4.68</t>
  </si>
  <si>
    <t>WILMER ALBERTO FIGUEREDO RODRIGUEZ</t>
  </si>
  <si>
    <t>F.I 24919</t>
  </si>
  <si>
    <t>wilmerfr@gmail.com</t>
  </si>
  <si>
    <t>GOMEZ ACERO JAIRO CESAR</t>
  </si>
  <si>
    <t>F.I 24639</t>
  </si>
  <si>
    <t>jacegom@gmail.com</t>
  </si>
  <si>
    <t>JUAN CARLOS DELGADILLO BELTRAN</t>
  </si>
  <si>
    <t>F.I 24488</t>
  </si>
  <si>
    <t>ingjuandel@gmail.com</t>
  </si>
  <si>
    <t>CUBILLOS SANCHEZ RAFAEL ORLANDO</t>
  </si>
  <si>
    <t>F.I 24487</t>
  </si>
  <si>
    <t>rafacubillos@gmail.com</t>
  </si>
  <si>
    <t>SUAREZ ROLDAN MARCO ALEXANDER</t>
  </si>
  <si>
    <t>F.I 24490</t>
  </si>
  <si>
    <t>masuarez90@misena.edu.co</t>
  </si>
  <si>
    <t>4.32</t>
  </si>
  <si>
    <t>SUAREZ ROLDAN JUAN SEBASTIAN</t>
  </si>
  <si>
    <t>F.I 24491</t>
  </si>
  <si>
    <t>sebas.suarez.roldan@gmail.com</t>
  </si>
  <si>
    <t>REYES BONILLA LUZ YAMILE</t>
  </si>
  <si>
    <t>F.I 24323</t>
  </si>
  <si>
    <t>luzyare@gmail.com</t>
  </si>
  <si>
    <t>4.28</t>
  </si>
  <si>
    <t>ALZATE ACU?A GABRIEL ANDRES</t>
  </si>
  <si>
    <t>F.I 24226</t>
  </si>
  <si>
    <t>gabriel.andres.alzate@gmail.com</t>
  </si>
  <si>
    <t>TORRES CASTILLO CAMILO ANDRES</t>
  </si>
  <si>
    <t>F.I 24227</t>
  </si>
  <si>
    <t>camito113@gmail.com</t>
  </si>
  <si>
    <t>CARRE?O PEREZ JUAN CARLOS</t>
  </si>
  <si>
    <t>F.I 23747</t>
  </si>
  <si>
    <t>juan_carlos_carreno@hotmail.com</t>
  </si>
  <si>
    <t>4.67</t>
  </si>
  <si>
    <t>CORREA SANCHEZ LEWYS</t>
  </si>
  <si>
    <t>F.I 23733</t>
  </si>
  <si>
    <t>lew.correa@gmail.com</t>
  </si>
  <si>
    <t>4.51</t>
  </si>
  <si>
    <t>SERRANO MOLINA YOHEL RENE</t>
  </si>
  <si>
    <t>F.I 23737</t>
  </si>
  <si>
    <t>yorry_12@hotmail.com</t>
  </si>
  <si>
    <t>4.14</t>
  </si>
  <si>
    <t>RAMIREZ PEREZ NATALIA ANDREA</t>
  </si>
  <si>
    <t>F.I 23735</t>
  </si>
  <si>
    <t>nata.r_1212@hotmail.com</t>
  </si>
  <si>
    <t>4.69</t>
  </si>
  <si>
    <t>DIAZ CARRETERO EDUARDO ALFONSO</t>
  </si>
  <si>
    <t>F.I 23734</t>
  </si>
  <si>
    <t>eadiaz96@gmail.com</t>
  </si>
  <si>
    <t>4.38</t>
  </si>
  <si>
    <t>NESTOR JAVIER RODRIGUEZ GARCIA</t>
  </si>
  <si>
    <t>F.I 23308</t>
  </si>
  <si>
    <t>ing.nestor0818@gmail.com</t>
  </si>
  <si>
    <t>4.36</t>
  </si>
  <si>
    <t>MORENO MORENO ANDRES JULIAN</t>
  </si>
  <si>
    <t>F.I 23305</t>
  </si>
  <si>
    <t>andresm2.xy@gmail.com</t>
  </si>
  <si>
    <t>OTALORA RIVERO GEOVANNY RENE</t>
  </si>
  <si>
    <t>F.I 23306</t>
  </si>
  <si>
    <t>gotalora68@gmail.com</t>
  </si>
  <si>
    <t>4.26</t>
  </si>
  <si>
    <t>PINEDA TORRES DIEGO EDUARDO</t>
  </si>
  <si>
    <t>F.I 23307</t>
  </si>
  <si>
    <t>deduardopineda@gmail.com</t>
  </si>
  <si>
    <t>HECTOR MANUEL HERRERA HERRERA</t>
  </si>
  <si>
    <t>F.I. 22661</t>
  </si>
  <si>
    <t>hetorherrera@hotmail.com</t>
  </si>
  <si>
    <t>4.49</t>
  </si>
  <si>
    <t>SOTO CONDE DIEGO FELIPE</t>
  </si>
  <si>
    <t>F.I. 22385</t>
  </si>
  <si>
    <t>difeso@gmail.com</t>
  </si>
  <si>
    <t>4.18</t>
  </si>
  <si>
    <t>GUEVARA RIVEROS ADRIANA YOLANDA</t>
  </si>
  <si>
    <t>F.I. 22383</t>
  </si>
  <si>
    <t>adriveros2006@hotmail.com</t>
  </si>
  <si>
    <t>4.31</t>
  </si>
  <si>
    <t>LOPEZ SANCHEZ WILSON RICARDO</t>
  </si>
  <si>
    <t>F.I. 21762</t>
  </si>
  <si>
    <t>wilrilo@gmail.com</t>
  </si>
  <si>
    <t>4.75</t>
  </si>
  <si>
    <t>BERNAL ARIZA CRISTIAN CAMILO</t>
  </si>
  <si>
    <t>F.I. 21760</t>
  </si>
  <si>
    <t>cristianbariza@gmail.com</t>
  </si>
  <si>
    <t>4.45</t>
  </si>
  <si>
    <t>VASQUEZ SUAREZ HAROLD ANDREY</t>
  </si>
  <si>
    <t>F.I. 21238</t>
  </si>
  <si>
    <t>harold869@hotmail.com</t>
  </si>
  <si>
    <t>4.09</t>
  </si>
  <si>
    <t>CAMARGO LOPEZ JULIAN ROLANDO</t>
  </si>
  <si>
    <t>F.I. 21224</t>
  </si>
  <si>
    <t>jcamargo@udistrital.edu.co</t>
  </si>
  <si>
    <t>4.77</t>
  </si>
  <si>
    <t>MORALES VEGA TATIANA</t>
  </si>
  <si>
    <t>F.I. 21229</t>
  </si>
  <si>
    <t>tatiana.morales@transmilenio.gov.co</t>
  </si>
  <si>
    <t>PARDO CADENA DUVAN ARLEY</t>
  </si>
  <si>
    <t>F.I. 21231</t>
  </si>
  <si>
    <t>dapardoc@gmail.com</t>
  </si>
  <si>
    <t>PE?A CARO WILSON JAVIER</t>
  </si>
  <si>
    <t>F.I. 21232</t>
  </si>
  <si>
    <t>wiljha@hotmail.com</t>
  </si>
  <si>
    <t>PEREZ ALMEIDA SERGIO ALEJANDRO</t>
  </si>
  <si>
    <t>F.I. 21233</t>
  </si>
  <si>
    <t>sergio9012@hotmail.com</t>
  </si>
  <si>
    <t>4.76</t>
  </si>
  <si>
    <t>RODRIGUEZ CEDIEL ANA CAROLINA</t>
  </si>
  <si>
    <t>F.I. 21236</t>
  </si>
  <si>
    <t>anacarolinarodriguezcediel@gmail.com</t>
  </si>
  <si>
    <t>4.6</t>
  </si>
  <si>
    <t>VALIENTE CRISTANCHO ADRIANA</t>
  </si>
  <si>
    <t>F.I. 21020</t>
  </si>
  <si>
    <t>avcristancho@gmail.com</t>
  </si>
  <si>
    <t>SANCHEZ JOSE ALEJANDRO</t>
  </si>
  <si>
    <t>F.I 25532</t>
  </si>
  <si>
    <t>ijasanchez@gmail.com</t>
  </si>
  <si>
    <t>RAMIREZ AREVALO HELIO HENRY</t>
  </si>
  <si>
    <t>F.I 24201</t>
  </si>
  <si>
    <t>helio.ramirez@gmail.com</t>
  </si>
  <si>
    <t>4.25</t>
  </si>
  <si>
    <t>RODRIGUEZ MORENO JOSE JULIAN</t>
  </si>
  <si>
    <t>F.I 23736</t>
  </si>
  <si>
    <t>julian.rodriguez.moreno@gmail.com</t>
  </si>
  <si>
    <t>PINZON ORTIZ JESUS EMILSEN</t>
  </si>
  <si>
    <t>F.I 23599</t>
  </si>
  <si>
    <t>jesus.pinzon@hotmail.com</t>
  </si>
  <si>
    <t>4.29</t>
  </si>
  <si>
    <t>CASTELLANOS ROJAS MARTHA CARMENZA</t>
  </si>
  <si>
    <t>F.I. 22382</t>
  </si>
  <si>
    <t>martha.castellanos@gmail.com</t>
  </si>
  <si>
    <t>4.41</t>
  </si>
  <si>
    <t>PINILLA AVILA EDWIN GUSTAVO</t>
  </si>
  <si>
    <t>F.I. 22384</t>
  </si>
  <si>
    <t>egpinilla@gmail.com</t>
  </si>
  <si>
    <t>BECERRA GONZALEZ LAURA CRISTINA</t>
  </si>
  <si>
    <t>F.I. 22153</t>
  </si>
  <si>
    <t>lauracriss@misena.edu.co</t>
  </si>
  <si>
    <t>PUENTES PUENTES OSCAR JAVIER</t>
  </si>
  <si>
    <t>F.I. 21234</t>
  </si>
  <si>
    <t>oskarj84@gmail.com</t>
  </si>
  <si>
    <t>4.33</t>
  </si>
  <si>
    <t>MENDEZ MATAMOROS JORGE HERNANDO</t>
  </si>
  <si>
    <t>F.I. 21228</t>
  </si>
  <si>
    <t>is.jorge@gmail.com</t>
  </si>
  <si>
    <t>3.89</t>
  </si>
  <si>
    <t>DIAZ HERNANDEZ MARIA FERNANDA</t>
  </si>
  <si>
    <t>F.I. 21226</t>
  </si>
  <si>
    <t>mafediazh77@gmail.com</t>
  </si>
  <si>
    <t>MOYA JUTINICO CARLOS JULIO</t>
  </si>
  <si>
    <t>F.I. 21230</t>
  </si>
  <si>
    <t>ingcarlosmoya@hotmail.com</t>
  </si>
  <si>
    <t>VARGAS BARRIOS PEDRO JULIO</t>
  </si>
  <si>
    <t>F.I. 21237</t>
  </si>
  <si>
    <t>pedrojvar@gmail.com</t>
  </si>
  <si>
    <t>4.23</t>
  </si>
  <si>
    <t>SANDOVAL LAGOS JONATHAN SAID</t>
  </si>
  <si>
    <t>F.I. 26499</t>
  </si>
  <si>
    <t>jssandovall@udistrital.edu.co</t>
  </si>
  <si>
    <t>MEJIA ROCHA MARINO</t>
  </si>
  <si>
    <t>F.I. 26297</t>
  </si>
  <si>
    <t>marino.mejia@gmail.com</t>
  </si>
  <si>
    <t>CABIATIVA SANCHEZ OSCAR ABRAHAM</t>
  </si>
  <si>
    <t>F.I. 26291</t>
  </si>
  <si>
    <t>cabiato90@gmail.com</t>
  </si>
  <si>
    <t>4.1</t>
  </si>
  <si>
    <t>CABALLERO MODERA NICOLS ERNESTO</t>
  </si>
  <si>
    <t>F.I. 26290</t>
  </si>
  <si>
    <t>necaballerom@gmail.com</t>
  </si>
  <si>
    <t>BECERRA GARCIA LAURA JUANITA</t>
  </si>
  <si>
    <t>F.I. 26289</t>
  </si>
  <si>
    <t>ljbecerrag@gmail.com</t>
  </si>
  <si>
    <t>ZARAZA AGUILERA MAYCOL ALEJANDRO</t>
  </si>
  <si>
    <t>F.I. 26292</t>
  </si>
  <si>
    <t>maikolzaraza07@gmail.com</t>
  </si>
  <si>
    <t>4.71</t>
  </si>
  <si>
    <t>MARTINEZ AGUIRRE NELSON DAVID</t>
  </si>
  <si>
    <t>F.I. 26020</t>
  </si>
  <si>
    <t>davidmartinezaguirre@hotmail.com</t>
  </si>
  <si>
    <t>4.43</t>
  </si>
  <si>
    <t>MONTES LOPEZ DIEGO FERNANDO</t>
  </si>
  <si>
    <t>F.I. 26021</t>
  </si>
  <si>
    <t>adiegomontes@gmail.com</t>
  </si>
  <si>
    <t>JESSICA ANDREA ZAPATA GRAJALES</t>
  </si>
  <si>
    <t>F.I 25854</t>
  </si>
  <si>
    <t>jessiandre71@gmail.com</t>
  </si>
  <si>
    <t>ROBLES MONDRAGON DUVAN ALEXANDER</t>
  </si>
  <si>
    <t>F.I 25852</t>
  </si>
  <si>
    <t>dalexrobles@gmail.com</t>
  </si>
  <si>
    <t>4.58</t>
  </si>
  <si>
    <t>MANRIQUE CHACON LAURA MELISSA</t>
  </si>
  <si>
    <t>F.I 25846</t>
  </si>
  <si>
    <t>manriquelaura31@gmail.com</t>
  </si>
  <si>
    <t>4.8</t>
  </si>
  <si>
    <t>MONTOYA QUINTERO GERMAN DAVID</t>
  </si>
  <si>
    <t>F.I 25847</t>
  </si>
  <si>
    <t>gdmontoyaq@gmail.com</t>
  </si>
  <si>
    <t>4.44</t>
  </si>
  <si>
    <t>RAYO BERMUDEZ KAREN YULIETH</t>
  </si>
  <si>
    <t>F.I 25849</t>
  </si>
  <si>
    <t>kyrayob@correo.udistrital.edu.co</t>
  </si>
  <si>
    <t>SUAREZ RODRIGUEZ JUAN MANUEL</t>
  </si>
  <si>
    <t>F.I 25853</t>
  </si>
  <si>
    <t>ingjuanmasuarez@gmail.com</t>
  </si>
  <si>
    <t>ALVARADO VARGAS DIANA CAROLINA</t>
  </si>
  <si>
    <t>F.I 25522</t>
  </si>
  <si>
    <t>diana.caro5212@gmail.com</t>
  </si>
  <si>
    <t>LUNA AREVALO FABIO NICOLAS</t>
  </si>
  <si>
    <t>F.I 25528</t>
  </si>
  <si>
    <t>nicolaslunageo2@gmail.com</t>
  </si>
  <si>
    <t>GUERRERO BUELVAS LUIS MANUEL</t>
  </si>
  <si>
    <t>F.I 25525</t>
  </si>
  <si>
    <t>lmguerrerob@correo.udistrital.edu.co</t>
  </si>
  <si>
    <t>4.53</t>
  </si>
  <si>
    <t>GONZALEZ BUITRAGO GABRIEL HERNAN</t>
  </si>
  <si>
    <t>F.I 25524</t>
  </si>
  <si>
    <t>ghgonzalezb@correo.udistrital.edu.co</t>
  </si>
  <si>
    <t>4.72</t>
  </si>
  <si>
    <t>PARRA GARZON JUAN CARLOS</t>
  </si>
  <si>
    <t>F.I 25530</t>
  </si>
  <si>
    <t>Jcparrag2000@gmail.com</t>
  </si>
  <si>
    <t>FERNANDEZ CAMPOS JAVIER ORLANDO</t>
  </si>
  <si>
    <t>F.I 25523</t>
  </si>
  <si>
    <t>fernandezjavier480@gmail.com</t>
  </si>
  <si>
    <t>ZARATE AREVALO HERNAN DARIO</t>
  </si>
  <si>
    <t>F.I 25340</t>
  </si>
  <si>
    <t>hzaratepot2013@gmail.com</t>
  </si>
  <si>
    <t>LOPEZ LOPEZ JHON FREDY</t>
  </si>
  <si>
    <t>F.I 25101</t>
  </si>
  <si>
    <t>jfredyl@gmail.com</t>
  </si>
  <si>
    <t>4.17</t>
  </si>
  <si>
    <t>RAMIREZ NAVARRO SERGIO ALEXANDER</t>
  </si>
  <si>
    <t>F.I 25102</t>
  </si>
  <si>
    <t>sergio.ramirez@incige.com</t>
  </si>
  <si>
    <t>RODRIGUEZ LAMUS DIEGO FERNANDO</t>
  </si>
  <si>
    <t>F.I 25103</t>
  </si>
  <si>
    <t>dfrodriguezl94@gmail.com</t>
  </si>
  <si>
    <t>GONZALEZ HERRE?O DAVID EDUARDO</t>
  </si>
  <si>
    <t>F.I 25100</t>
  </si>
  <si>
    <t>davide_245@hotmail.com</t>
  </si>
  <si>
    <t>CARDONA PIEDRAHITA LEONARDO ALEXANDER</t>
  </si>
  <si>
    <t>F.I 25020</t>
  </si>
  <si>
    <t>leocardonapiedrahita@gmail.com</t>
  </si>
  <si>
    <t>CORTES BUITRAGO OMAR</t>
  </si>
  <si>
    <t>F.I 25021</t>
  </si>
  <si>
    <t>omar.cortes@wgsltda.com.co</t>
  </si>
  <si>
    <t>NU?EZ EGUIS EMILY DAYANA</t>
  </si>
  <si>
    <t>F.I 25022</t>
  </si>
  <si>
    <t>emilyda9@gmail.com</t>
  </si>
  <si>
    <t>4.06</t>
  </si>
  <si>
    <t>GUTIERREZ GUERRERO HELBER LEONARDO</t>
  </si>
  <si>
    <t>F.I 24920</t>
  </si>
  <si>
    <t>leonardoh12@gmail.com</t>
  </si>
  <si>
    <t>4.19</t>
  </si>
  <si>
    <t>MORALES ESCOBAR ANA ALEXANDRA</t>
  </si>
  <si>
    <t>F.I 24921</t>
  </si>
  <si>
    <t>analexandra.morales@gmail.com</t>
  </si>
  <si>
    <t>4.46</t>
  </si>
  <si>
    <t>BENAVIDES GODOY JEISSON ENRIQUE</t>
  </si>
  <si>
    <t>F.I 24762</t>
  </si>
  <si>
    <t>jeissonbenavides@hotmail.com</t>
  </si>
  <si>
    <t>CORTES BUITRAGO WALTER ANDRES</t>
  </si>
  <si>
    <t>F.I 24763</t>
  </si>
  <si>
    <t>wacortes88@gmail.com</t>
  </si>
  <si>
    <t>CUELLAR GUTIERREZ JULIO ARMANDO</t>
  </si>
  <si>
    <t>F.I 24764</t>
  </si>
  <si>
    <t>ingjuliocuellar@gmail.com</t>
  </si>
  <si>
    <t>OCHOA TORRES SINDY NATALI</t>
  </si>
  <si>
    <t>F.I 24766</t>
  </si>
  <si>
    <t>nathaliochoa@gmail.com</t>
  </si>
  <si>
    <t>4.24</t>
  </si>
  <si>
    <t>GONZALEZ PARRA CAMILO ANDRES</t>
  </si>
  <si>
    <t>F.I 24640</t>
  </si>
  <si>
    <t>camiloandresgonzalezp@gmail.com</t>
  </si>
  <si>
    <t>NIETO VERA YENI ANDREA</t>
  </si>
  <si>
    <t>F.I 24641</t>
  </si>
  <si>
    <t>yennynieto01@gmail.com</t>
  </si>
  <si>
    <t>GARZON MARTINEZ SONIA CONSTANZA</t>
  </si>
  <si>
    <t>F.I 24575</t>
  </si>
  <si>
    <t>garzonsonia@gmail.com</t>
  </si>
  <si>
    <t>4.52</t>
  </si>
  <si>
    <t>TORO GARAY GISELLE HELENA</t>
  </si>
  <si>
    <t>F.I 24324</t>
  </si>
  <si>
    <t>gisetoga@live.com</t>
  </si>
  <si>
    <t>FLOREZ GARCIA ANDRES CAMILO</t>
  </si>
  <si>
    <t>F.I 24200</t>
  </si>
  <si>
    <t>andrescfg@gmail.com</t>
  </si>
  <si>
    <t>LEON CAROLINA GIRON</t>
  </si>
  <si>
    <t>F.I 24147</t>
  </si>
  <si>
    <t>cleongiron@gmail.com</t>
  </si>
  <si>
    <t>4.22</t>
  </si>
  <si>
    <t>CARRILLO DURAN IVAN DARIO</t>
  </si>
  <si>
    <t>F.I 24037</t>
  </si>
  <si>
    <t>Ivancho4321@hotmail.com</t>
  </si>
  <si>
    <t>VALLEJO AREVALO WILMER HARVEY</t>
  </si>
  <si>
    <t>F.I 23600</t>
  </si>
  <si>
    <t>whvallejoa@gmail.com</t>
  </si>
  <si>
    <t>FIGUEROA CEFERINO DIANA CAROLINA</t>
  </si>
  <si>
    <t>F.I. 22941</t>
  </si>
  <si>
    <t>carofc@gmail.com</t>
  </si>
  <si>
    <t>SERGIO ALEJANDRO ROJAS BARBOSA</t>
  </si>
  <si>
    <t>F.I. 22942</t>
  </si>
  <si>
    <t>seralejo2004@gmail.com</t>
  </si>
  <si>
    <t>ESPINOSA GOMEZ YENNY</t>
  </si>
  <si>
    <t>F.I. 22662</t>
  </si>
  <si>
    <t>yespinosa@udistrital.edu.co</t>
  </si>
  <si>
    <t>MURILLO CASTA?EDA RAUL ALEJANDRO</t>
  </si>
  <si>
    <t>F.I. 22152</t>
  </si>
  <si>
    <t>alejomurillo7@hotmail.com</t>
  </si>
  <si>
    <t>4.34</t>
  </si>
  <si>
    <t>HERRERA DE LA ROSA LORENA LIZETH</t>
  </si>
  <si>
    <t>F.I. 21761</t>
  </si>
  <si>
    <t>lorenadelarosa2@hotmail.com</t>
  </si>
  <si>
    <t>4.07</t>
  </si>
  <si>
    <t>DONCEL BALLEN DAVID</t>
  </si>
  <si>
    <t>F.I. 21588</t>
  </si>
  <si>
    <t>ddoncelb@gmail.com</t>
  </si>
  <si>
    <t>MONCADA SANCHEZ JAVIER FELIPE</t>
  </si>
  <si>
    <t>F.I. 21460</t>
  </si>
  <si>
    <t>jfmoncadas@gmail.com</t>
  </si>
  <si>
    <t>3.95</t>
  </si>
  <si>
    <t>RIVAS DIAZGRANADOS MARIAM</t>
  </si>
  <si>
    <t>F.I. 21235</t>
  </si>
  <si>
    <t>mariam_rivas@hotmail.com</t>
  </si>
  <si>
    <t>4.16</t>
  </si>
  <si>
    <t>CASTRILLON OSORIO OMAR</t>
  </si>
  <si>
    <t>F.I. 21225</t>
  </si>
  <si>
    <t>oco1117@gmail.com</t>
  </si>
  <si>
    <t>MATIZ LEON JHON CAMILO</t>
  </si>
  <si>
    <t>F.I. 21227</t>
  </si>
  <si>
    <t>ing.camilo.matiz@gmail.com</t>
  </si>
  <si>
    <t>CADENA CONTRERAS LAURA ANGELICA</t>
  </si>
  <si>
    <t>F.I. 21223</t>
  </si>
  <si>
    <t>lacadenacontreras@gmail.com</t>
  </si>
  <si>
    <t>PINZON CASAS CHRISTIAN JESUS</t>
  </si>
  <si>
    <t>F.I. 26497</t>
  </si>
  <si>
    <t>christian.pinzon92@gmail.com</t>
  </si>
  <si>
    <t>4.2</t>
  </si>
  <si>
    <t>ARCOS MU?OZ NOE</t>
  </si>
  <si>
    <t>F.I. 26492</t>
  </si>
  <si>
    <t>narcosm@udistrital.edu.co</t>
  </si>
  <si>
    <t>WISK CEBALLOS SEBASTIAN</t>
  </si>
  <si>
    <t>F.I. 26501</t>
  </si>
  <si>
    <t>sebastianwc@hotmail.com</t>
  </si>
  <si>
    <t>VARGAS CARRILLO LUZ ANGELA</t>
  </si>
  <si>
    <t>F.I. 26500</t>
  </si>
  <si>
    <t>lavargasc@udistrital.edu.co</t>
  </si>
  <si>
    <t>CA?ON CLAVIJO RUBEN ENRIQUE</t>
  </si>
  <si>
    <t>F.I. 26493</t>
  </si>
  <si>
    <t>rubendreamteam@hotmail.com</t>
  </si>
  <si>
    <t>MILLAN GOMEZ JORGE ARMANDO</t>
  </si>
  <si>
    <t>F.I. 26495</t>
  </si>
  <si>
    <t>jamillan94@gmail.com</t>
  </si>
  <si>
    <t>4.74</t>
  </si>
  <si>
    <t>ROCHA CALDERON CAMILO ENRIQUE</t>
  </si>
  <si>
    <t>F.I. 26498</t>
  </si>
  <si>
    <t>cerochac@udistrital.edu.co</t>
  </si>
  <si>
    <t>4.85</t>
  </si>
  <si>
    <t>PUPIALES AREVALO ANDRES</t>
  </si>
  <si>
    <t>F.I. 26294</t>
  </si>
  <si>
    <t>apupiales@gmail.com</t>
  </si>
  <si>
    <t>PE?A MENESES JOSE DANIEL</t>
  </si>
  <si>
    <t>F.I. 26293</t>
  </si>
  <si>
    <t>temp2010@msn.com</t>
  </si>
  <si>
    <t>VACA VILLAMIL TANIA ALEXANDRA</t>
  </si>
  <si>
    <t>F.I. 26296</t>
  </si>
  <si>
    <t>alexandra0512sys@gmail.com</t>
  </si>
  <si>
    <t>4.21</t>
  </si>
  <si>
    <t>SAENZ BUSTOS DAISY JOHANNA</t>
  </si>
  <si>
    <t>F.I. 26295</t>
  </si>
  <si>
    <t>daisysaenz1223@gmail.com</t>
  </si>
  <si>
    <t>SANCHEZ MANCILLA JUAN SEBASTIAN</t>
  </si>
  <si>
    <t>F.I. 26034</t>
  </si>
  <si>
    <t>juansanchez011@gmail.com</t>
  </si>
  <si>
    <t>GONZALEZ PARDO SONIA LUZ</t>
  </si>
  <si>
    <t>F.I. 26035</t>
  </si>
  <si>
    <t>sonigonzalezpardo@gmail.com</t>
  </si>
  <si>
    <t>BERMUDEZ AMAYA MAURICIO ORLANDO</t>
  </si>
  <si>
    <t>F.I. 26022</t>
  </si>
  <si>
    <t>mobermudeza@udistrital.edu.co</t>
  </si>
  <si>
    <t>SANCHEZ RODRIGUEZ DANIEL ESTEBAN</t>
  </si>
  <si>
    <t>F.I. 26024</t>
  </si>
  <si>
    <t>danielssj88@gmail.com</t>
  </si>
  <si>
    <t>HERNANDEZ RODRIGUEZ JORGE EDUARDO</t>
  </si>
  <si>
    <t>F.I. 26023</t>
  </si>
  <si>
    <t>jehernandezrodriguez@gmail.com</t>
  </si>
  <si>
    <t>RESTREPO RODRIGUEZ ANDRES OVIDIO</t>
  </si>
  <si>
    <t>F.I 25850</t>
  </si>
  <si>
    <t>aorestrepor@correo.udistrital.edu.co</t>
  </si>
  <si>
    <t>4.84</t>
  </si>
  <si>
    <t>ARIZA RIA?O MADDYZETH</t>
  </si>
  <si>
    <t>F.I 25844</t>
  </si>
  <si>
    <t>maddyz182@gmail.com</t>
  </si>
  <si>
    <t>4.82</t>
  </si>
  <si>
    <t>GUZMAN CASTILLO NANCI MILENA</t>
  </si>
  <si>
    <t>F.I 25526</t>
  </si>
  <si>
    <t>Guzmanmiller02@gmail.com</t>
  </si>
  <si>
    <t>VARGAS ANZOLA MANUEL ANTONIO</t>
  </si>
  <si>
    <t>F.I 25533</t>
  </si>
  <si>
    <t>wanuel@gmail.com</t>
  </si>
  <si>
    <t>LEAL LARA DANIEL DAVID</t>
  </si>
  <si>
    <t>F.I 25527</t>
  </si>
  <si>
    <t>ddleall@correo.udistrital.edu.co</t>
  </si>
  <si>
    <t>4.91</t>
  </si>
  <si>
    <t>AMEZQUITA TOVAR JUAN CARLOS</t>
  </si>
  <si>
    <t>F.I 25335</t>
  </si>
  <si>
    <t>t.amezquita.juancarlos@gmail.com</t>
  </si>
  <si>
    <t>VANEGAS AYALA SEBASTIAN CAMILO</t>
  </si>
  <si>
    <t>F.I 25339</t>
  </si>
  <si>
    <t>scvanegasa@correo.udistrital.edu.co</t>
  </si>
  <si>
    <t>4.93</t>
  </si>
  <si>
    <t>BUITRAGO CASTELLANOS RAUL ALEJANDRO</t>
  </si>
  <si>
    <t>F.I 25097</t>
  </si>
  <si>
    <t>Raulhabits@gmail.com</t>
  </si>
  <si>
    <t>CALDERON COY MILTON VICENTE</t>
  </si>
  <si>
    <t>F.I 25098</t>
  </si>
  <si>
    <t>miltonv.calderonc@gmail.com</t>
  </si>
  <si>
    <t>RUEDA BASTO JOSE FERNANDO</t>
  </si>
  <si>
    <t>F.I 25023</t>
  </si>
  <si>
    <t>jfrueda@opentic.co</t>
  </si>
  <si>
    <t>4.05</t>
  </si>
  <si>
    <t>CIFUENTES SANCHEZ JOSE WILLIAM</t>
  </si>
  <si>
    <t>F.I 24918</t>
  </si>
  <si>
    <t>jwcifuentes@gmail.com</t>
  </si>
  <si>
    <t>CARDENAS LANCHEROS ESTEBAN ALEJANDRO</t>
  </si>
  <si>
    <t>F.I 24917</t>
  </si>
  <si>
    <t>esteban.cardenas.lancheros@gmail.com</t>
  </si>
  <si>
    <t>KATZ DELGADO JUAN ESTEBAN</t>
  </si>
  <si>
    <t>F.I 24765</t>
  </si>
  <si>
    <t>jesteban.katz@gmail.com</t>
  </si>
  <si>
    <t>GOMEZ RODRIGUEZ JOSE IGNACIO</t>
  </si>
  <si>
    <t>F.I 24576</t>
  </si>
  <si>
    <t>jignaciogomezr@gmail.com</t>
  </si>
  <si>
    <t>MARTINEZ CERVERA DANIEL ESTEBAN</t>
  </si>
  <si>
    <t>F.I 24577</t>
  </si>
  <si>
    <t>demartinezc@correo.udistrital.edu.co</t>
  </si>
  <si>
    <t>RAMIREZ OCHOA JHON JAIME</t>
  </si>
  <si>
    <t>F.I 24489</t>
  </si>
  <si>
    <t>jjramIrezochoa@gmail.com</t>
  </si>
  <si>
    <t>CARDONA TABORDA CARLOS HERNAN</t>
  </si>
  <si>
    <t>F.I 24486</t>
  </si>
  <si>
    <t>chcardonat@gmail.com</t>
  </si>
  <si>
    <t>CASTRO MUNAR VERONICA</t>
  </si>
  <si>
    <t>F.I 24199</t>
  </si>
  <si>
    <t>vkasmunar@gmail.com</t>
  </si>
  <si>
    <t>SOLER LOPEZ JORGE FERNANDO</t>
  </si>
  <si>
    <t>F.I 24202</t>
  </si>
  <si>
    <t>jorgesoler1@gmail.com</t>
  </si>
  <si>
    <t>BUITRAGO ALVARADO ELISEO FERNANDO</t>
  </si>
  <si>
    <t>F.I 24146</t>
  </si>
  <si>
    <t>ebuitrago@kpmg.com</t>
  </si>
  <si>
    <t>ROMERO MORENO FREDY YARNEY</t>
  </si>
  <si>
    <t>F.I 24038</t>
  </si>
  <si>
    <t>fredyromero1975@gmail.com</t>
  </si>
  <si>
    <t>4.55</t>
  </si>
  <si>
    <t>ROJAS MORENO JUAN FERNANDO</t>
  </si>
  <si>
    <t>F.I 23517</t>
  </si>
  <si>
    <t>egeda9@gmail.com</t>
  </si>
  <si>
    <t>MORENO MARIN JOHN EDISON</t>
  </si>
  <si>
    <t>F.I 23516</t>
  </si>
  <si>
    <t>johnmoreno333@gmail.com</t>
  </si>
  <si>
    <t>SALCEDO SALGADO GEINER ALEXIS</t>
  </si>
  <si>
    <t>F.I 23518</t>
  </si>
  <si>
    <t>geiner.salcedo.ppc0111@gmail.com</t>
  </si>
  <si>
    <t>ROJAS QUINTERO CRISTIAN ALEJANDRO</t>
  </si>
  <si>
    <t>F.I. 22663</t>
  </si>
  <si>
    <t>alejandro.0317@gmail.com</t>
  </si>
  <si>
    <t>TOTALIDAD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</si>
</sst>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i/>
      <sz val="7"/>
      <color rgb="FFFFFFFF"/>
      <name val="Arial"/>
      <family val="2"/>
    </font>
    <font>
      <sz val="7"/>
      <color rgb="FF000000"/>
      <name val="Arial"/>
      <family val="2"/>
    </font>
    <font>
      <sz val="10"/>
      <color theme="1"/>
      <name val="Arial"/>
      <family val="2"/>
    </font>
    <font>
      <b/>
      <i/>
      <sz val="10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EEE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DDDD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3" borderId="0" xfId="0" applyFill="1"/>
    <xf numFmtId="0" fontId="1" fillId="4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14" fontId="2" fillId="2" borderId="0" xfId="0" applyNumberFormat="1" applyFont="1" applyFill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14" fontId="2" fillId="5" borderId="0" xfId="0" applyNumberFormat="1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14" fontId="3" fillId="2" borderId="0" xfId="0" applyNumberFormat="1" applyFont="1" applyFill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" fillId="5" borderId="0" xfId="0" applyFont="1" applyFill="1" applyAlignment="1">
      <alignment horizontal="left" vertical="center" wrapText="1"/>
    </xf>
    <xf numFmtId="14" fontId="3" fillId="5" borderId="0" xfId="0" applyNumberFormat="1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17618-CAC3-48FD-8163-05708749D8CC}">
  <dimension ref="A1:L49"/>
  <sheetViews>
    <sheetView topLeftCell="A26" workbookViewId="0">
      <selection activeCell="B44" sqref="B44"/>
    </sheetView>
  </sheetViews>
  <sheetFormatPr defaultColWidth="38.42578125" defaultRowHeight="14.45"/>
  <cols>
    <col min="1" max="1" width="12.42578125" bestFit="1" customWidth="1"/>
    <col min="2" max="2" width="35.5703125" bestFit="1" customWidth="1"/>
    <col min="3" max="3" width="9.140625" bestFit="1" customWidth="1"/>
    <col min="4" max="4" width="10.28515625" bestFit="1" customWidth="1"/>
    <col min="5" max="5" width="4.5703125" bestFit="1" customWidth="1"/>
    <col min="6" max="6" width="4.85546875" bestFit="1" customWidth="1"/>
    <col min="7" max="7" width="4.7109375" bestFit="1" customWidth="1"/>
    <col min="8" max="8" width="7.5703125" bestFit="1" customWidth="1"/>
    <col min="9" max="9" width="23.28515625" bestFit="1" customWidth="1"/>
    <col min="10" max="10" width="7.7109375" bestFit="1" customWidth="1"/>
    <col min="11" max="11" width="7.140625" bestFit="1" customWidth="1"/>
    <col min="12" max="12" width="9.85546875" bestFit="1" customWidth="1"/>
  </cols>
  <sheetData>
    <row r="1" spans="1:12" ht="15" thickBo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3">
        <v>20152195016</v>
      </c>
      <c r="B2" s="3" t="s">
        <v>12</v>
      </c>
      <c r="C2" s="3">
        <v>1032432662</v>
      </c>
      <c r="D2" s="4">
        <v>45107</v>
      </c>
      <c r="E2" s="3">
        <v>24424</v>
      </c>
      <c r="F2" s="3">
        <v>24</v>
      </c>
      <c r="G2" s="3">
        <v>75</v>
      </c>
      <c r="H2" s="3" t="s">
        <v>13</v>
      </c>
      <c r="I2" s="3" t="s">
        <v>14</v>
      </c>
      <c r="J2" s="3" t="s">
        <v>15</v>
      </c>
      <c r="K2" s="3">
        <f>YEAR(D2)</f>
        <v>2023</v>
      </c>
      <c r="L2" s="3">
        <f>COUNTIF(K2:K6,2023)</f>
        <v>5</v>
      </c>
    </row>
    <row r="3" spans="1:12">
      <c r="A3" s="5">
        <v>20161195008</v>
      </c>
      <c r="B3" s="5" t="s">
        <v>16</v>
      </c>
      <c r="C3" s="5">
        <v>1049612843</v>
      </c>
      <c r="D3" s="6">
        <v>45107</v>
      </c>
      <c r="E3" s="5">
        <v>24422</v>
      </c>
      <c r="F3" s="5">
        <v>24</v>
      </c>
      <c r="G3" s="5">
        <v>75</v>
      </c>
      <c r="H3" s="5" t="s">
        <v>17</v>
      </c>
      <c r="I3" s="5" t="s">
        <v>18</v>
      </c>
      <c r="J3" s="5" t="s">
        <v>19</v>
      </c>
      <c r="K3" s="3">
        <f t="shared" ref="K3:K49" si="0">YEAR(D3)</f>
        <v>2023</v>
      </c>
      <c r="L3" s="5"/>
    </row>
    <row r="4" spans="1:12">
      <c r="A4" s="3">
        <v>20121195003</v>
      </c>
      <c r="B4" s="3" t="s">
        <v>20</v>
      </c>
      <c r="C4" s="3">
        <v>7174732</v>
      </c>
      <c r="D4" s="4">
        <v>45016</v>
      </c>
      <c r="E4" s="3">
        <v>24226</v>
      </c>
      <c r="F4" s="3">
        <v>24</v>
      </c>
      <c r="G4" s="3">
        <v>42</v>
      </c>
      <c r="H4" s="3" t="s">
        <v>21</v>
      </c>
      <c r="I4" s="3" t="s">
        <v>22</v>
      </c>
      <c r="J4" s="3" t="s">
        <v>23</v>
      </c>
      <c r="K4" s="3">
        <f t="shared" si="0"/>
        <v>2023</v>
      </c>
      <c r="L4" s="3"/>
    </row>
    <row r="5" spans="1:12">
      <c r="A5" s="5">
        <v>20182195005</v>
      </c>
      <c r="B5" s="5" t="s">
        <v>24</v>
      </c>
      <c r="C5" s="5">
        <v>1010221959</v>
      </c>
      <c r="D5" s="6">
        <v>45016</v>
      </c>
      <c r="E5" s="5">
        <v>24227</v>
      </c>
      <c r="F5" s="5">
        <v>24</v>
      </c>
      <c r="G5" s="5">
        <v>42</v>
      </c>
      <c r="H5" s="5" t="s">
        <v>25</v>
      </c>
      <c r="I5" s="5" t="s">
        <v>26</v>
      </c>
      <c r="J5" s="5" t="s">
        <v>27</v>
      </c>
      <c r="K5" s="3">
        <f t="shared" si="0"/>
        <v>2023</v>
      </c>
      <c r="L5" s="5"/>
    </row>
    <row r="6" spans="1:12">
      <c r="A6" s="3">
        <v>20191195005</v>
      </c>
      <c r="B6" s="3" t="s">
        <v>28</v>
      </c>
      <c r="C6" s="3">
        <v>1022395511</v>
      </c>
      <c r="D6" s="4">
        <v>45016</v>
      </c>
      <c r="E6" s="3">
        <v>24228</v>
      </c>
      <c r="F6" s="3">
        <v>24</v>
      </c>
      <c r="G6" s="3">
        <v>42</v>
      </c>
      <c r="H6" s="3" t="s">
        <v>29</v>
      </c>
      <c r="I6" s="3" t="s">
        <v>30</v>
      </c>
      <c r="J6" s="3" t="s">
        <v>31</v>
      </c>
      <c r="K6" s="3">
        <f t="shared" si="0"/>
        <v>2023</v>
      </c>
      <c r="L6" s="3"/>
    </row>
    <row r="7" spans="1:12">
      <c r="A7" s="3">
        <v>20171195006</v>
      </c>
      <c r="B7" s="3" t="s">
        <v>32</v>
      </c>
      <c r="C7" s="3">
        <v>1026251289</v>
      </c>
      <c r="D7" s="4">
        <v>44827</v>
      </c>
      <c r="E7" s="3">
        <v>23780</v>
      </c>
      <c r="F7" s="3">
        <v>23</v>
      </c>
      <c r="G7" s="3">
        <v>124</v>
      </c>
      <c r="H7" s="3" t="s">
        <v>33</v>
      </c>
      <c r="I7" s="3" t="s">
        <v>34</v>
      </c>
      <c r="J7" s="3" t="s">
        <v>35</v>
      </c>
      <c r="K7" s="3">
        <f t="shared" si="0"/>
        <v>2022</v>
      </c>
      <c r="L7" s="3">
        <f>COUNTIF(K7:K15,2022)</f>
        <v>9</v>
      </c>
    </row>
    <row r="8" spans="1:12">
      <c r="A8" s="5">
        <v>20181195007</v>
      </c>
      <c r="B8" s="5" t="s">
        <v>36</v>
      </c>
      <c r="C8" s="5">
        <v>1030597409</v>
      </c>
      <c r="D8" s="6">
        <v>44827</v>
      </c>
      <c r="E8" s="5">
        <v>23777</v>
      </c>
      <c r="F8" s="5">
        <v>23</v>
      </c>
      <c r="G8" s="5">
        <v>124</v>
      </c>
      <c r="H8" s="5" t="s">
        <v>37</v>
      </c>
      <c r="I8" s="5" t="s">
        <v>38</v>
      </c>
      <c r="J8" s="5" t="s">
        <v>39</v>
      </c>
      <c r="K8" s="3">
        <f t="shared" si="0"/>
        <v>2022</v>
      </c>
      <c r="L8" s="5"/>
    </row>
    <row r="9" spans="1:12">
      <c r="A9" s="3">
        <v>20202195002</v>
      </c>
      <c r="B9" s="3" t="s">
        <v>40</v>
      </c>
      <c r="C9" s="3">
        <v>1101759682</v>
      </c>
      <c r="D9" s="4">
        <v>44827</v>
      </c>
      <c r="E9" s="3">
        <v>23774</v>
      </c>
      <c r="F9" s="3">
        <v>23</v>
      </c>
      <c r="G9" s="3">
        <v>123</v>
      </c>
      <c r="H9" s="3" t="s">
        <v>41</v>
      </c>
      <c r="I9" s="3" t="s">
        <v>42</v>
      </c>
      <c r="J9" s="3" t="s">
        <v>43</v>
      </c>
      <c r="K9" s="3">
        <f t="shared" si="0"/>
        <v>2022</v>
      </c>
      <c r="L9" s="3"/>
    </row>
    <row r="10" spans="1:12">
      <c r="A10" s="5">
        <v>20051195015</v>
      </c>
      <c r="B10" s="5" t="s">
        <v>44</v>
      </c>
      <c r="C10" s="5">
        <v>9396968</v>
      </c>
      <c r="D10" s="6">
        <v>44736</v>
      </c>
      <c r="E10" s="5">
        <v>23460</v>
      </c>
      <c r="F10" s="5">
        <v>23</v>
      </c>
      <c r="G10" s="5">
        <v>71</v>
      </c>
      <c r="H10" s="5" t="s">
        <v>45</v>
      </c>
      <c r="I10" s="5" t="s">
        <v>46</v>
      </c>
      <c r="J10" s="5" t="s">
        <v>47</v>
      </c>
      <c r="K10" s="3">
        <f t="shared" si="0"/>
        <v>2022</v>
      </c>
      <c r="L10" s="5"/>
    </row>
    <row r="11" spans="1:12">
      <c r="A11" s="3">
        <v>20061195014</v>
      </c>
      <c r="B11" s="3" t="s">
        <v>48</v>
      </c>
      <c r="C11" s="3">
        <v>79999284</v>
      </c>
      <c r="D11" s="4">
        <v>44736</v>
      </c>
      <c r="E11" s="3">
        <v>23462</v>
      </c>
      <c r="F11" s="3">
        <v>23</v>
      </c>
      <c r="G11" s="3">
        <v>71</v>
      </c>
      <c r="H11" s="3" t="s">
        <v>49</v>
      </c>
      <c r="I11" s="3" t="s">
        <v>50</v>
      </c>
      <c r="J11" s="3" t="s">
        <v>51</v>
      </c>
      <c r="K11" s="3">
        <f t="shared" si="0"/>
        <v>2022</v>
      </c>
      <c r="L11" s="3"/>
    </row>
    <row r="12" spans="1:12">
      <c r="A12" s="5">
        <v>20172195007</v>
      </c>
      <c r="B12" s="5" t="s">
        <v>52</v>
      </c>
      <c r="C12" s="5">
        <v>1143355214</v>
      </c>
      <c r="D12" s="6">
        <v>44736</v>
      </c>
      <c r="E12" s="5">
        <v>23465</v>
      </c>
      <c r="F12" s="5">
        <v>23</v>
      </c>
      <c r="G12" s="5">
        <v>71</v>
      </c>
      <c r="H12" s="5" t="s">
        <v>53</v>
      </c>
      <c r="I12" s="5" t="s">
        <v>54</v>
      </c>
      <c r="J12" s="5" t="s">
        <v>55</v>
      </c>
      <c r="K12" s="3">
        <f t="shared" si="0"/>
        <v>2022</v>
      </c>
      <c r="L12" s="5"/>
    </row>
    <row r="13" spans="1:12">
      <c r="A13" s="3">
        <v>20162195008</v>
      </c>
      <c r="B13" s="3" t="s">
        <v>56</v>
      </c>
      <c r="C13" s="3">
        <v>79797927</v>
      </c>
      <c r="D13" s="4">
        <v>44638</v>
      </c>
      <c r="E13" s="3">
        <v>23269</v>
      </c>
      <c r="F13" s="3">
        <v>23</v>
      </c>
      <c r="G13" s="3">
        <v>39</v>
      </c>
      <c r="H13" s="3" t="s">
        <v>57</v>
      </c>
      <c r="I13" s="3" t="s">
        <v>58</v>
      </c>
      <c r="J13" s="3" t="s">
        <v>59</v>
      </c>
      <c r="K13" s="3">
        <f t="shared" si="0"/>
        <v>2022</v>
      </c>
      <c r="L13" s="3"/>
    </row>
    <row r="14" spans="1:12">
      <c r="A14" s="5">
        <v>20172195005</v>
      </c>
      <c r="B14" s="5" t="s">
        <v>60</v>
      </c>
      <c r="C14" s="5">
        <v>80007028</v>
      </c>
      <c r="D14" s="6">
        <v>44638</v>
      </c>
      <c r="E14" s="5">
        <v>23268</v>
      </c>
      <c r="F14" s="5">
        <v>23</v>
      </c>
      <c r="G14" s="5">
        <v>39</v>
      </c>
      <c r="H14" s="5" t="s">
        <v>61</v>
      </c>
      <c r="I14" s="5" t="s">
        <v>62</v>
      </c>
      <c r="J14" s="5" t="s">
        <v>63</v>
      </c>
      <c r="K14" s="3">
        <f t="shared" si="0"/>
        <v>2022</v>
      </c>
      <c r="L14" s="5"/>
    </row>
    <row r="15" spans="1:12">
      <c r="A15" s="3">
        <v>20181195002</v>
      </c>
      <c r="B15" s="3" t="s">
        <v>64</v>
      </c>
      <c r="C15" s="3">
        <v>1022374793</v>
      </c>
      <c r="D15" s="4">
        <v>44638</v>
      </c>
      <c r="E15" s="3">
        <v>23267</v>
      </c>
      <c r="F15" s="3">
        <v>23</v>
      </c>
      <c r="G15" s="3">
        <v>38</v>
      </c>
      <c r="H15" s="3" t="s">
        <v>65</v>
      </c>
      <c r="I15" s="3" t="s">
        <v>66</v>
      </c>
      <c r="J15" s="3" t="s">
        <v>67</v>
      </c>
      <c r="K15" s="3">
        <f t="shared" si="0"/>
        <v>2022</v>
      </c>
      <c r="L15" s="3"/>
    </row>
    <row r="16" spans="1:12">
      <c r="A16" s="3">
        <v>20152195001</v>
      </c>
      <c r="B16" s="3" t="s">
        <v>68</v>
      </c>
      <c r="C16" s="3">
        <v>80051486</v>
      </c>
      <c r="D16" s="4">
        <v>44552</v>
      </c>
      <c r="E16" s="3">
        <v>23026</v>
      </c>
      <c r="F16" s="3">
        <v>22</v>
      </c>
      <c r="G16" s="3">
        <v>145</v>
      </c>
      <c r="H16" s="3" t="s">
        <v>69</v>
      </c>
      <c r="I16" s="3" t="s">
        <v>70</v>
      </c>
      <c r="J16" s="3" t="s">
        <v>71</v>
      </c>
      <c r="K16" s="3">
        <f t="shared" si="0"/>
        <v>2021</v>
      </c>
      <c r="L16" s="3">
        <f>COUNTIF(K16:K25,2021)</f>
        <v>10</v>
      </c>
    </row>
    <row r="17" spans="1:12">
      <c r="A17" s="5">
        <v>20161195005</v>
      </c>
      <c r="B17" s="5" t="s">
        <v>72</v>
      </c>
      <c r="C17" s="5">
        <v>1018436623</v>
      </c>
      <c r="D17" s="6">
        <v>44552</v>
      </c>
      <c r="E17" s="5">
        <v>23030</v>
      </c>
      <c r="F17" s="5">
        <v>22</v>
      </c>
      <c r="G17" s="5">
        <v>145</v>
      </c>
      <c r="H17" s="5" t="s">
        <v>73</v>
      </c>
      <c r="I17" s="5" t="s">
        <v>74</v>
      </c>
      <c r="J17" s="5" t="s">
        <v>75</v>
      </c>
      <c r="K17" s="3">
        <f t="shared" si="0"/>
        <v>2021</v>
      </c>
      <c r="L17" s="5"/>
    </row>
    <row r="18" spans="1:12">
      <c r="A18" s="3">
        <v>20182195002</v>
      </c>
      <c r="B18" s="3" t="s">
        <v>76</v>
      </c>
      <c r="C18" s="3">
        <v>1118559031</v>
      </c>
      <c r="D18" s="4">
        <v>44552</v>
      </c>
      <c r="E18" s="3">
        <v>23027</v>
      </c>
      <c r="F18" s="3">
        <v>22</v>
      </c>
      <c r="G18" s="3">
        <v>145</v>
      </c>
      <c r="H18" s="3" t="s">
        <v>77</v>
      </c>
      <c r="I18" s="3" t="s">
        <v>78</v>
      </c>
      <c r="J18" s="3" t="s">
        <v>79</v>
      </c>
      <c r="K18" s="3">
        <f t="shared" si="0"/>
        <v>2021</v>
      </c>
      <c r="L18" s="3"/>
    </row>
    <row r="19" spans="1:12">
      <c r="A19" s="5">
        <v>20142195002</v>
      </c>
      <c r="B19" s="5" t="s">
        <v>80</v>
      </c>
      <c r="C19" s="5">
        <v>1010175883</v>
      </c>
      <c r="D19" s="6">
        <v>44484</v>
      </c>
      <c r="E19" s="5">
        <v>22852</v>
      </c>
      <c r="F19" s="5">
        <v>22</v>
      </c>
      <c r="G19" s="5">
        <v>115</v>
      </c>
      <c r="H19" s="5" t="s">
        <v>81</v>
      </c>
      <c r="I19" s="5" t="s">
        <v>82</v>
      </c>
      <c r="J19" s="5"/>
      <c r="K19" s="3">
        <f t="shared" si="0"/>
        <v>2021</v>
      </c>
      <c r="L19" s="5"/>
    </row>
    <row r="20" spans="1:12">
      <c r="A20" s="3">
        <v>20161195009</v>
      </c>
      <c r="B20" s="3" t="s">
        <v>83</v>
      </c>
      <c r="C20" s="3">
        <v>79049409</v>
      </c>
      <c r="D20" s="4">
        <v>44357</v>
      </c>
      <c r="E20" s="3">
        <v>22572</v>
      </c>
      <c r="F20" s="3">
        <v>22</v>
      </c>
      <c r="G20" s="3">
        <v>69</v>
      </c>
      <c r="H20" s="3" t="s">
        <v>84</v>
      </c>
      <c r="I20" s="3" t="s">
        <v>85</v>
      </c>
      <c r="J20" s="3" t="s">
        <v>71</v>
      </c>
      <c r="K20" s="3">
        <f t="shared" si="0"/>
        <v>2021</v>
      </c>
      <c r="L20" s="3"/>
    </row>
    <row r="21" spans="1:12">
      <c r="A21" s="5">
        <v>20142195001</v>
      </c>
      <c r="B21" s="5" t="s">
        <v>86</v>
      </c>
      <c r="C21" s="5">
        <v>79576961</v>
      </c>
      <c r="D21" s="6">
        <v>44292</v>
      </c>
      <c r="E21" s="5">
        <v>22421</v>
      </c>
      <c r="F21" s="5">
        <v>22</v>
      </c>
      <c r="G21" s="5">
        <v>43</v>
      </c>
      <c r="H21" s="5" t="s">
        <v>87</v>
      </c>
      <c r="I21" s="5" t="s">
        <v>88</v>
      </c>
      <c r="J21" s="5"/>
      <c r="K21" s="3">
        <f t="shared" si="0"/>
        <v>2021</v>
      </c>
      <c r="L21" s="5"/>
    </row>
    <row r="22" spans="1:12">
      <c r="A22" s="3">
        <v>20162195004</v>
      </c>
      <c r="B22" s="3" t="s">
        <v>89</v>
      </c>
      <c r="C22" s="3">
        <v>79578336</v>
      </c>
      <c r="D22" s="4">
        <v>44292</v>
      </c>
      <c r="E22" s="3">
        <v>22420</v>
      </c>
      <c r="F22" s="3">
        <v>22</v>
      </c>
      <c r="G22" s="3">
        <v>43</v>
      </c>
      <c r="H22" s="3" t="s">
        <v>90</v>
      </c>
      <c r="I22" s="3" t="s">
        <v>91</v>
      </c>
      <c r="J22" s="3" t="s">
        <v>15</v>
      </c>
      <c r="K22" s="3">
        <f t="shared" si="0"/>
        <v>2021</v>
      </c>
      <c r="L22" s="3"/>
    </row>
    <row r="23" spans="1:12">
      <c r="A23" s="5">
        <v>20181195012</v>
      </c>
      <c r="B23" s="5" t="s">
        <v>92</v>
      </c>
      <c r="C23" s="5">
        <v>1110505909</v>
      </c>
      <c r="D23" s="6">
        <v>44292</v>
      </c>
      <c r="E23" s="5">
        <v>22423</v>
      </c>
      <c r="F23" s="5">
        <v>22</v>
      </c>
      <c r="G23" s="5">
        <v>44</v>
      </c>
      <c r="H23" s="5" t="s">
        <v>93</v>
      </c>
      <c r="I23" s="5" t="s">
        <v>94</v>
      </c>
      <c r="J23" s="5" t="s">
        <v>95</v>
      </c>
      <c r="K23" s="3">
        <f t="shared" si="0"/>
        <v>2021</v>
      </c>
      <c r="L23" s="5"/>
    </row>
    <row r="24" spans="1:12">
      <c r="A24" s="3">
        <v>20181195013</v>
      </c>
      <c r="B24" s="3" t="s">
        <v>96</v>
      </c>
      <c r="C24" s="3">
        <v>1110505907</v>
      </c>
      <c r="D24" s="4">
        <v>44292</v>
      </c>
      <c r="E24" s="3">
        <v>22424</v>
      </c>
      <c r="F24" s="3">
        <v>22</v>
      </c>
      <c r="G24" s="3">
        <v>44</v>
      </c>
      <c r="H24" s="3" t="s">
        <v>97</v>
      </c>
      <c r="I24" s="3" t="s">
        <v>98</v>
      </c>
      <c r="J24" s="3" t="s">
        <v>95</v>
      </c>
      <c r="K24" s="3">
        <f t="shared" si="0"/>
        <v>2021</v>
      </c>
      <c r="L24" s="3"/>
    </row>
    <row r="25" spans="1:12">
      <c r="A25" s="5">
        <v>20122195005</v>
      </c>
      <c r="B25" s="5" t="s">
        <v>99</v>
      </c>
      <c r="C25" s="5">
        <v>30230686</v>
      </c>
      <c r="D25" s="6">
        <v>44251</v>
      </c>
      <c r="E25" s="5">
        <v>22257</v>
      </c>
      <c r="F25" s="5">
        <v>22</v>
      </c>
      <c r="G25" s="5">
        <v>16</v>
      </c>
      <c r="H25" s="5" t="s">
        <v>100</v>
      </c>
      <c r="I25" s="5" t="s">
        <v>101</v>
      </c>
      <c r="J25" s="5" t="s">
        <v>102</v>
      </c>
      <c r="K25" s="3">
        <f t="shared" si="0"/>
        <v>2021</v>
      </c>
      <c r="L25" s="5"/>
    </row>
    <row r="26" spans="1:12">
      <c r="A26" s="3">
        <v>20152195003</v>
      </c>
      <c r="B26" s="3" t="s">
        <v>103</v>
      </c>
      <c r="C26" s="3">
        <v>80259743</v>
      </c>
      <c r="D26" s="4">
        <v>44188</v>
      </c>
      <c r="E26" s="3">
        <v>22160</v>
      </c>
      <c r="F26" s="3">
        <v>21</v>
      </c>
      <c r="G26" s="3">
        <v>144</v>
      </c>
      <c r="H26" s="3" t="s">
        <v>104</v>
      </c>
      <c r="I26" s="3" t="s">
        <v>105</v>
      </c>
      <c r="J26" s="3" t="s">
        <v>27</v>
      </c>
      <c r="K26" s="3">
        <f t="shared" si="0"/>
        <v>2020</v>
      </c>
      <c r="L26" s="3">
        <f>COUNTIF(K26:K32,2020)</f>
        <v>7</v>
      </c>
    </row>
    <row r="27" spans="1:12">
      <c r="A27" s="5">
        <v>20162195010</v>
      </c>
      <c r="B27" s="5" t="s">
        <v>106</v>
      </c>
      <c r="C27" s="5">
        <v>1072640773</v>
      </c>
      <c r="D27" s="6">
        <v>44188</v>
      </c>
      <c r="E27" s="5">
        <v>22161</v>
      </c>
      <c r="F27" s="5">
        <v>21</v>
      </c>
      <c r="G27" s="5">
        <v>144</v>
      </c>
      <c r="H27" s="5" t="s">
        <v>107</v>
      </c>
      <c r="I27" s="5" t="s">
        <v>108</v>
      </c>
      <c r="J27" s="5" t="s">
        <v>19</v>
      </c>
      <c r="K27" s="3">
        <f t="shared" si="0"/>
        <v>2020</v>
      </c>
      <c r="L27" s="5"/>
    </row>
    <row r="28" spans="1:12">
      <c r="A28" s="3">
        <v>20161195002</v>
      </c>
      <c r="B28" s="3" t="s">
        <v>109</v>
      </c>
      <c r="C28" s="3">
        <v>80215759</v>
      </c>
      <c r="D28" s="4">
        <v>44063</v>
      </c>
      <c r="E28" s="3">
        <v>21681</v>
      </c>
      <c r="F28" s="3">
        <v>21</v>
      </c>
      <c r="G28" s="3">
        <v>64</v>
      </c>
      <c r="H28" s="3" t="s">
        <v>110</v>
      </c>
      <c r="I28" s="3" t="s">
        <v>111</v>
      </c>
      <c r="J28" s="3" t="s">
        <v>112</v>
      </c>
      <c r="K28" s="3">
        <f t="shared" si="0"/>
        <v>2020</v>
      </c>
      <c r="L28" s="3"/>
    </row>
    <row r="29" spans="1:12">
      <c r="A29" s="5">
        <v>20161195003</v>
      </c>
      <c r="B29" s="5" t="s">
        <v>113</v>
      </c>
      <c r="C29" s="5">
        <v>1067906153</v>
      </c>
      <c r="D29" s="6">
        <v>44046</v>
      </c>
      <c r="E29" s="5">
        <v>21667</v>
      </c>
      <c r="F29" s="5">
        <v>21</v>
      </c>
      <c r="G29" s="5">
        <v>61</v>
      </c>
      <c r="H29" s="5" t="s">
        <v>114</v>
      </c>
      <c r="I29" s="5" t="s">
        <v>115</v>
      </c>
      <c r="J29" s="5" t="s">
        <v>116</v>
      </c>
      <c r="K29" s="3">
        <f t="shared" si="0"/>
        <v>2020</v>
      </c>
      <c r="L29" s="5"/>
    </row>
    <row r="30" spans="1:12">
      <c r="A30" s="3">
        <v>20161195015</v>
      </c>
      <c r="B30" s="3" t="s">
        <v>117</v>
      </c>
      <c r="C30" s="3">
        <v>14013612</v>
      </c>
      <c r="D30" s="4">
        <v>44046</v>
      </c>
      <c r="E30" s="3">
        <v>21671</v>
      </c>
      <c r="F30" s="3">
        <v>21</v>
      </c>
      <c r="G30" s="3">
        <v>62</v>
      </c>
      <c r="H30" s="3" t="s">
        <v>118</v>
      </c>
      <c r="I30" s="3" t="s">
        <v>119</v>
      </c>
      <c r="J30" s="3" t="s">
        <v>120</v>
      </c>
      <c r="K30" s="3">
        <f t="shared" si="0"/>
        <v>2020</v>
      </c>
      <c r="L30" s="3"/>
    </row>
    <row r="31" spans="1:12">
      <c r="A31" s="5">
        <v>20181195009</v>
      </c>
      <c r="B31" s="5" t="s">
        <v>121</v>
      </c>
      <c r="C31" s="5">
        <v>1015443760</v>
      </c>
      <c r="D31" s="6">
        <v>44046</v>
      </c>
      <c r="E31" s="5">
        <v>21669</v>
      </c>
      <c r="F31" s="5">
        <v>21</v>
      </c>
      <c r="G31" s="5">
        <v>62</v>
      </c>
      <c r="H31" s="5" t="s">
        <v>122</v>
      </c>
      <c r="I31" s="5" t="s">
        <v>123</v>
      </c>
      <c r="J31" s="5" t="s">
        <v>124</v>
      </c>
      <c r="K31" s="3">
        <f t="shared" si="0"/>
        <v>2020</v>
      </c>
      <c r="L31" s="5"/>
    </row>
    <row r="32" spans="1:12">
      <c r="A32" s="3">
        <v>20181395003</v>
      </c>
      <c r="B32" s="3" t="s">
        <v>125</v>
      </c>
      <c r="C32" s="3">
        <v>1022386838</v>
      </c>
      <c r="D32" s="4">
        <v>44046</v>
      </c>
      <c r="E32" s="3">
        <v>21668</v>
      </c>
      <c r="F32" s="3">
        <v>21</v>
      </c>
      <c r="G32" s="3">
        <v>62</v>
      </c>
      <c r="H32" s="3" t="s">
        <v>126</v>
      </c>
      <c r="I32" s="3" t="s">
        <v>127</v>
      </c>
      <c r="J32" s="3" t="s">
        <v>128</v>
      </c>
      <c r="K32" s="3">
        <f t="shared" si="0"/>
        <v>2020</v>
      </c>
      <c r="L32" s="3"/>
    </row>
    <row r="33" spans="1:12">
      <c r="A33" s="3">
        <v>20142195004</v>
      </c>
      <c r="B33" s="3" t="s">
        <v>129</v>
      </c>
      <c r="C33" s="3">
        <v>80932160</v>
      </c>
      <c r="D33" s="4">
        <v>43817</v>
      </c>
      <c r="E33" s="3">
        <v>21243</v>
      </c>
      <c r="F33" s="3">
        <v>20</v>
      </c>
      <c r="G33" s="3">
        <v>178</v>
      </c>
      <c r="H33" s="3" t="s">
        <v>130</v>
      </c>
      <c r="I33" s="3" t="s">
        <v>131</v>
      </c>
      <c r="J33" s="3" t="s">
        <v>132</v>
      </c>
      <c r="K33" s="3">
        <f t="shared" si="0"/>
        <v>2019</v>
      </c>
      <c r="L33" s="3">
        <f>COUNTIF(K33:K39,2019)</f>
        <v>7</v>
      </c>
    </row>
    <row r="34" spans="1:12">
      <c r="A34" s="5">
        <v>20152195015</v>
      </c>
      <c r="B34" s="5" t="s">
        <v>133</v>
      </c>
      <c r="C34" s="5">
        <v>1032431630</v>
      </c>
      <c r="D34" s="6">
        <v>43817</v>
      </c>
      <c r="E34" s="5">
        <v>21240</v>
      </c>
      <c r="F34" s="5">
        <v>20</v>
      </c>
      <c r="G34" s="5">
        <v>177</v>
      </c>
      <c r="H34" s="5" t="s">
        <v>134</v>
      </c>
      <c r="I34" s="5" t="s">
        <v>135</v>
      </c>
      <c r="J34" s="5" t="s">
        <v>43</v>
      </c>
      <c r="K34" s="3">
        <f t="shared" si="0"/>
        <v>2019</v>
      </c>
      <c r="L34" s="5"/>
    </row>
    <row r="35" spans="1:12">
      <c r="A35" s="3">
        <v>20162195006</v>
      </c>
      <c r="B35" s="3" t="s">
        <v>136</v>
      </c>
      <c r="C35" s="3">
        <v>79531717</v>
      </c>
      <c r="D35" s="4">
        <v>43817</v>
      </c>
      <c r="E35" s="3">
        <v>21241</v>
      </c>
      <c r="F35" s="3">
        <v>20</v>
      </c>
      <c r="G35" s="3">
        <v>178</v>
      </c>
      <c r="H35" s="3" t="s">
        <v>137</v>
      </c>
      <c r="I35" s="3" t="s">
        <v>138</v>
      </c>
      <c r="J35" s="3" t="s">
        <v>139</v>
      </c>
      <c r="K35" s="3">
        <f t="shared" si="0"/>
        <v>2019</v>
      </c>
      <c r="L35" s="3"/>
    </row>
    <row r="36" spans="1:12">
      <c r="A36" s="5">
        <v>20171195004</v>
      </c>
      <c r="B36" s="5" t="s">
        <v>140</v>
      </c>
      <c r="C36" s="5">
        <v>1033712950</v>
      </c>
      <c r="D36" s="6">
        <v>43817</v>
      </c>
      <c r="E36" s="5">
        <v>21242</v>
      </c>
      <c r="F36" s="5">
        <v>20</v>
      </c>
      <c r="G36" s="5">
        <v>178</v>
      </c>
      <c r="H36" s="5" t="s">
        <v>141</v>
      </c>
      <c r="I36" s="5" t="s">
        <v>142</v>
      </c>
      <c r="J36" s="5" t="s">
        <v>71</v>
      </c>
      <c r="K36" s="3">
        <f t="shared" si="0"/>
        <v>2019</v>
      </c>
      <c r="L36" s="5"/>
    </row>
    <row r="37" spans="1:12">
      <c r="A37" s="3">
        <v>20142195003</v>
      </c>
      <c r="B37" s="3" t="s">
        <v>143</v>
      </c>
      <c r="C37" s="3">
        <v>1033691855</v>
      </c>
      <c r="D37" s="4">
        <v>43623</v>
      </c>
      <c r="E37" s="3">
        <v>20598</v>
      </c>
      <c r="F37" s="3">
        <v>20</v>
      </c>
      <c r="G37" s="3">
        <v>70</v>
      </c>
      <c r="H37" s="3" t="s">
        <v>144</v>
      </c>
      <c r="I37" s="3" t="s">
        <v>145</v>
      </c>
      <c r="J37" s="3" t="s">
        <v>146</v>
      </c>
      <c r="K37" s="3">
        <f t="shared" si="0"/>
        <v>2019</v>
      </c>
      <c r="L37" s="3"/>
    </row>
    <row r="38" spans="1:12">
      <c r="A38" s="5">
        <v>20121195014</v>
      </c>
      <c r="B38" s="5" t="s">
        <v>147</v>
      </c>
      <c r="C38" s="5">
        <v>93453664</v>
      </c>
      <c r="D38" s="6">
        <v>43546</v>
      </c>
      <c r="E38" s="5">
        <v>20322</v>
      </c>
      <c r="F38" s="5">
        <v>20</v>
      </c>
      <c r="G38" s="5">
        <v>24</v>
      </c>
      <c r="H38" s="5" t="s">
        <v>148</v>
      </c>
      <c r="I38" s="5" t="s">
        <v>149</v>
      </c>
      <c r="J38" s="5" t="s">
        <v>150</v>
      </c>
      <c r="K38" s="3">
        <f t="shared" si="0"/>
        <v>2019</v>
      </c>
      <c r="L38" s="5"/>
    </row>
    <row r="39" spans="1:12">
      <c r="A39" s="3">
        <v>20122195003</v>
      </c>
      <c r="B39" s="3" t="s">
        <v>151</v>
      </c>
      <c r="C39" s="3">
        <v>52147162</v>
      </c>
      <c r="D39" s="4">
        <v>43546</v>
      </c>
      <c r="E39" s="3">
        <v>20320</v>
      </c>
      <c r="F39" s="3">
        <v>20</v>
      </c>
      <c r="G39" s="3">
        <v>24</v>
      </c>
      <c r="H39" s="3" t="s">
        <v>152</v>
      </c>
      <c r="I39" s="3" t="s">
        <v>153</v>
      </c>
      <c r="J39" s="3" t="s">
        <v>154</v>
      </c>
      <c r="K39" s="3">
        <f t="shared" si="0"/>
        <v>2019</v>
      </c>
      <c r="L39" s="3"/>
    </row>
    <row r="40" spans="1:12">
      <c r="A40" s="3">
        <v>20152195013</v>
      </c>
      <c r="B40" s="3" t="s">
        <v>155</v>
      </c>
      <c r="C40" s="3">
        <v>1026268779</v>
      </c>
      <c r="D40" s="4">
        <v>43357</v>
      </c>
      <c r="E40" s="3">
        <v>19700</v>
      </c>
      <c r="F40" s="3">
        <v>19</v>
      </c>
      <c r="G40" s="3">
        <v>125</v>
      </c>
      <c r="H40" s="3" t="s">
        <v>156</v>
      </c>
      <c r="I40" s="3" t="s">
        <v>157</v>
      </c>
      <c r="J40" s="3" t="s">
        <v>158</v>
      </c>
      <c r="K40" s="3">
        <f t="shared" si="0"/>
        <v>2018</v>
      </c>
      <c r="L40" s="3">
        <f>COUNTIF(K40:K49,2018)</f>
        <v>10</v>
      </c>
    </row>
    <row r="41" spans="1:12">
      <c r="A41" s="5">
        <v>20161195001</v>
      </c>
      <c r="B41" s="5" t="s">
        <v>159</v>
      </c>
      <c r="C41" s="5">
        <v>1016015011</v>
      </c>
      <c r="D41" s="6">
        <v>43357</v>
      </c>
      <c r="E41" s="5">
        <v>19698</v>
      </c>
      <c r="F41" s="5">
        <v>19</v>
      </c>
      <c r="G41" s="5">
        <v>125</v>
      </c>
      <c r="H41" s="5" t="s">
        <v>160</v>
      </c>
      <c r="I41" s="5" t="s">
        <v>161</v>
      </c>
      <c r="J41" s="5" t="s">
        <v>162</v>
      </c>
      <c r="K41" s="3">
        <f t="shared" si="0"/>
        <v>2018</v>
      </c>
      <c r="L41" s="5"/>
    </row>
    <row r="42" spans="1:12">
      <c r="A42" s="3">
        <v>20122195008</v>
      </c>
      <c r="B42" s="3" t="s">
        <v>163</v>
      </c>
      <c r="C42" s="3">
        <v>1026258511</v>
      </c>
      <c r="D42" s="4">
        <v>43182</v>
      </c>
      <c r="E42" s="3">
        <v>19176</v>
      </c>
      <c r="F42" s="3">
        <v>19</v>
      </c>
      <c r="G42" s="3">
        <v>38</v>
      </c>
      <c r="H42" s="3" t="s">
        <v>164</v>
      </c>
      <c r="I42" s="3" t="s">
        <v>165</v>
      </c>
      <c r="J42" s="3" t="s">
        <v>166</v>
      </c>
      <c r="K42" s="3">
        <f t="shared" si="0"/>
        <v>2018</v>
      </c>
      <c r="L42" s="3"/>
    </row>
    <row r="43" spans="1:12">
      <c r="A43" s="5">
        <v>20152195005</v>
      </c>
      <c r="B43" s="5" t="s">
        <v>167</v>
      </c>
      <c r="C43" s="5">
        <v>79560853</v>
      </c>
      <c r="D43" s="6">
        <v>43182</v>
      </c>
      <c r="E43" s="5">
        <v>19162</v>
      </c>
      <c r="F43" s="5">
        <v>19</v>
      </c>
      <c r="G43" s="5">
        <v>35</v>
      </c>
      <c r="H43" s="5" t="s">
        <v>168</v>
      </c>
      <c r="I43" s="5" t="s">
        <v>169</v>
      </c>
      <c r="J43" s="5" t="s">
        <v>170</v>
      </c>
      <c r="K43" s="3">
        <f t="shared" si="0"/>
        <v>2018</v>
      </c>
      <c r="L43" s="5"/>
    </row>
    <row r="44" spans="1:12">
      <c r="A44" s="3">
        <v>20152195014</v>
      </c>
      <c r="B44" s="3" t="s">
        <v>171</v>
      </c>
      <c r="C44" s="3">
        <v>52779302</v>
      </c>
      <c r="D44" s="4">
        <v>43182</v>
      </c>
      <c r="E44" s="3">
        <v>19167</v>
      </c>
      <c r="F44" s="3">
        <v>19</v>
      </c>
      <c r="G44" s="3">
        <v>36</v>
      </c>
      <c r="H44" s="3" t="s">
        <v>172</v>
      </c>
      <c r="I44" s="3" t="s">
        <v>173</v>
      </c>
      <c r="J44" s="3" t="s">
        <v>116</v>
      </c>
      <c r="K44" s="3">
        <f t="shared" si="0"/>
        <v>2018</v>
      </c>
      <c r="L44" s="3"/>
    </row>
    <row r="45" spans="1:12">
      <c r="A45" s="5">
        <v>20152195019</v>
      </c>
      <c r="B45" s="5" t="s">
        <v>174</v>
      </c>
      <c r="C45" s="5">
        <v>1018451803</v>
      </c>
      <c r="D45" s="6">
        <v>43182</v>
      </c>
      <c r="E45" s="5">
        <v>19169</v>
      </c>
      <c r="F45" s="5">
        <v>19</v>
      </c>
      <c r="G45" s="5">
        <v>36</v>
      </c>
      <c r="H45" s="5" t="s">
        <v>175</v>
      </c>
      <c r="I45" s="5" t="s">
        <v>176</v>
      </c>
      <c r="J45" s="5" t="s">
        <v>67</v>
      </c>
      <c r="K45" s="3">
        <f t="shared" si="0"/>
        <v>2018</v>
      </c>
      <c r="L45" s="5"/>
    </row>
    <row r="46" spans="1:12">
      <c r="A46" s="3">
        <v>20152195020</v>
      </c>
      <c r="B46" s="3" t="s">
        <v>177</v>
      </c>
      <c r="C46" s="3">
        <v>1010175143</v>
      </c>
      <c r="D46" s="4">
        <v>43182</v>
      </c>
      <c r="E46" s="3">
        <v>19170</v>
      </c>
      <c r="F46" s="3">
        <v>19</v>
      </c>
      <c r="G46" s="3">
        <v>37</v>
      </c>
      <c r="H46" s="3" t="s">
        <v>178</v>
      </c>
      <c r="I46" s="3" t="s">
        <v>179</v>
      </c>
      <c r="J46" s="3" t="s">
        <v>162</v>
      </c>
      <c r="K46" s="3">
        <f t="shared" si="0"/>
        <v>2018</v>
      </c>
      <c r="L46" s="3"/>
    </row>
    <row r="47" spans="1:12">
      <c r="A47" s="5">
        <v>20152195021</v>
      </c>
      <c r="B47" s="5" t="s">
        <v>180</v>
      </c>
      <c r="C47" s="5">
        <v>1030584421</v>
      </c>
      <c r="D47" s="6">
        <v>43182</v>
      </c>
      <c r="E47" s="5">
        <v>19171</v>
      </c>
      <c r="F47" s="5">
        <v>19</v>
      </c>
      <c r="G47" s="5">
        <v>37</v>
      </c>
      <c r="H47" s="5" t="s">
        <v>181</v>
      </c>
      <c r="I47" s="5" t="s">
        <v>182</v>
      </c>
      <c r="J47" s="5" t="s">
        <v>183</v>
      </c>
      <c r="K47" s="3">
        <f t="shared" si="0"/>
        <v>2018</v>
      </c>
      <c r="L47" s="5"/>
    </row>
    <row r="48" spans="1:12">
      <c r="A48" s="3">
        <v>20162195007</v>
      </c>
      <c r="B48" s="3" t="s">
        <v>184</v>
      </c>
      <c r="C48" s="3">
        <v>1014199332</v>
      </c>
      <c r="D48" s="4">
        <v>43182</v>
      </c>
      <c r="E48" s="3">
        <v>19174</v>
      </c>
      <c r="F48" s="3">
        <v>19</v>
      </c>
      <c r="G48" s="3">
        <v>37</v>
      </c>
      <c r="H48" s="3" t="s">
        <v>185</v>
      </c>
      <c r="I48" s="3" t="s">
        <v>186</v>
      </c>
      <c r="J48" s="3" t="s">
        <v>187</v>
      </c>
      <c r="K48" s="3">
        <f t="shared" si="0"/>
        <v>2018</v>
      </c>
      <c r="L48" s="3"/>
    </row>
    <row r="49" spans="1:12">
      <c r="A49" s="5">
        <v>20112195007</v>
      </c>
      <c r="B49" s="5" t="s">
        <v>188</v>
      </c>
      <c r="C49" s="5">
        <v>52128254</v>
      </c>
      <c r="D49" s="6">
        <v>43146</v>
      </c>
      <c r="E49" s="5">
        <v>18959</v>
      </c>
      <c r="F49" s="5">
        <v>19</v>
      </c>
      <c r="G49" s="5">
        <v>1</v>
      </c>
      <c r="H49" s="5" t="s">
        <v>189</v>
      </c>
      <c r="I49" s="5" t="s">
        <v>190</v>
      </c>
      <c r="J49" s="5" t="s">
        <v>95</v>
      </c>
      <c r="K49" s="3">
        <f t="shared" si="0"/>
        <v>2018</v>
      </c>
      <c r="L4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21187-C932-450A-967E-1922CE6B0BA7}">
  <dimension ref="A1:L13"/>
  <sheetViews>
    <sheetView topLeftCell="B1" workbookViewId="0">
      <selection activeCell="B24" sqref="B24"/>
    </sheetView>
  </sheetViews>
  <sheetFormatPr defaultColWidth="48.5703125" defaultRowHeight="14.45"/>
  <cols>
    <col min="1" max="1" width="18.140625" bestFit="1" customWidth="1"/>
    <col min="2" max="2" width="39.140625" bestFit="1" customWidth="1"/>
    <col min="3" max="3" width="13.42578125" bestFit="1" customWidth="1"/>
    <col min="4" max="4" width="15" bestFit="1" customWidth="1"/>
    <col min="5" max="5" width="6.42578125" bestFit="1" customWidth="1"/>
    <col min="6" max="7" width="7" bestFit="1" customWidth="1"/>
    <col min="8" max="8" width="10.85546875" bestFit="1" customWidth="1"/>
    <col min="9" max="9" width="29.42578125" bestFit="1" customWidth="1"/>
    <col min="10" max="10" width="11.42578125" bestFit="1" customWidth="1"/>
    <col min="11" max="11" width="10.42578125" bestFit="1" customWidth="1"/>
    <col min="12" max="12" width="14.5703125" bestFit="1" customWidth="1"/>
  </cols>
  <sheetData>
    <row r="1" spans="1:12" ht="15" thickBo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</row>
    <row r="2" spans="1:12">
      <c r="A2" s="7">
        <v>20101295014</v>
      </c>
      <c r="B2" s="7" t="s">
        <v>191</v>
      </c>
      <c r="C2" s="7">
        <v>79763774</v>
      </c>
      <c r="D2" s="8">
        <v>44736</v>
      </c>
      <c r="E2" s="7">
        <v>23463</v>
      </c>
      <c r="F2" s="7">
        <v>23</v>
      </c>
      <c r="G2" s="7">
        <v>71</v>
      </c>
      <c r="H2" s="7" t="s">
        <v>192</v>
      </c>
      <c r="I2" s="7" t="s">
        <v>193</v>
      </c>
      <c r="J2" s="7" t="s">
        <v>75</v>
      </c>
      <c r="K2" s="3">
        <f>YEAR(D2)</f>
        <v>2022</v>
      </c>
      <c r="L2" s="3">
        <f>COUNTIF(K2:K11,2022)</f>
        <v>1</v>
      </c>
    </row>
    <row r="3" spans="1:12">
      <c r="A3" s="7">
        <v>20111295007</v>
      </c>
      <c r="B3" s="7" t="s">
        <v>194</v>
      </c>
      <c r="C3" s="7">
        <v>80238298</v>
      </c>
      <c r="D3" s="8">
        <v>44174</v>
      </c>
      <c r="E3" s="7">
        <v>22135</v>
      </c>
      <c r="F3" s="7">
        <v>21</v>
      </c>
      <c r="G3" s="7">
        <v>139</v>
      </c>
      <c r="H3" s="7" t="s">
        <v>195</v>
      </c>
      <c r="I3" s="7" t="s">
        <v>196</v>
      </c>
      <c r="J3" s="7" t="s">
        <v>197</v>
      </c>
      <c r="K3" s="3">
        <f t="shared" ref="K3:K13" si="0">YEAR(D3)</f>
        <v>2020</v>
      </c>
      <c r="L3" s="3">
        <f>COUNTIF(K3:K12,2020)</f>
        <v>3</v>
      </c>
    </row>
    <row r="4" spans="1:12">
      <c r="A4" s="10">
        <v>20062295048</v>
      </c>
      <c r="B4" s="10" t="s">
        <v>198</v>
      </c>
      <c r="C4" s="10">
        <v>79925864</v>
      </c>
      <c r="D4" s="11">
        <v>44046</v>
      </c>
      <c r="E4" s="10">
        <v>21670</v>
      </c>
      <c r="F4" s="10">
        <v>21</v>
      </c>
      <c r="G4" s="10">
        <v>62</v>
      </c>
      <c r="H4" s="10" t="s">
        <v>199</v>
      </c>
      <c r="I4" s="10" t="s">
        <v>200</v>
      </c>
      <c r="J4" s="10" t="s">
        <v>75</v>
      </c>
      <c r="K4" s="3">
        <f t="shared" si="0"/>
        <v>2020</v>
      </c>
      <c r="L4" s="10"/>
    </row>
    <row r="5" spans="1:12">
      <c r="A5" s="7">
        <v>20151295007</v>
      </c>
      <c r="B5" s="7" t="s">
        <v>201</v>
      </c>
      <c r="C5" s="7">
        <v>17311419</v>
      </c>
      <c r="D5" s="8">
        <v>43994</v>
      </c>
      <c r="E5" s="7">
        <v>21533</v>
      </c>
      <c r="F5" s="7">
        <v>21</v>
      </c>
      <c r="G5" s="7">
        <v>39</v>
      </c>
      <c r="H5" s="7" t="s">
        <v>202</v>
      </c>
      <c r="I5" s="7" t="s">
        <v>203</v>
      </c>
      <c r="J5" s="7" t="s">
        <v>204</v>
      </c>
      <c r="K5" s="3">
        <f t="shared" si="0"/>
        <v>2020</v>
      </c>
      <c r="L5" s="7"/>
    </row>
    <row r="6" spans="1:12">
      <c r="A6" s="7">
        <v>20131295002</v>
      </c>
      <c r="B6" s="7" t="s">
        <v>205</v>
      </c>
      <c r="C6" s="7">
        <v>51839772</v>
      </c>
      <c r="D6" s="8">
        <v>43546</v>
      </c>
      <c r="E6" s="7">
        <v>20319</v>
      </c>
      <c r="F6" s="7">
        <v>20</v>
      </c>
      <c r="G6" s="7">
        <v>24</v>
      </c>
      <c r="H6" s="7" t="s">
        <v>206</v>
      </c>
      <c r="I6" s="7" t="s">
        <v>207</v>
      </c>
      <c r="J6" s="7" t="s">
        <v>208</v>
      </c>
      <c r="K6" s="3">
        <f t="shared" si="0"/>
        <v>2019</v>
      </c>
      <c r="L6" s="3">
        <f>COUNTIF(K6:K15,2019)</f>
        <v>2</v>
      </c>
    </row>
    <row r="7" spans="1:12">
      <c r="A7" s="10">
        <v>20131295006</v>
      </c>
      <c r="B7" s="10" t="s">
        <v>209</v>
      </c>
      <c r="C7" s="10">
        <v>80746790</v>
      </c>
      <c r="D7" s="11">
        <v>43546</v>
      </c>
      <c r="E7" s="10">
        <v>20321</v>
      </c>
      <c r="F7" s="10">
        <v>20</v>
      </c>
      <c r="G7" s="10">
        <v>24</v>
      </c>
      <c r="H7" s="10" t="s">
        <v>210</v>
      </c>
      <c r="I7" s="10" t="s">
        <v>211</v>
      </c>
      <c r="J7" s="10" t="s">
        <v>71</v>
      </c>
      <c r="K7" s="3">
        <f t="shared" si="0"/>
        <v>2019</v>
      </c>
      <c r="L7" s="10"/>
    </row>
    <row r="8" spans="1:12">
      <c r="A8" s="7">
        <v>20141295002</v>
      </c>
      <c r="B8" s="7" t="s">
        <v>212</v>
      </c>
      <c r="C8" s="7">
        <v>63560187</v>
      </c>
      <c r="D8" s="8">
        <v>43441</v>
      </c>
      <c r="E8" s="7">
        <v>20091</v>
      </c>
      <c r="F8" s="7"/>
      <c r="G8" s="7">
        <v>190</v>
      </c>
      <c r="H8" s="7" t="s">
        <v>213</v>
      </c>
      <c r="I8" s="7" t="s">
        <v>214</v>
      </c>
      <c r="J8" s="7" t="s">
        <v>102</v>
      </c>
      <c r="K8" s="3">
        <f t="shared" si="0"/>
        <v>2018</v>
      </c>
      <c r="L8" s="3">
        <f>COUNTIF(K8:K17,2018)</f>
        <v>6</v>
      </c>
    </row>
    <row r="9" spans="1:12">
      <c r="A9" s="10">
        <v>20111295006</v>
      </c>
      <c r="B9" s="10" t="s">
        <v>215</v>
      </c>
      <c r="C9" s="10">
        <v>80074145</v>
      </c>
      <c r="D9" s="11">
        <v>43182</v>
      </c>
      <c r="E9" s="10">
        <v>19172</v>
      </c>
      <c r="F9" s="10">
        <v>19</v>
      </c>
      <c r="G9" s="10">
        <v>37</v>
      </c>
      <c r="H9" s="10" t="s">
        <v>216</v>
      </c>
      <c r="I9" s="10" t="s">
        <v>217</v>
      </c>
      <c r="J9" s="10" t="s">
        <v>218</v>
      </c>
      <c r="K9" s="3">
        <f t="shared" si="0"/>
        <v>2018</v>
      </c>
      <c r="L9" s="10"/>
    </row>
    <row r="10" spans="1:12">
      <c r="A10" s="7">
        <v>20112295009</v>
      </c>
      <c r="B10" s="7" t="s">
        <v>219</v>
      </c>
      <c r="C10" s="7">
        <v>80037717</v>
      </c>
      <c r="D10" s="8">
        <v>43182</v>
      </c>
      <c r="E10" s="7">
        <v>19166</v>
      </c>
      <c r="F10" s="7">
        <v>19</v>
      </c>
      <c r="G10" s="7">
        <v>36</v>
      </c>
      <c r="H10" s="7" t="s">
        <v>220</v>
      </c>
      <c r="I10" s="7" t="s">
        <v>221</v>
      </c>
      <c r="J10" s="7" t="s">
        <v>222</v>
      </c>
      <c r="K10" s="3">
        <f t="shared" si="0"/>
        <v>2018</v>
      </c>
      <c r="L10" s="7"/>
    </row>
    <row r="11" spans="1:12">
      <c r="A11" s="10">
        <v>20122295003</v>
      </c>
      <c r="B11" s="10" t="s">
        <v>223</v>
      </c>
      <c r="C11" s="10">
        <v>51661990</v>
      </c>
      <c r="D11" s="11">
        <v>43182</v>
      </c>
      <c r="E11" s="10">
        <v>19164</v>
      </c>
      <c r="F11" s="10">
        <v>19</v>
      </c>
      <c r="G11" s="10">
        <v>36</v>
      </c>
      <c r="H11" s="10" t="s">
        <v>224</v>
      </c>
      <c r="I11" s="10" t="s">
        <v>225</v>
      </c>
      <c r="J11" s="10" t="s">
        <v>71</v>
      </c>
      <c r="K11" s="3">
        <f t="shared" si="0"/>
        <v>2018</v>
      </c>
      <c r="L11" s="10"/>
    </row>
    <row r="12" spans="1:12">
      <c r="A12" s="7">
        <v>20141295005</v>
      </c>
      <c r="B12" s="7" t="s">
        <v>226</v>
      </c>
      <c r="C12" s="7">
        <v>80881311</v>
      </c>
      <c r="D12" s="8">
        <v>43182</v>
      </c>
      <c r="E12" s="7">
        <v>19168</v>
      </c>
      <c r="F12" s="7">
        <v>19</v>
      </c>
      <c r="G12" s="7">
        <v>36</v>
      </c>
      <c r="H12" s="7" t="s">
        <v>227</v>
      </c>
      <c r="I12" s="7" t="s">
        <v>228</v>
      </c>
      <c r="J12" s="7" t="s">
        <v>218</v>
      </c>
      <c r="K12" s="3">
        <f t="shared" si="0"/>
        <v>2018</v>
      </c>
      <c r="L12" s="7"/>
    </row>
    <row r="13" spans="1:12" s="7" customFormat="1" ht="12.6">
      <c r="A13" s="7">
        <v>20141295007</v>
      </c>
      <c r="B13" s="7" t="s">
        <v>229</v>
      </c>
      <c r="C13" s="7">
        <v>80192128</v>
      </c>
      <c r="D13" s="7">
        <v>43182</v>
      </c>
      <c r="E13" s="7">
        <v>19175</v>
      </c>
      <c r="F13" s="7">
        <v>19</v>
      </c>
      <c r="G13" s="7">
        <v>37</v>
      </c>
      <c r="H13" s="7" t="s">
        <v>230</v>
      </c>
      <c r="I13" s="7" t="s">
        <v>231</v>
      </c>
      <c r="J13" s="7" t="s">
        <v>232</v>
      </c>
      <c r="K13" s="3">
        <f t="shared" si="0"/>
        <v>2018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087F5-4806-4815-8084-B070142AAD42}">
  <dimension ref="A1:L54"/>
  <sheetViews>
    <sheetView topLeftCell="A31" workbookViewId="0">
      <selection activeCell="L24" sqref="L24"/>
    </sheetView>
  </sheetViews>
  <sheetFormatPr defaultColWidth="44.7109375" defaultRowHeight="14.45"/>
  <cols>
    <col min="1" max="1" width="12.42578125" bestFit="1" customWidth="1"/>
    <col min="2" max="2" width="43.5703125" bestFit="1" customWidth="1"/>
    <col min="3" max="3" width="9.140625" bestFit="1" customWidth="1"/>
    <col min="4" max="4" width="10.28515625" bestFit="1" customWidth="1"/>
    <col min="5" max="5" width="4.5703125" bestFit="1" customWidth="1"/>
    <col min="6" max="6" width="4.85546875" bestFit="1" customWidth="1"/>
    <col min="7" max="7" width="4.7109375" bestFit="1" customWidth="1"/>
    <col min="8" max="8" width="7.5703125" bestFit="1" customWidth="1"/>
    <col min="9" max="9" width="22.42578125" bestFit="1" customWidth="1"/>
    <col min="10" max="10" width="7.7109375" bestFit="1" customWidth="1"/>
    <col min="11" max="11" width="7.140625" bestFit="1" customWidth="1"/>
    <col min="12" max="12" width="9.85546875" bestFit="1" customWidth="1"/>
  </cols>
  <sheetData>
    <row r="1" spans="1:12" ht="15" thickBo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3">
        <v>20161395011</v>
      </c>
      <c r="B2" s="3" t="s">
        <v>233</v>
      </c>
      <c r="C2" s="3">
        <v>1030576910</v>
      </c>
      <c r="D2" s="4">
        <v>45107</v>
      </c>
      <c r="E2" s="3">
        <v>24427</v>
      </c>
      <c r="F2" s="3">
        <v>24</v>
      </c>
      <c r="G2" s="3">
        <v>75</v>
      </c>
      <c r="H2" s="3" t="s">
        <v>234</v>
      </c>
      <c r="I2" s="3" t="s">
        <v>235</v>
      </c>
      <c r="J2" s="3" t="s">
        <v>150</v>
      </c>
      <c r="K2" s="3">
        <f>YEAR(D2)</f>
        <v>2023</v>
      </c>
      <c r="L2" s="3">
        <f>COUNTIF(K2:K11,2023)</f>
        <v>6</v>
      </c>
    </row>
    <row r="3" spans="1:12">
      <c r="A3" s="5">
        <v>20081295008</v>
      </c>
      <c r="B3" s="5" t="s">
        <v>236</v>
      </c>
      <c r="C3" s="5">
        <v>79788977</v>
      </c>
      <c r="D3" s="6">
        <v>45016</v>
      </c>
      <c r="E3" s="5">
        <v>24225</v>
      </c>
      <c r="F3" s="5">
        <v>24</v>
      </c>
      <c r="G3" s="5">
        <v>42</v>
      </c>
      <c r="H3" s="5" t="s">
        <v>237</v>
      </c>
      <c r="I3" s="5" t="s">
        <v>238</v>
      </c>
      <c r="J3" s="5" t="s">
        <v>170</v>
      </c>
      <c r="K3" s="3">
        <f t="shared" ref="K3:K54" si="0">YEAR(D3)</f>
        <v>2023</v>
      </c>
      <c r="L3" s="5"/>
    </row>
    <row r="4" spans="1:12">
      <c r="A4" s="3">
        <v>20161395002</v>
      </c>
      <c r="B4" s="3" t="s">
        <v>239</v>
      </c>
      <c r="C4" s="3">
        <v>1019040864</v>
      </c>
      <c r="D4" s="4">
        <v>45016</v>
      </c>
      <c r="E4" s="3">
        <v>24219</v>
      </c>
      <c r="F4" s="3">
        <v>24</v>
      </c>
      <c r="G4" s="3">
        <v>41</v>
      </c>
      <c r="H4" s="3" t="s">
        <v>240</v>
      </c>
      <c r="I4" s="3" t="s">
        <v>241</v>
      </c>
      <c r="J4" s="3" t="s">
        <v>242</v>
      </c>
      <c r="K4" s="3">
        <f t="shared" si="0"/>
        <v>2023</v>
      </c>
      <c r="L4" s="3"/>
    </row>
    <row r="5" spans="1:12">
      <c r="A5" s="5">
        <v>20171395002</v>
      </c>
      <c r="B5" s="5" t="s">
        <v>243</v>
      </c>
      <c r="C5" s="5">
        <v>1026285580</v>
      </c>
      <c r="D5" s="6">
        <v>45016</v>
      </c>
      <c r="E5" s="5">
        <v>24218</v>
      </c>
      <c r="F5" s="5">
        <v>24</v>
      </c>
      <c r="G5" s="5">
        <v>41</v>
      </c>
      <c r="H5" s="5" t="s">
        <v>244</v>
      </c>
      <c r="I5" s="5" t="s">
        <v>245</v>
      </c>
      <c r="J5" s="5" t="s">
        <v>75</v>
      </c>
      <c r="K5" s="3">
        <f t="shared" si="0"/>
        <v>2023</v>
      </c>
      <c r="L5" s="5"/>
    </row>
    <row r="6" spans="1:12">
      <c r="A6" s="3">
        <v>20172395002</v>
      </c>
      <c r="B6" s="3" t="s">
        <v>246</v>
      </c>
      <c r="C6" s="3">
        <v>1024554082</v>
      </c>
      <c r="D6" s="4">
        <v>45016</v>
      </c>
      <c r="E6" s="3">
        <v>24217</v>
      </c>
      <c r="F6" s="3">
        <v>24</v>
      </c>
      <c r="G6" s="3">
        <v>40</v>
      </c>
      <c r="H6" s="3" t="s">
        <v>247</v>
      </c>
      <c r="I6" s="3" t="s">
        <v>248</v>
      </c>
      <c r="J6" s="3" t="s">
        <v>146</v>
      </c>
      <c r="K6" s="3">
        <f t="shared" si="0"/>
        <v>2023</v>
      </c>
      <c r="L6" s="3"/>
    </row>
    <row r="7" spans="1:12">
      <c r="A7" s="5">
        <v>20192395010</v>
      </c>
      <c r="B7" s="5" t="s">
        <v>249</v>
      </c>
      <c r="C7" s="5">
        <v>1013667943</v>
      </c>
      <c r="D7" s="6">
        <v>45016</v>
      </c>
      <c r="E7" s="5">
        <v>24220</v>
      </c>
      <c r="F7" s="5">
        <v>24</v>
      </c>
      <c r="G7" s="5">
        <v>41</v>
      </c>
      <c r="H7" s="5" t="s">
        <v>250</v>
      </c>
      <c r="I7" s="5" t="s">
        <v>251</v>
      </c>
      <c r="J7" s="5" t="s">
        <v>252</v>
      </c>
      <c r="K7" s="3">
        <f t="shared" si="0"/>
        <v>2023</v>
      </c>
      <c r="L7" s="5"/>
    </row>
    <row r="8" spans="1:12">
      <c r="A8" s="3">
        <v>20161395008</v>
      </c>
      <c r="B8" s="3" t="s">
        <v>253</v>
      </c>
      <c r="C8" s="3">
        <v>1019008786</v>
      </c>
      <c r="D8" s="4">
        <v>44911</v>
      </c>
      <c r="E8" s="3">
        <v>23948</v>
      </c>
      <c r="F8" s="3">
        <v>23</v>
      </c>
      <c r="G8" s="3">
        <v>152</v>
      </c>
      <c r="H8" s="3" t="s">
        <v>254</v>
      </c>
      <c r="I8" s="3" t="s">
        <v>255</v>
      </c>
      <c r="J8" s="3" t="s">
        <v>256</v>
      </c>
      <c r="K8" s="3">
        <f t="shared" si="0"/>
        <v>2022</v>
      </c>
      <c r="L8" s="3">
        <f>COUNTIF(K8:K22,2022)</f>
        <v>15</v>
      </c>
    </row>
    <row r="9" spans="1:12">
      <c r="A9" s="5">
        <v>20201395003</v>
      </c>
      <c r="B9" s="5" t="s">
        <v>257</v>
      </c>
      <c r="C9" s="5">
        <v>80779247</v>
      </c>
      <c r="D9" s="6">
        <v>44911</v>
      </c>
      <c r="E9" s="5">
        <v>23949</v>
      </c>
      <c r="F9" s="5">
        <v>23</v>
      </c>
      <c r="G9" s="5">
        <v>153</v>
      </c>
      <c r="H9" s="5" t="s">
        <v>258</v>
      </c>
      <c r="I9" s="5" t="s">
        <v>259</v>
      </c>
      <c r="J9" s="5" t="s">
        <v>128</v>
      </c>
      <c r="K9" s="3">
        <f t="shared" si="0"/>
        <v>2022</v>
      </c>
      <c r="L9" s="5"/>
    </row>
    <row r="10" spans="1:12">
      <c r="A10" s="3">
        <v>20142395005</v>
      </c>
      <c r="B10" s="3" t="s">
        <v>260</v>
      </c>
      <c r="C10" s="3">
        <v>1026269883</v>
      </c>
      <c r="D10" s="4">
        <v>44827</v>
      </c>
      <c r="E10" s="3">
        <v>23783</v>
      </c>
      <c r="F10" s="3">
        <v>23</v>
      </c>
      <c r="G10" s="3">
        <v>125</v>
      </c>
      <c r="H10" s="3" t="s">
        <v>261</v>
      </c>
      <c r="I10" s="3" t="s">
        <v>262</v>
      </c>
      <c r="J10" s="3" t="s">
        <v>95</v>
      </c>
      <c r="K10" s="3">
        <f t="shared" si="0"/>
        <v>2022</v>
      </c>
      <c r="L10" s="3"/>
    </row>
    <row r="11" spans="1:12">
      <c r="A11" s="5">
        <v>20181395006</v>
      </c>
      <c r="B11" s="5" t="s">
        <v>263</v>
      </c>
      <c r="C11" s="5">
        <v>1010191260</v>
      </c>
      <c r="D11" s="6">
        <v>44827</v>
      </c>
      <c r="E11" s="5">
        <v>23781</v>
      </c>
      <c r="F11" s="5">
        <v>23</v>
      </c>
      <c r="G11" s="5">
        <v>124</v>
      </c>
      <c r="H11" s="5" t="s">
        <v>264</v>
      </c>
      <c r="I11" s="5" t="s">
        <v>265</v>
      </c>
      <c r="J11" s="5" t="s">
        <v>266</v>
      </c>
      <c r="K11" s="3">
        <f t="shared" si="0"/>
        <v>2022</v>
      </c>
      <c r="L11" s="5"/>
    </row>
    <row r="12" spans="1:12">
      <c r="A12" s="3">
        <v>20182395009</v>
      </c>
      <c r="B12" s="3" t="s">
        <v>267</v>
      </c>
      <c r="C12" s="3">
        <v>1031159767</v>
      </c>
      <c r="D12" s="4">
        <v>44827</v>
      </c>
      <c r="E12" s="3">
        <v>23775</v>
      </c>
      <c r="F12" s="3">
        <v>23</v>
      </c>
      <c r="G12" s="3">
        <v>123</v>
      </c>
      <c r="H12" s="3" t="s">
        <v>268</v>
      </c>
      <c r="I12" s="3" t="s">
        <v>269</v>
      </c>
      <c r="J12" s="3" t="s">
        <v>270</v>
      </c>
      <c r="K12" s="3">
        <f t="shared" si="0"/>
        <v>2022</v>
      </c>
      <c r="L12" s="3"/>
    </row>
    <row r="13" spans="1:12">
      <c r="A13" s="5">
        <v>20191395006</v>
      </c>
      <c r="B13" s="5" t="s">
        <v>271</v>
      </c>
      <c r="C13" s="5">
        <v>1069304778</v>
      </c>
      <c r="D13" s="6">
        <v>44827</v>
      </c>
      <c r="E13" s="5">
        <v>23776</v>
      </c>
      <c r="F13" s="5">
        <v>23</v>
      </c>
      <c r="G13" s="5">
        <v>124</v>
      </c>
      <c r="H13" s="5" t="s">
        <v>272</v>
      </c>
      <c r="I13" s="5" t="s">
        <v>273</v>
      </c>
      <c r="J13" s="5" t="s">
        <v>274</v>
      </c>
      <c r="K13" s="3">
        <f t="shared" si="0"/>
        <v>2022</v>
      </c>
      <c r="L13" s="5"/>
    </row>
    <row r="14" spans="1:12">
      <c r="A14" s="3">
        <v>20191395010</v>
      </c>
      <c r="B14" s="3" t="s">
        <v>275</v>
      </c>
      <c r="C14" s="3">
        <v>1023009167</v>
      </c>
      <c r="D14" s="4">
        <v>44827</v>
      </c>
      <c r="E14" s="3">
        <v>23778</v>
      </c>
      <c r="F14" s="3">
        <v>23</v>
      </c>
      <c r="G14" s="3">
        <v>124</v>
      </c>
      <c r="H14" s="3" t="s">
        <v>276</v>
      </c>
      <c r="I14" s="3" t="s">
        <v>277</v>
      </c>
      <c r="J14" s="3" t="s">
        <v>116</v>
      </c>
      <c r="K14" s="3">
        <f t="shared" si="0"/>
        <v>2022</v>
      </c>
      <c r="L14" s="3"/>
    </row>
    <row r="15" spans="1:12">
      <c r="A15" s="5">
        <v>20192395012</v>
      </c>
      <c r="B15" s="5" t="s">
        <v>278</v>
      </c>
      <c r="C15" s="5">
        <v>1013600362</v>
      </c>
      <c r="D15" s="6">
        <v>44827</v>
      </c>
      <c r="E15" s="5">
        <v>23782</v>
      </c>
      <c r="F15" s="5">
        <v>23</v>
      </c>
      <c r="G15" s="5">
        <v>125</v>
      </c>
      <c r="H15" s="5" t="s">
        <v>279</v>
      </c>
      <c r="I15" s="5" t="s">
        <v>280</v>
      </c>
      <c r="J15" s="5" t="s">
        <v>67</v>
      </c>
      <c r="K15" s="3">
        <f t="shared" si="0"/>
        <v>2022</v>
      </c>
      <c r="L15" s="5"/>
    </row>
    <row r="16" spans="1:12">
      <c r="A16" s="3">
        <v>20152395001</v>
      </c>
      <c r="B16" s="3" t="s">
        <v>281</v>
      </c>
      <c r="C16" s="3">
        <v>1014196634</v>
      </c>
      <c r="D16" s="4">
        <v>44736</v>
      </c>
      <c r="E16" s="3">
        <v>23453</v>
      </c>
      <c r="F16" s="3">
        <v>23</v>
      </c>
      <c r="G16" s="3">
        <v>69</v>
      </c>
      <c r="H16" s="3" t="s">
        <v>282</v>
      </c>
      <c r="I16" s="3" t="s">
        <v>283</v>
      </c>
      <c r="J16" s="3" t="s">
        <v>139</v>
      </c>
      <c r="K16" s="3">
        <f t="shared" si="0"/>
        <v>2022</v>
      </c>
      <c r="L16" s="3"/>
    </row>
    <row r="17" spans="1:12">
      <c r="A17" s="5">
        <v>20162395007</v>
      </c>
      <c r="B17" s="5" t="s">
        <v>284</v>
      </c>
      <c r="C17" s="5">
        <v>1026258763</v>
      </c>
      <c r="D17" s="6">
        <v>44736</v>
      </c>
      <c r="E17" s="5">
        <v>23459</v>
      </c>
      <c r="F17" s="5">
        <v>23</v>
      </c>
      <c r="G17" s="5">
        <v>70</v>
      </c>
      <c r="H17" s="5" t="s">
        <v>285</v>
      </c>
      <c r="I17" s="5" t="s">
        <v>286</v>
      </c>
      <c r="J17" s="5" t="s">
        <v>132</v>
      </c>
      <c r="K17" s="3">
        <f t="shared" si="0"/>
        <v>2022</v>
      </c>
      <c r="L17" s="5"/>
    </row>
    <row r="18" spans="1:12">
      <c r="A18" s="3">
        <v>20181395004</v>
      </c>
      <c r="B18" s="3" t="s">
        <v>287</v>
      </c>
      <c r="C18" s="3">
        <v>1018454765</v>
      </c>
      <c r="D18" s="4">
        <v>44736</v>
      </c>
      <c r="E18" s="3">
        <v>23456</v>
      </c>
      <c r="F18" s="3">
        <v>23</v>
      </c>
      <c r="G18" s="3">
        <v>70</v>
      </c>
      <c r="H18" s="3" t="s">
        <v>288</v>
      </c>
      <c r="I18" s="3" t="s">
        <v>289</v>
      </c>
      <c r="J18" s="3" t="s">
        <v>290</v>
      </c>
      <c r="K18" s="3">
        <f t="shared" si="0"/>
        <v>2022</v>
      </c>
      <c r="L18" s="3"/>
    </row>
    <row r="19" spans="1:12">
      <c r="A19" s="5">
        <v>20182395006</v>
      </c>
      <c r="B19" s="5" t="s">
        <v>291</v>
      </c>
      <c r="C19" s="5">
        <v>1016083013</v>
      </c>
      <c r="D19" s="6">
        <v>44736</v>
      </c>
      <c r="E19" s="5">
        <v>23455</v>
      </c>
      <c r="F19" s="5">
        <v>23</v>
      </c>
      <c r="G19" s="5">
        <v>70</v>
      </c>
      <c r="H19" s="5" t="s">
        <v>292</v>
      </c>
      <c r="I19" s="5" t="s">
        <v>293</v>
      </c>
      <c r="J19" s="5" t="s">
        <v>294</v>
      </c>
      <c r="K19" s="3">
        <f t="shared" si="0"/>
        <v>2022</v>
      </c>
      <c r="L19" s="5"/>
    </row>
    <row r="20" spans="1:12">
      <c r="A20" s="3">
        <v>20182395012</v>
      </c>
      <c r="B20" s="3" t="s">
        <v>295</v>
      </c>
      <c r="C20" s="3">
        <v>79499302</v>
      </c>
      <c r="D20" s="4">
        <v>44736</v>
      </c>
      <c r="E20" s="3">
        <v>23461</v>
      </c>
      <c r="F20" s="3">
        <v>23</v>
      </c>
      <c r="G20" s="3">
        <v>71</v>
      </c>
      <c r="H20" s="3" t="s">
        <v>296</v>
      </c>
      <c r="I20" s="3" t="s">
        <v>297</v>
      </c>
      <c r="J20" s="3" t="s">
        <v>290</v>
      </c>
      <c r="K20" s="3">
        <f t="shared" si="0"/>
        <v>2022</v>
      </c>
      <c r="L20" s="3"/>
    </row>
    <row r="21" spans="1:12">
      <c r="A21" s="5">
        <v>20191395002</v>
      </c>
      <c r="B21" s="5" t="s">
        <v>298</v>
      </c>
      <c r="C21" s="5">
        <v>1077147477</v>
      </c>
      <c r="D21" s="6">
        <v>44736</v>
      </c>
      <c r="E21" s="5">
        <v>23454</v>
      </c>
      <c r="F21" s="5">
        <v>23</v>
      </c>
      <c r="G21" s="5">
        <v>70</v>
      </c>
      <c r="H21" s="5" t="s">
        <v>299</v>
      </c>
      <c r="I21" s="5" t="s">
        <v>300</v>
      </c>
      <c r="J21" s="5" t="s">
        <v>43</v>
      </c>
      <c r="K21" s="3">
        <f t="shared" si="0"/>
        <v>2022</v>
      </c>
      <c r="L21" s="5"/>
    </row>
    <row r="22" spans="1:12">
      <c r="A22" s="3">
        <v>20162395012</v>
      </c>
      <c r="B22" s="3" t="s">
        <v>301</v>
      </c>
      <c r="C22" s="3">
        <v>79992153</v>
      </c>
      <c r="D22" s="4">
        <v>44638</v>
      </c>
      <c r="E22" s="3">
        <v>23271</v>
      </c>
      <c r="F22" s="3">
        <v>23</v>
      </c>
      <c r="G22" s="3">
        <v>39</v>
      </c>
      <c r="H22" s="3" t="s">
        <v>302</v>
      </c>
      <c r="I22" s="3" t="s">
        <v>303</v>
      </c>
      <c r="J22" s="3" t="s">
        <v>166</v>
      </c>
      <c r="K22" s="3">
        <f t="shared" si="0"/>
        <v>2022</v>
      </c>
    </row>
    <row r="23" spans="1:12">
      <c r="A23" s="3">
        <v>20131395007</v>
      </c>
      <c r="B23" s="3" t="s">
        <v>304</v>
      </c>
      <c r="C23" s="3">
        <v>1023863636</v>
      </c>
      <c r="D23" s="4">
        <v>44552</v>
      </c>
      <c r="E23" s="3">
        <v>23032</v>
      </c>
      <c r="F23" s="3">
        <v>22</v>
      </c>
      <c r="G23" s="3">
        <v>146</v>
      </c>
      <c r="H23" s="3" t="s">
        <v>305</v>
      </c>
      <c r="I23" s="3" t="s">
        <v>306</v>
      </c>
      <c r="J23" s="3" t="s">
        <v>307</v>
      </c>
      <c r="K23" s="3">
        <f t="shared" si="0"/>
        <v>2021</v>
      </c>
      <c r="L23" s="3">
        <f>COUNTIF(K22:K39,2021)</f>
        <v>17</v>
      </c>
    </row>
    <row r="24" spans="1:12">
      <c r="A24" s="5">
        <v>20131395009</v>
      </c>
      <c r="B24" s="5" t="s">
        <v>308</v>
      </c>
      <c r="C24" s="5">
        <v>1026258258</v>
      </c>
      <c r="D24" s="6">
        <v>44552</v>
      </c>
      <c r="E24" s="5">
        <v>23033</v>
      </c>
      <c r="F24" s="5">
        <v>22</v>
      </c>
      <c r="G24" s="5">
        <v>146</v>
      </c>
      <c r="H24" s="5" t="s">
        <v>309</v>
      </c>
      <c r="I24" s="5" t="s">
        <v>310</v>
      </c>
      <c r="J24" s="5" t="s">
        <v>23</v>
      </c>
      <c r="K24" s="3">
        <f t="shared" si="0"/>
        <v>2021</v>
      </c>
      <c r="L24" s="5"/>
    </row>
    <row r="25" spans="1:12">
      <c r="A25" s="3">
        <v>20171395011</v>
      </c>
      <c r="B25" s="3" t="s">
        <v>311</v>
      </c>
      <c r="C25" s="3">
        <v>1018469957</v>
      </c>
      <c r="D25" s="4">
        <v>44552</v>
      </c>
      <c r="E25" s="3">
        <v>23034</v>
      </c>
      <c r="F25" s="3">
        <v>22</v>
      </c>
      <c r="G25" s="3">
        <v>146</v>
      </c>
      <c r="H25" s="3" t="s">
        <v>312</v>
      </c>
      <c r="I25" s="3" t="s">
        <v>313</v>
      </c>
      <c r="J25" s="3" t="s">
        <v>187</v>
      </c>
      <c r="K25" s="3">
        <f t="shared" si="0"/>
        <v>2021</v>
      </c>
      <c r="L25" s="3"/>
    </row>
    <row r="26" spans="1:12">
      <c r="A26" s="5">
        <v>20191395003</v>
      </c>
      <c r="B26" s="5" t="s">
        <v>314</v>
      </c>
      <c r="C26" s="5">
        <v>1032469491</v>
      </c>
      <c r="D26" s="6">
        <v>44552</v>
      </c>
      <c r="E26" s="5">
        <v>23031</v>
      </c>
      <c r="F26" s="5">
        <v>22</v>
      </c>
      <c r="G26" s="5">
        <v>145</v>
      </c>
      <c r="H26" s="5" t="s">
        <v>315</v>
      </c>
      <c r="I26" s="5" t="s">
        <v>316</v>
      </c>
      <c r="J26" s="5" t="s">
        <v>218</v>
      </c>
      <c r="K26" s="3">
        <f t="shared" si="0"/>
        <v>2021</v>
      </c>
      <c r="L26" s="5"/>
    </row>
    <row r="27" spans="1:12">
      <c r="A27" s="3">
        <v>20171395004</v>
      </c>
      <c r="B27" s="3" t="s">
        <v>317</v>
      </c>
      <c r="C27" s="3">
        <v>1032433743</v>
      </c>
      <c r="D27" s="4">
        <v>44524</v>
      </c>
      <c r="E27" s="3">
        <v>22953</v>
      </c>
      <c r="F27" s="3">
        <v>22</v>
      </c>
      <c r="G27" s="3">
        <v>132</v>
      </c>
      <c r="H27" s="3" t="s">
        <v>318</v>
      </c>
      <c r="I27" s="3" t="s">
        <v>319</v>
      </c>
      <c r="J27" s="3" t="s">
        <v>31</v>
      </c>
      <c r="K27" s="3">
        <f t="shared" si="0"/>
        <v>2021</v>
      </c>
      <c r="L27" s="3"/>
    </row>
    <row r="28" spans="1:12">
      <c r="A28" s="5">
        <v>20171395007</v>
      </c>
      <c r="B28" s="5" t="s">
        <v>320</v>
      </c>
      <c r="C28" s="5">
        <v>19486872</v>
      </c>
      <c r="D28" s="6">
        <v>44524</v>
      </c>
      <c r="E28" s="5">
        <v>22954</v>
      </c>
      <c r="F28" s="5">
        <v>22</v>
      </c>
      <c r="G28" s="5">
        <v>132</v>
      </c>
      <c r="H28" s="5" t="s">
        <v>321</v>
      </c>
      <c r="I28" s="5" t="s">
        <v>322</v>
      </c>
      <c r="J28" s="5" t="s">
        <v>208</v>
      </c>
      <c r="K28" s="3">
        <f t="shared" si="0"/>
        <v>2021</v>
      </c>
      <c r="L28" s="5"/>
    </row>
    <row r="29" spans="1:12">
      <c r="A29" s="3">
        <v>20171395010</v>
      </c>
      <c r="B29" s="3" t="s">
        <v>323</v>
      </c>
      <c r="C29" s="3">
        <v>1026267632</v>
      </c>
      <c r="D29" s="4">
        <v>44524</v>
      </c>
      <c r="E29" s="3">
        <v>22955</v>
      </c>
      <c r="F29" s="3">
        <v>22</v>
      </c>
      <c r="G29" s="3">
        <v>132</v>
      </c>
      <c r="H29" s="3" t="s">
        <v>324</v>
      </c>
      <c r="I29" s="3" t="s">
        <v>325</v>
      </c>
      <c r="J29" s="3" t="s">
        <v>326</v>
      </c>
      <c r="K29" s="3">
        <f t="shared" si="0"/>
        <v>2021</v>
      </c>
      <c r="L29" s="3"/>
    </row>
    <row r="30" spans="1:12">
      <c r="A30" s="5">
        <v>20162395006</v>
      </c>
      <c r="B30" s="5" t="s">
        <v>327</v>
      </c>
      <c r="C30" s="5">
        <v>1121838201</v>
      </c>
      <c r="D30" s="6">
        <v>44484</v>
      </c>
      <c r="E30" s="5">
        <v>22853</v>
      </c>
      <c r="F30" s="5">
        <v>22</v>
      </c>
      <c r="G30" s="5">
        <v>115</v>
      </c>
      <c r="H30" s="5" t="s">
        <v>328</v>
      </c>
      <c r="I30" s="5" t="s">
        <v>329</v>
      </c>
      <c r="J30" s="5" t="s">
        <v>330</v>
      </c>
      <c r="K30" s="3">
        <f t="shared" si="0"/>
        <v>2021</v>
      </c>
      <c r="L30" s="5"/>
    </row>
    <row r="31" spans="1:12">
      <c r="A31" s="3">
        <v>20192395001</v>
      </c>
      <c r="B31" s="3" t="s">
        <v>331</v>
      </c>
      <c r="C31" s="3">
        <v>52897032</v>
      </c>
      <c r="D31" s="4">
        <v>44484</v>
      </c>
      <c r="E31" s="3">
        <v>22854</v>
      </c>
      <c r="F31" s="3">
        <v>22</v>
      </c>
      <c r="G31" s="3">
        <v>116</v>
      </c>
      <c r="H31" s="3" t="s">
        <v>332</v>
      </c>
      <c r="I31" s="3" t="s">
        <v>333</v>
      </c>
      <c r="J31" s="3" t="s">
        <v>334</v>
      </c>
      <c r="K31" s="3">
        <f t="shared" si="0"/>
        <v>2021</v>
      </c>
      <c r="L31" s="3"/>
    </row>
    <row r="32" spans="1:12">
      <c r="A32" s="5">
        <v>20152395002</v>
      </c>
      <c r="B32" s="5" t="s">
        <v>335</v>
      </c>
      <c r="C32" s="5">
        <v>1016034010</v>
      </c>
      <c r="D32" s="6">
        <v>44428</v>
      </c>
      <c r="E32" s="5">
        <v>22695</v>
      </c>
      <c r="F32" s="5">
        <v>22</v>
      </c>
      <c r="G32" s="5">
        <v>89</v>
      </c>
      <c r="H32" s="5" t="s">
        <v>336</v>
      </c>
      <c r="I32" s="5" t="s">
        <v>337</v>
      </c>
      <c r="J32" s="5" t="s">
        <v>154</v>
      </c>
      <c r="K32" s="3">
        <f t="shared" si="0"/>
        <v>2021</v>
      </c>
      <c r="L32" s="5"/>
    </row>
    <row r="33" spans="1:12">
      <c r="A33" s="3">
        <v>20161395004</v>
      </c>
      <c r="B33" s="3" t="s">
        <v>338</v>
      </c>
      <c r="C33" s="3">
        <v>1032408256</v>
      </c>
      <c r="D33" s="4">
        <v>44428</v>
      </c>
      <c r="E33" s="3">
        <v>22696</v>
      </c>
      <c r="F33" s="3">
        <v>22</v>
      </c>
      <c r="G33" s="3">
        <v>89</v>
      </c>
      <c r="H33" s="3" t="s">
        <v>339</v>
      </c>
      <c r="I33" s="3" t="s">
        <v>340</v>
      </c>
      <c r="J33" s="3" t="s">
        <v>197</v>
      </c>
      <c r="K33" s="3">
        <f t="shared" si="0"/>
        <v>2021</v>
      </c>
      <c r="L33" s="3"/>
    </row>
    <row r="34" spans="1:12">
      <c r="A34" s="5">
        <v>20161395005</v>
      </c>
      <c r="B34" s="5" t="s">
        <v>341</v>
      </c>
      <c r="C34" s="5">
        <v>1032423220</v>
      </c>
      <c r="D34" s="6">
        <v>44428</v>
      </c>
      <c r="E34" s="5">
        <v>22697</v>
      </c>
      <c r="F34" s="5">
        <v>22</v>
      </c>
      <c r="G34" s="5">
        <v>89</v>
      </c>
      <c r="H34" s="5" t="s">
        <v>342</v>
      </c>
      <c r="I34" s="5" t="s">
        <v>343</v>
      </c>
      <c r="J34" s="5" t="s">
        <v>15</v>
      </c>
      <c r="K34" s="3">
        <f t="shared" si="0"/>
        <v>2021</v>
      </c>
      <c r="L34" s="5"/>
    </row>
    <row r="35" spans="1:12">
      <c r="A35" s="3">
        <v>20162395009</v>
      </c>
      <c r="B35" s="3" t="s">
        <v>344</v>
      </c>
      <c r="C35" s="3">
        <v>1010191974</v>
      </c>
      <c r="D35" s="4">
        <v>44428</v>
      </c>
      <c r="E35" s="3">
        <v>22699</v>
      </c>
      <c r="F35" s="3">
        <v>22</v>
      </c>
      <c r="G35" s="3">
        <v>90</v>
      </c>
      <c r="H35" s="3" t="s">
        <v>345</v>
      </c>
      <c r="I35" s="3" t="s">
        <v>346</v>
      </c>
      <c r="J35" s="3" t="s">
        <v>347</v>
      </c>
      <c r="K35" s="3">
        <f t="shared" si="0"/>
        <v>2021</v>
      </c>
      <c r="L35" s="3"/>
    </row>
    <row r="36" spans="1:12">
      <c r="A36" s="5">
        <v>20171395009</v>
      </c>
      <c r="B36" s="5" t="s">
        <v>348</v>
      </c>
      <c r="C36" s="5">
        <v>1023910593</v>
      </c>
      <c r="D36" s="6">
        <v>44357</v>
      </c>
      <c r="E36" s="5">
        <v>22573</v>
      </c>
      <c r="F36" s="5">
        <v>22</v>
      </c>
      <c r="G36" s="5">
        <v>69</v>
      </c>
      <c r="H36" s="5" t="s">
        <v>349</v>
      </c>
      <c r="I36" s="5" t="s">
        <v>350</v>
      </c>
      <c r="J36" s="5" t="s">
        <v>330</v>
      </c>
      <c r="K36" s="3">
        <f t="shared" si="0"/>
        <v>2021</v>
      </c>
      <c r="L36" s="5"/>
    </row>
    <row r="37" spans="1:12">
      <c r="A37" s="3">
        <v>20172395011</v>
      </c>
      <c r="B37" s="3" t="s">
        <v>351</v>
      </c>
      <c r="C37" s="3">
        <v>1014248221</v>
      </c>
      <c r="D37" s="4">
        <v>44357</v>
      </c>
      <c r="E37" s="3">
        <v>22574</v>
      </c>
      <c r="F37" s="3">
        <v>22</v>
      </c>
      <c r="G37" s="3">
        <v>69</v>
      </c>
      <c r="H37" s="3" t="s">
        <v>352</v>
      </c>
      <c r="I37" s="3" t="s">
        <v>353</v>
      </c>
      <c r="J37" s="3" t="s">
        <v>39</v>
      </c>
      <c r="K37" s="3">
        <f t="shared" si="0"/>
        <v>2021</v>
      </c>
      <c r="L37" s="3"/>
    </row>
    <row r="38" spans="1:12">
      <c r="A38" s="5">
        <v>20171395008</v>
      </c>
      <c r="B38" s="5" t="s">
        <v>354</v>
      </c>
      <c r="C38" s="5">
        <v>52546320</v>
      </c>
      <c r="D38" s="6">
        <v>44321</v>
      </c>
      <c r="E38" s="5">
        <v>22508</v>
      </c>
      <c r="F38" s="5">
        <v>22</v>
      </c>
      <c r="G38" s="5">
        <v>58</v>
      </c>
      <c r="H38" s="5" t="s">
        <v>355</v>
      </c>
      <c r="I38" s="5" t="s">
        <v>356</v>
      </c>
      <c r="J38" s="5" t="s">
        <v>357</v>
      </c>
      <c r="K38" s="3">
        <f t="shared" si="0"/>
        <v>2021</v>
      </c>
      <c r="L38" s="5"/>
    </row>
    <row r="39" spans="1:12">
      <c r="A39" s="3">
        <v>20172395019</v>
      </c>
      <c r="B39" s="3" t="s">
        <v>358</v>
      </c>
      <c r="C39" s="3">
        <v>1030586151</v>
      </c>
      <c r="D39" s="4">
        <v>44251</v>
      </c>
      <c r="E39" s="3">
        <v>22258</v>
      </c>
      <c r="F39" s="3">
        <v>22</v>
      </c>
      <c r="G39" s="3">
        <v>16</v>
      </c>
      <c r="H39" s="3" t="s">
        <v>359</v>
      </c>
      <c r="I39" s="3" t="s">
        <v>360</v>
      </c>
      <c r="J39" s="3" t="s">
        <v>274</v>
      </c>
      <c r="K39" s="3">
        <f t="shared" si="0"/>
        <v>2021</v>
      </c>
      <c r="L39" s="3"/>
    </row>
    <row r="40" spans="1:12">
      <c r="A40" s="3">
        <v>20161395006</v>
      </c>
      <c r="B40" s="3" t="s">
        <v>361</v>
      </c>
      <c r="C40" s="3">
        <v>1018454644</v>
      </c>
      <c r="D40" s="4">
        <v>44174</v>
      </c>
      <c r="E40" s="3">
        <v>22134</v>
      </c>
      <c r="F40" s="3">
        <v>21</v>
      </c>
      <c r="G40" s="3">
        <v>139</v>
      </c>
      <c r="H40" s="3" t="s">
        <v>362</v>
      </c>
      <c r="I40" s="3" t="s">
        <v>363</v>
      </c>
      <c r="J40" s="3" t="s">
        <v>197</v>
      </c>
      <c r="K40" s="3">
        <f t="shared" si="0"/>
        <v>2020</v>
      </c>
      <c r="L40" s="3">
        <f>COUNTIF(K39:K56,2020)</f>
        <v>4</v>
      </c>
    </row>
    <row r="41" spans="1:12">
      <c r="A41" s="5">
        <v>20172395006</v>
      </c>
      <c r="B41" s="5" t="s">
        <v>364</v>
      </c>
      <c r="C41" s="5">
        <v>53014101</v>
      </c>
      <c r="D41" s="6">
        <v>44161</v>
      </c>
      <c r="E41" s="5">
        <v>22081</v>
      </c>
      <c r="F41" s="5">
        <v>21</v>
      </c>
      <c r="G41" s="5">
        <v>130</v>
      </c>
      <c r="H41" s="5" t="s">
        <v>365</v>
      </c>
      <c r="I41" s="5" t="s">
        <v>366</v>
      </c>
      <c r="J41" s="5" t="s">
        <v>367</v>
      </c>
      <c r="K41" s="3">
        <f t="shared" si="0"/>
        <v>2020</v>
      </c>
      <c r="L41" s="5"/>
    </row>
    <row r="42" spans="1:12">
      <c r="A42" s="3">
        <v>20171395005</v>
      </c>
      <c r="B42" s="3" t="s">
        <v>368</v>
      </c>
      <c r="C42" s="3">
        <v>1002021534</v>
      </c>
      <c r="D42" s="4">
        <v>44118</v>
      </c>
      <c r="E42" s="3">
        <v>21971</v>
      </c>
      <c r="F42" s="3">
        <v>21</v>
      </c>
      <c r="G42" s="3">
        <v>112</v>
      </c>
      <c r="H42" s="3" t="s">
        <v>369</v>
      </c>
      <c r="I42" s="3" t="s">
        <v>370</v>
      </c>
      <c r="J42" s="3" t="s">
        <v>79</v>
      </c>
      <c r="K42" s="3">
        <f t="shared" si="0"/>
        <v>2020</v>
      </c>
      <c r="L42" s="3"/>
    </row>
    <row r="43" spans="1:12">
      <c r="A43" s="5">
        <v>20172395020</v>
      </c>
      <c r="B43" s="5" t="s">
        <v>371</v>
      </c>
      <c r="C43" s="5">
        <v>1018442787</v>
      </c>
      <c r="D43" s="6">
        <v>43994</v>
      </c>
      <c r="E43" s="5">
        <v>21534</v>
      </c>
      <c r="F43" s="5">
        <v>21</v>
      </c>
      <c r="G43" s="5">
        <v>39</v>
      </c>
      <c r="H43" s="5" t="s">
        <v>372</v>
      </c>
      <c r="I43" s="5" t="s">
        <v>373</v>
      </c>
      <c r="J43" s="5" t="s">
        <v>146</v>
      </c>
      <c r="K43" s="3">
        <f t="shared" si="0"/>
        <v>2020</v>
      </c>
      <c r="L43" s="5"/>
    </row>
    <row r="44" spans="1:12">
      <c r="A44" s="3">
        <v>20121395004</v>
      </c>
      <c r="B44" s="3" t="s">
        <v>374</v>
      </c>
      <c r="C44" s="3">
        <v>52884117</v>
      </c>
      <c r="D44" s="4">
        <v>43728</v>
      </c>
      <c r="E44" s="3">
        <v>20877</v>
      </c>
      <c r="F44" s="3">
        <v>20</v>
      </c>
      <c r="G44" s="3">
        <v>117</v>
      </c>
      <c r="H44" s="3" t="s">
        <v>375</v>
      </c>
      <c r="I44" s="3" t="s">
        <v>376</v>
      </c>
      <c r="J44" s="3" t="s">
        <v>307</v>
      </c>
      <c r="K44" s="3">
        <f t="shared" si="0"/>
        <v>2019</v>
      </c>
      <c r="L44" s="3">
        <f>COUNTIF(K43:K60,2019)</f>
        <v>3</v>
      </c>
    </row>
    <row r="45" spans="1:12">
      <c r="A45" s="5">
        <v>20142395004</v>
      </c>
      <c r="B45" s="5" t="s">
        <v>377</v>
      </c>
      <c r="C45" s="5">
        <v>80896709</v>
      </c>
      <c r="D45" s="6">
        <v>43728</v>
      </c>
      <c r="E45" s="5">
        <v>20878</v>
      </c>
      <c r="F45" s="5">
        <v>20</v>
      </c>
      <c r="G45" s="5">
        <v>117</v>
      </c>
      <c r="H45" s="5" t="s">
        <v>378</v>
      </c>
      <c r="I45" s="5" t="s">
        <v>379</v>
      </c>
      <c r="J45" s="5"/>
      <c r="K45" s="3">
        <f t="shared" si="0"/>
        <v>2019</v>
      </c>
      <c r="L45" s="5"/>
    </row>
    <row r="46" spans="1:12">
      <c r="A46" s="3">
        <v>20122395005</v>
      </c>
      <c r="B46" s="3" t="s">
        <v>380</v>
      </c>
      <c r="C46" s="3">
        <v>52379603</v>
      </c>
      <c r="D46" s="4">
        <v>43623</v>
      </c>
      <c r="E46" s="3">
        <v>20599</v>
      </c>
      <c r="F46" s="3">
        <v>20</v>
      </c>
      <c r="G46" s="3">
        <v>70</v>
      </c>
      <c r="H46" s="3" t="s">
        <v>381</v>
      </c>
      <c r="I46" s="3" t="s">
        <v>382</v>
      </c>
      <c r="J46" s="3" t="s">
        <v>150</v>
      </c>
      <c r="K46" s="3">
        <f t="shared" si="0"/>
        <v>2019</v>
      </c>
      <c r="L46" s="3"/>
    </row>
    <row r="47" spans="1:12">
      <c r="A47" s="3">
        <v>20151295009</v>
      </c>
      <c r="B47" s="3" t="s">
        <v>383</v>
      </c>
      <c r="C47" s="3">
        <v>1070951512</v>
      </c>
      <c r="D47" s="4">
        <v>43441</v>
      </c>
      <c r="E47" s="3">
        <v>20090</v>
      </c>
      <c r="F47" s="3"/>
      <c r="G47" s="3">
        <v>190</v>
      </c>
      <c r="H47" s="3" t="s">
        <v>384</v>
      </c>
      <c r="I47" s="3" t="s">
        <v>385</v>
      </c>
      <c r="J47" s="3" t="s">
        <v>386</v>
      </c>
      <c r="K47" s="3">
        <f t="shared" si="0"/>
        <v>2018</v>
      </c>
      <c r="L47" s="3">
        <f>COUNTIF(K46:K63,2018)</f>
        <v>8</v>
      </c>
    </row>
    <row r="48" spans="1:12">
      <c r="A48" s="5">
        <v>20122395006</v>
      </c>
      <c r="B48" s="5" t="s">
        <v>387</v>
      </c>
      <c r="C48" s="5">
        <v>1026274281</v>
      </c>
      <c r="D48" s="6">
        <v>43357</v>
      </c>
      <c r="E48" s="5">
        <v>19699</v>
      </c>
      <c r="F48" s="5">
        <v>19</v>
      </c>
      <c r="G48" s="5">
        <v>125</v>
      </c>
      <c r="H48" s="5" t="s">
        <v>388</v>
      </c>
      <c r="I48" s="5" t="s">
        <v>389</v>
      </c>
      <c r="J48" s="5" t="s">
        <v>390</v>
      </c>
      <c r="K48" s="3">
        <f t="shared" si="0"/>
        <v>2018</v>
      </c>
      <c r="L48" s="5"/>
    </row>
    <row r="49" spans="1:12">
      <c r="A49" s="3">
        <v>20121395003</v>
      </c>
      <c r="B49" s="3" t="s">
        <v>391</v>
      </c>
      <c r="C49" s="3">
        <v>80202521</v>
      </c>
      <c r="D49" s="4">
        <v>43259</v>
      </c>
      <c r="E49" s="3">
        <v>19526</v>
      </c>
      <c r="F49" s="3">
        <v>19</v>
      </c>
      <c r="G49" s="3">
        <v>96</v>
      </c>
      <c r="H49" s="3" t="s">
        <v>392</v>
      </c>
      <c r="I49" s="3" t="s">
        <v>393</v>
      </c>
      <c r="J49" s="3" t="s">
        <v>386</v>
      </c>
      <c r="K49" s="3">
        <f t="shared" si="0"/>
        <v>2018</v>
      </c>
      <c r="L49" s="3"/>
    </row>
    <row r="50" spans="1:12">
      <c r="A50" s="5">
        <v>20122395007</v>
      </c>
      <c r="B50" s="5" t="s">
        <v>394</v>
      </c>
      <c r="C50" s="5">
        <v>79754586</v>
      </c>
      <c r="D50" s="6">
        <v>43203</v>
      </c>
      <c r="E50" s="5">
        <v>19398</v>
      </c>
      <c r="F50" s="5">
        <v>19</v>
      </c>
      <c r="G50" s="5">
        <v>75</v>
      </c>
      <c r="H50" s="5" t="s">
        <v>395</v>
      </c>
      <c r="I50" s="5" t="s">
        <v>396</v>
      </c>
      <c r="J50" s="5" t="s">
        <v>397</v>
      </c>
      <c r="K50" s="3">
        <f t="shared" si="0"/>
        <v>2018</v>
      </c>
      <c r="L50" s="5"/>
    </row>
    <row r="51" spans="1:12">
      <c r="A51" s="3">
        <v>20121395014</v>
      </c>
      <c r="B51" s="3" t="s">
        <v>398</v>
      </c>
      <c r="C51" s="3">
        <v>53107576</v>
      </c>
      <c r="D51" s="4">
        <v>43182</v>
      </c>
      <c r="E51" s="3">
        <v>19173</v>
      </c>
      <c r="F51" s="3">
        <v>19</v>
      </c>
      <c r="G51" s="3">
        <v>37</v>
      </c>
      <c r="H51" s="3" t="s">
        <v>399</v>
      </c>
      <c r="I51" s="3" t="s">
        <v>400</v>
      </c>
      <c r="J51" s="3" t="s">
        <v>401</v>
      </c>
      <c r="K51" s="3">
        <f t="shared" si="0"/>
        <v>2018</v>
      </c>
      <c r="L51" s="3"/>
    </row>
    <row r="52" spans="1:12">
      <c r="A52" s="5">
        <v>20131395002</v>
      </c>
      <c r="B52" s="5" t="s">
        <v>402</v>
      </c>
      <c r="C52" s="5">
        <v>75107270</v>
      </c>
      <c r="D52" s="6">
        <v>43182</v>
      </c>
      <c r="E52" s="5">
        <v>19163</v>
      </c>
      <c r="F52" s="5">
        <v>19</v>
      </c>
      <c r="G52" s="5">
        <v>35</v>
      </c>
      <c r="H52" s="5" t="s">
        <v>403</v>
      </c>
      <c r="I52" s="5" t="s">
        <v>404</v>
      </c>
      <c r="J52" s="5" t="s">
        <v>35</v>
      </c>
      <c r="K52" s="3">
        <f t="shared" si="0"/>
        <v>2018</v>
      </c>
      <c r="L52" s="5"/>
    </row>
    <row r="53" spans="1:12">
      <c r="A53" s="3">
        <v>20141395003</v>
      </c>
      <c r="B53" s="3" t="s">
        <v>405</v>
      </c>
      <c r="C53" s="3">
        <v>80075955</v>
      </c>
      <c r="D53" s="4">
        <v>43182</v>
      </c>
      <c r="E53" s="3">
        <v>19165</v>
      </c>
      <c r="F53" s="3">
        <v>19</v>
      </c>
      <c r="G53" s="3">
        <v>36</v>
      </c>
      <c r="H53" s="3" t="s">
        <v>406</v>
      </c>
      <c r="I53" s="3" t="s">
        <v>407</v>
      </c>
      <c r="J53" s="3" t="s">
        <v>290</v>
      </c>
      <c r="K53" s="3">
        <f t="shared" si="0"/>
        <v>2018</v>
      </c>
      <c r="L53" s="3"/>
    </row>
    <row r="54" spans="1:12">
      <c r="A54" s="5">
        <v>20162395002</v>
      </c>
      <c r="B54" s="5" t="s">
        <v>408</v>
      </c>
      <c r="C54" s="5">
        <v>1013648575</v>
      </c>
      <c r="D54" s="6">
        <v>43182</v>
      </c>
      <c r="E54" s="5">
        <v>19161</v>
      </c>
      <c r="F54" s="5">
        <v>19</v>
      </c>
      <c r="G54" s="5">
        <v>35</v>
      </c>
      <c r="H54" s="5" t="s">
        <v>409</v>
      </c>
      <c r="I54" s="5" t="s">
        <v>410</v>
      </c>
      <c r="J54" s="5" t="s">
        <v>208</v>
      </c>
      <c r="K54" s="3">
        <f t="shared" si="0"/>
        <v>2018</v>
      </c>
      <c r="L54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A7741-7C41-4DF8-AA71-6FD79036E946}">
  <dimension ref="A1:L42"/>
  <sheetViews>
    <sheetView topLeftCell="D19" workbookViewId="0">
      <selection activeCell="L43" sqref="L43"/>
    </sheetView>
  </sheetViews>
  <sheetFormatPr defaultColWidth="50.140625" defaultRowHeight="14.45"/>
  <cols>
    <col min="1" max="1" width="18.140625" bestFit="1" customWidth="1"/>
    <col min="2" max="2" width="42.42578125" bestFit="1" customWidth="1"/>
    <col min="3" max="3" width="13.42578125" bestFit="1" customWidth="1"/>
    <col min="4" max="4" width="15" bestFit="1" customWidth="1"/>
    <col min="5" max="5" width="6.42578125" bestFit="1" customWidth="1"/>
    <col min="6" max="7" width="7" bestFit="1" customWidth="1"/>
    <col min="8" max="8" width="10.85546875" bestFit="1" customWidth="1"/>
    <col min="9" max="9" width="33.5703125" bestFit="1" customWidth="1"/>
    <col min="10" max="10" width="11.42578125" bestFit="1" customWidth="1"/>
    <col min="11" max="11" width="10.42578125" bestFit="1" customWidth="1"/>
    <col min="12" max="12" width="14.5703125" bestFit="1" customWidth="1"/>
  </cols>
  <sheetData>
    <row r="1" spans="1:12" ht="15" thickBo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</row>
    <row r="2" spans="1:12">
      <c r="A2" s="7">
        <v>20151295006</v>
      </c>
      <c r="B2" s="7" t="s">
        <v>411</v>
      </c>
      <c r="C2" s="7">
        <v>1018449456</v>
      </c>
      <c r="D2" s="8">
        <v>45107</v>
      </c>
      <c r="E2" s="7">
        <v>24425</v>
      </c>
      <c r="F2" s="7">
        <v>24</v>
      </c>
      <c r="G2" s="7">
        <v>75</v>
      </c>
      <c r="H2" s="7" t="s">
        <v>412</v>
      </c>
      <c r="I2" s="7" t="s">
        <v>413</v>
      </c>
      <c r="J2" s="7" t="s">
        <v>414</v>
      </c>
      <c r="K2" s="3">
        <f>YEAR(D2)</f>
        <v>2023</v>
      </c>
      <c r="L2" s="3">
        <f>COUNTIF(K2:K14,2023)</f>
        <v>13</v>
      </c>
    </row>
    <row r="3" spans="1:12">
      <c r="A3" s="10">
        <v>20161495001</v>
      </c>
      <c r="B3" s="10" t="s">
        <v>415</v>
      </c>
      <c r="C3" s="10">
        <v>80747472</v>
      </c>
      <c r="D3" s="11">
        <v>45107</v>
      </c>
      <c r="E3" s="10">
        <v>24420</v>
      </c>
      <c r="F3" s="10">
        <v>24</v>
      </c>
      <c r="G3" s="10">
        <v>74</v>
      </c>
      <c r="H3" s="10" t="s">
        <v>416</v>
      </c>
      <c r="I3" s="10" t="s">
        <v>417</v>
      </c>
      <c r="J3" s="10" t="s">
        <v>218</v>
      </c>
      <c r="K3" s="3">
        <f t="shared" ref="K3:K42" si="0">YEAR(D3)</f>
        <v>2023</v>
      </c>
      <c r="L3" s="10"/>
    </row>
    <row r="4" spans="1:12">
      <c r="A4" s="7">
        <v>20161495023</v>
      </c>
      <c r="B4" s="7" t="s">
        <v>418</v>
      </c>
      <c r="C4" s="7">
        <v>1032373444</v>
      </c>
      <c r="D4" s="8">
        <v>45107</v>
      </c>
      <c r="E4" s="7">
        <v>24429</v>
      </c>
      <c r="F4" s="7">
        <v>24</v>
      </c>
      <c r="G4" s="7">
        <v>76</v>
      </c>
      <c r="H4" s="7" t="s">
        <v>419</v>
      </c>
      <c r="I4" s="7" t="s">
        <v>420</v>
      </c>
      <c r="J4" s="7" t="s">
        <v>116</v>
      </c>
      <c r="K4" s="3">
        <f t="shared" si="0"/>
        <v>2023</v>
      </c>
      <c r="L4" s="7"/>
    </row>
    <row r="5" spans="1:12">
      <c r="A5" s="10">
        <v>20162495019</v>
      </c>
      <c r="B5" s="10" t="s">
        <v>421</v>
      </c>
      <c r="C5" s="10">
        <v>53047662</v>
      </c>
      <c r="D5" s="11">
        <v>45107</v>
      </c>
      <c r="E5" s="10">
        <v>24428</v>
      </c>
      <c r="F5" s="10">
        <v>24</v>
      </c>
      <c r="G5" s="10">
        <v>76</v>
      </c>
      <c r="H5" s="10" t="s">
        <v>422</v>
      </c>
      <c r="I5" s="10" t="s">
        <v>423</v>
      </c>
      <c r="J5" s="10" t="s">
        <v>55</v>
      </c>
      <c r="K5" s="3">
        <f t="shared" si="0"/>
        <v>2023</v>
      </c>
      <c r="L5" s="10"/>
    </row>
    <row r="6" spans="1:12">
      <c r="A6" s="7">
        <v>20182495005</v>
      </c>
      <c r="B6" s="7" t="s">
        <v>424</v>
      </c>
      <c r="C6" s="7">
        <v>81754742</v>
      </c>
      <c r="D6" s="8">
        <v>45107</v>
      </c>
      <c r="E6" s="7">
        <v>24421</v>
      </c>
      <c r="F6" s="7">
        <v>24</v>
      </c>
      <c r="G6" s="7">
        <v>74</v>
      </c>
      <c r="H6" s="7" t="s">
        <v>425</v>
      </c>
      <c r="I6" s="7" t="s">
        <v>426</v>
      </c>
      <c r="J6" s="7" t="s">
        <v>39</v>
      </c>
      <c r="K6" s="3">
        <f t="shared" si="0"/>
        <v>2023</v>
      </c>
      <c r="L6" s="7"/>
    </row>
    <row r="7" spans="1:12">
      <c r="A7" s="10">
        <v>20211495004</v>
      </c>
      <c r="B7" s="10" t="s">
        <v>427</v>
      </c>
      <c r="C7" s="10">
        <v>1030649042</v>
      </c>
      <c r="D7" s="11">
        <v>45107</v>
      </c>
      <c r="E7" s="10">
        <v>24423</v>
      </c>
      <c r="F7" s="10">
        <v>24</v>
      </c>
      <c r="G7" s="10">
        <v>75</v>
      </c>
      <c r="H7" s="10" t="s">
        <v>428</v>
      </c>
      <c r="I7" s="10" t="s">
        <v>429</v>
      </c>
      <c r="J7" s="10" t="s">
        <v>430</v>
      </c>
      <c r="K7" s="3">
        <f t="shared" si="0"/>
        <v>2023</v>
      </c>
      <c r="L7" s="10"/>
    </row>
    <row r="8" spans="1:12">
      <c r="A8" s="7">
        <v>20211495010</v>
      </c>
      <c r="B8" s="7" t="s">
        <v>431</v>
      </c>
      <c r="C8" s="7">
        <v>1022435418</v>
      </c>
      <c r="D8" s="8">
        <v>45107</v>
      </c>
      <c r="E8" s="7">
        <v>24426</v>
      </c>
      <c r="F8" s="7">
        <v>24</v>
      </c>
      <c r="G8" s="7">
        <v>75</v>
      </c>
      <c r="H8" s="7" t="s">
        <v>432</v>
      </c>
      <c r="I8" s="7" t="s">
        <v>433</v>
      </c>
      <c r="J8" s="7" t="s">
        <v>434</v>
      </c>
      <c r="K8" s="3">
        <f t="shared" si="0"/>
        <v>2023</v>
      </c>
      <c r="L8" s="7"/>
    </row>
    <row r="9" spans="1:12">
      <c r="A9" s="10">
        <v>20161495016</v>
      </c>
      <c r="B9" s="10" t="s">
        <v>435</v>
      </c>
      <c r="C9" s="10">
        <v>1018413339</v>
      </c>
      <c r="D9" s="11">
        <v>45016</v>
      </c>
      <c r="E9" s="10">
        <v>24222</v>
      </c>
      <c r="F9" s="10">
        <v>24</v>
      </c>
      <c r="G9" s="10">
        <v>41</v>
      </c>
      <c r="H9" s="10" t="s">
        <v>436</v>
      </c>
      <c r="I9" s="10" t="s">
        <v>437</v>
      </c>
      <c r="J9" s="10" t="s">
        <v>357</v>
      </c>
      <c r="K9" s="3">
        <f t="shared" si="0"/>
        <v>2023</v>
      </c>
      <c r="L9" s="10"/>
    </row>
    <row r="10" spans="1:12">
      <c r="A10" s="7">
        <v>20171495015</v>
      </c>
      <c r="B10" s="7" t="s">
        <v>438</v>
      </c>
      <c r="C10" s="7">
        <v>80111613</v>
      </c>
      <c r="D10" s="8">
        <v>45016</v>
      </c>
      <c r="E10" s="7">
        <v>24221</v>
      </c>
      <c r="F10" s="7">
        <v>24</v>
      </c>
      <c r="G10" s="7">
        <v>41</v>
      </c>
      <c r="H10" s="7" t="s">
        <v>439</v>
      </c>
      <c r="I10" s="7" t="s">
        <v>440</v>
      </c>
      <c r="J10" s="7" t="s">
        <v>347</v>
      </c>
      <c r="K10" s="3">
        <f t="shared" si="0"/>
        <v>2023</v>
      </c>
      <c r="L10" s="7"/>
    </row>
    <row r="11" spans="1:12">
      <c r="A11" s="10">
        <v>20171495022</v>
      </c>
      <c r="B11" s="10" t="s">
        <v>441</v>
      </c>
      <c r="C11" s="10">
        <v>1032390922</v>
      </c>
      <c r="D11" s="11">
        <v>45016</v>
      </c>
      <c r="E11" s="10">
        <v>24224</v>
      </c>
      <c r="F11" s="10">
        <v>24</v>
      </c>
      <c r="G11" s="10">
        <v>42</v>
      </c>
      <c r="H11" s="10" t="s">
        <v>442</v>
      </c>
      <c r="I11" s="10" t="s">
        <v>443</v>
      </c>
      <c r="J11" s="10" t="s">
        <v>444</v>
      </c>
      <c r="K11" s="3">
        <f t="shared" si="0"/>
        <v>2023</v>
      </c>
      <c r="L11" s="10"/>
    </row>
    <row r="12" spans="1:12">
      <c r="A12" s="7">
        <v>20191495023</v>
      </c>
      <c r="B12" s="7" t="s">
        <v>445</v>
      </c>
      <c r="C12" s="7">
        <v>1015999367</v>
      </c>
      <c r="D12" s="8">
        <v>45016</v>
      </c>
      <c r="E12" s="7">
        <v>24223</v>
      </c>
      <c r="F12" s="7">
        <v>24</v>
      </c>
      <c r="G12" s="7">
        <v>41</v>
      </c>
      <c r="H12" s="7" t="s">
        <v>446</v>
      </c>
      <c r="I12" s="7" t="s">
        <v>447</v>
      </c>
      <c r="J12" s="7" t="s">
        <v>132</v>
      </c>
      <c r="K12" s="3">
        <f t="shared" si="0"/>
        <v>2023</v>
      </c>
      <c r="L12" s="7"/>
    </row>
    <row r="13" spans="1:12">
      <c r="A13" s="10">
        <v>20211495013</v>
      </c>
      <c r="B13" s="10" t="s">
        <v>448</v>
      </c>
      <c r="C13" s="10">
        <v>1016098293</v>
      </c>
      <c r="D13" s="11">
        <v>44973</v>
      </c>
      <c r="E13" s="10">
        <v>23962</v>
      </c>
      <c r="F13" s="10">
        <v>24</v>
      </c>
      <c r="G13" s="10">
        <v>1</v>
      </c>
      <c r="H13" s="10" t="s">
        <v>449</v>
      </c>
      <c r="I13" s="10" t="s">
        <v>450</v>
      </c>
      <c r="J13" s="10" t="s">
        <v>266</v>
      </c>
      <c r="K13" s="3">
        <f t="shared" si="0"/>
        <v>2023</v>
      </c>
      <c r="L13" s="10"/>
    </row>
    <row r="14" spans="1:12">
      <c r="A14" s="7">
        <v>20212395003</v>
      </c>
      <c r="B14" s="7" t="s">
        <v>451</v>
      </c>
      <c r="C14" s="7">
        <v>1035420008</v>
      </c>
      <c r="D14" s="8">
        <v>44973</v>
      </c>
      <c r="E14" s="7">
        <v>23963</v>
      </c>
      <c r="F14" s="7">
        <v>24</v>
      </c>
      <c r="G14" s="7">
        <v>1</v>
      </c>
      <c r="H14" s="7" t="s">
        <v>452</v>
      </c>
      <c r="I14" s="7" t="s">
        <v>453</v>
      </c>
      <c r="J14" s="7" t="s">
        <v>252</v>
      </c>
      <c r="K14" s="3">
        <f t="shared" si="0"/>
        <v>2023</v>
      </c>
      <c r="L14" s="7"/>
    </row>
    <row r="15" spans="1:12">
      <c r="A15" s="7">
        <v>20152495001</v>
      </c>
      <c r="B15" s="7" t="s">
        <v>454</v>
      </c>
      <c r="C15" s="7">
        <v>79498689</v>
      </c>
      <c r="D15" s="8">
        <v>44911</v>
      </c>
      <c r="E15" s="7">
        <v>23950</v>
      </c>
      <c r="F15" s="7">
        <v>23</v>
      </c>
      <c r="G15" s="7">
        <v>153</v>
      </c>
      <c r="H15" s="7" t="s">
        <v>455</v>
      </c>
      <c r="I15" s="7" t="s">
        <v>456</v>
      </c>
      <c r="J15" s="7" t="s">
        <v>132</v>
      </c>
      <c r="K15" s="3">
        <f t="shared" si="0"/>
        <v>2022</v>
      </c>
      <c r="L15" s="3">
        <f>COUNTIF(K15:K27,2022)</f>
        <v>10</v>
      </c>
    </row>
    <row r="16" spans="1:12">
      <c r="A16" s="10">
        <v>20162495017</v>
      </c>
      <c r="B16" s="10" t="s">
        <v>457</v>
      </c>
      <c r="C16" s="10">
        <v>1032417886</v>
      </c>
      <c r="D16" s="11">
        <v>44911</v>
      </c>
      <c r="E16" s="10">
        <v>23952</v>
      </c>
      <c r="F16" s="10">
        <v>23</v>
      </c>
      <c r="G16" s="10">
        <v>153</v>
      </c>
      <c r="H16" s="10" t="s">
        <v>458</v>
      </c>
      <c r="I16" s="10" t="s">
        <v>459</v>
      </c>
      <c r="J16" s="10" t="s">
        <v>162</v>
      </c>
      <c r="K16" s="3">
        <f t="shared" si="0"/>
        <v>2022</v>
      </c>
      <c r="L16" s="10"/>
    </row>
    <row r="17" spans="1:12">
      <c r="A17" s="7">
        <v>20192495007</v>
      </c>
      <c r="B17" s="7" t="s">
        <v>460</v>
      </c>
      <c r="C17" s="7">
        <v>1013673538</v>
      </c>
      <c r="D17" s="8">
        <v>44911</v>
      </c>
      <c r="E17" s="7">
        <v>23951</v>
      </c>
      <c r="F17" s="7">
        <v>23</v>
      </c>
      <c r="G17" s="7">
        <v>153</v>
      </c>
      <c r="H17" s="7" t="s">
        <v>461</v>
      </c>
      <c r="I17" s="7" t="s">
        <v>462</v>
      </c>
      <c r="J17" s="7" t="s">
        <v>67</v>
      </c>
      <c r="K17" s="3">
        <f t="shared" si="0"/>
        <v>2022</v>
      </c>
      <c r="L17" s="7"/>
    </row>
    <row r="18" spans="1:12">
      <c r="A18" s="10">
        <v>20192495006</v>
      </c>
      <c r="B18" s="10" t="s">
        <v>463</v>
      </c>
      <c r="C18" s="10">
        <v>1032479265</v>
      </c>
      <c r="D18" s="11">
        <v>44827</v>
      </c>
      <c r="E18" s="10">
        <v>23779</v>
      </c>
      <c r="F18" s="10">
        <v>23</v>
      </c>
      <c r="G18" s="10">
        <v>124</v>
      </c>
      <c r="H18" s="10" t="s">
        <v>464</v>
      </c>
      <c r="I18" s="10" t="s">
        <v>465</v>
      </c>
      <c r="J18" s="10" t="s">
        <v>466</v>
      </c>
      <c r="K18" s="3">
        <f t="shared" si="0"/>
        <v>2022</v>
      </c>
      <c r="L18" s="10"/>
    </row>
    <row r="19" spans="1:12">
      <c r="A19" s="7">
        <v>20192495014</v>
      </c>
      <c r="B19" s="7" t="s">
        <v>467</v>
      </c>
      <c r="C19" s="7">
        <v>1023948001</v>
      </c>
      <c r="D19" s="8">
        <v>44827</v>
      </c>
      <c r="E19" s="7">
        <v>23773</v>
      </c>
      <c r="F19" s="7">
        <v>23</v>
      </c>
      <c r="G19" s="7">
        <v>123</v>
      </c>
      <c r="H19" s="7" t="s">
        <v>468</v>
      </c>
      <c r="I19" s="7" t="s">
        <v>469</v>
      </c>
      <c r="J19" s="7" t="s">
        <v>470</v>
      </c>
      <c r="K19" s="3">
        <f t="shared" si="0"/>
        <v>2022</v>
      </c>
      <c r="L19" s="7"/>
    </row>
    <row r="20" spans="1:12">
      <c r="A20" s="10">
        <v>20162495008</v>
      </c>
      <c r="B20" s="10" t="s">
        <v>471</v>
      </c>
      <c r="C20" s="10">
        <v>52859033</v>
      </c>
      <c r="D20" s="11">
        <v>44736</v>
      </c>
      <c r="E20" s="10">
        <v>23457</v>
      </c>
      <c r="F20" s="10">
        <v>23</v>
      </c>
      <c r="G20" s="10">
        <v>70</v>
      </c>
      <c r="H20" s="10" t="s">
        <v>472</v>
      </c>
      <c r="I20" s="10" t="s">
        <v>473</v>
      </c>
      <c r="J20" s="10" t="s">
        <v>59</v>
      </c>
      <c r="K20" s="3">
        <f t="shared" si="0"/>
        <v>2022</v>
      </c>
      <c r="L20" s="10"/>
    </row>
    <row r="21" spans="1:12">
      <c r="A21" s="7">
        <v>20191495029</v>
      </c>
      <c r="B21" s="7" t="s">
        <v>474</v>
      </c>
      <c r="C21" s="7">
        <v>79810570</v>
      </c>
      <c r="D21" s="8">
        <v>44736</v>
      </c>
      <c r="E21" s="7">
        <v>23464</v>
      </c>
      <c r="F21" s="7">
        <v>23</v>
      </c>
      <c r="G21" s="7">
        <v>71</v>
      </c>
      <c r="H21" s="7" t="s">
        <v>475</v>
      </c>
      <c r="I21" s="7" t="s">
        <v>476</v>
      </c>
      <c r="J21" s="7" t="s">
        <v>334</v>
      </c>
      <c r="K21" s="3">
        <f t="shared" si="0"/>
        <v>2022</v>
      </c>
      <c r="L21" s="7"/>
    </row>
    <row r="22" spans="1:12">
      <c r="A22" s="10">
        <v>20202495012</v>
      </c>
      <c r="B22" s="10" t="s">
        <v>477</v>
      </c>
      <c r="C22" s="10">
        <v>1016103685</v>
      </c>
      <c r="D22" s="11">
        <v>44736</v>
      </c>
      <c r="E22" s="10">
        <v>23458</v>
      </c>
      <c r="F22" s="10">
        <v>23</v>
      </c>
      <c r="G22" s="10">
        <v>70</v>
      </c>
      <c r="H22" s="10" t="s">
        <v>478</v>
      </c>
      <c r="I22" s="10" t="s">
        <v>479</v>
      </c>
      <c r="J22" s="10" t="s">
        <v>480</v>
      </c>
      <c r="K22" s="3">
        <f t="shared" si="0"/>
        <v>2022</v>
      </c>
      <c r="L22" s="10"/>
    </row>
    <row r="23" spans="1:12">
      <c r="A23" s="7">
        <v>20171495001</v>
      </c>
      <c r="B23" s="7" t="s">
        <v>481</v>
      </c>
      <c r="C23" s="7">
        <v>80124664</v>
      </c>
      <c r="D23" s="8">
        <v>44638</v>
      </c>
      <c r="E23" s="7">
        <v>23266</v>
      </c>
      <c r="F23" s="7">
        <v>23</v>
      </c>
      <c r="G23" s="7">
        <v>38</v>
      </c>
      <c r="H23" s="7" t="s">
        <v>482</v>
      </c>
      <c r="I23" s="7" t="s">
        <v>483</v>
      </c>
      <c r="J23" s="7" t="s">
        <v>27</v>
      </c>
      <c r="K23" s="3">
        <f t="shared" si="0"/>
        <v>2022</v>
      </c>
      <c r="L23" s="7"/>
    </row>
    <row r="24" spans="1:12">
      <c r="A24" s="10">
        <v>20202495019</v>
      </c>
      <c r="B24" s="10" t="s">
        <v>484</v>
      </c>
      <c r="C24" s="10">
        <v>1026591661</v>
      </c>
      <c r="D24" s="11">
        <v>44638</v>
      </c>
      <c r="E24" s="10">
        <v>23270</v>
      </c>
      <c r="F24" s="10">
        <v>23</v>
      </c>
      <c r="G24" s="10">
        <v>39</v>
      </c>
      <c r="H24" s="10" t="s">
        <v>485</v>
      </c>
      <c r="I24" s="10" t="s">
        <v>486</v>
      </c>
      <c r="J24" s="10" t="s">
        <v>487</v>
      </c>
      <c r="K24" s="3">
        <f t="shared" si="0"/>
        <v>2022</v>
      </c>
      <c r="L24" s="10"/>
    </row>
    <row r="25" spans="1:12">
      <c r="A25" s="7">
        <v>20152495003</v>
      </c>
      <c r="B25" s="7" t="s">
        <v>488</v>
      </c>
      <c r="C25" s="7">
        <v>1018441667</v>
      </c>
      <c r="D25" s="8">
        <v>44552</v>
      </c>
      <c r="E25" s="7">
        <v>23028</v>
      </c>
      <c r="F25" s="7">
        <v>22</v>
      </c>
      <c r="G25" s="7">
        <v>145</v>
      </c>
      <c r="H25" s="7" t="s">
        <v>489</v>
      </c>
      <c r="I25" s="7" t="s">
        <v>490</v>
      </c>
      <c r="J25" s="7" t="s">
        <v>218</v>
      </c>
      <c r="K25" s="3">
        <f t="shared" si="0"/>
        <v>2021</v>
      </c>
      <c r="L25" s="3">
        <f>COUNTIF(K25:K37,2021)</f>
        <v>10</v>
      </c>
    </row>
    <row r="26" spans="1:12">
      <c r="A26" s="10">
        <v>20161495003</v>
      </c>
      <c r="B26" s="10" t="s">
        <v>491</v>
      </c>
      <c r="C26" s="10">
        <v>80730767</v>
      </c>
      <c r="D26" s="11">
        <v>44552</v>
      </c>
      <c r="E26" s="10">
        <v>23029</v>
      </c>
      <c r="F26" s="10">
        <v>22</v>
      </c>
      <c r="G26" s="10">
        <v>145</v>
      </c>
      <c r="H26" s="10" t="s">
        <v>492</v>
      </c>
      <c r="I26" s="10" t="s">
        <v>493</v>
      </c>
      <c r="J26" s="10" t="s">
        <v>266</v>
      </c>
      <c r="K26" s="3">
        <f t="shared" si="0"/>
        <v>2021</v>
      </c>
      <c r="L26" s="10"/>
    </row>
    <row r="27" spans="1:12">
      <c r="A27" s="7">
        <v>20171495018</v>
      </c>
      <c r="B27" s="7" t="s">
        <v>494</v>
      </c>
      <c r="C27" s="7">
        <v>11233164</v>
      </c>
      <c r="D27" s="8">
        <v>44524</v>
      </c>
      <c r="E27" s="7">
        <v>22956</v>
      </c>
      <c r="F27" s="7">
        <v>22</v>
      </c>
      <c r="G27" s="7">
        <v>133</v>
      </c>
      <c r="H27" s="7" t="s">
        <v>495</v>
      </c>
      <c r="I27" s="7" t="s">
        <v>496</v>
      </c>
      <c r="J27" s="7" t="s">
        <v>497</v>
      </c>
      <c r="K27" s="3">
        <f t="shared" si="0"/>
        <v>2021</v>
      </c>
      <c r="L27" s="7"/>
    </row>
    <row r="28" spans="1:12">
      <c r="A28" s="10">
        <v>20181495005</v>
      </c>
      <c r="B28" s="10" t="s">
        <v>498</v>
      </c>
      <c r="C28" s="10">
        <v>80813753</v>
      </c>
      <c r="D28" s="11">
        <v>44484</v>
      </c>
      <c r="E28" s="10">
        <v>22851</v>
      </c>
      <c r="F28" s="10">
        <v>22</v>
      </c>
      <c r="G28" s="10">
        <v>115</v>
      </c>
      <c r="H28" s="10" t="s">
        <v>499</v>
      </c>
      <c r="I28" s="10" t="s">
        <v>500</v>
      </c>
      <c r="J28" s="10" t="s">
        <v>15</v>
      </c>
      <c r="K28" s="3">
        <f t="shared" si="0"/>
        <v>2021</v>
      </c>
      <c r="L28" s="10"/>
    </row>
    <row r="29" spans="1:12">
      <c r="A29" s="7">
        <v>20192495002</v>
      </c>
      <c r="B29" s="7" t="s">
        <v>501</v>
      </c>
      <c r="C29" s="7">
        <v>1013610921</v>
      </c>
      <c r="D29" s="8">
        <v>44484</v>
      </c>
      <c r="E29" s="7">
        <v>22850</v>
      </c>
      <c r="F29" s="7">
        <v>22</v>
      </c>
      <c r="G29" s="7">
        <v>115</v>
      </c>
      <c r="H29" s="7" t="s">
        <v>502</v>
      </c>
      <c r="I29" s="7" t="s">
        <v>503</v>
      </c>
      <c r="J29" s="7" t="s">
        <v>252</v>
      </c>
      <c r="K29" s="3">
        <f t="shared" si="0"/>
        <v>2021</v>
      </c>
      <c r="L29" s="7"/>
    </row>
    <row r="30" spans="1:12">
      <c r="A30" s="10">
        <v>20161495011</v>
      </c>
      <c r="B30" s="10" t="s">
        <v>504</v>
      </c>
      <c r="C30" s="10">
        <v>1018442453</v>
      </c>
      <c r="D30" s="11">
        <v>44428</v>
      </c>
      <c r="E30" s="10">
        <v>22698</v>
      </c>
      <c r="F30" s="10">
        <v>22</v>
      </c>
      <c r="G30" s="10">
        <v>90</v>
      </c>
      <c r="H30" s="10" t="s">
        <v>505</v>
      </c>
      <c r="I30" s="10" t="s">
        <v>506</v>
      </c>
      <c r="J30" s="10" t="s">
        <v>35</v>
      </c>
      <c r="K30" s="3">
        <f t="shared" si="0"/>
        <v>2021</v>
      </c>
      <c r="L30" s="10"/>
    </row>
    <row r="31" spans="1:12">
      <c r="A31" s="7">
        <v>20171495011</v>
      </c>
      <c r="B31" s="7" t="s">
        <v>507</v>
      </c>
      <c r="C31" s="7">
        <v>79221631</v>
      </c>
      <c r="D31" s="8">
        <v>44321</v>
      </c>
      <c r="E31" s="7">
        <v>22509</v>
      </c>
      <c r="F31" s="7">
        <v>22</v>
      </c>
      <c r="G31" s="7">
        <v>58</v>
      </c>
      <c r="H31" s="7" t="s">
        <v>508</v>
      </c>
      <c r="I31" s="7" t="s">
        <v>509</v>
      </c>
      <c r="J31" s="7" t="s">
        <v>146</v>
      </c>
      <c r="K31" s="3">
        <f t="shared" si="0"/>
        <v>2021</v>
      </c>
      <c r="L31" s="7"/>
    </row>
    <row r="32" spans="1:12">
      <c r="A32" s="10">
        <v>20191495016</v>
      </c>
      <c r="B32" s="10" t="s">
        <v>510</v>
      </c>
      <c r="C32" s="10">
        <v>1019112987</v>
      </c>
      <c r="D32" s="11">
        <v>44321</v>
      </c>
      <c r="E32" s="10">
        <v>22510</v>
      </c>
      <c r="F32" s="10">
        <v>22</v>
      </c>
      <c r="G32" s="10">
        <v>58</v>
      </c>
      <c r="H32" s="10" t="s">
        <v>511</v>
      </c>
      <c r="I32" s="10" t="s">
        <v>512</v>
      </c>
      <c r="J32" s="10" t="s">
        <v>116</v>
      </c>
      <c r="K32" s="3">
        <f t="shared" si="0"/>
        <v>2021</v>
      </c>
      <c r="L32" s="10"/>
    </row>
    <row r="33" spans="1:12">
      <c r="A33" s="7">
        <v>20152495008</v>
      </c>
      <c r="B33" s="7" t="s">
        <v>513</v>
      </c>
      <c r="C33" s="7">
        <v>1032437478</v>
      </c>
      <c r="D33" s="8">
        <v>44292</v>
      </c>
      <c r="E33" s="7">
        <v>22422</v>
      </c>
      <c r="F33" s="7">
        <v>22</v>
      </c>
      <c r="G33" s="7">
        <v>44</v>
      </c>
      <c r="H33" s="7" t="s">
        <v>514</v>
      </c>
      <c r="I33" s="7" t="s">
        <v>515</v>
      </c>
      <c r="J33" s="7" t="s">
        <v>162</v>
      </c>
      <c r="K33" s="3">
        <f t="shared" si="0"/>
        <v>2021</v>
      </c>
      <c r="L33" s="7"/>
    </row>
    <row r="34" spans="1:12">
      <c r="A34" s="10">
        <v>20181495003</v>
      </c>
      <c r="B34" s="10" t="s">
        <v>516</v>
      </c>
      <c r="C34" s="10">
        <v>1018462268</v>
      </c>
      <c r="D34" s="11">
        <v>44292</v>
      </c>
      <c r="E34" s="10">
        <v>22419</v>
      </c>
      <c r="F34" s="10">
        <v>22</v>
      </c>
      <c r="G34" s="10">
        <v>43</v>
      </c>
      <c r="H34" s="10" t="s">
        <v>517</v>
      </c>
      <c r="I34" s="10" t="s">
        <v>518</v>
      </c>
      <c r="J34" s="10" t="s">
        <v>334</v>
      </c>
      <c r="K34" s="3">
        <f t="shared" si="0"/>
        <v>2021</v>
      </c>
      <c r="L34" s="10"/>
    </row>
    <row r="35" spans="1:12">
      <c r="A35" s="7">
        <v>20162495004</v>
      </c>
      <c r="B35" s="7" t="s">
        <v>519</v>
      </c>
      <c r="C35" s="7">
        <v>1012352548</v>
      </c>
      <c r="D35" s="8">
        <v>44174</v>
      </c>
      <c r="E35" s="7">
        <v>22133</v>
      </c>
      <c r="F35" s="7">
        <v>21</v>
      </c>
      <c r="G35" s="7">
        <v>139</v>
      </c>
      <c r="H35" s="7" t="s">
        <v>520</v>
      </c>
      <c r="I35" s="7" t="s">
        <v>521</v>
      </c>
      <c r="J35" s="7" t="s">
        <v>497</v>
      </c>
      <c r="K35" s="3">
        <f t="shared" si="0"/>
        <v>2020</v>
      </c>
      <c r="L35" s="3">
        <f>COUNTIF(K35:K47,2020)</f>
        <v>7</v>
      </c>
    </row>
    <row r="36" spans="1:12">
      <c r="A36" s="10">
        <v>20171495021</v>
      </c>
      <c r="B36" s="10" t="s">
        <v>522</v>
      </c>
      <c r="C36" s="10">
        <v>74085494</v>
      </c>
      <c r="D36" s="11">
        <v>44174</v>
      </c>
      <c r="E36" s="10">
        <v>22136</v>
      </c>
      <c r="F36" s="10">
        <v>21</v>
      </c>
      <c r="G36" s="10">
        <v>140</v>
      </c>
      <c r="H36" s="10" t="s">
        <v>523</v>
      </c>
      <c r="I36" s="10" t="s">
        <v>524</v>
      </c>
      <c r="J36" s="10" t="s">
        <v>128</v>
      </c>
      <c r="K36" s="3">
        <f t="shared" si="0"/>
        <v>2020</v>
      </c>
      <c r="L36" s="10"/>
    </row>
    <row r="37" spans="1:12">
      <c r="A37" s="7">
        <v>20152495002</v>
      </c>
      <c r="B37" s="7" t="s">
        <v>525</v>
      </c>
      <c r="C37" s="7">
        <v>79703994</v>
      </c>
      <c r="D37" s="8">
        <v>44161</v>
      </c>
      <c r="E37" s="7">
        <v>22080</v>
      </c>
      <c r="F37" s="7">
        <v>21</v>
      </c>
      <c r="G37" s="7">
        <v>130</v>
      </c>
      <c r="H37" s="7" t="s">
        <v>526</v>
      </c>
      <c r="I37" s="7" t="s">
        <v>527</v>
      </c>
      <c r="J37" s="7" t="s">
        <v>154</v>
      </c>
      <c r="K37" s="3">
        <f t="shared" si="0"/>
        <v>2020</v>
      </c>
      <c r="L37" s="7"/>
    </row>
    <row r="38" spans="1:12">
      <c r="A38" s="10">
        <v>20162495016</v>
      </c>
      <c r="B38" s="10" t="s">
        <v>528</v>
      </c>
      <c r="C38" s="10">
        <v>7170018</v>
      </c>
      <c r="D38" s="11">
        <v>44118</v>
      </c>
      <c r="E38" s="10">
        <v>112</v>
      </c>
      <c r="F38" s="10">
        <v>21</v>
      </c>
      <c r="G38" s="10">
        <v>112</v>
      </c>
      <c r="H38" s="10" t="s">
        <v>529</v>
      </c>
      <c r="I38" s="10" t="s">
        <v>530</v>
      </c>
      <c r="J38" s="10" t="s">
        <v>531</v>
      </c>
      <c r="K38" s="3">
        <f t="shared" si="0"/>
        <v>2020</v>
      </c>
      <c r="L38" s="10"/>
    </row>
    <row r="39" spans="1:12">
      <c r="A39" s="7">
        <v>20162495015</v>
      </c>
      <c r="B39" s="7" t="s">
        <v>532</v>
      </c>
      <c r="C39" s="7">
        <v>1014193564</v>
      </c>
      <c r="D39" s="8">
        <v>43966</v>
      </c>
      <c r="E39" s="7">
        <v>21451</v>
      </c>
      <c r="F39" s="7">
        <v>21</v>
      </c>
      <c r="G39" s="7">
        <v>25</v>
      </c>
      <c r="H39" s="7" t="s">
        <v>533</v>
      </c>
      <c r="I39" s="7" t="s">
        <v>534</v>
      </c>
      <c r="J39" s="7" t="s">
        <v>430</v>
      </c>
      <c r="K39" s="3">
        <f t="shared" si="0"/>
        <v>2020</v>
      </c>
      <c r="L39" s="7"/>
    </row>
    <row r="40" spans="1:12">
      <c r="A40" s="10">
        <v>20172495010</v>
      </c>
      <c r="B40" s="10" t="s">
        <v>535</v>
      </c>
      <c r="C40" s="10">
        <v>1031124274</v>
      </c>
      <c r="D40" s="11">
        <v>43966</v>
      </c>
      <c r="E40" s="10">
        <v>21450</v>
      </c>
      <c r="F40" s="10">
        <v>21</v>
      </c>
      <c r="G40" s="10">
        <v>25</v>
      </c>
      <c r="H40" s="10" t="s">
        <v>536</v>
      </c>
      <c r="I40" s="10" t="s">
        <v>537</v>
      </c>
      <c r="J40" s="10" t="s">
        <v>15</v>
      </c>
      <c r="K40" s="3">
        <f t="shared" si="0"/>
        <v>2020</v>
      </c>
      <c r="L40" s="10"/>
    </row>
    <row r="41" spans="1:12">
      <c r="A41" s="7">
        <v>20172495015</v>
      </c>
      <c r="B41" s="7" t="s">
        <v>538</v>
      </c>
      <c r="C41" s="7">
        <v>1030603923</v>
      </c>
      <c r="D41" s="8">
        <v>43966</v>
      </c>
      <c r="E41" s="7">
        <v>21452</v>
      </c>
      <c r="F41" s="7">
        <v>21</v>
      </c>
      <c r="G41" s="7">
        <v>26</v>
      </c>
      <c r="H41" s="7" t="s">
        <v>539</v>
      </c>
      <c r="I41" s="7" t="s">
        <v>540</v>
      </c>
      <c r="J41" s="7" t="s">
        <v>132</v>
      </c>
      <c r="K41" s="3">
        <f t="shared" si="0"/>
        <v>2020</v>
      </c>
      <c r="L41" s="7"/>
    </row>
    <row r="42" spans="1:12">
      <c r="A42" s="3">
        <v>20161495018</v>
      </c>
      <c r="B42" s="3" t="s">
        <v>541</v>
      </c>
      <c r="C42" s="3">
        <v>1033743011</v>
      </c>
      <c r="D42" s="4">
        <v>43623</v>
      </c>
      <c r="E42" s="3">
        <v>20600</v>
      </c>
      <c r="F42" s="3">
        <v>20</v>
      </c>
      <c r="G42" s="3">
        <v>70</v>
      </c>
      <c r="H42" s="3" t="s">
        <v>542</v>
      </c>
      <c r="I42" s="3" t="s">
        <v>543</v>
      </c>
      <c r="J42" s="3" t="s">
        <v>162</v>
      </c>
      <c r="K42" s="3">
        <f t="shared" si="0"/>
        <v>2019</v>
      </c>
      <c r="L42" s="3">
        <f>COUNTIF(K42:K54,2019)</f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9C179-BEC6-445D-99B2-B2482C259508}">
  <dimension ref="A1:B6"/>
  <sheetViews>
    <sheetView tabSelected="1" workbookViewId="0">
      <selection activeCell="B7" sqref="A7:B7"/>
    </sheetView>
  </sheetViews>
  <sheetFormatPr defaultColWidth="11.42578125" defaultRowHeight="14.45"/>
  <sheetData>
    <row r="1" spans="1:2">
      <c r="A1" t="s">
        <v>544</v>
      </c>
    </row>
    <row r="2" spans="1:2">
      <c r="A2">
        <v>2023</v>
      </c>
      <c r="B2">
        <f>SUM('195'!L2+'395'!L2+'495'!L2)</f>
        <v>24</v>
      </c>
    </row>
    <row r="3" spans="1:2">
      <c r="A3">
        <v>2022</v>
      </c>
      <c r="B3">
        <f>SUM('195'!L7+'295'!L2+'395'!L8+'495'!L15)</f>
        <v>35</v>
      </c>
    </row>
    <row r="4" spans="1:2">
      <c r="A4">
        <v>2021</v>
      </c>
      <c r="B4">
        <f>SUM('195'!L16+'395'!L23+'495'!L25)</f>
        <v>37</v>
      </c>
    </row>
    <row r="5" spans="1:2">
      <c r="A5">
        <v>2020</v>
      </c>
      <c r="B5">
        <f>SUM('195'!L26+'295'!L3+'395'!L40+'495'!L35)</f>
        <v>21</v>
      </c>
    </row>
    <row r="6" spans="1:2">
      <c r="A6">
        <v>2019</v>
      </c>
      <c r="B6">
        <f>SUM('195'!L33+'295'!L6+'395'!L44+'495'!L42)</f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Alison Katherine Rubiano Suarez</dc:creator>
  <cp:keywords/>
  <dc:description/>
  <cp:lastModifiedBy>WILLIAM ENRIQUE FORERO NEIRA</cp:lastModifiedBy>
  <cp:revision/>
  <dcterms:created xsi:type="dcterms:W3CDTF">2023-09-04T13:47:50Z</dcterms:created>
  <dcterms:modified xsi:type="dcterms:W3CDTF">2025-11-06T14:20:19Z</dcterms:modified>
  <cp:category/>
  <cp:contentStatus/>
</cp:coreProperties>
</file>