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SI\OneDrive - Universidad Distrital Francisco José de Caldas\MCIC\2024\Doc modificaicones\"/>
    </mc:Choice>
  </mc:AlternateContent>
  <xr:revisionPtr revIDLastSave="0" documentId="13_ncr:1_{EDAD4926-38A7-4DAB-92C6-DC1D13A56310}" xr6:coauthVersionLast="36" xr6:coauthVersionMax="36" xr10:uidLastSave="{00000000-0000-0000-0000-000000000000}"/>
  <bookViews>
    <workbookView xWindow="0" yWindow="0" windowWidth="14380" windowHeight="5390" xr2:uid="{12D87AA0-22CC-4927-BDFE-EE2F130A3216}"/>
  </bookViews>
  <sheets>
    <sheet name="Investigación" sheetId="1" r:id="rId1"/>
    <sheet name="Profundización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2" i="2" l="1"/>
  <c r="K53" i="2" s="1"/>
  <c r="K55" i="2"/>
  <c r="K48" i="2"/>
  <c r="K45" i="2"/>
  <c r="K44" i="2"/>
  <c r="K21" i="2"/>
  <c r="I44" i="2"/>
  <c r="I45" i="2"/>
  <c r="I10" i="2"/>
  <c r="I45" i="1"/>
  <c r="I46" i="1" s="1"/>
  <c r="I24" i="1"/>
  <c r="I48" i="1" s="1"/>
  <c r="I12" i="1"/>
  <c r="I13" i="1" s="1"/>
  <c r="K55" i="1"/>
  <c r="K53" i="1"/>
  <c r="K45" i="1"/>
  <c r="K46" i="1" s="1"/>
  <c r="J45" i="1"/>
  <c r="J46" i="1" s="1"/>
  <c r="I25" i="1" l="1"/>
  <c r="K49" i="2"/>
  <c r="K42" i="2"/>
  <c r="K43" i="2"/>
  <c r="L45" i="1" l="1"/>
  <c r="K12" i="1"/>
  <c r="K13" i="1" s="1"/>
  <c r="L12" i="1"/>
  <c r="J12" i="1"/>
  <c r="I49" i="1"/>
  <c r="J13" i="1" l="1"/>
  <c r="J49" i="1" s="1"/>
  <c r="I21" i="2"/>
  <c r="I9" i="2"/>
  <c r="L47" i="2"/>
  <c r="I47" i="2"/>
  <c r="I48" i="2"/>
  <c r="J44" i="2"/>
  <c r="J45" i="2" s="1"/>
  <c r="J48" i="2" s="1"/>
  <c r="L44" i="2"/>
  <c r="J22" i="2"/>
  <c r="K22" i="2"/>
  <c r="I22" i="2"/>
  <c r="J21" i="2"/>
  <c r="L21" i="2"/>
  <c r="J10" i="2"/>
  <c r="K10" i="2"/>
  <c r="J9" i="2"/>
  <c r="K9" i="2"/>
  <c r="L9" i="2"/>
  <c r="J24" i="1"/>
  <c r="J25" i="1" s="1"/>
  <c r="K24" i="1"/>
  <c r="K48" i="1" s="1"/>
  <c r="L24" i="1"/>
  <c r="L48" i="1" s="1"/>
  <c r="J48" i="1" l="1"/>
  <c r="K47" i="2"/>
  <c r="J47" i="2"/>
  <c r="K25" i="1"/>
  <c r="K49" i="1" s="1"/>
  <c r="K50" i="1" l="1"/>
</calcChain>
</file>

<file path=xl/sharedStrings.xml><?xml version="1.0" encoding="utf-8"?>
<sst xmlns="http://schemas.openxmlformats.org/spreadsheetml/2006/main" count="146" uniqueCount="61">
  <si>
    <r>
      <t>Maestría en Ciencias de la Información y las Comunicaciones</t>
    </r>
    <r>
      <rPr>
        <b/>
        <sz val="10"/>
        <color rgb="FF000000"/>
        <rFont val="Times New Roman"/>
        <family val="1"/>
      </rPr>
      <t>-</t>
    </r>
  </si>
  <si>
    <t>Investigación</t>
  </si>
  <si>
    <t>Periodo de Formación</t>
  </si>
  <si>
    <t>Espacio Académico</t>
  </si>
  <si>
    <t>Clasificación Espacio Académico</t>
  </si>
  <si>
    <t>Horas de Trabajo Académico</t>
  </si>
  <si>
    <t>No de Créditos</t>
  </si>
  <si>
    <t>OB</t>
  </si>
  <si>
    <t>EI</t>
  </si>
  <si>
    <t>HTD</t>
  </si>
  <si>
    <t>HTC</t>
  </si>
  <si>
    <t>HTA</t>
  </si>
  <si>
    <t>I</t>
  </si>
  <si>
    <t xml:space="preserve">Seminario de investigación </t>
  </si>
  <si>
    <t>X</t>
  </si>
  <si>
    <t xml:space="preserve">Fundamentales </t>
  </si>
  <si>
    <t>Herramientas matemáticas para el manejo de la información</t>
  </si>
  <si>
    <t>Informática</t>
  </si>
  <si>
    <t>Énfasis I</t>
  </si>
  <si>
    <t>Teleinformática</t>
  </si>
  <si>
    <t>Procesos estocásticos</t>
  </si>
  <si>
    <t>Geomática</t>
  </si>
  <si>
    <t xml:space="preserve">Bases de datos especiales </t>
  </si>
  <si>
    <t>Ingeniería de software</t>
  </si>
  <si>
    <t>Ingeniería de software I</t>
  </si>
  <si>
    <t>Inteligencia artificial</t>
  </si>
  <si>
    <t xml:space="preserve">Inteligencia computacional </t>
  </si>
  <si>
    <t>Total créditos</t>
  </si>
  <si>
    <t>II</t>
  </si>
  <si>
    <t>Trabajo de grado I</t>
  </si>
  <si>
    <t xml:space="preserve">Electiva </t>
  </si>
  <si>
    <t>Énfasis II</t>
  </si>
  <si>
    <t>Redes</t>
  </si>
  <si>
    <t>Modelo de simulación y redes</t>
  </si>
  <si>
    <t>Aplicaciones sobre internet en la nube</t>
  </si>
  <si>
    <t>Análisis espacial</t>
  </si>
  <si>
    <t>Servicios geográficos Web</t>
  </si>
  <si>
    <t>Sistemas de posicionamiento geodésico</t>
  </si>
  <si>
    <t>Métodos avanzados en análisis de imágenes</t>
  </si>
  <si>
    <t>Bases de datos</t>
  </si>
  <si>
    <t>Ingeniería de software II</t>
  </si>
  <si>
    <t>Patrones de arquitectura de software</t>
  </si>
  <si>
    <t>Construcción y pruebas de software</t>
  </si>
  <si>
    <t>Big data</t>
  </si>
  <si>
    <t>Analítica de datos</t>
  </si>
  <si>
    <t>Inteligencia de negocios</t>
  </si>
  <si>
    <t xml:space="preserve">Computación paralela </t>
  </si>
  <si>
    <r>
      <t xml:space="preserve">Total créditos </t>
    </r>
    <r>
      <rPr>
        <sz val="10"/>
        <color rgb="FF000000"/>
        <rFont val="Times New Roman"/>
        <family val="1"/>
      </rPr>
      <t xml:space="preserve"> </t>
    </r>
  </si>
  <si>
    <t>III</t>
  </si>
  <si>
    <t>Trabajo de grado II</t>
  </si>
  <si>
    <t xml:space="preserve">Énfasis </t>
  </si>
  <si>
    <t>Política sectorial y regulación en telecomunicaciones</t>
  </si>
  <si>
    <t>Estadística espacial</t>
  </si>
  <si>
    <t>Procesamiento digital de imágenes y elaboración de productos cartográficos</t>
  </si>
  <si>
    <t>Tendencias en ingeniería de software</t>
  </si>
  <si>
    <t>Robótica</t>
  </si>
  <si>
    <t>Profundización</t>
  </si>
  <si>
    <t>Trabajo de grado</t>
  </si>
  <si>
    <t>Electiva</t>
  </si>
  <si>
    <t>Maestría en Ciencias de la Información y las Comunicaciones-</t>
  </si>
  <si>
    <r>
      <t xml:space="preserve">Total créditos </t>
    </r>
    <r>
      <rPr>
        <sz val="10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</si>
</sst>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2CC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4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justify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justify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justify"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7" borderId="6" xfId="0" applyFont="1" applyFill="1" applyBorder="1" applyAlignment="1">
      <alignment horizontal="justify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right" vertical="center" wrapText="1"/>
    </xf>
    <xf numFmtId="0" fontId="2" fillId="3" borderId="16" xfId="0" applyFont="1" applyFill="1" applyBorder="1" applyAlignment="1">
      <alignment horizontal="right" vertical="center" wrapText="1"/>
    </xf>
    <xf numFmtId="0" fontId="2" fillId="3" borderId="15" xfId="0" applyFont="1" applyFill="1" applyBorder="1" applyAlignment="1">
      <alignment horizontal="right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right" vertical="center" wrapText="1"/>
    </xf>
    <xf numFmtId="0" fontId="2" fillId="3" borderId="24" xfId="0" applyFont="1" applyFill="1" applyBorder="1" applyAlignment="1">
      <alignment horizontal="right" vertical="center" wrapText="1"/>
    </xf>
    <xf numFmtId="0" fontId="2" fillId="3" borderId="25" xfId="0" applyFont="1" applyFill="1" applyBorder="1" applyAlignment="1">
      <alignment horizontal="right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4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justify" vertical="center" wrapText="1"/>
    </xf>
    <xf numFmtId="0" fontId="1" fillId="2" borderId="6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right" vertical="center" wrapText="1"/>
    </xf>
    <xf numFmtId="0" fontId="1" fillId="3" borderId="16" xfId="0" applyFont="1" applyFill="1" applyBorder="1" applyAlignment="1">
      <alignment horizontal="right" vertical="center" wrapText="1"/>
    </xf>
    <xf numFmtId="0" fontId="1" fillId="3" borderId="15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ED04-7039-4E94-9C2B-A2A15C580BE6}">
  <dimension ref="A3:L56"/>
  <sheetViews>
    <sheetView tabSelected="1" topLeftCell="A38" zoomScale="74" zoomScaleNormal="55" workbookViewId="0">
      <selection activeCell="N56" sqref="N56"/>
    </sheetView>
  </sheetViews>
  <sheetFormatPr baseColWidth="10" defaultRowHeight="14.5" x14ac:dyDescent="0.35"/>
  <sheetData>
    <row r="3" spans="1:12" ht="15" thickBot="1" x14ac:dyDescent="0.4"/>
    <row r="4" spans="1:12" ht="14.5" customHeight="1" x14ac:dyDescent="0.35">
      <c r="A4" s="42" t="s">
        <v>59</v>
      </c>
      <c r="B4" s="43"/>
      <c r="C4" s="43"/>
      <c r="D4" s="43"/>
      <c r="E4" s="43"/>
      <c r="F4" s="43"/>
      <c r="G4" s="43"/>
      <c r="H4" s="44"/>
    </row>
    <row r="5" spans="1:12" ht="15" thickBot="1" x14ac:dyDescent="0.4">
      <c r="A5" s="54" t="s">
        <v>1</v>
      </c>
      <c r="B5" s="55"/>
      <c r="C5" s="55"/>
      <c r="D5" s="55"/>
      <c r="E5" s="55"/>
      <c r="F5" s="55"/>
      <c r="G5" s="55"/>
      <c r="H5" s="56"/>
    </row>
    <row r="6" spans="1:12" ht="26" customHeight="1" thickBot="1" x14ac:dyDescent="0.4">
      <c r="A6" s="57" t="s">
        <v>2</v>
      </c>
      <c r="B6" s="57" t="s">
        <v>3</v>
      </c>
      <c r="C6" s="59" t="s">
        <v>4</v>
      </c>
      <c r="D6" s="60"/>
      <c r="E6" s="59" t="s">
        <v>5</v>
      </c>
      <c r="F6" s="61"/>
      <c r="G6" s="60"/>
      <c r="H6" s="57" t="s">
        <v>6</v>
      </c>
    </row>
    <row r="7" spans="1:12" ht="15" thickBot="1" x14ac:dyDescent="0.4">
      <c r="A7" s="58"/>
      <c r="B7" s="58"/>
      <c r="C7" s="51" t="s">
        <v>7</v>
      </c>
      <c r="D7" s="51" t="s">
        <v>8</v>
      </c>
      <c r="E7" s="51" t="s">
        <v>9</v>
      </c>
      <c r="F7" s="51" t="s">
        <v>10</v>
      </c>
      <c r="G7" s="51" t="s">
        <v>11</v>
      </c>
      <c r="H7" s="58"/>
    </row>
    <row r="8" spans="1:12" ht="26.5" thickBot="1" x14ac:dyDescent="0.4">
      <c r="A8" s="18" t="s">
        <v>12</v>
      </c>
      <c r="B8" s="52" t="s">
        <v>13</v>
      </c>
      <c r="C8" s="4" t="s">
        <v>14</v>
      </c>
      <c r="D8" s="4"/>
      <c r="E8" s="4">
        <v>3</v>
      </c>
      <c r="F8" s="4">
        <v>1</v>
      </c>
      <c r="G8" s="4">
        <v>8</v>
      </c>
      <c r="H8" s="4">
        <v>4</v>
      </c>
    </row>
    <row r="9" spans="1:12" ht="15" customHeight="1" thickBot="1" x14ac:dyDescent="0.4">
      <c r="A9" s="19"/>
      <c r="B9" s="62" t="s">
        <v>15</v>
      </c>
      <c r="C9" s="63"/>
      <c r="D9" s="63"/>
      <c r="E9" s="63"/>
      <c r="F9" s="63"/>
      <c r="G9" s="63"/>
      <c r="H9" s="64"/>
    </row>
    <row r="10" spans="1:12" ht="65.5" thickBot="1" x14ac:dyDescent="0.4">
      <c r="A10" s="19"/>
      <c r="B10" s="5" t="s">
        <v>16</v>
      </c>
      <c r="C10" s="6" t="s">
        <v>14</v>
      </c>
      <c r="D10" s="6"/>
      <c r="E10" s="6">
        <v>3</v>
      </c>
      <c r="F10" s="6">
        <v>1</v>
      </c>
      <c r="G10" s="6">
        <v>8</v>
      </c>
      <c r="H10" s="6">
        <v>4</v>
      </c>
    </row>
    <row r="11" spans="1:12" ht="15" thickBot="1" x14ac:dyDescent="0.4">
      <c r="A11" s="19"/>
      <c r="B11" s="5" t="s">
        <v>17</v>
      </c>
      <c r="C11" s="6" t="s">
        <v>14</v>
      </c>
      <c r="D11" s="6"/>
      <c r="E11" s="6">
        <v>3</v>
      </c>
      <c r="F11" s="6">
        <v>1</v>
      </c>
      <c r="G11" s="6">
        <v>8</v>
      </c>
      <c r="H11" s="6">
        <v>4</v>
      </c>
    </row>
    <row r="12" spans="1:12" ht="15" thickBot="1" x14ac:dyDescent="0.4">
      <c r="A12" s="19"/>
      <c r="B12" s="53" t="s">
        <v>18</v>
      </c>
      <c r="C12" s="6" t="s">
        <v>14</v>
      </c>
      <c r="D12" s="6"/>
      <c r="E12" s="6">
        <v>3</v>
      </c>
      <c r="F12" s="6">
        <v>1</v>
      </c>
      <c r="G12" s="6">
        <v>8</v>
      </c>
      <c r="H12" s="6">
        <v>4</v>
      </c>
      <c r="I12">
        <f>E8+E10+E11+E12</f>
        <v>12</v>
      </c>
      <c r="J12">
        <f>F8+F10+F11+F12</f>
        <v>4</v>
      </c>
      <c r="K12">
        <f>G8+G10+G11+G12</f>
        <v>32</v>
      </c>
      <c r="L12">
        <f>H8+H10+H11+H12</f>
        <v>16</v>
      </c>
    </row>
    <row r="13" spans="1:12" ht="15" customHeight="1" thickBot="1" x14ac:dyDescent="0.4">
      <c r="A13" s="19"/>
      <c r="B13" s="59" t="s">
        <v>19</v>
      </c>
      <c r="C13" s="61"/>
      <c r="D13" s="61"/>
      <c r="E13" s="61"/>
      <c r="F13" s="61"/>
      <c r="G13" s="61"/>
      <c r="H13" s="60"/>
      <c r="I13">
        <f>I12*16</f>
        <v>192</v>
      </c>
      <c r="J13">
        <f>J12*16</f>
        <v>64</v>
      </c>
      <c r="K13">
        <f>K12*16</f>
        <v>512</v>
      </c>
    </row>
    <row r="14" spans="1:12" ht="26.5" thickBot="1" x14ac:dyDescent="0.4">
      <c r="A14" s="19"/>
      <c r="B14" s="5" t="s">
        <v>20</v>
      </c>
      <c r="C14" s="24"/>
      <c r="D14" s="25"/>
      <c r="E14" s="25"/>
      <c r="F14" s="25"/>
      <c r="G14" s="25"/>
      <c r="H14" s="26"/>
    </row>
    <row r="15" spans="1:12" ht="15" thickBot="1" x14ac:dyDescent="0.4">
      <c r="A15" s="19"/>
      <c r="B15" s="59" t="s">
        <v>21</v>
      </c>
      <c r="C15" s="61"/>
      <c r="D15" s="61"/>
      <c r="E15" s="61"/>
      <c r="F15" s="61"/>
      <c r="G15" s="61"/>
      <c r="H15" s="60"/>
    </row>
    <row r="16" spans="1:12" ht="39.5" thickBot="1" x14ac:dyDescent="0.4">
      <c r="A16" s="19"/>
      <c r="B16" s="5" t="s">
        <v>22</v>
      </c>
      <c r="C16" s="24"/>
      <c r="D16" s="25"/>
      <c r="E16" s="25"/>
      <c r="F16" s="25"/>
      <c r="G16" s="25"/>
      <c r="H16" s="26"/>
    </row>
    <row r="17" spans="1:12" ht="15" customHeight="1" thickBot="1" x14ac:dyDescent="0.4">
      <c r="A17" s="19"/>
      <c r="B17" s="59" t="s">
        <v>23</v>
      </c>
      <c r="C17" s="61"/>
      <c r="D17" s="61"/>
      <c r="E17" s="61"/>
      <c r="F17" s="61"/>
      <c r="G17" s="61"/>
      <c r="H17" s="60"/>
    </row>
    <row r="18" spans="1:12" ht="26.5" thickBot="1" x14ac:dyDescent="0.4">
      <c r="A18" s="19"/>
      <c r="B18" s="5" t="s">
        <v>24</v>
      </c>
      <c r="C18" s="24"/>
      <c r="D18" s="25"/>
      <c r="E18" s="25"/>
      <c r="F18" s="25"/>
      <c r="G18" s="25"/>
      <c r="H18" s="26"/>
    </row>
    <row r="19" spans="1:12" ht="15" customHeight="1" thickBot="1" x14ac:dyDescent="0.4">
      <c r="A19" s="19"/>
      <c r="B19" s="59" t="s">
        <v>25</v>
      </c>
      <c r="C19" s="61"/>
      <c r="D19" s="61"/>
      <c r="E19" s="61"/>
      <c r="F19" s="61"/>
      <c r="G19" s="61"/>
      <c r="H19" s="60"/>
    </row>
    <row r="20" spans="1:12" ht="39.5" thickBot="1" x14ac:dyDescent="0.4">
      <c r="A20" s="20"/>
      <c r="B20" s="5" t="s">
        <v>26</v>
      </c>
      <c r="C20" s="24"/>
      <c r="D20" s="25"/>
      <c r="E20" s="25"/>
      <c r="F20" s="25"/>
      <c r="G20" s="25"/>
      <c r="H20" s="26"/>
    </row>
    <row r="21" spans="1:12" ht="15.5" customHeight="1" thickBot="1" x14ac:dyDescent="0.4">
      <c r="A21" s="65" t="s">
        <v>27</v>
      </c>
      <c r="B21" s="66"/>
      <c r="C21" s="66"/>
      <c r="D21" s="66"/>
      <c r="E21" s="66"/>
      <c r="F21" s="66"/>
      <c r="G21" s="67"/>
      <c r="H21" s="11">
        <v>16</v>
      </c>
    </row>
    <row r="22" spans="1:12" ht="26.5" thickBot="1" x14ac:dyDescent="0.4">
      <c r="A22" s="18" t="s">
        <v>28</v>
      </c>
      <c r="B22" s="5" t="s">
        <v>29</v>
      </c>
      <c r="C22" s="6" t="s">
        <v>14</v>
      </c>
      <c r="D22" s="6"/>
      <c r="E22" s="6">
        <v>0</v>
      </c>
      <c r="F22" s="6">
        <v>3</v>
      </c>
      <c r="G22" s="6">
        <v>9</v>
      </c>
      <c r="H22" s="6">
        <v>4</v>
      </c>
    </row>
    <row r="23" spans="1:12" ht="15" thickBot="1" x14ac:dyDescent="0.4">
      <c r="A23" s="19"/>
      <c r="B23" s="52" t="s">
        <v>30</v>
      </c>
      <c r="C23" s="4"/>
      <c r="D23" s="4" t="s">
        <v>14</v>
      </c>
      <c r="E23" s="4">
        <v>3</v>
      </c>
      <c r="F23" s="4">
        <v>1</v>
      </c>
      <c r="G23" s="4">
        <v>8</v>
      </c>
      <c r="H23" s="4">
        <v>4</v>
      </c>
    </row>
    <row r="24" spans="1:12" ht="15" thickBot="1" x14ac:dyDescent="0.4">
      <c r="A24" s="19"/>
      <c r="B24" s="53" t="s">
        <v>31</v>
      </c>
      <c r="C24" s="6" t="s">
        <v>14</v>
      </c>
      <c r="D24" s="6"/>
      <c r="E24" s="6">
        <v>6</v>
      </c>
      <c r="F24" s="6">
        <v>2</v>
      </c>
      <c r="G24" s="6">
        <v>16</v>
      </c>
      <c r="H24" s="6">
        <v>8</v>
      </c>
      <c r="I24">
        <f>E22+E23+E24</f>
        <v>9</v>
      </c>
      <c r="J24">
        <f t="shared" ref="J24:L24" si="0">F22+F23+F24</f>
        <v>6</v>
      </c>
      <c r="K24">
        <f t="shared" si="0"/>
        <v>33</v>
      </c>
      <c r="L24">
        <f t="shared" si="0"/>
        <v>16</v>
      </c>
    </row>
    <row r="25" spans="1:12" ht="15" customHeight="1" thickBot="1" x14ac:dyDescent="0.4">
      <c r="A25" s="19"/>
      <c r="B25" s="59" t="s">
        <v>19</v>
      </c>
      <c r="C25" s="61"/>
      <c r="D25" s="61"/>
      <c r="E25" s="61"/>
      <c r="F25" s="61"/>
      <c r="G25" s="61"/>
      <c r="H25" s="60"/>
      <c r="I25">
        <f>I24*16</f>
        <v>144</v>
      </c>
      <c r="J25">
        <f>J24*16</f>
        <v>96</v>
      </c>
      <c r="K25">
        <f t="shared" ref="J25:K25" si="1">K24*16</f>
        <v>528</v>
      </c>
    </row>
    <row r="26" spans="1:12" ht="15" thickBot="1" x14ac:dyDescent="0.4">
      <c r="A26" s="19"/>
      <c r="B26" s="5" t="s">
        <v>32</v>
      </c>
      <c r="C26" s="24"/>
      <c r="D26" s="25"/>
      <c r="E26" s="25"/>
      <c r="F26" s="25"/>
      <c r="G26" s="25"/>
      <c r="H26" s="26"/>
    </row>
    <row r="27" spans="1:12" ht="39.5" thickBot="1" x14ac:dyDescent="0.4">
      <c r="A27" s="19"/>
      <c r="B27" s="5" t="s">
        <v>33</v>
      </c>
      <c r="C27" s="24"/>
      <c r="D27" s="25"/>
      <c r="E27" s="25"/>
      <c r="F27" s="25"/>
      <c r="G27" s="25"/>
      <c r="H27" s="26"/>
    </row>
    <row r="28" spans="1:12" ht="39.5" thickBot="1" x14ac:dyDescent="0.4">
      <c r="A28" s="19"/>
      <c r="B28" s="5" t="s">
        <v>34</v>
      </c>
      <c r="C28" s="24"/>
      <c r="D28" s="25"/>
      <c r="E28" s="25"/>
      <c r="F28" s="25"/>
      <c r="G28" s="25"/>
      <c r="H28" s="26"/>
    </row>
    <row r="29" spans="1:12" ht="15" thickBot="1" x14ac:dyDescent="0.4">
      <c r="A29" s="19"/>
      <c r="B29" s="59" t="s">
        <v>21</v>
      </c>
      <c r="C29" s="61"/>
      <c r="D29" s="61"/>
      <c r="E29" s="61"/>
      <c r="F29" s="61"/>
      <c r="G29" s="61"/>
      <c r="H29" s="60"/>
    </row>
    <row r="30" spans="1:12" ht="26.5" thickBot="1" x14ac:dyDescent="0.4">
      <c r="A30" s="19"/>
      <c r="B30" s="5" t="s">
        <v>35</v>
      </c>
      <c r="C30" s="24"/>
      <c r="D30" s="25"/>
      <c r="E30" s="25"/>
      <c r="F30" s="25"/>
      <c r="G30" s="25"/>
      <c r="H30" s="26"/>
    </row>
    <row r="31" spans="1:12" ht="39.5" thickBot="1" x14ac:dyDescent="0.4">
      <c r="A31" s="19"/>
      <c r="B31" s="5" t="s">
        <v>36</v>
      </c>
      <c r="C31" s="24"/>
      <c r="D31" s="25"/>
      <c r="E31" s="25"/>
      <c r="F31" s="25"/>
      <c r="G31" s="25"/>
      <c r="H31" s="26"/>
    </row>
    <row r="32" spans="1:12" ht="39.5" thickBot="1" x14ac:dyDescent="0.4">
      <c r="A32" s="19"/>
      <c r="B32" s="5" t="s">
        <v>37</v>
      </c>
      <c r="C32" s="24"/>
      <c r="D32" s="25"/>
      <c r="E32" s="25"/>
      <c r="F32" s="25"/>
      <c r="G32" s="25"/>
      <c r="H32" s="26"/>
    </row>
    <row r="33" spans="1:12" ht="52.5" thickBot="1" x14ac:dyDescent="0.4">
      <c r="A33" s="19"/>
      <c r="B33" s="5" t="s">
        <v>38</v>
      </c>
      <c r="C33" s="24"/>
      <c r="D33" s="25"/>
      <c r="E33" s="25"/>
      <c r="F33" s="25"/>
      <c r="G33" s="25"/>
      <c r="H33" s="26"/>
    </row>
    <row r="34" spans="1:12" ht="15" customHeight="1" thickBot="1" x14ac:dyDescent="0.4">
      <c r="A34" s="19"/>
      <c r="B34" s="59" t="s">
        <v>23</v>
      </c>
      <c r="C34" s="61"/>
      <c r="D34" s="61"/>
      <c r="E34" s="61"/>
      <c r="F34" s="61"/>
      <c r="G34" s="61"/>
      <c r="H34" s="60"/>
    </row>
    <row r="35" spans="1:12" ht="26.5" thickBot="1" x14ac:dyDescent="0.4">
      <c r="A35" s="19"/>
      <c r="B35" s="5" t="s">
        <v>39</v>
      </c>
      <c r="C35" s="24"/>
      <c r="D35" s="25"/>
      <c r="E35" s="25"/>
      <c r="F35" s="25"/>
      <c r="G35" s="25"/>
      <c r="H35" s="26"/>
    </row>
    <row r="36" spans="1:12" ht="26.5" thickBot="1" x14ac:dyDescent="0.4">
      <c r="A36" s="19"/>
      <c r="B36" s="5" t="s">
        <v>40</v>
      </c>
      <c r="C36" s="24"/>
      <c r="D36" s="25"/>
      <c r="E36" s="25"/>
      <c r="F36" s="25"/>
      <c r="G36" s="25"/>
      <c r="H36" s="26"/>
    </row>
    <row r="37" spans="1:12" ht="39.5" thickBot="1" x14ac:dyDescent="0.4">
      <c r="A37" s="19"/>
      <c r="B37" s="5" t="s">
        <v>41</v>
      </c>
      <c r="C37" s="24"/>
      <c r="D37" s="25"/>
      <c r="E37" s="25"/>
      <c r="F37" s="25"/>
      <c r="G37" s="25"/>
      <c r="H37" s="26"/>
    </row>
    <row r="38" spans="1:12" ht="39.5" thickBot="1" x14ac:dyDescent="0.4">
      <c r="A38" s="19"/>
      <c r="B38" s="5" t="s">
        <v>42</v>
      </c>
      <c r="C38" s="24"/>
      <c r="D38" s="25"/>
      <c r="E38" s="25"/>
      <c r="F38" s="25"/>
      <c r="G38" s="25"/>
      <c r="H38" s="26"/>
    </row>
    <row r="39" spans="1:12" ht="15" customHeight="1" thickBot="1" x14ac:dyDescent="0.4">
      <c r="A39" s="19"/>
      <c r="B39" s="59" t="s">
        <v>25</v>
      </c>
      <c r="C39" s="61"/>
      <c r="D39" s="61"/>
      <c r="E39" s="61"/>
      <c r="F39" s="61"/>
      <c r="G39" s="61"/>
      <c r="H39" s="60"/>
    </row>
    <row r="40" spans="1:12" ht="15" thickBot="1" x14ac:dyDescent="0.4">
      <c r="A40" s="19"/>
      <c r="B40" s="5" t="s">
        <v>43</v>
      </c>
      <c r="C40" s="24"/>
      <c r="D40" s="25"/>
      <c r="E40" s="25"/>
      <c r="F40" s="25"/>
      <c r="G40" s="25"/>
      <c r="H40" s="26"/>
    </row>
    <row r="41" spans="1:12" ht="26.5" thickBot="1" x14ac:dyDescent="0.4">
      <c r="A41" s="19"/>
      <c r="B41" s="5" t="s">
        <v>44</v>
      </c>
      <c r="C41" s="24"/>
      <c r="D41" s="25"/>
      <c r="E41" s="25"/>
      <c r="F41" s="25"/>
      <c r="G41" s="25"/>
      <c r="H41" s="26"/>
    </row>
    <row r="42" spans="1:12" ht="26.5" thickBot="1" x14ac:dyDescent="0.4">
      <c r="A42" s="19"/>
      <c r="B42" s="5" t="s">
        <v>45</v>
      </c>
      <c r="C42" s="24"/>
      <c r="D42" s="25"/>
      <c r="E42" s="25"/>
      <c r="F42" s="25"/>
      <c r="G42" s="25"/>
      <c r="H42" s="26"/>
    </row>
    <row r="43" spans="1:12" ht="26.5" thickBot="1" x14ac:dyDescent="0.4">
      <c r="A43" s="20"/>
      <c r="B43" s="5" t="s">
        <v>46</v>
      </c>
      <c r="C43" s="24"/>
      <c r="D43" s="25"/>
      <c r="E43" s="25"/>
      <c r="F43" s="25"/>
      <c r="G43" s="25"/>
      <c r="H43" s="26"/>
    </row>
    <row r="44" spans="1:12" ht="15" customHeight="1" thickBot="1" x14ac:dyDescent="0.4">
      <c r="A44" s="65" t="s">
        <v>60</v>
      </c>
      <c r="B44" s="66"/>
      <c r="C44" s="66"/>
      <c r="D44" s="66"/>
      <c r="E44" s="66"/>
      <c r="F44" s="66"/>
      <c r="G44" s="67"/>
      <c r="H44" s="11">
        <v>16</v>
      </c>
    </row>
    <row r="45" spans="1:12" ht="26.5" thickBot="1" x14ac:dyDescent="0.4">
      <c r="A45" s="18" t="s">
        <v>48</v>
      </c>
      <c r="B45" s="5" t="s">
        <v>49</v>
      </c>
      <c r="C45" s="6" t="s">
        <v>14</v>
      </c>
      <c r="D45" s="6"/>
      <c r="E45" s="6">
        <v>0</v>
      </c>
      <c r="F45" s="6">
        <v>0</v>
      </c>
      <c r="G45" s="6">
        <v>24</v>
      </c>
      <c r="H45" s="6">
        <v>8</v>
      </c>
      <c r="I45">
        <f>E45+E46</f>
        <v>3</v>
      </c>
      <c r="J45">
        <f>F45+F46</f>
        <v>1</v>
      </c>
      <c r="K45">
        <f>G45+G46</f>
        <v>32</v>
      </c>
      <c r="L45">
        <f>H45+H46</f>
        <v>12</v>
      </c>
    </row>
    <row r="46" spans="1:12" ht="15" thickBot="1" x14ac:dyDescent="0.4">
      <c r="A46" s="19"/>
      <c r="B46" s="5" t="s">
        <v>30</v>
      </c>
      <c r="C46" s="6"/>
      <c r="D46" s="6" t="s">
        <v>14</v>
      </c>
      <c r="E46" s="6">
        <v>3</v>
      </c>
      <c r="F46" s="6">
        <v>1</v>
      </c>
      <c r="G46" s="6">
        <v>8</v>
      </c>
      <c r="H46" s="6">
        <v>4</v>
      </c>
      <c r="I46">
        <f>I45*16</f>
        <v>48</v>
      </c>
      <c r="J46">
        <f>J45*16</f>
        <v>16</v>
      </c>
      <c r="K46">
        <f>K45*16</f>
        <v>512</v>
      </c>
    </row>
    <row r="47" spans="1:12" ht="15" customHeight="1" thickBot="1" x14ac:dyDescent="0.4">
      <c r="A47" s="19"/>
      <c r="B47" s="59" t="s">
        <v>19</v>
      </c>
      <c r="C47" s="61"/>
      <c r="D47" s="61"/>
      <c r="E47" s="61"/>
      <c r="F47" s="61"/>
      <c r="G47" s="61"/>
      <c r="H47" s="60"/>
    </row>
    <row r="48" spans="1:12" ht="65.5" thickBot="1" x14ac:dyDescent="0.4">
      <c r="A48" s="19"/>
      <c r="B48" s="5" t="s">
        <v>51</v>
      </c>
      <c r="C48" s="24"/>
      <c r="D48" s="25"/>
      <c r="E48" s="25"/>
      <c r="F48" s="25"/>
      <c r="G48" s="25"/>
      <c r="H48" s="26"/>
      <c r="I48">
        <f>I12+I24+I45</f>
        <v>24</v>
      </c>
      <c r="J48">
        <f>J12+J24+J45</f>
        <v>11</v>
      </c>
      <c r="K48">
        <f>K12+K24+K45</f>
        <v>97</v>
      </c>
      <c r="L48">
        <f>L12+L24+L45</f>
        <v>44</v>
      </c>
    </row>
    <row r="49" spans="1:11" ht="15" thickBot="1" x14ac:dyDescent="0.4">
      <c r="A49" s="19"/>
      <c r="B49" s="59" t="s">
        <v>21</v>
      </c>
      <c r="C49" s="61"/>
      <c r="D49" s="61"/>
      <c r="E49" s="61"/>
      <c r="F49" s="61"/>
      <c r="G49" s="61"/>
      <c r="H49" s="60"/>
      <c r="I49">
        <f>I13+I25+I46</f>
        <v>384</v>
      </c>
      <c r="J49">
        <f>J13+J25+J46</f>
        <v>176</v>
      </c>
      <c r="K49">
        <f>K13+K25+K46</f>
        <v>1552</v>
      </c>
    </row>
    <row r="50" spans="1:11" ht="26.5" thickBot="1" x14ac:dyDescent="0.4">
      <c r="A50" s="19"/>
      <c r="B50" s="5" t="s">
        <v>52</v>
      </c>
      <c r="C50" s="24"/>
      <c r="D50" s="25"/>
      <c r="E50" s="25"/>
      <c r="F50" s="25"/>
      <c r="G50" s="25"/>
      <c r="H50" s="26"/>
      <c r="K50">
        <f>I49+J49+K49</f>
        <v>2112</v>
      </c>
    </row>
    <row r="51" spans="1:11" ht="78.5" thickBot="1" x14ac:dyDescent="0.4">
      <c r="A51" s="19"/>
      <c r="B51" s="5" t="s">
        <v>53</v>
      </c>
      <c r="C51" s="24"/>
      <c r="D51" s="25"/>
      <c r="E51" s="25"/>
      <c r="F51" s="25"/>
      <c r="G51" s="25"/>
      <c r="H51" s="26"/>
      <c r="I51">
        <v>44</v>
      </c>
    </row>
    <row r="52" spans="1:11" ht="15" customHeight="1" thickBot="1" x14ac:dyDescent="0.4">
      <c r="A52" s="19"/>
      <c r="B52" s="59" t="s">
        <v>23</v>
      </c>
      <c r="C52" s="61"/>
      <c r="D52" s="61"/>
      <c r="E52" s="61"/>
      <c r="F52" s="61"/>
      <c r="G52" s="61"/>
      <c r="H52" s="60"/>
      <c r="I52">
        <v>8</v>
      </c>
      <c r="J52" s="50">
        <v>36</v>
      </c>
    </row>
    <row r="53" spans="1:11" ht="39.5" thickBot="1" x14ac:dyDescent="0.4">
      <c r="A53" s="19"/>
      <c r="B53" s="5" t="s">
        <v>54</v>
      </c>
      <c r="C53" s="24"/>
      <c r="D53" s="25"/>
      <c r="E53" s="25"/>
      <c r="F53" s="25"/>
      <c r="G53" s="25"/>
      <c r="H53" s="26"/>
      <c r="I53">
        <v>16</v>
      </c>
      <c r="J53" s="50"/>
      <c r="K53">
        <f>J52*100/I51</f>
        <v>81.818181818181813</v>
      </c>
    </row>
    <row r="54" spans="1:11" ht="15" customHeight="1" thickBot="1" x14ac:dyDescent="0.4">
      <c r="A54" s="19"/>
      <c r="B54" s="59" t="s">
        <v>25</v>
      </c>
      <c r="C54" s="61"/>
      <c r="D54" s="61"/>
      <c r="E54" s="61"/>
      <c r="F54" s="61"/>
      <c r="G54" s="61"/>
      <c r="H54" s="60"/>
      <c r="I54">
        <v>12</v>
      </c>
      <c r="J54" s="50"/>
    </row>
    <row r="55" spans="1:11" ht="15" thickBot="1" x14ac:dyDescent="0.4">
      <c r="A55" s="20"/>
      <c r="B55" s="5" t="s">
        <v>55</v>
      </c>
      <c r="C55" s="24"/>
      <c r="D55" s="25"/>
      <c r="E55" s="25"/>
      <c r="F55" s="25"/>
      <c r="G55" s="25"/>
      <c r="H55" s="26"/>
      <c r="I55">
        <v>8</v>
      </c>
      <c r="J55">
        <v>8</v>
      </c>
      <c r="K55">
        <f>J55*100/I51</f>
        <v>18.181818181818183</v>
      </c>
    </row>
    <row r="56" spans="1:11" ht="15" customHeight="1" thickBot="1" x14ac:dyDescent="0.4">
      <c r="A56" s="65" t="s">
        <v>60</v>
      </c>
      <c r="B56" s="66"/>
      <c r="C56" s="66"/>
      <c r="D56" s="66"/>
      <c r="E56" s="66"/>
      <c r="F56" s="66"/>
      <c r="G56" s="67"/>
      <c r="H56" s="11">
        <v>12</v>
      </c>
    </row>
  </sheetData>
  <mergeCells count="51">
    <mergeCell ref="J52:J54"/>
    <mergeCell ref="A4:H4"/>
    <mergeCell ref="A5:H5"/>
    <mergeCell ref="A6:A7"/>
    <mergeCell ref="B6:B7"/>
    <mergeCell ref="C6:D6"/>
    <mergeCell ref="E6:G6"/>
    <mergeCell ref="H6:H7"/>
    <mergeCell ref="A8:A20"/>
    <mergeCell ref="B9:H9"/>
    <mergeCell ref="B13:H13"/>
    <mergeCell ref="C14:H14"/>
    <mergeCell ref="B15:H15"/>
    <mergeCell ref="C16:H16"/>
    <mergeCell ref="B17:H17"/>
    <mergeCell ref="C18:H18"/>
    <mergeCell ref="B19:H19"/>
    <mergeCell ref="C20:H20"/>
    <mergeCell ref="A21:G21"/>
    <mergeCell ref="A22:A43"/>
    <mergeCell ref="B25:H25"/>
    <mergeCell ref="C26:H26"/>
    <mergeCell ref="C27:H27"/>
    <mergeCell ref="C28:H28"/>
    <mergeCell ref="B29:H29"/>
    <mergeCell ref="C30:H30"/>
    <mergeCell ref="C31:H31"/>
    <mergeCell ref="C32:H32"/>
    <mergeCell ref="A44:G44"/>
    <mergeCell ref="C33:H33"/>
    <mergeCell ref="B34:H34"/>
    <mergeCell ref="C35:H35"/>
    <mergeCell ref="C36:H36"/>
    <mergeCell ref="C37:H37"/>
    <mergeCell ref="C38:H38"/>
    <mergeCell ref="B39:H39"/>
    <mergeCell ref="C40:H40"/>
    <mergeCell ref="C41:H41"/>
    <mergeCell ref="C42:H42"/>
    <mergeCell ref="C43:H43"/>
    <mergeCell ref="A56:G56"/>
    <mergeCell ref="A45:A55"/>
    <mergeCell ref="B47:H47"/>
    <mergeCell ref="C48:H48"/>
    <mergeCell ref="B49:H49"/>
    <mergeCell ref="C50:H50"/>
    <mergeCell ref="C51:H51"/>
    <mergeCell ref="B52:H52"/>
    <mergeCell ref="C53:H53"/>
    <mergeCell ref="B54:H54"/>
    <mergeCell ref="C55:H55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AC4A-821D-492F-8E1D-CE3D920F1A52}">
  <dimension ref="A1:L55"/>
  <sheetViews>
    <sheetView topLeftCell="A9" zoomScale="70" zoomScaleNormal="70" workbookViewId="0">
      <selection activeCell="R48" sqref="R48"/>
    </sheetView>
  </sheetViews>
  <sheetFormatPr baseColWidth="10" defaultRowHeight="14.5" x14ac:dyDescent="0.35"/>
  <sheetData>
    <row r="1" spans="1:12" ht="15" thickBot="1" x14ac:dyDescent="0.4"/>
    <row r="2" spans="1:12" x14ac:dyDescent="0.35">
      <c r="A2" s="42" t="s">
        <v>0</v>
      </c>
      <c r="B2" s="43"/>
      <c r="C2" s="43"/>
      <c r="D2" s="43"/>
      <c r="E2" s="43"/>
      <c r="F2" s="43"/>
      <c r="G2" s="43"/>
      <c r="H2" s="44"/>
    </row>
    <row r="3" spans="1:12" ht="15" thickBot="1" x14ac:dyDescent="0.4">
      <c r="A3" s="45" t="s">
        <v>56</v>
      </c>
      <c r="B3" s="46"/>
      <c r="C3" s="46"/>
      <c r="D3" s="46"/>
      <c r="E3" s="46"/>
      <c r="F3" s="46"/>
      <c r="G3" s="46"/>
      <c r="H3" s="47"/>
    </row>
    <row r="4" spans="1:12" ht="25.5" customHeight="1" thickBot="1" x14ac:dyDescent="0.4">
      <c r="A4" s="48" t="s">
        <v>2</v>
      </c>
      <c r="B4" s="48" t="s">
        <v>3</v>
      </c>
      <c r="C4" s="21" t="s">
        <v>4</v>
      </c>
      <c r="D4" s="23"/>
      <c r="E4" s="21" t="s">
        <v>5</v>
      </c>
      <c r="F4" s="22"/>
      <c r="G4" s="23"/>
      <c r="H4" s="48" t="s">
        <v>6</v>
      </c>
    </row>
    <row r="5" spans="1:12" ht="15" thickBot="1" x14ac:dyDescent="0.4">
      <c r="A5" s="49"/>
      <c r="B5" s="49"/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49"/>
    </row>
    <row r="6" spans="1:12" ht="26.5" thickBot="1" x14ac:dyDescent="0.4">
      <c r="A6" s="30" t="s">
        <v>12</v>
      </c>
      <c r="B6" s="2" t="s">
        <v>13</v>
      </c>
      <c r="C6" s="3" t="s">
        <v>14</v>
      </c>
      <c r="D6" s="4"/>
      <c r="E6" s="3">
        <v>3</v>
      </c>
      <c r="F6" s="3">
        <v>1</v>
      </c>
      <c r="G6" s="3">
        <v>8</v>
      </c>
      <c r="H6" s="3">
        <v>4</v>
      </c>
    </row>
    <row r="7" spans="1:12" ht="15" thickBot="1" x14ac:dyDescent="0.4">
      <c r="A7" s="31"/>
      <c r="B7" s="33" t="s">
        <v>15</v>
      </c>
      <c r="C7" s="34"/>
      <c r="D7" s="34"/>
      <c r="E7" s="34"/>
      <c r="F7" s="34"/>
      <c r="G7" s="34"/>
      <c r="H7" s="35"/>
    </row>
    <row r="8" spans="1:12" ht="65.5" thickBot="1" x14ac:dyDescent="0.4">
      <c r="A8" s="31"/>
      <c r="B8" s="5" t="s">
        <v>16</v>
      </c>
      <c r="C8" s="6" t="s">
        <v>14</v>
      </c>
      <c r="D8" s="6"/>
      <c r="E8" s="6">
        <v>3</v>
      </c>
      <c r="F8" s="6">
        <v>1</v>
      </c>
      <c r="G8" s="6">
        <v>8</v>
      </c>
      <c r="H8" s="6">
        <v>4</v>
      </c>
    </row>
    <row r="9" spans="1:12" ht="15" thickBot="1" x14ac:dyDescent="0.4">
      <c r="A9" s="31"/>
      <c r="B9" s="7" t="s">
        <v>17</v>
      </c>
      <c r="C9" s="8" t="s">
        <v>14</v>
      </c>
      <c r="D9" s="8"/>
      <c r="E9" s="8">
        <v>3</v>
      </c>
      <c r="F9" s="8">
        <v>1</v>
      </c>
      <c r="G9" s="8">
        <v>8</v>
      </c>
      <c r="H9" s="8">
        <v>4</v>
      </c>
      <c r="I9">
        <f>E6+E8+E9+E10</f>
        <v>12</v>
      </c>
      <c r="J9">
        <f t="shared" ref="J9:L9" si="0">F6+F8+F9+F10</f>
        <v>4</v>
      </c>
      <c r="K9">
        <f t="shared" si="0"/>
        <v>32</v>
      </c>
      <c r="L9">
        <f t="shared" si="0"/>
        <v>16</v>
      </c>
    </row>
    <row r="10" spans="1:12" ht="15.5" thickTop="1" thickBot="1" x14ac:dyDescent="0.4">
      <c r="A10" s="31"/>
      <c r="B10" s="9" t="s">
        <v>18</v>
      </c>
      <c r="C10" s="6"/>
      <c r="D10" s="6" t="s">
        <v>14</v>
      </c>
      <c r="E10" s="6">
        <v>3</v>
      </c>
      <c r="F10" s="6">
        <v>1</v>
      </c>
      <c r="G10" s="6">
        <v>8</v>
      </c>
      <c r="H10" s="10">
        <v>4</v>
      </c>
      <c r="I10">
        <f>I9*16</f>
        <v>192</v>
      </c>
      <c r="J10">
        <f t="shared" ref="J10:K10" si="1">J9*16</f>
        <v>64</v>
      </c>
      <c r="K10">
        <f t="shared" si="1"/>
        <v>512</v>
      </c>
    </row>
    <row r="11" spans="1:12" ht="15" hidden="1" thickBot="1" x14ac:dyDescent="0.4">
      <c r="A11" s="31"/>
      <c r="B11" s="36" t="s">
        <v>19</v>
      </c>
      <c r="C11" s="22"/>
      <c r="D11" s="22"/>
      <c r="E11" s="22"/>
      <c r="F11" s="22"/>
      <c r="G11" s="22"/>
      <c r="H11" s="37"/>
    </row>
    <row r="12" spans="1:12" ht="26.5" hidden="1" thickBot="1" x14ac:dyDescent="0.4">
      <c r="A12" s="31"/>
      <c r="B12" s="5" t="s">
        <v>20</v>
      </c>
      <c r="C12" s="24"/>
      <c r="D12" s="25"/>
      <c r="E12" s="25"/>
      <c r="F12" s="25"/>
      <c r="G12" s="25"/>
      <c r="H12" s="38"/>
    </row>
    <row r="13" spans="1:12" ht="15" hidden="1" thickBot="1" x14ac:dyDescent="0.4">
      <c r="A13" s="31"/>
      <c r="B13" s="36" t="s">
        <v>21</v>
      </c>
      <c r="C13" s="22"/>
      <c r="D13" s="22"/>
      <c r="E13" s="22"/>
      <c r="F13" s="22"/>
      <c r="G13" s="22"/>
      <c r="H13" s="37"/>
    </row>
    <row r="14" spans="1:12" ht="39.5" hidden="1" thickBot="1" x14ac:dyDescent="0.4">
      <c r="A14" s="31"/>
      <c r="B14" s="5" t="s">
        <v>22</v>
      </c>
      <c r="C14" s="24"/>
      <c r="D14" s="25"/>
      <c r="E14" s="25"/>
      <c r="F14" s="25"/>
      <c r="G14" s="25"/>
      <c r="H14" s="38"/>
    </row>
    <row r="15" spans="1:12" ht="15" hidden="1" thickBot="1" x14ac:dyDescent="0.4">
      <c r="A15" s="31"/>
      <c r="B15" s="36" t="s">
        <v>23</v>
      </c>
      <c r="C15" s="22"/>
      <c r="D15" s="22"/>
      <c r="E15" s="22"/>
      <c r="F15" s="22"/>
      <c r="G15" s="22"/>
      <c r="H15" s="37"/>
    </row>
    <row r="16" spans="1:12" ht="26.5" hidden="1" thickBot="1" x14ac:dyDescent="0.4">
      <c r="A16" s="31"/>
      <c r="B16" s="5" t="s">
        <v>24</v>
      </c>
      <c r="C16" s="24"/>
      <c r="D16" s="25"/>
      <c r="E16" s="25"/>
      <c r="F16" s="25"/>
      <c r="G16" s="25"/>
      <c r="H16" s="38"/>
    </row>
    <row r="17" spans="1:12" ht="15" hidden="1" thickBot="1" x14ac:dyDescent="0.4">
      <c r="A17" s="31"/>
      <c r="B17" s="36" t="s">
        <v>25</v>
      </c>
      <c r="C17" s="22"/>
      <c r="D17" s="22"/>
      <c r="E17" s="22"/>
      <c r="F17" s="22"/>
      <c r="G17" s="22"/>
      <c r="H17" s="37"/>
    </row>
    <row r="18" spans="1:12" ht="39.5" hidden="1" thickBot="1" x14ac:dyDescent="0.4">
      <c r="A18" s="32"/>
      <c r="B18" s="7" t="s">
        <v>26</v>
      </c>
      <c r="C18" s="39"/>
      <c r="D18" s="40"/>
      <c r="E18" s="40"/>
      <c r="F18" s="40"/>
      <c r="G18" s="40"/>
      <c r="H18" s="41"/>
    </row>
    <row r="19" spans="1:12" ht="15.5" thickTop="1" thickBot="1" x14ac:dyDescent="0.4">
      <c r="A19" s="27" t="s">
        <v>27</v>
      </c>
      <c r="B19" s="28"/>
      <c r="C19" s="28"/>
      <c r="D19" s="28"/>
      <c r="E19" s="28"/>
      <c r="F19" s="28"/>
      <c r="G19" s="29"/>
      <c r="H19" s="11">
        <v>16</v>
      </c>
    </row>
    <row r="20" spans="1:12" ht="15" thickBot="1" x14ac:dyDescent="0.4">
      <c r="A20" s="18" t="s">
        <v>28</v>
      </c>
      <c r="B20" s="12" t="s">
        <v>30</v>
      </c>
      <c r="C20" s="13"/>
      <c r="D20" s="13" t="s">
        <v>14</v>
      </c>
      <c r="E20" s="14">
        <v>3</v>
      </c>
      <c r="F20" s="14">
        <v>1</v>
      </c>
      <c r="G20" s="14">
        <v>8</v>
      </c>
      <c r="H20" s="14">
        <v>4</v>
      </c>
    </row>
    <row r="21" spans="1:12" ht="15" thickBot="1" x14ac:dyDescent="0.4">
      <c r="A21" s="19"/>
      <c r="B21" s="9" t="s">
        <v>31</v>
      </c>
      <c r="C21" s="6"/>
      <c r="D21" s="6" t="s">
        <v>14</v>
      </c>
      <c r="E21" s="6">
        <v>9</v>
      </c>
      <c r="F21" s="6">
        <v>3</v>
      </c>
      <c r="G21" s="6">
        <v>24</v>
      </c>
      <c r="H21" s="6">
        <v>12</v>
      </c>
      <c r="I21">
        <f>E20+E21</f>
        <v>12</v>
      </c>
      <c r="J21">
        <f t="shared" ref="J21:L21" si="2">F20+F21</f>
        <v>4</v>
      </c>
      <c r="K21">
        <f>G20+G21</f>
        <v>32</v>
      </c>
      <c r="L21">
        <f t="shared" si="2"/>
        <v>16</v>
      </c>
    </row>
    <row r="22" spans="1:12" ht="15" thickBot="1" x14ac:dyDescent="0.4">
      <c r="A22" s="19"/>
      <c r="B22" s="21" t="s">
        <v>19</v>
      </c>
      <c r="C22" s="22"/>
      <c r="D22" s="22"/>
      <c r="E22" s="22"/>
      <c r="F22" s="22"/>
      <c r="G22" s="22"/>
      <c r="H22" s="23"/>
      <c r="I22">
        <f>I21*16</f>
        <v>192</v>
      </c>
      <c r="J22">
        <f t="shared" ref="J22:K22" si="3">J21*16</f>
        <v>64</v>
      </c>
      <c r="K22">
        <f t="shared" si="3"/>
        <v>512</v>
      </c>
    </row>
    <row r="23" spans="1:12" ht="15" thickBot="1" x14ac:dyDescent="0.4">
      <c r="A23" s="19"/>
      <c r="B23" s="5" t="s">
        <v>32</v>
      </c>
      <c r="C23" s="24"/>
      <c r="D23" s="25"/>
      <c r="E23" s="25"/>
      <c r="F23" s="25"/>
      <c r="G23" s="25"/>
      <c r="H23" s="26"/>
    </row>
    <row r="24" spans="1:12" ht="39.5" thickBot="1" x14ac:dyDescent="0.4">
      <c r="A24" s="19"/>
      <c r="B24" s="5" t="s">
        <v>33</v>
      </c>
      <c r="C24" s="24"/>
      <c r="D24" s="25"/>
      <c r="E24" s="25"/>
      <c r="F24" s="25"/>
      <c r="G24" s="25"/>
      <c r="H24" s="26"/>
    </row>
    <row r="25" spans="1:12" ht="39.5" hidden="1" thickBot="1" x14ac:dyDescent="0.4">
      <c r="A25" s="19"/>
      <c r="B25" s="5" t="s">
        <v>34</v>
      </c>
      <c r="C25" s="24"/>
      <c r="D25" s="25"/>
      <c r="E25" s="25"/>
      <c r="F25" s="25"/>
      <c r="G25" s="25"/>
      <c r="H25" s="26"/>
    </row>
    <row r="26" spans="1:12" ht="15" hidden="1" thickBot="1" x14ac:dyDescent="0.4">
      <c r="A26" s="19"/>
      <c r="B26" s="21" t="s">
        <v>21</v>
      </c>
      <c r="C26" s="22"/>
      <c r="D26" s="22"/>
      <c r="E26" s="22"/>
      <c r="F26" s="22"/>
      <c r="G26" s="22"/>
      <c r="H26" s="23"/>
    </row>
    <row r="27" spans="1:12" ht="26.5" hidden="1" thickBot="1" x14ac:dyDescent="0.4">
      <c r="A27" s="19"/>
      <c r="B27" s="5" t="s">
        <v>35</v>
      </c>
      <c r="C27" s="24"/>
      <c r="D27" s="25"/>
      <c r="E27" s="25"/>
      <c r="F27" s="25"/>
      <c r="G27" s="25"/>
      <c r="H27" s="26"/>
    </row>
    <row r="28" spans="1:12" ht="39.5" hidden="1" thickBot="1" x14ac:dyDescent="0.4">
      <c r="A28" s="19"/>
      <c r="B28" s="5" t="s">
        <v>36</v>
      </c>
      <c r="C28" s="24"/>
      <c r="D28" s="25"/>
      <c r="E28" s="25"/>
      <c r="F28" s="25"/>
      <c r="G28" s="25"/>
      <c r="H28" s="26"/>
    </row>
    <row r="29" spans="1:12" ht="39.5" hidden="1" thickBot="1" x14ac:dyDescent="0.4">
      <c r="A29" s="19"/>
      <c r="B29" s="5" t="s">
        <v>37</v>
      </c>
      <c r="C29" s="24"/>
      <c r="D29" s="25"/>
      <c r="E29" s="25"/>
      <c r="F29" s="25"/>
      <c r="G29" s="25"/>
      <c r="H29" s="26"/>
    </row>
    <row r="30" spans="1:12" ht="52.5" hidden="1" thickBot="1" x14ac:dyDescent="0.4">
      <c r="A30" s="19"/>
      <c r="B30" s="5" t="s">
        <v>38</v>
      </c>
      <c r="C30" s="24"/>
      <c r="D30" s="25"/>
      <c r="E30" s="25"/>
      <c r="F30" s="25"/>
      <c r="G30" s="25"/>
      <c r="H30" s="26"/>
    </row>
    <row r="31" spans="1:12" ht="15" hidden="1" thickBot="1" x14ac:dyDescent="0.4">
      <c r="A31" s="19"/>
      <c r="B31" s="21" t="s">
        <v>23</v>
      </c>
      <c r="C31" s="22"/>
      <c r="D31" s="22"/>
      <c r="E31" s="22"/>
      <c r="F31" s="22"/>
      <c r="G31" s="22"/>
      <c r="H31" s="23"/>
    </row>
    <row r="32" spans="1:12" ht="26.5" hidden="1" thickBot="1" x14ac:dyDescent="0.4">
      <c r="A32" s="19"/>
      <c r="B32" s="5" t="s">
        <v>39</v>
      </c>
      <c r="C32" s="24"/>
      <c r="D32" s="25"/>
      <c r="E32" s="25"/>
      <c r="F32" s="25"/>
      <c r="G32" s="25"/>
      <c r="H32" s="26"/>
    </row>
    <row r="33" spans="1:12" ht="26.5" hidden="1" thickBot="1" x14ac:dyDescent="0.4">
      <c r="A33" s="19"/>
      <c r="B33" s="5" t="s">
        <v>40</v>
      </c>
      <c r="C33" s="24"/>
      <c r="D33" s="25"/>
      <c r="E33" s="25"/>
      <c r="F33" s="25"/>
      <c r="G33" s="25"/>
      <c r="H33" s="26"/>
    </row>
    <row r="34" spans="1:12" ht="39.5" hidden="1" thickBot="1" x14ac:dyDescent="0.4">
      <c r="A34" s="19"/>
      <c r="B34" s="5" t="s">
        <v>41</v>
      </c>
      <c r="C34" s="24"/>
      <c r="D34" s="25"/>
      <c r="E34" s="25"/>
      <c r="F34" s="25"/>
      <c r="G34" s="25"/>
      <c r="H34" s="26"/>
    </row>
    <row r="35" spans="1:12" ht="39.5" hidden="1" thickBot="1" x14ac:dyDescent="0.4">
      <c r="A35" s="19"/>
      <c r="B35" s="5" t="s">
        <v>42</v>
      </c>
      <c r="C35" s="24"/>
      <c r="D35" s="25"/>
      <c r="E35" s="25"/>
      <c r="F35" s="25"/>
      <c r="G35" s="25"/>
      <c r="H35" s="26"/>
    </row>
    <row r="36" spans="1:12" ht="15" hidden="1" thickBot="1" x14ac:dyDescent="0.4">
      <c r="A36" s="19"/>
      <c r="B36" s="21" t="s">
        <v>25</v>
      </c>
      <c r="C36" s="22"/>
      <c r="D36" s="22"/>
      <c r="E36" s="22"/>
      <c r="F36" s="22"/>
      <c r="G36" s="22"/>
      <c r="H36" s="23"/>
    </row>
    <row r="37" spans="1:12" ht="15" hidden="1" thickBot="1" x14ac:dyDescent="0.4">
      <c r="A37" s="19"/>
      <c r="B37" s="5" t="s">
        <v>43</v>
      </c>
      <c r="C37" s="24"/>
      <c r="D37" s="25"/>
      <c r="E37" s="25"/>
      <c r="F37" s="25"/>
      <c r="G37" s="25"/>
      <c r="H37" s="26"/>
    </row>
    <row r="38" spans="1:12" ht="26.5" hidden="1" thickBot="1" x14ac:dyDescent="0.4">
      <c r="A38" s="19"/>
      <c r="B38" s="5" t="s">
        <v>44</v>
      </c>
      <c r="C38" s="24"/>
      <c r="D38" s="25"/>
      <c r="E38" s="25"/>
      <c r="F38" s="25"/>
      <c r="G38" s="25"/>
      <c r="H38" s="26"/>
    </row>
    <row r="39" spans="1:12" ht="26.5" hidden="1" thickBot="1" x14ac:dyDescent="0.4">
      <c r="A39" s="19"/>
      <c r="B39" s="5" t="s">
        <v>45</v>
      </c>
      <c r="C39" s="24"/>
      <c r="D39" s="25"/>
      <c r="E39" s="25"/>
      <c r="F39" s="25"/>
      <c r="G39" s="25"/>
      <c r="H39" s="26"/>
    </row>
    <row r="40" spans="1:12" ht="26.5" hidden="1" thickBot="1" x14ac:dyDescent="0.4">
      <c r="A40" s="20"/>
      <c r="B40" s="5" t="s">
        <v>46</v>
      </c>
      <c r="C40" s="24"/>
      <c r="D40" s="25"/>
      <c r="E40" s="25"/>
      <c r="F40" s="25"/>
      <c r="G40" s="25"/>
      <c r="H40" s="26"/>
    </row>
    <row r="41" spans="1:12" ht="15" thickBot="1" x14ac:dyDescent="0.4">
      <c r="A41" s="15" t="s">
        <v>47</v>
      </c>
      <c r="B41" s="16"/>
      <c r="C41" s="16"/>
      <c r="D41" s="16"/>
      <c r="E41" s="16"/>
      <c r="F41" s="16"/>
      <c r="G41" s="17"/>
      <c r="H41" s="11">
        <v>16</v>
      </c>
      <c r="K41">
        <v>64</v>
      </c>
    </row>
    <row r="42" spans="1:12" ht="26.5" thickBot="1" x14ac:dyDescent="0.4">
      <c r="A42" s="18" t="s">
        <v>48</v>
      </c>
      <c r="B42" s="5" t="s">
        <v>57</v>
      </c>
      <c r="C42" s="6" t="s">
        <v>14</v>
      </c>
      <c r="D42" s="6"/>
      <c r="E42" s="6">
        <v>0</v>
      </c>
      <c r="F42" s="6">
        <v>0</v>
      </c>
      <c r="G42" s="6">
        <v>12</v>
      </c>
      <c r="H42" s="6">
        <v>4</v>
      </c>
      <c r="K42">
        <f>G43*16</f>
        <v>128</v>
      </c>
    </row>
    <row r="43" spans="1:12" ht="15" thickBot="1" x14ac:dyDescent="0.4">
      <c r="A43" s="19"/>
      <c r="B43" s="2" t="s">
        <v>58</v>
      </c>
      <c r="C43" s="6"/>
      <c r="D43" s="6" t="s">
        <v>14</v>
      </c>
      <c r="E43" s="6">
        <v>3</v>
      </c>
      <c r="F43" s="6">
        <v>1</v>
      </c>
      <c r="G43" s="6">
        <v>8</v>
      </c>
      <c r="H43" s="6">
        <v>4</v>
      </c>
      <c r="K43">
        <f>G42*16</f>
        <v>192</v>
      </c>
    </row>
    <row r="44" spans="1:12" ht="15" thickBot="1" x14ac:dyDescent="0.4">
      <c r="A44" s="19"/>
      <c r="B44" s="9" t="s">
        <v>50</v>
      </c>
      <c r="C44" s="6"/>
      <c r="D44" s="6" t="s">
        <v>14</v>
      </c>
      <c r="E44" s="6">
        <v>3</v>
      </c>
      <c r="F44" s="6">
        <v>1</v>
      </c>
      <c r="G44" s="6">
        <v>8</v>
      </c>
      <c r="H44" s="6">
        <v>4</v>
      </c>
      <c r="I44">
        <f>E42+E43+E44</f>
        <v>6</v>
      </c>
      <c r="J44">
        <f t="shared" ref="J44:L44" si="4">F42+F43+F44</f>
        <v>2</v>
      </c>
      <c r="K44">
        <f>G42+G43+G44</f>
        <v>28</v>
      </c>
      <c r="L44">
        <f t="shared" si="4"/>
        <v>12</v>
      </c>
    </row>
    <row r="45" spans="1:12" ht="15" thickBot="1" x14ac:dyDescent="0.4">
      <c r="A45" s="19"/>
      <c r="B45" s="21" t="s">
        <v>19</v>
      </c>
      <c r="C45" s="22"/>
      <c r="D45" s="22"/>
      <c r="E45" s="22"/>
      <c r="F45" s="22"/>
      <c r="G45" s="22"/>
      <c r="H45" s="23"/>
      <c r="I45">
        <f>I44*16</f>
        <v>96</v>
      </c>
      <c r="J45">
        <f t="shared" ref="J45" si="5">J44*16</f>
        <v>32</v>
      </c>
      <c r="K45">
        <f>K44*16</f>
        <v>448</v>
      </c>
    </row>
    <row r="46" spans="1:12" ht="65.5" thickBot="1" x14ac:dyDescent="0.4">
      <c r="A46" s="19"/>
      <c r="B46" s="5" t="s">
        <v>51</v>
      </c>
      <c r="C46" s="24"/>
      <c r="D46" s="25"/>
      <c r="E46" s="25"/>
      <c r="F46" s="25"/>
      <c r="G46" s="25"/>
      <c r="H46" s="26"/>
    </row>
    <row r="47" spans="1:12" ht="15" thickBot="1" x14ac:dyDescent="0.4">
      <c r="A47" s="19"/>
      <c r="B47" s="21" t="s">
        <v>21</v>
      </c>
      <c r="C47" s="22"/>
      <c r="D47" s="22"/>
      <c r="E47" s="22"/>
      <c r="F47" s="22"/>
      <c r="G47" s="22"/>
      <c r="H47" s="23"/>
      <c r="I47">
        <f>I21+I9+I44</f>
        <v>30</v>
      </c>
      <c r="J47">
        <f t="shared" ref="J47:L47" si="6">J21+J9+J44</f>
        <v>10</v>
      </c>
      <c r="K47">
        <f t="shared" si="6"/>
        <v>92</v>
      </c>
      <c r="L47">
        <f t="shared" si="6"/>
        <v>44</v>
      </c>
    </row>
    <row r="48" spans="1:12" ht="26.5" thickBot="1" x14ac:dyDescent="0.4">
      <c r="A48" s="19"/>
      <c r="B48" s="5" t="s">
        <v>52</v>
      </c>
      <c r="C48" s="24"/>
      <c r="D48" s="25"/>
      <c r="E48" s="25"/>
      <c r="F48" s="25"/>
      <c r="G48" s="25"/>
      <c r="H48" s="26"/>
      <c r="I48">
        <f>I10+I22+I45</f>
        <v>480</v>
      </c>
      <c r="J48">
        <f t="shared" ref="J48" si="7">J10+J22+J45</f>
        <v>160</v>
      </c>
      <c r="K48">
        <f>K10+K22+K45</f>
        <v>1472</v>
      </c>
    </row>
    <row r="49" spans="1:11" ht="78.5" thickBot="1" x14ac:dyDescent="0.4">
      <c r="A49" s="19"/>
      <c r="B49" s="5" t="s">
        <v>53</v>
      </c>
      <c r="C49" s="24"/>
      <c r="D49" s="25"/>
      <c r="E49" s="25"/>
      <c r="F49" s="25"/>
      <c r="G49" s="25"/>
      <c r="H49" s="26"/>
      <c r="K49">
        <f>I48+J48+K48</f>
        <v>2112</v>
      </c>
    </row>
    <row r="50" spans="1:11" ht="15" thickBot="1" x14ac:dyDescent="0.4">
      <c r="A50" s="19"/>
      <c r="B50" s="21" t="s">
        <v>23</v>
      </c>
      <c r="C50" s="22"/>
      <c r="D50" s="22"/>
      <c r="E50" s="22"/>
      <c r="F50" s="22"/>
      <c r="G50" s="22"/>
      <c r="H50" s="23"/>
    </row>
    <row r="51" spans="1:11" ht="39.5" thickBot="1" x14ac:dyDescent="0.4">
      <c r="A51" s="19"/>
      <c r="B51" s="5" t="s">
        <v>54</v>
      </c>
      <c r="C51" s="24"/>
      <c r="D51" s="25"/>
      <c r="E51" s="25"/>
      <c r="F51" s="25"/>
      <c r="G51" s="25"/>
      <c r="H51" s="26"/>
      <c r="I51">
        <v>44</v>
      </c>
    </row>
    <row r="52" spans="1:11" ht="15" thickBot="1" x14ac:dyDescent="0.4">
      <c r="A52" s="19"/>
      <c r="B52" s="21" t="s">
        <v>25</v>
      </c>
      <c r="C52" s="22"/>
      <c r="D52" s="22"/>
      <c r="E52" s="22"/>
      <c r="F52" s="22"/>
      <c r="G52" s="22"/>
      <c r="H52" s="23"/>
      <c r="I52">
        <v>8</v>
      </c>
      <c r="J52" s="50">
        <f>SUM(I52:I54)</f>
        <v>36</v>
      </c>
    </row>
    <row r="53" spans="1:11" ht="15" thickBot="1" x14ac:dyDescent="0.4">
      <c r="A53" s="20"/>
      <c r="B53" s="5" t="s">
        <v>55</v>
      </c>
      <c r="C53" s="24"/>
      <c r="D53" s="25"/>
      <c r="E53" s="25"/>
      <c r="F53" s="25"/>
      <c r="G53" s="25"/>
      <c r="H53" s="26"/>
      <c r="I53">
        <v>8</v>
      </c>
      <c r="J53" s="50"/>
      <c r="K53">
        <f>J52*100/I51</f>
        <v>81.818181818181813</v>
      </c>
    </row>
    <row r="54" spans="1:11" ht="15" thickBot="1" x14ac:dyDescent="0.4">
      <c r="A54" s="15" t="s">
        <v>47</v>
      </c>
      <c r="B54" s="16"/>
      <c r="C54" s="16"/>
      <c r="D54" s="16"/>
      <c r="E54" s="16"/>
      <c r="F54" s="16"/>
      <c r="G54" s="17"/>
      <c r="H54" s="11">
        <v>12</v>
      </c>
      <c r="I54">
        <v>20</v>
      </c>
      <c r="J54" s="50"/>
    </row>
    <row r="55" spans="1:11" x14ac:dyDescent="0.35">
      <c r="I55">
        <v>8</v>
      </c>
      <c r="J55">
        <v>8</v>
      </c>
      <c r="K55">
        <f>J55*100/I51</f>
        <v>18.181818181818183</v>
      </c>
    </row>
  </sheetData>
  <mergeCells count="51">
    <mergeCell ref="J52:J54"/>
    <mergeCell ref="A2:H2"/>
    <mergeCell ref="A3:H3"/>
    <mergeCell ref="A4:A5"/>
    <mergeCell ref="B4:B5"/>
    <mergeCell ref="C4:D4"/>
    <mergeCell ref="E4:G4"/>
    <mergeCell ref="H4:H5"/>
    <mergeCell ref="A6:A18"/>
    <mergeCell ref="B7:H7"/>
    <mergeCell ref="B11:H11"/>
    <mergeCell ref="C12:H12"/>
    <mergeCell ref="B13:H13"/>
    <mergeCell ref="C14:H14"/>
    <mergeCell ref="B15:H15"/>
    <mergeCell ref="C16:H16"/>
    <mergeCell ref="B17:H17"/>
    <mergeCell ref="C18:H18"/>
    <mergeCell ref="A19:G19"/>
    <mergeCell ref="A20:A40"/>
    <mergeCell ref="B22:H22"/>
    <mergeCell ref="C23:H23"/>
    <mergeCell ref="C24:H24"/>
    <mergeCell ref="C25:H25"/>
    <mergeCell ref="B26:H26"/>
    <mergeCell ref="C27:H27"/>
    <mergeCell ref="C28:H28"/>
    <mergeCell ref="C29:H29"/>
    <mergeCell ref="A41:G41"/>
    <mergeCell ref="C30:H30"/>
    <mergeCell ref="B31:H31"/>
    <mergeCell ref="C32:H32"/>
    <mergeCell ref="C33:H33"/>
    <mergeCell ref="C34:H34"/>
    <mergeCell ref="C35:H35"/>
    <mergeCell ref="B36:H36"/>
    <mergeCell ref="C37:H37"/>
    <mergeCell ref="C38:H38"/>
    <mergeCell ref="C39:H39"/>
    <mergeCell ref="C40:H40"/>
    <mergeCell ref="A54:G54"/>
    <mergeCell ref="A42:A53"/>
    <mergeCell ref="B45:H45"/>
    <mergeCell ref="C46:H46"/>
    <mergeCell ref="B47:H47"/>
    <mergeCell ref="C48:H48"/>
    <mergeCell ref="C49:H49"/>
    <mergeCell ref="B50:H50"/>
    <mergeCell ref="C51:H51"/>
    <mergeCell ref="B52:H52"/>
    <mergeCell ref="C53:H53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Investigación</vt:lpstr>
      <vt:lpstr>Profundización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</dc:creator>
  <cp:lastModifiedBy>RUBIANO SUAREZ ALISON KATHERINE</cp:lastModifiedBy>
  <dcterms:created xsi:type="dcterms:W3CDTF">2024-11-24T20:26:27Z</dcterms:created>
  <dcterms:modified xsi:type="dcterms:W3CDTF">2025-02-18T14:56:58Z</dcterms:modified>
</cp:coreProperties>
</file>