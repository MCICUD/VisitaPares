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\MCIC\2024\Doc modificaicones\"/>
    </mc:Choice>
  </mc:AlternateContent>
  <xr:revisionPtr revIDLastSave="0" documentId="13_ncr:1_{C477D304-3AC3-492D-BB9E-9D6C7EE2807F}" xr6:coauthVersionLast="36" xr6:coauthVersionMax="36" xr10:uidLastSave="{00000000-0000-0000-0000-000000000000}"/>
  <bookViews>
    <workbookView xWindow="0" yWindow="0" windowWidth="19200" windowHeight="8250" xr2:uid="{31C8AA4E-C048-4664-BA97-4245D592E75F}"/>
  </bookViews>
  <sheets>
    <sheet name="PRO Tranciscion" sheetId="1" r:id="rId1"/>
    <sheet name="INV Trancis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1" l="1"/>
  <c r="O53" i="1"/>
  <c r="O54" i="1" s="1"/>
  <c r="H55" i="2"/>
  <c r="P55" i="2"/>
  <c r="M41" i="2"/>
  <c r="M40" i="1"/>
  <c r="M54" i="1" s="1"/>
  <c r="P54" i="2" l="1"/>
  <c r="Q54" i="2" l="1"/>
  <c r="Q55" i="2" s="1"/>
  <c r="O54" i="2"/>
  <c r="N54" i="2"/>
  <c r="M54" i="2"/>
  <c r="I54" i="2"/>
  <c r="H54" i="2"/>
  <c r="G54" i="2"/>
  <c r="G55" i="2" s="1"/>
  <c r="F54" i="2"/>
  <c r="F55" i="2" s="1"/>
  <c r="E54" i="2"/>
  <c r="S41" i="2"/>
  <c r="Q41" i="2"/>
  <c r="P41" i="2"/>
  <c r="O41" i="2"/>
  <c r="O55" i="2" s="1"/>
  <c r="N41" i="2"/>
  <c r="I41" i="2"/>
  <c r="I55" i="2" s="1"/>
  <c r="H41" i="2"/>
  <c r="G41" i="2"/>
  <c r="F41" i="2"/>
  <c r="E41" i="2"/>
  <c r="E55" i="2" s="1"/>
  <c r="Q17" i="2"/>
  <c r="P17" i="2"/>
  <c r="O17" i="2"/>
  <c r="N17" i="2"/>
  <c r="M17" i="2"/>
  <c r="I17" i="2"/>
  <c r="H17" i="2"/>
  <c r="G17" i="2"/>
  <c r="F17" i="2"/>
  <c r="E17" i="2"/>
  <c r="I54" i="1"/>
  <c r="Q53" i="1"/>
  <c r="P53" i="1"/>
  <c r="N53" i="1"/>
  <c r="N54" i="1" s="1"/>
  <c r="M53" i="1"/>
  <c r="I53" i="1"/>
  <c r="H53" i="1"/>
  <c r="H54" i="1" s="1"/>
  <c r="G53" i="1"/>
  <c r="G54" i="1" s="1"/>
  <c r="F53" i="1"/>
  <c r="E53" i="1"/>
  <c r="Q40" i="1"/>
  <c r="Q54" i="1" s="1"/>
  <c r="P40" i="1"/>
  <c r="O40" i="1"/>
  <c r="N40" i="1"/>
  <c r="I40" i="1"/>
  <c r="H40" i="1"/>
  <c r="G40" i="1"/>
  <c r="F40" i="1"/>
  <c r="F54" i="1" s="1"/>
  <c r="E40" i="1"/>
  <c r="E54" i="1" s="1"/>
  <c r="Q17" i="1"/>
  <c r="P17" i="1"/>
  <c r="O17" i="1"/>
  <c r="N17" i="1"/>
  <c r="M17" i="1"/>
  <c r="I17" i="1"/>
  <c r="H17" i="1"/>
  <c r="G17" i="1"/>
  <c r="F17" i="1"/>
  <c r="E17" i="1"/>
  <c r="N55" i="2" l="1"/>
  <c r="M55" i="2"/>
</calcChain>
</file>

<file path=xl/sharedStrings.xml><?xml version="1.0" encoding="utf-8"?>
<sst xmlns="http://schemas.openxmlformats.org/spreadsheetml/2006/main" count="364" uniqueCount="71">
  <si>
    <t>PLAN DE ESTUDIOS ANTERIOR</t>
  </si>
  <si>
    <t>PLAN DE ESTUDIOS NUEVO</t>
  </si>
  <si>
    <t>N°</t>
  </si>
  <si>
    <t>Espacio académico</t>
  </si>
  <si>
    <t>Carácter</t>
  </si>
  <si>
    <t>Nivel</t>
  </si>
  <si>
    <t>Horas</t>
  </si>
  <si>
    <t>Créd.</t>
  </si>
  <si>
    <t>Espacio académico pensum actual</t>
  </si>
  <si>
    <t>(Teórico-Práctico)</t>
  </si>
  <si>
    <t>TD</t>
  </si>
  <si>
    <t>TC</t>
  </si>
  <si>
    <t>TA</t>
  </si>
  <si>
    <t>Total horas al semestre</t>
  </si>
  <si>
    <t>PRIMER SEMESTRE</t>
  </si>
  <si>
    <t>SEMINARIO DE INVESTIGACION</t>
  </si>
  <si>
    <t>Teórico-Práctico</t>
  </si>
  <si>
    <t>FUNDAMENTALES</t>
  </si>
  <si>
    <t xml:space="preserve">	HERRAMIENTAS MATEMATICAS PARA EL MANEJO DE LA INFORMACION</t>
  </si>
  <si>
    <t>INFORMATICA</t>
  </si>
  <si>
    <t>ENFASIS TELEINFORMATICA</t>
  </si>
  <si>
    <t>PROCESOS ESTOCASTICOS</t>
  </si>
  <si>
    <t>ENFASIS GEOMATICA</t>
  </si>
  <si>
    <t>BASES DE DATOS ESPECIALES</t>
  </si>
  <si>
    <t>ENFASIS INGENIERIA DE SOFTWARE</t>
  </si>
  <si>
    <t>INGENIERIA DE SOTFWARE I</t>
  </si>
  <si>
    <t>ENFASIS INTELIGENCIA ARTIFICIAL</t>
  </si>
  <si>
    <t>INTELIGENCIA COMPUTACIONAL</t>
  </si>
  <si>
    <t>Subtotales</t>
  </si>
  <si>
    <t>SEGUNDO SEMESTRE</t>
  </si>
  <si>
    <t>REDES</t>
  </si>
  <si>
    <t>MODELADO Y SIMULACION DE REDES</t>
  </si>
  <si>
    <t>APLICACIONES SOBRE INTERNET EN LA NUBE</t>
  </si>
  <si>
    <t>AVANCES EN REDES INALAMBRICAS</t>
  </si>
  <si>
    <t>ANALISIS ESPACIAL</t>
  </si>
  <si>
    <t>SERVICIOS GEOGRAFICOS WEB</t>
  </si>
  <si>
    <t>SISTEMAS DE POSICIONAMIENTO GEODESICO</t>
  </si>
  <si>
    <t>METODOS AVANZADOS EN ANALISIS DE IMÁGENES</t>
  </si>
  <si>
    <t>BASES DE DATOS</t>
  </si>
  <si>
    <t>INGENIERIA DE SOTFWARE II</t>
  </si>
  <si>
    <t>PATRONES DE ARQUITECTURA DE SOFTWARE</t>
  </si>
  <si>
    <t>TENDENCIAS EN INGENIERIA DE SOFTWARE</t>
  </si>
  <si>
    <t>CONSTRUCCION Y PRUEBAS DE SOFTWARE</t>
  </si>
  <si>
    <t>ELECTIVAS</t>
  </si>
  <si>
    <t>REDES ÓPTICAS</t>
  </si>
  <si>
    <t>BIG DATA</t>
  </si>
  <si>
    <t xml:space="preserve">ENCAMINAMIENTO AVANZADO </t>
  </si>
  <si>
    <t>ANALITICA DE DATOS</t>
  </si>
  <si>
    <t>INTELIGENCIA DE NEGOCIOS</t>
  </si>
  <si>
    <t>GEOSERVICIOS</t>
  </si>
  <si>
    <t>ELECTIVA REDES DE SIGUIENTE GENERACIÓN</t>
  </si>
  <si>
    <t>COMPUTACION PARALELA</t>
  </si>
  <si>
    <t>TERCER SEMESTRE</t>
  </si>
  <si>
    <t>TESIS 1</t>
  </si>
  <si>
    <t>TRABAJO DE GRADO</t>
  </si>
  <si>
    <t>CALIDAD DE SERVICIO AVANZADA</t>
  </si>
  <si>
    <t>POLITICA SECTORIAL Y REGULACION EN TELECOMUNICACIONES</t>
  </si>
  <si>
    <t xml:space="preserve">REDES DE NUEVA GENERACIÓN </t>
  </si>
  <si>
    <t>DISEÑO Y MODELAMIENTO DE ANTENA</t>
  </si>
  <si>
    <t>ESTADISTICA ESPACIAL</t>
  </si>
  <si>
    <t>POLÍTICA SECTORIAL Y REGULACIÓN EN TELECOMUNICACIONES</t>
  </si>
  <si>
    <t>MATEMÁTICAS AVANZADAS Y GEOPROCESAMIENTO</t>
  </si>
  <si>
    <t>PROCESAMIENTO DIGITAL DE IMÁGENES Y ELABORACION DE PRODUCTOS CARTOGRAFICOS</t>
  </si>
  <si>
    <t>CRIPTOLOGÍA</t>
  </si>
  <si>
    <t>EMPRENDIMIENTO Y GESTIÓN TECNOLÓGICA</t>
  </si>
  <si>
    <t>GESTIÓN DEL CONOCIMIENTO</t>
  </si>
  <si>
    <t>ROBOTICA</t>
  </si>
  <si>
    <t>Total</t>
  </si>
  <si>
    <t>TRABAJO DE GRADO I</t>
  </si>
  <si>
    <t>TESIS II</t>
  </si>
  <si>
    <t>TRABAJO DE GRADO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</si>
</sst>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b/>
      <sz val="12"/>
      <name val="Arial"/>
      <family val="2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Times New Roman"/>
      <family val="1"/>
    </font>
    <font>
      <sz val="8"/>
      <name val="Times New Roman"/>
      <family val="1"/>
    </font>
    <font>
      <sz val="9"/>
      <name val="Calibri"/>
      <family val="2"/>
      <scheme val="minor"/>
    </font>
    <font>
      <sz val="9"/>
      <name val="Times New Roman"/>
      <family val="1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DD6E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127000</xdr:colOff>
      <xdr:row>0</xdr:row>
      <xdr:rowOff>0</xdr:rowOff>
    </xdr:from>
    <xdr:to>
      <xdr:col>9</xdr:col>
      <xdr:colOff>988785</xdr:colOff>
      <xdr:row>0</xdr:row>
      <xdr:rowOff>1122219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B5D32D-FE50-4DCE-A8E8-670801B66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9" t="20410" r="22139" b="25548"/>
        <a:stretch/>
      </xdr:blipFill>
      <xdr:spPr>
        <a:xfrm>
          <a:off x="4768850" y="0"/>
          <a:ext cx="2207985" cy="112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30AB-6091-4A47-A3F3-575B512786D6}">
  <sheetPr>
    <pageSetUpPr fitToPage="1"/>
  </sheetPr>
  <dimension ref="A1:V54"/>
  <sheetViews>
    <sheetView tabSelected="1" topLeftCell="B1" zoomScale="85" zoomScaleNormal="85" workbookViewId="0">
      <selection activeCell="V50" sqref="V50"/>
    </sheetView>
  </sheetViews>
  <sheetFormatPr baseColWidth="10" defaultColWidth="36.90625" defaultRowHeight="31.5" customHeight="1" x14ac:dyDescent="0.25"/>
  <cols>
    <col min="1" max="1" width="3" style="1" hidden="1" customWidth="1"/>
    <col min="2" max="2" width="19.26953125" style="1" customWidth="1"/>
    <col min="3" max="3" width="11.08984375" style="1" customWidth="1"/>
    <col min="4" max="4" width="4.26953125" style="1" bestFit="1" customWidth="1"/>
    <col min="5" max="6" width="3.26953125" style="1" bestFit="1" customWidth="1"/>
    <col min="7" max="7" width="4.08984375" style="1" bestFit="1" customWidth="1"/>
    <col min="8" max="8" width="9.453125" style="1" customWidth="1"/>
    <col min="9" max="9" width="4.453125" style="1" bestFit="1" customWidth="1"/>
    <col min="10" max="10" width="16.453125" style="1" customWidth="1"/>
    <col min="11" max="11" width="9.26953125" style="1" customWidth="1"/>
    <col min="12" max="12" width="4.26953125" style="1" bestFit="1" customWidth="1"/>
    <col min="13" max="14" width="3.26953125" style="1" bestFit="1" customWidth="1"/>
    <col min="15" max="15" width="4.08984375" style="1" bestFit="1" customWidth="1"/>
    <col min="16" max="16" width="8.36328125" style="1" customWidth="1"/>
    <col min="17" max="17" width="4.453125" style="1" bestFit="1" customWidth="1"/>
    <col min="18" max="22" width="4.54296875" style="1" customWidth="1"/>
    <col min="23" max="16384" width="36.90625" style="1"/>
  </cols>
  <sheetData>
    <row r="1" spans="1:22" ht="31.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3"/>
      <c r="J1" s="44" t="s">
        <v>1</v>
      </c>
      <c r="K1" s="44"/>
      <c r="L1" s="44"/>
      <c r="M1" s="44"/>
      <c r="N1" s="44"/>
      <c r="O1" s="44"/>
      <c r="P1" s="44"/>
      <c r="Q1" s="44"/>
    </row>
    <row r="2" spans="1:22" ht="31.5" customHeight="1" x14ac:dyDescent="0.25">
      <c r="A2" s="27" t="s">
        <v>2</v>
      </c>
      <c r="B2" s="27" t="s">
        <v>3</v>
      </c>
      <c r="C2" s="2" t="s">
        <v>4</v>
      </c>
      <c r="D2" s="27" t="s">
        <v>5</v>
      </c>
      <c r="E2" s="27" t="s">
        <v>6</v>
      </c>
      <c r="F2" s="27"/>
      <c r="G2" s="27"/>
      <c r="H2" s="27"/>
      <c r="I2" s="27" t="s">
        <v>7</v>
      </c>
      <c r="J2" s="27" t="s">
        <v>8</v>
      </c>
      <c r="K2" s="2" t="s">
        <v>4</v>
      </c>
      <c r="L2" s="27" t="s">
        <v>5</v>
      </c>
      <c r="M2" s="27" t="s">
        <v>6</v>
      </c>
      <c r="N2" s="27"/>
      <c r="O2" s="27"/>
      <c r="P2" s="27"/>
      <c r="Q2" s="27" t="s">
        <v>7</v>
      </c>
    </row>
    <row r="3" spans="1:22" ht="31.5" customHeight="1" x14ac:dyDescent="0.25">
      <c r="A3" s="27"/>
      <c r="B3" s="27"/>
      <c r="C3" s="2" t="s">
        <v>9</v>
      </c>
      <c r="D3" s="27"/>
      <c r="E3" s="2" t="s">
        <v>10</v>
      </c>
      <c r="F3" s="2" t="s">
        <v>11</v>
      </c>
      <c r="G3" s="2" t="s">
        <v>12</v>
      </c>
      <c r="H3" s="2" t="s">
        <v>13</v>
      </c>
      <c r="I3" s="27"/>
      <c r="J3" s="27"/>
      <c r="K3" s="2" t="s">
        <v>9</v>
      </c>
      <c r="L3" s="27"/>
      <c r="M3" s="2" t="s">
        <v>10</v>
      </c>
      <c r="N3" s="2" t="s">
        <v>11</v>
      </c>
      <c r="O3" s="2" t="s">
        <v>12</v>
      </c>
      <c r="P3" s="2" t="s">
        <v>13</v>
      </c>
      <c r="Q3" s="27"/>
    </row>
    <row r="4" spans="1:22" ht="31.5" customHeight="1" x14ac:dyDescent="0.25">
      <c r="A4" s="29" t="s">
        <v>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22" ht="21" x14ac:dyDescent="0.25">
      <c r="A5" s="3"/>
      <c r="B5" s="9" t="s">
        <v>15</v>
      </c>
      <c r="C5" s="9" t="s">
        <v>16</v>
      </c>
      <c r="D5" s="9">
        <v>1</v>
      </c>
      <c r="E5" s="9">
        <v>48</v>
      </c>
      <c r="F5" s="9">
        <v>16</v>
      </c>
      <c r="G5" s="9">
        <v>128</v>
      </c>
      <c r="H5" s="9">
        <v>192</v>
      </c>
      <c r="I5" s="9">
        <v>4</v>
      </c>
      <c r="J5" s="9" t="s">
        <v>15</v>
      </c>
      <c r="K5" s="9" t="s">
        <v>16</v>
      </c>
      <c r="L5" s="9">
        <v>1</v>
      </c>
      <c r="M5" s="9">
        <v>48</v>
      </c>
      <c r="N5" s="9">
        <v>16</v>
      </c>
      <c r="O5" s="9">
        <v>128</v>
      </c>
      <c r="P5" s="9">
        <v>192</v>
      </c>
      <c r="Q5" s="9">
        <v>4</v>
      </c>
    </row>
    <row r="6" spans="1:22" s="5" customFormat="1" ht="31.5" customHeight="1" x14ac:dyDescent="0.25">
      <c r="A6" s="39" t="s">
        <v>17</v>
      </c>
      <c r="B6" s="39"/>
      <c r="C6" s="39"/>
      <c r="D6" s="39"/>
      <c r="E6" s="39"/>
      <c r="F6" s="39"/>
      <c r="G6" s="39"/>
      <c r="H6" s="39"/>
      <c r="I6" s="39"/>
      <c r="J6" s="40" t="s">
        <v>17</v>
      </c>
      <c r="K6" s="40"/>
      <c r="L6" s="40"/>
      <c r="M6" s="40"/>
      <c r="N6" s="40"/>
      <c r="O6" s="40"/>
      <c r="P6" s="40"/>
      <c r="Q6" s="40"/>
      <c r="R6" s="1"/>
      <c r="S6" s="1"/>
      <c r="T6" s="1"/>
    </row>
    <row r="7" spans="1:22" s="5" customFormat="1" ht="31.5" customHeight="1" x14ac:dyDescent="0.25">
      <c r="A7" s="3">
        <v>2</v>
      </c>
      <c r="B7" s="9" t="s">
        <v>18</v>
      </c>
      <c r="C7" s="9" t="s">
        <v>16</v>
      </c>
      <c r="D7" s="9">
        <v>1</v>
      </c>
      <c r="E7" s="9">
        <v>48</v>
      </c>
      <c r="F7" s="9">
        <v>16</v>
      </c>
      <c r="G7" s="9">
        <v>128</v>
      </c>
      <c r="H7" s="9">
        <v>192</v>
      </c>
      <c r="I7" s="9">
        <v>4</v>
      </c>
      <c r="J7" s="9" t="s">
        <v>18</v>
      </c>
      <c r="K7" s="9" t="s">
        <v>16</v>
      </c>
      <c r="L7" s="9">
        <v>1</v>
      </c>
      <c r="M7" s="9">
        <v>48</v>
      </c>
      <c r="N7" s="9">
        <v>16</v>
      </c>
      <c r="O7" s="9">
        <v>128</v>
      </c>
      <c r="P7" s="9">
        <v>192</v>
      </c>
      <c r="Q7" s="9">
        <v>4</v>
      </c>
      <c r="R7" s="1"/>
      <c r="S7" s="1"/>
      <c r="T7" s="1"/>
    </row>
    <row r="8" spans="1:22" ht="21" x14ac:dyDescent="0.25">
      <c r="A8" s="3">
        <v>3</v>
      </c>
      <c r="B8" s="9" t="s">
        <v>19</v>
      </c>
      <c r="C8" s="9" t="s">
        <v>16</v>
      </c>
      <c r="D8" s="9">
        <v>1</v>
      </c>
      <c r="E8" s="9">
        <v>48</v>
      </c>
      <c r="F8" s="9">
        <v>16</v>
      </c>
      <c r="G8" s="9">
        <v>128</v>
      </c>
      <c r="H8" s="9">
        <v>192</v>
      </c>
      <c r="I8" s="9">
        <v>4</v>
      </c>
      <c r="J8" s="9" t="s">
        <v>19</v>
      </c>
      <c r="K8" s="9" t="s">
        <v>16</v>
      </c>
      <c r="L8" s="9">
        <v>1</v>
      </c>
      <c r="M8" s="9">
        <v>48</v>
      </c>
      <c r="N8" s="9">
        <v>16</v>
      </c>
      <c r="O8" s="9">
        <v>128</v>
      </c>
      <c r="P8" s="9">
        <v>192</v>
      </c>
      <c r="Q8" s="9">
        <v>4</v>
      </c>
    </row>
    <row r="9" spans="1:22" s="5" customFormat="1" ht="12.5" x14ac:dyDescent="0.25">
      <c r="A9" s="30" t="s">
        <v>20</v>
      </c>
      <c r="B9" s="30"/>
      <c r="C9" s="30"/>
      <c r="D9" s="10">
        <v>1</v>
      </c>
      <c r="E9" s="10">
        <v>48</v>
      </c>
      <c r="F9" s="10">
        <v>16</v>
      </c>
      <c r="G9" s="10">
        <v>128</v>
      </c>
      <c r="H9" s="7">
        <v>192</v>
      </c>
      <c r="I9" s="8">
        <v>4</v>
      </c>
      <c r="J9" s="30" t="s">
        <v>20</v>
      </c>
      <c r="K9" s="30"/>
      <c r="L9" s="9">
        <v>1</v>
      </c>
      <c r="M9" s="10">
        <v>48</v>
      </c>
      <c r="N9" s="10">
        <v>16</v>
      </c>
      <c r="O9" s="10">
        <v>128</v>
      </c>
      <c r="P9" s="7">
        <v>192</v>
      </c>
      <c r="Q9" s="8">
        <v>4</v>
      </c>
      <c r="R9" s="1"/>
      <c r="S9" s="1"/>
      <c r="T9" s="1"/>
    </row>
    <row r="10" spans="1:22" ht="24" x14ac:dyDescent="0.25">
      <c r="A10" s="3"/>
      <c r="B10" s="9" t="s">
        <v>21</v>
      </c>
      <c r="C10" s="10" t="s">
        <v>16</v>
      </c>
      <c r="D10" s="38"/>
      <c r="E10" s="38"/>
      <c r="F10" s="38"/>
      <c r="G10" s="38"/>
      <c r="H10" s="38"/>
      <c r="I10" s="38"/>
      <c r="J10" s="9" t="s">
        <v>21</v>
      </c>
      <c r="K10" s="10" t="s">
        <v>16</v>
      </c>
      <c r="L10" s="38"/>
      <c r="M10" s="38"/>
      <c r="N10" s="38"/>
      <c r="O10" s="38"/>
      <c r="P10" s="38"/>
      <c r="Q10" s="38"/>
    </row>
    <row r="11" spans="1:22" s="5" customFormat="1" ht="12.5" x14ac:dyDescent="0.25">
      <c r="A11" s="30" t="s">
        <v>22</v>
      </c>
      <c r="B11" s="30"/>
      <c r="C11" s="30"/>
      <c r="D11" s="10">
        <v>1</v>
      </c>
      <c r="E11" s="10">
        <v>48</v>
      </c>
      <c r="F11" s="10">
        <v>16</v>
      </c>
      <c r="G11" s="10">
        <v>128</v>
      </c>
      <c r="H11" s="7">
        <v>192</v>
      </c>
      <c r="I11" s="8">
        <v>4</v>
      </c>
      <c r="J11" s="30" t="s">
        <v>22</v>
      </c>
      <c r="K11" s="30"/>
      <c r="L11" s="10">
        <v>1</v>
      </c>
      <c r="M11" s="10">
        <v>48</v>
      </c>
      <c r="N11" s="10">
        <v>16</v>
      </c>
      <c r="O11" s="10">
        <v>128</v>
      </c>
      <c r="P11" s="7">
        <v>192</v>
      </c>
      <c r="Q11" s="8">
        <v>4</v>
      </c>
      <c r="R11" s="1"/>
      <c r="S11" s="1"/>
      <c r="T11" s="1"/>
    </row>
    <row r="12" spans="1:22" ht="24" x14ac:dyDescent="0.25">
      <c r="A12" s="3"/>
      <c r="B12" s="9" t="s">
        <v>23</v>
      </c>
      <c r="C12" s="10" t="s">
        <v>16</v>
      </c>
      <c r="D12" s="38"/>
      <c r="E12" s="38"/>
      <c r="F12" s="38"/>
      <c r="G12" s="38"/>
      <c r="H12" s="38"/>
      <c r="I12" s="38"/>
      <c r="J12" s="9" t="s">
        <v>23</v>
      </c>
      <c r="K12" s="10" t="s">
        <v>16</v>
      </c>
      <c r="L12" s="38"/>
      <c r="M12" s="38"/>
      <c r="N12" s="38"/>
      <c r="O12" s="38"/>
      <c r="P12" s="38"/>
      <c r="Q12" s="38"/>
      <c r="U12" s="5"/>
      <c r="V12" s="5"/>
    </row>
    <row r="13" spans="1:22" s="5" customFormat="1" ht="12.5" x14ac:dyDescent="0.25">
      <c r="A13" s="30" t="s">
        <v>24</v>
      </c>
      <c r="B13" s="30"/>
      <c r="C13" s="30"/>
      <c r="D13" s="10">
        <v>1</v>
      </c>
      <c r="E13" s="10">
        <v>48</v>
      </c>
      <c r="F13" s="10">
        <v>16</v>
      </c>
      <c r="G13" s="10">
        <v>128</v>
      </c>
      <c r="H13" s="7">
        <v>192</v>
      </c>
      <c r="I13" s="8">
        <v>4</v>
      </c>
      <c r="J13" s="27" t="s">
        <v>24</v>
      </c>
      <c r="K13" s="27"/>
      <c r="L13" s="10">
        <v>1</v>
      </c>
      <c r="M13" s="10">
        <v>48</v>
      </c>
      <c r="N13" s="10">
        <v>16</v>
      </c>
      <c r="O13" s="10">
        <v>128</v>
      </c>
      <c r="P13" s="7">
        <v>192</v>
      </c>
      <c r="Q13" s="8">
        <v>4</v>
      </c>
      <c r="R13" s="1"/>
      <c r="S13" s="1"/>
      <c r="T13" s="1"/>
    </row>
    <row r="14" spans="1:22" ht="24" x14ac:dyDescent="0.25">
      <c r="A14" s="3"/>
      <c r="B14" s="9" t="s">
        <v>25</v>
      </c>
      <c r="C14" s="10" t="s">
        <v>16</v>
      </c>
      <c r="D14" s="38"/>
      <c r="E14" s="38"/>
      <c r="F14" s="38"/>
      <c r="G14" s="38"/>
      <c r="H14" s="38"/>
      <c r="I14" s="38"/>
      <c r="J14" s="9" t="s">
        <v>25</v>
      </c>
      <c r="K14" s="10" t="s">
        <v>16</v>
      </c>
      <c r="L14" s="38"/>
      <c r="M14" s="38"/>
      <c r="N14" s="38"/>
      <c r="O14" s="38"/>
      <c r="P14" s="38"/>
      <c r="Q14" s="38"/>
      <c r="U14" s="5"/>
      <c r="V14" s="5"/>
    </row>
    <row r="15" spans="1:22" s="5" customFormat="1" ht="12.5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27" t="s">
        <v>26</v>
      </c>
      <c r="K15" s="27"/>
      <c r="L15" s="10">
        <v>1</v>
      </c>
      <c r="M15" s="10">
        <v>48</v>
      </c>
      <c r="N15" s="10">
        <v>16</v>
      </c>
      <c r="O15" s="10">
        <v>128</v>
      </c>
      <c r="P15" s="7">
        <v>192</v>
      </c>
      <c r="Q15" s="8">
        <v>4</v>
      </c>
      <c r="R15" s="1"/>
      <c r="S15" s="1"/>
      <c r="T15" s="1"/>
    </row>
    <row r="16" spans="1:22" ht="2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9" t="s">
        <v>27</v>
      </c>
      <c r="K16" s="10" t="s">
        <v>16</v>
      </c>
      <c r="L16" s="38"/>
      <c r="M16" s="38"/>
      <c r="N16" s="38"/>
      <c r="O16" s="38"/>
      <c r="P16" s="38"/>
      <c r="Q16" s="38"/>
      <c r="U16" s="5"/>
      <c r="V16" s="5"/>
    </row>
    <row r="17" spans="1:22" ht="12.5" x14ac:dyDescent="0.25">
      <c r="A17" s="23" t="s">
        <v>28</v>
      </c>
      <c r="B17" s="23"/>
      <c r="C17" s="23"/>
      <c r="D17" s="23"/>
      <c r="E17" s="10">
        <f>SUM(E7:E8,E9+E5)</f>
        <v>192</v>
      </c>
      <c r="F17" s="10">
        <f t="shared" ref="F17:H17" si="0">SUM(F7:F8,F9+F5)</f>
        <v>64</v>
      </c>
      <c r="G17" s="10">
        <f t="shared" si="0"/>
        <v>512</v>
      </c>
      <c r="H17" s="10">
        <f t="shared" si="0"/>
        <v>768</v>
      </c>
      <c r="I17" s="10">
        <f>SUM(I7:I8,I11+I5)</f>
        <v>16</v>
      </c>
      <c r="J17" s="24" t="s">
        <v>28</v>
      </c>
      <c r="K17" s="24"/>
      <c r="L17" s="24"/>
      <c r="M17" s="10">
        <f>SUM(M7:M8,M9+M5)</f>
        <v>192</v>
      </c>
      <c r="N17" s="10">
        <f t="shared" ref="N17:P17" si="1">SUM(N7:N8,N9+N5)</f>
        <v>64</v>
      </c>
      <c r="O17" s="10">
        <f t="shared" si="1"/>
        <v>512</v>
      </c>
      <c r="P17" s="10">
        <f t="shared" si="1"/>
        <v>768</v>
      </c>
      <c r="Q17" s="10">
        <f>SUM(Q7:Q8,Q11+Q5)</f>
        <v>16</v>
      </c>
      <c r="U17" s="5"/>
      <c r="V17" s="5"/>
    </row>
    <row r="18" spans="1:22" ht="12.5" x14ac:dyDescent="0.25">
      <c r="A18" s="29" t="s">
        <v>29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U18" s="5"/>
      <c r="V18" s="5"/>
    </row>
    <row r="19" spans="1:22" ht="12.5" x14ac:dyDescent="0.25">
      <c r="A19" s="30" t="s">
        <v>20</v>
      </c>
      <c r="B19" s="30"/>
      <c r="C19" s="30"/>
      <c r="D19" s="10">
        <v>2</v>
      </c>
      <c r="E19" s="10">
        <v>48</v>
      </c>
      <c r="F19" s="10">
        <v>16</v>
      </c>
      <c r="G19" s="10">
        <v>128</v>
      </c>
      <c r="H19" s="7">
        <v>192</v>
      </c>
      <c r="I19" s="8">
        <v>4</v>
      </c>
      <c r="J19" s="30" t="s">
        <v>20</v>
      </c>
      <c r="K19" s="30"/>
      <c r="L19" s="30"/>
      <c r="M19" s="10">
        <v>48</v>
      </c>
      <c r="N19" s="10">
        <v>16</v>
      </c>
      <c r="O19" s="10">
        <v>128</v>
      </c>
      <c r="P19" s="7">
        <v>192</v>
      </c>
      <c r="Q19" s="8">
        <v>4</v>
      </c>
      <c r="U19" s="5"/>
      <c r="V19" s="5"/>
    </row>
    <row r="20" spans="1:22" ht="24" x14ac:dyDescent="0.25">
      <c r="A20" s="34"/>
      <c r="B20" s="10" t="s">
        <v>30</v>
      </c>
      <c r="C20" s="10" t="s">
        <v>16</v>
      </c>
      <c r="D20" s="34"/>
      <c r="E20" s="34"/>
      <c r="F20" s="34"/>
      <c r="G20" s="34"/>
      <c r="H20" s="34"/>
      <c r="I20" s="34"/>
      <c r="J20" s="10" t="s">
        <v>30</v>
      </c>
      <c r="K20" s="10" t="s">
        <v>16</v>
      </c>
      <c r="L20" s="34"/>
      <c r="M20" s="34"/>
      <c r="N20" s="34"/>
      <c r="O20" s="34"/>
      <c r="P20" s="34"/>
      <c r="Q20" s="34"/>
    </row>
    <row r="21" spans="1:22" ht="36" x14ac:dyDescent="0.25">
      <c r="A21" s="34"/>
      <c r="B21" s="10" t="s">
        <v>31</v>
      </c>
      <c r="C21" s="10" t="s">
        <v>16</v>
      </c>
      <c r="D21" s="34"/>
      <c r="E21" s="34"/>
      <c r="F21" s="34"/>
      <c r="G21" s="34"/>
      <c r="H21" s="34"/>
      <c r="I21" s="34"/>
      <c r="J21" s="10" t="s">
        <v>31</v>
      </c>
      <c r="K21" s="10" t="s">
        <v>16</v>
      </c>
      <c r="L21" s="34"/>
      <c r="M21" s="34"/>
      <c r="N21" s="34"/>
      <c r="O21" s="34"/>
      <c r="P21" s="34"/>
      <c r="Q21" s="34"/>
    </row>
    <row r="22" spans="1:22" ht="36" x14ac:dyDescent="0.25">
      <c r="A22" s="34"/>
      <c r="B22" s="10" t="s">
        <v>32</v>
      </c>
      <c r="C22" s="10" t="s">
        <v>16</v>
      </c>
      <c r="D22" s="34"/>
      <c r="E22" s="34"/>
      <c r="F22" s="34"/>
      <c r="G22" s="34"/>
      <c r="H22" s="34"/>
      <c r="I22" s="34"/>
      <c r="J22" s="10" t="s">
        <v>32</v>
      </c>
      <c r="K22" s="10" t="s">
        <v>16</v>
      </c>
      <c r="L22" s="34"/>
      <c r="M22" s="34"/>
      <c r="N22" s="34"/>
      <c r="O22" s="34"/>
      <c r="P22" s="34"/>
      <c r="Q22" s="34"/>
    </row>
    <row r="23" spans="1:22" ht="24" x14ac:dyDescent="0.25">
      <c r="A23" s="34"/>
      <c r="B23" s="10" t="s">
        <v>33</v>
      </c>
      <c r="C23" s="10" t="s">
        <v>16</v>
      </c>
      <c r="D23" s="34"/>
      <c r="E23" s="34"/>
      <c r="F23" s="34"/>
      <c r="G23" s="34"/>
      <c r="H23" s="34"/>
      <c r="I23" s="34"/>
      <c r="J23" s="10" t="s">
        <v>33</v>
      </c>
      <c r="K23" s="10" t="s">
        <v>16</v>
      </c>
      <c r="L23" s="34"/>
      <c r="M23" s="34"/>
      <c r="N23" s="34"/>
      <c r="O23" s="34"/>
      <c r="P23" s="34"/>
      <c r="Q23" s="34"/>
    </row>
    <row r="24" spans="1:22" ht="12.5" x14ac:dyDescent="0.25">
      <c r="A24" s="30" t="s">
        <v>22</v>
      </c>
      <c r="B24" s="30"/>
      <c r="C24" s="30"/>
      <c r="D24" s="10">
        <v>2</v>
      </c>
      <c r="E24" s="10">
        <v>48</v>
      </c>
      <c r="F24" s="10">
        <v>16</v>
      </c>
      <c r="G24" s="10">
        <v>128</v>
      </c>
      <c r="H24" s="7">
        <v>192</v>
      </c>
      <c r="I24" s="8">
        <v>4</v>
      </c>
      <c r="J24" s="30" t="s">
        <v>22</v>
      </c>
      <c r="K24" s="30"/>
      <c r="L24" s="30"/>
      <c r="M24" s="10">
        <v>48</v>
      </c>
      <c r="N24" s="10">
        <v>16</v>
      </c>
      <c r="O24" s="10">
        <v>128</v>
      </c>
      <c r="P24" s="7">
        <v>192</v>
      </c>
      <c r="Q24" s="8">
        <v>4</v>
      </c>
    </row>
    <row r="25" spans="1:22" ht="24" x14ac:dyDescent="0.25">
      <c r="A25" s="34"/>
      <c r="B25" s="10" t="s">
        <v>34</v>
      </c>
      <c r="C25" s="10" t="s">
        <v>16</v>
      </c>
      <c r="D25" s="34"/>
      <c r="E25" s="34"/>
      <c r="F25" s="34"/>
      <c r="G25" s="34"/>
      <c r="H25" s="34"/>
      <c r="I25" s="34"/>
      <c r="J25" s="10" t="s">
        <v>34</v>
      </c>
      <c r="K25" s="10" t="s">
        <v>16</v>
      </c>
      <c r="L25" s="34"/>
      <c r="M25" s="34"/>
      <c r="N25" s="34"/>
      <c r="O25" s="34"/>
      <c r="P25" s="34"/>
      <c r="Q25" s="34"/>
    </row>
    <row r="26" spans="1:22" ht="24" x14ac:dyDescent="0.25">
      <c r="A26" s="34"/>
      <c r="B26" s="10" t="s">
        <v>35</v>
      </c>
      <c r="C26" s="10" t="s">
        <v>16</v>
      </c>
      <c r="D26" s="34"/>
      <c r="E26" s="34"/>
      <c r="F26" s="34"/>
      <c r="G26" s="34"/>
      <c r="H26" s="34"/>
      <c r="I26" s="34"/>
      <c r="J26" s="10" t="s">
        <v>35</v>
      </c>
      <c r="K26" s="10" t="s">
        <v>16</v>
      </c>
      <c r="L26" s="34"/>
      <c r="M26" s="34"/>
      <c r="N26" s="34"/>
      <c r="O26" s="34"/>
      <c r="P26" s="34"/>
      <c r="Q26" s="34"/>
    </row>
    <row r="27" spans="1:22" ht="36" x14ac:dyDescent="0.25">
      <c r="A27" s="34"/>
      <c r="B27" s="10" t="s">
        <v>36</v>
      </c>
      <c r="C27" s="10" t="s">
        <v>16</v>
      </c>
      <c r="D27" s="34"/>
      <c r="E27" s="34"/>
      <c r="F27" s="34"/>
      <c r="G27" s="34"/>
      <c r="H27" s="34"/>
      <c r="I27" s="34"/>
      <c r="J27" s="10" t="s">
        <v>36</v>
      </c>
      <c r="K27" s="10" t="s">
        <v>16</v>
      </c>
      <c r="L27" s="34"/>
      <c r="M27" s="34"/>
      <c r="N27" s="34"/>
      <c r="O27" s="34"/>
      <c r="P27" s="34"/>
      <c r="Q27" s="34"/>
    </row>
    <row r="28" spans="1:22" ht="48" x14ac:dyDescent="0.25">
      <c r="A28" s="34"/>
      <c r="B28" s="10" t="s">
        <v>37</v>
      </c>
      <c r="C28" s="10" t="s">
        <v>16</v>
      </c>
      <c r="D28" s="34"/>
      <c r="E28" s="34"/>
      <c r="F28" s="34"/>
      <c r="G28" s="34"/>
      <c r="H28" s="34"/>
      <c r="I28" s="34"/>
      <c r="J28" s="10" t="s">
        <v>37</v>
      </c>
      <c r="K28" s="10" t="s">
        <v>16</v>
      </c>
      <c r="L28" s="34"/>
      <c r="M28" s="34"/>
      <c r="N28" s="34"/>
      <c r="O28" s="34"/>
      <c r="P28" s="34"/>
      <c r="Q28" s="34"/>
    </row>
    <row r="29" spans="1:22" ht="12.5" x14ac:dyDescent="0.25">
      <c r="A29" s="30" t="s">
        <v>24</v>
      </c>
      <c r="B29" s="30"/>
      <c r="C29" s="30"/>
      <c r="D29" s="10">
        <v>2</v>
      </c>
      <c r="E29" s="10">
        <v>48</v>
      </c>
      <c r="F29" s="10">
        <v>16</v>
      </c>
      <c r="G29" s="10">
        <v>128</v>
      </c>
      <c r="H29" s="7">
        <v>192</v>
      </c>
      <c r="I29" s="8">
        <v>4</v>
      </c>
      <c r="J29" s="30" t="s">
        <v>24</v>
      </c>
      <c r="K29" s="30"/>
      <c r="L29" s="30"/>
      <c r="M29" s="10">
        <v>48</v>
      </c>
      <c r="N29" s="10">
        <v>16</v>
      </c>
      <c r="O29" s="10">
        <v>128</v>
      </c>
      <c r="P29" s="7">
        <v>192</v>
      </c>
      <c r="Q29" s="8">
        <v>4</v>
      </c>
    </row>
    <row r="30" spans="1:22" ht="24" x14ac:dyDescent="0.25">
      <c r="A30" s="34"/>
      <c r="B30" s="10" t="s">
        <v>38</v>
      </c>
      <c r="C30" s="10" t="s">
        <v>16</v>
      </c>
      <c r="D30" s="34"/>
      <c r="E30" s="34"/>
      <c r="F30" s="34"/>
      <c r="G30" s="34"/>
      <c r="H30" s="34"/>
      <c r="I30" s="34"/>
      <c r="J30" s="10" t="s">
        <v>38</v>
      </c>
      <c r="K30" s="10" t="s">
        <v>16</v>
      </c>
      <c r="L30" s="34"/>
      <c r="M30" s="34"/>
      <c r="N30" s="34"/>
      <c r="O30" s="34"/>
      <c r="P30" s="34"/>
      <c r="Q30" s="34"/>
    </row>
    <row r="31" spans="1:22" ht="24" x14ac:dyDescent="0.25">
      <c r="A31" s="34"/>
      <c r="B31" s="10" t="s">
        <v>39</v>
      </c>
      <c r="C31" s="10" t="s">
        <v>16</v>
      </c>
      <c r="D31" s="34"/>
      <c r="E31" s="34"/>
      <c r="F31" s="34"/>
      <c r="G31" s="34"/>
      <c r="H31" s="34"/>
      <c r="I31" s="34"/>
      <c r="J31" s="10" t="s">
        <v>39</v>
      </c>
      <c r="K31" s="10" t="s">
        <v>16</v>
      </c>
      <c r="L31" s="34"/>
      <c r="M31" s="34"/>
      <c r="N31" s="34"/>
      <c r="O31" s="34"/>
      <c r="P31" s="34"/>
      <c r="Q31" s="34"/>
    </row>
    <row r="32" spans="1:22" ht="36" x14ac:dyDescent="0.25">
      <c r="A32" s="34"/>
      <c r="B32" s="10" t="s">
        <v>40</v>
      </c>
      <c r="C32" s="10" t="s">
        <v>16</v>
      </c>
      <c r="D32" s="34"/>
      <c r="E32" s="34"/>
      <c r="F32" s="34"/>
      <c r="G32" s="34"/>
      <c r="H32" s="34"/>
      <c r="I32" s="34"/>
      <c r="J32" s="10" t="s">
        <v>40</v>
      </c>
      <c r="K32" s="10" t="s">
        <v>16</v>
      </c>
      <c r="L32" s="34"/>
      <c r="M32" s="34"/>
      <c r="N32" s="34"/>
      <c r="O32" s="34"/>
      <c r="P32" s="34"/>
      <c r="Q32" s="34"/>
    </row>
    <row r="33" spans="1:18" ht="36" x14ac:dyDescent="0.25">
      <c r="A33" s="34"/>
      <c r="B33" s="10" t="s">
        <v>41</v>
      </c>
      <c r="C33" s="10" t="s">
        <v>16</v>
      </c>
      <c r="D33" s="34"/>
      <c r="E33" s="34"/>
      <c r="F33" s="34"/>
      <c r="G33" s="34"/>
      <c r="H33" s="34"/>
      <c r="I33" s="34"/>
      <c r="J33" s="10" t="s">
        <v>42</v>
      </c>
      <c r="K33" s="10" t="s">
        <v>16</v>
      </c>
      <c r="L33" s="34"/>
      <c r="M33" s="34"/>
      <c r="N33" s="34"/>
      <c r="O33" s="34"/>
      <c r="P33" s="34"/>
      <c r="Q33" s="34"/>
    </row>
    <row r="34" spans="1:18" ht="12.5" x14ac:dyDescent="0.25">
      <c r="A34" s="30" t="s">
        <v>43</v>
      </c>
      <c r="B34" s="30"/>
      <c r="C34" s="30"/>
      <c r="D34" s="10">
        <v>2</v>
      </c>
      <c r="E34" s="10">
        <v>48</v>
      </c>
      <c r="F34" s="10">
        <v>16</v>
      </c>
      <c r="G34" s="10">
        <v>128</v>
      </c>
      <c r="H34" s="7">
        <v>192</v>
      </c>
      <c r="I34" s="8">
        <v>4</v>
      </c>
      <c r="J34" s="30" t="s">
        <v>26</v>
      </c>
      <c r="K34" s="30"/>
      <c r="L34" s="30"/>
      <c r="M34" s="10">
        <v>48</v>
      </c>
      <c r="N34" s="10">
        <v>16</v>
      </c>
      <c r="O34" s="10">
        <v>128</v>
      </c>
      <c r="P34" s="7">
        <v>192</v>
      </c>
      <c r="Q34" s="8">
        <v>4</v>
      </c>
    </row>
    <row r="35" spans="1:18" ht="24" x14ac:dyDescent="0.25">
      <c r="A35" s="35"/>
      <c r="B35" s="10" t="s">
        <v>44</v>
      </c>
      <c r="C35" s="10" t="s">
        <v>16</v>
      </c>
      <c r="D35" s="34"/>
      <c r="E35" s="34"/>
      <c r="F35" s="34"/>
      <c r="G35" s="34"/>
      <c r="H35" s="34"/>
      <c r="I35" s="34"/>
      <c r="J35" s="10" t="s">
        <v>45</v>
      </c>
      <c r="K35" s="10" t="s">
        <v>16</v>
      </c>
      <c r="L35" s="34"/>
      <c r="M35" s="34"/>
      <c r="N35" s="34"/>
      <c r="O35" s="34"/>
      <c r="P35" s="34"/>
      <c r="Q35" s="34"/>
    </row>
    <row r="36" spans="1:18" ht="24" x14ac:dyDescent="0.25">
      <c r="A36" s="36"/>
      <c r="B36" s="10" t="s">
        <v>46</v>
      </c>
      <c r="C36" s="10" t="s">
        <v>16</v>
      </c>
      <c r="D36" s="34"/>
      <c r="E36" s="34"/>
      <c r="F36" s="34"/>
      <c r="G36" s="34"/>
      <c r="H36" s="34"/>
      <c r="I36" s="34"/>
      <c r="J36" s="10" t="s">
        <v>47</v>
      </c>
      <c r="K36" s="10" t="s">
        <v>16</v>
      </c>
      <c r="L36" s="34"/>
      <c r="M36" s="34"/>
      <c r="N36" s="34"/>
      <c r="O36" s="34"/>
      <c r="P36" s="34"/>
      <c r="Q36" s="34"/>
    </row>
    <row r="37" spans="1:18" ht="24" x14ac:dyDescent="0.25">
      <c r="A37" s="36"/>
      <c r="B37" s="10" t="s">
        <v>45</v>
      </c>
      <c r="C37" s="10" t="s">
        <v>16</v>
      </c>
      <c r="D37" s="34"/>
      <c r="E37" s="34"/>
      <c r="F37" s="34"/>
      <c r="G37" s="34"/>
      <c r="H37" s="34"/>
      <c r="I37" s="34"/>
      <c r="J37" s="34" t="s">
        <v>48</v>
      </c>
      <c r="K37" s="34" t="s">
        <v>16</v>
      </c>
      <c r="L37" s="34"/>
      <c r="M37" s="34"/>
      <c r="N37" s="34"/>
      <c r="O37" s="34"/>
      <c r="P37" s="34"/>
      <c r="Q37" s="34"/>
    </row>
    <row r="38" spans="1:18" ht="24" x14ac:dyDescent="0.25">
      <c r="A38" s="36"/>
      <c r="B38" s="10" t="s">
        <v>49</v>
      </c>
      <c r="C38" s="10" t="s">
        <v>16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spans="1:18" s="12" customFormat="1" ht="24" x14ac:dyDescent="0.25">
      <c r="A39" s="37"/>
      <c r="B39" s="10" t="s">
        <v>50</v>
      </c>
      <c r="C39" s="10" t="s">
        <v>16</v>
      </c>
      <c r="D39" s="34"/>
      <c r="E39" s="34"/>
      <c r="F39" s="34"/>
      <c r="G39" s="34"/>
      <c r="H39" s="34"/>
      <c r="I39" s="34"/>
      <c r="J39" s="10" t="s">
        <v>51</v>
      </c>
      <c r="K39" s="10" t="s">
        <v>16</v>
      </c>
      <c r="L39" s="34"/>
      <c r="M39" s="34"/>
      <c r="N39" s="34"/>
      <c r="O39" s="34"/>
      <c r="P39" s="34"/>
      <c r="Q39" s="34"/>
      <c r="R39" s="11"/>
    </row>
    <row r="40" spans="1:18" ht="12.5" x14ac:dyDescent="0.25">
      <c r="A40" s="23" t="s">
        <v>28</v>
      </c>
      <c r="B40" s="23"/>
      <c r="C40" s="23"/>
      <c r="D40" s="23"/>
      <c r="E40" s="10">
        <f>SUM(E19,E24,E29,E34)</f>
        <v>192</v>
      </c>
      <c r="F40" s="10">
        <f t="shared" ref="F40:I40" si="2">SUM(F19,F24,F29,F34)</f>
        <v>64</v>
      </c>
      <c r="G40" s="10">
        <f t="shared" si="2"/>
        <v>512</v>
      </c>
      <c r="H40" s="10">
        <f t="shared" si="2"/>
        <v>768</v>
      </c>
      <c r="I40" s="10">
        <f t="shared" si="2"/>
        <v>16</v>
      </c>
      <c r="J40" s="24" t="s">
        <v>28</v>
      </c>
      <c r="K40" s="24"/>
      <c r="L40" s="24"/>
      <c r="M40" s="10">
        <f>SUM(M19,M24,M29,M34)</f>
        <v>192</v>
      </c>
      <c r="N40" s="10">
        <f t="shared" ref="N40:Q40" si="3">SUM(N19,N24,N29,N34)</f>
        <v>64</v>
      </c>
      <c r="O40" s="10">
        <f t="shared" si="3"/>
        <v>512</v>
      </c>
      <c r="P40" s="10">
        <f t="shared" si="3"/>
        <v>768</v>
      </c>
      <c r="Q40" s="10">
        <f t="shared" si="3"/>
        <v>16</v>
      </c>
    </row>
    <row r="41" spans="1:18" ht="12.5" x14ac:dyDescent="0.25">
      <c r="A41" s="29" t="s">
        <v>52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  <row r="42" spans="1:18" ht="24" x14ac:dyDescent="0.25">
      <c r="A42" s="13"/>
      <c r="B42" s="10" t="s">
        <v>53</v>
      </c>
      <c r="C42" s="10" t="s">
        <v>16</v>
      </c>
      <c r="D42" s="10">
        <v>2</v>
      </c>
      <c r="E42" s="14">
        <v>0</v>
      </c>
      <c r="F42" s="14">
        <v>64</v>
      </c>
      <c r="G42" s="14">
        <v>128</v>
      </c>
      <c r="H42" s="14">
        <v>192</v>
      </c>
      <c r="I42" s="8">
        <v>4</v>
      </c>
      <c r="J42" s="9" t="s">
        <v>54</v>
      </c>
      <c r="K42" s="10" t="s">
        <v>16</v>
      </c>
      <c r="L42" s="10">
        <v>3</v>
      </c>
      <c r="M42" s="14">
        <v>0</v>
      </c>
      <c r="N42" s="14">
        <v>0</v>
      </c>
      <c r="O42" s="14">
        <v>192</v>
      </c>
      <c r="P42" s="14">
        <v>192</v>
      </c>
      <c r="Q42" s="8">
        <v>4</v>
      </c>
    </row>
    <row r="43" spans="1:18" ht="12.5" x14ac:dyDescent="0.25">
      <c r="A43" s="30" t="s">
        <v>43</v>
      </c>
      <c r="B43" s="30"/>
      <c r="C43" s="30"/>
      <c r="D43" s="10">
        <v>2</v>
      </c>
      <c r="E43" s="10">
        <v>48</v>
      </c>
      <c r="F43" s="10">
        <v>16</v>
      </c>
      <c r="G43" s="10">
        <v>128</v>
      </c>
      <c r="H43" s="7">
        <v>192</v>
      </c>
      <c r="I43" s="8">
        <v>4</v>
      </c>
      <c r="J43" s="30" t="s">
        <v>20</v>
      </c>
      <c r="K43" s="30"/>
      <c r="L43" s="10">
        <v>3</v>
      </c>
      <c r="M43" s="10">
        <v>48</v>
      </c>
      <c r="N43" s="10">
        <v>16</v>
      </c>
      <c r="O43" s="10">
        <v>128</v>
      </c>
      <c r="P43" s="7">
        <v>192</v>
      </c>
      <c r="Q43" s="8">
        <v>4</v>
      </c>
    </row>
    <row r="44" spans="1:18" ht="48" x14ac:dyDescent="0.3">
      <c r="A44" s="31"/>
      <c r="B44" s="16" t="s">
        <v>55</v>
      </c>
      <c r="C44" s="16" t="s">
        <v>16</v>
      </c>
      <c r="D44" s="26"/>
      <c r="E44" s="26"/>
      <c r="F44" s="26"/>
      <c r="G44" s="26"/>
      <c r="H44" s="26"/>
      <c r="I44" s="26"/>
      <c r="J44" s="10" t="s">
        <v>56</v>
      </c>
      <c r="K44" s="10" t="s">
        <v>16</v>
      </c>
      <c r="L44" s="28"/>
      <c r="M44" s="28"/>
      <c r="N44" s="28"/>
      <c r="O44" s="28"/>
      <c r="P44" s="28"/>
      <c r="Q44" s="28"/>
    </row>
    <row r="45" spans="1:18" ht="24" x14ac:dyDescent="0.25">
      <c r="A45" s="32"/>
      <c r="B45" s="16" t="s">
        <v>57</v>
      </c>
      <c r="C45" s="16" t="s">
        <v>16</v>
      </c>
      <c r="D45" s="26"/>
      <c r="E45" s="26"/>
      <c r="F45" s="26"/>
      <c r="G45" s="26"/>
      <c r="H45" s="26"/>
      <c r="I45" s="26"/>
      <c r="J45" s="30" t="s">
        <v>22</v>
      </c>
      <c r="K45" s="30"/>
      <c r="L45" s="10">
        <v>3</v>
      </c>
      <c r="M45" s="10">
        <v>48</v>
      </c>
      <c r="N45" s="10">
        <v>16</v>
      </c>
      <c r="O45" s="10">
        <v>128</v>
      </c>
      <c r="P45" s="7">
        <v>192</v>
      </c>
      <c r="Q45" s="8">
        <v>4</v>
      </c>
    </row>
    <row r="46" spans="1:18" ht="24" x14ac:dyDescent="0.25">
      <c r="A46" s="32"/>
      <c r="B46" s="16" t="s">
        <v>58</v>
      </c>
      <c r="C46" s="16" t="s">
        <v>16</v>
      </c>
      <c r="D46" s="26"/>
      <c r="E46" s="26"/>
      <c r="F46" s="26"/>
      <c r="G46" s="26"/>
      <c r="H46" s="26"/>
      <c r="I46" s="26"/>
      <c r="J46" s="10" t="s">
        <v>59</v>
      </c>
      <c r="K46" s="10" t="s">
        <v>16</v>
      </c>
      <c r="L46" s="34"/>
      <c r="M46" s="34"/>
      <c r="N46" s="34"/>
      <c r="O46" s="34"/>
      <c r="P46" s="34"/>
      <c r="Q46" s="34"/>
    </row>
    <row r="47" spans="1:18" ht="48" x14ac:dyDescent="0.25">
      <c r="A47" s="32"/>
      <c r="B47" s="26" t="s">
        <v>60</v>
      </c>
      <c r="C47" s="26" t="s">
        <v>16</v>
      </c>
      <c r="D47" s="26"/>
      <c r="E47" s="26"/>
      <c r="F47" s="26"/>
      <c r="G47" s="26"/>
      <c r="H47" s="26"/>
      <c r="I47" s="26"/>
      <c r="J47" s="10" t="s">
        <v>61</v>
      </c>
      <c r="K47" s="10" t="s">
        <v>16</v>
      </c>
      <c r="L47" s="34"/>
      <c r="M47" s="34"/>
      <c r="N47" s="34"/>
      <c r="O47" s="34"/>
      <c r="P47" s="34"/>
      <c r="Q47" s="34"/>
    </row>
    <row r="48" spans="1:18" ht="72" x14ac:dyDescent="0.25">
      <c r="A48" s="32"/>
      <c r="B48" s="26"/>
      <c r="C48" s="26"/>
      <c r="D48" s="26"/>
      <c r="E48" s="26"/>
      <c r="F48" s="26"/>
      <c r="G48" s="26"/>
      <c r="H48" s="26"/>
      <c r="I48" s="26"/>
      <c r="J48" s="10" t="s">
        <v>62</v>
      </c>
      <c r="K48" s="10" t="s">
        <v>16</v>
      </c>
      <c r="L48" s="34"/>
      <c r="M48" s="34"/>
      <c r="N48" s="34"/>
      <c r="O48" s="34"/>
      <c r="P48" s="34"/>
      <c r="Q48" s="34"/>
    </row>
    <row r="49" spans="1:17" ht="24" x14ac:dyDescent="0.25">
      <c r="A49" s="32"/>
      <c r="B49" s="16" t="s">
        <v>63</v>
      </c>
      <c r="C49" s="16" t="s">
        <v>16</v>
      </c>
      <c r="D49" s="26"/>
      <c r="E49" s="26"/>
      <c r="F49" s="26"/>
      <c r="G49" s="26"/>
      <c r="H49" s="26"/>
      <c r="I49" s="26"/>
      <c r="J49" s="27" t="s">
        <v>24</v>
      </c>
      <c r="K49" s="27"/>
      <c r="L49" s="10">
        <v>3</v>
      </c>
      <c r="M49" s="10">
        <v>48</v>
      </c>
      <c r="N49" s="10">
        <v>16</v>
      </c>
      <c r="O49" s="10">
        <v>128</v>
      </c>
      <c r="P49" s="7">
        <v>192</v>
      </c>
      <c r="Q49" s="8">
        <v>4</v>
      </c>
    </row>
    <row r="50" spans="1:17" ht="36" x14ac:dyDescent="0.3">
      <c r="A50" s="32"/>
      <c r="B50" s="16" t="s">
        <v>61</v>
      </c>
      <c r="C50" s="16" t="s">
        <v>16</v>
      </c>
      <c r="D50" s="26"/>
      <c r="E50" s="26"/>
      <c r="F50" s="26"/>
      <c r="G50" s="26"/>
      <c r="H50" s="26"/>
      <c r="I50" s="26"/>
      <c r="J50" s="10" t="s">
        <v>41</v>
      </c>
      <c r="K50" s="10" t="s">
        <v>16</v>
      </c>
      <c r="L50" s="28"/>
      <c r="M50" s="28"/>
      <c r="N50" s="28"/>
      <c r="O50" s="28"/>
      <c r="P50" s="28"/>
      <c r="Q50" s="28"/>
    </row>
    <row r="51" spans="1:17" ht="24" x14ac:dyDescent="0.25">
      <c r="A51" s="32"/>
      <c r="B51" s="16" t="s">
        <v>64</v>
      </c>
      <c r="C51" s="16" t="s">
        <v>16</v>
      </c>
      <c r="D51" s="26"/>
      <c r="E51" s="26"/>
      <c r="F51" s="26"/>
      <c r="G51" s="26"/>
      <c r="H51" s="26"/>
      <c r="I51" s="26"/>
      <c r="J51" s="27" t="s">
        <v>26</v>
      </c>
      <c r="K51" s="27"/>
      <c r="L51" s="10">
        <v>3</v>
      </c>
      <c r="M51" s="10">
        <v>48</v>
      </c>
      <c r="N51" s="10">
        <v>16</v>
      </c>
      <c r="O51" s="10">
        <v>128</v>
      </c>
      <c r="P51" s="7">
        <v>192</v>
      </c>
      <c r="Q51" s="8">
        <v>4</v>
      </c>
    </row>
    <row r="52" spans="1:17" ht="24" x14ac:dyDescent="0.3">
      <c r="A52" s="33"/>
      <c r="B52" s="16" t="s">
        <v>65</v>
      </c>
      <c r="C52" s="16" t="s">
        <v>16</v>
      </c>
      <c r="D52" s="26"/>
      <c r="E52" s="26"/>
      <c r="F52" s="26"/>
      <c r="G52" s="26"/>
      <c r="H52" s="26"/>
      <c r="I52" s="26"/>
      <c r="J52" s="10" t="s">
        <v>66</v>
      </c>
      <c r="K52" s="10" t="s">
        <v>16</v>
      </c>
      <c r="L52" s="28"/>
      <c r="M52" s="28"/>
      <c r="N52" s="28"/>
      <c r="O52" s="28"/>
      <c r="P52" s="28"/>
      <c r="Q52" s="28"/>
    </row>
    <row r="53" spans="1:17" ht="12.5" x14ac:dyDescent="0.25">
      <c r="A53" s="23" t="s">
        <v>28</v>
      </c>
      <c r="B53" s="23"/>
      <c r="C53" s="23"/>
      <c r="D53" s="23"/>
      <c r="E53" s="10">
        <f>SUM(E42+E43+E43)</f>
        <v>96</v>
      </c>
      <c r="F53" s="10">
        <f t="shared" ref="F53:I53" si="4">SUM(F42+F43+F43)</f>
        <v>96</v>
      </c>
      <c r="G53" s="10">
        <f>SUM(G42+G43+G43)</f>
        <v>384</v>
      </c>
      <c r="H53" s="10">
        <f>SUM(H42+H43+H43)</f>
        <v>576</v>
      </c>
      <c r="I53" s="10">
        <f t="shared" si="4"/>
        <v>12</v>
      </c>
      <c r="J53" s="24" t="s">
        <v>28</v>
      </c>
      <c r="K53" s="24"/>
      <c r="L53" s="24"/>
      <c r="M53" s="10">
        <f>SUM(M42+M43+M43)</f>
        <v>96</v>
      </c>
      <c r="N53" s="10">
        <f t="shared" ref="N53:O53" si="5">SUM(N42+N43+N43)</f>
        <v>32</v>
      </c>
      <c r="O53" s="10">
        <f>SUM(O42+O43+O43)</f>
        <v>448</v>
      </c>
      <c r="P53" s="10">
        <f>SUM(P42+P43+P43)</f>
        <v>576</v>
      </c>
      <c r="Q53" s="10">
        <f t="shared" ref="Q53" si="6">SUM(Q42+Q43+Q43)</f>
        <v>12</v>
      </c>
    </row>
    <row r="54" spans="1:17" ht="12.5" x14ac:dyDescent="0.25">
      <c r="A54" s="25" t="s">
        <v>67</v>
      </c>
      <c r="B54" s="25"/>
      <c r="C54" s="25"/>
      <c r="D54" s="17"/>
      <c r="E54" s="18">
        <f>SUM(E53+E40+E17)</f>
        <v>480</v>
      </c>
      <c r="F54" s="18">
        <f>SUM(F53+F40+F17)</f>
        <v>224</v>
      </c>
      <c r="G54" s="18">
        <f>SUM(G53+G40+G17)</f>
        <v>1408</v>
      </c>
      <c r="H54" s="18">
        <f>SUM(H53+H40+H17)</f>
        <v>2112</v>
      </c>
      <c r="I54" s="18">
        <f>SUM(I53+I40+I17)</f>
        <v>44</v>
      </c>
      <c r="J54" s="25" t="s">
        <v>67</v>
      </c>
      <c r="K54" s="25"/>
      <c r="L54" s="25"/>
      <c r="M54" s="18">
        <f>SUM(M53+M40+M17)</f>
        <v>480</v>
      </c>
      <c r="N54" s="18">
        <f>SUM(N53+N40+N17)</f>
        <v>160</v>
      </c>
      <c r="O54" s="18">
        <f>SUM(O53+O40+O17)</f>
        <v>1472</v>
      </c>
      <c r="P54" s="18">
        <f>SUM(P53+P40+P17)</f>
        <v>2112</v>
      </c>
      <c r="Q54" s="18">
        <f>SUM(Q53+Q40+Q17)</f>
        <v>44</v>
      </c>
    </row>
  </sheetData>
  <mergeCells count="74">
    <mergeCell ref="A1:I1"/>
    <mergeCell ref="J1:Q1"/>
    <mergeCell ref="A2:A3"/>
    <mergeCell ref="B2:B3"/>
    <mergeCell ref="D2:D3"/>
    <mergeCell ref="E2:H2"/>
    <mergeCell ref="I2:I3"/>
    <mergeCell ref="J2:J3"/>
    <mergeCell ref="L2:L3"/>
    <mergeCell ref="M2:P2"/>
    <mergeCell ref="Q2:Q3"/>
    <mergeCell ref="A4:Q4"/>
    <mergeCell ref="A6:I6"/>
    <mergeCell ref="J6:Q6"/>
    <mergeCell ref="A9:C9"/>
    <mergeCell ref="J9:K9"/>
    <mergeCell ref="D10:I10"/>
    <mergeCell ref="L10:Q10"/>
    <mergeCell ref="A11:C11"/>
    <mergeCell ref="J11:K11"/>
    <mergeCell ref="D12:I12"/>
    <mergeCell ref="L12:Q12"/>
    <mergeCell ref="A13:C13"/>
    <mergeCell ref="J13:K13"/>
    <mergeCell ref="D14:I14"/>
    <mergeCell ref="L14:Q14"/>
    <mergeCell ref="A15:I16"/>
    <mergeCell ref="J15:K15"/>
    <mergeCell ref="L16:Q16"/>
    <mergeCell ref="A29:C29"/>
    <mergeCell ref="J29:L29"/>
    <mergeCell ref="A17:D17"/>
    <mergeCell ref="J17:L17"/>
    <mergeCell ref="A18:Q18"/>
    <mergeCell ref="A19:C19"/>
    <mergeCell ref="J19:L19"/>
    <mergeCell ref="A20:A23"/>
    <mergeCell ref="D20:I23"/>
    <mergeCell ref="L20:Q23"/>
    <mergeCell ref="A24:C24"/>
    <mergeCell ref="J24:L24"/>
    <mergeCell ref="A25:A28"/>
    <mergeCell ref="D25:I28"/>
    <mergeCell ref="L25:Q28"/>
    <mergeCell ref="A35:A39"/>
    <mergeCell ref="D35:I39"/>
    <mergeCell ref="L35:Q39"/>
    <mergeCell ref="J37:J38"/>
    <mergeCell ref="K37:K38"/>
    <mergeCell ref="A30:A33"/>
    <mergeCell ref="D30:I33"/>
    <mergeCell ref="L30:Q33"/>
    <mergeCell ref="A34:C34"/>
    <mergeCell ref="J34:L34"/>
    <mergeCell ref="A40:D40"/>
    <mergeCell ref="J40:L40"/>
    <mergeCell ref="A41:Q41"/>
    <mergeCell ref="A43:C43"/>
    <mergeCell ref="J43:K43"/>
    <mergeCell ref="A53:D53"/>
    <mergeCell ref="J53:L53"/>
    <mergeCell ref="A54:C54"/>
    <mergeCell ref="J54:L54"/>
    <mergeCell ref="B47:B48"/>
    <mergeCell ref="C47:C48"/>
    <mergeCell ref="J49:K49"/>
    <mergeCell ref="L50:Q50"/>
    <mergeCell ref="J51:K51"/>
    <mergeCell ref="L52:Q52"/>
    <mergeCell ref="A44:A52"/>
    <mergeCell ref="D44:I52"/>
    <mergeCell ref="L44:Q44"/>
    <mergeCell ref="J45:K45"/>
    <mergeCell ref="L46:Q48"/>
  </mergeCells>
  <pageMargins left="0.7" right="0.7" top="0.75" bottom="0.75" header="0.3" footer="0.3"/>
  <pageSetup scale="60" fitToWidth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054B-5BB4-4F2D-9B98-19BE49D1F06B}">
  <sheetPr>
    <pageSetUpPr fitToPage="1"/>
  </sheetPr>
  <dimension ref="A1:AI55"/>
  <sheetViews>
    <sheetView topLeftCell="D34" zoomScaleNormal="100" workbookViewId="0">
      <selection activeCell="T36" sqref="T36"/>
    </sheetView>
  </sheetViews>
  <sheetFormatPr baseColWidth="10" defaultColWidth="36.90625" defaultRowHeight="12.5" x14ac:dyDescent="0.25"/>
  <cols>
    <col min="1" max="1" width="3" hidden="1" customWidth="1"/>
    <col min="2" max="2" width="38" customWidth="1"/>
    <col min="3" max="3" width="13.08984375" bestFit="1" customWidth="1"/>
    <col min="4" max="4" width="4.54296875" bestFit="1" customWidth="1"/>
    <col min="5" max="5" width="7.26953125" bestFit="1" customWidth="1"/>
    <col min="6" max="6" width="3.54296875" bestFit="1" customWidth="1"/>
    <col min="7" max="7" width="4.453125" bestFit="1" customWidth="1"/>
    <col min="8" max="8" width="10" customWidth="1"/>
    <col min="9" max="9" width="4.81640625" bestFit="1" customWidth="1"/>
    <col min="10" max="10" width="37.7265625" style="22" customWidth="1"/>
    <col min="11" max="11" width="13.08984375" bestFit="1" customWidth="1"/>
    <col min="12" max="12" width="4.54296875" bestFit="1" customWidth="1"/>
    <col min="13" max="14" width="3.54296875" bestFit="1" customWidth="1"/>
    <col min="15" max="15" width="4.453125" bestFit="1" customWidth="1"/>
    <col min="16" max="16" width="10" customWidth="1"/>
    <col min="17" max="17" width="4.81640625" bestFit="1" customWidth="1"/>
  </cols>
  <sheetData>
    <row r="1" spans="1:35" ht="99.5" customHeight="1" x14ac:dyDescent="0.25">
      <c r="B1" s="63" t="s">
        <v>0</v>
      </c>
      <c r="C1" s="63"/>
      <c r="D1" s="63"/>
      <c r="E1" s="63"/>
      <c r="F1" s="63"/>
      <c r="G1" s="63"/>
      <c r="H1" s="63"/>
      <c r="I1" s="63"/>
      <c r="J1" s="63" t="s">
        <v>1</v>
      </c>
      <c r="K1" s="63"/>
      <c r="L1" s="63"/>
      <c r="M1" s="63"/>
      <c r="N1" s="63"/>
      <c r="O1" s="63"/>
      <c r="P1" s="63"/>
      <c r="Q1" s="63"/>
    </row>
    <row r="2" spans="1:35" x14ac:dyDescent="0.25">
      <c r="A2" s="27" t="s">
        <v>2</v>
      </c>
      <c r="B2" s="27" t="s">
        <v>3</v>
      </c>
      <c r="C2" s="2" t="s">
        <v>4</v>
      </c>
      <c r="D2" s="27" t="s">
        <v>5</v>
      </c>
      <c r="E2" s="27" t="s">
        <v>6</v>
      </c>
      <c r="F2" s="27"/>
      <c r="G2" s="27"/>
      <c r="H2" s="27"/>
      <c r="I2" s="27" t="s">
        <v>7</v>
      </c>
      <c r="J2" s="27" t="s">
        <v>8</v>
      </c>
      <c r="K2" s="2" t="s">
        <v>4</v>
      </c>
      <c r="L2" s="27" t="s">
        <v>5</v>
      </c>
      <c r="M2" s="27" t="s">
        <v>6</v>
      </c>
      <c r="N2" s="27"/>
      <c r="O2" s="27"/>
      <c r="P2" s="27"/>
      <c r="Q2" s="27" t="s">
        <v>7</v>
      </c>
    </row>
    <row r="3" spans="1:35" ht="24" x14ac:dyDescent="0.25">
      <c r="A3" s="27"/>
      <c r="B3" s="27"/>
      <c r="C3" s="2" t="s">
        <v>9</v>
      </c>
      <c r="D3" s="27"/>
      <c r="E3" s="2" t="s">
        <v>10</v>
      </c>
      <c r="F3" s="2" t="s">
        <v>11</v>
      </c>
      <c r="G3" s="2" t="s">
        <v>12</v>
      </c>
      <c r="H3" s="2" t="s">
        <v>13</v>
      </c>
      <c r="I3" s="27"/>
      <c r="J3" s="27"/>
      <c r="K3" s="2" t="s">
        <v>9</v>
      </c>
      <c r="L3" s="27"/>
      <c r="M3" s="2" t="s">
        <v>10</v>
      </c>
      <c r="N3" s="2" t="s">
        <v>11</v>
      </c>
      <c r="O3" s="2" t="s">
        <v>12</v>
      </c>
      <c r="P3" s="2" t="s">
        <v>13</v>
      </c>
      <c r="Q3" s="27"/>
    </row>
    <row r="4" spans="1:35" x14ac:dyDescent="0.25">
      <c r="A4" s="29" t="s">
        <v>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35" x14ac:dyDescent="0.25">
      <c r="A5" s="3"/>
      <c r="B5" s="4" t="s">
        <v>15</v>
      </c>
      <c r="C5" s="4" t="s">
        <v>16</v>
      </c>
      <c r="D5" s="4">
        <v>1</v>
      </c>
      <c r="E5" s="4">
        <v>48</v>
      </c>
      <c r="F5" s="4">
        <v>16</v>
      </c>
      <c r="G5" s="4">
        <v>128</v>
      </c>
      <c r="H5" s="4">
        <v>192</v>
      </c>
      <c r="I5" s="4">
        <v>4</v>
      </c>
      <c r="J5" s="4" t="s">
        <v>15</v>
      </c>
      <c r="K5" s="4" t="s">
        <v>16</v>
      </c>
      <c r="L5" s="4">
        <v>1</v>
      </c>
      <c r="M5" s="4">
        <v>48</v>
      </c>
      <c r="N5" s="4">
        <v>16</v>
      </c>
      <c r="O5" s="4">
        <v>128</v>
      </c>
      <c r="P5" s="4">
        <v>192</v>
      </c>
      <c r="Q5" s="4">
        <v>4</v>
      </c>
    </row>
    <row r="6" spans="1:35" x14ac:dyDescent="0.25">
      <c r="A6" s="59" t="s">
        <v>17</v>
      </c>
      <c r="B6" s="60"/>
      <c r="C6" s="60"/>
      <c r="D6" s="60"/>
      <c r="E6" s="60"/>
      <c r="F6" s="60"/>
      <c r="G6" s="60"/>
      <c r="H6" s="60"/>
      <c r="I6" s="60"/>
      <c r="J6" s="61" t="s">
        <v>17</v>
      </c>
      <c r="K6" s="62"/>
      <c r="L6" s="62"/>
      <c r="M6" s="62"/>
      <c r="N6" s="62"/>
      <c r="O6" s="62"/>
      <c r="P6" s="62"/>
      <c r="Q6" s="62"/>
    </row>
    <row r="7" spans="1:35" s="5" customFormat="1" ht="21" x14ac:dyDescent="0.25">
      <c r="A7" s="3">
        <v>2</v>
      </c>
      <c r="B7" s="4" t="s">
        <v>18</v>
      </c>
      <c r="C7" s="4" t="s">
        <v>16</v>
      </c>
      <c r="D7" s="4">
        <v>1</v>
      </c>
      <c r="E7" s="4">
        <v>48</v>
      </c>
      <c r="F7" s="4">
        <v>16</v>
      </c>
      <c r="G7" s="4">
        <v>128</v>
      </c>
      <c r="H7" s="4">
        <v>192</v>
      </c>
      <c r="I7" s="4">
        <v>4</v>
      </c>
      <c r="J7" s="4" t="s">
        <v>18</v>
      </c>
      <c r="K7" s="4" t="s">
        <v>16</v>
      </c>
      <c r="L7" s="4">
        <v>1</v>
      </c>
      <c r="M7" s="4">
        <v>48</v>
      </c>
      <c r="N7" s="4">
        <v>16</v>
      </c>
      <c r="O7" s="4">
        <v>128</v>
      </c>
      <c r="P7" s="4">
        <v>192</v>
      </c>
      <c r="Q7" s="4">
        <v>4</v>
      </c>
      <c r="R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s="5" customFormat="1" x14ac:dyDescent="0.25">
      <c r="A8" s="3">
        <v>3</v>
      </c>
      <c r="B8" s="4" t="s">
        <v>19</v>
      </c>
      <c r="C8" s="4" t="s">
        <v>16</v>
      </c>
      <c r="D8" s="4">
        <v>1</v>
      </c>
      <c r="E8" s="4">
        <v>48</v>
      </c>
      <c r="F8" s="4">
        <v>16</v>
      </c>
      <c r="G8" s="4">
        <v>128</v>
      </c>
      <c r="H8" s="4">
        <v>192</v>
      </c>
      <c r="I8" s="4">
        <v>4</v>
      </c>
      <c r="J8" s="4" t="s">
        <v>19</v>
      </c>
      <c r="K8" s="4" t="s">
        <v>16</v>
      </c>
      <c r="L8" s="4">
        <v>1</v>
      </c>
      <c r="M8" s="4">
        <v>48</v>
      </c>
      <c r="N8" s="4">
        <v>16</v>
      </c>
      <c r="O8" s="4">
        <v>128</v>
      </c>
      <c r="P8" s="4">
        <v>192</v>
      </c>
      <c r="Q8" s="4">
        <v>4</v>
      </c>
      <c r="R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x14ac:dyDescent="0.25">
      <c r="A9" s="30" t="s">
        <v>20</v>
      </c>
      <c r="B9" s="30"/>
      <c r="C9" s="30"/>
      <c r="D9" s="6">
        <v>1</v>
      </c>
      <c r="E9" s="6">
        <v>48</v>
      </c>
      <c r="F9" s="6">
        <v>16</v>
      </c>
      <c r="G9" s="6">
        <v>128</v>
      </c>
      <c r="H9" s="7">
        <v>192</v>
      </c>
      <c r="I9" s="8">
        <v>4</v>
      </c>
      <c r="J9" s="51" t="s">
        <v>20</v>
      </c>
      <c r="K9" s="52"/>
      <c r="L9" s="4">
        <v>1</v>
      </c>
      <c r="M9" s="6">
        <v>48</v>
      </c>
      <c r="N9" s="6">
        <v>16</v>
      </c>
      <c r="O9" s="6">
        <v>128</v>
      </c>
      <c r="P9" s="7">
        <v>192</v>
      </c>
      <c r="Q9" s="8">
        <v>4</v>
      </c>
    </row>
    <row r="10" spans="1:35" s="5" customFormat="1" x14ac:dyDescent="0.25">
      <c r="A10" s="3"/>
      <c r="B10" s="4" t="s">
        <v>21</v>
      </c>
      <c r="C10" s="6" t="s">
        <v>16</v>
      </c>
      <c r="D10" s="38"/>
      <c r="E10" s="38"/>
      <c r="F10" s="38"/>
      <c r="G10" s="38"/>
      <c r="H10" s="38"/>
      <c r="I10" s="38"/>
      <c r="J10" s="4" t="s">
        <v>21</v>
      </c>
      <c r="K10" s="6" t="s">
        <v>16</v>
      </c>
      <c r="L10" s="38"/>
      <c r="M10" s="38"/>
      <c r="N10" s="38"/>
      <c r="O10" s="38"/>
      <c r="P10" s="38"/>
      <c r="Q10" s="38"/>
      <c r="R10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x14ac:dyDescent="0.25">
      <c r="A11" s="30" t="s">
        <v>22</v>
      </c>
      <c r="B11" s="30"/>
      <c r="C11" s="30"/>
      <c r="D11" s="6">
        <v>1</v>
      </c>
      <c r="E11" s="6">
        <v>48</v>
      </c>
      <c r="F11" s="6">
        <v>16</v>
      </c>
      <c r="G11" s="6">
        <v>128</v>
      </c>
      <c r="H11" s="7">
        <v>192</v>
      </c>
      <c r="I11" s="8">
        <v>4</v>
      </c>
      <c r="J11" s="51" t="s">
        <v>22</v>
      </c>
      <c r="K11" s="52"/>
      <c r="L11" s="6">
        <v>1</v>
      </c>
      <c r="M11" s="6">
        <v>48</v>
      </c>
      <c r="N11" s="6">
        <v>16</v>
      </c>
      <c r="O11" s="6">
        <v>128</v>
      </c>
      <c r="P11" s="7">
        <v>192</v>
      </c>
      <c r="Q11" s="8">
        <v>4</v>
      </c>
    </row>
    <row r="12" spans="1:35" s="5" customFormat="1" x14ac:dyDescent="0.25">
      <c r="A12" s="3"/>
      <c r="B12" s="4" t="s">
        <v>23</v>
      </c>
      <c r="C12" s="6" t="s">
        <v>16</v>
      </c>
      <c r="D12" s="38"/>
      <c r="E12" s="38"/>
      <c r="F12" s="38"/>
      <c r="G12" s="38"/>
      <c r="H12" s="38"/>
      <c r="I12" s="38"/>
      <c r="J12" s="4" t="s">
        <v>23</v>
      </c>
      <c r="K12" s="6" t="s">
        <v>16</v>
      </c>
      <c r="L12" s="38"/>
      <c r="M12" s="38"/>
      <c r="N12" s="38"/>
      <c r="O12" s="38"/>
      <c r="P12" s="38"/>
      <c r="Q12" s="38"/>
      <c r="R12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x14ac:dyDescent="0.25">
      <c r="A13" s="30" t="s">
        <v>24</v>
      </c>
      <c r="B13" s="30"/>
      <c r="C13" s="30"/>
      <c r="D13" s="6">
        <v>1</v>
      </c>
      <c r="E13" s="6">
        <v>48</v>
      </c>
      <c r="F13" s="6">
        <v>16</v>
      </c>
      <c r="G13" s="6">
        <v>128</v>
      </c>
      <c r="H13" s="7">
        <v>192</v>
      </c>
      <c r="I13" s="8">
        <v>4</v>
      </c>
      <c r="J13" s="45" t="s">
        <v>24</v>
      </c>
      <c r="K13" s="46"/>
      <c r="L13" s="6">
        <v>1</v>
      </c>
      <c r="M13" s="6">
        <v>48</v>
      </c>
      <c r="N13" s="6">
        <v>16</v>
      </c>
      <c r="O13" s="6">
        <v>128</v>
      </c>
      <c r="P13" s="7">
        <v>192</v>
      </c>
      <c r="Q13" s="8">
        <v>4</v>
      </c>
    </row>
    <row r="14" spans="1:35" s="5" customFormat="1" x14ac:dyDescent="0.25">
      <c r="A14" s="3"/>
      <c r="B14" s="4" t="s">
        <v>25</v>
      </c>
      <c r="C14" s="6" t="s">
        <v>16</v>
      </c>
      <c r="D14" s="38"/>
      <c r="E14" s="38"/>
      <c r="F14" s="38"/>
      <c r="G14" s="38"/>
      <c r="H14" s="38"/>
      <c r="I14" s="38"/>
      <c r="J14" s="4" t="s">
        <v>25</v>
      </c>
      <c r="K14" s="6" t="s">
        <v>16</v>
      </c>
      <c r="L14" s="38"/>
      <c r="M14" s="38"/>
      <c r="N14" s="38"/>
      <c r="O14" s="38"/>
      <c r="P14" s="38"/>
      <c r="Q14" s="38"/>
      <c r="R14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x14ac:dyDescent="0.25">
      <c r="A15" s="53"/>
      <c r="B15" s="54"/>
      <c r="C15" s="54"/>
      <c r="D15" s="54"/>
      <c r="E15" s="54"/>
      <c r="F15" s="54"/>
      <c r="G15" s="54"/>
      <c r="H15" s="54"/>
      <c r="I15" s="55"/>
      <c r="J15" s="45" t="s">
        <v>26</v>
      </c>
      <c r="K15" s="46"/>
      <c r="L15" s="6">
        <v>1</v>
      </c>
      <c r="M15" s="6">
        <v>48</v>
      </c>
      <c r="N15" s="6">
        <v>16</v>
      </c>
      <c r="O15" s="6">
        <v>128</v>
      </c>
      <c r="P15" s="7">
        <v>192</v>
      </c>
      <c r="Q15" s="8">
        <v>4</v>
      </c>
    </row>
    <row r="16" spans="1:35" s="5" customFormat="1" x14ac:dyDescent="0.25">
      <c r="A16" s="56"/>
      <c r="B16" s="57"/>
      <c r="C16" s="57"/>
      <c r="D16" s="57"/>
      <c r="E16" s="57"/>
      <c r="F16" s="57"/>
      <c r="G16" s="57"/>
      <c r="H16" s="57"/>
      <c r="I16" s="58"/>
      <c r="J16" s="4" t="s">
        <v>27</v>
      </c>
      <c r="K16" s="6" t="s">
        <v>16</v>
      </c>
      <c r="L16" s="38"/>
      <c r="M16" s="38"/>
      <c r="N16" s="38"/>
      <c r="O16" s="38"/>
      <c r="P16" s="38"/>
      <c r="Q16" s="38"/>
      <c r="R16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18" x14ac:dyDescent="0.25">
      <c r="A17" s="23" t="s">
        <v>28</v>
      </c>
      <c r="B17" s="23"/>
      <c r="C17" s="23"/>
      <c r="D17" s="23"/>
      <c r="E17" s="6">
        <f>SUM(E7:E8,E9+E5)</f>
        <v>192</v>
      </c>
      <c r="F17" s="6">
        <f t="shared" ref="F17:H17" si="0">SUM(F7:F8,F9+F5)</f>
        <v>64</v>
      </c>
      <c r="G17" s="6">
        <f t="shared" si="0"/>
        <v>512</v>
      </c>
      <c r="H17" s="6">
        <f t="shared" si="0"/>
        <v>768</v>
      </c>
      <c r="I17" s="6">
        <f>SUM(I7:I8,I11+I5)</f>
        <v>16</v>
      </c>
      <c r="J17" s="24" t="s">
        <v>28</v>
      </c>
      <c r="K17" s="24"/>
      <c r="L17" s="24"/>
      <c r="M17" s="6">
        <f>SUM(M7:M8,M9+M5)</f>
        <v>192</v>
      </c>
      <c r="N17" s="6">
        <f t="shared" ref="N17:P17" si="1">SUM(N7:N8,N9+N5)</f>
        <v>64</v>
      </c>
      <c r="O17" s="6">
        <f t="shared" si="1"/>
        <v>512</v>
      </c>
      <c r="P17" s="6">
        <f t="shared" si="1"/>
        <v>768</v>
      </c>
      <c r="Q17" s="6">
        <f>SUM(Q7:Q8,Q11+Q5)</f>
        <v>16</v>
      </c>
    </row>
    <row r="18" spans="1:18" x14ac:dyDescent="0.25">
      <c r="A18" s="29" t="s">
        <v>29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1:18" s="20" customFormat="1" x14ac:dyDescent="0.25">
      <c r="A19" s="13"/>
      <c r="B19" s="6" t="s">
        <v>53</v>
      </c>
      <c r="C19" s="6" t="s">
        <v>16</v>
      </c>
      <c r="D19" s="6">
        <v>2</v>
      </c>
      <c r="E19" s="6">
        <v>0</v>
      </c>
      <c r="F19" s="6">
        <v>48</v>
      </c>
      <c r="G19" s="6">
        <v>336</v>
      </c>
      <c r="H19" s="7">
        <v>384</v>
      </c>
      <c r="I19" s="8">
        <v>4</v>
      </c>
      <c r="J19" s="4" t="s">
        <v>68</v>
      </c>
      <c r="K19" s="6" t="s">
        <v>16</v>
      </c>
      <c r="L19" s="6">
        <v>2</v>
      </c>
      <c r="M19" s="6">
        <v>0</v>
      </c>
      <c r="N19" s="6">
        <v>48</v>
      </c>
      <c r="O19" s="6">
        <v>144</v>
      </c>
      <c r="P19" s="7">
        <v>384</v>
      </c>
      <c r="Q19" s="8">
        <v>4</v>
      </c>
      <c r="R19"/>
    </row>
    <row r="20" spans="1:18" x14ac:dyDescent="0.25">
      <c r="A20" s="30" t="s">
        <v>20</v>
      </c>
      <c r="B20" s="30"/>
      <c r="C20" s="30"/>
      <c r="D20" s="6">
        <v>2</v>
      </c>
      <c r="E20" s="6">
        <v>48</v>
      </c>
      <c r="F20" s="6">
        <v>16</v>
      </c>
      <c r="G20" s="6">
        <v>128</v>
      </c>
      <c r="H20" s="7">
        <v>192</v>
      </c>
      <c r="I20" s="8">
        <v>4</v>
      </c>
      <c r="J20" s="30" t="s">
        <v>20</v>
      </c>
      <c r="K20" s="30"/>
      <c r="L20" s="30"/>
      <c r="M20" s="6">
        <v>48</v>
      </c>
      <c r="N20" s="6">
        <v>16</v>
      </c>
      <c r="O20" s="6">
        <v>128</v>
      </c>
      <c r="P20" s="7">
        <v>192</v>
      </c>
      <c r="Q20" s="8">
        <v>4</v>
      </c>
    </row>
    <row r="21" spans="1:18" x14ac:dyDescent="0.25">
      <c r="A21" s="34"/>
      <c r="B21" s="6" t="s">
        <v>30</v>
      </c>
      <c r="C21" s="6" t="s">
        <v>16</v>
      </c>
      <c r="D21" s="34"/>
      <c r="E21" s="34"/>
      <c r="F21" s="34"/>
      <c r="G21" s="34"/>
      <c r="H21" s="34"/>
      <c r="I21" s="34"/>
      <c r="J21" s="6" t="s">
        <v>30</v>
      </c>
      <c r="K21" s="6" t="s">
        <v>16</v>
      </c>
      <c r="L21" s="34"/>
      <c r="M21" s="34"/>
      <c r="N21" s="34"/>
      <c r="O21" s="34"/>
      <c r="P21" s="34"/>
      <c r="Q21" s="34"/>
    </row>
    <row r="22" spans="1:18" x14ac:dyDescent="0.25">
      <c r="A22" s="34"/>
      <c r="B22" s="6" t="s">
        <v>31</v>
      </c>
      <c r="C22" s="6" t="s">
        <v>16</v>
      </c>
      <c r="D22" s="34"/>
      <c r="E22" s="34"/>
      <c r="F22" s="34"/>
      <c r="G22" s="34"/>
      <c r="H22" s="34"/>
      <c r="I22" s="34"/>
      <c r="J22" s="6" t="s">
        <v>31</v>
      </c>
      <c r="K22" s="6" t="s">
        <v>16</v>
      </c>
      <c r="L22" s="34"/>
      <c r="M22" s="34"/>
      <c r="N22" s="34"/>
      <c r="O22" s="34"/>
      <c r="P22" s="34"/>
      <c r="Q22" s="34"/>
    </row>
    <row r="23" spans="1:18" x14ac:dyDescent="0.25">
      <c r="A23" s="34"/>
      <c r="B23" s="6" t="s">
        <v>32</v>
      </c>
      <c r="C23" s="6" t="s">
        <v>16</v>
      </c>
      <c r="D23" s="34"/>
      <c r="E23" s="34"/>
      <c r="F23" s="34"/>
      <c r="G23" s="34"/>
      <c r="H23" s="34"/>
      <c r="I23" s="34"/>
      <c r="J23" s="6" t="s">
        <v>32</v>
      </c>
      <c r="K23" s="6" t="s">
        <v>16</v>
      </c>
      <c r="L23" s="34"/>
      <c r="M23" s="34"/>
      <c r="N23" s="34"/>
      <c r="O23" s="34"/>
      <c r="P23" s="34"/>
      <c r="Q23" s="34"/>
    </row>
    <row r="24" spans="1:18" x14ac:dyDescent="0.25">
      <c r="A24" s="34"/>
      <c r="B24" s="6" t="s">
        <v>33</v>
      </c>
      <c r="C24" s="6" t="s">
        <v>16</v>
      </c>
      <c r="D24" s="34"/>
      <c r="E24" s="34"/>
      <c r="F24" s="34"/>
      <c r="G24" s="34"/>
      <c r="H24" s="34"/>
      <c r="I24" s="34"/>
      <c r="J24" s="6" t="s">
        <v>33</v>
      </c>
      <c r="K24" s="6" t="s">
        <v>16</v>
      </c>
      <c r="L24" s="34"/>
      <c r="M24" s="34"/>
      <c r="N24" s="34"/>
      <c r="O24" s="34"/>
      <c r="P24" s="34"/>
      <c r="Q24" s="34"/>
    </row>
    <row r="25" spans="1:18" x14ac:dyDescent="0.25">
      <c r="A25" s="30" t="s">
        <v>22</v>
      </c>
      <c r="B25" s="30"/>
      <c r="C25" s="30"/>
      <c r="D25" s="6">
        <v>2</v>
      </c>
      <c r="E25" s="6">
        <v>48</v>
      </c>
      <c r="F25" s="6">
        <v>16</v>
      </c>
      <c r="G25" s="6">
        <v>128</v>
      </c>
      <c r="H25" s="7">
        <v>192</v>
      </c>
      <c r="I25" s="8">
        <v>4</v>
      </c>
      <c r="J25" s="30" t="s">
        <v>22</v>
      </c>
      <c r="K25" s="30"/>
      <c r="L25" s="30"/>
      <c r="M25" s="6">
        <v>48</v>
      </c>
      <c r="N25" s="6">
        <v>16</v>
      </c>
      <c r="O25" s="6">
        <v>128</v>
      </c>
      <c r="P25" s="7">
        <v>192</v>
      </c>
      <c r="Q25" s="8">
        <v>4</v>
      </c>
    </row>
    <row r="26" spans="1:18" x14ac:dyDescent="0.25">
      <c r="A26" s="34"/>
      <c r="B26" s="6" t="s">
        <v>34</v>
      </c>
      <c r="C26" s="6" t="s">
        <v>16</v>
      </c>
      <c r="D26" s="34"/>
      <c r="E26" s="34"/>
      <c r="F26" s="34"/>
      <c r="G26" s="34"/>
      <c r="H26" s="34"/>
      <c r="I26" s="34"/>
      <c r="J26" s="6" t="s">
        <v>34</v>
      </c>
      <c r="K26" s="6" t="s">
        <v>16</v>
      </c>
      <c r="L26" s="34"/>
      <c r="M26" s="34"/>
      <c r="N26" s="34"/>
      <c r="O26" s="34"/>
      <c r="P26" s="34"/>
      <c r="Q26" s="34"/>
    </row>
    <row r="27" spans="1:18" x14ac:dyDescent="0.25">
      <c r="A27" s="34"/>
      <c r="B27" s="6" t="s">
        <v>35</v>
      </c>
      <c r="C27" s="6" t="s">
        <v>16</v>
      </c>
      <c r="D27" s="34"/>
      <c r="E27" s="34"/>
      <c r="F27" s="34"/>
      <c r="G27" s="34"/>
      <c r="H27" s="34"/>
      <c r="I27" s="34"/>
      <c r="J27" s="6" t="s">
        <v>35</v>
      </c>
      <c r="K27" s="6" t="s">
        <v>16</v>
      </c>
      <c r="L27" s="34"/>
      <c r="M27" s="34"/>
      <c r="N27" s="34"/>
      <c r="O27" s="34"/>
      <c r="P27" s="34"/>
      <c r="Q27" s="34"/>
    </row>
    <row r="28" spans="1:18" x14ac:dyDescent="0.25">
      <c r="A28" s="34"/>
      <c r="B28" s="6" t="s">
        <v>36</v>
      </c>
      <c r="C28" s="6" t="s">
        <v>16</v>
      </c>
      <c r="D28" s="34"/>
      <c r="E28" s="34"/>
      <c r="F28" s="34"/>
      <c r="G28" s="34"/>
      <c r="H28" s="34"/>
      <c r="I28" s="34"/>
      <c r="J28" s="6" t="s">
        <v>36</v>
      </c>
      <c r="K28" s="6" t="s">
        <v>16</v>
      </c>
      <c r="L28" s="34"/>
      <c r="M28" s="34"/>
      <c r="N28" s="34"/>
      <c r="O28" s="34"/>
      <c r="P28" s="34"/>
      <c r="Q28" s="34"/>
    </row>
    <row r="29" spans="1:18" x14ac:dyDescent="0.25">
      <c r="A29" s="34"/>
      <c r="B29" s="6" t="s">
        <v>37</v>
      </c>
      <c r="C29" s="6" t="s">
        <v>16</v>
      </c>
      <c r="D29" s="34"/>
      <c r="E29" s="34"/>
      <c r="F29" s="34"/>
      <c r="G29" s="34"/>
      <c r="H29" s="34"/>
      <c r="I29" s="34"/>
      <c r="J29" s="6" t="s">
        <v>37</v>
      </c>
      <c r="K29" s="6" t="s">
        <v>16</v>
      </c>
      <c r="L29" s="34"/>
      <c r="M29" s="34"/>
      <c r="N29" s="34"/>
      <c r="O29" s="34"/>
      <c r="P29" s="34"/>
      <c r="Q29" s="34"/>
    </row>
    <row r="30" spans="1:18" x14ac:dyDescent="0.25">
      <c r="A30" s="30" t="s">
        <v>24</v>
      </c>
      <c r="B30" s="30"/>
      <c r="C30" s="30"/>
      <c r="D30" s="6">
        <v>2</v>
      </c>
      <c r="E30" s="6">
        <v>48</v>
      </c>
      <c r="F30" s="6">
        <v>16</v>
      </c>
      <c r="G30" s="6">
        <v>128</v>
      </c>
      <c r="H30" s="7">
        <v>192</v>
      </c>
      <c r="I30" s="8">
        <v>4</v>
      </c>
      <c r="J30" s="30" t="s">
        <v>24</v>
      </c>
      <c r="K30" s="30"/>
      <c r="L30" s="30"/>
      <c r="M30" s="6">
        <v>48</v>
      </c>
      <c r="N30" s="6">
        <v>16</v>
      </c>
      <c r="O30" s="6">
        <v>128</v>
      </c>
      <c r="P30" s="7">
        <v>192</v>
      </c>
      <c r="Q30" s="8">
        <v>4</v>
      </c>
    </row>
    <row r="31" spans="1:18" x14ac:dyDescent="0.25">
      <c r="A31" s="34"/>
      <c r="B31" s="6" t="s">
        <v>38</v>
      </c>
      <c r="C31" s="6" t="s">
        <v>16</v>
      </c>
      <c r="D31" s="34"/>
      <c r="E31" s="34"/>
      <c r="F31" s="34"/>
      <c r="G31" s="34"/>
      <c r="H31" s="34"/>
      <c r="I31" s="34"/>
      <c r="J31" s="6" t="s">
        <v>38</v>
      </c>
      <c r="K31" s="6" t="s">
        <v>16</v>
      </c>
      <c r="L31" s="34"/>
      <c r="M31" s="34"/>
      <c r="N31" s="34"/>
      <c r="O31" s="34"/>
      <c r="P31" s="34"/>
      <c r="Q31" s="34"/>
    </row>
    <row r="32" spans="1:18" x14ac:dyDescent="0.25">
      <c r="A32" s="34"/>
      <c r="B32" s="6" t="s">
        <v>39</v>
      </c>
      <c r="C32" s="6" t="s">
        <v>16</v>
      </c>
      <c r="D32" s="34"/>
      <c r="E32" s="34"/>
      <c r="F32" s="34"/>
      <c r="G32" s="34"/>
      <c r="H32" s="34"/>
      <c r="I32" s="34"/>
      <c r="J32" s="6" t="s">
        <v>39</v>
      </c>
      <c r="K32" s="6" t="s">
        <v>16</v>
      </c>
      <c r="L32" s="34"/>
      <c r="M32" s="34"/>
      <c r="N32" s="34"/>
      <c r="O32" s="34"/>
      <c r="P32" s="34"/>
      <c r="Q32" s="34"/>
    </row>
    <row r="33" spans="1:19" x14ac:dyDescent="0.25">
      <c r="A33" s="34"/>
      <c r="B33" s="6" t="s">
        <v>40</v>
      </c>
      <c r="C33" s="6" t="s">
        <v>16</v>
      </c>
      <c r="D33" s="34"/>
      <c r="E33" s="34"/>
      <c r="F33" s="34"/>
      <c r="G33" s="34"/>
      <c r="H33" s="34"/>
      <c r="I33" s="34"/>
      <c r="J33" s="6" t="s">
        <v>40</v>
      </c>
      <c r="K33" s="6" t="s">
        <v>16</v>
      </c>
      <c r="L33" s="34"/>
      <c r="M33" s="34"/>
      <c r="N33" s="34"/>
      <c r="O33" s="34"/>
      <c r="P33" s="34"/>
      <c r="Q33" s="34"/>
    </row>
    <row r="34" spans="1:19" x14ac:dyDescent="0.25">
      <c r="A34" s="34"/>
      <c r="B34" s="6" t="s">
        <v>41</v>
      </c>
      <c r="C34" s="6" t="s">
        <v>16</v>
      </c>
      <c r="D34" s="34"/>
      <c r="E34" s="34"/>
      <c r="F34" s="34"/>
      <c r="G34" s="34"/>
      <c r="H34" s="34"/>
      <c r="I34" s="34"/>
      <c r="J34" s="6" t="s">
        <v>42</v>
      </c>
      <c r="K34" s="6" t="s">
        <v>16</v>
      </c>
      <c r="L34" s="34"/>
      <c r="M34" s="34"/>
      <c r="N34" s="34"/>
      <c r="O34" s="34"/>
      <c r="P34" s="34"/>
      <c r="Q34" s="34"/>
    </row>
    <row r="35" spans="1:19" x14ac:dyDescent="0.25">
      <c r="A35" s="30" t="s">
        <v>43</v>
      </c>
      <c r="B35" s="30"/>
      <c r="C35" s="30"/>
      <c r="D35" s="6">
        <v>2</v>
      </c>
      <c r="E35" s="6">
        <v>48</v>
      </c>
      <c r="F35" s="6">
        <v>16</v>
      </c>
      <c r="G35" s="6">
        <v>128</v>
      </c>
      <c r="H35" s="7">
        <v>192</v>
      </c>
      <c r="I35" s="8">
        <v>4</v>
      </c>
      <c r="J35" s="30" t="s">
        <v>26</v>
      </c>
      <c r="K35" s="30"/>
      <c r="L35" s="30"/>
      <c r="M35" s="6">
        <v>48</v>
      </c>
      <c r="N35" s="6">
        <v>16</v>
      </c>
      <c r="O35" s="6">
        <v>128</v>
      </c>
      <c r="P35" s="7">
        <v>192</v>
      </c>
      <c r="Q35" s="8">
        <v>4</v>
      </c>
    </row>
    <row r="36" spans="1:19" x14ac:dyDescent="0.25">
      <c r="A36" s="6"/>
      <c r="B36" s="6" t="s">
        <v>44</v>
      </c>
      <c r="C36" s="6" t="s">
        <v>16</v>
      </c>
      <c r="D36" s="34"/>
      <c r="E36" s="34"/>
      <c r="F36" s="34"/>
      <c r="G36" s="34"/>
      <c r="H36" s="34"/>
      <c r="I36" s="34"/>
      <c r="J36" s="6" t="s">
        <v>45</v>
      </c>
      <c r="K36" s="6" t="s">
        <v>16</v>
      </c>
      <c r="L36" s="34"/>
      <c r="M36" s="34"/>
      <c r="N36" s="34"/>
      <c r="O36" s="34"/>
      <c r="P36" s="34"/>
      <c r="Q36" s="34"/>
    </row>
    <row r="37" spans="1:19" x14ac:dyDescent="0.25">
      <c r="A37" s="6"/>
      <c r="B37" s="6" t="s">
        <v>46</v>
      </c>
      <c r="C37" s="6" t="s">
        <v>16</v>
      </c>
      <c r="D37" s="34"/>
      <c r="E37" s="34"/>
      <c r="F37" s="34"/>
      <c r="G37" s="34"/>
      <c r="H37" s="34"/>
      <c r="I37" s="34"/>
      <c r="J37" s="6" t="s">
        <v>47</v>
      </c>
      <c r="K37" s="6" t="s">
        <v>16</v>
      </c>
      <c r="L37" s="34"/>
      <c r="M37" s="34"/>
      <c r="N37" s="34"/>
      <c r="O37" s="34"/>
      <c r="P37" s="34"/>
      <c r="Q37" s="34"/>
    </row>
    <row r="38" spans="1:19" x14ac:dyDescent="0.25">
      <c r="A38" s="6"/>
      <c r="B38" s="6" t="s">
        <v>45</v>
      </c>
      <c r="C38" s="6" t="s">
        <v>16</v>
      </c>
      <c r="D38" s="34"/>
      <c r="E38" s="34"/>
      <c r="F38" s="34"/>
      <c r="G38" s="34"/>
      <c r="H38" s="34"/>
      <c r="I38" s="34"/>
      <c r="J38" s="35" t="s">
        <v>48</v>
      </c>
      <c r="K38" s="35" t="s">
        <v>16</v>
      </c>
      <c r="L38" s="34"/>
      <c r="M38" s="34"/>
      <c r="N38" s="34"/>
      <c r="O38" s="34"/>
      <c r="P38" s="34"/>
      <c r="Q38" s="34"/>
    </row>
    <row r="39" spans="1:19" x14ac:dyDescent="0.25">
      <c r="A39" s="6"/>
      <c r="B39" s="6" t="s">
        <v>49</v>
      </c>
      <c r="C39" s="6" t="s">
        <v>16</v>
      </c>
      <c r="D39" s="34"/>
      <c r="E39" s="34"/>
      <c r="F39" s="34"/>
      <c r="G39" s="34"/>
      <c r="H39" s="34"/>
      <c r="I39" s="34"/>
      <c r="J39" s="37"/>
      <c r="K39" s="37"/>
      <c r="L39" s="34"/>
      <c r="M39" s="34"/>
      <c r="N39" s="34"/>
      <c r="O39" s="34"/>
      <c r="P39" s="34"/>
      <c r="Q39" s="34"/>
    </row>
    <row r="40" spans="1:19" x14ac:dyDescent="0.25">
      <c r="A40" s="6"/>
      <c r="B40" s="6" t="s">
        <v>50</v>
      </c>
      <c r="C40" s="6" t="s">
        <v>16</v>
      </c>
      <c r="D40" s="34"/>
      <c r="E40" s="34"/>
      <c r="F40" s="34"/>
      <c r="G40" s="34"/>
      <c r="H40" s="34"/>
      <c r="I40" s="34"/>
      <c r="J40" s="6" t="s">
        <v>51</v>
      </c>
      <c r="K40" s="6" t="s">
        <v>16</v>
      </c>
      <c r="L40" s="34"/>
      <c r="M40" s="34"/>
      <c r="N40" s="34"/>
      <c r="O40" s="34"/>
      <c r="P40" s="34"/>
      <c r="Q40" s="34"/>
    </row>
    <row r="41" spans="1:19" x14ac:dyDescent="0.25">
      <c r="A41" s="23" t="s">
        <v>28</v>
      </c>
      <c r="B41" s="23"/>
      <c r="C41" s="23"/>
      <c r="D41" s="23"/>
      <c r="E41" s="6">
        <f>SUM(E19:E20,E25,E30)</f>
        <v>144</v>
      </c>
      <c r="F41" s="6">
        <f>SUM(F19:F20,F25,F30)</f>
        <v>96</v>
      </c>
      <c r="G41" s="6">
        <f>SUM(G19:G20,G25,G30)</f>
        <v>720</v>
      </c>
      <c r="H41" s="6">
        <f>SUM(H19:H20,H25,H30)</f>
        <v>960</v>
      </c>
      <c r="I41" s="6">
        <f>SUM(I19:I20,I25,I30)</f>
        <v>16</v>
      </c>
      <c r="J41" s="24" t="s">
        <v>28</v>
      </c>
      <c r="K41" s="24"/>
      <c r="L41" s="24"/>
      <c r="M41" s="6">
        <f>SUM(M19:M20,M25,M30)</f>
        <v>144</v>
      </c>
      <c r="N41" s="6">
        <f>SUM(N19:N20,N25,N30)</f>
        <v>96</v>
      </c>
      <c r="O41" s="6">
        <f>SUM(O19:O20,O25,O30)</f>
        <v>528</v>
      </c>
      <c r="P41" s="6">
        <f>SUM(P19:P20,P25,P30)</f>
        <v>960</v>
      </c>
      <c r="Q41" s="6">
        <f>SUM(Q19:Q20,Q25,Q30)</f>
        <v>16</v>
      </c>
      <c r="S41" t="str">
        <f t="shared" ref="S41" si="2">UPPER(B41)</f>
        <v/>
      </c>
    </row>
    <row r="42" spans="1:19" x14ac:dyDescent="0.25">
      <c r="A42" s="29" t="s">
        <v>52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spans="1:19" s="20" customFormat="1" x14ac:dyDescent="0.25">
      <c r="A43" s="6">
        <v>10</v>
      </c>
      <c r="B43" s="6" t="s">
        <v>69</v>
      </c>
      <c r="C43" s="6" t="s">
        <v>16</v>
      </c>
      <c r="D43" s="6">
        <v>3</v>
      </c>
      <c r="E43" s="6">
        <v>0</v>
      </c>
      <c r="F43" s="6">
        <v>0</v>
      </c>
      <c r="G43" s="6">
        <v>384</v>
      </c>
      <c r="H43" s="6">
        <v>384</v>
      </c>
      <c r="I43" s="8">
        <v>8</v>
      </c>
      <c r="J43" s="6" t="s">
        <v>70</v>
      </c>
      <c r="K43" s="6" t="s">
        <v>16</v>
      </c>
      <c r="L43" s="6">
        <v>3</v>
      </c>
      <c r="M43" s="6">
        <v>0</v>
      </c>
      <c r="N43" s="6">
        <v>0</v>
      </c>
      <c r="O43" s="6">
        <v>384</v>
      </c>
      <c r="P43" s="6">
        <v>384</v>
      </c>
      <c r="Q43" s="8">
        <v>8</v>
      </c>
      <c r="R43"/>
    </row>
    <row r="44" spans="1:19" x14ac:dyDescent="0.25">
      <c r="A44" s="30" t="s">
        <v>43</v>
      </c>
      <c r="B44" s="30"/>
      <c r="C44" s="30"/>
      <c r="D44" s="6">
        <v>2</v>
      </c>
      <c r="E44" s="6">
        <v>48</v>
      </c>
      <c r="F44" s="6">
        <v>16</v>
      </c>
      <c r="G44" s="6">
        <v>128</v>
      </c>
      <c r="H44" s="7">
        <v>192</v>
      </c>
      <c r="I44" s="8">
        <v>4</v>
      </c>
      <c r="J44" s="51" t="s">
        <v>20</v>
      </c>
      <c r="K44" s="52"/>
      <c r="L44" s="6">
        <v>3</v>
      </c>
      <c r="M44" s="6">
        <v>48</v>
      </c>
      <c r="N44" s="6">
        <v>16</v>
      </c>
      <c r="O44" s="6">
        <v>128</v>
      </c>
      <c r="P44" s="7">
        <v>192</v>
      </c>
      <c r="Q44" s="8">
        <v>4</v>
      </c>
    </row>
    <row r="45" spans="1:19" ht="24" x14ac:dyDescent="0.3">
      <c r="A45" s="15"/>
      <c r="B45" s="15" t="s">
        <v>55</v>
      </c>
      <c r="C45" s="15" t="s">
        <v>16</v>
      </c>
      <c r="D45" s="26"/>
      <c r="E45" s="26"/>
      <c r="F45" s="26"/>
      <c r="G45" s="26"/>
      <c r="H45" s="26"/>
      <c r="I45" s="26"/>
      <c r="J45" s="6" t="s">
        <v>56</v>
      </c>
      <c r="K45" s="6" t="s">
        <v>16</v>
      </c>
      <c r="L45" s="47"/>
      <c r="M45" s="47"/>
      <c r="N45" s="47"/>
      <c r="O45" s="47"/>
      <c r="P45" s="47"/>
      <c r="Q45" s="47"/>
    </row>
    <row r="46" spans="1:19" x14ac:dyDescent="0.25">
      <c r="A46" s="15"/>
      <c r="B46" s="15" t="s">
        <v>57</v>
      </c>
      <c r="C46" s="15" t="s">
        <v>16</v>
      </c>
      <c r="D46" s="26"/>
      <c r="E46" s="26"/>
      <c r="F46" s="26"/>
      <c r="G46" s="26"/>
      <c r="H46" s="26"/>
      <c r="I46" s="26"/>
      <c r="J46" s="51" t="s">
        <v>22</v>
      </c>
      <c r="K46" s="52"/>
      <c r="L46" s="6">
        <v>3</v>
      </c>
      <c r="M46" s="6">
        <v>48</v>
      </c>
      <c r="N46" s="6">
        <v>16</v>
      </c>
      <c r="O46" s="6">
        <v>128</v>
      </c>
      <c r="P46" s="7">
        <v>192</v>
      </c>
      <c r="Q46" s="8">
        <v>4</v>
      </c>
    </row>
    <row r="47" spans="1:19" x14ac:dyDescent="0.25">
      <c r="A47" s="15"/>
      <c r="B47" s="15" t="s">
        <v>58</v>
      </c>
      <c r="C47" s="15" t="s">
        <v>16</v>
      </c>
      <c r="D47" s="26"/>
      <c r="E47" s="26"/>
      <c r="F47" s="26"/>
      <c r="G47" s="26"/>
      <c r="H47" s="26"/>
      <c r="I47" s="26"/>
      <c r="J47" s="6" t="s">
        <v>59</v>
      </c>
      <c r="K47" s="6" t="s">
        <v>16</v>
      </c>
      <c r="L47" s="34"/>
      <c r="M47" s="34"/>
      <c r="N47" s="34"/>
      <c r="O47" s="34"/>
      <c r="P47" s="34"/>
      <c r="Q47" s="34"/>
    </row>
    <row r="48" spans="1:19" x14ac:dyDescent="0.25">
      <c r="A48" s="15"/>
      <c r="B48" s="31" t="s">
        <v>60</v>
      </c>
      <c r="C48" s="31" t="s">
        <v>16</v>
      </c>
      <c r="D48" s="26"/>
      <c r="E48" s="26"/>
      <c r="F48" s="26"/>
      <c r="G48" s="26"/>
      <c r="H48" s="26"/>
      <c r="I48" s="26"/>
      <c r="J48" s="6" t="s">
        <v>61</v>
      </c>
      <c r="K48" s="6" t="s">
        <v>16</v>
      </c>
      <c r="L48" s="34"/>
      <c r="M48" s="34"/>
      <c r="N48" s="34"/>
      <c r="O48" s="34"/>
      <c r="P48" s="34"/>
      <c r="Q48" s="34"/>
    </row>
    <row r="49" spans="1:17" ht="24" x14ac:dyDescent="0.25">
      <c r="A49" s="15"/>
      <c r="B49" s="33"/>
      <c r="C49" s="33"/>
      <c r="D49" s="26"/>
      <c r="E49" s="26"/>
      <c r="F49" s="26"/>
      <c r="G49" s="26"/>
      <c r="H49" s="26"/>
      <c r="I49" s="26"/>
      <c r="J49" s="6" t="s">
        <v>62</v>
      </c>
      <c r="K49" s="6" t="s">
        <v>16</v>
      </c>
      <c r="L49" s="34"/>
      <c r="M49" s="34"/>
      <c r="N49" s="34"/>
      <c r="O49" s="34"/>
      <c r="P49" s="34"/>
      <c r="Q49" s="34"/>
    </row>
    <row r="50" spans="1:17" x14ac:dyDescent="0.25">
      <c r="A50" s="15"/>
      <c r="B50" s="15" t="s">
        <v>63</v>
      </c>
      <c r="C50" s="15" t="s">
        <v>16</v>
      </c>
      <c r="D50" s="26"/>
      <c r="E50" s="26"/>
      <c r="F50" s="26"/>
      <c r="G50" s="26"/>
      <c r="H50" s="26"/>
      <c r="I50" s="26"/>
      <c r="J50" s="45" t="s">
        <v>24</v>
      </c>
      <c r="K50" s="46"/>
      <c r="L50" s="6">
        <v>3</v>
      </c>
      <c r="M50" s="6">
        <v>48</v>
      </c>
      <c r="N50" s="6">
        <v>16</v>
      </c>
      <c r="O50" s="6">
        <v>128</v>
      </c>
      <c r="P50" s="7">
        <v>192</v>
      </c>
      <c r="Q50" s="8">
        <v>4</v>
      </c>
    </row>
    <row r="51" spans="1:17" ht="13" x14ac:dyDescent="0.3">
      <c r="A51" s="21"/>
      <c r="B51" s="15" t="s">
        <v>61</v>
      </c>
      <c r="C51" s="15" t="s">
        <v>16</v>
      </c>
      <c r="D51" s="26"/>
      <c r="E51" s="26"/>
      <c r="F51" s="26"/>
      <c r="G51" s="26"/>
      <c r="H51" s="26"/>
      <c r="I51" s="26"/>
      <c r="J51" s="6" t="s">
        <v>41</v>
      </c>
      <c r="K51" s="6" t="s">
        <v>16</v>
      </c>
      <c r="L51" s="47"/>
      <c r="M51" s="47"/>
      <c r="N51" s="47"/>
      <c r="O51" s="47"/>
      <c r="P51" s="47"/>
      <c r="Q51" s="47"/>
    </row>
    <row r="52" spans="1:17" x14ac:dyDescent="0.25">
      <c r="A52" s="21"/>
      <c r="B52" s="15" t="s">
        <v>64</v>
      </c>
      <c r="C52" s="15" t="s">
        <v>16</v>
      </c>
      <c r="D52" s="26"/>
      <c r="E52" s="26"/>
      <c r="F52" s="26"/>
      <c r="G52" s="26"/>
      <c r="H52" s="26"/>
      <c r="I52" s="26"/>
      <c r="J52" s="45" t="s">
        <v>26</v>
      </c>
      <c r="K52" s="46"/>
      <c r="L52" s="6">
        <v>3</v>
      </c>
      <c r="M52" s="6">
        <v>48</v>
      </c>
      <c r="N52" s="6">
        <v>16</v>
      </c>
      <c r="O52" s="6">
        <v>128</v>
      </c>
      <c r="P52" s="7">
        <v>192</v>
      </c>
      <c r="Q52" s="8">
        <v>4</v>
      </c>
    </row>
    <row r="53" spans="1:17" ht="13" x14ac:dyDescent="0.3">
      <c r="A53" s="21"/>
      <c r="B53" s="15" t="s">
        <v>65</v>
      </c>
      <c r="C53" s="15" t="s">
        <v>16</v>
      </c>
      <c r="D53" s="26"/>
      <c r="E53" s="26"/>
      <c r="F53" s="26"/>
      <c r="G53" s="26"/>
      <c r="H53" s="26"/>
      <c r="I53" s="26"/>
      <c r="J53" s="6" t="s">
        <v>66</v>
      </c>
      <c r="K53" s="6" t="s">
        <v>16</v>
      </c>
      <c r="L53" s="47"/>
      <c r="M53" s="47"/>
      <c r="N53" s="47"/>
      <c r="O53" s="47"/>
      <c r="P53" s="47"/>
      <c r="Q53" s="47"/>
    </row>
    <row r="54" spans="1:17" x14ac:dyDescent="0.25">
      <c r="A54" s="48" t="s">
        <v>28</v>
      </c>
      <c r="B54" s="49"/>
      <c r="C54" s="49"/>
      <c r="D54" s="50"/>
      <c r="E54" s="6">
        <f>SUM(E43:E44)</f>
        <v>48</v>
      </c>
      <c r="F54" s="6">
        <f t="shared" ref="F54:H54" si="3">SUM(F43:F44)</f>
        <v>16</v>
      </c>
      <c r="G54" s="6">
        <f t="shared" si="3"/>
        <v>512</v>
      </c>
      <c r="H54" s="6">
        <f t="shared" si="3"/>
        <v>576</v>
      </c>
      <c r="I54" s="6">
        <f>SUM(I43:I44)</f>
        <v>12</v>
      </c>
      <c r="J54" s="24" t="s">
        <v>28</v>
      </c>
      <c r="K54" s="24"/>
      <c r="L54" s="24"/>
      <c r="M54" s="6">
        <f>SUM(M43:M44)</f>
        <v>48</v>
      </c>
      <c r="N54" s="6">
        <f>SUM(N43:N44)</f>
        <v>16</v>
      </c>
      <c r="O54" s="6">
        <f>SUM(O43:O44)</f>
        <v>512</v>
      </c>
      <c r="P54" s="6">
        <f>SUM(P43:P44)</f>
        <v>576</v>
      </c>
      <c r="Q54" s="6">
        <f>SUM(Q43:Q44)</f>
        <v>12</v>
      </c>
    </row>
    <row r="55" spans="1:17" x14ac:dyDescent="0.25">
      <c r="A55" s="25" t="s">
        <v>67</v>
      </c>
      <c r="B55" s="25"/>
      <c r="C55" s="25"/>
      <c r="D55" s="17"/>
      <c r="E55" s="18">
        <f>SUM(E54+E41+E17)</f>
        <v>384</v>
      </c>
      <c r="F55" s="18">
        <f>SUM(F54+F41+F17)</f>
        <v>176</v>
      </c>
      <c r="G55" s="18">
        <f>SUM(G54+G41+G17)</f>
        <v>1744</v>
      </c>
      <c r="H55" s="18">
        <f>SUM(E55:G55)</f>
        <v>2304</v>
      </c>
      <c r="I55" s="18">
        <f>SUM(I54+I41+I17)</f>
        <v>44</v>
      </c>
      <c r="J55" s="25" t="s">
        <v>67</v>
      </c>
      <c r="K55" s="25"/>
      <c r="L55" s="25"/>
      <c r="M55" s="18">
        <f>SUM(M54+M41+M17)</f>
        <v>384</v>
      </c>
      <c r="N55" s="18">
        <f>SUM(N54+N41+N17)</f>
        <v>176</v>
      </c>
      <c r="O55" s="18">
        <f>SUM(O54+O41+O17)</f>
        <v>1552</v>
      </c>
      <c r="P55" s="18">
        <f>SUM(M55:O55)</f>
        <v>2112</v>
      </c>
      <c r="Q55" s="18">
        <f>SUM(Q54+Q41+Q17)</f>
        <v>44</v>
      </c>
    </row>
  </sheetData>
  <mergeCells count="72">
    <mergeCell ref="B1:I1"/>
    <mergeCell ref="J1:Q1"/>
    <mergeCell ref="A2:A3"/>
    <mergeCell ref="B2:B3"/>
    <mergeCell ref="D2:D3"/>
    <mergeCell ref="E2:H2"/>
    <mergeCell ref="I2:I3"/>
    <mergeCell ref="J2:J3"/>
    <mergeCell ref="L2:L3"/>
    <mergeCell ref="M2:P2"/>
    <mergeCell ref="Q2:Q3"/>
    <mergeCell ref="A4:Q4"/>
    <mergeCell ref="A6:I6"/>
    <mergeCell ref="J6:Q6"/>
    <mergeCell ref="A9:C9"/>
    <mergeCell ref="J9:K9"/>
    <mergeCell ref="D10:I10"/>
    <mergeCell ref="L10:Q10"/>
    <mergeCell ref="A11:C11"/>
    <mergeCell ref="J11:K11"/>
    <mergeCell ref="D12:I12"/>
    <mergeCell ref="L12:Q12"/>
    <mergeCell ref="A21:A24"/>
    <mergeCell ref="D21:I24"/>
    <mergeCell ref="L21:Q24"/>
    <mergeCell ref="A13:C13"/>
    <mergeCell ref="J13:K13"/>
    <mergeCell ref="D14:I14"/>
    <mergeCell ref="L14:Q14"/>
    <mergeCell ref="A15:I16"/>
    <mergeCell ref="J15:K15"/>
    <mergeCell ref="L16:Q16"/>
    <mergeCell ref="A17:D17"/>
    <mergeCell ref="J17:L17"/>
    <mergeCell ref="A18:Q18"/>
    <mergeCell ref="A20:C20"/>
    <mergeCell ref="J20:L20"/>
    <mergeCell ref="D36:I40"/>
    <mergeCell ref="L36:Q40"/>
    <mergeCell ref="J38:J39"/>
    <mergeCell ref="K38:K39"/>
    <mergeCell ref="A25:C25"/>
    <mergeCell ref="J25:L25"/>
    <mergeCell ref="A26:A29"/>
    <mergeCell ref="D26:I29"/>
    <mergeCell ref="L26:Q29"/>
    <mergeCell ref="A30:C30"/>
    <mergeCell ref="J30:L30"/>
    <mergeCell ref="A31:A34"/>
    <mergeCell ref="D31:I34"/>
    <mergeCell ref="L31:Q34"/>
    <mergeCell ref="A35:C35"/>
    <mergeCell ref="J35:L35"/>
    <mergeCell ref="A41:D41"/>
    <mergeCell ref="J41:L41"/>
    <mergeCell ref="A42:Q42"/>
    <mergeCell ref="A44:C44"/>
    <mergeCell ref="J44:K44"/>
    <mergeCell ref="A55:C55"/>
    <mergeCell ref="J55:L55"/>
    <mergeCell ref="C48:C49"/>
    <mergeCell ref="J50:K50"/>
    <mergeCell ref="L51:Q51"/>
    <mergeCell ref="J52:K52"/>
    <mergeCell ref="L53:Q53"/>
    <mergeCell ref="A54:D54"/>
    <mergeCell ref="J54:L54"/>
    <mergeCell ref="D45:I53"/>
    <mergeCell ref="L45:Q45"/>
    <mergeCell ref="J46:K46"/>
    <mergeCell ref="L47:Q49"/>
    <mergeCell ref="B48:B49"/>
  </mergeCells>
  <pageMargins left="0.7" right="0.7" top="0.75" bottom="0.75" header="0.3" footer="0.3"/>
  <pageSetup scale="62" fitToWidth="0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6" ma:contentTypeDescription="Crear nuevo documento." ma:contentTypeScope="" ma:versionID="a2852b318df51755ea6d6dc33ce565a7">
  <xsd:schema xmlns:xsd="http://www.w3.org/2001/XMLSchema" xmlns:xs="http://www.w3.org/2001/XMLSchema" xmlns:p="http://schemas.microsoft.com/office/2006/metadata/properties" xmlns:ns3="1d885472-1b03-4c27-abea-e0b86428d9b9" xmlns:ns4="2d6b6581-d0cd-4f64-a2b3-c7ef1a89b301" targetNamespace="http://schemas.microsoft.com/office/2006/metadata/properties" ma:root="true" ma:fieldsID="d32aa42b740b1678d06283d8e6cf1fdb" ns3:_="" ns4:_="">
    <xsd:import namespace="1d885472-1b03-4c27-abea-e0b86428d9b9"/>
    <xsd:import namespace="2d6b6581-d0cd-4f64-a2b3-c7ef1a89b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6581-d0cd-4f64-a2b3-c7ef1a89b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13591C-47BC-446A-89CD-ED747C07B59D}">
  <ds:schemaRefs>
    <ds:schemaRef ds:uri="http://purl.org/dc/terms/"/>
    <ds:schemaRef ds:uri="http://purl.org/dc/dcmitype/"/>
    <ds:schemaRef ds:uri="http://schemas.microsoft.com/office/2006/metadata/properties"/>
    <ds:schemaRef ds:uri="2d6b6581-d0cd-4f64-a2b3-c7ef1a89b301"/>
    <ds:schemaRef ds:uri="http://purl.org/dc/elements/1.1/"/>
    <ds:schemaRef ds:uri="1d885472-1b03-4c27-abea-e0b86428d9b9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9356CC4-F13E-4D55-AFDB-B26D2FD51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CC90C8-EFF0-477D-89C2-2518F9EB6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5472-1b03-4c27-abea-e0b86428d9b9"/>
    <ds:schemaRef ds:uri="2d6b6581-d0cd-4f64-a2b3-c7ef1a89b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 Tranciscion</vt:lpstr>
      <vt:lpstr>INV Trancision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RUBIANO SUAREZ ALISON KATHERINE</dc:creator>
  <cp:lastModifiedBy>RUBIANO SUAREZ ALISON KATHERINE</cp:lastModifiedBy>
  <cp:lastPrinted>2025-01-30T14:53:52Z</cp:lastPrinted>
  <dcterms:created xsi:type="dcterms:W3CDTF">2025-01-30T14:30:05Z</dcterms:created>
  <dcterms:modified xsi:type="dcterms:W3CDTF">2025-01-30T18:46:13Z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